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externalLinks/externalLink1.xml" ContentType="application/vnd.openxmlformats-officedocument.spreadsheetml.externalLink+xml"/>
  <Override PartName="/xl/comments6.xml" ContentType="application/vnd.openxmlformats-officedocument.spreadsheetml.comments+xml"/>
  <Override PartName="/xl/externalLinks/externalLink2.xml" ContentType="application/vnd.openxmlformats-officedocument.spreadsheetml.externalLink+xml"/>
  <Override PartName="/xl/comments7.xml" ContentType="application/vnd.openxmlformats-officedocument.spreadsheetml.comments+xml"/>
  <Override PartName="/xl/externalLinks/externalLink3.xml" ContentType="application/vnd.openxmlformats-officedocument.spreadsheetml.externalLink+xml"/>
  <Override PartName="/xl/comments8.xml" ContentType="application/vnd.openxmlformats-officedocument.spreadsheetml.comments+xml"/>
  <Override PartName="/xl/externalLinks/externalLink4.xml" ContentType="application/vnd.openxmlformats-officedocument.spreadsheetml.externalLink+xml"/>
  <Override PartName="/xl/comments9.xml" ContentType="application/vnd.openxmlformats-officedocument.spreadsheetml.comments+xml"/>
  <Override PartName="/xl/externalLinks/externalLink5.xml" ContentType="application/vnd.openxmlformats-officedocument.spreadsheetml.externalLink+xml"/>
  <Override PartName="/xl/comments10.xml" ContentType="application/vnd.openxmlformats-officedocument.spreadsheetml.comments+xml"/>
  <Override PartName="/xl/externalLinks/externalLink6.xml" ContentType="application/vnd.openxmlformats-officedocument.spreadsheetml.externalLink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Coord_Financeira\ALM\SAS\LDR\Exportações\Folhas finalizadas STD Ind 202112\"/>
    </mc:Choice>
  </mc:AlternateContent>
  <xr:revisionPtr revIDLastSave="0" documentId="13_ncr:1_{CD85521F-6266-4999-B7D9-369229964032}" xr6:coauthVersionLast="46" xr6:coauthVersionMax="46" xr10:uidLastSave="{00000000-0000-0000-0000-000000000000}"/>
  <bookViews>
    <workbookView xWindow="-120" yWindow="-120" windowWidth="20730" windowHeight="11160" activeTab="1" xr2:uid="{0078D88C-21BA-4B07-AF0B-D46C7C1592FA}"/>
  </bookViews>
  <sheets>
    <sheet name="T 01.00 a" sheetId="13" r:id="rId1"/>
    <sheet name="T 01.00 b" sheetId="14" r:id="rId2"/>
    <sheet name="Loan commitments received" sheetId="15" r:id="rId3"/>
    <sheet name="Off-balance " sheetId="16" r:id="rId4"/>
    <sheet name="Derivados" sheetId="17" r:id="rId5"/>
    <sheet name="T 03.01" sheetId="2" r:id="rId6"/>
    <sheet name="T 03.02" sheetId="3" r:id="rId7"/>
    <sheet name="T 03.03" sheetId="4" r:id="rId8"/>
    <sheet name="T 04.00" sheetId="5" r:id="rId9"/>
    <sheet name="T 05.01" sheetId="6" r:id="rId10"/>
    <sheet name="T 06.01" sheetId="7" r:id="rId11"/>
    <sheet name="T 07.00" sheetId="8" r:id="rId12"/>
    <sheet name="T 08.00" sheetId="9" r:id="rId13"/>
    <sheet name="T 09.00" sheetId="10" r:id="rId14"/>
    <sheet name="T 12.00" sheetId="11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" hidden="1">{#N/A,#N/A,FALSE,"d111a-bdie-d"}</definedName>
    <definedName name="___key1" hidden="1">#REF!</definedName>
    <definedName name="__123Graph_A" hidden="1">'[1]NJ-CA-MA-CT_jun06'!#REF!</definedName>
    <definedName name="__123Graph_ACONTRACTS" hidden="1">[2]GRAPH!#REF!</definedName>
    <definedName name="__123Graph_ACONTRT" hidden="1">[2]GRAPH!#REF!</definedName>
    <definedName name="__123Graph_AINSTALL" hidden="1">[2]GRAPH!#REF!</definedName>
    <definedName name="__123Graph_B" hidden="1">'[1]NJ-CA-MA-CT_jun06'!#REF!</definedName>
    <definedName name="__123Graph_BCONTRACTS" hidden="1">[2]GRAPH!#REF!</definedName>
    <definedName name="__123Graph_BCONTRT" hidden="1">[2]GRAPH!#REF!</definedName>
    <definedName name="__123Graph_BINSTALL" hidden="1">[2]GRAPH!#REF!</definedName>
    <definedName name="__123Graph_C" hidden="1">[2]GRAPH!#REF!</definedName>
    <definedName name="__123Graph_CCONTRT" hidden="1">[2]GRAPH!#REF!</definedName>
    <definedName name="__123Graph_CINSTALL" hidden="1">[2]GRAPH!#REF!</definedName>
    <definedName name="__123Graph_X" hidden="1">'[1]NJ-CA-MA-CT_jun06'!#REF!</definedName>
    <definedName name="__f4" hidden="1">#REF!</definedName>
    <definedName name="__f45" hidden="1">#REF!</definedName>
    <definedName name="__g5" hidden="1">#REF!</definedName>
    <definedName name="__key1" hidden="1">#REF!</definedName>
    <definedName name="_30360" hidden="1">2</definedName>
    <definedName name="_360" hidden="1">2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ond" hidden="1">3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e360" hidden="1">3</definedName>
    <definedName name="_eom" hidden="1">1</definedName>
    <definedName name="_f4" hidden="1">#REF!</definedName>
    <definedName name="_f45" hidden="1">#REF!</definedName>
    <definedName name="_Fill" hidden="1">#REF!</definedName>
    <definedName name="_xlnm._FilterDatabase" localSheetId="5" hidden="1">'T 03.01'!$A$7:$AC$1232</definedName>
    <definedName name="_xlnm._FilterDatabase" localSheetId="7" hidden="1">'T 03.03'!$E$1:$E$271</definedName>
    <definedName name="_xlnm._FilterDatabase" localSheetId="9" hidden="1">'T 05.01'!$A$7:$V$171</definedName>
    <definedName name="_xlnm._FilterDatabase" localSheetId="10" hidden="1">'T 06.01'!$A$7:$AD$125</definedName>
    <definedName name="_xlnm._FilterDatabase" localSheetId="11" hidden="1">'T 07.00'!$A$7:$Z$64</definedName>
    <definedName name="_xlnm._FilterDatabase" localSheetId="13" hidden="1">'T 09.00'!$A$7:$S$49</definedName>
    <definedName name="_xlnm._FilterDatabase" hidden="1">#REF!</definedName>
    <definedName name="_full" hidden="1">1</definedName>
    <definedName name="_fullprecision" hidden="1">1</definedName>
    <definedName name="_g5" hidden="1">#REF!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hidden="1">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rder1" hidden="1">255</definedName>
    <definedName name="_Order2" hidden="1">255</definedName>
    <definedName name="_pik" hidden="1">6</definedName>
    <definedName name="_qrt" hidden="1">4</definedName>
    <definedName name="_quarterly" hidden="1">4</definedName>
    <definedName name="_Regression_Int" hidden="1">1</definedName>
    <definedName name="_round" hidden="1">0</definedName>
    <definedName name="_roundtrunc" hidden="1">0</definedName>
    <definedName name="_semi" hidden="1">2</definedName>
    <definedName name="_semiannual" hidden="1">2</definedName>
    <definedName name="_singlestep" hidden="1">4</definedName>
    <definedName name="_Sort" hidden="1">#REF!</definedName>
    <definedName name="_step" hidden="1">4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A" hidden="1">'[3]Ponto 8 '!#REF!</definedName>
    <definedName name="aaa" hidden="1">{"'Parte I (BPA)'!$A$1:$A$3"}</definedName>
    <definedName name="AAAAAA" hidden="1">{"'Parte I (BPA)'!$A$1:$A$3"}</definedName>
    <definedName name="AB" hidden="1">'[3]Ponto 8 '!#REF!</definedName>
    <definedName name="ADS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21</definedName>
    <definedName name="asdf" hidden="1">'[4]Carteira 20'!#REF!</definedName>
    <definedName name="bbbbbbbbbbbb" hidden="1">#REF!</definedName>
    <definedName name="bbbbbbbbbbbbbbbb" hidden="1">#REF!</definedName>
    <definedName name="BG_Del" hidden="1">15</definedName>
    <definedName name="BG_Ins" hidden="1">4</definedName>
    <definedName name="BG_Mod" hidden="1">6</definedName>
    <definedName name="BLPH10" hidden="1">[5]BBVSM!#REF!</definedName>
    <definedName name="BLPH11" hidden="1">[5]BBVSM!#REF!</definedName>
    <definedName name="BLPH21" hidden="1">[6]CSGD!#REF!</definedName>
    <definedName name="BLPH23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30" hidden="1">#REF!</definedName>
    <definedName name="BLPH31" hidden="1">#REF!</definedName>
    <definedName name="BLPH32" hidden="1">#REF!</definedName>
    <definedName name="BLPH35" hidden="1">#REF!</definedName>
    <definedName name="BLPH36" hidden="1">#REF!</definedName>
    <definedName name="BLPH4" hidden="1">[5]BBVSM!#REF!</definedName>
    <definedName name="BLPH44" hidden="1">#REF!</definedName>
    <definedName name="BLPH5" hidden="1">[5]BBVSM!#REF!</definedName>
    <definedName name="BLPH52" hidden="1">#REF!</definedName>
    <definedName name="BLPH6" hidden="1">[5]BBVSM!#REF!</definedName>
    <definedName name="BLPH8" hidden="1">[5]BBVSM!#REF!</definedName>
    <definedName name="BLPH9" hidden="1">[5]BBVSM!#REF!</definedName>
    <definedName name="catia" hidden="1">#REF!</definedName>
    <definedName name="cccccccccccc" hidden="1">#REF!</definedName>
    <definedName name="cddcd" hidden="1">#REF!</definedName>
    <definedName name="Client" hidden="1">#REF!</definedName>
    <definedName name="d" hidden="1">#REF!</definedName>
    <definedName name="dd" hidden="1">{"'Parte I (BPA)'!$A$1:$A$3"}</definedName>
    <definedName name="DDADA" hidden="1">#REF!</definedName>
    <definedName name="ddddd" hidden="1">#REF!</definedName>
    <definedName name="dddddddddddddddddddddddd" hidden="1">#REF!</definedName>
    <definedName name="de" hidden="1">[7]XREF!#REF!</definedName>
    <definedName name="dfd" hidden="1">{"'Parte I (BPA)'!$A$1:$A$3"}</definedName>
    <definedName name="dqdqd" hidden="1">#REF!</definedName>
    <definedName name="dqdqdx" hidden="1">#REF!</definedName>
    <definedName name="dsacd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" hidden="1">#REF!</definedName>
    <definedName name="ED" hidden="1">{"vista1",#N/A,FALSE,"SCH";"vista2",#N/A,FALSE,"SCH"}</definedName>
    <definedName name="er" hidden="1">23</definedName>
    <definedName name="eri" hidden="1">[8]XREF!#REF!</definedName>
    <definedName name="error" hidden="1">{"vista1",#N/A,FALSE,"SCH";"vista2",#N/A,FALSE,"SCH"}</definedName>
    <definedName name="ert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dfd" hidden="1">#REF!</definedName>
    <definedName name="fds" hidden="1">#REF!</definedName>
    <definedName name="fdsa" hidden="1">#REF!</definedName>
    <definedName name="fdsfdsfdsfdsfgfd" hidden="1">#REF!</definedName>
    <definedName name="fghfdrtfd" hidden="1">#REF!</definedName>
    <definedName name="fILIPE" hidden="1">#REF!</definedName>
    <definedName name="fina" hidden="1">{"'Parte I (BPA)'!$A$1:$A$3"}</definedName>
    <definedName name="fr" hidden="1">#REF!</definedName>
    <definedName name="fsi" hidden="1">#REF!</definedName>
    <definedName name="g" hidden="1">'[9]Resumo reconciliações'!#REF!</definedName>
    <definedName name="Gauge" hidden="1">#REF!</definedName>
    <definedName name="GaugeBase" hidden="1">#REF!</definedName>
    <definedName name="gfd" hidden="1">#REF!</definedName>
    <definedName name="gfdd" hidden="1">#REF!</definedName>
    <definedName name="gfdddddddddddddd" hidden="1">#REF!</definedName>
    <definedName name="gfdgfdygf" hidden="1">#REF!</definedName>
    <definedName name="gfds" hidden="1">#REF!</definedName>
    <definedName name="gfdsa" hidden="1">#REF!</definedName>
    <definedName name="gfdsafdsa" hidden="1">#REF!</definedName>
    <definedName name="gfdsagfds" hidden="1">#REF!</definedName>
    <definedName name="gfdsfg" hidden="1">#REF!</definedName>
    <definedName name="gfdsgfds" hidden="1">#REF!</definedName>
    <definedName name="gfdsreds" hidden="1">#REF!</definedName>
    <definedName name="gfdsw" hidden="1">#REF!</definedName>
    <definedName name="gg" hidden="1">#REF!</definedName>
    <definedName name="ggg" hidden="1">#REF!</definedName>
    <definedName name="ggggg" hidden="1">#REF!</definedName>
    <definedName name="gggggggggggfffffffffff" hidden="1">#REF!</definedName>
    <definedName name="gggggggggggggggggggg" hidden="1">#REF!</definedName>
    <definedName name="GKEWNGF" hidden="1">[7]Resumo!#REF!</definedName>
    <definedName name="GKHEWKG" hidden="1">#REF!</definedName>
    <definedName name="glkjew" hidden="1">[10]XREF!#REF!</definedName>
    <definedName name="hgfd" hidden="1">#REF!</definedName>
    <definedName name="hgfdsagfds" hidden="1">#REF!</definedName>
    <definedName name="hgggfvcdsasdfrews" hidden="1">#REF!</definedName>
    <definedName name="hhhh" hidden="1">#REF!</definedName>
    <definedName name="hjfjfjfjfjjhf" hidden="1">#REF!</definedName>
    <definedName name="HTML_CodePage" hidden="1">1252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iiiiiiiiiiiiiiiiiiii" hidden="1">#REF!</definedName>
    <definedName name="in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ris" hidden="1">#REF!</definedName>
    <definedName name="i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J" hidden="1">{"vista1",#N/A,FALSE,"SCH";"vista2",#N/A,FALSE,"SCH"}</definedName>
    <definedName name="jhg" hidden="1">#REF!</definedName>
    <definedName name="jhgvf" hidden="1">#REF!</definedName>
    <definedName name="jjjjjjjjjj" hidden="1">#REF!</definedName>
    <definedName name="jjjjjjjjjjjjjjjjjjjj" hidden="1">{"'Parte I (BPA)'!$A$1:$A$3"}</definedName>
    <definedName name="jkkkkkkkkkkkkkk" hidden="1">1</definedName>
    <definedName name="k" hidden="1">#REF!</definedName>
    <definedName name="karate" hidden="1">#REF!</definedName>
    <definedName name="KKK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NFDKW" hidden="1">#REF!</definedName>
    <definedName name="ks" hidden="1">#REF!</definedName>
    <definedName name="lll" hidden="1">#REF!</definedName>
    <definedName name="LUIS" hidden="1">#REF!</definedName>
    <definedName name="miriam" hidden="1">#REF!</definedName>
    <definedName name="mmmm" hidden="1">#REF!</definedName>
    <definedName name="Ñ" hidden="1">{"vista1",#N/A,FALSE,"SCH";"vista2",#N/A,FALSE,"SCH"}</definedName>
    <definedName name="nbv" hidden="1">#REF!</definedName>
    <definedName name="nmmmmmmmmmmmmmmmmmmmmmmmmmmmmmmm" hidden="1">#REF!</definedName>
    <definedName name="nmnb" hidden="1">#REF!</definedName>
    <definedName name="Nota_9" hidden="1">{#N/A,#N/A,FALSE,"d111a-bdie-d"}</definedName>
    <definedName name="Nota13_2007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uevo" hidden="1">{"vista1",#N/A,FALSE,"SCH";"vista2",#N/A,FALSE,"SCH"}</definedName>
    <definedName name="o" hidden="1">[11]XREF!#REF!</definedName>
    <definedName name="oi" hidden="1">#REF!</definedName>
    <definedName name="ooo" hidden="1">2</definedName>
    <definedName name="p" hidden="1">2</definedName>
    <definedName name="pçlokj" hidden="1">#REF!</definedName>
    <definedName name="porra" hidden="1">#REF!</definedName>
    <definedName name="_xlnm.Print_Area" localSheetId="7">'T 03.03'!$A$1:$Q$8</definedName>
    <definedName name="_xlnm.Print_Area" localSheetId="8">'T 04.00'!$A$1:$AL$8</definedName>
    <definedName name="_xlnm.Print_Area" localSheetId="11">'T 07.00'!$A$1:$V$8</definedName>
    <definedName name="_xlnm.Print_Area" localSheetId="13">'T 09.00'!$A$1:$S$8</definedName>
    <definedName name="_xlnm.Print_Area" localSheetId="14">'T 12.00'!$A$1:$M$8</definedName>
    <definedName name="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2E1E" hidden="1">#REF!</definedName>
    <definedName name="quotizacoes" hidden="1">{"'Parte I (BPA)'!$A$1:$A$3"}</definedName>
    <definedName name="Realiz" hidden="1">#REF!</definedName>
    <definedName name="rivotti" hidden="1">#REF!</definedName>
    <definedName name="rt" hidden="1">#REF!</definedName>
    <definedName name="s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APBEXrevision" hidden="1">1</definedName>
    <definedName name="SAPBEXsysID" hidden="1">"PW1"</definedName>
    <definedName name="SAPBEXwbID" hidden="1">"3JGKH3H9E8QXY6XFBZVZDMFO6"</definedName>
    <definedName name="sexta4" hidden="1">#REF!</definedName>
    <definedName name="solver_lin" hidden="1">0</definedName>
    <definedName name="solver_num" hidden="1">0</definedName>
    <definedName name="solver_opt" hidden="1">[12]GLOBAL!#REF!</definedName>
    <definedName name="solver_typ" hidden="1">3</definedName>
    <definedName name="solver_val" hidden="1">1</definedName>
    <definedName name="swqsxq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XAX" hidden="1">#REF!</definedName>
    <definedName name="teresa" hidden="1">#REF!</definedName>
    <definedName name="TextRefCopyRangeCount" hidden="1">1</definedName>
    <definedName name="TotalAssets" hidden="1">#REF!</definedName>
    <definedName name="TotalRevenue" hidden="1">#REF!</definedName>
    <definedName name="tt" hidden="1">#REF!</definedName>
    <definedName name="ttt" hidden="1">#REF!</definedName>
    <definedName name="tttkkk" hidden="1">'[13]CPP - Jun 2004'!#REF!</definedName>
    <definedName name="uu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yd" hidden="1">#REF!</definedName>
    <definedName name="uytrdes" hidden="1">#REF!</definedName>
    <definedName name="v" hidden="1">'[9]Resumo reconciliações'!$P:$P</definedName>
    <definedName name="vc" hidden="1">#REF!</definedName>
    <definedName name="vfcf" hidden="1">#REF!</definedName>
    <definedName name="vtg" hidden="1">#REF!</definedName>
    <definedName name="vvvvvv" hidden="1">#REF!</definedName>
    <definedName name="w" hidden="1">1</definedName>
    <definedName name="wq" hidden="1">#REF!</definedName>
    <definedName name="wqfrq" hidden="1">#REF!</definedName>
    <definedName name="wrn.Aging._.and._.Trend._.Analysis." hidden="1">{#N/A,#N/A,FALSE,"Aging Summary";#N/A,#N/A,FALSE,"Ratio Analysis";#N/A,#N/A,FALSE,"Test 120 Day Accts";#N/A,#N/A,FALSE,"Tickmarks"}</definedName>
    <definedName name="wrn.GERAL." hidden="1">{#N/A,#N/A,FALSE,"bsp";#N/A,#N/A,FALSE,"BSNP";#N/A,#N/A,FALSE,"cpp";#N/A,#N/A,FALSE,"BTA";#N/A,#N/A,FALSE,"resumo grupo BSCH Portugal (2)"}</definedName>
    <definedName name="wrn.INFORME." hidden="1">{"GENERAL NEGOCIO",#N/A,FALSE,"DATOS";"EJECUTIVO NEGOCIO",#N/A,FALSE,"DATOS";"COLECTIVOS",#N/A,FALSE,"DATOS";"GENERAL",#N/A,FALSE,"DATOS";"EJECUTIVO",#N/A,FALSE,"DATOS"}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df." hidden="1">{#N/A,#N/A,FALSE,"d111a-bdie-d"}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SCH._.SEGUROS." hidden="1">{"vista1",#N/A,FALSE,"SCH";"vista2",#N/A,FALSE,"SCH"}</definedName>
    <definedName name="wrn.TESTE." hidden="1">{"BAL",#N/A,TRUE,"FINANÇAS";"RUB",#N/A,TRUE,"FINANÇAS";"ASSI",#N/A,TRUE,"FINANÇAS"}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s" hidden="1">#REF!</definedName>
    <definedName name="ww" hidden="1">[14]Orig!#REF!</definedName>
    <definedName name="www" hidden="1">#REF!</definedName>
    <definedName name="wwwwwwwwwwwwwwwwwwwwww" hidden="1">#REF!</definedName>
    <definedName name="x" hidden="1">[10]XREF!#REF!</definedName>
    <definedName name="XEF_COLUM_2" hidden="1">#REF!</definedName>
    <definedName name="XREF_COLUMN_1" hidden="1">#REF!</definedName>
    <definedName name="XREF_COLUMN_10" hidden="1">[15]Resumo!#REF!</definedName>
    <definedName name="XREF_COLUMN_11" hidden="1">#REF!</definedName>
    <definedName name="XREF_COLUMN_12" hidden="1">[16]Teste!#REF!</definedName>
    <definedName name="XREF_COLUMN_13" hidden="1">[16]Teste!#REF!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[16]Teste!#REF!</definedName>
    <definedName name="XREF_COLUMN_18" hidden="1">#REF!</definedName>
    <definedName name="XREF_COLUMN_19" hidden="1">#REF!</definedName>
    <definedName name="XREF_COLUMN_2" hidden="1">'[17]Carteira 21'!#REF!</definedName>
    <definedName name="XREF_COLUMN_20" hidden="1">#REF!</definedName>
    <definedName name="XREF_COLUMN_21" hidden="1">#REF!</definedName>
    <definedName name="XREF_COLUMN_22" hidden="1">[16]Pedidos!#REF!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'[17]Carteira 21'!#REF!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'[18]Mapa Aging JUN 2006'!#REF!</definedName>
    <definedName name="XREF_COLUMN_37" hidden="1">#REF!</definedName>
    <definedName name="XREF_COLUMN_38" hidden="1">'[18]Mapa Montantes JUN 2006'!#REF!</definedName>
    <definedName name="XREF_COLUMN_39" hidden="1">#REF!</definedName>
    <definedName name="XREF_COLUMN_4" hidden="1">'[19]Carteira de Títulos'!#REF!</definedName>
    <definedName name="XREF_COLUMN_40" hidden="1">#REF!</definedName>
    <definedName name="XREF_COLUMN_41" hidden="1">[18]Resumo!#REF!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[20]Resumo!#REF!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'[19]Carteira de Títulos'!#REF!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[15]Resumo!#REF!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[21]Resumo!#REF!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7" hidden="1">'[17]Carteira 21'!#REF!</definedName>
    <definedName name="XREF_COLUMN_8" hidden="1">[15]Resumo!#REF!</definedName>
    <definedName name="XREF_COLUMN_9" hidden="1">[15]Resumo!#REF!</definedName>
    <definedName name="XRefActiveRow" hidden="1">#REF!</definedName>
    <definedName name="XRefColumnsCount" hidden="1">6</definedName>
    <definedName name="XRefCopy1" hidden="1">'[17]Carteira 21'!#REF!</definedName>
    <definedName name="XRefCopy10" hidden="1">'[17]Carteira 21'!#REF!</definedName>
    <definedName name="XRefCopy100" hidden="1">[22]Movimento!$AP$369</definedName>
    <definedName name="XRefCopy100Row" hidden="1">[23]XREF!#REF!</definedName>
    <definedName name="XRefCopy101" hidden="1">#REF!</definedName>
    <definedName name="XRefCopy101Row" hidden="1">[23]XREF!#REF!</definedName>
    <definedName name="XRefCopy102" hidden="1">#REF!</definedName>
    <definedName name="XRefCopy102Row" hidden="1">[23]XREF!#REF!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[21]Resumo!#REF!</definedName>
    <definedName name="XRefCopy105Row" hidden="1">[21]XREF!#REF!</definedName>
    <definedName name="XRefCopy106" hidden="1">#REF!</definedName>
    <definedName name="XRefCopy106Row" hidden="1">[23]XREF!#REF!</definedName>
    <definedName name="XRefCopy107" hidden="1">[22]Movimento!$AF$33</definedName>
    <definedName name="XRefCopy107Row" hidden="1">[23]XREF!#REF!</definedName>
    <definedName name="XRefCopy108" hidden="1">#REF!</definedName>
    <definedName name="XRefCopy108Row" hidden="1">[23]XREF!#REF!</definedName>
    <definedName name="XRefCopy109" hidden="1">#REF!</definedName>
    <definedName name="XRefCopy109Row" hidden="1">[23]XREF!#REF!</definedName>
    <definedName name="XRefCopy10Row" hidden="1">[24]XREF!#REF!</definedName>
    <definedName name="XRefCopy11" hidden="1">'[17]Carteira 21'!#REF!</definedName>
    <definedName name="XRefCopy110" hidden="1">#REF!</definedName>
    <definedName name="XRefCopy110Row" hidden="1">[23]XREF!#REF!</definedName>
    <definedName name="XRefCopy111" hidden="1">#REF!</definedName>
    <definedName name="XRefCopy111Row" hidden="1">[23]XREF!#REF!</definedName>
    <definedName name="XRefCopy112" hidden="1">#REF!</definedName>
    <definedName name="XRefCopy112Row" hidden="1">[23]XREF!#REF!</definedName>
    <definedName name="XRefCopy113" hidden="1">#REF!</definedName>
    <definedName name="XRefCopy113Row" hidden="1">[21]XREF!#REF!</definedName>
    <definedName name="XRefCopy114" hidden="1">#REF!</definedName>
    <definedName name="XRefCopy114Row" hidden="1">[23]XREF!#REF!</definedName>
    <definedName name="XRefCopy115" hidden="1">#REF!</definedName>
    <definedName name="XRefCopy115Row" hidden="1">[21]XREF!#REF!</definedName>
    <definedName name="XRefCopy116" hidden="1">#REF!</definedName>
    <definedName name="XRefCopy116Row" hidden="1">[23]XREF!#REF!</definedName>
    <definedName name="XRefCopy117" hidden="1">#REF!</definedName>
    <definedName name="XRefCopy117Row" hidden="1">[23]XREF!#REF!</definedName>
    <definedName name="XRefCopy118" hidden="1">#REF!</definedName>
    <definedName name="XRefCopy118Row" hidden="1">[23]XREF!#REF!</definedName>
    <definedName name="XRefCopy119" hidden="1">#REF!</definedName>
    <definedName name="XRefCopy119Row" hidden="1">[23]XREF!#REF!</definedName>
    <definedName name="XRefCopy11Row" hidden="1">#REF!</definedName>
    <definedName name="XRefCopy12" hidden="1">'[17]Carteira 21'!#REF!</definedName>
    <definedName name="XRefCopy120" hidden="1">#REF!</definedName>
    <definedName name="XRefCopy120Row" hidden="1">[23]XREF!#REF!</definedName>
    <definedName name="XRefCopy121" hidden="1">#REF!</definedName>
    <definedName name="XRefCopy121Row" hidden="1">[23]XREF!#REF!</definedName>
    <definedName name="XRefCopy122" hidden="1">#REF!</definedName>
    <definedName name="XRefCopy122Row" hidden="1">[23]XREF!#REF!</definedName>
    <definedName name="XRefCopy123" hidden="1">#REF!</definedName>
    <definedName name="XRefCopy123Row" hidden="1">[23]XREF!#REF!</definedName>
    <definedName name="XRefCopy124" hidden="1">#REF!</definedName>
    <definedName name="XRefCopy124Row" hidden="1">[23]XREF!#REF!</definedName>
    <definedName name="XRefCopy125" hidden="1">#REF!</definedName>
    <definedName name="XRefCopy125Row" hidden="1">[23]XREF!#REF!</definedName>
    <definedName name="XRefCopy126" hidden="1">#REF!</definedName>
    <definedName name="XRefCopy126Row" hidden="1">[23]XREF!#REF!</definedName>
    <definedName name="XRefCopy127" hidden="1">#REF!</definedName>
    <definedName name="XRefCopy127Row" hidden="1">[23]XREF!#REF!</definedName>
    <definedName name="XRefCopy128" hidden="1">#REF!</definedName>
    <definedName name="XRefCopy128Row" hidden="1">[23]XREF!#REF!</definedName>
    <definedName name="XRefCopy129" hidden="1">#REF!</definedName>
    <definedName name="XRefCopy129Row" hidden="1">[23]XREF!#REF!</definedName>
    <definedName name="XRefCopy12Row" hidden="1">#REF!</definedName>
    <definedName name="XRefCopy13" hidden="1">'[17]Carteira 21'!#REF!</definedName>
    <definedName name="XRefCopy130" hidden="1">#REF!</definedName>
    <definedName name="XRefCopy130Row" hidden="1">[23]XREF!#REF!</definedName>
    <definedName name="XRefCopy131" hidden="1">#REF!</definedName>
    <definedName name="XRefCopy131Row" hidden="1">[23]XREF!#REF!</definedName>
    <definedName name="XRefCopy132" hidden="1">#REF!</definedName>
    <definedName name="XRefCopy132Row" hidden="1">[23]XREF!#REF!</definedName>
    <definedName name="XRefCopy133" hidden="1">#REF!</definedName>
    <definedName name="XRefCopy133Row" hidden="1">[23]XREF!#REF!</definedName>
    <definedName name="XRefCopy134" hidden="1">#REF!</definedName>
    <definedName name="XRefCopy134Row" hidden="1">[23]XREF!#REF!</definedName>
    <definedName name="XRefCopy135" hidden="1">#REF!</definedName>
    <definedName name="XRefCopy135Row" hidden="1">[23]XREF!#REF!</definedName>
    <definedName name="XRefCopy136" hidden="1">#REF!</definedName>
    <definedName name="XRefCopy136Row" hidden="1">[23]XREF!#REF!</definedName>
    <definedName name="XRefCopy137" hidden="1">#REF!</definedName>
    <definedName name="XRefCopy137Row" hidden="1">[10]XREF!#REF!</definedName>
    <definedName name="XRefCopy138" hidden="1">#REF!</definedName>
    <definedName name="XRefCopy138Row" hidden="1">[23]XREF!#REF!</definedName>
    <definedName name="XRefCopy139" hidden="1">#REF!</definedName>
    <definedName name="XRefCopy139Row" hidden="1">[23]XREF!#REF!</definedName>
    <definedName name="XRefCopy13Row" hidden="1">[25]XREF!#REF!</definedName>
    <definedName name="XRefCopy14" hidden="1">'[26]Carteira 20'!#REF!</definedName>
    <definedName name="XRefCopy140" hidden="1">#REF!</definedName>
    <definedName name="XRefCopy140Row" hidden="1">[23]XREF!#REF!</definedName>
    <definedName name="XRefCopy141" hidden="1">#REF!</definedName>
    <definedName name="XRefCopy141Row" hidden="1">[23]XREF!#REF!</definedName>
    <definedName name="XRefCopy142" hidden="1">#REF!</definedName>
    <definedName name="XRefCopy142Row" hidden="1">[23]XREF!#REF!</definedName>
    <definedName name="XRefCopy143" hidden="1">#REF!</definedName>
    <definedName name="XRefCopy143Row" hidden="1">[23]XREF!#REF!</definedName>
    <definedName name="XRefCopy144" hidden="1">#REF!</definedName>
    <definedName name="XRefCopy144Row" hidden="1">[23]XREF!#REF!</definedName>
    <definedName name="XRefCopy145" hidden="1">#REF!</definedName>
    <definedName name="XRefCopy145Row" hidden="1">[23]XREF!#REF!</definedName>
    <definedName name="XRefCopy146" hidden="1">#REF!</definedName>
    <definedName name="XRefCopy146Row" hidden="1">[23]XREF!#REF!</definedName>
    <definedName name="XRefCopy147" hidden="1">#REF!</definedName>
    <definedName name="XRefCopy147Row" hidden="1">[23]XREF!#REF!</definedName>
    <definedName name="XRefCopy148" hidden="1">#REF!</definedName>
    <definedName name="XRefCopy148Row" hidden="1">[23]XREF!#REF!</definedName>
    <definedName name="XRefCopy149" hidden="1">#REF!</definedName>
    <definedName name="XRefCopy149Row" hidden="1">[23]XREF!#REF!</definedName>
    <definedName name="XRefCopy14Row" hidden="1">#REF!</definedName>
    <definedName name="XRefCopy15" hidden="1">'[17]Carteira 21'!#REF!</definedName>
    <definedName name="XRefCopy150" hidden="1">#REF!</definedName>
    <definedName name="XRefCopy150Row" hidden="1">[23]XREF!#REF!</definedName>
    <definedName name="XRefCopy151" hidden="1">#REF!</definedName>
    <definedName name="XRefCopy151Row" hidden="1">[23]XREF!#REF!</definedName>
    <definedName name="XRefCopy152" hidden="1">#REF!</definedName>
    <definedName name="XRefCopy152Row" hidden="1">[10]XREF!#REF!</definedName>
    <definedName name="XRefCopy153" hidden="1">#REF!</definedName>
    <definedName name="XRefCopy153Row" hidden="1">[10]XREF!#REF!</definedName>
    <definedName name="XRefCopy154" hidden="1">#REF!</definedName>
    <definedName name="XRefCopy154Row" hidden="1">[23]XREF!#REF!</definedName>
    <definedName name="XRefCopy155" hidden="1">#REF!</definedName>
    <definedName name="XRefCopy155Row" hidden="1">[23]XREF!#REF!</definedName>
    <definedName name="XRefCopy156" hidden="1">#REF!</definedName>
    <definedName name="XRefCopy156Row" hidden="1">[10]XREF!#REF!</definedName>
    <definedName name="XRefCopy157" hidden="1">#REF!</definedName>
    <definedName name="XRefCopy157Row" hidden="1">[23]XREF!#REF!</definedName>
    <definedName name="XRefCopy158" hidden="1">#REF!</definedName>
    <definedName name="XRefCopy158Row" hidden="1">[10]XREF!#REF!</definedName>
    <definedName name="XRefCopy159" hidden="1">#REF!</definedName>
    <definedName name="XRefCopy159Row" hidden="1">[23]XREF!#REF!</definedName>
    <definedName name="XRefCopy15Row" hidden="1">#REF!</definedName>
    <definedName name="XRefCopy16" hidden="1">'[27]Reclassificação do Crédito'!#REF!</definedName>
    <definedName name="XRefCopy160" hidden="1">#REF!</definedName>
    <definedName name="XRefCopy160Row" hidden="1">[23]XREF!#REF!</definedName>
    <definedName name="XRefCopy161" hidden="1">#REF!</definedName>
    <definedName name="XRefCopy161Row" hidden="1">[23]XREF!#REF!</definedName>
    <definedName name="XRefCopy162" hidden="1">#REF!</definedName>
    <definedName name="XRefCopy162Row" hidden="1">[23]XREF!#REF!</definedName>
    <definedName name="XRefCopy163" hidden="1">#REF!</definedName>
    <definedName name="XRefCopy163Row" hidden="1">[23]XREF!#REF!</definedName>
    <definedName name="XRefCopy164" hidden="1">#REF!</definedName>
    <definedName name="XRefCopy164Row" hidden="1">[23]XREF!#REF!</definedName>
    <definedName name="XRefCopy165" hidden="1">#REF!</definedName>
    <definedName name="XRefCopy165Row" hidden="1">[23]XREF!#REF!</definedName>
    <definedName name="XRefCopy166" hidden="1">#REF!</definedName>
    <definedName name="XRefCopy166Row" hidden="1">[10]XREF!#REF!</definedName>
    <definedName name="XRefCopy167" hidden="1">#REF!</definedName>
    <definedName name="XRefCopy167Row" hidden="1">[23]XREF!#REF!</definedName>
    <definedName name="XRefCopy168" hidden="1">#REF!</definedName>
    <definedName name="XRefCopy168Row" hidden="1">[23]XREF!#REF!</definedName>
    <definedName name="XRefCopy169" hidden="1">#REF!</definedName>
    <definedName name="XRefCopy169Row" hidden="1">[23]XREF!#REF!</definedName>
    <definedName name="XRefCopy16Row" hidden="1">[27]XREF!#REF!</definedName>
    <definedName name="XRefCopy17" hidden="1">#REF!</definedName>
    <definedName name="XRefCopy170" hidden="1">#REF!</definedName>
    <definedName name="XRefCopy170Row" hidden="1">[23]XREF!#REF!</definedName>
    <definedName name="XRefCopy171" hidden="1">#REF!</definedName>
    <definedName name="XRefCopy171Row" hidden="1">[23]XREF!#REF!</definedName>
    <definedName name="XRefCopy172" hidden="1">#REF!</definedName>
    <definedName name="XRefCopy172Row" hidden="1">[23]XREF!#REF!</definedName>
    <definedName name="XRefCopy173" hidden="1">#REF!</definedName>
    <definedName name="XRefCopy173Row" hidden="1">[23]XREF!#REF!</definedName>
    <definedName name="XRefCopy174" hidden="1">#REF!</definedName>
    <definedName name="XRefCopy174Row" hidden="1">[23]XREF!#REF!</definedName>
    <definedName name="XRefCopy175" hidden="1">#REF!</definedName>
    <definedName name="XRefCopy175Row" hidden="1">[23]XREF!#REF!</definedName>
    <definedName name="XRefCopy176" hidden="1">#REF!</definedName>
    <definedName name="XRefCopy176Row" hidden="1">[23]XREF!#REF!</definedName>
    <definedName name="XRefCopy177" hidden="1">#REF!</definedName>
    <definedName name="XRefCopy177Row" hidden="1">[23]XREF!#REF!</definedName>
    <definedName name="XRefCopy178" hidden="1">#REF!</definedName>
    <definedName name="XRefCopy178Row" hidden="1">[23]XREF!#REF!</definedName>
    <definedName name="XRefCopy179" hidden="1">#REF!</definedName>
    <definedName name="XRefCopy179Row" hidden="1">[23]XREF!#REF!</definedName>
    <definedName name="XRefCopy17Row" hidden="1">[25]XREF!#REF!</definedName>
    <definedName name="XRefCopy18" hidden="1">'[27]Reclassificação do Crédito'!#REF!</definedName>
    <definedName name="XRefCopy180" hidden="1">#REF!</definedName>
    <definedName name="XRefCopy180Row" hidden="1">[23]XREF!#REF!</definedName>
    <definedName name="XRefCopy181" hidden="1">#REF!</definedName>
    <definedName name="XRefCopy181Row" hidden="1">[23]XREF!#REF!</definedName>
    <definedName name="XRefCopy182" hidden="1">#REF!</definedName>
    <definedName name="XRefCopy182Row" hidden="1">[23]XREF!#REF!</definedName>
    <definedName name="XRefCopy183" hidden="1">#REF!</definedName>
    <definedName name="XRefCopy183Row" hidden="1">[10]XREF!#REF!</definedName>
    <definedName name="XRefCopy184" hidden="1">#REF!</definedName>
    <definedName name="XRefCopy184Row" hidden="1">[23]XREF!#REF!</definedName>
    <definedName name="XRefCopy185" hidden="1">#REF!</definedName>
    <definedName name="XRefCopy185Row" hidden="1">[23]XREF!#REF!</definedName>
    <definedName name="XRefCopy186" hidden="1">#REF!</definedName>
    <definedName name="XRefCopy186Row" hidden="1">[23]XREF!#REF!</definedName>
    <definedName name="XRefCopy187" hidden="1">#REF!</definedName>
    <definedName name="XRefCopy187Row" hidden="1">[23]XREF!#REF!</definedName>
    <definedName name="XRefCopy188" hidden="1">#REF!</definedName>
    <definedName name="XRefCopy188Row" hidden="1">[23]XREF!#REF!</definedName>
    <definedName name="XRefCopy189" hidden="1">#REF!</definedName>
    <definedName name="XRefCopy189Row" hidden="1">[23]XREF!#REF!</definedName>
    <definedName name="XRefCopy18Row" hidden="1">[25]XREF!#REF!</definedName>
    <definedName name="XRefCopy19" hidden="1">#REF!</definedName>
    <definedName name="XRefCopy190" hidden="1">#REF!</definedName>
    <definedName name="XRefCopy190Row" hidden="1">[10]XREF!#REF!</definedName>
    <definedName name="XRefCopy191" hidden="1">#REF!</definedName>
    <definedName name="XRefCopy191Row" hidden="1">[10]XREF!#REF!</definedName>
    <definedName name="XRefCopy192" hidden="1">#REF!</definedName>
    <definedName name="XRefCopy192Row" hidden="1">[10]XREF!#REF!</definedName>
    <definedName name="XRefCopy193" hidden="1">#REF!</definedName>
    <definedName name="XRefCopy194" hidden="1">#REF!</definedName>
    <definedName name="XRefCopy194Row" hidden="1">[10]XREF!#REF!</definedName>
    <definedName name="XRefCopy195" hidden="1">#REF!</definedName>
    <definedName name="XRefCopy195Row" hidden="1">[10]XREF!#REF!</definedName>
    <definedName name="XRefCopy196" hidden="1">#REF!</definedName>
    <definedName name="XRefCopy196Row" hidden="1">[10]XREF!#REF!</definedName>
    <definedName name="XRefCopy197" hidden="1">#REF!</definedName>
    <definedName name="XRefCopy197Row" hidden="1">[10]XREF!#REF!</definedName>
    <definedName name="XRefCopy198" hidden="1">#REF!</definedName>
    <definedName name="XRefCopy198Row" hidden="1">[10]XREF!#REF!</definedName>
    <definedName name="XRefCopy199" hidden="1">#REF!</definedName>
    <definedName name="XRefCopy199Row" hidden="1">[10]XREF!#REF!</definedName>
    <definedName name="XRefCopy19Row" hidden="1">[25]XREF!#REF!</definedName>
    <definedName name="XRefCopy1Row" hidden="1">#REF!</definedName>
    <definedName name="XRefCopy2" hidden="1">'[26]Carteira 20'!#REF!</definedName>
    <definedName name="XRefCopy20" hidden="1">#REF!</definedName>
    <definedName name="XRefCopy200" hidden="1">#REF!</definedName>
    <definedName name="XRefCopy200Row" hidden="1">[10]XREF!#REF!</definedName>
    <definedName name="XRefCopy201" hidden="1">#REF!</definedName>
    <definedName name="XRefCopy201Row" hidden="1">[10]XREF!#REF!</definedName>
    <definedName name="XRefCopy202" hidden="1">#REF!</definedName>
    <definedName name="XRefCopy202Row" hidden="1">[10]XREF!#REF!</definedName>
    <definedName name="XRefCopy203" hidden="1">#REF!</definedName>
    <definedName name="XRefCopy203Row" hidden="1">[10]XREF!#REF!</definedName>
    <definedName name="XRefCopy204" hidden="1">#REF!</definedName>
    <definedName name="XRefCopy204Row" hidden="1">[10]XREF!#REF!</definedName>
    <definedName name="XRefCopy205" hidden="1">#REF!</definedName>
    <definedName name="XRefCopy206" hidden="1">#REF!</definedName>
    <definedName name="XRefCopy206Row" hidden="1">[10]XREF!#REF!</definedName>
    <definedName name="XRefCopy207" hidden="1">#REF!</definedName>
    <definedName name="XRefCopy207Row" hidden="1">[10]XREF!#REF!</definedName>
    <definedName name="XRefCopy208" hidden="1">#REF!</definedName>
    <definedName name="XRefCopy208Row" hidden="1">[10]XREF!#REF!</definedName>
    <definedName name="XRefCopy209" hidden="1">#REF!</definedName>
    <definedName name="XRefCopy209Row" hidden="1">[10]XREF!#REF!</definedName>
    <definedName name="XRefCopy20Row" hidden="1">[19]XREF!#REF!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3Row" hidden="1">[10]XREF!#REF!</definedName>
    <definedName name="XRefCopy214" hidden="1">#REF!</definedName>
    <definedName name="XRefCopy214Row" hidden="1">[10]XREF!#REF!</definedName>
    <definedName name="XRefCopy215" hidden="1">#REF!</definedName>
    <definedName name="XRefCopy215Row" hidden="1">[10]XREF!#REF!</definedName>
    <definedName name="XRefCopy216" hidden="1">#REF!</definedName>
    <definedName name="XRefCopy216Row" hidden="1">[10]XREF!#REF!</definedName>
    <definedName name="XRefCopy217" hidden="1">#REF!</definedName>
    <definedName name="XRefCopy217Row" hidden="1">[10]XREF!#REF!</definedName>
    <definedName name="XRefCopy218" hidden="1">#REF!</definedName>
    <definedName name="XRefCopy218Row" hidden="1">[10]XREF!#REF!</definedName>
    <definedName name="XRefCopy219" hidden="1">#REF!</definedName>
    <definedName name="XRefCopy21Row" hidden="1">[27]XREF!#REF!</definedName>
    <definedName name="XRefCopy22" hidden="1">#REF!</definedName>
    <definedName name="XRefCopy220" hidden="1">#REF!</definedName>
    <definedName name="XRefCopy220Row" hidden="1">[10]XREF!#REF!</definedName>
    <definedName name="XRefCopy221" hidden="1">#REF!</definedName>
    <definedName name="XRefCopy222" hidden="1">#REF!</definedName>
    <definedName name="XRefCopy222Row" hidden="1">[10]XREF!#REF!</definedName>
    <definedName name="XRefCopy223" hidden="1">#REF!</definedName>
    <definedName name="XRefCopy223Row" hidden="1">[10]XREF!#REF!</definedName>
    <definedName name="XRefCopy224" hidden="1">#REF!</definedName>
    <definedName name="XRefCopy225" hidden="1">#REF!</definedName>
    <definedName name="XRefCopy225Row" hidden="1">[10]XREF!#REF!</definedName>
    <definedName name="XRefCopy226" hidden="1">#REF!</definedName>
    <definedName name="XRefCopy226Row" hidden="1">[10]XREF!#REF!</definedName>
    <definedName name="XRefCopy227" hidden="1">#REF!</definedName>
    <definedName name="XRefCopy227Row" hidden="1">[10]XREF!#REF!</definedName>
    <definedName name="XRefCopy228" hidden="1">#REF!</definedName>
    <definedName name="XRefCopy228Row" hidden="1">[10]XREF!#REF!</definedName>
    <definedName name="XRefCopy229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[10]XREF!#REF!</definedName>
    <definedName name="XRefCopy231" hidden="1">#REF!</definedName>
    <definedName name="XRefCopy231Row" hidden="1">[10]XREF!#REF!</definedName>
    <definedName name="XRefCopy232" hidden="1">#REF!</definedName>
    <definedName name="XRefCopy232Row" hidden="1">[10]XREF!#REF!</definedName>
    <definedName name="XRefCopy233" hidden="1">#REF!</definedName>
    <definedName name="XRefCopy233Row" hidden="1">[10]XREF!#REF!</definedName>
    <definedName name="XRefCopy234" hidden="1">#REF!</definedName>
    <definedName name="XRefCopy236" hidden="1">#REF!</definedName>
    <definedName name="XRefCopy236Row" hidden="1">[10]XREF!#REF!</definedName>
    <definedName name="XRefCopy237" hidden="1">#REF!</definedName>
    <definedName name="XRefCopy237Row" hidden="1">[10]XREF!#REF!</definedName>
    <definedName name="XRefCopy238" hidden="1">#REF!</definedName>
    <definedName name="XRefCopy238Row" hidden="1">[10]XREF!#REF!</definedName>
    <definedName name="XRefCopy239" hidden="1">#REF!</definedName>
    <definedName name="XRefCopy239Row" hidden="1">[10]XREF!#REF!</definedName>
    <definedName name="XRefCopy23Row" hidden="1">#REF!</definedName>
    <definedName name="XRefCopy24" hidden="1">'[19]Carteira de Títulos'!#REF!</definedName>
    <definedName name="XRefCopy240" hidden="1">#REF!</definedName>
    <definedName name="XRefCopy240Row" hidden="1">[10]XREF!#REF!</definedName>
    <definedName name="XRefCopy241" hidden="1">#REF!</definedName>
    <definedName name="XRefCopy241Row" hidden="1">[10]XREF!#REF!</definedName>
    <definedName name="XRefCopy242" hidden="1">#REF!</definedName>
    <definedName name="XRefCopy242Row" hidden="1">[10]XREF!#REF!</definedName>
    <definedName name="XRefCopy243" hidden="1">#REF!</definedName>
    <definedName name="XRefCopy243Row" hidden="1">[10]XREF!#REF!</definedName>
    <definedName name="XRefCopy244" hidden="1">#REF!</definedName>
    <definedName name="XRefCopy244Row" hidden="1">[10]XREF!#REF!</definedName>
    <definedName name="XRefCopy245" hidden="1">#REF!</definedName>
    <definedName name="XRefCopy245Row" hidden="1">[10]XREF!#REF!</definedName>
    <definedName name="XRefCopy246" hidden="1">#REF!</definedName>
    <definedName name="XRefCopy246Row" hidden="1">[10]XREF!#REF!</definedName>
    <definedName name="XRefCopy247" hidden="1">#REF!</definedName>
    <definedName name="XRefCopy248" hidden="1">#REF!</definedName>
    <definedName name="XRefCopy248Row" hidden="1">[10]XREF!#REF!</definedName>
    <definedName name="XRefCopy249" hidden="1">#REF!</definedName>
    <definedName name="XRefCopy249Row" hidden="1">[10]XREF!#REF!</definedName>
    <definedName name="XRefCopy24Row" hidden="1">[19]XREF!#REF!</definedName>
    <definedName name="XRefCopy25" hidden="1">'[19]Carteira de Títulos'!#REF!</definedName>
    <definedName name="XRefCopy250" hidden="1">#REF!</definedName>
    <definedName name="XRefCopy250Row" hidden="1">[10]XREF!#REF!</definedName>
    <definedName name="XRefCopy251" hidden="1">#REF!</definedName>
    <definedName name="XRefCopy251Row" hidden="1">[10]XREF!#REF!</definedName>
    <definedName name="XRefCopy252" hidden="1">#REF!</definedName>
    <definedName name="XRefCopy252Row" hidden="1">[10]XREF!#REF!</definedName>
    <definedName name="XRefCopy253" hidden="1">#REF!</definedName>
    <definedName name="XRefCopy253Row" hidden="1">[10]XREF!#REF!</definedName>
    <definedName name="XRefCopy254" hidden="1">#REF!</definedName>
    <definedName name="XRefCopy254Row" hidden="1">[10]XREF!#REF!</definedName>
    <definedName name="XRefCopy255" hidden="1">#REF!</definedName>
    <definedName name="XRefCopy255Row" hidden="1">[10]XREF!#REF!</definedName>
    <definedName name="XRefCopy256" hidden="1">#REF!</definedName>
    <definedName name="XRefCopy256Row" hidden="1">[10]XREF!#REF!</definedName>
    <definedName name="XRefCopy257" hidden="1">#REF!</definedName>
    <definedName name="XRefCopy257Row" hidden="1">[10]XREF!#REF!</definedName>
    <definedName name="XRefCopy258" hidden="1">#REF!</definedName>
    <definedName name="XRefCopy259" hidden="1">#REF!</definedName>
    <definedName name="XRefCopy259Row" hidden="1">[10]XREF!#REF!</definedName>
    <definedName name="XRefCopy25Row" hidden="1">[19]XREF!#REF!</definedName>
    <definedName name="XRefCopy26" hidden="1">#REF!</definedName>
    <definedName name="XRefCopy260" hidden="1">#REF!</definedName>
    <definedName name="XRefCopy261" hidden="1">#REF!</definedName>
    <definedName name="XRefCopy261Row" hidden="1">[10]XREF!#REF!</definedName>
    <definedName name="XRefCopy262" hidden="1">#REF!</definedName>
    <definedName name="XRefCopy262Row" hidden="1">[10]XREF!#REF!</definedName>
    <definedName name="XRefCopy263" hidden="1">#REF!</definedName>
    <definedName name="XRefCopy263Row" hidden="1">[10]XREF!#REF!</definedName>
    <definedName name="XRefCopy264" hidden="1">#REF!</definedName>
    <definedName name="XRefCopy264Row" hidden="1">[10]XREF!#REF!</definedName>
    <definedName name="XRefCopy265" hidden="1">#REF!</definedName>
    <definedName name="XRefCopy265Row" hidden="1">[10]XREF!#REF!</definedName>
    <definedName name="XRefCopy266" hidden="1">#REF!</definedName>
    <definedName name="XRefCopy267" hidden="1">#REF!</definedName>
    <definedName name="XRefCopy267Row" hidden="1">[10]XREF!#REF!</definedName>
    <definedName name="XRefCopy268" hidden="1">#REF!</definedName>
    <definedName name="XRefCopy268Row" hidden="1">[10]XREF!#REF!</definedName>
    <definedName name="XRefCopy269" hidden="1">#REF!</definedName>
    <definedName name="XRefCopy26Row" hidden="1">#REF!</definedName>
    <definedName name="XRefCopy27" hidden="1">#REF!</definedName>
    <definedName name="XRefCopy270" hidden="1">#REF!</definedName>
    <definedName name="XRefCopy270Row" hidden="1">[10]XREF!#REF!</definedName>
    <definedName name="XRefCopy271" hidden="1">#REF!</definedName>
    <definedName name="XRefCopy272" hidden="1">#REF!</definedName>
    <definedName name="XRefCopy273" hidden="1">#REF!</definedName>
    <definedName name="XRefCopy273Row" hidden="1">[10]XREF!#REF!</definedName>
    <definedName name="XRefCopy274" hidden="1">#REF!</definedName>
    <definedName name="XRefCopy274Row" hidden="1">[10]XREF!#REF!</definedName>
    <definedName name="XRefCopy275" hidden="1">#REF!</definedName>
    <definedName name="XRefCopy275Row" hidden="1">[10]XREF!#REF!</definedName>
    <definedName name="XRefCopy276" hidden="1">#REF!</definedName>
    <definedName name="XRefCopy277" hidden="1">#REF!</definedName>
    <definedName name="XRefCopy278" hidden="1">#REF!</definedName>
    <definedName name="XRefCopy278Row" hidden="1">[10]XREF!#REF!</definedName>
    <definedName name="XRefCopy279" hidden="1">#REF!</definedName>
    <definedName name="XRefCopy27Row" hidden="1">#REF!</definedName>
    <definedName name="XRefCopy28" hidden="1">#REF!</definedName>
    <definedName name="XRefCopy280" hidden="1">#REF!</definedName>
    <definedName name="XRefCopy281" hidden="1">#REF!</definedName>
    <definedName name="XRefCopy282" hidden="1">#REF!</definedName>
    <definedName name="XRefCopy283" hidden="1">#REF!</definedName>
    <definedName name="XRefCopy284" hidden="1">#REF!</definedName>
    <definedName name="XRefCopy284Row" hidden="1">[10]XREF!#REF!</definedName>
    <definedName name="XRefCopy285" hidden="1">#REF!</definedName>
    <definedName name="XRefCopy286" hidden="1">#REF!</definedName>
    <definedName name="XRefCopy287" hidden="1">#REF!</definedName>
    <definedName name="XRefCopy288" hidden="1">#REF!</definedName>
    <definedName name="XRefCopy289" hidden="1">#REF!</definedName>
    <definedName name="XRefCopy28Row" hidden="1">#REF!</definedName>
    <definedName name="XRefCopy29" hidden="1">#REF!</definedName>
    <definedName name="XRefCopy290" hidden="1">#REF!</definedName>
    <definedName name="XRefCopy291" hidden="1">#REF!</definedName>
    <definedName name="XRefCopy292" hidden="1">#REF!</definedName>
    <definedName name="XRefCopy293" hidden="1">#REF!</definedName>
    <definedName name="XRefCopy294" hidden="1">#REF!</definedName>
    <definedName name="XRefCopy295" hidden="1">#REF!</definedName>
    <definedName name="XRefCopy296" hidden="1">#REF!</definedName>
    <definedName name="XRefCopy296Row" hidden="1">[10]XREF!#REF!</definedName>
    <definedName name="XRefCopy29Row" hidden="1">[28]XREF!#REF!</definedName>
    <definedName name="XRefCopy2Row" hidden="1">[29]XREF!#REF!</definedName>
    <definedName name="XRefCopy3" hidden="1">'[17]Carteira 21'!#REF!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[30]Notas!#REF!</definedName>
    <definedName name="XRefCopy33Row" hidden="1">[28]XREF!#REF!</definedName>
    <definedName name="XRefCopy34" hidden="1">[30]Notas!#REF!</definedName>
    <definedName name="XRefCopy34Row" hidden="1">#REF!</definedName>
    <definedName name="XRefCopy35" hidden="1">[30]Notas!#REF!</definedName>
    <definedName name="XRefCopy35Row" hidden="1">#REF!</definedName>
    <definedName name="XRefCopy36" hidden="1">[30]Notas!#REF!</definedName>
    <definedName name="XRefCopy36Row" hidden="1">#REF!</definedName>
    <definedName name="XRefCopy37" hidden="1">[30]Notas!#REF!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'[17]Carteira 21'!#REF!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[31]XREF!#REF!</definedName>
    <definedName name="XRefCopy45" hidden="1">#REF!</definedName>
    <definedName name="XRefCopy45Row" hidden="1">[31]XREF!#REF!</definedName>
    <definedName name="XRefCopy46" hidden="1">#REF!</definedName>
    <definedName name="XRefCopy46Row" hidden="1">[31]XREF!#REF!</definedName>
    <definedName name="XRefCopy47" hidden="1">#REF!</definedName>
    <definedName name="XRefCopy47Row" hidden="1">#REF!</definedName>
    <definedName name="XRefCopy48" hidden="1">#REF!</definedName>
    <definedName name="XRefCopy48Row" hidden="1">[32]XREF!#REF!</definedName>
    <definedName name="XRefCopy49" hidden="1">#REF!</definedName>
    <definedName name="XRefCopy49Row" hidden="1">[32]XREF!#REF!</definedName>
    <definedName name="XRefCopy4Row" hidden="1">[33]XREF!#REF!</definedName>
    <definedName name="XRefCopy5" hidden="1">'[27]Reclassificação do Crédito'!#REF!</definedName>
    <definedName name="XRefCopy50" hidden="1">#REF!</definedName>
    <definedName name="XRefCopy50Row" hidden="1">[32]XREF!#REF!</definedName>
    <definedName name="XRefCopy51" hidden="1">#REF!</definedName>
    <definedName name="XRefCopy51Row" hidden="1">[32]XREF!#REF!</definedName>
    <definedName name="XRefCopy52" hidden="1">#REF!</definedName>
    <definedName name="XRefCopy52Row" hidden="1">[32]XREF!#REF!</definedName>
    <definedName name="XRefCopy53" hidden="1">#REF!</definedName>
    <definedName name="XRefCopy53Row" hidden="1">[32]XREF!#REF!</definedName>
    <definedName name="XRefCopy54" hidden="1">[32]Resumo!#REF!</definedName>
    <definedName name="XRefCopy54Row" hidden="1">[32]XREF!#REF!</definedName>
    <definedName name="XRefCopy55" hidden="1">[32]Resumo!#REF!</definedName>
    <definedName name="XRefCopy55Row" hidden="1">[32]XREF!#REF!</definedName>
    <definedName name="XRefCopy56" hidden="1">[32]Resumo!#REF!</definedName>
    <definedName name="XRefCopy56Row" hidden="1">[32]XREF!#REF!</definedName>
    <definedName name="XRefCopy57" hidden="1">[32]Resumo!#REF!</definedName>
    <definedName name="XRefCopy57Row" hidden="1">[18]XREF!#REF!</definedName>
    <definedName name="XRefCopy58" hidden="1">[22]Movimento!$AP$180</definedName>
    <definedName name="XRefCopy58Row" hidden="1">[32]XREF!#REF!</definedName>
    <definedName name="XRefCopy59" hidden="1">[22]Movimento!$BE$258</definedName>
    <definedName name="XRefCopy59Row" hidden="1">[32]XREF!#REF!</definedName>
    <definedName name="XRefCopy5Row" hidden="1">[27]XREF!#REF!</definedName>
    <definedName name="XRefCopy6" hidden="1">[34]Eurodep_20!$C$18</definedName>
    <definedName name="XRefCopy60" hidden="1">#REF!</definedName>
    <definedName name="XRefCopy60Row" hidden="1">[32]XREF!#REF!</definedName>
    <definedName name="XRefCopy61" hidden="1">[32]Resumo!#REF!</definedName>
    <definedName name="XRefCopy61Row" hidden="1">[18]XREF!#REF!</definedName>
    <definedName name="XRefCopy62" hidden="1">#REF!</definedName>
    <definedName name="XRefCopy62Row" hidden="1">[32]XREF!#REF!</definedName>
    <definedName name="XRefCopy63" hidden="1">#REF!</definedName>
    <definedName name="XRefCopy63Row" hidden="1">[32]XREF!#REF!</definedName>
    <definedName name="XRefCopy64" hidden="1">[32]Resumo!#REF!</definedName>
    <definedName name="XRefCopy64Row" hidden="1">[32]XREF!#REF!</definedName>
    <definedName name="XRefCopy65" hidden="1">[32]Resumo!#REF!</definedName>
    <definedName name="XRefCopy65Row" hidden="1">[32]XREF!#REF!</definedName>
    <definedName name="XRefCopy66" hidden="1">#REF!</definedName>
    <definedName name="XRefCopy66Row" hidden="1">[32]XREF!#REF!</definedName>
    <definedName name="XRefCopy67" hidden="1">#REF!</definedName>
    <definedName name="XRefCopy67Row" hidden="1">[18]XREF!#REF!</definedName>
    <definedName name="XRefCopy68" hidden="1">[22]Movimento!$AX$284</definedName>
    <definedName name="XRefCopy68Row" hidden="1">[18]XREF!#REF!</definedName>
    <definedName name="XRefCopy69" hidden="1">#REF!</definedName>
    <definedName name="XRefCopy69Row" hidden="1">[18]XREF!#REF!</definedName>
    <definedName name="XRefCopy6Row" hidden="1">[35]XREF!#REF!</definedName>
    <definedName name="XRefCopy7" hidden="1">'[26]Carteira 20'!#REF!</definedName>
    <definedName name="XRefCopy70" hidden="1">[22]Movimento!$BE$284</definedName>
    <definedName name="XRefCopy70Row" hidden="1">[18]XREF!#REF!</definedName>
    <definedName name="XRefCopy71" hidden="1">#REF!</definedName>
    <definedName name="XRefCopy71Row" hidden="1">[18]XREF!#REF!</definedName>
    <definedName name="XRefCopy72" hidden="1">#REF!</definedName>
    <definedName name="XRefCopy72Row" hidden="1">[18]XREF!#REF!</definedName>
    <definedName name="XRefCopy73" hidden="1">#REF!</definedName>
    <definedName name="XRefCopy73Row" hidden="1">#REF!</definedName>
    <definedName name="XRefCopy74" hidden="1">#REF!</definedName>
    <definedName name="XRefCopy74Row" hidden="1">[18]XREF!#REF!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'[26]Carteira 20'!#REF!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[22]Movimento!$AX$328</definedName>
    <definedName name="XRefCopy82Row" hidden="1">[18]XREF!#REF!</definedName>
    <definedName name="XRefCopy83" hidden="1">#REF!</definedName>
    <definedName name="XRefCopy83Row" hidden="1">[18]XREF!#REF!</definedName>
    <definedName name="XRefCopy84" hidden="1">[22]Movimento!$AP$328</definedName>
    <definedName name="XRefCopy84Row" hidden="1">[23]XREF!#REF!</definedName>
    <definedName name="XRefCopy85" hidden="1">[22]Movimento!$BE$334</definedName>
    <definedName name="XRefCopy85Row" hidden="1">[18]XREF!#REF!</definedName>
    <definedName name="XRefCopy86" hidden="1">#REF!</definedName>
    <definedName name="XRefCopy86Row" hidden="1">[23]XREF!#REF!</definedName>
    <definedName name="XRefCopy87" hidden="1">[22]Movimento!$AX$334</definedName>
    <definedName name="XRefCopy87Row" hidden="1">[23]XREF!#REF!</definedName>
    <definedName name="XRefCopy88" hidden="1">#REF!</definedName>
    <definedName name="XRefCopy88Row" hidden="1">[23]XREF!#REF!</definedName>
    <definedName name="XRefCopy89" hidden="1">[22]Movimento!$AT$334</definedName>
    <definedName name="XRefCopy89Row" hidden="1">[18]XREF!#REF!</definedName>
    <definedName name="XRefCopy8Row" hidden="1">#REF!</definedName>
    <definedName name="XRefCopy9" hidden="1">'[17]Carteira 21'!#REF!</definedName>
    <definedName name="XRefCopy90" hidden="1">#REF!</definedName>
    <definedName name="XRefCopy90Row" hidden="1">[18]XREF!#REF!</definedName>
    <definedName name="XRefCopy91" hidden="1">[22]Movimento!$AT$354</definedName>
    <definedName name="XRefCopy91Row" hidden="1">[18]XREF!#REF!</definedName>
    <definedName name="XRefCopy92" hidden="1">#REF!</definedName>
    <definedName name="XRefCopy92Row" hidden="1">[18]XREF!#REF!</definedName>
    <definedName name="XRefCopy93" hidden="1">[22]Movimento!$BB$354</definedName>
    <definedName name="XRefCopy93Row" hidden="1">[18]XREF!#REF!</definedName>
    <definedName name="XRefCopy94" hidden="1">#REF!</definedName>
    <definedName name="XRefCopy94Row" hidden="1">[23]XREF!#REF!</definedName>
    <definedName name="XRefCopy95" hidden="1">#REF!</definedName>
    <definedName name="XRefCopy95Row" hidden="1">[36]XREF!#REF!</definedName>
    <definedName name="XRefCopy96" hidden="1">[22]Movimento!$BE$369</definedName>
    <definedName name="XRefCopy96Row" hidden="1">[23]XREF!#REF!</definedName>
    <definedName name="XRefCopy97" hidden="1">#REF!</definedName>
    <definedName name="XRefCopy97Row" hidden="1">[23]XREF!#REF!</definedName>
    <definedName name="XRefCopy98" hidden="1">[22]Movimento!$AX$369</definedName>
    <definedName name="XRefCopy98Row" hidden="1">[23]XREF!#REF!</definedName>
    <definedName name="XRefCopy99" hidden="1">#REF!</definedName>
    <definedName name="XRefCopy99Row" hidden="1">[23]XREF!#REF!</definedName>
    <definedName name="XRefCopy9Row" hidden="1">[33]XREF!$8:$8</definedName>
    <definedName name="XRefCopyRangeCount" hidden="1">10</definedName>
    <definedName name="XRefPaste1" hidden="1">'[26]Carteira 20'!#REF!</definedName>
    <definedName name="XRefPaste10" hidden="1">'[17]Carteira 21'!#REF!</definedName>
    <definedName name="XRefPaste100" hidden="1">#REF!</definedName>
    <definedName name="XRefPaste100Row" hidden="1">[23]XREF!#REF!</definedName>
    <definedName name="XRefPaste101" hidden="1">#REF!</definedName>
    <definedName name="XRefPaste101Row" hidden="1">[21]XREF!#REF!</definedName>
    <definedName name="XRefPaste102" hidden="1">#REF!</definedName>
    <definedName name="XRefPaste102Row" hidden="1">[23]XREF!#REF!</definedName>
    <definedName name="XRefPaste103" hidden="1">#REF!</definedName>
    <definedName name="XRefPaste103Row" hidden="1">[23]XREF!#REF!</definedName>
    <definedName name="XRefPaste104" hidden="1">#REF!</definedName>
    <definedName name="XRefPaste104Row" hidden="1">[23]XREF!#REF!</definedName>
    <definedName name="XRefPaste105" hidden="1">#REF!</definedName>
    <definedName name="XRefPaste105Row" hidden="1">[23]XREF!#REF!</definedName>
    <definedName name="XRefPaste106" hidden="1">#REF!</definedName>
    <definedName name="XRefPaste106Row" hidden="1">[23]XREF!#REF!</definedName>
    <definedName name="XRefPaste107" hidden="1">#REF!</definedName>
    <definedName name="XRefPaste107Row" hidden="1">[23]XREF!#REF!</definedName>
    <definedName name="XRefPaste108" hidden="1">[21]Resumo!#REF!</definedName>
    <definedName name="XRefPaste108Row" hidden="1">[21]XREF!#REF!</definedName>
    <definedName name="XRefPaste109" hidden="1">#REF!</definedName>
    <definedName name="XRefPaste109Row" hidden="1">[23]XREF!#REF!</definedName>
    <definedName name="XRefPaste10Row" hidden="1">#REF!</definedName>
    <definedName name="XRefPaste11" hidden="1">'[26]Carteira 20'!#REF!</definedName>
    <definedName name="XRefPaste110" hidden="1">#REF!</definedName>
    <definedName name="XRefPaste110Row" hidden="1">[21]XREF!#REF!</definedName>
    <definedName name="XRefPaste111" hidden="1">#REF!</definedName>
    <definedName name="XRefPaste111Row" hidden="1">[23]XREF!#REF!</definedName>
    <definedName name="XRefPaste112" hidden="1">#REF!</definedName>
    <definedName name="XRefPaste112Row" hidden="1">[23]XREF!#REF!</definedName>
    <definedName name="XRefPaste113" hidden="1">#REF!</definedName>
    <definedName name="XRefPaste113Row" hidden="1">[23]XREF!#REF!</definedName>
    <definedName name="XRefPaste114" hidden="1">#REF!</definedName>
    <definedName name="XRefPaste114Row" hidden="1">[23]XREF!#REF!</definedName>
    <definedName name="XRefPaste115" hidden="1">#REF!</definedName>
    <definedName name="XRefPaste115Row" hidden="1">[23]XREF!#REF!</definedName>
    <definedName name="XRefPaste116" hidden="1">#REF!</definedName>
    <definedName name="XRefPaste116Row" hidden="1">[23]XREF!#REF!</definedName>
    <definedName name="XRefPaste117" hidden="1">#REF!</definedName>
    <definedName name="XRefPaste117Row" hidden="1">[23]XREF!#REF!</definedName>
    <definedName name="XRefPaste118" hidden="1">#REF!</definedName>
    <definedName name="XRefPaste118Row" hidden="1">[23]XREF!#REF!</definedName>
    <definedName name="XRefPaste119" hidden="1">#REF!</definedName>
    <definedName name="XRefPaste119Row" hidden="1">[23]XREF!#REF!</definedName>
    <definedName name="XRefPaste11Row" hidden="1">#REF!</definedName>
    <definedName name="XRefPaste12" hidden="1">'[26]Carteira 20'!#REF!</definedName>
    <definedName name="XRefPaste120" hidden="1">#REF!</definedName>
    <definedName name="XRefPaste120Row" hidden="1">[23]XREF!#REF!</definedName>
    <definedName name="XRefPaste121" hidden="1">#REF!</definedName>
    <definedName name="XRefPaste121Row" hidden="1">[23]XREF!#REF!</definedName>
    <definedName name="XRefPaste122" hidden="1">#REF!</definedName>
    <definedName name="XRefPaste122Row" hidden="1">[23]XREF!#REF!</definedName>
    <definedName name="XRefPaste123" hidden="1">#REF!</definedName>
    <definedName name="XRefPaste123Row" hidden="1">[23]XREF!#REF!</definedName>
    <definedName name="XRefPaste124" hidden="1">#REF!</definedName>
    <definedName name="XRefPaste124Row" hidden="1">[23]XREF!#REF!</definedName>
    <definedName name="XRefPaste125" hidden="1">#REF!</definedName>
    <definedName name="XRefPaste125Row" hidden="1">[23]XREF!#REF!</definedName>
    <definedName name="XRefPaste126" hidden="1">#REF!</definedName>
    <definedName name="XRefPaste126Row" hidden="1">[23]XREF!#REF!</definedName>
    <definedName name="XRefPaste127" hidden="1">#REF!</definedName>
    <definedName name="XRefPaste127Row" hidden="1">[23]XREF!#REF!</definedName>
    <definedName name="XRefPaste128" hidden="1">#REF!</definedName>
    <definedName name="XRefPaste128Row" hidden="1">[23]XREF!#REF!</definedName>
    <definedName name="XRefPaste129" hidden="1">#REF!</definedName>
    <definedName name="XRefPaste129Row" hidden="1">[23]XREF!#REF!</definedName>
    <definedName name="XRefPaste12Row" hidden="1">#REF!</definedName>
    <definedName name="XRefPaste13" hidden="1">'[17]Carteira 21'!#REF!</definedName>
    <definedName name="XRefPaste130" hidden="1">#REF!</definedName>
    <definedName name="XRefPaste130Row" hidden="1">[23]XREF!#REF!</definedName>
    <definedName name="XRefPaste131" hidden="1">#REF!</definedName>
    <definedName name="XRefPaste131Row" hidden="1">[23]XREF!#REF!</definedName>
    <definedName name="XRefPaste132" hidden="1">#REF!</definedName>
    <definedName name="XRefPaste132Row" hidden="1">[23]XREF!#REF!</definedName>
    <definedName name="XRefPaste133" hidden="1">#REF!</definedName>
    <definedName name="XRefPaste133Row" hidden="1">#REF!</definedName>
    <definedName name="XRefPaste134" hidden="1">#REF!</definedName>
    <definedName name="XRefPaste134Row" hidden="1">[23]XREF!#REF!</definedName>
    <definedName name="XRefPaste135" hidden="1">#REF!</definedName>
    <definedName name="XRefPaste135Row" hidden="1">[23]XREF!#REF!</definedName>
    <definedName name="XRefPaste136" hidden="1">#REF!</definedName>
    <definedName name="XRefPaste136Row" hidden="1">[23]XREF!#REF!</definedName>
    <definedName name="XRefPaste137" hidden="1">#REF!</definedName>
    <definedName name="XRefPaste137Row" hidden="1">[23]XREF!#REF!</definedName>
    <definedName name="XRefPaste138" hidden="1">#REF!</definedName>
    <definedName name="XRefPaste138Row" hidden="1">[23]XREF!#REF!</definedName>
    <definedName name="XRefPaste139" hidden="1">#REF!</definedName>
    <definedName name="XRefPaste139Row" hidden="1">[23]XREF!#REF!</definedName>
    <definedName name="XRefPaste13Row" hidden="1">#REF!</definedName>
    <definedName name="XRefPaste14" hidden="1">'[27]Reclassificação do Crédito'!#REF!</definedName>
    <definedName name="XRefPaste140" hidden="1">#REF!</definedName>
    <definedName name="XRefPaste140Row" hidden="1">[23]XREF!#REF!</definedName>
    <definedName name="XRefPaste141" hidden="1">#REF!</definedName>
    <definedName name="XRefPaste141Row" hidden="1">[23]XREF!#REF!</definedName>
    <definedName name="XRefPaste142" hidden="1">#REF!</definedName>
    <definedName name="XRefPaste142Row" hidden="1">[23]XREF!#REF!</definedName>
    <definedName name="XRefPaste143" hidden="1">#REF!</definedName>
    <definedName name="XRefPaste143Row" hidden="1">[23]XREF!#REF!</definedName>
    <definedName name="XRefPaste144" hidden="1">#REF!</definedName>
    <definedName name="XRefPaste144Row" hidden="1">[23]XREF!#REF!</definedName>
    <definedName name="XRefPaste145" hidden="1">#REF!</definedName>
    <definedName name="XRefPaste145Row" hidden="1">[23]XREF!#REF!</definedName>
    <definedName name="XRefPaste146" hidden="1">#REF!</definedName>
    <definedName name="XRefPaste146Row" hidden="1">[23]XREF!#REF!</definedName>
    <definedName name="XRefPaste147" hidden="1">#REF!</definedName>
    <definedName name="XRefPaste147Row" hidden="1">[23]XREF!#REF!</definedName>
    <definedName name="XRefPaste148" hidden="1">#REF!</definedName>
    <definedName name="XRefPaste148Row" hidden="1">[23]XREF!#REF!</definedName>
    <definedName name="XRefPaste149" hidden="1">#REF!</definedName>
    <definedName name="XRefPaste149Row" hidden="1">[23]XREF!#REF!</definedName>
    <definedName name="XRefPaste14Row" hidden="1">[27]XREF!#REF!</definedName>
    <definedName name="XRefPaste15" hidden="1">'[37]Participacoes-31.10.03'!#REF!</definedName>
    <definedName name="XRefPaste150" hidden="1">#REF!</definedName>
    <definedName name="XRefPaste150Row" hidden="1">[23]XREF!#REF!</definedName>
    <definedName name="XRefPaste151" hidden="1">#REF!</definedName>
    <definedName name="XRefPaste151Row" hidden="1">[23]XREF!#REF!</definedName>
    <definedName name="XRefPaste152" hidden="1">#REF!</definedName>
    <definedName name="XRefPaste152Row" hidden="1">[23]XREF!#REF!</definedName>
    <definedName name="XRefPaste153" hidden="1">#REF!</definedName>
    <definedName name="XRefPaste153Row" hidden="1">#REF!</definedName>
    <definedName name="XRefPaste154" hidden="1">#REF!</definedName>
    <definedName name="XRefPaste154Row" hidden="1">[10]XREF!#REF!</definedName>
    <definedName name="XRefPaste155" hidden="1">#REF!</definedName>
    <definedName name="XRefPaste155Row" hidden="1">[23]XREF!#REF!</definedName>
    <definedName name="XRefPaste156" hidden="1">#REF!</definedName>
    <definedName name="XRefPaste156Row" hidden="1">[23]XREF!#REF!</definedName>
    <definedName name="XRefPaste157" hidden="1">#REF!</definedName>
    <definedName name="XRefPaste157Row" hidden="1">[23]XREF!#REF!</definedName>
    <definedName name="XRefPaste158" hidden="1">#REF!</definedName>
    <definedName name="XRefPaste158Row" hidden="1">[23]XREF!#REF!</definedName>
    <definedName name="XRefPaste159" hidden="1">#REF!</definedName>
    <definedName name="XRefPaste159Row" hidden="1">[10]XREF!#REF!</definedName>
    <definedName name="XRefPaste15Row" hidden="1">[27]XREF!#REF!</definedName>
    <definedName name="XRefPaste16" hidden="1">#REF!</definedName>
    <definedName name="XRefPaste160" hidden="1">#REF!</definedName>
    <definedName name="XRefPaste160Row" hidden="1">[10]XREF!#REF!</definedName>
    <definedName name="XRefPaste161" hidden="1">#REF!</definedName>
    <definedName name="XRefPaste161Row" hidden="1">[10]XREF!#REF!</definedName>
    <definedName name="XRefPaste162" hidden="1">#REF!</definedName>
    <definedName name="XRefPaste162Row" hidden="1">[10]XREF!#REF!</definedName>
    <definedName name="XRefPaste163" hidden="1">#REF!</definedName>
    <definedName name="XRefPaste163Row" hidden="1">[10]XREF!#REF!</definedName>
    <definedName name="XRefPaste164" hidden="1">#REF!</definedName>
    <definedName name="XRefPaste164Row" hidden="1">[10]XREF!#REF!</definedName>
    <definedName name="XRefPaste165" hidden="1">#REF!</definedName>
    <definedName name="XRefPaste165Row" hidden="1">[10]XREF!#REF!</definedName>
    <definedName name="XRefPaste166" hidden="1">#REF!</definedName>
    <definedName name="XRefPaste166Row" hidden="1">[10]XREF!#REF!</definedName>
    <definedName name="XRefPaste167" hidden="1">#REF!</definedName>
    <definedName name="XRefPaste167Row" hidden="1">[10]XREF!#REF!</definedName>
    <definedName name="XRefPaste168" hidden="1">#REF!</definedName>
    <definedName name="XRefPaste168Row" hidden="1">[10]XREF!#REF!</definedName>
    <definedName name="XRefPaste169" hidden="1">#REF!</definedName>
    <definedName name="XRefPaste169Row" hidden="1">[10]XREF!#REF!</definedName>
    <definedName name="XRefPaste16Row" hidden="1">#REF!</definedName>
    <definedName name="XRefPaste17" hidden="1">#REF!</definedName>
    <definedName name="XRefPaste170" hidden="1">#REF!</definedName>
    <definedName name="XRefPaste170Row" hidden="1">[10]XREF!#REF!</definedName>
    <definedName name="XRefPaste171" hidden="1">#REF!</definedName>
    <definedName name="XRefPaste171Row" hidden="1">[10]XREF!#REF!</definedName>
    <definedName name="XRefPaste172" hidden="1">#REF!</definedName>
    <definedName name="XRefPaste172Row" hidden="1">[10]XREF!#REF!</definedName>
    <definedName name="XRefPaste173" hidden="1">#REF!</definedName>
    <definedName name="XRefPaste173Row" hidden="1">[10]XREF!#REF!</definedName>
    <definedName name="XRefPaste174" hidden="1">#REF!</definedName>
    <definedName name="XRefPaste174Row" hidden="1">[10]XREF!#REF!</definedName>
    <definedName name="XRefPaste175" hidden="1">#REF!</definedName>
    <definedName name="XRefPaste175Row" hidden="1">[10]XREF!#REF!</definedName>
    <definedName name="XRefPaste176" hidden="1">#REF!</definedName>
    <definedName name="XRefPaste176Row" hidden="1">[10]XREF!#REF!</definedName>
    <definedName name="XRefPaste178" hidden="1">#REF!</definedName>
    <definedName name="XRefPaste178Row" hidden="1">[10]XREF!#REF!</definedName>
    <definedName name="XRefPaste179" hidden="1">#REF!</definedName>
    <definedName name="XRefPaste179Row" hidden="1">[10]XREF!#REF!</definedName>
    <definedName name="XRefPaste17Row" hidden="1">[37]XREF!#REF!</definedName>
    <definedName name="XRefPaste18" hidden="1">#REF!</definedName>
    <definedName name="XRefPaste180" hidden="1">#REF!</definedName>
    <definedName name="XRefPaste180Row" hidden="1">[10]XREF!#REF!</definedName>
    <definedName name="XRefPaste181" hidden="1">#REF!</definedName>
    <definedName name="XRefPaste181Row" hidden="1">[10]XREF!#REF!</definedName>
    <definedName name="XRefPaste182" hidden="1">#REF!</definedName>
    <definedName name="XRefPaste182Row" hidden="1">[10]XREF!#REF!</definedName>
    <definedName name="XRefPaste183" hidden="1">#REF!</definedName>
    <definedName name="XRefPaste183Row" hidden="1">[10]XREF!#REF!</definedName>
    <definedName name="XRefPaste184" hidden="1">#REF!</definedName>
    <definedName name="XRefPaste184Row" hidden="1">[10]XREF!#REF!</definedName>
    <definedName name="XRefPaste185" hidden="1">#REF!</definedName>
    <definedName name="XRefPaste185Row" hidden="1">[10]XREF!#REF!</definedName>
    <definedName name="XRefPaste186" hidden="1">#REF!</definedName>
    <definedName name="XRefPaste186Row" hidden="1">[10]XREF!#REF!</definedName>
    <definedName name="XRefPaste187" hidden="1">#REF!</definedName>
    <definedName name="XRefPaste187Row" hidden="1">[10]XREF!#REF!</definedName>
    <definedName name="XRefPaste188" hidden="1">#REF!</definedName>
    <definedName name="XRefPaste188Row" hidden="1">[10]XREF!#REF!</definedName>
    <definedName name="XRefPaste189" hidden="1">#REF!</definedName>
    <definedName name="XRefPaste189Row" hidden="1">[10]XREF!#REF!</definedName>
    <definedName name="XRefPaste18Row" hidden="1">[31]XREF!#REF!</definedName>
    <definedName name="XRefPaste19" hidden="1">#REF!</definedName>
    <definedName name="XRefPaste190" hidden="1">#REF!</definedName>
    <definedName name="XRefPaste190Row" hidden="1">[10]XREF!#REF!</definedName>
    <definedName name="XRefPaste191" hidden="1">#REF!</definedName>
    <definedName name="XRefPaste191Row" hidden="1">[10]XREF!#REF!</definedName>
    <definedName name="XRefPaste192" hidden="1">#REF!</definedName>
    <definedName name="XRefPaste192Row" hidden="1">[10]XREF!#REF!</definedName>
    <definedName name="XRefPaste193" hidden="1">#REF!</definedName>
    <definedName name="XRefPaste193Row" hidden="1">[10]XREF!#REF!</definedName>
    <definedName name="XRefPaste194" hidden="1">#REF!</definedName>
    <definedName name="XRefPaste194Row" hidden="1">[10]XREF!#REF!</definedName>
    <definedName name="XRefPaste195" hidden="1">#REF!</definedName>
    <definedName name="XRefPaste195Row" hidden="1">[10]XREF!#REF!</definedName>
    <definedName name="XRefPaste196" hidden="1">#REF!</definedName>
    <definedName name="XRefPaste196Row" hidden="1">[10]XREF!#REF!</definedName>
    <definedName name="XRefPaste197" hidden="1">#REF!</definedName>
    <definedName name="XRefPaste197Row" hidden="1">[10]XREF!#REF!</definedName>
    <definedName name="XRefPaste198" hidden="1">#REF!</definedName>
    <definedName name="XRefPaste198Row" hidden="1">[10]XREF!#REF!</definedName>
    <definedName name="XRefPaste199" hidden="1">#REF!</definedName>
    <definedName name="XRefPaste199Row" hidden="1">[10]XREF!#REF!</definedName>
    <definedName name="XRefPaste19Row" hidden="1">#REF!</definedName>
    <definedName name="XRefPaste1Row" hidden="1">[29]XREF!#REF!</definedName>
    <definedName name="XRefPaste2" hidden="1">'[17]Carteira 21'!#REF!</definedName>
    <definedName name="XRefPaste20" hidden="1">#REF!</definedName>
    <definedName name="XRefPaste200" hidden="1">#REF!</definedName>
    <definedName name="XRefPaste200Row" hidden="1">[10]XREF!#REF!</definedName>
    <definedName name="XRefPaste201" hidden="1">#REF!</definedName>
    <definedName name="XRefPaste201Row" hidden="1">[10]XREF!#REF!</definedName>
    <definedName name="XRefPaste202" hidden="1">#REF!</definedName>
    <definedName name="XRefPaste202Row" hidden="1">[10]XREF!#REF!</definedName>
    <definedName name="XRefPaste203" hidden="1">#REF!</definedName>
    <definedName name="XRefPaste203Row" hidden="1">[10]XREF!#REF!</definedName>
    <definedName name="XRefPaste204" hidden="1">#REF!</definedName>
    <definedName name="XRefPaste204Row" hidden="1">[10]XREF!#REF!</definedName>
    <definedName name="XRefPaste205" hidden="1">#REF!</definedName>
    <definedName name="XRefPaste205Row" hidden="1">[10]XREF!#REF!</definedName>
    <definedName name="XRefPaste206" hidden="1">#REF!</definedName>
    <definedName name="XRefPaste206Row" hidden="1">[10]XREF!#REF!</definedName>
    <definedName name="XRefPaste207" hidden="1">#REF!</definedName>
    <definedName name="XRefPaste207Row" hidden="1">[10]XREF!#REF!</definedName>
    <definedName name="XRefPaste208" hidden="1">#REF!</definedName>
    <definedName name="XRefPaste208Row" hidden="1">[10]XREF!#REF!</definedName>
    <definedName name="XRefPaste209" hidden="1">#REF!</definedName>
    <definedName name="XRefPaste209Row" hidden="1">[10]XREF!#REF!</definedName>
    <definedName name="XRefPaste20Row" hidden="1">[31]XREF!#REF!</definedName>
    <definedName name="XRefPaste21" hidden="1">#REF!</definedName>
    <definedName name="XRefPaste210" hidden="1">#REF!</definedName>
    <definedName name="XRefPaste210Row" hidden="1">[10]XREF!#REF!</definedName>
    <definedName name="XRefPaste211" hidden="1">#REF!</definedName>
    <definedName name="XRefPaste211Row" hidden="1">[10]XREF!#REF!</definedName>
    <definedName name="XRefPaste212" hidden="1">#REF!</definedName>
    <definedName name="XRefPaste212Row" hidden="1">[10]XREF!#REF!</definedName>
    <definedName name="XRefPaste218" hidden="1">#REF!</definedName>
    <definedName name="XRefPaste218Row" hidden="1">[10]XREF!#REF!</definedName>
    <definedName name="XRefPaste219" hidden="1">#REF!</definedName>
    <definedName name="XRefPaste219Row" hidden="1">[10]XREF!#REF!</definedName>
    <definedName name="XRefPaste21Row" hidden="1">#REF!</definedName>
    <definedName name="XRefPaste22" hidden="1">[30]Notas!#REF!</definedName>
    <definedName name="XRefPaste220" hidden="1">#REF!</definedName>
    <definedName name="XRefPaste220Row" hidden="1">[10]XREF!#REF!</definedName>
    <definedName name="XRefPaste221" hidden="1">#REF!</definedName>
    <definedName name="XRefPaste221Row" hidden="1">[10]XREF!#REF!</definedName>
    <definedName name="XRefPaste222" hidden="1">#REF!</definedName>
    <definedName name="XRefPaste222Row" hidden="1">[10]XREF!#REF!</definedName>
    <definedName name="XRefPaste223" hidden="1">#REF!</definedName>
    <definedName name="XRefPaste223Row" hidden="1">[10]XREF!#REF!</definedName>
    <definedName name="XRefPaste224" hidden="1">#REF!</definedName>
    <definedName name="XRefPaste224Row" hidden="1">[10]XREF!#REF!</definedName>
    <definedName name="XRefPaste225" hidden="1">#REF!</definedName>
    <definedName name="XRefPaste225Row" hidden="1">[10]XREF!#REF!</definedName>
    <definedName name="XRefPaste226" hidden="1">#REF!</definedName>
    <definedName name="XRefPaste226Row" hidden="1">[10]XREF!#REF!</definedName>
    <definedName name="XRefPaste227" hidden="1">#REF!</definedName>
    <definedName name="XRefPaste227Row" hidden="1">[10]XREF!#REF!</definedName>
    <definedName name="XRefPaste228" hidden="1">#REF!</definedName>
    <definedName name="XRefPaste228Row" hidden="1">[10]XREF!#REF!</definedName>
    <definedName name="XRefPaste229" hidden="1">#REF!</definedName>
    <definedName name="XRefPaste229Row" hidden="1">[10]XREF!#REF!</definedName>
    <definedName name="XRefPaste22Row" hidden="1">#REF!</definedName>
    <definedName name="XRefPaste23" hidden="1">#REF!</definedName>
    <definedName name="XRefPaste230" hidden="1">#REF!</definedName>
    <definedName name="XRefPaste230Row" hidden="1">[10]XREF!#REF!</definedName>
    <definedName name="XRefPaste231" hidden="1">#REF!</definedName>
    <definedName name="XRefPaste231Row" hidden="1">[10]XREF!#REF!</definedName>
    <definedName name="XRefPaste232" hidden="1">#REF!</definedName>
    <definedName name="XRefPaste232Row" hidden="1">[10]XREF!#REF!</definedName>
    <definedName name="XRefPaste233" hidden="1">#REF!</definedName>
    <definedName name="XRefPaste233Row" hidden="1">[10]XREF!#REF!</definedName>
    <definedName name="XRefPaste234" hidden="1">#REF!</definedName>
    <definedName name="XRefPaste234Row" hidden="1">[10]XREF!#REF!</definedName>
    <definedName name="XRefPaste235" hidden="1">#REF!</definedName>
    <definedName name="XRefPaste235Row" hidden="1">[10]XREF!#REF!</definedName>
    <definedName name="XRefPaste236" hidden="1">#REF!</definedName>
    <definedName name="XRefPaste236Row" hidden="1">[10]XREF!#REF!</definedName>
    <definedName name="XRefPaste237" hidden="1">#REF!</definedName>
    <definedName name="XRefPaste237Row" hidden="1">[10]XREF!#REF!</definedName>
    <definedName name="XRefPaste238" hidden="1">#REF!</definedName>
    <definedName name="XRefPaste238Row" hidden="1">[10]XREF!#REF!</definedName>
    <definedName name="XRefPaste239" hidden="1">#REF!</definedName>
    <definedName name="XRefPaste239Row" hidden="1">[10]XREF!#REF!</definedName>
    <definedName name="XRefPaste23Row" hidden="1">#REF!</definedName>
    <definedName name="XRefPaste24" hidden="1">#REF!</definedName>
    <definedName name="XRefPaste240" hidden="1">#REF!</definedName>
    <definedName name="XRefPaste240Row" hidden="1">[10]XREF!#REF!</definedName>
    <definedName name="XRefPaste241" hidden="1">#REF!</definedName>
    <definedName name="XRefPaste241Row" hidden="1">[10]XREF!#REF!</definedName>
    <definedName name="XRefPaste243" hidden="1">#REF!</definedName>
    <definedName name="XRefPaste243Row" hidden="1">[10]XREF!#REF!</definedName>
    <definedName name="XRefPaste244" hidden="1">#REF!</definedName>
    <definedName name="XRefPaste244Row" hidden="1">[10]XREF!#REF!</definedName>
    <definedName name="XRefPaste245" hidden="1">#REF!</definedName>
    <definedName name="XRefPaste245Row" hidden="1">[10]XREF!#REF!</definedName>
    <definedName name="XRefPaste246" hidden="1">#REF!</definedName>
    <definedName name="XRefPaste246Row" hidden="1">[10]XREF!#REF!</definedName>
    <definedName name="XRefPaste247" hidden="1">#REF!</definedName>
    <definedName name="XRefPaste247Row" hidden="1">[10]XREF!#REF!</definedName>
    <definedName name="XRefPaste248" hidden="1">#REF!</definedName>
    <definedName name="XRefPaste248Row" hidden="1">[10]XREF!#REF!</definedName>
    <definedName name="XRefPaste249" hidden="1">#REF!</definedName>
    <definedName name="XRefPaste249Row" hidden="1">[10]XREF!#REF!</definedName>
    <definedName name="XRefPaste24Row" hidden="1">#REF!</definedName>
    <definedName name="XRefPaste25" hidden="1">#REF!</definedName>
    <definedName name="XRefPaste250" hidden="1">#REF!</definedName>
    <definedName name="XRefPaste250Row" hidden="1">[10]XREF!#REF!</definedName>
    <definedName name="XRefPaste251" hidden="1">#REF!</definedName>
    <definedName name="XRefPaste251Row" hidden="1">[10]XREF!#REF!</definedName>
    <definedName name="XRefPaste252" hidden="1">#REF!</definedName>
    <definedName name="XRefPaste253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7Row" hidden="1">[10]XREF!#REF!</definedName>
    <definedName name="XRefPaste258" hidden="1">#REF!</definedName>
    <definedName name="XRefPaste259" hidden="1">#REF!</definedName>
    <definedName name="XRefPaste259Row" hidden="1">[10]XREF!#REF!</definedName>
    <definedName name="XRefPaste25Row" hidden="1">#REF!</definedName>
    <definedName name="XRefPaste26" hidden="1">#REF!</definedName>
    <definedName name="XRefPaste260" hidden="1">#REF!</definedName>
    <definedName name="XRefPaste260Row" hidden="1">[10]XREF!#REF!</definedName>
    <definedName name="XRefPaste261" hidden="1">#REF!</definedName>
    <definedName name="XRefPaste261Row" hidden="1">[10]XREF!#REF!</definedName>
    <definedName name="XRefPaste262" hidden="1">#REF!</definedName>
    <definedName name="XRefPaste262Row" hidden="1">[10]XREF!#REF!</definedName>
    <definedName name="XRefPaste263" hidden="1">#REF!</definedName>
    <definedName name="XRefPaste263Row" hidden="1">[10]XREF!#REF!</definedName>
    <definedName name="XRefPaste264" hidden="1">#REF!</definedName>
    <definedName name="XRefPaste264Row" hidden="1">[10]XREF!#REF!</definedName>
    <definedName name="XRefPaste265" hidden="1">#REF!</definedName>
    <definedName name="XRefPaste265_ASL" hidden="1">#REF!</definedName>
    <definedName name="XRefPaste266" hidden="1">#REF!</definedName>
    <definedName name="XRefPaste266Row" hidden="1">[10]XREF!#REF!</definedName>
    <definedName name="XRefPaste267" hidden="1">#REF!</definedName>
    <definedName name="XRefPaste268" hidden="1">#REF!</definedName>
    <definedName name="XRefPaste268Row" hidden="1">[10]XREF!#REF!</definedName>
    <definedName name="XRefPaste269" hidden="1">#REF!</definedName>
    <definedName name="XRefPaste269Row" hidden="1">[10]XREF!#REF!</definedName>
    <definedName name="XRefPaste26Row" hidden="1">#REF!</definedName>
    <definedName name="XRefPaste27" hidden="1">#REF!</definedName>
    <definedName name="XRefPaste270" hidden="1">#REF!</definedName>
    <definedName name="XRefPaste270Row" hidden="1">[10]XREF!#REF!</definedName>
    <definedName name="XRefPaste271" hidden="1">#REF!</definedName>
    <definedName name="XRefPaste271Row" hidden="1">[10]XREF!#REF!</definedName>
    <definedName name="XRefPaste272" hidden="1">#REF!</definedName>
    <definedName name="XRefPaste272Row" hidden="1">[10]XREF!#REF!</definedName>
    <definedName name="XRefPaste273" hidden="1">#REF!</definedName>
    <definedName name="XRefPaste274" hidden="1">#REF!</definedName>
    <definedName name="XRefPaste274Row" hidden="1">[10]XREF!#REF!</definedName>
    <definedName name="XRefPaste275" hidden="1">#REF!</definedName>
    <definedName name="XRefPaste275Row" hidden="1">[10]XREF!#REF!</definedName>
    <definedName name="XRefPaste276" hidden="1">#REF!</definedName>
    <definedName name="XRefPaste276Row" hidden="1">[10]XREF!#REF!</definedName>
    <definedName name="XRefPaste277" hidden="1">#REF!</definedName>
    <definedName name="XRefPaste277Row" hidden="1">[10]XREF!#REF!</definedName>
    <definedName name="XRefPaste278" hidden="1">#REF!</definedName>
    <definedName name="XRefPaste278Row" hidden="1">[10]XREF!#REF!</definedName>
    <definedName name="XRefPaste279" hidden="1">#REF!</definedName>
    <definedName name="XRefPaste279Row" hidden="1">[10]XREF!#REF!</definedName>
    <definedName name="XRefPaste27Row" hidden="1">#REF!</definedName>
    <definedName name="XRefPaste28" hidden="1">#REF!</definedName>
    <definedName name="XRefPaste280" hidden="1">#REF!</definedName>
    <definedName name="XRefPaste281" hidden="1">#REF!</definedName>
    <definedName name="XRefPaste282" hidden="1">#REF!</definedName>
    <definedName name="XRefPaste282Row" hidden="1">[10]XREF!#REF!</definedName>
    <definedName name="XRefPaste283" hidden="1">#REF!</definedName>
    <definedName name="XRefPaste284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'[17]Carteira 21'!#REF!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[32]XREF!#REF!</definedName>
    <definedName name="XRefPaste34" hidden="1">[32]Resumo!#REF!</definedName>
    <definedName name="XRefPaste34Row" hidden="1">[32]XREF!#REF!</definedName>
    <definedName name="XRefPaste35" hidden="1">[32]Resumo!#REF!</definedName>
    <definedName name="XRefPaste35Row" hidden="1">[32]XREF!#REF!</definedName>
    <definedName name="XRefPaste36" hidden="1">#REF!</definedName>
    <definedName name="XRefPaste36Row" hidden="1">[32]XREF!#REF!</definedName>
    <definedName name="XRefPaste37" hidden="1">[32]Resumo!#REF!</definedName>
    <definedName name="XRefPaste37Row" hidden="1">[32]XREF!#REF!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'[26]Carteira 20'!#REF!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[38]Notas!#REF!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'[18]Mapa Aging JUN 2006'!#REF!</definedName>
    <definedName name="XRefPaste47Row" hidden="1">[18]XREF!#REF!</definedName>
    <definedName name="XRefPaste48" hidden="1">'[18]Mapa Aging JUN 2006'!#REF!</definedName>
    <definedName name="XRefPaste48Row" hidden="1">[18]XREF!#REF!</definedName>
    <definedName name="XRefPaste49" hidden="1">'[18]Mapa Aging JUN 2006'!#REF!</definedName>
    <definedName name="XRefPaste49Row" hidden="1">[18]XREF!#REF!</definedName>
    <definedName name="XRefPaste4Row" hidden="1">[33]XREF!$3:$3</definedName>
    <definedName name="XRefPaste5" hidden="1">'[26]Carteira 20'!#REF!</definedName>
    <definedName name="XRefPaste50" hidden="1">'[18]Mapa Aging JUN 2006'!#REF!</definedName>
    <definedName name="XRefPaste50Row" hidden="1">[18]XREF!#REF!</definedName>
    <definedName name="XRefPaste51" hidden="1">'[18]Mapa Aging JUN 2006'!#REF!</definedName>
    <definedName name="XRefPaste51Row" hidden="1">[18]XREF!#REF!</definedName>
    <definedName name="XRefPaste52" hidden="1">'[18]Mapa Aging JUN 2006'!#REF!</definedName>
    <definedName name="XRefPaste52Row" hidden="1">[18]XREF!#REF!</definedName>
    <definedName name="XRefPaste53" hidden="1">'[18]Mapa Aging JUN 2006'!#REF!</definedName>
    <definedName name="XRefPaste53Row" hidden="1">[18]XREF!#REF!</definedName>
    <definedName name="XRefPaste54" hidden="1">'[18]Mapa Aging JUN 2006'!#REF!</definedName>
    <definedName name="XRefPaste54Row" hidden="1">[18]XREF!#REF!</definedName>
    <definedName name="XRefPaste55" hidden="1">'[18]Mapa Aging JUN 2006'!#REF!</definedName>
    <definedName name="XRefPaste55Row" hidden="1">[18]XREF!#REF!</definedName>
    <definedName name="XRefPaste56" hidden="1">'[18]Mapa Aging JUN 2006'!#REF!</definedName>
    <definedName name="XRefPaste56Row" hidden="1">[18]XREF!#REF!</definedName>
    <definedName name="XRefPaste57" hidden="1">'[18]Mapa Aging JUN 2006'!#REF!</definedName>
    <definedName name="XRefPaste57Row" hidden="1">[18]XREF!#REF!</definedName>
    <definedName name="XRefPaste58" hidden="1">'[18]Mapa Aging JUN 2006'!#REF!</definedName>
    <definedName name="XRefPaste58Row" hidden="1">[18]XREF!#REF!</definedName>
    <definedName name="XRefPaste59" hidden="1">'[18]Mapa Aging JUN 2006'!#REF!</definedName>
    <definedName name="XRefPaste59Row" hidden="1">[18]XREF!#REF!</definedName>
    <definedName name="XRefPaste5Row" hidden="1">#REF!</definedName>
    <definedName name="XRefPaste6" hidden="1">[34]Eurodep_20!$W$18</definedName>
    <definedName name="XRefPaste60" hidden="1">'[18]Mapa Aging JUN 2006'!#REF!</definedName>
    <definedName name="XRefPaste60Row" hidden="1">[18]XREF!#REF!</definedName>
    <definedName name="XRefPaste61" hidden="1">'[18]Mapa Aging JUN 2006'!#REF!</definedName>
    <definedName name="XRefPaste61Row" hidden="1">[18]XREF!#REF!</definedName>
    <definedName name="XRefPaste62" hidden="1">'[18]Mapa Aging JUN 2006'!#REF!</definedName>
    <definedName name="XRefPaste62Row" hidden="1">[18]XREF!#REF!</definedName>
    <definedName name="XRefPaste63" hidden="1">'[18]Mapa Aging JUN 2006'!#REF!</definedName>
    <definedName name="XRefPaste63Row" hidden="1">[18]XREF!#REF!</definedName>
    <definedName name="XRefPaste64" hidden="1">'[18]Mapa Aging JUN 2006'!#REF!</definedName>
    <definedName name="XRefPaste64Row" hidden="1">[18]XREF!#REF!</definedName>
    <definedName name="XRefPaste65" hidden="1">'[18]Mapa Aging JUN 2006'!#REF!</definedName>
    <definedName name="XRefPaste65Row" hidden="1">[18]XREF!#REF!</definedName>
    <definedName name="XRefPaste66" hidden="1">'[18]Mapa Aging JUN 2006'!#REF!</definedName>
    <definedName name="XRefPaste66Row" hidden="1">[18]XREF!#REF!</definedName>
    <definedName name="XRefPaste67" hidden="1">'[18]Mapa Montantes JUN 2006'!#REF!</definedName>
    <definedName name="XRefPaste67Row" hidden="1">[18]XREF!#REF!</definedName>
    <definedName name="XRefPaste68" hidden="1">[22]Movimento!$BB$328</definedName>
    <definedName name="XRefPaste68Row" hidden="1">[18]XREF!#REF!</definedName>
    <definedName name="XRefPaste69" hidden="1">#REF!</definedName>
    <definedName name="XRefPaste69Row" hidden="1">[18]XREF!#REF!</definedName>
    <definedName name="XRefPaste6Row" hidden="1">[33]XREF!$6:$6</definedName>
    <definedName name="XRefPaste7" hidden="1">'[26]Carteira 20'!#REF!</definedName>
    <definedName name="XRefPaste70" hidden="1">[22]Movimento!$AT$328</definedName>
    <definedName name="XRefPaste70Row" hidden="1">[18]XREF!#REF!</definedName>
    <definedName name="XRefPaste71" hidden="1">#REF!</definedName>
    <definedName name="XRefPaste71Row" hidden="1">[18]XREF!#REF!</definedName>
    <definedName name="XRefPaste72" hidden="1">#REF!</definedName>
    <definedName name="XRefPaste72Row" hidden="1">[18]XREF!#REF!</definedName>
    <definedName name="XRefPaste73" hidden="1">[22]Movimento!$BB$334</definedName>
    <definedName name="XRefPaste73Row" hidden="1">[18]XREF!#REF!</definedName>
    <definedName name="XRefPaste74" hidden="1">#REF!</definedName>
    <definedName name="XRefPaste74Row" hidden="1">[18]XREF!#REF!</definedName>
    <definedName name="XRefPaste75" hidden="1">[22]Movimento!$AP$334</definedName>
    <definedName name="XRefPaste75Row" hidden="1">[23]XREF!#REF!</definedName>
    <definedName name="XRefPaste76" hidden="1">#REF!</definedName>
    <definedName name="XRefPaste76Row" hidden="1">[18]XREF!#REF!</definedName>
    <definedName name="XRefPaste77" hidden="1">[22]Movimento!$AP$354</definedName>
    <definedName name="XRefPaste77Row" hidden="1">[23]XREF!#REF!</definedName>
    <definedName name="XRefPaste78" hidden="1">#REF!</definedName>
    <definedName name="XRefPaste78Row" hidden="1">[23]XREF!#REF!</definedName>
    <definedName name="XRefPaste79" hidden="1">[22]Movimento!$AX$354</definedName>
    <definedName name="XRefPaste79Row" hidden="1">[18]XREF!#REF!</definedName>
    <definedName name="XRefPaste7Row" hidden="1">[33]XREF!$11:$11</definedName>
    <definedName name="XRefPaste8" hidden="1">'[26]Carteira 20'!#REF!</definedName>
    <definedName name="XRefPaste80" hidden="1">#REF!</definedName>
    <definedName name="XRefPaste80Row" hidden="1">[18]XREF!#REF!</definedName>
    <definedName name="XRefPaste81" hidden="1">[22]Movimento!$BE$354</definedName>
    <definedName name="XRefPaste81Row" hidden="1">[18]XREF!#REF!</definedName>
    <definedName name="XRefPaste82" hidden="1">#REF!</definedName>
    <definedName name="XRefPaste82Row" hidden="1">[23]XREF!#REF!</definedName>
    <definedName name="XRefPaste83" hidden="1">[22]Movimento!$BB$369</definedName>
    <definedName name="XRefPaste83Row" hidden="1">[18]XREF!#REF!</definedName>
    <definedName name="XRefPaste84" hidden="1">#REF!</definedName>
    <definedName name="XRefPaste84Row" hidden="1">[18]XREF!#REF!</definedName>
    <definedName name="XRefPaste85" hidden="1">[22]Movimento!$AT$369</definedName>
    <definedName name="XRefPaste85Row" hidden="1">[18]XREF!#REF!</definedName>
    <definedName name="XRefPaste86" hidden="1">#REF!</definedName>
    <definedName name="XRefPaste86Row" hidden="1">[18]XREF!#REF!</definedName>
    <definedName name="XRefPaste87" hidden="1">#REF!</definedName>
    <definedName name="XRefPaste87Row" hidden="1">[18]XREF!#REF!</definedName>
    <definedName name="XRefPaste88" hidden="1">#REF!</definedName>
    <definedName name="XRefPaste88Row" hidden="1">[23]XREF!#REF!</definedName>
    <definedName name="XRefPaste89" hidden="1">#REF!</definedName>
    <definedName name="XRefPaste89Row" hidden="1">[23]XREF!#REF!</definedName>
    <definedName name="XRefPaste8Row" hidden="1">#REF!</definedName>
    <definedName name="XRefPaste9" hidden="1">'[26]Carteira 20'!#REF!</definedName>
    <definedName name="XRefPaste90" hidden="1">#REF!</definedName>
    <definedName name="XRefPaste90Row" hidden="1">[23]XREF!#REF!</definedName>
    <definedName name="XRefPaste91" hidden="1">#REF!</definedName>
    <definedName name="XRefPaste91Row" hidden="1">[23]XREF!#REF!</definedName>
    <definedName name="XRefPaste92" hidden="1">#REF!</definedName>
    <definedName name="XRefPaste92Row" hidden="1">[23]XREF!#REF!</definedName>
    <definedName name="XRefPaste93" hidden="1">#REF!</definedName>
    <definedName name="XRefPaste93Row" hidden="1">[23]XREF!#REF!</definedName>
    <definedName name="XRefPaste94" hidden="1">#REF!</definedName>
    <definedName name="XRefPaste94Row" hidden="1">[23]XREF!#REF!</definedName>
    <definedName name="XRefPaste95" hidden="1">#REF!</definedName>
    <definedName name="XRefPaste95Row" hidden="1">[23]XREF!#REF!</definedName>
    <definedName name="XRefPaste96" hidden="1">#REF!</definedName>
    <definedName name="XRefPaste96Row" hidden="1">[23]XREF!#REF!</definedName>
    <definedName name="XRefPaste97" hidden="1">#REF!</definedName>
    <definedName name="XRefPaste97Row" hidden="1">[23]XREF!#REF!</definedName>
    <definedName name="XRefPaste98" hidden="1">#REF!</definedName>
    <definedName name="XRefPaste98Row" hidden="1">[23]XREF!#REF!</definedName>
    <definedName name="XRefPaste99" hidden="1">#REF!</definedName>
    <definedName name="XRefPaste99Row" hidden="1">[23]XREF!#REF!</definedName>
    <definedName name="XRefPaste9Row" hidden="1">#REF!</definedName>
    <definedName name="XRefPasteRangeCount" hidden="1">13</definedName>
    <definedName name="xx" hidden="1">'[39]# 274095'!$G:$G</definedName>
    <definedName name="xxx" hidden="1">#REF!</definedName>
    <definedName name="xyx" hidden="1">'[39]# 274095'!$I:$I</definedName>
    <definedName name="ygf" hidden="1">#REF!</definedName>
    <definedName name="ytrew" hidden="1">#REF!</definedName>
    <definedName name="yui" hidden="1">#REF!</definedName>
    <definedName name="yyy" hidden="1">#REF!</definedName>
    <definedName name="yyyyyyyyyy666666666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13" l="1"/>
  <c r="N35" i="13"/>
  <c r="N34" i="13"/>
  <c r="N33" i="13"/>
  <c r="L36" i="13"/>
  <c r="J36" i="13"/>
  <c r="I36" i="13"/>
  <c r="H36" i="13"/>
  <c r="G36" i="13"/>
  <c r="F36" i="13"/>
  <c r="E36" i="13"/>
  <c r="D36" i="13"/>
  <c r="L35" i="13"/>
  <c r="J35" i="13"/>
  <c r="I35" i="13"/>
  <c r="H35" i="13"/>
  <c r="G35" i="13"/>
  <c r="F35" i="13"/>
  <c r="E35" i="13"/>
  <c r="D35" i="13"/>
  <c r="M35" i="13" s="1"/>
  <c r="L34" i="13"/>
  <c r="J34" i="13"/>
  <c r="I34" i="13"/>
  <c r="G34" i="13"/>
  <c r="F34" i="13"/>
  <c r="E34" i="13"/>
  <c r="D34" i="13"/>
  <c r="L33" i="13"/>
  <c r="J33" i="13"/>
  <c r="I33" i="13"/>
  <c r="H33" i="13"/>
  <c r="G33" i="13"/>
  <c r="F33" i="13"/>
  <c r="E33" i="13"/>
  <c r="D33" i="13"/>
  <c r="M33" i="13" s="1"/>
  <c r="M37" i="13"/>
  <c r="N43" i="14"/>
  <c r="N20" i="13"/>
  <c r="I20" i="13"/>
  <c r="H20" i="13" s="1"/>
  <c r="G20" i="13"/>
  <c r="N20" i="14"/>
  <c r="I20" i="14"/>
  <c r="H20" i="14" s="1"/>
  <c r="G20" i="14"/>
  <c r="AC1756" i="2"/>
  <c r="AC1757" i="2"/>
  <c r="AC1758" i="2"/>
  <c r="AC1759" i="2"/>
  <c r="AC1760" i="2"/>
  <c r="AC1761" i="2"/>
  <c r="AC1762" i="2"/>
  <c r="AC1763" i="2"/>
  <c r="AC1764" i="2"/>
  <c r="AC1765" i="2"/>
  <c r="AC1766" i="2"/>
  <c r="M36" i="13" l="1"/>
  <c r="H34" i="13"/>
  <c r="M34" i="13" s="1"/>
  <c r="M20" i="13"/>
  <c r="M20" i="14"/>
  <c r="K9" i="13"/>
  <c r="K9" i="14"/>
  <c r="N15" i="13" l="1"/>
  <c r="L15" i="13"/>
  <c r="J15" i="13"/>
  <c r="I15" i="13"/>
  <c r="H15" i="13" s="1"/>
  <c r="G15" i="13"/>
  <c r="F15" i="13"/>
  <c r="E15" i="13"/>
  <c r="D15" i="13"/>
  <c r="N15" i="14"/>
  <c r="J15" i="14"/>
  <c r="E15" i="14"/>
  <c r="F15" i="14" l="1"/>
  <c r="G15" i="14"/>
  <c r="L15" i="14"/>
  <c r="D15" i="14"/>
  <c r="I15" i="14"/>
  <c r="H15" i="14" s="1"/>
  <c r="K22" i="13" l="1"/>
  <c r="D10" i="13"/>
  <c r="L70" i="14" l="1"/>
  <c r="J70" i="14"/>
  <c r="I70" i="14"/>
  <c r="H70" i="14" s="1"/>
  <c r="G70" i="14"/>
  <c r="F70" i="14"/>
  <c r="E70" i="14"/>
  <c r="D70" i="14"/>
  <c r="N70" i="14"/>
  <c r="L11" i="13"/>
  <c r="G11" i="13"/>
  <c r="F11" i="13"/>
  <c r="E11" i="13"/>
  <c r="D11" i="13"/>
  <c r="J11" i="13"/>
  <c r="I11" i="13"/>
  <c r="H11" i="13" s="1"/>
  <c r="J11" i="14"/>
  <c r="I11" i="14"/>
  <c r="H11" i="14" s="1"/>
  <c r="L74" i="13"/>
  <c r="J74" i="13"/>
  <c r="I74" i="13"/>
  <c r="H74" i="13" s="1"/>
  <c r="G74" i="13"/>
  <c r="F74" i="13"/>
  <c r="E74" i="13"/>
  <c r="D74" i="13"/>
  <c r="N74" i="13"/>
  <c r="M74" i="13" l="1"/>
  <c r="M70" i="14" l="1"/>
  <c r="AL9" i="5" l="1"/>
  <c r="AL10" i="5"/>
  <c r="AL11" i="5"/>
  <c r="AL12" i="5"/>
  <c r="AL8" i="5"/>
  <c r="N32" i="14"/>
  <c r="AC9" i="2" l="1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8" i="2"/>
  <c r="J71" i="14" l="1"/>
  <c r="H71" i="14"/>
  <c r="N71" i="14"/>
  <c r="I71" i="14"/>
  <c r="G71" i="14"/>
  <c r="F71" i="14"/>
  <c r="E71" i="14"/>
  <c r="D71" i="14"/>
  <c r="H72" i="14"/>
  <c r="F72" i="14"/>
  <c r="M71" i="14" l="1"/>
  <c r="D75" i="14" l="1"/>
  <c r="N75" i="14"/>
  <c r="I75" i="14"/>
  <c r="H75" i="14"/>
  <c r="G75" i="14"/>
  <c r="F75" i="14"/>
  <c r="E75" i="14"/>
  <c r="J72" i="14" l="1"/>
  <c r="N61" i="13" l="1"/>
  <c r="L61" i="13"/>
  <c r="J61" i="13"/>
  <c r="I61" i="13"/>
  <c r="H61" i="13"/>
  <c r="G61" i="13"/>
  <c r="F61" i="13"/>
  <c r="E61" i="13"/>
  <c r="D61" i="13"/>
  <c r="N60" i="13"/>
  <c r="L60" i="13"/>
  <c r="J60" i="13"/>
  <c r="I60" i="13"/>
  <c r="H60" i="13"/>
  <c r="G60" i="13"/>
  <c r="F60" i="13"/>
  <c r="E60" i="13"/>
  <c r="D60" i="13"/>
  <c r="N59" i="13"/>
  <c r="L59" i="13"/>
  <c r="J59" i="13"/>
  <c r="I59" i="13"/>
  <c r="H59" i="13"/>
  <c r="G59" i="13"/>
  <c r="F59" i="13"/>
  <c r="E59" i="13"/>
  <c r="D59" i="13"/>
  <c r="N58" i="13"/>
  <c r="L58" i="13"/>
  <c r="J58" i="13"/>
  <c r="I58" i="13"/>
  <c r="H58" i="13"/>
  <c r="G58" i="13"/>
  <c r="F58" i="13"/>
  <c r="E58" i="13"/>
  <c r="D58" i="13"/>
  <c r="N46" i="13"/>
  <c r="N45" i="13"/>
  <c r="N44" i="13"/>
  <c r="N43" i="13"/>
  <c r="L32" i="13"/>
  <c r="J32" i="13"/>
  <c r="I32" i="13"/>
  <c r="H32" i="13" s="1"/>
  <c r="G32" i="13"/>
  <c r="F32" i="13"/>
  <c r="E32" i="13"/>
  <c r="D32" i="13"/>
  <c r="N57" i="14"/>
  <c r="L57" i="14"/>
  <c r="J57" i="14"/>
  <c r="I57" i="14"/>
  <c r="H57" i="14"/>
  <c r="G57" i="14"/>
  <c r="F57" i="14"/>
  <c r="E57" i="14"/>
  <c r="D57" i="14"/>
  <c r="N56" i="14"/>
  <c r="L56" i="14"/>
  <c r="J56" i="14"/>
  <c r="I56" i="14"/>
  <c r="H56" i="14"/>
  <c r="G56" i="14"/>
  <c r="F56" i="14"/>
  <c r="E56" i="14"/>
  <c r="D56" i="14"/>
  <c r="N55" i="14"/>
  <c r="L55" i="14"/>
  <c r="J55" i="14"/>
  <c r="I55" i="14"/>
  <c r="H55" i="14"/>
  <c r="G55" i="14"/>
  <c r="F55" i="14"/>
  <c r="E55" i="14"/>
  <c r="D55" i="14"/>
  <c r="N54" i="14"/>
  <c r="L54" i="14"/>
  <c r="J54" i="14"/>
  <c r="I54" i="14"/>
  <c r="H54" i="14"/>
  <c r="G54" i="14"/>
  <c r="F54" i="14"/>
  <c r="E54" i="14"/>
  <c r="D54" i="14"/>
  <c r="N42" i="14"/>
  <c r="N41" i="14"/>
  <c r="N40" i="14"/>
  <c r="N39" i="14"/>
  <c r="L32" i="14"/>
  <c r="J32" i="14"/>
  <c r="I32" i="14"/>
  <c r="H32" i="14" s="1"/>
  <c r="G32" i="14"/>
  <c r="F32" i="14"/>
  <c r="E32" i="14"/>
  <c r="D32" i="14"/>
  <c r="M72" i="14"/>
  <c r="M62" i="14"/>
  <c r="M60" i="14"/>
  <c r="M59" i="14"/>
  <c r="M58" i="14"/>
  <c r="K53" i="14"/>
  <c r="M52" i="14"/>
  <c r="M51" i="14"/>
  <c r="M50" i="14"/>
  <c r="M49" i="14"/>
  <c r="D48" i="14"/>
  <c r="M48" i="14" s="1"/>
  <c r="M47" i="14"/>
  <c r="M46" i="14"/>
  <c r="M45" i="14"/>
  <c r="M44" i="14"/>
  <c r="D43" i="14"/>
  <c r="M43" i="14" s="1"/>
  <c r="O38" i="14"/>
  <c r="K38" i="14"/>
  <c r="M37" i="14"/>
  <c r="M36" i="14"/>
  <c r="M35" i="14"/>
  <c r="M34" i="14"/>
  <c r="M33" i="14"/>
  <c r="M31" i="14"/>
  <c r="M30" i="14"/>
  <c r="M29" i="14"/>
  <c r="K27" i="14"/>
  <c r="M26" i="14"/>
  <c r="M25" i="14"/>
  <c r="M24" i="14"/>
  <c r="K22" i="14"/>
  <c r="M19" i="14"/>
  <c r="M13" i="14"/>
  <c r="M12" i="14"/>
  <c r="M66" i="13"/>
  <c r="M64" i="13"/>
  <c r="M63" i="13"/>
  <c r="M62" i="13"/>
  <c r="K57" i="13"/>
  <c r="M56" i="13"/>
  <c r="M55" i="13"/>
  <c r="M54" i="13"/>
  <c r="M53" i="13"/>
  <c r="D52" i="13"/>
  <c r="M52" i="13" s="1"/>
  <c r="M51" i="13"/>
  <c r="M50" i="13"/>
  <c r="M49" i="13"/>
  <c r="M48" i="13"/>
  <c r="N47" i="13"/>
  <c r="D47" i="13"/>
  <c r="M47" i="13" s="1"/>
  <c r="O42" i="13"/>
  <c r="K42" i="13"/>
  <c r="M41" i="13"/>
  <c r="M40" i="13"/>
  <c r="M39" i="13"/>
  <c r="M38" i="13"/>
  <c r="M31" i="13"/>
  <c r="M30" i="13"/>
  <c r="M29" i="13"/>
  <c r="K27" i="13"/>
  <c r="M26" i="13"/>
  <c r="M25" i="13"/>
  <c r="M24" i="13"/>
  <c r="M19" i="13"/>
  <c r="M13" i="13"/>
  <c r="M12" i="13"/>
  <c r="K21" i="13" l="1"/>
  <c r="K21" i="14"/>
  <c r="L53" i="14"/>
  <c r="F57" i="13"/>
  <c r="M60" i="13"/>
  <c r="N38" i="14"/>
  <c r="H53" i="14"/>
  <c r="N42" i="13"/>
  <c r="E57" i="13"/>
  <c r="I57" i="13"/>
  <c r="M59" i="13"/>
  <c r="H57" i="13"/>
  <c r="N57" i="13"/>
  <c r="G57" i="13"/>
  <c r="L57" i="13"/>
  <c r="M61" i="13"/>
  <c r="J57" i="13"/>
  <c r="D57" i="13"/>
  <c r="F53" i="14"/>
  <c r="J53" i="14"/>
  <c r="E53" i="14"/>
  <c r="M55" i="14"/>
  <c r="D53" i="14"/>
  <c r="N53" i="14"/>
  <c r="M57" i="14"/>
  <c r="N32" i="13"/>
  <c r="M56" i="14"/>
  <c r="G53" i="14"/>
  <c r="I53" i="14"/>
  <c r="M75" i="14"/>
  <c r="M54" i="14"/>
  <c r="M32" i="14"/>
  <c r="M58" i="13"/>
  <c r="M32" i="13"/>
  <c r="M57" i="13" l="1"/>
  <c r="M53" i="14"/>
  <c r="J10" i="13" l="1"/>
  <c r="J23" i="14"/>
  <c r="J22" i="14" s="1"/>
  <c r="J10" i="14"/>
  <c r="D28" i="14"/>
  <c r="D27" i="14" s="1"/>
  <c r="J28" i="13"/>
  <c r="J27" i="13" s="1"/>
  <c r="D23" i="14"/>
  <c r="D22" i="14" s="1"/>
  <c r="D28" i="13"/>
  <c r="D27" i="13" s="1"/>
  <c r="J23" i="13"/>
  <c r="J22" i="13" s="1"/>
  <c r="I10" i="14" l="1"/>
  <c r="J65" i="13" l="1"/>
  <c r="D18" i="13"/>
  <c r="J17" i="13"/>
  <c r="D18" i="14"/>
  <c r="J14" i="13"/>
  <c r="D14" i="14"/>
  <c r="J18" i="14"/>
  <c r="D14" i="13"/>
  <c r="J17" i="14"/>
  <c r="J14" i="14"/>
  <c r="D17" i="13"/>
  <c r="J18" i="13"/>
  <c r="D17" i="14"/>
  <c r="J72" i="13"/>
  <c r="J68" i="14"/>
  <c r="J66" i="14"/>
  <c r="J65" i="14"/>
  <c r="D16" i="13"/>
  <c r="J16" i="13"/>
  <c r="D16" i="14"/>
  <c r="D65" i="13"/>
  <c r="D61" i="14"/>
  <c r="J16" i="14"/>
  <c r="J61" i="14"/>
  <c r="N72" i="13"/>
  <c r="D72" i="13"/>
  <c r="I70" i="13"/>
  <c r="D70" i="13"/>
  <c r="I69" i="13"/>
  <c r="E69" i="13"/>
  <c r="L28" i="13"/>
  <c r="L27" i="13" s="1"/>
  <c r="F28" i="13"/>
  <c r="F27" i="13" s="1"/>
  <c r="N23" i="13"/>
  <c r="N22" i="13" s="1"/>
  <c r="G23" i="13"/>
  <c r="G22" i="13" s="1"/>
  <c r="N10" i="13"/>
  <c r="G10" i="13"/>
  <c r="N68" i="14"/>
  <c r="G68" i="14"/>
  <c r="N66" i="14"/>
  <c r="D66" i="14"/>
  <c r="I65" i="14"/>
  <c r="H65" i="14" s="1"/>
  <c r="D65" i="14"/>
  <c r="J28" i="14"/>
  <c r="J27" i="14" s="1"/>
  <c r="F28" i="14"/>
  <c r="F27" i="14" s="1"/>
  <c r="N23" i="14"/>
  <c r="G23" i="14"/>
  <c r="G22" i="14" s="1"/>
  <c r="N22" i="14"/>
  <c r="N11" i="14"/>
  <c r="D11" i="14"/>
  <c r="D10" i="14"/>
  <c r="L72" i="13"/>
  <c r="G72" i="13"/>
  <c r="N70" i="13"/>
  <c r="G70" i="13"/>
  <c r="N69" i="13"/>
  <c r="D69" i="13"/>
  <c r="I72" i="13"/>
  <c r="E72" i="13"/>
  <c r="J70" i="13"/>
  <c r="E70" i="13"/>
  <c r="J69" i="13"/>
  <c r="F69" i="13"/>
  <c r="N28" i="13"/>
  <c r="G28" i="13"/>
  <c r="G27" i="13" s="1"/>
  <c r="N27" i="13"/>
  <c r="I23" i="13"/>
  <c r="I22" i="13" s="1"/>
  <c r="D23" i="13"/>
  <c r="N14" i="13"/>
  <c r="N11" i="13"/>
  <c r="I10" i="13"/>
  <c r="I68" i="14"/>
  <c r="D68" i="14"/>
  <c r="F70" i="13"/>
  <c r="F23" i="13"/>
  <c r="F22" i="13" s="1"/>
  <c r="L10" i="13"/>
  <c r="L68" i="14"/>
  <c r="L66" i="14"/>
  <c r="F66" i="14"/>
  <c r="N61" i="14"/>
  <c r="L28" i="14"/>
  <c r="L27" i="14" s="1"/>
  <c r="N17" i="14"/>
  <c r="N10" i="14"/>
  <c r="F10" i="14"/>
  <c r="N16" i="14"/>
  <c r="N14" i="14"/>
  <c r="L69" i="13"/>
  <c r="N18" i="14"/>
  <c r="L10" i="14"/>
  <c r="F72" i="13"/>
  <c r="L23" i="13"/>
  <c r="L22" i="13" s="1"/>
  <c r="N18" i="13"/>
  <c r="N17" i="13"/>
  <c r="F10" i="13"/>
  <c r="F68" i="14"/>
  <c r="N65" i="14"/>
  <c r="F65" i="14"/>
  <c r="N27" i="14"/>
  <c r="F23" i="14"/>
  <c r="F22" i="14" s="1"/>
  <c r="L11" i="14"/>
  <c r="F11" i="14"/>
  <c r="N28" i="14"/>
  <c r="L23" i="14"/>
  <c r="L22" i="14" s="1"/>
  <c r="L70" i="13"/>
  <c r="N65" i="13"/>
  <c r="N16" i="13"/>
  <c r="L65" i="14"/>
  <c r="L16" i="13"/>
  <c r="L61" i="14"/>
  <c r="F16" i="13"/>
  <c r="L16" i="14"/>
  <c r="L65" i="13"/>
  <c r="F61" i="14"/>
  <c r="F16" i="14"/>
  <c r="F65" i="13"/>
  <c r="F14" i="14"/>
  <c r="L14" i="13"/>
  <c r="L14" i="14"/>
  <c r="F18" i="13"/>
  <c r="L17" i="14"/>
  <c r="L18" i="14"/>
  <c r="F14" i="13"/>
  <c r="F17" i="14"/>
  <c r="F17" i="13"/>
  <c r="F18" i="14"/>
  <c r="L18" i="13"/>
  <c r="L17" i="13"/>
  <c r="E28" i="13"/>
  <c r="E27" i="13" s="1"/>
  <c r="E28" i="14"/>
  <c r="E27" i="14" s="1"/>
  <c r="E23" i="13"/>
  <c r="E22" i="13" s="1"/>
  <c r="E66" i="14"/>
  <c r="E10" i="14"/>
  <c r="E23" i="14"/>
  <c r="E11" i="14"/>
  <c r="E10" i="13"/>
  <c r="E68" i="14"/>
  <c r="E65" i="14"/>
  <c r="E16" i="14"/>
  <c r="E65" i="13"/>
  <c r="E16" i="13"/>
  <c r="E61" i="14"/>
  <c r="E18" i="14"/>
  <c r="E18" i="13"/>
  <c r="E14" i="14"/>
  <c r="E14" i="13"/>
  <c r="E17" i="13"/>
  <c r="E17" i="14"/>
  <c r="G65" i="14"/>
  <c r="G11" i="14"/>
  <c r="G69" i="13"/>
  <c r="G66" i="14"/>
  <c r="G28" i="14"/>
  <c r="G27" i="14" s="1"/>
  <c r="G10" i="14"/>
  <c r="G65" i="13"/>
  <c r="G16" i="14"/>
  <c r="G16" i="13"/>
  <c r="G61" i="14"/>
  <c r="G18" i="14"/>
  <c r="G14" i="13"/>
  <c r="G17" i="14"/>
  <c r="G14" i="14"/>
  <c r="G18" i="13"/>
  <c r="G17" i="13"/>
  <c r="I28" i="14"/>
  <c r="I23" i="14"/>
  <c r="I66" i="14"/>
  <c r="I28" i="13"/>
  <c r="I61" i="14"/>
  <c r="H61" i="14" s="1"/>
  <c r="I65" i="13"/>
  <c r="I16" i="14"/>
  <c r="H16" i="14" s="1"/>
  <c r="I16" i="13"/>
  <c r="H16" i="13" s="1"/>
  <c r="I14" i="14"/>
  <c r="I17" i="13"/>
  <c r="I18" i="13"/>
  <c r="H18" i="13" s="1"/>
  <c r="I18" i="14"/>
  <c r="I14" i="13"/>
  <c r="I17" i="14"/>
  <c r="J46" i="13"/>
  <c r="F46" i="13"/>
  <c r="L45" i="13"/>
  <c r="G45" i="13"/>
  <c r="H44" i="13"/>
  <c r="D44" i="13"/>
  <c r="I43" i="13"/>
  <c r="E43" i="13"/>
  <c r="I42" i="14"/>
  <c r="E42" i="14"/>
  <c r="J41" i="14"/>
  <c r="F41" i="14"/>
  <c r="L40" i="14"/>
  <c r="F40" i="14"/>
  <c r="L39" i="14"/>
  <c r="F39" i="14"/>
  <c r="I46" i="13"/>
  <c r="E46" i="13"/>
  <c r="J45" i="13"/>
  <c r="F45" i="13"/>
  <c r="L44" i="13"/>
  <c r="G44" i="13"/>
  <c r="H43" i="13"/>
  <c r="D43" i="13"/>
  <c r="L46" i="13"/>
  <c r="G46" i="13"/>
  <c r="H45" i="13"/>
  <c r="D45" i="13"/>
  <c r="I44" i="13"/>
  <c r="E44" i="13"/>
  <c r="J43" i="13"/>
  <c r="F43" i="13"/>
  <c r="J44" i="13"/>
  <c r="G43" i="13"/>
  <c r="J42" i="14"/>
  <c r="D42" i="14"/>
  <c r="E40" i="14"/>
  <c r="I39" i="14"/>
  <c r="I45" i="13"/>
  <c r="F44" i="13"/>
  <c r="G41" i="14"/>
  <c r="J40" i="14"/>
  <c r="D40" i="14"/>
  <c r="G39" i="14"/>
  <c r="H46" i="13"/>
  <c r="E45" i="13"/>
  <c r="G42" i="14"/>
  <c r="L41" i="14"/>
  <c r="E41" i="14"/>
  <c r="I40" i="14"/>
  <c r="E39" i="14"/>
  <c r="F42" i="14"/>
  <c r="D41" i="14"/>
  <c r="J39" i="14"/>
  <c r="D46" i="13"/>
  <c r="L43" i="13"/>
  <c r="L42" i="14"/>
  <c r="I41" i="14"/>
  <c r="G40" i="14"/>
  <c r="D39" i="14"/>
  <c r="D9" i="14" l="1"/>
  <c r="J9" i="14"/>
  <c r="I9" i="14"/>
  <c r="E9" i="14"/>
  <c r="F9" i="14"/>
  <c r="L9" i="13"/>
  <c r="N9" i="13"/>
  <c r="N9" i="14"/>
  <c r="I9" i="13"/>
  <c r="G9" i="14"/>
  <c r="E9" i="13"/>
  <c r="F9" i="13"/>
  <c r="J9" i="13"/>
  <c r="L9" i="14"/>
  <c r="G9" i="13"/>
  <c r="D9" i="13"/>
  <c r="N21" i="13"/>
  <c r="N21" i="14"/>
  <c r="G42" i="13"/>
  <c r="G21" i="13" s="1"/>
  <c r="M45" i="13"/>
  <c r="E38" i="14"/>
  <c r="J38" i="14"/>
  <c r="J21" i="14" s="1"/>
  <c r="G38" i="14"/>
  <c r="G21" i="14" s="1"/>
  <c r="H14" i="13"/>
  <c r="M14" i="13" s="1"/>
  <c r="M18" i="13"/>
  <c r="H66" i="14"/>
  <c r="M66" i="14" s="1"/>
  <c r="M16" i="14"/>
  <c r="M11" i="14"/>
  <c r="H72" i="13"/>
  <c r="M72" i="13" s="1"/>
  <c r="H41" i="14"/>
  <c r="M41" i="14" s="1"/>
  <c r="M44" i="13"/>
  <c r="M46" i="13"/>
  <c r="H42" i="14"/>
  <c r="M42" i="14" s="1"/>
  <c r="M15" i="14"/>
  <c r="H17" i="13"/>
  <c r="M17" i="13" s="1"/>
  <c r="H65" i="13"/>
  <c r="M65" i="13" s="1"/>
  <c r="H23" i="14"/>
  <c r="H22" i="14" s="1"/>
  <c r="I22" i="14"/>
  <c r="E22" i="14"/>
  <c r="H10" i="14"/>
  <c r="H70" i="13"/>
  <c r="M70" i="13" s="1"/>
  <c r="H40" i="14"/>
  <c r="M40" i="14" s="1"/>
  <c r="F42" i="13"/>
  <c r="F21" i="13" s="1"/>
  <c r="D42" i="13"/>
  <c r="F38" i="14"/>
  <c r="F21" i="14" s="1"/>
  <c r="E42" i="13"/>
  <c r="E21" i="13" s="1"/>
  <c r="M15" i="13"/>
  <c r="H14" i="14"/>
  <c r="M14" i="14" s="1"/>
  <c r="M61" i="14"/>
  <c r="I27" i="14"/>
  <c r="H28" i="14"/>
  <c r="H27" i="14" s="1"/>
  <c r="H68" i="14"/>
  <c r="M68" i="14" s="1"/>
  <c r="H10" i="13"/>
  <c r="D22" i="13"/>
  <c r="M65" i="14"/>
  <c r="D38" i="14"/>
  <c r="D21" i="14" s="1"/>
  <c r="L42" i="13"/>
  <c r="L21" i="13" s="1"/>
  <c r="H39" i="14"/>
  <c r="M39" i="14" s="1"/>
  <c r="I38" i="14"/>
  <c r="J42" i="13"/>
  <c r="J21" i="13" s="1"/>
  <c r="H42" i="13"/>
  <c r="L38" i="14"/>
  <c r="L21" i="14" s="1"/>
  <c r="I42" i="13"/>
  <c r="M43" i="13"/>
  <c r="H17" i="14"/>
  <c r="M17" i="14" s="1"/>
  <c r="H18" i="14"/>
  <c r="M18" i="14" s="1"/>
  <c r="H28" i="13"/>
  <c r="H27" i="13" s="1"/>
  <c r="I27" i="13"/>
  <c r="M16" i="13"/>
  <c r="M11" i="13"/>
  <c r="H23" i="13"/>
  <c r="H22" i="13" s="1"/>
  <c r="H69" i="13"/>
  <c r="M69" i="13" s="1"/>
  <c r="H9" i="13" l="1"/>
  <c r="M10" i="14"/>
  <c r="H9" i="14"/>
  <c r="I21" i="13"/>
  <c r="D21" i="13"/>
  <c r="H21" i="13"/>
  <c r="I21" i="14"/>
  <c r="E21" i="14"/>
  <c r="M9" i="13"/>
  <c r="M27" i="14"/>
  <c r="V10" i="14" s="1"/>
  <c r="M27" i="13"/>
  <c r="V10" i="13" s="1"/>
  <c r="M28" i="14"/>
  <c r="M22" i="13"/>
  <c r="M22" i="14"/>
  <c r="M23" i="13"/>
  <c r="H38" i="14"/>
  <c r="M38" i="14" s="1"/>
  <c r="M10" i="13"/>
  <c r="M28" i="13"/>
  <c r="M23" i="14"/>
  <c r="M42" i="13"/>
  <c r="M21" i="13" l="1"/>
  <c r="H21" i="14"/>
  <c r="M9" i="14"/>
  <c r="M21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</authors>
  <commentList>
    <comment ref="C33" authorId="0" shapeId="0" xr:uid="{16759706-7E8E-4AFF-901D-ED24B20A83D2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adjustments_x000D_
Eligibility for MREL  =  Non-eligible</t>
        </r>
      </text>
    </comment>
    <comment ref="C34" authorId="0" shapeId="0" xr:uid="{3D0EF79A-7BFC-407B-80D2-52A66B56AAF6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offset_x000D_
Eligibility for MREL  =  Non-eligible</t>
        </r>
      </text>
    </comment>
    <comment ref="C35" authorId="0" shapeId="0" xr:uid="{54DAA8FB-F5CA-42FA-A06D-789697FA18FE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offset, estimated close-out amounts_x000D_
Eligibility for MREL  =  Non-eligible</t>
        </r>
      </text>
    </comment>
    <comment ref="C36" authorId="0" shapeId="0" xr:uid="{08517156-F4B4-4E2B-B369-C120ACF40DEE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Prudential netting rules_x000D_
Eligibility for MREL  =  Non-eligible</t>
        </r>
      </text>
    </comment>
    <comment ref="C75" authorId="0" shapeId="0" xr:uid="{FADB7F42-F462-4E2F-9F11-19B00A2513ED}">
      <text>
        <r>
          <rPr>
            <sz val="9"/>
            <color indexed="81"/>
            <rFont val="Tahoma"/>
            <family val="2"/>
          </rPr>
          <t>Metric  =  Computable amount [mi]_x000D_
Base  =  All liabilities and own funds</t>
        </r>
      </text>
    </comment>
    <comment ref="C76" authorId="0" shapeId="0" xr:uid="{5C95FDDA-5FD8-472D-A04A-7B5B35DCF95F}">
      <text>
        <r>
          <rPr>
            <sz val="9"/>
            <color indexed="81"/>
            <rFont val="Tahoma"/>
            <family val="2"/>
          </rPr>
          <t>Metric  =  Computable amount [mi]_x000D_
Base  =  Exposures_x000D_
Main category  =  Leverage Ratio exposure full phased-in definition of Tier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Flávia Daniela Costa Pinho</author>
  </authors>
  <commentList>
    <comment ref="M7" authorId="0" shapeId="0" xr:uid="{EE206000-D7EB-4EBE-B3D2-8F0A01CB9119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Validar </t>
        </r>
      </text>
    </comment>
    <comment ref="R7" authorId="0" shapeId="0" xr:uid="{81FDAB94-F785-4DE0-B44C-1F41E82E923A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porque nem sempre existe moeda</t>
        </r>
      </text>
    </comment>
    <comment ref="S7" authorId="0" shapeId="0" xr:uid="{2C812526-E120-4868-9BBD-46375BB773C9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T7" authorId="0" shapeId="0" xr:uid="{C373C8DE-BF51-4F98-A468-4DF7BAA98320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U7" authorId="0" shapeId="0" xr:uid="{5847B89C-F67E-41E0-84C6-F1F0E3590621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Ver questão da Hipottota e gamma</t>
        </r>
      </text>
    </comment>
    <comment ref="Z7" authorId="0" shapeId="0" xr:uid="{A3EF330C-50D2-4672-8F66-E9E728A80FD5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Será pelo dicionário de titulos</t>
        </r>
      </text>
    </comment>
    <comment ref="AA7" authorId="0" shapeId="0" xr:uid="{790041F3-8FD5-483B-84C2-DC6DB7D8C351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Pelo Datalake parece que só existe GF2 e não  Fully Compliant T2 nem CET1 -
Será pelo dicionário de titulos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Flávia Daniela Costa Pinho</author>
    <author>Haizhen Li</author>
  </authors>
  <commentList>
    <comment ref="F7" authorId="0" shapeId="0" xr:uid="{9CB54A2A-33E8-473C-9ABA-A41F2915474F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Coloco o zcliente?</t>
        </r>
      </text>
    </comment>
    <comment ref="J7" authorId="0" shapeId="0" xr:uid="{A73E0E01-E924-459C-A660-468CD740FC4C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NOVIMOVEST inquerente com a informação do Pedro</t>
        </r>
      </text>
    </comment>
    <comment ref="L7" authorId="0" shapeId="0" xr:uid="{7A512B82-AED8-419A-8B65-F12F9D99618A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sei. Coloquei sempre Counterparty</t>
        </r>
      </text>
    </comment>
    <comment ref="N7" authorId="1" shapeId="0" xr:uid="{04517561-9FB7-4EEF-8A7B-5847466AC450}">
      <text>
        <r>
          <rPr>
            <sz val="9"/>
            <color indexed="81"/>
            <rFont val="Tahoma"/>
            <family val="2"/>
          </rPr>
          <t>Metric  =  Is collateralised [bi]_x000D_
Main category  =  Financial guarantees received</t>
        </r>
      </text>
    </comment>
    <comment ref="O7" authorId="0" shapeId="0" xr:uid="{B955F71B-E901-4073-87F5-28233867710E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encontramos colateral no SAS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ojones</author>
  </authors>
  <commentList>
    <comment ref="D7" authorId="0" shapeId="0" xr:uid="{6E4F9C77-0D02-407C-9D62-3FB0597B301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E7" authorId="0" shapeId="0" xr:uid="{72FBE833-E584-4DA8-8C4D-FB26436D2414}">
      <text>
        <r>
          <rPr>
            <sz val="9"/>
            <color indexed="81"/>
            <rFont val="Tahoma"/>
            <family val="2"/>
          </rPr>
          <t>Metric  =  Ranking in insolvency [ei:ZZ:ZZ28]_x000D_
Base  =  Off balance sheet items_x000D_
Main category  =  Financial guarantees given_x000D_
Related parties/Relationships  =  Intra-group</t>
        </r>
      </text>
    </comment>
    <comment ref="F7" authorId="0" shapeId="0" xr:uid="{85ABB156-33E0-4538-BDDE-81EB6973EF09}">
      <text>
        <r>
          <rPr>
            <sz val="9"/>
            <color indexed="81"/>
            <rFont val="Tahoma"/>
            <family val="2"/>
          </rPr>
          <t>Metric  =  Contract identifier [si]_x000D_
Base  =  Off balance sheet items_x000D_
Main category  =  Financial guarantees given_x000D_
Related parties/Relationships  =  Intra-group</t>
        </r>
      </text>
    </comment>
    <comment ref="G7" authorId="0" shapeId="0" xr:uid="{A8FD9F1D-4BDF-4C8B-8B6B-F8CABB4C2995}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H7" authorId="0" shapeId="0" xr:uid="{30664F6B-7D1E-4780-900A-69A7649164C8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I7" authorId="0" shapeId="0" xr:uid="{C67547E6-41D4-4708-917D-7117DD8025CB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J7" authorId="0" shapeId="0" xr:uid="{D1ECFE32-D3B8-4579-B872-043AE3BF3BB6}">
      <text>
        <r>
          <rPr>
            <sz val="9"/>
            <color indexed="81"/>
            <rFont val="Tahoma"/>
            <family val="2"/>
          </rPr>
          <t>Metric  =  Entity is included in the resolution group of reporting entity [bi]_x000D_
Main category of item that is the object of the transaction / contract  =  Financial guarantees given_x000D_
Related parties/Relationships  =  Intra-group_x000D_
Role in the contract  =  Obligor under guarantee</t>
        </r>
      </text>
    </comment>
    <comment ref="K7" authorId="0" shapeId="0" xr:uid="{F488FB27-65AB-4B05-B67B-F491EB55CC2A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Off balance sheet items_x000D_
Main category  =  Financial guarantees given_x000D_
Related parties/Relationships  =  Intra-group</t>
        </r>
      </text>
    </comment>
    <comment ref="L7" authorId="0" shapeId="0" xr:uid="{3AA8E471-A5B0-4959-9C5D-B8627DEEC172}">
      <text>
        <r>
          <rPr>
            <sz val="9"/>
            <color indexed="81"/>
            <rFont val="Tahoma"/>
            <family val="2"/>
          </rPr>
          <t>Metric  =  Type of guarantee [ei:MC:MC73]_x000D_
Main category  =  Financial guarantees given_x000D_
Related parties/Relationships  =  Intra-group</t>
        </r>
      </text>
    </comment>
    <comment ref="M7" authorId="0" shapeId="0" xr:uid="{5C99191E-98ED-471B-A495-8FB961A3A053}">
      <text>
        <r>
          <rPr>
            <sz val="9"/>
            <color indexed="81"/>
            <rFont val="Tahoma"/>
            <family val="2"/>
          </rPr>
          <t>Metric  =  Nominal amount [mi]_x000D_
Main category  =  Financial guarantees given_x000D_
Related parties/Relationships  =  Intra-group</t>
        </r>
      </text>
    </comment>
    <comment ref="N7" authorId="0" shapeId="0" xr:uid="{14BA9C32-B6C7-4340-9360-10DF60D0B43A}">
      <text>
        <r>
          <rPr>
            <sz val="9"/>
            <color indexed="81"/>
            <rFont val="Tahoma"/>
            <family val="2"/>
          </rPr>
          <t>Metric  =  Is collateralised [bi]_x000D_
Main category  =  Financial guarantees given_x000D_
Related parties/Relationships  =  Intra-group</t>
        </r>
      </text>
    </comment>
    <comment ref="O7" authorId="0" shapeId="0" xr:uid="{FD6FC28E-103D-48AC-B7FA-861A79F87C60}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item that is the object of the transaction / contract  =  Financial guarantees given</t>
        </r>
      </text>
    </comment>
    <comment ref="P7" authorId="0" shapeId="0" xr:uid="{6D3C46B1-2FB4-4FC9-9B41-242A0D6547C5}">
      <text>
        <r>
          <rPr>
            <sz val="9"/>
            <color indexed="81"/>
            <rFont val="Tahoma"/>
            <family val="2"/>
          </rPr>
          <t>Metric  =  Type of event triggering the activation of the guarantee / financial support [ei:ZZ:ZZ31]_x000D_
Main category  =  Financial guarantees given_x000D_
Related parties/Relationships  =  Intra-group</t>
        </r>
      </text>
    </comment>
    <comment ref="C8" authorId="0" shapeId="0" xr:uid="{E0581FA3-73D1-4E5D-9D56-50D9ED51BAD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D8" authorId="1" shapeId="0" xr:uid="{590FEEE2-473F-493D-8B39-46B6F230EE27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1" shapeId="0" xr:uid="{1A9CE44A-511E-47C1-AE95-BD158245FACE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8" authorId="1" shapeId="0" xr:uid="{DA5FE178-34D1-4702-A497-907AA2F10462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8" authorId="1" shapeId="0" xr:uid="{2AE57DE7-A2FB-457D-8474-F43727877498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H8" authorId="1" shapeId="0" xr:uid="{97FE1435-EFB6-41A5-86AF-5A315EA1B933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I8" authorId="1" shapeId="0" xr:uid="{E319C399-BE41-4628-8C81-041BB2F98C58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J8" authorId="1" shapeId="0" xr:uid="{FF17CD19-96A5-4800-A730-55B803852CAF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8" authorId="1" shapeId="0" xr:uid="{9192580D-7CE2-4B85-B102-DF0AD7D44E8F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L8" authorId="1" shapeId="0" xr:uid="{2B0F1C2F-1238-4A89-AE47-8C7AFF47DAD6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M8" authorId="1" shapeId="0" xr:uid="{0FD35BEC-5DA0-4FC2-8F3E-2513678C9E90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8" authorId="1" shapeId="0" xr:uid="{160D3BDA-EEC5-48D6-B21E-F6B09ACEAEA6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O8" authorId="1" shapeId="0" xr:uid="{19D96AF6-FA55-4903-96C1-8099D7D42BD4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P8" authorId="1" shapeId="0" xr:uid="{1EEAADB9-7855-4010-8CA7-E92B8E220F47}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C9" authorId="0" shapeId="0" xr:uid="{F5AE0598-C4DE-42FA-9A98-1272C80A801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" authorId="0" shapeId="0" xr:uid="{3A57A08E-F3DC-438F-A570-8491DDEFF57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" authorId="0" shapeId="0" xr:uid="{D1B0BE9D-ABF2-4B57-AB2F-76E7242F5E3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" authorId="0" shapeId="0" xr:uid="{4940800B-0372-43BA-A4C6-673AF801AE3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" authorId="0" shapeId="0" xr:uid="{C142BE47-6329-4D50-9979-F036A7A2960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" authorId="0" shapeId="0" xr:uid="{223BC379-1E9C-42CC-9FCF-59D6D0A44B7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" authorId="0" shapeId="0" xr:uid="{802041AC-2F7F-425F-937F-13754EE9720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" authorId="0" shapeId="0" xr:uid="{778DD49A-E296-4416-9A15-FE446D1A755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" authorId="0" shapeId="0" xr:uid="{250573CC-706A-4D35-B1A1-4D1AC0E68E7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" authorId="0" shapeId="0" xr:uid="{B0F6FB53-E3A7-4BA9-A181-758470DD8B3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" authorId="0" shapeId="0" xr:uid="{C0273BDB-AAB4-460F-B49A-40559C37876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" authorId="0" shapeId="0" xr:uid="{0CDF0EC3-10A7-445A-8F67-CBBB47383A6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" authorId="0" shapeId="0" xr:uid="{50FB8E2B-66CD-4F3E-B6CA-388A0F1A64C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" authorId="0" shapeId="0" xr:uid="{8F4EC18D-E3C8-40D4-B103-DACF723A88A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" authorId="0" shapeId="0" xr:uid="{6FF09A8D-3046-443C-9FC5-7DB2F220A3A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" authorId="0" shapeId="0" xr:uid="{4E51E6DC-DCE9-44ED-B2E3-5629AF4C2DA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" authorId="0" shapeId="0" xr:uid="{486CDA25-9EE5-4D2E-96B5-D02A8F2E768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" authorId="0" shapeId="0" xr:uid="{D03AC3A1-DEFC-44D8-ADBE-BEF9A3CEDB6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" authorId="0" shapeId="0" xr:uid="{7C3F544C-8D4E-4D0D-8FAE-0888E677BA5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8" authorId="0" shapeId="0" xr:uid="{77543FD1-BA6D-481D-B7B7-7CF15D06705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9" authorId="0" shapeId="0" xr:uid="{5892A32E-7750-4AE2-91AA-46736FBDFE4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0" authorId="0" shapeId="0" xr:uid="{DBF33886-DC4F-4948-9A10-E4ECEE83F2E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1" authorId="0" shapeId="0" xr:uid="{BE4BBD62-B7D7-46A1-9163-4564EFC852F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2" authorId="0" shapeId="0" xr:uid="{B5A7006A-F461-4159-AE45-D81C93754D6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3" authorId="0" shapeId="0" xr:uid="{6D2D5C51-3FC5-4932-A661-37D5B4C886C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4" authorId="0" shapeId="0" xr:uid="{9476BE5E-81BC-4124-B044-62C85945CA7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5" authorId="0" shapeId="0" xr:uid="{D131E9A7-E1B0-496A-B4B8-8D7E17B2B5D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6" authorId="0" shapeId="0" xr:uid="{1CABF701-9B3A-4BB9-8B2E-C2EA06AF0E5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7" authorId="0" shapeId="0" xr:uid="{CCB5B572-8F27-4108-A865-FB56646E0FD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8" authorId="0" shapeId="0" xr:uid="{FDD718A4-4067-4CC2-8E2E-687D674A5C8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39" authorId="0" shapeId="0" xr:uid="{D9DABA25-5A20-4B03-99AB-B0345E32660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0" authorId="0" shapeId="0" xr:uid="{AE6CB5F8-AF0A-4E72-9599-A92BE6A60DD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1" authorId="0" shapeId="0" xr:uid="{0F5707FA-8FD3-4BA9-B6CE-7957B2659C9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2" authorId="0" shapeId="0" xr:uid="{CF397660-C7C2-4D30-8F1D-6AAC7CC0555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3" authorId="0" shapeId="0" xr:uid="{E1893F8F-B9EB-4961-8E0B-A1A91C0467C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4" authorId="0" shapeId="0" xr:uid="{FEEF875F-F8CF-4681-BFEC-13E9B35E16F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5" authorId="0" shapeId="0" xr:uid="{6A01C6E8-81AD-418C-8831-F28E67C4A2B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6" authorId="0" shapeId="0" xr:uid="{3809B9C1-B08A-4C36-B176-609339C80FF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7" authorId="0" shapeId="0" xr:uid="{6B365082-F77C-426E-9EA1-412FFAA1F53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8" authorId="0" shapeId="0" xr:uid="{23F0B463-FE44-4088-99AA-019754D4E76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49" authorId="0" shapeId="0" xr:uid="{EFCB393C-C37E-4775-A5E7-EC8741644FF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0" authorId="0" shapeId="0" xr:uid="{8A54E760-FD3D-4FE2-8637-F09342DBB7E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1" authorId="0" shapeId="0" xr:uid="{991D5007-1C3C-4137-BF73-A0C59B79DEB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2" authorId="0" shapeId="0" xr:uid="{49623CBB-2CE0-4D99-BCDF-8F6D243EDC2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3" authorId="0" shapeId="0" xr:uid="{A3916688-55D1-41C9-88F8-240D65FE246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4" authorId="0" shapeId="0" xr:uid="{820FCDD0-CAE5-4174-9BAE-0DA480793BC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5" authorId="0" shapeId="0" xr:uid="{F5B7E72A-1DD2-4342-BEAA-7E8C4E5BD95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6" authorId="0" shapeId="0" xr:uid="{45505137-BD29-4F51-8BE9-000D8A450F5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7" authorId="0" shapeId="0" xr:uid="{4BDE266E-3B49-4342-82A7-C33EB785495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8" authorId="0" shapeId="0" xr:uid="{211B01C8-7C02-4A4E-A41A-7E0820A536B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59" authorId="0" shapeId="0" xr:uid="{B6DD1BCA-2154-48C7-9F7E-7F0A519573D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0" authorId="0" shapeId="0" xr:uid="{969F1688-0E83-42A6-963B-9494C5ABDBE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1" authorId="0" shapeId="0" xr:uid="{DE2517CA-4175-4565-88E3-BC5B453664B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2" authorId="0" shapeId="0" xr:uid="{9ED9BD6A-0385-4395-B266-A7B3D2EA930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3" authorId="0" shapeId="0" xr:uid="{C5D2A537-A1AD-4EE4-9DB1-FD8381EA386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4" authorId="0" shapeId="0" xr:uid="{31860183-36AA-4E7A-AE4E-4B64A2E61A1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5" authorId="0" shapeId="0" xr:uid="{BE290C25-8D99-4DA6-A28C-31B1333E3EB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6" authorId="0" shapeId="0" xr:uid="{7DCA2961-25F8-4431-829D-FCE8C817188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7" authorId="0" shapeId="0" xr:uid="{F26BE598-064E-477B-A815-CCDC66FECF2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8" authorId="0" shapeId="0" xr:uid="{F9830B87-A401-41C0-A50D-4E5A3508B1F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69" authorId="0" shapeId="0" xr:uid="{9E60296E-20B7-4159-9178-D394F567576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0" authorId="0" shapeId="0" xr:uid="{54A8331B-B110-46C9-B2A1-CCA42F690CF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1" authorId="0" shapeId="0" xr:uid="{BDC9D676-57B7-4CC8-A19B-E718B00EB5C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2" authorId="0" shapeId="0" xr:uid="{7080C173-6A42-4092-BCA2-25F7C4CBE0E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3" authorId="0" shapeId="0" xr:uid="{D7DC4E80-C28B-4E7D-AB6B-DAE827035D3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4" authorId="0" shapeId="0" xr:uid="{DF05BA57-70D8-4FE3-856D-2D732823DA8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5" authorId="0" shapeId="0" xr:uid="{A2AD116D-6923-41B6-BCCC-8E14B0D701F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6" authorId="0" shapeId="0" xr:uid="{22E639A1-C070-4E03-AE27-28056BEA347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7" authorId="0" shapeId="0" xr:uid="{DBFBC2AA-88E6-4D48-9132-CE5E1D5C80A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8" authorId="0" shapeId="0" xr:uid="{0763F5CC-D243-43F3-90E6-6555BFF2858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79" authorId="0" shapeId="0" xr:uid="{858C770B-DB47-4088-A3C3-5251C537787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0" authorId="0" shapeId="0" xr:uid="{2B9DC691-5A1E-4625-9791-F4B39305514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1" authorId="0" shapeId="0" xr:uid="{655E6154-6A5A-4CD2-BF0B-1D55775892A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2" authorId="0" shapeId="0" xr:uid="{C93247DB-5BD7-4342-8F1A-62B1F56B4A2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3" authorId="0" shapeId="0" xr:uid="{B5DD6D4E-80E3-47D8-9310-E4CE7C82FB1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4" authorId="0" shapeId="0" xr:uid="{257F5178-DF65-4EB0-A46F-5960D3D70C3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5" authorId="0" shapeId="0" xr:uid="{C5F4F5B3-D801-4397-B651-FAC284E2D68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6" authorId="0" shapeId="0" xr:uid="{4098E391-9788-44D5-AC2D-FC7B9F18918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7" authorId="0" shapeId="0" xr:uid="{9C4354DB-048F-4136-A67F-7CB1509B69F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8" authorId="0" shapeId="0" xr:uid="{F1F89E17-616F-4B8B-81BF-BA767327A68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89" authorId="0" shapeId="0" xr:uid="{735E27CF-0153-4D79-AE41-A547CF9B1A7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0" authorId="0" shapeId="0" xr:uid="{0F2B5E37-BFF0-445C-AA1C-827E12B5852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1" authorId="0" shapeId="0" xr:uid="{AF87A60C-D6F3-42AD-962A-A59DBF35F12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2" authorId="0" shapeId="0" xr:uid="{2FE38454-18A0-4A89-9A3D-09750E716C7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3" authorId="0" shapeId="0" xr:uid="{DE249832-9B97-433C-BAEF-9340F134B67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4" authorId="0" shapeId="0" xr:uid="{62853D58-9D11-4BD4-A567-F7AC503A611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5" authorId="0" shapeId="0" xr:uid="{4610C30F-64EF-4C5E-832D-FA7CABFDF99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6" authorId="0" shapeId="0" xr:uid="{5444D3CC-9BE1-42B5-8663-7CFF921DE35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7" authorId="0" shapeId="0" xr:uid="{000BF1FF-0F70-4E50-9835-1D9777DB844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8" authorId="0" shapeId="0" xr:uid="{B1F2C357-65BB-4B25-9149-011BFD668BE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99" authorId="0" shapeId="0" xr:uid="{76FAF86E-3968-40AD-87DD-0320645978F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0" authorId="0" shapeId="0" xr:uid="{D9575119-BDF7-4A6C-8356-8CD1D9E8FAC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1" authorId="0" shapeId="0" xr:uid="{B2852BA4-ED91-4ABF-9E9D-7690AAED08C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2" authorId="0" shapeId="0" xr:uid="{5C3F962E-ABEF-4135-BBBF-E57FF60C13A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3" authorId="0" shapeId="0" xr:uid="{833C1D55-8ECB-41FD-9478-BB1DFDCA413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4" authorId="0" shapeId="0" xr:uid="{517BB4A4-D321-4665-9E02-A0CA439F699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5" authorId="0" shapeId="0" xr:uid="{98DA1D05-8B22-4B11-A918-F5BD5EC4756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6" authorId="0" shapeId="0" xr:uid="{8B9789EB-F236-4EB6-AD9E-8407701C500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7" authorId="0" shapeId="0" xr:uid="{3A0E07DC-BA92-4293-974C-A7FBA99F928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8" authorId="0" shapeId="0" xr:uid="{6D00BAE8-1022-4D75-AC6C-987B9EEA5F9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09" authorId="0" shapeId="0" xr:uid="{DE19C820-28BD-463F-8659-BA35B1327F2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0" authorId="0" shapeId="0" xr:uid="{48CB493F-AE49-4D65-9E6D-1FF23F2B5A0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1" authorId="0" shapeId="0" xr:uid="{0EF97A38-DB9C-41A6-9252-D71DA74B2DB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2" authorId="0" shapeId="0" xr:uid="{26FD79A9-A206-442E-888B-80C075E4EE3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3" authorId="0" shapeId="0" xr:uid="{B220457F-2773-41CE-8D89-0F149C9989F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4" authorId="0" shapeId="0" xr:uid="{9BDF098F-5BD3-4A0C-95C7-7ADFBAE8DE0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5" authorId="0" shapeId="0" xr:uid="{7733567E-2272-40FF-88FD-2C04666BA7F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6" authorId="0" shapeId="0" xr:uid="{D467BA65-993C-4EBF-B477-D083712F3E9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7" authorId="0" shapeId="0" xr:uid="{FC5978D0-20E6-4A4F-A179-95D7537AEA3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8" authorId="0" shapeId="0" xr:uid="{47F51DFC-9BE3-44A7-9835-C2CB730ABBF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19" authorId="0" shapeId="0" xr:uid="{030BB7CB-3FEA-4E16-940B-719DF34FD16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0" authorId="0" shapeId="0" xr:uid="{F8BA98D6-541F-49A2-AD97-74F02401C6B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1" authorId="0" shapeId="0" xr:uid="{03ECA48B-EA33-4A6A-BFC6-C8AC44597E6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2" authorId="0" shapeId="0" xr:uid="{D2D0670B-9DCA-448A-A08F-13781D671DE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3" authorId="0" shapeId="0" xr:uid="{086A33FB-AD9D-432C-BDC5-6D0D80B14FC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4" authorId="0" shapeId="0" xr:uid="{0AECBBED-9D6A-427D-BF0E-82D8DF5C593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5" authorId="0" shapeId="0" xr:uid="{6299AA88-3633-42C3-8065-EAC5DDC8824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6" authorId="0" shapeId="0" xr:uid="{20B95DFC-953B-47B9-B056-2BDD5F26A1E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7" authorId="0" shapeId="0" xr:uid="{A36D5FC6-558F-4102-9F7E-BB5E2A11358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8" authorId="0" shapeId="0" xr:uid="{D470DF09-5D32-4D85-92B7-661C27041AB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29" authorId="0" shapeId="0" xr:uid="{CA1B1029-87CB-4B55-B3BA-1EB5459ADFF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0" authorId="0" shapeId="0" xr:uid="{88F8ED76-CB7D-4C31-A972-75D89A2CA72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1" authorId="0" shapeId="0" xr:uid="{6D71BAF4-95F6-4D47-9265-D88B8627EEF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2" authorId="0" shapeId="0" xr:uid="{82C460C0-E7A8-4470-BDA2-9785C695E84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3" authorId="0" shapeId="0" xr:uid="{A4023264-EF83-4EE8-A082-F78C154CE85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4" authorId="0" shapeId="0" xr:uid="{21A0E455-2EFC-4454-BB49-84D215882E9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5" authorId="0" shapeId="0" xr:uid="{CD1D5E24-FFCC-455D-96BB-6694DD5D519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6" authorId="0" shapeId="0" xr:uid="{24733AF4-7875-42D0-B83D-6B2AAC69482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7" authorId="0" shapeId="0" xr:uid="{9F11743D-3144-4F4A-913E-834EA8C153A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8" authorId="0" shapeId="0" xr:uid="{413B5EE1-C17D-4BF5-91C2-3DE3E4663E8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39" authorId="0" shapeId="0" xr:uid="{F0D95AC2-E504-46D0-A87A-BE2AB6A8FA6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0" authorId="0" shapeId="0" xr:uid="{237FE5A5-5C6B-4E79-94D3-76241EDF9FB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1" authorId="0" shapeId="0" xr:uid="{56471517-9C65-42A3-A6B0-60BF749B362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2" authorId="0" shapeId="0" xr:uid="{64E3D914-1047-4DDD-ACB6-B1930BBB472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3" authorId="0" shapeId="0" xr:uid="{9D8EC3E6-5188-4CC0-A163-32B6B54C2E5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4" authorId="0" shapeId="0" xr:uid="{11A39D45-F614-4A3E-BF71-1876D75FF6A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5" authorId="0" shapeId="0" xr:uid="{B3B6F08A-8AE1-4A00-B054-F520002AE56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6" authorId="0" shapeId="0" xr:uid="{E350ED3A-D2BC-441E-BEA3-D08067101AA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7" authorId="0" shapeId="0" xr:uid="{C7F3C139-2978-4771-9382-48E07C85958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8" authorId="0" shapeId="0" xr:uid="{F705A956-580F-4B55-AA4F-A6DDC54AF44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49" authorId="0" shapeId="0" xr:uid="{3ACB3EA5-8587-47B3-823A-E2FCBD613FB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0" authorId="0" shapeId="0" xr:uid="{DC72BF04-B10A-45BF-89CE-22F7EB68AB1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1" authorId="0" shapeId="0" xr:uid="{3BDF34E3-3BDA-444E-B706-7BA893768ED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2" authorId="0" shapeId="0" xr:uid="{00806FFC-EE63-41FB-9622-7E02DDAF558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3" authorId="0" shapeId="0" xr:uid="{6F408740-4B94-4746-A1E5-A7353EB7E88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4" authorId="0" shapeId="0" xr:uid="{33B78326-D344-4769-BFF8-69D1767601D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5" authorId="0" shapeId="0" xr:uid="{F09B9AD0-4928-46A8-8F57-405A1903CCC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6" authorId="0" shapeId="0" xr:uid="{FCC7BA5E-CA67-466F-A306-537D1C355E3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7" authorId="0" shapeId="0" xr:uid="{35646A8E-DE1E-4227-9B49-73857E80B39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8" authorId="0" shapeId="0" xr:uid="{579B8AF4-1667-4895-99B0-7FD02F13013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59" authorId="0" shapeId="0" xr:uid="{9BCEC050-E478-4320-9673-314C878A945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0" authorId="0" shapeId="0" xr:uid="{C9344B71-9B14-4C0D-AC67-4C856CA5A34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1" authorId="0" shapeId="0" xr:uid="{3A632564-988E-474C-9567-AC1F9447CA1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2" authorId="0" shapeId="0" xr:uid="{C25F5A9E-8B6F-4AE2-A086-2067E9C2C18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3" authorId="0" shapeId="0" xr:uid="{EDA535F2-D345-42E5-9F7D-54F54AD29D6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4" authorId="0" shapeId="0" xr:uid="{26CE0902-CAAD-48B7-A094-EC34D3216BD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5" authorId="0" shapeId="0" xr:uid="{15EF1210-45BE-4D0D-BC6B-8D3B6AB83DA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6" authorId="0" shapeId="0" xr:uid="{E4CF29ED-42FB-4EA9-A516-564EDFDB429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7" authorId="0" shapeId="0" xr:uid="{F28DA159-D5A2-4CE7-96B8-CFF63DCBE32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8" authorId="0" shapeId="0" xr:uid="{6AFB5B56-9078-429C-BA3B-E40FB9B93E7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69" authorId="0" shapeId="0" xr:uid="{78A9B60E-E54C-4209-9D30-9A9FE1CC5EA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0" authorId="0" shapeId="0" xr:uid="{022DC7EE-7211-4779-BC02-1CE9CC1BF4D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1" authorId="0" shapeId="0" xr:uid="{EE86D6F1-0102-49E8-AA47-44DB4F60E55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2" authorId="0" shapeId="0" xr:uid="{E8A62F73-D7A5-4486-82AB-696F438BB2A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3" authorId="0" shapeId="0" xr:uid="{279DE496-CD3B-42E2-883B-3ECB92F5992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4" authorId="0" shapeId="0" xr:uid="{E9B8D647-B3EB-4E0E-9DD0-8C1C452741D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5" authorId="0" shapeId="0" xr:uid="{B4688482-2D05-42D8-96EB-5C2AA8F5390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6" authorId="0" shapeId="0" xr:uid="{51856804-9EE1-4963-B640-9A26FED38F5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7" authorId="0" shapeId="0" xr:uid="{5FF21203-A005-41B8-A5EE-573E9A62401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8" authorId="0" shapeId="0" xr:uid="{401871B6-152B-408B-8D22-92C27D35E1B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79" authorId="0" shapeId="0" xr:uid="{29188482-4F51-4CD9-949D-A807E82972D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0" authorId="0" shapeId="0" xr:uid="{C86A373E-0B60-4807-9953-01DF4DEBB53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1" authorId="0" shapeId="0" xr:uid="{2B0D6A85-0A9A-488E-8289-CCE179BE99B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2" authorId="0" shapeId="0" xr:uid="{A67E0C81-6D33-4C94-9CC3-3336F5C9DB7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3" authorId="0" shapeId="0" xr:uid="{21036CC0-3156-40F6-8E58-0DE17279EAC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4" authorId="0" shapeId="0" xr:uid="{3671924B-FF21-462E-BA14-3D949D51B9E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5" authorId="0" shapeId="0" xr:uid="{B8FFDE58-ABFE-49C7-BBCA-653904CBA78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6" authorId="0" shapeId="0" xr:uid="{5BAE7362-7574-4EAA-95E4-613FBC08ED3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7" authorId="0" shapeId="0" xr:uid="{9274B3D4-572F-4E73-9437-3B0DAF81C7B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8" authorId="0" shapeId="0" xr:uid="{F97D1135-A3EA-4237-B916-D3C1CBDD51D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89" authorId="0" shapeId="0" xr:uid="{6B27D8C4-1D12-401F-8007-A3AB2986896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0" authorId="0" shapeId="0" xr:uid="{EA1E8B5A-6F45-4706-A619-3BD3399C1B9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1" authorId="0" shapeId="0" xr:uid="{7849245D-E7B3-4ED1-ABB8-4ACC1BD10A8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2" authorId="0" shapeId="0" xr:uid="{A9DBBA9C-8BCA-4CC9-9F06-D4EEF15C02B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3" authorId="0" shapeId="0" xr:uid="{5C961CE5-166F-4B90-B455-353D17C4A58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4" authorId="0" shapeId="0" xr:uid="{945878EB-1C66-45C0-93E8-9C9C77FD70C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5" authorId="0" shapeId="0" xr:uid="{8E7405F0-FF22-45C3-9BF7-1C017C81CE2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6" authorId="0" shapeId="0" xr:uid="{2E062AE1-7320-4756-8A17-0359AC92E6E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7" authorId="0" shapeId="0" xr:uid="{45F83C95-2D1D-4808-A69A-9566D572E94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8" authorId="0" shapeId="0" xr:uid="{EC2E6F3C-9FAA-40BC-B6E5-A498E7B5365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199" authorId="0" shapeId="0" xr:uid="{55C26C55-2456-4544-9831-85291CA533F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0" authorId="0" shapeId="0" xr:uid="{6D5ADE43-98C0-4A02-A6FB-2D503775019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1" authorId="0" shapeId="0" xr:uid="{F5B9D605-72F2-4B79-905E-B6FBAC2BAD4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2" authorId="0" shapeId="0" xr:uid="{B574A3E0-B341-4899-B7BE-5750ACC8633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3" authorId="0" shapeId="0" xr:uid="{9E944F88-93D9-4672-BD98-CAF3E832FDD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4" authorId="0" shapeId="0" xr:uid="{84D98055-41EA-4718-9AA0-DEAADF22C17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5" authorId="0" shapeId="0" xr:uid="{98F130CE-45E2-4028-B4A4-25BFBA46239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6" authorId="0" shapeId="0" xr:uid="{6FBBD750-9F20-433E-B4B5-1CC044B9A18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7" authorId="0" shapeId="0" xr:uid="{8DD82C01-926F-42B6-A08A-ABE85EC877A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8" authorId="0" shapeId="0" xr:uid="{6F8DA2D2-E17D-48BF-9531-3C5857F2CDC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09" authorId="0" shapeId="0" xr:uid="{38A64F29-EE9A-45F0-9C4A-0DAAAFE84D5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0" authorId="0" shapeId="0" xr:uid="{E08B4B86-7AA0-4AF3-8043-64B3FF3EE4F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1" authorId="0" shapeId="0" xr:uid="{3957806C-A8E6-4E60-9363-2BEE03047A6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2" authorId="0" shapeId="0" xr:uid="{F2931B24-83D8-4CE9-A746-EB1B09777CD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3" authorId="0" shapeId="0" xr:uid="{1472E978-13CD-4D31-B8AB-15858640571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4" authorId="0" shapeId="0" xr:uid="{35D32497-A587-419C-BC63-3EE2BD7128D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5" authorId="0" shapeId="0" xr:uid="{8098C33F-D1D0-41B8-9E83-C01E7E3872A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6" authorId="0" shapeId="0" xr:uid="{BA39012B-390D-4608-B473-687F93E7614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7" authorId="0" shapeId="0" xr:uid="{436A2A3F-28A3-48B2-940D-F61A2E83559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8" authorId="0" shapeId="0" xr:uid="{107781DC-E568-47D8-A515-019CCEEFA51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19" authorId="0" shapeId="0" xr:uid="{EC26D8A4-63B9-44E5-BB72-33F84257487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0" authorId="0" shapeId="0" xr:uid="{4319DA5F-33D1-48F6-90CB-2615D792738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1" authorId="0" shapeId="0" xr:uid="{C924D8F5-FA57-4C18-A545-1DF526F6338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2" authorId="0" shapeId="0" xr:uid="{C187EEFA-27D2-478B-8CC8-FE577A103FE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3" authorId="0" shapeId="0" xr:uid="{2E90016D-C618-4926-B154-A9B194AD0E5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4" authorId="0" shapeId="0" xr:uid="{7DE4CBD5-FB3F-4E4F-8028-30B69D75974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5" authorId="0" shapeId="0" xr:uid="{4E6794C3-C1D6-4337-908D-68F2A2FDCDE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6" authorId="0" shapeId="0" xr:uid="{160DF253-EA0F-416B-836E-256AB244600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7" authorId="0" shapeId="0" xr:uid="{90B92260-F986-4DBD-B59B-A67CB43C335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8" authorId="0" shapeId="0" xr:uid="{02C50FCD-44BB-4E91-A37A-255682F1E9C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29" authorId="0" shapeId="0" xr:uid="{906C52BD-3CF4-477D-84F5-AD476677EBB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0" authorId="0" shapeId="0" xr:uid="{D5C0CB2C-E5B4-4FC4-81C6-547F9BDD78C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1" authorId="0" shapeId="0" xr:uid="{4620EBAA-E219-4BE0-8918-D15718AA945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2" authorId="0" shapeId="0" xr:uid="{08F9B451-27B7-415B-8F96-E2BA3748610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3" authorId="0" shapeId="0" xr:uid="{74187567-5D63-4A7C-ACF4-5E49C06DA121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4" authorId="0" shapeId="0" xr:uid="{B82B154B-968A-4D53-A1C2-518EE12C8E3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5" authorId="0" shapeId="0" xr:uid="{445706E1-8C4E-4090-BC73-B51F13223FA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6" authorId="0" shapeId="0" xr:uid="{1C732B77-91CF-4AF7-816A-6EA510A9929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7" authorId="0" shapeId="0" xr:uid="{D0C31E5D-509A-4E24-AE16-900F33213A0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8" authorId="0" shapeId="0" xr:uid="{E1F638FE-248F-4286-B1D5-37E0D34CE67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39" authorId="0" shapeId="0" xr:uid="{118A555E-F84B-4EC7-AD64-4A79BFDCD94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0" authorId="0" shapeId="0" xr:uid="{4F409351-7DAF-446A-BDAC-45ECF60843A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1" authorId="0" shapeId="0" xr:uid="{D31B3C93-C2C2-4F30-97B7-9801EE631E6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2" authorId="0" shapeId="0" xr:uid="{0FFC3A99-500B-4D41-AD03-667FC0F38FB6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3" authorId="0" shapeId="0" xr:uid="{1FC68B26-56D4-45C6-906D-A124C1B521AE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4" authorId="0" shapeId="0" xr:uid="{01B68467-DF3E-46B3-88BA-40C290AAFA2F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5" authorId="0" shapeId="0" xr:uid="{FCB9412B-86D9-42C8-A767-8CA3925B439A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6" authorId="0" shapeId="0" xr:uid="{914048C6-57C6-4DA8-8DB6-4589D977FE6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7" authorId="0" shapeId="0" xr:uid="{8642BABE-213C-4F39-A537-DE1587DB3C7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8" authorId="0" shapeId="0" xr:uid="{2FE4E061-2486-4D72-B198-44ECD5417BB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49" authorId="0" shapeId="0" xr:uid="{CD49C4BC-3CC8-4D5C-AD18-82D7731AB19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0" authorId="0" shapeId="0" xr:uid="{90C10DFC-33FB-4407-8E7C-E58ED1019E0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1" authorId="0" shapeId="0" xr:uid="{7E1F66D4-1F94-4AAF-BC5B-A1A1E39B94D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2" authorId="0" shapeId="0" xr:uid="{37BA3AC0-58FC-43D7-9F1D-B57922E03F6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3" authorId="0" shapeId="0" xr:uid="{CDBFD724-AB0E-447B-AB0F-E2B1EE5EB793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4" authorId="0" shapeId="0" xr:uid="{16F67948-5D67-47C4-88B5-B1CD6AAC5E8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5" authorId="0" shapeId="0" xr:uid="{47590605-C762-45B8-9578-99BBF8AF4119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6" authorId="0" shapeId="0" xr:uid="{1949EBA9-C46D-4C12-839D-B8690AFB458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7" authorId="0" shapeId="0" xr:uid="{E79A1E2A-57BB-4C71-8209-B85E1BFC091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8" authorId="0" shapeId="0" xr:uid="{25CC939B-2952-467A-9907-33779AAC2A72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59" authorId="0" shapeId="0" xr:uid="{7322AA22-67FF-42CB-85A2-1F7A251F12A7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0" authorId="0" shapeId="0" xr:uid="{3EF1F02A-5BAF-4B47-BF57-F025FAFCCCD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1" authorId="0" shapeId="0" xr:uid="{6774416D-7671-437B-9AB7-C39CC176C6C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2" authorId="0" shapeId="0" xr:uid="{2E4F85F9-58D5-4437-B072-C9A23688632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3" authorId="0" shapeId="0" xr:uid="{E48CB305-102C-4183-8FDF-700DC9240F04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4" authorId="0" shapeId="0" xr:uid="{584DDA6E-DFF3-48E7-814A-2FA32C14AF8B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5" authorId="0" shapeId="0" xr:uid="{91D4E081-9705-44E1-8817-6FB0535FC5C8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6" authorId="0" shapeId="0" xr:uid="{011FA2BD-52EA-4C23-9A71-CD63618F25B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7" authorId="0" shapeId="0" xr:uid="{09F80A15-199E-4CDA-A0F5-83DF64C4794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8" authorId="0" shapeId="0" xr:uid="{28242E4A-4ECE-4B30-9BDA-5ECE8A67183D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69" authorId="0" shapeId="0" xr:uid="{4963AB57-F2CC-4626-8AA8-DF37FADC2105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0" authorId="0" shapeId="0" xr:uid="{B5EA5594-CB3F-41EB-ACA9-5A55799B66DC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  <comment ref="C271" authorId="0" shapeId="0" xr:uid="{10232ED1-44D0-4754-BBAE-9DD06C420F00}">
      <text>
        <r>
          <rPr>
            <sz val="9"/>
            <color indexed="81"/>
            <rFont val="Tahoma"/>
            <family val="2"/>
          </rPr>
          <t>Row ID (intragroup guarantees provided)  =  &lt;Key value&gt;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ojones</author>
  </authors>
  <commentList>
    <comment ref="D7" authorId="0" shapeId="0" xr:uid="{3608F381-ED86-4548-8129-89BFE1FE1133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E7" authorId="0" shapeId="0" xr:uid="{326A1E59-C3EF-4B55-8BA9-1546BBD014C7}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Debt securities issued, equity instruments issued, Equity issued other than Equity instruments issued</t>
        </r>
      </text>
    </comment>
    <comment ref="F7" authorId="0" shapeId="0" xr:uid="{2C58D10C-E83E-45D4-8C7A-A419033BD773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Debt securities issued, equity instruments issued, Equity issued other than Equity instruments issued</t>
        </r>
      </text>
    </comment>
    <comment ref="G7" authorId="0" shapeId="0" xr:uid="{9296AFC9-CD02-4E92-AD6D-CAB358BBF444}">
      <text>
        <r>
          <rPr>
            <sz val="9"/>
            <color indexed="81"/>
            <rFont val="Tahoma"/>
            <family val="2"/>
          </rPr>
          <t>Metric  =  Ranking in insolvency [ei:ZZ:ZZ28]_x000D_
Base  =  Liabilities and Equity_x000D_
Main category  =  Debt securities issued, equity instruments issued, Equity issued other than Equity instruments issued</t>
        </r>
      </text>
    </comment>
    <comment ref="H7" authorId="0" shapeId="0" xr:uid="{B805F15F-2917-4906-81A5-3A46454A2915}">
      <text>
        <r>
          <rPr>
            <sz val="9"/>
            <color indexed="81"/>
            <rFont val="Tahoma"/>
            <family val="2"/>
          </rPr>
          <t>Metric  =  Identifier of the security [si]_x000D_
Base  =  Liabilities and Equity_x000D_
Main category  =  Debt securities issued, equity instruments issued, Equity issued other than Equity instruments issued</t>
        </r>
      </text>
    </comment>
    <comment ref="I7" authorId="0" shapeId="0" xr:uid="{38469425-5EE8-4553-B58B-C27196878A4D}">
      <text>
        <r>
          <rPr>
            <sz val="9"/>
            <color indexed="81"/>
            <rFont val="Tahoma"/>
            <family val="2"/>
          </rPr>
          <t>Metric  =  Type of instrument [ei:MC:MC74_1]_x000D_
Base  =  Liabilities and Equity_x000D_
Main category  =  Debt securities issued, equity instruments issued, Equity issued other than Equity instruments issued</t>
        </r>
      </text>
    </comment>
    <comment ref="J7" authorId="0" shapeId="0" xr:uid="{5B20F6E9-1E3F-4506-8907-11486D1529F4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 and Equity_x000D_
Main category  =  Debt securities issued, equity instruments issued, Equity issued other than Equity instruments issued</t>
        </r>
      </text>
    </comment>
    <comment ref="K7" authorId="0" shapeId="0" xr:uid="{D35E23F6-2BDB-4531-8D85-DD1452B9275B}">
      <text>
        <r>
          <rPr>
            <sz val="9"/>
            <color indexed="81"/>
            <rFont val="Tahoma"/>
            <family val="2"/>
          </rPr>
          <t>Metric  =  Contractual recognition of bail-in powers [ei:ZZ:ZZ37]_x000D_
Base  =  Liabilities and Equity_x000D_
Main category  =  Debt securities issued, equity instruments issued, Equity issued other than Equity instruments issued</t>
        </r>
      </text>
    </comment>
    <comment ref="L7" authorId="0" shapeId="0" xr:uid="{5385D073-0D65-4298-8628-049F25CFABEA}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 and Equity_x000D_
Main category  =  Debt securities issued, equity instruments issued, Equity issued other than Equity instruments issued</t>
        </r>
      </text>
    </comment>
    <comment ref="M7" authorId="0" shapeId="0" xr:uid="{3A7AA1F0-9DA9-44FA-92F3-C50F1C10DEF5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Reference date or period  =  At the date of issuance</t>
        </r>
      </text>
    </comment>
    <comment ref="N7" authorId="0" shapeId="0" xr:uid="{02D5F403-402E-4AFD-934E-404D23CF6A60}">
      <text>
        <r>
          <rPr>
            <sz val="9"/>
            <color indexed="81"/>
            <rFont val="Tahoma"/>
            <family val="2"/>
          </rPr>
          <t>Metric  =  Outstanding amount. Principal [mi]_x000D_
Base  =  Liabilities and Equity_x000D_
Main category  =  Debt securities issued, equity instruments issued, Equity issued other than Equity instruments issued</t>
        </r>
      </text>
    </comment>
    <comment ref="O7" authorId="0" shapeId="0" xr:uid="{9C60BA09-6A8A-444C-98ED-CB7E466519E7}">
      <text>
        <r>
          <rPr>
            <sz val="9"/>
            <color indexed="81"/>
            <rFont val="Tahoma"/>
            <family val="2"/>
          </rPr>
          <t>Metric  =  Outstanding amount. Accrued interest [mi]_x000D_
Base  =  Liabilities and Equity_x000D_
Main category  =  Debt securities issued, equity instruments issued, Equity issued other than Equity instruments issued</t>
        </r>
      </text>
    </comment>
    <comment ref="P7" authorId="0" shapeId="0" xr:uid="{CA07501E-DD8E-4D7C-A81F-445F667D9A98}">
      <text>
        <r>
          <rPr>
            <sz val="9"/>
            <color indexed="81"/>
            <rFont val="Tahoma"/>
            <family val="2"/>
          </rPr>
          <t>Metric  =  Type of coupon [ei:ZZ:ZZ33_1]_x000D_
Base  =  Liabilities and Equity_x000D_
Main category  =  Debt securities issued, equity instruments issued, Equity issued other than Equity instruments issued</t>
        </r>
      </text>
    </comment>
    <comment ref="Q7" authorId="0" shapeId="0" xr:uid="{9263C133-6AE3-4B6F-BDC0-8407A36E0D43}">
      <text>
        <r>
          <rPr>
            <sz val="9"/>
            <color indexed="81"/>
            <rFont val="Tahoma"/>
            <family val="2"/>
          </rPr>
          <t>Metric  =  Coupon rate / interest rate [pi]_x000D_
Base  =  Liabilities and Equity_x000D_
Main category  =  Debt securities issued, equity instruments issued, Equity issued other than Equity instruments issued</t>
        </r>
      </text>
    </comment>
    <comment ref="R7" authorId="0" shapeId="0" xr:uid="{68AB118B-0B8E-45D1-A057-24E3091E9BDF}">
      <text>
        <r>
          <rPr>
            <sz val="9"/>
            <color indexed="81"/>
            <rFont val="Tahoma"/>
            <family val="2"/>
          </rPr>
          <t>Metric  =  Date of issuance [di]_x000D_
Base  =  Liabilities and Equity_x000D_
Main category  =  Debt securities issued, equity instruments issued, Equity issued other than Equity instruments issued</t>
        </r>
      </text>
    </comment>
    <comment ref="S7" authorId="0" shapeId="0" xr:uid="{C6CE36CF-1D37-4240-B8BE-34309F52EBF6}">
      <text>
        <r>
          <rPr>
            <sz val="9"/>
            <color indexed="81"/>
            <rFont val="Tahoma"/>
            <family val="2"/>
          </rPr>
          <t>Metric  =  Earliest date of redemption [di]_x000D_
Base  =  Liabilities and Equity_x000D_
Main category  =  Debt securities issued, equity instruments issued, Equity issued other than Equity instruments issued</t>
        </r>
      </text>
    </comment>
    <comment ref="T7" authorId="0" shapeId="0" xr:uid="{FEC02B05-4C8B-41B2-905C-D552DBBE1414}">
      <text>
        <r>
          <rPr>
            <sz val="9"/>
            <color indexed="81"/>
            <rFont val="Tahoma"/>
            <family val="2"/>
          </rPr>
          <t>Metric  =  Legal final maturity date [di]_x000D_
Base  =  Liabilities and Equity_x000D_
Main category  =  Debt securities issued, equity instruments issued, Equity issued other than Equity instruments issued</t>
        </r>
      </text>
    </comment>
    <comment ref="U7" authorId="0" shapeId="0" xr:uid="{977AE20D-23C8-40F5-BEB4-7312A73C0B4F}">
      <text>
        <r>
          <rPr>
            <sz val="9"/>
            <color indexed="81"/>
            <rFont val="Tahoma"/>
            <family val="2"/>
          </rPr>
          <t>Metric  =  Type of placement [ei:ZZ:ZZ34]_x000D_
Base  =  Liabilities and Equity_x000D_
Main category  =  Debt securities issued, equity instruments issued, Equity issued other than Equity instruments issued</t>
        </r>
      </text>
    </comment>
    <comment ref="V7" authorId="0" shapeId="0" xr:uid="{399BA8D6-4006-453A-9496-50504263518D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Paying agent</t>
        </r>
      </text>
    </comment>
    <comment ref="W7" authorId="0" shapeId="0" xr:uid="{F85451F7-C387-4B12-99A0-678E3B816EA9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Trustee</t>
        </r>
      </text>
    </comment>
    <comment ref="X7" authorId="0" shapeId="0" xr:uid="{30119A64-0494-477A-B40A-21484CFC320B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Y7" authorId="0" shapeId="0" xr:uid="{F2D1793C-51FB-47C3-BAC1-D5BDC062E59F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Z7" authorId="0" shapeId="0" xr:uid="{0EEBEF4E-1A79-463F-9AB0-11CD8F0D39B9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Securities exchange</t>
        </r>
      </text>
    </comment>
    <comment ref="AA7" authorId="0" shapeId="0" xr:uid="{22605570-46C9-41A2-8A1C-D34EAFCC2EA7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Settlement system</t>
        </r>
      </text>
    </comment>
    <comment ref="AB7" authorId="0" shapeId="0" xr:uid="{7CA84E6C-EAA0-49D3-9E86-3B00C57C5A85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Registrar holder</t>
        </r>
      </text>
    </comment>
    <comment ref="AC7" authorId="0" shapeId="0" xr:uid="{1CB4D612-C39B-425A-939F-DDDFCA4508CE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Central Securities Depository (CSD)</t>
        </r>
      </text>
    </comment>
    <comment ref="AD7" authorId="0" shapeId="0" xr:uid="{A2DFE633-BD1B-4791-8315-0744D790184D}">
      <text>
        <r>
          <rPr>
            <sz val="9"/>
            <color indexed="81"/>
            <rFont val="Tahoma"/>
            <family val="2"/>
          </rPr>
          <t>Metric  =  Collateralisation status [ei:ZZ:ZZ29]_x000D_
Base  =  Liabilities and Equity_x000D_
Main category  =  Debt securities issued, equity instruments issued, Equity issued other than Equity instruments issued</t>
        </r>
      </text>
    </comment>
    <comment ref="AE7" authorId="0" shapeId="0" xr:uid="{EBA91F22-7C72-49FC-9379-08C88EA72FB9}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collateralised item  =  Debt securities issued, equity instruments issued, Equity issued other than Equity instruments issued</t>
        </r>
      </text>
    </comment>
    <comment ref="AF7" authorId="0" shapeId="0" xr:uid="{63FDD082-F73D-4952-B89D-5770427D87A8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Guarantor</t>
        </r>
      </text>
    </comment>
    <comment ref="AG7" authorId="0" shapeId="0" xr:uid="{6A087424-6A8E-4CE0-A0BF-1DD4C57A9323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Is funded by an intra-group entity  =  True</t>
        </r>
      </text>
    </comment>
    <comment ref="AH7" authorId="0" shapeId="0" xr:uid="{289C7303-CDAF-439F-AC62-FE93C7D1E18C}">
      <text>
        <r>
          <rPr>
            <sz val="9"/>
            <color indexed="81"/>
            <rFont val="Tahoma"/>
            <family val="2"/>
          </rPr>
          <t>Metric  =  Type of contractual terms [ei:ZZ:ZZ30]_x000D_
Base  =  Liabilities and Equity_x000D_
Main category  =  Debt securities issued, equity instruments issued, Equity issued other than Equity instruments issued</t>
        </r>
      </text>
    </comment>
    <comment ref="AI7" authorId="0" shapeId="0" xr:uid="{DD87FD5F-2828-414A-A893-87E14E7E772B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Eligibility for MREL  =  Eligible</t>
        </r>
      </text>
    </comment>
    <comment ref="AJ7" authorId="0" shapeId="0" xr:uid="{0F6D87F0-A2D6-41F4-8661-590E3383F5AA}">
      <text>
        <r>
          <rPr>
            <sz val="9"/>
            <color indexed="81"/>
            <rFont val="Tahoma"/>
            <family val="2"/>
          </rPr>
          <t>Metric  =  Type of regulatory capital [ei:OF:OF8]_x000D_
Base  =  Liabilities and Equity_x000D_
Main category  =  Debt securities issued, equity instruments issued, Equity issued other than Equity instruments issued</t>
        </r>
      </text>
    </comment>
    <comment ref="AK7" authorId="0" shapeId="0" xr:uid="{43D31267-C956-4A61-A9A6-F0E32715161F}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Debt securities issued, equity instruments issued, Equity issued other than Equity instruments issued</t>
        </r>
      </text>
    </comment>
    <comment ref="C8" authorId="0" shapeId="0" xr:uid="{6603AC18-C5FC-4453-8182-A61D17B6EED9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D8" authorId="1" shapeId="0" xr:uid="{A9E359AD-B7C6-41AF-A108-68CF681EEBD0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E8" authorId="1" shapeId="0" xr:uid="{563408D6-D1D2-4E7D-B5F1-15501415C6DA}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Debt securities issued, equity instruments issued, Equity issued other than Equity instruments issued</t>
        </r>
      </text>
    </comment>
    <comment ref="F8" authorId="1" shapeId="0" xr:uid="{31BFC3F2-E1E0-4535-AAB1-C261BB50567B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Debt securities issued, equity instruments issued, Equity issued other than Equity instruments issued</t>
        </r>
      </text>
    </comment>
    <comment ref="G8" authorId="1" shapeId="0" xr:uid="{C678C96B-4844-4A7F-B2B8-81846C641582}">
      <text>
        <r>
          <rPr>
            <sz val="9"/>
            <color indexed="81"/>
            <rFont val="Tahoma"/>
            <family val="2"/>
          </rPr>
          <t>Metric  =  Ranking in insolvency [ei:ZZ:ZZ28]_x000D_
Base  =  Liabilities and Equity_x000D_
Main category  =  Debt securities issued, equity instruments issued, Equity issued other than Equity instruments issued</t>
        </r>
      </text>
    </comment>
    <comment ref="H8" authorId="1" shapeId="0" xr:uid="{08F54124-264F-4110-8215-5384A775AC2B}">
      <text>
        <r>
          <rPr>
            <sz val="9"/>
            <color indexed="81"/>
            <rFont val="Tahoma"/>
            <family val="2"/>
          </rPr>
          <t>Metric  =  Identifier of the security [si]_x000D_
Base  =  Liabilities and Equity_x000D_
Main category  =  Debt securities issued, equity instruments issued, Equity issued other than Equity instruments issued</t>
        </r>
      </text>
    </comment>
    <comment ref="I8" authorId="1" shapeId="0" xr:uid="{3E87DBA1-AEA2-4F58-AB43-0D5648C9EE80}">
      <text>
        <r>
          <rPr>
            <sz val="9"/>
            <color indexed="81"/>
            <rFont val="Tahoma"/>
            <family val="2"/>
          </rPr>
          <t>Metric  =  Type of instrument [ei:MC:MC74_1]_x000D_
Base  =  Liabilities and Equity_x000D_
Main category  =  Debt securities issued, equity instruments issued, Equity issued other than Equity instruments issued</t>
        </r>
      </text>
    </comment>
    <comment ref="J8" authorId="1" shapeId="0" xr:uid="{A6281D43-8425-405D-B925-14CD33621665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 and Equity_x000D_
Main category  =  Debt securities issued, equity instruments issued, Equity issued other than Equity instruments issued</t>
        </r>
      </text>
    </comment>
    <comment ref="K8" authorId="1" shapeId="0" xr:uid="{BC78BEA9-66A3-40CA-B3CF-5F6360A322B2}">
      <text>
        <r>
          <rPr>
            <sz val="9"/>
            <color indexed="81"/>
            <rFont val="Tahoma"/>
            <family val="2"/>
          </rPr>
          <t>Metric  =  Contractual recognition of bail-in powers [ei:ZZ:ZZ37]_x000D_
Base  =  Liabilities and Equity_x000D_
Main category  =  Debt securities issued, equity instruments issued, Equity issued other than Equity instruments issued</t>
        </r>
      </text>
    </comment>
    <comment ref="L8" authorId="1" shapeId="0" xr:uid="{0F9667E8-77AB-453C-9265-65DCC7BCF2FD}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 and Equity_x000D_
Main category  =  Debt securities issued, equity instruments issued, Equity issued other than Equity instruments issued</t>
        </r>
      </text>
    </comment>
    <comment ref="M8" authorId="1" shapeId="0" xr:uid="{3F5D92F3-776E-40CB-BEC6-4B68D2090493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Reference date or period  =  At the date of issuance</t>
        </r>
      </text>
    </comment>
    <comment ref="N8" authorId="1" shapeId="0" xr:uid="{CED06F00-CB4E-4208-9E5C-794AEC6FAE66}">
      <text>
        <r>
          <rPr>
            <sz val="9"/>
            <color indexed="81"/>
            <rFont val="Tahoma"/>
            <family val="2"/>
          </rPr>
          <t>Metric  =  Outstanding amount. Principal [mi]_x000D_
Base  =  Liabilities and Equity_x000D_
Main category  =  Debt securities issued, equity instruments issued, Equity issued other than Equity instruments issued</t>
        </r>
      </text>
    </comment>
    <comment ref="O8" authorId="1" shapeId="0" xr:uid="{9827D1D1-1E10-453C-86C9-4AF0CA88239D}">
      <text>
        <r>
          <rPr>
            <sz val="9"/>
            <color indexed="81"/>
            <rFont val="Tahoma"/>
            <family val="2"/>
          </rPr>
          <t>Metric  =  Outstanding amount. Accrued interest [mi]_x000D_
Base  =  Liabilities and Equity_x000D_
Main category  =  Debt securities issued, equity instruments issued, Equity issued other than Equity instruments issued</t>
        </r>
      </text>
    </comment>
    <comment ref="P8" authorId="1" shapeId="0" xr:uid="{F88094F0-9614-41EE-B5F6-CDF2D8D4E92F}">
      <text>
        <r>
          <rPr>
            <sz val="9"/>
            <color indexed="81"/>
            <rFont val="Tahoma"/>
            <family val="2"/>
          </rPr>
          <t>Metric  =  Type of coupon [ei:ZZ:ZZ33_1]_x000D_
Base  =  Liabilities and Equity_x000D_
Main category  =  Debt securities issued, equity instruments issued, Equity issued other than Equity instruments issued</t>
        </r>
      </text>
    </comment>
    <comment ref="Q8" authorId="1" shapeId="0" xr:uid="{48E31682-113B-4B11-B817-E7914DB6B11E}">
      <text>
        <r>
          <rPr>
            <sz val="9"/>
            <color indexed="81"/>
            <rFont val="Tahoma"/>
            <family val="2"/>
          </rPr>
          <t>Metric  =  Coupon rate / interest rate [pi]_x000D_
Base  =  Liabilities and Equity_x000D_
Main category  =  Debt securities issued, equity instruments issued, Equity issued other than Equity instruments issued</t>
        </r>
      </text>
    </comment>
    <comment ref="R8" authorId="1" shapeId="0" xr:uid="{81063967-A1BF-4F1D-956F-11D3597EA1CA}">
      <text>
        <r>
          <rPr>
            <sz val="9"/>
            <color indexed="81"/>
            <rFont val="Tahoma"/>
            <family val="2"/>
          </rPr>
          <t>Metric  =  Date of issuance [di]_x000D_
Base  =  Liabilities and Equity_x000D_
Main category  =  Debt securities issued, equity instruments issued, Equity issued other than Equity instruments issued</t>
        </r>
      </text>
    </comment>
    <comment ref="S8" authorId="1" shapeId="0" xr:uid="{F7682AF3-6FD5-4C07-AC7C-BDF05D0059EC}">
      <text>
        <r>
          <rPr>
            <sz val="9"/>
            <color indexed="81"/>
            <rFont val="Tahoma"/>
            <family val="2"/>
          </rPr>
          <t>Metric  =  Earliest date of redemption [di]_x000D_
Base  =  Liabilities and Equity_x000D_
Main category  =  Debt securities issued, equity instruments issued, Equity issued other than Equity instruments issued</t>
        </r>
      </text>
    </comment>
    <comment ref="T8" authorId="1" shapeId="0" xr:uid="{889697D3-9F35-4653-89FD-7E30D638A8E5}">
      <text>
        <r>
          <rPr>
            <sz val="9"/>
            <color indexed="81"/>
            <rFont val="Tahoma"/>
            <family val="2"/>
          </rPr>
          <t>Metric  =  Legal final maturity date [di]_x000D_
Base  =  Liabilities and Equity_x000D_
Main category  =  Debt securities issued, equity instruments issued, Equity issued other than Equity instruments issued</t>
        </r>
      </text>
    </comment>
    <comment ref="U8" authorId="1" shapeId="0" xr:uid="{31F262EB-0BD5-42C9-BCB3-29D224B5B2B7}">
      <text>
        <r>
          <rPr>
            <sz val="9"/>
            <color indexed="81"/>
            <rFont val="Tahoma"/>
            <family val="2"/>
          </rPr>
          <t>Metric  =  Type of placement [ei:ZZ:ZZ34]_x000D_
Base  =  Liabilities and Equity_x000D_
Main category  =  Debt securities issued, equity instruments issued, Equity issued other than Equity instruments issued</t>
        </r>
      </text>
    </comment>
    <comment ref="V8" authorId="1" shapeId="0" xr:uid="{E6C9ECA1-EDB7-4B5B-9EF8-E70F1615CFE6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Paying agent</t>
        </r>
      </text>
    </comment>
    <comment ref="W8" authorId="1" shapeId="0" xr:uid="{2CDFCB51-1EF1-4438-A140-A293CB462F0F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Trustee</t>
        </r>
      </text>
    </comment>
    <comment ref="X8" authorId="1" shapeId="0" xr:uid="{C0183E91-0121-4F41-964B-09E7FE5C251C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Y8" authorId="1" shapeId="0" xr:uid="{167F0DC7-587A-4447-9CD5-5C87A713796D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Debt securities issued, equity instruments issued, Equity issued other than Equity instruments issued_x000D_
Role in the contract  =  Investor, creditor</t>
        </r>
      </text>
    </comment>
    <comment ref="Z8" authorId="1" shapeId="0" xr:uid="{BC722E32-87E7-4C8F-8C42-C1C38AAEC326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Securities exchange</t>
        </r>
      </text>
    </comment>
    <comment ref="AA8" authorId="1" shapeId="0" xr:uid="{ED067B34-0051-409B-AC8B-6E886A20A6CB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Settlement system</t>
        </r>
      </text>
    </comment>
    <comment ref="AB8" authorId="1" shapeId="0" xr:uid="{7925A247-BB43-4BCB-9ADA-E469399ABEAC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Registrar holder</t>
        </r>
      </text>
    </comment>
    <comment ref="AC8" authorId="1" shapeId="0" xr:uid="{5AABC864-D4B5-478E-B75E-75A2F935F5F9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Servicing entities  =  Central Securities Depository (CSD)</t>
        </r>
      </text>
    </comment>
    <comment ref="AD8" authorId="1" shapeId="0" xr:uid="{49DCC23E-378B-46AA-8A3C-9ACD0FC103BB}">
      <text>
        <r>
          <rPr>
            <sz val="9"/>
            <color indexed="81"/>
            <rFont val="Tahoma"/>
            <family val="2"/>
          </rPr>
          <t>Metric  =  Collateralisation status [ei:ZZ:ZZ29]_x000D_
Base  =  Liabilities and Equity_x000D_
Main category  =  Debt securities issued, equity instruments issued, Equity issued other than Equity instruments issued</t>
        </r>
      </text>
    </comment>
    <comment ref="AE8" authorId="1" shapeId="0" xr:uid="{8137B1F8-734F-4381-AC8B-7973D4083673}">
      <text>
        <r>
          <rPr>
            <sz val="9"/>
            <color indexed="81"/>
            <rFont val="Tahoma"/>
            <family val="2"/>
          </rPr>
          <t>Metric  =  Carrying amount [mi]_x000D_
Main category  =  Collateral posted_x000D_
Main category of collateralised item  =  Debt securities issued, equity instruments issued, Equity issued other than Equity instruments issued</t>
        </r>
      </text>
    </comment>
    <comment ref="AF8" authorId="1" shapeId="0" xr:uid="{9CDF5B66-4D32-4908-9A89-B7A0B001CB51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Debt securities issued, equity instruments issued, Equity issued other than Equity instruments issued_x000D_
Role in the contract  =  Guarantor</t>
        </r>
      </text>
    </comment>
    <comment ref="AG8" authorId="1" shapeId="0" xr:uid="{CC6ABDC2-1F4C-4443-ACAF-C0761963942E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Is funded by an intra-group entity  =  True</t>
        </r>
      </text>
    </comment>
    <comment ref="AH8" authorId="1" shapeId="0" xr:uid="{94B02B91-2109-4228-B229-259EBE2C7F10}">
      <text>
        <r>
          <rPr>
            <sz val="9"/>
            <color indexed="81"/>
            <rFont val="Tahoma"/>
            <family val="2"/>
          </rPr>
          <t>Metric  =  Type of contractual terms [ei:ZZ:ZZ30]_x000D_
Base  =  Liabilities and Equity_x000D_
Main category  =  Debt securities issued, equity instruments issued, Equity issued other than Equity instruments issued</t>
        </r>
      </text>
    </comment>
    <comment ref="AI8" authorId="1" shapeId="0" xr:uid="{DD68A13B-E2A4-4C65-8FE2-6F5726E8580C}">
      <text>
        <r>
          <rPr>
            <sz val="9"/>
            <color indexed="81"/>
            <rFont val="Tahoma"/>
            <family val="2"/>
          </rPr>
          <t>Metric  =  Outstanding amount [mi]_x000D_
Base  =  Liabilities and Equity_x000D_
Main category  =  Debt securities issued, equity instruments issued, Equity issued other than Equity instruments issued_x000D_
Eligibility for MREL  =  Eligible</t>
        </r>
      </text>
    </comment>
    <comment ref="AJ8" authorId="1" shapeId="0" xr:uid="{458EDEFB-775F-4B84-8EAD-EAC3698E7C78}">
      <text>
        <r>
          <rPr>
            <sz val="9"/>
            <color indexed="81"/>
            <rFont val="Tahoma"/>
            <family val="2"/>
          </rPr>
          <t>Metric  =  Type of regulatory capital [ei:OF:OF8]_x000D_
Base  =  Liabilities and Equity_x000D_
Main category  =  Debt securities issued, equity instruments issued, Equity issued other than Equity instruments issued</t>
        </r>
      </text>
    </comment>
    <comment ref="AK8" authorId="1" shapeId="0" xr:uid="{FE64AAC7-C27A-4B13-B140-2EBC52EA8571}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Debt securities issued, equity instruments issued, Equity issued other than Equity instruments issued</t>
        </r>
      </text>
    </comment>
    <comment ref="C9" authorId="0" shapeId="0" xr:uid="{DAB875A6-9F5A-40E4-B3DF-05950B5625EC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C10" authorId="0" shapeId="0" xr:uid="{427411C0-6305-4373-829B-ED5C3B7AF790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  <comment ref="C11" authorId="0" shapeId="0" xr:uid="{BCD8639B-46EC-448A-9F94-DED8A7D3F676}">
      <text>
        <r>
          <rPr>
            <sz val="9"/>
            <color indexed="81"/>
            <rFont val="Tahoma"/>
            <family val="2"/>
          </rPr>
          <t>Row ID (securities issued)  =  &lt;Key value&gt;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Flávia Daniela Costa Pinho</author>
  </authors>
  <commentList>
    <comment ref="O7" authorId="0" shapeId="0" xr:uid="{FC13FCD0-C064-4D7B-A7F1-315DA40D0ED9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Algumas taxas de juro apresentam valores estranhos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Flávia Daniela Costa Pinho</author>
  </authors>
  <commentList>
    <comment ref="Q7" authorId="0" shapeId="0" xr:uid="{E9F78FE7-7638-423A-A5FD-02BF79322B49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Algumas taxas de juro apresentam valores estranhos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ojones</author>
  </authors>
  <commentList>
    <comment ref="D7" authorId="0" shapeId="0" xr:uid="{F819265E-6791-4345-BC3E-B081921F0B92}">
      <text>
        <r>
          <rPr>
            <sz val="9"/>
            <color indexed="81"/>
            <rFont val="Tahoma"/>
            <family val="2"/>
          </rPr>
          <t>Main category of item that is the object of the transaction / contract  =  Derivatives_x000D_
Row ID (derivatives - netting sets)  =  &lt;Key value&gt;</t>
        </r>
      </text>
    </comment>
    <comment ref="E7" authorId="0" shapeId="0" xr:uid="{C8387BFC-D279-4A73-876D-467B471AB812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Derivatives</t>
        </r>
      </text>
    </comment>
    <comment ref="F7" authorId="0" shapeId="0" xr:uid="{9215C48A-4257-4F6E-94B9-5CB5116DF5AB}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Derivatives</t>
        </r>
      </text>
    </comment>
    <comment ref="G7" authorId="0" shapeId="0" xr:uid="{B34B9D53-BB48-4EE8-8FCC-45B203F912C6}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Derivatives</t>
        </r>
      </text>
    </comment>
    <comment ref="H7" authorId="0" shapeId="0" xr:uid="{B9888C35-AFA8-4E6F-A496-3B43AE1C3238}">
      <text>
        <r>
          <rPr>
            <sz val="9"/>
            <color indexed="81"/>
            <rFont val="Tahoma"/>
            <family val="2"/>
          </rPr>
          <t>Metric  =  Type of master agreement [ei:ZZ:ZZ35]_x000D_
Base  =  Liabilities_x000D_
Main category  =  Derivatives</t>
        </r>
      </text>
    </comment>
    <comment ref="I7" authorId="0" shapeId="0" xr:uid="{5D3F8CEB-7778-4D20-A146-5C9B152A6268}">
      <text>
        <r>
          <rPr>
            <sz val="9"/>
            <color indexed="81"/>
            <rFont val="Tahoma"/>
            <family val="2"/>
          </rPr>
          <t>Metric  =  Type of resolution stay agreement.Entity [ei:ZZ:ZZ40]_x000D_
Main category of item that is the object of the transaction / contract  =  Derivatives</t>
        </r>
      </text>
    </comment>
    <comment ref="J7" authorId="0" shapeId="0" xr:uid="{20C17327-0582-4EA2-B904-1C15CF85108B}">
      <text>
        <r>
          <rPr>
            <sz val="9"/>
            <color indexed="81"/>
            <rFont val="Tahoma"/>
            <family val="2"/>
          </rPr>
          <t>Metric  =  Type of resolution stay agreement.Counterparty [ei:ZZ:ZZ41]_x000D_
Main category of item that is the object of the transaction / contract  =  Derivatives</t>
        </r>
      </text>
    </comment>
    <comment ref="K7" authorId="0" shapeId="0" xr:uid="{B6F19061-5E99-4263-B3C6-00450B70FC71}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Derivatives_x000D_
Role in the contract  =  Investor, creditor</t>
        </r>
      </text>
    </comment>
    <comment ref="L7" authorId="0" shapeId="0" xr:uid="{BB3B0CEA-D127-4B60-8096-63012F61CEA7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Derivatives_x000D_
Role in the contract  =  Investor, creditor</t>
        </r>
      </text>
    </comment>
    <comment ref="M7" authorId="0" shapeId="0" xr:uid="{B2A20271-1435-4CD0-8AC6-A18F38C7F1AA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Derivatives_x000D_
Role in the contract  =  Investor, creditor</t>
        </r>
      </text>
    </comment>
    <comment ref="N7" authorId="0" shapeId="0" xr:uid="{888B9E30-516F-42AB-ADA3-0A4B71C5E2AF}">
      <text>
        <r>
          <rPr>
            <sz val="9"/>
            <color indexed="81"/>
            <rFont val="Tahoma"/>
            <family val="2"/>
          </rPr>
          <t>Metric  =  Jurisdiction of incorporation [ei:GA:GA4_1]_x000D_
Main category of item that is the object of the transaction / contract  =  Derivatives_x000D_
Role in the contract  =  Investor, creditor</t>
        </r>
      </text>
    </comment>
    <comment ref="O7" authorId="0" shapeId="0" xr:uid="{0FB3FC88-FBB4-4702-A9E2-4E8AADC706CF}">
      <text>
        <r>
          <rPr>
            <sz val="9"/>
            <color indexed="81"/>
            <rFont val="Tahoma"/>
            <family val="2"/>
          </rPr>
          <t>Metric  =  Is intragroup transaction [bi]_x000D_
Main category of item that is the object of the transaction / contract  =  Derivatives</t>
        </r>
      </text>
    </comment>
    <comment ref="P7" authorId="0" shapeId="0" xr:uid="{05E64A82-AC92-415D-8169-5A381AEF0EC3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Derivatives</t>
        </r>
      </text>
    </comment>
    <comment ref="Q7" authorId="0" shapeId="0" xr:uid="{58627646-D4B6-4118-A06E-6FDEC7635E2D}">
      <text>
        <r>
          <rPr>
            <sz val="9"/>
            <color indexed="81"/>
            <rFont val="Tahoma"/>
            <family val="2"/>
          </rPr>
          <t>Metric  =  Number of transactions [ii]_x000D_
Base  =  Liabilities_x000D_
Main category  =  Derivatives</t>
        </r>
      </text>
    </comment>
    <comment ref="R7" authorId="0" shapeId="0" xr:uid="{29ABBBD3-CF10-4C61-AE7B-C7B8F8539F96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adjustments_x000D_
Eligibility for MREL  =  Non-eligible</t>
        </r>
      </text>
    </comment>
    <comment ref="S7" authorId="0" shapeId="0" xr:uid="{16F1F0F2-69F6-4F0A-9A44-3B8D5F8D6FD5}">
      <text>
        <r>
          <rPr>
            <sz val="9"/>
            <color indexed="81"/>
            <rFont val="Tahoma"/>
            <family val="2"/>
          </rPr>
          <t>Metric  =  Market value [mi]_x000D_
Main category  =  Collateral posted net of collateral received_x000D_
Main category of collateralised item  =  Derivatives</t>
        </r>
      </text>
    </comment>
    <comment ref="T7" authorId="0" shapeId="0" xr:uid="{5A5EE175-9225-4F80-AE95-647844DD9941}">
      <text>
        <r>
          <rPr>
            <sz val="9"/>
            <color indexed="81"/>
            <rFont val="Tahoma"/>
            <family val="2"/>
          </rPr>
          <t>Metric  =  Estimated close-out amount [mi]_x000D_
Base  =  Liabilities_x000D_
Main category of item that is the object of the transaction / contract  =  Derivatives</t>
        </r>
      </text>
    </comment>
    <comment ref="U7" authorId="0" shapeId="0" xr:uid="{E3CB796B-679C-461F-BC37-9D326E6C58E5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offset, estimated close-out amounts_x000D_
Eligibility for MREL  =  Non-eligible</t>
        </r>
      </text>
    </comment>
    <comment ref="C8" authorId="0" shapeId="0" xr:uid="{24DAC985-B9C1-4095-BEAE-7A22511AC730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D8" authorId="1" shapeId="0" xr:uid="{53AFAF85-87E4-412A-A409-7FF0F275BC0E}">
      <text>
        <r>
          <rPr>
            <sz val="9"/>
            <color indexed="81"/>
            <rFont val="Tahoma"/>
            <family val="2"/>
          </rPr>
          <t>Main category of item that is the object of the transaction / contract  =  Derivatives_x000D_
Row ID (derivatives - netting sets)  =  &lt;Key value&gt;</t>
        </r>
      </text>
    </comment>
    <comment ref="E8" authorId="1" shapeId="0" xr:uid="{1214B249-0599-4DFB-A2A2-CA01A39B273C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Derivatives</t>
        </r>
      </text>
    </comment>
    <comment ref="F8" authorId="1" shapeId="0" xr:uid="{22158339-B1D7-426F-AD1C-5CE785F4C736}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Derivatives</t>
        </r>
      </text>
    </comment>
    <comment ref="G8" authorId="1" shapeId="0" xr:uid="{6880BAE5-AFF9-43BF-99B3-C727BA60F7BD}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Derivatives</t>
        </r>
      </text>
    </comment>
    <comment ref="H8" authorId="1" shapeId="0" xr:uid="{DEF171D4-ECBC-4D6A-91A1-E8BFBAA440E0}">
      <text>
        <r>
          <rPr>
            <sz val="9"/>
            <color indexed="81"/>
            <rFont val="Tahoma"/>
            <family val="2"/>
          </rPr>
          <t>Metric  =  Type of master agreement [ei:ZZ:ZZ35]_x000D_
Base  =  Liabilities_x000D_
Main category  =  Derivatives</t>
        </r>
      </text>
    </comment>
    <comment ref="I8" authorId="1" shapeId="0" xr:uid="{244057C4-057A-4765-9CBB-B6EB607755F6}">
      <text>
        <r>
          <rPr>
            <sz val="9"/>
            <color indexed="81"/>
            <rFont val="Tahoma"/>
            <family val="2"/>
          </rPr>
          <t>Metric  =  Type of resolution stay agreement.Entity [ei:ZZ:ZZ40]_x000D_
Main category of item that is the object of the transaction / contract  =  Derivatives</t>
        </r>
      </text>
    </comment>
    <comment ref="J8" authorId="1" shapeId="0" xr:uid="{ED76BC50-7099-4B85-B518-723942D7994B}">
      <text>
        <r>
          <rPr>
            <sz val="9"/>
            <color indexed="81"/>
            <rFont val="Tahoma"/>
            <family val="2"/>
          </rPr>
          <t>Metric  =  Type of resolution stay agreement.Counterparty [ei:ZZ:ZZ41]_x000D_
Main category of item that is the object of the transaction / contract  =  Derivatives</t>
        </r>
      </text>
    </comment>
    <comment ref="K8" authorId="1" shapeId="0" xr:uid="{DF98DC61-DF85-40D5-B590-330BF700E721}">
      <text>
        <r>
          <rPr>
            <sz val="9"/>
            <color indexed="81"/>
            <rFont val="Tahoma"/>
            <family val="2"/>
          </rPr>
          <t>Metric  =  Name of entity [si]_x000D_
Main category of item that is the object of the transaction / contract  =  Derivatives_x000D_
Role in the contract  =  Investor, creditor</t>
        </r>
      </text>
    </comment>
    <comment ref="L8" authorId="1" shapeId="0" xr:uid="{AD802C28-8DB9-4693-BF99-1638C5F102BA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Derivatives_x000D_
Role in the contract  =  Investor, creditor</t>
        </r>
      </text>
    </comment>
    <comment ref="M8" authorId="1" shapeId="0" xr:uid="{3F6844AF-2FFE-4E1E-A845-0754F5F84E8D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Derivatives_x000D_
Role in the contract  =  Investor, creditor</t>
        </r>
      </text>
    </comment>
    <comment ref="N8" authorId="1" shapeId="0" xr:uid="{896D2570-87AF-4A46-8018-38FCAA1F7836}">
      <text>
        <r>
          <rPr>
            <sz val="9"/>
            <color indexed="81"/>
            <rFont val="Tahoma"/>
            <family val="2"/>
          </rPr>
          <t>Metric  =  Jurisdiction of incorporation [ei:GA:GA4_1]_x000D_
Main category of item that is the object of the transaction / contract  =  Derivatives_x000D_
Role in the contract  =  Investor, creditor</t>
        </r>
      </text>
    </comment>
    <comment ref="O8" authorId="1" shapeId="0" xr:uid="{BCB32522-8D53-4CBD-8B6C-468E58CEE25F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Derivatives</t>
        </r>
      </text>
    </comment>
    <comment ref="P8" authorId="1" shapeId="0" xr:uid="{40FDB992-45E5-49CF-A1D9-944A34F3D9F5}">
      <text>
        <r>
          <rPr>
            <sz val="9"/>
            <color indexed="81"/>
            <rFont val="Tahoma"/>
            <family val="2"/>
          </rPr>
          <t>Metric  =  Number of transactions [ii]_x000D_
Base  =  Liabilities_x000D_
Main category  =  Derivatives</t>
        </r>
      </text>
    </comment>
    <comment ref="Q8" authorId="1" shapeId="0" xr:uid="{7203F0E7-70B9-403F-9992-772F2545A06E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adjustments_x000D_
Eligibility for MREL  =  Non-eligible</t>
        </r>
      </text>
    </comment>
    <comment ref="R8" authorId="1" shapeId="0" xr:uid="{7BC64C5D-5E0C-41AC-9829-B074917E0ED1}">
      <text>
        <r>
          <rPr>
            <sz val="9"/>
            <color indexed="81"/>
            <rFont val="Tahoma"/>
            <family val="2"/>
          </rPr>
          <t>Metric  =  Market value [mi]_x000D_
Main category  =  Collateral posted net of collateral received_x000D_
Main category of collateralised item  =  Derivatives</t>
        </r>
      </text>
    </comment>
    <comment ref="S8" authorId="1" shapeId="0" xr:uid="{76C052B0-0D7B-4112-B7BA-EF119E9B6243}">
      <text>
        <r>
          <rPr>
            <sz val="9"/>
            <color indexed="81"/>
            <rFont val="Tahoma"/>
            <family val="2"/>
          </rPr>
          <t>Metric  =  Estimated close-out amount [mi]_x000D_
Base  =  Liabilities</t>
        </r>
      </text>
    </comment>
    <comment ref="T8" authorId="1" shapeId="0" xr:uid="{A42BE1C8-1A13-46D0-B076-1B4259FFB8A8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Derivatives_x000D_
Exclusion from Bail-in  =  Not excluded from bail-in_x000D_
Factors considered in the valuation of derivatives  =  Contractual netting agreements, mark-to-market adjustments, collateral offset, estimated close-out amounts_x000D_
Eligibility for MREL  =  Non-eligible</t>
        </r>
      </text>
    </comment>
    <comment ref="U8" authorId="0" shapeId="0" xr:uid="{3D121280-7381-4B06-80C0-FE520D9CA7A8}">
      <text>
        <r>
          <rPr>
            <sz val="9"/>
            <color indexed="81"/>
            <rFont val="Tahoma"/>
            <family val="2"/>
          </rPr>
          <t>DataPointVID 417733_x000D_
DataPointID 417733_x000D_
Metric  =  Outstanding amount [mi]_x000D_
Base  =  Liabilities_x000D_
Row ID (derivatives - netting sets)  =  &lt;Key value&gt;_x000D_
Exclusion from Bail-in  =  Not excluded from bail-in_x000D_
Main category  =  Derivatives_x000D_
Eligibility for MREL  =  Non-eligible_x000D_
Factors considered in the valuation of derivatives  =  Contractual netting agreements, mark-to-market adjustments, collateral offset, estimated close-out amounts</t>
        </r>
      </text>
    </comment>
    <comment ref="C9" authorId="0" shapeId="0" xr:uid="{1387E402-4402-405F-8D73-17286D0B4E2D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0" authorId="0" shapeId="0" xr:uid="{B19F6AE8-B1AE-42B1-B0F2-F8146562824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1" authorId="0" shapeId="0" xr:uid="{6434217E-6AD9-41BB-BC81-290C8FB6D9A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2" authorId="0" shapeId="0" xr:uid="{FDE5F897-DC07-4CAF-B2D8-82D2201F8054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3" authorId="0" shapeId="0" xr:uid="{5A738E5F-FAA8-4E70-891F-49AB84F9953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4" authorId="0" shapeId="0" xr:uid="{840679E3-259F-45F2-9737-D670E1A5CCB6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5" authorId="0" shapeId="0" xr:uid="{69CE7AF3-1A76-4A38-AABB-A27B59A4F31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6" authorId="0" shapeId="0" xr:uid="{78E164DA-D86A-4261-B12B-283EADF6BC75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7" authorId="0" shapeId="0" xr:uid="{2F09F2EF-C691-43FA-AB95-06FD8A330EB5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8" authorId="0" shapeId="0" xr:uid="{0117FE4D-E39C-4381-B545-CA89CD9BEFA2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19" authorId="0" shapeId="0" xr:uid="{9C108D70-3391-4BC6-8039-BBEA45471208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0" authorId="0" shapeId="0" xr:uid="{F33AFD0F-0FFF-463C-91E5-B2477A44BEDD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1" authorId="0" shapeId="0" xr:uid="{3AFD4588-DD05-4CB0-8503-6A57F8191DEE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2" authorId="0" shapeId="0" xr:uid="{8970E71E-ABF7-4DED-82A5-31E8FD2FE3F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3" authorId="0" shapeId="0" xr:uid="{98F6C3E1-E1B4-4DB0-B401-0EFEB2B6EE70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4" authorId="0" shapeId="0" xr:uid="{5122C712-4248-40C9-A0FC-81E78C8606F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5" authorId="0" shapeId="0" xr:uid="{08800EEE-496E-4528-A368-93AA8B7F7021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6" authorId="0" shapeId="0" xr:uid="{5260B47C-9FC1-4875-B142-279D64E6D9D2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7" authorId="0" shapeId="0" xr:uid="{7C4A4506-769B-4085-9987-676775318E8D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8" authorId="0" shapeId="0" xr:uid="{68178208-8197-411C-B0FE-227EB27E2837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29" authorId="0" shapeId="0" xr:uid="{15F764D8-B60A-448B-9B99-9853659E55A1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0" authorId="0" shapeId="0" xr:uid="{3BB09FD0-3221-4847-B8A6-1B909D412CC7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1" authorId="0" shapeId="0" xr:uid="{1BDC1950-42C6-4E94-9761-E0B198CEC4A1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2" authorId="0" shapeId="0" xr:uid="{7C546544-BC4E-4449-AE5C-6E12708464F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3" authorId="0" shapeId="0" xr:uid="{7DD2DB3E-14D9-4B1E-AF9B-B2F7BB149AA3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4" authorId="0" shapeId="0" xr:uid="{0510E7C3-1A14-47C6-BFB2-E0D4CCA084E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5" authorId="0" shapeId="0" xr:uid="{642FE921-7C25-460A-9050-2434B4031E25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6" authorId="0" shapeId="0" xr:uid="{1839BDA2-7041-439D-B9F1-6E3F719CD025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7" authorId="0" shapeId="0" xr:uid="{C98D9E91-CA92-4F16-8B34-30695C950B94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8" authorId="0" shapeId="0" xr:uid="{59178C8C-4761-4646-BF53-0F3C0B91F26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39" authorId="0" shapeId="0" xr:uid="{25EA5ACE-11E2-48C9-A0EE-A2593220E88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0" authorId="0" shapeId="0" xr:uid="{8316F357-B03A-49DD-A17F-2C0FD61D4540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1" authorId="0" shapeId="0" xr:uid="{6045B07A-F921-4BF4-8C74-C1AC513F3CA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2" authorId="0" shapeId="0" xr:uid="{C309361C-B261-43BD-89BF-8113CCCB943B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3" authorId="0" shapeId="0" xr:uid="{907739F6-7194-49D7-AD3A-AE3AFF5B762C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4" authorId="0" shapeId="0" xr:uid="{36C0D68E-F510-41F7-B772-B069BE601E55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5" authorId="0" shapeId="0" xr:uid="{9815715A-CE5B-4863-88F9-74D1489232DE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6" authorId="0" shapeId="0" xr:uid="{2252F916-374B-42F4-ADF8-5353995AF942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7" authorId="0" shapeId="0" xr:uid="{0FC53027-4A74-4841-A4F3-562AF9632D07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8" authorId="0" shapeId="0" xr:uid="{E8658954-FFFB-441B-AFFC-D71FBB7BEEE8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49" authorId="0" shapeId="0" xr:uid="{434D02EB-9FD0-4FB6-AD3A-9B8A2C2692A2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0" authorId="0" shapeId="0" xr:uid="{D5725056-2338-473F-8F9B-9E9FA7B0FE24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1" authorId="0" shapeId="0" xr:uid="{381CBA22-AA64-43D2-A446-18E18A94E1E8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2" authorId="0" shapeId="0" xr:uid="{74692921-057C-49A1-BD1B-4BA505CA1AAD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3" authorId="0" shapeId="0" xr:uid="{B8926147-FA39-4F24-9BD5-B9C813CE6E07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4" authorId="0" shapeId="0" xr:uid="{7DABE455-5A50-4605-A775-CF811E1A3CA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5" authorId="0" shapeId="0" xr:uid="{B348E247-C2AF-4FB9-B392-B2E7B44BF5F1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6" authorId="0" shapeId="0" xr:uid="{BDE0509A-D28E-4835-BC52-5B309E2F257B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7" authorId="0" shapeId="0" xr:uid="{BFBABC14-14C0-4B96-A48A-9605DC1D81D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8" authorId="0" shapeId="0" xr:uid="{FC37591B-340A-46BD-89CC-52E5D2D8B7D2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59" authorId="0" shapeId="0" xr:uid="{D8FB6897-F2AF-4E4B-B208-B01D00A20C79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0" authorId="0" shapeId="0" xr:uid="{B7BC43C5-433C-416C-A808-5F2D9C78C31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1" authorId="0" shapeId="0" xr:uid="{A8E84C58-BF2E-4FE8-AF55-69A71363AE60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2" authorId="0" shapeId="0" xr:uid="{8A257B35-23E5-4FCE-AE38-0ADDED367D6B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3" authorId="0" shapeId="0" xr:uid="{19A4B60E-7D9A-4712-9DDF-634F204789E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4" authorId="0" shapeId="0" xr:uid="{E35CF213-E25E-4873-96B6-9A11C62431E3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5" authorId="0" shapeId="0" xr:uid="{203A5740-8F5A-44AC-B47A-776D1902735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6" authorId="0" shapeId="0" xr:uid="{F216A2B5-967C-442B-9F23-8BEB954BF478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7" authorId="0" shapeId="0" xr:uid="{73FE0056-E2BC-4E25-801B-22588CCEF65F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8" authorId="0" shapeId="0" xr:uid="{955762F6-D499-4EF0-91F0-122CBC67E104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69" authorId="0" shapeId="0" xr:uid="{19EDB952-B7D5-4993-943C-D9F91D81FDF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0" authorId="0" shapeId="0" xr:uid="{96F6DB57-6CE5-4AFA-AEAF-08C66F60F57D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1" authorId="0" shapeId="0" xr:uid="{A5C5F02A-70BF-4641-A7B0-794C31D37621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2" authorId="0" shapeId="0" xr:uid="{803C6FC0-0F95-4041-B512-18D13829F2A3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3" authorId="0" shapeId="0" xr:uid="{7AB5CF84-6FF9-43FC-8E5C-64855F88B106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  <comment ref="C74" authorId="0" shapeId="0" xr:uid="{E23F2A51-2916-434C-8A66-A20A73444DBA}">
      <text>
        <r>
          <rPr>
            <sz val="9"/>
            <color indexed="81"/>
            <rFont val="Tahoma"/>
            <family val="2"/>
          </rPr>
          <t>Row ID (derivatives - netting sets)  =  &lt;Key value&gt;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Flávia Daniela Costa Pinho</author>
  </authors>
  <commentList>
    <comment ref="F7" authorId="0" shapeId="0" xr:uid="{A361E18E-B902-413F-9F92-FEC6B290A0BE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Sempre o mesmo ranking?</t>
        </r>
      </text>
    </comment>
    <comment ref="G7" authorId="0" shapeId="0" xr:uid="{F562EA57-AD63-4746-96FA-8937AD9B6752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Validar</t>
        </r>
      </text>
    </comment>
    <comment ref="H7" authorId="0" shapeId="0" xr:uid="{83902B67-C704-4253-95B4-A3CA2F0FFD19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Não sei</t>
        </r>
      </text>
    </comment>
    <comment ref="M7" authorId="0" shapeId="0" xr:uid="{E9612D34-64E0-4B5C-AB8C-70D8A2BC3B74}">
      <text>
        <r>
          <rPr>
            <b/>
            <sz val="9"/>
            <color indexed="81"/>
            <rFont val="Tahoma"/>
            <family val="2"/>
          </rPr>
          <t>Flávia Daniela Costa Pinho:</t>
        </r>
        <r>
          <rPr>
            <sz val="9"/>
            <color indexed="81"/>
            <rFont val="Tahoma"/>
            <family val="2"/>
          </rPr>
          <t xml:space="preserve">
Sempre UK?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ojones</author>
  </authors>
  <commentList>
    <comment ref="D7" authorId="0" shapeId="0" xr:uid="{67A95ADD-932F-4CEC-B0E4-6B671067638E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E7" authorId="0" shapeId="0" xr:uid="{66E471D5-0D50-4C41-B942-78E645133698}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Liabilities other than Derivatives, Short positions, Deposits, Debt securities issued, Other financial liabilities</t>
        </r>
      </text>
    </comment>
    <comment ref="F7" authorId="0" shapeId="0" xr:uid="{73F8F47B-9F48-4744-BE61-9B50C9F027B5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Liabilities other than Derivatives, Short positions, Deposits, Debt securities issued, Other financial liabilities</t>
        </r>
      </text>
    </comment>
    <comment ref="G7" authorId="0" shapeId="0" xr:uid="{55B794B0-584B-49E9-A48F-65A0EC4467FD}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Liabilities other than Derivatives, Short positions, Deposits, Debt securities issued, Other financial liabilities</t>
        </r>
      </text>
    </comment>
    <comment ref="H7" authorId="0" shapeId="0" xr:uid="{A3CD6A7D-A63E-4605-9F8D-9AEE13498EA3}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Liabilities other than Derivatives, Short positions, Deposits, Debt securities issued, Other financial liabilities</t>
        </r>
      </text>
    </comment>
    <comment ref="I7" authorId="0" shapeId="0" xr:uid="{79B53AC7-7FA3-42D6-BEBB-4172B6BB5585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Liabilities other than Derivatives, Short positions, Deposits, Debt securities issued, Other financial liabilities</t>
        </r>
      </text>
    </comment>
    <comment ref="J7" authorId="0" shapeId="0" xr:uid="{3BAF7EDF-A941-49AA-B32C-77B58328E2B1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Liabilities other than Derivatives, Short positions, Deposits, Debt securities issued, Other financial liabilities</t>
        </r>
      </text>
    </comment>
    <comment ref="K7" authorId="0" shapeId="0" xr:uid="{A51F0069-36B7-499A-B4AC-C0AA238621D9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Liabilities other than Derivatives, Short positions, Deposits, Debt securities issued, Other financial liabilities</t>
        </r>
      </text>
    </comment>
    <comment ref="L7" authorId="0" shapeId="0" xr:uid="{903648DD-B85C-4DBA-9FFC-F599A5F97667}">
      <text>
        <r>
          <rPr>
            <sz val="9"/>
            <color indexed="81"/>
            <rFont val="Tahoma"/>
            <family val="2"/>
          </rPr>
          <t>Metric  =  Type of non-financial liability [ei:MC:MC36]_x000D_
Main category  =  Liabilities other than Derivatives, Short positions, Deposits, Debt securities issued, Other financial liabilities</t>
        </r>
      </text>
    </comment>
    <comment ref="M7" authorId="0" shapeId="0" xr:uid="{9C513EB4-E9CD-43C0-ABAB-031D726AF7B9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Liabilities other than Derivatives, Short positions, Deposits, Debt securities issued, Other financial liabilities</t>
        </r>
      </text>
    </comment>
    <comment ref="N7" authorId="0" shapeId="0" xr:uid="{BEA918BC-CDD6-476E-9514-93CFA869758E}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Liabilities_x000D_
Main category  =  Liabilities other than Derivatives, Short positions, Deposits, Debt securities issued, Other financial liabilities</t>
        </r>
      </text>
    </comment>
    <comment ref="O7" authorId="0" shapeId="0" xr:uid="{294D34F2-41A7-4555-991E-9A8DF703B857}">
      <text>
        <r>
          <rPr>
            <sz val="9"/>
            <color indexed="81"/>
            <rFont val="Tahoma"/>
            <family val="2"/>
          </rPr>
          <t>Metric  =  Date of issuance [di]_x000D_
Base  =  Liabilities_x000D_
Main category  =  Liabilities other than Derivatives, Short positions, Deposits, Debt securities issued, Other financial liabilities</t>
        </r>
      </text>
    </comment>
    <comment ref="P7" authorId="0" shapeId="0" xr:uid="{7C5E84EB-A4D1-46CF-AC79-925B8FEF7B77}">
      <text>
        <r>
          <rPr>
            <sz val="9"/>
            <color indexed="81"/>
            <rFont val="Tahoma"/>
            <family val="2"/>
          </rPr>
          <t>Metric  =  Legal final maturity date [di]_x000D_
Base  =  Liabilities_x000D_
Main category  =  Liabilities other than Derivatives, Short positions, Deposits, Debt securities issued, Other financial liabilities</t>
        </r>
      </text>
    </comment>
    <comment ref="Q7" authorId="0" shapeId="0" xr:uid="{F6069F34-49EF-432C-89E5-F79B7FD0275A}">
      <text>
        <r>
          <rPr>
            <sz val="9"/>
            <color indexed="81"/>
            <rFont val="Tahoma"/>
            <family val="2"/>
          </rPr>
          <t>Metric  =  Type of regulatory capital [ei:OF:OF8]_x000D_
Base  =  Liabilities_x000D_
Main category  =  Liabilities other than Derivatives, Short positions, Deposits, Debt securities issued, Other financial liabilities</t>
        </r>
      </text>
    </comment>
    <comment ref="R7" authorId="0" shapeId="0" xr:uid="{1D7CEDB6-4828-45DB-B6E9-99F3DB2713AF}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Liabilities other than Derivatives, Short positions, Deposits, Debt securities issued, Other financial liabilities</t>
        </r>
      </text>
    </comment>
    <comment ref="C8" authorId="0" shapeId="0" xr:uid="{68E40C20-EAB8-4470-8678-080B65171E54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D8" authorId="1" shapeId="0" xr:uid="{46693F0A-B25F-4B56-A799-9F66447DCABB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E8" authorId="1" shapeId="0" xr:uid="{38B622C3-F138-4448-B860-0D18D26B3B60}">
      <text>
        <r>
          <rPr>
            <sz val="9"/>
            <color indexed="81"/>
            <rFont val="Tahoma"/>
            <family val="2"/>
          </rPr>
          <t>Metric  =  Row reference (aggregate template) [ei:ZZ:ZZ27]_x000D_
Main category of item that is the object of the transaction / contract  =  Liabilities other than Derivatives, Short positions, Deposits, Debt securities issued, Other financial liabilities</t>
        </r>
      </text>
    </comment>
    <comment ref="F8" authorId="1" shapeId="0" xr:uid="{59791DA2-0498-4F72-84E7-ADD257B2EED0}">
      <text>
        <r>
          <rPr>
            <sz val="9"/>
            <color indexed="81"/>
            <rFont val="Tahoma"/>
            <family val="2"/>
          </rPr>
          <t>Metric  =  Column reference (aggregate template) [ei:ZZ:ZZ32]_x000D_
Main category of item that is the object of the transaction / contract  =  Liabilities other than Derivatives, Short positions, Deposits, Debt securities issued, Other financial liabilities</t>
        </r>
      </text>
    </comment>
    <comment ref="G8" authorId="1" shapeId="0" xr:uid="{653B1A05-5359-4579-B9BB-029972C169D0}">
      <text>
        <r>
          <rPr>
            <sz val="9"/>
            <color indexed="81"/>
            <rFont val="Tahoma"/>
            <family val="2"/>
          </rPr>
          <t>Metric  =  Ranking in insolvency [ei:ZZ:ZZ28]_x000D_
Base  =  Liabilities_x000D_
Main category  =  Liabilities other than Derivatives, Short positions, Deposits, Debt securities issued, Other financial liabilities</t>
        </r>
      </text>
    </comment>
    <comment ref="H8" authorId="1" shapeId="0" xr:uid="{0340B822-7545-43F2-A57A-88AA37BBFDA5}">
      <text>
        <r>
          <rPr>
            <sz val="9"/>
            <color indexed="81"/>
            <rFont val="Tahoma"/>
            <family val="2"/>
          </rPr>
          <t>Metric  =  Contract identifier [si]_x000D_
Base  =  Liabilities_x000D_
Main category  =  Liabilities other than Derivatives, Short positions, Deposits, Debt securities issued, Other financial liabilities</t>
        </r>
      </text>
    </comment>
    <comment ref="I8" authorId="1" shapeId="0" xr:uid="{2F38D36D-04AF-47A3-A595-3BE0B9A0408C}">
      <text>
        <r>
          <rPr>
            <sz val="9"/>
            <color indexed="81"/>
            <rFont val="Tahoma"/>
            <family val="2"/>
          </rPr>
          <t>Metric  =  Entity code [si]_x000D_
Main category of item that is the object of the transaction / contract  =  Liabilities other than Derivatives, Short positions, Deposits, Debt securities issued, Other financial liabilities</t>
        </r>
      </text>
    </comment>
    <comment ref="J8" authorId="1" shapeId="0" xr:uid="{57590F65-C72F-4BB9-82A8-154EE806EB28}">
      <text>
        <r>
          <rPr>
            <sz val="9"/>
            <color indexed="81"/>
            <rFont val="Tahoma"/>
            <family val="2"/>
          </rPr>
          <t>Metric  =  Type of identifier [ei:AT:AT99]_x000D_
Main category of item that is the object of the transaction / contract  =  Liabilities other than Derivatives, Short positions, Deposits, Debt securities issued, Other financial liabilities</t>
        </r>
      </text>
    </comment>
    <comment ref="K8" authorId="1" shapeId="0" xr:uid="{CC4363E3-450A-4400-8E59-D12B618E5D5D}">
      <text>
        <r>
          <rPr>
            <sz val="9"/>
            <color indexed="81"/>
            <rFont val="Tahoma"/>
            <family val="2"/>
          </rPr>
          <t>Metric  =  Country the law of which governs the contract / master agreement [ei:GA:GA4]_x000D_
Base  =  Liabilities_x000D_
Main category  =  Liabilities other than Derivatives, Short positions, Deposits, Debt securities issued, Other financial liabilities</t>
        </r>
      </text>
    </comment>
    <comment ref="L8" authorId="1" shapeId="0" xr:uid="{B539AB64-1E93-4BFD-8774-A9CBC7FFFF20}">
      <text>
        <r>
          <rPr>
            <sz val="9"/>
            <color indexed="81"/>
            <rFont val="Tahoma"/>
            <family val="2"/>
          </rPr>
          <t>Metric  =  Type of non-financial liability [ei:MC:MC36]_x000D_
Main category  =  Liabilities other than Derivatives, Short positions, Deposits, Debt securities issued, Other financial liabilities</t>
        </r>
      </text>
    </comment>
    <comment ref="M8" authorId="1" shapeId="0" xr:uid="{8C62C1AE-A797-4C4F-8595-3E960F435AF9}">
      <text>
        <r>
          <rPr>
            <sz val="9"/>
            <color indexed="81"/>
            <rFont val="Tahoma"/>
            <family val="2"/>
          </rPr>
          <t>Metric  =  Outstanding amount [mi]_x000D_
Base  =  Liabilities_x000D_
Main category  =  Liabilities other than Derivatives, Short positions, Deposits, Debt securities issued, Other financial liabilities</t>
        </r>
      </text>
    </comment>
    <comment ref="N8" authorId="1" shapeId="0" xr:uid="{439FC1E8-6DE9-4B68-A847-8D2A0C64604F}">
      <text>
        <r>
          <rPr>
            <sz val="9"/>
            <color indexed="81"/>
            <rFont val="Tahoma"/>
            <family val="2"/>
          </rPr>
          <t>Metric  =  Currency in which the transaction / contract is denominated [ei:CU:CU3_3]_x000D_
Base  =  Liabilities_x000D_
Main category  =  Liabilities other than Derivatives, Short positions, Deposits, Debt securities issued, Other financial liabilities</t>
        </r>
      </text>
    </comment>
    <comment ref="O8" authorId="1" shapeId="0" xr:uid="{7C7DAB08-F4DA-433F-B8D5-18315C6D3845}">
      <text>
        <r>
          <rPr>
            <sz val="9"/>
            <color indexed="81"/>
            <rFont val="Tahoma"/>
            <family val="2"/>
          </rPr>
          <t>Metric  =  Date of issuance [di]_x000D_
Base  =  Liabilities_x000D_
Main category  =  Liabilities other than Derivatives, Short positions, Deposits, Debt securities issued, Other financial liabilities</t>
        </r>
      </text>
    </comment>
    <comment ref="P8" authorId="1" shapeId="0" xr:uid="{54ACD46B-D522-49DA-A313-1EF0A7EAE81C}">
      <text>
        <r>
          <rPr>
            <sz val="9"/>
            <color indexed="81"/>
            <rFont val="Tahoma"/>
            <family val="2"/>
          </rPr>
          <t>Metric  =  Legal final maturity date [di]_x000D_
Base  =  Liabilities_x000D_
Main category  =  Liabilities other than Derivatives, Short positions, Deposits, Debt securities issued, Other financial liabilities</t>
        </r>
      </text>
    </comment>
    <comment ref="Q8" authorId="1" shapeId="0" xr:uid="{D95549EC-00F2-4C2E-A0C0-B599A9830CD9}">
      <text>
        <r>
          <rPr>
            <sz val="9"/>
            <color indexed="81"/>
            <rFont val="Tahoma"/>
            <family val="2"/>
          </rPr>
          <t>Metric  =  Type of regulatory capital [ei:OF:OF8]_x000D_
Base  =  Liabilities_x000D_
Main category  =  Liabilities other than Derivatives, Short positions, Deposits, Debt securities issued, Other financial liabilities</t>
        </r>
      </text>
    </comment>
    <comment ref="R8" authorId="1" shapeId="0" xr:uid="{3A8F173E-FB0E-487B-BCDB-FAF9FF053BDD}">
      <text>
        <r>
          <rPr>
            <sz val="9"/>
            <color indexed="81"/>
            <rFont val="Tahoma"/>
            <family val="2"/>
          </rPr>
          <t>Metric  =  Amount including transitional provisions [mi]_x000D_
Base  =  Own funds_x000D_
Main category  =  Regulatory capital items_x000D_
Own funds  =  Total own funds_x000D_
Main category of item that is the object of the transaction / contract  =  Liabilities other than Derivatives, Short positions, Deposits, Debt securities issued, Other financial liabilities</t>
        </r>
      </text>
    </comment>
    <comment ref="C9" authorId="0" shapeId="0" xr:uid="{3AB46B49-E510-42AD-918C-E8E94285EA1D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0" authorId="0" shapeId="0" xr:uid="{3196610F-3783-4BCF-A236-A03F0D6D426E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1" authorId="0" shapeId="0" xr:uid="{ED2FAA52-AD1A-4930-91B8-3CE585C1835D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2" authorId="0" shapeId="0" xr:uid="{C35B1175-9B26-4805-98C9-8936D87227D0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3" authorId="0" shapeId="0" xr:uid="{F2EE3EE7-B5F2-4E8C-9D19-3B133943E632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4" authorId="0" shapeId="0" xr:uid="{715A61D5-1607-4F5C-AC18-BBAE0668CAB1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5" authorId="0" shapeId="0" xr:uid="{3BCE6AF6-B2C0-47F0-BB53-7D366D6FE74E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6" authorId="0" shapeId="0" xr:uid="{37D91D53-6AE7-43F8-ABF8-0BA31055EC80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7" authorId="0" shapeId="0" xr:uid="{F70ED70C-F377-449D-900A-43CEB38A36B0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  <comment ref="C18" authorId="0" shapeId="0" xr:uid="{081C2497-4A58-4D32-9D11-84BAED032EB3}">
      <text>
        <r>
          <rPr>
            <sz val="9"/>
            <color indexed="81"/>
            <rFont val="Tahoma"/>
            <family val="2"/>
          </rPr>
          <t>Row ID (other non-financial liabilities)  =  &lt;Key value&gt;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Haizhen Li</author>
    <author>ojones</author>
  </authors>
  <commentList>
    <comment ref="D7" authorId="0" shapeId="0" xr:uid="{77E9AAC5-595F-4EC9-9B13-A69F32058033}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E7" authorId="0" shapeId="0" xr:uid="{11A751AA-6D2C-4FBA-99E6-1D84410E798B}">
      <text>
        <r>
          <rPr>
            <sz val="9"/>
            <color indexed="81"/>
            <rFont val="Tahoma"/>
            <family val="2"/>
          </rPr>
          <t>Individual creditors (derivatives, commitments received)  =  &lt;Key value&gt;</t>
        </r>
      </text>
    </comment>
    <comment ref="F7" authorId="0" shapeId="0" xr:uid="{36073881-5BA8-4F56-BE20-D9B30CE816C3}">
      <text>
        <r>
          <rPr>
            <sz val="9"/>
            <color indexed="81"/>
            <rFont val="Tahoma"/>
            <family val="2"/>
          </rPr>
          <t>Metric  =  Type of identifier [ei:AT:AT99]</t>
        </r>
      </text>
    </comment>
    <comment ref="G7" authorId="0" shapeId="0" xr:uid="{62ECF4A5-DAA3-40D3-98EB-6C2DD9A6EAA2}">
      <text>
        <r>
          <rPr>
            <sz val="9"/>
            <color indexed="81"/>
            <rFont val="Tahoma"/>
            <family val="2"/>
          </rPr>
          <t>Metric  =  Group or individual [ei:ZZ:ZZ9]</t>
        </r>
      </text>
    </comment>
    <comment ref="H7" authorId="0" shapeId="0" xr:uid="{EE039228-5252-4F20-811B-52A6E451D0E3}">
      <text>
        <r>
          <rPr>
            <sz val="9"/>
            <color indexed="81"/>
            <rFont val="Tahoma"/>
            <family val="2"/>
          </rPr>
          <t>Metric  =  Jurisdiction of incorporation [ei:GA:GA4_1]</t>
        </r>
      </text>
    </comment>
    <comment ref="I7" authorId="0" shapeId="0" xr:uid="{1263C004-B57D-449B-8B1A-2F0E99135D94}">
      <text>
        <r>
          <rPr>
            <sz val="9"/>
            <color indexed="81"/>
            <rFont val="Tahoma"/>
            <family val="2"/>
          </rPr>
          <t>Metric  =  Sector of the counterparty [ei:CT:CT16_1]</t>
        </r>
      </text>
    </comment>
    <comment ref="J7" authorId="0" shapeId="0" xr:uid="{375459FD-BF41-404A-8C1E-33110B77696B}">
      <text>
        <r>
          <rPr>
            <sz val="9"/>
            <color indexed="81"/>
            <rFont val="Tahoma"/>
            <family val="2"/>
          </rPr>
          <t>Type of financial interconnection  =  &lt;Key value&gt; [ZZ53]</t>
        </r>
      </text>
    </comment>
    <comment ref="K7" authorId="0" shapeId="0" xr:uid="{F0865D72-B057-40A6-A2E0-6319D2D9B87D}">
      <text>
        <r>
          <rPr>
            <sz val="9"/>
            <color indexed="81"/>
            <rFont val="Tahoma"/>
            <family val="2"/>
          </rPr>
          <t>Metric  =  Outstanding amount [mi]_x000D_
Base  =  Off balance sheet items_x000D_
Main category  =  Loan commitments received, Financial guarantees received, Other commitments received, Derivatives_x000D_
Instrument  =  Specific type of commitment received</t>
        </r>
      </text>
    </comment>
    <comment ref="C8" authorId="0" shapeId="0" xr:uid="{9E412AB0-EFCB-464F-B39F-B16073B44EB1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D8" authorId="1" shapeId="0" xr:uid="{22F2B15F-0997-4B08-86E1-0B365D59520D}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E8" authorId="1" shapeId="0" xr:uid="{0D57A5E6-9481-4BAA-AFCE-F402A8E326A2}">
      <text>
        <r>
          <rPr>
            <sz val="9"/>
            <color indexed="81"/>
            <rFont val="Tahoma"/>
            <family val="2"/>
          </rPr>
          <t>Individual creditors (derivatives, commitments received)  =  &lt;Key value&gt;</t>
        </r>
      </text>
    </comment>
    <comment ref="F8" authorId="1" shapeId="0" xr:uid="{EE99A655-79AD-4D91-B8B7-436A939A00D4}">
      <text>
        <r>
          <rPr>
            <sz val="9"/>
            <color indexed="81"/>
            <rFont val="Tahoma"/>
            <family val="2"/>
          </rPr>
          <t>Metric  =  Type of identifier [ei:AT:AT99]</t>
        </r>
      </text>
    </comment>
    <comment ref="G8" authorId="1" shapeId="0" xr:uid="{A110549C-2919-4151-B4D1-83060A7B713B}">
      <text>
        <r>
          <rPr>
            <sz val="9"/>
            <color indexed="81"/>
            <rFont val="Tahoma"/>
            <family val="2"/>
          </rPr>
          <t>Metric  =  Group or individual [ei:ZZ:ZZ9]</t>
        </r>
      </text>
    </comment>
    <comment ref="H8" authorId="1" shapeId="0" xr:uid="{55C4C9ED-9654-44B3-A89B-D0418BC0CC1F}">
      <text>
        <r>
          <rPr>
            <sz val="9"/>
            <color indexed="81"/>
            <rFont val="Tahoma"/>
            <family val="2"/>
          </rPr>
          <t>Metric  =  Jurisdiction of incorporation [ei:GA:GA4_1]</t>
        </r>
      </text>
    </comment>
    <comment ref="I8" authorId="1" shapeId="0" xr:uid="{1282EC7B-6D57-491A-B0F6-B8086E96B513}">
      <text>
        <r>
          <rPr>
            <sz val="9"/>
            <color indexed="81"/>
            <rFont val="Tahoma"/>
            <family val="2"/>
          </rPr>
          <t>Metric  =  Sector of the counterparty [ei:CT:CT16_1]</t>
        </r>
      </text>
    </comment>
    <comment ref="J8" authorId="1" shapeId="0" xr:uid="{3F099616-AB6E-482F-8754-5FBB3D802282}">
      <text>
        <r>
          <rPr>
            <sz val="9"/>
            <color indexed="81"/>
            <rFont val="Tahoma"/>
            <family val="2"/>
          </rPr>
          <t>Type of financial interconnection  =  &lt;Key value&gt; [ZZ53]</t>
        </r>
      </text>
    </comment>
    <comment ref="K8" authorId="1" shapeId="0" xr:uid="{189B2B2D-ABCD-4BE3-9982-CEA8392DAF8F}">
      <text>
        <r>
          <rPr>
            <sz val="9"/>
            <color indexed="81"/>
            <rFont val="Tahoma"/>
            <family val="2"/>
          </rPr>
          <t>Metric  =  Outstanding amount [mi]_x000D_
Base  =  Off balance sheet items_x000D_
Main category  =  Loan commitments received, Financial guarantees received, Other commitments received, Derivatives_x000D_
Instrument  =  Specific type of commitment received</t>
        </r>
      </text>
    </comment>
    <comment ref="C9" authorId="0" shapeId="0" xr:uid="{3DD47F11-0498-4F9D-BD8C-9951A007BE16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0" authorId="0" shapeId="0" xr:uid="{7FCE0343-F9A5-41D6-BD2A-472B36B66B69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1" authorId="0" shapeId="0" xr:uid="{DC293B8A-A3EB-49EF-B24A-CA9F935CD018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2" authorId="0" shapeId="0" xr:uid="{69321882-75BD-4F8A-9FB5-16F3530CC019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3" authorId="0" shapeId="0" xr:uid="{C90CE58B-1831-4D8D-A63A-A913262F3E38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4" authorId="0" shapeId="0" xr:uid="{1AFF6C12-CDF3-45BC-AEF4-04DCCC82E39F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5" authorId="0" shapeId="0" xr:uid="{520C74AD-3E75-4CCF-8C31-0AC975856176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6" authorId="0" shapeId="0" xr:uid="{38494744-D21D-4B36-A5AE-DA0988D99699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  <comment ref="C17" authorId="0" shapeId="0" xr:uid="{0BC4A500-8175-4448-993C-135E59E93428}">
      <text>
        <r>
          <rPr>
            <sz val="9"/>
            <color indexed="81"/>
            <rFont val="Tahoma"/>
            <family val="2"/>
          </rPr>
          <t>Type of financial interconnection  =  &lt;Key value&gt; [ZZ53]_x000D_
Individual creditors (derivatives, commitments received)  =  &lt;Key value&gt;</t>
        </r>
      </text>
    </comment>
  </commentList>
</comments>
</file>

<file path=xl/sharedStrings.xml><?xml version="1.0" encoding="utf-8"?>
<sst xmlns="http://schemas.openxmlformats.org/spreadsheetml/2006/main" count="50491" uniqueCount="2652">
  <si>
    <t>T 03.01 - Intragroup liabilities</t>
  </si>
  <si>
    <t>Columns</t>
  </si>
  <si>
    <t>Number</t>
  </si>
  <si>
    <t>Reconciliation with aggregated data</t>
  </si>
  <si>
    <t>Intragroup liabilities</t>
  </si>
  <si>
    <t>Line</t>
  </si>
  <si>
    <t>Column</t>
  </si>
  <si>
    <t>Insolvency ranking</t>
  </si>
  <si>
    <t>Contract identifier</t>
  </si>
  <si>
    <t>Entity name of lending entity</t>
  </si>
  <si>
    <t>Identifier of Lending Entity (preferably LEI)</t>
  </si>
  <si>
    <t>Type of identifier</t>
  </si>
  <si>
    <t>Relationship of lending entity with issuing entity</t>
  </si>
  <si>
    <t>Is lending entity included in the resolution group of reporting entity?</t>
  </si>
  <si>
    <t>Governing law</t>
  </si>
  <si>
    <t>If third country, contractual recognition</t>
  </si>
  <si>
    <t>Outstanding principal amount</t>
  </si>
  <si>
    <t>Accrued interest</t>
  </si>
  <si>
    <t>Currency</t>
  </si>
  <si>
    <t>Issuance date</t>
  </si>
  <si>
    <t>Earliest redemption date</t>
  </si>
  <si>
    <t>Legal maturity</t>
  </si>
  <si>
    <t>Secured/unsecured</t>
  </si>
  <si>
    <t>Amount of pledge, lien or collateral</t>
  </si>
  <si>
    <t>Guarantor if applicable</t>
  </si>
  <si>
    <t>Structured or other Non-Standard Terms</t>
  </si>
  <si>
    <t>Amount meeting the conditions for Internal MREL eligibility</t>
  </si>
  <si>
    <t>Qualifying as own funds</t>
  </si>
  <si>
    <t>Amount Included in own funds, taking into account phase-out as applicable</t>
  </si>
  <si>
    <t>0010</t>
  </si>
  <si>
    <t>0020</t>
  </si>
  <si>
    <t>0021</t>
  </si>
  <si>
    <t>0030</t>
  </si>
  <si>
    <t>0040</t>
  </si>
  <si>
    <t>0045</t>
  </si>
  <si>
    <t>0050</t>
  </si>
  <si>
    <t>0053</t>
  </si>
  <si>
    <t>0055</t>
  </si>
  <si>
    <t>0057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</si>
  <si>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</si>
  <si>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</si>
  <si>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</si>
  <si>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</si>
  <si>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</si>
  <si>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</si>
  <si>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</si>
  <si>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</si>
  <si>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</si>
  <si>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</si>
  <si>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</si>
  <si>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</si>
  <si>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0175</t>
  </si>
  <si>
    <t>0180</t>
  </si>
  <si>
    <t>0190</t>
  </si>
  <si>
    <t>Rows</t>
  </si>
  <si>
    <t>Row ID (Intragroup liability)</t>
  </si>
  <si>
    <t>c003x   - Corporates</t>
  </si>
  <si>
    <t>000000000000000</t>
  </si>
  <si>
    <t>Portal Universia</t>
  </si>
  <si>
    <t>8046273535</t>
  </si>
  <si>
    <t>Type of identifier, other than LEI or MFI code</t>
  </si>
  <si>
    <t>Portugal</t>
  </si>
  <si>
    <t>Not applicable (Contractual recognition of bail-in powers)</t>
  </si>
  <si>
    <t>N/A</t>
  </si>
  <si>
    <t>ISBAN - SUC PORTUGAL</t>
  </si>
  <si>
    <t>7400456469</t>
  </si>
  <si>
    <t>CONSULTEAM-CONSULTORES GESTAO,SA</t>
  </si>
  <si>
    <t>5100262318</t>
  </si>
  <si>
    <t>Taxageste</t>
  </si>
  <si>
    <t>8044901277</t>
  </si>
  <si>
    <t>GEOBAN SA SUCURSAL EM PORTUGAL</t>
  </si>
  <si>
    <t>7400315551</t>
  </si>
  <si>
    <t>TottaUrbe</t>
  </si>
  <si>
    <t>8000391312</t>
  </si>
  <si>
    <t>GESBAN SERVICIOS A. GLOBALES SA - SUC PORTUGAL</t>
  </si>
  <si>
    <t>7400760971</t>
  </si>
  <si>
    <t>IBERICA DE COMPRAS CORPORATIVAS - SUC EM PORTUGAL</t>
  </si>
  <si>
    <t>7400939384</t>
  </si>
  <si>
    <t>RETAMA REAL ESTATE</t>
  </si>
  <si>
    <t>7400886823</t>
  </si>
  <si>
    <t>c002x   - Micro &amp; SME</t>
  </si>
  <si>
    <t>CCPT - COMPRARCASA REDE SERVICOS IMOBILIARIOS, S.A</t>
  </si>
  <si>
    <t>1700210720</t>
  </si>
  <si>
    <t>c005x   - Other financial corporations</t>
  </si>
  <si>
    <t>962304880186890</t>
  </si>
  <si>
    <t>NOVIMOVEST</t>
  </si>
  <si>
    <t>7400685089</t>
  </si>
  <si>
    <t>c004x   - Institutions</t>
  </si>
  <si>
    <t>599904832899930</t>
  </si>
  <si>
    <t>BANCO SANTANDER TOTTA SA</t>
  </si>
  <si>
    <t>549300URJH9VSI58CS32</t>
  </si>
  <si>
    <t>LEI code</t>
  </si>
  <si>
    <t>337000000000000</t>
  </si>
  <si>
    <t>GAMMA SOC TITULARIZACAO CREDITOS, SA</t>
  </si>
  <si>
    <t>2101355138</t>
  </si>
  <si>
    <t>262304820005540</t>
  </si>
  <si>
    <t>BSCH-Banco Santander Central Hispano</t>
  </si>
  <si>
    <t>5493006QMFDDMYWIAM13</t>
  </si>
  <si>
    <t>599904816718100</t>
  </si>
  <si>
    <t>BST</t>
  </si>
  <si>
    <t>026100000000000</t>
  </si>
  <si>
    <t>HIPOTOTTA Nº 4 PLC</t>
  </si>
  <si>
    <t>7400615058</t>
  </si>
  <si>
    <t>962304820358740</t>
  </si>
  <si>
    <t>BANCO SANTANDER PARIS</t>
  </si>
  <si>
    <t>7400416227</t>
  </si>
  <si>
    <t>039200000000000</t>
  </si>
  <si>
    <t>862304880016260</t>
  </si>
  <si>
    <t>BANCO SANTANDER TOTTA</t>
  </si>
  <si>
    <t>375100000000000</t>
  </si>
  <si>
    <t>399904811642910</t>
  </si>
  <si>
    <t>CREDITO PREDIAL PORTUGUES</t>
  </si>
  <si>
    <t>599904816094760</t>
  </si>
  <si>
    <t>025400000000000</t>
  </si>
  <si>
    <t>HIPOTOTTA 5 PLC</t>
  </si>
  <si>
    <t>7400987939</t>
  </si>
  <si>
    <t>262304840022570</t>
  </si>
  <si>
    <t>599904834357780</t>
  </si>
  <si>
    <t>862304840037150</t>
  </si>
  <si>
    <t>023100000000000</t>
  </si>
  <si>
    <t>962304820183980</t>
  </si>
  <si>
    <t>360500000000000</t>
  </si>
  <si>
    <t>962304820318630</t>
  </si>
  <si>
    <t>355200000000000</t>
  </si>
  <si>
    <t>862304880022380</t>
  </si>
  <si>
    <t>262304820019220</t>
  </si>
  <si>
    <t>024200000000000</t>
  </si>
  <si>
    <t>399904898986000</t>
  </si>
  <si>
    <t>588804815682170</t>
  </si>
  <si>
    <t>262304840017280</t>
  </si>
  <si>
    <t>025200000000000</t>
  </si>
  <si>
    <t>599904816264000</t>
  </si>
  <si>
    <t>599904830182910</t>
  </si>
  <si>
    <t>599904830658530</t>
  </si>
  <si>
    <t>025700000000000</t>
  </si>
  <si>
    <t>262304840023280</t>
  </si>
  <si>
    <t>262304840026030</t>
  </si>
  <si>
    <t>862304840002110</t>
  </si>
  <si>
    <t>026400000000000</t>
  </si>
  <si>
    <t>262304820026620</t>
  </si>
  <si>
    <t>319500000000000</t>
  </si>
  <si>
    <t>962304820255470</t>
  </si>
  <si>
    <t>BANCO SANTANDER, SA</t>
  </si>
  <si>
    <t>7400930664</t>
  </si>
  <si>
    <t>023200000000000</t>
  </si>
  <si>
    <t>962304820340410</t>
  </si>
  <si>
    <t>862304840097700</t>
  </si>
  <si>
    <t>962304820300790</t>
  </si>
  <si>
    <t>344600000000000</t>
  </si>
  <si>
    <t>862304880012500</t>
  </si>
  <si>
    <t>357000000000000</t>
  </si>
  <si>
    <t>862304880020750</t>
  </si>
  <si>
    <t>218834500000000</t>
  </si>
  <si>
    <t>Totta Ireland, PLC</t>
  </si>
  <si>
    <t>8041492238</t>
  </si>
  <si>
    <t>362304841016010</t>
  </si>
  <si>
    <t>INTERBANCO SA</t>
  </si>
  <si>
    <t>9001910086</t>
  </si>
  <si>
    <t>386500000000000</t>
  </si>
  <si>
    <t>399904810171700</t>
  </si>
  <si>
    <t>399904810437210</t>
  </si>
  <si>
    <t>262304820023080</t>
  </si>
  <si>
    <t>588804815653320</t>
  </si>
  <si>
    <t>588804816094800</t>
  </si>
  <si>
    <t>588804830656670</t>
  </si>
  <si>
    <t>262304840014630</t>
  </si>
  <si>
    <t>025000000000000</t>
  </si>
  <si>
    <t>599904815675020</t>
  </si>
  <si>
    <t>599904816262510</t>
  </si>
  <si>
    <t>599904816262470</t>
  </si>
  <si>
    <t>025300000000000</t>
  </si>
  <si>
    <t>599904816265620</t>
  </si>
  <si>
    <t>262304840021930</t>
  </si>
  <si>
    <t>599904830145540</t>
  </si>
  <si>
    <t>025600000000000</t>
  </si>
  <si>
    <t>599904831122910</t>
  </si>
  <si>
    <t>599904831749770</t>
  </si>
  <si>
    <t>262304840022790</t>
  </si>
  <si>
    <t>025900000000000</t>
  </si>
  <si>
    <t>262304840023770</t>
  </si>
  <si>
    <t>862304840041160</t>
  </si>
  <si>
    <t>599904833903700</t>
  </si>
  <si>
    <t>026300000000000</t>
  </si>
  <si>
    <t>862304840009660</t>
  </si>
  <si>
    <t>862304840054320</t>
  </si>
  <si>
    <t>862304840052400</t>
  </si>
  <si>
    <t>0100I240P385906</t>
  </si>
  <si>
    <t>962304820143820</t>
  </si>
  <si>
    <t>327200000000000</t>
  </si>
  <si>
    <t>962304820308120</t>
  </si>
  <si>
    <t>962304820282740</t>
  </si>
  <si>
    <t>329000000000000</t>
  </si>
  <si>
    <t>962304820229380</t>
  </si>
  <si>
    <t>023300000000000</t>
  </si>
  <si>
    <t>962304820365740</t>
  </si>
  <si>
    <t>362304820801370</t>
  </si>
  <si>
    <t>962304820290020</t>
  </si>
  <si>
    <t>341000000000000</t>
  </si>
  <si>
    <t>962304820309020</t>
  </si>
  <si>
    <t>346000000000000</t>
  </si>
  <si>
    <t>962304820334150</t>
  </si>
  <si>
    <t>BANK ZACHODNI WBK SA</t>
  </si>
  <si>
    <t>7401536276</t>
  </si>
  <si>
    <t>350500000000000</t>
  </si>
  <si>
    <t>862304880014160</t>
  </si>
  <si>
    <t>162304880071770</t>
  </si>
  <si>
    <t>862304880019760</t>
  </si>
  <si>
    <t>358800000000000</t>
  </si>
  <si>
    <t>862304880021730</t>
  </si>
  <si>
    <t>362304820864440</t>
  </si>
  <si>
    <t>362304820959710</t>
  </si>
  <si>
    <t>365700000000000</t>
  </si>
  <si>
    <t>259823760000000</t>
  </si>
  <si>
    <t>030800000000000</t>
  </si>
  <si>
    <t>262304820011790</t>
  </si>
  <si>
    <t>382000000000000</t>
  </si>
  <si>
    <t>599904815013560</t>
  </si>
  <si>
    <t>BTA - DGO/DOC - ANALISE PROCESSAMENTO</t>
  </si>
  <si>
    <t>8003987621</t>
  </si>
  <si>
    <t>262304820021840</t>
  </si>
  <si>
    <t>399904810276580</t>
  </si>
  <si>
    <t>399904810554730</t>
  </si>
  <si>
    <t>399904811239040</t>
  </si>
  <si>
    <t>588804815681980</t>
  </si>
  <si>
    <t>462600000000000</t>
  </si>
  <si>
    <t>588804815653850</t>
  </si>
  <si>
    <t>588804815654380</t>
  </si>
  <si>
    <t>262304820025410</t>
  </si>
  <si>
    <t>588804816095480</t>
  </si>
  <si>
    <t>588804831263660</t>
  </si>
  <si>
    <t>262304820026870</t>
  </si>
  <si>
    <t>262304820027220</t>
  </si>
  <si>
    <t>SANTANDER PENSOES</t>
  </si>
  <si>
    <t>5493006JZ38GITC0RV57</t>
  </si>
  <si>
    <t>262304840016510</t>
  </si>
  <si>
    <t>599904815675170</t>
  </si>
  <si>
    <t>599904815382490</t>
  </si>
  <si>
    <t>Banco Santander Brasil S.A.</t>
  </si>
  <si>
    <t>6511000505</t>
  </si>
  <si>
    <t>599904815742570</t>
  </si>
  <si>
    <t>262304840019830</t>
  </si>
  <si>
    <t>599904816261600</t>
  </si>
  <si>
    <t>599904816263230</t>
  </si>
  <si>
    <t>599904816265770</t>
  </si>
  <si>
    <t>599904816264860</t>
  </si>
  <si>
    <t>UNICRE</t>
  </si>
  <si>
    <t>0000002716</t>
  </si>
  <si>
    <t>599904816326740</t>
  </si>
  <si>
    <t>599904831524870</t>
  </si>
  <si>
    <t>599904830058070</t>
  </si>
  <si>
    <t>599904830441160</t>
  </si>
  <si>
    <t>599904831156010</t>
  </si>
  <si>
    <t>599904830936470</t>
  </si>
  <si>
    <t>262304840022340</t>
  </si>
  <si>
    <t>262304840023380</t>
  </si>
  <si>
    <t>262304840022700</t>
  </si>
  <si>
    <t>000000000114001</t>
  </si>
  <si>
    <t>262304840023120</t>
  </si>
  <si>
    <t>599904832711720</t>
  </si>
  <si>
    <t>262304840023550</t>
  </si>
  <si>
    <t>c006x   - Insurance firms &amp; pension funds</t>
  </si>
  <si>
    <t>000002000000000</t>
  </si>
  <si>
    <t>Totta Seguros - Comp. Seg. Vida, SA.</t>
  </si>
  <si>
    <t>54930006K2IUPA083C07</t>
  </si>
  <si>
    <t>599904832822670</t>
  </si>
  <si>
    <t>026700000000000</t>
  </si>
  <si>
    <t>599904833277030</t>
  </si>
  <si>
    <t>000100I240P3891</t>
  </si>
  <si>
    <t>599904836790850</t>
  </si>
  <si>
    <t>862304840009750</t>
  </si>
  <si>
    <t>862304840007750</t>
  </si>
  <si>
    <t>862304840029180</t>
  </si>
  <si>
    <t>037300000000000</t>
  </si>
  <si>
    <t>862304840044070</t>
  </si>
  <si>
    <t>000800000000000</t>
  </si>
  <si>
    <t>AEGON SANTANDER VIDA PORTUGAL</t>
  </si>
  <si>
    <t>959800S4Y2DCN7EVAG59</t>
  </si>
  <si>
    <t>313500000000000</t>
  </si>
  <si>
    <t>026600000000000</t>
  </si>
  <si>
    <t>000003000000000</t>
  </si>
  <si>
    <t>862304880054310</t>
  </si>
  <si>
    <t>342500000000000</t>
  </si>
  <si>
    <t>026800000000000</t>
  </si>
  <si>
    <t>962304820325080</t>
  </si>
  <si>
    <t>324500000000000</t>
  </si>
  <si>
    <t>962304820272600</t>
  </si>
  <si>
    <t>326500000000000</t>
  </si>
  <si>
    <t>962304820174780</t>
  </si>
  <si>
    <t>038600000000000</t>
  </si>
  <si>
    <t>962304820211210</t>
  </si>
  <si>
    <t>SANTANDER GLOBAL THECHNOLOGY, S.L., SOCIEDAD UNIPE</t>
  </si>
  <si>
    <t>7400772356</t>
  </si>
  <si>
    <t>962304820242890</t>
  </si>
  <si>
    <t>333500000000000</t>
  </si>
  <si>
    <t>962304820354640</t>
  </si>
  <si>
    <t>AEGON SANTANDER NAO VIDA PORTUGAL</t>
  </si>
  <si>
    <t>9598001GSAW026UNLE02</t>
  </si>
  <si>
    <t>962304870352020</t>
  </si>
  <si>
    <t>862304840057060</t>
  </si>
  <si>
    <t>337700000000000</t>
  </si>
  <si>
    <t>338000000000000</t>
  </si>
  <si>
    <t>962304820295820</t>
  </si>
  <si>
    <t>342200000000000</t>
  </si>
  <si>
    <t>962304820306090</t>
  </si>
  <si>
    <t>343000000000000</t>
  </si>
  <si>
    <t>962304820309480</t>
  </si>
  <si>
    <t>162304840046380</t>
  </si>
  <si>
    <t>962304820324540</t>
  </si>
  <si>
    <t>348000000000000</t>
  </si>
  <si>
    <t>962304820338160</t>
  </si>
  <si>
    <t>Sucursal BSCH Frankfurt</t>
  </si>
  <si>
    <t>0000046859</t>
  </si>
  <si>
    <t>352000000000000</t>
  </si>
  <si>
    <t>862304880010270</t>
  </si>
  <si>
    <t>353000000000000</t>
  </si>
  <si>
    <t>862304840237230</t>
  </si>
  <si>
    <t>362304820801250</t>
  </si>
  <si>
    <t>862304880010640</t>
  </si>
  <si>
    <t>357600000000000</t>
  </si>
  <si>
    <t>862304840110540</t>
  </si>
  <si>
    <t>359500000000000</t>
  </si>
  <si>
    <t>862304880011590</t>
  </si>
  <si>
    <t>362304820798420</t>
  </si>
  <si>
    <t>862304880009200</t>
  </si>
  <si>
    <t>227837420000000</t>
  </si>
  <si>
    <t>962304820246870</t>
  </si>
  <si>
    <t>362304840002560</t>
  </si>
  <si>
    <t>362304820980290</t>
  </si>
  <si>
    <t>261124580000000</t>
  </si>
  <si>
    <t>364500000000000</t>
  </si>
  <si>
    <t>367000000000000</t>
  </si>
  <si>
    <t>261120220000000</t>
  </si>
  <si>
    <t>588804815654230</t>
  </si>
  <si>
    <t>262304820009380</t>
  </si>
  <si>
    <t>378500000000000</t>
  </si>
  <si>
    <t>262304820018490</t>
  </si>
  <si>
    <t>262304820020190</t>
  </si>
  <si>
    <t>262304820019340</t>
  </si>
  <si>
    <t>386000000000000</t>
  </si>
  <si>
    <t>028800000000000</t>
  </si>
  <si>
    <t>399904811578720</t>
  </si>
  <si>
    <t>028900000000000</t>
  </si>
  <si>
    <t>399904810324780</t>
  </si>
  <si>
    <t>399904810324650</t>
  </si>
  <si>
    <t>262304820022820</t>
  </si>
  <si>
    <t>399904810531930</t>
  </si>
  <si>
    <t>399904811425540</t>
  </si>
  <si>
    <t>399904811255720</t>
  </si>
  <si>
    <t>599904831758970</t>
  </si>
  <si>
    <t>399904898776070</t>
  </si>
  <si>
    <t>588804815175670</t>
  </si>
  <si>
    <t>588804815139970</t>
  </si>
  <si>
    <t>262304820024790</t>
  </si>
  <si>
    <t>588804815653700</t>
  </si>
  <si>
    <t>588804815681500</t>
  </si>
  <si>
    <t>588804815655670</t>
  </si>
  <si>
    <t>262304840019390</t>
  </si>
  <si>
    <t>588804816094420</t>
  </si>
  <si>
    <t>588804830645120</t>
  </si>
  <si>
    <t>588804830644930</t>
  </si>
  <si>
    <t>599904815307500</t>
  </si>
  <si>
    <t>588804830754060</t>
  </si>
  <si>
    <t>599904815281080</t>
  </si>
  <si>
    <t>262304820027080</t>
  </si>
  <si>
    <t>033600000000000</t>
  </si>
  <si>
    <t>262304840010120</t>
  </si>
  <si>
    <t>599904815307110</t>
  </si>
  <si>
    <t>262304840015500</t>
  </si>
  <si>
    <t>033800000000000</t>
  </si>
  <si>
    <t>262304840017180</t>
  </si>
  <si>
    <t>262304840019020</t>
  </si>
  <si>
    <t>262304840017920</t>
  </si>
  <si>
    <t>033900000000000</t>
  </si>
  <si>
    <t>599904815644120</t>
  </si>
  <si>
    <t>599904816094950</t>
  </si>
  <si>
    <t>599904815675400</t>
  </si>
  <si>
    <t>034000000000000</t>
  </si>
  <si>
    <t>599904815790430</t>
  </si>
  <si>
    <t>599904816718630</t>
  </si>
  <si>
    <t>599904816160530</t>
  </si>
  <si>
    <t>034200000000000</t>
  </si>
  <si>
    <t>599904816262090</t>
  </si>
  <si>
    <t>599904816264140</t>
  </si>
  <si>
    <t>599904816262850</t>
  </si>
  <si>
    <t>034300000000000</t>
  </si>
  <si>
    <t>599904816263610</t>
  </si>
  <si>
    <t>262304840020710</t>
  </si>
  <si>
    <t>599904816264480</t>
  </si>
  <si>
    <t>034600000000000</t>
  </si>
  <si>
    <t>599904816265240</t>
  </si>
  <si>
    <t>599904816718250</t>
  </si>
  <si>
    <t>599904816311470</t>
  </si>
  <si>
    <t>034700000000000</t>
  </si>
  <si>
    <t>599904816347680</t>
  </si>
  <si>
    <t>026000000000000</t>
  </si>
  <si>
    <t>599904816718590</t>
  </si>
  <si>
    <t>034800000000000</t>
  </si>
  <si>
    <t>599904830098020</t>
  </si>
  <si>
    <t>599904830662040</t>
  </si>
  <si>
    <t>599904830395650</t>
  </si>
  <si>
    <t>035100000000000</t>
  </si>
  <si>
    <t>599904830601490</t>
  </si>
  <si>
    <t>262304840022620</t>
  </si>
  <si>
    <t>599904830809470</t>
  </si>
  <si>
    <t>035200000000000</t>
  </si>
  <si>
    <t>599904831095190</t>
  </si>
  <si>
    <t>599904831386430</t>
  </si>
  <si>
    <t>599904831214600</t>
  </si>
  <si>
    <t>035500000000000</t>
  </si>
  <si>
    <t>262304840022490</t>
  </si>
  <si>
    <t>599904833215760</t>
  </si>
  <si>
    <t>262304840022600</t>
  </si>
  <si>
    <t>035600000000000</t>
  </si>
  <si>
    <t>262304840022750</t>
  </si>
  <si>
    <t>599904832468850</t>
  </si>
  <si>
    <t>262304840022960</t>
  </si>
  <si>
    <t>035800000000000</t>
  </si>
  <si>
    <t>262304840023140</t>
  </si>
  <si>
    <t>262304840024690</t>
  </si>
  <si>
    <t>262304840023370</t>
  </si>
  <si>
    <t>035900000000000</t>
  </si>
  <si>
    <t>262304840023740</t>
  </si>
  <si>
    <t>599904832900180</t>
  </si>
  <si>
    <t>262304840023990</t>
  </si>
  <si>
    <t>036200000000000</t>
  </si>
  <si>
    <t>599904832849910</t>
  </si>
  <si>
    <t>334100000000000</t>
  </si>
  <si>
    <t>599904833212120</t>
  </si>
  <si>
    <t>036400000000000</t>
  </si>
  <si>
    <t>599904833381800</t>
  </si>
  <si>
    <t>862304840002610</t>
  </si>
  <si>
    <t>599904836292030</t>
  </si>
  <si>
    <t>036600000000000</t>
  </si>
  <si>
    <t>662600000000000</t>
  </si>
  <si>
    <t>262304840027210</t>
  </si>
  <si>
    <t>862304840005380</t>
  </si>
  <si>
    <t>036800000000000</t>
  </si>
  <si>
    <t>862304840007900</t>
  </si>
  <si>
    <t>862304840039090</t>
  </si>
  <si>
    <t>862304840021470</t>
  </si>
  <si>
    <t>036900000000000</t>
  </si>
  <si>
    <t>862304840034200</t>
  </si>
  <si>
    <t>317800000000000</t>
  </si>
  <si>
    <t>862304840040040</t>
  </si>
  <si>
    <t>037000000000000</t>
  </si>
  <si>
    <t>862304840045640</t>
  </si>
  <si>
    <t>310500000000000</t>
  </si>
  <si>
    <t>862304840056040</t>
  </si>
  <si>
    <t>037600000000000</t>
  </si>
  <si>
    <t>962304820177650</t>
  </si>
  <si>
    <t>315000000000000</t>
  </si>
  <si>
    <t>316500000000000</t>
  </si>
  <si>
    <t>862304880011640</t>
  </si>
  <si>
    <t>962304820340110</t>
  </si>
  <si>
    <t>962304880000810</t>
  </si>
  <si>
    <t>321100000000000</t>
  </si>
  <si>
    <t>962304820300780</t>
  </si>
  <si>
    <t>322300000000000</t>
  </si>
  <si>
    <t>962304820311230</t>
  </si>
  <si>
    <t>962304820250610</t>
  </si>
  <si>
    <t>038400000000000</t>
  </si>
  <si>
    <t>962304820270990</t>
  </si>
  <si>
    <t>026900000000000</t>
  </si>
  <si>
    <t>962304820275080</t>
  </si>
  <si>
    <t>962304820287830</t>
  </si>
  <si>
    <t>027000000000000</t>
  </si>
  <si>
    <t>962304820179730</t>
  </si>
  <si>
    <t>336500000000000</t>
  </si>
  <si>
    <t>962304820201320</t>
  </si>
  <si>
    <t>027100000000000</t>
  </si>
  <si>
    <t>962304820225180</t>
  </si>
  <si>
    <t>330500000000000</t>
  </si>
  <si>
    <t>962304820241980</t>
  </si>
  <si>
    <t>962304820340080</t>
  </si>
  <si>
    <t>038900000000000</t>
  </si>
  <si>
    <t>962304820344260</t>
  </si>
  <si>
    <t>027200000000000</t>
  </si>
  <si>
    <t>962304820358480</t>
  </si>
  <si>
    <t>336000000000000</t>
  </si>
  <si>
    <t>962304870323050</t>
  </si>
  <si>
    <t>962304870356900</t>
  </si>
  <si>
    <t>262304820022630</t>
  </si>
  <si>
    <t>337500000000000</t>
  </si>
  <si>
    <t>338500000000000</t>
  </si>
  <si>
    <t>340000000000000</t>
  </si>
  <si>
    <t>962304820292740</t>
  </si>
  <si>
    <t>962304820296300</t>
  </si>
  <si>
    <t>039500000000000</t>
  </si>
  <si>
    <t>962304820304500</t>
  </si>
  <si>
    <t>342000000000000</t>
  </si>
  <si>
    <t>962304820307860</t>
  </si>
  <si>
    <t>344500000000000</t>
  </si>
  <si>
    <t>962304820309460</t>
  </si>
  <si>
    <t>343500000000000</t>
  </si>
  <si>
    <t>962304820320590</t>
  </si>
  <si>
    <t>349000000000000</t>
  </si>
  <si>
    <t>962304820336320</t>
  </si>
  <si>
    <t>962304820043570</t>
  </si>
  <si>
    <t>162304848005620</t>
  </si>
  <si>
    <t>962304820072940</t>
  </si>
  <si>
    <t>962304820111240</t>
  </si>
  <si>
    <t>355000000000000</t>
  </si>
  <si>
    <t>962304820131600</t>
  </si>
  <si>
    <t>354500000000000</t>
  </si>
  <si>
    <t>962304820132350</t>
  </si>
  <si>
    <t>023900000000000</t>
  </si>
  <si>
    <t>962304820139030</t>
  </si>
  <si>
    <t>356400000000000</t>
  </si>
  <si>
    <t>962304820141970</t>
  </si>
  <si>
    <t>358100000000000</t>
  </si>
  <si>
    <t>358000000000000</t>
  </si>
  <si>
    <t>962304820150010</t>
  </si>
  <si>
    <t>205612750000000</t>
  </si>
  <si>
    <t>962304820150970</t>
  </si>
  <si>
    <t>359000000000000</t>
  </si>
  <si>
    <t>962304820151190</t>
  </si>
  <si>
    <t>366000000000000</t>
  </si>
  <si>
    <t>962304820153890</t>
  </si>
  <si>
    <t>962304820154140</t>
  </si>
  <si>
    <t>368200000000000</t>
  </si>
  <si>
    <t>862304840237160</t>
  </si>
  <si>
    <t>220626160000000</t>
  </si>
  <si>
    <t>362304820963130</t>
  </si>
  <si>
    <t>363300000000000</t>
  </si>
  <si>
    <t>362304840008310</t>
  </si>
  <si>
    <t>363603800141019</t>
  </si>
  <si>
    <t>028600000000000</t>
  </si>
  <si>
    <t>028500000000000</t>
  </si>
  <si>
    <t>369400000000000</t>
  </si>
  <si>
    <t>399904810734920</t>
  </si>
  <si>
    <t>376000000000000</t>
  </si>
  <si>
    <t>599904815136520</t>
  </si>
  <si>
    <t>024100000000000</t>
  </si>
  <si>
    <t>379500000000000</t>
  </si>
  <si>
    <t>399904810339790</t>
  </si>
  <si>
    <t>028700000000000</t>
  </si>
  <si>
    <t>384000000000000</t>
  </si>
  <si>
    <t>033500000000000</t>
  </si>
  <si>
    <t>029000000000000</t>
  </si>
  <si>
    <t>262304820019710</t>
  </si>
  <si>
    <t>387000000000000</t>
  </si>
  <si>
    <t>262304820019730</t>
  </si>
  <si>
    <t>262304820023840</t>
  </si>
  <si>
    <t>399904810290270</t>
  </si>
  <si>
    <t>262304820021210</t>
  </si>
  <si>
    <t>399904810301850</t>
  </si>
  <si>
    <t>399904810461790</t>
  </si>
  <si>
    <t>399904810325400</t>
  </si>
  <si>
    <t>588804815189570</t>
  </si>
  <si>
    <t>399904810479030</t>
  </si>
  <si>
    <t>399904811255440</t>
  </si>
  <si>
    <t>399904810597970</t>
  </si>
  <si>
    <t>031200000000000</t>
  </si>
  <si>
    <t>399904811255570</t>
  </si>
  <si>
    <t>399904844726000</t>
  </si>
  <si>
    <t>399904811497630</t>
  </si>
  <si>
    <t>037500000000000</t>
  </si>
  <si>
    <t>399904875248090</t>
  </si>
  <si>
    <t>534000000000000</t>
  </si>
  <si>
    <t>024600000000000</t>
  </si>
  <si>
    <t>562304840000020</t>
  </si>
  <si>
    <t>588804815653470</t>
  </si>
  <si>
    <t>588804815175860</t>
  </si>
  <si>
    <t>588804830645310</t>
  </si>
  <si>
    <t>588804815653510</t>
  </si>
  <si>
    <t>588804815654420</t>
  </si>
  <si>
    <t>588804815653900</t>
  </si>
  <si>
    <t>033300000000000</t>
  </si>
  <si>
    <t>588804815654570</t>
  </si>
  <si>
    <t>588804815682360</t>
  </si>
  <si>
    <t>588804815681790</t>
  </si>
  <si>
    <t>599904831217850</t>
  </si>
  <si>
    <t>588804815682400</t>
  </si>
  <si>
    <t>588804830050560</t>
  </si>
  <si>
    <t>588804816095000</t>
  </si>
  <si>
    <t>599904815644650</t>
  </si>
  <si>
    <t>588804830385540</t>
  </si>
  <si>
    <t>588804830676600</t>
  </si>
  <si>
    <t>588804830645270</t>
  </si>
  <si>
    <t>599904816238600</t>
  </si>
  <si>
    <t>588804830744900</t>
  </si>
  <si>
    <t>262304840010980</t>
  </si>
  <si>
    <t>588804831316870</t>
  </si>
  <si>
    <t>033700000000000</t>
  </si>
  <si>
    <t>033400000000000</t>
  </si>
  <si>
    <t>024700000000000</t>
  </si>
  <si>
    <t>262304840000980</t>
  </si>
  <si>
    <t>SANTANDER CONSUMER SERV(PSA GESTAO,ALUGUER VEICUL)</t>
  </si>
  <si>
    <t>8027891356</t>
  </si>
  <si>
    <t>599904815306400</t>
  </si>
  <si>
    <t>262304840015000</t>
  </si>
  <si>
    <t>024800000000000</t>
  </si>
  <si>
    <t>025100000000000</t>
  </si>
  <si>
    <t>262304840016590</t>
  </si>
  <si>
    <t>OPEN BANK SANTANDER CONSUMER, S.A.</t>
  </si>
  <si>
    <t>6511000031</t>
  </si>
  <si>
    <t>599904815383780</t>
  </si>
  <si>
    <t>262304840017910</t>
  </si>
  <si>
    <t>024900000000000</t>
  </si>
  <si>
    <t>599904816311510</t>
  </si>
  <si>
    <t>262304840018350</t>
  </si>
  <si>
    <t>599904815307790</t>
  </si>
  <si>
    <t>599904815745530</t>
  </si>
  <si>
    <t>599904815383820</t>
  </si>
  <si>
    <t>262304840018520</t>
  </si>
  <si>
    <t>599904815644700</t>
  </si>
  <si>
    <t>599904815675210</t>
  </si>
  <si>
    <t>262304840018720</t>
  </si>
  <si>
    <t>599904815741130</t>
  </si>
  <si>
    <t>599904816261750</t>
  </si>
  <si>
    <t>599904815760970</t>
  </si>
  <si>
    <t>262304840018860</t>
  </si>
  <si>
    <t>599904815898780</t>
  </si>
  <si>
    <t>262304840024000</t>
  </si>
  <si>
    <t>599904816132210</t>
  </si>
  <si>
    <t>262304840019170</t>
  </si>
  <si>
    <t>599904816238890</t>
  </si>
  <si>
    <t>599904816263380</t>
  </si>
  <si>
    <t>599904816261800</t>
  </si>
  <si>
    <t>262304840019360</t>
  </si>
  <si>
    <t>599904816262280</t>
  </si>
  <si>
    <t>599904816262660</t>
  </si>
  <si>
    <t>262304840019420</t>
  </si>
  <si>
    <t>599904816263040</t>
  </si>
  <si>
    <t>599904816264900</t>
  </si>
  <si>
    <t>599904816263420</t>
  </si>
  <si>
    <t>262304840019630</t>
  </si>
  <si>
    <t>599904816263800</t>
  </si>
  <si>
    <t>599904830905040</t>
  </si>
  <si>
    <t>599904816264290</t>
  </si>
  <si>
    <t>262304840019910</t>
  </si>
  <si>
    <t>599904816264670</t>
  </si>
  <si>
    <t>599904816347000</t>
  </si>
  <si>
    <t>599904816265050</t>
  </si>
  <si>
    <t>262304840020020</t>
  </si>
  <si>
    <t>599904816265430</t>
  </si>
  <si>
    <t>035000000000000</t>
  </si>
  <si>
    <t>599904816307430</t>
  </si>
  <si>
    <t>262304840020520</t>
  </si>
  <si>
    <t>599904816326360</t>
  </si>
  <si>
    <t>599904830061240</t>
  </si>
  <si>
    <t>599904816347150</t>
  </si>
  <si>
    <t>262304840020690</t>
  </si>
  <si>
    <t>599904816348100</t>
  </si>
  <si>
    <t>599904816718300</t>
  </si>
  <si>
    <t>262304840020960</t>
  </si>
  <si>
    <t>599904817123520</t>
  </si>
  <si>
    <t>599904830441200</t>
  </si>
  <si>
    <t>599904830084230</t>
  </si>
  <si>
    <t>262304840021200</t>
  </si>
  <si>
    <t>599904830123080</t>
  </si>
  <si>
    <t>599904830386640</t>
  </si>
  <si>
    <t>262304840021720</t>
  </si>
  <si>
    <t>599904830435070</t>
  </si>
  <si>
    <t>599904830971830</t>
  </si>
  <si>
    <t>599904830508690</t>
  </si>
  <si>
    <t>262304840021890</t>
  </si>
  <si>
    <t>599904830652990</t>
  </si>
  <si>
    <t>599904832487060</t>
  </si>
  <si>
    <t>599904830669740</t>
  </si>
  <si>
    <t>262304840022150</t>
  </si>
  <si>
    <t>599904830926210</t>
  </si>
  <si>
    <t>599904831300160</t>
  </si>
  <si>
    <t>599904831017190</t>
  </si>
  <si>
    <t>262304840022270</t>
  </si>
  <si>
    <t>599904831114050</t>
  </si>
  <si>
    <t>035700000000000</t>
  </si>
  <si>
    <t>599904831166990</t>
  </si>
  <si>
    <t>262304840022480</t>
  </si>
  <si>
    <t>588804832515310</t>
  </si>
  <si>
    <t>599904831618370</t>
  </si>
  <si>
    <t>262304840022580</t>
  </si>
  <si>
    <t>262304840026660</t>
  </si>
  <si>
    <t>262304840022740</t>
  </si>
  <si>
    <t>Santander  SGFIM</t>
  </si>
  <si>
    <t>549300VC136NI5Z05Q45</t>
  </si>
  <si>
    <t>599904832298600</t>
  </si>
  <si>
    <t>262304840022930</t>
  </si>
  <si>
    <t>025800000000000</t>
  </si>
  <si>
    <t>BCSH (SUISSE)</t>
  </si>
  <si>
    <t>254900B46DYPR5UMD829</t>
  </si>
  <si>
    <t>262304840023130</t>
  </si>
  <si>
    <t>SANTANDER CENTRAL HISPANO MADRID</t>
  </si>
  <si>
    <t>599904832529820</t>
  </si>
  <si>
    <t>262304840023320</t>
  </si>
  <si>
    <t>862304840007410</t>
  </si>
  <si>
    <t>262304840023580</t>
  </si>
  <si>
    <t>599904832838280</t>
  </si>
  <si>
    <t>262304840023880</t>
  </si>
  <si>
    <t>036500000000000</t>
  </si>
  <si>
    <t>036000000000000</t>
  </si>
  <si>
    <t>262304840024110</t>
  </si>
  <si>
    <t>599904832822330</t>
  </si>
  <si>
    <t>599904833295100</t>
  </si>
  <si>
    <t>599904832838320</t>
  </si>
  <si>
    <t>262304840024440</t>
  </si>
  <si>
    <t>599904832884700</t>
  </si>
  <si>
    <t>599904833172470</t>
  </si>
  <si>
    <t>262304840024860</t>
  </si>
  <si>
    <t>599904833223330</t>
  </si>
  <si>
    <t>599904836790900</t>
  </si>
  <si>
    <t>599904833360250</t>
  </si>
  <si>
    <t>262304840025090</t>
  </si>
  <si>
    <t>599904833864040</t>
  </si>
  <si>
    <t>599904835462910</t>
  </si>
  <si>
    <t>262304840025340</t>
  </si>
  <si>
    <t>599904836417420</t>
  </si>
  <si>
    <t>862304840007760</t>
  </si>
  <si>
    <t>599904891725540</t>
  </si>
  <si>
    <t>262304840025820</t>
  </si>
  <si>
    <t>862304840000660</t>
  </si>
  <si>
    <t>311000000000000</t>
  </si>
  <si>
    <t>862304840003370</t>
  </si>
  <si>
    <t>262304840026130</t>
  </si>
  <si>
    <t>862304840007560</t>
  </si>
  <si>
    <t>862304840030860</t>
  </si>
  <si>
    <t>862304840007780</t>
  </si>
  <si>
    <t>262304840026450</t>
  </si>
  <si>
    <t>862304840008490</t>
  </si>
  <si>
    <t>037100000000000</t>
  </si>
  <si>
    <t>862304840011330</t>
  </si>
  <si>
    <t>262304840026860</t>
  </si>
  <si>
    <t>862304840026790</t>
  </si>
  <si>
    <t>862304840044530</t>
  </si>
  <si>
    <t>862304840033030</t>
  </si>
  <si>
    <t>262304840027070</t>
  </si>
  <si>
    <t>862304840035820</t>
  </si>
  <si>
    <t>862304840039100</t>
  </si>
  <si>
    <t>262304880010870</t>
  </si>
  <si>
    <t>862304840042030</t>
  </si>
  <si>
    <t>2P5579980SC3008</t>
  </si>
  <si>
    <t>862304840044560</t>
  </si>
  <si>
    <t>262304880017740</t>
  </si>
  <si>
    <t>862304840048160</t>
  </si>
  <si>
    <t>862304840054380</t>
  </si>
  <si>
    <t>037200000000000</t>
  </si>
  <si>
    <t>862304840056560</t>
  </si>
  <si>
    <t>316000000000000</t>
  </si>
  <si>
    <t>329500000000000</t>
  </si>
  <si>
    <t>962304820295900</t>
  </si>
  <si>
    <t>962304820358120</t>
  </si>
  <si>
    <t>319100000000000</t>
  </si>
  <si>
    <t>962304820306840</t>
  </si>
  <si>
    <t>037400000000000</t>
  </si>
  <si>
    <t>962304820267450</t>
  </si>
  <si>
    <t>962304820286560</t>
  </si>
  <si>
    <t>962304820200900</t>
  </si>
  <si>
    <t>962304820232660</t>
  </si>
  <si>
    <t>962304820345580</t>
  </si>
  <si>
    <t>962304870326550</t>
  </si>
  <si>
    <t>037700000000000</t>
  </si>
  <si>
    <t>318500000000000</t>
  </si>
  <si>
    <t>324000000000000</t>
  </si>
  <si>
    <t>037900000000000</t>
  </si>
  <si>
    <t>962304820306080</t>
  </si>
  <si>
    <t>962304820309470</t>
  </si>
  <si>
    <t>038000000000000</t>
  </si>
  <si>
    <t>962304820320660</t>
  </si>
  <si>
    <t>SANTANDER BANK, NATIONAL ASSOCIATION</t>
  </si>
  <si>
    <t>7401474691</t>
  </si>
  <si>
    <t>323500000000000</t>
  </si>
  <si>
    <t>962304820336330</t>
  </si>
  <si>
    <t>862304880014330</t>
  </si>
  <si>
    <t>038100000000000</t>
  </si>
  <si>
    <t>962304820141570</t>
  </si>
  <si>
    <t>325500000000000</t>
  </si>
  <si>
    <t>862304880010740</t>
  </si>
  <si>
    <t>038200000000000</t>
  </si>
  <si>
    <t/>
  </si>
  <si>
    <t>862304880021990</t>
  </si>
  <si>
    <t>038300000000000</t>
  </si>
  <si>
    <t>862304880023420</t>
  </si>
  <si>
    <t>327500000000000</t>
  </si>
  <si>
    <t>862304840132710</t>
  </si>
  <si>
    <t>862304880026090</t>
  </si>
  <si>
    <t>039300000000000</t>
  </si>
  <si>
    <t>862304880011880</t>
  </si>
  <si>
    <t>862304880030720</t>
  </si>
  <si>
    <t>330000000000000</t>
  </si>
  <si>
    <t>862304880010220</t>
  </si>
  <si>
    <t>038500000000000</t>
  </si>
  <si>
    <t>862304880236820</t>
  </si>
  <si>
    <t>262304840015490</t>
  </si>
  <si>
    <t>POPULAR SEGUROS - COMPANHIA DE SEGUROS, SA</t>
  </si>
  <si>
    <t>213800DS888O1NMGEJ90</t>
  </si>
  <si>
    <t>862304880012160</t>
  </si>
  <si>
    <t>962304820037810</t>
  </si>
  <si>
    <t>332800000000000</t>
  </si>
  <si>
    <t>962304820338320</t>
  </si>
  <si>
    <t>962304820340130</t>
  </si>
  <si>
    <t>340500000000000</t>
  </si>
  <si>
    <t>962304820340800</t>
  </si>
  <si>
    <t>038700000000000</t>
  </si>
  <si>
    <t>962304820345600</t>
  </si>
  <si>
    <t>334500000000000</t>
  </si>
  <si>
    <t>962304820358420</t>
  </si>
  <si>
    <t>962304820359300</t>
  </si>
  <si>
    <t>027400000000000</t>
  </si>
  <si>
    <t>962304830362520</t>
  </si>
  <si>
    <t>335000000000000</t>
  </si>
  <si>
    <t>962304870327990</t>
  </si>
  <si>
    <t>962304870355340</t>
  </si>
  <si>
    <t>962304880000820</t>
  </si>
  <si>
    <t>039000000000000</t>
  </si>
  <si>
    <t>023400000000000</t>
  </si>
  <si>
    <t>027300000000000</t>
  </si>
  <si>
    <t>039100000000000</t>
  </si>
  <si>
    <t>962304820288710</t>
  </si>
  <si>
    <t>023500000000000</t>
  </si>
  <si>
    <t>962304820291450</t>
  </si>
  <si>
    <t>339500000000000</t>
  </si>
  <si>
    <t>962304820295750</t>
  </si>
  <si>
    <t>350000000000000</t>
  </si>
  <si>
    <t>962304820302710</t>
  </si>
  <si>
    <t>341500000000000</t>
  </si>
  <si>
    <t>343400000000000</t>
  </si>
  <si>
    <t>962304820307340</t>
  </si>
  <si>
    <t>027600000000000</t>
  </si>
  <si>
    <t>962304820309270</t>
  </si>
  <si>
    <t>345500000000000</t>
  </si>
  <si>
    <t>962304820311040</t>
  </si>
  <si>
    <t>962304820317020</t>
  </si>
  <si>
    <t>162304888017860</t>
  </si>
  <si>
    <t>962304820319600</t>
  </si>
  <si>
    <t>345800000000000</t>
  </si>
  <si>
    <t>962304820321330</t>
  </si>
  <si>
    <t>962304820324550</t>
  </si>
  <si>
    <t>346500000000000</t>
  </si>
  <si>
    <t>962304820326030</t>
  </si>
  <si>
    <t>GAMMA - SOCIEDADE DE TITULIZACAO DE CREDITOS</t>
  </si>
  <si>
    <t>7401393942</t>
  </si>
  <si>
    <t>962304820336290</t>
  </si>
  <si>
    <t>351000000000000</t>
  </si>
  <si>
    <t>962304820250510</t>
  </si>
  <si>
    <t>349500000000000</t>
  </si>
  <si>
    <t>358500000000000</t>
  </si>
  <si>
    <t>962304820251290</t>
  </si>
  <si>
    <t>351500000000000</t>
  </si>
  <si>
    <t>962304820251950</t>
  </si>
  <si>
    <t>353500000000000</t>
  </si>
  <si>
    <t>962304820252950</t>
  </si>
  <si>
    <t>352500000000000</t>
  </si>
  <si>
    <t>962304820254330</t>
  </si>
  <si>
    <t>ABBEY NATIONAL FINANTIAL PRODUCTS</t>
  </si>
  <si>
    <t>7400416271</t>
  </si>
  <si>
    <t>028000000000000</t>
  </si>
  <si>
    <t>962304820260590</t>
  </si>
  <si>
    <t>355500000000000</t>
  </si>
  <si>
    <t>962304820268980</t>
  </si>
  <si>
    <t>962304820272510</t>
  </si>
  <si>
    <t>356000000000000</t>
  </si>
  <si>
    <t>962304820272570</t>
  </si>
  <si>
    <t>962304820272590</t>
  </si>
  <si>
    <t>023700000000000</t>
  </si>
  <si>
    <t>962304820273560</t>
  </si>
  <si>
    <t>962304820273750</t>
  </si>
  <si>
    <t>962304820274160</t>
  </si>
  <si>
    <t>962304820276890</t>
  </si>
  <si>
    <t>962304820277500</t>
  </si>
  <si>
    <t>362304820812140</t>
  </si>
  <si>
    <t>962304820280090</t>
  </si>
  <si>
    <t>188858290000000</t>
  </si>
  <si>
    <t>023800000000000</t>
  </si>
  <si>
    <t>962304820283590</t>
  </si>
  <si>
    <t>028200000000000</t>
  </si>
  <si>
    <t>962304820286550</t>
  </si>
  <si>
    <t>962304820287070</t>
  </si>
  <si>
    <t>262304820019450</t>
  </si>
  <si>
    <t>862304840057070</t>
  </si>
  <si>
    <t>599904815137350</t>
  </si>
  <si>
    <t>862304880012480</t>
  </si>
  <si>
    <t>227837360000000</t>
  </si>
  <si>
    <t>599904815137160</t>
  </si>
  <si>
    <t>262304820009390</t>
  </si>
  <si>
    <t>227816050000000</t>
  </si>
  <si>
    <t>028300000000000</t>
  </si>
  <si>
    <t>366500000000000</t>
  </si>
  <si>
    <t>227837410000000</t>
  </si>
  <si>
    <t>227837530000000</t>
  </si>
  <si>
    <t>399904810276320</t>
  </si>
  <si>
    <t>227837520000000</t>
  </si>
  <si>
    <t>962304840171880</t>
  </si>
  <si>
    <t>028400000000000</t>
  </si>
  <si>
    <t>373800000000000</t>
  </si>
  <si>
    <t>227858470000000</t>
  </si>
  <si>
    <t>261114050000000</t>
  </si>
  <si>
    <t>377500000000000</t>
  </si>
  <si>
    <t>367500000000000</t>
  </si>
  <si>
    <t>262304820008010</t>
  </si>
  <si>
    <t>370200000000000</t>
  </si>
  <si>
    <t>374000000000000</t>
  </si>
  <si>
    <t>381500000000000</t>
  </si>
  <si>
    <t>262304820018460</t>
  </si>
  <si>
    <t>376500000000000</t>
  </si>
  <si>
    <t>378000000000000</t>
  </si>
  <si>
    <t>385500000000000</t>
  </si>
  <si>
    <t>379000000000000</t>
  </si>
  <si>
    <t>381000000000000</t>
  </si>
  <si>
    <t>388000000000000</t>
  </si>
  <si>
    <t>262304820026980</t>
  </si>
  <si>
    <t>024300000000000</t>
  </si>
  <si>
    <t>FINCANCEIRA EL CORTE INGLES EFC SA</t>
  </si>
  <si>
    <t>3471008280</t>
  </si>
  <si>
    <t>385000000000000</t>
  </si>
  <si>
    <t>399904810310110</t>
  </si>
  <si>
    <t>262304820020770</t>
  </si>
  <si>
    <t>325000000000000</t>
  </si>
  <si>
    <t>399904810497040</t>
  </si>
  <si>
    <t>389000000000000</t>
  </si>
  <si>
    <t>262304820021220</t>
  </si>
  <si>
    <t>399904810215870</t>
  </si>
  <si>
    <t>262304820022850</t>
  </si>
  <si>
    <t>029100000000000</t>
  </si>
  <si>
    <t>399904811255600</t>
  </si>
  <si>
    <t>262304820021230</t>
  </si>
  <si>
    <t>262304820022550</t>
  </si>
  <si>
    <t>588804816095330</t>
  </si>
  <si>
    <t>UNION DE CREDITOS INMOBILIARIOS, SA - SUC.PORTUGAL</t>
  </si>
  <si>
    <t>3481003857</t>
  </si>
  <si>
    <t>262304820022810</t>
  </si>
  <si>
    <t>033100000000000</t>
  </si>
  <si>
    <t>262304820022730</t>
  </si>
  <si>
    <t>030900000000000</t>
  </si>
  <si>
    <t>562304840058490</t>
  </si>
  <si>
    <t>262304820022840</t>
  </si>
  <si>
    <t>024400000000000</t>
  </si>
  <si>
    <t>228261840000000</t>
  </si>
  <si>
    <t>588804815653660</t>
  </si>
  <si>
    <t>262304820022860</t>
  </si>
  <si>
    <t>262304820025250</t>
  </si>
  <si>
    <t>031900000000000</t>
  </si>
  <si>
    <t>588804815655520</t>
  </si>
  <si>
    <t>262304820023210</t>
  </si>
  <si>
    <t>262304840022330</t>
  </si>
  <si>
    <t>032000000000000</t>
  </si>
  <si>
    <t>588804815682550</t>
  </si>
  <si>
    <t>262304820023910</t>
  </si>
  <si>
    <t>599904816264520</t>
  </si>
  <si>
    <t>033200000000000</t>
  </si>
  <si>
    <t>588804830644890</t>
  </si>
  <si>
    <t>262304820024990</t>
  </si>
  <si>
    <t>314000000000000</t>
  </si>
  <si>
    <t>588804830753910</t>
  </si>
  <si>
    <t>262304820025400</t>
  </si>
  <si>
    <t>599904816262900</t>
  </si>
  <si>
    <t>262304840018110</t>
  </si>
  <si>
    <t>262304820025720</t>
  </si>
  <si>
    <t>599904830412460</t>
  </si>
  <si>
    <t>262304820025500</t>
  </si>
  <si>
    <t>599904815283850</t>
  </si>
  <si>
    <t>599904815306730</t>
  </si>
  <si>
    <t>599904815283090</t>
  </si>
  <si>
    <t>588804833230480</t>
  </si>
  <si>
    <t>588804832575100</t>
  </si>
  <si>
    <t>588804833132030</t>
  </si>
  <si>
    <t>262304840016400</t>
  </si>
  <si>
    <t>599904815004320</t>
  </si>
  <si>
    <t>599904815137540</t>
  </si>
  <si>
    <t>599904815013600</t>
  </si>
  <si>
    <t>599904815137010</t>
  </si>
  <si>
    <t>599904815278860</t>
  </si>
  <si>
    <t>599904815137200</t>
  </si>
  <si>
    <t>599904815137400</t>
  </si>
  <si>
    <t>599904815282560</t>
  </si>
  <si>
    <t>599904815266020</t>
  </si>
  <si>
    <t>599904815675600</t>
  </si>
  <si>
    <t>599904815280930</t>
  </si>
  <si>
    <t>599904815283510</t>
  </si>
  <si>
    <t>599904815282370</t>
  </si>
  <si>
    <t>262304840017270</t>
  </si>
  <si>
    <t>599904815282750</t>
  </si>
  <si>
    <t>599904815284760</t>
  </si>
  <si>
    <t>599904815283130</t>
  </si>
  <si>
    <t>262304840020120</t>
  </si>
  <si>
    <t>599904815283660</t>
  </si>
  <si>
    <t>599904815285140</t>
  </si>
  <si>
    <t>599904815284040</t>
  </si>
  <si>
    <t>599904815284800</t>
  </si>
  <si>
    <t>599904815306540</t>
  </si>
  <si>
    <t>599904815285000</t>
  </si>
  <si>
    <t>599904815790580</t>
  </si>
  <si>
    <t>599904815306350</t>
  </si>
  <si>
    <t>599904815306920</t>
  </si>
  <si>
    <t>262304840018380</t>
  </si>
  <si>
    <t>599904815306690</t>
  </si>
  <si>
    <t>599904815307300</t>
  </si>
  <si>
    <t>599904815306880</t>
  </si>
  <si>
    <t>036100000000000</t>
  </si>
  <si>
    <t>599904815307070</t>
  </si>
  <si>
    <t>599904815307260</t>
  </si>
  <si>
    <t>599904815307450</t>
  </si>
  <si>
    <t>599904815643400</t>
  </si>
  <si>
    <t>262304840018240</t>
  </si>
  <si>
    <t>599904816262130</t>
  </si>
  <si>
    <t>599904815674980</t>
  </si>
  <si>
    <t>262304840018370</t>
  </si>
  <si>
    <t>262304840018750</t>
  </si>
  <si>
    <t>599904815675360</t>
  </si>
  <si>
    <t>262304840018430</t>
  </si>
  <si>
    <t>599904815741280</t>
  </si>
  <si>
    <t>262304840018530</t>
  </si>
  <si>
    <t>034100000000000</t>
  </si>
  <si>
    <t>588804832535910</t>
  </si>
  <si>
    <t>599904815789840</t>
  </si>
  <si>
    <t>262304840018710</t>
  </si>
  <si>
    <t>599904816263760</t>
  </si>
  <si>
    <t>599904815918020</t>
  </si>
  <si>
    <t>262304840018730</t>
  </si>
  <si>
    <t>262304840019290</t>
  </si>
  <si>
    <t>599904816160490</t>
  </si>
  <si>
    <t>262304840018800</t>
  </si>
  <si>
    <t>599904816261560</t>
  </si>
  <si>
    <t>262304840018920</t>
  </si>
  <si>
    <t>599904816261940</t>
  </si>
  <si>
    <t>262304840019110</t>
  </si>
  <si>
    <t>599904816265390</t>
  </si>
  <si>
    <t>599904816262320</t>
  </si>
  <si>
    <t>262304840019270</t>
  </si>
  <si>
    <t>262304840019570</t>
  </si>
  <si>
    <t>599904816262700</t>
  </si>
  <si>
    <t>262304840019300</t>
  </si>
  <si>
    <t>262304840021360</t>
  </si>
  <si>
    <t>599904816263190</t>
  </si>
  <si>
    <t>262304840019370</t>
  </si>
  <si>
    <t>034500000000000</t>
  </si>
  <si>
    <t>SANTANDER TOTTA, SGPS, SA</t>
  </si>
  <si>
    <t>7400066405</t>
  </si>
  <si>
    <t>599904816263570</t>
  </si>
  <si>
    <t>262304840019410</t>
  </si>
  <si>
    <t>599904816347720</t>
  </si>
  <si>
    <t>599904816263950</t>
  </si>
  <si>
    <t>262304840019550</t>
  </si>
  <si>
    <t>262304840019980</t>
  </si>
  <si>
    <t>599904816264330</t>
  </si>
  <si>
    <t>262304840019610</t>
  </si>
  <si>
    <t>599904832822290</t>
  </si>
  <si>
    <t>599904816264710</t>
  </si>
  <si>
    <t>262304840019810</t>
  </si>
  <si>
    <t>Santander Consumer Finance, S.A.</t>
  </si>
  <si>
    <t>8046556500</t>
  </si>
  <si>
    <t>599904816265100</t>
  </si>
  <si>
    <t>262304840019840</t>
  </si>
  <si>
    <t>599904830098170</t>
  </si>
  <si>
    <t>599904816265580</t>
  </si>
  <si>
    <t>262304840019950</t>
  </si>
  <si>
    <t>262304840020660</t>
  </si>
  <si>
    <t>599904816307580</t>
  </si>
  <si>
    <t>262304840019990</t>
  </si>
  <si>
    <t>035300000000000</t>
  </si>
  <si>
    <t>599904816326400</t>
  </si>
  <si>
    <t>262304840020050</t>
  </si>
  <si>
    <t>000001000000000</t>
  </si>
  <si>
    <t>599904816347200</t>
  </si>
  <si>
    <t>262304840020170</t>
  </si>
  <si>
    <t>599904830632240</t>
  </si>
  <si>
    <t>599904816530910</t>
  </si>
  <si>
    <t>262304840020600</t>
  </si>
  <si>
    <t>262304840021080</t>
  </si>
  <si>
    <t>599904816718440</t>
  </si>
  <si>
    <t>262304840020670</t>
  </si>
  <si>
    <t>599904830044470</t>
  </si>
  <si>
    <t>262304840020700</t>
  </si>
  <si>
    <t>025500000000000</t>
  </si>
  <si>
    <t>599904830085000</t>
  </si>
  <si>
    <t>262304840020780</t>
  </si>
  <si>
    <t>599904831108000</t>
  </si>
  <si>
    <t>599904830126190</t>
  </si>
  <si>
    <t>262304840021030</t>
  </si>
  <si>
    <t>262304840021820</t>
  </si>
  <si>
    <t>599904830389560</t>
  </si>
  <si>
    <t>262304840021090</t>
  </si>
  <si>
    <t>262304840023000</t>
  </si>
  <si>
    <t>034900000000000</t>
  </si>
  <si>
    <t>599904830441010</t>
  </si>
  <si>
    <t>262304840021310</t>
  </si>
  <si>
    <t>599904830543900</t>
  </si>
  <si>
    <t>262304840021690</t>
  </si>
  <si>
    <t>599904831359210</t>
  </si>
  <si>
    <t>599904830658490</t>
  </si>
  <si>
    <t>262304840021730</t>
  </si>
  <si>
    <t>262304840022240</t>
  </si>
  <si>
    <t>599904830686130</t>
  </si>
  <si>
    <t>262304840021880</t>
  </si>
  <si>
    <t>599904830930300</t>
  </si>
  <si>
    <t>262304840021900</t>
  </si>
  <si>
    <t>599904831229300</t>
  </si>
  <si>
    <t>599904831081820</t>
  </si>
  <si>
    <t>262304840022010</t>
  </si>
  <si>
    <t>599904831655400</t>
  </si>
  <si>
    <t>599904831116060</t>
  </si>
  <si>
    <t>262304840022210</t>
  </si>
  <si>
    <t>262304840022520</t>
  </si>
  <si>
    <t>599904831208120</t>
  </si>
  <si>
    <t>262304840022260</t>
  </si>
  <si>
    <t>599904831241620</t>
  </si>
  <si>
    <t>262304840022280</t>
  </si>
  <si>
    <t>599904831355910</t>
  </si>
  <si>
    <t>599904832399590</t>
  </si>
  <si>
    <t>599904831297900</t>
  </si>
  <si>
    <t>599904831386240</t>
  </si>
  <si>
    <t>599904831352190</t>
  </si>
  <si>
    <t>262304840022770</t>
  </si>
  <si>
    <t>599904831356060</t>
  </si>
  <si>
    <t>599904831401380</t>
  </si>
  <si>
    <t>599904831382560</t>
  </si>
  <si>
    <t>038800000000000</t>
  </si>
  <si>
    <t>599904831386390</t>
  </si>
  <si>
    <t>599904831565540</t>
  </si>
  <si>
    <t>599904831393960</t>
  </si>
  <si>
    <t>599904831436490</t>
  </si>
  <si>
    <t>599904831634040</t>
  </si>
  <si>
    <t>599904831545280</t>
  </si>
  <si>
    <t>599904832580100</t>
  </si>
  <si>
    <t>599904831618220</t>
  </si>
  <si>
    <t>599904831712500</t>
  </si>
  <si>
    <t>599904831629960</t>
  </si>
  <si>
    <t>262304840023200</t>
  </si>
  <si>
    <t>599904831638300</t>
  </si>
  <si>
    <t>599904831752220</t>
  </si>
  <si>
    <t>599904831672470</t>
  </si>
  <si>
    <t>262304840025140</t>
  </si>
  <si>
    <t>599904831731960</t>
  </si>
  <si>
    <t>599904832221680</t>
  </si>
  <si>
    <t>599904831752180</t>
  </si>
  <si>
    <t>599904831758780</t>
  </si>
  <si>
    <t>599904832357140</t>
  </si>
  <si>
    <t>599904831791750</t>
  </si>
  <si>
    <t>599904832884660</t>
  </si>
  <si>
    <t>599904832284390</t>
  </si>
  <si>
    <t>599904832419600</t>
  </si>
  <si>
    <t>599904832317190</t>
  </si>
  <si>
    <t>262304840023760</t>
  </si>
  <si>
    <t>599904832399440</t>
  </si>
  <si>
    <t>599904832482470</t>
  </si>
  <si>
    <t>599904832399630</t>
  </si>
  <si>
    <t>862304840056050</t>
  </si>
  <si>
    <t>599904832439770</t>
  </si>
  <si>
    <t>599904832516560</t>
  </si>
  <si>
    <t>599904832479910</t>
  </si>
  <si>
    <t>599904832486720</t>
  </si>
  <si>
    <t>599904832573580</t>
  </si>
  <si>
    <t>599904832497550</t>
  </si>
  <si>
    <t>599904833750130</t>
  </si>
  <si>
    <t>599904832527100</t>
  </si>
  <si>
    <t>599904832660000</t>
  </si>
  <si>
    <t>599904832537730</t>
  </si>
  <si>
    <t>262304840024230</t>
  </si>
  <si>
    <t>599904832573620</t>
  </si>
  <si>
    <t>599904832808140</t>
  </si>
  <si>
    <t>599904832597710</t>
  </si>
  <si>
    <t>599904832711680</t>
  </si>
  <si>
    <t>599904832822520</t>
  </si>
  <si>
    <t>599904832793400</t>
  </si>
  <si>
    <t>036300000000000</t>
  </si>
  <si>
    <t>599904832822140</t>
  </si>
  <si>
    <t>599904832838470</t>
  </si>
  <si>
    <t>262304840024040</t>
  </si>
  <si>
    <t>599904832899890</t>
  </si>
  <si>
    <t>262304840024160</t>
  </si>
  <si>
    <t>262304840025040</t>
  </si>
  <si>
    <t>599904833172510</t>
  </si>
  <si>
    <t>262304840024430</t>
  </si>
  <si>
    <t>862304880010260</t>
  </si>
  <si>
    <t>599904833246280</t>
  </si>
  <si>
    <t>262304840024560</t>
  </si>
  <si>
    <t>026200000000000</t>
  </si>
  <si>
    <t>599904833381760</t>
  </si>
  <si>
    <t>262304840024750</t>
  </si>
  <si>
    <t>862304840007910</t>
  </si>
  <si>
    <t>262304840025010</t>
  </si>
  <si>
    <t>262304840025730</t>
  </si>
  <si>
    <t>599904835787360</t>
  </si>
  <si>
    <t>262304840025050</t>
  </si>
  <si>
    <t>262304880022870</t>
  </si>
  <si>
    <t>599904836495230</t>
  </si>
  <si>
    <t>262304840025110</t>
  </si>
  <si>
    <t>036700000000000</t>
  </si>
  <si>
    <t>SANTANDER CONSUMER FINANCE, MADRID</t>
  </si>
  <si>
    <t>5493000LM0MZ4JPMGM90</t>
  </si>
  <si>
    <t>262304840025280</t>
  </si>
  <si>
    <t>862304840035600</t>
  </si>
  <si>
    <t>862304840002100</t>
  </si>
  <si>
    <t>262304840025650</t>
  </si>
  <si>
    <t>262304840026280</t>
  </si>
  <si>
    <t>862304840004970</t>
  </si>
  <si>
    <t>262304840025790</t>
  </si>
  <si>
    <t>320000000000000</t>
  </si>
  <si>
    <t>862304840007670</t>
  </si>
  <si>
    <t>262304840025960</t>
  </si>
  <si>
    <t>000300000000000</t>
  </si>
  <si>
    <t>862304840007790</t>
  </si>
  <si>
    <t>262304840026080</t>
  </si>
  <si>
    <t>862304840046720</t>
  </si>
  <si>
    <t>862304840009650</t>
  </si>
  <si>
    <t>262304840026200</t>
  </si>
  <si>
    <t>262304840026910</t>
  </si>
  <si>
    <t>862304840020430</t>
  </si>
  <si>
    <t>262304840026320</t>
  </si>
  <si>
    <t>0100I240P385917</t>
  </si>
  <si>
    <t>862304840027360</t>
  </si>
  <si>
    <t>262304840026500</t>
  </si>
  <si>
    <t>862304840033050</t>
  </si>
  <si>
    <t>262304840026710</t>
  </si>
  <si>
    <t>2P5579982SC3008</t>
  </si>
  <si>
    <t>862304840037070</t>
  </si>
  <si>
    <t>262304840026890</t>
  </si>
  <si>
    <t>262304880011230</t>
  </si>
  <si>
    <t>862304840039730</t>
  </si>
  <si>
    <t>262304840026990</t>
  </si>
  <si>
    <t>862304840042940</t>
  </si>
  <si>
    <t>262304840027200</t>
  </si>
  <si>
    <t>026500000000000</t>
  </si>
  <si>
    <t>862304840044920</t>
  </si>
  <si>
    <t>262304880001110</t>
  </si>
  <si>
    <t>312500000000000</t>
  </si>
  <si>
    <t>862304840049330</t>
  </si>
  <si>
    <t>862304840055640</t>
  </si>
  <si>
    <t>262304880011380</t>
  </si>
  <si>
    <t>262304880023930</t>
  </si>
  <si>
    <t>262304880020300</t>
  </si>
  <si>
    <t>ABBEY NATIONAL PLC</t>
  </si>
  <si>
    <t>7400507283</t>
  </si>
  <si>
    <t>2P5579981SC3008</t>
  </si>
  <si>
    <t>588804831842570</t>
  </si>
  <si>
    <t>312000000000000</t>
  </si>
  <si>
    <t>310000000000000</t>
  </si>
  <si>
    <t>588804831738600</t>
  </si>
  <si>
    <t>311500000000000</t>
  </si>
  <si>
    <t>962304870352140</t>
  </si>
  <si>
    <t>962304820309840</t>
  </si>
  <si>
    <t>323000000000000</t>
  </si>
  <si>
    <t>862304880024790</t>
  </si>
  <si>
    <t>962304820216980</t>
  </si>
  <si>
    <t>962304820340440</t>
  </si>
  <si>
    <t>962304820368340</t>
  </si>
  <si>
    <t>962304880335480</t>
  </si>
  <si>
    <t>314500000000000</t>
  </si>
  <si>
    <t>315500000000000</t>
  </si>
  <si>
    <t>322000000000000</t>
  </si>
  <si>
    <t>962304820334350</t>
  </si>
  <si>
    <t>962304820252720</t>
  </si>
  <si>
    <t>SANTANDER CONSUMER BANK AG - MOENCHENGLADBACH</t>
  </si>
  <si>
    <t>0000235696</t>
  </si>
  <si>
    <t>317500000000000</t>
  </si>
  <si>
    <t>862304880020020</t>
  </si>
  <si>
    <t>UCI MEDIACAO DE SEGUROS, UNIPESSOAL LDA.</t>
  </si>
  <si>
    <t>7400781266</t>
  </si>
  <si>
    <t>962304820167570</t>
  </si>
  <si>
    <t>862304880009380</t>
  </si>
  <si>
    <t>962304820183710</t>
  </si>
  <si>
    <t>862304880028330</t>
  </si>
  <si>
    <t>962304820205570</t>
  </si>
  <si>
    <t>320500000000000</t>
  </si>
  <si>
    <t>862304880012090</t>
  </si>
  <si>
    <t>962304820228590</t>
  </si>
  <si>
    <t>BANCO SANTANDER (SUC. MILAO)</t>
  </si>
  <si>
    <t>6511003239</t>
  </si>
  <si>
    <t>962304820028010</t>
  </si>
  <si>
    <t>325900000000000</t>
  </si>
  <si>
    <t>962304820242730</t>
  </si>
  <si>
    <t>962304820340060</t>
  </si>
  <si>
    <t>962304820340160</t>
  </si>
  <si>
    <t>962304820341340</t>
  </si>
  <si>
    <t>364000000000000</t>
  </si>
  <si>
    <t>962304820346880</t>
  </si>
  <si>
    <t>962304820358470</t>
  </si>
  <si>
    <t>962304820364210</t>
  </si>
  <si>
    <t>962304830364570</t>
  </si>
  <si>
    <t>331600000000000</t>
  </si>
  <si>
    <t>962304870343130</t>
  </si>
  <si>
    <t>962304870356080</t>
  </si>
  <si>
    <t>328400000000000</t>
  </si>
  <si>
    <t>962304880165360</t>
  </si>
  <si>
    <t>324700000000000</t>
  </si>
  <si>
    <t>962304820338290</t>
  </si>
  <si>
    <t>162304840071020</t>
  </si>
  <si>
    <t>962304820307850</t>
  </si>
  <si>
    <t>328000000000000</t>
  </si>
  <si>
    <t>333000000000000</t>
  </si>
  <si>
    <t>962304820311050</t>
  </si>
  <si>
    <t>962304820338140</t>
  </si>
  <si>
    <t>331000000000000</t>
  </si>
  <si>
    <t>347000000000000</t>
  </si>
  <si>
    <t>862304880012770</t>
  </si>
  <si>
    <t>332000000000000</t>
  </si>
  <si>
    <t>862304880010340</t>
  </si>
  <si>
    <t>027500000000000</t>
  </si>
  <si>
    <t>862304880017150</t>
  </si>
  <si>
    <t>862304840237260</t>
  </si>
  <si>
    <t>362304820767670</t>
  </si>
  <si>
    <t>862304880020760</t>
  </si>
  <si>
    <t>027800000000000</t>
  </si>
  <si>
    <t>862304880011600</t>
  </si>
  <si>
    <t>962304820163410</t>
  </si>
  <si>
    <t>039600000000000</t>
  </si>
  <si>
    <t>862304880011610</t>
  </si>
  <si>
    <t>862304880023470</t>
  </si>
  <si>
    <t>862304840097570</t>
  </si>
  <si>
    <t>862304880025050</t>
  </si>
  <si>
    <t>862304880011780</t>
  </si>
  <si>
    <t>862304880027370</t>
  </si>
  <si>
    <t>862304880009430</t>
  </si>
  <si>
    <t>039400000000000</t>
  </si>
  <si>
    <t>862304880028590</t>
  </si>
  <si>
    <t>023600000000000</t>
  </si>
  <si>
    <t>862304880011980</t>
  </si>
  <si>
    <t>862304880031070</t>
  </si>
  <si>
    <t>348500000000000</t>
  </si>
  <si>
    <t>862304840237140</t>
  </si>
  <si>
    <t>962304820220280</t>
  </si>
  <si>
    <t>862304880066880</t>
  </si>
  <si>
    <t>862304880012150</t>
  </si>
  <si>
    <t>862304880301360</t>
  </si>
  <si>
    <t>862304880010230</t>
  </si>
  <si>
    <t>162304820739370</t>
  </si>
  <si>
    <t>SANTANDER SECURITIES SERVICES</t>
  </si>
  <si>
    <t>95980020140005970915</t>
  </si>
  <si>
    <t>162304880044030</t>
  </si>
  <si>
    <t>862304880012400</t>
  </si>
  <si>
    <t>027700000000000</t>
  </si>
  <si>
    <t>354000000000000</t>
  </si>
  <si>
    <t>162304840013480</t>
  </si>
  <si>
    <t>162304840070280</t>
  </si>
  <si>
    <t>962304820340070</t>
  </si>
  <si>
    <t>962304820340090</t>
  </si>
  <si>
    <t>362304820908010</t>
  </si>
  <si>
    <t>962304820340120</t>
  </si>
  <si>
    <t>962304820340140</t>
  </si>
  <si>
    <t>962304820340170</t>
  </si>
  <si>
    <t>962304820340420</t>
  </si>
  <si>
    <t>962304820341100</t>
  </si>
  <si>
    <t>162304840738540</t>
  </si>
  <si>
    <t>962304820341720</t>
  </si>
  <si>
    <t>028100000000000</t>
  </si>
  <si>
    <t>962304820345590</t>
  </si>
  <si>
    <t>962304820345610</t>
  </si>
  <si>
    <t>962304820353330</t>
  </si>
  <si>
    <t>962304820357170</t>
  </si>
  <si>
    <t>162304880023020</t>
  </si>
  <si>
    <t>162304848006190</t>
  </si>
  <si>
    <t>962304820364500</t>
  </si>
  <si>
    <t>962304820365800</t>
  </si>
  <si>
    <t>162304880071650</t>
  </si>
  <si>
    <t>CACEIS BANK, GERMANY BRANCH</t>
  </si>
  <si>
    <t>96950023SCR9X9F3L662</t>
  </si>
  <si>
    <t>224419050000000</t>
  </si>
  <si>
    <t>362304820777020</t>
  </si>
  <si>
    <t>162304888017770</t>
  </si>
  <si>
    <t>962304870364230</t>
  </si>
  <si>
    <t>362100000000000</t>
  </si>
  <si>
    <t>382500000000000</t>
  </si>
  <si>
    <t>PCI000060000000</t>
  </si>
  <si>
    <t>362304820003350</t>
  </si>
  <si>
    <t>375500000000000</t>
  </si>
  <si>
    <t>188858470000000</t>
  </si>
  <si>
    <t>220601510000000</t>
  </si>
  <si>
    <t>862304840022990</t>
  </si>
  <si>
    <t>262304840018660</t>
  </si>
  <si>
    <t>599904815284950</t>
  </si>
  <si>
    <t>XS0412478439000</t>
  </si>
  <si>
    <t>XS0378557663000</t>
  </si>
  <si>
    <t>PTGMMDOM0009000</t>
  </si>
  <si>
    <t>PTCPP0AM0007000</t>
  </si>
  <si>
    <t>5100011001</t>
  </si>
  <si>
    <t>PTBSRNOM0019000</t>
  </si>
  <si>
    <t>PTBSRLOM0029000</t>
  </si>
  <si>
    <t>PTBSRJOM0023000</t>
  </si>
  <si>
    <t>0000003686</t>
  </si>
  <si>
    <t>PTBSRGOM0034000</t>
  </si>
  <si>
    <t>PTBSRDOE0029000</t>
  </si>
  <si>
    <t>XS0395876377000</t>
  </si>
  <si>
    <t>PTGAMCOM0012000</t>
  </si>
  <si>
    <t>PTBSRMOM0028000</t>
  </si>
  <si>
    <t>PTBSRHOE0025000</t>
  </si>
  <si>
    <t>PTBSRAOE0022000</t>
  </si>
  <si>
    <t>XS0348692277000</t>
  </si>
  <si>
    <t>PTBSROOM0018000</t>
  </si>
  <si>
    <t>PTBSRFOE0019000</t>
  </si>
  <si>
    <t>XS0472855260000</t>
  </si>
  <si>
    <t>PTBSRKOM0020000</t>
  </si>
  <si>
    <t>100I610P6320SC0</t>
  </si>
  <si>
    <t>0000000000</t>
  </si>
  <si>
    <t>r0110 - Covered deposits (BRRD art. 44/2/a)</t>
  </si>
  <si>
    <t>false</t>
  </si>
  <si>
    <t>Euro</t>
  </si>
  <si>
    <t>2021-12-31</t>
  </si>
  <si>
    <t>Non-structured/Vanilla</t>
  </si>
  <si>
    <t>No</t>
  </si>
  <si>
    <t>true</t>
  </si>
  <si>
    <t>T 03.02 - Intragroup guarantees - received</t>
  </si>
  <si>
    <t>Intragroup guarantees - received</t>
  </si>
  <si>
    <t>Entity name of guaranteeing entity</t>
  </si>
  <si>
    <t>Identifier of Guaranteeing Entity (preferably LEI)</t>
  </si>
  <si>
    <t>Is Guaranteeing Entity included in the Resolution Group of Reporting Entity?</t>
  </si>
  <si>
    <t>Guarantee Type</t>
  </si>
  <si>
    <t>Potential maximum guaranteed amount</t>
  </si>
  <si>
    <t>Collateralised</t>
  </si>
  <si>
    <t>Amount of collateral received</t>
  </si>
  <si>
    <t>Guarantee trigger</t>
  </si>
  <si>
    <t>0035</t>
  </si>
  <si>
    <t>0047</t>
  </si>
  <si>
    <t>Intragroup Guarantees - Received</t>
  </si>
  <si>
    <t>Rank 9 - Ranking in insolvency (master scale)</t>
  </si>
  <si>
    <t>000000000100000</t>
  </si>
  <si>
    <t>BANCO SANTANDER SA</t>
  </si>
  <si>
    <t>PORTUGAL</t>
  </si>
  <si>
    <t>Counterparty</t>
  </si>
  <si>
    <t>Default</t>
  </si>
  <si>
    <t>BANCO SANTANDER TOTTA S.A.</t>
  </si>
  <si>
    <t>000000000200000</t>
  </si>
  <si>
    <t>000000000300000</t>
  </si>
  <si>
    <t>000000000400000</t>
  </si>
  <si>
    <t>000000000500000</t>
  </si>
  <si>
    <t>000000000600000</t>
  </si>
  <si>
    <t>000000000700000</t>
  </si>
  <si>
    <t>000000000800000</t>
  </si>
  <si>
    <t>000000000900000</t>
  </si>
  <si>
    <t>000000001000000</t>
  </si>
  <si>
    <t>000000001100000</t>
  </si>
  <si>
    <t>000000001200000</t>
  </si>
  <si>
    <t>000000001300000</t>
  </si>
  <si>
    <t>000000001400000</t>
  </si>
  <si>
    <t>000000001500000</t>
  </si>
  <si>
    <t>000000001600000</t>
  </si>
  <si>
    <t>000000001700000</t>
  </si>
  <si>
    <t>000000001800000</t>
  </si>
  <si>
    <t>000000001900000</t>
  </si>
  <si>
    <t>000000002100000</t>
  </si>
  <si>
    <t>000000002200000</t>
  </si>
  <si>
    <t>000000002300000</t>
  </si>
  <si>
    <t>000000002400000</t>
  </si>
  <si>
    <t>000000002500000</t>
  </si>
  <si>
    <t>000000002600000</t>
  </si>
  <si>
    <t>000000002700000</t>
  </si>
  <si>
    <t>000000002800000</t>
  </si>
  <si>
    <t>000000002900000</t>
  </si>
  <si>
    <t>000000003000000</t>
  </si>
  <si>
    <t>000000003100000</t>
  </si>
  <si>
    <t>000000003200000</t>
  </si>
  <si>
    <t>000000003300000</t>
  </si>
  <si>
    <t>000000003400000</t>
  </si>
  <si>
    <t>000000003500000</t>
  </si>
  <si>
    <t>000000003600000</t>
  </si>
  <si>
    <t>000000003700000</t>
  </si>
  <si>
    <t>000000003800000</t>
  </si>
  <si>
    <t>000000003900000</t>
  </si>
  <si>
    <t>000000004000000</t>
  </si>
  <si>
    <t>000000004100000</t>
  </si>
  <si>
    <t>000000004200000</t>
  </si>
  <si>
    <t>000000004300000</t>
  </si>
  <si>
    <t>000000004400000</t>
  </si>
  <si>
    <t>000000004500000</t>
  </si>
  <si>
    <t>000000004600000</t>
  </si>
  <si>
    <t>000000004700000</t>
  </si>
  <si>
    <t>000000004800000</t>
  </si>
  <si>
    <t>000000004900000</t>
  </si>
  <si>
    <t>000000005000000</t>
  </si>
  <si>
    <t>000000005100000</t>
  </si>
  <si>
    <t>000000005300000</t>
  </si>
  <si>
    <t>000000005400000</t>
  </si>
  <si>
    <t>000000005500000</t>
  </si>
  <si>
    <t>000000005600000</t>
  </si>
  <si>
    <t>000000005700000</t>
  </si>
  <si>
    <t>000000005800000</t>
  </si>
  <si>
    <t>000000005900000</t>
  </si>
  <si>
    <t>000000006000000</t>
  </si>
  <si>
    <t>000000006100000</t>
  </si>
  <si>
    <t>000000006200000</t>
  </si>
  <si>
    <t>000000006300000</t>
  </si>
  <si>
    <t>000000006400000</t>
  </si>
  <si>
    <t>000000006500000</t>
  </si>
  <si>
    <t>000000006600000</t>
  </si>
  <si>
    <t>000000006700000</t>
  </si>
  <si>
    <t>000000006800000</t>
  </si>
  <si>
    <t>000000006900000</t>
  </si>
  <si>
    <t>000000007000000</t>
  </si>
  <si>
    <t>000000007100000</t>
  </si>
  <si>
    <t>000000007200000</t>
  </si>
  <si>
    <t>000000007300000</t>
  </si>
  <si>
    <t>000000007400000</t>
  </si>
  <si>
    <t>000000007500000</t>
  </si>
  <si>
    <t>000000007600000</t>
  </si>
  <si>
    <t>000000007700000</t>
  </si>
  <si>
    <t>000000007800000</t>
  </si>
  <si>
    <t>000000007900000</t>
  </si>
  <si>
    <t>000000008000000</t>
  </si>
  <si>
    <t>000000008100000</t>
  </si>
  <si>
    <t>000000008200000</t>
  </si>
  <si>
    <t>000000008300000</t>
  </si>
  <si>
    <t>000000008400000</t>
  </si>
  <si>
    <t>000000008500000</t>
  </si>
  <si>
    <t>000000008600000</t>
  </si>
  <si>
    <t>000000008700000</t>
  </si>
  <si>
    <t>000000008800000</t>
  </si>
  <si>
    <t>000000008900000</t>
  </si>
  <si>
    <t>000000009000000</t>
  </si>
  <si>
    <t>000000009100000</t>
  </si>
  <si>
    <t>000000009200000</t>
  </si>
  <si>
    <t>000000009300000</t>
  </si>
  <si>
    <t>000000009400000</t>
  </si>
  <si>
    <t>000000009500000</t>
  </si>
  <si>
    <t>000000009600000</t>
  </si>
  <si>
    <t>NOVIMOVEST - FUNDO DE INVESTIMENTO IMOBILIARIO</t>
  </si>
  <si>
    <t>T 03.03 - Intragroup guarantees - provided</t>
  </si>
  <si>
    <t>Intragroup guarantees - provided</t>
  </si>
  <si>
    <t>Entity name of beneficiary</t>
  </si>
  <si>
    <t>Identifier of beneficiary</t>
  </si>
  <si>
    <t>Is beneficiary included in the resolution group of reporting entity?</t>
  </si>
  <si>
    <t>Amount of collateral provided</t>
  </si>
  <si>
    <t>999</t>
  </si>
  <si>
    <t>T 04.00 - Securities (including CET1, AT1 &amp; Tier 2 instruments; excluding intragroup)</t>
  </si>
  <si>
    <t>Securities issued (Including CET1, AT1 &amp; Tier 2 instruments; excluding intragroup)</t>
  </si>
  <si>
    <t>ISIN</t>
  </si>
  <si>
    <t>Type of instrument</t>
  </si>
  <si>
    <t>If third country law, contractual recognition</t>
  </si>
  <si>
    <t>Original amount issued</t>
  </si>
  <si>
    <t>Coupon type</t>
  </si>
  <si>
    <t>Current Coupon (%)</t>
  </si>
  <si>
    <t>Public/private placement</t>
  </si>
  <si>
    <t>Paying agent</t>
  </si>
  <si>
    <t>Trustee</t>
  </si>
  <si>
    <t>Creditor</t>
  </si>
  <si>
    <t>Exchanges securities are listed on</t>
  </si>
  <si>
    <t>Settlement systems</t>
  </si>
  <si>
    <t>Register holder</t>
  </si>
  <si>
    <t>Central securities depository</t>
  </si>
  <si>
    <t>Secured/ unsecured</t>
  </si>
  <si>
    <t>Funding amount provided by any group entity</t>
  </si>
  <si>
    <t>Structured or other non-standard terms</t>
  </si>
  <si>
    <t>Amount meeting the conditions for MREL eligibility</t>
  </si>
  <si>
    <t>Amount Included in Own Funds, taking into account phase-out as applicable</t>
  </si>
  <si>
    <t>0200</t>
  </si>
  <si>
    <t>0210</t>
  </si>
  <si>
    <t>0215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</si>
  <si>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</si>
  <si>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</si>
  <si>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</si>
  <si>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</si>
  <si>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</si>
  <si>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</si>
  <si>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</si>
  <si>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</si>
  <si>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</si>
  <si>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0305</t>
  </si>
  <si>
    <t>0310</t>
  </si>
  <si>
    <t>0320</t>
  </si>
  <si>
    <t>ID of security issued</t>
  </si>
  <si>
    <t>Private placement</t>
  </si>
  <si>
    <t>529900LG70TCAGWCXT47</t>
  </si>
  <si>
    <t>529900LG70TCAGWCXT48</t>
  </si>
  <si>
    <t>529900LG70TCAGWCXT49</t>
  </si>
  <si>
    <t>529900LG70TCAGWCXT50</t>
  </si>
  <si>
    <t>529900LG70TCAGWCXT51</t>
  </si>
  <si>
    <t>T 05.01 - All deposits (excluding intra-group)</t>
  </si>
  <si>
    <t>All deposits (excluding intra-group)</t>
  </si>
  <si>
    <t>Counterparty identifier (preferably LEI)</t>
  </si>
  <si>
    <t>Current interest rate (%)</t>
  </si>
  <si>
    <t>Issuance date for term deposits</t>
  </si>
  <si>
    <t>0025</t>
  </si>
  <si>
    <t xml:space="preserve"> ID of deposit(or)</t>
  </si>
  <si>
    <t>c001x   - Households</t>
  </si>
  <si>
    <t>DOLAR AUSTRALIANO</t>
  </si>
  <si>
    <t>Unsecured</t>
  </si>
  <si>
    <t>DOLAR CANADIANO</t>
  </si>
  <si>
    <t>COROA DINAMARQUESA</t>
  </si>
  <si>
    <t>IENE JAPONES</t>
  </si>
  <si>
    <t>PESO MEXICANO</t>
  </si>
  <si>
    <t>COROA NORUEGUESA</t>
  </si>
  <si>
    <t>RAND SUL AFRICANO</t>
  </si>
  <si>
    <t>COROA SUECA</t>
  </si>
  <si>
    <t>FRANCO SUICO</t>
  </si>
  <si>
    <t>LIBRA INGLESA</t>
  </si>
  <si>
    <t>DOLAR AMERICANO</t>
  </si>
  <si>
    <t>EURO</t>
  </si>
  <si>
    <t>NOVO ZLOTY POLONIA</t>
  </si>
  <si>
    <t>YUAN REN-MIN-BI</t>
  </si>
  <si>
    <t>c008x   - Government, central banks &amp; supranationals</t>
  </si>
  <si>
    <t>T 06.01 - Other financial Liabilities (not included in other tabs, excluding intragroup)</t>
  </si>
  <si>
    <t>Other Financial liabilities (not included in other templates, excluding intragroup)</t>
  </si>
  <si>
    <t>Entity name of counterparty</t>
  </si>
  <si>
    <t>Type of financial liabilities</t>
  </si>
  <si>
    <t>Qualifying as Own Funds</t>
  </si>
  <si>
    <t>Amount included in own funds, taking into account phase-out as applicable</t>
  </si>
  <si>
    <t>0065</t>
  </si>
  <si>
    <t>0075</t>
  </si>
  <si>
    <t>0205</t>
  </si>
  <si>
    <t xml:space="preserve"> ID of liability</t>
  </si>
  <si>
    <t>Financial liabilities other than debt securities issued, deposits, promissory notes, registered notes, bills of exchange, silent partnership contributions</t>
  </si>
  <si>
    <t>T 07.00 - Derivatives</t>
  </si>
  <si>
    <t>Derivatives</t>
  </si>
  <si>
    <t>Master agreement ID</t>
  </si>
  <si>
    <t>Type of MA (e.g. ISDA 1992)</t>
  </si>
  <si>
    <t>ISDA Protocol Adherent - Entity</t>
  </si>
  <si>
    <t>Resolution Stay Recognition - Counterparty</t>
  </si>
  <si>
    <t>Country of  counterparty</t>
  </si>
  <si>
    <t>Intragroup transaction (yes/no)</t>
  </si>
  <si>
    <t>Governing law of MA/single deal</t>
  </si>
  <si>
    <t>Number of transactions covered</t>
  </si>
  <si>
    <t>Net Mark-to-Market Value</t>
  </si>
  <si>
    <t>Value of net collateral posted</t>
  </si>
  <si>
    <t>Estimated Close-Out amount</t>
  </si>
  <si>
    <t>Estimated early termination amount</t>
  </si>
  <si>
    <t>0061</t>
  </si>
  <si>
    <t>0071</t>
  </si>
  <si>
    <t>0085</t>
  </si>
  <si>
    <t>0095</t>
  </si>
  <si>
    <t>Derivatives contract</t>
  </si>
  <si>
    <t>00EEQB</t>
  </si>
  <si>
    <t>EXPO ATLANTICO EAII INVESTIMENTOS IMOBILIARIOS SA</t>
  </si>
  <si>
    <t>00ETUW</t>
  </si>
  <si>
    <t>EIFCITYLIS, S.A.</t>
  </si>
  <si>
    <t>CQ_BSP_MWCS</t>
  </si>
  <si>
    <t>MADEIRA WINE COMPANY S.A.</t>
  </si>
  <si>
    <t>00EPHX</t>
  </si>
  <si>
    <t>EXPO PACIFICO EPII INVESTIMENTOS IMOBILIARIOS SA</t>
  </si>
  <si>
    <t>0000055162</t>
  </si>
  <si>
    <t>FORTUNATO O. FREDERICO &amp; CA.,LDA</t>
  </si>
  <si>
    <t>00EIEU</t>
  </si>
  <si>
    <t>EXPO INDICO EIII INVESTIMENTOS IMOBILIARIOS SA</t>
  </si>
  <si>
    <t>00E0E1</t>
  </si>
  <si>
    <t>CITY MARQUES, S.A.</t>
  </si>
  <si>
    <t>WEM8</t>
  </si>
  <si>
    <t>WARTA - RETAIL &amp; SERVICES INVESTMENTS B.V.</t>
  </si>
  <si>
    <t>208E</t>
  </si>
  <si>
    <t>NORTE SHOPPING RETAIL &amp; LEISURE CENTRE B V</t>
  </si>
  <si>
    <t>ZYJL</t>
  </si>
  <si>
    <t>SHOPPING CENTRE COLOMBO HOLDING B.V.</t>
  </si>
  <si>
    <t>00FWAS</t>
  </si>
  <si>
    <t>FERPINTA WEST AFRICA, S.A.</t>
  </si>
  <si>
    <t>EIC3</t>
  </si>
  <si>
    <t>CENTRO COLOMBO - CENTRO COMERCIAL S.A.</t>
  </si>
  <si>
    <t>CQ_BSP_S058</t>
  </si>
  <si>
    <t>SOGENAVE - SOC. GERAL ABAST. A NAVEGACAO E INDUSTRIA HOTELEIRA, SA</t>
  </si>
  <si>
    <t>00PCW7</t>
  </si>
  <si>
    <t>PLURIMA COMPANHIA TRANSACCOES COMERCIAIS SA</t>
  </si>
  <si>
    <t>CQ_BSP_PCSQ</t>
  </si>
  <si>
    <t>BIAL - PORTELA &amp; CA. S.A.</t>
  </si>
  <si>
    <t>6H1L</t>
  </si>
  <si>
    <t>MULTIFIBRAS - COMERCIO IMPORTACAO FIOS LDA</t>
  </si>
  <si>
    <t>84HC</t>
  </si>
  <si>
    <t>LICONFE-LINHAS INDUSTRIAIS S.A.</t>
  </si>
  <si>
    <t>00GQBG</t>
  </si>
  <si>
    <t>GENERGREEN S.G.P.S. S.A.</t>
  </si>
  <si>
    <t>206T</t>
  </si>
  <si>
    <t>NORTESHOPPING CENTRO COMERCIAL S.A.</t>
  </si>
  <si>
    <t>00RT8D</t>
  </si>
  <si>
    <t>RIO SUL - CENTRO COMERCIAL, S.A.</t>
  </si>
  <si>
    <t>FTHK</t>
  </si>
  <si>
    <t>FLEXIDOOR-PORTOES SECCIONADOS AUTOMATISMOS SA</t>
  </si>
  <si>
    <t>00TL1P</t>
  </si>
  <si>
    <t>TECNO-PAN, S.A.</t>
  </si>
  <si>
    <t>00LO10</t>
  </si>
  <si>
    <t>L. M. PERFIS - INDUSTRIA DE PERFIS E PORTAS S.A.</t>
  </si>
  <si>
    <t>CQ_BSP_AAIS</t>
  </si>
  <si>
    <t>AMORIM CORK S.A.</t>
  </si>
  <si>
    <t>0000008390</t>
  </si>
  <si>
    <t>D PEDRO V INVESTIMENTOS IMOBILIARIOS DPII S.A.</t>
  </si>
  <si>
    <t>0000001095</t>
  </si>
  <si>
    <t>J.SOARES CORREIA-ARMAZENS DE FERRO S.A.</t>
  </si>
  <si>
    <t>00IVPP</t>
  </si>
  <si>
    <t>INDORAMA VENTURES PORTUGAL PTA UNIPESSOAL LDA</t>
  </si>
  <si>
    <t>IVOG</t>
  </si>
  <si>
    <t>IRMAOS VILA NOVA S.A.</t>
  </si>
  <si>
    <t>5100276161</t>
  </si>
  <si>
    <t>IMPORCELOS, S.A.</t>
  </si>
  <si>
    <t>Z2N8</t>
  </si>
  <si>
    <t>CORK SUPPLY PORTUGAL, S.A.</t>
  </si>
  <si>
    <t>I11R</t>
  </si>
  <si>
    <t>IBERSOL, SGPS S.A.</t>
  </si>
  <si>
    <t>4GDF</t>
  </si>
  <si>
    <t>JOAO VIOLAS, FILHO LDA</t>
  </si>
  <si>
    <t>00DCUL</t>
  </si>
  <si>
    <t>DECISAO CRUCIAL UNIPESSOAL LDA</t>
  </si>
  <si>
    <t>CQ_BSP_BRPA</t>
  </si>
  <si>
    <t>BARATA &amp; RAMILO S.A.</t>
  </si>
  <si>
    <t>00LEX4</t>
  </si>
  <si>
    <t>LOURESHOPPING CENTRO COMERCIAL S.A.</t>
  </si>
  <si>
    <t>CQ_BSP_EPCS</t>
  </si>
  <si>
    <t>EUREKA PLAST - COMERCIO DE MATERIAS PLASTICAS S.A.</t>
  </si>
  <si>
    <t>CQ_BSP_MTLQ</t>
  </si>
  <si>
    <t>MATEMA - TEXTEIS, LDA.</t>
  </si>
  <si>
    <t>00NSL5</t>
  </si>
  <si>
    <t>IBERLIM - HIGIENE E SUSTENTABILIDADE AMBIENTAL, S.A.</t>
  </si>
  <si>
    <t>CQ_9DBU</t>
  </si>
  <si>
    <t>NOVARROZ - PRODUTOS ALIMENTARES SA</t>
  </si>
  <si>
    <t>D0HJ</t>
  </si>
  <si>
    <t>CELULOSE BEIRA INDUSTRIAL CELBI S.A.</t>
  </si>
  <si>
    <t>00PRIP</t>
  </si>
  <si>
    <t>PORTUGAL RENEWABLE ENERGY - PTRW UNIPESSOAL LDA</t>
  </si>
  <si>
    <t>44VW</t>
  </si>
  <si>
    <t>FABRICA DE TECIDOS DO CARVALHO LDA</t>
  </si>
  <si>
    <t>Z730</t>
  </si>
  <si>
    <t>RISATEL - SOCIEDADE COMERCIAL DE FIOS TEXTEIS LDA</t>
  </si>
  <si>
    <t>00GL0F</t>
  </si>
  <si>
    <t>GRAVITYTIGER, LDA</t>
  </si>
  <si>
    <t>8ILG</t>
  </si>
  <si>
    <t>VISION BOX - SOLUCOES DE VISAO POR COMPUTADOR S.A.</t>
  </si>
  <si>
    <t>0000016602</t>
  </si>
  <si>
    <t>VILARTEX - EMPRESA DE MALHAS VILARINHO LDA</t>
  </si>
  <si>
    <t>977J</t>
  </si>
  <si>
    <t>VILAMOURA WORLD S.A.</t>
  </si>
  <si>
    <t>2RJO</t>
  </si>
  <si>
    <t>STRONG CHARON, SOLUCOES DE SEGURANCA, S.A.</t>
  </si>
  <si>
    <t>ISDA_GWL1</t>
  </si>
  <si>
    <t>GALLO WORLDWIDE LDA.</t>
  </si>
  <si>
    <t>5PGI</t>
  </si>
  <si>
    <t>THE NAVIGATOR COMPANY S.A.</t>
  </si>
  <si>
    <t>CQ_BSP_TGPT</t>
  </si>
  <si>
    <t>TRIVALOR-SOCIEDADE GESTORA DE PARTICIPACOES SOCIAIS S.A.</t>
  </si>
  <si>
    <t>00CSPY</t>
  </si>
  <si>
    <t>CORK SUPPLY PORTUGAL 4 - ROLHAS TECNICAS UNIPESSOAL LDA</t>
  </si>
  <si>
    <t>PSZF</t>
  </si>
  <si>
    <t>8 AVENIDA- CENTRO COMERCIAL, S.A.</t>
  </si>
  <si>
    <t>0000220295</t>
  </si>
  <si>
    <t>COLQUIMICA - INDUSTRIA NACIONAL DE COLAS S.A.</t>
  </si>
  <si>
    <t>53GN</t>
  </si>
  <si>
    <t>GALP GAS NATURAL S.A.</t>
  </si>
  <si>
    <t>8000181482</t>
  </si>
  <si>
    <t>SOCIETE GENERALE</t>
  </si>
  <si>
    <t>9001571663</t>
  </si>
  <si>
    <t>CREDITO P.PORTUGUES - O.E.V.T.-INVESTIMENTO  .</t>
  </si>
  <si>
    <t>BANCO BILBAO VIZCAYA ARGENTARIA EX.B.B.V.</t>
  </si>
  <si>
    <t>BBVD</t>
  </si>
  <si>
    <t>IS_BSP_BSNE</t>
  </si>
  <si>
    <t>BANCO SANTANDER S.A.</t>
  </si>
  <si>
    <t>IS_BSP_RBSB</t>
  </si>
  <si>
    <t>ROYAL BANK OF SCOTLAND PLC</t>
  </si>
  <si>
    <t>CLON</t>
  </si>
  <si>
    <t>BANQUE INDOSVEZ</t>
  </si>
  <si>
    <t>7401586148</t>
  </si>
  <si>
    <t>LCH.CLEARNET SA.</t>
  </si>
  <si>
    <t>TS0Z</t>
  </si>
  <si>
    <t>SANTANDER TOTTA SEGUROS - COMPANHIA DE SEGUROS DE VIDA S.A.</t>
  </si>
  <si>
    <t>T 08.00 - Secured finance, excluding intragroup</t>
  </si>
  <si>
    <t>Secured Finance, excluding intragroup</t>
  </si>
  <si>
    <t>Type of MA (e.g. GMRA)</t>
  </si>
  <si>
    <t>Net amount of funding received</t>
  </si>
  <si>
    <t>Net amount of collateral posted</t>
  </si>
  <si>
    <t>Secured financing arrangements</t>
  </si>
  <si>
    <t>8004236181</t>
  </si>
  <si>
    <t>BANCO CABO VERDE-PRAIA</t>
  </si>
  <si>
    <t>CABO VERDE</t>
  </si>
  <si>
    <t>8000140893</t>
  </si>
  <si>
    <t>BANCO DE PORTUGAL</t>
  </si>
  <si>
    <t>8000176012</t>
  </si>
  <si>
    <t>SPAIN</t>
  </si>
  <si>
    <t>T 09.00 - Other non-financial liabilities (not included in other tabs, excluding intragroup)</t>
  </si>
  <si>
    <t>Other Non-Financial liabilities (not included in other tabs, excluding intragroup)</t>
  </si>
  <si>
    <t>Insolvency Ranking</t>
  </si>
  <si>
    <t>Contract Identifier</t>
  </si>
  <si>
    <t>Governing Law</t>
  </si>
  <si>
    <t>Type of non-financial liabilities</t>
  </si>
  <si>
    <t>Outstanding Amount</t>
  </si>
  <si>
    <t>Date of Recognition</t>
  </si>
  <si>
    <t>Date of Maturity</t>
  </si>
  <si>
    <t>ID of liability</t>
  </si>
  <si>
    <t>T 12.00 - Major counterparties (derivatives, commitments received)</t>
  </si>
  <si>
    <t>Entity name</t>
  </si>
  <si>
    <t>Group or individual</t>
  </si>
  <si>
    <t>Country of incorporation</t>
  </si>
  <si>
    <t>Sector</t>
  </si>
  <si>
    <t>Type of off-balance sheet Exposure</t>
  </si>
  <si>
    <t>Amount</t>
  </si>
  <si>
    <t>Major counterparties</t>
  </si>
  <si>
    <t>T 01.00.b - Liability structure - carrying amount</t>
  </si>
  <si>
    <t>Households</t>
  </si>
  <si>
    <t>Micro &amp; SME</t>
  </si>
  <si>
    <t>Corporates</t>
  </si>
  <si>
    <t>Institutions</t>
  </si>
  <si>
    <t>Other financial corporations</t>
  </si>
  <si>
    <t>Government, central banks &amp; supranationals</t>
  </si>
  <si>
    <t>Instruments listed on exchange platforms</t>
  </si>
  <si>
    <t>Others/non-identified</t>
  </si>
  <si>
    <t>Total</t>
  </si>
  <si>
    <t>Carrying amount</t>
  </si>
  <si>
    <t>Of which Insurance firms &amp; pension funds</t>
  </si>
  <si>
    <t>Of which: intragroup</t>
  </si>
  <si>
    <t>Of which: issuances under non-EU MS jurisdiction/law, excluding intragroup</t>
  </si>
  <si>
    <t>0011</t>
  </si>
  <si>
    <t>0031</t>
  </si>
  <si>
    <t>0041</t>
  </si>
  <si>
    <t>0051</t>
  </si>
  <si>
    <t>0081</t>
  </si>
  <si>
    <t>0091</t>
  </si>
  <si>
    <t>0101</t>
  </si>
  <si>
    <t>0121</t>
  </si>
  <si>
    <t>0131</t>
  </si>
  <si>
    <t>0141</t>
  </si>
  <si>
    <t>Liabilities excluded from bail-in</t>
  </si>
  <si>
    <t>Covered deposits   (BRRD art. 44/2/a)</t>
  </si>
  <si>
    <t>Secured liabilities - collateralized part   (BRRD art. 44/2/b)</t>
  </si>
  <si>
    <t>Client liabilities, if protected in insolvency   (BRRD art. 44/2/c)</t>
  </si>
  <si>
    <t>Fiduciary liabilities, if protected in insolvency   (BRRD art. 44/2/d)</t>
  </si>
  <si>
    <t>Institution liabilities &lt; 7 days   (BRRD art. 44/2/e)</t>
  </si>
  <si>
    <t>Employee liabilities   (BRRD art. 44/2/g/i)</t>
  </si>
  <si>
    <t>Critical service liabilities   (BRRD art. 44/2/g/ii)</t>
  </si>
  <si>
    <t>Tax and social security authorities liabilities, if preferred   (BRRD art. 44/2/g/iii)</t>
  </si>
  <si>
    <t>DGS liabilities   (BRRD art. 44/2/g/iv)</t>
  </si>
  <si>
    <t>Liabilities not excluded from bail-in</t>
  </si>
  <si>
    <t>Deposits, not covered but preferential   (BRRD art. 108)</t>
  </si>
  <si>
    <t>o/w residual maturity &lt;= 1 month</t>
  </si>
  <si>
    <t>0311</t>
  </si>
  <si>
    <t>o/w residual maturity &gt; 1 month &lt; 1 year</t>
  </si>
  <si>
    <t>0312</t>
  </si>
  <si>
    <t>o/w residual maturity &gt;= 1 year and &lt; 2 years</t>
  </si>
  <si>
    <t>0313</t>
  </si>
  <si>
    <t>o/w residual maturity &gt;= 2 years</t>
  </si>
  <si>
    <t>0314</t>
  </si>
  <si>
    <t>Deposits, not covered and not preferential</t>
  </si>
  <si>
    <t>0321</t>
  </si>
  <si>
    <t>0322</t>
  </si>
  <si>
    <t>0323</t>
  </si>
  <si>
    <t>0324</t>
  </si>
  <si>
    <t>Balance sheet liabilities arising from derivatives</t>
  </si>
  <si>
    <t>0330</t>
  </si>
  <si>
    <t>Uncollateralized secured liabilities</t>
  </si>
  <si>
    <t>0340</t>
  </si>
  <si>
    <t>0341</t>
  </si>
  <si>
    <t>0342</t>
  </si>
  <si>
    <t>0343</t>
  </si>
  <si>
    <t>0344</t>
  </si>
  <si>
    <t>Structured notes</t>
  </si>
  <si>
    <t>0350</t>
  </si>
  <si>
    <t>0351</t>
  </si>
  <si>
    <t>0352</t>
  </si>
  <si>
    <t>0353</t>
  </si>
  <si>
    <t>0354</t>
  </si>
  <si>
    <t>Senior unsecured liabilities</t>
  </si>
  <si>
    <t>0360</t>
  </si>
  <si>
    <t>0361</t>
  </si>
  <si>
    <t>0362</t>
  </si>
  <si>
    <t>0363</t>
  </si>
  <si>
    <t>0364</t>
  </si>
  <si>
    <t>Senior non-preferred liabilities</t>
  </si>
  <si>
    <t>0365</t>
  </si>
  <si>
    <t>Of which: residual maturity &lt;= 1 month</t>
  </si>
  <si>
    <t>0366</t>
  </si>
  <si>
    <t>Of which: residual maturity &gt; 1 month &lt; 1 year</t>
  </si>
  <si>
    <t>0367</t>
  </si>
  <si>
    <t>Of which: residual maturity &gt;= 1 year and &lt; 2 years</t>
  </si>
  <si>
    <t>0368</t>
  </si>
  <si>
    <t>Of which: residual maturity &gt;= 2 years</t>
  </si>
  <si>
    <t>0369</t>
  </si>
  <si>
    <t>Subordinated liabilities (not recognised as own funds)</t>
  </si>
  <si>
    <t>0370</t>
  </si>
  <si>
    <t>0371</t>
  </si>
  <si>
    <t>0372</t>
  </si>
  <si>
    <t>0373</t>
  </si>
  <si>
    <t>0374</t>
  </si>
  <si>
    <t>Other MREL eligible liabilities</t>
  </si>
  <si>
    <t>0380</t>
  </si>
  <si>
    <t>0381</t>
  </si>
  <si>
    <t>0382</t>
  </si>
  <si>
    <t>Non-financial liabilities</t>
  </si>
  <si>
    <t>0390</t>
  </si>
  <si>
    <t>Residual liabilities</t>
  </si>
  <si>
    <t>0400</t>
  </si>
  <si>
    <t>0500 Own funds</t>
  </si>
  <si>
    <t>0510 Common Equity Tier 1 Capital</t>
  </si>
  <si>
    <t>o/w capital instruments/share capital</t>
  </si>
  <si>
    <t>0511</t>
  </si>
  <si>
    <t>o/w instruments ranking pari passu with ordinary shares</t>
  </si>
  <si>
    <t>0512</t>
  </si>
  <si>
    <t>0520 Additional Tier 1 capital</t>
  </si>
  <si>
    <t>o/w (part of) subordinated liabilities recognised as own funds</t>
  </si>
  <si>
    <t>0521</t>
  </si>
  <si>
    <t>0530 Tier 2 Capital</t>
  </si>
  <si>
    <t>0531</t>
  </si>
  <si>
    <t>Off-balance sheet exposures</t>
  </si>
  <si>
    <t>0700</t>
  </si>
  <si>
    <t>Loan commitments received</t>
  </si>
  <si>
    <t>0750</t>
  </si>
  <si>
    <t>Financial guarantees received</t>
  </si>
  <si>
    <t>0760</t>
  </si>
  <si>
    <t>Other commitments received</t>
  </si>
  <si>
    <t>0770</t>
  </si>
  <si>
    <t>0780</t>
  </si>
  <si>
    <t>Total equity</t>
  </si>
  <si>
    <t>0800</t>
  </si>
  <si>
    <t>Total assets</t>
  </si>
  <si>
    <t>0900</t>
  </si>
  <si>
    <t>SUM_of_SUM_of_msaldo_final</t>
  </si>
  <si>
    <t>contraparte_i_desc</t>
  </si>
  <si>
    <t>flag_pme</t>
  </si>
  <si>
    <t>Intragrupo</t>
  </si>
  <si>
    <t>csector_inst</t>
  </si>
  <si>
    <t>bancos centrais</t>
  </si>
  <si>
    <t>instituicoes de credito</t>
  </si>
  <si>
    <t>outras empresas nao financeiras</t>
  </si>
  <si>
    <t>S128</t>
  </si>
  <si>
    <t>outras instituicoes financeiras</t>
  </si>
  <si>
    <t>particulares</t>
  </si>
  <si>
    <t>setor publico</t>
  </si>
  <si>
    <t>SUM_of_msaldo_final</t>
  </si>
  <si>
    <t>Calculation</t>
  </si>
  <si>
    <t>r0320 - Deposits, not covered and not preferential</t>
  </si>
  <si>
    <t>Rank 12 - Ranking in insolvency (master scale)</t>
  </si>
  <si>
    <t>Sister</t>
  </si>
  <si>
    <t>r0390 - Non-financial liabilities</t>
  </si>
  <si>
    <t>--</t>
  </si>
  <si>
    <t>Structured</t>
  </si>
  <si>
    <t>Parent</t>
  </si>
  <si>
    <t>r0120 - Secured liabilities - collateralized part (BRRD art. 44/2/b)</t>
  </si>
  <si>
    <t>Rank 20 - Ranking in insolvency (master scale)</t>
  </si>
  <si>
    <t>Secured</t>
  </si>
  <si>
    <t xml:space="preserve"> US Dollar</t>
  </si>
  <si>
    <t>2009-02-16</t>
  </si>
  <si>
    <t>2064-12-20</t>
  </si>
  <si>
    <t>2008-07-24</t>
  </si>
  <si>
    <t>2065-12-14</t>
  </si>
  <si>
    <t>2018-01-08</t>
  </si>
  <si>
    <t>2072-10-23</t>
  </si>
  <si>
    <t>r0511 - o/w capital instruments/share capital</t>
  </si>
  <si>
    <t>Rank 1 - Ranking in insolvency (master scale)</t>
  </si>
  <si>
    <t>1992-01-05</t>
  </si>
  <si>
    <t>9999-12-31</t>
  </si>
  <si>
    <t>2020-10-27</t>
  </si>
  <si>
    <t>2030-10-28</t>
  </si>
  <si>
    <t>2019-12-20</t>
  </si>
  <si>
    <t>2024-12-23</t>
  </si>
  <si>
    <t>2017-09-26</t>
  </si>
  <si>
    <t>2027-09-26</t>
  </si>
  <si>
    <t>2019-06-28</t>
  </si>
  <si>
    <t>2029-07-05</t>
  </si>
  <si>
    <t>2016-04-15</t>
  </si>
  <si>
    <t>2023-04-15</t>
  </si>
  <si>
    <t>2008-10-30</t>
  </si>
  <si>
    <t>2061-08-20</t>
  </si>
  <si>
    <t>2010-11-19</t>
  </si>
  <si>
    <t>2066-08-23</t>
  </si>
  <si>
    <t>2020-03-24</t>
  </si>
  <si>
    <t>2025-03-27</t>
  </si>
  <si>
    <t>2017-04-10</t>
  </si>
  <si>
    <t>2027-04-10</t>
  </si>
  <si>
    <t>2015-03-04</t>
  </si>
  <si>
    <t>2022-03-04</t>
  </si>
  <si>
    <t>2008-03-05</t>
  </si>
  <si>
    <t>2060-09-18</t>
  </si>
  <si>
    <t>2020-12-28</t>
  </si>
  <si>
    <t>2030-12-31</t>
  </si>
  <si>
    <t>2016-07-26</t>
  </si>
  <si>
    <t>2023-07-26</t>
  </si>
  <si>
    <t>2009-12-21</t>
  </si>
  <si>
    <t>2068-11-23</t>
  </si>
  <si>
    <t>2017-12-07</t>
  </si>
  <si>
    <t>2027-12-07</t>
  </si>
  <si>
    <t>r0512 - o/w instruments ranking pari passu with ordinary shares</t>
  </si>
  <si>
    <t>1990-01-01</t>
  </si>
  <si>
    <t>Rank 14 - Ranking in insolvency (master scale)</t>
  </si>
  <si>
    <t>FALSE</t>
  </si>
  <si>
    <t>TRUE</t>
  </si>
  <si>
    <t>False</t>
  </si>
  <si>
    <t>gcliente</t>
  </si>
  <si>
    <t>BANCO SANTANDER BRASIL S.A.</t>
  </si>
  <si>
    <t>BANCO SANTANDER S.A.  SUCURSAL FRANKFURT</t>
  </si>
  <si>
    <t>262304820021910</t>
  </si>
  <si>
    <t>588804815681640</t>
  </si>
  <si>
    <t>588804815682210</t>
  </si>
  <si>
    <t>588804816079280</t>
  </si>
  <si>
    <t>588804816094570</t>
  </si>
  <si>
    <t>599904815263060</t>
  </si>
  <si>
    <t>599904815266170</t>
  </si>
  <si>
    <t>599904815266210</t>
  </si>
  <si>
    <t>599904815282600</t>
  </si>
  <si>
    <t>599904815283320</t>
  </si>
  <si>
    <t>599904815283470</t>
  </si>
  <si>
    <t>599904815283900</t>
  </si>
  <si>
    <t>599904815284190</t>
  </si>
  <si>
    <t>599904815284230</t>
  </si>
  <si>
    <t>599904815284610</t>
  </si>
  <si>
    <t>599904815381050</t>
  </si>
  <si>
    <t>599904815381100</t>
  </si>
  <si>
    <t>599904815381240</t>
  </si>
  <si>
    <t>599904815382150</t>
  </si>
  <si>
    <t>599904815382200</t>
  </si>
  <si>
    <t>599904815382340</t>
  </si>
  <si>
    <t>599904815643600</t>
  </si>
  <si>
    <t>599904815643740</t>
  </si>
  <si>
    <t>599904815643930</t>
  </si>
  <si>
    <t>599904815644080</t>
  </si>
  <si>
    <t>599904815644270</t>
  </si>
  <si>
    <t>599904815675550</t>
  </si>
  <si>
    <t>599904815742610</t>
  </si>
  <si>
    <t>599904815789080</t>
  </si>
  <si>
    <t>599904815789310</t>
  </si>
  <si>
    <t>599904816095140</t>
  </si>
  <si>
    <t>599904816095290</t>
  </si>
  <si>
    <t>599904816307050</t>
  </si>
  <si>
    <t>599904816326550</t>
  </si>
  <si>
    <t>599904816326890</t>
  </si>
  <si>
    <t>599904816327120</t>
  </si>
  <si>
    <t>599904816327310</t>
  </si>
  <si>
    <t>599904816347340</t>
  </si>
  <si>
    <t>599904816347490</t>
  </si>
  <si>
    <t>599904816347870</t>
  </si>
  <si>
    <t>599904816347910</t>
  </si>
  <si>
    <t>599904816348060</t>
  </si>
  <si>
    <t>BANCO SANTANDER TOTTA, S.A.</t>
  </si>
  <si>
    <t>BANCO SANTANDER, SA  SUCURSAL LONDRES</t>
  </si>
  <si>
    <t>CONSULTEAM - CONSULTORES DE GESTAO, LDA</t>
  </si>
  <si>
    <t>MAPFRE SANTANDER PORTUGAL - COMPANHIA DE SEGUROS S.A.</t>
  </si>
  <si>
    <t>True</t>
  </si>
  <si>
    <t>SANTANDER BANK NATIONAL ASSOCIATION</t>
  </si>
  <si>
    <t>SANTANDER CONSUMER FINANCE S A - SUCURSAL EM PORTUGAL</t>
  </si>
  <si>
    <t>SANTANDER UK, PLC</t>
  </si>
  <si>
    <t>TOTTAURBE-EMPRESA DE ADMINISTRACAO E CONSTRUCOES, S.A.</t>
  </si>
  <si>
    <t>599904815307640</t>
  </si>
  <si>
    <t>r0350 - Structured notes</t>
  </si>
  <si>
    <t>r0531 - o/w (part of) subordinated liabilities recognised as own funds</t>
  </si>
  <si>
    <t>Rank 3 - Ranking in insolvency (master scale)</t>
  </si>
  <si>
    <t>PTBSREOM0028</t>
  </si>
  <si>
    <t>Other type of securities</t>
  </si>
  <si>
    <t>Fixed coupon</t>
  </si>
  <si>
    <t>7.5</t>
  </si>
  <si>
    <t>2016-10-06</t>
  </si>
  <si>
    <t>2026-10-06</t>
  </si>
  <si>
    <t>Euronext Lisboa</t>
  </si>
  <si>
    <t>Grandfathered T2</t>
  </si>
  <si>
    <t>PTBSRBOM0039</t>
  </si>
  <si>
    <t>Variable coupon</t>
  </si>
  <si>
    <t>2021-07-26</t>
  </si>
  <si>
    <t>2037-08-15</t>
  </si>
  <si>
    <t>PTBSRIOE0024</t>
  </si>
  <si>
    <t>Covered Bond</t>
  </si>
  <si>
    <t>0.875</t>
  </si>
  <si>
    <t>2017-04-25</t>
  </si>
  <si>
    <t>2024-04-25</t>
  </si>
  <si>
    <t>PTBSRJOM0023</t>
  </si>
  <si>
    <t>1.25</t>
  </si>
  <si>
    <t>PTXSTJOM0001</t>
  </si>
  <si>
    <t>M0001</t>
  </si>
  <si>
    <t>PTXSTJOM0002</t>
  </si>
  <si>
    <t>M0002</t>
  </si>
  <si>
    <t>PTXSTJOM0003</t>
  </si>
  <si>
    <t>M0003</t>
  </si>
  <si>
    <t>PTXSTJOM0004</t>
  </si>
  <si>
    <t>M0004</t>
  </si>
  <si>
    <t>PTXSTJOM0005</t>
  </si>
  <si>
    <t>M0005</t>
  </si>
  <si>
    <t>PTXSTJOM0006</t>
  </si>
  <si>
    <t>M0006</t>
  </si>
  <si>
    <t>PTXSTJOM0007</t>
  </si>
  <si>
    <t>M0007</t>
  </si>
  <si>
    <t>PTXSTJOM0008</t>
  </si>
  <si>
    <t>M0008</t>
  </si>
  <si>
    <t>PTXSTJOM0009</t>
  </si>
  <si>
    <t>M0009</t>
  </si>
  <si>
    <t>PTXSTJOM0010</t>
  </si>
  <si>
    <t>M0010</t>
  </si>
  <si>
    <t>PTXSTJOM0011</t>
  </si>
  <si>
    <t>M0011</t>
  </si>
  <si>
    <t>PTXSTJOM0012</t>
  </si>
  <si>
    <t>M0012</t>
  </si>
  <si>
    <t>PTXSTJOM0013</t>
  </si>
  <si>
    <t>M0013</t>
  </si>
  <si>
    <t>PTXSTJOM0014</t>
  </si>
  <si>
    <t>M0014</t>
  </si>
  <si>
    <t>PTXSTJOM0015</t>
  </si>
  <si>
    <t>M0015</t>
  </si>
  <si>
    <t>PTXSTJOM0016</t>
  </si>
  <si>
    <t>M0016</t>
  </si>
  <si>
    <t>PTXSTJOM0017</t>
  </si>
  <si>
    <t>M0017</t>
  </si>
  <si>
    <t>PTXSTJOM0018</t>
  </si>
  <si>
    <t>M0018</t>
  </si>
  <si>
    <t>PTXSTJOM0019</t>
  </si>
  <si>
    <t>M0019</t>
  </si>
  <si>
    <t>PTXSTJOM0020</t>
  </si>
  <si>
    <t>M0020</t>
  </si>
  <si>
    <t>PTXSTJOM0021</t>
  </si>
  <si>
    <t>M0021</t>
  </si>
  <si>
    <t>PTXSTJOM0022</t>
  </si>
  <si>
    <t>M0022</t>
  </si>
  <si>
    <t>PTXSTJOM0023</t>
  </si>
  <si>
    <t>M0023</t>
  </si>
  <si>
    <t>PTXSTJOM0024</t>
  </si>
  <si>
    <t>M0024</t>
  </si>
  <si>
    <t>PTXSTJOM0025</t>
  </si>
  <si>
    <t>M0025</t>
  </si>
  <si>
    <t>PTXSTJOM0026</t>
  </si>
  <si>
    <t>M0026</t>
  </si>
  <si>
    <t>PTXSTJOM0027</t>
  </si>
  <si>
    <t>M0027</t>
  </si>
  <si>
    <t>PTXSTJOM0028</t>
  </si>
  <si>
    <t>M0028</t>
  </si>
  <si>
    <t>PTXSTJOM0029</t>
  </si>
  <si>
    <t>M0029</t>
  </si>
  <si>
    <t>PTXSTJOM0030</t>
  </si>
  <si>
    <t>M0030</t>
  </si>
  <si>
    <t>PTXSTJOM0031</t>
  </si>
  <si>
    <t>M0031</t>
  </si>
  <si>
    <t>PTXSTJOM0032</t>
  </si>
  <si>
    <t>M0032</t>
  </si>
  <si>
    <t>PTXSTJOM0033</t>
  </si>
  <si>
    <t>M0033</t>
  </si>
  <si>
    <t>PTXSTJOM0034</t>
  </si>
  <si>
    <t>M0034</t>
  </si>
  <si>
    <t>PTXSTJOM0035</t>
  </si>
  <si>
    <t>M0035</t>
  </si>
  <si>
    <t>PTXSTJOM0036</t>
  </si>
  <si>
    <t>M0036</t>
  </si>
  <si>
    <t>PTXSTJOM0037</t>
  </si>
  <si>
    <t>M0037</t>
  </si>
  <si>
    <t>PTXSTJOM0038</t>
  </si>
  <si>
    <t>M0038</t>
  </si>
  <si>
    <t>PTXSTJOM0039</t>
  </si>
  <si>
    <t>M0039</t>
  </si>
  <si>
    <t>PTXSTJOM0040</t>
  </si>
  <si>
    <t>M0040</t>
  </si>
  <si>
    <t>PTXSTJOM0041</t>
  </si>
  <si>
    <t>M0041</t>
  </si>
  <si>
    <t>PTXSTJOM0042</t>
  </si>
  <si>
    <t>M0042</t>
  </si>
  <si>
    <t>PTXSTJOM0043</t>
  </si>
  <si>
    <t>M0043</t>
  </si>
  <si>
    <t>PTXSTJOM0044</t>
  </si>
  <si>
    <t>M0044</t>
  </si>
  <si>
    <t>PTXSTJOM0045</t>
  </si>
  <si>
    <t>M0045</t>
  </si>
  <si>
    <t>PTXSTJOM0046</t>
  </si>
  <si>
    <t>M0046</t>
  </si>
  <si>
    <t>PTXSTJOM0047</t>
  </si>
  <si>
    <t>M0047</t>
  </si>
  <si>
    <t>PTXSTJOM0048</t>
  </si>
  <si>
    <t>M0048</t>
  </si>
  <si>
    <t>PTXSTJOM0049</t>
  </si>
  <si>
    <t>M0049</t>
  </si>
  <si>
    <t>PTXSTJOM0050</t>
  </si>
  <si>
    <t>M0050</t>
  </si>
  <si>
    <t>PTXSTJOM0051</t>
  </si>
  <si>
    <t>M0051</t>
  </si>
  <si>
    <t>PTXSTJOM0052</t>
  </si>
  <si>
    <t>M0052</t>
  </si>
  <si>
    <t>PTXSTJOM0053</t>
  </si>
  <si>
    <t>M0053</t>
  </si>
  <si>
    <t>PTXSTJOM0054</t>
  </si>
  <si>
    <t>M0054</t>
  </si>
  <si>
    <t>PTXSTJOM0055</t>
  </si>
  <si>
    <t>M0055</t>
  </si>
  <si>
    <t>PTXSTJOM0056</t>
  </si>
  <si>
    <t>M0056</t>
  </si>
  <si>
    <t>PTXSTJOM0057</t>
  </si>
  <si>
    <t>M0057</t>
  </si>
  <si>
    <t>PTXSTJOM0058</t>
  </si>
  <si>
    <t>M0058</t>
  </si>
  <si>
    <t>PTXSTJOM0059</t>
  </si>
  <si>
    <t>M0059</t>
  </si>
  <si>
    <t>PTXSTJOM0060</t>
  </si>
  <si>
    <t>M0060</t>
  </si>
  <si>
    <t>PTXSTJOM0061</t>
  </si>
  <si>
    <t>M0061</t>
  </si>
  <si>
    <t>PTXSTJOM0062</t>
  </si>
  <si>
    <t>M0062</t>
  </si>
  <si>
    <t>PTXSTJOM0063</t>
  </si>
  <si>
    <t>M0063</t>
  </si>
  <si>
    <t>PTXSTJOM0064</t>
  </si>
  <si>
    <t>M0064</t>
  </si>
  <si>
    <t>PTXSTJOM0065</t>
  </si>
  <si>
    <t>M0065</t>
  </si>
  <si>
    <t>PTXSTJOM0066</t>
  </si>
  <si>
    <t>M0066</t>
  </si>
  <si>
    <t>PTXSTJOM0067</t>
  </si>
  <si>
    <t>M0067</t>
  </si>
  <si>
    <t>PTXSTJOM0068</t>
  </si>
  <si>
    <t>M0068</t>
  </si>
  <si>
    <t>PTXSTJOM0069</t>
  </si>
  <si>
    <t>M0069</t>
  </si>
  <si>
    <t>PTXSTJOM0070</t>
  </si>
  <si>
    <t>M0070</t>
  </si>
  <si>
    <t>PTXSTJOM0071</t>
  </si>
  <si>
    <t>M0071</t>
  </si>
  <si>
    <t>PTXSTJOM0072</t>
  </si>
  <si>
    <t>M0072</t>
  </si>
  <si>
    <t>PTXSTJOM0073</t>
  </si>
  <si>
    <t>M0073</t>
  </si>
  <si>
    <t>PTXSTJOM0074</t>
  </si>
  <si>
    <t>M0074</t>
  </si>
  <si>
    <t>PTXSTJOM0075</t>
  </si>
  <si>
    <t>M0075</t>
  </si>
  <si>
    <t>PTXSTJOM0076</t>
  </si>
  <si>
    <t>M0076</t>
  </si>
  <si>
    <t>PTXSTJOM0077</t>
  </si>
  <si>
    <t>M0077</t>
  </si>
  <si>
    <t>PTXSTJOM0078</t>
  </si>
  <si>
    <t>M0078</t>
  </si>
  <si>
    <t>PTXSTJOM0079</t>
  </si>
  <si>
    <t>M0079</t>
  </si>
  <si>
    <t>PTXSTJOM0080</t>
  </si>
  <si>
    <t>M0080</t>
  </si>
  <si>
    <t>PTXSTJOM0081</t>
  </si>
  <si>
    <t>M0081</t>
  </si>
  <si>
    <t>PTXSTJOM0082</t>
  </si>
  <si>
    <t>M0082</t>
  </si>
  <si>
    <t>PTXSTJOM0083</t>
  </si>
  <si>
    <t>M0083</t>
  </si>
  <si>
    <t>r0310 - Deposits, not covered but preferential (BRRD art. 108)</t>
  </si>
  <si>
    <t>Rank 13 - Ranking in insolvency (master scale)</t>
  </si>
  <si>
    <t>PTXSTJOM0084</t>
  </si>
  <si>
    <t>M0084</t>
  </si>
  <si>
    <t>PTXSTJOM0085</t>
  </si>
  <si>
    <t>M0085</t>
  </si>
  <si>
    <t>PTXSTJOM0086</t>
  </si>
  <si>
    <t>M0086</t>
  </si>
  <si>
    <t>PTXSTJOM0087</t>
  </si>
  <si>
    <t>M0087</t>
  </si>
  <si>
    <t>PTXSTJOM0088</t>
  </si>
  <si>
    <t>M0088</t>
  </si>
  <si>
    <t>PTXSTJOM0089</t>
  </si>
  <si>
    <t>M0089</t>
  </si>
  <si>
    <t>PTXSTJOM0090</t>
  </si>
  <si>
    <t>M0090</t>
  </si>
  <si>
    <t>PTXSTJOM0091</t>
  </si>
  <si>
    <t>M0091</t>
  </si>
  <si>
    <t>PTXSTJOM0092</t>
  </si>
  <si>
    <t>M0092</t>
  </si>
  <si>
    <t>PTXSTJOM0093</t>
  </si>
  <si>
    <t>M0093</t>
  </si>
  <si>
    <t>PTXSTJOM0094</t>
  </si>
  <si>
    <t>M0094</t>
  </si>
  <si>
    <t>PTXSTJOM0095</t>
  </si>
  <si>
    <t>M0095</t>
  </si>
  <si>
    <t>PTXSTJOM0096</t>
  </si>
  <si>
    <t>M0096</t>
  </si>
  <si>
    <t>PTXSTJOM0097</t>
  </si>
  <si>
    <t>M0097</t>
  </si>
  <si>
    <t>PTXSTJOM0098</t>
  </si>
  <si>
    <t>M0098</t>
  </si>
  <si>
    <t>PTXSTJOM0099</t>
  </si>
  <si>
    <t>M0099</t>
  </si>
  <si>
    <t>PTXSTJOM00100</t>
  </si>
  <si>
    <t>00100</t>
  </si>
  <si>
    <t>PTXSTJOM0101</t>
  </si>
  <si>
    <t>M0101</t>
  </si>
  <si>
    <t>PTXSTJOM0102</t>
  </si>
  <si>
    <t>M0102</t>
  </si>
  <si>
    <t>PTXSTJOM0103</t>
  </si>
  <si>
    <t>M0103</t>
  </si>
  <si>
    <t>PTXSTJOM0104</t>
  </si>
  <si>
    <t>M0104</t>
  </si>
  <si>
    <t>PTXSTJOM0105</t>
  </si>
  <si>
    <t>M0105</t>
  </si>
  <si>
    <t>PTXSTJOM0106</t>
  </si>
  <si>
    <t>M0106</t>
  </si>
  <si>
    <t>PTXSTJOM0107</t>
  </si>
  <si>
    <t>M0107</t>
  </si>
  <si>
    <t>PTXSTJOM0108</t>
  </si>
  <si>
    <t>M0108</t>
  </si>
  <si>
    <t>PTXSTJOM0109</t>
  </si>
  <si>
    <t>M0109</t>
  </si>
  <si>
    <t>PTXSTJOM0110</t>
  </si>
  <si>
    <t>M0110</t>
  </si>
  <si>
    <t>PTXSTJOM0111</t>
  </si>
  <si>
    <t>M0111</t>
  </si>
  <si>
    <t>PTXSTJOM0112</t>
  </si>
  <si>
    <t>M0112</t>
  </si>
  <si>
    <t>PTXSTJOM0113</t>
  </si>
  <si>
    <t>M0113</t>
  </si>
  <si>
    <t>PTXSTJOM0114</t>
  </si>
  <si>
    <t>M0114</t>
  </si>
  <si>
    <t>PTXSTJOM0115</t>
  </si>
  <si>
    <t>M0115</t>
  </si>
  <si>
    <t>PTXSTJOM0116</t>
  </si>
  <si>
    <t>M0116</t>
  </si>
  <si>
    <t>PTXSTJOM0117</t>
  </si>
  <si>
    <t>M0117</t>
  </si>
  <si>
    <t>PTXSTJOM0118</t>
  </si>
  <si>
    <t>M0118</t>
  </si>
  <si>
    <t>PTXSTJOM0119</t>
  </si>
  <si>
    <t>M0119</t>
  </si>
  <si>
    <t>PTXSTJOM0120</t>
  </si>
  <si>
    <t>M0120</t>
  </si>
  <si>
    <t>PTXSTJOM0121</t>
  </si>
  <si>
    <t>M0121</t>
  </si>
  <si>
    <t>PTXSTJOM0122</t>
  </si>
  <si>
    <t>M0122</t>
  </si>
  <si>
    <t>PTXSTJOM0123</t>
  </si>
  <si>
    <t>M0123</t>
  </si>
  <si>
    <t>PTXSTJOM0124</t>
  </si>
  <si>
    <t>M0124</t>
  </si>
  <si>
    <t>PTXSTJOM0125</t>
  </si>
  <si>
    <t>M0125</t>
  </si>
  <si>
    <t>PTXSTJOM0126</t>
  </si>
  <si>
    <t>M0126</t>
  </si>
  <si>
    <t>PTXSTJOM0127</t>
  </si>
  <si>
    <t>M0127</t>
  </si>
  <si>
    <t>PTXSTJOM0128</t>
  </si>
  <si>
    <t>M0128</t>
  </si>
  <si>
    <t>PTXSTJOM0129</t>
  </si>
  <si>
    <t>M0129</t>
  </si>
  <si>
    <t>PTXSTJOM0130</t>
  </si>
  <si>
    <t>M0130</t>
  </si>
  <si>
    <t>PTXSTJOM0131</t>
  </si>
  <si>
    <t>M0131</t>
  </si>
  <si>
    <t>PTXSTJOM0132</t>
  </si>
  <si>
    <t>M0132</t>
  </si>
  <si>
    <t>PTXSTJOM0133</t>
  </si>
  <si>
    <t>M0133</t>
  </si>
  <si>
    <t>PTXSTJOM0134</t>
  </si>
  <si>
    <t>M0134</t>
  </si>
  <si>
    <t>PTXSTJOM0135</t>
  </si>
  <si>
    <t>M0135</t>
  </si>
  <si>
    <t>PTXSTJOM0136</t>
  </si>
  <si>
    <t>M0136</t>
  </si>
  <si>
    <t>PTXSTJOM0137</t>
  </si>
  <si>
    <t>M0137</t>
  </si>
  <si>
    <t>PTXSTJOM0138</t>
  </si>
  <si>
    <t>M0138</t>
  </si>
  <si>
    <t>PTXSTJOM0139</t>
  </si>
  <si>
    <t>M0139</t>
  </si>
  <si>
    <t>PTXSTJOM0140</t>
  </si>
  <si>
    <t>M0140</t>
  </si>
  <si>
    <t>PTXSTJOM0141</t>
  </si>
  <si>
    <t>M0141</t>
  </si>
  <si>
    <t>PTXSTJOM0142</t>
  </si>
  <si>
    <t>M0142</t>
  </si>
  <si>
    <t>PTXSTJOM0143</t>
  </si>
  <si>
    <t>M0143</t>
  </si>
  <si>
    <t>PTXSTJOM0144</t>
  </si>
  <si>
    <t>M0144</t>
  </si>
  <si>
    <t>PTXSTJOM0145</t>
  </si>
  <si>
    <t>M0145</t>
  </si>
  <si>
    <t>PTXSTJOM0146</t>
  </si>
  <si>
    <t>M0146</t>
  </si>
  <si>
    <t>PTXSTJOM0147</t>
  </si>
  <si>
    <t>M0147</t>
  </si>
  <si>
    <t>PTXSTJOM0148</t>
  </si>
  <si>
    <t>M0148</t>
  </si>
  <si>
    <t>PTXSTJOM0149</t>
  </si>
  <si>
    <t>M0149</t>
  </si>
  <si>
    <t>PTXSTJOM0150</t>
  </si>
  <si>
    <t>M0150</t>
  </si>
  <si>
    <t>PTXSTJOM0151</t>
  </si>
  <si>
    <t>M0151</t>
  </si>
  <si>
    <t>PTXSTJOM0152</t>
  </si>
  <si>
    <t>M0152</t>
  </si>
  <si>
    <t>PTXSTJOM0153</t>
  </si>
  <si>
    <t>M0153</t>
  </si>
  <si>
    <t>PTXSTJOM0154</t>
  </si>
  <si>
    <t>M0154</t>
  </si>
  <si>
    <t>PTXSTJOM0155</t>
  </si>
  <si>
    <t>M0155</t>
  </si>
  <si>
    <t>PTXSTJOM0156</t>
  </si>
  <si>
    <t>M0156</t>
  </si>
  <si>
    <t>PTXSTJOM0157</t>
  </si>
  <si>
    <t>M0157</t>
  </si>
  <si>
    <t>PTXSTJOM0158</t>
  </si>
  <si>
    <t>M0158</t>
  </si>
  <si>
    <t>PTXSTJOM0159</t>
  </si>
  <si>
    <t>M0159</t>
  </si>
  <si>
    <t>PTXSTJOM0160</t>
  </si>
  <si>
    <t>M0160</t>
  </si>
  <si>
    <t>PTXSTJOM0161</t>
  </si>
  <si>
    <t>M0161</t>
  </si>
  <si>
    <t>PTXSTJOM0162</t>
  </si>
  <si>
    <t>M0162</t>
  </si>
  <si>
    <t>PTXSTJOM0163</t>
  </si>
  <si>
    <t>M0163</t>
  </si>
  <si>
    <t>PTXSTJOM0164</t>
  </si>
  <si>
    <t>M0164</t>
  </si>
  <si>
    <t>r0180 - Critical service liabilities (BRRD art. 44/2/g/ii)</t>
  </si>
  <si>
    <t>CSLDEZ20</t>
  </si>
  <si>
    <t>Critical Service Liability December 2021</t>
  </si>
  <si>
    <t>CSL001</t>
  </si>
  <si>
    <t>r0190 - Tax and social security authorities liabilities, if preferred (BRRD art. 44/2/g/iii)</t>
  </si>
  <si>
    <t>Rank 16 - Ranking in insolvency (master scale)</t>
  </si>
  <si>
    <t>TLDEZ20</t>
  </si>
  <si>
    <t>Tax Liability December 2021</t>
  </si>
  <si>
    <t>TL001</t>
  </si>
  <si>
    <t>r0150 - Institution liabilities &lt; 7 days (BRRD art. 44/2/e)</t>
  </si>
  <si>
    <t>ING BANK NV</t>
  </si>
  <si>
    <t>0000000529</t>
  </si>
  <si>
    <t>CAIXA DE CREDITO AGRICOLA MUTUO DO RIBATEJO NORTE, CRL</t>
  </si>
  <si>
    <t>0000052505</t>
  </si>
  <si>
    <t>0000066733</t>
  </si>
  <si>
    <t>FCE BANK PLC</t>
  </si>
  <si>
    <t>0000069838</t>
  </si>
  <si>
    <t>0000072353</t>
  </si>
  <si>
    <t>NOVO BANCO, SA</t>
  </si>
  <si>
    <t>2100022284</t>
  </si>
  <si>
    <t>COFIDIS</t>
  </si>
  <si>
    <t>2100150050</t>
  </si>
  <si>
    <t>BISON BANK, S.A.</t>
  </si>
  <si>
    <t>2100177200</t>
  </si>
  <si>
    <t>BANIF BANCO INTERNACIONAL DO FUNCHAL CAYMAN LTD</t>
  </si>
  <si>
    <t>2100365738</t>
  </si>
  <si>
    <t>MONTEPIO GERAL</t>
  </si>
  <si>
    <t>2100368533</t>
  </si>
  <si>
    <t>SCHRODER SECURITIES LONDON</t>
  </si>
  <si>
    <t>2100554927</t>
  </si>
  <si>
    <t>WICANDER A B</t>
  </si>
  <si>
    <t>2100567112</t>
  </si>
  <si>
    <t>NATWEST SECURITIES LIMITED</t>
  </si>
  <si>
    <t>2100592678</t>
  </si>
  <si>
    <t>CAIXA DE CREDITO AGRICOLA MUTUO DE TORRES VEDRAS, C.R.L</t>
  </si>
  <si>
    <t>2100643088</t>
  </si>
  <si>
    <t>BANIF INTERNATIONAL BANK LTD - LIQUIDATION TRUSTEE ACCOUNT</t>
  </si>
  <si>
    <t>549300L5RVCMYDNX9E40</t>
  </si>
  <si>
    <t>NATEXIS BANQUES POPULAIRES</t>
  </si>
  <si>
    <t>3311000078</t>
  </si>
  <si>
    <t>UNICREDIT BANK AUSTRIA AG AG</t>
  </si>
  <si>
    <t>5100010931</t>
  </si>
  <si>
    <t>NOVO BANCO SA</t>
  </si>
  <si>
    <t>5100010962</t>
  </si>
  <si>
    <t>TRASPASOS M E SA</t>
  </si>
  <si>
    <t>549300I3LZ7O86DJAC23</t>
  </si>
  <si>
    <t>CAIXA ECONÓMICA MONTEPIO GERAL CE</t>
  </si>
  <si>
    <t>2138004FIUXU3B2MR537</t>
  </si>
  <si>
    <t>CAIXA GERAL DE DEPOSITOS SA</t>
  </si>
  <si>
    <t>5100262724</t>
  </si>
  <si>
    <t>CAIXA CREDITO AGRICOLA MUTUO DE LEIRIA CRL S COOP</t>
  </si>
  <si>
    <t>5100262777</t>
  </si>
  <si>
    <t>BANCO COMERCIAL PORTUGUES S.A.</t>
  </si>
  <si>
    <t>5100264432</t>
  </si>
  <si>
    <t>BANCO BILBAO VIZCAYA ARGENTARIA, S.A., SUCURSAL EM PORTUGAL</t>
  </si>
  <si>
    <t>5100268594</t>
  </si>
  <si>
    <t>BANCO BIC PORTUGUES S.A.</t>
  </si>
  <si>
    <t>549300QQJ6BNALGU6806</t>
  </si>
  <si>
    <t>BANCO BAI EUROPA S.A.</t>
  </si>
  <si>
    <t>5100431816</t>
  </si>
  <si>
    <t>IMGA EXTRA TESOURARIA III - FUNDO INVESTIMENTO ALTERNATIVO MOBILIARIO</t>
  </si>
  <si>
    <t>5100517491</t>
  </si>
  <si>
    <t>CAIXA ECONOMICA DO PORTO ANEXA A A BENEFICENCIA FAMILIAR - ASSOCIACAO</t>
  </si>
  <si>
    <t>5100619537</t>
  </si>
  <si>
    <t>BANCO BIC PORTUGUES, S.A.</t>
  </si>
  <si>
    <t>BANCO PORTUGUES DE GESTAO S.A.</t>
  </si>
  <si>
    <t>213800FVJ6R9N8797493</t>
  </si>
  <si>
    <t>BANCO PRIMUS, S.A.</t>
  </si>
  <si>
    <t>7400275915</t>
  </si>
  <si>
    <t>NORTHERN TRUST GLOBAL SERVICES LIMITED LONDON</t>
  </si>
  <si>
    <t>7400416219</t>
  </si>
  <si>
    <t>THE NORTHERN TRUST GLOBAL SERVICES LIMITED LUXEMB</t>
  </si>
  <si>
    <t>7400416245</t>
  </si>
  <si>
    <t>THE NORTHERN TRUST COMPANY LONDON BRANCH</t>
  </si>
  <si>
    <t>7400416430</t>
  </si>
  <si>
    <t>BANCO BEST</t>
  </si>
  <si>
    <t>549300TW29K5QURDVU59</t>
  </si>
  <si>
    <t>BANCO DE INVESTIMENTO GLOBAL, S.A.</t>
  </si>
  <si>
    <t>213800KYUPNOQPAQL758</t>
  </si>
  <si>
    <t>BNP PARIBAS</t>
  </si>
  <si>
    <t>7400422086</t>
  </si>
  <si>
    <t>BANCO ACTIVOBANK PORTUGAL SA</t>
  </si>
  <si>
    <t>529900GYIFZ0EH50GF42</t>
  </si>
  <si>
    <t>FUNDO DE INVESTIMENTO MOBILIARIO ABERTO DO MERCADO MONETARIO - CA MONE</t>
  </si>
  <si>
    <t>7400741462</t>
  </si>
  <si>
    <t>BANIF - BANCO INTERNACIONAL DO FUNCHAL S.A.- EM LIQUIDACAO</t>
  </si>
  <si>
    <t>7400880199</t>
  </si>
  <si>
    <t>VOLKSWAGEN BANK GMBH - SUCURSAL EM PORTUGAL</t>
  </si>
  <si>
    <t>7401000162</t>
  </si>
  <si>
    <t>EUROBANK PRIVATE BANK LUXEMBOURG SA</t>
  </si>
  <si>
    <t>529900HB1NOUF0UAGK18</t>
  </si>
  <si>
    <t>NEDBANK MOCAMBIQUE S.A.</t>
  </si>
  <si>
    <t>7401088947</t>
  </si>
  <si>
    <t>ALLFUNDS BANK INTERNATIONAL SA</t>
  </si>
  <si>
    <t>7401331507</t>
  </si>
  <si>
    <t>UNICAJA BANCO S.A.</t>
  </si>
  <si>
    <t>7401346435</t>
  </si>
  <si>
    <t>TOYOTA KREDITBANK GMBH - SUCURSAL EM PORTUGAL</t>
  </si>
  <si>
    <t>7401448186</t>
  </si>
  <si>
    <t>BANCO CTT, S.A.</t>
  </si>
  <si>
    <t>7401460446</t>
  </si>
  <si>
    <t>BARCLAYS BANK PLC</t>
  </si>
  <si>
    <t>7401475252</t>
  </si>
  <si>
    <t>MERCANTILE BANK LIMITED</t>
  </si>
  <si>
    <t>7401496096</t>
  </si>
  <si>
    <t>BANKINTER S.A. - SUCURSAL EM PORTUGAL</t>
  </si>
  <si>
    <t>7401519052</t>
  </si>
  <si>
    <t>BARCLAYS BANK IRELAND PUBLIC LIMITED COMPANY SUCURSAL EM PORTUGAL</t>
  </si>
  <si>
    <t>7401810796</t>
  </si>
  <si>
    <t>IBERCAJA BANCO S.A. - ESCRITORIO DE REPRESENTACAO</t>
  </si>
  <si>
    <t>7401881341</t>
  </si>
  <si>
    <t>IMGA MONEY MARKET USD - FUNDO DE INVESTIMENTO MOBILIARIO ABERTO DO MER</t>
  </si>
  <si>
    <t>7402043691</t>
  </si>
  <si>
    <t>COMMERZBANK AG</t>
  </si>
  <si>
    <t>8000175573</t>
  </si>
  <si>
    <t>DEXIA BANQUE INTERNATIONALE A LUXEMBURG SA</t>
  </si>
  <si>
    <t>8000176607</t>
  </si>
  <si>
    <t>NATIONAL WESTMINSTER BANK PLC</t>
  </si>
  <si>
    <t>8000376682</t>
  </si>
  <si>
    <t>CAIXA ECONOMICA DA MISERICORDIA DE ANGRA DO HEROISMO</t>
  </si>
  <si>
    <t>549300GR6DZ97DTA7913</t>
  </si>
  <si>
    <t>CAIXA CREDITO AGRICOLA MUTUO ACORES,CRL</t>
  </si>
  <si>
    <t>8004998687</t>
  </si>
  <si>
    <t>BANK OF NOVA SCOTIA</t>
  </si>
  <si>
    <t>8006823295</t>
  </si>
  <si>
    <t>UNICREDIT BANK AG</t>
  </si>
  <si>
    <t>8006850481</t>
  </si>
  <si>
    <t>CREDIT AGRICOLE INDOSUEZ-PARIS</t>
  </si>
  <si>
    <t>8008765651</t>
  </si>
  <si>
    <t>CREDIT IMMOBILIER HOTELIER-CASABLANCA</t>
  </si>
  <si>
    <t>8018977006</t>
  </si>
  <si>
    <t>BNP PARIBAS PERSONAL FINANCE, S.A. - SUCURSAL EM PORTUGAL</t>
  </si>
  <si>
    <t>8020455952</t>
  </si>
  <si>
    <t>BANCO CAIXA GERAL ANGOLA S.A.</t>
  </si>
  <si>
    <t>8023082113</t>
  </si>
  <si>
    <t>BANCO INTERNACIONAL S.TOME PRINCIPE</t>
  </si>
  <si>
    <t>8025147342</t>
  </si>
  <si>
    <t>8026521302</t>
  </si>
  <si>
    <t>BANCO COMERCIAL ATLANTICO,SA</t>
  </si>
  <si>
    <t>8027004005</t>
  </si>
  <si>
    <t>BANCO BPI S.A.</t>
  </si>
  <si>
    <t>3DM5DPGI3W6OU6GJ4N92</t>
  </si>
  <si>
    <t>ONEY BANK - SUCURSAL EM PORTUGAL</t>
  </si>
  <si>
    <t>8028858476</t>
  </si>
  <si>
    <t>BANCO L. J. CARREGOSA, S.A.</t>
  </si>
  <si>
    <t>213800UFLAA5SS55IZ10</t>
  </si>
  <si>
    <t>BANK OF NEW YORK MELLON</t>
  </si>
  <si>
    <t>HPFHU0OQ28E4N0NFVK49</t>
  </si>
  <si>
    <t>CAIXA CREDITO AGRICOLA MUTUO ESTREMOZ MONFORTE ARRONCHES</t>
  </si>
  <si>
    <t>8037034699</t>
  </si>
  <si>
    <t>BANCO CABOVERDIANO DE NEGOCIOS SA</t>
  </si>
  <si>
    <t>8038587453</t>
  </si>
  <si>
    <t>NOMURA INTERNATIONAL PLC</t>
  </si>
  <si>
    <t>8042241456</t>
  </si>
  <si>
    <t>CAIXA GERAL DEPOSITOS-CARTEIRA PROPRIA</t>
  </si>
  <si>
    <t>8043692061</t>
  </si>
  <si>
    <t>CAIXA GERAL DE DEPOSITOS</t>
  </si>
  <si>
    <t>9000654167</t>
  </si>
  <si>
    <t>BANCO BILBAO VIZCAYA (PORTUGAL), SA</t>
  </si>
  <si>
    <t>9000751619</t>
  </si>
  <si>
    <t>NOVO BANCO, S.A.</t>
  </si>
  <si>
    <t>9000767417</t>
  </si>
  <si>
    <t>CAIXA ECONOMICA MONTEPIO GERAL</t>
  </si>
  <si>
    <t>9000793375</t>
  </si>
  <si>
    <t>WIZINK BANK S.A.U. - SUCURSAL EM PORTUGAL</t>
  </si>
  <si>
    <t>9000934918</t>
  </si>
  <si>
    <t>BANK AUSTRIA AG</t>
  </si>
  <si>
    <t>9000934956</t>
  </si>
  <si>
    <t>SKANDINAVISKA ENSKILDA BANKEN</t>
  </si>
  <si>
    <t>9000934958</t>
  </si>
  <si>
    <t>BANCO INVEST, S.A.</t>
  </si>
  <si>
    <t>9002006754</t>
  </si>
  <si>
    <t>KBC BANK NV    .                             .</t>
  </si>
  <si>
    <t>9002381066</t>
  </si>
  <si>
    <t>No resolution stay recognition</t>
  </si>
  <si>
    <t>Yes - Other Agreement for resolution stay recognition</t>
  </si>
  <si>
    <t>Yes - ISDA Universal Protocol</t>
  </si>
  <si>
    <t>FRANCE</t>
  </si>
  <si>
    <t>UNITED KINGDOM</t>
  </si>
  <si>
    <t>8000438626</t>
  </si>
  <si>
    <t>8028196868</t>
  </si>
  <si>
    <t>7401366107</t>
  </si>
  <si>
    <t>5493004WQIIB4N47BN20</t>
  </si>
  <si>
    <t>254900SGAWN8T6Q05761</t>
  </si>
  <si>
    <t>7401568675</t>
  </si>
  <si>
    <t>213800GAQM5YF7OFT829</t>
  </si>
  <si>
    <t>549300FREK460JU7RG08</t>
  </si>
  <si>
    <t>54930087HVWD0RRTWK77</t>
  </si>
  <si>
    <t>2549006IWGF4UVKRSJ88</t>
  </si>
  <si>
    <t>54930039BIEV13N2UT70</t>
  </si>
  <si>
    <t>549300VHO3DME0N4ZW85</t>
  </si>
  <si>
    <t>NETHERLANDS</t>
  </si>
  <si>
    <t>549300S5QJO6B1JT2R36</t>
  </si>
  <si>
    <t>213800S63VIWR5BC1M95</t>
  </si>
  <si>
    <t>6221038349</t>
  </si>
  <si>
    <t>72450083E3RFH9LVZI47</t>
  </si>
  <si>
    <t>7401870046</t>
  </si>
  <si>
    <t>2549001UG2UURXWCHD19</t>
  </si>
  <si>
    <t>8021880518</t>
  </si>
  <si>
    <t>8045736845</t>
  </si>
  <si>
    <t>213800RQXBBZ6KSP1I72</t>
  </si>
  <si>
    <t>7401588953</t>
  </si>
  <si>
    <t>8029537126</t>
  </si>
  <si>
    <t>549300ZG20XRKSRKZ238</t>
  </si>
  <si>
    <t>8007537441</t>
  </si>
  <si>
    <t>7400930438</t>
  </si>
  <si>
    <t>549300PFXVNW3UBKWU82</t>
  </si>
  <si>
    <t>7400291653</t>
  </si>
  <si>
    <t>7401589376</t>
  </si>
  <si>
    <t>549300ZVFLK0LQRO1E88</t>
  </si>
  <si>
    <t>984500EE93D0556F0T29</t>
  </si>
  <si>
    <t>549300JGTWUQ278H4770</t>
  </si>
  <si>
    <t>984500ABZ74A0U6F6E37</t>
  </si>
  <si>
    <t>254900AH3QT50IRTWM64</t>
  </si>
  <si>
    <t>8046252066</t>
  </si>
  <si>
    <t>549300K8SGLJPB2P6D10</t>
  </si>
  <si>
    <t>984500BD13D56542FB51</t>
  </si>
  <si>
    <t>4571000052</t>
  </si>
  <si>
    <t>254900ZAN32N0SOT0L39</t>
  </si>
  <si>
    <t>7400324759</t>
  </si>
  <si>
    <t>549300KRNTZP1JYNSQ50</t>
  </si>
  <si>
    <t>635400ZVSYUHWJLC7L91</t>
  </si>
  <si>
    <t>213800D1LMEDOB7DRD57</t>
  </si>
  <si>
    <t>2549007AQNRT5AXM7X93</t>
  </si>
  <si>
    <t>894500QEBOQ7ZV3UZ375</t>
  </si>
  <si>
    <t>635400JMHZ23BY12BI90</t>
  </si>
  <si>
    <t>549300UNIB7M2AXUXS35</t>
  </si>
  <si>
    <t>54930042E6E66VONUC18</t>
  </si>
  <si>
    <t>549300CS87LL4XIYVV98</t>
  </si>
  <si>
    <t>549300Y51ILA604XG386</t>
  </si>
  <si>
    <t>529900YGSXGLNXRNQA84</t>
  </si>
  <si>
    <t>549300QG7DM4U75QUF09</t>
  </si>
  <si>
    <t>549300Q571IOUBKZYR69</t>
  </si>
  <si>
    <t>21380038XS7H6C5GFB64</t>
  </si>
  <si>
    <t>5100681260</t>
  </si>
  <si>
    <t>549300EG6S19CBC3BP82</t>
  </si>
  <si>
    <t>Provisions. Off-balance sheet exposures subject to credit risk</t>
  </si>
  <si>
    <t>c010x   - Non-identified, not listed on an exchange platform</t>
  </si>
  <si>
    <t>Liabilities other than financial liabilities, provisions, tax liabilities, deferred income</t>
  </si>
  <si>
    <t>r0170 - Employee liabilities (BRRD art. 44/2/g/i)</t>
  </si>
  <si>
    <t>Rank 17 - Ranking in insolvency (master scale)</t>
  </si>
  <si>
    <t>Provisions. Employee benefits. Other than pension and other post-employment defined benefit obligations</t>
  </si>
  <si>
    <t>Provisions. Employee benefits. Pension and other post-employment defined benefit obligations</t>
  </si>
  <si>
    <t>Provisions. Restructuring</t>
  </si>
  <si>
    <t>Provisions. Funds for general banking risks</t>
  </si>
  <si>
    <t>Provisions. Pending legal issues and tax litigation</t>
  </si>
  <si>
    <t>SONAE</t>
  </si>
  <si>
    <t>0000001124</t>
  </si>
  <si>
    <t>2 - Exposures to groups of connected clients</t>
  </si>
  <si>
    <t>Non-financial corporations</t>
  </si>
  <si>
    <t>OBS.02 - Financial guarantees received</t>
  </si>
  <si>
    <t>GALPENERGIA</t>
  </si>
  <si>
    <t>8046324613</t>
  </si>
  <si>
    <t>ESTADO-RAM</t>
  </si>
  <si>
    <t>8046435017</t>
  </si>
  <si>
    <t>CS MADEIRA</t>
  </si>
  <si>
    <t>5100288107</t>
  </si>
  <si>
    <t>ALTRI</t>
  </si>
  <si>
    <t>8028841075</t>
  </si>
  <si>
    <t>BARRAQUEIRO</t>
  </si>
  <si>
    <t>8029429834</t>
  </si>
  <si>
    <t>VIOLAS</t>
  </si>
  <si>
    <t>7400154445</t>
  </si>
  <si>
    <t>SANTANDER</t>
  </si>
  <si>
    <t>BBI GLASS</t>
  </si>
  <si>
    <t>7400934390</t>
  </si>
  <si>
    <t>FUNDO DE RESOLUCAO</t>
  </si>
  <si>
    <t>7401230009</t>
  </si>
  <si>
    <t>1 - Exposures to individual clients</t>
  </si>
  <si>
    <t>Apoio às datas</t>
  </si>
  <si>
    <t>001520210359094</t>
  </si>
  <si>
    <t>001520210347352</t>
  </si>
  <si>
    <t>Santander Central Hispano Bank And Trust(BHS) Ltd</t>
  </si>
  <si>
    <t>3801002808</t>
  </si>
  <si>
    <t>r0161 - System (operator) and CCP liabilities &lt; 7 days   (BRRD art. 44/2/f)</t>
  </si>
  <si>
    <t>0161</t>
  </si>
  <si>
    <t>System (operator) and CCP liabilities &lt; 7 days   (BRRD art. 44/2/f)</t>
  </si>
  <si>
    <t>0115</t>
  </si>
  <si>
    <t>Liabilities towards other entities of the resolution group (BRRD art. 44/2/h)</t>
  </si>
  <si>
    <t>r0210 - Liabilities towards other entities of the resolution group (BRRD art. 44/2/h)</t>
  </si>
  <si>
    <t>Sum of net liability positions taking into account contractual netting sets, after mark-to-market adjustments, prior to collateral offset</t>
  </si>
  <si>
    <t>0331</t>
  </si>
  <si>
    <t>Sum of net liability positions taking into account contractual netting sets, after mark-to-market adjustments, post collateral offset</t>
  </si>
  <si>
    <t>0332</t>
  </si>
  <si>
    <t>Sum of net liability positions taking into account contractual netting sets, after mark-to-market adjustments, post collateral offset, incorporating estimated close-out amounts</t>
  </si>
  <si>
    <t>0333</t>
  </si>
  <si>
    <t>Sum of net liability positions taking into account prudential netting rules</t>
  </si>
  <si>
    <t>0334</t>
  </si>
  <si>
    <t>Total liabilities &amp; own funds including derivative liabilities</t>
  </si>
  <si>
    <t>0600</t>
  </si>
  <si>
    <t>Leverage exposure</t>
  </si>
  <si>
    <t>1000</t>
  </si>
  <si>
    <t>CET1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</si>
</sst>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dd/mm/yy;@"/>
    <numFmt numFmtId="166" formatCode="dd\-mm\-yyyy;@"/>
    <numFmt numFmtId="167" formatCode="#,##0.00000"/>
    <numFmt numFmtId="168" formatCode="0.0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9"/>
      <color indexed="5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60"/>
      <name val="Calibri"/>
      <family val="2"/>
      <scheme val="minor"/>
    </font>
    <font>
      <sz val="9"/>
      <color indexed="60"/>
      <name val="Calibri"/>
      <family val="2"/>
      <scheme val="minor"/>
    </font>
    <font>
      <b/>
      <sz val="9"/>
      <color indexed="14"/>
      <name val="Calibri"/>
      <family val="2"/>
      <scheme val="minor"/>
    </font>
    <font>
      <b/>
      <sz val="9"/>
      <color indexed="61"/>
      <name val="Calibri"/>
      <family val="2"/>
      <scheme val="minor"/>
    </font>
    <font>
      <sz val="9"/>
      <color indexed="61"/>
      <name val="Calibri"/>
      <family val="2"/>
      <scheme val="minor"/>
    </font>
    <font>
      <b/>
      <sz val="9"/>
      <color indexed="62"/>
      <name val="Calibri"/>
      <family val="2"/>
      <scheme val="minor"/>
    </font>
    <font>
      <sz val="11"/>
      <name val="Calibri"/>
      <family val="2"/>
    </font>
    <font>
      <sz val="9"/>
      <color indexed="14"/>
      <name val="Calibri"/>
      <family val="2"/>
      <scheme val="minor"/>
    </font>
    <font>
      <b/>
      <sz val="9"/>
      <color indexed="16"/>
      <name val="Calibri"/>
      <family val="2"/>
      <scheme val="minor"/>
    </font>
    <font>
      <sz val="9"/>
      <color indexed="16"/>
      <name val="Calibri"/>
      <family val="2"/>
      <scheme val="minor"/>
    </font>
    <font>
      <b/>
      <sz val="9"/>
      <color indexed="17"/>
      <name val="Calibri"/>
      <family val="2"/>
      <scheme val="minor"/>
    </font>
    <font>
      <sz val="9"/>
      <color indexed="17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9"/>
      <color indexed="18"/>
      <name val="Calibri"/>
      <family val="2"/>
      <scheme val="minor"/>
    </font>
    <font>
      <sz val="9"/>
      <color indexed="18"/>
      <name val="Calibri"/>
      <family val="2"/>
      <scheme val="minor"/>
    </font>
    <font>
      <b/>
      <sz val="9"/>
      <color indexed="59"/>
      <name val="Calibri"/>
      <family val="2"/>
      <scheme val="minor"/>
    </font>
    <font>
      <b/>
      <sz val="9"/>
      <color indexed="19"/>
      <name val="Calibri"/>
      <family val="2"/>
      <scheme val="minor"/>
    </font>
    <font>
      <sz val="9"/>
      <color indexed="19"/>
      <name val="Calibri"/>
      <family val="2"/>
      <scheme val="minor"/>
    </font>
    <font>
      <b/>
      <sz val="9"/>
      <color indexed="20"/>
      <name val="Calibri"/>
      <family val="2"/>
      <scheme val="minor"/>
    </font>
    <font>
      <b/>
      <sz val="9"/>
      <color indexed="21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21"/>
      <name val="Calibri"/>
      <family val="2"/>
      <scheme val="minor"/>
    </font>
    <font>
      <b/>
      <sz val="9"/>
      <color indexed="24"/>
      <name val="Calibri"/>
      <family val="2"/>
      <scheme val="minor"/>
    </font>
    <font>
      <b/>
      <sz val="9"/>
      <color indexed="25"/>
      <name val="Calibri"/>
      <family val="2"/>
      <scheme val="minor"/>
    </font>
    <font>
      <b/>
      <sz val="9"/>
      <color indexed="28"/>
      <name val="Calibri"/>
      <family val="2"/>
      <scheme val="minor"/>
    </font>
    <font>
      <b/>
      <sz val="9"/>
      <color indexed="29"/>
      <name val="Calibri"/>
      <family val="2"/>
      <scheme val="minor"/>
    </font>
    <font>
      <b/>
      <sz val="9"/>
      <color indexed="30"/>
      <name val="Calibri"/>
      <family val="2"/>
      <scheme val="minor"/>
    </font>
    <font>
      <b/>
      <sz val="9"/>
      <color indexed="32"/>
      <name val="Calibri"/>
      <family val="2"/>
      <scheme val="minor"/>
    </font>
    <font>
      <b/>
      <sz val="9"/>
      <color indexed="33"/>
      <name val="Calibri"/>
      <family val="2"/>
      <scheme val="minor"/>
    </font>
    <font>
      <b/>
      <sz val="9"/>
      <color indexed="36"/>
      <name val="Calibri"/>
      <family val="2"/>
      <scheme val="minor"/>
    </font>
    <font>
      <b/>
      <sz val="9"/>
      <color indexed="37"/>
      <name val="Calibri"/>
      <family val="2"/>
      <scheme val="minor"/>
    </font>
    <font>
      <b/>
      <sz val="9"/>
      <color indexed="38"/>
      <name val="Calibri"/>
      <family val="2"/>
      <scheme val="minor"/>
    </font>
    <font>
      <b/>
      <sz val="9"/>
      <color indexed="39"/>
      <name val="Calibri"/>
      <family val="2"/>
      <scheme val="minor"/>
    </font>
    <font>
      <b/>
      <sz val="9"/>
      <color indexed="48"/>
      <name val="Calibri"/>
      <family val="2"/>
      <scheme val="minor"/>
    </font>
    <font>
      <b/>
      <sz val="9"/>
      <color indexed="53"/>
      <name val="Calibri"/>
      <family val="2"/>
      <scheme val="minor"/>
    </font>
    <font>
      <sz val="9"/>
      <color indexed="39"/>
      <name val="Calibri"/>
      <family val="2"/>
      <scheme val="minor"/>
    </font>
    <font>
      <sz val="9"/>
      <color indexed="48"/>
      <name val="Calibri"/>
      <family val="2"/>
      <scheme val="minor"/>
    </font>
    <font>
      <sz val="9"/>
      <color indexed="29"/>
      <name val="Calibri"/>
      <family val="2"/>
      <scheme val="minor"/>
    </font>
    <font>
      <sz val="9"/>
      <color indexed="33"/>
      <name val="Calibri"/>
      <family val="2"/>
      <scheme val="minor"/>
    </font>
    <font>
      <sz val="9"/>
      <color indexed="53"/>
      <name val="Calibri"/>
      <family val="2"/>
      <scheme val="minor"/>
    </font>
    <font>
      <sz val="9"/>
      <color indexed="25"/>
      <name val="Calibri"/>
      <family val="2"/>
      <scheme val="minor"/>
    </font>
    <font>
      <sz val="9"/>
      <color indexed="37"/>
      <name val="Calibri"/>
      <family val="2"/>
      <scheme val="minor"/>
    </font>
    <font>
      <sz val="9"/>
      <color indexed="38"/>
      <name val="Calibri"/>
      <family val="2"/>
      <scheme val="minor"/>
    </font>
    <font>
      <sz val="9"/>
      <color indexed="36"/>
      <name val="Calibri"/>
      <family val="2"/>
      <scheme val="minor"/>
    </font>
    <font>
      <sz val="9"/>
      <color indexed="30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3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10"/>
      <name val="Calibri"/>
      <family val="2"/>
      <scheme val="minor"/>
    </font>
    <font>
      <sz val="9"/>
      <color indexed="10"/>
      <name val="Calibri"/>
      <family val="2"/>
      <scheme val="minor"/>
    </font>
    <font>
      <b/>
      <sz val="9"/>
      <color indexed="11"/>
      <name val="Calibri"/>
      <family val="2"/>
      <scheme val="minor"/>
    </font>
    <font>
      <sz val="9"/>
      <color indexed="11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9"/>
      <color indexed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33">
    <xf numFmtId="0" fontId="0" fillId="0" borderId="0" xfId="0"/>
    <xf numFmtId="0" fontId="3" fillId="0" borderId="0" xfId="1" applyAlignment="1">
      <alignment wrapText="1"/>
    </xf>
    <xf numFmtId="0" fontId="3" fillId="0" borderId="0" xfId="1"/>
    <xf numFmtId="0" fontId="3" fillId="0" borderId="0" xfId="1" quotePrefix="1"/>
    <xf numFmtId="0" fontId="3" fillId="2" borderId="2" xfId="1" applyFill="1" applyBorder="1" applyAlignment="1">
      <alignment horizontal="left" vertical="top" wrapText="1"/>
    </xf>
    <xf numFmtId="0" fontId="3" fillId="2" borderId="6" xfId="1" applyFill="1" applyBorder="1" applyAlignment="1">
      <alignment horizontal="left" vertical="top" wrapText="1"/>
    </xf>
    <xf numFmtId="0" fontId="3" fillId="2" borderId="7" xfId="1" applyFill="1" applyBorder="1" applyAlignment="1">
      <alignment horizontal="left" vertical="top" wrapText="1"/>
    </xf>
    <xf numFmtId="0" fontId="3" fillId="2" borderId="7" xfId="1" quotePrefix="1" applyFill="1" applyBorder="1" applyAlignment="1">
      <alignment horizontal="left" vertical="top" wrapText="1"/>
    </xf>
    <xf numFmtId="0" fontId="3" fillId="3" borderId="7" xfId="1" quotePrefix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center" vertical="center" textRotation="90"/>
    </xf>
    <xf numFmtId="0" fontId="3" fillId="2" borderId="4" xfId="1" applyFill="1" applyBorder="1" applyAlignment="1">
      <alignment horizontal="left" vertical="center" wrapText="1"/>
    </xf>
    <xf numFmtId="0" fontId="3" fillId="2" borderId="7" xfId="1" quotePrefix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 wrapText="1"/>
    </xf>
    <xf numFmtId="4" fontId="5" fillId="0" borderId="8" xfId="1" applyNumberFormat="1" applyFont="1" applyBorder="1" applyAlignment="1">
      <alignment horizontal="center" vertical="center" wrapText="1"/>
    </xf>
    <xf numFmtId="4" fontId="3" fillId="0" borderId="0" xfId="1" applyNumberFormat="1"/>
    <xf numFmtId="4" fontId="9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right" vertical="center" wrapText="1"/>
    </xf>
    <xf numFmtId="4" fontId="10" fillId="0" borderId="0" xfId="1" applyNumberFormat="1" applyFont="1" applyAlignment="1">
      <alignment horizontal="right" vertical="center" wrapText="1"/>
    </xf>
    <xf numFmtId="3" fontId="3" fillId="0" borderId="0" xfId="1" applyNumberFormat="1" applyAlignment="1">
      <alignment wrapText="1"/>
    </xf>
    <xf numFmtId="0" fontId="1" fillId="0" borderId="0" xfId="2" applyAlignment="1">
      <alignment wrapText="1"/>
    </xf>
    <xf numFmtId="0" fontId="1" fillId="0" borderId="0" xfId="2"/>
    <xf numFmtId="0" fontId="1" fillId="2" borderId="2" xfId="2" applyFill="1" applyBorder="1" applyAlignment="1">
      <alignment horizontal="left" vertical="top" wrapText="1"/>
    </xf>
    <xf numFmtId="0" fontId="1" fillId="2" borderId="6" xfId="2" applyFill="1" applyBorder="1" applyAlignment="1">
      <alignment horizontal="left" vertical="top" wrapText="1"/>
    </xf>
    <xf numFmtId="0" fontId="1" fillId="2" borderId="7" xfId="2" applyFill="1" applyBorder="1" applyAlignment="1">
      <alignment horizontal="left" vertical="top" wrapText="1"/>
    </xf>
    <xf numFmtId="0" fontId="1" fillId="2" borderId="7" xfId="2" quotePrefix="1" applyFill="1" applyBorder="1" applyAlignment="1">
      <alignment horizontal="left" vertical="top" wrapText="1"/>
    </xf>
    <xf numFmtId="0" fontId="2" fillId="2" borderId="3" xfId="2" applyFont="1" applyFill="1" applyBorder="1" applyAlignment="1">
      <alignment horizontal="center" vertical="center" textRotation="90"/>
    </xf>
    <xf numFmtId="0" fontId="1" fillId="2" borderId="4" xfId="2" applyFill="1" applyBorder="1" applyAlignment="1">
      <alignment horizontal="left" vertical="center" wrapText="1"/>
    </xf>
    <xf numFmtId="0" fontId="1" fillId="2" borderId="7" xfId="2" quotePrefix="1" applyFill="1" applyBorder="1" applyAlignment="1">
      <alignment horizontal="left" vertical="center"/>
    </xf>
    <xf numFmtId="0" fontId="5" fillId="0" borderId="8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12" fillId="0" borderId="0" xfId="2" applyFont="1" applyAlignment="1">
      <alignment horizontal="left" vertical="top" wrapText="1"/>
    </xf>
    <xf numFmtId="0" fontId="2" fillId="0" borderId="3" xfId="2" applyFont="1" applyBorder="1" applyAlignment="1">
      <alignment horizontal="center" vertical="center" textRotation="90"/>
    </xf>
    <xf numFmtId="0" fontId="1" fillId="0" borderId="4" xfId="2" applyBorder="1" applyAlignment="1">
      <alignment horizontal="left" vertical="center" wrapText="1"/>
    </xf>
    <xf numFmtId="0" fontId="1" fillId="0" borderId="7" xfId="2" quotePrefix="1" applyBorder="1" applyAlignment="1">
      <alignment horizontal="left" vertical="center"/>
    </xf>
    <xf numFmtId="0" fontId="5" fillId="3" borderId="8" xfId="2" applyFont="1" applyFill="1" applyBorder="1" applyAlignment="1">
      <alignment horizontal="center" vertical="center" wrapText="1"/>
    </xf>
    <xf numFmtId="4" fontId="5" fillId="0" borderId="8" xfId="2" applyNumberFormat="1" applyFont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10" fontId="5" fillId="0" borderId="8" xfId="3" applyNumberFormat="1" applyFont="1" applyFill="1" applyBorder="1" applyAlignment="1">
      <alignment horizontal="center" vertical="center" wrapText="1"/>
    </xf>
    <xf numFmtId="4" fontId="5" fillId="3" borderId="8" xfId="2" applyNumberFormat="1" applyFont="1" applyFill="1" applyBorder="1" applyAlignment="1">
      <alignment horizontal="center" vertical="center" wrapText="1"/>
    </xf>
    <xf numFmtId="4" fontId="1" fillId="0" borderId="0" xfId="2" applyNumberFormat="1"/>
    <xf numFmtId="165" fontId="3" fillId="0" borderId="0" xfId="1" applyNumberFormat="1"/>
    <xf numFmtId="10" fontId="0" fillId="0" borderId="0" xfId="3" applyNumberFormat="1" applyFont="1"/>
    <xf numFmtId="0" fontId="0" fillId="0" borderId="0" xfId="4" applyNumberFormat="1" applyFont="1"/>
    <xf numFmtId="10" fontId="0" fillId="0" borderId="0" xfId="4" applyNumberFormat="1" applyFont="1"/>
    <xf numFmtId="0" fontId="0" fillId="2" borderId="2" xfId="4" applyNumberFormat="1" applyFont="1" applyFill="1" applyBorder="1" applyAlignment="1">
      <alignment horizontal="left" vertical="top" wrapText="1"/>
    </xf>
    <xf numFmtId="0" fontId="0" fillId="2" borderId="6" xfId="4" applyNumberFormat="1" applyFont="1" applyFill="1" applyBorder="1" applyAlignment="1">
      <alignment horizontal="left" vertical="top" wrapText="1"/>
    </xf>
    <xf numFmtId="0" fontId="0" fillId="2" borderId="7" xfId="4" applyNumberFormat="1" applyFont="1" applyFill="1" applyBorder="1" applyAlignment="1">
      <alignment horizontal="left" vertical="top" wrapText="1"/>
    </xf>
    <xf numFmtId="10" fontId="0" fillId="2" borderId="7" xfId="4" applyNumberFormat="1" applyFont="1" applyFill="1" applyBorder="1" applyAlignment="1">
      <alignment horizontal="left" vertical="top" wrapText="1"/>
    </xf>
    <xf numFmtId="0" fontId="0" fillId="2" borderId="7" xfId="4" quotePrefix="1" applyNumberFormat="1" applyFont="1" applyFill="1" applyBorder="1" applyAlignment="1">
      <alignment horizontal="left" vertical="top" wrapText="1"/>
    </xf>
    <xf numFmtId="10" fontId="0" fillId="3" borderId="7" xfId="4" quotePrefix="1" applyNumberFormat="1" applyFont="1" applyFill="1" applyBorder="1" applyAlignment="1">
      <alignment horizontal="left" vertical="top" wrapText="1"/>
    </xf>
    <xf numFmtId="0" fontId="2" fillId="2" borderId="3" xfId="4" applyNumberFormat="1" applyFont="1" applyFill="1" applyBorder="1" applyAlignment="1">
      <alignment horizontal="center" vertical="center" textRotation="90"/>
    </xf>
    <xf numFmtId="0" fontId="0" fillId="2" borderId="4" xfId="4" applyNumberFormat="1" applyFont="1" applyFill="1" applyBorder="1" applyAlignment="1">
      <alignment horizontal="left" vertical="center" wrapText="1"/>
    </xf>
    <xf numFmtId="0" fontId="0" fillId="2" borderId="7" xfId="4" quotePrefix="1" applyNumberFormat="1" applyFont="1" applyFill="1" applyBorder="1" applyAlignment="1">
      <alignment horizontal="left" vertical="center"/>
    </xf>
    <xf numFmtId="0" fontId="5" fillId="0" borderId="8" xfId="4" applyNumberFormat="1" applyFont="1" applyBorder="1" applyAlignment="1">
      <alignment horizontal="center" vertical="center" wrapText="1"/>
    </xf>
    <xf numFmtId="4" fontId="5" fillId="0" borderId="8" xfId="4" applyNumberFormat="1" applyFont="1" applyBorder="1" applyAlignment="1">
      <alignment horizontal="center" vertical="center" wrapText="1"/>
    </xf>
    <xf numFmtId="0" fontId="5" fillId="0" borderId="8" xfId="4" quotePrefix="1" applyNumberFormat="1" applyFont="1" applyBorder="1" applyAlignment="1">
      <alignment horizontal="center" vertical="center" wrapText="1"/>
    </xf>
    <xf numFmtId="166" fontId="5" fillId="0" borderId="8" xfId="4" applyNumberFormat="1" applyFont="1" applyBorder="1" applyAlignment="1">
      <alignment horizontal="center" vertical="center" wrapText="1"/>
    </xf>
    <xf numFmtId="0" fontId="5" fillId="0" borderId="9" xfId="4" applyNumberFormat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top" wrapText="1"/>
    </xf>
    <xf numFmtId="0" fontId="2" fillId="0" borderId="3" xfId="1" applyFont="1" applyBorder="1" applyAlignment="1">
      <alignment horizontal="center" vertical="center" textRotation="90"/>
    </xf>
    <xf numFmtId="0" fontId="3" fillId="0" borderId="4" xfId="1" applyBorder="1" applyAlignment="1">
      <alignment horizontal="left" vertical="center" wrapText="1"/>
    </xf>
    <xf numFmtId="0" fontId="3" fillId="0" borderId="7" xfId="1" quotePrefix="1" applyBorder="1" applyAlignment="1">
      <alignment horizontal="left" vertical="center"/>
    </xf>
    <xf numFmtId="166" fontId="5" fillId="0" borderId="8" xfId="1" applyNumberFormat="1" applyFont="1" applyBorder="1" applyAlignment="1">
      <alignment horizontal="center" vertical="center" wrapText="1"/>
    </xf>
    <xf numFmtId="4" fontId="5" fillId="0" borderId="9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left" vertical="top" wrapText="1"/>
    </xf>
    <xf numFmtId="2" fontId="3" fillId="2" borderId="7" xfId="1" quotePrefix="1" applyNumberFormat="1" applyFill="1" applyBorder="1" applyAlignment="1">
      <alignment horizontal="left" vertical="center"/>
    </xf>
    <xf numFmtId="4" fontId="5" fillId="0" borderId="9" xfId="2" applyNumberFormat="1" applyFont="1" applyBorder="1" applyAlignment="1">
      <alignment horizontal="center" vertical="center" wrapText="1"/>
    </xf>
    <xf numFmtId="4" fontId="19" fillId="0" borderId="0" xfId="2" applyNumberFormat="1" applyFont="1" applyAlignment="1">
      <alignment horizontal="left" vertical="top" wrapText="1"/>
    </xf>
    <xf numFmtId="167" fontId="1" fillId="0" borderId="0" xfId="2" applyNumberFormat="1"/>
    <xf numFmtId="0" fontId="1" fillId="0" borderId="10" xfId="2" applyBorder="1"/>
    <xf numFmtId="0" fontId="5" fillId="0" borderId="11" xfId="2" applyFont="1" applyBorder="1" applyAlignment="1">
      <alignment horizontal="center" vertical="center" wrapText="1"/>
    </xf>
    <xf numFmtId="4" fontId="19" fillId="0" borderId="10" xfId="2" applyNumberFormat="1" applyFont="1" applyBorder="1" applyAlignment="1">
      <alignment horizontal="left" vertical="top" wrapText="1"/>
    </xf>
    <xf numFmtId="167" fontId="1" fillId="0" borderId="10" xfId="2" applyNumberFormat="1" applyBorder="1"/>
    <xf numFmtId="4" fontId="1" fillId="0" borderId="10" xfId="2" applyNumberFormat="1" applyBorder="1"/>
    <xf numFmtId="0" fontId="5" fillId="0" borderId="12" xfId="2" applyFont="1" applyBorder="1" applyAlignment="1">
      <alignment horizontal="center" vertical="center" wrapText="1"/>
    </xf>
    <xf numFmtId="49" fontId="19" fillId="0" borderId="0" xfId="2" applyNumberFormat="1" applyFont="1" applyAlignment="1">
      <alignment horizontal="left" vertical="top" wrapText="1"/>
    </xf>
    <xf numFmtId="0" fontId="20" fillId="0" borderId="10" xfId="2" applyFont="1" applyBorder="1" applyAlignment="1">
      <alignment vertical="center" wrapText="1"/>
    </xf>
    <xf numFmtId="0" fontId="21" fillId="0" borderId="0" xfId="2" applyFont="1" applyAlignment="1">
      <alignment vertical="center" wrapText="1"/>
    </xf>
    <xf numFmtId="168" fontId="1" fillId="0" borderId="0" xfId="2" applyNumberFormat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horizontal="right" vertical="center" wrapText="1"/>
    </xf>
    <xf numFmtId="14" fontId="5" fillId="0" borderId="8" xfId="2" applyNumberFormat="1" applyFont="1" applyBorder="1" applyAlignment="1">
      <alignment horizontal="center" vertical="center" wrapText="1"/>
    </xf>
    <xf numFmtId="0" fontId="26" fillId="0" borderId="0" xfId="2" applyFont="1" applyAlignment="1">
      <alignment horizontal="left" vertical="top" wrapText="1"/>
    </xf>
    <xf numFmtId="0" fontId="29" fillId="0" borderId="0" xfId="2" applyFont="1" applyAlignment="1">
      <alignment horizontal="left" vertical="top" wrapText="1"/>
    </xf>
    <xf numFmtId="0" fontId="30" fillId="0" borderId="0" xfId="2" applyFont="1" applyAlignment="1">
      <alignment horizontal="left" vertical="top" wrapText="1"/>
    </xf>
    <xf numFmtId="4" fontId="0" fillId="0" borderId="0" xfId="0" applyNumberFormat="1" applyAlignment="1">
      <alignment wrapText="1"/>
    </xf>
    <xf numFmtId="4" fontId="0" fillId="0" borderId="0" xfId="0" applyNumberFormat="1"/>
    <xf numFmtId="4" fontId="0" fillId="2" borderId="7" xfId="0" applyNumberFormat="1" applyFill="1" applyBorder="1" applyAlignment="1">
      <alignment horizontal="left" vertical="top" wrapText="1"/>
    </xf>
    <xf numFmtId="4" fontId="0" fillId="2" borderId="2" xfId="0" applyNumberFormat="1" applyFill="1" applyBorder="1" applyAlignment="1">
      <alignment horizontal="left" vertical="top" wrapText="1"/>
    </xf>
    <xf numFmtId="4" fontId="0" fillId="2" borderId="6" xfId="0" applyNumberFormat="1" applyFill="1" applyBorder="1" applyAlignment="1">
      <alignment horizontal="left" vertical="top" wrapText="1"/>
    </xf>
    <xf numFmtId="4" fontId="0" fillId="2" borderId="7" xfId="0" quotePrefix="1" applyNumberFormat="1" applyFill="1" applyBorder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center" wrapText="1"/>
    </xf>
    <xf numFmtId="4" fontId="0" fillId="2" borderId="7" xfId="0" quotePrefix="1" applyNumberFormat="1" applyFill="1" applyBorder="1" applyAlignment="1">
      <alignment horizontal="left" vertical="center"/>
    </xf>
    <xf numFmtId="4" fontId="5" fillId="0" borderId="13" xfId="0" applyNumberFormat="1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4" fontId="5" fillId="0" borderId="15" xfId="0" applyNumberFormat="1" applyFont="1" applyBorder="1" applyAlignment="1">
      <alignment horizontal="center" vertical="center" wrapText="1"/>
    </xf>
    <xf numFmtId="4" fontId="44" fillId="0" borderId="0" xfId="0" applyNumberFormat="1" applyFont="1" applyAlignment="1">
      <alignment horizontal="left" vertical="top" wrapText="1"/>
    </xf>
    <xf numFmtId="4" fontId="45" fillId="0" borderId="0" xfId="0" applyNumberFormat="1" applyFont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center" wrapText="1" indent="2"/>
    </xf>
    <xf numFmtId="4" fontId="5" fillId="0" borderId="16" xfId="0" applyNumberFormat="1" applyFont="1" applyBorder="1" applyAlignment="1">
      <alignment horizontal="center" vertical="center" wrapText="1"/>
    </xf>
    <xf numFmtId="4" fontId="46" fillId="0" borderId="0" xfId="0" applyNumberFormat="1" applyFont="1" applyAlignment="1">
      <alignment horizontal="left" vertical="top" wrapText="1"/>
    </xf>
    <xf numFmtId="4" fontId="47" fillId="0" borderId="0" xfId="0" applyNumberFormat="1" applyFont="1" applyAlignment="1">
      <alignment horizontal="left" vertical="top" wrapText="1"/>
    </xf>
    <xf numFmtId="4" fontId="48" fillId="0" borderId="0" xfId="0" applyNumberFormat="1" applyFont="1" applyAlignment="1">
      <alignment horizontal="left" vertical="top" wrapText="1"/>
    </xf>
    <xf numFmtId="4" fontId="49" fillId="0" borderId="0" xfId="0" applyNumberFormat="1" applyFont="1" applyAlignment="1">
      <alignment horizontal="left" vertical="top" wrapText="1"/>
    </xf>
    <xf numFmtId="4" fontId="50" fillId="0" borderId="0" xfId="0" applyNumberFormat="1" applyFont="1" applyAlignment="1">
      <alignment horizontal="left" vertical="top" wrapText="1"/>
    </xf>
    <xf numFmtId="4" fontId="51" fillId="0" borderId="0" xfId="0" applyNumberFormat="1" applyFont="1" applyAlignment="1">
      <alignment horizontal="left" vertical="top" wrapText="1"/>
    </xf>
    <xf numFmtId="4" fontId="5" fillId="5" borderId="0" xfId="0" applyNumberFormat="1" applyFont="1" applyFill="1" applyAlignment="1">
      <alignment horizontal="center" vertical="center" wrapText="1"/>
    </xf>
    <xf numFmtId="4" fontId="52" fillId="0" borderId="0" xfId="0" applyNumberFormat="1" applyFont="1" applyAlignment="1">
      <alignment horizontal="left" vertical="top" wrapText="1"/>
    </xf>
    <xf numFmtId="4" fontId="5" fillId="5" borderId="16" xfId="0" applyNumberFormat="1" applyFont="1" applyFill="1" applyBorder="1" applyAlignment="1">
      <alignment horizontal="center" vertical="center" wrapText="1"/>
    </xf>
    <xf numFmtId="4" fontId="5" fillId="5" borderId="15" xfId="0" applyNumberFormat="1" applyFon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left" vertical="center" wrapText="1" indent="4"/>
    </xf>
    <xf numFmtId="4" fontId="53" fillId="0" borderId="0" xfId="0" applyNumberFormat="1" applyFont="1" applyAlignment="1">
      <alignment horizontal="left" vertical="top" wrapText="1"/>
    </xf>
    <xf numFmtId="4" fontId="23" fillId="0" borderId="0" xfId="0" applyNumberFormat="1" applyFont="1" applyAlignment="1">
      <alignment horizontal="left" vertical="top" wrapText="1"/>
    </xf>
    <xf numFmtId="4" fontId="26" fillId="0" borderId="0" xfId="0" applyNumberFormat="1" applyFont="1" applyAlignment="1">
      <alignment horizontal="left" vertical="top" wrapText="1"/>
    </xf>
    <xf numFmtId="4" fontId="29" fillId="0" borderId="0" xfId="0" applyNumberFormat="1" applyFont="1" applyAlignment="1">
      <alignment horizontal="left" vertical="top" wrapText="1"/>
    </xf>
    <xf numFmtId="4" fontId="54" fillId="0" borderId="0" xfId="0" applyNumberFormat="1" applyFont="1" applyAlignment="1">
      <alignment horizontal="left" vertical="top" wrapText="1"/>
    </xf>
    <xf numFmtId="4" fontId="55" fillId="0" borderId="0" xfId="0" applyNumberFormat="1" applyFont="1" applyAlignment="1">
      <alignment horizontal="left" vertical="top" wrapText="1"/>
    </xf>
    <xf numFmtId="4" fontId="30" fillId="0" borderId="0" xfId="0" applyNumberFormat="1" applyFont="1" applyAlignment="1">
      <alignment horizontal="left" vertical="top" wrapText="1"/>
    </xf>
    <xf numFmtId="4" fontId="5" fillId="5" borderId="12" xfId="0" applyNumberFormat="1" applyFont="1" applyFill="1" applyBorder="1" applyAlignment="1">
      <alignment horizontal="center" vertical="center" wrapText="1"/>
    </xf>
    <xf numFmtId="4" fontId="5" fillId="5" borderId="19" xfId="0" applyNumberFormat="1" applyFont="1" applyFill="1" applyBorder="1" applyAlignment="1">
      <alignment horizontal="center" vertical="center" wrapText="1"/>
    </xf>
    <xf numFmtId="4" fontId="5" fillId="0" borderId="19" xfId="0" applyNumberFormat="1" applyFont="1" applyBorder="1" applyAlignment="1">
      <alignment horizontal="center" vertical="center" wrapText="1"/>
    </xf>
    <xf numFmtId="4" fontId="5" fillId="5" borderId="20" xfId="0" applyNumberFormat="1" applyFont="1" applyFill="1" applyBorder="1" applyAlignment="1">
      <alignment horizontal="center" vertical="center" wrapText="1"/>
    </xf>
    <xf numFmtId="4" fontId="57" fillId="0" borderId="0" xfId="0" applyNumberFormat="1" applyFont="1" applyAlignment="1">
      <alignment horizontal="right" vertical="center" wrapText="1"/>
    </xf>
    <xf numFmtId="4" fontId="58" fillId="0" borderId="0" xfId="0" applyNumberFormat="1" applyFont="1" applyAlignment="1">
      <alignment horizontal="left" vertical="top" wrapText="1"/>
    </xf>
    <xf numFmtId="4" fontId="59" fillId="0" borderId="0" xfId="0" applyNumberFormat="1" applyFont="1" applyAlignment="1">
      <alignment horizontal="right" vertical="center" wrapText="1"/>
    </xf>
    <xf numFmtId="4" fontId="60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wrapText="1"/>
    </xf>
    <xf numFmtId="4" fontId="61" fillId="0" borderId="0" xfId="0" applyNumberFormat="1" applyFont="1" applyAlignment="1">
      <alignment horizontal="right" vertical="center" wrapText="1"/>
    </xf>
    <xf numFmtId="4" fontId="62" fillId="0" borderId="0" xfId="0" applyNumberFormat="1" applyFont="1" applyAlignment="1">
      <alignment horizontal="left" vertical="top" wrapText="1"/>
    </xf>
    <xf numFmtId="4" fontId="10" fillId="0" borderId="0" xfId="0" applyNumberFormat="1" applyFont="1" applyAlignment="1">
      <alignment horizontal="right" vertical="center" wrapText="1"/>
    </xf>
    <xf numFmtId="4" fontId="15" fillId="0" borderId="0" xfId="0" applyNumberFormat="1" applyFont="1" applyAlignment="1">
      <alignment horizontal="left" vertical="top" wrapText="1"/>
    </xf>
    <xf numFmtId="4" fontId="16" fillId="0" borderId="0" xfId="0" applyNumberFormat="1" applyFont="1" applyAlignment="1">
      <alignment horizontal="right" vertical="center" wrapText="1"/>
    </xf>
    <xf numFmtId="4" fontId="17" fillId="0" borderId="0" xfId="0" applyNumberFormat="1" applyFont="1" applyAlignment="1">
      <alignment horizontal="left" vertical="top" wrapText="1"/>
    </xf>
    <xf numFmtId="4" fontId="18" fillId="0" borderId="0" xfId="0" applyNumberFormat="1" applyFont="1" applyAlignment="1">
      <alignment horizontal="right" vertical="center" wrapText="1"/>
    </xf>
    <xf numFmtId="4" fontId="19" fillId="0" borderId="0" xfId="0" applyNumberFormat="1" applyFont="1" applyAlignment="1">
      <alignment horizontal="left" vertical="top" wrapText="1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" fontId="22" fillId="0" borderId="1" xfId="0" applyNumberFormat="1" applyFont="1" applyBorder="1" applyAlignment="1">
      <alignment horizontal="left" wrapText="1"/>
    </xf>
    <xf numFmtId="4" fontId="25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0" fontId="0" fillId="2" borderId="7" xfId="0" applyFill="1" applyBorder="1" applyAlignment="1">
      <alignment horizontal="left" vertical="top" wrapText="1"/>
    </xf>
    <xf numFmtId="0" fontId="0" fillId="2" borderId="7" xfId="0" quotePrefix="1" applyFill="1" applyBorder="1" applyAlignment="1">
      <alignment horizontal="left" vertical="top" wrapText="1"/>
    </xf>
    <xf numFmtId="4" fontId="5" fillId="0" borderId="8" xfId="0" applyNumberFormat="1" applyFont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quotePrefix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 indent="2"/>
    </xf>
    <xf numFmtId="0" fontId="5" fillId="5" borderId="0" xfId="0" applyFont="1" applyFill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 indent="4"/>
    </xf>
    <xf numFmtId="0" fontId="5" fillId="0" borderId="8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center" vertical="center" wrapText="1"/>
    </xf>
    <xf numFmtId="4" fontId="22" fillId="0" borderId="0" xfId="0" applyNumberFormat="1" applyFont="1" applyBorder="1" applyAlignment="1">
      <alignment horizontal="left" wrapText="1"/>
    </xf>
    <xf numFmtId="4" fontId="5" fillId="0" borderId="16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Fill="1" applyAlignment="1">
      <alignment horizontal="center" vertical="center" wrapText="1"/>
    </xf>
    <xf numFmtId="4" fontId="5" fillId="0" borderId="13" xfId="0" applyNumberFormat="1" applyFont="1" applyFill="1" applyBorder="1" applyAlignment="1">
      <alignment horizontal="center" vertical="center" wrapText="1"/>
    </xf>
    <xf numFmtId="4" fontId="5" fillId="0" borderId="14" xfId="0" applyNumberFormat="1" applyFont="1" applyFill="1" applyBorder="1" applyAlignment="1">
      <alignment horizontal="center" vertical="center" wrapText="1"/>
    </xf>
    <xf numFmtId="4" fontId="5" fillId="0" borderId="15" xfId="0" applyNumberFormat="1" applyFont="1" applyFill="1" applyBorder="1" applyAlignment="1">
      <alignment horizontal="center" vertical="center" wrapText="1"/>
    </xf>
    <xf numFmtId="4" fontId="5" fillId="0" borderId="2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4" fontId="2" fillId="5" borderId="5" xfId="0" applyNumberFormat="1" applyFont="1" applyFill="1" applyBorder="1" applyAlignment="1">
      <alignment horizontal="left" vertical="center" wrapText="1" indent="2"/>
    </xf>
    <xf numFmtId="4" fontId="56" fillId="5" borderId="17" xfId="0" applyNumberFormat="1" applyFont="1" applyFill="1" applyBorder="1" applyAlignment="1">
      <alignment horizontal="left" vertical="center" wrapText="1" indent="2"/>
    </xf>
    <xf numFmtId="4" fontId="56" fillId="5" borderId="5" xfId="0" applyNumberFormat="1" applyFont="1" applyFill="1" applyBorder="1" applyAlignment="1">
      <alignment horizontal="left" vertical="center" wrapText="1" indent="2"/>
    </xf>
    <xf numFmtId="4" fontId="56" fillId="5" borderId="18" xfId="0" applyNumberFormat="1" applyFont="1" applyFill="1" applyBorder="1" applyAlignment="1">
      <alignment horizontal="left" vertical="center" wrapText="1" indent="2"/>
    </xf>
    <xf numFmtId="4" fontId="22" fillId="0" borderId="1" xfId="0" applyNumberFormat="1" applyFont="1" applyBorder="1" applyAlignment="1">
      <alignment horizontal="left" wrapText="1"/>
    </xf>
    <xf numFmtId="4" fontId="25" fillId="0" borderId="0" xfId="0" applyNumberFormat="1" applyFont="1" applyAlignment="1">
      <alignment horizontal="left" wrapText="1"/>
    </xf>
    <xf numFmtId="4" fontId="27" fillId="0" borderId="0" xfId="0" applyNumberFormat="1" applyFont="1" applyAlignment="1">
      <alignment horizontal="left" wrapText="1"/>
    </xf>
    <xf numFmtId="4" fontId="28" fillId="0" borderId="0" xfId="0" applyNumberFormat="1" applyFont="1" applyAlignment="1">
      <alignment horizontal="left" wrapText="1"/>
    </xf>
    <xf numFmtId="4" fontId="31" fillId="0" borderId="0" xfId="0" applyNumberFormat="1" applyFont="1" applyAlignment="1">
      <alignment horizontal="left" wrapText="1"/>
    </xf>
    <xf numFmtId="4" fontId="22" fillId="0" borderId="16" xfId="0" applyNumberFormat="1" applyFont="1" applyBorder="1" applyAlignment="1">
      <alignment horizontal="left" wrapText="1"/>
    </xf>
    <xf numFmtId="4" fontId="2" fillId="2" borderId="3" xfId="0" applyNumberFormat="1" applyFont="1" applyFill="1" applyBorder="1" applyAlignment="1">
      <alignment horizontal="center" vertical="center" textRotation="90"/>
    </xf>
    <xf numFmtId="4" fontId="35" fillId="0" borderId="0" xfId="0" applyNumberFormat="1" applyFont="1" applyAlignment="1">
      <alignment horizontal="left" wrapText="1"/>
    </xf>
    <xf numFmtId="4" fontId="36" fillId="0" borderId="0" xfId="0" applyNumberFormat="1" applyFont="1" applyAlignment="1">
      <alignment horizontal="left" wrapText="1"/>
    </xf>
    <xf numFmtId="4" fontId="37" fillId="0" borderId="0" xfId="0" applyNumberFormat="1" applyFont="1" applyAlignment="1">
      <alignment horizontal="left" wrapText="1"/>
    </xf>
    <xf numFmtId="4" fontId="38" fillId="0" borderId="0" xfId="0" applyNumberFormat="1" applyFont="1" applyAlignment="1">
      <alignment horizontal="left" wrapText="1"/>
    </xf>
    <xf numFmtId="4" fontId="32" fillId="0" borderId="0" xfId="0" applyNumberFormat="1" applyFont="1" applyAlignment="1">
      <alignment horizontal="left" wrapText="1"/>
    </xf>
    <xf numFmtId="4" fontId="33" fillId="0" borderId="0" xfId="0" applyNumberFormat="1" applyFont="1" applyAlignment="1">
      <alignment horizontal="left" wrapText="1"/>
    </xf>
    <xf numFmtId="4" fontId="34" fillId="0" borderId="0" xfId="0" applyNumberFormat="1" applyFont="1" applyAlignment="1">
      <alignment horizontal="left" wrapText="1"/>
    </xf>
    <xf numFmtId="4" fontId="2" fillId="2" borderId="1" xfId="0" applyNumberFormat="1" applyFont="1" applyFill="1" applyBorder="1" applyAlignment="1">
      <alignment horizontal="left" vertical="center"/>
    </xf>
    <xf numFmtId="4" fontId="2" fillId="2" borderId="0" xfId="0" applyNumberFormat="1" applyFont="1" applyFill="1" applyAlignment="1">
      <alignment horizontal="left" vertical="center"/>
    </xf>
    <xf numFmtId="4" fontId="2" fillId="2" borderId="2" xfId="0" applyNumberFormat="1" applyFont="1" applyFill="1" applyBorder="1" applyAlignment="1">
      <alignment horizontal="center" vertical="center"/>
    </xf>
    <xf numFmtId="4" fontId="0" fillId="2" borderId="3" xfId="0" applyNumberFormat="1" applyFill="1" applyBorder="1" applyAlignment="1">
      <alignment horizontal="left" vertical="top" wrapText="1"/>
    </xf>
    <xf numFmtId="4" fontId="0" fillId="2" borderId="4" xfId="0" applyNumberFormat="1" applyFill="1" applyBorder="1" applyAlignment="1">
      <alignment horizontal="left" vertical="top" wrapText="1"/>
    </xf>
    <xf numFmtId="4" fontId="0" fillId="2" borderId="5" xfId="0" applyNumberFormat="1" applyFill="1" applyBorder="1" applyAlignment="1">
      <alignment horizontal="left" vertical="top" wrapText="1"/>
    </xf>
    <xf numFmtId="4" fontId="41" fillId="0" borderId="0" xfId="0" applyNumberFormat="1" applyFont="1" applyAlignment="1">
      <alignment horizontal="left" wrapText="1"/>
    </xf>
    <xf numFmtId="4" fontId="42" fillId="0" borderId="0" xfId="0" applyNumberFormat="1" applyFont="1" applyAlignment="1">
      <alignment horizontal="left" wrapText="1"/>
    </xf>
    <xf numFmtId="4" fontId="43" fillId="0" borderId="0" xfId="0" applyNumberFormat="1" applyFont="1" applyAlignment="1">
      <alignment horizontal="left" wrapText="1"/>
    </xf>
    <xf numFmtId="4" fontId="39" fillId="0" borderId="0" xfId="0" applyNumberFormat="1" applyFont="1" applyAlignment="1">
      <alignment horizontal="left" wrapText="1"/>
    </xf>
    <xf numFmtId="4" fontId="40" fillId="0" borderId="0" xfId="0" applyNumberFormat="1" applyFont="1" applyAlignment="1">
      <alignment horizontal="left" wrapText="1"/>
    </xf>
    <xf numFmtId="4" fontId="2" fillId="5" borderId="5" xfId="0" applyNumberFormat="1" applyFont="1" applyFill="1" applyBorder="1" applyAlignment="1">
      <alignment horizontal="left" vertical="center" wrapText="1"/>
    </xf>
    <xf numFmtId="4" fontId="56" fillId="5" borderId="17" xfId="0" applyNumberFormat="1" applyFont="1" applyFill="1" applyBorder="1" applyAlignment="1">
      <alignment horizontal="left" vertical="center" wrapText="1"/>
    </xf>
    <xf numFmtId="4" fontId="56" fillId="5" borderId="5" xfId="0" applyNumberFormat="1" applyFont="1" applyFill="1" applyBorder="1" applyAlignment="1">
      <alignment horizontal="left" vertical="center" wrapText="1"/>
    </xf>
    <xf numFmtId="4" fontId="56" fillId="5" borderId="18" xfId="0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3" fillId="2" borderId="3" xfId="1" applyFill="1" applyBorder="1" applyAlignment="1">
      <alignment horizontal="left" vertical="top" wrapText="1"/>
    </xf>
    <xf numFmtId="0" fontId="3" fillId="2" borderId="4" xfId="1" applyFill="1" applyBorder="1" applyAlignment="1">
      <alignment horizontal="left" vertical="top" wrapText="1"/>
    </xf>
    <xf numFmtId="0" fontId="3" fillId="2" borderId="5" xfId="1" applyFill="1" applyBorder="1" applyAlignment="1">
      <alignment horizontal="left" vertical="top" wrapText="1"/>
    </xf>
    <xf numFmtId="0" fontId="4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0" fontId="2" fillId="2" borderId="1" xfId="2" applyFont="1" applyFill="1" applyBorder="1" applyAlignment="1">
      <alignment horizontal="left" vertical="center"/>
    </xf>
    <xf numFmtId="0" fontId="2" fillId="2" borderId="0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1" fillId="2" borderId="3" xfId="2" applyFill="1" applyBorder="1" applyAlignment="1">
      <alignment horizontal="left" vertical="top" wrapText="1"/>
    </xf>
    <xf numFmtId="0" fontId="1" fillId="2" borderId="5" xfId="2" applyFill="1" applyBorder="1" applyAlignment="1">
      <alignment horizontal="left" vertical="top" wrapText="1"/>
    </xf>
    <xf numFmtId="0" fontId="1" fillId="2" borderId="4" xfId="2" applyFill="1" applyBorder="1" applyAlignment="1">
      <alignment horizontal="left" vertical="top" wrapText="1"/>
    </xf>
    <xf numFmtId="0" fontId="11" fillId="0" borderId="1" xfId="2" applyFont="1" applyBorder="1" applyAlignment="1">
      <alignment horizontal="left" wrapText="1"/>
    </xf>
    <xf numFmtId="0" fontId="13" fillId="0" borderId="1" xfId="2" applyFont="1" applyBorder="1" applyAlignment="1">
      <alignment horizontal="left" wrapText="1"/>
    </xf>
    <xf numFmtId="0" fontId="2" fillId="2" borderId="1" xfId="4" applyNumberFormat="1" applyFont="1" applyFill="1" applyBorder="1" applyAlignment="1">
      <alignment horizontal="left" vertical="center"/>
    </xf>
    <xf numFmtId="0" fontId="2" fillId="2" borderId="0" xfId="4" applyNumberFormat="1" applyFont="1" applyFill="1" applyBorder="1" applyAlignment="1">
      <alignment horizontal="left" vertical="center"/>
    </xf>
    <xf numFmtId="0" fontId="2" fillId="2" borderId="3" xfId="4" applyNumberFormat="1" applyFont="1" applyFill="1" applyBorder="1" applyAlignment="1">
      <alignment horizontal="center" vertical="center"/>
    </xf>
    <xf numFmtId="0" fontId="2" fillId="2" borderId="5" xfId="4" applyNumberFormat="1" applyFont="1" applyFill="1" applyBorder="1" applyAlignment="1">
      <alignment horizontal="center" vertical="center"/>
    </xf>
    <xf numFmtId="0" fontId="2" fillId="2" borderId="4" xfId="4" applyNumberFormat="1" applyFont="1" applyFill="1" applyBorder="1" applyAlignment="1">
      <alignment horizontal="center" vertical="center"/>
    </xf>
    <xf numFmtId="0" fontId="0" fillId="2" borderId="3" xfId="4" applyNumberFormat="1" applyFont="1" applyFill="1" applyBorder="1" applyAlignment="1">
      <alignment horizontal="left" vertical="top" wrapText="1"/>
    </xf>
    <xf numFmtId="0" fontId="0" fillId="2" borderId="4" xfId="4" applyNumberFormat="1" applyFont="1" applyFill="1" applyBorder="1" applyAlignment="1">
      <alignment horizontal="left" vertical="top" wrapText="1"/>
    </xf>
    <xf numFmtId="0" fontId="0" fillId="2" borderId="5" xfId="4" applyNumberFormat="1" applyFont="1" applyFill="1" applyBorder="1" applyAlignment="1">
      <alignment horizontal="left" vertical="top" wrapText="1"/>
    </xf>
    <xf numFmtId="0" fontId="10" fillId="0" borderId="1" xfId="1" applyFont="1" applyBorder="1" applyAlignment="1">
      <alignment horizontal="left" wrapText="1"/>
    </xf>
    <xf numFmtId="0" fontId="16" fillId="0" borderId="1" xfId="1" applyFont="1" applyBorder="1" applyAlignment="1">
      <alignment horizontal="left" wrapText="1"/>
    </xf>
    <xf numFmtId="0" fontId="18" fillId="0" borderId="1" xfId="2" applyFont="1" applyBorder="1" applyAlignment="1">
      <alignment horizontal="left" wrapText="1"/>
    </xf>
    <xf numFmtId="0" fontId="22" fillId="0" borderId="1" xfId="1" applyFont="1" applyBorder="1" applyAlignment="1">
      <alignment horizontal="left" wrapText="1"/>
    </xf>
    <xf numFmtId="0" fontId="25" fillId="0" borderId="1" xfId="2" applyFont="1" applyBorder="1" applyAlignment="1">
      <alignment horizontal="left" wrapText="1"/>
    </xf>
    <xf numFmtId="0" fontId="27" fillId="0" borderId="1" xfId="2" applyFont="1" applyBorder="1" applyAlignment="1">
      <alignment horizontal="left" wrapText="1"/>
    </xf>
    <xf numFmtId="0" fontId="28" fillId="0" borderId="0" xfId="2" applyFont="1" applyAlignment="1">
      <alignment horizontal="left" wrapText="1"/>
    </xf>
  </cellXfs>
  <cellStyles count="5">
    <cellStyle name="Normal" xfId="0" builtinId="0"/>
    <cellStyle name="Normal 2" xfId="1" xr:uid="{3F90CC7C-FCDD-4618-9D22-AE5D7934C406}"/>
    <cellStyle name="Normal 2 2" xfId="2" xr:uid="{84E10DF3-CB82-437A-B5EE-E317B6BE8198}"/>
    <cellStyle name="Percent 2" xfId="3" xr:uid="{F8CA18DD-0191-41A4-9145-A1148D0F4E99}"/>
    <cellStyle name="Percent 3" xfId="4" xr:uid="{7D46E08D-F9D6-4858-BE90-298BC138E8E1}"/>
  </cellStyles>
  <dxfs count="548"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  <dxf>
      <fill>
        <patternFill>
          <fgColor indexed="64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35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38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customXml" Target="../customXml/item1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CONS_Portugal\Ano2006\12_Dezembro\Movimento%20impostos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bs\Caixa%20Geral%20de%20Depositos\Auditoria\CGD_Dez2002\Relatorio\ZIP-12-02\Pontos-12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ztorresxp2\AS2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rolo%20Financeiro\SRS\SRS1\Risco%20SR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011003\Local%20Settings\Temporary%20Internet%20Files\OLKDC\SRS%20Comite%20Ris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mluz\LOCALS~1\Temp\5313%20An&#225;lise%20de%20cr&#233;di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%205140%20An&#225;lise%20das%20reconcilia&#231;&#245;es%20banc&#225;rias%20a%2031-10-200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1%20An&#225;lise%20das%20Provis&#245;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Grupo%20Cgd\CGD\Projecto%20IAS\Reunioes%20acompanhamento\Reuniao%20Steering%2016_05_2005\19_05_2005\A-GLOBAL_Dezembro_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lupinto\Local%20Settings\Temporary%20Internet%20Files\OLK4\Provisoes%20-%20CPP%20Dez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aixaCapital\Contabilidade\Reporte%20Empresas%20Grupo\2002\Cx.%20Desenvolvimento\Cdesenv-08%20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2B%20#5890401 - Processos fiscais pendente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11%20Teste%20aos%20Gastos%20Gerais%20Administrativo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5221%20Carteira%20de%20Titulos%20_%2031.12.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2%20-%20Taxa%20de%20Juro\CGD\5140%20An&#225;lise%20das%20Reconcilia&#231;&#245;es%20Banc&#225;rias%20a%2030-06-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%20An&#225;lise%20das%20Reconcilia&#231;&#245;es%20Banc&#225;rias%20a%2031-12-2006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~1\mluz\LOCALS~1\Temp\5313%20An&#225;lise%20de%20cr&#233;di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sequeira\Desktop\carteira%20de%20titulos\Movimento%20Carteir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1%20Detalhe%20da%20Carteir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0%20%20Movimento%20na%20Situa&#231;&#227;o%20Liquida%20a%2031-12-2005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mmelancia\Desktop\Juros%20a%20receber\5520%20An&#225;lise%20da%20Carteira%20Pr&#243;pria%20de%20T&#237;tulos%20a%2031-12-2004_BS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Nota%2010%20_2004_MM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31%20Resumo%20Securitiza&#231;&#227;o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&#227;o%20Calado\Trabalho\Audit\2009\Revis&#227;o%20limitada%20a%20Junho\Repos\6511%20Detalhe%20das%20Opera&#231;&#245;es%20com%20acordo%20de%20recompra%20Abril%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1%20Envolvimento%20global%20Dezembro%20200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6%20Detalhe%20Outros%20devedores%20-%20vivo,%20vencido%20e%20provis&#245;es%20associada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Detalhe%20das%20opera&#231;&#245;es%20de%20venda%20com%20acordo%20de%20recompr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21%20Movimento%20Impostos%20Diferidos%2031.12.201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Envolvimento%20global%20-%20participad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%20Teste_consolidacao%201205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55%20Ficheiros%20Arremata&#231;&#245;es%20-%20PBC's%20(Dr.%20Amarante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J-CA-MA-CT_jun06"/>
      <sheetName val="Impostos correntes_2006"/>
      <sheetName val="NJ-CA-MA-CT_dez05"/>
      <sheetName val="Impostos correntes_2006_EUR"/>
      <sheetName val="Impostos correntes_2006_USD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BS_4"/>
      <sheetName val="T-14"/>
      <sheetName val="Folha2"/>
      <sheetName val="CC_SNC"/>
      <sheetName val="BD - Oport"/>
      <sheetName val="WIB"/>
      <sheetName val="Índice WP"/>
      <sheetName val="BD_-_Oport"/>
      <sheetName val="Suporte"/>
      <sheetName val="Definitions"/>
      <sheetName val="APOIO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to 8 "/>
      <sheetName val="PONTO 1.1 1ª PARTE"/>
      <sheetName val="PONTO 1.1 2ª PARTE"/>
      <sheetName val="PONTO 5"/>
      <sheetName val="PONTO 6"/>
      <sheetName val="ponto 6 - 2ª Parte"/>
      <sheetName val="PONTO 7 CGD"/>
      <sheetName val="PONTO 7 CONSOL"/>
      <sheetName val="PONTO 7 PARTE 2"/>
      <sheetName val="Ponto 10"/>
      <sheetName val="PONTO 11-CGD"/>
      <sheetName val="PONTO 11-CONSOLIDADO"/>
      <sheetName val="PONTO 12-CGD"/>
      <sheetName val="PONTO 12-CONSOLIDADO"/>
      <sheetName val="Ponto 17 - 1"/>
      <sheetName val="POnto 17 - 2"/>
      <sheetName val="PONTO 20-CGD"/>
      <sheetName val="PONTO 20-CONSOLIDADO"/>
      <sheetName val="PONTO 21"/>
      <sheetName val="PONTO 23"/>
      <sheetName val="NOTA 24a)"/>
      <sheetName val="NOTA 24b)"/>
      <sheetName val="PONTO 25-CGD"/>
      <sheetName val="PONTO 25-CONSOLIDADO"/>
      <sheetName val="PONTO 29"/>
      <sheetName val="PONTO 29 - 2"/>
      <sheetName val="Ponto 35 - 2002"/>
      <sheetName val="Ponto 35 - 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1"/>
      <sheetName val="Resumo"/>
      <sheetName val="BSCH"/>
      <sheetName val="NATL WEST"/>
      <sheetName val="CSGD"/>
      <sheetName val="BBVSM"/>
      <sheetName val="Curva_Euribor"/>
      <sheetName val="Sheet1"/>
      <sheetName val="Sheet2"/>
      <sheetName val="Fluxo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ites"/>
      <sheetName val="Comite Riscos SRS"/>
      <sheetName val="Comite Riscos PPR"/>
      <sheetName val="Comite Riscos Genesis"/>
      <sheetName val="Ultimo SRS"/>
      <sheetName val="Ultimo PPR"/>
      <sheetName val="Controle SRS"/>
      <sheetName val="SwapUSD"/>
      <sheetName val="SwapEUR"/>
      <sheetName val="Dados"/>
      <sheetName val="ING_2011"/>
      <sheetName val="PTC_2006"/>
      <sheetName val="RBOS_2010"/>
      <sheetName val="ABN_2010"/>
      <sheetName val="BSCH_2009"/>
      <sheetName val="BSCH"/>
      <sheetName val="UNIC_2011"/>
      <sheetName val="CSGD"/>
      <sheetName val="BBVSM"/>
      <sheetName val="BKIR_FIX"/>
      <sheetName val="PTELC"/>
      <sheetName val="HYPO"/>
      <sheetName val="TELEF0407"/>
      <sheetName val="IRPER"/>
      <sheetName val="TELSTRA"/>
      <sheetName val="CREDITOCX"/>
      <sheetName val="SUEZ"/>
      <sheetName val="OAT_2016"/>
      <sheetName val="BTPS_2023"/>
      <sheetName val="BTPS_2003"/>
      <sheetName val="BTPS_2011"/>
      <sheetName val="BTPS_2014"/>
      <sheetName val="BTPS_20141"/>
      <sheetName val="BTPS_2018"/>
      <sheetName val="BTPS_2031"/>
      <sheetName val="DBR_2005"/>
      <sheetName val="OT_2005"/>
      <sheetName val="HELLEN_2006"/>
      <sheetName val="OAT_2011"/>
      <sheetName val="ICO_05"/>
      <sheetName val="OT_2007"/>
      <sheetName val="EURODM_11"/>
      <sheetName val="LYNCH_03"/>
      <sheetName val="ENDESA_15"/>
      <sheetName val="TELEF_05"/>
      <sheetName val="HOUSE_09"/>
      <sheetName val="EAUX_09"/>
      <sheetName val="SEARS_11"/>
      <sheetName val="DAIMLER_11"/>
      <sheetName val="GOBAIN_06"/>
      <sheetName val="DOMOS_12"/>
      <sheetName val="CIBA_05"/>
      <sheetName val="BGB_09"/>
      <sheetName val="OT_2003"/>
      <sheetName val="MBIA_25"/>
      <sheetName val="NATION_06"/>
      <sheetName val="BREMER_06"/>
      <sheetName val="OT_02_2005"/>
      <sheetName val="COUNTRY_06"/>
      <sheetName val="LAND_08"/>
      <sheetName val="FORTIS_09"/>
      <sheetName val="Immob_12"/>
      <sheetName val="NL_2004"/>
      <sheetName val="SPGB_17"/>
      <sheetName val="DBR_2003"/>
      <sheetName val="DBR_2024"/>
      <sheetName val="CITI09"/>
      <sheetName val="SANP_10"/>
      <sheetName val="Lloyds_10"/>
      <sheetName val="Abbey_11"/>
      <sheetName val="DeutPB_11"/>
      <sheetName val="DeutBk_09"/>
      <sheetName val="DeutPB_12"/>
      <sheetName val="ING_2010"/>
      <sheetName val="RBOS_2012"/>
      <sheetName val="BNP_2012"/>
      <sheetName val="EDP_2011"/>
      <sheetName val="SGEN_12"/>
      <sheetName val="HYPESS_07"/>
      <sheetName val="GAZDF_13"/>
      <sheetName val="TELEF_13"/>
      <sheetName val="ABBEY_09"/>
      <sheetName val="DeutBk_13"/>
      <sheetName val="HSBC_12"/>
      <sheetName val="BARC_11"/>
      <sheetName val="MORGAN_10"/>
      <sheetName val="NATL_11"/>
      <sheetName val="BARC_11_2"/>
      <sheetName val="BSCH_2012"/>
      <sheetName val="BSCH_062008"/>
      <sheetName val="BSCH_2010"/>
      <sheetName val="BSCH_122010"/>
      <sheetName val="Immob_11"/>
      <sheetName val="Caja_2012"/>
      <sheetName val="MORGAN_09"/>
      <sheetName val="BSCH_2011"/>
      <sheetName val="BTPS_2007"/>
      <sheetName val="BUNDE_2003"/>
      <sheetName val="BNP_2013"/>
      <sheetName val="RBS_2013"/>
      <sheetName val="CAMFER_2013"/>
      <sheetName val="EIRLES_2011"/>
      <sheetName val="HELLEN_2013"/>
      <sheetName val="OT_2009"/>
      <sheetName val="ING_2012"/>
      <sheetName val="BTPS_2010"/>
      <sheetName val="BTPS_0704"/>
      <sheetName val="BNP_0913"/>
      <sheetName val="MER_2013"/>
      <sheetName val="LLOYDS_2014"/>
      <sheetName val="FRANCE_2012"/>
      <sheetName val="BTPS_2008"/>
      <sheetName val="CITI_2013"/>
      <sheetName val="BUND_2005"/>
      <sheetName val="GS_2014"/>
      <sheetName val="FRTR_2010"/>
      <sheetName val="OT_2004"/>
      <sheetName val="SPGB_2004"/>
      <sheetName val="CRDIT_2012"/>
      <sheetName val="BCA_2014"/>
      <sheetName val="BNP_12"/>
      <sheetName val="FRTR_2019"/>
      <sheetName val="BNP_0512"/>
      <sheetName val="FRTR_07"/>
      <sheetName val="SPAOLO_12"/>
      <sheetName val="RBS_2015"/>
      <sheetName val="LBBER_2014"/>
      <sheetName val="DBR_2014"/>
      <sheetName val="BKINTER"/>
      <sheetName val="ING_2013"/>
      <sheetName val="GS_2013"/>
      <sheetName val="BARCLAYS_2013"/>
      <sheetName val="BKO_04"/>
      <sheetName val="CITI_14"/>
      <sheetName val="FRTR_2026"/>
      <sheetName val="BTPS_09"/>
      <sheetName val="OLOS_09"/>
      <sheetName val="BTPS_0814"/>
      <sheetName val="OLOR_14"/>
      <sheetName val="DEPFA_09"/>
      <sheetName val="DEPFA_15"/>
      <sheetName val="CAJA_2014"/>
      <sheetName val="BBVSM_14"/>
      <sheetName val="CAJA_09"/>
      <sheetName val="CFF_09"/>
      <sheetName val="FRTRS_14"/>
      <sheetName val="BTPS_2005"/>
      <sheetName val="EIRLES_2009"/>
      <sheetName val="BTPS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ção"/>
      <sheetName val="Resum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Memo"/>
      <sheetName val="Movimento"/>
      <sheetName val="Notas"/>
      <sheetName val="Resumo"/>
      <sheetName val="Análise de Variações"/>
      <sheetName val="Aplicação do Resultado"/>
      <sheetName val="Mov.Sit.Líq."/>
      <sheetName val=""/>
      <sheetName val="Worksheet in 7110 Movimento da "/>
      <sheetName val="Dez.06"/>
      <sheetName val="Nov.06"/>
      <sheetName val="Out.06"/>
      <sheetName val="Mov. Situação Líq."/>
      <sheetName val="Base Fiscal"/>
      <sheetName val="CSC"/>
      <sheetName val="Rates"/>
    </sheetNames>
    <sheetDataSet>
      <sheetData sheetId="0"/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reconciliações"/>
      <sheetName val="Resumo"/>
      <sheetName val="Mapa Aging Outubro"/>
      <sheetName val="Mapa Montantes Outubro"/>
      <sheetName val="Análise open itens Outubro"/>
      <sheetName val="Selecção_Outubro"/>
      <sheetName val="BPC COLATERAL EUR OUT."/>
      <sheetName val="BPC COLATERAL USD OUT."/>
      <sheetName val="PBC Reconciliações"/>
      <sheetName val="PBC Selecção Outubro"/>
      <sheetName val="RD e RC"/>
      <sheetName val="cambios"/>
      <sheetName val="XREF"/>
      <sheetName val="Tickmarks"/>
      <sheetName val="BALANCETE"/>
    </sheetNames>
    <sheetDataSet>
      <sheetData sheetId="0" refreshError="1">
        <row r="15">
          <cell r="I15">
            <v>0</v>
          </cell>
        </row>
        <row r="122">
          <cell r="P122">
            <v>0</v>
          </cell>
        </row>
        <row r="130">
          <cell r="P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Análise"/>
      <sheetName val="Notas"/>
      <sheetName val="XREF"/>
      <sheetName val="Resumo"/>
      <sheetName val="Análise Provisões"/>
      <sheetName val="Notas Dezembro"/>
      <sheetName val="&gt;&gt;&gt;PBE&gt;&gt;&gt;"/>
      <sheetName val="Stock Provisoes"/>
      <sheetName val="Evolutivo_mês"/>
      <sheetName val="Suprimentos"/>
      <sheetName val="Notas Dezembro work"/>
      <sheetName val="Const_EvolMês"/>
      <sheetName val="Rep_EvolMês"/>
      <sheetName val="#REF"/>
      <sheetName val="Stock Provisões"/>
      <sheetName val="Utilizações 2012"/>
      <sheetName val="Notas Setembro"/>
      <sheetName val="Notas Setembro 11"/>
      <sheetName val="Stock Evolutivo"/>
      <sheetName val="Notas Mar 10"/>
      <sheetName val="Sheet1"/>
      <sheetName val="Notas Dez 09"/>
      <sheetName val="PBC's 2009 &gt;&gt;&gt;"/>
      <sheetName val="Tickmarks"/>
      <sheetName val="Notas Junho 11"/>
      <sheetName val="Nota 11."/>
      <sheetName val="Utilizações"/>
      <sheetName val="Stock Provisoes Evolutivo"/>
      <sheetName val="Dezembro 2009"/>
      <sheetName val="Notas Junh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Objectivo"/>
      <sheetName val="PESSOAL 1999"/>
      <sheetName val="T-42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  <sheetName val="Module1"/>
      <sheetName val="BP_Parte_II"/>
      <sheetName val="cr_consumo"/>
      <sheetName val="Impostos diferidos "/>
      <sheetName val="Síntese"/>
      <sheetName val="Contro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- Dez 2004"/>
      <sheetName val="Movimento 04"/>
      <sheetName val="Impos. Dif. 04"/>
      <sheetName val="ACE's 04"/>
      <sheetName val="CPP - Jun 2004"/>
      <sheetName val="CPP - Dez 2003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"/>
      <sheetName val="Bal"/>
      <sheetName val="Bal(2)"/>
      <sheetName val="DR"/>
      <sheetName val="Env"/>
      <sheetName val="Dev"/>
      <sheetName val="Provisões"/>
      <sheetName val="Explm"/>
      <sheetName val="Acum"/>
      <sheetName val="Razão"/>
      <sheetName val="Blte"/>
      <sheetName val="base"/>
      <sheetName val="Subt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#5890401"/>
      <sheetName val="XREF"/>
      <sheetName val="Tickmarks"/>
      <sheetName val="Carteira 20"/>
      <sheetName val="BVObr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Teste"/>
      <sheetName val="Notas"/>
      <sheetName val="Variações"/>
      <sheetName val="Pedidos"/>
      <sheetName val="7133 Variação"/>
      <sheetName val="Selecção"/>
      <sheetName val="74001"/>
      <sheetName val="7413122"/>
      <sheetName val="7413123"/>
      <sheetName val="7413129"/>
      <sheetName val="741511"/>
      <sheetName val="74151020"/>
      <sheetName val="74151021"/>
      <sheetName val="741900"/>
      <sheetName val="7419051"/>
      <sheetName val="74190903"/>
      <sheetName val="XREF"/>
      <sheetName val="Pedidos Setembro"/>
      <sheetName val="Tickmarks"/>
      <sheetName val="Variações (NCA) Dez 08"/>
      <sheetName val="7419054"/>
      <sheetName val="7419052"/>
      <sheetName val="Tie In"/>
      <sheetName val="Análise Dez"/>
      <sheetName val="7415"/>
      <sheetName val="Pedidos Dez"/>
      <sheetName val="7413"/>
      <sheetName val="7419000"/>
      <sheetName val="74160"/>
      <sheetName val="74162"/>
      <sheetName val="7413190"/>
      <sheetName val="74190900"/>
      <sheetName val="Olga"/>
      <sheetName val="Lixo"/>
      <sheetName val="Variações (NCA) Dez 09"/>
      <sheetName val="Pedidos-Cobertura"/>
      <sheetName val="7413120"/>
      <sheetName val="7413121"/>
      <sheetName val="7413125"/>
      <sheetName val="74131299"/>
      <sheetName val="741500"/>
      <sheetName val="741501"/>
      <sheetName val="741510200"/>
      <sheetName val="741510210"/>
      <sheetName val="74151023"/>
      <sheetName val="7419051-5"/>
      <sheetName val="7419097"/>
      <sheetName val="Câmbios"/>
      <sheetName val="Memo"/>
      <sheetName val="Gastos Gerais"/>
      <sheetName val="Sheet1"/>
      <sheetName val="OTHER"/>
      <sheetName val="DNK"/>
      <sheetName val="UK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1"/>
      <sheetName val="Carteira 20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Mapa Aging JUN 2006"/>
      <sheetName val="Mapa Montantes JUN 2006"/>
      <sheetName val="XREF"/>
      <sheetName val="Resumo reconciliações"/>
      <sheetName val="PBC Dif_Corresp"/>
      <sheetName val="PBC Dif_Corresp (2)_Wafabank"/>
      <sheetName val="PBC Mov-JUN (versao 1)"/>
      <sheetName val="PBC Mov-JUN (versao 2)"/>
      <sheetName val="PBC Selecção_Junho (versao 2)"/>
      <sheetName val="Selecção_Junho (versao 2)"/>
      <sheetName val="Análise open itens JUN 2006"/>
      <sheetName val="PBC COLATERAL USD JUN 2006"/>
      <sheetName val="PBC COLATERAL EUR JUN 2006"/>
      <sheetName val="cambios"/>
      <sheetName val="Contacto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Resumo Reconciliações"/>
      <sheetName val="Análise open itens"/>
      <sheetName val="Selecção Open Itens"/>
      <sheetName val="MAPA Aging"/>
      <sheetName val="MAPA Montantes"/>
      <sheetName val="PBC Tratado_Saldos"/>
      <sheetName val="PBC Tratado_detalhe itens"/>
      <sheetName val="Fixing 311206_BoP"/>
      <sheetName val="Contacto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Selecçã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"/>
      <sheetName val="Notas"/>
      <sheetName val="Amortizações Capital"/>
      <sheetName val="Prémio ou Desconto"/>
    </sheetNames>
    <sheetDataSet>
      <sheetData sheetId="0">
        <row r="33">
          <cell r="AF33">
            <v>0</v>
          </cell>
        </row>
        <row r="180">
          <cell r="AP180">
            <v>16801046.25</v>
          </cell>
        </row>
        <row r="258">
          <cell r="BE258">
            <v>199379351</v>
          </cell>
        </row>
        <row r="284">
          <cell r="AX284">
            <v>0</v>
          </cell>
          <cell r="BE284">
            <v>15559519.40999959</v>
          </cell>
        </row>
        <row r="328">
          <cell r="AP328">
            <v>1205840.5</v>
          </cell>
          <cell r="AT328">
            <v>0</v>
          </cell>
          <cell r="AX328">
            <v>0</v>
          </cell>
          <cell r="BB328">
            <v>745676.44</v>
          </cell>
        </row>
        <row r="334">
          <cell r="AP334">
            <v>1016290.8584686776</v>
          </cell>
          <cell r="AT334">
            <v>0</v>
          </cell>
          <cell r="AX334">
            <v>328708.39907192579</v>
          </cell>
          <cell r="BB334">
            <v>0</v>
          </cell>
          <cell r="BE334">
            <v>1381321.7156473394</v>
          </cell>
        </row>
        <row r="354">
          <cell r="AP354">
            <v>151153129.32999998</v>
          </cell>
          <cell r="AT354">
            <v>0</v>
          </cell>
          <cell r="AX354">
            <v>0</v>
          </cell>
          <cell r="BB354">
            <v>0</v>
          </cell>
          <cell r="BE354">
            <v>151153129.32999998</v>
          </cell>
        </row>
        <row r="369">
          <cell r="AP369">
            <v>455384494.36477232</v>
          </cell>
          <cell r="AT369">
            <v>0</v>
          </cell>
          <cell r="AX369">
            <v>0</v>
          </cell>
          <cell r="BB369">
            <v>0</v>
          </cell>
          <cell r="BE369">
            <v>455384494.36477232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Detalhe"/>
      <sheetName val="XREF"/>
      <sheetName val="PBE&gt;&gt;"/>
      <sheetName val="NCA_Glob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ovimento"/>
      <sheetName val="Nota10B_2004"/>
      <sheetName val="Resu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Inventário"/>
      <sheetName val="Euribor"/>
      <sheetName val="PBC"/>
      <sheetName val="PBC Mensualizações #25"/>
      <sheetName val="PBC Mensualizações #26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lassificação do Crédito"/>
      <sheetName val="XREF"/>
      <sheetName val="Memo"/>
      <sheetName val="Anexo 1"/>
      <sheetName val="Análise Imparidade"/>
      <sheetName val="suporte anexo"/>
      <sheetName val="Reclassificação Crédito Hipot."/>
      <sheetName val="Reclassificação Crédito Outr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Memo"/>
      <sheetName val="Pedidos"/>
      <sheetName val="Resumo"/>
      <sheetName val="Repos_Vivos_BC PBC"/>
      <sheetName val="Tickmarks"/>
      <sheetName val="Reclassificação PPN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Participacoes-311204"/>
      <sheetName val="VariacoesOutubro"/>
      <sheetName val="BaseCx Capital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Resumo"/>
      <sheetName val="Suporte_CV"/>
      <sheetName val="Mapas-Crédito"/>
      <sheetName val="Provisões"/>
      <sheetName val="Tickmarks"/>
      <sheetName val="Cred_Vivo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XREF"/>
      <sheetName val="Memo"/>
      <sheetName val="Repos_Vivos_BC"/>
      <sheetName val="Pedidos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ento 2006 IAS - Reconc."/>
      <sheetName val="Resumo"/>
      <sheetName val="Controlo"/>
      <sheetName val="Dezembro 2010 NCA"/>
      <sheetName val="Notas"/>
      <sheetName val="P. Antiguidade"/>
      <sheetName val="Provisões Dez 2010"/>
      <sheetName val="OT Setembro 2013"/>
      <sheetName val="Coberturas"/>
      <sheetName val="Negociação"/>
      <sheetName val="Ref. ant. e reav."/>
      <sheetName val="ID activo n reconh NCA"/>
      <sheetName val="ID activo n reconh IAS"/>
      <sheetName val="Subsidio Morte e Alter. Tabela"/>
      <sheetName val="FP - Sucursal Londres"/>
      <sheetName val="Imposto BPI"/>
      <sheetName val="PBE &gt;&gt;&gt;"/>
      <sheetName val="Movimento imp_dif"/>
      <sheetName val="XREF"/>
      <sheetName val="#RE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14">
          <cell r="W14">
            <v>6776878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>
        <row r="12">
          <cell r="AB12">
            <v>3815413</v>
          </cell>
        </row>
      </sheetData>
      <sheetData sheetId="18">
        <row r="5">
          <cell r="E5" t="str">
            <v>!</v>
          </cell>
        </row>
      </sheetData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oes-31.10.03"/>
      <sheetName val="XREF"/>
      <sheetName val="Participacoes-31.12.03"/>
      <sheetName val="pbc_bal"/>
      <sheetName val="Mapa Resumo-31.12.03"/>
      <sheetName val="Mapa Resumo"/>
      <sheetName val="CGD Blct"/>
      <sheetName val="Blte-31.12.03"/>
      <sheetName val="#REF"/>
      <sheetName val="Trabalhado-31.12.03"/>
      <sheetName val="participacoes"/>
      <sheetName val="Com Blct"/>
      <sheetName val="BLCT Comércio"/>
      <sheetName val="Resumo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Versao_Final"/>
      <sheetName val="CONS_Mov_CP"/>
      <sheetName val="GPP"/>
      <sheetName val="CBI_Mov_CP"/>
      <sheetName val="Cxc_Mov_CP"/>
      <sheetName val="BIS_Mov_CP"/>
      <sheetName val="CxC_Participadas"/>
      <sheetName val="BIS_Participadas"/>
      <sheetName val="MSL_Junho2005"/>
      <sheetName val="AVAL CXC"/>
      <sheetName val="Just_contas finais"/>
      <sheetName val="Dez05"/>
      <sheetName val="XREF"/>
      <sheetName val="Versao_Fin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 274095"/>
      <sheetName val="Resumo Executado"/>
      <sheetName val="Seleccao"/>
      <sheetName val="Seleccao Dr Amarante"/>
      <sheetName val="Seleccao Adicional"/>
      <sheetName val="# 27499 e # 274195"/>
      <sheetName val="Sheet3"/>
      <sheetName val="# 27009931"/>
      <sheetName val="Sheet6"/>
      <sheetName val="Data Aval CPCV"/>
      <sheetName val="Tipo de Bem"/>
      <sheetName val="XREF"/>
      <sheetName val="Tickmarks"/>
      <sheetName val="Notas"/>
    </sheetNames>
    <sheetDataSet>
      <sheetData sheetId="0" refreshError="1">
        <row r="2662">
          <cell r="G2662" t="str">
            <v>!</v>
          </cell>
        </row>
        <row r="2680">
          <cell r="G2680" t="str">
            <v>!</v>
          </cell>
          <cell r="I2680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3EDC-D091-4AFD-970F-E6E100948D1A}">
  <sheetPr codeName="Sheet11"/>
  <dimension ref="A1:AF76"/>
  <sheetViews>
    <sheetView showGridLines="0" topLeftCell="B4" zoomScale="73" zoomScaleNormal="73" workbookViewId="0">
      <selection activeCell="L16" sqref="L16"/>
    </sheetView>
  </sheetViews>
  <sheetFormatPr defaultRowHeight="15" outlineLevelRow="2" x14ac:dyDescent="0.25"/>
  <cols>
    <col min="1" max="1" width="5.5703125" style="86" customWidth="1"/>
    <col min="2" max="2" width="41.28515625" style="86" customWidth="1"/>
    <col min="3" max="3" width="6.28515625" style="86" customWidth="1"/>
    <col min="4" max="15" width="20.5703125" style="86" customWidth="1"/>
    <col min="16" max="16" width="20.85546875" style="85" customWidth="1"/>
    <col min="17" max="17" width="22.7109375" style="85" customWidth="1"/>
    <col min="18" max="18" width="16.85546875" style="85" customWidth="1"/>
    <col min="19" max="19" width="16.140625" style="85" customWidth="1"/>
    <col min="20" max="20" width="18.28515625" style="85" customWidth="1"/>
    <col min="21" max="23" width="25.5703125" style="85" customWidth="1"/>
    <col min="24" max="24" width="19.5703125" style="85" bestFit="1" customWidth="1"/>
    <col min="25" max="26" width="25.5703125" style="85" customWidth="1"/>
    <col min="27" max="27" width="18.140625" style="85" bestFit="1" customWidth="1"/>
    <col min="28" max="29" width="25.5703125" style="85" customWidth="1"/>
    <col min="30" max="30" width="25.28515625" style="85" bestFit="1" customWidth="1"/>
    <col min="31" max="31" width="20.5703125" style="85" bestFit="1" customWidth="1"/>
    <col min="32" max="32" width="25.5703125" style="85" customWidth="1"/>
    <col min="33" max="16384" width="9.140625" style="86"/>
  </cols>
  <sheetData>
    <row r="1" spans="1:32" x14ac:dyDescent="0.25">
      <c r="A1" s="183" t="s">
        <v>1764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</row>
    <row r="2" spans="1:32" hidden="1" x14ac:dyDescent="0.25"/>
    <row r="3" spans="1:32" hidden="1" x14ac:dyDescent="0.25"/>
    <row r="4" spans="1:32" x14ac:dyDescent="0.25">
      <c r="D4" s="185" t="s">
        <v>1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32" ht="53.25" customHeight="1" x14ac:dyDescent="0.25">
      <c r="D5" s="87" t="s">
        <v>1765</v>
      </c>
      <c r="E5" s="87" t="s">
        <v>1766</v>
      </c>
      <c r="F5" s="87" t="s">
        <v>1767</v>
      </c>
      <c r="G5" s="87" t="s">
        <v>1768</v>
      </c>
      <c r="H5" s="186" t="s">
        <v>1769</v>
      </c>
      <c r="I5" s="187"/>
      <c r="J5" s="87" t="s">
        <v>1770</v>
      </c>
      <c r="K5" s="87" t="s">
        <v>1771</v>
      </c>
      <c r="L5" s="87" t="s">
        <v>1772</v>
      </c>
      <c r="M5" s="186" t="s">
        <v>1773</v>
      </c>
      <c r="N5" s="188"/>
      <c r="O5" s="187"/>
    </row>
    <row r="6" spans="1:32" ht="34.5" customHeight="1" x14ac:dyDescent="0.25">
      <c r="D6" s="88" t="s">
        <v>1774</v>
      </c>
      <c r="E6" s="88" t="s">
        <v>1774</v>
      </c>
      <c r="F6" s="88" t="s">
        <v>1774</v>
      </c>
      <c r="G6" s="88" t="s">
        <v>1774</v>
      </c>
      <c r="H6" s="88" t="s">
        <v>1774</v>
      </c>
      <c r="I6" s="87" t="s">
        <v>1775</v>
      </c>
      <c r="J6" s="88" t="s">
        <v>1774</v>
      </c>
      <c r="K6" s="88" t="s">
        <v>1774</v>
      </c>
      <c r="L6" s="88" t="s">
        <v>1774</v>
      </c>
      <c r="M6" s="88" t="s">
        <v>1774</v>
      </c>
      <c r="N6" s="87" t="s">
        <v>1776</v>
      </c>
      <c r="O6" s="87" t="s">
        <v>1777</v>
      </c>
      <c r="P6" s="169"/>
      <c r="Q6" s="170"/>
      <c r="R6" s="171"/>
      <c r="S6" s="172"/>
      <c r="T6" s="173"/>
      <c r="U6" s="180"/>
      <c r="V6" s="181"/>
      <c r="W6" s="182"/>
      <c r="X6" s="176"/>
      <c r="Y6" s="177"/>
      <c r="Z6" s="178"/>
      <c r="AA6" s="179"/>
      <c r="AB6" s="192"/>
      <c r="AC6" s="193"/>
      <c r="AD6" s="189"/>
      <c r="AE6" s="190"/>
      <c r="AF6" s="191"/>
    </row>
    <row r="7" spans="1:32" x14ac:dyDescent="0.25">
      <c r="D7" s="89"/>
      <c r="E7" s="89"/>
      <c r="F7" s="89"/>
      <c r="G7" s="89"/>
      <c r="H7" s="89"/>
      <c r="I7" s="87" t="s">
        <v>1774</v>
      </c>
      <c r="J7" s="89"/>
      <c r="K7" s="89"/>
      <c r="L7" s="89"/>
      <c r="M7" s="89"/>
      <c r="N7" s="87" t="s">
        <v>1774</v>
      </c>
      <c r="O7" s="87" t="s">
        <v>1774</v>
      </c>
      <c r="P7" s="169"/>
      <c r="Q7" s="170"/>
      <c r="R7" s="171"/>
      <c r="S7" s="172"/>
      <c r="T7" s="173"/>
      <c r="U7" s="180"/>
      <c r="V7" s="181"/>
      <c r="W7" s="182"/>
      <c r="X7" s="176"/>
      <c r="Y7" s="177"/>
      <c r="Z7" s="178"/>
      <c r="AA7" s="179"/>
      <c r="AB7" s="192"/>
      <c r="AC7" s="193"/>
      <c r="AD7" s="189"/>
      <c r="AE7" s="190"/>
      <c r="AF7" s="191"/>
    </row>
    <row r="8" spans="1:32" ht="15.75" thickBot="1" x14ac:dyDescent="0.3">
      <c r="D8" s="90" t="s">
        <v>1778</v>
      </c>
      <c r="E8" s="90" t="s">
        <v>31</v>
      </c>
      <c r="F8" s="90" t="s">
        <v>1779</v>
      </c>
      <c r="G8" s="90" t="s">
        <v>1780</v>
      </c>
      <c r="H8" s="90" t="s">
        <v>1781</v>
      </c>
      <c r="I8" s="90" t="s">
        <v>1602</v>
      </c>
      <c r="J8" s="90" t="s">
        <v>1782</v>
      </c>
      <c r="K8" s="90" t="s">
        <v>1783</v>
      </c>
      <c r="L8" s="90" t="s">
        <v>1784</v>
      </c>
      <c r="M8" s="90" t="s">
        <v>1785</v>
      </c>
      <c r="N8" s="90" t="s">
        <v>1786</v>
      </c>
      <c r="O8" s="90" t="s">
        <v>1787</v>
      </c>
      <c r="P8" s="169"/>
      <c r="Q8" s="170"/>
      <c r="R8" s="171"/>
      <c r="S8" s="172"/>
      <c r="T8" s="173"/>
    </row>
    <row r="9" spans="1:32" x14ac:dyDescent="0.25">
      <c r="A9" s="175" t="s">
        <v>54</v>
      </c>
      <c r="B9" s="91" t="s">
        <v>1788</v>
      </c>
      <c r="C9" s="92" t="s">
        <v>43</v>
      </c>
      <c r="D9" s="160">
        <f>D10+D11+D12+D13+D14+D15+D16+D17+D18+D19+D20</f>
        <v>19384942819.277767</v>
      </c>
      <c r="E9" s="161">
        <f t="shared" ref="E9:N9" si="0">E10+E11+E12+E13+E14+E15+E16+E17+E18+E19+E20</f>
        <v>2335055102.9687028</v>
      </c>
      <c r="F9" s="161">
        <f t="shared" si="0"/>
        <v>388257705.33700413</v>
      </c>
      <c r="G9" s="161">
        <f t="shared" si="0"/>
        <v>2139156904.3953271</v>
      </c>
      <c r="H9" s="161">
        <f t="shared" si="0"/>
        <v>3924940407.9882817</v>
      </c>
      <c r="I9" s="94">
        <f t="shared" si="0"/>
        <v>303055824.73924601</v>
      </c>
      <c r="J9" s="161">
        <f t="shared" si="0"/>
        <v>7763551068.0800009</v>
      </c>
      <c r="K9" s="161">
        <f t="shared" si="0"/>
        <v>0</v>
      </c>
      <c r="L9" s="161">
        <f t="shared" si="0"/>
        <v>0</v>
      </c>
      <c r="M9" s="161">
        <f>SUM(D9:L9)-I9</f>
        <v>35935904008.047089</v>
      </c>
      <c r="N9" s="161">
        <f t="shared" si="0"/>
        <v>903585162.56829488</v>
      </c>
      <c r="O9" s="163">
        <v>0</v>
      </c>
      <c r="P9" s="169"/>
      <c r="Q9" s="170"/>
      <c r="R9" s="171"/>
      <c r="S9" s="172"/>
      <c r="T9" s="173"/>
      <c r="AD9" s="97"/>
      <c r="AE9" s="98"/>
    </row>
    <row r="10" spans="1:32" outlineLevel="1" x14ac:dyDescent="0.25">
      <c r="A10" s="175"/>
      <c r="B10" s="99" t="s">
        <v>1789</v>
      </c>
      <c r="C10" s="92" t="s">
        <v>44</v>
      </c>
      <c r="D10" s="158">
        <f>+SUMIFS('T 05.01'!$M:$M,'T 05.01'!$E:$E,"r0110 - Covered deposits (BRRD art. 44/2/a)",'T 05.01'!$F:$F,"c001x   - Households")+SUMIFS('T 03.01'!P:P,'T 03.01'!E:E,"r0110 - Covered deposits (BRRD art. 44/2/a)",'T 03.01'!$F:$F,"c001x   - Households")</f>
        <v>19147880373.237766</v>
      </c>
      <c r="E10" s="159">
        <f>+SUMIFS('T 05.01'!$M:$M,'T 05.01'!$E:$E,"r0110 - Covered deposits (BRRD art. 44/2/a)",'T 05.01'!$F:$F,"c002x   - Micro &amp; SME")+SUMIFS('T 03.01'!P:P,'T 03.01'!E:E,"r0110 - Covered deposits (BRRD art. 44/2/a)",'T 03.01'!$F:$F,"c002x   - Micro &amp; SME")</f>
        <v>2335055102.9687028</v>
      </c>
      <c r="F10" s="159">
        <f>+SUMIFS('T 05.01'!$M:$M,'T 05.01'!$E:$E,"r0110 - Covered deposits (BRRD art. 44/2/a)",'T 05.01'!$F:$F,"c003x   - Corporates")+SUMIFS('T 03.01'!P:P,'T 03.01'!E:E,"r0110 - Covered deposits (BRRD art. 44/2/a)",'T 03.01'!$F:$F,"c003x   - Corporates")</f>
        <v>388257705.33700413</v>
      </c>
      <c r="G10" s="107">
        <f>+SUMIFS('T 05.01'!$M:$M,'T 05.01'!$E:$E,"r0110 - Covered deposits (BRRD art. 44/2/a)",'T 05.01'!$F:$F,"c004x   - Institutions")+SUMIFS('T 03.01'!P:P,'T 03.01'!E:E,"r0110 - Covered deposits (BRRD art. 44/2/a)",'T 03.01'!$F:$F,"c004x   - Institutions")</f>
        <v>0</v>
      </c>
      <c r="H10" s="159">
        <f>+SUMIFS('T 05.01'!$M:$M,'T 05.01'!$E:$E,"r0110 - Covered deposits (BRRD art. 44/2/a)",'T 05.01'!$F:$F,"c005x   - Other financial corporations")+I10+SUMIFS('T 03.01'!P:P,'T 03.01'!E:E,"r0110 - Covered deposits (BRRD art. 44/2/a)",'T 03.01'!$F:$F,"c005x   - Other financial corporations")</f>
        <v>0</v>
      </c>
      <c r="I10" s="95">
        <f>+SUMIFS('T 05.01'!$M:$M,'T 05.01'!$E:$E,"r0110 - Covered deposits (BRRD art. 44/2/a)",'T 05.01'!$F:$F,"c006x   - Insurance firms &amp; pension funds")+SUMIFS('T 03.01'!P:P,'T 03.01'!E:E,"r0110 - Covered deposits (BRRD art. 44/2/a)",'T 03.01'!$F:$F,"c006x   - Insurance firms &amp; pension funds")</f>
        <v>0</v>
      </c>
      <c r="J10" s="159">
        <f>+SUMIFS('T 05.01'!$M:$M,'T 05.01'!$E:$E,"r0110 - Covered deposits (BRRD art. 44/2/a)",'T 05.01'!$F:$F,"c008x   - Government, central banks &amp; supranationals")+SUMIFS('T 03.01'!P:P,'T 03.01'!E:E,"r0110 - Covered deposits (BRRD art. 44/2/a)",'T 03.01'!$F:$F,"c008x   - Government, central banks &amp; supranationals")</f>
        <v>0</v>
      </c>
      <c r="K10" s="159">
        <v>0</v>
      </c>
      <c r="L10" s="159">
        <f>+SUMIFS('T 05.01'!$M:$M,'T 05.01'!$E:$E,"r0110 - Covered deposits (BRRD art. 44/2/a)",'T 05.01'!$F:$F,"")+SUMIFS('T 03.01'!P:P,'T 03.01'!E:E,"r0110 - Covered deposits (BRRD art. 44/2/a)",'T 03.01'!$F:$F,"")</f>
        <v>0</v>
      </c>
      <c r="M10" s="159">
        <f t="shared" ref="M10:M66" si="1">SUM(D10:L10)-I10</f>
        <v>21871193181.543476</v>
      </c>
      <c r="N10" s="159">
        <f>+SUMIF('T 03.01'!E:E,"r0110 - Covered deposits (BRRD art. 44/2/a)",'T 03.01'!P:P)</f>
        <v>732268.55</v>
      </c>
      <c r="O10" s="162">
        <v>0</v>
      </c>
      <c r="P10" s="169"/>
      <c r="Q10" s="170"/>
      <c r="R10" s="171"/>
      <c r="S10" s="172"/>
      <c r="T10" s="173"/>
      <c r="V10" s="85">
        <f>+N10+N22+M27</f>
        <v>6680575215.241745</v>
      </c>
      <c r="W10" s="101"/>
      <c r="Z10" s="102"/>
      <c r="AD10" s="97"/>
      <c r="AE10" s="98"/>
    </row>
    <row r="11" spans="1:32" ht="30" outlineLevel="1" x14ac:dyDescent="0.25">
      <c r="A11" s="175"/>
      <c r="B11" s="99" t="s">
        <v>1790</v>
      </c>
      <c r="C11" s="92" t="s">
        <v>45</v>
      </c>
      <c r="D11" s="158">
        <f>SUMIF('T 08.00'!$E:$E,"c001x   - Households",'T 08.00'!$O:$O)+SUMIFS('T 03.01'!P:P,'T 03.01'!E:E,"r0120 - Secured liabilities - collateralized part (BRRD art. 44/2/b)",'T 03.01'!$F:$F,"c001x   - Households")+SUMIFS('T 04.00'!N:N,'T 04.00'!F:F,"c001x   - Households",'T 04.00'!E:E,"r0120 - Secured liabilities - collateralized part (BRRD art. 44/2/b)")</f>
        <v>0</v>
      </c>
      <c r="E11" s="159">
        <f>SUMIF('T 08.00'!$E:$E,"c002x   - Micro &amp; SME",'T 08.00'!$O:$O)+SUMIFS('T 03.01'!P:P,'T 03.01'!E:E,"r0120 - Secured liabilities - collateralized part (BRRD art. 44/2/b)",'T 03.01'!$F:$F,"c002x   - Micro &amp; SME")+SUMIFS('T 04.00'!N:N,'T 04.00'!F:F,"c002x   - Micro &amp; SME",'T 04.00'!E:E,"r0120 - Secured liabilities - collateralized part (BRRD art. 44/2/b)")</f>
        <v>0</v>
      </c>
      <c r="F11" s="159">
        <f>SUMIF('T 08.00'!$E:$E,"c003x   - Corporates",'T 08.00'!$O:$O)+SUMIFS('T 03.01'!P:P,'T 03.01'!E:E,"r0120 - Secured liabilities - collateralized part (BRRD art. 44/2/b)",'T 03.01'!$F:$F,"c003x   - Corporates")+SUMIFS('T 04.00'!N:N,'T 04.00'!F:F,"c003x   - Corporates",'T 04.00'!E:E,"r0120 - Secured liabilities - collateralized part (BRRD art. 44/2/b)")</f>
        <v>0</v>
      </c>
      <c r="G11" s="159">
        <f>SUMIF('T 08.00'!$E:$E,"c004x   - Institutions",'T 08.00'!$O:$O)+SUMIFS('T 03.01'!P:P,'T 03.01'!E:E,"r0120 - Secured liabilities - collateralized part (BRRD art. 44/2/b)",'T 03.01'!$F:$F,"c004x   - Institutions")+SUMIFS('T 04.00'!N:N,'T 04.00'!F:F,"c004x   - Institutions",'T 04.00'!E:E,"r0120 - Secured liabilities - collateralized part (BRRD art. 44/2/b)")</f>
        <v>1985132599.9400001</v>
      </c>
      <c r="H11" s="159">
        <f>SUMIF('T 08.00'!$E:$E,"c005x   - Other financial corporations",'T 08.00'!$O:$O)+I11+SUMIFS('T 03.01'!P:P,'T 03.01'!E:E,"r0120 - Secured liabilities - collateralized part (BRRD art. 44/2/b)",'T 03.01'!$F:$F,"c005x   - Other financial corporations")+SUMIFS('T 04.00'!N:N,'T 04.00'!F:F,"c005x   - Other financial corporations",'T 04.00'!E:E,"r0120 - Secured liabilities - collateralized part (BRRD art. 44/2/b)")</f>
        <v>3022942876.1399865</v>
      </c>
      <c r="I11" s="95">
        <f>SUMIF('T 08.00'!$E:$E,"c006x   - Insurance firms &amp; pension funds",'T 08.00'!$O:$O)+SUMIFS('T 03.01'!P:P,'T 03.01'!E:E,"r0120 - Secured liabilities - collateralized part (BRRD art. 44/2/b)",'T 03.01'!$F:$F,"c006x   - Insurance firms &amp; pension funds")+SUMIFS('T 04.00'!N:N,'T 04.00'!F:F,"c006x   - Insurance firms &amp; pension funds",'T 04.00'!E:E,"r0120 - Secured liabilities - collateralized part (BRRD art. 44/2/b)")</f>
        <v>0</v>
      </c>
      <c r="J11" s="159">
        <f>SUMIF('T 08.00'!$E:$E,"c008x   - Government, central banks &amp; supranationals",'T 08.00'!$O:$O)+SUMIFS('T 03.01'!P:P,'T 03.01'!E:E,"r0120 - Secured liabilities - collateralized part (BRRD art. 44/2/b)",'T 03.01'!$F:$F,"c008x   - Government, central banks &amp; supranationals")+SUMIFS('T 04.00'!N:N,'T 04.00'!F:F,"c008x   - Government, central banks &amp; supranationals",'T 04.00'!E:E,"r0120 - Secured liabilities - collateralized part (BRRD art. 44/2/b)")</f>
        <v>7410241999.8600006</v>
      </c>
      <c r="K11" s="159">
        <v>0</v>
      </c>
      <c r="L11" s="159">
        <f>SUMIF('T 08.00'!$E:$E,"",'T 08.00'!$O:$O)+SUMIFS('T 03.01'!P:P,'T 03.01'!E:E,"r0120 - Secured liabilities - collateralized part (BRRD art. 44/2/b)",'T 03.01'!$F:$F,"")+SUMIFS('T 04.00'!N:N,'T 04.00'!F:F,"",'T 04.00'!E:E,"r0120 - Secured liabilities - collateralized part (BRRD art. 44/2/b)")</f>
        <v>0</v>
      </c>
      <c r="M11" s="159">
        <f t="shared" si="1"/>
        <v>12418317475.939987</v>
      </c>
      <c r="N11" s="159">
        <f>+SUMIF('T 03.01'!E:E,"r0150 - Institution liabilities &lt; 7 days (BRRD art. 44/2/e)",'T 03.01'!P:P)</f>
        <v>0</v>
      </c>
      <c r="O11" s="162">
        <v>0</v>
      </c>
      <c r="P11" s="169"/>
      <c r="Q11" s="170"/>
      <c r="R11" s="171"/>
      <c r="S11" s="172"/>
      <c r="T11" s="173"/>
      <c r="AD11" s="97"/>
      <c r="AE11" s="98"/>
      <c r="AF11" s="103"/>
    </row>
    <row r="12" spans="1:32" ht="30" outlineLevel="1" x14ac:dyDescent="0.25">
      <c r="A12" s="175"/>
      <c r="B12" s="99" t="s">
        <v>1791</v>
      </c>
      <c r="C12" s="92" t="s">
        <v>46</v>
      </c>
      <c r="D12" s="158">
        <v>0</v>
      </c>
      <c r="E12" s="159">
        <v>0</v>
      </c>
      <c r="F12" s="159">
        <v>0</v>
      </c>
      <c r="G12" s="159">
        <v>0</v>
      </c>
      <c r="H12" s="159">
        <v>0</v>
      </c>
      <c r="I12" s="95">
        <v>0</v>
      </c>
      <c r="J12" s="159">
        <v>0</v>
      </c>
      <c r="K12" s="159">
        <v>0</v>
      </c>
      <c r="L12" s="159">
        <v>0</v>
      </c>
      <c r="M12" s="159">
        <f t="shared" si="1"/>
        <v>0</v>
      </c>
      <c r="N12" s="159">
        <v>0</v>
      </c>
      <c r="O12" s="162">
        <v>0</v>
      </c>
      <c r="P12" s="169"/>
      <c r="Q12" s="170"/>
      <c r="R12" s="171"/>
      <c r="S12" s="172"/>
      <c r="T12" s="173"/>
      <c r="U12" s="104"/>
      <c r="AB12" s="105"/>
      <c r="AD12" s="97"/>
      <c r="AE12" s="98"/>
    </row>
    <row r="13" spans="1:32" ht="30" outlineLevel="1" x14ac:dyDescent="0.25">
      <c r="A13" s="175"/>
      <c r="B13" s="99" t="s">
        <v>1792</v>
      </c>
      <c r="C13" s="92" t="s">
        <v>47</v>
      </c>
      <c r="D13" s="158">
        <v>0</v>
      </c>
      <c r="E13" s="159">
        <v>0</v>
      </c>
      <c r="F13" s="159">
        <v>0</v>
      </c>
      <c r="G13" s="159">
        <v>0</v>
      </c>
      <c r="H13" s="159">
        <v>0</v>
      </c>
      <c r="I13" s="95">
        <v>0</v>
      </c>
      <c r="J13" s="159">
        <v>0</v>
      </c>
      <c r="K13" s="159">
        <v>0</v>
      </c>
      <c r="L13" s="159">
        <v>0</v>
      </c>
      <c r="M13" s="159">
        <f t="shared" si="1"/>
        <v>0</v>
      </c>
      <c r="N13" s="159">
        <v>0</v>
      </c>
      <c r="O13" s="162">
        <v>0</v>
      </c>
      <c r="P13" s="169"/>
      <c r="Q13" s="170"/>
      <c r="R13" s="171"/>
      <c r="S13" s="172"/>
      <c r="T13" s="173"/>
      <c r="AC13" s="106"/>
      <c r="AD13" s="97"/>
      <c r="AE13" s="98"/>
    </row>
    <row r="14" spans="1:32" ht="30" outlineLevel="1" x14ac:dyDescent="0.25">
      <c r="A14" s="175"/>
      <c r="B14" s="99" t="s">
        <v>1793</v>
      </c>
      <c r="C14" s="92" t="s">
        <v>48</v>
      </c>
      <c r="D14" s="109">
        <f>+SUMIFS('T 06.01'!$O:$O,'T 06.01'!$E:$E,"r0150 - Institution liabilities &lt; 7 days (BRRD art. 44/2/e)",'T 06.01'!$F:$F,"c001x   - Households")+SUMIFS('T 03.01'!P:P,'T 03.01'!E:E,"r0150 - Institution liabilities &lt; 7 days (BRRD art. 44/2/e)",'T 03.01'!$F:$F,"c001x   - Households")</f>
        <v>0</v>
      </c>
      <c r="E14" s="107">
        <f>+SUMIFS('T 06.01'!$O:$O,'T 06.01'!$E:$E,"r0150 - Institution liabilities &lt; 7 days (BRRD art. 44/2/e)",'T 06.01'!$F:$F,"c002x   - Micro &amp; SME")+SUMIFS('T 03.01'!P:P,'T 03.01'!E:E,"r0150 - Institution liabilities &lt; 7 days (BRRD art. 44/2/e)",'T 03.01'!$F:$F,"c002x   - Micro &amp; SME")</f>
        <v>0</v>
      </c>
      <c r="F14" s="107">
        <f>+SUMIFS('T 06.01'!$O:$O,'T 06.01'!$E:$E,"r0150 - Institution liabilities &lt; 7 days (BRRD art. 44/2/e)",'T 06.01'!$F:$F,"c003x   - Corporates")+SUMIFS('T 03.01'!P:P,'T 03.01'!E:E,"r0150 - Institution liabilities &lt; 7 days (BRRD art. 44/2/e)",'T 03.01'!$F:$F,"c003x   - Corporates")</f>
        <v>0</v>
      </c>
      <c r="G14" s="159">
        <f>+SUMIFS('T 06.01'!$O:$O,'T 06.01'!$E:$E,"r0150 - Institution liabilities &lt; 7 days (BRRD art. 44/2/e)",'T 06.01'!$F:$F,"c004x   - Institutions")+SUMIFS('T 03.01'!P:P,'T 03.01'!E:E,"r0150 - Institution liabilities &lt; 7 days (BRRD art. 44/2/e)",'T 03.01'!$F:$F,"c004x   - Institutions")</f>
        <v>153128132.03532708</v>
      </c>
      <c r="H14" s="159">
        <f>+SUMIFS('T 06.01'!$O:$O,'T 06.01'!$E:$E,"r0150 - Institution liabilities &lt; 7 days (BRRD art. 44/2/e)",'T 06.01'!$F:$F,"c005x   - Other financial corporations")+I14+SUMIFS('T 03.01'!P:P,'T 03.01'!E:E,"r0150 - Institution liabilities &lt; 7 days (BRRD art. 44/2/e)",'T 03.01'!$F:$F,"c005x   - Other financial corporations")</f>
        <v>0</v>
      </c>
      <c r="I14" s="95">
        <f>+SUMIFS('T 06.01'!$O:$O,'T 06.01'!$E:$E,"r0150 - Institution liabilities &lt; 7 days (BRRD art. 44/2/e)",'T 06.01'!$F:$F,"c006x   - Insurance firms &amp; pension funds")+SUMIFS('T 03.01'!P:P,'T 03.01'!E:E,"r0150 - Institution liabilities &lt; 7 days (BRRD art. 44/2/e)",'T 03.01'!$F:$F,"c006x   - Insurance firms &amp; pension funds")</f>
        <v>0</v>
      </c>
      <c r="J14" s="107">
        <f>+SUMIFS('T 06.01'!$O:$O,'T 06.01'!$E:$E,"r0150 - Institution liabilities &lt; 7 days (BRRD art. 44/2/e)",'T 06.01'!$F:$F,"c008x   - Government, central banks &amp; supranationals")+SUMIFS('T 03.01'!P:P,'T 03.01'!E:E,"r0150 - Institution liabilities &lt; 7 days (BRRD art. 44/2/e)",'T 03.01'!$F:$F,"c008x   - Government, central banks &amp; supranationals")</f>
        <v>0</v>
      </c>
      <c r="K14" s="107">
        <v>0</v>
      </c>
      <c r="L14" s="107">
        <f>+SUMIFS('T 06.01'!$O:$O,'T 06.01'!$E:$E,"r0150 - Institution liabilities &lt; 7 days (BRRD art. 44/2/e)",'T 06.01'!$F:$F,"")+SUMIFS('T 03.01'!P:P,'T 03.01'!E:E,"r0150 - Institution liabilities &lt; 7 days (BRRD art. 44/2/e)",'T 03.01'!$F:$F,"")</f>
        <v>0</v>
      </c>
      <c r="M14" s="159">
        <f t="shared" si="1"/>
        <v>153128132.03532708</v>
      </c>
      <c r="N14" s="107">
        <f>+SUMIF('T 03.01'!E:E,"r0150 - Institution liabilities &lt; 7 days (BRRD art. 44/2/e)",'T 03.01'!P:P)</f>
        <v>0</v>
      </c>
      <c r="O14" s="162">
        <v>0</v>
      </c>
      <c r="P14" s="169"/>
      <c r="Q14" s="170"/>
      <c r="R14" s="171"/>
      <c r="S14" s="172"/>
      <c r="T14" s="173"/>
      <c r="U14" s="104"/>
      <c r="AA14" s="108"/>
      <c r="AD14" s="97"/>
      <c r="AE14" s="98"/>
    </row>
    <row r="15" spans="1:32" ht="30" outlineLevel="1" x14ac:dyDescent="0.25">
      <c r="A15" s="175"/>
      <c r="B15" s="99" t="s">
        <v>2635</v>
      </c>
      <c r="C15" s="92" t="s">
        <v>2634</v>
      </c>
      <c r="D15" s="100">
        <f>+SUMIFS('T 06.01'!$O:$O,'T 06.01'!$E:$E,"r0161 - System (operator) and CCP liabilities &lt; 7 days   (BRRD art. 44/2/f)",'T 06.01'!$F:$F,"c001x   - Households")+SUMIFS('T 03.01'!P:P,'T 03.01'!E:E,"r0161 - System (operator) and CCP liabilities &lt; 7 days   (BRRD art. 44/2/f)",'T 03.01'!$F:$F,"c001x   - Households")</f>
        <v>0</v>
      </c>
      <c r="E15" s="95">
        <f>+SUMIFS('T 06.01'!$O:$O,'T 06.01'!$E:$E,"r0161 - System (operator) and CCP liabilities &lt; 7 days   (BRRD art. 44/2/f)",'T 06.01'!$F:$F,"c002x   - Micro &amp; SME")+SUMIFS('T 03.01'!P:P,'T 03.01'!E:E,"r0161 - System (operator) and CCP liabilities &lt; 7 days   (BRRD art. 44/2/f)",'T 03.01'!$F:$F,"c002x   - Micro &amp; SME")</f>
        <v>0</v>
      </c>
      <c r="F15" s="95">
        <f>+SUMIFS('T 06.01'!$O:$O,'T 06.01'!$E:$E,"r0161 - System (operator) and CCP liabilities &lt; 7 days   (BRRD art. 44/2/f)",'T 06.01'!$F:$F,"c003x   - Corporates")+SUMIFS('T 03.01'!P:P,'T 03.01'!E:E,"r0161 - System (operator) and CCP liabilities &lt; 7 days   (BRRD art. 44/2/f)",'T 03.01'!$F:$F,"c003x   - Corporates")</f>
        <v>0</v>
      </c>
      <c r="G15" s="95">
        <f>+SUMIFS('T 06.01'!$O:$O,'T 06.01'!$E:$E,"r0161 - System (operator) and CCP liabilities &lt; 7 days   (BRRD art. 44/2/f)",'T 06.01'!$F:$F,"c004x   - Institutions")+SUMIFS('T 03.01'!P:P,'T 03.01'!E:E,"r0161 - System (operator) and CCP liabilities &lt; 7 days   (BRRD art. 44/2/f)",'T 03.01'!$F:$F,"c004x   - Institutions")</f>
        <v>40810.25</v>
      </c>
      <c r="H15" s="95">
        <f>+SUMIFS('T 06.01'!$O:$O,'T 06.01'!$E:$E,"r0161 - System (operator) and CCP liabilities &lt; 7 days   (BRRD art. 44/2/f)",'T 06.01'!$F:$F,"c005x   - Other financial corporations")+I15+SUMIFS('T 03.01'!P:P,'T 03.01'!E:E,"r0161 - System (operator) and CCP liabilities &lt; 7 days   (BRRD art. 44/2/f)",'T 03.01'!$F:$F,"c005x   - Other financial corporations")</f>
        <v>0</v>
      </c>
      <c r="I15" s="95">
        <f>+SUMIFS('T 06.01'!$O:$O,'T 06.01'!$E:$E,"r0161 - System (operator) and CCP liabilities &lt; 7 days   (BRRD art. 44/2/f)",'T 06.01'!$F:$F,"c006x   - Insurance firms &amp; pension funds")+SUMIFS('T 03.01'!P:P,'T 03.01'!E:E,"r0161 - System (operator) and CCP liabilities &lt; 7 days   (BRRD art. 44/2/f)",'T 03.01'!$F:$F,"c006x   - Insurance firms &amp; pension funds")</f>
        <v>0</v>
      </c>
      <c r="J15" s="95">
        <f>+SUMIFS('T 06.01'!$O:$O,'T 06.01'!$E:$E,"r0161 - System (operator) and CCP liabilities &lt; 7 days   (BRRD art. 44/2/f)",'T 06.01'!$F:$F,"c008x   - Government, central banks &amp; supranationals")+SUMIFS('T 03.01'!P:P,'T 03.01'!E:E,"r0161 - System (operator) and CCP liabilities &lt; 7 days   (BRRD art. 44/2/f)",'T 03.01'!$F:$F,"c008x   - Government, central banks &amp; supranationals")</f>
        <v>0</v>
      </c>
      <c r="K15" s="95">
        <v>0</v>
      </c>
      <c r="L15" s="95">
        <f>+SUMIFS('T 06.01'!$O:$O,'T 06.01'!$E:$E,"r0161 - System (operator) and CCP liabilities &lt; 7 days   (BRRD art. 44/2/f)",'T 06.01'!$F:$F,"")+SUMIFS('T 03.01'!P:P,'T 03.01'!E:E,"r0161 - System (operator) and CCP liabilities &lt; 7 days   (BRRD art. 44/2/f)",'T 03.01'!$F:$F,"")</f>
        <v>0</v>
      </c>
      <c r="M15" s="95">
        <f t="shared" si="1"/>
        <v>40810.25</v>
      </c>
      <c r="N15" s="95">
        <f>+SUMIF('T 03.01'!E:E,"r0161 - System (operator) and CCP liabilities &lt; 7 days   (BRRD art. 44/2/f)",'T 03.01'!P:P)</f>
        <v>0</v>
      </c>
      <c r="O15" s="96">
        <v>0</v>
      </c>
      <c r="P15" s="169"/>
      <c r="Q15" s="170"/>
      <c r="R15" s="171"/>
      <c r="S15" s="172"/>
      <c r="T15" s="173"/>
      <c r="U15" s="104"/>
      <c r="AA15" s="108"/>
      <c r="AD15" s="97"/>
      <c r="AE15" s="98"/>
    </row>
    <row r="16" spans="1:32" outlineLevel="1" x14ac:dyDescent="0.25">
      <c r="A16" s="175"/>
      <c r="B16" s="99" t="s">
        <v>1794</v>
      </c>
      <c r="C16" s="92" t="s">
        <v>50</v>
      </c>
      <c r="D16" s="158">
        <f>+SUMIFS('T 09.00'!$M:$M,'T 09.00'!$E:$E,"r0170 - Employee liabilities (BRRD art. 44/2/g/i)",'T 09.00'!$F:$F,"c001x   - Households")+SUMIFS('T 03.01'!P:P,'T 03.01'!E:E,"r0170 - Employee liabilities (BRRD art. 44/2/g/i)",'T 03.01'!$F:$F,"c001x   - Households")</f>
        <v>232925108.63</v>
      </c>
      <c r="E16" s="107">
        <f>+SUMIFS('T 09.00'!$M:$M,'T 09.00'!$E:$E,"r0170 - Employee liabilities (BRRD art. 44/2/g/i)",'T 09.00'!$F:$F,"c002x   - Micro &amp; SME")+SUMIFS('T 03.01'!P:P,'T 03.01'!E:E,"r0170 - Employee liabilities (BRRD art. 44/2/g/i)",'T 03.01'!$F:$F,"c002x   - Micro &amp; SME")</f>
        <v>0</v>
      </c>
      <c r="F16" s="107">
        <f>+SUMIFS('T 09.00'!$M:$M,'T 09.00'!$E:$E,"r0170 - Employee liabilities (BRRD art. 44/2/g/i)",'T 09.00'!$F:$F,"c003x   - Corporates")+SUMIFS('T 03.01'!P:P,'T 03.01'!E:E,"r0170 - Employee liabilities (BRRD art. 44/2/g/i)",'T 03.01'!$F:$F,"c003x   - Corporates")</f>
        <v>0</v>
      </c>
      <c r="G16" s="107">
        <f>+SUMIFS('T 09.00'!$M:$M,'T 09.00'!$E:$E,"r0170 - Employee liabilities (BRRD art. 44/2/g/i)",'T 09.00'!$F:$F,"c004x   - Institutions")+SUMIFS('T 03.01'!P:P,'T 03.01'!E:E,"r0170 - Employee liabilities (BRRD art. 44/2/g/i)",'T 03.01'!$F:$F,"c004x   - Institutions")</f>
        <v>0</v>
      </c>
      <c r="H16" s="107">
        <f>+SUMIFS('T 09.00'!$M:$M,'T 09.00'!$E:$E,"r0170 - Employee liabilities (BRRD art. 44/2/g/i)",'T 09.00'!$F:$F,"c005x   - Other financial corporations")+I16+SUMIFS('T 03.01'!P:P,'T 03.01'!E:E,"r0170 - Employee liabilities (BRRD art. 44/2/g/i)",'T 03.01'!$F:$F,"c005x   - Other financial corporations")</f>
        <v>0</v>
      </c>
      <c r="I16" s="107">
        <f>+SUMIFS('T 09.00'!$M:$M,'T 09.00'!$E:$E,"r0170 - Employee liabilities (BRRD art. 44/2/g/i)",'T 09.00'!$F:$F,"c006x   - Insurance firms &amp; pension funds")+SUMIFS('T 03.01'!P:P,'T 03.01'!E:E,"r0170 - Employee liabilities (BRRD art. 44/2/g/i)",'T 03.01'!$F:$F,"c006x   - Insurance firms &amp; pension funds")</f>
        <v>0</v>
      </c>
      <c r="J16" s="107">
        <f>+SUMIFS('T 09.00'!$M:$M,'T 09.00'!$E:$E,"r0170 - Employee liabilities (BRRD art. 44/2/g/i)",'T 09.00'!$F:$F,"c008x   - Government, central banks &amp; supranationals")+SUMIFS('T 03.01'!P:P,'T 03.01'!E:E,"r0170 - Employee liabilities (BRRD art. 44/2/g/i)",'T 03.01'!$F:$F,"c008x   - Government, central banks &amp; supranationals")</f>
        <v>0</v>
      </c>
      <c r="K16" s="107">
        <v>0</v>
      </c>
      <c r="L16" s="107">
        <f>+SUMIFS('T 09.00'!$M:$M,'T 09.00'!$E:$E,"r0170 - Employee liabilities (BRRD art. 44/2/g/i)",'T 09.00'!$F:$F,"c010x   - Non-identified, not listed on an exchange platform")+SUMIFS('T 03.01'!P:P,'T 03.01'!E:E,"r0170 - Employee liabilities (BRRD art. 44/2/g/i)",'T 03.01'!$F:$F,"")</f>
        <v>0</v>
      </c>
      <c r="M16" s="159">
        <f t="shared" si="1"/>
        <v>232925108.63</v>
      </c>
      <c r="N16" s="107">
        <f>+SUMIF('T 03.01'!E:E,"r0170 - Employee liabilities (BRRD art. 44/2/g/i)",'T 03.01'!P:P)</f>
        <v>0</v>
      </c>
      <c r="O16" s="162">
        <v>0</v>
      </c>
      <c r="P16" s="169"/>
      <c r="Q16" s="170"/>
      <c r="R16" s="171"/>
      <c r="S16" s="172"/>
      <c r="T16" s="173"/>
      <c r="U16" s="104"/>
      <c r="AD16" s="97"/>
      <c r="AE16" s="98"/>
    </row>
    <row r="17" spans="1:31" ht="30" outlineLevel="1" x14ac:dyDescent="0.25">
      <c r="A17" s="175"/>
      <c r="B17" s="99" t="s">
        <v>1795</v>
      </c>
      <c r="C17" s="92" t="s">
        <v>52</v>
      </c>
      <c r="D17" s="158">
        <f>+SUMIFS('T 06.01'!$O:$O,'T 06.01'!$E:$E,"r0180 - Critical service liabilities (BRRD art. 44/2/g/ii)",'T 06.01'!$F:$F,"c001x   - Households")+SUMIFS('T 03.01'!P:P,'T 03.01'!E:E,"r0180 - Critical service liabilities (BRRD art. 44/2/g/ii)",'T 03.01'!$F:$F,"c001x   - Households")</f>
        <v>4137337.41</v>
      </c>
      <c r="E17" s="159">
        <f>+SUMIFS('T 06.01'!$O:$O,'T 06.01'!$E:$E,"r0180 - Critical service liabilities (BRRD art. 44/2/g/ii)",'T 06.01'!$F:$F,"c002x   - Micro &amp; SME")+SUMIFS('T 03.01'!P:P,'T 03.01'!E:E,"r0180 - Critical service liabilities (BRRD art. 44/2/g/ii)",'T 03.01'!$F:$F,"c002x   - Micro &amp; SME")</f>
        <v>0</v>
      </c>
      <c r="F17" s="159">
        <f>+SUMIFS('T 06.01'!$O:$O,'T 06.01'!$E:$E,"r0180 - Critical service liabilities (BRRD art. 44/2/g/ii)",'T 06.01'!$F:$F,"c003x   - Corporates")+SUMIFS('T 03.01'!P:P,'T 03.01'!E:E,"r0180 - Critical service liabilities (BRRD art. 44/2/g/ii)",'T 03.01'!$F:$F,"c003x   - Corporates")</f>
        <v>0</v>
      </c>
      <c r="G17" s="159">
        <f>+SUMIFS('T 06.01'!$O:$O,'T 06.01'!$E:$E,"r0180 - Critical service liabilities (BRRD art. 44/2/g/ii)",'T 06.01'!$F:$F,"c004x   - Institutions")+SUMIFS('T 03.01'!P:P,'T 03.01'!E:E,"r0180 - Critical service liabilities (BRRD art. 44/2/g/ii)",'T 03.01'!$F:$F,"c004x   - Institutions")</f>
        <v>0</v>
      </c>
      <c r="H17" s="159">
        <f>+SUMIFS('T 06.01'!$O:$O,'T 06.01'!$E:$E,"r0180 - Critical service liabilities (BRRD art. 44/2/g/ii)",'T 06.01'!$F:$F,"c005x   - Other financial corporations")+I17+SUMIFS('T 03.01'!P:P,'T 03.01'!E:E,"r0180 - Critical service liabilities (BRRD art. 44/2/g/ii)",'T 03.01'!$F:$F,"c005x   - Other financial corporations")</f>
        <v>0</v>
      </c>
      <c r="I17" s="95">
        <f>+SUMIFS('T 06.01'!$O:$O,'T 06.01'!$E:$E,"r0180 - Critical service liabilities (BRRD art. 44/2/g/ii)",'T 06.01'!$F:$F,"c006x   - Insurance firms &amp; pension funds")+SUMIFS('T 03.01'!P:P,'T 03.01'!E:E,"r0180 - Critical service liabilities (BRRD art. 44/2/g/ii)",'T 03.01'!$F:$F,"c006x   - Insurance firms &amp; pension funds")</f>
        <v>0</v>
      </c>
      <c r="J17" s="159">
        <f>+SUMIFS('T 06.01'!$O:$O,'T 06.01'!$E:$E,"r0180 - Critical service liabilities (BRRD art. 44/2/g/ii)",'T 06.01'!$F:$F,"c008x   - Government, central banks &amp; supranationals")+SUMIFS('T 03.01'!P:P,'T 03.01'!E:E,"r0180 - Critical service liabilities (BRRD art. 44/2/g/ii)",'T 03.01'!$F:$F,"c008x   - Government, central banks &amp; supranationals")</f>
        <v>0</v>
      </c>
      <c r="K17" s="159">
        <v>0</v>
      </c>
      <c r="L17" s="159">
        <f>+SUMIFS('T 06.01'!$O:$O,'T 06.01'!$E:$E,"r0180 - Critical service liabilities (BRRD art. 44/2/g/ii)",'T 06.01'!$F:$F,"")+SUMIFS('T 03.01'!P:P,'T 03.01'!E:E,"r0180 - Critical service liabilities (BRRD art. 44/2/g/ii)",'T 03.01'!$F:$F,"")</f>
        <v>0</v>
      </c>
      <c r="M17" s="159">
        <f t="shared" si="1"/>
        <v>4137337.41</v>
      </c>
      <c r="N17" s="159">
        <f>+SUMIF('T 03.01'!E:E,"r0180 - Critical service liabilities (BRRD art. 44/2/g/ii)",'T 03.01'!P:P)</f>
        <v>0</v>
      </c>
      <c r="O17" s="162">
        <v>0</v>
      </c>
      <c r="P17" s="169"/>
      <c r="Q17" s="170"/>
      <c r="R17" s="171"/>
      <c r="S17" s="172"/>
      <c r="T17" s="173"/>
      <c r="AC17" s="106"/>
      <c r="AD17" s="97"/>
      <c r="AE17" s="98"/>
    </row>
    <row r="18" spans="1:31" ht="45" outlineLevel="1" x14ac:dyDescent="0.25">
      <c r="A18" s="175"/>
      <c r="B18" s="99" t="s">
        <v>1796</v>
      </c>
      <c r="C18" s="92" t="s">
        <v>53</v>
      </c>
      <c r="D18" s="109">
        <f>+SUMIFS('T 06.01'!$O:$O,'T 06.01'!$E:$E,"r0190 - Tax and social security authorities liabilities, if preferred (BRRD art. 44/2/g/iii)",'T 06.01'!$F:$F,"c001x   - Households")+SUMIFS('T 03.01'!P:P,'T 03.01'!E:E,"r0190 - Tax and social security authorities liabilities, if preferred (BRRD art. 44/2/g/iii)",'T 03.01'!$F:$F,"c001x   - Households")</f>
        <v>0</v>
      </c>
      <c r="E18" s="107">
        <f>+SUMIFS('T 06.01'!$O:$O,'T 06.01'!$E:$E,"r0190 - Tax and social security authorities liabilities, if preferred (BRRD art. 44/2/g/iii)",'T 06.01'!$F:$F,"c002x   - Micro &amp; SME")+SUMIFS('T 03.01'!P:P,'T 03.01'!E:E,"r0190 - Tax and social security authorities liabilities, if preferred (BRRD art. 44/2/g/iii)",'T 03.01'!$F:$F,"c002x   - Micro &amp; SME")</f>
        <v>0</v>
      </c>
      <c r="F18" s="107">
        <f>+SUMIFS('T 06.01'!$O:$O,'T 06.01'!$E:$E,"r0190 - Tax and social security authorities liabilities, if preferred (BRRD art. 44/2/g/iii)",'T 06.01'!$F:$F,"c003x   - Corporates")+SUMIFS('T 03.01'!P:P,'T 03.01'!E:E,"r0190 - Tax and social security authorities liabilities, if preferred (BRRD art. 44/2/g/iii)",'T 03.01'!$F:$F,"c003x   - Corporates")</f>
        <v>0</v>
      </c>
      <c r="G18" s="107">
        <f>+SUMIFS('T 06.01'!$O:$O,'T 06.01'!$E:$E,"r0190 - Tax and social security authorities liabilities, if preferred (BRRD art. 44/2/g/iii)",'T 06.01'!$F:$F,"c004x   - Institutions")+SUMIFS('T 03.01'!P:P,'T 03.01'!E:E,"r0190 - Tax and social security authorities liabilities, if preferred (BRRD art. 44/2/g/iii)",'T 03.01'!$F:$F,"c004x   - Institutions")</f>
        <v>0</v>
      </c>
      <c r="H18" s="107">
        <f>+SUMIFS('T 06.01'!$O:$O,'T 06.01'!$E:$E,"r0190 - Tax and social security authorities liabilities, if preferred (BRRD art. 44/2/g/iii)",'T 06.01'!$F:$F,"c005x   - Other financial corporations")+I18+SUMIFS('T 03.01'!P:P,'T 03.01'!E:E,"r0190 - Tax and social security authorities liabilities, if preferred (BRRD art. 44/2/g/iii)",'T 03.01'!$F:$F,"c005x   - Other financial corporations")</f>
        <v>0</v>
      </c>
      <c r="I18" s="107">
        <f>+SUMIFS('T 06.01'!$O:$O,'T 06.01'!$E:$E,"r0190 - Tax and social security authorities liabilities, if preferred (BRRD art. 44/2/g/iii)",'T 06.01'!$F:$F,"c006x   - Insurance firms &amp; pension funds")+SUMIFS('T 03.01'!P:P,'T 03.01'!E:E,"r0190 - Tax and social security authorities liabilities, if preferred (BRRD art. 44/2/g/iii)",'T 03.01'!$F:$F,"c006x   - Insurance firms &amp; pension funds")</f>
        <v>0</v>
      </c>
      <c r="J18" s="159">
        <f>+SUMIFS('T 06.01'!$O:$O,'T 06.01'!$E:$E,"r0190 - Tax and social security authorities liabilities, if preferred (BRRD art. 44/2/g/iii)",'T 06.01'!$F:$F,"c008x   - Government, central banks &amp; supranationals")+SUMIFS('T 03.01'!P:P,'T 03.01'!E:E,"r0190 - Tax and social security authorities liabilities, if preferred (BRRD art. 44/2/g/iii)",'T 03.01'!$F:$F,"c008x   - Government, central banks &amp; supranationals")</f>
        <v>353309068.22000003</v>
      </c>
      <c r="K18" s="107">
        <v>0</v>
      </c>
      <c r="L18" s="107">
        <f>+SUMIFS('T 06.01'!$O:$O,'T 06.01'!$E:$E,"r0190 - Tax and social security authorities liabilities, if preferred (BRRD art. 44/2/g/iii)",'T 06.01'!$F:$F,"")+SUMIFS('T 03.01'!P:P,'T 03.01'!E:E,"r0190 - Tax and social security authorities liabilities, if preferred (BRRD art. 44/2/g/iii)",'T 03.01'!$F:$F,"")</f>
        <v>0</v>
      </c>
      <c r="M18" s="159">
        <f t="shared" si="1"/>
        <v>353309068.22000003</v>
      </c>
      <c r="N18" s="107">
        <f>+SUMIF('T 03.01'!E:E,"r0190 - Tax and social security authorities liabilities, if preferred (BRRD art. 44/2/g/iii)",'T 03.01'!P:P)</f>
        <v>0</v>
      </c>
      <c r="O18" s="110">
        <v>0</v>
      </c>
      <c r="P18" s="169"/>
      <c r="Q18" s="170"/>
      <c r="R18" s="171"/>
      <c r="S18" s="172"/>
      <c r="T18" s="173"/>
      <c r="U18" s="104"/>
      <c r="AB18" s="105"/>
      <c r="AD18" s="97"/>
      <c r="AE18" s="98"/>
    </row>
    <row r="19" spans="1:31" outlineLevel="1" x14ac:dyDescent="0.25">
      <c r="A19" s="175"/>
      <c r="B19" s="99" t="s">
        <v>1797</v>
      </c>
      <c r="C19" s="92" t="s">
        <v>1531</v>
      </c>
      <c r="D19" s="100">
        <v>0</v>
      </c>
      <c r="E19" s="159">
        <v>0</v>
      </c>
      <c r="F19" s="159">
        <v>0</v>
      </c>
      <c r="G19" s="159">
        <v>0</v>
      </c>
      <c r="H19" s="159">
        <v>0</v>
      </c>
      <c r="I19" s="95">
        <v>0</v>
      </c>
      <c r="J19" s="159">
        <v>0</v>
      </c>
      <c r="K19" s="95">
        <v>0</v>
      </c>
      <c r="L19" s="95">
        <v>0</v>
      </c>
      <c r="M19" s="159">
        <f t="shared" si="1"/>
        <v>0</v>
      </c>
      <c r="N19" s="159">
        <v>0</v>
      </c>
      <c r="O19" s="162">
        <v>0</v>
      </c>
      <c r="P19" s="169"/>
      <c r="Q19" s="170"/>
      <c r="R19" s="171"/>
      <c r="S19" s="172"/>
      <c r="T19" s="173"/>
      <c r="U19" s="104"/>
      <c r="AD19" s="97"/>
      <c r="AE19" s="98"/>
    </row>
    <row r="20" spans="1:31" ht="30" outlineLevel="1" x14ac:dyDescent="0.25">
      <c r="A20" s="175"/>
      <c r="B20" s="99" t="s">
        <v>2637</v>
      </c>
      <c r="C20" s="92" t="s">
        <v>1532</v>
      </c>
      <c r="D20" s="109">
        <v>0</v>
      </c>
      <c r="E20" s="107">
        <v>0</v>
      </c>
      <c r="F20" s="107">
        <v>0</v>
      </c>
      <c r="G20" s="95">
        <f>SUMIFS('T 03.01'!P:P,'T 03.01'!E:E,"r0210 - Liabilities towards other entities of the resolution group (BRRD art. 44/2/h)",'T 03.01'!$F:$F,"c004x   - Institutions")</f>
        <v>855362.17000000109</v>
      </c>
      <c r="H20" s="95">
        <f>I20+SUMIFS('T 03.01'!P:P,'T 03.01'!E:E,"r0210 - Liabilities towards other entities of the resolution group (BRRD art. 44/2/h)",'T 03.01'!$F:$F,"c005x   - Other financial corporations")</f>
        <v>901997531.84829509</v>
      </c>
      <c r="I20" s="95">
        <f>SUMIFS('T 03.01'!P:P,'T 03.01'!E:E,"r0210 - Liabilities towards other entities of the resolution group (BRRD art. 44/2/h)",'T 03.01'!$F:$F,"c006x   - Insurance firms &amp; pension funds")</f>
        <v>303055824.73924601</v>
      </c>
      <c r="J20" s="107">
        <v>0</v>
      </c>
      <c r="K20" s="107">
        <v>0</v>
      </c>
      <c r="L20" s="107">
        <v>0</v>
      </c>
      <c r="M20" s="95">
        <f t="shared" si="1"/>
        <v>902852894.01829517</v>
      </c>
      <c r="N20" s="95">
        <f>+SUMIF('T 03.01'!E:E,"r0210 - Liabilities towards other entities of the resolution group (BRRD art. 44/2/h)",'T 03.01'!P:P)</f>
        <v>902852894.01829493</v>
      </c>
      <c r="O20" s="110">
        <v>0</v>
      </c>
      <c r="P20" s="139"/>
      <c r="Q20" s="140"/>
      <c r="R20" s="141"/>
      <c r="S20" s="142"/>
      <c r="T20" s="143"/>
      <c r="U20" s="104"/>
      <c r="AD20" s="97"/>
      <c r="AE20" s="98"/>
    </row>
    <row r="21" spans="1:31" x14ac:dyDescent="0.25">
      <c r="A21" s="175"/>
      <c r="B21" s="91" t="s">
        <v>1798</v>
      </c>
      <c r="C21" s="92" t="s">
        <v>1542</v>
      </c>
      <c r="D21" s="158">
        <f t="shared" ref="D21:L21" si="2">+D22+D27+D32+D37+D42+D47+D57+D62+D65+D66</f>
        <v>5396955623.6120338</v>
      </c>
      <c r="E21" s="159">
        <f t="shared" si="2"/>
        <v>4840196078.257556</v>
      </c>
      <c r="F21" s="159">
        <f t="shared" si="2"/>
        <v>4386476929.2656631</v>
      </c>
      <c r="G21" s="159">
        <f t="shared" si="2"/>
        <v>1052883507.3154559</v>
      </c>
      <c r="H21" s="159">
        <f t="shared" si="2"/>
        <v>1573724174.9579301</v>
      </c>
      <c r="I21" s="159">
        <f t="shared" si="2"/>
        <v>1115396411.345989</v>
      </c>
      <c r="J21" s="159">
        <f t="shared" si="2"/>
        <v>904338967.96657884</v>
      </c>
      <c r="K21" s="159">
        <f t="shared" si="2"/>
        <v>0</v>
      </c>
      <c r="L21" s="159">
        <f t="shared" si="2"/>
        <v>313304735.95491922</v>
      </c>
      <c r="M21" s="159">
        <f>SUM(D21:L21)-I21</f>
        <v>18467880017.330139</v>
      </c>
      <c r="N21" s="159">
        <f>+N22+N27+N32+N37+N42+N47+N57+N62+N65+N66</f>
        <v>887034140.52076793</v>
      </c>
      <c r="O21" s="162">
        <v>0</v>
      </c>
      <c r="P21" s="169"/>
      <c r="Q21" s="170"/>
      <c r="R21" s="171"/>
      <c r="S21" s="172"/>
      <c r="T21" s="173"/>
      <c r="AD21" s="97"/>
    </row>
    <row r="22" spans="1:31" ht="30" outlineLevel="1" x14ac:dyDescent="0.25">
      <c r="A22" s="175"/>
      <c r="B22" s="99" t="s">
        <v>1799</v>
      </c>
      <c r="C22" s="92" t="s">
        <v>1544</v>
      </c>
      <c r="D22" s="158">
        <f>SUM(D23:D26)</f>
        <v>5332458710.5718403</v>
      </c>
      <c r="E22" s="159">
        <f t="shared" ref="E22:N22" si="3">SUM(E23:E26)</f>
        <v>4800820414.6875544</v>
      </c>
      <c r="F22" s="159">
        <f t="shared" si="3"/>
        <v>0</v>
      </c>
      <c r="G22" s="159">
        <f t="shared" si="3"/>
        <v>0</v>
      </c>
      <c r="H22" s="159">
        <f t="shared" si="3"/>
        <v>0</v>
      </c>
      <c r="I22" s="159">
        <f t="shared" si="3"/>
        <v>0</v>
      </c>
      <c r="J22" s="159">
        <f t="shared" si="3"/>
        <v>0</v>
      </c>
      <c r="K22" s="159">
        <f t="shared" si="3"/>
        <v>0</v>
      </c>
      <c r="L22" s="159">
        <f t="shared" si="3"/>
        <v>0</v>
      </c>
      <c r="M22" s="159">
        <f>SUM(D22:L22)-I23</f>
        <v>10133279125.259396</v>
      </c>
      <c r="N22" s="159">
        <f t="shared" si="3"/>
        <v>0</v>
      </c>
      <c r="O22" s="162">
        <v>0</v>
      </c>
      <c r="P22" s="169"/>
      <c r="Q22" s="170"/>
      <c r="R22" s="171"/>
      <c r="S22" s="172"/>
      <c r="T22" s="173"/>
      <c r="AB22" s="105"/>
      <c r="AC22" s="106"/>
      <c r="AD22" s="97"/>
      <c r="AE22" s="98"/>
    </row>
    <row r="23" spans="1:31" outlineLevel="2" x14ac:dyDescent="0.25">
      <c r="A23" s="175"/>
      <c r="B23" s="111" t="s">
        <v>1800</v>
      </c>
      <c r="C23" s="92" t="s">
        <v>1801</v>
      </c>
      <c r="D23" s="158">
        <f>+SUMIFS('T 05.01'!$M:$M,'T 05.01'!$E:$E,"r0310 - Deposits, not covered but preferential (BRRD art. 108)",'T 05.01'!$F:$F,"c001x   - Households")+SUMIFS('T 03.01'!P:P,'T 03.01'!E:E,"r0310 - Deposits, not covered but preferential (BRRD art. 108)",'T 03.01'!$F:$F,"c001x   - Households")</f>
        <v>5332458710.5718403</v>
      </c>
      <c r="E23" s="159">
        <f>+SUMIFS('T 05.01'!$M:$M,'T 05.01'!$E:$E,"r0310 - Deposits, not covered but preferential (BRRD art. 108)",'T 05.01'!$F:$F,"c002x   - Micro &amp; SME")+SUMIFS('T 03.01'!P:P,'T 03.01'!E:E,"r0310 - Deposits, not covered but preferential (BRRD art. 108)",'T 03.01'!$F:$F,"c002x   - Micro &amp; SME")</f>
        <v>4800820414.6875544</v>
      </c>
      <c r="F23" s="159">
        <f>+SUMIFS('T 05.01'!$M:$M,'T 05.01'!$E:$E,"r0310 - Deposits, not covered but preferential (BRRD art. 108)",'T 05.01'!$F:$F,"c003x   - Corporates")+SUMIFS('T 03.01'!P:P,'T 03.01'!E:E,"r0310 - Deposits, not covered but preferential (BRRD art. 108)",'T 03.01'!$F:$F,"c003x   - Corporates")</f>
        <v>0</v>
      </c>
      <c r="G23" s="159">
        <f>+SUMIFS('T 05.01'!$M:$M,'T 05.01'!$E:$E,"r0310 - Deposits, not covered but preferential (BRRD art. 108)",'T 05.01'!$F:$F,"c004x   - Institutions")+SUMIFS('T 03.01'!P:P,'T 03.01'!E:E,"r0310 - Deposits, not covered but preferential (BRRD art. 108)",'T 03.01'!$F:$F,"c004x   - Institutions")</f>
        <v>0</v>
      </c>
      <c r="H23" s="159">
        <f>+SUMIFS('T 05.01'!$M:$M,'T 05.01'!$E:$E,"r0310 - Deposits, not covered but preferential (BRRD art. 108)",'T 05.01'!$F:$F,"c005x   - Other financial corporations")+I23+SUMIFS('T 03.01'!P:P,'T 03.01'!E:E,"r0310 - Deposits, not covered but preferential (BRRD art. 108)",'T 03.01'!$F:$F,"c005x   - Other financial corporations")</f>
        <v>0</v>
      </c>
      <c r="I23" s="159">
        <f>+SUMIFS('T 05.01'!$M:$M,'T 05.01'!$E:$E,"r0310 - Deposits, not covered but preferential (BRRD art. 108)",'T 05.01'!$F:$F,"c006x   - Insurance firms &amp; pension funds")+SUMIFS('T 03.01'!P:P,'T 03.01'!E:E,"r0310 - Deposits, not covered but preferential (BRRD art. 108)",'T 03.01'!$F:$F,"c006x   - Insurance firms &amp; pension funds")</f>
        <v>0</v>
      </c>
      <c r="J23" s="159">
        <f>+SUMIFS('T 05.01'!$M:$M,'T 05.01'!$E:$E,"r0310 - Deposits, not covered but preferential (BRRD art. 108)",'T 05.01'!$F:$F,"c008x   - Government, central banks &amp; supranationals")+SUMIFS('T 03.01'!P:P,'T 03.01'!E:E,"r0310 - Deposits, not covered but preferential (BRRD art. 108)",'T 03.01'!$F:$F,"c008x   - Government, central banks &amp; supranationals")</f>
        <v>0</v>
      </c>
      <c r="K23" s="159">
        <v>0</v>
      </c>
      <c r="L23" s="159">
        <f>+SUMIFS('T 05.01'!$M:$M,'T 05.01'!$E:$E,"r0310 - Deposits, not covered but preferential (BRRD art. 108)",'T 05.01'!$F:$F,"")+SUMIFS('T 03.01'!P:P,'T 03.01'!E:E,"r0310 - Deposits, not covered but preferential (BRRD art. 108)",'T 03.01'!$F:$F,"")</f>
        <v>0</v>
      </c>
      <c r="M23" s="159">
        <f>SUM(D23:L23)-I24</f>
        <v>10133279125.259396</v>
      </c>
      <c r="N23" s="159">
        <f>+SUMIF('T 03.01'!E:E,"r0310 - Deposits, not covered but preferential (BRRD art. 108)",'T 03.01'!P:P)</f>
        <v>0</v>
      </c>
      <c r="O23" s="162">
        <v>0</v>
      </c>
      <c r="P23" s="169"/>
      <c r="Q23" s="170"/>
      <c r="R23" s="171"/>
      <c r="S23" s="172"/>
      <c r="T23" s="173"/>
      <c r="X23" s="112"/>
      <c r="AB23" s="105"/>
      <c r="AC23" s="106"/>
      <c r="AD23" s="97"/>
      <c r="AE23" s="98"/>
    </row>
    <row r="24" spans="1:31" ht="30" outlineLevel="2" x14ac:dyDescent="0.25">
      <c r="A24" s="175"/>
      <c r="B24" s="111" t="s">
        <v>1802</v>
      </c>
      <c r="C24" s="92" t="s">
        <v>1803</v>
      </c>
      <c r="D24" s="158">
        <v>0</v>
      </c>
      <c r="E24" s="159">
        <v>0</v>
      </c>
      <c r="F24" s="159">
        <v>0</v>
      </c>
      <c r="G24" s="159">
        <v>0</v>
      </c>
      <c r="H24" s="159">
        <v>0</v>
      </c>
      <c r="I24" s="159">
        <v>0</v>
      </c>
      <c r="J24" s="159">
        <v>0</v>
      </c>
      <c r="K24" s="159">
        <v>0</v>
      </c>
      <c r="L24" s="159">
        <v>0</v>
      </c>
      <c r="M24" s="159">
        <f t="shared" si="1"/>
        <v>0</v>
      </c>
      <c r="N24" s="159">
        <v>0</v>
      </c>
      <c r="O24" s="162">
        <v>0</v>
      </c>
      <c r="P24" s="169"/>
      <c r="Q24" s="170"/>
      <c r="R24" s="171"/>
      <c r="S24" s="172"/>
      <c r="T24" s="173"/>
      <c r="X24" s="112"/>
      <c r="AB24" s="105"/>
      <c r="AC24" s="106"/>
      <c r="AD24" s="97"/>
      <c r="AE24" s="98"/>
    </row>
    <row r="25" spans="1:31" ht="30" outlineLevel="2" x14ac:dyDescent="0.25">
      <c r="A25" s="175"/>
      <c r="B25" s="111" t="s">
        <v>1804</v>
      </c>
      <c r="C25" s="92" t="s">
        <v>1805</v>
      </c>
      <c r="D25" s="158">
        <v>0</v>
      </c>
      <c r="E25" s="159">
        <v>0</v>
      </c>
      <c r="F25" s="159">
        <v>0</v>
      </c>
      <c r="G25" s="159">
        <v>0</v>
      </c>
      <c r="H25" s="159">
        <v>0</v>
      </c>
      <c r="I25" s="159">
        <v>0</v>
      </c>
      <c r="J25" s="159">
        <v>0</v>
      </c>
      <c r="K25" s="159">
        <v>0</v>
      </c>
      <c r="L25" s="159">
        <v>0</v>
      </c>
      <c r="M25" s="159">
        <f t="shared" si="1"/>
        <v>0</v>
      </c>
      <c r="N25" s="159">
        <v>0</v>
      </c>
      <c r="O25" s="162">
        <v>0</v>
      </c>
      <c r="P25" s="169"/>
      <c r="Q25" s="170"/>
      <c r="R25" s="171"/>
      <c r="S25" s="172"/>
      <c r="T25" s="173"/>
      <c r="X25" s="112"/>
      <c r="AB25" s="105"/>
      <c r="AC25" s="106"/>
      <c r="AD25" s="97"/>
      <c r="AE25" s="98"/>
    </row>
    <row r="26" spans="1:31" outlineLevel="2" x14ac:dyDescent="0.25">
      <c r="A26" s="175"/>
      <c r="B26" s="111" t="s">
        <v>1806</v>
      </c>
      <c r="C26" s="92" t="s">
        <v>1807</v>
      </c>
      <c r="D26" s="158">
        <v>0</v>
      </c>
      <c r="E26" s="159">
        <v>0</v>
      </c>
      <c r="F26" s="159">
        <v>0</v>
      </c>
      <c r="G26" s="159">
        <v>0</v>
      </c>
      <c r="H26" s="159">
        <v>0</v>
      </c>
      <c r="I26" s="159">
        <v>0</v>
      </c>
      <c r="J26" s="159">
        <v>0</v>
      </c>
      <c r="K26" s="159">
        <v>0</v>
      </c>
      <c r="L26" s="159">
        <v>0</v>
      </c>
      <c r="M26" s="159">
        <f t="shared" si="1"/>
        <v>0</v>
      </c>
      <c r="N26" s="159">
        <v>0</v>
      </c>
      <c r="O26" s="162">
        <v>0</v>
      </c>
      <c r="P26" s="169"/>
      <c r="Q26" s="170"/>
      <c r="R26" s="171"/>
      <c r="S26" s="172"/>
      <c r="T26" s="173"/>
      <c r="X26" s="112"/>
      <c r="AB26" s="105"/>
      <c r="AC26" s="106"/>
      <c r="AD26" s="97"/>
      <c r="AE26" s="98"/>
    </row>
    <row r="27" spans="1:31" ht="30" outlineLevel="1" x14ac:dyDescent="0.25">
      <c r="A27" s="175"/>
      <c r="B27" s="99" t="s">
        <v>1808</v>
      </c>
      <c r="C27" s="92" t="s">
        <v>1545</v>
      </c>
      <c r="D27" s="158">
        <f>SUM(D28:D31)</f>
        <v>0</v>
      </c>
      <c r="E27" s="159">
        <f t="shared" ref="E27:L27" si="4">SUM(E28:E31)</f>
        <v>1834.9799999999996</v>
      </c>
      <c r="F27" s="159">
        <f t="shared" si="4"/>
        <v>4315970759.5156584</v>
      </c>
      <c r="G27" s="159">
        <f t="shared" si="4"/>
        <v>236974875.915454</v>
      </c>
      <c r="H27" s="159">
        <f t="shared" si="4"/>
        <v>1243812490.1440549</v>
      </c>
      <c r="I27" s="159">
        <f t="shared" si="4"/>
        <v>1110861625.126565</v>
      </c>
      <c r="J27" s="159">
        <f t="shared" si="4"/>
        <v>883082986.13657904</v>
      </c>
      <c r="K27" s="159">
        <f t="shared" si="4"/>
        <v>0</v>
      </c>
      <c r="L27" s="159">
        <f t="shared" si="4"/>
        <v>0</v>
      </c>
      <c r="M27" s="159">
        <f>SUM(D27:L27)-I27</f>
        <v>6679842946.6917448</v>
      </c>
      <c r="N27" s="159">
        <f>+SUMIF('T 03.01'!E:E,"r0320 - Deposits, not covered and not preferential",'T 03.01'!P:P)+SUMIF('T 03.01'!E:E,"r0320 - Deposits, not covered and not preferential",'T 03.01'!Q:Q)</f>
        <v>188193445.98280001</v>
      </c>
      <c r="O27" s="162">
        <v>0</v>
      </c>
      <c r="P27" s="169"/>
      <c r="Q27" s="170"/>
      <c r="R27" s="171"/>
      <c r="S27" s="172"/>
      <c r="T27" s="173"/>
      <c r="AB27" s="105"/>
      <c r="AC27" s="106"/>
      <c r="AD27" s="97"/>
    </row>
    <row r="28" spans="1:31" outlineLevel="2" x14ac:dyDescent="0.25">
      <c r="A28" s="175"/>
      <c r="B28" s="111" t="s">
        <v>1800</v>
      </c>
      <c r="C28" s="92" t="s">
        <v>1809</v>
      </c>
      <c r="D28" s="158">
        <f>+SUMIFS('T 05.01'!$M:$M,'T 05.01'!$E:$E,"r0320 - Deposits, not covered and not preferential",'T 05.01'!$F:$F,"c001x   - Households")+SUMIFS('T 03.01'!P:P,'T 03.01'!E:E,"r0320 - Deposits, not covered and not preferential",'T 03.01'!$F:$F,"c001x   - Households")</f>
        <v>0</v>
      </c>
      <c r="E28" s="159">
        <f>+SUMIFS('T 05.01'!$M:$M,'T 05.01'!$E:$E,"r0320 - Deposits, not covered and not preferential",'T 05.01'!$F:$F,"c002x   - Micro &amp; SME")+SUMIFS('T 03.01'!P:P,'T 03.01'!E:E,"r0320 - Deposits, not covered and not preferential",'T 03.01'!$F:$F,"c002x   - Micro &amp; SME")</f>
        <v>1834.9799999999996</v>
      </c>
      <c r="F28" s="159">
        <f>+SUMIFS('T 05.01'!$M:$M,'T 05.01'!$E:$E,"r0320 - Deposits, not covered and not preferential",'T 05.01'!$F:$F,"c003x   - Corporates")+SUMIFS('T 03.01'!P:P,'T 03.01'!E:E,"r0320 - Deposits, not covered and not preferential",'T 03.01'!$F:$F,"c003x   - Corporates")</f>
        <v>4315970759.5156584</v>
      </c>
      <c r="G28" s="159">
        <f>+SUMIFS('T 05.01'!$M:$M,'T 05.01'!$E:$E,"r0320 - Deposits, not covered and not preferential",'T 05.01'!$F:$F,"c004x   - Institutions")+SUMIFS('T 03.01'!P:P,'T 03.01'!E:E,"r0320 - Deposits, not covered and not preferential",'T 03.01'!$F:$F,"c004x   - Institutions")</f>
        <v>236974875.915454</v>
      </c>
      <c r="H28" s="159">
        <f>+SUMIFS('T 05.01'!$M:$M,'T 05.01'!$E:$E,"r0320 - Deposits, not covered and not preferential",'T 05.01'!$F:$F,"c005x   - Other financial corporations")+I28+SUMIFS('T 03.01'!P:P,'T 03.01'!E:E,"r0320 - Deposits, not covered and not preferential",'T 03.01'!$F:$F,"c005x   - Other financial corporations")</f>
        <v>1243812490.1440549</v>
      </c>
      <c r="I28" s="159">
        <f>+SUMIFS('T 05.01'!$M:$M,'T 05.01'!$E:$E,"r0320 - Deposits, not covered and not preferential",'T 05.01'!$F:$F,"c006x   - Insurance firms &amp; pension funds")+SUMIFS('T 03.01'!P:P,'T 03.01'!E:E,"r0320 - Deposits, not covered and not preferential",'T 03.01'!$F:$F,"c006x   - Insurance firms &amp; pension funds")</f>
        <v>1110861625.126565</v>
      </c>
      <c r="J28" s="159">
        <f>+SUMIFS('T 05.01'!$M:$M,'T 05.01'!$E:$E,"r0320 - Deposits, not covered and not preferential",'T 05.01'!$F:$F,"c008x   - Government, central banks &amp; supranationals")+SUMIFS('T 03.01'!P:P,'T 03.01'!E:E,"r0320 - Deposits, not covered and not preferential",'T 03.01'!$F:$F,"c008x   - Government, central banks &amp; supranationals")</f>
        <v>883082986.13657904</v>
      </c>
      <c r="K28" s="159">
        <v>0</v>
      </c>
      <c r="L28" s="159">
        <f>+SUMIFS('T 05.01'!$M:$M,'T 05.01'!$E:$E,"r0320 - Deposits, not covered and not preferential",'T 05.01'!$F:$F,"")+SUMIFS('T 03.01'!P:P,'T 03.01'!E:E,"r0320 - Deposits, not covered and not preferential",'T 03.01'!$F:$F,"")</f>
        <v>0</v>
      </c>
      <c r="M28" s="159">
        <f t="shared" si="1"/>
        <v>6679842946.6917448</v>
      </c>
      <c r="N28" s="159">
        <f>+SUMIF('T 03.01'!E:E,"r0320 - Deposits, not covered and not preferential",'T 03.01'!P:P)</f>
        <v>194821841.254556</v>
      </c>
      <c r="O28" s="162">
        <v>0</v>
      </c>
      <c r="P28" s="169"/>
      <c r="Q28" s="170"/>
      <c r="R28" s="171"/>
      <c r="S28" s="172"/>
      <c r="T28" s="173"/>
      <c r="X28" s="112"/>
      <c r="AB28" s="105"/>
      <c r="AC28" s="106"/>
      <c r="AD28" s="97"/>
      <c r="AE28" s="98"/>
    </row>
    <row r="29" spans="1:31" ht="30" outlineLevel="2" x14ac:dyDescent="0.25">
      <c r="A29" s="175"/>
      <c r="B29" s="111" t="s">
        <v>1802</v>
      </c>
      <c r="C29" s="92" t="s">
        <v>1810</v>
      </c>
      <c r="D29" s="158">
        <v>0</v>
      </c>
      <c r="E29" s="159">
        <v>0</v>
      </c>
      <c r="F29" s="159">
        <v>0</v>
      </c>
      <c r="G29" s="159">
        <v>0</v>
      </c>
      <c r="H29" s="159">
        <v>0</v>
      </c>
      <c r="I29" s="159">
        <v>0</v>
      </c>
      <c r="J29" s="159">
        <v>0</v>
      </c>
      <c r="K29" s="159">
        <v>0</v>
      </c>
      <c r="L29" s="159">
        <v>0</v>
      </c>
      <c r="M29" s="159">
        <f t="shared" si="1"/>
        <v>0</v>
      </c>
      <c r="N29" s="159">
        <v>0</v>
      </c>
      <c r="O29" s="162">
        <v>0</v>
      </c>
      <c r="P29" s="169"/>
      <c r="Q29" s="170"/>
      <c r="R29" s="171"/>
      <c r="S29" s="172"/>
      <c r="T29" s="173"/>
      <c r="X29" s="112"/>
      <c r="AB29" s="105"/>
      <c r="AC29" s="106"/>
      <c r="AD29" s="97"/>
      <c r="AE29" s="98"/>
    </row>
    <row r="30" spans="1:31" ht="30" outlineLevel="2" x14ac:dyDescent="0.25">
      <c r="A30" s="175"/>
      <c r="B30" s="111" t="s">
        <v>1804</v>
      </c>
      <c r="C30" s="92" t="s">
        <v>1811</v>
      </c>
      <c r="D30" s="158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>
        <v>0</v>
      </c>
      <c r="M30" s="159">
        <f t="shared" si="1"/>
        <v>0</v>
      </c>
      <c r="N30" s="159">
        <v>0</v>
      </c>
      <c r="O30" s="162">
        <v>0</v>
      </c>
      <c r="P30" s="169"/>
      <c r="Q30" s="170"/>
      <c r="R30" s="171"/>
      <c r="S30" s="172"/>
      <c r="T30" s="173"/>
      <c r="X30" s="112"/>
      <c r="AB30" s="105"/>
      <c r="AC30" s="106"/>
      <c r="AD30" s="97"/>
    </row>
    <row r="31" spans="1:31" outlineLevel="2" x14ac:dyDescent="0.25">
      <c r="A31" s="175"/>
      <c r="B31" s="111" t="s">
        <v>1806</v>
      </c>
      <c r="C31" s="92" t="s">
        <v>1812</v>
      </c>
      <c r="D31" s="158">
        <v>0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>
        <v>0</v>
      </c>
      <c r="M31" s="159">
        <f t="shared" si="1"/>
        <v>0</v>
      </c>
      <c r="N31" s="159">
        <v>0</v>
      </c>
      <c r="O31" s="162">
        <v>0</v>
      </c>
      <c r="P31" s="169"/>
      <c r="Q31" s="170"/>
      <c r="R31" s="171"/>
      <c r="S31" s="172"/>
      <c r="T31" s="173"/>
      <c r="X31" s="112"/>
      <c r="AB31" s="105"/>
      <c r="AC31" s="106"/>
      <c r="AD31" s="97"/>
    </row>
    <row r="32" spans="1:31" ht="15" customHeight="1" outlineLevel="1" x14ac:dyDescent="0.25">
      <c r="A32" s="175"/>
      <c r="B32" s="165" t="s">
        <v>1813</v>
      </c>
      <c r="C32" s="165" t="s">
        <v>1814</v>
      </c>
      <c r="D32" s="166">
        <f>SUMIF('T 07.00'!$E:$E,"c001x   - Households",'T 07.00'!$R:$R)</f>
        <v>0</v>
      </c>
      <c r="E32" s="167">
        <f>SUMIF('T 07.00'!$E:$E,"c002x   - Micro &amp; SME",'T 07.00'!$R:$R)</f>
        <v>146937.31999999998</v>
      </c>
      <c r="F32" s="167">
        <f>SUMIF('T 07.00'!$E:$E,"c003x   - Corporates",'T 07.00'!$R:$R)</f>
        <v>5065106.22</v>
      </c>
      <c r="G32" s="167">
        <f>SUMIF('T 07.00'!$E:$E,"c004x   - Institutions",'T 07.00'!$R:$R)</f>
        <v>612450050.64000189</v>
      </c>
      <c r="H32" s="167">
        <f>SUMIF('T 07.00'!$E:$E,"c005x   - Other financial corporations",'T 07.00'!$R:$R)+I32</f>
        <v>281776158.13</v>
      </c>
      <c r="I32" s="167">
        <f>SUMIF('T 07.00'!$E:$E,"c006x   - Insurance firms &amp; pension funds",'T 07.00'!$R:$R)</f>
        <v>0</v>
      </c>
      <c r="J32" s="167">
        <f>SUMIF('T 07.00'!$E:$E,"c008x   - Government, central banks &amp; supranationals",'T 07.00'!$R:$R)</f>
        <v>0</v>
      </c>
      <c r="K32" s="167">
        <v>0</v>
      </c>
      <c r="L32" s="167">
        <f>SUMIF('T 07.00'!$E:$E,"",'T 07.00'!$R:$R)</f>
        <v>0</v>
      </c>
      <c r="M32" s="167">
        <f t="shared" si="1"/>
        <v>899438252.31000185</v>
      </c>
      <c r="N32" s="167">
        <f>SUMIF('T 07.00'!$O:$O,"TRUE",'T 07.00'!$R:$R)</f>
        <v>640643504.81000197</v>
      </c>
      <c r="O32" s="168">
        <v>0</v>
      </c>
      <c r="P32" s="169"/>
      <c r="Q32" s="170"/>
      <c r="R32" s="171"/>
      <c r="S32" s="172"/>
      <c r="T32" s="173"/>
      <c r="AD32" s="97"/>
      <c r="AE32" s="98"/>
    </row>
    <row r="33" spans="1:32" ht="15" customHeight="1" outlineLevel="1" x14ac:dyDescent="0.25">
      <c r="A33" s="175"/>
      <c r="B33" s="153" t="s">
        <v>2639</v>
      </c>
      <c r="C33" s="148" t="s">
        <v>2640</v>
      </c>
      <c r="D33" s="100">
        <f>SUMIF('T 07.00'!$E:$E,"c001x   - Households",'T 07.00'!$R:$R)</f>
        <v>0</v>
      </c>
      <c r="E33" s="95">
        <f>SUMIF('T 07.00'!$E:$E,"c002x   - Micro &amp; SME",'T 07.00'!$R:$R)</f>
        <v>146937.31999999998</v>
      </c>
      <c r="F33" s="95">
        <f>SUMIF('T 07.00'!$E:$E,"c003x   - Corporates",'T 07.00'!$R:$R)</f>
        <v>5065106.22</v>
      </c>
      <c r="G33" s="95">
        <f>SUMIF('T 07.00'!$E:$E,"c004x   - Institutions",'T 07.00'!$R:$R)</f>
        <v>612450050.64000189</v>
      </c>
      <c r="H33" s="95">
        <f>SUMIF('T 07.00'!$E:$E,"c005x   - Other financial corporations",'T 07.00'!$R:$R)+I33</f>
        <v>281776158.13</v>
      </c>
      <c r="I33" s="95">
        <f>SUMIF('T 07.00'!$E:$E,"c006x   - Insurance firms &amp; pension funds",'T 07.00'!$R:$R)</f>
        <v>0</v>
      </c>
      <c r="J33" s="95">
        <f>SUMIF('T 07.00'!$E:$E,"c008x   - Government, central banks &amp; supranationals",'T 07.00'!$R:$R)</f>
        <v>0</v>
      </c>
      <c r="K33" s="95">
        <v>0</v>
      </c>
      <c r="L33" s="95">
        <f>SUMIF('T 07.00'!$E:$E,"",'T 07.00'!$R:$R)</f>
        <v>0</v>
      </c>
      <c r="M33" s="95">
        <f t="shared" si="1"/>
        <v>899438252.31000185</v>
      </c>
      <c r="N33" s="95">
        <f>SUMIF('T 07.00'!O:O,"TRUE",'T 07.00'!$R:$R)</f>
        <v>640643504.81000197</v>
      </c>
      <c r="O33" s="96">
        <v>0</v>
      </c>
      <c r="P33" s="157"/>
      <c r="Q33" s="140"/>
      <c r="R33" s="141"/>
      <c r="S33" s="142"/>
      <c r="T33" s="143"/>
      <c r="AD33" s="97"/>
      <c r="AE33" s="98"/>
    </row>
    <row r="34" spans="1:32" ht="15" customHeight="1" outlineLevel="1" x14ac:dyDescent="0.25">
      <c r="A34" s="175"/>
      <c r="B34" s="153" t="s">
        <v>2641</v>
      </c>
      <c r="C34" s="148" t="s">
        <v>2642</v>
      </c>
      <c r="D34" s="100">
        <f>SUMIF('T 07.00'!$E:$E,"c001x   - Households",'T 07.00'!$R:$R)</f>
        <v>0</v>
      </c>
      <c r="E34" s="95">
        <f>SUMIF('T 07.00'!$E:$E,"c002x   - Micro &amp; SME",'T 07.00'!$R:$R)</f>
        <v>146937.31999999998</v>
      </c>
      <c r="F34" s="95">
        <f>SUMIF('T 07.00'!$E:$E,"c003x   - Corporates",'T 07.00'!$R:$R)</f>
        <v>5065106.22</v>
      </c>
      <c r="G34" s="95">
        <f>SUMIF('T 07.00'!$E:$E,"c004x   - Institutions",'T 07.00'!$R:$R)</f>
        <v>612450050.64000189</v>
      </c>
      <c r="H34" s="95">
        <f>SUMIF('T 07.00'!$E:$E,"c005x   - Other financial corporations",'T 07.00'!$R:$R)+I34</f>
        <v>281776158.13</v>
      </c>
      <c r="I34" s="95">
        <f>SUMIF('T 07.00'!$E:$E,"c006x   - Insurance firms &amp; pension funds",'T 07.00'!$R:$R)</f>
        <v>0</v>
      </c>
      <c r="J34" s="95">
        <f>SUMIF('T 07.00'!$E:$E,"c008x   - Government, central banks &amp; supranationals",'T 07.00'!$R:$R)</f>
        <v>0</v>
      </c>
      <c r="K34" s="95">
        <v>0</v>
      </c>
      <c r="L34" s="95">
        <f>SUMIF('T 07.00'!$E:$E,"",'T 07.00'!$R:$R)</f>
        <v>0</v>
      </c>
      <c r="M34" s="95">
        <f t="shared" si="1"/>
        <v>899438252.31000185</v>
      </c>
      <c r="N34" s="95">
        <f>SUMIF('T 07.00'!O:O,"TRUE",'T 07.00'!$R:$R)</f>
        <v>640643504.81000197</v>
      </c>
      <c r="O34" s="96">
        <v>0</v>
      </c>
      <c r="P34" s="157"/>
      <c r="Q34" s="140"/>
      <c r="R34" s="141"/>
      <c r="S34" s="142"/>
      <c r="T34" s="143"/>
      <c r="AD34" s="97"/>
      <c r="AE34" s="98"/>
    </row>
    <row r="35" spans="1:32" ht="15" customHeight="1" outlineLevel="1" x14ac:dyDescent="0.25">
      <c r="A35" s="175"/>
      <c r="B35" s="153" t="s">
        <v>2643</v>
      </c>
      <c r="C35" s="148" t="s">
        <v>2644</v>
      </c>
      <c r="D35" s="100">
        <f>SUMIF('T 07.00'!$E:$E,"c001x   - Households",'T 07.00'!$R:$R)</f>
        <v>0</v>
      </c>
      <c r="E35" s="95">
        <f>SUMIF('T 07.00'!$E:$E,"c002x   - Micro &amp; SME",'T 07.00'!$R:$R)</f>
        <v>146937.31999999998</v>
      </c>
      <c r="F35" s="95">
        <f>SUMIF('T 07.00'!$E:$E,"c003x   - Corporates",'T 07.00'!$R:$R)</f>
        <v>5065106.22</v>
      </c>
      <c r="G35" s="95">
        <f>SUMIF('T 07.00'!$E:$E,"c004x   - Institutions",'T 07.00'!$R:$R)</f>
        <v>612450050.64000189</v>
      </c>
      <c r="H35" s="95">
        <f>SUMIF('T 07.00'!$E:$E,"c005x   - Other financial corporations",'T 07.00'!$R:$R)+I35</f>
        <v>281776158.13</v>
      </c>
      <c r="I35" s="95">
        <f>SUMIF('T 07.00'!$E:$E,"c006x   - Insurance firms &amp; pension funds",'T 07.00'!$R:$R)</f>
        <v>0</v>
      </c>
      <c r="J35" s="95">
        <f>SUMIF('T 07.00'!$E:$E,"c008x   - Government, central banks &amp; supranationals",'T 07.00'!$R:$R)</f>
        <v>0</v>
      </c>
      <c r="K35" s="95">
        <v>0</v>
      </c>
      <c r="L35" s="95">
        <f>SUMIF('T 07.00'!$E:$E,"",'T 07.00'!$R:$R)</f>
        <v>0</v>
      </c>
      <c r="M35" s="95">
        <f t="shared" si="1"/>
        <v>899438252.31000185</v>
      </c>
      <c r="N35" s="95">
        <f>SUMIF('T 07.00'!O:O,"TRUE",'T 07.00'!$R:$R)</f>
        <v>640643504.81000197</v>
      </c>
      <c r="O35" s="96">
        <v>0</v>
      </c>
      <c r="P35" s="157"/>
      <c r="Q35" s="140"/>
      <c r="R35" s="141"/>
      <c r="S35" s="142"/>
      <c r="T35" s="143"/>
      <c r="AD35" s="97"/>
      <c r="AE35" s="98"/>
    </row>
    <row r="36" spans="1:32" ht="15" customHeight="1" outlineLevel="1" x14ac:dyDescent="0.25">
      <c r="A36" s="175"/>
      <c r="B36" s="153" t="s">
        <v>2645</v>
      </c>
      <c r="C36" s="148" t="s">
        <v>2646</v>
      </c>
      <c r="D36" s="100">
        <f>SUMIF('T 07.00'!$E:$E,"c001x   - Households",'T 07.00'!$U:$U)</f>
        <v>0</v>
      </c>
      <c r="E36" s="95">
        <f>SUMIF('T 07.00'!$E:$E,"c002x   - Micro &amp; SME",'T 07.00'!$U:$U)</f>
        <v>146937.31999999998</v>
      </c>
      <c r="F36" s="95">
        <f>SUMIF('T 07.00'!$E:$E,"c003x   - Corporates",'T 07.00'!$U:$U)</f>
        <v>5065106.26</v>
      </c>
      <c r="G36" s="95">
        <f>SUMIF('T 07.00'!$E:$E,"c004x   - Institutions",'T 07.00'!$U:$U)</f>
        <v>172845514.588404</v>
      </c>
      <c r="H36" s="95">
        <f>SUMIF('T 07.00'!$E:$E,"c005x   - Other financial corporations",'T 07.00'!$U:$U)+I36</f>
        <v>36658488.450000003</v>
      </c>
      <c r="I36" s="95">
        <f>SUMIF('T 07.00'!$E:$E,"c006x   - Insurance firms &amp; pension funds",'T 07.00'!$U:$U)</f>
        <v>0</v>
      </c>
      <c r="J36" s="95">
        <f>SUMIF('T 07.00'!$E:$E,"c008x   - Government, central banks &amp; supranationals",'T 07.00'!$U:$U)</f>
        <v>0</v>
      </c>
      <c r="K36" s="95">
        <v>0</v>
      </c>
      <c r="L36" s="95">
        <f>SUMIF('T 07.00'!$E:$E,"",'T 07.00'!$U:$U)</f>
        <v>0</v>
      </c>
      <c r="M36" s="95">
        <f t="shared" si="1"/>
        <v>214716046.61840403</v>
      </c>
      <c r="N36" s="95">
        <f>SUMIF('T 07.00'!O:O,"TRUE",'T 07.00'!$U:$U)</f>
        <v>201610742.80840397</v>
      </c>
      <c r="O36" s="96">
        <v>0</v>
      </c>
      <c r="P36" s="157"/>
      <c r="Q36" s="140"/>
      <c r="R36" s="141"/>
      <c r="S36" s="142"/>
      <c r="T36" s="143"/>
      <c r="AD36" s="97"/>
      <c r="AE36" s="98"/>
    </row>
    <row r="37" spans="1:32" outlineLevel="1" x14ac:dyDescent="0.25">
      <c r="A37" s="175"/>
      <c r="B37" s="149" t="s">
        <v>1815</v>
      </c>
      <c r="C37" s="148" t="s">
        <v>1816</v>
      </c>
      <c r="D37" s="158">
        <v>0</v>
      </c>
      <c r="E37" s="159">
        <v>0</v>
      </c>
      <c r="F37" s="159">
        <v>0</v>
      </c>
      <c r="G37" s="159">
        <v>0</v>
      </c>
      <c r="H37" s="159">
        <v>0</v>
      </c>
      <c r="I37" s="159">
        <v>0</v>
      </c>
      <c r="J37" s="159">
        <v>0</v>
      </c>
      <c r="K37" s="159">
        <v>0</v>
      </c>
      <c r="L37" s="159">
        <v>0</v>
      </c>
      <c r="M37" s="159">
        <f t="shared" si="1"/>
        <v>0</v>
      </c>
      <c r="N37" s="159">
        <v>0</v>
      </c>
      <c r="O37" s="162">
        <v>0</v>
      </c>
      <c r="P37" s="174"/>
      <c r="Q37" s="170"/>
      <c r="R37" s="171"/>
      <c r="S37" s="172"/>
      <c r="T37" s="173"/>
      <c r="AD37" s="97"/>
      <c r="AF37" s="103"/>
    </row>
    <row r="38" spans="1:32" outlineLevel="2" x14ac:dyDescent="0.25">
      <c r="A38" s="175"/>
      <c r="B38" s="153" t="s">
        <v>1800</v>
      </c>
      <c r="C38" s="148" t="s">
        <v>1817</v>
      </c>
      <c r="D38" s="158">
        <v>0</v>
      </c>
      <c r="E38" s="159">
        <v>0</v>
      </c>
      <c r="F38" s="159">
        <v>0</v>
      </c>
      <c r="G38" s="159">
        <v>0</v>
      </c>
      <c r="H38" s="159">
        <v>0</v>
      </c>
      <c r="I38" s="159">
        <v>0</v>
      </c>
      <c r="J38" s="159">
        <v>0</v>
      </c>
      <c r="K38" s="159">
        <v>0</v>
      </c>
      <c r="L38" s="159">
        <v>0</v>
      </c>
      <c r="M38" s="159">
        <f t="shared" si="1"/>
        <v>0</v>
      </c>
      <c r="N38" s="159">
        <v>0</v>
      </c>
      <c r="O38" s="162">
        <v>0</v>
      </c>
      <c r="P38" s="174"/>
      <c r="Q38" s="170"/>
      <c r="R38" s="171"/>
      <c r="S38" s="172"/>
      <c r="T38" s="173"/>
      <c r="X38" s="112"/>
      <c r="AD38" s="97"/>
      <c r="AE38" s="98"/>
      <c r="AF38" s="103"/>
    </row>
    <row r="39" spans="1:32" ht="30" outlineLevel="2" x14ac:dyDescent="0.25">
      <c r="A39" s="175"/>
      <c r="B39" s="153" t="s">
        <v>1802</v>
      </c>
      <c r="C39" s="148" t="s">
        <v>1818</v>
      </c>
      <c r="D39" s="158">
        <v>0</v>
      </c>
      <c r="E39" s="159">
        <v>0</v>
      </c>
      <c r="F39" s="159">
        <v>0</v>
      </c>
      <c r="G39" s="159">
        <v>0</v>
      </c>
      <c r="H39" s="159">
        <v>0</v>
      </c>
      <c r="I39" s="159">
        <v>0</v>
      </c>
      <c r="J39" s="159">
        <v>0</v>
      </c>
      <c r="K39" s="159">
        <v>0</v>
      </c>
      <c r="L39" s="159">
        <v>0</v>
      </c>
      <c r="M39" s="159">
        <f t="shared" si="1"/>
        <v>0</v>
      </c>
      <c r="N39" s="159">
        <v>0</v>
      </c>
      <c r="O39" s="162">
        <v>0</v>
      </c>
      <c r="P39" s="169"/>
      <c r="Q39" s="170"/>
      <c r="R39" s="171"/>
      <c r="S39" s="172"/>
      <c r="T39" s="173"/>
      <c r="X39" s="112"/>
      <c r="AD39" s="97"/>
      <c r="AE39" s="98"/>
      <c r="AF39" s="103"/>
    </row>
    <row r="40" spans="1:32" ht="30" outlineLevel="2" x14ac:dyDescent="0.25">
      <c r="A40" s="175"/>
      <c r="B40" s="153" t="s">
        <v>1804</v>
      </c>
      <c r="C40" s="148" t="s">
        <v>1819</v>
      </c>
      <c r="D40" s="158">
        <v>0</v>
      </c>
      <c r="E40" s="159">
        <v>0</v>
      </c>
      <c r="F40" s="159">
        <v>0</v>
      </c>
      <c r="G40" s="159">
        <v>0</v>
      </c>
      <c r="H40" s="159">
        <v>0</v>
      </c>
      <c r="I40" s="159">
        <v>0</v>
      </c>
      <c r="J40" s="159">
        <v>0</v>
      </c>
      <c r="K40" s="159">
        <v>0</v>
      </c>
      <c r="L40" s="159">
        <v>0</v>
      </c>
      <c r="M40" s="159">
        <f t="shared" si="1"/>
        <v>0</v>
      </c>
      <c r="N40" s="159">
        <v>0</v>
      </c>
      <c r="O40" s="162">
        <v>0</v>
      </c>
      <c r="P40" s="169"/>
      <c r="Q40" s="170"/>
      <c r="R40" s="171"/>
      <c r="S40" s="172"/>
      <c r="T40" s="173"/>
      <c r="X40" s="112"/>
      <c r="AD40" s="97"/>
      <c r="AF40" s="103"/>
    </row>
    <row r="41" spans="1:32" outlineLevel="2" x14ac:dyDescent="0.25">
      <c r="A41" s="175"/>
      <c r="B41" s="153" t="s">
        <v>1806</v>
      </c>
      <c r="C41" s="148" t="s">
        <v>1820</v>
      </c>
      <c r="D41" s="158">
        <v>0</v>
      </c>
      <c r="E41" s="159">
        <v>0</v>
      </c>
      <c r="F41" s="159">
        <v>0</v>
      </c>
      <c r="G41" s="159">
        <v>0</v>
      </c>
      <c r="H41" s="159">
        <v>0</v>
      </c>
      <c r="I41" s="159">
        <v>0</v>
      </c>
      <c r="J41" s="159">
        <v>0</v>
      </c>
      <c r="K41" s="159">
        <v>0</v>
      </c>
      <c r="L41" s="159">
        <v>0</v>
      </c>
      <c r="M41" s="159">
        <f t="shared" si="1"/>
        <v>0</v>
      </c>
      <c r="N41" s="159">
        <v>0</v>
      </c>
      <c r="O41" s="162">
        <v>0</v>
      </c>
      <c r="P41" s="169"/>
      <c r="Q41" s="170"/>
      <c r="R41" s="171"/>
      <c r="S41" s="172"/>
      <c r="T41" s="173"/>
      <c r="X41" s="112"/>
      <c r="AD41" s="97"/>
      <c r="AF41" s="103"/>
    </row>
    <row r="42" spans="1:32" outlineLevel="1" x14ac:dyDescent="0.25">
      <c r="A42" s="175"/>
      <c r="B42" s="149" t="s">
        <v>1821</v>
      </c>
      <c r="C42" s="148" t="s">
        <v>1822</v>
      </c>
      <c r="D42" s="158">
        <f>SUM(D43:D46)</f>
        <v>0</v>
      </c>
      <c r="E42" s="159">
        <f t="shared" ref="E42:L42" si="5">SUM(E43:E46)</f>
        <v>0</v>
      </c>
      <c r="F42" s="159">
        <f t="shared" si="5"/>
        <v>0</v>
      </c>
      <c r="G42" s="159">
        <f t="shared" si="5"/>
        <v>182884000</v>
      </c>
      <c r="H42" s="159">
        <f t="shared" si="5"/>
        <v>0</v>
      </c>
      <c r="I42" s="159">
        <f t="shared" si="5"/>
        <v>0</v>
      </c>
      <c r="J42" s="159">
        <f t="shared" si="5"/>
        <v>0</v>
      </c>
      <c r="K42" s="159">
        <f t="shared" si="5"/>
        <v>0</v>
      </c>
      <c r="L42" s="159">
        <f t="shared" si="5"/>
        <v>0</v>
      </c>
      <c r="M42" s="159">
        <f t="shared" si="1"/>
        <v>182884000</v>
      </c>
      <c r="N42" s="159">
        <f t="shared" ref="N42:O42" si="6">SUM(N43:N46)</f>
        <v>8209741.6103649996</v>
      </c>
      <c r="O42" s="162">
        <f t="shared" si="6"/>
        <v>0</v>
      </c>
      <c r="P42" s="169"/>
      <c r="Q42" s="170"/>
      <c r="R42" s="171"/>
      <c r="S42" s="172"/>
      <c r="T42" s="173"/>
      <c r="AC42" s="106"/>
      <c r="AD42" s="97"/>
    </row>
    <row r="43" spans="1:32" outlineLevel="2" x14ac:dyDescent="0.25">
      <c r="A43" s="175"/>
      <c r="B43" s="153" t="s">
        <v>1800</v>
      </c>
      <c r="C43" s="148" t="s">
        <v>1823</v>
      </c>
      <c r="D43" s="158">
        <f>+SUMIFS('T 04.00'!$N:$N,'T 04.00'!$F:$F,"c001x   - Households",'T 04.00'!$E:$E,"r0350 - Structured notes",'T 04.00'!AL:AL,1)</f>
        <v>0</v>
      </c>
      <c r="E43" s="159">
        <f>+SUMIFS('T 04.00'!$N:$N,'T 04.00'!$F:$F,"c002x   - Micro &amp; SME",'T 04.00'!$E:$E,"r0350 - Structured notes",'T 04.00'!AL:AL,1)</f>
        <v>0</v>
      </c>
      <c r="F43" s="159">
        <f>+SUMIFS('T 04.00'!$N:$N,'T 04.00'!$F:$F,"c003x   - Corporates",'T 04.00'!$E:$E,"r0350 - Structured notes",'T 04.00'!AL:AL,1)</f>
        <v>0</v>
      </c>
      <c r="G43" s="159">
        <f>+SUMIFS('T 04.00'!$N:$N,'T 04.00'!$F:$F,"c004x   - Institutions",'T 04.00'!$E:$E,"r0350 - Structured notes",'T 04.00'!AL:AL,1)</f>
        <v>0</v>
      </c>
      <c r="H43" s="159">
        <f>+SUMIFS('T 04.00'!$N:$N,'T 04.00'!$F:$F,"c005x   - Other financial corporations",'T 04.00'!$E:$E,"r0350 - Structured notes",'T 04.00'!AL:AL,1)</f>
        <v>0</v>
      </c>
      <c r="I43" s="159">
        <f>+SUMIFS('T 04.00'!$N:$N,'T 04.00'!$F:$F,"c006x   - Insurance firms &amp; pension funds",'T 04.00'!$E:$E,"r0350 - Structured notes",'T 04.00'!AL:AL,1)</f>
        <v>0</v>
      </c>
      <c r="J43" s="159">
        <f>+SUMIFS('T 04.00'!$N:$N,'T 04.00'!$F:$F,"c008x   - Government, central banks &amp; supranationals",'T 04.00'!$E:$E,"r0350 - Structured notes",'T 04.00'!AL:AL,1)</f>
        <v>0</v>
      </c>
      <c r="K43" s="159">
        <v>0</v>
      </c>
      <c r="L43" s="159">
        <f>+SUMIFS('T 04.00'!$N:$N,'T 04.00'!$F:$F,"",'T 04.00'!$E:$E,"r0350 - Structured notes",'T 04.00'!AL:AL,1)</f>
        <v>0</v>
      </c>
      <c r="M43" s="159">
        <f t="shared" si="1"/>
        <v>0</v>
      </c>
      <c r="N43" s="159">
        <f>SUMIFS('T 03.01'!$P:$P,'T 03.01'!$E:$E,"r0350 - Structured notes",'T 03.01'!AC:AC,1)</f>
        <v>0</v>
      </c>
      <c r="O43" s="162">
        <v>0</v>
      </c>
      <c r="P43" s="113"/>
      <c r="Q43" s="114"/>
      <c r="R43" s="115"/>
      <c r="X43" s="112"/>
      <c r="AC43" s="106"/>
      <c r="AD43" s="97"/>
      <c r="AE43" s="98"/>
    </row>
    <row r="44" spans="1:32" ht="30" outlineLevel="2" x14ac:dyDescent="0.25">
      <c r="A44" s="175"/>
      <c r="B44" s="153" t="s">
        <v>1802</v>
      </c>
      <c r="C44" s="148" t="s">
        <v>1824</v>
      </c>
      <c r="D44" s="158">
        <f>+SUMIFS('T 04.00'!$N:$N,'T 04.00'!$F:$F,"c001x   - Households",'T 04.00'!$E:$E,"r0350 - Structured notes",'T 04.00'!AL:AL,2)</f>
        <v>0</v>
      </c>
      <c r="E44" s="159">
        <f>+SUMIFS('T 04.00'!$N:$N,'T 04.00'!$F:$F,"c002x   - Micro &amp; SME",'T 04.00'!$E:$E,"r0350 - Structured notes",'T 04.00'!AL:AL,2)</f>
        <v>0</v>
      </c>
      <c r="F44" s="159">
        <f>+SUMIFS('T 04.00'!$N:$N,'T 04.00'!$F:$F,"c003x   - Corporates",'T 04.00'!$E:$E,"r0350 - Structured notes",'T 04.00'!AL:AL,2)</f>
        <v>0</v>
      </c>
      <c r="G44" s="159">
        <f>+SUMIFS('T 04.00'!$N:$N,'T 04.00'!$F:$F,"c004x   - Institutions",'T 04.00'!$E:$E,"r0350 - Structured notes",'T 04.00'!AL:AL,2)</f>
        <v>0</v>
      </c>
      <c r="H44" s="159">
        <f>+SUMIFS('T 04.00'!$N:$N,'T 04.00'!$F:$F,"c005x   - Other financial corporations",'T 04.00'!$E:$E,"r0350 - Structured notes",'T 04.00'!AL:AL,2)</f>
        <v>0</v>
      </c>
      <c r="I44" s="159">
        <f>+SUMIFS('T 04.00'!$N:$N,'T 04.00'!$F:$F,"c006x   - Insurance firms &amp; pension funds",'T 04.00'!$E:$E,"r0350 - Structured notes",'T 04.00'!AL:AL,2)</f>
        <v>0</v>
      </c>
      <c r="J44" s="159">
        <f>+SUMIFS('T 04.00'!$N:$N,'T 04.00'!$F:$F,"c008x   - Government, central banks &amp; supranationals",'T 04.00'!$E:$E,"r0350 - Structured notes",'T 04.00'!AL:AL,2)</f>
        <v>0</v>
      </c>
      <c r="K44" s="159">
        <v>0</v>
      </c>
      <c r="L44" s="159">
        <f>+SUMIFS('T 04.00'!$N:$N,'T 04.00'!$F:$F,"",'T 04.00'!$E:$E,"r0350 - Structured notes",'T 04.00'!AL:AL,2)</f>
        <v>0</v>
      </c>
      <c r="M44" s="159">
        <f t="shared" si="1"/>
        <v>0</v>
      </c>
      <c r="N44" s="159">
        <f>SUMIFS('T 03.01'!$P:$P,'T 03.01'!$E:$E,"r0350 - Structured notes",'T 03.01'!AC:AC,2)</f>
        <v>0</v>
      </c>
      <c r="O44" s="162">
        <v>0</v>
      </c>
      <c r="P44" s="113"/>
      <c r="Q44" s="114"/>
      <c r="R44" s="115"/>
      <c r="X44" s="112"/>
      <c r="AC44" s="106"/>
      <c r="AD44" s="97"/>
      <c r="AE44" s="98"/>
    </row>
    <row r="45" spans="1:32" ht="30" outlineLevel="2" x14ac:dyDescent="0.25">
      <c r="A45" s="175"/>
      <c r="B45" s="153" t="s">
        <v>1804</v>
      </c>
      <c r="C45" s="148" t="s">
        <v>1825</v>
      </c>
      <c r="D45" s="158">
        <f>+SUMIFS('T 04.00'!$N:$N,'T 04.00'!$F:$F,"c001x   - Households",'T 04.00'!$E:$E,"r0350 - Structured notes",'T 04.00'!AL:AL,3)</f>
        <v>0</v>
      </c>
      <c r="E45" s="159">
        <f>+SUMIFS('T 04.00'!$N:$N,'T 04.00'!$F:$F,"c002x   - Micro &amp; SME",'T 04.00'!$E:$E,"r0350 - Structured notes",'T 04.00'!AL:AL,3)</f>
        <v>0</v>
      </c>
      <c r="F45" s="159">
        <f>+SUMIFS('T 04.00'!$N:$N,'T 04.00'!$F:$F,"c003x   - Corporates",'T 04.00'!$E:$E,"r0350 - Structured notes",'T 04.00'!AL:AL,3)</f>
        <v>0</v>
      </c>
      <c r="G45" s="159">
        <f>+SUMIFS('T 04.00'!$N:$N,'T 04.00'!$F:$F,"c004x   - Institutions",'T 04.00'!$E:$E,"r0350 - Structured notes",'T 04.00'!AL:AL,3)</f>
        <v>0</v>
      </c>
      <c r="H45" s="159">
        <f>+SUMIFS('T 04.00'!$N:$N,'T 04.00'!$F:$F,"c005x   - Other financial corporations",'T 04.00'!$E:$E,"r0350 - Structured notes",'T 04.00'!AL:AL,3)</f>
        <v>0</v>
      </c>
      <c r="I45" s="159">
        <f>+SUMIFS('T 04.00'!$N:$N,'T 04.00'!$F:$F,"c006x   - Insurance firms &amp; pension funds",'T 04.00'!$E:$E,"r0350 - Structured notes",'T 04.00'!AL:AL,3)</f>
        <v>0</v>
      </c>
      <c r="J45" s="159">
        <f>+SUMIFS('T 04.00'!$N:$N,'T 04.00'!$F:$F,"c008x   - Government, central banks &amp; supranationals",'T 04.00'!$E:$E,"r0350 - Structured notes",'T 04.00'!AL:AL,3)</f>
        <v>0</v>
      </c>
      <c r="K45" s="159">
        <v>0</v>
      </c>
      <c r="L45" s="159">
        <f>+SUMIFS('T 04.00'!$N:$N,'T 04.00'!$F:$F,"",'T 04.00'!$E:$E,"r0350 - Structured notes",'T 04.00'!AL:AL,3)</f>
        <v>0</v>
      </c>
      <c r="M45" s="159">
        <f t="shared" si="1"/>
        <v>0</v>
      </c>
      <c r="N45" s="159">
        <f>SUMIFS('T 03.01'!$P:$P,'T 03.01'!$E:$E,"r0350 - Structured notes",'T 03.01'!AC:AC,3)</f>
        <v>0</v>
      </c>
      <c r="O45" s="162">
        <v>0</v>
      </c>
      <c r="P45" s="113"/>
      <c r="Q45" s="114"/>
      <c r="R45" s="115"/>
      <c r="X45" s="112"/>
      <c r="AC45" s="106"/>
      <c r="AD45" s="97"/>
    </row>
    <row r="46" spans="1:32" outlineLevel="2" x14ac:dyDescent="0.25">
      <c r="A46" s="175"/>
      <c r="B46" s="153" t="s">
        <v>1806</v>
      </c>
      <c r="C46" s="148" t="s">
        <v>1826</v>
      </c>
      <c r="D46" s="158">
        <f>+SUMIFS('T 04.00'!$N:$N,'T 04.00'!$F:$F,"c001x   - Households",'T 04.00'!$E:$E,"r0350 - Structured notes",'T 04.00'!AL:AL,4)</f>
        <v>0</v>
      </c>
      <c r="E46" s="159">
        <f>+SUMIFS('T 04.00'!$N:$N,'T 04.00'!$F:$F,"c002x   - Micro &amp; SME",'T 04.00'!$E:$E,"r0350 - Structured notes",'T 04.00'!AL:AL,4)</f>
        <v>0</v>
      </c>
      <c r="F46" s="159">
        <f>+SUMIFS('T 04.00'!$N:$N,'T 04.00'!$F:$F,"c003x   - Corporates",'T 04.00'!$E:$E,"r0350 - Structured notes",'T 04.00'!AL:AL,4)</f>
        <v>0</v>
      </c>
      <c r="G46" s="159">
        <f>+SUMIFS('T 04.00'!$N:$N,'T 04.00'!$F:$F,"c004x   - Institutions",'T 04.00'!$E:$E,"r0350 - Structured notes",'T 04.00'!AL:AL,4)</f>
        <v>182884000</v>
      </c>
      <c r="H46" s="159">
        <f>+SUMIFS('T 04.00'!$N:$N,'T 04.00'!$F:$F,"c005x   - Other financial corporations",'T 04.00'!$E:$E,"r0350 - Structured notes",'T 04.00'!AL:AL,4)</f>
        <v>0</v>
      </c>
      <c r="I46" s="159">
        <f>+SUMIFS('T 04.00'!$N:$N,'T 04.00'!$F:$F,"c006x   - Insurance firms &amp; pension funds",'T 04.00'!$E:$E,"r0350 - Structured notes",'T 04.00'!AL:AL,4)</f>
        <v>0</v>
      </c>
      <c r="J46" s="159">
        <f>+SUMIFS('T 04.00'!$N:$N,'T 04.00'!$F:$F,"c008x   - Government, central banks &amp; supranationals",'T 04.00'!$E:$E,"r0350 - Structured notes",'T 04.00'!AL:AL,4)</f>
        <v>0</v>
      </c>
      <c r="K46" s="159">
        <v>0</v>
      </c>
      <c r="L46" s="159">
        <f>+SUMIFS('T 04.00'!$N:$N,'T 04.00'!$F:$F,"",'T 04.00'!$E:$E,"r0350 - Structured notes",'T 04.00'!AL:AL,4)</f>
        <v>0</v>
      </c>
      <c r="M46" s="159">
        <f t="shared" si="1"/>
        <v>182884000</v>
      </c>
      <c r="N46" s="159">
        <f>SUMIFS('T 03.01'!$P:$P,'T 03.01'!$E:$E,"r0350 - Structured notes",'T 03.01'!AC:AC,4)</f>
        <v>8209741.6103649996</v>
      </c>
      <c r="O46" s="162">
        <v>0</v>
      </c>
      <c r="P46" s="113"/>
      <c r="Q46" s="114"/>
      <c r="R46" s="115"/>
      <c r="X46" s="112"/>
      <c r="AC46" s="106"/>
      <c r="AD46" s="97"/>
    </row>
    <row r="47" spans="1:32" outlineLevel="1" x14ac:dyDescent="0.25">
      <c r="A47" s="175"/>
      <c r="B47" s="149" t="s">
        <v>1827</v>
      </c>
      <c r="C47" s="148" t="s">
        <v>1828</v>
      </c>
      <c r="D47" s="158">
        <f>+SUM(D48:D51)</f>
        <v>0</v>
      </c>
      <c r="E47" s="159">
        <v>0</v>
      </c>
      <c r="F47" s="159">
        <v>0</v>
      </c>
      <c r="G47" s="159">
        <v>0</v>
      </c>
      <c r="H47" s="159">
        <v>0</v>
      </c>
      <c r="I47" s="159">
        <v>0</v>
      </c>
      <c r="J47" s="159">
        <v>0</v>
      </c>
      <c r="K47" s="159">
        <v>0</v>
      </c>
      <c r="L47" s="159">
        <v>0</v>
      </c>
      <c r="M47" s="159">
        <f t="shared" si="1"/>
        <v>0</v>
      </c>
      <c r="N47" s="159">
        <f>+SUM(N48:N51)</f>
        <v>0</v>
      </c>
      <c r="O47" s="162">
        <v>0</v>
      </c>
      <c r="P47" s="113"/>
      <c r="Q47" s="114"/>
      <c r="R47" s="115"/>
      <c r="T47" s="116"/>
      <c r="Y47" s="117"/>
      <c r="AB47" s="105"/>
      <c r="AD47" s="97"/>
    </row>
    <row r="48" spans="1:32" outlineLevel="2" x14ac:dyDescent="0.25">
      <c r="A48" s="175"/>
      <c r="B48" s="153" t="s">
        <v>1800</v>
      </c>
      <c r="C48" s="148" t="s">
        <v>1829</v>
      </c>
      <c r="D48" s="158">
        <v>0</v>
      </c>
      <c r="E48" s="159">
        <v>0</v>
      </c>
      <c r="F48" s="159">
        <v>0</v>
      </c>
      <c r="G48" s="159">
        <v>0</v>
      </c>
      <c r="H48" s="159">
        <v>0</v>
      </c>
      <c r="I48" s="159">
        <v>0</v>
      </c>
      <c r="J48" s="159">
        <v>0</v>
      </c>
      <c r="K48" s="159">
        <v>0</v>
      </c>
      <c r="L48" s="159">
        <v>0</v>
      </c>
      <c r="M48" s="159">
        <f t="shared" si="1"/>
        <v>0</v>
      </c>
      <c r="N48" s="159">
        <v>0</v>
      </c>
      <c r="O48" s="162">
        <v>0</v>
      </c>
      <c r="P48" s="113"/>
      <c r="Q48" s="114"/>
      <c r="R48" s="115"/>
      <c r="T48" s="116"/>
      <c r="X48" s="112"/>
      <c r="Y48" s="117"/>
      <c r="AB48" s="105"/>
      <c r="AD48" s="97"/>
      <c r="AE48" s="98"/>
    </row>
    <row r="49" spans="1:31" ht="30" outlineLevel="2" x14ac:dyDescent="0.25">
      <c r="A49" s="175"/>
      <c r="B49" s="153" t="s">
        <v>1802</v>
      </c>
      <c r="C49" s="148" t="s">
        <v>1830</v>
      </c>
      <c r="D49" s="158">
        <v>0</v>
      </c>
      <c r="E49" s="159">
        <v>0</v>
      </c>
      <c r="F49" s="159">
        <v>0</v>
      </c>
      <c r="G49" s="159">
        <v>0</v>
      </c>
      <c r="H49" s="159">
        <v>0</v>
      </c>
      <c r="I49" s="159">
        <v>0</v>
      </c>
      <c r="J49" s="159">
        <v>0</v>
      </c>
      <c r="K49" s="159">
        <v>0</v>
      </c>
      <c r="L49" s="159">
        <v>0</v>
      </c>
      <c r="M49" s="159">
        <f t="shared" si="1"/>
        <v>0</v>
      </c>
      <c r="N49" s="159">
        <v>0</v>
      </c>
      <c r="O49" s="162">
        <v>0</v>
      </c>
      <c r="P49" s="113"/>
      <c r="Q49" s="114"/>
      <c r="R49" s="115"/>
      <c r="T49" s="116"/>
      <c r="X49" s="112"/>
      <c r="Y49" s="117"/>
      <c r="AB49" s="105"/>
      <c r="AD49" s="97"/>
      <c r="AE49" s="98"/>
    </row>
    <row r="50" spans="1:31" ht="30" outlineLevel="2" x14ac:dyDescent="0.25">
      <c r="A50" s="175"/>
      <c r="B50" s="153" t="s">
        <v>1804</v>
      </c>
      <c r="C50" s="148" t="s">
        <v>1831</v>
      </c>
      <c r="D50" s="158">
        <v>0</v>
      </c>
      <c r="E50" s="159">
        <v>0</v>
      </c>
      <c r="F50" s="159">
        <v>0</v>
      </c>
      <c r="G50" s="159">
        <v>0</v>
      </c>
      <c r="H50" s="159">
        <v>0</v>
      </c>
      <c r="I50" s="159">
        <v>0</v>
      </c>
      <c r="J50" s="159">
        <v>0</v>
      </c>
      <c r="K50" s="159">
        <v>0</v>
      </c>
      <c r="L50" s="159">
        <v>0</v>
      </c>
      <c r="M50" s="159">
        <f t="shared" si="1"/>
        <v>0</v>
      </c>
      <c r="N50" s="159">
        <v>0</v>
      </c>
      <c r="O50" s="162">
        <v>0</v>
      </c>
      <c r="P50" s="113"/>
      <c r="Q50" s="114"/>
      <c r="R50" s="115"/>
      <c r="T50" s="116"/>
      <c r="X50" s="112"/>
      <c r="Y50" s="117"/>
      <c r="AB50" s="105"/>
      <c r="AD50" s="97"/>
    </row>
    <row r="51" spans="1:31" outlineLevel="2" x14ac:dyDescent="0.25">
      <c r="A51" s="175"/>
      <c r="B51" s="153" t="s">
        <v>1806</v>
      </c>
      <c r="C51" s="148" t="s">
        <v>1832</v>
      </c>
      <c r="D51" s="158">
        <v>0</v>
      </c>
      <c r="E51" s="159">
        <v>0</v>
      </c>
      <c r="F51" s="159">
        <v>0</v>
      </c>
      <c r="G51" s="159">
        <v>0</v>
      </c>
      <c r="H51" s="159">
        <v>0</v>
      </c>
      <c r="I51" s="159">
        <v>0</v>
      </c>
      <c r="J51" s="159">
        <v>0</v>
      </c>
      <c r="K51" s="159">
        <v>0</v>
      </c>
      <c r="L51" s="159">
        <v>0</v>
      </c>
      <c r="M51" s="159">
        <f t="shared" si="1"/>
        <v>0</v>
      </c>
      <c r="N51" s="159">
        <v>0</v>
      </c>
      <c r="O51" s="162">
        <v>0</v>
      </c>
      <c r="P51" s="113"/>
      <c r="Q51" s="114"/>
      <c r="R51" s="115"/>
      <c r="T51" s="116"/>
      <c r="X51" s="112"/>
      <c r="Y51" s="117"/>
      <c r="AB51" s="105"/>
      <c r="AD51" s="97"/>
    </row>
    <row r="52" spans="1:31" outlineLevel="1" x14ac:dyDescent="0.25">
      <c r="A52" s="175"/>
      <c r="B52" s="149" t="s">
        <v>1833</v>
      </c>
      <c r="C52" s="148" t="s">
        <v>1834</v>
      </c>
      <c r="D52" s="158">
        <f>+SUM(D53:D56)</f>
        <v>0</v>
      </c>
      <c r="E52" s="159">
        <v>0</v>
      </c>
      <c r="F52" s="159">
        <v>0</v>
      </c>
      <c r="G52" s="159">
        <v>0</v>
      </c>
      <c r="H52" s="159">
        <v>0</v>
      </c>
      <c r="I52" s="159">
        <v>0</v>
      </c>
      <c r="J52" s="159">
        <v>0</v>
      </c>
      <c r="K52" s="159">
        <v>0</v>
      </c>
      <c r="L52" s="159">
        <v>0</v>
      </c>
      <c r="M52" s="159">
        <f t="shared" si="1"/>
        <v>0</v>
      </c>
      <c r="N52" s="159">
        <v>0</v>
      </c>
      <c r="O52" s="162">
        <v>0</v>
      </c>
      <c r="P52" s="113"/>
      <c r="Q52" s="114"/>
      <c r="R52" s="115"/>
      <c r="T52" s="116"/>
      <c r="Y52" s="117"/>
      <c r="AB52" s="105"/>
      <c r="AD52" s="97"/>
    </row>
    <row r="53" spans="1:31" outlineLevel="2" x14ac:dyDescent="0.25">
      <c r="A53" s="175"/>
      <c r="B53" s="153" t="s">
        <v>1835</v>
      </c>
      <c r="C53" s="148" t="s">
        <v>1836</v>
      </c>
      <c r="D53" s="158">
        <v>0</v>
      </c>
      <c r="E53" s="159">
        <v>0</v>
      </c>
      <c r="F53" s="159">
        <v>0</v>
      </c>
      <c r="G53" s="159">
        <v>0</v>
      </c>
      <c r="H53" s="159">
        <v>0</v>
      </c>
      <c r="I53" s="159">
        <v>0</v>
      </c>
      <c r="J53" s="159">
        <v>0</v>
      </c>
      <c r="K53" s="159">
        <v>0</v>
      </c>
      <c r="L53" s="159">
        <v>0</v>
      </c>
      <c r="M53" s="159">
        <f t="shared" si="1"/>
        <v>0</v>
      </c>
      <c r="N53" s="159">
        <v>0</v>
      </c>
      <c r="O53" s="162">
        <v>0</v>
      </c>
      <c r="P53" s="113"/>
      <c r="Q53" s="114"/>
      <c r="R53" s="115"/>
      <c r="T53" s="116"/>
      <c r="X53" s="112"/>
      <c r="Y53" s="117"/>
      <c r="AB53" s="105"/>
      <c r="AD53" s="97"/>
      <c r="AE53" s="98"/>
    </row>
    <row r="54" spans="1:31" ht="30" outlineLevel="2" x14ac:dyDescent="0.25">
      <c r="A54" s="175"/>
      <c r="B54" s="153" t="s">
        <v>1837</v>
      </c>
      <c r="C54" s="148" t="s">
        <v>1838</v>
      </c>
      <c r="D54" s="158">
        <v>0</v>
      </c>
      <c r="E54" s="159">
        <v>0</v>
      </c>
      <c r="F54" s="159">
        <v>0</v>
      </c>
      <c r="G54" s="159">
        <v>0</v>
      </c>
      <c r="H54" s="159">
        <v>0</v>
      </c>
      <c r="I54" s="159">
        <v>0</v>
      </c>
      <c r="J54" s="159">
        <v>0</v>
      </c>
      <c r="K54" s="159">
        <v>0</v>
      </c>
      <c r="L54" s="159">
        <v>0</v>
      </c>
      <c r="M54" s="159">
        <f t="shared" si="1"/>
        <v>0</v>
      </c>
      <c r="N54" s="159">
        <v>0</v>
      </c>
      <c r="O54" s="162">
        <v>0</v>
      </c>
      <c r="P54" s="113"/>
      <c r="Q54" s="114"/>
      <c r="R54" s="115"/>
      <c r="T54" s="116"/>
      <c r="X54" s="112"/>
      <c r="Y54" s="117"/>
      <c r="AB54" s="105"/>
      <c r="AD54" s="97"/>
      <c r="AE54" s="98"/>
    </row>
    <row r="55" spans="1:31" ht="30" outlineLevel="2" x14ac:dyDescent="0.25">
      <c r="A55" s="175"/>
      <c r="B55" s="153" t="s">
        <v>1839</v>
      </c>
      <c r="C55" s="148" t="s">
        <v>1840</v>
      </c>
      <c r="D55" s="158">
        <v>0</v>
      </c>
      <c r="E55" s="159">
        <v>0</v>
      </c>
      <c r="F55" s="159">
        <v>0</v>
      </c>
      <c r="G55" s="159">
        <v>0</v>
      </c>
      <c r="H55" s="159">
        <v>0</v>
      </c>
      <c r="I55" s="159">
        <v>0</v>
      </c>
      <c r="J55" s="159">
        <v>0</v>
      </c>
      <c r="K55" s="159">
        <v>0</v>
      </c>
      <c r="L55" s="159">
        <v>0</v>
      </c>
      <c r="M55" s="159">
        <f t="shared" si="1"/>
        <v>0</v>
      </c>
      <c r="N55" s="159">
        <v>0</v>
      </c>
      <c r="O55" s="162">
        <v>0</v>
      </c>
      <c r="P55" s="113"/>
      <c r="Q55" s="114"/>
      <c r="R55" s="115"/>
      <c r="T55" s="116"/>
      <c r="X55" s="112"/>
      <c r="Y55" s="117"/>
      <c r="AB55" s="105"/>
      <c r="AD55" s="97"/>
    </row>
    <row r="56" spans="1:31" outlineLevel="2" x14ac:dyDescent="0.25">
      <c r="A56" s="175"/>
      <c r="B56" s="153" t="s">
        <v>1841</v>
      </c>
      <c r="C56" s="148" t="s">
        <v>1842</v>
      </c>
      <c r="D56" s="158">
        <v>0</v>
      </c>
      <c r="E56" s="159">
        <v>0</v>
      </c>
      <c r="F56" s="159">
        <v>0</v>
      </c>
      <c r="G56" s="159">
        <v>0</v>
      </c>
      <c r="H56" s="159">
        <v>0</v>
      </c>
      <c r="I56" s="159">
        <v>0</v>
      </c>
      <c r="J56" s="159">
        <v>0</v>
      </c>
      <c r="K56" s="159">
        <v>0</v>
      </c>
      <c r="L56" s="159">
        <v>0</v>
      </c>
      <c r="M56" s="159">
        <f t="shared" si="1"/>
        <v>0</v>
      </c>
      <c r="N56" s="159">
        <v>0</v>
      </c>
      <c r="O56" s="162">
        <v>0</v>
      </c>
      <c r="P56" s="113"/>
      <c r="Q56" s="114"/>
      <c r="R56" s="115"/>
      <c r="T56" s="116"/>
      <c r="X56" s="112"/>
      <c r="Y56" s="117"/>
      <c r="AB56" s="105"/>
      <c r="AD56" s="97"/>
    </row>
    <row r="57" spans="1:31" ht="30" outlineLevel="1" x14ac:dyDescent="0.25">
      <c r="A57" s="175"/>
      <c r="B57" s="149" t="s">
        <v>1843</v>
      </c>
      <c r="C57" s="148" t="s">
        <v>1844</v>
      </c>
      <c r="D57" s="158">
        <f>+SUM(D58:D61)</f>
        <v>0</v>
      </c>
      <c r="E57" s="159">
        <f t="shared" ref="E57:L57" si="7">+SUM(E58:E61)</f>
        <v>0</v>
      </c>
      <c r="F57" s="159">
        <f t="shared" si="7"/>
        <v>0</v>
      </c>
      <c r="G57" s="159">
        <f t="shared" si="7"/>
        <v>0</v>
      </c>
      <c r="H57" s="159">
        <f t="shared" si="7"/>
        <v>0</v>
      </c>
      <c r="I57" s="159">
        <f t="shared" si="7"/>
        <v>0</v>
      </c>
      <c r="J57" s="159">
        <f t="shared" si="7"/>
        <v>0</v>
      </c>
      <c r="K57" s="159">
        <f t="shared" si="7"/>
        <v>0</v>
      </c>
      <c r="L57" s="159">
        <f t="shared" si="7"/>
        <v>0</v>
      </c>
      <c r="M57" s="159">
        <f t="shared" si="1"/>
        <v>0</v>
      </c>
      <c r="N57" s="159">
        <f>+SUM(N58:N61)</f>
        <v>0</v>
      </c>
      <c r="O57" s="162">
        <v>0</v>
      </c>
      <c r="P57" s="113"/>
      <c r="Q57" s="114"/>
      <c r="R57" s="115"/>
      <c r="S57" s="118"/>
      <c r="Y57" s="117"/>
      <c r="AD57" s="97"/>
    </row>
    <row r="58" spans="1:31" outlineLevel="2" x14ac:dyDescent="0.25">
      <c r="A58" s="175"/>
      <c r="B58" s="153" t="s">
        <v>1800</v>
      </c>
      <c r="C58" s="148" t="s">
        <v>1845</v>
      </c>
      <c r="D58" s="158">
        <f>SUMIFS('T 03.01'!$P:$P,'T 03.01'!$F:$F,"c001x   - Households",'T 03.01'!$E:$E,"r0370 - Subordinated liabilities (not recognised as own funds)",'T 03.01'!$AC:$AC,1)</f>
        <v>0</v>
      </c>
      <c r="E58" s="159">
        <f>SUMIFS('T 03.01'!$P:$P,'T 03.01'!$F:$F,"c002x   - Micro &amp; SME",'T 03.01'!$E:$E,"r0370 - Subordinated liabilities (not recognised as own funds)",'T 03.01'!AC:AC,1)</f>
        <v>0</v>
      </c>
      <c r="F58" s="159">
        <f>SUMIFS('T 03.01'!$P:$P,'T 03.01'!$F:$F,"c003x   - Corporates",'T 03.01'!$E:$E,"r0370 - Subordinated liabilities (not recognised as own funds)",'T 03.01'!AC:AC,1)</f>
        <v>0</v>
      </c>
      <c r="G58" s="159">
        <f>SUMIFS('T 03.01'!$P:$P,'T 03.01'!$F:$F,"c004x   - Institutions",'T 03.01'!$E:$E,"r0370 - Subordinated liabilities (not recognised as own funds)",'T 03.01'!AC:AC,1)</f>
        <v>0</v>
      </c>
      <c r="H58" s="159">
        <f>SUMIFS('T 03.01'!$P:$P,'T 03.01'!$F:$F,"c005x   - Other financial corporations",'T 03.01'!$E:$E,"r0370 - Subordinated liabilities (not recognised as own funds)",'T 03.01'!AC:AC,1)</f>
        <v>0</v>
      </c>
      <c r="I58" s="159">
        <f>SUMIFS('T 03.01'!$P:$P,'T 03.01'!$F:$F,"c006x   - Insurance firms &amp; pension funds",'T 03.01'!$E:$E,"r0370 - Subordinated liabilities (not recognised as own funds)",'T 03.01'!AC:AC,1)</f>
        <v>0</v>
      </c>
      <c r="J58" s="159">
        <f>SUMIFS('T 03.01'!$P:$P,'T 03.01'!$F:$F,"c008x   - Government, central banks &amp; supranationals",'T 03.01'!$E:$E,"r0370 - Subordinated liabilities (not recognised as own funds)",'T 03.01'!AC:AC,1)</f>
        <v>0</v>
      </c>
      <c r="K58" s="159">
        <v>0</v>
      </c>
      <c r="L58" s="159">
        <f>SUMIFS('T 03.01'!$P:$P,'T 03.01'!$F:$F,"",'T 03.01'!$E:$E,"r0370 - Subordinated liabilities (not recognised as own funds)",'T 03.01'!AC:AC,1)</f>
        <v>0</v>
      </c>
      <c r="M58" s="159">
        <f t="shared" si="1"/>
        <v>0</v>
      </c>
      <c r="N58" s="159">
        <f>SUMIFS('T 03.01'!$P:$P,'T 03.01'!$E:$E,"r0370 - Subordinated liabilities (not recognised as own funds)",'T 03.01'!AC:AC,1)</f>
        <v>0</v>
      </c>
      <c r="O58" s="162">
        <v>0</v>
      </c>
      <c r="P58" s="113"/>
      <c r="Q58" s="114"/>
      <c r="R58" s="115"/>
      <c r="S58" s="118"/>
      <c r="X58" s="112"/>
      <c r="Y58" s="117"/>
      <c r="AD58" s="97"/>
      <c r="AE58" s="98"/>
    </row>
    <row r="59" spans="1:31" ht="30" outlineLevel="2" x14ac:dyDescent="0.25">
      <c r="A59" s="175"/>
      <c r="B59" s="153" t="s">
        <v>1802</v>
      </c>
      <c r="C59" s="148" t="s">
        <v>1846</v>
      </c>
      <c r="D59" s="158">
        <f>SUMIFS('T 03.01'!$P:$P,'T 03.01'!$F:$F,"c001x   - Households",'T 03.01'!$E:$E,"r0370 - Subordinated liabilities (not recognised as own funds)",'T 03.01'!$AC:$AC,2)</f>
        <v>0</v>
      </c>
      <c r="E59" s="159">
        <f>SUMIFS('T 03.01'!$P:$P,'T 03.01'!$F:$F,"c002x   - Micro &amp; SME",'T 03.01'!$E:$E,"r0370 - Subordinated liabilities (not recognised as own funds)",'T 03.01'!AC:AC,2)</f>
        <v>0</v>
      </c>
      <c r="F59" s="159">
        <f>SUMIFS('T 03.01'!$P:$P,'T 03.01'!$F:$F,"c003x   - Corporates",'T 03.01'!$E:$E,"r0370 - Subordinated liabilities (not recognised as own funds)",'T 03.01'!AC:AC,2)</f>
        <v>0</v>
      </c>
      <c r="G59" s="159">
        <f>SUMIFS('T 03.01'!$P:$P,'T 03.01'!$F:$F,"c004x   - Institutions",'T 03.01'!$E:$E,"r0370 - Subordinated liabilities (not recognised as own funds)",'T 03.01'!AC:AC,2)</f>
        <v>0</v>
      </c>
      <c r="H59" s="159">
        <f>SUMIFS('T 03.01'!$P:$P,'T 03.01'!$F:$F,"c005x   - Other financial corporations",'T 03.01'!$E:$E,"r0370 - Subordinated liabilities (not recognised as own funds)",'T 03.01'!AC:AC,2)</f>
        <v>0</v>
      </c>
      <c r="I59" s="159">
        <f>SUMIFS('T 03.01'!$P:$P,'T 03.01'!$F:$F,"c006x   - Insurance firms &amp; pension funds",'T 03.01'!$E:$E,"r0370 - Subordinated liabilities (not recognised as own funds)",'T 03.01'!AC:AC,2)</f>
        <v>0</v>
      </c>
      <c r="J59" s="159">
        <f>SUMIFS('T 03.01'!$P:$P,'T 03.01'!$F:$F,"c008x   - Government, central banks &amp; supranationals",'T 03.01'!$E:$E,"r0370 - Subordinated liabilities (not recognised as own funds)",'T 03.01'!AC:AC,2)</f>
        <v>0</v>
      </c>
      <c r="K59" s="159">
        <v>0</v>
      </c>
      <c r="L59" s="159">
        <f>SUMIFS('T 03.01'!$P:$P,'T 03.01'!$F:$F,"",'T 03.01'!$E:$E,"r0370 - Subordinated liabilities (not recognised as own funds)",'T 03.01'!AC:AC,2)</f>
        <v>0</v>
      </c>
      <c r="M59" s="159">
        <f t="shared" si="1"/>
        <v>0</v>
      </c>
      <c r="N59" s="159">
        <f>SUMIFS('T 03.01'!$P:$P,'T 03.01'!$E:$E,"r0370 - Subordinated liabilities (not recognised as own funds)",'T 03.01'!AC:AC,2)</f>
        <v>0</v>
      </c>
      <c r="O59" s="162">
        <v>0</v>
      </c>
      <c r="P59" s="113"/>
      <c r="Q59" s="114"/>
      <c r="R59" s="115"/>
      <c r="S59" s="118"/>
      <c r="X59" s="112"/>
      <c r="Y59" s="117"/>
      <c r="AD59" s="97"/>
      <c r="AE59" s="98"/>
    </row>
    <row r="60" spans="1:31" ht="30" outlineLevel="2" x14ac:dyDescent="0.25">
      <c r="A60" s="175"/>
      <c r="B60" s="153" t="s">
        <v>1804</v>
      </c>
      <c r="C60" s="148" t="s">
        <v>1847</v>
      </c>
      <c r="D60" s="158">
        <f>SUMIFS('T 03.01'!$P:$P,'T 03.01'!$F:$F,"c001x   - Households",'T 03.01'!$E:$E,"r0370 - Subordinated liabilities (not recognised as own funds)",'T 03.01'!$AC:$AC,3)</f>
        <v>0</v>
      </c>
      <c r="E60" s="159">
        <f>SUMIFS('T 03.01'!$P:$P,'T 03.01'!$F:$F,"c002x   - Micro &amp; SME",'T 03.01'!$E:$E,"r0370 - Subordinated liabilities (not recognised as own funds)",'T 03.01'!AC:AC,3)</f>
        <v>0</v>
      </c>
      <c r="F60" s="159">
        <f>SUMIFS('T 03.01'!$P:$P,'T 03.01'!$F:$F,"c003x   - Corporates",'T 03.01'!$E:$E,"r0370 - Subordinated liabilities (not recognised as own funds)",'T 03.01'!AC:AC,3)</f>
        <v>0</v>
      </c>
      <c r="G60" s="159">
        <f>SUMIFS('T 03.01'!$P:$P,'T 03.01'!$F:$F,"c004x   - Institutions",'T 03.01'!$E:$E,"r0370 - Subordinated liabilities (not recognised as own funds)",'T 03.01'!AC:AC,3)</f>
        <v>0</v>
      </c>
      <c r="H60" s="159">
        <f>SUMIFS('T 03.01'!$P:$P,'T 03.01'!$F:$F,"c005x   - Other financial corporations",'T 03.01'!$E:$E,"r0370 - Subordinated liabilities (not recognised as own funds)",'T 03.01'!AC:AC,3)</f>
        <v>0</v>
      </c>
      <c r="I60" s="159">
        <f>SUMIFS('T 03.01'!$P:$P,'T 03.01'!$F:$F,"c006x   - Insurance firms &amp; pension funds",'T 03.01'!$E:$E,"r0370 - Subordinated liabilities (not recognised as own funds)",'T 03.01'!AC:AC,3)</f>
        <v>0</v>
      </c>
      <c r="J60" s="159">
        <f>SUMIFS('T 03.01'!$P:$P,'T 03.01'!$F:$F,"c008x   - Government, central banks &amp; supranationals",'T 03.01'!$E:$E,"r0370 - Subordinated liabilities (not recognised as own funds)",'T 03.01'!AC:AC,3)</f>
        <v>0</v>
      </c>
      <c r="K60" s="159">
        <v>0</v>
      </c>
      <c r="L60" s="159">
        <f>SUMIFS('T 03.01'!$P:$P,'T 03.01'!$F:$F,"",'T 03.01'!$E:$E,"r0370 - Subordinated liabilities (not recognised as own funds)",'T 03.01'!AC:AC,3)</f>
        <v>0</v>
      </c>
      <c r="M60" s="159">
        <f t="shared" si="1"/>
        <v>0</v>
      </c>
      <c r="N60" s="159">
        <f>SUMIFS('T 03.01'!$P:$P,'T 03.01'!$E:$E,"r0370 - Subordinated liabilities (not recognised as own funds)",'T 03.01'!AC:AC,3)</f>
        <v>0</v>
      </c>
      <c r="O60" s="162">
        <v>0</v>
      </c>
      <c r="P60" s="113"/>
      <c r="Q60" s="114"/>
      <c r="R60" s="115"/>
      <c r="S60" s="118"/>
      <c r="X60" s="112"/>
      <c r="Y60" s="117"/>
      <c r="AD60" s="97"/>
    </row>
    <row r="61" spans="1:31" outlineLevel="2" x14ac:dyDescent="0.25">
      <c r="A61" s="175"/>
      <c r="B61" s="153" t="s">
        <v>1806</v>
      </c>
      <c r="C61" s="148" t="s">
        <v>1848</v>
      </c>
      <c r="D61" s="158">
        <f>SUMIFS('T 03.01'!$P:$P,'T 03.01'!$F:$F,"c001x   - Households",'T 03.01'!$E:$E,"r0370 - Subordinated liabilities (not recognised as own funds)",'T 03.01'!$AC:$AC,4)</f>
        <v>0</v>
      </c>
      <c r="E61" s="159">
        <f>SUMIFS('T 03.01'!$P:$P,'T 03.01'!$F:$F,"c002x   - Micro &amp; SME",'T 03.01'!$E:$E,"r0370 - Subordinated liabilities (not recognised as own funds)",'T 03.01'!AC:AC,4)</f>
        <v>0</v>
      </c>
      <c r="F61" s="159">
        <f>SUMIFS('T 03.01'!$P:$P,'T 03.01'!$F:$F,"c003x   - Corporates",'T 03.01'!$E:$E,"r0370 - Subordinated liabilities (not recognised as own funds)",'T 03.01'!AC:AC,4)</f>
        <v>0</v>
      </c>
      <c r="G61" s="159">
        <f>SUMIFS('T 03.01'!$P:$P,'T 03.01'!$F:$F,"c004x   - Institutions",'T 03.01'!$E:$E,"r0370 - Subordinated liabilities (not recognised as own funds)",'T 03.01'!AC:AC,4)</f>
        <v>0</v>
      </c>
      <c r="H61" s="159">
        <f>SUMIFS('T 03.01'!$P:$P,'T 03.01'!$F:$F,"c005x   - Other financial corporations",'T 03.01'!$E:$E,"r0370 - Subordinated liabilities (not recognised as own funds)",'T 03.01'!AC:AC,4)</f>
        <v>0</v>
      </c>
      <c r="I61" s="159">
        <f>SUMIFS('T 03.01'!$P:$P,'T 03.01'!$F:$F,"c006x   - Insurance firms &amp; pension funds",'T 03.01'!$E:$E,"r0370 - Subordinated liabilities (not recognised as own funds)",'T 03.01'!AC:AC,4)</f>
        <v>0</v>
      </c>
      <c r="J61" s="159">
        <f>SUMIFS('T 03.01'!$P:$P,'T 03.01'!$F:$F,"c008x   - Government, central banks &amp; supranationals",'T 03.01'!$E:$E,"r0370 - Subordinated liabilities (not recognised as own funds)",'T 03.01'!AC:AC,4)</f>
        <v>0</v>
      </c>
      <c r="K61" s="159">
        <v>0</v>
      </c>
      <c r="L61" s="159">
        <f>SUMIFS('T 03.01'!$P:$P,'T 03.01'!$F:$F,"",'T 03.01'!$E:$E,"r0370 - Subordinated liabilities (not recognised as own funds)",'T 03.01'!AC:AC,4)</f>
        <v>0</v>
      </c>
      <c r="M61" s="159">
        <f t="shared" si="1"/>
        <v>0</v>
      </c>
      <c r="N61" s="159">
        <f>SUMIFS('T 03.01'!$P:$P,'T 03.01'!$E:$E,"r0370 - Subordinated liabilities (not recognised as own funds)",'T 03.01'!AC:AC,4)</f>
        <v>0</v>
      </c>
      <c r="O61" s="162">
        <v>0</v>
      </c>
      <c r="P61" s="113"/>
      <c r="Q61" s="114"/>
      <c r="R61" s="115"/>
      <c r="S61" s="118"/>
      <c r="X61" s="112"/>
      <c r="Y61" s="117"/>
      <c r="AD61" s="97"/>
    </row>
    <row r="62" spans="1:31" outlineLevel="1" x14ac:dyDescent="0.25">
      <c r="A62" s="175"/>
      <c r="B62" s="149" t="s">
        <v>1849</v>
      </c>
      <c r="C62" s="148" t="s">
        <v>1850</v>
      </c>
      <c r="D62" s="158">
        <v>0</v>
      </c>
      <c r="E62" s="159">
        <v>0</v>
      </c>
      <c r="F62" s="159">
        <v>0</v>
      </c>
      <c r="G62" s="159">
        <v>0</v>
      </c>
      <c r="H62" s="159">
        <v>0</v>
      </c>
      <c r="I62" s="159">
        <v>0</v>
      </c>
      <c r="J62" s="159">
        <v>0</v>
      </c>
      <c r="K62" s="159">
        <v>0</v>
      </c>
      <c r="L62" s="159">
        <v>0</v>
      </c>
      <c r="M62" s="159">
        <f t="shared" si="1"/>
        <v>0</v>
      </c>
      <c r="N62" s="159">
        <v>0</v>
      </c>
      <c r="O62" s="162">
        <v>0</v>
      </c>
      <c r="P62" s="113"/>
      <c r="Q62" s="114"/>
      <c r="AD62" s="97"/>
      <c r="AE62" s="98"/>
    </row>
    <row r="63" spans="1:31" ht="30" outlineLevel="2" x14ac:dyDescent="0.25">
      <c r="A63" s="175"/>
      <c r="B63" s="153" t="s">
        <v>1804</v>
      </c>
      <c r="C63" s="148" t="s">
        <v>1851</v>
      </c>
      <c r="D63" s="158">
        <v>0</v>
      </c>
      <c r="E63" s="159">
        <v>0</v>
      </c>
      <c r="F63" s="159">
        <v>0</v>
      </c>
      <c r="G63" s="159">
        <v>0</v>
      </c>
      <c r="H63" s="159">
        <v>0</v>
      </c>
      <c r="I63" s="159">
        <v>0</v>
      </c>
      <c r="J63" s="159">
        <v>0</v>
      </c>
      <c r="K63" s="159">
        <v>0</v>
      </c>
      <c r="L63" s="159">
        <v>0</v>
      </c>
      <c r="M63" s="159">
        <f t="shared" si="1"/>
        <v>0</v>
      </c>
      <c r="N63" s="159">
        <v>0</v>
      </c>
      <c r="O63" s="162">
        <v>0</v>
      </c>
      <c r="P63" s="113"/>
      <c r="Q63" s="114"/>
      <c r="X63" s="112"/>
      <c r="AD63" s="97"/>
      <c r="AE63" s="98"/>
    </row>
    <row r="64" spans="1:31" outlineLevel="2" x14ac:dyDescent="0.25">
      <c r="A64" s="175"/>
      <c r="B64" s="153" t="s">
        <v>1806</v>
      </c>
      <c r="C64" s="148" t="s">
        <v>1852</v>
      </c>
      <c r="D64" s="158">
        <v>0</v>
      </c>
      <c r="E64" s="159">
        <v>0</v>
      </c>
      <c r="F64" s="159">
        <v>0</v>
      </c>
      <c r="G64" s="159">
        <v>0</v>
      </c>
      <c r="H64" s="159">
        <v>0</v>
      </c>
      <c r="I64" s="159">
        <v>0</v>
      </c>
      <c r="J64" s="159">
        <v>0</v>
      </c>
      <c r="K64" s="159">
        <v>0</v>
      </c>
      <c r="L64" s="159">
        <v>0</v>
      </c>
      <c r="M64" s="159">
        <f t="shared" si="1"/>
        <v>0</v>
      </c>
      <c r="N64" s="159">
        <v>0</v>
      </c>
      <c r="O64" s="162">
        <v>0</v>
      </c>
      <c r="P64" s="113"/>
      <c r="Q64" s="114"/>
      <c r="X64" s="112"/>
      <c r="AD64" s="97"/>
      <c r="AE64" s="98"/>
    </row>
    <row r="65" spans="1:31" outlineLevel="1" x14ac:dyDescent="0.25">
      <c r="A65" s="175"/>
      <c r="B65" s="149" t="s">
        <v>1853</v>
      </c>
      <c r="C65" s="148" t="s">
        <v>1854</v>
      </c>
      <c r="D65" s="158">
        <f>+SUMIFS('T 09.00'!$M:$M,'T 09.00'!$E:$E,"r0390 - Non-financial liabilities",'T 09.00'!$F:$F,"c001x   - Households")+SUMIFS('T 03.01'!P:P,'T 03.01'!E:E,"r0390 - Non-financial liabilities",'T 03.01'!$F:$F,"c001x   - Households")</f>
        <v>64496913.040193424</v>
      </c>
      <c r="E65" s="159">
        <f>+SUMIFS('T 09.00'!$M:$M,'T 09.00'!$E:$E,"r0390 - Non-financial liabilities",'T 09.00'!$F:$F,"c002x   - Micro &amp; SME")+SUMIFS('T 03.01'!P:P,'T 03.01'!E:E,"r0390 - Non-financial liabilities",'T 03.01'!$F:$F,"c002x   - Micro &amp; SME")</f>
        <v>39226891.270002797</v>
      </c>
      <c r="F65" s="159">
        <f>+SUMIFS('T 09.00'!$M:$M,'T 09.00'!$E:$E,"r0390 - Non-financial liabilities",'T 09.00'!$F:$F,"c003x   - Corporates")+SUMIFS('T 03.01'!P:P,'T 03.01'!E:E,"r0390 - Non-financial liabilities",'T 03.01'!$F:$F,"c003x   - Corporates")</f>
        <v>65441063.530004196</v>
      </c>
      <c r="G65" s="159">
        <f>+SUMIFS('T 09.00'!$M:$M,'T 09.00'!$E:$E,"r0390 - Non-financial liabilities",'T 09.00'!$F:$F,"c004x   - Institutions")+SUMIFS('T 03.01'!P:P,'T 03.01'!E:E,"r0390 - Non-financial liabilities",'T 03.01'!$F:$F,"c004x   - Institutions")</f>
        <v>20574580.760000017</v>
      </c>
      <c r="H65" s="159">
        <f>+SUMIFS('T 09.00'!$M:$M,'T 09.00'!$E:$E,"r0390 - Non-financial liabilities",'T 09.00'!$F:$F,"c005x   - Other financial corporations")+I65+SUMIFS('T 03.01'!P:P,'T 03.01'!E:E,"r0390 - Non-financial liabilities",'T 03.01'!$F:$F,"c005x   - Other financial corporations")</f>
        <v>48135526.683875002</v>
      </c>
      <c r="I65" s="159">
        <f>+SUMIFS('T 09.00'!$M:$M,'T 09.00'!$E:$E,"r0390 - Non-financial liabilities",'T 09.00'!$F:$F,"c006x   - Insurance firms &amp; pension funds")+SUMIFS('T 03.01'!P:P,'T 03.01'!E:E,"r0390 - Non-financial liabilities",'T 03.01'!$F:$F,"c006x   - Insurance firms &amp; pension funds")</f>
        <v>4534786.2194240009</v>
      </c>
      <c r="J65" s="159">
        <f>+SUMIFS('T 09.00'!$M:$M,'T 09.00'!$E:$E,"r0390 - Non-financial liabilities",'T 09.00'!$F:$F,"c008x   - Government, central banks &amp; supranationals")+SUMIFS('T 03.01'!P:P,'T 03.01'!E:E,"r0390 - Non-financial liabilities",'T 03.01'!$F:$F,"c008x   - Government, central banks &amp; supranationals")</f>
        <v>21255981.829999801</v>
      </c>
      <c r="K65" s="159">
        <v>0</v>
      </c>
      <c r="L65" s="159">
        <f>+SUMIFS('T 09.00'!$M:$M,'T 09.00'!$E:$E,"r0390 - Non-financial liabilities",'T 09.00'!$F:$F,"c010x   - Non-identified, not listed on an exchange platform")+SUMIFS('T 03.01'!P:P,'T 03.01'!E:E,"r0390 - Non-financial liabilities",'T 03.01'!$F:$F,"")</f>
        <v>313304735.95491922</v>
      </c>
      <c r="M65" s="159">
        <f t="shared" si="1"/>
        <v>572435693.06899452</v>
      </c>
      <c r="N65" s="159">
        <f>+SUMIF('T 03.01'!E:E,"r0390 - Non-financial liabilities",'T 03.01'!P:P)</f>
        <v>49987448.117600903</v>
      </c>
      <c r="O65" s="162">
        <v>0</v>
      </c>
      <c r="P65" s="113"/>
      <c r="Q65" s="114"/>
      <c r="R65" s="115"/>
      <c r="U65" s="104"/>
      <c r="AD65" s="97"/>
    </row>
    <row r="66" spans="1:31" outlineLevel="1" x14ac:dyDescent="0.25">
      <c r="A66" s="175"/>
      <c r="B66" s="149" t="s">
        <v>1855</v>
      </c>
      <c r="C66" s="148" t="s">
        <v>1856</v>
      </c>
      <c r="D66" s="158">
        <v>0</v>
      </c>
      <c r="E66" s="159">
        <v>0</v>
      </c>
      <c r="F66" s="159">
        <v>0</v>
      </c>
      <c r="G66" s="159">
        <v>0</v>
      </c>
      <c r="H66" s="159">
        <v>0</v>
      </c>
      <c r="I66" s="159">
        <v>0</v>
      </c>
      <c r="J66" s="159">
        <v>0</v>
      </c>
      <c r="K66" s="159">
        <v>0</v>
      </c>
      <c r="L66" s="159">
        <v>0</v>
      </c>
      <c r="M66" s="159">
        <f t="shared" si="1"/>
        <v>0</v>
      </c>
      <c r="N66" s="159">
        <v>0</v>
      </c>
      <c r="O66" s="162">
        <v>0</v>
      </c>
      <c r="P66" s="113"/>
      <c r="Q66" s="114"/>
      <c r="R66" s="115"/>
      <c r="S66" s="118"/>
      <c r="AD66" s="97"/>
      <c r="AE66" s="98"/>
    </row>
    <row r="67" spans="1:31" x14ac:dyDescent="0.25">
      <c r="A67" s="175"/>
      <c r="B67" s="147" t="s">
        <v>1857</v>
      </c>
      <c r="C67" s="148"/>
      <c r="D67" s="151"/>
      <c r="E67" s="150"/>
      <c r="F67" s="150"/>
      <c r="G67" s="150"/>
      <c r="H67" s="150"/>
      <c r="I67" s="150"/>
      <c r="J67" s="150"/>
      <c r="K67" s="150"/>
      <c r="L67" s="150"/>
      <c r="M67" s="164"/>
      <c r="N67" s="150"/>
      <c r="O67" s="152"/>
      <c r="P67" s="113"/>
    </row>
    <row r="68" spans="1:31" outlineLevel="1" x14ac:dyDescent="0.25">
      <c r="A68" s="175"/>
      <c r="B68" s="149" t="s">
        <v>1858</v>
      </c>
      <c r="C68" s="148"/>
      <c r="D68" s="151"/>
      <c r="E68" s="150"/>
      <c r="F68" s="150"/>
      <c r="G68" s="150"/>
      <c r="H68" s="150"/>
      <c r="I68" s="150"/>
      <c r="J68" s="150"/>
      <c r="K68" s="150"/>
      <c r="L68" s="150"/>
      <c r="M68" s="164"/>
      <c r="N68" s="150"/>
      <c r="O68" s="152"/>
      <c r="P68" s="113"/>
    </row>
    <row r="69" spans="1:31" outlineLevel="2" x14ac:dyDescent="0.25">
      <c r="A69" s="175"/>
      <c r="B69" s="153" t="s">
        <v>1859</v>
      </c>
      <c r="C69" s="148" t="s">
        <v>1860</v>
      </c>
      <c r="D69" s="158">
        <f>SUMIFS('T 03.01'!P:P,'T 03.01'!E:E,"r0511 - o/w capital instruments/share capital",'T 03.01'!$F:$F,"c001x   - Households")</f>
        <v>0</v>
      </c>
      <c r="E69" s="159">
        <f>SUMIFS('T 03.01'!P:P,'T 03.01'!E:E,"r0511 - o/w capital instruments/share capital",'T 03.01'!$F:$F,"c002x   - Micro &amp; SME")</f>
        <v>0</v>
      </c>
      <c r="F69" s="159">
        <f>SUMIFS('T 03.01'!P:P,'T 03.01'!E:E,"r0511 - o/w capital instruments/share capital",'T 03.01'!$F:$F,"c003x   - Corporates")</f>
        <v>14593315</v>
      </c>
      <c r="G69" s="159">
        <f>SUMIFS('T 03.01'!P:P,'T 03.01'!E:E,"r0511 - o/w capital instruments/share capital",'T 03.01'!$F:$F,"c004x   - Institutions")</f>
        <v>0</v>
      </c>
      <c r="H69" s="159">
        <f>I69+SUMIFS('T 03.01'!P:P,'T 03.01'!E:E,"r0511 - o/w capital instruments/share capital",'T 03.01'!$F:$F,"c005x   - Other financial corporations")</f>
        <v>1433311800.6700001</v>
      </c>
      <c r="I69" s="159">
        <f>SUMIFS('T 03.01'!P:P,'T 03.01'!E:E,"r0511 - o/w capital instruments/share capital",'T 03.01'!$F:$F,"c006x   - Insurance firms &amp; pension funds")</f>
        <v>0</v>
      </c>
      <c r="J69" s="159">
        <f>SUMIFS('T 03.01'!P:P,'T 03.01'!E:E,"r0511 - o/w capital instruments/share capital",'T 03.01'!$F:$F,"c008x   - Government, central banks &amp; supranationals")</f>
        <v>0</v>
      </c>
      <c r="K69" s="159">
        <v>0</v>
      </c>
      <c r="L69" s="159">
        <f>SUMIFS('T 03.01'!P:P,'T 03.01'!E:E,"r0511 - o/w capital instruments/share capital",'T 03.01'!$F:$F,"")</f>
        <v>0</v>
      </c>
      <c r="M69" s="159">
        <f t="shared" ref="M69:M70" si="8">SUM(D69:L69)-I69</f>
        <v>1447905115.6700001</v>
      </c>
      <c r="N69" s="159">
        <f>+SUMIF('T 03.01'!E:E,"r0511 - o/w capital instruments/share capital",'T 03.01'!P:P)</f>
        <v>1447905115.6700001</v>
      </c>
      <c r="O69" s="162">
        <v>0</v>
      </c>
      <c r="P69" s="113"/>
      <c r="Q69" s="114"/>
      <c r="R69" s="115"/>
      <c r="S69" s="118"/>
      <c r="AC69" s="106"/>
      <c r="AE69" s="98"/>
    </row>
    <row r="70" spans="1:31" ht="30" outlineLevel="2" x14ac:dyDescent="0.25">
      <c r="A70" s="175"/>
      <c r="B70" s="153" t="s">
        <v>1861</v>
      </c>
      <c r="C70" s="148" t="s">
        <v>1862</v>
      </c>
      <c r="D70" s="158">
        <f>SUMIFS('T 03.01'!P:P,'T 03.01'!E:E,"r0512 - o/w instruments ranking pari passu with ordinary shares",'T 03.01'!$F:$F,"c001x   - Households")</f>
        <v>0</v>
      </c>
      <c r="E70" s="159">
        <f>SUMIFS('T 03.01'!P:P,'T 03.01'!E:E,"r0512 - o/w instruments ranking pari passu with ordinary shares",'T 03.01'!$F:$F,"c002x   - Micro &amp; SME")</f>
        <v>0</v>
      </c>
      <c r="F70" s="159">
        <f>SUMIFS('T 03.01'!P:P,'T 03.01'!E:E,"r0512 - o/w instruments ranking pari passu with ordinary shares",'T 03.01'!$F:$F,"c003x   - Corporates")</f>
        <v>0</v>
      </c>
      <c r="G70" s="159">
        <f>SUMIFS('T 03.01'!P:P,'T 03.01'!E:E,"r0512 - o/w instruments ranking pari passu with ordinary shares",'T 03.01'!$F:$F,"c004x   - Institutions")</f>
        <v>0</v>
      </c>
      <c r="H70" s="159">
        <f>I70+SUMIFS('T 03.01'!P:P,'T 03.01'!E:E,"r0512 - o/w instruments ranking pari passu with ordinary shares",'T 03.01'!$F:$F,"c005x   - Other financial corporations")</f>
        <v>135000000</v>
      </c>
      <c r="I70" s="159">
        <f>SUMIFS('T 03.01'!P:P,'T 03.01'!E:E,"r0512 - o/w instruments ranking pari passu with ordinary shares",'T 03.01'!$F:$F,"c006x   - Insurance firms &amp; pension funds")</f>
        <v>0</v>
      </c>
      <c r="J70" s="159">
        <f>SUMIFS('T 03.01'!P:P,'T 03.01'!E:E,"r0512 - o/w instruments ranking pari passu with ordinary shares",'T 03.01'!$F:$F,"c008x   - Government, central banks &amp; supranationals")</f>
        <v>0</v>
      </c>
      <c r="K70" s="159">
        <v>0</v>
      </c>
      <c r="L70" s="159">
        <f>SUMIFS('T 03.01'!P:P,'T 03.01'!E:E,"r0512 - o/w instruments ranking pari passu with ordinary shares",'T 03.01'!$F:$F,"")</f>
        <v>0</v>
      </c>
      <c r="M70" s="159">
        <f t="shared" si="8"/>
        <v>135000000</v>
      </c>
      <c r="N70" s="159">
        <f>+SUMIF('T 03.01'!E:E,"r0512 - o/w instruments ranking pari passu with ordinary shares",'T 03.01'!P:P)</f>
        <v>135000000</v>
      </c>
      <c r="O70" s="162">
        <v>0</v>
      </c>
      <c r="P70" s="113"/>
      <c r="Q70" s="114"/>
      <c r="R70" s="115"/>
      <c r="S70" s="118"/>
      <c r="AC70" s="106"/>
      <c r="AE70" s="98"/>
    </row>
    <row r="71" spans="1:31" outlineLevel="1" x14ac:dyDescent="0.25">
      <c r="A71" s="175"/>
      <c r="B71" s="149" t="s">
        <v>1863</v>
      </c>
      <c r="C71" s="148"/>
      <c r="D71" s="109"/>
      <c r="E71" s="107"/>
      <c r="F71" s="107"/>
      <c r="G71" s="107"/>
      <c r="H71" s="107"/>
      <c r="I71" s="107"/>
      <c r="J71" s="107"/>
      <c r="K71" s="107"/>
      <c r="L71" s="107"/>
      <c r="M71" s="159"/>
      <c r="N71" s="107"/>
      <c r="O71" s="110"/>
      <c r="P71" s="113"/>
    </row>
    <row r="72" spans="1:31" ht="30" outlineLevel="2" x14ac:dyDescent="0.25">
      <c r="A72" s="175"/>
      <c r="B72" s="153" t="s">
        <v>1864</v>
      </c>
      <c r="C72" s="148" t="s">
        <v>1865</v>
      </c>
      <c r="D72" s="158">
        <f>SUMIFS('T 03.01'!P:P,'T 03.01'!E:E,"r0521 -o/w (part of) subordinated liabilities recognised as own funds",'T 03.01'!$F:$F,"c001x   - Households")</f>
        <v>0</v>
      </c>
      <c r="E72" s="159">
        <f>SUMIFS('T 03.01'!P:P,'T 03.01'!E:E,"r0521 -o/w (part of) subordinated liabilities recognised as own funds",'T 03.01'!$F:$F,"c002x   - Micro &amp; SME")</f>
        <v>0</v>
      </c>
      <c r="F72" s="159">
        <f>SUMIFS('T 03.01'!P:P,'T 03.01'!E:E,"r0521 -o/w (part of) subordinated liabilities recognised as own funds",'T 03.01'!$F:$F,"c003x   - Corporates")</f>
        <v>0</v>
      </c>
      <c r="G72" s="159">
        <f>SUMIFS('T 03.01'!P:P,'T 03.01'!E:E,"r0521 -o/w (part of) subordinated liabilities recognised as own funds",'T 03.01'!$F:$F,"c004x   - Institutions")</f>
        <v>0</v>
      </c>
      <c r="H72" s="159">
        <f>I72+SUMIFS('T 03.01'!P:P,'T 03.01'!E:E,"r0521 -o/w (part of) subordinated liabilities recognised as own funds",'T 03.01'!$F:$F,"c005x   - Other financial corporations")</f>
        <v>0</v>
      </c>
      <c r="I72" s="159">
        <f>SUMIFS('T 03.01'!P:P,'T 03.01'!E:E,"r0521 -o/w (part of) subordinated liabilities recognised as own funds",'T 03.01'!$F:$F,"c006x   - Insurance firms &amp; pension funds")</f>
        <v>0</v>
      </c>
      <c r="J72" s="159">
        <f>SUMIFS('T 03.01'!P:P,'T 03.01'!E:E,"r0521 -o/w (part of) subordinated liabilities recognised as own funds",'T 03.01'!$F:$F,"c008x   - Government, central banks &amp; supranationals")</f>
        <v>0</v>
      </c>
      <c r="K72" s="159">
        <v>0</v>
      </c>
      <c r="L72" s="159">
        <f>SUMIFS('T 03.01'!P:P,'T 03.01'!E:E,"r0521 -o/w (part of) subordinated liabilities recognised as own funds",'T 03.01'!$F:$F,"")</f>
        <v>0</v>
      </c>
      <c r="M72" s="159">
        <f t="shared" ref="M72" si="9">SUM(D72:L72)-I72</f>
        <v>0</v>
      </c>
      <c r="N72" s="159">
        <f>+SUMIF('T 03.01'!E:E,"r0521 -o/w (part of) subordinated liabilities recognised as own funds",'T 03.01'!P:P)</f>
        <v>0</v>
      </c>
      <c r="O72" s="162">
        <v>0</v>
      </c>
      <c r="P72" s="113"/>
      <c r="Q72" s="114"/>
      <c r="R72" s="115"/>
      <c r="S72" s="118"/>
      <c r="Y72" s="117"/>
      <c r="AE72" s="98"/>
    </row>
    <row r="73" spans="1:31" outlineLevel="1" x14ac:dyDescent="0.25">
      <c r="A73" s="175"/>
      <c r="B73" s="149" t="s">
        <v>1866</v>
      </c>
      <c r="C73" s="148"/>
      <c r="D73" s="109"/>
      <c r="E73" s="107"/>
      <c r="F73" s="107"/>
      <c r="G73" s="107"/>
      <c r="H73" s="107"/>
      <c r="I73" s="107"/>
      <c r="J73" s="107"/>
      <c r="K73" s="107"/>
      <c r="L73" s="107"/>
      <c r="M73" s="159"/>
      <c r="N73" s="107"/>
      <c r="O73" s="110"/>
      <c r="P73" s="113"/>
    </row>
    <row r="74" spans="1:31" ht="30" outlineLevel="2" x14ac:dyDescent="0.25">
      <c r="A74" s="175"/>
      <c r="B74" s="153" t="s">
        <v>1864</v>
      </c>
      <c r="C74" s="148" t="s">
        <v>1867</v>
      </c>
      <c r="D74" s="158">
        <f>SUMIFS('T 03.01'!P:P,'T 03.01'!E:E,"r0531 - o/w (part of) subordinated liabilities recognised as own funds",'T 03.01'!$F:$F,"c001x   - Households")+SUMIFS('T 04.00'!$N:$N,'T 04.00'!$E:$E,"r0531 - o/w (part of) subordinated liabilities recognised as own funds",'T 04.00'!$F:$F,"c001x   - Households")</f>
        <v>7599000</v>
      </c>
      <c r="E74" s="159">
        <f>SUMIFS('T 03.01'!P:P,'T 03.01'!E:E,"r0531 - o/w (part of) subordinated liabilities recognised as own funds",'T 03.01'!$F:$F,"c002x   - Micro &amp; SME")+SUMIFS('T 04.00'!$N:$N,'T 04.00'!$E:$E,"r0531 - o/w (part of) subordinated liabilities recognised as own funds",'T 04.00'!$F:$F,"c002x   - Micro &amp; SME")</f>
        <v>0</v>
      </c>
      <c r="F74" s="159">
        <f>SUMIFS('T 03.01'!P:P,'T 03.01'!E:E,"r0531 - o/w (part of) subordinated liabilities recognised as own funds",'T 03.01'!$F:$F,"c003x   - Corporates")+SUMIFS('T 04.00'!$N:$N,'T 04.00'!$E:$E,"r0531 - o/w (part of) subordinated liabilities recognised as own funds",'T 04.00'!$F:$F,"c003x   - Corporates")</f>
        <v>0</v>
      </c>
      <c r="G74" s="159">
        <f>SUMIFS('T 03.01'!P:P,'T 03.01'!E:E,"r0531 - o/w (part of) subordinated liabilities recognised as own funds",'T 03.01'!$F:$F,"c004x   - Institutions")+SUMIFS('T 04.00'!$N:$N,'T 04.00'!$E:$E,"r0531 - o/w (part of) subordinated liabilities recognised as own funds",'T 04.00'!$F:$F,"c004x   - Institutions")</f>
        <v>0</v>
      </c>
      <c r="H74" s="159">
        <f>I74+SUMIFS('T 03.01'!P:P,'T 03.01'!E:E,"r0531 - o/w (part of) subordinated liabilities recognised as own funds",'T 03.01'!$F:$F,"c005x   - Other financial corporations")+SUMIFS('T 04.00'!$N:$N,'T 04.00'!$E:$E,"r0531 - o/w (part of) subordinated liabilities recognised as own funds",'T 04.00'!$F:$F,"c005x   - Other financial corporations")</f>
        <v>320000000</v>
      </c>
      <c r="I74" s="159">
        <f>SUMIFS('T 03.01'!P:P,'T 03.01'!E:E,"r0531 - o/w (part of) subordinated liabilities recognised as own funds",'T 03.01'!$F:$F,"c006x   - Insurance firms &amp; pension funds")+SUMIFS('T 04.00'!$N:$N,'T 04.00'!$E:$E,"r0531 - o/w (part of) subordinated liabilities recognised as own funds",'T 04.00'!$F:$F,"c006x   - Insurance firms &amp; pension funds")</f>
        <v>0</v>
      </c>
      <c r="J74" s="159">
        <f>SUMIFS('T 03.01'!P:P,'T 03.01'!E:E,"r0531 - o/w (part of) subordinated liabilities recognised as own funds",'T 03.01'!$F:$F,"c008x   - Government, central banks &amp; supranationals")+SUMIFS('T 04.00'!$N:$N,'T 04.00'!$E:$E,"r0531 - o/w (part of) subordinated liabilities recognised as own funds",'T 04.00'!$F:$F,"c008x   - Government, central banks &amp; supranationals")</f>
        <v>0</v>
      </c>
      <c r="K74" s="159">
        <v>0</v>
      </c>
      <c r="L74" s="159">
        <f>SUMIFS('T 03.01'!P:P,'T 03.01'!E:E,"r0531 - o/w (part of) subordinated liabilities recognised as own funds",'T 03.01'!$F:$F,"")+SUMIFS('T 04.00'!$N:$N,'T 04.00'!$E:$E,"r0531 - o/w (part of) subordinated liabilities recognised as own funds",'T 04.00'!$F:$F,"")</f>
        <v>0</v>
      </c>
      <c r="M74" s="159">
        <f>SUM(D74:L74)-I74</f>
        <v>327599000</v>
      </c>
      <c r="N74" s="159">
        <f>+SUMIF('T 03.01'!E:E,"r0531 - o/w (part of) subordinated liabilities recognised as own funds",'T 03.01'!P:P)+SUMIF('T 03.01'!E:E,"r0531 - o/w (part of) subordinated liabilities recognised as own funds",'T 03.01'!Q:Q)</f>
        <v>320013869.58999997</v>
      </c>
      <c r="O74" s="162">
        <v>0</v>
      </c>
      <c r="P74" s="113"/>
      <c r="Q74" s="114"/>
      <c r="R74" s="115"/>
      <c r="S74" s="118"/>
      <c r="Y74" s="117"/>
      <c r="AE74" s="98"/>
    </row>
    <row r="75" spans="1:31" ht="30" x14ac:dyDescent="0.25">
      <c r="A75" s="175"/>
      <c r="B75" s="147" t="s">
        <v>2647</v>
      </c>
      <c r="C75" s="148" t="s">
        <v>2648</v>
      </c>
      <c r="D75" s="109"/>
      <c r="E75" s="107"/>
      <c r="F75" s="107"/>
      <c r="G75" s="107"/>
      <c r="H75" s="107"/>
      <c r="I75" s="107"/>
      <c r="J75" s="107"/>
      <c r="K75" s="107"/>
      <c r="L75" s="107"/>
      <c r="M75" s="159"/>
      <c r="N75" s="107"/>
      <c r="O75" s="110"/>
      <c r="P75" s="113"/>
      <c r="Q75" s="114"/>
      <c r="R75" s="115"/>
    </row>
    <row r="76" spans="1:31" ht="15.75" thickBot="1" x14ac:dyDescent="0.3">
      <c r="A76" s="175"/>
      <c r="B76" s="147" t="s">
        <v>2649</v>
      </c>
      <c r="C76" s="148" t="s">
        <v>2650</v>
      </c>
      <c r="D76" s="119"/>
      <c r="E76" s="120"/>
      <c r="F76" s="120"/>
      <c r="G76" s="120"/>
      <c r="H76" s="120"/>
      <c r="I76" s="120"/>
      <c r="J76" s="120"/>
      <c r="K76" s="120"/>
      <c r="L76" s="120"/>
      <c r="M76" s="121"/>
      <c r="N76" s="120"/>
      <c r="O76" s="122"/>
      <c r="P76" s="113"/>
      <c r="Q76" s="114"/>
      <c r="R76" s="115"/>
    </row>
  </sheetData>
  <mergeCells count="98">
    <mergeCell ref="Q6:Q7"/>
    <mergeCell ref="AD6:AD7"/>
    <mergeCell ref="AE6:AE7"/>
    <mergeCell ref="AF6:AF7"/>
    <mergeCell ref="AB6:AB7"/>
    <mergeCell ref="AC6:AC7"/>
    <mergeCell ref="A1:O1"/>
    <mergeCell ref="D4:O4"/>
    <mergeCell ref="H5:I5"/>
    <mergeCell ref="M5:O5"/>
    <mergeCell ref="P6:P7"/>
    <mergeCell ref="X6:X7"/>
    <mergeCell ref="Y6:Y7"/>
    <mergeCell ref="Z6:Z7"/>
    <mergeCell ref="AA6:AA7"/>
    <mergeCell ref="R6:R7"/>
    <mergeCell ref="S6:S7"/>
    <mergeCell ref="T6:T7"/>
    <mergeCell ref="U6:U7"/>
    <mergeCell ref="V6:V7"/>
    <mergeCell ref="W6:W7"/>
    <mergeCell ref="T16:T17"/>
    <mergeCell ref="P18:P19"/>
    <mergeCell ref="Q18:Q19"/>
    <mergeCell ref="R18:R19"/>
    <mergeCell ref="P8:P9"/>
    <mergeCell ref="Q8:Q9"/>
    <mergeCell ref="R8:R9"/>
    <mergeCell ref="S8:S9"/>
    <mergeCell ref="T8:T9"/>
    <mergeCell ref="T10:T11"/>
    <mergeCell ref="P12:P13"/>
    <mergeCell ref="Q12:Q13"/>
    <mergeCell ref="R12:R13"/>
    <mergeCell ref="S12:S13"/>
    <mergeCell ref="A9:A76"/>
    <mergeCell ref="P10:P11"/>
    <mergeCell ref="Q10:Q11"/>
    <mergeCell ref="R10:R11"/>
    <mergeCell ref="S10:S11"/>
    <mergeCell ref="P16:P17"/>
    <mergeCell ref="Q16:Q17"/>
    <mergeCell ref="R16:R17"/>
    <mergeCell ref="S16:S17"/>
    <mergeCell ref="T12:T13"/>
    <mergeCell ref="P14:P15"/>
    <mergeCell ref="Q14:Q15"/>
    <mergeCell ref="R14:R15"/>
    <mergeCell ref="S14:S15"/>
    <mergeCell ref="T14:T15"/>
    <mergeCell ref="P23:P24"/>
    <mergeCell ref="Q23:Q24"/>
    <mergeCell ref="R23:R24"/>
    <mergeCell ref="S23:S24"/>
    <mergeCell ref="T23:T24"/>
    <mergeCell ref="S18:S19"/>
    <mergeCell ref="T18:T19"/>
    <mergeCell ref="P21:P22"/>
    <mergeCell ref="Q21:Q22"/>
    <mergeCell ref="R21:R22"/>
    <mergeCell ref="S21:S22"/>
    <mergeCell ref="T21:T22"/>
    <mergeCell ref="T31:T32"/>
    <mergeCell ref="P25:P26"/>
    <mergeCell ref="Q25:Q26"/>
    <mergeCell ref="R25:R26"/>
    <mergeCell ref="S25:S26"/>
    <mergeCell ref="T25:T26"/>
    <mergeCell ref="P27:P28"/>
    <mergeCell ref="Q27:Q28"/>
    <mergeCell ref="R27:R28"/>
    <mergeCell ref="S27:S28"/>
    <mergeCell ref="T27:T28"/>
    <mergeCell ref="P29:P30"/>
    <mergeCell ref="Q29:Q30"/>
    <mergeCell ref="R29:R30"/>
    <mergeCell ref="S29:S30"/>
    <mergeCell ref="T29:T30"/>
    <mergeCell ref="T41:T42"/>
    <mergeCell ref="P37:P38"/>
    <mergeCell ref="Q37:Q38"/>
    <mergeCell ref="R37:R38"/>
    <mergeCell ref="S37:S38"/>
    <mergeCell ref="T37:T38"/>
    <mergeCell ref="P39:P40"/>
    <mergeCell ref="Q39:Q40"/>
    <mergeCell ref="R39:R40"/>
    <mergeCell ref="S39:S40"/>
    <mergeCell ref="T39:T40"/>
    <mergeCell ref="B32:O32"/>
    <mergeCell ref="P41:P42"/>
    <mergeCell ref="Q41:Q42"/>
    <mergeCell ref="R41:R42"/>
    <mergeCell ref="S41:S42"/>
    <mergeCell ref="P31:P32"/>
    <mergeCell ref="Q31:Q32"/>
    <mergeCell ref="R31:R32"/>
    <mergeCell ref="S31:S3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F836-14AA-48C2-B6DD-A044214B14D4}">
  <sheetPr codeName="Sheet12"/>
  <dimension ref="A1:AF84"/>
  <sheetViews>
    <sheetView showGridLines="0" tabSelected="1" zoomScale="84" zoomScaleNormal="84" workbookViewId="0">
      <selection activeCell="B6" sqref="B6"/>
    </sheetView>
  </sheetViews>
  <sheetFormatPr defaultRowHeight="15" outlineLevelRow="2" x14ac:dyDescent="0.25"/>
  <cols>
    <col min="1" max="1" width="5.5703125" style="86" customWidth="1"/>
    <col min="2" max="2" width="41.28515625" style="86" customWidth="1"/>
    <col min="3" max="3" width="6.28515625" style="86" customWidth="1"/>
    <col min="4" max="15" width="20.5703125" style="86" customWidth="1"/>
    <col min="16" max="16" width="20.85546875" style="85" customWidth="1"/>
    <col min="17" max="17" width="22.7109375" style="85" customWidth="1"/>
    <col min="18" max="18" width="21" style="85" bestFit="1" customWidth="1"/>
    <col min="19" max="19" width="16.140625" style="85" customWidth="1"/>
    <col min="20" max="20" width="18.28515625" style="85" customWidth="1"/>
    <col min="21" max="23" width="25.5703125" style="85" customWidth="1"/>
    <col min="24" max="24" width="19.5703125" style="85" bestFit="1" customWidth="1"/>
    <col min="25" max="26" width="25.5703125" style="85" customWidth="1"/>
    <col min="27" max="27" width="18.140625" style="85" bestFit="1" customWidth="1"/>
    <col min="28" max="29" width="25.5703125" style="85" customWidth="1"/>
    <col min="30" max="30" width="25.28515625" style="85" bestFit="1" customWidth="1"/>
    <col min="31" max="31" width="20.5703125" style="85" bestFit="1" customWidth="1"/>
    <col min="32" max="32" width="25.5703125" style="85" customWidth="1"/>
    <col min="33" max="16384" width="9.140625" style="86"/>
  </cols>
  <sheetData>
    <row r="1" spans="1:32" x14ac:dyDescent="0.25">
      <c r="A1" s="183" t="s">
        <v>1764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</row>
    <row r="2" spans="1:32" hidden="1" x14ac:dyDescent="0.25"/>
    <row r="3" spans="1:32" hidden="1" x14ac:dyDescent="0.25"/>
    <row r="4" spans="1:32" x14ac:dyDescent="0.25">
      <c r="D4" s="185" t="s">
        <v>1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32" ht="53.25" customHeight="1" x14ac:dyDescent="0.25">
      <c r="B5" s="136"/>
      <c r="D5" s="87" t="s">
        <v>1765</v>
      </c>
      <c r="E5" s="87" t="s">
        <v>1766</v>
      </c>
      <c r="F5" s="87" t="s">
        <v>1767</v>
      </c>
      <c r="G5" s="87" t="s">
        <v>1768</v>
      </c>
      <c r="H5" s="186" t="s">
        <v>1769</v>
      </c>
      <c r="I5" s="187"/>
      <c r="J5" s="87" t="s">
        <v>1770</v>
      </c>
      <c r="K5" s="87" t="s">
        <v>1771</v>
      </c>
      <c r="L5" s="87" t="s">
        <v>1772</v>
      </c>
      <c r="M5" s="186" t="s">
        <v>1773</v>
      </c>
      <c r="N5" s="188"/>
      <c r="O5" s="187"/>
    </row>
    <row r="6" spans="1:32" ht="34.5" customHeight="1" x14ac:dyDescent="0.25">
      <c r="D6" s="88" t="s">
        <v>1774</v>
      </c>
      <c r="E6" s="88" t="s">
        <v>1774</v>
      </c>
      <c r="F6" s="88" t="s">
        <v>1774</v>
      </c>
      <c r="G6" s="88" t="s">
        <v>1774</v>
      </c>
      <c r="H6" s="88" t="s">
        <v>1774</v>
      </c>
      <c r="I6" s="87" t="s">
        <v>1775</v>
      </c>
      <c r="J6" s="88" t="s">
        <v>1774</v>
      </c>
      <c r="K6" s="88" t="s">
        <v>1774</v>
      </c>
      <c r="L6" s="88" t="s">
        <v>1774</v>
      </c>
      <c r="M6" s="88" t="s">
        <v>1774</v>
      </c>
      <c r="N6" s="87" t="s">
        <v>1776</v>
      </c>
      <c r="O6" s="87" t="s">
        <v>1777</v>
      </c>
      <c r="P6" s="169"/>
      <c r="Q6" s="170"/>
      <c r="R6" s="171"/>
      <c r="S6" s="172"/>
      <c r="T6" s="173"/>
      <c r="U6" s="180"/>
      <c r="V6" s="181"/>
      <c r="W6" s="182"/>
      <c r="X6" s="176"/>
      <c r="Y6" s="177"/>
      <c r="Z6" s="178"/>
      <c r="AA6" s="179"/>
      <c r="AB6" s="192"/>
      <c r="AC6" s="193"/>
      <c r="AD6" s="189"/>
      <c r="AE6" s="190"/>
      <c r="AF6" s="191"/>
    </row>
    <row r="7" spans="1:32" x14ac:dyDescent="0.25">
      <c r="D7" s="89"/>
      <c r="E7" s="89"/>
      <c r="F7" s="89"/>
      <c r="G7" s="89"/>
      <c r="H7" s="89"/>
      <c r="I7" s="87" t="s">
        <v>1774</v>
      </c>
      <c r="J7" s="89"/>
      <c r="K7" s="89"/>
      <c r="L7" s="89"/>
      <c r="M7" s="89"/>
      <c r="N7" s="87" t="s">
        <v>1774</v>
      </c>
      <c r="O7" s="87" t="s">
        <v>1774</v>
      </c>
      <c r="P7" s="169"/>
      <c r="Q7" s="170"/>
      <c r="R7" s="171"/>
      <c r="S7" s="172"/>
      <c r="T7" s="173"/>
      <c r="U7" s="180"/>
      <c r="V7" s="181"/>
      <c r="W7" s="182"/>
      <c r="X7" s="176"/>
      <c r="Y7" s="177"/>
      <c r="Z7" s="178"/>
      <c r="AA7" s="179"/>
      <c r="AB7" s="192"/>
      <c r="AC7" s="193"/>
      <c r="AD7" s="189"/>
      <c r="AE7" s="190"/>
      <c r="AF7" s="191"/>
    </row>
    <row r="8" spans="1:32" ht="15.75" thickBot="1" x14ac:dyDescent="0.3">
      <c r="D8" s="90" t="s">
        <v>1778</v>
      </c>
      <c r="E8" s="90" t="s">
        <v>31</v>
      </c>
      <c r="F8" s="90" t="s">
        <v>1779</v>
      </c>
      <c r="G8" s="90" t="s">
        <v>1780</v>
      </c>
      <c r="H8" s="90" t="s">
        <v>1781</v>
      </c>
      <c r="I8" s="90" t="s">
        <v>1602</v>
      </c>
      <c r="J8" s="90" t="s">
        <v>1782</v>
      </c>
      <c r="K8" s="90" t="s">
        <v>1783</v>
      </c>
      <c r="L8" s="90" t="s">
        <v>1784</v>
      </c>
      <c r="M8" s="90" t="s">
        <v>1785</v>
      </c>
      <c r="N8" s="90" t="s">
        <v>1786</v>
      </c>
      <c r="O8" s="90" t="s">
        <v>1787</v>
      </c>
      <c r="P8" s="169"/>
      <c r="Q8" s="170"/>
      <c r="R8" s="171"/>
      <c r="S8" s="172"/>
      <c r="T8" s="173"/>
    </row>
    <row r="9" spans="1:32" x14ac:dyDescent="0.25">
      <c r="A9" s="175" t="s">
        <v>54</v>
      </c>
      <c r="B9" s="91" t="s">
        <v>1788</v>
      </c>
      <c r="C9" s="92" t="s">
        <v>43</v>
      </c>
      <c r="D9" s="93">
        <f>D10+D11+D12+D13+D14+D15+D16+D17+D18+D19+D20</f>
        <v>19384942839.943794</v>
      </c>
      <c r="E9" s="94">
        <f t="shared" ref="E9:N9" si="0">E10+E11+E12+E13+E14+E15+E16+E17+E18+E19+E20</f>
        <v>2335055102.9687028</v>
      </c>
      <c r="F9" s="94">
        <f t="shared" si="0"/>
        <v>388257705.33700413</v>
      </c>
      <c r="G9" s="94">
        <f t="shared" si="0"/>
        <v>2136597104.123975</v>
      </c>
      <c r="H9" s="94">
        <f t="shared" si="0"/>
        <v>3926751792.8137207</v>
      </c>
      <c r="I9" s="94">
        <f t="shared" si="0"/>
        <v>303695255.18468499</v>
      </c>
      <c r="J9" s="94">
        <f t="shared" si="0"/>
        <v>7763551068.0800009</v>
      </c>
      <c r="K9" s="94">
        <f t="shared" si="0"/>
        <v>0</v>
      </c>
      <c r="L9" s="94">
        <f t="shared" si="0"/>
        <v>0</v>
      </c>
      <c r="M9" s="94">
        <f>SUM(D9:L9)-I9</f>
        <v>35935155613.267197</v>
      </c>
      <c r="N9" s="94">
        <f t="shared" si="0"/>
        <v>3928339423.533721</v>
      </c>
      <c r="O9" s="156">
        <v>0</v>
      </c>
      <c r="P9" s="169"/>
      <c r="Q9" s="170"/>
      <c r="R9" s="171"/>
      <c r="S9" s="172"/>
      <c r="T9" s="173"/>
      <c r="AD9" s="97"/>
      <c r="AE9" s="98"/>
    </row>
    <row r="10" spans="1:32" outlineLevel="1" x14ac:dyDescent="0.25">
      <c r="A10" s="175"/>
      <c r="B10" s="99" t="s">
        <v>1789</v>
      </c>
      <c r="C10" s="92" t="s">
        <v>44</v>
      </c>
      <c r="D10" s="100">
        <f>+SUMIFS('T 05.01'!$M:$M,'T 05.01'!$E:$E,"r0110 - Covered deposits (BRRD art. 44/2/a)",'T 05.01'!$F:$F,"c001x   - Households")+SUMIFS('T 05.01'!$N:$N,'T 05.01'!$E:$E,"r0110 - Covered deposits (BRRD art. 44/2/a)",'T 05.01'!$F:$F,"c001x   - Households")+SUMIFS('T 03.01'!P:P,'T 03.01'!E:E,"r0110 - Covered deposits (BRRD art. 44/2/a)",'T 03.01'!$F:$F,"c001x   - Households")+SUMIFS('T 03.01'!Q:Q,'T 03.01'!E:E,"r0110 - Covered deposits (BRRD art. 44/2/a)",'T 03.01'!$F:$F,"c001x   - Households")</f>
        <v>19147880393.903793</v>
      </c>
      <c r="E10" s="95">
        <f>+SUMIFS('T 05.01'!$M:$M,'T 05.01'!$E:$E,"r0110 - Covered deposits (BRRD art. 44/2/a)",'T 05.01'!$F:$F,"c002x   - Micro &amp; SME")+SUMIFS('T 05.01'!$N:$N,'T 05.01'!$E:$E,"r0110 - Covered deposits (BRRD art. 44/2/a)",'T 05.01'!$F:$F,"c002x   - Micro &amp; SME")+SUMIFS('T 03.01'!P:P,'T 03.01'!E:E,"r0110 - Covered deposits (BRRD art. 44/2/a)",'T 03.01'!$F:$F,"c002x   - Micro &amp; SME")+SUMIFS('T 03.01'!Q:Q,'T 03.01'!E:E,"r0110 - Covered deposits (BRRD art. 44/2/a)",'T 03.01'!$F:$F,"c002x   - Micro &amp; SME")</f>
        <v>2335055102.9687028</v>
      </c>
      <c r="F10" s="95">
        <f>+SUMIFS('T 05.01'!$M:$M,'T 05.01'!$E:$E,"r0110 - Covered deposits (BRRD art. 44/2/a)",'T 05.01'!$F:$F,"c003x   - Corporates")+SUMIFS('T 05.01'!$N:$N,'T 05.01'!$E:$E,"r0110 - Covered deposits (BRRD art. 44/2/a)",'T 05.01'!$F:$F,"c003x   - Corporates")+SUMIFS('T 03.01'!P:P,'T 03.01'!E:E,"r0110 - Covered deposits (BRRD art. 44/2/a)",'T 03.01'!$F:$F,"c003x   - Corporates")+SUMIFS('T 03.01'!Q:Q,'T 03.01'!E:E,"r0110 - Covered deposits (BRRD art. 44/2/a)",'T 03.01'!$F:$F,"c003x   - Corporates")</f>
        <v>388257705.33700413</v>
      </c>
      <c r="G10" s="107">
        <f>+SUMIFS('T 05.01'!$M:$M,'T 05.01'!$E:$E,"r0110 - Covered deposits (BRRD art. 44/2/a)",'T 05.01'!$F:$F,"c004x   - Institutions")+SUMIFS('T 05.01'!$N:$N,'T 05.01'!$E:$E,"r0110 - Covered deposits (BRRD art. 44/2/a)",'T 05.01'!$F:$F,"c004x   - Institutions")+SUMIFS('T 03.01'!P:P,'T 03.01'!E:E,"r0110 - Covered deposits (BRRD art. 44/2/a)",'T 03.01'!$F:$F,"c004x   - Institutions")+SUMIFS('T 03.01'!Q:Q,'T 03.01'!E:E,"r0110 - Covered deposits (BRRD art. 44/2/a)",'T 03.01'!$F:$F,"c004x   - Institutions")</f>
        <v>0</v>
      </c>
      <c r="H10" s="95">
        <f>+SUMIFS('T 05.01'!$M:$M,'T 05.01'!$E:$E,"r0110 - Covered deposits (BRRD art. 44/2/a)",'T 05.01'!$F:$F,"c005x   - Other financial corporations")+SUMIFS('T 05.01'!$N:$N,'T 05.01'!$E:$E,"r0110 - Covered deposits (BRRD art. 44/2/a)",'T 05.01'!$F:$F,"c005x   - Other financial corporations")+I10+SUMIFS('T 03.01'!P:P,'T 03.01'!E:E,"r0110 - Covered deposits (BRRD art. 44/2/a)",'T 03.01'!$F:$F,"c005x   - Other financial corporations")+SUMIFS('T 03.01'!Q:Q,'T 03.01'!E:E,"r0110 - Covered deposits (BRRD art. 44/2/a)",'T 03.01'!$F:$F,"c005x   - Other financial corporations")</f>
        <v>0</v>
      </c>
      <c r="I10" s="95">
        <f>+SUMIFS('T 05.01'!$M:$M,'T 05.01'!$E:$E,"r0110 - Covered deposits (BRRD art. 44/2/a)",'T 05.01'!$F:$F,"c006x   - Insurance firms &amp; pension funds")+SUMIFS('T 05.01'!$N:$N,'T 05.01'!$E:$E,"r0110 - Covered deposits (BRRD art. 44/2/a)",'T 05.01'!$F:$F,"c006x   - Insurance firms &amp; pension funds")+SUMIFS('T 03.01'!P:P,'T 03.01'!E:E,"r0110 - Covered deposits (BRRD art. 44/2/a)",'T 03.01'!$F:$F,"c006x   - Insurance firms &amp; pension funds")+SUMIFS('T 03.01'!Q:Q,'T 03.01'!E:E,"r0110 - Covered deposits (BRRD art. 44/2/a)",'T 03.01'!$F:$F,"c006x   - Insurance firms &amp; pension funds")</f>
        <v>0</v>
      </c>
      <c r="J10" s="95">
        <f>+SUMIFS('T 05.01'!$M:$M,'T 05.01'!$E:$E,"r0110 - Covered deposits (BRRD art. 44/2/a)",'T 05.01'!$F:$F,"c008x   - Government, central banks &amp; supranationals")+SUMIFS('T 05.01'!$N:$N,'T 05.01'!$E:$E,"r0110 - Covered deposits (BRRD art. 44/2/a)",'T 05.01'!$F:$F,"c008x   - Government, central banks &amp; supranationals")+SUMIFS('T 03.01'!P:P,'T 03.01'!E:E,"r0110 - Covered deposits (BRRD art. 44/2/a)",'T 03.01'!$F:$F,"c008x   - Government, central banks &amp; supranationals")+SUMIFS('T 03.01'!Q:Q,'T 03.01'!E:E,"r0110 - Covered deposits (BRRD art. 44/2/a)",'T 03.01'!$F:$F,"c008x   - Government, central banks &amp; supranationals")</f>
        <v>0</v>
      </c>
      <c r="K10" s="95">
        <v>0</v>
      </c>
      <c r="L10" s="95">
        <f>+SUMIFS('T 05.01'!$M:$M,'T 05.01'!$E:$E,"r0110 - Covered deposits (BRRD art. 44/2/a)",'T 05.01'!$F:$F,"")+SUMIFS('T 05.01'!$N:$N,'T 05.01'!$E:$E,"r0110 - Covered deposits (BRRD art. 44/2/a)",'T 05.01'!$F:$F,"")+SUMIFS('T 03.01'!P:P,'T 03.01'!E:E,"r0110 - Covered deposits (BRRD art. 44/2/a)",'T 03.01'!$F:$F,"")+SUMIFS('T 03.01'!Q:Q,'T 03.01'!E:E,"r0110 - Covered deposits (BRRD art. 44/2/a)",'T 03.01'!$F:$F,"")</f>
        <v>0</v>
      </c>
      <c r="M10" s="95">
        <f t="shared" ref="M10:M62" si="1">SUM(D10:L10)-I10</f>
        <v>21871193202.209503</v>
      </c>
      <c r="N10" s="95">
        <f>+SUMIF('T 03.01'!E:E,"r0110 - Covered deposits (BRRD art. 44/2/a)",'T 03.01'!P:P)+SUMIF('T 03.01'!E:E,"r0110 - Covered deposits (BRRD art. 44/2/a)",'T 03.01'!Q:Q)</f>
        <v>732268.55</v>
      </c>
      <c r="O10" s="96">
        <v>0</v>
      </c>
      <c r="P10" s="169"/>
      <c r="Q10" s="170"/>
      <c r="R10" s="171"/>
      <c r="S10" s="172"/>
      <c r="T10" s="173"/>
      <c r="V10" s="85">
        <f>+N10+N22+M27</f>
        <v>6674111730.1448088</v>
      </c>
      <c r="W10" s="101"/>
      <c r="Z10" s="102"/>
      <c r="AD10" s="97"/>
      <c r="AE10" s="98"/>
    </row>
    <row r="11" spans="1:32" ht="30" outlineLevel="1" x14ac:dyDescent="0.25">
      <c r="A11" s="175"/>
      <c r="B11" s="99" t="s">
        <v>1790</v>
      </c>
      <c r="C11" s="92" t="s">
        <v>45</v>
      </c>
      <c r="D11" s="100">
        <f>SUMIF('T 08.00'!$E:$E,"c001x   - Households",'T 08.00'!$O:$O)+SUMIFS('T 03.01'!P:P,'T 03.01'!E:E,"r0120 - Secured liabilities - collateralized part (BRRD art. 44/2/b)",'T 03.01'!$F:$F,"c001x   - Households")+SUMIFS('T 03.01'!Q:Q,'T 03.01'!E:E,"r0120 - Secured liabilities - collateralized part (BRRD art. 44/2/b)",'T 03.01'!$F:$F,"c001x   - Households")+SUMIFS('T 04.00'!M:M,'T 04.00'!F:F,"c001x   - Households",'T 04.00'!E:E,"r0120 - Secured liabilities - collateralized part (BRRD art. 44/2/b)")+SUMIFS('T 04.00'!O:O,'T 04.00'!F:F,"c001x   - Households",'T 04.00'!E:E,"r0120 - Secured liabilities - collateralized part (BRRD art. 44/2/b)")</f>
        <v>0</v>
      </c>
      <c r="E11" s="95">
        <f>SUMIF('T 08.00'!$E:$E,"c002x   - Micro &amp; SME",'T 08.00'!$O:$O)+SUMIFS('T 03.01'!P:P,'T 03.01'!E:E,"r0120 - Secured liabilities - collateralized part (BRRD art. 44/2/b)",'T 03.01'!$F:$F,"c002x   - Micro &amp; SME")+SUMIFS('T 03.01'!Q:Q,'T 03.01'!E:E,"r0120 - Secured liabilities - collateralized part (BRRD art. 44/2/b)",'T 03.01'!$F:$F,"c002x   - Micro &amp; SME")+SUMIFS('T 04.00'!M:M,'T 04.00'!F:F,"c002x   - Micro &amp; SME",'T 04.00'!E:E,"r0120 - Secured liabilities - collateralized part (BRRD art. 44/2/b)")+SUMIFS('T 04.00'!O:O,'T 04.00'!F:F,"c002x   - Micro &amp; SME",'T 04.00'!E:E,"r0120 - Secured liabilities - collateralized part (BRRD art. 44/2/b)")</f>
        <v>0</v>
      </c>
      <c r="F11" s="95">
        <f>SUMIF('T 08.00'!$E:$E,"c003x   - Corporates",'T 08.00'!$O:$O)+SUMIFS('T 03.01'!P:P,'T 03.01'!E:E,"r0120 - Secured liabilities - collateralized part (BRRD art. 44/2/b)",'T 03.01'!$F:$F,"c003x   - Corporates")+SUMIFS('T 03.01'!Q:Q,'T 03.01'!E:E,"r0120 - Secured liabilities - collateralized part (BRRD art. 44/2/b)",'T 03.01'!$F:$F,"c003x   - Corporates")+SUMIFS('T 04.00'!M:M,'T 04.00'!F:F,"c003x   - Corporates",'T 04.00'!E:E,"r0120 - Secured liabilities - collateralized part (BRRD art. 44/2/b)")+SUMIFS('T 04.00'!O:O,'T 04.00'!F:F,"c003x   - Corporates",'T 04.00'!E:E,"r0120 - Secured liabilities - collateralized part (BRRD art. 44/2/b)")</f>
        <v>0</v>
      </c>
      <c r="G11" s="95">
        <f>SUMIF('T 08.00'!$E:$E,"c004x   - Institutions",'T 08.00'!$O:$O)+SUMIFS('T 03.01'!P:P,'T 03.01'!E:E,"r0120 - Secured liabilities - collateralized part (BRRD art. 44/2/b)",'T 03.01'!$F:$F,"c004x   - Institutions")+SUMIFS('T 03.01'!Q:Q,'T 03.01'!E:E,"r0120 - Secured liabilities - collateralized part (BRRD art. 44/2/b)",'T 03.01'!$F:$F,"c004x   - Institutions")+SUMIFS('T 04.00'!N:N,'T 04.00'!F:F,"c004x   - Institutions",'T 04.00'!E:E,"r0120 - Secured liabilities - collateralized part (BRRD art. 44/2/b)")+SUMIFS('T 04.00'!O:O,'T 04.00'!F:F,"c004x   - Institutions",'T 04.00'!E:E,"r0120 - Secured liabilities - collateralized part (BRRD art. 44/2/b)")</f>
        <v>1982451890.468648</v>
      </c>
      <c r="H11" s="95">
        <f>SUMIF('T 08.00'!$E:$E,"c005x   - Other financial corporations",'T 08.00'!$O:$O)+I11+SUMIFS('T 03.01'!P:P,'T 03.01'!E:E,"r0120 - Secured liabilities - collateralized part (BRRD art. 44/2/b)",'T 03.01'!$F:$F,"c005x   - Other financial corporations")+SUMIFS('T 03.01'!Q:Q,'T 03.01'!E:E,"r0120 - Secured liabilities - collateralized part (BRRD art. 44/2/b)",'T 03.01'!$F:$F,"c005x   - Other financial corporations")+SUMIFS('T 04.00'!N:N,'T 04.00'!F:F,"c005x   - Other financial corporations",'T 04.00'!E:E,"r0120 - Secured liabilities - collateralized part (BRRD art. 44/2/b)")+SUMIFS('T 04.00'!O:O,'T 04.00'!F:F,"c005x   - Other financial corporations",'T 04.00'!E:E,"r0120 - Secured liabilities - collateralized part (BRRD art. 44/2/b)")</f>
        <v>3024114830.5199866</v>
      </c>
      <c r="I11" s="95">
        <f>SUMIF('T 08.00'!$E:$E,"c006x   - Insurance firms &amp; pension funds",'T 08.00'!$O:$O)+SUMIFS('T 03.01'!P:P,'T 03.01'!E:E,"r0120 - Secured liabilities - collateralized part (BRRD art. 44/2/b)",'T 03.01'!$F:$F,"c006x   - Insurance firms &amp; pension funds")+SUMIFS('T 03.01'!Q:Q,'T 03.01'!E:E,"r0120 - Secured liabilities - collateralized part (BRRD art. 44/2/b)",'T 03.01'!$F:$F,"c006x   - Insurance firms &amp; pension funds")+SUMIFS('T 04.00'!N:N,'T 04.00'!F:F,"c006x   - Insurance firms &amp; pension funds",'T 04.00'!E:E,"r0120 - Secured liabilities - collateralized part (BRRD art. 44/2/b)")+SUMIFS('T 04.00'!O:O,'T 04.00'!F:F,"c006x   - Insurance firms &amp; pension funds",'T 04.00'!E:E,"r0120 - Secured liabilities - collateralized part (BRRD art. 44/2/b)")</f>
        <v>0</v>
      </c>
      <c r="J11" s="95">
        <f>SUMIF('T 08.00'!$E:$E,"c008x   - Government, central banks &amp; supranationals",'T 08.00'!$O:$O)+SUMIFS('T 03.01'!P:P,'T 03.01'!E:E,"r0120 - Secured liabilities - collateralized part (BRRD art. 44/2/b)",'T 03.01'!$F:$F,"c008x   - Government, central banks &amp; supranationals")+SUMIFS('T 03.01'!Q:Q,'T 03.01'!E:E,"r0120 - Secured liabilities - collateralized part (BRRD art. 44/2/b)",'T 03.01'!$F:$F,"c008x   - Government, central banks &amp; supranationals")+SUMIFS('T 04.00'!N:N,'T 04.00'!F:F,"c008x   - Government, central banks &amp; supranationals",'T 04.00'!E:E,"r0120 - Secured liabilities - collateralized part (BRRD art. 44/2/b)")+SUMIFS('T 04.00'!O:O,'T 04.00'!F:F,"c008x   - Government, central banks &amp; supranationals",'T 04.00'!E:E,"r0120 - Secured liabilities - collateralized part (BRRD art. 44/2/b)")</f>
        <v>7410241999.8600006</v>
      </c>
      <c r="K11" s="95">
        <v>0</v>
      </c>
      <c r="L11" s="95">
        <f>SUMIF('T 08.00'!$E:$E,"",'T 08.00'!$O:$O)+SUMIFS('T 03.01'!P:P,'T 03.01'!E:E,"r0120 - Secured liabilities - collateralized part (BRRD art. 44/2/b)",'T 03.01'!$F:$F,"")+SUMIFS('T 03.01'!Q:Q,'T 03.01'!E:E,"r0120 - Secured liabilities - collateralized part (BRRD art. 44/2/b)",'T 03.01'!$F:$F,"")+SUMIFS('T 04.00'!O:O,'T 04.00'!F:F,"",'T 04.00'!E:E,"r0120 - Secured liabilities - collateralized part (BRRD art. 44/2/b)")</f>
        <v>0</v>
      </c>
      <c r="M11" s="95">
        <f t="shared" si="1"/>
        <v>12416808720.848635</v>
      </c>
      <c r="N11" s="95">
        <f>+SUMIF('T 03.01'!E:E,"r0120 - Secured liabilities - collateralized part (BRRD art. 44/2/b)",'T 03.01'!P:P)+SUMIF('T 03.01'!E:E,"r0120 - Secured liabilities - collateralized part (BRRD art. 44/2/b)",'T 03.01'!Q:Q)</f>
        <v>3024114830.5199866</v>
      </c>
      <c r="O11" s="96">
        <v>0</v>
      </c>
      <c r="P11" s="169"/>
      <c r="Q11" s="170"/>
      <c r="R11" s="171"/>
      <c r="S11" s="172"/>
      <c r="T11" s="173"/>
      <c r="AD11" s="97"/>
      <c r="AE11" s="98"/>
      <c r="AF11" s="103"/>
    </row>
    <row r="12" spans="1:32" ht="30" outlineLevel="1" x14ac:dyDescent="0.25">
      <c r="A12" s="175"/>
      <c r="B12" s="99" t="s">
        <v>1791</v>
      </c>
      <c r="C12" s="92" t="s">
        <v>46</v>
      </c>
      <c r="D12" s="100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f t="shared" si="1"/>
        <v>0</v>
      </c>
      <c r="N12" s="95">
        <v>0</v>
      </c>
      <c r="O12" s="96">
        <v>0</v>
      </c>
      <c r="P12" s="169"/>
      <c r="Q12" s="170"/>
      <c r="R12" s="171"/>
      <c r="S12" s="172"/>
      <c r="T12" s="173"/>
      <c r="U12" s="104"/>
      <c r="AB12" s="105"/>
      <c r="AD12" s="97"/>
      <c r="AE12" s="98"/>
    </row>
    <row r="13" spans="1:32" ht="30" outlineLevel="1" x14ac:dyDescent="0.25">
      <c r="A13" s="175"/>
      <c r="B13" s="99" t="s">
        <v>1792</v>
      </c>
      <c r="C13" s="92" t="s">
        <v>47</v>
      </c>
      <c r="D13" s="100">
        <v>0</v>
      </c>
      <c r="E13" s="95">
        <v>0</v>
      </c>
      <c r="F13" s="95">
        <v>0</v>
      </c>
      <c r="G13" s="95">
        <v>0</v>
      </c>
      <c r="H13" s="95">
        <v>0</v>
      </c>
      <c r="I13" s="95">
        <v>0</v>
      </c>
      <c r="J13" s="95">
        <v>0</v>
      </c>
      <c r="K13" s="95">
        <v>0</v>
      </c>
      <c r="L13" s="95">
        <v>0</v>
      </c>
      <c r="M13" s="95">
        <f t="shared" si="1"/>
        <v>0</v>
      </c>
      <c r="N13" s="95">
        <v>0</v>
      </c>
      <c r="O13" s="96">
        <v>0</v>
      </c>
      <c r="P13" s="169"/>
      <c r="Q13" s="170"/>
      <c r="R13" s="171"/>
      <c r="S13" s="172"/>
      <c r="T13" s="173"/>
      <c r="AC13" s="106"/>
      <c r="AD13" s="97"/>
      <c r="AE13" s="98"/>
    </row>
    <row r="14" spans="1:32" ht="30" outlineLevel="1" x14ac:dyDescent="0.25">
      <c r="A14" s="175"/>
      <c r="B14" s="99" t="s">
        <v>1793</v>
      </c>
      <c r="C14" s="92" t="s">
        <v>48</v>
      </c>
      <c r="D14" s="109">
        <f>+SUMIFS('T 06.01'!$O:$O,'T 06.01'!$E:$E,"r0150 - Institution liabilities &lt; 7 days (BRRD art. 44/2/e)",'T 06.01'!$F:$F,"c001x   - Households")+SUMIFS('T 06.01'!$P:$P,'T 06.01'!$E:$E,"r0150 - Institution liabilities &lt; 7 days (BRRD art. 44/2/e)",'T 06.01'!$F:$F,"c001x   - Households")+SUMIFS('T 03.01'!P:P,'T 03.01'!E:E,"r0150 - Institution liabilities &lt; 7 days (BRRD art. 44/2/e)",'T 03.01'!$F:$F,"c001x   - Households")+SUMIFS('T 03.01'!Q:Q,'T 03.01'!E:E,"r0150 - Institution liabilities &lt; 7 days (BRRD art. 44/2/e)",'T 03.01'!$F:$F,"c001x   - Households")</f>
        <v>0</v>
      </c>
      <c r="E14" s="107">
        <f>+SUMIFS('T 06.01'!$O:$O,'T 06.01'!$E:$E,"r0150 - Institution liabilities &lt; 7 days (BRRD art. 44/2/e)",'T 06.01'!$F:$F,"c002x   - Micro &amp; SME")+SUMIFS('T 06.01'!$P:$P,'T 06.01'!$E:$E,"r0150 - Institution liabilities &lt; 7 days (BRRD art. 44/2/e)",'T 06.01'!$F:$F,"c002x   - Micro &amp; SME")+SUMIFS('T 03.01'!P:P,'T 03.01'!E:E,"r0150 - Institution liabilities &lt; 7 days (BRRD art. 44/2/e)",'T 03.01'!$F:$F,"c002x   - Micro &amp; SME")+SUMIFS('T 03.01'!Q:Q,'T 03.01'!E:E,"r0150 - Institution liabilities &lt; 7 days (BRRD art. 44/2/e)",'T 03.01'!$F:$F,"c002x   - Micro &amp; SME")</f>
        <v>0</v>
      </c>
      <c r="F14" s="107">
        <f>+SUMIFS('T 06.01'!$O:$O,'T 06.01'!$E:$E,"r0150 - Institution liabilities &lt; 7 days (BRRD art. 44/2/e)",'T 06.01'!$F:$F,"c003x   - Corporates")+SUMIFS('T 06.01'!$P:$P,'T 06.01'!$E:$E,"r0150 - Institution liabilities &lt; 7 days (BRRD art. 44/2/e)",'T 06.01'!$F:$F,"c003x   - Corporates")+SUMIFS('T 03.01'!P:P,'T 03.01'!E:E,"r0150 - Institution liabilities &lt; 7 days (BRRD art. 44/2/e)",'T 03.01'!$F:$F,"c003x   - Corporates")+SUMIFS('T 03.01'!Q:Q,'T 03.01'!E:E,"r0150 - Institution liabilities &lt; 7 days (BRRD art. 44/2/e)",'T 03.01'!$F:$F,"c003x   - Corporates")</f>
        <v>0</v>
      </c>
      <c r="G14" s="95">
        <f>+SUMIFS('T 06.01'!$O:$O,'T 06.01'!$E:$E,"r0150 - Institution liabilities &lt; 7 days (BRRD art. 44/2/e)",'T 06.01'!$F:$F,"c004x   - Institutions")+SUMIFS('T 06.01'!$P:$P,'T 06.01'!$E:$E,"r0150 - Institution liabilities &lt; 7 days (BRRD art. 44/2/e)",'T 06.01'!$F:$F,"c004x   - Institutions")+SUMIFS('T 03.01'!P:P,'T 03.01'!E:E,"r0150 - Institution liabilities &lt; 7 days (BRRD art. 44/2/e)",'T 03.01'!$F:$F,"c004x   - Institutions")+SUMIFS('T 03.01'!Q:Q,'T 03.01'!E:E,"r0150 - Institution liabilities &lt; 7 days (BRRD art. 44/2/e)",'T 03.01'!$F:$F,"c004x   - Institutions")</f>
        <v>153249041.23532706</v>
      </c>
      <c r="H14" s="95">
        <f>+SUMIFS('T 06.01'!$O:$O,'T 06.01'!$E:$E,"r0150 - Institution liabilities &lt; 7 days (BRRD art. 44/2/e)",'T 06.01'!$F:$F,"c005x   - Other financial corporations")+SUMIFS('T 06.01'!$P:$P,'T 06.01'!$E:$E,"r0150 - Institution liabilities &lt; 7 days (BRRD art. 44/2/e)",'T 06.01'!$F:$F,"c005x   - Other financial corporations")+I14+SUMIFS('T 03.01'!P:P,'T 03.01'!E:E,"r0150 - Institution liabilities &lt; 7 days (BRRD art. 44/2/e)",'T 03.01'!$F:$F,"c005x   - Other financial corporations")+SUMIFS('T 03.01'!Q:Q,'T 03.01'!E:E,"r0150 - Institution liabilities &lt; 7 days (BRRD art. 44/2/e)",'T 03.01'!$F:$F,"c005x   - Other financial corporations")</f>
        <v>0</v>
      </c>
      <c r="I14" s="95">
        <f>+SUMIFS('T 06.01'!$O:$O,'T 06.01'!$E:$E,"r0150 - Institution liabilities &lt; 7 days (BRRD art. 44/2/e)",'T 06.01'!$F:$F,"c006x   - Insurance firms &amp; pension funds")+SUMIFS('T 06.01'!$P:$P,'T 06.01'!$E:$E,"r0150 - Institution liabilities &lt; 7 days (BRRD art. 44/2/e)",'T 06.01'!$F:$F,"c006x   - Insurance firms &amp; pension funds")+SUMIFS('T 03.01'!P:P,'T 03.01'!E:E,"r0150 - Institution liabilities &lt; 7 days (BRRD art. 44/2/e)",'T 03.01'!$F:$F,"c006x   - Insurance firms &amp; pension funds")+SUMIFS('T 03.01'!Q:Q,'T 03.01'!E:E,"r0150 - Institution liabilities &lt; 7 days (BRRD art. 44/2/e)",'T 03.01'!$F:$F,"c006x   - Insurance firms &amp; pension funds")</f>
        <v>0</v>
      </c>
      <c r="J14" s="107">
        <f>+SUMIFS('T 06.01'!$O:$O,'T 06.01'!$E:$E,"r0150 - Institution liabilities &lt; 7 days (BRRD art. 44/2/e)",'T 06.01'!$F:$F,"c008x   - Government, central banks &amp; supranationals")+SUMIFS('T 06.01'!$P:$P,'T 06.01'!$E:$E,"r0150 - Institution liabilities &lt; 7 days (BRRD art. 44/2/e)",'T 06.01'!$F:$F,"c008x   - Government, central banks &amp; supranationals")+SUMIFS('T 03.01'!P:P,'T 03.01'!E:E,"r0150 - Institution liabilities &lt; 7 days (BRRD art. 44/2/e)",'T 03.01'!$F:$F,"c008x   - Government, central banks &amp; supranationals")+SUMIFS('T 03.01'!Q:Q,'T 03.01'!E:E,"r0150 - Institution liabilities &lt; 7 days (BRRD art. 44/2/e)",'T 03.01'!$F:$F,"c008x   - Government, central banks &amp; supranationals")</f>
        <v>0</v>
      </c>
      <c r="K14" s="107">
        <v>0</v>
      </c>
      <c r="L14" s="107">
        <f>+SUMIFS('T 06.01'!$O:$O,'T 06.01'!$E:$E,"r0150 - Institution liabilities &lt; 7 days (BRRD art. 44/2/e)",'T 06.01'!$F:$F,"")+SUMIFS('T 06.01'!$P:$P,'T 06.01'!$E:$E,"r0150 - Institution liabilities &lt; 7 days (BRRD art. 44/2/e)",'T 06.01'!$F:$F,"")+SUMIFS('T 03.01'!P:P,'T 03.01'!E:E,"r0150 - Institution liabilities &lt; 7 days (BRRD art. 44/2/e)",'T 03.01'!$F:$F,"")+SUMIFS('T 03.01'!Q:Q,'T 03.01'!E:E,"r0150 - Institution liabilities &lt; 7 days (BRRD art. 44/2/e)",'T 03.01'!$F:$F,"")</f>
        <v>0</v>
      </c>
      <c r="M14" s="95">
        <f t="shared" si="1"/>
        <v>153249041.23532706</v>
      </c>
      <c r="N14" s="107">
        <f>+SUMIF('T 03.01'!E:E,"r0150 - Institution liabilities &lt; 7 days (BRRD art. 44/2/e)",'T 03.01'!P:P)+SUMIF('T 03.01'!E:E,"r0150 - Institution liabilities &lt; 7 days (BRRD art. 44/2/e)",'T 03.01'!Q:Q)</f>
        <v>0</v>
      </c>
      <c r="O14" s="96">
        <v>0</v>
      </c>
      <c r="P14" s="169"/>
      <c r="Q14" s="170"/>
      <c r="R14" s="171"/>
      <c r="S14" s="172"/>
      <c r="T14" s="173"/>
      <c r="U14" s="104"/>
      <c r="AA14" s="108"/>
      <c r="AD14" s="97"/>
      <c r="AE14" s="98"/>
    </row>
    <row r="15" spans="1:32" ht="30" outlineLevel="1" x14ac:dyDescent="0.25">
      <c r="A15" s="175"/>
      <c r="B15" s="99" t="s">
        <v>2635</v>
      </c>
      <c r="C15" s="92" t="s">
        <v>2634</v>
      </c>
      <c r="D15" s="100">
        <f>+SUMIFS('T 06.01'!$O:$O,'T 06.01'!$E:$E,"r0161 - System (operator) and CCP liabilities &lt; 7 days   (BRRD art. 44/2/f)",'T 06.01'!$F:$F,"c001x   - Households")+SUMIFS('T 06.01'!$P:$P,'T 06.01'!$E:$E,"r0161 - System (operator) and CCP liabilities &lt; 7 days   (BRRD art. 44/2/f)",'T 06.01'!$F:$F,"c001x   - Households")+SUMIFS('T 03.01'!P:P,'T 03.01'!E:E,"r0161 - System (operator) and CCP liabilities &lt; 7 days   (BRRD art. 44/2/f)",'T 03.01'!$F:$F,"c001x   - Households")+SUMIFS('T 03.01'!Q:Q,'T 03.01'!E:E,"r0161 - System (operator) and CCP liabilities &lt; 7 days   (BRRD art. 44/2/f)",'T 03.01'!$F:$F,"c001x   - Households")</f>
        <v>0</v>
      </c>
      <c r="E15" s="95">
        <f>+SUMIFS('T 06.01'!$O:$O,'T 06.01'!$E:$E,"r0161 - System (operator) and CCP liabilities &lt; 7 days   (BRRD art. 44/2/f)",'T 06.01'!$F:$F,"c002x   - Micro &amp; SME")+SUMIFS('T 06.01'!$P:$P,'T 06.01'!$E:$E,"r0161 - System (operator) and CCP liabilities &lt; 7 days   (BRRD art. 44/2/f)",'T 06.01'!$F:$F,"c002x   - Micro &amp; SME")+SUMIFS('T 03.01'!P:P,'T 03.01'!E:E,"r0161 - System (operator) and CCP liabilities &lt; 7 days   (BRRD art. 44/2/f)",'T 03.01'!$F:$F,"c002x   - Micro &amp; SME")+SUMIFS('T 03.01'!Q:Q,'T 03.01'!E:E,"r0161 - System (operator) and CCP liabilities &lt; 7 days   (BRRD art. 44/2/f)",'T 03.01'!$F:$F,"c002x   - Micro &amp; SME")</f>
        <v>0</v>
      </c>
      <c r="F15" s="95">
        <f>+SUMIFS('T 06.01'!$O:$O,'T 06.01'!$E:$E,"r0161 - System (operator) and CCP liabilities &lt; 7 days   (BRRD art. 44/2/f)",'T 06.01'!$F:$F,"c003x   - Corporates")+SUMIFS('T 06.01'!$P:$P,'T 06.01'!$E:$E,"r0161 - System (operator) and CCP liabilities &lt; 7 days   (BRRD art. 44/2/f)",'T 06.01'!$F:$F,"c003x   - Corporates")+SUMIFS('T 03.01'!P:P,'T 03.01'!E:E,"r0161 - System (operator) and CCP liabilities &lt; 7 days   (BRRD art. 44/2/f)",'T 03.01'!$F:$F,"c003x   - Corporates")+SUMIFS('T 03.01'!Q:Q,'T 03.01'!E:E,"r0161 - System (operator) and CCP liabilities &lt; 7 days   (BRRD art. 44/2/f)",'T 03.01'!$F:$F,"c003x   - Corporates")</f>
        <v>0</v>
      </c>
      <c r="G15" s="95">
        <f>+SUMIFS('T 06.01'!$O:$O,'T 06.01'!$E:$E,"r0161 - System (operator) and CCP liabilities &lt; 7 days   (BRRD art. 44/2/f)",'T 06.01'!$F:$F,"c004x   - Institutions")+SUMIFS('T 06.01'!$P:$P,'T 06.01'!$E:$E,"r0161 - System (operator) and CCP liabilities &lt; 7 days   (BRRD art. 44/2/f)",'T 06.01'!$F:$F,"c004x   - Institutions")+SUMIFS('T 03.01'!P:P,'T 03.01'!E:E,"r0161 - System (operator) and CCP liabilities &lt; 7 days   (BRRD art. 44/2/f)",'T 03.01'!$F:$F,"c004x   - Institutions")+SUMIFS('T 03.01'!Q:Q,'T 03.01'!E:E,"r0161 - System (operator) and CCP liabilities &lt; 7 days   (BRRD art. 44/2/f)",'T 03.01'!$F:$F,"c004x   - Institutions")</f>
        <v>40810.25</v>
      </c>
      <c r="H15" s="95">
        <f>+SUMIFS('T 06.01'!$O:$O,'T 06.01'!$E:$E,"r0161 - System (operator) and CCP liabilities &lt; 7 days   (BRRD art. 44/2/f)",'T 06.01'!$F:$F,"c005x   - Other financial corporations")+SUMIFS('T 06.01'!$P:$P,'T 06.01'!$E:$E,"r0161 - System (operator) and CCP liabilities &lt; 7 days   (BRRD art. 44/2/f)",'T 06.01'!$F:$F,"c005x   - Other financial corporations")+I15+SUMIFS('T 03.01'!P:P,'T 03.01'!E:E,"r0161 - System (operator) and CCP liabilities &lt; 7 days   (BRRD art. 44/2/f)",'T 03.01'!$F:$F,"c005x   - Other financial corporations")+SUMIFS('T 03.01'!Q:Q,'T 03.01'!E:E,"r0161 - System (operator) and CCP liabilities &lt; 7 days   (BRRD art. 44/2/f)",'T 03.01'!$F:$F,"c005x   - Other financial corporations")</f>
        <v>0</v>
      </c>
      <c r="I15" s="95">
        <f>+SUMIFS('T 06.01'!$O:$O,'T 06.01'!$E:$E,"r0161 - System (operator) and CCP liabilities &lt; 7 days   (BRRD art. 44/2/f)",'T 06.01'!$F:$F,"c006x   - Insurance firms &amp; pension funds")+SUMIFS('T 06.01'!$P:$P,'T 06.01'!$E:$E,"r0161 - System (operator) and CCP liabilities &lt; 7 days   (BRRD art. 44/2/f)",'T 06.01'!$F:$F,"c006x   - Insurance firms &amp; pension funds")+SUMIFS('T 03.01'!P:P,'T 03.01'!E:E,"r0161 - System (operator) and CCP liabilities &lt; 7 days   (BRRD art. 44/2/f)",'T 03.01'!$F:$F,"c006x   - Insurance firms &amp; pension funds")+SUMIFS('T 03.01'!Q:Q,'T 03.01'!E:E,"r0161 - System (operator) and CCP liabilities &lt; 7 days   (BRRD art. 44/2/f)",'T 03.01'!$F:$F,"c006x   - Insurance firms &amp; pension funds")</f>
        <v>0</v>
      </c>
      <c r="J15" s="95">
        <f>+SUMIFS('T 06.01'!$O:$O,'T 06.01'!$E:$E,"r0161 - System (operator) and CCP liabilities &lt; 7 days   (BRRD art. 44/2/f)",'T 06.01'!$F:$F,"c008x   - Government, central banks &amp; supranationals")+SUMIFS('T 06.01'!$P:$P,'T 06.01'!$E:$E,"r0161 - System (operator) and CCP liabilities &lt; 7 days   (BRRD art. 44/2/f)",'T 06.01'!$F:$F,"c008x   - Government, central banks &amp; supranationals")+SUMIFS('T 03.01'!P:P,'T 03.01'!E:E,"r0161 - System (operator) and CCP liabilities &lt; 7 days   (BRRD art. 44/2/f)",'T 03.01'!$F:$F,"c008x   - Government, central banks &amp; supranationals")+SUMIFS('T 03.01'!Q:Q,'T 03.01'!E:E,"r0161 - System (operator) and CCP liabilities &lt; 7 days   (BRRD art. 44/2/f)",'T 03.01'!$F:$F,"c008x   - Government, central banks &amp; supranationals")</f>
        <v>0</v>
      </c>
      <c r="K15" s="95">
        <v>0</v>
      </c>
      <c r="L15" s="95">
        <f>+SUMIFS('T 06.01'!$O:$O,'T 06.01'!$E:$E,"r0161 - System (operator) and CCP liabilities &lt; 7 days   (BRRD art. 44/2/f)",'T 06.01'!$F:$F,"")+SUMIFS('T 06.01'!$P:$P,'T 06.01'!$E:$E,"r0161 - System (operator) and CCP liabilities &lt; 7 days   (BRRD art. 44/2/f)",'T 06.01'!$F:$F,"")+SUMIFS('T 03.01'!P:P,'T 03.01'!E:E,"r0161 - System (operator) and CCP liabilities &lt; 7 days   (BRRD art. 44/2/f)",'T 03.01'!$F:$F,"")+SUMIFS('T 03.01'!Q:Q,'T 03.01'!E:E,"r0161 - System (operator) and CCP liabilities &lt; 7 days   (BRRD art. 44/2/f)",'T 03.01'!$F:$F,"")</f>
        <v>0</v>
      </c>
      <c r="M15" s="95">
        <f t="shared" si="1"/>
        <v>40810.25</v>
      </c>
      <c r="N15" s="95">
        <f>+SUMIF('T 03.01'!E:E,"r0161 - System (operator) and CCP liabilities &lt; 7 days   (BRRD art. 44/2/f)",'T 03.01'!P:P)+SUMIF('T 03.01'!E:E,"r0161 - System (operator) and CCP liabilities &lt; 7 days   (BRRD art. 44/2/f)",'T 03.01'!Q:Q)</f>
        <v>0</v>
      </c>
      <c r="O15" s="96">
        <v>0</v>
      </c>
      <c r="P15" s="169"/>
      <c r="Q15" s="170"/>
      <c r="R15" s="171"/>
      <c r="S15" s="172"/>
      <c r="T15" s="173"/>
      <c r="U15" s="104"/>
      <c r="AA15" s="108"/>
      <c r="AD15" s="97"/>
      <c r="AE15" s="98"/>
    </row>
    <row r="16" spans="1:32" outlineLevel="1" x14ac:dyDescent="0.25">
      <c r="A16" s="175"/>
      <c r="B16" s="99" t="s">
        <v>1794</v>
      </c>
      <c r="C16" s="92" t="s">
        <v>50</v>
      </c>
      <c r="D16" s="100">
        <f>+SUMIFS('T 09.00'!$M:$M,'T 09.00'!$E:$E,"r0170 - Employee liabilities (BRRD art. 44/2/g/i)",'T 09.00'!$F:$F,"c001x   - Households")+SUMIFS('T 03.01'!P:P,'T 03.01'!E:E,"r0170 - Employee liabilities (BRRD art. 44/2/g/i)",'T 03.01'!$F:$F,"c001x   - Households")+SUMIFS('T 03.01'!Q:Q,'T 03.01'!E:E,"r0170 - Employee liabilities (BRRD art. 44/2/g/i)",'T 03.01'!$F:$F,"c001x   - Households")</f>
        <v>232925108.63</v>
      </c>
      <c r="E16" s="107">
        <f>+SUMIFS('T 09.00'!$M:$M,'T 09.00'!$E:$E,"r0170 - Employee liabilities (BRRD art. 44/2/g/i)",'T 09.00'!$F:$F,"c002x   - Micro &amp; SME")+SUMIFS('T 03.01'!P:P,'T 03.01'!E:E,"r0170 - Employee liabilities (BRRD art. 44/2/g/i)",'T 03.01'!$F:$F,"c002x   - Micro &amp; SME")+SUMIFS('T 03.01'!Q:Q,'T 03.01'!E:E,"r0170 - Employee liabilities (BRRD art. 44/2/g/i)",'T 03.01'!$F:$F,"c002x   - Micro &amp; SME")</f>
        <v>0</v>
      </c>
      <c r="F16" s="107">
        <f>+SUMIFS('T 09.00'!$M:$M,'T 09.00'!$E:$E,"r0170 - Employee liabilities (BRRD art. 44/2/g/i)",'T 09.00'!$F:$F,"c003x   - Corporates")+SUMIFS('T 03.01'!P:P,'T 03.01'!E:E,"r0170 - Employee liabilities (BRRD art. 44/2/g/i)",'T 03.01'!$F:$F,"c003x   - Corporates")+SUMIFS('T 03.01'!Q:Q,'T 03.01'!E:E,"r0170 - Employee liabilities (BRRD art. 44/2/g/i)",'T 03.01'!$F:$F,"c003x   - Corporates")</f>
        <v>0</v>
      </c>
      <c r="G16" s="107">
        <f>+SUMIFS('T 09.00'!$M:$M,'T 09.00'!$E:$E,"r0170 - Employee liabilities (BRRD art. 44/2/g/i)",'T 09.00'!$F:$F,"c004x   - Institutions")+SUMIFS('T 03.01'!P:P,'T 03.01'!E:E,"r0170 - Employee liabilities (BRRD art. 44/2/g/i)",'T 03.01'!$F:$F,"c004x   - Institutions")+SUMIFS('T 03.01'!Q:Q,'T 03.01'!E:E,"r0170 - Employee liabilities (BRRD art. 44/2/g/i)",'T 03.01'!$F:$F,"c004x   - Institutions")</f>
        <v>0</v>
      </c>
      <c r="H16" s="107">
        <f>+SUMIFS('T 09.00'!$M:$M,'T 09.00'!$E:$E,"r0170 - Employee liabilities (BRRD art. 44/2/g/i)",'T 09.00'!$F:$F,"c005x   - Other financial corporations")+I16+SUMIFS('T 03.01'!P:P,'T 03.01'!E:E,"r0170 - Employee liabilities (BRRD art. 44/2/g/i)",'T 03.01'!$F:$F,"c005x   - Other financial corporations")+SUMIFS('T 03.01'!Q:Q,'T 03.01'!E:E,"r0170 - Employee liabilities (BRRD art. 44/2/g/i)",'T 03.01'!$F:$F,"c005x   - Other financial corporations")</f>
        <v>0</v>
      </c>
      <c r="I16" s="107">
        <f>+SUMIFS('T 09.00'!$M:$M,'T 09.00'!$E:$E,"r0170 - Employee liabilities (BRRD art. 44/2/g/i)",'T 09.00'!$F:$F,"c006x   - Insurance firms &amp; pension funds")+SUMIFS('T 03.01'!P:P,'T 03.01'!E:E,"r0170 - Employee liabilities (BRRD art. 44/2/g/i)",'T 03.01'!$F:$F,"c006x   - Insurance firms &amp; pension funds")+SUMIFS('T 03.01'!Q:Q,'T 03.01'!E:E,"r0170 - Employee liabilities (BRRD art. 44/2/g/i)",'T 03.01'!$F:$F,"c006x   - Insurance firms &amp; pension funds")</f>
        <v>0</v>
      </c>
      <c r="J16" s="107">
        <f>+SUMIFS('T 09.00'!$M:$M,'T 09.00'!$E:$E,"r0170 - Employee liabilities (BRRD art. 44/2/g/i)",'T 09.00'!$F:$F,"c008x   - Government, central banks &amp; supranationals")+SUMIFS('T 03.01'!P:P,'T 03.01'!E:E,"r0170 - Employee liabilities (BRRD art. 44/2/g/i)",'T 03.01'!$F:$F,"c008x   - Government, central banks &amp; supranationals")+SUMIFS('T 03.01'!Q:Q,'T 03.01'!E:E,"r0170 - Employee liabilities (BRRD art. 44/2/g/i)",'T 03.01'!$F:$F,"c008x   - Government, central banks &amp; supranationals")</f>
        <v>0</v>
      </c>
      <c r="K16" s="107">
        <v>0</v>
      </c>
      <c r="L16" s="107">
        <f>+SUMIFS('T 09.00'!$M:$M,'T 09.00'!$E:$E,"r0170 - Employee liabilities (BRRD art. 44/2/g/i)",'T 09.00'!$F:$F,"c010x   - Non-identified, not listed on an exchange platform")+SUMIFS('T 03.01'!P:P,'T 03.01'!E:E,"r0170 - Employee liabilities (BRRD art. 44/2/g/i)",'T 03.01'!$F:$F,"")+SUMIFS('T 03.01'!Q:Q,'T 03.01'!E:E,"r0170 - Employee liabilities (BRRD art. 44/2/g/i)",'T 03.01'!$F:$F,"")</f>
        <v>0</v>
      </c>
      <c r="M16" s="95">
        <f t="shared" si="1"/>
        <v>232925108.63</v>
      </c>
      <c r="N16" s="107">
        <f>+SUMIF('T 03.01'!E:E,"r0170 - Employee liabilities (BRRD art. 44/2/g/i)",'T 03.01'!P:P)+SUMIF('T 03.01'!E:E,"r0170 - Employee liabilities (BRRD art. 44/2/g/i)",'T 03.01'!Q:Q)</f>
        <v>0</v>
      </c>
      <c r="O16" s="96">
        <v>0</v>
      </c>
      <c r="P16" s="169"/>
      <c r="Q16" s="170"/>
      <c r="R16" s="171"/>
      <c r="S16" s="172"/>
      <c r="T16" s="173"/>
      <c r="U16" s="104"/>
      <c r="AD16" s="97"/>
      <c r="AE16" s="98"/>
    </row>
    <row r="17" spans="1:31" ht="30" outlineLevel="1" x14ac:dyDescent="0.25">
      <c r="A17" s="175"/>
      <c r="B17" s="99" t="s">
        <v>1795</v>
      </c>
      <c r="C17" s="92" t="s">
        <v>52</v>
      </c>
      <c r="D17" s="100">
        <f>+SUMIFS('T 06.01'!$O:$O,'T 06.01'!$E:$E,"r0180 - Critical service liabilities (BRRD art. 44/2/g/ii)",'T 06.01'!$F:$F,"c001x   - Households")+SUMIFS('T 06.01'!$P:$P,'T 06.01'!$E:$E,"r0180 - Critical service liabilities (BRRD art. 44/2/g/ii)",'T 06.01'!$F:$F,"c001x   - Households")+SUMIFS('T 03.01'!P:P,'T 03.01'!E:E,"r0180 - Critical service liabilities (BRRD art. 44/2/g/ii)",'T 03.01'!$F:$F,"c001x   - Households")+SUMIFS('T 03.01'!Q:Q,'T 03.01'!E:E,"r0180 - Critical service liabilities (BRRD art. 44/2/g/ii)",'T 03.01'!$F:$F,"c001x   - Households")</f>
        <v>4137337.41</v>
      </c>
      <c r="E17" s="95">
        <f>+SUMIFS('T 06.01'!$O:$O,'T 06.01'!$E:$E,"r0180 - Critical service liabilities (BRRD art. 44/2/g/ii)",'T 06.01'!$F:$F,"c002x   - Micro &amp; SME")+SUMIFS('T 06.01'!$P:$P,'T 06.01'!$E:$E,"r0180 - Critical service liabilities (BRRD art. 44/2/g/ii)",'T 06.01'!$F:$F,"c002x   - Micro &amp; SME")+SUMIFS('T 03.01'!P:P,'T 03.01'!E:E,"r0180 - Critical service liabilities (BRRD art. 44/2/g/ii)",'T 03.01'!$F:$F,"c002x   - Micro &amp; SME")+SUMIFS('T 03.01'!Q:Q,'T 03.01'!E:E,"r0180 - Critical service liabilities (BRRD art. 44/2/g/ii)",'T 03.01'!$F:$F,"c002x   - Micro &amp; SME")</f>
        <v>0</v>
      </c>
      <c r="F17" s="95">
        <f>+SUMIFS('T 06.01'!$O:$O,'T 06.01'!$E:$E,"r0180 - Critical service liabilities (BRRD art. 44/2/g/ii)",'T 06.01'!$F:$F,"c003x   - Corporates")+SUMIFS('T 06.01'!$P:$P,'T 06.01'!$E:$E,"r0180 - Critical service liabilities (BRRD art. 44/2/g/ii)",'T 06.01'!$F:$F,"c003x   - Corporates")+SUMIFS('T 03.01'!P:P,'T 03.01'!E:E,"r0180 - Critical service liabilities (BRRD art. 44/2/g/ii)",'T 03.01'!$F:$F,"c003x   - Corporates")+SUMIFS('T 03.01'!Q:Q,'T 03.01'!E:E,"r0180 - Critical service liabilities (BRRD art. 44/2/g/ii)",'T 03.01'!$F:$F,"c003x   - Corporates")</f>
        <v>0</v>
      </c>
      <c r="G17" s="95">
        <f>+SUMIFS('T 06.01'!$O:$O,'T 06.01'!$E:$E,"r0180 - Critical service liabilities (BRRD art. 44/2/g/ii)",'T 06.01'!$F:$F,"c004x   - Institutions")+SUMIFS('T 06.01'!$P:$P,'T 06.01'!$E:$E,"r0180 - Critical service liabilities (BRRD art. 44/2/g/ii)",'T 06.01'!$F:$F,"c004x   - Institutions")+SUMIFS('T 03.01'!P:P,'T 03.01'!E:E,"r0180 - Critical service liabilities (BRRD art. 44/2/g/ii)",'T 03.01'!$F:$F,"c004x   - Institutions")+SUMIFS('T 03.01'!Q:Q,'T 03.01'!E:E,"r0180 - Critical service liabilities (BRRD art. 44/2/g/ii)",'T 03.01'!$F:$F,"c004x   - Institutions")</f>
        <v>0</v>
      </c>
      <c r="H17" s="95">
        <f>+SUMIFS('T 06.01'!$O:$O,'T 06.01'!$E:$E,"r0180 - Critical service liabilities (BRRD art. 44/2/g/ii)",'T 06.01'!$F:$F,"c005x   - Other financial corporations")+SUMIFS('T 06.01'!$P:$P,'T 06.01'!$E:$E,"r0180 - Critical service liabilities (BRRD art. 44/2/g/ii)",'T 06.01'!$F:$F,"c005x   - Other financial corporations")+I17+SUMIFS('T 03.01'!P:P,'T 03.01'!E:E,"r0180 - Critical service liabilities (BRRD art. 44/2/g/ii)",'T 03.01'!$F:$F,"c005x   - Other financial corporations")+SUMIFS('T 03.01'!Q:Q,'T 03.01'!E:E,"r0180 - Critical service liabilities (BRRD art. 44/2/g/ii)",'T 03.01'!$F:$F,"c005x   - Other financial corporations")</f>
        <v>0</v>
      </c>
      <c r="I17" s="95">
        <f>+SUMIFS('T 06.01'!$O:$O,'T 06.01'!$E:$E,"r0180 - Critical service liabilities (BRRD art. 44/2/g/ii)",'T 06.01'!$F:$F,"c006x   - Insurance firms &amp; pension funds")+SUMIFS('T 06.01'!$P:$P,'T 06.01'!$E:$E,"r0180 - Critical service liabilities (BRRD art. 44/2/g/ii)",'T 06.01'!$F:$F,"c006x   - Insurance firms &amp; pension funds")+SUMIFS('T 03.01'!P:P,'T 03.01'!E:E,"r0180 - Critical service liabilities (BRRD art. 44/2/g/ii)",'T 03.01'!$F:$F,"c006x   - Insurance firms &amp; pension funds")+SUMIFS('T 03.01'!Q:Q,'T 03.01'!E:E,"r0180 - Critical service liabilities (BRRD art. 44/2/g/ii)",'T 03.01'!$F:$F,"c006x   - Insurance firms &amp; pension funds")</f>
        <v>0</v>
      </c>
      <c r="J17" s="95">
        <f>+SUMIFS('T 06.01'!$O:$O,'T 06.01'!$E:$E,"r0180 - Critical service liabilities (BRRD art. 44/2/g/ii)",'T 06.01'!$F:$F,"c008x   - Government, central banks &amp; supranationals")+SUMIFS('T 06.01'!$P:$P,'T 06.01'!$E:$E,"r0180 - Critical service liabilities (BRRD art. 44/2/g/ii)",'T 06.01'!$F:$F,"c008x   - Government, central banks &amp; supranationals")+SUMIFS('T 03.01'!P:P,'T 03.01'!E:E,"r0180 - Critical service liabilities (BRRD art. 44/2/g/ii)",'T 03.01'!$F:$F,"c008x   - Government, central banks &amp; supranationals")+SUMIFS('T 03.01'!Q:Q,'T 03.01'!E:E,"r0180 - Critical service liabilities (BRRD art. 44/2/g/ii)",'T 03.01'!$F:$F,"c008x   - Government, central banks &amp; supranationals")</f>
        <v>0</v>
      </c>
      <c r="K17" s="95">
        <v>0</v>
      </c>
      <c r="L17" s="95">
        <f>+SUMIFS('T 06.01'!$O:$O,'T 06.01'!$E:$E,"r0180 - Critical service liabilities (BRRD art. 44/2/g/ii)",'T 06.01'!$F:$F,"")+SUMIFS('T 06.01'!$P:$P,'T 06.01'!$E:$E,"r0180 - Critical service liabilities (BRRD art. 44/2/g/ii)",'T 06.01'!$F:$F,"")+SUMIFS('T 03.01'!P:P,'T 03.01'!E:E,"r0180 - Critical service liabilities (BRRD art. 44/2/g/ii)",'T 03.01'!$F:$F,"")+SUMIFS('T 03.01'!Q:Q,'T 03.01'!E:E,"r0180 - Critical service liabilities (BRRD art. 44/2/g/ii)",'T 03.01'!$F:$F,"")</f>
        <v>0</v>
      </c>
      <c r="M17" s="95">
        <f t="shared" si="1"/>
        <v>4137337.41</v>
      </c>
      <c r="N17" s="95">
        <f>+SUMIF('T 03.01'!E:E,"r0180 - Critical service liabilities (BRRD art. 44/2/g/ii)",'T 03.01'!P:P)+SUMIF('T 03.01'!E:E,"r0180 - Critical service liabilities (BRRD art. 44/2/g/ii)",'T 03.01'!Q:Q)</f>
        <v>0</v>
      </c>
      <c r="O17" s="96">
        <v>0</v>
      </c>
      <c r="P17" s="169"/>
      <c r="Q17" s="170"/>
      <c r="R17" s="171"/>
      <c r="S17" s="172"/>
      <c r="T17" s="173"/>
      <c r="AC17" s="106"/>
      <c r="AD17" s="97"/>
      <c r="AE17" s="98"/>
    </row>
    <row r="18" spans="1:31" ht="45" outlineLevel="1" x14ac:dyDescent="0.25">
      <c r="A18" s="175"/>
      <c r="B18" s="99" t="s">
        <v>1796</v>
      </c>
      <c r="C18" s="92" t="s">
        <v>53</v>
      </c>
      <c r="D18" s="109">
        <f>+SUMIFS('T 06.01'!$O:$O,'T 06.01'!$E:$E,"r0190 - Tax and social security authorities liabilities, if preferred (BRRD art. 44/2/g/iii)",'T 06.01'!$F:$F,"c001x   - Households")+SUMIFS('T 06.01'!$P:$P,'T 06.01'!$E:$E,"r0190 - Tax and social security authorities liabilities, if preferred (BRRD art. 44/2/g/iii)",'T 06.01'!$F:$F,"c001x   - Households")+SUMIFS('T 03.01'!P:P,'T 03.01'!E:E,"r0190 - Tax and social security authorities liabilities, if preferred (BRRD art. 44/2/g/iii)",'T 03.01'!$F:$F,"c001x   - Households")+SUMIFS('T 03.01'!Q:Q,'T 03.01'!E:E,"r0190 - Tax and social security authorities liabilities, if preferred (BRRD art. 44/2/g/iii)",'T 03.01'!$F:$F,"c001x   - Households")</f>
        <v>0</v>
      </c>
      <c r="E18" s="107">
        <f>+SUMIFS('T 06.01'!$O:$O,'T 06.01'!$E:$E,"r0190 - Tax and social security authorities liabilities, if preferred (BRRD art. 44/2/g/iii)",'T 06.01'!$F:$F,"c002x   - Micro &amp; SME")+SUMIFS('T 06.01'!$P:$P,'T 06.01'!$E:$E,"r0190 - Tax and social security authorities liabilities, if preferred (BRRD art. 44/2/g/iii)",'T 06.01'!$F:$F,"c002x   - Micro &amp; SME")+SUMIFS('T 03.01'!P:P,'T 03.01'!E:E,"r0190 - Tax and social security authorities liabilities, if preferred (BRRD art. 44/2/g/iii)",'T 03.01'!$F:$F,"c002x   - Micro &amp; SME")+SUMIFS('T 03.01'!Q:Q,'T 03.01'!E:E,"r0190 - Tax and social security authorities liabilities, if preferred (BRRD art. 44/2/g/iii)",'T 03.01'!$F:$F,"c002x   - Micro &amp; SME")</f>
        <v>0</v>
      </c>
      <c r="F18" s="107">
        <f>+SUMIFS('T 06.01'!$O:$O,'T 06.01'!$E:$E,"r0190 - Tax and social security authorities liabilities, if preferred (BRRD art. 44/2/g/iii)",'T 06.01'!$F:$F,"c003x   - Corporates")+SUMIFS('T 06.01'!$P:$P,'T 06.01'!$E:$E,"r0190 - Tax and social security authorities liabilities, if preferred (BRRD art. 44/2/g/iii)",'T 06.01'!$F:$F,"c003x   - Corporates")+SUMIFS('T 03.01'!P:P,'T 03.01'!E:E,"r0190 - Tax and social security authorities liabilities, if preferred (BRRD art. 44/2/g/iii)",'T 03.01'!$F:$F,"c003x   - Corporates")+SUMIFS('T 03.01'!Q:Q,'T 03.01'!E:E,"r0190 - Tax and social security authorities liabilities, if preferred (BRRD art. 44/2/g/iii)",'T 03.01'!$F:$F,"c003x   - Corporates")</f>
        <v>0</v>
      </c>
      <c r="G18" s="107">
        <f>+SUMIFS('T 06.01'!$O:$O,'T 06.01'!$E:$E,"r0190 - Tax and social security authorities liabilities, if preferred (BRRD art. 44/2/g/iii)",'T 06.01'!$F:$F,"c004x   - Institutions")+SUMIFS('T 06.01'!$P:$P,'T 06.01'!$E:$E,"r0190 - Tax and social security authorities liabilities, if preferred (BRRD art. 44/2/g/iii)",'T 06.01'!$F:$F,"c004x   - Institutions")+SUMIFS('T 03.01'!P:P,'T 03.01'!E:E,"r0190 - Tax and social security authorities liabilities, if preferred (BRRD art. 44/2/g/iii)",'T 03.01'!$F:$F,"c004x   - Institutions")+SUMIFS('T 03.01'!Q:Q,'T 03.01'!E:E,"r0190 - Tax and social security authorities liabilities, if preferred (BRRD art. 44/2/g/iii)",'T 03.01'!$F:$F,"c004x   - Institutions")</f>
        <v>0</v>
      </c>
      <c r="H18" s="107">
        <f>+SUMIFS('T 06.01'!$O:$O,'T 06.01'!$E:$E,"r0190 - Tax and social security authorities liabilities, if preferred (BRRD art. 44/2/g/iii)",'T 06.01'!$F:$F,"c005x   - Other financial corporations")+SUMIFS('T 06.01'!$P:$P,'T 06.01'!$E:$E,"r0190 - Tax and social security authorities liabilities, if preferred (BRRD art. 44/2/g/iii)",'T 06.01'!$F:$F,"c005x   - Other financial corporations")+I18+SUMIFS('T 03.01'!P:P,'T 03.01'!E:E,"r0190 - Tax and social security authorities liabilities, if preferred (BRRD art. 44/2/g/iii)",'T 03.01'!$F:$F,"c005x   - Other financial corporations")+SUMIFS('T 03.01'!Q:Q,'T 03.01'!E:E,"r0190 - Tax and social security authorities liabilities, if preferred (BRRD art. 44/2/g/iii)",'T 03.01'!$F:$F,"c005x   - Other financial corporations")</f>
        <v>0</v>
      </c>
      <c r="I18" s="107">
        <f>+SUMIFS('T 06.01'!$O:$O,'T 06.01'!$E:$E,"r0190 - Tax and social security authorities liabilities, if preferred (BRRD art. 44/2/g/iii)",'T 06.01'!$F:$F,"c006x   - Insurance firms &amp; pension funds")+SUMIFS('T 06.01'!$P:$P,'T 06.01'!$E:$E,"r0190 - Tax and social security authorities liabilities, if preferred (BRRD art. 44/2/g/iii)",'T 06.01'!$F:$F,"c006x   - Insurance firms &amp; pension funds")+SUMIFS('T 03.01'!P:P,'T 03.01'!E:E,"r0190 - Tax and social security authorities liabilities, if preferred (BRRD art. 44/2/g/iii)",'T 03.01'!$F:$F,"c006x   - Insurance firms &amp; pension funds")+SUMIFS('T 03.01'!Q:Q,'T 03.01'!E:E,"r0190 - Tax and social security authorities liabilities, if preferred (BRRD art. 44/2/g/iii)",'T 03.01'!$F:$F,"c006x   - Insurance firms &amp; pension funds")</f>
        <v>0</v>
      </c>
      <c r="J18" s="95">
        <f>+SUMIFS('T 06.01'!$O:$O,'T 06.01'!$E:$E,"r0190 - Tax and social security authorities liabilities, if preferred (BRRD art. 44/2/g/iii)",'T 06.01'!$F:$F,"c008x   - Government, central banks &amp; supranationals")+SUMIFS('T 06.01'!$P:$P,'T 06.01'!$E:$E,"r0190 - Tax and social security authorities liabilities, if preferred (BRRD art. 44/2/g/iii)",'T 06.01'!$F:$F,"c008x   - Government, central banks &amp; supranationals")+SUMIFS('T 03.01'!P:P,'T 03.01'!E:E,"r0190 - Tax and social security authorities liabilities, if preferred (BRRD art. 44/2/g/iii)",'T 03.01'!$F:$F,"c008x   - Government, central banks &amp; supranationals")+SUMIFS('T 03.01'!Q:Q,'T 03.01'!E:E,"r0190 - Tax and social security authorities liabilities, if preferred (BRRD art. 44/2/g/iii)",'T 03.01'!$F:$F,"c008x   - Government, central banks &amp; supranationals")</f>
        <v>353309068.22000003</v>
      </c>
      <c r="K18" s="107">
        <v>0</v>
      </c>
      <c r="L18" s="107">
        <f>+SUMIFS('T 06.01'!$O:$O,'T 06.01'!$E:$E,"r0190 - Tax and social security authorities liabilities, if preferred (BRRD art. 44/2/g/iii)",'T 06.01'!$F:$F,"")+SUMIFS('T 06.01'!$P:$P,'T 06.01'!$E:$E,"r0190 - Tax and social security authorities liabilities, if preferred (BRRD art. 44/2/g/iii)",'T 06.01'!$F:$F,"")+SUMIFS('T 03.01'!P:P,'T 03.01'!E:E,"r0190 - Tax and social security authorities liabilities, if preferred (BRRD art. 44/2/g/iii)",'T 03.01'!$F:$F,"")+SUMIFS('T 03.01'!Q:Q,'T 03.01'!E:E,"r0190 - Tax and social security authorities liabilities, if preferred (BRRD art. 44/2/g/iii)",'T 03.01'!$F:$F,"")</f>
        <v>0</v>
      </c>
      <c r="M18" s="95">
        <f t="shared" si="1"/>
        <v>353309068.22000003</v>
      </c>
      <c r="N18" s="107">
        <f>+SUMIF('T 03.01'!E:E,"r0190 - Tax and social security authorities liabilities, if preferred (BRRD art. 44/2/g/iii)",'T 03.01'!P:P)+SUMIF('T 03.01'!E:E,"r0190 - Tax and social security authorities liabilities, if preferred (BRRD art. 44/2/g/iii)",'T 03.01'!Q:Q)</f>
        <v>0</v>
      </c>
      <c r="O18" s="110">
        <v>0</v>
      </c>
      <c r="P18" s="169"/>
      <c r="Q18" s="170"/>
      <c r="R18" s="171"/>
      <c r="S18" s="172"/>
      <c r="T18" s="173"/>
      <c r="U18" s="104"/>
      <c r="AB18" s="105"/>
      <c r="AD18" s="97"/>
      <c r="AE18" s="98"/>
    </row>
    <row r="19" spans="1:31" outlineLevel="1" x14ac:dyDescent="0.25">
      <c r="A19" s="175"/>
      <c r="B19" s="99" t="s">
        <v>1797</v>
      </c>
      <c r="C19" s="92" t="s">
        <v>1531</v>
      </c>
      <c r="D19" s="100">
        <v>0</v>
      </c>
      <c r="E19" s="95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f t="shared" si="1"/>
        <v>0</v>
      </c>
      <c r="N19" s="95">
        <v>0</v>
      </c>
      <c r="O19" s="96">
        <v>0</v>
      </c>
      <c r="P19" s="169"/>
      <c r="Q19" s="170"/>
      <c r="R19" s="171"/>
      <c r="S19" s="172"/>
      <c r="T19" s="173"/>
      <c r="U19" s="104"/>
      <c r="AD19" s="97"/>
      <c r="AE19" s="98"/>
    </row>
    <row r="20" spans="1:31" ht="30" outlineLevel="1" x14ac:dyDescent="0.25">
      <c r="A20" s="175"/>
      <c r="B20" s="99" t="s">
        <v>2637</v>
      </c>
      <c r="C20" s="92" t="s">
        <v>1532</v>
      </c>
      <c r="D20" s="109">
        <v>0</v>
      </c>
      <c r="E20" s="107">
        <v>0</v>
      </c>
      <c r="F20" s="107">
        <v>0</v>
      </c>
      <c r="G20" s="95">
        <f>SUMIFS('T 03.01'!P:P,'T 03.01'!E:E,"r0210 - Liabilities towards other entities of the resolution group (BRRD art. 44/2/h)",'T 03.01'!$F:$F,"c004x   - Institutions")+SUMIFS('T 03.01'!Q:Q,'T 03.01'!E:E,"r0210 - Liabilities towards other entities of the resolution group (BRRD art. 44/2/h)",'T 03.01'!$F:$F,"c004x   - Institutions")</f>
        <v>855362.17000000109</v>
      </c>
      <c r="H20" s="95">
        <f>I20+SUMIFS('T 03.01'!P:P,'T 03.01'!E:E,"r0210 - Liabilities towards other entities of the resolution group (BRRD art. 44/2/h)",'T 03.01'!$F:$F,"c005x   - Other financial corporations")+SUMIFS('T 03.01'!Q:Q,'T 03.01'!E:E,"r0210 - Liabilities towards other entities of the resolution group (BRRD art. 44/2/h)",'T 03.01'!$F:$F,"c005x   - Other financial corporations")</f>
        <v>902636962.29373407</v>
      </c>
      <c r="I20" s="95">
        <f>SUMIFS('T 03.01'!P:P,'T 03.01'!E:E,"r0210 - Liabilities towards other entities of the resolution group (BRRD art. 44/2/h)",'T 03.01'!$F:$F,"c006x   - Insurance firms &amp; pension funds")+SUMIFS('T 03.01'!Q:Q,'T 03.01'!E:E,"r0210 - Liabilities towards other entities of the resolution group (BRRD art. 44/2/h)",'T 03.01'!$F:$F,"c006x   - Insurance firms &amp; pension funds")</f>
        <v>303695255.18468499</v>
      </c>
      <c r="J20" s="107">
        <v>0</v>
      </c>
      <c r="K20" s="107">
        <v>0</v>
      </c>
      <c r="L20" s="107">
        <v>0</v>
      </c>
      <c r="M20" s="95">
        <f t="shared" si="1"/>
        <v>903492324.46373391</v>
      </c>
      <c r="N20" s="95">
        <f>+SUMIF('T 03.01'!E:E,"r0210 - Liabilities towards other entities of the resolution group (BRRD art. 44/2/h)",'T 03.01'!P:P)+SUMIF('T 03.01'!E:E,"r0210 - Liabilities towards other entities of the resolution group (BRRD art. 44/2/h)",'T 03.01'!Q:Q)</f>
        <v>903492324.46373391</v>
      </c>
      <c r="O20" s="110">
        <v>0</v>
      </c>
      <c r="P20" s="139"/>
      <c r="Q20" s="140"/>
      <c r="R20" s="141"/>
      <c r="S20" s="142"/>
      <c r="T20" s="143"/>
      <c r="U20" s="104"/>
      <c r="AD20" s="97"/>
      <c r="AE20" s="98"/>
    </row>
    <row r="21" spans="1:31" x14ac:dyDescent="0.25">
      <c r="A21" s="175"/>
      <c r="B21" s="91" t="s">
        <v>1798</v>
      </c>
      <c r="C21" s="92" t="s">
        <v>1542</v>
      </c>
      <c r="D21" s="100">
        <f>+D22+D27+D32+D33+D38+D43+D53+D58+D61+D62</f>
        <v>5400989827.0196867</v>
      </c>
      <c r="E21" s="95">
        <f t="shared" ref="E21:N21" si="2">+E22+E27+E32+E33+E38+E43+E53+E58+E61+E62</f>
        <v>4840355379.8263025</v>
      </c>
      <c r="F21" s="95">
        <f t="shared" si="2"/>
        <v>4386515329.855361</v>
      </c>
      <c r="G21" s="95">
        <f t="shared" si="2"/>
        <v>1055500785.8311759</v>
      </c>
      <c r="H21" s="95">
        <f t="shared" si="2"/>
        <v>1575589960.449048</v>
      </c>
      <c r="I21" s="95">
        <f t="shared" si="2"/>
        <v>1123890581.679462</v>
      </c>
      <c r="J21" s="95">
        <f t="shared" si="2"/>
        <v>904356962.78657889</v>
      </c>
      <c r="K21" s="95">
        <f t="shared" si="2"/>
        <v>0</v>
      </c>
      <c r="L21" s="95">
        <f>+L22+L27+L32+L33+L38+L43+L53+L58+L61+L62</f>
        <v>313304735.95491922</v>
      </c>
      <c r="M21" s="95">
        <f>SUM(D21:L21)-I21</f>
        <v>18476612981.723072</v>
      </c>
      <c r="N21" s="95">
        <f t="shared" si="2"/>
        <v>887219593.42387593</v>
      </c>
      <c r="O21" s="96">
        <v>0</v>
      </c>
      <c r="P21" s="169"/>
      <c r="Q21" s="170"/>
      <c r="R21" s="171"/>
      <c r="S21" s="172"/>
      <c r="T21" s="173"/>
      <c r="AD21" s="97"/>
    </row>
    <row r="22" spans="1:31" ht="30" outlineLevel="1" x14ac:dyDescent="0.25">
      <c r="A22" s="175"/>
      <c r="B22" s="99" t="s">
        <v>1799</v>
      </c>
      <c r="C22" s="92" t="s">
        <v>1544</v>
      </c>
      <c r="D22" s="100">
        <f>SUM(D23:D26)</f>
        <v>5336492913.9794931</v>
      </c>
      <c r="E22" s="95">
        <f t="shared" ref="E22:L22" si="3">SUM(E23:E26)</f>
        <v>4800979716.2563009</v>
      </c>
      <c r="F22" s="95">
        <f t="shared" si="3"/>
        <v>0</v>
      </c>
      <c r="G22" s="95">
        <f t="shared" si="3"/>
        <v>0</v>
      </c>
      <c r="H22" s="95">
        <f t="shared" si="3"/>
        <v>0</v>
      </c>
      <c r="I22" s="95">
        <f t="shared" si="3"/>
        <v>0</v>
      </c>
      <c r="J22" s="95">
        <f t="shared" si="3"/>
        <v>0</v>
      </c>
      <c r="K22" s="95">
        <f t="shared" si="3"/>
        <v>0</v>
      </c>
      <c r="L22" s="95">
        <f t="shared" si="3"/>
        <v>0</v>
      </c>
      <c r="M22" s="95">
        <f>SUM(D22:L22)-I23</f>
        <v>10137472630.235794</v>
      </c>
      <c r="N22" s="95">
        <f>+SUMIF('T 03.01'!E:E,"r0310 - Deposits, not covered but preferential (BRRD art. 108)",'T 03.01'!P:P)+SUMIF('T 03.01'!E:E,"r0310 - Deposits, not covered but preferential (BRRD art. 108)",'T 03.01'!Q:Q)</f>
        <v>0</v>
      </c>
      <c r="O22" s="96">
        <v>0</v>
      </c>
      <c r="P22" s="169"/>
      <c r="Q22" s="170"/>
      <c r="R22" s="171"/>
      <c r="S22" s="172"/>
      <c r="T22" s="173"/>
      <c r="AB22" s="105"/>
      <c r="AC22" s="106"/>
      <c r="AD22" s="97"/>
      <c r="AE22" s="98"/>
    </row>
    <row r="23" spans="1:31" outlineLevel="2" x14ac:dyDescent="0.25">
      <c r="A23" s="175"/>
      <c r="B23" s="111" t="s">
        <v>1800</v>
      </c>
      <c r="C23" s="92" t="s">
        <v>1801</v>
      </c>
      <c r="D23" s="100">
        <f>+SUMIFS('T 05.01'!$M:$M,'T 05.01'!$E:$E,"r0310 - Deposits, not covered but preferential (BRRD art. 108)",'T 05.01'!$F:$F,"c001x   - Households")+SUMIFS('T 05.01'!$N:$N,'T 05.01'!$E:$E,"r0310 - Deposits, not covered but preferential (BRRD art. 108)",'T 05.01'!$F:$F,"c001x   - Households")+SUMIFS('T 03.01'!P:P,'T 03.01'!E:E,"r0310 - Deposits, not covered but preferential (BRRD art. 108)",'T 03.01'!$F:$F,"c001x   - Households")+SUMIFS('T 03.01'!Q:Q,'T 03.01'!E:E,"r0310 - Deposits, not covered but preferential (BRRD art. 108)",'T 03.01'!$F:$F,"c001x   - Households")</f>
        <v>5336492913.9794931</v>
      </c>
      <c r="E23" s="95">
        <f>+SUMIFS('T 05.01'!$M:$M,'T 05.01'!$E:$E,"r0310 - Deposits, not covered but preferential (BRRD art. 108)",'T 05.01'!$F:$F,"c002x   - Micro &amp; SME")+SUMIFS('T 05.01'!$N:$N,'T 05.01'!$E:$E,"r0310 - Deposits, not covered but preferential (BRRD art. 108)",'T 05.01'!$F:$F,"c002x   - Micro &amp; SME")+SUMIFS('T 03.01'!P:P,'T 03.01'!E:E,"r0310 - Deposits, not covered but preferential (BRRD art. 108)",'T 03.01'!$F:$F,"c002x   - Micro &amp; SME")+SUMIFS('T 03.01'!Q:Q,'T 03.01'!E:E,"r0310 - Deposits, not covered but preferential (BRRD art. 108)",'T 03.01'!$F:$F,"c002x   - Micro &amp; SME")</f>
        <v>4800979716.2563009</v>
      </c>
      <c r="F23" s="95">
        <f>+SUMIFS('T 05.01'!$M:$M,'T 05.01'!$E:$E,"r0310 - Deposits, not covered but preferential (BRRD art. 108)",'T 05.01'!$F:$F,"c003x   - Corporates")+SUMIFS('T 05.01'!$N:$N,'T 05.01'!$E:$E,"r0310 - Deposits, not covered but preferential (BRRD art. 108)",'T 05.01'!$F:$F,"c003x   - Corporates")+SUMIFS('T 03.01'!P:P,'T 03.01'!E:E,"r0310 - Deposits, not covered but preferential (BRRD art. 108)",'T 03.01'!$F:$F,"c003x   - Corporates")+SUMIFS('T 03.01'!Q:Q,'T 03.01'!E:E,"r0310 - Deposits, not covered but preferential (BRRD art. 108)",'T 03.01'!$F:$F,"c003x   - Corporates")</f>
        <v>0</v>
      </c>
      <c r="G23" s="95">
        <f>+SUMIFS('T 05.01'!$M:$M,'T 05.01'!$E:$E,"r0310 - Deposits, not covered but preferential (BRRD art. 108)",'T 05.01'!$F:$F,"c004x   - Institutions")+SUMIFS('T 05.01'!$N:$N,'T 05.01'!$E:$E,"r0310 - Deposits, not covered but preferential (BRRD art. 108)",'T 05.01'!$F:$F,"c004x   - Institutions")+SUMIFS('T 03.01'!P:P,'T 03.01'!E:E,"r0310 - Deposits, not covered but preferential (BRRD art. 108)",'T 03.01'!$F:$F,"c004x   - Institutions")+SUMIFS('T 03.01'!Q:Q,'T 03.01'!E:E,"r0310 - Deposits, not covered but preferential (BRRD art. 108)",'T 03.01'!$F:$F,"c004x   - Institutions")</f>
        <v>0</v>
      </c>
      <c r="H23" s="95">
        <f>+SUMIFS('T 05.01'!$M:$M,'T 05.01'!$E:$E,"r0310 - Deposits, not covered but preferential (BRRD art. 108)",'T 05.01'!$F:$F,"c005x   - Other financial corporations")+SUMIFS('T 05.01'!$N:$N,'T 05.01'!$E:$E,"r0310 - Deposits, not covered but preferential (BRRD art. 108)",'T 05.01'!$F:$F,"c005x   - Other financial corporations")+I23+SUMIFS('T 03.01'!P:P,'T 03.01'!E:E,"r0310 - Deposits, not covered but preferential (BRRD art. 108)",'T 03.01'!$F:$F,"c005x   - Other financial corporations")+SUMIFS('T 03.01'!Q:Q,'T 03.01'!E:E,"r0310 - Deposits, not covered but preferential (BRRD art. 108)",'T 03.01'!$F:$F,"c005x   - Other financial corporations")</f>
        <v>0</v>
      </c>
      <c r="I23" s="95">
        <f>+SUMIFS('T 05.01'!$M:$M,'T 05.01'!$E:$E,"r0310 - Deposits, not covered but preferential (BRRD art. 108)",'T 05.01'!$F:$F,"c006x   - Insurance firms &amp; pension funds")+SUMIFS('T 05.01'!$N:$N,'T 05.01'!$E:$E,"r0310 - Deposits, not covered but preferential (BRRD art. 108)",'T 05.01'!$F:$F,"c006x   - Insurance firms &amp; pension funds")+SUMIFS('T 03.01'!P:P,'T 03.01'!E:E,"r0310 - Deposits, not covered but preferential (BRRD art. 108)",'T 03.01'!$F:$F,"c006x   - Insurance firms &amp; pension funds")+SUMIFS('T 03.01'!Q:Q,'T 03.01'!E:E,"r0310 - Deposits, not covered but preferential (BRRD art. 108)",'T 03.01'!$F:$F,"c006x   - Insurance firms &amp; pension funds")</f>
        <v>0</v>
      </c>
      <c r="J23" s="95">
        <f>+SUMIFS('T 05.01'!$M:$M,'T 05.01'!$E:$E,"r0310 - Deposits, not covered but preferential (BRRD art. 108)",'T 05.01'!$F:$F,"c008x   - Government, central banks &amp; supranationals")+SUMIFS('T 05.01'!$N:$N,'T 05.01'!$E:$E,"r0310 - Deposits, not covered but preferential (BRRD art. 108)",'T 05.01'!$F:$F,"c008x   - Government, central banks &amp; supranationals")+SUMIFS('T 03.01'!P:P,'T 03.01'!E:E,"r0310 - Deposits, not covered but preferential (BRRD art. 108)",'T 03.01'!$F:$F,"c008x   - Government, central banks &amp; supranationals")+SUMIFS('T 03.01'!Q:Q,'T 03.01'!E:E,"r0310 - Deposits, not covered but preferential (BRRD art. 108)",'T 03.01'!$F:$F,"c008x   - Government, central banks &amp; supranationals")</f>
        <v>0</v>
      </c>
      <c r="K23" s="95">
        <v>0</v>
      </c>
      <c r="L23" s="95">
        <f>+SUMIFS('T 05.01'!$M:$M,'T 05.01'!$E:$E,"r0310 - Deposits, not covered but preferential (BRRD art. 108)",'T 05.01'!$F:$F,"")+SUMIFS('T 05.01'!$N:$N,'T 05.01'!$E:$E,"r0310 - Deposits, not covered but preferential (BRRD art. 108)",'T 05.01'!$F:$F,"")+SUMIFS('T 03.01'!P:P,'T 03.01'!E:E,"r0310 - Deposits, not covered but preferential (BRRD art. 108)",'T 03.01'!$F:$F,"")+SUMIFS('T 03.01'!Q:Q,'T 03.01'!E:E,"r0310 - Deposits, not covered but preferential (BRRD art. 108)",'T 03.01'!$F:$F,"")</f>
        <v>0</v>
      </c>
      <c r="M23" s="95">
        <f>SUM(D23:L23)-I24</f>
        <v>10137472630.235794</v>
      </c>
      <c r="N23" s="95">
        <f>+SUMIF('T 03.01'!E:E,"r0310 - Deposits, not covered but preferential (BRRD art. 108)",'T 03.01'!P:P)+SUMIF('T 03.01'!E:E,"r0310 - Deposits, not covered but preferential (BRRD art. 108)",'T 03.01'!Q:Q)</f>
        <v>0</v>
      </c>
      <c r="O23" s="96">
        <v>0</v>
      </c>
      <c r="P23" s="169"/>
      <c r="Q23" s="170"/>
      <c r="R23" s="171"/>
      <c r="S23" s="172"/>
      <c r="T23" s="173"/>
      <c r="X23" s="112"/>
      <c r="AB23" s="105"/>
      <c r="AC23" s="106"/>
      <c r="AD23" s="97"/>
      <c r="AE23" s="98"/>
    </row>
    <row r="24" spans="1:31" ht="30" outlineLevel="2" x14ac:dyDescent="0.25">
      <c r="A24" s="175"/>
      <c r="B24" s="111" t="s">
        <v>1802</v>
      </c>
      <c r="C24" s="92" t="s">
        <v>1803</v>
      </c>
      <c r="D24" s="100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f t="shared" si="1"/>
        <v>0</v>
      </c>
      <c r="N24" s="95">
        <v>0</v>
      </c>
      <c r="O24" s="96">
        <v>0</v>
      </c>
      <c r="P24" s="169"/>
      <c r="Q24" s="170"/>
      <c r="R24" s="171"/>
      <c r="S24" s="172"/>
      <c r="T24" s="173"/>
      <c r="X24" s="112"/>
      <c r="AB24" s="105"/>
      <c r="AC24" s="106"/>
      <c r="AD24" s="97"/>
      <c r="AE24" s="98"/>
    </row>
    <row r="25" spans="1:31" ht="30" outlineLevel="2" x14ac:dyDescent="0.25">
      <c r="A25" s="175"/>
      <c r="B25" s="111" t="s">
        <v>1804</v>
      </c>
      <c r="C25" s="92" t="s">
        <v>1805</v>
      </c>
      <c r="D25" s="100">
        <v>0</v>
      </c>
      <c r="E25" s="95">
        <v>0</v>
      </c>
      <c r="F25" s="95">
        <v>0</v>
      </c>
      <c r="G25" s="95">
        <v>0</v>
      </c>
      <c r="H25" s="95">
        <v>0</v>
      </c>
      <c r="I25" s="95">
        <v>0</v>
      </c>
      <c r="J25" s="95">
        <v>0</v>
      </c>
      <c r="K25" s="95">
        <v>0</v>
      </c>
      <c r="L25" s="95">
        <v>0</v>
      </c>
      <c r="M25" s="95">
        <f t="shared" si="1"/>
        <v>0</v>
      </c>
      <c r="N25" s="95">
        <v>0</v>
      </c>
      <c r="O25" s="96">
        <v>0</v>
      </c>
      <c r="P25" s="169"/>
      <c r="Q25" s="170"/>
      <c r="R25" s="171"/>
      <c r="S25" s="172"/>
      <c r="T25" s="173"/>
      <c r="X25" s="112"/>
      <c r="AB25" s="105"/>
      <c r="AC25" s="106"/>
      <c r="AD25" s="97"/>
      <c r="AE25" s="98"/>
    </row>
    <row r="26" spans="1:31" outlineLevel="2" x14ac:dyDescent="0.25">
      <c r="A26" s="175"/>
      <c r="B26" s="111" t="s">
        <v>1806</v>
      </c>
      <c r="C26" s="92" t="s">
        <v>1807</v>
      </c>
      <c r="D26" s="100">
        <v>0</v>
      </c>
      <c r="E26" s="95">
        <v>0</v>
      </c>
      <c r="F26" s="95">
        <v>0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95">
        <f t="shared" si="1"/>
        <v>0</v>
      </c>
      <c r="N26" s="95">
        <v>0</v>
      </c>
      <c r="O26" s="96">
        <v>0</v>
      </c>
      <c r="P26" s="169"/>
      <c r="Q26" s="170"/>
      <c r="R26" s="171"/>
      <c r="S26" s="172"/>
      <c r="T26" s="173"/>
      <c r="X26" s="112"/>
      <c r="AB26" s="105"/>
      <c r="AC26" s="106"/>
      <c r="AD26" s="97"/>
      <c r="AE26" s="98"/>
    </row>
    <row r="27" spans="1:31" ht="30" outlineLevel="1" x14ac:dyDescent="0.25">
      <c r="A27" s="175"/>
      <c r="B27" s="99" t="s">
        <v>1808</v>
      </c>
      <c r="C27" s="92" t="s">
        <v>1545</v>
      </c>
      <c r="D27" s="100">
        <f>SUM(D28:D31)</f>
        <v>0</v>
      </c>
      <c r="E27" s="95">
        <f t="shared" ref="E27:L27" si="4">SUM(E28:E31)</f>
        <v>1834.9799999999996</v>
      </c>
      <c r="F27" s="95">
        <f t="shared" si="4"/>
        <v>4316009160.1053562</v>
      </c>
      <c r="G27" s="95">
        <f t="shared" si="4"/>
        <v>236984404.43117401</v>
      </c>
      <c r="H27" s="95">
        <f t="shared" si="4"/>
        <v>1237283081.1216998</v>
      </c>
      <c r="I27" s="95">
        <f t="shared" si="4"/>
        <v>1110960600.9465649</v>
      </c>
      <c r="J27" s="95">
        <f t="shared" si="4"/>
        <v>883100980.95657909</v>
      </c>
      <c r="K27" s="95">
        <f t="shared" si="4"/>
        <v>0</v>
      </c>
      <c r="L27" s="95">
        <f t="shared" si="4"/>
        <v>0</v>
      </c>
      <c r="M27" s="95">
        <f>SUM(D27:L27)-I27</f>
        <v>6673379461.5948086</v>
      </c>
      <c r="N27" s="95">
        <f>+SUMIF('T 03.01'!E:E,"r0320 - Deposits, not covered and not preferential",'T 03.01'!P:P)+SUMIF('T 03.01'!E:E,"r0320 - Deposits, not covered and not preferential",'T 03.01'!Q:Q)</f>
        <v>188193445.98280001</v>
      </c>
      <c r="O27" s="96">
        <v>0</v>
      </c>
      <c r="P27" s="169"/>
      <c r="Q27" s="170"/>
      <c r="R27" s="171"/>
      <c r="S27" s="172"/>
      <c r="T27" s="173"/>
      <c r="AB27" s="105"/>
      <c r="AC27" s="106"/>
      <c r="AD27" s="97"/>
    </row>
    <row r="28" spans="1:31" outlineLevel="2" x14ac:dyDescent="0.25">
      <c r="A28" s="175"/>
      <c r="B28" s="111" t="s">
        <v>1800</v>
      </c>
      <c r="C28" s="92" t="s">
        <v>1809</v>
      </c>
      <c r="D28" s="100">
        <f>+SUMIFS('T 05.01'!$M:$M,'T 05.01'!$E:$E,"r0320 - Deposits, not covered and not preferential",'T 05.01'!$F:$F,"c001x   - Households")+SUMIFS('T 05.01'!$N:$N,'T 05.01'!$E:$E,"r0320 - Deposits, not covered and not preferential",'T 05.01'!$F:$F,"c001x   - Households")+SUMIFS('T 03.01'!P:P,'T 03.01'!E:E,"r0320 - Deposits, not covered and not preferential",'T 03.01'!$F:$F,"c001x   - Households")+SUMIFS('T 03.01'!Q:Q,'T 03.01'!E:E,"r0320 - Deposits, not covered and not preferential",'T 03.01'!$F:$F,"c001x   - Households")</f>
        <v>0</v>
      </c>
      <c r="E28" s="95">
        <f>+SUMIFS('T 05.01'!$M:$M,'T 05.01'!$E:$E,"r0320 - Deposits, not covered and not preferential",'T 05.01'!$F:$F,"c002x   - Micro &amp; SME")+SUMIFS('T 05.01'!$N:$N,'T 05.01'!$E:$E,"r0320 - Deposits, not covered and not preferential",'T 05.01'!$F:$F,"c002x   - Micro &amp; SME")+SUMIFS('T 03.01'!P:P,'T 03.01'!E:E,"r0320 - Deposits, not covered and not preferential",'T 03.01'!$F:$F,"c002x   - Micro &amp; SME")+SUMIFS('T 03.01'!Q:Q,'T 03.01'!E:E,"r0320 - Deposits, not covered and not preferential",'T 03.01'!$F:$F,"c002x   - Micro &amp; SME")</f>
        <v>1834.9799999999996</v>
      </c>
      <c r="F28" s="95">
        <f>+SUMIFS('T 05.01'!$M:$M,'T 05.01'!$E:$E,"r0320 - Deposits, not covered and not preferential",'T 05.01'!$F:$F,"c003x   - Corporates")+SUMIFS('T 05.01'!$N:$N,'T 05.01'!$E:$E,"r0320 - Deposits, not covered and not preferential",'T 05.01'!$F:$F,"c003x   - Corporates")+SUMIFS('T 03.01'!P:P,'T 03.01'!E:E,"r0320 - Deposits, not covered and not preferential",'T 03.01'!$F:$F,"c003x   - Corporates")+SUMIFS('T 03.01'!Q:Q,'T 03.01'!E:E,"r0320 - Deposits, not covered and not preferential",'T 03.01'!$F:$F,"c003x   - Corporates")</f>
        <v>4316009160.1053562</v>
      </c>
      <c r="G28" s="95">
        <f>+SUMIFS('T 05.01'!$M:$M,'T 05.01'!$E:$E,"r0320 - Deposits, not covered and not preferential",'T 05.01'!$F:$F,"c004x   - Institutions")+SUMIFS('T 05.01'!$N:$N,'T 05.01'!$E:$E,"r0320 - Deposits, not covered and not preferential",'T 05.01'!$F:$F,"c004x   - Institutions")+SUMIFS('T 03.01'!P:P,'T 03.01'!E:E,"r0320 - Deposits, not covered and not preferential",'T 03.01'!$F:$F,"c004x   - Institutions")+SUMIFS('T 03.01'!Q:Q,'T 03.01'!E:E,"r0320 - Deposits, not covered and not preferential",'T 03.01'!$F:$F,"c004x   - Institutions")</f>
        <v>236984404.43117401</v>
      </c>
      <c r="H28" s="95">
        <f>+SUMIFS('T 05.01'!$M:$M,'T 05.01'!$E:$E,"r0320 - Deposits, not covered and not preferential",'T 05.01'!$F:$F,"c005x   - Other financial corporations")+SUMIFS('T 05.01'!$N:$N,'T 05.01'!$E:$E,"r0320 - Deposits, not covered and not preferential",'T 05.01'!$F:$F,"c005x   - Other financial corporations")+I28+SUMIFS('T 03.01'!P:P,'T 03.01'!E:E,"r0320 - Deposits, not covered and not preferential",'T 03.01'!$F:$F,"c005x   - Other financial corporations")+SUMIFS('T 03.01'!Q:Q,'T 03.01'!E:E,"r0320 - Deposits, not covered and not preferential",'T 03.01'!$F:$F,"c005x   - Other financial corporations")</f>
        <v>1237283081.1216998</v>
      </c>
      <c r="I28" s="95">
        <f>+SUMIFS('T 05.01'!$M:$M,'T 05.01'!$E:$E,"r0320 - Deposits, not covered and not preferential",'T 05.01'!$F:$F,"c006x   - Insurance firms &amp; pension funds")+SUMIFS('T 05.01'!$N:$N,'T 05.01'!$E:$E,"r0320 - Deposits, not covered and not preferential",'T 05.01'!$F:$F,"c006x   - Insurance firms &amp; pension funds")+SUMIFS('T 03.01'!P:P,'T 03.01'!E:E,"r0320 - Deposits, not covered and not preferential",'T 03.01'!$F:$F,"c006x   - Insurance firms &amp; pension funds")+SUMIFS('T 03.01'!Q:Q,'T 03.01'!E:E,"r0320 - Deposits, not covered and not preferential",'T 03.01'!$F:$F,"c006x   - Insurance firms &amp; pension funds")</f>
        <v>1110960600.9465649</v>
      </c>
      <c r="J28" s="95">
        <f>+SUMIFS('T 05.01'!$M:$M,'T 05.01'!$E:$E,"r0320 - Deposits, not covered and not preferential",'T 05.01'!$F:$F,"c008x   - Government, central banks &amp; supranationals")+SUMIFS('T 05.01'!$N:$N,'T 05.01'!$E:$E,"r0320 - Deposits, not covered and not preferential",'T 05.01'!$F:$F,"c008x   - Government, central banks &amp; supranationals")+SUMIFS('T 03.01'!P:P,'T 03.01'!E:E,"r0320 - Deposits, not covered and not preferential",'T 03.01'!$F:$F,"c008x   - Government, central banks &amp; supranationals")+SUMIFS('T 03.01'!Q:Q,'T 03.01'!E:E,"r0320 - Deposits, not covered and not preferential",'T 03.01'!$F:$F,"c008x   - Government, central banks &amp; supranationals")</f>
        <v>883100980.95657909</v>
      </c>
      <c r="K28" s="95">
        <v>0</v>
      </c>
      <c r="L28" s="95">
        <f>+SUMIFS('T 05.01'!$M:$M,'T 05.01'!$E:$E,"r0320 - Deposits, not covered and not preferential",'T 05.01'!$F:$F,"")+SUMIFS('T 05.01'!$N:$N,'T 05.01'!$E:$E,"r0320 - Deposits, not covered and not preferential",'T 05.01'!$F:$F,"")+SUMIFS('T 03.01'!P:P,'T 03.01'!E:E,"r0320 - Deposits, not covered and not preferential",'T 03.01'!$F:$F,"")+SUMIFS('T 03.01'!Q:Q,'T 03.01'!E:E,"r0320 - Deposits, not covered and not preferential",'T 03.01'!$F:$F,"")</f>
        <v>0</v>
      </c>
      <c r="M28" s="95">
        <f t="shared" si="1"/>
        <v>6673379461.5948086</v>
      </c>
      <c r="N28" s="95">
        <f>+SUMIF('T 03.01'!E:E,"r0320 - Deposits, not covered and not preferential",'T 03.01'!P:P)+SUMIF('T 03.01'!E:E,"r0320 - Deposits, not covered and not preferential",'T 03.01'!Q:Q)</f>
        <v>188193445.98280001</v>
      </c>
      <c r="O28" s="96">
        <v>0</v>
      </c>
      <c r="P28" s="169"/>
      <c r="Q28" s="170"/>
      <c r="R28" s="171"/>
      <c r="S28" s="172"/>
      <c r="T28" s="173"/>
      <c r="X28" s="112"/>
      <c r="AB28" s="105"/>
      <c r="AC28" s="106"/>
      <c r="AD28" s="97"/>
      <c r="AE28" s="98"/>
    </row>
    <row r="29" spans="1:31" ht="30" outlineLevel="2" x14ac:dyDescent="0.25">
      <c r="A29" s="175"/>
      <c r="B29" s="111" t="s">
        <v>1802</v>
      </c>
      <c r="C29" s="92" t="s">
        <v>1810</v>
      </c>
      <c r="D29" s="100">
        <v>0</v>
      </c>
      <c r="E29" s="95">
        <v>0</v>
      </c>
      <c r="F29" s="95">
        <v>0</v>
      </c>
      <c r="G29" s="95">
        <v>0</v>
      </c>
      <c r="H29" s="95">
        <v>0</v>
      </c>
      <c r="I29" s="95">
        <v>0</v>
      </c>
      <c r="J29" s="95">
        <v>0</v>
      </c>
      <c r="K29" s="95">
        <v>0</v>
      </c>
      <c r="L29" s="95">
        <v>0</v>
      </c>
      <c r="M29" s="95">
        <f t="shared" si="1"/>
        <v>0</v>
      </c>
      <c r="N29" s="95">
        <v>0</v>
      </c>
      <c r="O29" s="96">
        <v>0</v>
      </c>
      <c r="P29" s="169"/>
      <c r="Q29" s="170"/>
      <c r="R29" s="171"/>
      <c r="S29" s="172"/>
      <c r="T29" s="173"/>
      <c r="X29" s="112"/>
      <c r="AB29" s="105"/>
      <c r="AC29" s="106"/>
      <c r="AD29" s="97"/>
      <c r="AE29" s="98"/>
    </row>
    <row r="30" spans="1:31" ht="30" outlineLevel="2" x14ac:dyDescent="0.25">
      <c r="A30" s="175"/>
      <c r="B30" s="111" t="s">
        <v>1804</v>
      </c>
      <c r="C30" s="92" t="s">
        <v>1811</v>
      </c>
      <c r="D30" s="100">
        <v>0</v>
      </c>
      <c r="E30" s="95">
        <v>0</v>
      </c>
      <c r="F30" s="95">
        <v>0</v>
      </c>
      <c r="G30" s="95">
        <v>0</v>
      </c>
      <c r="H30" s="95">
        <v>0</v>
      </c>
      <c r="I30" s="95">
        <v>0</v>
      </c>
      <c r="J30" s="95">
        <v>0</v>
      </c>
      <c r="K30" s="95">
        <v>0</v>
      </c>
      <c r="L30" s="95">
        <v>0</v>
      </c>
      <c r="M30" s="95">
        <f t="shared" si="1"/>
        <v>0</v>
      </c>
      <c r="N30" s="95">
        <v>0</v>
      </c>
      <c r="O30" s="96">
        <v>0</v>
      </c>
      <c r="P30" s="169"/>
      <c r="Q30" s="170"/>
      <c r="R30" s="171"/>
      <c r="S30" s="172"/>
      <c r="T30" s="173"/>
      <c r="X30" s="112"/>
      <c r="AB30" s="105"/>
      <c r="AC30" s="106"/>
      <c r="AD30" s="97"/>
    </row>
    <row r="31" spans="1:31" outlineLevel="2" x14ac:dyDescent="0.25">
      <c r="A31" s="175"/>
      <c r="B31" s="111" t="s">
        <v>1806</v>
      </c>
      <c r="C31" s="92" t="s">
        <v>1812</v>
      </c>
      <c r="D31" s="100">
        <v>0</v>
      </c>
      <c r="E31" s="95">
        <v>0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  <c r="L31" s="95">
        <v>0</v>
      </c>
      <c r="M31" s="95">
        <f t="shared" si="1"/>
        <v>0</v>
      </c>
      <c r="N31" s="95">
        <v>0</v>
      </c>
      <c r="O31" s="96">
        <v>0</v>
      </c>
      <c r="P31" s="169"/>
      <c r="Q31" s="170"/>
      <c r="R31" s="171"/>
      <c r="S31" s="172"/>
      <c r="T31" s="173"/>
      <c r="X31" s="112"/>
      <c r="AB31" s="105"/>
      <c r="AC31" s="106"/>
      <c r="AD31" s="97"/>
    </row>
    <row r="32" spans="1:31" ht="30" outlineLevel="1" x14ac:dyDescent="0.25">
      <c r="A32" s="175"/>
      <c r="B32" s="99" t="s">
        <v>1813</v>
      </c>
      <c r="C32" s="92" t="s">
        <v>1814</v>
      </c>
      <c r="D32" s="100">
        <f>SUMIF('T 07.00'!$E:$E,"c001x   - Households",'T 07.00'!$R:$R)</f>
        <v>0</v>
      </c>
      <c r="E32" s="95">
        <f>SUMIF('T 07.00'!$E:$E,"c002x   - Micro &amp; SME",'T 07.00'!$R:$R)</f>
        <v>146937.31999999998</v>
      </c>
      <c r="F32" s="95">
        <f>SUMIF('T 07.00'!$E:$E,"c003x   - Corporates",'T 07.00'!$R:$R)</f>
        <v>5065106.22</v>
      </c>
      <c r="G32" s="95">
        <f>SUMIF('T 07.00'!$E:$E,"c004x   - Institutions",'T 07.00'!$R:$R)</f>
        <v>612450050.64000189</v>
      </c>
      <c r="H32" s="95">
        <f>SUMIF('T 07.00'!$E:$E,"c005x   - Other financial corporations",'T 07.00'!$R:$R)+I32</f>
        <v>281776158.13</v>
      </c>
      <c r="I32" s="95">
        <f>SUMIF('T 07.00'!$E:$E,"c006x   - Insurance firms &amp; pension funds",'T 07.00'!$R:$R)</f>
        <v>0</v>
      </c>
      <c r="J32" s="95">
        <f>SUMIF('T 07.00'!$E:$E,"c008x   - Government, central banks &amp; supranationals",'T 07.00'!$R:$R)</f>
        <v>0</v>
      </c>
      <c r="K32" s="95">
        <v>0</v>
      </c>
      <c r="L32" s="95">
        <f>SUMIF('T 07.00'!$E:$E,"",'T 07.00'!$R:$R)</f>
        <v>0</v>
      </c>
      <c r="M32" s="95">
        <f t="shared" si="1"/>
        <v>899438252.31000185</v>
      </c>
      <c r="N32" s="95">
        <f>SUMIF('T 07.00'!O:O,"TRUE",'T 07.00'!R:R)</f>
        <v>640643504.81000197</v>
      </c>
      <c r="O32" s="96">
        <v>0</v>
      </c>
      <c r="P32" s="169"/>
      <c r="Q32" s="170"/>
      <c r="R32" s="171"/>
      <c r="S32" s="172"/>
      <c r="T32" s="173"/>
      <c r="AD32" s="97"/>
      <c r="AE32" s="98"/>
    </row>
    <row r="33" spans="1:32" outlineLevel="1" x14ac:dyDescent="0.25">
      <c r="A33" s="175"/>
      <c r="B33" s="99" t="s">
        <v>1815</v>
      </c>
      <c r="C33" s="92" t="s">
        <v>1816</v>
      </c>
      <c r="D33" s="100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f t="shared" si="1"/>
        <v>0</v>
      </c>
      <c r="N33" s="95">
        <v>0</v>
      </c>
      <c r="O33" s="96">
        <v>0</v>
      </c>
      <c r="P33" s="169"/>
      <c r="Q33" s="170"/>
      <c r="R33" s="171"/>
      <c r="S33" s="172"/>
      <c r="T33" s="173"/>
      <c r="AD33" s="97"/>
      <c r="AF33" s="103"/>
    </row>
    <row r="34" spans="1:32" outlineLevel="2" x14ac:dyDescent="0.25">
      <c r="A34" s="175"/>
      <c r="B34" s="111" t="s">
        <v>1800</v>
      </c>
      <c r="C34" s="92" t="s">
        <v>1817</v>
      </c>
      <c r="D34" s="100">
        <v>0</v>
      </c>
      <c r="E34" s="95">
        <v>0</v>
      </c>
      <c r="F34" s="95">
        <v>0</v>
      </c>
      <c r="G34" s="95">
        <v>0</v>
      </c>
      <c r="H34" s="95">
        <v>0</v>
      </c>
      <c r="I34" s="95">
        <v>0</v>
      </c>
      <c r="J34" s="95">
        <v>0</v>
      </c>
      <c r="K34" s="95">
        <v>0</v>
      </c>
      <c r="L34" s="95">
        <v>0</v>
      </c>
      <c r="M34" s="95">
        <f t="shared" si="1"/>
        <v>0</v>
      </c>
      <c r="N34" s="95">
        <v>0</v>
      </c>
      <c r="O34" s="96">
        <v>0</v>
      </c>
      <c r="P34" s="169"/>
      <c r="Q34" s="170"/>
      <c r="R34" s="171"/>
      <c r="S34" s="172"/>
      <c r="T34" s="173"/>
      <c r="X34" s="112"/>
      <c r="AD34" s="97"/>
      <c r="AE34" s="98"/>
      <c r="AF34" s="103"/>
    </row>
    <row r="35" spans="1:32" ht="30" outlineLevel="2" x14ac:dyDescent="0.25">
      <c r="A35" s="175"/>
      <c r="B35" s="111" t="s">
        <v>1802</v>
      </c>
      <c r="C35" s="92" t="s">
        <v>1818</v>
      </c>
      <c r="D35" s="100">
        <v>0</v>
      </c>
      <c r="E35" s="95">
        <v>0</v>
      </c>
      <c r="F35" s="95">
        <v>0</v>
      </c>
      <c r="G35" s="95">
        <v>0</v>
      </c>
      <c r="H35" s="95">
        <v>0</v>
      </c>
      <c r="I35" s="95">
        <v>0</v>
      </c>
      <c r="J35" s="95">
        <v>0</v>
      </c>
      <c r="K35" s="95">
        <v>0</v>
      </c>
      <c r="L35" s="95">
        <v>0</v>
      </c>
      <c r="M35" s="95">
        <f t="shared" si="1"/>
        <v>0</v>
      </c>
      <c r="N35" s="95">
        <v>0</v>
      </c>
      <c r="O35" s="96">
        <v>0</v>
      </c>
      <c r="P35" s="169"/>
      <c r="Q35" s="170"/>
      <c r="R35" s="171"/>
      <c r="S35" s="172"/>
      <c r="T35" s="173"/>
      <c r="X35" s="112"/>
      <c r="AD35" s="97"/>
      <c r="AE35" s="98"/>
      <c r="AF35" s="103"/>
    </row>
    <row r="36" spans="1:32" ht="30" outlineLevel="2" x14ac:dyDescent="0.25">
      <c r="A36" s="175"/>
      <c r="B36" s="111" t="s">
        <v>1804</v>
      </c>
      <c r="C36" s="92" t="s">
        <v>1819</v>
      </c>
      <c r="D36" s="100">
        <v>0</v>
      </c>
      <c r="E36" s="95">
        <v>0</v>
      </c>
      <c r="F36" s="95">
        <v>0</v>
      </c>
      <c r="G36" s="95">
        <v>0</v>
      </c>
      <c r="H36" s="95">
        <v>0</v>
      </c>
      <c r="I36" s="95">
        <v>0</v>
      </c>
      <c r="J36" s="95">
        <v>0</v>
      </c>
      <c r="K36" s="95">
        <v>0</v>
      </c>
      <c r="L36" s="95">
        <v>0</v>
      </c>
      <c r="M36" s="95">
        <f t="shared" si="1"/>
        <v>0</v>
      </c>
      <c r="N36" s="95">
        <v>0</v>
      </c>
      <c r="O36" s="96">
        <v>0</v>
      </c>
      <c r="P36" s="169"/>
      <c r="Q36" s="170"/>
      <c r="R36" s="171"/>
      <c r="S36" s="172"/>
      <c r="T36" s="173"/>
      <c r="X36" s="112"/>
      <c r="AD36" s="97"/>
      <c r="AF36" s="103"/>
    </row>
    <row r="37" spans="1:32" outlineLevel="2" x14ac:dyDescent="0.25">
      <c r="A37" s="175"/>
      <c r="B37" s="111" t="s">
        <v>1806</v>
      </c>
      <c r="C37" s="92" t="s">
        <v>1820</v>
      </c>
      <c r="D37" s="100">
        <v>0</v>
      </c>
      <c r="E37" s="95">
        <v>0</v>
      </c>
      <c r="F37" s="95">
        <v>0</v>
      </c>
      <c r="G37" s="95">
        <v>0</v>
      </c>
      <c r="H37" s="95">
        <v>0</v>
      </c>
      <c r="I37" s="95">
        <v>0</v>
      </c>
      <c r="J37" s="95">
        <v>0</v>
      </c>
      <c r="K37" s="95">
        <v>0</v>
      </c>
      <c r="L37" s="95">
        <v>0</v>
      </c>
      <c r="M37" s="95">
        <f t="shared" si="1"/>
        <v>0</v>
      </c>
      <c r="N37" s="95">
        <v>0</v>
      </c>
      <c r="O37" s="96">
        <v>0</v>
      </c>
      <c r="P37" s="169"/>
      <c r="Q37" s="170"/>
      <c r="R37" s="171"/>
      <c r="S37" s="172"/>
      <c r="T37" s="173"/>
      <c r="X37" s="112"/>
      <c r="AD37" s="97"/>
      <c r="AF37" s="103"/>
    </row>
    <row r="38" spans="1:32" outlineLevel="1" x14ac:dyDescent="0.25">
      <c r="A38" s="175"/>
      <c r="B38" s="99" t="s">
        <v>1821</v>
      </c>
      <c r="C38" s="92" t="s">
        <v>1822</v>
      </c>
      <c r="D38" s="100">
        <f>SUM(D39:D42)</f>
        <v>0</v>
      </c>
      <c r="E38" s="95">
        <f t="shared" ref="E38:L38" si="5">SUM(E39:E42)</f>
        <v>0</v>
      </c>
      <c r="F38" s="95">
        <f t="shared" si="5"/>
        <v>0</v>
      </c>
      <c r="G38" s="95">
        <f t="shared" si="5"/>
        <v>185491750</v>
      </c>
      <c r="H38" s="95">
        <f t="shared" si="5"/>
        <v>8395194.5134730004</v>
      </c>
      <c r="I38" s="95">
        <f t="shared" si="5"/>
        <v>8395194.5134730004</v>
      </c>
      <c r="J38" s="95">
        <f t="shared" si="5"/>
        <v>0</v>
      </c>
      <c r="K38" s="95">
        <f t="shared" si="5"/>
        <v>0</v>
      </c>
      <c r="L38" s="95">
        <f t="shared" si="5"/>
        <v>0</v>
      </c>
      <c r="M38" s="95">
        <f t="shared" si="1"/>
        <v>193886944.513473</v>
      </c>
      <c r="N38" s="95">
        <f t="shared" ref="N38:O38" si="6">SUM(N39:N42)</f>
        <v>8395194.5134730004</v>
      </c>
      <c r="O38" s="96">
        <f t="shared" si="6"/>
        <v>0</v>
      </c>
      <c r="P38" s="169"/>
      <c r="Q38" s="170"/>
      <c r="R38" s="171"/>
      <c r="S38" s="172"/>
      <c r="T38" s="173"/>
      <c r="AC38" s="106"/>
      <c r="AD38" s="97"/>
    </row>
    <row r="39" spans="1:32" outlineLevel="2" x14ac:dyDescent="0.25">
      <c r="A39" s="175"/>
      <c r="B39" s="111" t="s">
        <v>1800</v>
      </c>
      <c r="C39" s="92" t="s">
        <v>1823</v>
      </c>
      <c r="D39" s="100">
        <f>+SUMIFS('T 04.00'!$N:$N,'T 04.00'!$F:$F,"c001x   - Households",'T 04.00'!$E:$E,"r0350 - Structured notes",'T 04.00'!AL:AL,1)+SUMIFS('T 04.00'!$O:$O,'T 04.00'!$F:$F,"c001x   - Households",'T 04.00'!$E:$E,"r0350 - Structured notes",'T 04.00'!AL:AL,1)+SUMIFS('T 03.01'!$P:$P,'T 03.01'!$F:$F,"c001x   - Households",'T 03.01'!$E:$E,"r0350 - Structured notes",'T 03.01'!$AC:$AC,1)+SUMIFS('T 03.01'!$Q:$Q,'T 03.01'!$F:$F,"c001x   - Households",'T 03.01'!$E:$E,"r0350 - Structured notes",'T 03.01'!$AC:$AC,1)</f>
        <v>0</v>
      </c>
      <c r="E39" s="95">
        <f>+SUMIFS('T 04.00'!$N:$N,'T 04.00'!$F:$F,"c002x   - Micro &amp; SME",'T 04.00'!$E:$E,"r0350 - Structured notes",'T 04.00'!AL:AL,1)+SUMIFS('T 04.00'!$O:$O,'T 04.00'!$F:$F,"c002x   - Micro &amp; SME",'T 04.00'!$E:$E,"r0350 - Structured notes",'T 04.00'!AL:AL,1)+SUMIFS('T 03.01'!$P:$P,'T 03.01'!$F:$F,"c002x   - Micro &amp; SME",'T 03.01'!$E:$E,"r0350 - Structured notes",'T 03.01'!$AC:$AC,1)+SUMIFS('T 03.01'!$Q:$Q,'T 03.01'!$F:$F,"c002x   - Micro &amp; SME",'T 03.01'!$E:$E,"r0350 - Structured notes",'T 03.01'!$AC:$AC,1)</f>
        <v>0</v>
      </c>
      <c r="F39" s="95">
        <f>+SUMIFS('T 04.00'!$N:$N,'T 04.00'!$F:$F,"c003x   - Corporates",'T 04.00'!$E:$E,"r0350 - Structured notes",'T 04.00'!AL:AL,1)+SUMIFS('T 04.00'!$O:$O,'T 04.00'!$F:$F,"c003x   - Corporates",'T 04.00'!$E:$E,"r0350 - Structured notes",'T 04.00'!AL:AL,1)+SUMIFS('T 03.01'!$P:$P,'T 03.01'!$F:$F,"c003x   - Corporates",'T 03.01'!$E:$E,"r0350 - Structured notes",'T 03.01'!$AC:$AC,1)+SUMIFS('T 03.01'!$Q:$Q,'T 03.01'!$F:$F,"c003x   - Corporates",'T 03.01'!$E:$E,"r0350 - Structured notes",'T 03.01'!$AC:$AC,1)</f>
        <v>0</v>
      </c>
      <c r="G39" s="95">
        <f>+SUMIFS('T 04.00'!$N:$N,'T 04.00'!$F:$F,"c004x   - Institutions",'T 04.00'!$E:$E,"r0350 - Structured notes",'T 04.00'!AL:AL,1)+SUMIFS('T 04.00'!$O:$O,'T 04.00'!$F:$F,"c004x   - Institutions",'T 04.00'!$E:$E,"r0350 - Structured notes",'T 04.00'!AL:AL,1)+SUMIFS('T 03.01'!$P:$P,'T 03.01'!$F:$F,"c004x   - Institutions",'T 03.01'!$E:$E,"r0350 - Structured notes",'T 03.01'!$AC:$AC,1)+SUMIFS('T 03.01'!$Q:$Q,'T 03.01'!$F:$F,"c004x   - Institutions",'T 03.01'!$E:$E,"r0350 - Structured notes",'T 03.01'!$AC:$AC,1)</f>
        <v>0</v>
      </c>
      <c r="H39" s="95">
        <f>+SUMIFS('T 04.00'!$N:$N,'T 04.00'!$F:$F,"c005x   - Other financial corporations",'T 04.00'!$E:$E,"r0350 - Structured notes",'T 04.00'!AL:AL,1)+SUMIFS('T 04.00'!$O:$O,'T 04.00'!$F:$F,"c005x   - Other financial corporations",'T 04.00'!$E:$E,"r0350 - Structured notes",'T 04.00'!AL:AL,1)+SUMIFS('T 03.01'!$P:$P,'T 03.01'!$F:$F,"c005x   - Other financial corporations",'T 03.01'!$E:$E,"r0350 - Structured notes",'T 03.01'!$AC:$AC,1)+SUMIFS('T 03.01'!$Q:$Q,'T 03.01'!$F:$F,"c005x   - Other financial corporations",'T 03.01'!$E:$E,"r0350 - Structured notes",'T 03.01'!$AC:$AC,1)+I39</f>
        <v>0</v>
      </c>
      <c r="I39" s="95">
        <f>+SUMIFS('T 04.00'!$N:$N,'T 04.00'!$F:$F,"c006x   - Insurance firms &amp; pension funds",'T 04.00'!$E:$E,"r0350 - Structured notes",'T 04.00'!AL:AL,1)+SUMIFS('T 04.00'!$O:$O,'T 04.00'!$F:$F,"c006x   - Insurance firms &amp; pension funds",'T 04.00'!$E:$E,"r0350 - Structured notes",'T 04.00'!AL:AL,1)+SUMIFS('T 03.01'!$P:$P,'T 03.01'!$F:$F,"c006x   - Insurance firms &amp; pension funds",'T 03.01'!$E:$E,"r0350 - Structured notes",'T 03.01'!$AC:$AC,1)+SUMIFS('T 03.01'!$Q:$Q,'T 03.01'!$F:$F,"c006x   - Insurance firms &amp; pension funds",'T 03.01'!$E:$E,"r0350 - Structured notes",'T 03.01'!$AC:$AC,1)</f>
        <v>0</v>
      </c>
      <c r="J39" s="95">
        <f>+SUMIFS('T 04.00'!$N:$N,'T 04.00'!$F:$F,"c008x   - Government, central banks &amp; supranationals",'T 04.00'!$E:$E,"r0350 - Structured notes",'T 04.00'!AL:AL,1)+SUMIFS('T 04.00'!$O:$O,'T 04.00'!$F:$F,"c008x   - Government, central banks &amp; supranationals",'T 04.00'!$E:$E,"r0350 - Structured notes",'T 04.00'!AL:AL,1)+SUMIFS('T 03.01'!$P:$P,'T 03.01'!$F:$F,"c008x   - Government, central banks &amp; supranationals",'T 03.01'!$E:$E,"r0350 - Structured notes",'T 03.01'!$AC:$AC,1)+SUMIFS('T 03.01'!$Q:$Q,'T 03.01'!$F:$F,"c008x   - Government, central banks &amp; supranationals",'T 03.01'!$E:$E,"r0350 - Structured notes",'T 03.01'!$AC:$AC,1)</f>
        <v>0</v>
      </c>
      <c r="K39" s="95">
        <v>0</v>
      </c>
      <c r="L39" s="95">
        <f>+SUMIFS('T 04.00'!$N:$N,'T 04.00'!$F:$F,"",'T 04.00'!$E:$E,"r0350 - Structured notes",'T 04.00'!AL:AL,1)+SUMIFS('T 04.00'!$O:$O,'T 04.00'!$F:$F,"",'T 04.00'!$E:$E,"r0350 - Structured notes",'T 04.00'!AL:AL,1)+SUMIFS('T 03.01'!$P:$P,'T 03.01'!$F:$F,"",'T 03.01'!$E:$E,"r0350 - Structured notes",'T 03.01'!$AC:$AC,1)+SUMIFS('T 03.01'!$Q:$Q,'T 03.01'!$F:$F,"",'T 03.01'!$E:$E,"r0350 - Structured notes",'T 03.01'!$AC:$AC,1)</f>
        <v>0</v>
      </c>
      <c r="M39" s="95">
        <f t="shared" si="1"/>
        <v>0</v>
      </c>
      <c r="N39" s="95">
        <f>SUMIFS('T 03.01'!$P:$P,'T 03.01'!$E:$E,"r0350 - Structured notes",'T 03.01'!AC:AC,1)+SUMIFS('T 03.01'!$Q:$Q,'T 03.01'!$E:$E,"r0350 - Structured notes",'T 03.01'!AC:AC,1)</f>
        <v>0</v>
      </c>
      <c r="O39" s="96">
        <v>0</v>
      </c>
      <c r="P39" s="113"/>
      <c r="Q39" s="114"/>
      <c r="R39" s="115"/>
      <c r="X39" s="112"/>
      <c r="AC39" s="106"/>
      <c r="AD39" s="97"/>
      <c r="AE39" s="98"/>
    </row>
    <row r="40" spans="1:32" ht="30" outlineLevel="2" x14ac:dyDescent="0.25">
      <c r="A40" s="175"/>
      <c r="B40" s="111" t="s">
        <v>1802</v>
      </c>
      <c r="C40" s="92" t="s">
        <v>1824</v>
      </c>
      <c r="D40" s="100">
        <f>+SUMIFS('T 04.00'!$N:$N,'T 04.00'!$F:$F,"c001x   - Households",'T 04.00'!$E:$E,"r0350 - Structured notes",'T 04.00'!AL:AL,2)+SUMIFS('T 04.00'!$O:$O,'T 04.00'!$F:$F,"c001x   - Households",'T 04.00'!$E:$E,"r0350 - Structured notes",'T 04.00'!AL:AL,2)+SUMIFS('T 03.01'!$P:$P,'T 03.01'!$F:$F,"c001x   - Households",'T 03.01'!$E:$E,"r0350 - Structured notes",'T 03.01'!$AC:$AC,2)+SUMIFS('T 03.01'!$Q:$Q,'T 03.01'!$F:$F,"c001x   - Households",'T 03.01'!$E:$E,"r0350 - Structured notes",'T 03.01'!$AC:$AC,2)</f>
        <v>0</v>
      </c>
      <c r="E40" s="95">
        <f>+SUMIFS('T 04.00'!$N:$N,'T 04.00'!$F:$F,"c002x   - Micro &amp; SME",'T 04.00'!$E:$E,"r0350 - Structured notes",'T 04.00'!AL:AL,2)+SUMIFS('T 04.00'!$O:$O,'T 04.00'!$F:$F,"c002x   - Micro &amp; SME",'T 04.00'!$E:$E,"r0350 - Structured notes",'T 04.00'!AL:AL,2)+SUMIFS('T 03.01'!$P:$P,'T 03.01'!$F:$F,"c002x   - Micro &amp; SME",'T 03.01'!$E:$E,"r0350 - Structured notes",'T 03.01'!$AC:$AC,2)+SUMIFS('T 03.01'!$Q:$Q,'T 03.01'!$F:$F,"c002x   - Micro &amp; SME",'T 03.01'!$E:$E,"r0350 - Structured notes",'T 03.01'!$AC:$AC,2)</f>
        <v>0</v>
      </c>
      <c r="F40" s="95">
        <f>+SUMIFS('T 04.00'!$N:$N,'T 04.00'!$F:$F,"c003x   - Corporates",'T 04.00'!$E:$E,"r0350 - Structured notes",'T 04.00'!AL:AL,2)+SUMIFS('T 04.00'!$O:$O,'T 04.00'!$F:$F,"c003x   - Corporates",'T 04.00'!$E:$E,"r0350 - Structured notes",'T 04.00'!AL:AL,2)+SUMIFS('T 03.01'!$P:$P,'T 03.01'!$F:$F,"c003x   - Corporates",'T 03.01'!$E:$E,"r0350 - Structured notes",'T 03.01'!$AC:$AC,2)+SUMIFS('T 03.01'!$Q:$Q,'T 03.01'!$F:$F,"c003x   - Corporates",'T 03.01'!$E:$E,"r0350 - Structured notes",'T 03.01'!$AC:$AC,2)</f>
        <v>0</v>
      </c>
      <c r="G40" s="95">
        <f>+SUMIFS('T 04.00'!$N:$N,'T 04.00'!$F:$F,"c004x   - Institutions",'T 04.00'!$E:$E,"r0350 - Structured notes",'T 04.00'!AL:AL,2)+SUMIFS('T 04.00'!$O:$O,'T 04.00'!$F:$F,"c004x   - Institutions",'T 04.00'!$E:$E,"r0350 - Structured notes",'T 04.00'!AL:AL,2)+SUMIFS('T 03.01'!$P:$P,'T 03.01'!$F:$F,"c004x   - Institutions",'T 03.01'!$E:$E,"r0350 - Structured notes",'T 03.01'!$AC:$AC,2)+SUMIFS('T 03.01'!$Q:$Q,'T 03.01'!$F:$F,"c004x   - Institutions",'T 03.01'!$E:$E,"r0350 - Structured notes",'T 03.01'!$AC:$AC,2)</f>
        <v>0</v>
      </c>
      <c r="H40" s="95">
        <f>+SUMIFS('T 04.00'!$N:$N,'T 04.00'!$F:$F,"c005x   - Other financial corporations",'T 04.00'!$E:$E,"r0350 - Structured notes",'T 04.00'!AL:AL,2)+SUMIFS('T 04.00'!$O:$O,'T 04.00'!$F:$F,"c005x   - Other financial corporations",'T 04.00'!$E:$E,"r0350 - Structured notes",'T 04.00'!AL:AL,2)+SUMIFS('T 03.01'!$P:$P,'T 03.01'!$F:$F,"c005x   - Other financial corporations",'T 03.01'!$E:$E,"r0350 - Structured notes",'T 03.01'!$AC:$AC,2)+SUMIFS('T 03.01'!$Q:$Q,'T 03.01'!$F:$F,"c005x   - Other financial corporations",'T 03.01'!$E:$E,"r0350 - Structured notes",'T 03.01'!$AC:$AC,2)+I40</f>
        <v>0</v>
      </c>
      <c r="I40" s="95">
        <f>+SUMIFS('T 04.00'!$N:$N,'T 04.00'!$F:$F,"c006x   - Insurance firms &amp; pension funds",'T 04.00'!$E:$E,"r0350 - Structured notes",'T 04.00'!AL:AL,2)+SUMIFS('T 04.00'!$O:$O,'T 04.00'!$F:$F,"c006x   - Insurance firms &amp; pension funds",'T 04.00'!$E:$E,"r0350 - Structured notes",'T 04.00'!AL:AL,2)+SUMIFS('T 03.01'!$P:$P,'T 03.01'!$F:$F,"c006x   - Insurance firms &amp; pension funds",'T 03.01'!$E:$E,"r0350 - Structured notes",'T 03.01'!$AC:$AC,2)+SUMIFS('T 03.01'!$Q:$Q,'T 03.01'!$F:$F,"c006x   - Insurance firms &amp; pension funds",'T 03.01'!$E:$E,"r0350 - Structured notes",'T 03.01'!$AC:$AC,2)</f>
        <v>0</v>
      </c>
      <c r="J40" s="95">
        <f>+SUMIFS('T 04.00'!$N:$N,'T 04.00'!$F:$F,"c008x   - Government, central banks &amp; supranationals",'T 04.00'!$E:$E,"r0350 - Structured notes",'T 04.00'!AL:AL,2)+SUMIFS('T 04.00'!$O:$O,'T 04.00'!$F:$F,"c008x   - Government, central banks &amp; supranationals",'T 04.00'!$E:$E,"r0350 - Structured notes",'T 04.00'!AL:AL,2)+SUMIFS('T 03.01'!$P:$P,'T 03.01'!$F:$F,"c008x   - Government, central banks &amp; supranationals",'T 03.01'!$E:$E,"r0350 - Structured notes",'T 03.01'!$AC:$AC,2)+SUMIFS('T 03.01'!$Q:$Q,'T 03.01'!$F:$F,"c008x   - Government, central banks &amp; supranationals",'T 03.01'!$E:$E,"r0350 - Structured notes",'T 03.01'!$AC:$AC,2)</f>
        <v>0</v>
      </c>
      <c r="K40" s="95">
        <v>0</v>
      </c>
      <c r="L40" s="95">
        <f>+SUMIFS('T 04.00'!$N:$N,'T 04.00'!$F:$F,"",'T 04.00'!$E:$E,"r0350 - Structured notes",'T 04.00'!AL:AL,2)+SUMIFS('T 04.00'!$O:$O,'T 04.00'!$F:$F,"",'T 04.00'!$E:$E,"r0350 - Structured notes",'T 04.00'!AL:AL,2)+SUMIFS('T 03.01'!$P:$P,'T 03.01'!$F:$F,"",'T 03.01'!$E:$E,"r0350 - Structured notes",'T 03.01'!$AC:$AC,2)+SUMIFS('T 03.01'!$Q:$Q,'T 03.01'!$F:$F,"",'T 03.01'!$E:$E,"r0350 - Structured notes",'T 03.01'!$AC:$AC,2)</f>
        <v>0</v>
      </c>
      <c r="M40" s="95">
        <f t="shared" si="1"/>
        <v>0</v>
      </c>
      <c r="N40" s="95">
        <f>SUMIFS('T 03.01'!$P:$P,'T 03.01'!$E:$E,"r0350 - Structured notes",'T 03.01'!AC:AC,2)+SUMIFS('T 03.01'!$Q:$Q,'T 03.01'!$E:$E,"r0350 - Structured notes",'T 03.01'!AC:AC,2)</f>
        <v>0</v>
      </c>
      <c r="O40" s="96">
        <v>0</v>
      </c>
      <c r="P40" s="113"/>
      <c r="Q40" s="114"/>
      <c r="R40" s="115"/>
      <c r="X40" s="112"/>
      <c r="AC40" s="106"/>
      <c r="AD40" s="97"/>
      <c r="AE40" s="98"/>
    </row>
    <row r="41" spans="1:32" ht="30" outlineLevel="2" x14ac:dyDescent="0.25">
      <c r="A41" s="175"/>
      <c r="B41" s="111" t="s">
        <v>1804</v>
      </c>
      <c r="C41" s="92" t="s">
        <v>1825</v>
      </c>
      <c r="D41" s="100">
        <f>+SUMIFS('T 04.00'!$N:$N,'T 04.00'!$F:$F,"c001x   - Households",'T 04.00'!$E:$E,"r0350 - Structured notes",'T 04.00'!AL:AL,3)+SUMIFS('T 04.00'!$O:$O,'T 04.00'!$F:$F,"c001x   - Households",'T 04.00'!$E:$E,"r0350 - Structured notes",'T 04.00'!AL:AL,3)+SUMIFS('T 03.01'!$P:$P,'T 03.01'!$F:$F,"c001x   - Households",'T 03.01'!$E:$E,"r0350 - Structured notes",'T 03.01'!$AC:$AC,3)+SUMIFS('T 03.01'!$Q:$Q,'T 03.01'!$F:$F,"c001x   - Households",'T 03.01'!$E:$E,"r0350 - Structured notes",'T 03.01'!$AC:$AC,3)</f>
        <v>0</v>
      </c>
      <c r="E41" s="95">
        <f>+SUMIFS('T 04.00'!$N:$N,'T 04.00'!$F:$F,"c002x   - Micro &amp; SME",'T 04.00'!$E:$E,"r0350 - Structured notes",'T 04.00'!AL:AL,3)+SUMIFS('T 04.00'!$O:$O,'T 04.00'!$F:$F,"c002x   - Micro &amp; SME",'T 04.00'!$E:$E,"r0350 - Structured notes",'T 04.00'!AL:AL,3)+SUMIFS('T 03.01'!$P:$P,'T 03.01'!$F:$F,"c002x   - Micro &amp; SME",'T 03.01'!$E:$E,"r0350 - Structured notes",'T 03.01'!$AC:$AC,3)+SUMIFS('T 03.01'!$Q:$Q,'T 03.01'!$F:$F,"c002x   - Micro &amp; SME",'T 03.01'!$E:$E,"r0350 - Structured notes",'T 03.01'!$AC:$AC,3)</f>
        <v>0</v>
      </c>
      <c r="F41" s="95">
        <f>+SUMIFS('T 04.00'!$N:$N,'T 04.00'!$F:$F,"c003x   - Corporates",'T 04.00'!$E:$E,"r0350 - Structured notes",'T 04.00'!AL:AL,3)+SUMIFS('T 04.00'!$O:$O,'T 04.00'!$F:$F,"c003x   - Corporates",'T 04.00'!$E:$E,"r0350 - Structured notes",'T 04.00'!AL:AL,3)+SUMIFS('T 03.01'!$P:$P,'T 03.01'!$F:$F,"c003x   - Corporates",'T 03.01'!$E:$E,"r0350 - Structured notes",'T 03.01'!$AC:$AC,3)+SUMIFS('T 03.01'!$Q:$Q,'T 03.01'!$F:$F,"c003x   - Corporates",'T 03.01'!$E:$E,"r0350 - Structured notes",'T 03.01'!$AC:$AC,3)</f>
        <v>0</v>
      </c>
      <c r="G41" s="95">
        <f>+SUMIFS('T 04.00'!$N:$N,'T 04.00'!$F:$F,"c004x   - Institutions",'T 04.00'!$E:$E,"r0350 - Structured notes",'T 04.00'!AL:AL,3)+SUMIFS('T 04.00'!$O:$O,'T 04.00'!$F:$F,"c004x   - Institutions",'T 04.00'!$E:$E,"r0350 - Structured notes",'T 04.00'!AL:AL,3)+SUMIFS('T 03.01'!$P:$P,'T 03.01'!$F:$F,"c004x   - Institutions",'T 03.01'!$E:$E,"r0350 - Structured notes",'T 03.01'!$AC:$AC,3)+SUMIFS('T 03.01'!$Q:$Q,'T 03.01'!$F:$F,"c004x   - Institutions",'T 03.01'!$E:$E,"r0350 - Structured notes",'T 03.01'!$AC:$AC,3)</f>
        <v>0</v>
      </c>
      <c r="H41" s="95">
        <f>+SUMIFS('T 04.00'!$N:$N,'T 04.00'!$F:$F,"c005x   - Other financial corporations",'T 04.00'!$E:$E,"r0350 - Structured notes",'T 04.00'!AL:AL,3)+SUMIFS('T 04.00'!$O:$O,'T 04.00'!$F:$F,"c005x   - Other financial corporations",'T 04.00'!$E:$E,"r0350 - Structured notes",'T 04.00'!AL:AL,3)+SUMIFS('T 03.01'!$P:$P,'T 03.01'!$F:$F,"c005x   - Other financial corporations",'T 03.01'!$E:$E,"r0350 - Structured notes",'T 03.01'!$AC:$AC,3)+SUMIFS('T 03.01'!$Q:$Q,'T 03.01'!$F:$F,"c005x   - Other financial corporations",'T 03.01'!$E:$E,"r0350 - Structured notes",'T 03.01'!$AC:$AC,3)+I41</f>
        <v>0</v>
      </c>
      <c r="I41" s="95">
        <f>+SUMIFS('T 04.00'!$N:$N,'T 04.00'!$F:$F,"c006x   - Insurance firms &amp; pension funds",'T 04.00'!$E:$E,"r0350 - Structured notes",'T 04.00'!AL:AL,3)+SUMIFS('T 04.00'!$O:$O,'T 04.00'!$F:$F,"c006x   - Insurance firms &amp; pension funds",'T 04.00'!$E:$E,"r0350 - Structured notes",'T 04.00'!AL:AL,3)+SUMIFS('T 03.01'!$P:$P,'T 03.01'!$F:$F,"c006x   - Insurance firms &amp; pension funds",'T 03.01'!$E:$E,"r0350 - Structured notes",'T 03.01'!$AC:$AC,3)+SUMIFS('T 03.01'!$Q:$Q,'T 03.01'!$F:$F,"c006x   - Insurance firms &amp; pension funds",'T 03.01'!$E:$E,"r0350 - Structured notes",'T 03.01'!$AC:$AC,3)</f>
        <v>0</v>
      </c>
      <c r="J41" s="95">
        <f>+SUMIFS('T 04.00'!$N:$N,'T 04.00'!$F:$F,"c008x   - Government, central banks &amp; supranationals",'T 04.00'!$E:$E,"r0350 - Structured notes",'T 04.00'!AL:AL,3)+SUMIFS('T 04.00'!$O:$O,'T 04.00'!$F:$F,"c008x   - Government, central banks &amp; supranationals",'T 04.00'!$E:$E,"r0350 - Structured notes",'T 04.00'!AL:AL,3)+SUMIFS('T 03.01'!$P:$P,'T 03.01'!$F:$F,"c008x   - Government, central banks &amp; supranationals",'T 03.01'!$E:$E,"r0350 - Structured notes",'T 03.01'!$AC:$AC,3)+SUMIFS('T 03.01'!$Q:$Q,'T 03.01'!$F:$F,"c008x   - Government, central banks &amp; supranationals",'T 03.01'!$E:$E,"r0350 - Structured notes",'T 03.01'!$AC:$AC,3)</f>
        <v>0</v>
      </c>
      <c r="K41" s="95">
        <v>0</v>
      </c>
      <c r="L41" s="95">
        <f>+SUMIFS('T 04.00'!$N:$N,'T 04.00'!$F:$F,"",'T 04.00'!$E:$E,"r0350 - Structured notes",'T 04.00'!AL:AL,3)+SUMIFS('T 04.00'!$O:$O,'T 04.00'!$F:$F,"",'T 04.00'!$E:$E,"r0350 - Structured notes",'T 04.00'!AL:AL,3)+SUMIFS('T 03.01'!$P:$P,'T 03.01'!$F:$F,"",'T 03.01'!$E:$E,"r0350 - Structured notes",'T 03.01'!$AC:$AC,3)+SUMIFS('T 03.01'!$Q:$Q,'T 03.01'!$F:$F,"",'T 03.01'!$E:$E,"r0350 - Structured notes",'T 03.01'!$AC:$AC,3)</f>
        <v>0</v>
      </c>
      <c r="M41" s="95">
        <f t="shared" si="1"/>
        <v>0</v>
      </c>
      <c r="N41" s="95">
        <f>SUMIFS('T 03.01'!$P:$P,'T 03.01'!$E:$E,"r0350 - Structured notes",'T 03.01'!AC:AC,3)+SUMIFS('T 03.01'!$Q:$Q,'T 03.01'!$E:$E,"r0350 - Structured notes",'T 03.01'!AC:AC,3)</f>
        <v>0</v>
      </c>
      <c r="O41" s="96">
        <v>0</v>
      </c>
      <c r="P41" s="113"/>
      <c r="Q41" s="114"/>
      <c r="R41" s="115"/>
      <c r="X41" s="112"/>
      <c r="AC41" s="106"/>
      <c r="AD41" s="97"/>
    </row>
    <row r="42" spans="1:32" outlineLevel="2" x14ac:dyDescent="0.25">
      <c r="A42" s="175"/>
      <c r="B42" s="111" t="s">
        <v>1806</v>
      </c>
      <c r="C42" s="92" t="s">
        <v>1826</v>
      </c>
      <c r="D42" s="100">
        <f>+SUMIFS('T 04.00'!$N:$N,'T 04.00'!$F:$F,"c001x   - Households",'T 04.00'!$E:$E,"r0350 - Structured notes",'T 04.00'!AL:AL,4)+SUMIFS('T 04.00'!$O:$O,'T 04.00'!$F:$F,"c001x   - Households",'T 04.00'!$E:$E,"r0350 - Structured notes",'T 04.00'!AL:AL,4)+SUMIFS('T 03.01'!$P:$P,'T 03.01'!$F:$F,"c001x   - Households",'T 03.01'!$E:$E,"r0350 - Structured notes",'T 03.01'!$AC:$AC,4)+SUMIFS('T 03.01'!$Q:$Q,'T 03.01'!$F:$F,"c001x   - Households",'T 03.01'!$E:$E,"r0350 - Structured notes",'T 03.01'!$AC:$AC,4)</f>
        <v>0</v>
      </c>
      <c r="E42" s="95">
        <f>+SUMIFS('T 04.00'!$N:$N,'T 04.00'!$F:$F,"c002x   - Micro &amp; SME",'T 04.00'!$E:$E,"r0350 - Structured notes",'T 04.00'!AL:AL,4)+SUMIFS('T 04.00'!$O:$O,'T 04.00'!$F:$F,"c002x   - Micro &amp; SME",'T 04.00'!$E:$E,"r0350 - Structured notes",'T 04.00'!AL:AL,4)+SUMIFS('T 03.01'!$P:$P,'T 03.01'!$F:$F,"c002x   - Micro &amp; SME",'T 03.01'!$E:$E,"r0350 - Structured notes",'T 03.01'!$AC:$AC,4)+SUMIFS('T 03.01'!$Q:$Q,'T 03.01'!$F:$F,"c002x   - Micro &amp; SME",'T 03.01'!$E:$E,"r0350 - Structured notes",'T 03.01'!$AC:$AC,4)</f>
        <v>0</v>
      </c>
      <c r="F42" s="95">
        <f>+SUMIFS('T 04.00'!$N:$N,'T 04.00'!$F:$F,"c003x   - Corporates",'T 04.00'!$E:$E,"r0350 - Structured notes",'T 04.00'!AL:AL,4)+SUMIFS('T 04.00'!$O:$O,'T 04.00'!$F:$F,"c003x   - Corporates",'T 04.00'!$E:$E,"r0350 - Structured notes",'T 04.00'!AL:AL,4)+SUMIFS('T 03.01'!$P:$P,'T 03.01'!$F:$F,"c003x   - Corporates",'T 03.01'!$E:$E,"r0350 - Structured notes",'T 03.01'!$AC:$AC,4)+SUMIFS('T 03.01'!$Q:$Q,'T 03.01'!$F:$F,"c003x   - Corporates",'T 03.01'!$E:$E,"r0350 - Structured notes",'T 03.01'!$AC:$AC,4)</f>
        <v>0</v>
      </c>
      <c r="G42" s="95">
        <f>+SUMIFS('T 04.00'!$N:$N,'T 04.00'!$F:$F,"c004x   - Institutions",'T 04.00'!$E:$E,"r0350 - Structured notes",'T 04.00'!AL:AL,4)+SUMIFS('T 04.00'!$O:$O,'T 04.00'!$F:$F,"c004x   - Institutions",'T 04.00'!$E:$E,"r0350 - Structured notes",'T 04.00'!AL:AL,4)+SUMIFS('T 03.01'!$P:$P,'T 03.01'!$F:$F,"c004x   - Institutions",'T 03.01'!$E:$E,"r0350 - Structured notes",'T 03.01'!$AC:$AC,4)+SUMIFS('T 03.01'!$Q:$Q,'T 03.01'!$F:$F,"c004x   - Institutions",'T 03.01'!$E:$E,"r0350 - Structured notes",'T 03.01'!$AC:$AC,4)</f>
        <v>185491750</v>
      </c>
      <c r="H42" s="95">
        <f>+SUMIFS('T 04.00'!$N:$N,'T 04.00'!$F:$F,"c005x   - Other financial corporations",'T 04.00'!$E:$E,"r0350 - Structured notes",'T 04.00'!AL:AL,4)+SUMIFS('T 04.00'!$O:$O,'T 04.00'!$F:$F,"c005x   - Other financial corporations",'T 04.00'!$E:$E,"r0350 - Structured notes",'T 04.00'!AL:AL,4)+SUMIFS('T 03.01'!$P:$P,'T 03.01'!$F:$F,"c005x   - Other financial corporations",'T 03.01'!$E:$E,"r0350 - Structured notes",'T 03.01'!$AC:$AC,4)+SUMIFS('T 03.01'!$Q:$Q,'T 03.01'!$F:$F,"c005x   - Other financial corporations",'T 03.01'!$E:$E,"r0350 - Structured notes",'T 03.01'!$AC:$AC,4)+I42</f>
        <v>8395194.5134730004</v>
      </c>
      <c r="I42" s="95">
        <f>+SUMIFS('T 04.00'!$N:$N,'T 04.00'!$F:$F,"c006x   - Insurance firms &amp; pension funds",'T 04.00'!$E:$E,"r0350 - Structured notes",'T 04.00'!AL:AL,4)+SUMIFS('T 04.00'!$O:$O,'T 04.00'!$F:$F,"c006x   - Insurance firms &amp; pension funds",'T 04.00'!$E:$E,"r0350 - Structured notes",'T 04.00'!AL:AL,4)+SUMIFS('T 03.01'!$P:$P,'T 03.01'!$F:$F,"c006x   - Insurance firms &amp; pension funds",'T 03.01'!$E:$E,"r0350 - Structured notes",'T 03.01'!$AC:$AC,4)+SUMIFS('T 03.01'!$Q:$Q,'T 03.01'!$F:$F,"c006x   - Insurance firms &amp; pension funds",'T 03.01'!$E:$E,"r0350 - Structured notes",'T 03.01'!$AC:$AC,4)</f>
        <v>8395194.5134730004</v>
      </c>
      <c r="J42" s="95">
        <f>+SUMIFS('T 04.00'!$N:$N,'T 04.00'!$F:$F,"c008x   - Government, central banks &amp; supranationals",'T 04.00'!$E:$E,"r0350 - Structured notes",'T 04.00'!AL:AL,4)+SUMIFS('T 04.00'!$O:$O,'T 04.00'!$F:$F,"c008x   - Government, central banks &amp; supranationals",'T 04.00'!$E:$E,"r0350 - Structured notes",'T 04.00'!AL:AL,4)+SUMIFS('T 03.01'!$P:$P,'T 03.01'!$F:$F,"c008x   - Government, central banks &amp; supranationals",'T 03.01'!$E:$E,"r0350 - Structured notes",'T 03.01'!$AC:$AC,4)+SUMIFS('T 03.01'!$Q:$Q,'T 03.01'!$F:$F,"c008x   - Government, central banks &amp; supranationals",'T 03.01'!$E:$E,"r0350 - Structured notes",'T 03.01'!$AC:$AC,4)</f>
        <v>0</v>
      </c>
      <c r="K42" s="95">
        <v>0</v>
      </c>
      <c r="L42" s="95">
        <f>+SUMIFS('T 04.00'!$N:$N,'T 04.00'!$F:$F,"",'T 04.00'!$E:$E,"r0350 - Structured notes",'T 04.00'!AL:AL,4)+SUMIFS('T 04.00'!$O:$O,'T 04.00'!$F:$F,"",'T 04.00'!$E:$E,"r0350 - Structured notes",'T 04.00'!AL:AL,4)+SUMIFS('T 03.01'!$P:$P,'T 03.01'!$F:$F,"",'T 03.01'!$E:$E,"r0350 - Structured notes",'T 03.01'!$AC:$AC,4)+SUMIFS('T 03.01'!$Q:$Q,'T 03.01'!$F:$F,"",'T 03.01'!$E:$E,"r0350 - Structured notes",'T 03.01'!$AC:$AC,4)</f>
        <v>0</v>
      </c>
      <c r="M42" s="95">
        <f t="shared" si="1"/>
        <v>193886944.513473</v>
      </c>
      <c r="N42" s="95">
        <f>SUMIFS('T 03.01'!$P:$P,'T 03.01'!$E:$E,"r0350 - Structured notes",'T 03.01'!AC:AC,4)+SUMIFS('T 03.01'!$Q:$Q,'T 03.01'!$E:$E,"r0350 - Structured notes",'T 03.01'!AC:AC,4)</f>
        <v>8395194.5134730004</v>
      </c>
      <c r="O42" s="96">
        <v>0</v>
      </c>
      <c r="P42" s="113"/>
      <c r="Q42" s="114"/>
      <c r="R42" s="115"/>
      <c r="X42" s="112"/>
      <c r="AC42" s="106"/>
      <c r="AD42" s="97"/>
    </row>
    <row r="43" spans="1:32" outlineLevel="1" x14ac:dyDescent="0.25">
      <c r="A43" s="175"/>
      <c r="B43" s="99" t="s">
        <v>1827</v>
      </c>
      <c r="C43" s="92" t="s">
        <v>1828</v>
      </c>
      <c r="D43" s="100">
        <f>+SUM(D44:D47)</f>
        <v>0</v>
      </c>
      <c r="E43" s="95">
        <v>0</v>
      </c>
      <c r="F43" s="95">
        <v>0</v>
      </c>
      <c r="G43" s="95">
        <v>0</v>
      </c>
      <c r="H43" s="95">
        <v>0</v>
      </c>
      <c r="I43" s="95">
        <v>0</v>
      </c>
      <c r="J43" s="95">
        <v>0</v>
      </c>
      <c r="K43" s="95">
        <v>0</v>
      </c>
      <c r="L43" s="95">
        <v>0</v>
      </c>
      <c r="M43" s="95">
        <f t="shared" si="1"/>
        <v>0</v>
      </c>
      <c r="N43" s="95">
        <f>+SUM(N44:N47)</f>
        <v>0</v>
      </c>
      <c r="O43" s="96">
        <v>0</v>
      </c>
      <c r="P43" s="113"/>
      <c r="Q43" s="114"/>
      <c r="R43" s="115"/>
      <c r="T43" s="116"/>
      <c r="Y43" s="117"/>
      <c r="AB43" s="105"/>
      <c r="AD43" s="97"/>
    </row>
    <row r="44" spans="1:32" outlineLevel="2" x14ac:dyDescent="0.25">
      <c r="A44" s="175"/>
      <c r="B44" s="111" t="s">
        <v>1800</v>
      </c>
      <c r="C44" s="92" t="s">
        <v>1829</v>
      </c>
      <c r="D44" s="100">
        <v>0</v>
      </c>
      <c r="E44" s="95">
        <v>0</v>
      </c>
      <c r="F44" s="95">
        <v>0</v>
      </c>
      <c r="G44" s="95">
        <v>0</v>
      </c>
      <c r="H44" s="95">
        <v>0</v>
      </c>
      <c r="I44" s="95">
        <v>0</v>
      </c>
      <c r="J44" s="95">
        <v>0</v>
      </c>
      <c r="K44" s="95">
        <v>0</v>
      </c>
      <c r="L44" s="95">
        <v>0</v>
      </c>
      <c r="M44" s="95">
        <f t="shared" si="1"/>
        <v>0</v>
      </c>
      <c r="N44" s="95">
        <v>0</v>
      </c>
      <c r="O44" s="96">
        <v>0</v>
      </c>
      <c r="P44" s="113"/>
      <c r="Q44" s="114"/>
      <c r="R44" s="115"/>
      <c r="T44" s="116"/>
      <c r="X44" s="112"/>
      <c r="Y44" s="117"/>
      <c r="AB44" s="105"/>
      <c r="AD44" s="97"/>
      <c r="AE44" s="98"/>
    </row>
    <row r="45" spans="1:32" ht="30" outlineLevel="2" x14ac:dyDescent="0.25">
      <c r="A45" s="175"/>
      <c r="B45" s="111" t="s">
        <v>1802</v>
      </c>
      <c r="C45" s="92" t="s">
        <v>1830</v>
      </c>
      <c r="D45" s="100">
        <v>0</v>
      </c>
      <c r="E45" s="95">
        <v>0</v>
      </c>
      <c r="F45" s="95">
        <v>0</v>
      </c>
      <c r="G45" s="95">
        <v>0</v>
      </c>
      <c r="H45" s="95">
        <v>0</v>
      </c>
      <c r="I45" s="95">
        <v>0</v>
      </c>
      <c r="J45" s="95">
        <v>0</v>
      </c>
      <c r="K45" s="95">
        <v>0</v>
      </c>
      <c r="L45" s="95">
        <v>0</v>
      </c>
      <c r="M45" s="95">
        <f t="shared" si="1"/>
        <v>0</v>
      </c>
      <c r="N45" s="95">
        <v>0</v>
      </c>
      <c r="O45" s="96">
        <v>0</v>
      </c>
      <c r="P45" s="113"/>
      <c r="Q45" s="114"/>
      <c r="R45" s="115"/>
      <c r="T45" s="116"/>
      <c r="X45" s="112"/>
      <c r="Y45" s="117"/>
      <c r="AB45" s="105"/>
      <c r="AD45" s="97"/>
      <c r="AE45" s="98"/>
    </row>
    <row r="46" spans="1:32" ht="30" outlineLevel="2" x14ac:dyDescent="0.25">
      <c r="A46" s="175"/>
      <c r="B46" s="111" t="s">
        <v>1804</v>
      </c>
      <c r="C46" s="92" t="s">
        <v>1831</v>
      </c>
      <c r="D46" s="100">
        <v>0</v>
      </c>
      <c r="E46" s="95">
        <v>0</v>
      </c>
      <c r="F46" s="95">
        <v>0</v>
      </c>
      <c r="G46" s="95">
        <v>0</v>
      </c>
      <c r="H46" s="95">
        <v>0</v>
      </c>
      <c r="I46" s="95">
        <v>0</v>
      </c>
      <c r="J46" s="95">
        <v>0</v>
      </c>
      <c r="K46" s="95">
        <v>0</v>
      </c>
      <c r="L46" s="95">
        <v>0</v>
      </c>
      <c r="M46" s="95">
        <f t="shared" si="1"/>
        <v>0</v>
      </c>
      <c r="N46" s="95">
        <v>0</v>
      </c>
      <c r="O46" s="96">
        <v>0</v>
      </c>
      <c r="P46" s="113"/>
      <c r="Q46" s="114"/>
      <c r="R46" s="115"/>
      <c r="T46" s="116"/>
      <c r="X46" s="112"/>
      <c r="Y46" s="117"/>
      <c r="AB46" s="105"/>
      <c r="AD46" s="97"/>
    </row>
    <row r="47" spans="1:32" outlineLevel="2" x14ac:dyDescent="0.25">
      <c r="A47" s="175"/>
      <c r="B47" s="111" t="s">
        <v>1806</v>
      </c>
      <c r="C47" s="92" t="s">
        <v>1832</v>
      </c>
      <c r="D47" s="100">
        <v>0</v>
      </c>
      <c r="E47" s="95">
        <v>0</v>
      </c>
      <c r="F47" s="95">
        <v>0</v>
      </c>
      <c r="G47" s="95">
        <v>0</v>
      </c>
      <c r="H47" s="95">
        <v>0</v>
      </c>
      <c r="I47" s="95">
        <v>0</v>
      </c>
      <c r="J47" s="95">
        <v>0</v>
      </c>
      <c r="K47" s="95">
        <v>0</v>
      </c>
      <c r="L47" s="95">
        <v>0</v>
      </c>
      <c r="M47" s="95">
        <f t="shared" si="1"/>
        <v>0</v>
      </c>
      <c r="N47" s="95">
        <v>0</v>
      </c>
      <c r="O47" s="96">
        <v>0</v>
      </c>
      <c r="P47" s="113"/>
      <c r="Q47" s="114"/>
      <c r="R47" s="115"/>
      <c r="T47" s="116"/>
      <c r="X47" s="112"/>
      <c r="Y47" s="117"/>
      <c r="AB47" s="105"/>
      <c r="AD47" s="97"/>
    </row>
    <row r="48" spans="1:32" outlineLevel="1" x14ac:dyDescent="0.25">
      <c r="A48" s="175"/>
      <c r="B48" s="99" t="s">
        <v>1833</v>
      </c>
      <c r="C48" s="92" t="s">
        <v>1834</v>
      </c>
      <c r="D48" s="100">
        <f>+SUM(D49:D52)</f>
        <v>0</v>
      </c>
      <c r="E48" s="95">
        <v>0</v>
      </c>
      <c r="F48" s="95">
        <v>0</v>
      </c>
      <c r="G48" s="95">
        <v>0</v>
      </c>
      <c r="H48" s="95">
        <v>0</v>
      </c>
      <c r="I48" s="95">
        <v>0</v>
      </c>
      <c r="J48" s="95">
        <v>0</v>
      </c>
      <c r="K48" s="95">
        <v>0</v>
      </c>
      <c r="L48" s="95">
        <v>0</v>
      </c>
      <c r="M48" s="95">
        <f t="shared" si="1"/>
        <v>0</v>
      </c>
      <c r="N48" s="95">
        <v>0</v>
      </c>
      <c r="O48" s="96">
        <v>0</v>
      </c>
      <c r="P48" s="113"/>
      <c r="Q48" s="114"/>
      <c r="R48" s="115"/>
      <c r="T48" s="116"/>
      <c r="Y48" s="117"/>
      <c r="AB48" s="105"/>
      <c r="AD48" s="97"/>
    </row>
    <row r="49" spans="1:31" outlineLevel="2" x14ac:dyDescent="0.25">
      <c r="A49" s="175"/>
      <c r="B49" s="111" t="s">
        <v>1835</v>
      </c>
      <c r="C49" s="92" t="s">
        <v>1836</v>
      </c>
      <c r="D49" s="100">
        <v>0</v>
      </c>
      <c r="E49" s="95">
        <v>0</v>
      </c>
      <c r="F49" s="95">
        <v>0</v>
      </c>
      <c r="G49" s="95">
        <v>0</v>
      </c>
      <c r="H49" s="95">
        <v>0</v>
      </c>
      <c r="I49" s="95">
        <v>0</v>
      </c>
      <c r="J49" s="95">
        <v>0</v>
      </c>
      <c r="K49" s="95">
        <v>0</v>
      </c>
      <c r="L49" s="95">
        <v>0</v>
      </c>
      <c r="M49" s="95">
        <f t="shared" si="1"/>
        <v>0</v>
      </c>
      <c r="N49" s="95">
        <v>0</v>
      </c>
      <c r="O49" s="96">
        <v>0</v>
      </c>
      <c r="P49" s="113"/>
      <c r="Q49" s="114"/>
      <c r="R49" s="115"/>
      <c r="T49" s="116"/>
      <c r="X49" s="112"/>
      <c r="Y49" s="117"/>
      <c r="AB49" s="105"/>
      <c r="AD49" s="97"/>
      <c r="AE49" s="98"/>
    </row>
    <row r="50" spans="1:31" ht="30" outlineLevel="2" x14ac:dyDescent="0.25">
      <c r="A50" s="175"/>
      <c r="B50" s="111" t="s">
        <v>1837</v>
      </c>
      <c r="C50" s="92" t="s">
        <v>1838</v>
      </c>
      <c r="D50" s="100">
        <v>0</v>
      </c>
      <c r="E50" s="95">
        <v>0</v>
      </c>
      <c r="F50" s="95">
        <v>0</v>
      </c>
      <c r="G50" s="95">
        <v>0</v>
      </c>
      <c r="H50" s="95">
        <v>0</v>
      </c>
      <c r="I50" s="95">
        <v>0</v>
      </c>
      <c r="J50" s="95">
        <v>0</v>
      </c>
      <c r="K50" s="95">
        <v>0</v>
      </c>
      <c r="L50" s="95">
        <v>0</v>
      </c>
      <c r="M50" s="95">
        <f t="shared" si="1"/>
        <v>0</v>
      </c>
      <c r="N50" s="95">
        <v>0</v>
      </c>
      <c r="O50" s="96">
        <v>0</v>
      </c>
      <c r="P50" s="113"/>
      <c r="Q50" s="114"/>
      <c r="R50" s="115"/>
      <c r="T50" s="116"/>
      <c r="X50" s="112"/>
      <c r="Y50" s="117"/>
      <c r="AB50" s="105"/>
      <c r="AD50" s="97"/>
      <c r="AE50" s="98"/>
    </row>
    <row r="51" spans="1:31" ht="30" outlineLevel="2" x14ac:dyDescent="0.25">
      <c r="A51" s="175"/>
      <c r="B51" s="111" t="s">
        <v>1839</v>
      </c>
      <c r="C51" s="92" t="s">
        <v>1840</v>
      </c>
      <c r="D51" s="100">
        <v>0</v>
      </c>
      <c r="E51" s="95">
        <v>0</v>
      </c>
      <c r="F51" s="95">
        <v>0</v>
      </c>
      <c r="G51" s="95">
        <v>0</v>
      </c>
      <c r="H51" s="95">
        <v>0</v>
      </c>
      <c r="I51" s="95">
        <v>0</v>
      </c>
      <c r="J51" s="95">
        <v>0</v>
      </c>
      <c r="K51" s="95">
        <v>0</v>
      </c>
      <c r="L51" s="95">
        <v>0</v>
      </c>
      <c r="M51" s="95">
        <f t="shared" si="1"/>
        <v>0</v>
      </c>
      <c r="N51" s="95">
        <v>0</v>
      </c>
      <c r="O51" s="96">
        <v>0</v>
      </c>
      <c r="P51" s="113"/>
      <c r="Q51" s="114"/>
      <c r="R51" s="115"/>
      <c r="T51" s="116"/>
      <c r="X51" s="112"/>
      <c r="Y51" s="117"/>
      <c r="AB51" s="105"/>
      <c r="AD51" s="97"/>
    </row>
    <row r="52" spans="1:31" outlineLevel="2" x14ac:dyDescent="0.25">
      <c r="A52" s="175"/>
      <c r="B52" s="111" t="s">
        <v>1841</v>
      </c>
      <c r="C52" s="92" t="s">
        <v>1842</v>
      </c>
      <c r="D52" s="100">
        <v>0</v>
      </c>
      <c r="E52" s="95">
        <v>0</v>
      </c>
      <c r="F52" s="95">
        <v>0</v>
      </c>
      <c r="G52" s="95">
        <v>0</v>
      </c>
      <c r="H52" s="95">
        <v>0</v>
      </c>
      <c r="I52" s="95">
        <v>0</v>
      </c>
      <c r="J52" s="95">
        <v>0</v>
      </c>
      <c r="K52" s="95">
        <v>0</v>
      </c>
      <c r="L52" s="95">
        <v>0</v>
      </c>
      <c r="M52" s="95">
        <f t="shared" si="1"/>
        <v>0</v>
      </c>
      <c r="N52" s="95">
        <v>0</v>
      </c>
      <c r="O52" s="96">
        <v>0</v>
      </c>
      <c r="P52" s="113"/>
      <c r="Q52" s="114"/>
      <c r="R52" s="115"/>
      <c r="T52" s="116"/>
      <c r="X52" s="112"/>
      <c r="Y52" s="117"/>
      <c r="AB52" s="105"/>
      <c r="AD52" s="97"/>
    </row>
    <row r="53" spans="1:31" ht="30" outlineLevel="1" x14ac:dyDescent="0.25">
      <c r="A53" s="175"/>
      <c r="B53" s="99" t="s">
        <v>1843</v>
      </c>
      <c r="C53" s="92" t="s">
        <v>1844</v>
      </c>
      <c r="D53" s="100">
        <f>+SUM(D54:D57)</f>
        <v>0</v>
      </c>
      <c r="E53" s="95">
        <f t="shared" ref="E53:L53" si="7">+SUM(E54:E57)</f>
        <v>0</v>
      </c>
      <c r="F53" s="95">
        <f t="shared" si="7"/>
        <v>0</v>
      </c>
      <c r="G53" s="95">
        <f t="shared" si="7"/>
        <v>0</v>
      </c>
      <c r="H53" s="95">
        <f t="shared" si="7"/>
        <v>0</v>
      </c>
      <c r="I53" s="95">
        <f t="shared" si="7"/>
        <v>0</v>
      </c>
      <c r="J53" s="95">
        <f t="shared" si="7"/>
        <v>0</v>
      </c>
      <c r="K53" s="95">
        <f t="shared" si="7"/>
        <v>0</v>
      </c>
      <c r="L53" s="95">
        <f t="shared" si="7"/>
        <v>0</v>
      </c>
      <c r="M53" s="95">
        <f t="shared" si="1"/>
        <v>0</v>
      </c>
      <c r="N53" s="95">
        <f>+SUM(N54:N57)</f>
        <v>0</v>
      </c>
      <c r="O53" s="96">
        <v>0</v>
      </c>
      <c r="P53" s="113"/>
      <c r="Q53" s="114"/>
      <c r="R53" s="115"/>
      <c r="S53" s="118"/>
      <c r="Y53" s="117"/>
      <c r="AD53" s="97"/>
    </row>
    <row r="54" spans="1:31" outlineLevel="2" x14ac:dyDescent="0.25">
      <c r="A54" s="175"/>
      <c r="B54" s="111" t="s">
        <v>1800</v>
      </c>
      <c r="C54" s="92" t="s">
        <v>1845</v>
      </c>
      <c r="D54" s="100">
        <f>SUMIFS('T 03.01'!$P:$P,'T 03.01'!$F:$F,"c001x   - Households",'T 03.01'!$E:$E,"r0370 - Subordinated liabilities (not recognised as own funds)",'T 03.01'!$AC:$AC,1)+SUMIFS('T 03.01'!$Q:$Q,'T 03.01'!$F:$F,"c001x   - Households",'T 03.01'!$E:$E,"r0370 - Subordinated liabilities (not recognised as own funds)",'T 03.01'!$AC:$AC,1)</f>
        <v>0</v>
      </c>
      <c r="E54" s="95">
        <f>SUMIFS('T 03.01'!$P:$P,'T 03.01'!$F:$F,"c002x   - Micro &amp; SME",'T 03.01'!$E:$E,"r0370 - Subordinated liabilities (not recognised as own funds)",'T 03.01'!AC:AC,1)+SUMIFS('T 03.01'!$Q:$Q,'T 03.01'!$F:$F,"c002x   - Micro &amp; SME",'T 03.01'!$E:$E,"r0370 - Subordinated liabilities (not recognised as own funds)",'T 03.01'!AC:AC,1)</f>
        <v>0</v>
      </c>
      <c r="F54" s="95">
        <f>SUMIFS('T 03.01'!$P:$P,'T 03.01'!$F:$F,"c003x   - Corporates",'T 03.01'!$E:$E,"r0370 - Subordinated liabilities (not recognised as own funds)",'T 03.01'!AC:AC,1)+SUMIFS('T 03.01'!$Q:$Q,'T 03.01'!$F:$F,"c003x   - Corporates",'T 03.01'!$E:$E,"r0370 - Subordinated liabilities (not recognised as own funds)",'T 03.01'!AC:AC,1)</f>
        <v>0</v>
      </c>
      <c r="G54" s="95">
        <f>SUMIFS('T 03.01'!$P:$P,'T 03.01'!$F:$F,"c004x   - Institutions",'T 03.01'!$E:$E,"r0370 - Subordinated liabilities (not recognised as own funds)",'T 03.01'!AC:AC,1)+SUMIFS('T 03.01'!$Q:$Q,'T 03.01'!$F:$F,"c004x   - Institutions",'T 03.01'!$E:$E,"r0370 - Subordinated liabilities (not recognised as own funds)",'T 03.01'!AC:AC,1)</f>
        <v>0</v>
      </c>
      <c r="H54" s="95">
        <f>SUMIFS('T 03.01'!$P:$P,'T 03.01'!$F:$F,"c005x   - Other financial corporations",'T 03.01'!$E:$E,"r0370 - Subordinated liabilities (not recognised as own funds)",'T 03.01'!AC:AC,1)+SUMIFS('T 03.01'!$Q:$Q,'T 03.01'!$F:$F,"c005x   - Other financial corporations",'T 03.01'!$E:$E,"r0370 - Subordinated liabilities (not recognised as own funds)",'T 03.01'!AC:AC,1)</f>
        <v>0</v>
      </c>
      <c r="I54" s="95">
        <f>SUMIFS('T 03.01'!$P:$P,'T 03.01'!$F:$F,"c006x   - Insurance firms &amp; pension funds",'T 03.01'!$E:$E,"r0370 - Subordinated liabilities (not recognised as own funds)",'T 03.01'!AC:AC,1)+SUMIFS('T 03.01'!$Q:$Q,'T 03.01'!$F:$F,"c006x   - Insurance firms &amp; pension funds",'T 03.01'!$E:$E,"r0370 - Subordinated liabilities (not recognised as own funds)",'T 03.01'!AC:AC,1)</f>
        <v>0</v>
      </c>
      <c r="J54" s="95">
        <f>SUMIFS('T 03.01'!$P:$P,'T 03.01'!$F:$F,"c008x   - Government, central banks &amp; supranationals",'T 03.01'!$E:$E,"r0370 - Subordinated liabilities (not recognised as own funds)",'T 03.01'!AC:AC,1)+SUMIFS('T 03.01'!$Q:$Q,'T 03.01'!$F:$F,"c008x   - Government, central banks &amp; supranationals",'T 03.01'!$E:$E,"r0370 - Subordinated liabilities (not recognised as own funds)",'T 03.01'!AC:AC,1)</f>
        <v>0</v>
      </c>
      <c r="K54" s="95">
        <v>0</v>
      </c>
      <c r="L54" s="95">
        <f>SUMIFS('T 03.01'!$P:$P,'T 03.01'!$F:$F,"",'T 03.01'!$E:$E,"r0370 - Subordinated liabilities (not recognised as own funds)",'T 03.01'!AC:AC,1)+SUMIFS('T 03.01'!$Q:$Q,'T 03.01'!$F:$F,"",'T 03.01'!$E:$E,"r0370 - Subordinated liabilities (not recognised as own funds)",'T 03.01'!AC:AC,1)</f>
        <v>0</v>
      </c>
      <c r="M54" s="95">
        <f t="shared" si="1"/>
        <v>0</v>
      </c>
      <c r="N54" s="95">
        <f>SUMIFS('T 03.01'!$P:$P,'T 03.01'!$E:$E,"r0370 - Subordinated liabilities (not recognised as own funds)",'T 03.01'!AC:AC,1)+SUMIFS('T 03.01'!$Q:$Q,'T 03.01'!$E:$E,"r0370 - Subordinated liabilities (not recognised as own funds)",'T 03.01'!AC:AC,1)</f>
        <v>0</v>
      </c>
      <c r="O54" s="96">
        <v>0</v>
      </c>
      <c r="P54" s="113"/>
      <c r="Q54" s="114"/>
      <c r="R54" s="115"/>
      <c r="S54" s="118"/>
      <c r="X54" s="112"/>
      <c r="Y54" s="117"/>
      <c r="AD54" s="97"/>
      <c r="AE54" s="98"/>
    </row>
    <row r="55" spans="1:31" ht="30" outlineLevel="2" x14ac:dyDescent="0.25">
      <c r="A55" s="175"/>
      <c r="B55" s="111" t="s">
        <v>1802</v>
      </c>
      <c r="C55" s="92" t="s">
        <v>1846</v>
      </c>
      <c r="D55" s="100">
        <f>SUMIFS('T 03.01'!$P:$P,'T 03.01'!$F:$F,"c001x   - Households",'T 03.01'!$E:$E,"r0370 - Subordinated liabilities (not recognised as own funds)",'T 03.01'!$AC:$AC,2)+SUMIFS('T 03.01'!$Q:$Q,'T 03.01'!$F:$F,"c001x   - Households",'T 03.01'!$E:$E,"r0370 - Subordinated liabilities (not recognised as own funds)",'T 03.01'!$AC:$AC,2)</f>
        <v>0</v>
      </c>
      <c r="E55" s="95">
        <f>SUMIFS('T 03.01'!$P:$P,'T 03.01'!$F:$F,"c002x   - Micro &amp; SME",'T 03.01'!$E:$E,"r0370 - Subordinated liabilities (not recognised as own funds)",'T 03.01'!AC:AC,2)+SUMIFS('T 03.01'!$Q:$Q,'T 03.01'!$F:$F,"c002x   - Micro &amp; SME",'T 03.01'!$E:$E,"r0370 - Subordinated liabilities (not recognised as own funds)",'T 03.01'!AC:AC,2)</f>
        <v>0</v>
      </c>
      <c r="F55" s="95">
        <f>SUMIFS('T 03.01'!$P:$P,'T 03.01'!$F:$F,"c003x   - Corporates",'T 03.01'!$E:$E,"r0370 - Subordinated liabilities (not recognised as own funds)",'T 03.01'!AC:AC,2)+SUMIFS('T 03.01'!$Q:$Q,'T 03.01'!$F:$F,"c003x   - Corporates",'T 03.01'!$E:$E,"r0370 - Subordinated liabilities (not recognised as own funds)",'T 03.01'!AC:AC,2)</f>
        <v>0</v>
      </c>
      <c r="G55" s="95">
        <f>SUMIFS('T 03.01'!$P:$P,'T 03.01'!$F:$F,"c004x   - Institutions",'T 03.01'!$E:$E,"r0370 - Subordinated liabilities (not recognised as own funds)",'T 03.01'!AC:AC,2)+SUMIFS('T 03.01'!$Q:$Q,'T 03.01'!$F:$F,"c004x   - Institutions",'T 03.01'!$E:$E,"r0370 - Subordinated liabilities (not recognised as own funds)",'T 03.01'!AC:AC,2)</f>
        <v>0</v>
      </c>
      <c r="H55" s="95">
        <f>SUMIFS('T 03.01'!$P:$P,'T 03.01'!$F:$F,"c005x   - Other financial corporations",'T 03.01'!$E:$E,"r0370 - Subordinated liabilities (not recognised as own funds)",'T 03.01'!AC:AC,2)+SUMIFS('T 03.01'!$Q:$Q,'T 03.01'!$F:$F,"c005x   - Other financial corporations",'T 03.01'!$E:$E,"r0370 - Subordinated liabilities (not recognised as own funds)",'T 03.01'!AC:AC,2)</f>
        <v>0</v>
      </c>
      <c r="I55" s="95">
        <f>SUMIFS('T 03.01'!$P:$P,'T 03.01'!$F:$F,"c006x   - Insurance firms &amp; pension funds",'T 03.01'!$E:$E,"r0370 - Subordinated liabilities (not recognised as own funds)",'T 03.01'!AC:AC,2)+SUMIFS('T 03.01'!$Q:$Q,'T 03.01'!$F:$F,"c006x   - Insurance firms &amp; pension funds",'T 03.01'!$E:$E,"r0370 - Subordinated liabilities (not recognised as own funds)",'T 03.01'!AC:AC,2)</f>
        <v>0</v>
      </c>
      <c r="J55" s="95">
        <f>SUMIFS('T 03.01'!$P:$P,'T 03.01'!$F:$F,"c008x   - Government, central banks &amp; supranationals",'T 03.01'!$E:$E,"r0370 - Subordinated liabilities (not recognised as own funds)",'T 03.01'!AC:AC,2)+SUMIFS('T 03.01'!$Q:$Q,'T 03.01'!$F:$F,"c008x   - Government, central banks &amp; supranationals",'T 03.01'!$E:$E,"r0370 - Subordinated liabilities (not recognised as own funds)",'T 03.01'!AC:AC,2)</f>
        <v>0</v>
      </c>
      <c r="K55" s="95">
        <v>0</v>
      </c>
      <c r="L55" s="95">
        <f>SUMIFS('T 03.01'!$P:$P,'T 03.01'!$F:$F,"",'T 03.01'!$E:$E,"r0370 - Subordinated liabilities (not recognised as own funds)",'T 03.01'!AC:AC,2)+SUMIFS('T 03.01'!$Q:$Q,'T 03.01'!$F:$F,"",'T 03.01'!$E:$E,"r0370 - Subordinated liabilities (not recognised as own funds)",'T 03.01'!AC:AC,2)</f>
        <v>0</v>
      </c>
      <c r="M55" s="95">
        <f t="shared" si="1"/>
        <v>0</v>
      </c>
      <c r="N55" s="95">
        <f>SUMIFS('T 03.01'!$P:$P,'T 03.01'!$E:$E,"r0370 - Subordinated liabilities (not recognised as own funds)",'T 03.01'!AC:AC,2)+SUMIFS('T 03.01'!$Q:$Q,'T 03.01'!$E:$E,"r0370 - Subordinated liabilities (not recognised as own funds)",'T 03.01'!AC:AC,2)</f>
        <v>0</v>
      </c>
      <c r="O55" s="96">
        <v>0</v>
      </c>
      <c r="P55" s="113"/>
      <c r="Q55" s="114"/>
      <c r="R55" s="115"/>
      <c r="S55" s="118"/>
      <c r="X55" s="112"/>
      <c r="Y55" s="117"/>
      <c r="AD55" s="97"/>
      <c r="AE55" s="98"/>
    </row>
    <row r="56" spans="1:31" ht="30" outlineLevel="2" x14ac:dyDescent="0.25">
      <c r="A56" s="175"/>
      <c r="B56" s="111" t="s">
        <v>1804</v>
      </c>
      <c r="C56" s="92" t="s">
        <v>1847</v>
      </c>
      <c r="D56" s="100">
        <f>SUMIFS('T 03.01'!$P:$P,'T 03.01'!$F:$F,"c001x   - Households",'T 03.01'!$E:$E,"r0370 - Subordinated liabilities (not recognised as own funds)",'T 03.01'!$AC:$AC,3)+SUMIFS('T 03.01'!$Q:$Q,'T 03.01'!$F:$F,"c001x   - Households",'T 03.01'!$E:$E,"r0370 - Subordinated liabilities (not recognised as own funds)",'T 03.01'!$AC:$AC,3)</f>
        <v>0</v>
      </c>
      <c r="E56" s="95">
        <f>SUMIFS('T 03.01'!$P:$P,'T 03.01'!$F:$F,"c002x   - Micro &amp; SME",'T 03.01'!$E:$E,"r0370 - Subordinated liabilities (not recognised as own funds)",'T 03.01'!AC:AC,3)+SUMIFS('T 03.01'!$Q:$Q,'T 03.01'!$F:$F,"c002x   - Micro &amp; SME",'T 03.01'!$E:$E,"r0370 - Subordinated liabilities (not recognised as own funds)",'T 03.01'!AC:AC,3)</f>
        <v>0</v>
      </c>
      <c r="F56" s="95">
        <f>SUMIFS('T 03.01'!$P:$P,'T 03.01'!$F:$F,"c003x   - Corporates",'T 03.01'!$E:$E,"r0370 - Subordinated liabilities (not recognised as own funds)",'T 03.01'!AC:AC,3)+SUMIFS('T 03.01'!$Q:$Q,'T 03.01'!$F:$F,"c003x   - Corporates",'T 03.01'!$E:$E,"r0370 - Subordinated liabilities (not recognised as own funds)",'T 03.01'!AC:AC,3)</f>
        <v>0</v>
      </c>
      <c r="G56" s="95">
        <f>SUMIFS('T 03.01'!$P:$P,'T 03.01'!$F:$F,"c004x   - Institutions",'T 03.01'!$E:$E,"r0370 - Subordinated liabilities (not recognised as own funds)",'T 03.01'!AC:AC,3)+SUMIFS('T 03.01'!$Q:$Q,'T 03.01'!$F:$F,"c004x   - Institutions",'T 03.01'!$E:$E,"r0370 - Subordinated liabilities (not recognised as own funds)",'T 03.01'!AC:AC,3)</f>
        <v>0</v>
      </c>
      <c r="H56" s="95">
        <f>SUMIFS('T 03.01'!$P:$P,'T 03.01'!$F:$F,"c005x   - Other financial corporations",'T 03.01'!$E:$E,"r0370 - Subordinated liabilities (not recognised as own funds)",'T 03.01'!AC:AC,3)+SUMIFS('T 03.01'!$Q:$Q,'T 03.01'!$F:$F,"c005x   - Other financial corporations",'T 03.01'!$E:$E,"r0370 - Subordinated liabilities (not recognised as own funds)",'T 03.01'!AC:AC,3)</f>
        <v>0</v>
      </c>
      <c r="I56" s="95">
        <f>SUMIFS('T 03.01'!$P:$P,'T 03.01'!$F:$F,"c006x   - Insurance firms &amp; pension funds",'T 03.01'!$E:$E,"r0370 - Subordinated liabilities (not recognised as own funds)",'T 03.01'!AC:AC,3)+SUMIFS('T 03.01'!$Q:$Q,'T 03.01'!$F:$F,"c006x   - Insurance firms &amp; pension funds",'T 03.01'!$E:$E,"r0370 - Subordinated liabilities (not recognised as own funds)",'T 03.01'!AC:AC,3)</f>
        <v>0</v>
      </c>
      <c r="J56" s="95">
        <f>SUMIFS('T 03.01'!$P:$P,'T 03.01'!$F:$F,"c008x   - Government, central banks &amp; supranationals",'T 03.01'!$E:$E,"r0370 - Subordinated liabilities (not recognised as own funds)",'T 03.01'!AC:AC,3)+SUMIFS('T 03.01'!$Q:$Q,'T 03.01'!$F:$F,"c008x   - Government, central banks &amp; supranationals",'T 03.01'!$E:$E,"r0370 - Subordinated liabilities (not recognised as own funds)",'T 03.01'!AC:AC,3)</f>
        <v>0</v>
      </c>
      <c r="K56" s="95">
        <v>0</v>
      </c>
      <c r="L56" s="95">
        <f>SUMIFS('T 03.01'!$P:$P,'T 03.01'!$F:$F,"",'T 03.01'!$E:$E,"r0370 - Subordinated liabilities (not recognised as own funds)",'T 03.01'!AC:AC,3)+SUMIFS('T 03.01'!$Q:$Q,'T 03.01'!$F:$F,"",'T 03.01'!$E:$E,"r0370 - Subordinated liabilities (not recognised as own funds)",'T 03.01'!AC:AC,3)</f>
        <v>0</v>
      </c>
      <c r="M56" s="95">
        <f t="shared" si="1"/>
        <v>0</v>
      </c>
      <c r="N56" s="95">
        <f>SUMIFS('T 03.01'!$P:$P,'T 03.01'!$E:$E,"r0370 - Subordinated liabilities (not recognised as own funds)",'T 03.01'!AC:AC,3)+SUMIFS('T 03.01'!$Q:$Q,'T 03.01'!$E:$E,"r0370 - Subordinated liabilities (not recognised as own funds)",'T 03.01'!AC:AC,3)</f>
        <v>0</v>
      </c>
      <c r="O56" s="96">
        <v>0</v>
      </c>
      <c r="P56" s="113"/>
      <c r="Q56" s="114"/>
      <c r="R56" s="115"/>
      <c r="S56" s="118"/>
      <c r="X56" s="112"/>
      <c r="Y56" s="117"/>
      <c r="AD56" s="97"/>
    </row>
    <row r="57" spans="1:31" outlineLevel="2" x14ac:dyDescent="0.25">
      <c r="A57" s="175"/>
      <c r="B57" s="111" t="s">
        <v>1806</v>
      </c>
      <c r="C57" s="92" t="s">
        <v>1848</v>
      </c>
      <c r="D57" s="100">
        <f>SUMIFS('T 03.01'!$P:$P,'T 03.01'!$F:$F,"c001x   - Households",'T 03.01'!$E:$E,"r0370 - Subordinated liabilities (not recognised as own funds)",'T 03.01'!$AC:$AC,4)+SUMIFS('T 03.01'!$Q:$Q,'T 03.01'!$F:$F,"c001x   - Households",'T 03.01'!$E:$E,"r0370 - Subordinated liabilities (not recognised as own funds)",'T 03.01'!$AC:$AC,4)</f>
        <v>0</v>
      </c>
      <c r="E57" s="95">
        <f>SUMIFS('T 03.01'!$P:$P,'T 03.01'!$F:$F,"c002x   - Micro &amp; SME",'T 03.01'!$E:$E,"r0370 - Subordinated liabilities (not recognised as own funds)",'T 03.01'!AC:AC,4)+SUMIFS('T 03.01'!$Q:$Q,'T 03.01'!$F:$F,"c002x   - Micro &amp; SME",'T 03.01'!$E:$E,"r0370 - Subordinated liabilities (not recognised as own funds)",'T 03.01'!AC:AC,4)</f>
        <v>0</v>
      </c>
      <c r="F57" s="95">
        <f>SUMIFS('T 03.01'!$P:$P,'T 03.01'!$F:$F,"c003x   - Corporates",'T 03.01'!$E:$E,"r0370 - Subordinated liabilities (not recognised as own funds)",'T 03.01'!AC:AC,4)+SUMIFS('T 03.01'!$Q:$Q,'T 03.01'!$F:$F,"c003x   - Corporates",'T 03.01'!$E:$E,"r0370 - Subordinated liabilities (not recognised as own funds)",'T 03.01'!AC:AC,4)</f>
        <v>0</v>
      </c>
      <c r="G57" s="95">
        <f>SUMIFS('T 03.01'!$P:$P,'T 03.01'!$F:$F,"c004x   - Institutions",'T 03.01'!$E:$E,"r0370 - Subordinated liabilities (not recognised as own funds)",'T 03.01'!AC:AC,4)+SUMIFS('T 03.01'!$Q:$Q,'T 03.01'!$F:$F,"c004x   - Institutions",'T 03.01'!$E:$E,"r0370 - Subordinated liabilities (not recognised as own funds)",'T 03.01'!AC:AC,4)</f>
        <v>0</v>
      </c>
      <c r="H57" s="95">
        <f>SUMIFS('T 03.01'!$P:$P,'T 03.01'!$F:$F,"c005x   - Other financial corporations",'T 03.01'!$E:$E,"r0370 - Subordinated liabilities (not recognised as own funds)",'T 03.01'!AC:AC,4)+SUMIFS('T 03.01'!$Q:$Q,'T 03.01'!$F:$F,"c005x   - Other financial corporations",'T 03.01'!$E:$E,"r0370 - Subordinated liabilities (not recognised as own funds)",'T 03.01'!AC:AC,4)</f>
        <v>0</v>
      </c>
      <c r="I57" s="95">
        <f>SUMIFS('T 03.01'!$P:$P,'T 03.01'!$F:$F,"c006x   - Insurance firms &amp; pension funds",'T 03.01'!$E:$E,"r0370 - Subordinated liabilities (not recognised as own funds)",'T 03.01'!AC:AC,4)+SUMIFS('T 03.01'!$Q:$Q,'T 03.01'!$F:$F,"c006x   - Insurance firms &amp; pension funds",'T 03.01'!$E:$E,"r0370 - Subordinated liabilities (not recognised as own funds)",'T 03.01'!AC:AC,4)</f>
        <v>0</v>
      </c>
      <c r="J57" s="95">
        <f>SUMIFS('T 03.01'!$P:$P,'T 03.01'!$F:$F,"c008x   - Government, central banks &amp; supranationals",'T 03.01'!$E:$E,"r0370 - Subordinated liabilities (not recognised as own funds)",'T 03.01'!AC:AC,4)+SUMIFS('T 03.01'!$Q:$Q,'T 03.01'!$F:$F,"c008x   - Government, central banks &amp; supranationals",'T 03.01'!$E:$E,"r0370 - Subordinated liabilities (not recognised as own funds)",'T 03.01'!AC:AC,4)</f>
        <v>0</v>
      </c>
      <c r="K57" s="95">
        <v>0</v>
      </c>
      <c r="L57" s="95">
        <f>SUMIFS('T 03.01'!$P:$P,'T 03.01'!$F:$F,"",'T 03.01'!$E:$E,"r0370 - Subordinated liabilities (not recognised as own funds)",'T 03.01'!AC:AC,4)+SUMIFS('T 03.01'!$Q:$Q,'T 03.01'!$F:$F,"",'T 03.01'!$E:$E,"r0370 - Subordinated liabilities (not recognised as own funds)",'T 03.01'!AC:AC,4)</f>
        <v>0</v>
      </c>
      <c r="M57" s="95">
        <f t="shared" si="1"/>
        <v>0</v>
      </c>
      <c r="N57" s="95">
        <f>SUMIFS('T 03.01'!$P:$P,'T 03.01'!$E:$E,"r0370 - Subordinated liabilities (not recognised as own funds)",'T 03.01'!AC:AC,4)+SUMIFS('T 03.01'!$Q:$Q,'T 03.01'!$E:$E,"r0370 - Subordinated liabilities (not recognised as own funds)",'T 03.01'!AC:AC,4)</f>
        <v>0</v>
      </c>
      <c r="O57" s="96">
        <v>0</v>
      </c>
      <c r="P57" s="113"/>
      <c r="Q57" s="114"/>
      <c r="R57" s="115"/>
      <c r="S57" s="118"/>
      <c r="X57" s="112"/>
      <c r="Y57" s="117"/>
      <c r="AD57" s="97"/>
    </row>
    <row r="58" spans="1:31" outlineLevel="1" x14ac:dyDescent="0.25">
      <c r="A58" s="175"/>
      <c r="B58" s="99" t="s">
        <v>1849</v>
      </c>
      <c r="C58" s="92" t="s">
        <v>1850</v>
      </c>
      <c r="D58" s="100">
        <v>0</v>
      </c>
      <c r="E58" s="95">
        <v>0</v>
      </c>
      <c r="F58" s="95">
        <v>0</v>
      </c>
      <c r="G58" s="95">
        <v>0</v>
      </c>
      <c r="H58" s="95">
        <v>0</v>
      </c>
      <c r="I58" s="95">
        <v>0</v>
      </c>
      <c r="J58" s="95">
        <v>0</v>
      </c>
      <c r="K58" s="95">
        <v>0</v>
      </c>
      <c r="L58" s="95">
        <v>0</v>
      </c>
      <c r="M58" s="95">
        <f t="shared" si="1"/>
        <v>0</v>
      </c>
      <c r="N58" s="95">
        <v>0</v>
      </c>
      <c r="O58" s="96">
        <v>0</v>
      </c>
      <c r="P58" s="113"/>
      <c r="Q58" s="114"/>
      <c r="AD58" s="97"/>
      <c r="AE58" s="98"/>
    </row>
    <row r="59" spans="1:31" ht="30" outlineLevel="2" x14ac:dyDescent="0.25">
      <c r="A59" s="175"/>
      <c r="B59" s="111" t="s">
        <v>1804</v>
      </c>
      <c r="C59" s="92" t="s">
        <v>1851</v>
      </c>
      <c r="D59" s="100">
        <v>0</v>
      </c>
      <c r="E59" s="95">
        <v>0</v>
      </c>
      <c r="F59" s="95">
        <v>0</v>
      </c>
      <c r="G59" s="95">
        <v>0</v>
      </c>
      <c r="H59" s="95">
        <v>0</v>
      </c>
      <c r="I59" s="95">
        <v>0</v>
      </c>
      <c r="J59" s="95">
        <v>0</v>
      </c>
      <c r="K59" s="95">
        <v>0</v>
      </c>
      <c r="L59" s="95">
        <v>0</v>
      </c>
      <c r="M59" s="95">
        <f t="shared" si="1"/>
        <v>0</v>
      </c>
      <c r="N59" s="95">
        <v>0</v>
      </c>
      <c r="O59" s="96">
        <v>0</v>
      </c>
      <c r="P59" s="113"/>
      <c r="Q59" s="114"/>
      <c r="X59" s="112"/>
      <c r="AD59" s="97"/>
      <c r="AE59" s="98"/>
    </row>
    <row r="60" spans="1:31" outlineLevel="2" x14ac:dyDescent="0.25">
      <c r="A60" s="175"/>
      <c r="B60" s="111" t="s">
        <v>1806</v>
      </c>
      <c r="C60" s="92" t="s">
        <v>1852</v>
      </c>
      <c r="D60" s="100">
        <v>0</v>
      </c>
      <c r="E60" s="95">
        <v>0</v>
      </c>
      <c r="F60" s="95">
        <v>0</v>
      </c>
      <c r="G60" s="95">
        <v>0</v>
      </c>
      <c r="H60" s="95">
        <v>0</v>
      </c>
      <c r="I60" s="95">
        <v>0</v>
      </c>
      <c r="J60" s="95">
        <v>0</v>
      </c>
      <c r="K60" s="95">
        <v>0</v>
      </c>
      <c r="L60" s="95">
        <v>0</v>
      </c>
      <c r="M60" s="95">
        <f t="shared" si="1"/>
        <v>0</v>
      </c>
      <c r="N60" s="95">
        <v>0</v>
      </c>
      <c r="O60" s="96">
        <v>0</v>
      </c>
      <c r="P60" s="113"/>
      <c r="Q60" s="114"/>
      <c r="X60" s="112"/>
      <c r="AD60" s="97"/>
      <c r="AE60" s="98"/>
    </row>
    <row r="61" spans="1:31" outlineLevel="1" x14ac:dyDescent="0.25">
      <c r="A61" s="175"/>
      <c r="B61" s="99" t="s">
        <v>1853</v>
      </c>
      <c r="C61" s="92" t="s">
        <v>1854</v>
      </c>
      <c r="D61" s="100">
        <f>+SUMIFS('T 09.00'!$M:$M,'T 09.00'!$E:$E,"r0390 - Non-financial liabilities",'T 09.00'!$F:$F,"c001x   - Households")+SUMIFS('T 03.01'!P:P,'T 03.01'!E:E,"r0390 - Non-financial liabilities",'T 03.01'!$F:$F,"c001x   - Households")+SUMIFS('T 03.01'!Q:Q,'T 03.01'!E:E,"r0390 - Non-financial liabilities",'T 03.01'!$F:$F,"c001x   - Households")</f>
        <v>64496913.040193424</v>
      </c>
      <c r="E61" s="95">
        <f>+SUMIFS('T 09.00'!$M:$M,'T 09.00'!$E:$E,"r0390 - Non-financial liabilities",'T 09.00'!$F:$F,"c002x   - Micro &amp; SME")+SUMIFS('T 03.01'!P:P,'T 03.01'!E:E,"r0390 - Non-financial liabilities",'T 03.01'!$F:$F,"c002x   - Micro &amp; SME")+SUMIFS('T 03.01'!Q:Q,'T 03.01'!E:E,"r0390 - Non-financial liabilities",'T 03.01'!$F:$F,"c002x   - Micro &amp; SME")</f>
        <v>39226891.270002797</v>
      </c>
      <c r="F61" s="95">
        <f>+SUMIFS('T 09.00'!$M:$M,'T 09.00'!$E:$E,"r0390 - Non-financial liabilities",'T 09.00'!$F:$F,"c003x   - Corporates")+SUMIFS('T 03.01'!P:P,'T 03.01'!E:E,"r0390 - Non-financial liabilities",'T 03.01'!$F:$F,"c003x   - Corporates")+SUMIFS('T 03.01'!Q:Q,'T 03.01'!E:E,"r0390 - Non-financial liabilities",'T 03.01'!$F:$F,"c003x   - Corporates")</f>
        <v>65441063.530004196</v>
      </c>
      <c r="G61" s="95">
        <f>+SUMIFS('T 09.00'!$M:$M,'T 09.00'!$E:$E,"r0390 - Non-financial liabilities",'T 09.00'!$F:$F,"c004x   - Institutions")+SUMIFS('T 03.01'!P:P,'T 03.01'!E:E,"r0390 - Non-financial liabilities",'T 03.01'!$F:$F,"c004x   - Institutions")+SUMIFS('T 03.01'!Q:Q,'T 03.01'!E:E,"r0390 - Non-financial liabilities",'T 03.01'!$F:$F,"c004x   - Institutions")</f>
        <v>20574580.760000017</v>
      </c>
      <c r="H61" s="95">
        <f>+SUMIFS('T 09.00'!$M:$M,'T 09.00'!$E:$E,"r0390 - Non-financial liabilities",'T 09.00'!$F:$F,"c005x   - Other financial corporations")+I61+SUMIFS('T 03.01'!P:P,'T 03.01'!E:E,"r0390 - Non-financial liabilities",'T 03.01'!$F:$F,"c005x   - Other financial corporations")+SUMIFS('T 03.01'!Q:Q,'T 03.01'!E:E,"r0390 - Non-financial liabilities",'T 03.01'!$F:$F,"c005x   - Other financial corporations")</f>
        <v>48135526.683875002</v>
      </c>
      <c r="I61" s="95">
        <f>+SUMIFS('T 09.00'!$M:$M,'T 09.00'!$E:$E,"r0390 - Non-financial liabilities",'T 09.00'!$F:$F,"c006x   - Insurance firms &amp; pension funds")+SUMIFS('T 03.01'!P:P,'T 03.01'!E:E,"r0390 - Non-financial liabilities",'T 03.01'!$F:$F,"c006x   - Insurance firms &amp; pension funds")+SUMIFS('T 03.01'!Q:Q,'T 03.01'!E:E,"r0390 - Non-financial liabilities",'T 03.01'!$F:$F,"c006x   - Insurance firms &amp; pension funds")</f>
        <v>4534786.2194240009</v>
      </c>
      <c r="J61" s="95">
        <f>+SUMIFS('T 09.00'!$M:$M,'T 09.00'!$E:$E,"r0390 - Non-financial liabilities",'T 09.00'!$F:$F,"c008x   - Government, central banks &amp; supranationals")+SUMIFS('T 03.01'!P:P,'T 03.01'!E:E,"r0390 - Non-financial liabilities",'T 03.01'!$F:$F,"c008x   - Government, central banks &amp; supranationals")+SUMIFS('T 03.01'!Q:Q,'T 03.01'!E:E,"r0390 - Non-financial liabilities",'T 03.01'!$F:$F,"c008x   - Government, central banks &amp; supranationals")</f>
        <v>21255981.829999801</v>
      </c>
      <c r="K61" s="95">
        <v>0</v>
      </c>
      <c r="L61" s="95">
        <f>+SUMIFS('T 09.00'!$M:$M,'T 09.00'!$E:$E,"r0390 - Non-financial liabilities",'T 09.00'!$F:$F,"c010x   - Non-identified, not listed on an exchange platform")+SUMIFS('T 03.01'!P:P,'T 03.01'!E:E,"r0390 - Non-financial liabilities",'T 03.01'!$F:$F,"")+SUMIFS('T 03.01'!Q:Q,'T 03.01'!E:E,"r0390 - Non-financial liabilities",'T 03.01'!$F:$F,"")</f>
        <v>313304735.95491922</v>
      </c>
      <c r="M61" s="95">
        <f t="shared" si="1"/>
        <v>572435693.06899452</v>
      </c>
      <c r="N61" s="95">
        <f>+SUMIF('T 03.01'!E:E,"r0390 - Non-financial liabilities",'T 03.01'!P:P)+SUMIF('T 03.01'!E:E,"r0390 - Non-financial liabilities",'T 03.01'!Q:Q)</f>
        <v>49987448.117600903</v>
      </c>
      <c r="O61" s="96">
        <v>0</v>
      </c>
      <c r="P61" s="113"/>
      <c r="Q61" s="114"/>
      <c r="R61" s="115"/>
      <c r="U61" s="104"/>
      <c r="AD61" s="97"/>
    </row>
    <row r="62" spans="1:31" outlineLevel="1" x14ac:dyDescent="0.25">
      <c r="A62" s="175"/>
      <c r="B62" s="99" t="s">
        <v>1855</v>
      </c>
      <c r="C62" s="92" t="s">
        <v>1856</v>
      </c>
      <c r="D62" s="100">
        <v>0</v>
      </c>
      <c r="E62" s="95">
        <v>0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  <c r="L62" s="95">
        <v>0</v>
      </c>
      <c r="M62" s="95">
        <f t="shared" si="1"/>
        <v>0</v>
      </c>
      <c r="N62" s="95">
        <v>0</v>
      </c>
      <c r="O62" s="96">
        <v>0</v>
      </c>
      <c r="P62" s="113"/>
      <c r="Q62" s="114"/>
      <c r="R62" s="115"/>
      <c r="S62" s="118"/>
      <c r="AD62" s="97"/>
      <c r="AE62" s="98"/>
    </row>
    <row r="63" spans="1:31" x14ac:dyDescent="0.25">
      <c r="A63" s="175"/>
      <c r="B63" s="194" t="s">
        <v>1857</v>
      </c>
      <c r="C63" s="194"/>
      <c r="D63" s="195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7"/>
      <c r="P63" s="113"/>
    </row>
    <row r="64" spans="1:31" outlineLevel="1" x14ac:dyDescent="0.25">
      <c r="A64" s="175"/>
      <c r="B64" s="165" t="s">
        <v>1858</v>
      </c>
      <c r="C64" s="165"/>
      <c r="D64" s="166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8"/>
      <c r="P64" s="113"/>
    </row>
    <row r="65" spans="1:31" outlineLevel="2" x14ac:dyDescent="0.25">
      <c r="A65" s="175"/>
      <c r="B65" s="111" t="s">
        <v>1859</v>
      </c>
      <c r="C65" s="92" t="s">
        <v>1860</v>
      </c>
      <c r="D65" s="100">
        <f>SUMIFS('T 03.01'!P:P,'T 03.01'!E:E,"r0511 - o/w capital instruments/share capital",'T 03.01'!$F:$F,"c001x   - Households")+SUMIFS('T 03.01'!Q:Q,'T 03.01'!E:E,"r0511 - o/w capital instruments/share capital",'T 03.01'!$F:$F,"c001x   - Households")</f>
        <v>0</v>
      </c>
      <c r="E65" s="95">
        <f>SUMIFS('T 03.01'!P:P,'T 03.01'!E:E,"r0511 - o/w capital instruments/share capital",'T 03.01'!$F:$F,"c002x   - Micro &amp; SME")+SUMIFS('T 03.01'!Q:Q,'T 03.01'!E:E,"r0511 - o/w capital instruments/share capital",'T 03.01'!$F:$F,"c002x   - Micro &amp; SME")</f>
        <v>0</v>
      </c>
      <c r="F65" s="95">
        <f>SUMIFS('T 03.01'!P:P,'T 03.01'!E:E,"r0511 - o/w capital instruments/share capital",'T 03.01'!$F:$F,"c003x   - Corporates")+SUMIFS('T 03.01'!Q:Q,'T 03.01'!E:E,"r0511 - o/w capital instruments/share capital",'T 03.01'!$F:$F,"c003x   - Corporates")</f>
        <v>14593315</v>
      </c>
      <c r="G65" s="95">
        <f>SUMIFS('T 03.01'!P:P,'T 03.01'!E:E,"r0511 - o/w capital instruments/share capital",'T 03.01'!$F:$F,"c004x   - Institutions")+SUMIFS('T 03.01'!Q:Q,'T 03.01'!E:E,"r0511 - o/w capital instruments/share capital",'T 03.01'!$F:$F,"c004x   - Institutions")</f>
        <v>0</v>
      </c>
      <c r="H65" s="95">
        <f>I65+SUMIFS('T 03.01'!P:P,'T 03.01'!E:E,"r0511 - o/w capital instruments/share capital",'T 03.01'!$F:$F,"c005x   - Other financial corporations")+SUMIFS('T 03.01'!Q:Q,'T 03.01'!E:E,"r0511 - o/w capital instruments/share capital",'T 03.01'!$F:$F,"c005x   - Other financial corporations")</f>
        <v>1433311800.6700001</v>
      </c>
      <c r="I65" s="95">
        <f>SUMIFS('T 03.01'!P:P,'T 03.01'!E:E,"r0511 - o/w capital instruments/share capital",'T 03.01'!$F:$F,"c006x   - Insurance firms &amp; pension funds")+SUMIFS('T 03.01'!Q:Q,'T 03.01'!E:E,"r0511 - o/w capital instruments/share capital",'T 03.01'!$F:$F,"c006x   - Insurance firms &amp; pension funds")</f>
        <v>0</v>
      </c>
      <c r="J65" s="95">
        <f>SUMIFS('T 03.01'!P:P,'T 03.01'!E:E,"r0511 - o/w capital instruments/share capital",'T 03.01'!$F:$F,"c008x   - Government, central banks &amp; supranationals")+SUMIFS('T 03.01'!Q:Q,'T 03.01'!E:E,"r0511 - o/w capital instruments/share capital",'T 03.01'!$F:$F,"c008x   - Government, central banks &amp; supranationals")</f>
        <v>0</v>
      </c>
      <c r="K65" s="95">
        <v>0</v>
      </c>
      <c r="L65" s="95">
        <f>SUMIFS('T 03.01'!P:P,'T 03.01'!E:E,"r0511 - o/w capital instruments/share capital",'T 03.01'!$F:$F,"")+SUMIFS('T 03.01'!Q:Q,'T 03.01'!E:E,"r0511 - o/w capital instruments/share capital",'T 03.01'!$F:$F,"")</f>
        <v>0</v>
      </c>
      <c r="M65" s="95">
        <f t="shared" ref="M65:M66" si="8">SUM(D65:L65)-I65</f>
        <v>1447905115.6700001</v>
      </c>
      <c r="N65" s="95">
        <f>+SUMIF('T 03.01'!E:E,"r0511 - o/w capital instruments/share capital",'T 03.01'!P:P)+SUMIF('T 03.01'!E:E,"r0511 - o/w capital instruments/share capital",'T 03.01'!Q:Q)</f>
        <v>1447905115.6700001</v>
      </c>
      <c r="O65" s="96">
        <v>0</v>
      </c>
      <c r="P65" s="113"/>
      <c r="Q65" s="114"/>
      <c r="R65" s="115"/>
      <c r="S65" s="118"/>
      <c r="AC65" s="106"/>
      <c r="AE65" s="98"/>
    </row>
    <row r="66" spans="1:31" ht="30" outlineLevel="2" x14ac:dyDescent="0.25">
      <c r="A66" s="175"/>
      <c r="B66" s="111" t="s">
        <v>1861</v>
      </c>
      <c r="C66" s="92" t="s">
        <v>1862</v>
      </c>
      <c r="D66" s="100">
        <f>SUMIFS('T 03.01'!P:P,'T 03.01'!E:E,"r0512 - o/w instruments ranking pari passu with ordinary shares",'T 03.01'!$F:$F,"c001x   - Households")+SUMIFS('T 03.01'!Q:Q,'T 03.01'!E:E,"r0512 - o/w instruments ranking pari passu with ordinary shares",'T 03.01'!$F:$F,"c001x   - Households")</f>
        <v>0</v>
      </c>
      <c r="E66" s="95">
        <f>SUMIFS('T 03.01'!P:P,'T 03.01'!E:E,"r0512 - o/w instruments ranking pari passu with ordinary shares",'T 03.01'!$F:$F,"c002x   - Micro &amp; SME")+SUMIFS('T 03.01'!Q:Q,'T 03.01'!E:E,"r0512 - o/w instruments ranking pari passu with ordinary shares",'T 03.01'!$F:$F,"c002x   - Micro &amp; SME")</f>
        <v>0</v>
      </c>
      <c r="F66" s="95">
        <f>SUMIFS('T 03.01'!P:P,'T 03.01'!E:E,"r0512 - o/w instruments ranking pari passu with ordinary shares",'T 03.01'!$F:$F,"c003x   - Corporates")+SUMIFS('T 03.01'!Q:Q,'T 03.01'!E:E,"r0512 - o/w instruments ranking pari passu with ordinary shares",'T 03.01'!$F:$F,"c003x   - Corporates")</f>
        <v>0</v>
      </c>
      <c r="G66" s="95">
        <f>SUMIFS('T 03.01'!P:P,'T 03.01'!E:E,"r0512 - o/w instruments ranking pari passu with ordinary shares",'T 03.01'!$F:$F,"c004x   - Institutions")+SUMIFS('T 03.01'!Q:Q,'T 03.01'!E:E,"r0512 - o/w instruments ranking pari passu with ordinary shares",'T 03.01'!$F:$F,"c004x   - Institutions")</f>
        <v>0</v>
      </c>
      <c r="H66" s="95">
        <f>I66+SUMIFS('T 03.01'!P:P,'T 03.01'!E:E,"r0512 - o/w instruments ranking pari passu with ordinary shares",'T 03.01'!$F:$F,"c005x   - Other financial corporations")+SUMIFS('T 03.01'!Q:Q,'T 03.01'!E:E,"r0512 - o/w instruments ranking pari passu with ordinary shares",'T 03.01'!$F:$F,"c005x   - Other financial corporations")</f>
        <v>135000000</v>
      </c>
      <c r="I66" s="95">
        <f>SUMIFS('T 03.01'!P:P,'T 03.01'!E:E,"r0512 - o/w instruments ranking pari passu with ordinary shares",'T 03.01'!$F:$F,"c006x   - Insurance firms &amp; pension funds")+SUMIFS('T 03.01'!Q:Q,'T 03.01'!E:E,"r0512 - o/w instruments ranking pari passu with ordinary shares",'T 03.01'!$F:$F,"c006x   - Insurance firms &amp; pension funds")</f>
        <v>0</v>
      </c>
      <c r="J66" s="95">
        <f>SUMIFS('T 03.01'!P:P,'T 03.01'!E:E,"r0512 - o/w instruments ranking pari passu with ordinary shares",'T 03.01'!$F:$F,"c008x   - Government, central banks &amp; supranationals")+SUMIFS('T 03.01'!Q:Q,'T 03.01'!E:E,"r0512 - o/w instruments ranking pari passu with ordinary shares",'T 03.01'!$F:$F,"c008x   - Government, central banks &amp; supranationals")</f>
        <v>0</v>
      </c>
      <c r="K66" s="95">
        <v>0</v>
      </c>
      <c r="L66" s="95">
        <f>SUMIFS('T 03.01'!P:P,'T 03.01'!E:E,"r0512 - o/w instruments ranking pari passu with ordinary shares",'T 03.01'!$F:$F,"")+SUMIFS('T 03.01'!Q:Q,'T 03.01'!E:E,"r0512 - o/w instruments ranking pari passu with ordinary shares",'T 03.01'!$F:$F,"")</f>
        <v>0</v>
      </c>
      <c r="M66" s="95">
        <f t="shared" si="8"/>
        <v>135000000</v>
      </c>
      <c r="N66" s="95">
        <f>+SUMIF('T 03.01'!E:E,"r0512 - o/w instruments ranking pari passu with ordinary shares",'T 03.01'!P:P)+SUMIF('T 03.01'!E:E,"r0512 - o/w instruments ranking pari passu with ordinary shares",'T 03.01'!Q:Q)</f>
        <v>135000000</v>
      </c>
      <c r="O66" s="96">
        <v>0</v>
      </c>
      <c r="P66" s="113"/>
      <c r="Q66" s="114"/>
      <c r="R66" s="115"/>
      <c r="S66" s="118"/>
      <c r="AC66" s="106"/>
      <c r="AE66" s="98"/>
    </row>
    <row r="67" spans="1:31" outlineLevel="1" x14ac:dyDescent="0.25">
      <c r="A67" s="175"/>
      <c r="B67" s="165" t="s">
        <v>1863</v>
      </c>
      <c r="C67" s="165"/>
      <c r="D67" s="166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8"/>
      <c r="P67" s="113"/>
    </row>
    <row r="68" spans="1:31" ht="30" outlineLevel="2" x14ac:dyDescent="0.25">
      <c r="A68" s="175"/>
      <c r="B68" s="111" t="s">
        <v>1864</v>
      </c>
      <c r="C68" s="92" t="s">
        <v>1865</v>
      </c>
      <c r="D68" s="100">
        <f>SUMIFS('T 03.01'!P:P,'T 03.01'!E:E,"r0521 -o/w (part of) subordinated liabilities recognised as own funds",'T 03.01'!$F:$F,"c001x   - Households")+SUMIFS('T 03.01'!Q:Q,'T 03.01'!E:E,"r0521 -o/w (part of) subordinated liabilities recognised as own funds",'T 03.01'!$F:$F,"c001x   - Households")</f>
        <v>0</v>
      </c>
      <c r="E68" s="95">
        <f>SUMIFS('T 03.01'!P:P,'T 03.01'!E:E,"r0521 -o/w (part of) subordinated liabilities recognised as own funds",'T 03.01'!$F:$F,"c002x   - Micro &amp; SME")+SUMIFS('T 03.01'!Q:Q,'T 03.01'!E:E,"r0521 -o/w (part of) subordinated liabilities recognised as own funds",'T 03.01'!$F:$F,"c002x   - Micro &amp; SME")</f>
        <v>0</v>
      </c>
      <c r="F68" s="95">
        <f>SUMIFS('T 03.01'!P:P,'T 03.01'!E:E,"r0521 -o/w (part of) subordinated liabilities recognised as own funds",'T 03.01'!$F:$F,"c003x   - Corporates")+SUMIFS('T 03.01'!Q:Q,'T 03.01'!E:E,"r0521 -o/w (part of) subordinated liabilities recognised as own funds",'T 03.01'!$F:$F,"c003x   - Corporates")</f>
        <v>0</v>
      </c>
      <c r="G68" s="95">
        <f>SUMIFS('T 03.01'!P:P,'T 03.01'!E:E,"r0521 -o/w (part of) subordinated liabilities recognised as own funds",'T 03.01'!$F:$F,"c004x   - Institutions")+SUMIFS('T 03.01'!Q:Q,'T 03.01'!E:E,"r0521 -o/w (part of) subordinated liabilities recognised as own funds",'T 03.01'!$F:$F,"c004x   - Institutions")</f>
        <v>0</v>
      </c>
      <c r="H68" s="95">
        <f>I68+SUMIFS('T 03.01'!P:P,'T 03.01'!E:E,"r0521 -o/w (part of) subordinated liabilities recognised as own funds",'T 03.01'!$F:$F,"c005x   - Other financial corporations")+SUMIFS('T 03.01'!Q:Q,'T 03.01'!E:E,"r0521 -o/w (part of) subordinated liabilities recognised as own funds",'T 03.01'!$F:$F,"c005x   - Other financial corporations")</f>
        <v>0</v>
      </c>
      <c r="I68" s="95">
        <f>SUMIFS('T 03.01'!P:P,'T 03.01'!E:E,"r0521 -o/w (part of) subordinated liabilities recognised as own funds",'T 03.01'!$F:$F,"c006x   - Insurance firms &amp; pension funds")+SUMIFS('T 03.01'!Q:Q,'T 03.01'!E:E,"r0521 -o/w (part of) subordinated liabilities recognised as own funds",'T 03.01'!$F:$F,"c006x   - Insurance firms &amp; pension funds")</f>
        <v>0</v>
      </c>
      <c r="J68" s="95">
        <f>SUMIFS('T 03.01'!P:P,'T 03.01'!E:E,"r0521 -o/w (part of) subordinated liabilities recognised as own funds",'T 03.01'!$F:$F,"c008x   - Government, central banks &amp; supranationals")+SUMIFS('T 03.01'!Q:Q,'T 03.01'!E:E,"r0521 -o/w (part of) subordinated liabilities recognised as own funds",'T 03.01'!$F:$F,"c008x   - Government, central banks &amp; supranationals")</f>
        <v>0</v>
      </c>
      <c r="K68" s="95">
        <v>0</v>
      </c>
      <c r="L68" s="95">
        <f>SUMIFS('T 03.01'!P:P,'T 03.01'!E:E,"r0521 -o/w (part of) subordinated liabilities recognised as own funds",'T 03.01'!$F:$F,"")+SUMIFS('T 03.01'!Q:Q,'T 03.01'!E:E,"r0521 -o/w (part of) subordinated liabilities recognised as own funds",'T 03.01'!$F:$F,"")</f>
        <v>0</v>
      </c>
      <c r="M68" s="95">
        <f t="shared" ref="M68" si="9">SUM(D68:L68)-I68</f>
        <v>0</v>
      </c>
      <c r="N68" s="95">
        <f>+SUMIF('T 03.01'!E:E,"r0521 -o/w (part of) subordinated liabilities recognised as own funds",'T 03.01'!P:P)+SUMIF('T 03.01'!E:E,"r0521 -o/w (part of) subordinated liabilities recognised as own funds",'T 03.01'!Q:Q)</f>
        <v>0</v>
      </c>
      <c r="O68" s="96">
        <v>0</v>
      </c>
      <c r="P68" s="113"/>
      <c r="Q68" s="114"/>
      <c r="R68" s="115"/>
      <c r="S68" s="118"/>
      <c r="Y68" s="117"/>
      <c r="AE68" s="98"/>
    </row>
    <row r="69" spans="1:31" outlineLevel="1" x14ac:dyDescent="0.25">
      <c r="A69" s="175"/>
      <c r="B69" s="165" t="s">
        <v>1866</v>
      </c>
      <c r="C69" s="165"/>
      <c r="D69" s="166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8"/>
      <c r="P69" s="113"/>
    </row>
    <row r="70" spans="1:31" ht="30" outlineLevel="2" x14ac:dyDescent="0.25">
      <c r="A70" s="175"/>
      <c r="B70" s="111" t="s">
        <v>1864</v>
      </c>
      <c r="C70" s="92" t="s">
        <v>1867</v>
      </c>
      <c r="D70" s="100">
        <f>SUMIFS('T 03.01'!P:P,'T 03.01'!E:E,"r0531 - o/w (part of) subordinated liabilities recognised as own funds",'T 03.01'!$F:$F,"c001x   - Households")+SUMIFS('T 03.01'!Q:Q,'T 03.01'!E:E,"r0531 - o/w (part of) subordinated liabilities recognised as own funds",'T 03.01'!$F:$F,"c001x   - Households")+SUMIFS('T 04.00'!$N:$N,'T 04.00'!$E:$E,"r0531 - o/w (part of) subordinated liabilities recognised as own funds",'T 04.00'!$F:$F,"c001x   - Households")+SUMIFS('T 04.00'!O:O,'T 04.00'!E:E,"r0531 - o/w (part of) subordinated liabilities recognised as own funds",'T 04.00'!$F:$F,"c001x   - Households")</f>
        <v>7734845.1399999997</v>
      </c>
      <c r="E70" s="95">
        <f>SUMIFS('T 03.01'!P:P,'T 03.01'!E:E,"r0531 - o/w (part of) subordinated liabilities recognised as own funds",'T 03.01'!$F:$F,"c002x   - Micro &amp; SME")+SUMIFS('T 03.01'!Q:Q,'T 03.01'!E:E,"r0531 - o/w (part of) subordinated liabilities recognised as own funds",'T 03.01'!$F:$F,"c002x   - Micro &amp; SME")+SUMIFS('T 04.00'!$N:$N,'T 04.00'!$E:$E,"r0531 - o/w (part of) subordinated liabilities recognised as own funds",'T 04.00'!$F:$F,"c002x   - Micro &amp; SME")+SUMIFS('T 04.00'!O:O,'T 04.00'!E:E,"r0531 - o/w (part of) subordinated liabilities recognised as own funds",'T 04.00'!$F:$F,"c002x   - Micro &amp; SME")</f>
        <v>0</v>
      </c>
      <c r="F70" s="95">
        <f>SUMIFS('T 03.01'!P:P,'T 03.01'!E:E,"r0531 - o/w (part of) subordinated liabilities recognised as own funds",'T 03.01'!$F:$F,"c003x   - Corporates")+SUMIFS('T 03.01'!Q:Q,'T 03.01'!E:E,"r0531 - o/w (part of) subordinated liabilities recognised as own funds",'T 03.01'!$F:$F,"c003x   - Corporates")+SUMIFS('T 04.00'!$N:$N,'T 04.00'!$E:$E,"r0531 - o/w (part of) subordinated liabilities recognised as own funds",'T 04.00'!$F:$F,"c003x   - Corporates")+SUMIFS('T 04.00'!O:O,'T 04.00'!E:E,"r0531 - o/w (part of) subordinated liabilities recognised as own funds",'T 04.00'!$F:$F,"c003x   - Corporates")</f>
        <v>0</v>
      </c>
      <c r="G70" s="95">
        <f>SUMIFS('T 03.01'!P:P,'T 03.01'!E:E,"r0531 - o/w (part of) subordinated liabilities recognised as own funds",'T 03.01'!$F:$F,"c004x   - Institutions")+SUMIFS('T 03.01'!Q:Q,'T 03.01'!E:E,"r0531 - o/w (part of) subordinated liabilities recognised as own funds",'T 03.01'!$F:$F,"c004x   - Institutions")+SUMIFS('T 04.00'!$N:$N,'T 04.00'!$E:$E,"r0531 - o/w (part of) subordinated liabilities recognised as own funds",'T 04.00'!$F:$F,"c004x   - Institutions")+SUMIFS('T 04.00'!O:O,'T 04.00'!E:E,"r0531 - o/w (part of) subordinated liabilities recognised as own funds",'T 04.00'!$F:$F,"c004x   - Institutions")</f>
        <v>0</v>
      </c>
      <c r="H70" s="95">
        <f>I70+SUMIFS('T 03.01'!P:P,'T 03.01'!E:E,"r0531 - o/w (part of) subordinated liabilities recognised as own funds",'T 03.01'!$F:$F,"c005x   - Other financial corporations")+SUMIFS('T 03.01'!Q:Q,'T 03.01'!E:E,"r0531 - o/w (part of) subordinated liabilities recognised as own funds",'T 03.01'!$F:$F,"c005x   - Other financial corporations")+SUMIFS('T 04.00'!$N:$N,'T 04.00'!$E:$E,"r0531 - o/w (part of) subordinated liabilities recognised as own funds",'T 04.00'!$F:$F,"c005x   - Other financial corporations")+SUMIFS('T 04.00'!O:O,'T 04.00'!E:E,"r0531 - o/w (part of) subordinated liabilities recognised as own funds",'T 04.00'!$F:$F,"c005x   - Other financial corporations")</f>
        <v>320013869.58999997</v>
      </c>
      <c r="I70" s="95">
        <f>SUMIFS('T 03.01'!P:P,'T 03.01'!E:E,"r0531 - o/w (part of) subordinated liabilities recognised as own funds",'T 03.01'!$F:$F,"c006x   - Insurance firms &amp; pension funds")+SUMIFS('T 03.01'!Q:Q,'T 03.01'!E:E,"r0531 - o/w (part of) subordinated liabilities recognised as own funds",'T 03.01'!$F:$F,"c006x   - Insurance firms &amp; pension funds")+SUMIFS('T 04.00'!$N:$N,'T 04.00'!$E:$E,"r0531 - o/w (part of) subordinated liabilities recognised as own funds",'T 04.00'!$F:$F,"c006x   - Insurance firms &amp; pension funds")+SUMIFS('T 04.00'!O:O,'T 04.00'!E:E,"r0531 - o/w (part of) subordinated liabilities recognised as own funds",'T 04.00'!$F:$F,"c006x   - Insurance firms &amp; pension funds")</f>
        <v>0</v>
      </c>
      <c r="J70" s="95">
        <f>SUMIFS('T 03.01'!P:P,'T 03.01'!E:E,"r0531 - o/w (part of) subordinated liabilities recognised as own funds",'T 03.01'!$F:$F,"c008x   - Government, central banks &amp; supranationals")+SUMIFS('T 03.01'!Q:Q,'T 03.01'!E:E,"r0531 - o/w (part of) subordinated liabilities recognised as own funds",'T 03.01'!$F:$F,"c008x   - Government, central banks &amp; supranationals")+SUMIFS('T 04.00'!$N:$N,'T 04.00'!$E:$E,"r0531 - o/w (part of) subordinated liabilities recognised as own funds",'T 04.00'!$F:$F,"c008x   - Government, central banks &amp; supranationals")+SUMIFS('T 04.00'!O:O,'T 04.00'!E:E,"r0531 - o/w (part of) subordinated liabilities recognised as own funds",'T 04.00'!$F:$F,"c008x   - Government, central banks &amp; supranationals")</f>
        <v>0</v>
      </c>
      <c r="K70" s="95">
        <v>0</v>
      </c>
      <c r="L70" s="95">
        <f>SUMIFS('T 03.01'!P:P,'T 03.01'!E:E,"r0531 - o/w (part of) subordinated liabilities recognised as own funds",'T 03.01'!$F:$F,"")+SUMIFS('T 03.01'!Q:Q,'T 03.01'!E:E,"r0531 - o/w (part of) subordinated liabilities recognised as own funds",'T 03.01'!$F:$F,"")+SUMIFS('T 04.00'!$N:$N,'T 04.00'!$E:$E,"r0531 - o/w (part of) subordinated liabilities recognised as own funds",'T 04.00'!$F:$F,"")+SUMIFS('T 04.00'!O:O,'T 04.00'!E:E,"r0531 - o/w (part of) subordinated liabilities recognised as own funds",'T 04.00'!$F:$F,"")</f>
        <v>0</v>
      </c>
      <c r="M70" s="95">
        <f>SUM(D70:L70)-I70</f>
        <v>327748714.72999996</v>
      </c>
      <c r="N70" s="95">
        <f>+SUMIF('T 03.01'!E:E,"r0531 - o/w (part of) subordinated liabilities recognised as own funds",'T 03.01'!P:P)+SUMIF('T 03.01'!E:E,"r0531 - o/w (part of) subordinated liabilities recognised as own funds",'T 03.01'!Q:Q)</f>
        <v>320013869.58999997</v>
      </c>
      <c r="O70" s="96">
        <v>0</v>
      </c>
      <c r="P70" s="113"/>
      <c r="Q70" s="114"/>
      <c r="R70" s="115"/>
      <c r="S70" s="118"/>
      <c r="Y70" s="117"/>
      <c r="AE70" s="98"/>
    </row>
    <row r="71" spans="1:31" x14ac:dyDescent="0.25">
      <c r="A71" s="175"/>
      <c r="B71" s="91" t="s">
        <v>1868</v>
      </c>
      <c r="C71" s="92" t="s">
        <v>1869</v>
      </c>
      <c r="D71" s="100">
        <f>-'Off-balance '!A19-'Off-balance '!A20-'Off-balance '!A21</f>
        <v>1916111214.391221</v>
      </c>
      <c r="E71" s="95">
        <f>-'Off-balance '!A11</f>
        <v>1183110404.87076</v>
      </c>
      <c r="F71" s="95">
        <f>-'Off-balance '!A8-'Off-balance '!A9-'Off-balance '!A10</f>
        <v>4820225812.8086891</v>
      </c>
      <c r="G71" s="95">
        <f>-'Off-balance '!A4-'Off-balance '!A5-'Off-balance '!A6-'Off-balance '!A7</f>
        <v>464169801.124614</v>
      </c>
      <c r="H71" s="95">
        <f>-'Off-balance '!A12-'Off-balance '!A13-'Off-balance '!A15-'Off-balance '!A17-'Off-balance '!A14-'Off-balance '!A16-'Off-balance '!A18</f>
        <v>871681803.04411793</v>
      </c>
      <c r="I71" s="95">
        <f>-'Off-balance '!A14-'Off-balance '!A16-'Off-balance '!A18</f>
        <v>17574511.530000001</v>
      </c>
      <c r="J71" s="95">
        <f>-'Off-balance '!A22-'Off-balance '!A23-'Off-balance '!A24-'Off-balance '!A2-'Off-balance '!A3</f>
        <v>310071066.08163303</v>
      </c>
      <c r="K71" s="95">
        <v>0</v>
      </c>
      <c r="L71" s="95">
        <v>0</v>
      </c>
      <c r="M71" s="95">
        <f>+SUM(D71:L71)-I71</f>
        <v>9565370102.3210354</v>
      </c>
      <c r="N71" s="95">
        <f>-'Off-balance '!A6-'Off-balance '!A10-'Off-balance '!A15-'Off-balance '!A16</f>
        <v>1235971376.693759</v>
      </c>
      <c r="O71" s="96">
        <v>0</v>
      </c>
      <c r="P71" s="113"/>
      <c r="Q71" s="114"/>
      <c r="R71" s="115"/>
    </row>
    <row r="72" spans="1:31" x14ac:dyDescent="0.25">
      <c r="A72" s="175"/>
      <c r="B72" s="91" t="s">
        <v>1870</v>
      </c>
      <c r="C72" s="92" t="s">
        <v>1871</v>
      </c>
      <c r="D72" s="100">
        <v>0</v>
      </c>
      <c r="E72" s="95">
        <v>0</v>
      </c>
      <c r="F72" s="95">
        <f>-'Loan commitments received'!A4</f>
        <v>3758123</v>
      </c>
      <c r="G72" s="95">
        <v>0</v>
      </c>
      <c r="H72" s="95">
        <f>-'Loan commitments received'!A5</f>
        <v>274466449.29000002</v>
      </c>
      <c r="I72" s="95">
        <v>0</v>
      </c>
      <c r="J72" s="95">
        <f>-'Loan commitments received'!A3</f>
        <v>140000000</v>
      </c>
      <c r="K72" s="95">
        <v>0</v>
      </c>
      <c r="L72" s="95">
        <v>0</v>
      </c>
      <c r="M72" s="95">
        <f>+SUM(D72:L72)-I72</f>
        <v>418224572.29000002</v>
      </c>
      <c r="N72" s="95">
        <v>0</v>
      </c>
      <c r="O72" s="96">
        <v>0</v>
      </c>
      <c r="P72" s="113"/>
      <c r="Q72" s="114"/>
      <c r="R72" s="115"/>
    </row>
    <row r="73" spans="1:31" x14ac:dyDescent="0.25">
      <c r="A73" s="175"/>
      <c r="B73" s="91" t="s">
        <v>1872</v>
      </c>
      <c r="C73" s="92" t="s">
        <v>1873</v>
      </c>
      <c r="D73" s="100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6">
        <v>0</v>
      </c>
      <c r="P73" s="113"/>
      <c r="Q73" s="114"/>
      <c r="R73" s="115"/>
    </row>
    <row r="74" spans="1:31" x14ac:dyDescent="0.25">
      <c r="A74" s="175"/>
      <c r="B74" s="91" t="s">
        <v>1874</v>
      </c>
      <c r="C74" s="92" t="s">
        <v>1875</v>
      </c>
      <c r="D74" s="100">
        <v>0</v>
      </c>
      <c r="E74" s="95">
        <v>0</v>
      </c>
      <c r="F74" s="95">
        <v>0</v>
      </c>
      <c r="G74" s="95">
        <v>0</v>
      </c>
      <c r="H74" s="95">
        <v>0</v>
      </c>
      <c r="I74" s="95">
        <v>0</v>
      </c>
      <c r="J74" s="95">
        <v>0</v>
      </c>
      <c r="K74" s="95">
        <v>0</v>
      </c>
      <c r="L74" s="95">
        <v>0</v>
      </c>
      <c r="M74" s="95">
        <v>0</v>
      </c>
      <c r="N74" s="95">
        <v>0</v>
      </c>
      <c r="O74" s="96">
        <v>0</v>
      </c>
      <c r="P74" s="113"/>
      <c r="Q74" s="114"/>
      <c r="R74" s="115"/>
    </row>
    <row r="75" spans="1:31" x14ac:dyDescent="0.25">
      <c r="A75" s="175"/>
      <c r="B75" s="91" t="s">
        <v>1589</v>
      </c>
      <c r="C75" s="92" t="s">
        <v>1876</v>
      </c>
      <c r="D75" s="100">
        <f>-Derivados!A8</f>
        <v>0</v>
      </c>
      <c r="E75" s="95">
        <f>-Derivados!A5</f>
        <v>65181579.498498999</v>
      </c>
      <c r="F75" s="95">
        <f>-Derivados!A4</f>
        <v>328927597.57841402</v>
      </c>
      <c r="G75" s="95">
        <f>-Derivados!A2-Derivados!A3</f>
        <v>16225040799.06016</v>
      </c>
      <c r="H75" s="95">
        <f>-Derivados!A6-Derivados!A7</f>
        <v>4012176240</v>
      </c>
      <c r="I75" s="95">
        <f>-Derivados!A7</f>
        <v>212176240</v>
      </c>
      <c r="J75" s="95"/>
      <c r="K75" s="95"/>
      <c r="L75" s="95"/>
      <c r="M75" s="95">
        <f>+SUM(D75:H75)</f>
        <v>20631326216.137074</v>
      </c>
      <c r="N75" s="95">
        <f>-Derivados!A7-Derivados!A3</f>
        <v>15064134184.9147</v>
      </c>
      <c r="O75" s="96">
        <v>0</v>
      </c>
      <c r="P75" s="113"/>
      <c r="Q75" s="114"/>
      <c r="R75" s="115"/>
    </row>
    <row r="76" spans="1:31" x14ac:dyDescent="0.25">
      <c r="A76" s="175"/>
      <c r="B76" s="91" t="s">
        <v>1877</v>
      </c>
      <c r="C76" s="92" t="s">
        <v>1878</v>
      </c>
      <c r="D76" s="109"/>
      <c r="E76" s="107"/>
      <c r="F76" s="107"/>
      <c r="G76" s="107"/>
      <c r="H76" s="107"/>
      <c r="I76" s="107"/>
      <c r="J76" s="107"/>
      <c r="K76" s="107"/>
      <c r="L76" s="107"/>
      <c r="M76" s="95"/>
      <c r="N76" s="107"/>
      <c r="O76" s="110"/>
      <c r="P76" s="113"/>
      <c r="Q76" s="114"/>
      <c r="R76" s="115"/>
    </row>
    <row r="77" spans="1:31" ht="15.75" thickBot="1" x14ac:dyDescent="0.3">
      <c r="A77" s="175"/>
      <c r="B77" s="91" t="s">
        <v>1879</v>
      </c>
      <c r="C77" s="92" t="s">
        <v>1880</v>
      </c>
      <c r="D77" s="119"/>
      <c r="E77" s="120"/>
      <c r="F77" s="120"/>
      <c r="G77" s="120"/>
      <c r="H77" s="120"/>
      <c r="I77" s="120"/>
      <c r="J77" s="120"/>
      <c r="K77" s="120"/>
      <c r="L77" s="120"/>
      <c r="M77" s="121"/>
      <c r="N77" s="120"/>
      <c r="O77" s="122"/>
      <c r="P77" s="113"/>
      <c r="Q77" s="114"/>
      <c r="R77" s="115"/>
    </row>
    <row r="78" spans="1:31" s="85" customFormat="1" x14ac:dyDescent="0.25">
      <c r="B78" s="123"/>
      <c r="D78" s="124"/>
      <c r="E78" s="124"/>
      <c r="F78" s="124"/>
      <c r="G78" s="124"/>
      <c r="H78" s="124"/>
      <c r="I78" s="124"/>
      <c r="J78" s="124"/>
      <c r="K78" s="124"/>
      <c r="L78" s="124"/>
    </row>
    <row r="79" spans="1:31" s="85" customFormat="1" x14ac:dyDescent="0.25">
      <c r="B79" s="125"/>
      <c r="I79" s="126"/>
      <c r="N79" s="127"/>
    </row>
    <row r="80" spans="1:31" s="85" customFormat="1" x14ac:dyDescent="0.25">
      <c r="B80" s="128"/>
      <c r="K80" s="129"/>
      <c r="L80" s="129"/>
    </row>
    <row r="81" spans="2:15" s="85" customFormat="1" x14ac:dyDescent="0.25">
      <c r="B81" s="130"/>
      <c r="N81" s="127"/>
      <c r="O81" s="131"/>
    </row>
    <row r="82" spans="2:15" s="85" customFormat="1" x14ac:dyDescent="0.25">
      <c r="B82" s="132"/>
      <c r="E82" s="133"/>
      <c r="F82" s="133"/>
      <c r="N82" s="127"/>
    </row>
    <row r="83" spans="2:15" s="85" customFormat="1" x14ac:dyDescent="0.25">
      <c r="B83" s="134"/>
      <c r="O83" s="135"/>
    </row>
    <row r="84" spans="2:15" x14ac:dyDescent="0.25">
      <c r="E84" s="85"/>
    </row>
  </sheetData>
  <mergeCells count="101">
    <mergeCell ref="A1:O1"/>
    <mergeCell ref="D4:O4"/>
    <mergeCell ref="H5:I5"/>
    <mergeCell ref="M5:O5"/>
    <mergeCell ref="P6:P7"/>
    <mergeCell ref="Q6:Q7"/>
    <mergeCell ref="AD6:AD7"/>
    <mergeCell ref="AE6:AE7"/>
    <mergeCell ref="AF6:AF7"/>
    <mergeCell ref="AB6:AB7"/>
    <mergeCell ref="AC6:AC7"/>
    <mergeCell ref="P8:P9"/>
    <mergeCell ref="Q8:Q9"/>
    <mergeCell ref="R8:R9"/>
    <mergeCell ref="S8:S9"/>
    <mergeCell ref="T8:T9"/>
    <mergeCell ref="X6:X7"/>
    <mergeCell ref="Y6:Y7"/>
    <mergeCell ref="Z6:Z7"/>
    <mergeCell ref="AA6:AA7"/>
    <mergeCell ref="R6:R7"/>
    <mergeCell ref="S6:S7"/>
    <mergeCell ref="T6:T7"/>
    <mergeCell ref="U6:U7"/>
    <mergeCell ref="V6:V7"/>
    <mergeCell ref="W6:W7"/>
    <mergeCell ref="T12:T13"/>
    <mergeCell ref="P14:P15"/>
    <mergeCell ref="Q14:Q15"/>
    <mergeCell ref="R14:R15"/>
    <mergeCell ref="S14:S15"/>
    <mergeCell ref="T14:T15"/>
    <mergeCell ref="A9:A77"/>
    <mergeCell ref="P10:P11"/>
    <mergeCell ref="Q10:Q11"/>
    <mergeCell ref="R10:R11"/>
    <mergeCell ref="S10:S11"/>
    <mergeCell ref="T10:T11"/>
    <mergeCell ref="P12:P13"/>
    <mergeCell ref="Q12:Q13"/>
    <mergeCell ref="R12:R13"/>
    <mergeCell ref="S12:S13"/>
    <mergeCell ref="P16:P17"/>
    <mergeCell ref="Q16:Q17"/>
    <mergeCell ref="R16:R17"/>
    <mergeCell ref="S16:S17"/>
    <mergeCell ref="T16:T17"/>
    <mergeCell ref="P18:P19"/>
    <mergeCell ref="Q18:Q19"/>
    <mergeCell ref="R18:R19"/>
    <mergeCell ref="S18:S19"/>
    <mergeCell ref="T18:T19"/>
    <mergeCell ref="P21:P22"/>
    <mergeCell ref="Q21:Q22"/>
    <mergeCell ref="R21:R22"/>
    <mergeCell ref="S21:S22"/>
    <mergeCell ref="T21:T22"/>
    <mergeCell ref="P23:P24"/>
    <mergeCell ref="Q23:Q24"/>
    <mergeCell ref="R23:R24"/>
    <mergeCell ref="S23:S24"/>
    <mergeCell ref="T23:T24"/>
    <mergeCell ref="P25:P26"/>
    <mergeCell ref="Q25:Q26"/>
    <mergeCell ref="R25:R26"/>
    <mergeCell ref="S25:S26"/>
    <mergeCell ref="T25:T26"/>
    <mergeCell ref="P27:P28"/>
    <mergeCell ref="Q27:Q28"/>
    <mergeCell ref="R27:R28"/>
    <mergeCell ref="S27:S28"/>
    <mergeCell ref="T27:T28"/>
    <mergeCell ref="P29:P30"/>
    <mergeCell ref="Q29:Q30"/>
    <mergeCell ref="R29:R30"/>
    <mergeCell ref="S29:S30"/>
    <mergeCell ref="T29:T30"/>
    <mergeCell ref="P31:P32"/>
    <mergeCell ref="Q31:Q32"/>
    <mergeCell ref="R31:R32"/>
    <mergeCell ref="S31:S32"/>
    <mergeCell ref="T31:T32"/>
    <mergeCell ref="P33:P34"/>
    <mergeCell ref="Q33:Q34"/>
    <mergeCell ref="R33:R34"/>
    <mergeCell ref="S33:S34"/>
    <mergeCell ref="T33:T34"/>
    <mergeCell ref="P35:P36"/>
    <mergeCell ref="Q35:Q36"/>
    <mergeCell ref="R35:R36"/>
    <mergeCell ref="S35:S36"/>
    <mergeCell ref="T35:T36"/>
    <mergeCell ref="B64:O64"/>
    <mergeCell ref="B67:O67"/>
    <mergeCell ref="B69:O69"/>
    <mergeCell ref="P37:P38"/>
    <mergeCell ref="Q37:Q38"/>
    <mergeCell ref="R37:R38"/>
    <mergeCell ref="S37:S38"/>
    <mergeCell ref="T37:T38"/>
    <mergeCell ref="B63:O63"/>
  </mergeCells>
  <pageMargins left="0.7" right="0.7" top="0.75" bottom="0.75" header="0.3" footer="0.3"/>
  <pageSetup paperSize="9" orientation="portrait" r:id="rId1"/>
  <ignoredErrors>
    <ignoredError sqref="K53:L53 N43 K38:L38 N38:O38 K27" formulaRange="1"/>
    <ignoredError sqref="M53 M38" formula="1" formulaRange="1"/>
    <ignoredError sqref="M21 M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81F5-B3A0-40F3-B3DB-D649A1DA0EDB}">
  <sheetPr codeName="Sheet14"/>
  <dimension ref="A1:E5"/>
  <sheetViews>
    <sheetView workbookViewId="0">
      <selection activeCell="D19" sqref="D19:E19"/>
    </sheetView>
  </sheetViews>
  <sheetFormatPr defaultRowHeight="15" x14ac:dyDescent="0.25"/>
  <cols>
    <col min="1" max="1" width="28.7109375" bestFit="1" customWidth="1"/>
    <col min="2" max="2" width="30.140625" bestFit="1" customWidth="1"/>
    <col min="4" max="4" width="10.28515625" bestFit="1" customWidth="1"/>
    <col min="5" max="5" width="11.5703125" bestFit="1" customWidth="1"/>
  </cols>
  <sheetData>
    <row r="1" spans="1:5" x14ac:dyDescent="0.25">
      <c r="A1" t="s">
        <v>1881</v>
      </c>
      <c r="B1" t="s">
        <v>1882</v>
      </c>
      <c r="C1" t="s">
        <v>1883</v>
      </c>
      <c r="D1" t="s">
        <v>1884</v>
      </c>
      <c r="E1" t="s">
        <v>1885</v>
      </c>
    </row>
    <row r="2" spans="1:5" x14ac:dyDescent="0.25">
      <c r="A2">
        <v>0</v>
      </c>
      <c r="B2" t="s">
        <v>1886</v>
      </c>
    </row>
    <row r="3" spans="1:5" x14ac:dyDescent="0.25">
      <c r="A3">
        <v>-140000000</v>
      </c>
      <c r="B3" t="s">
        <v>1886</v>
      </c>
      <c r="C3">
        <v>0</v>
      </c>
    </row>
    <row r="4" spans="1:5" x14ac:dyDescent="0.25">
      <c r="A4">
        <v>-3758123</v>
      </c>
      <c r="B4" t="s">
        <v>1888</v>
      </c>
    </row>
    <row r="5" spans="1:5" x14ac:dyDescent="0.25">
      <c r="A5">
        <v>-274466449.29000002</v>
      </c>
      <c r="B5" t="s">
        <v>1890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0D15-A4F9-475D-89C7-56675229C86E}">
  <sheetPr codeName="Sheet15"/>
  <dimension ref="A1:E24"/>
  <sheetViews>
    <sheetView workbookViewId="0">
      <selection activeCell="B10" sqref="B10"/>
    </sheetView>
  </sheetViews>
  <sheetFormatPr defaultRowHeight="15" x14ac:dyDescent="0.25"/>
  <cols>
    <col min="1" max="1" width="28.7109375" bestFit="1" customWidth="1"/>
    <col min="2" max="2" width="30.140625" bestFit="1" customWidth="1"/>
    <col min="3" max="3" width="10.28515625" bestFit="1" customWidth="1"/>
  </cols>
  <sheetData>
    <row r="1" spans="1:5" x14ac:dyDescent="0.25">
      <c r="A1" t="s">
        <v>1881</v>
      </c>
      <c r="B1" t="s">
        <v>1882</v>
      </c>
      <c r="C1" t="s">
        <v>1883</v>
      </c>
      <c r="D1" t="s">
        <v>1884</v>
      </c>
      <c r="E1" t="s">
        <v>1885</v>
      </c>
    </row>
    <row r="2" spans="1:5" x14ac:dyDescent="0.25">
      <c r="A2">
        <v>0</v>
      </c>
      <c r="B2" t="s">
        <v>1886</v>
      </c>
    </row>
    <row r="3" spans="1:5" x14ac:dyDescent="0.25">
      <c r="A3">
        <v>-65055.68</v>
      </c>
      <c r="B3" t="s">
        <v>1886</v>
      </c>
      <c r="C3">
        <v>0</v>
      </c>
    </row>
    <row r="4" spans="1:5" x14ac:dyDescent="0.25">
      <c r="A4">
        <v>0.01</v>
      </c>
      <c r="B4" t="s">
        <v>1887</v>
      </c>
    </row>
    <row r="5" spans="1:5" x14ac:dyDescent="0.25">
      <c r="A5">
        <v>-57988990.390854999</v>
      </c>
      <c r="B5" t="s">
        <v>1887</v>
      </c>
      <c r="C5">
        <v>0</v>
      </c>
    </row>
    <row r="6" spans="1:5" x14ac:dyDescent="0.25">
      <c r="A6">
        <v>-405170810.74375898</v>
      </c>
      <c r="B6" t="s">
        <v>1887</v>
      </c>
      <c r="C6">
        <v>0</v>
      </c>
      <c r="D6">
        <v>1</v>
      </c>
    </row>
    <row r="7" spans="1:5" x14ac:dyDescent="0.25">
      <c r="A7">
        <v>-1010000</v>
      </c>
      <c r="B7" t="s">
        <v>1887</v>
      </c>
      <c r="C7">
        <v>1</v>
      </c>
    </row>
    <row r="8" spans="1:5" x14ac:dyDescent="0.25">
      <c r="A8">
        <v>2790003.56</v>
      </c>
      <c r="B8" t="s">
        <v>1888</v>
      </c>
    </row>
    <row r="9" spans="1:5" x14ac:dyDescent="0.25">
      <c r="A9">
        <v>-4776171778.4686899</v>
      </c>
      <c r="B9" t="s">
        <v>1888</v>
      </c>
      <c r="C9">
        <v>0</v>
      </c>
    </row>
    <row r="10" spans="1:5" x14ac:dyDescent="0.25">
      <c r="A10">
        <v>-46844037.899999999</v>
      </c>
      <c r="B10" t="s">
        <v>1888</v>
      </c>
      <c r="C10">
        <v>0</v>
      </c>
      <c r="D10">
        <v>1</v>
      </c>
    </row>
    <row r="11" spans="1:5" x14ac:dyDescent="0.25">
      <c r="A11">
        <v>-1183110404.87076</v>
      </c>
      <c r="B11" t="s">
        <v>1888</v>
      </c>
      <c r="C11">
        <v>1</v>
      </c>
    </row>
    <row r="12" spans="1:5" x14ac:dyDescent="0.25">
      <c r="A12">
        <v>0</v>
      </c>
      <c r="B12" t="s">
        <v>1890</v>
      </c>
    </row>
    <row r="13" spans="1:5" x14ac:dyDescent="0.25">
      <c r="A13">
        <v>-76879637.334117994</v>
      </c>
      <c r="B13" t="s">
        <v>1890</v>
      </c>
      <c r="C13">
        <v>0</v>
      </c>
    </row>
    <row r="14" spans="1:5" x14ac:dyDescent="0.25">
      <c r="A14">
        <v>-6854388.29</v>
      </c>
      <c r="B14" t="s">
        <v>1890</v>
      </c>
      <c r="C14">
        <v>0</v>
      </c>
      <c r="E14" t="s">
        <v>1889</v>
      </c>
    </row>
    <row r="15" spans="1:5" x14ac:dyDescent="0.25">
      <c r="A15">
        <v>-773447381.55999994</v>
      </c>
      <c r="B15" t="s">
        <v>1890</v>
      </c>
      <c r="C15">
        <v>0</v>
      </c>
      <c r="D15">
        <v>1</v>
      </c>
    </row>
    <row r="16" spans="1:5" x14ac:dyDescent="0.25">
      <c r="A16">
        <v>-10509146.49</v>
      </c>
      <c r="B16" t="s">
        <v>1890</v>
      </c>
      <c r="C16">
        <v>0</v>
      </c>
      <c r="D16">
        <v>1</v>
      </c>
      <c r="E16" t="s">
        <v>1889</v>
      </c>
    </row>
    <row r="17" spans="1:5" x14ac:dyDescent="0.25">
      <c r="A17">
        <v>-3780272.62</v>
      </c>
      <c r="B17" t="s">
        <v>1890</v>
      </c>
      <c r="C17">
        <v>1</v>
      </c>
    </row>
    <row r="18" spans="1:5" x14ac:dyDescent="0.25">
      <c r="A18">
        <v>-210976.75</v>
      </c>
      <c r="B18" t="s">
        <v>1890</v>
      </c>
      <c r="C18">
        <v>1</v>
      </c>
      <c r="E18" t="s">
        <v>1889</v>
      </c>
    </row>
    <row r="19" spans="1:5" x14ac:dyDescent="0.25">
      <c r="A19">
        <v>358214.29</v>
      </c>
      <c r="B19" t="s">
        <v>1891</v>
      </c>
    </row>
    <row r="20" spans="1:5" x14ac:dyDescent="0.25">
      <c r="A20">
        <v>-1826142696.48001</v>
      </c>
      <c r="B20" t="s">
        <v>1891</v>
      </c>
      <c r="C20">
        <v>0</v>
      </c>
    </row>
    <row r="21" spans="1:5" x14ac:dyDescent="0.25">
      <c r="A21">
        <v>-90326732.201211005</v>
      </c>
      <c r="B21" t="s">
        <v>1891</v>
      </c>
      <c r="C21">
        <v>1</v>
      </c>
    </row>
    <row r="22" spans="1:5" x14ac:dyDescent="0.25">
      <c r="A22">
        <v>0</v>
      </c>
      <c r="B22" t="s">
        <v>1892</v>
      </c>
    </row>
    <row r="23" spans="1:5" x14ac:dyDescent="0.25">
      <c r="A23">
        <v>-230767832.711633</v>
      </c>
      <c r="B23" t="s">
        <v>1892</v>
      </c>
      <c r="C23">
        <v>0</v>
      </c>
    </row>
    <row r="24" spans="1:5" x14ac:dyDescent="0.25">
      <c r="A24">
        <v>-79238177.689999998</v>
      </c>
      <c r="B24" t="s">
        <v>1892</v>
      </c>
      <c r="C24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3577-0ACA-4065-9FA2-9DB79E1728A2}">
  <sheetPr codeName="Sheet16"/>
  <dimension ref="A1:E7"/>
  <sheetViews>
    <sheetView workbookViewId="0">
      <selection activeCell="A2" sqref="A2:A7"/>
    </sheetView>
  </sheetViews>
  <sheetFormatPr defaultRowHeight="15" x14ac:dyDescent="0.25"/>
  <cols>
    <col min="1" max="1" width="20.5703125" style="86" bestFit="1" customWidth="1"/>
    <col min="2" max="2" width="30.140625" bestFit="1" customWidth="1"/>
  </cols>
  <sheetData>
    <row r="1" spans="1:5" x14ac:dyDescent="0.25">
      <c r="A1" s="86" t="s">
        <v>1893</v>
      </c>
      <c r="B1" t="s">
        <v>1882</v>
      </c>
      <c r="C1" t="s">
        <v>1883</v>
      </c>
      <c r="D1" t="s">
        <v>1894</v>
      </c>
      <c r="E1" t="s">
        <v>1884</v>
      </c>
    </row>
    <row r="2" spans="1:5" x14ac:dyDescent="0.25">
      <c r="A2" s="86">
        <v>-1373082854.1454599</v>
      </c>
      <c r="B2" t="s">
        <v>1887</v>
      </c>
      <c r="C2">
        <v>0</v>
      </c>
    </row>
    <row r="3" spans="1:5" x14ac:dyDescent="0.25">
      <c r="A3" s="86">
        <v>-14851957944.9147</v>
      </c>
      <c r="B3" t="s">
        <v>1887</v>
      </c>
      <c r="C3">
        <v>0</v>
      </c>
      <c r="E3">
        <v>1</v>
      </c>
    </row>
    <row r="4" spans="1:5" x14ac:dyDescent="0.25">
      <c r="A4" s="86">
        <v>-328927597.57841402</v>
      </c>
      <c r="B4" t="s">
        <v>1888</v>
      </c>
      <c r="C4">
        <v>0</v>
      </c>
    </row>
    <row r="5" spans="1:5" x14ac:dyDescent="0.25">
      <c r="A5" s="86">
        <v>-65181579.498498999</v>
      </c>
      <c r="B5" t="s">
        <v>1888</v>
      </c>
      <c r="C5">
        <v>1</v>
      </c>
    </row>
    <row r="6" spans="1:5" x14ac:dyDescent="0.25">
      <c r="A6" s="86">
        <v>-3800000000</v>
      </c>
      <c r="B6" t="s">
        <v>1890</v>
      </c>
      <c r="C6">
        <v>0</v>
      </c>
    </row>
    <row r="7" spans="1:5" x14ac:dyDescent="0.25">
      <c r="A7" s="86">
        <v>-212176240</v>
      </c>
      <c r="B7" t="s">
        <v>1890</v>
      </c>
      <c r="C7">
        <v>0</v>
      </c>
      <c r="D7" t="s">
        <v>1889</v>
      </c>
      <c r="E7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263E-CC4D-4428-BDF3-06BBD52457E6}">
  <sheetPr codeName="Sheet2"/>
  <dimension ref="A1:AC1766"/>
  <sheetViews>
    <sheetView showGridLines="0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1766" sqref="G1766"/>
    </sheetView>
  </sheetViews>
  <sheetFormatPr defaultRowHeight="15" x14ac:dyDescent="0.25"/>
  <cols>
    <col min="1" max="1" width="5.5703125" style="2" customWidth="1"/>
    <col min="2" max="2" width="25.28515625" style="2" bestFit="1" customWidth="1"/>
    <col min="3" max="3" width="4.140625" style="2" bestFit="1" customWidth="1"/>
    <col min="4" max="28" width="20.5703125" style="2" customWidth="1"/>
    <col min="29" max="29" width="25.5703125" style="1" customWidth="1"/>
    <col min="30" max="16384" width="9.140625" style="2"/>
  </cols>
  <sheetData>
    <row r="1" spans="1:29" x14ac:dyDescent="0.25">
      <c r="A1" s="198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29" x14ac:dyDescent="0.25">
      <c r="W2" s="2" t="s">
        <v>768</v>
      </c>
    </row>
    <row r="3" spans="1:29" x14ac:dyDescent="0.25">
      <c r="W3" s="2" t="s">
        <v>768</v>
      </c>
    </row>
    <row r="4" spans="1:29" x14ac:dyDescent="0.25">
      <c r="B4" s="3"/>
      <c r="D4" s="200" t="s">
        <v>1</v>
      </c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2"/>
    </row>
    <row r="5" spans="1:29" ht="15" customHeight="1" x14ac:dyDescent="0.25">
      <c r="D5" s="4" t="s">
        <v>2</v>
      </c>
      <c r="E5" s="203" t="s">
        <v>3</v>
      </c>
      <c r="F5" s="204"/>
      <c r="G5" s="203" t="s">
        <v>4</v>
      </c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4"/>
      <c r="AC5" s="206"/>
    </row>
    <row r="6" spans="1:29" ht="60" x14ac:dyDescent="0.25">
      <c r="D6" s="5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  <c r="N6" s="6" t="s">
        <v>14</v>
      </c>
      <c r="O6" s="6" t="s">
        <v>15</v>
      </c>
      <c r="P6" s="6" t="s">
        <v>16</v>
      </c>
      <c r="Q6" s="6" t="s">
        <v>17</v>
      </c>
      <c r="R6" s="6" t="s">
        <v>18</v>
      </c>
      <c r="S6" s="6" t="s">
        <v>19</v>
      </c>
      <c r="T6" s="6" t="s">
        <v>20</v>
      </c>
      <c r="U6" s="6" t="s">
        <v>21</v>
      </c>
      <c r="V6" s="6" t="s">
        <v>22</v>
      </c>
      <c r="W6" s="6" t="s">
        <v>23</v>
      </c>
      <c r="X6" s="6" t="s">
        <v>24</v>
      </c>
      <c r="Y6" s="6" t="s">
        <v>25</v>
      </c>
      <c r="Z6" s="6" t="s">
        <v>26</v>
      </c>
      <c r="AA6" s="6" t="s">
        <v>27</v>
      </c>
      <c r="AB6" s="6" t="s">
        <v>28</v>
      </c>
      <c r="AC6" s="206"/>
    </row>
    <row r="7" spans="1:29" ht="15.75" thickBot="1" x14ac:dyDescent="0.3"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7" t="s">
        <v>38</v>
      </c>
      <c r="N7" s="7" t="s">
        <v>39</v>
      </c>
      <c r="O7" s="7" t="s">
        <v>40</v>
      </c>
      <c r="P7" s="7" t="s">
        <v>41</v>
      </c>
      <c r="Q7" s="7" t="s">
        <v>42</v>
      </c>
      <c r="R7" s="8" t="s">
        <v>43</v>
      </c>
      <c r="S7" s="8" t="s">
        <v>44</v>
      </c>
      <c r="T7" s="8" t="s">
        <v>45</v>
      </c>
      <c r="U7" s="8" t="s">
        <v>46</v>
      </c>
      <c r="V7" s="7" t="s">
        <v>47</v>
      </c>
      <c r="W7" s="7" t="s">
        <v>48</v>
      </c>
      <c r="X7" s="7" t="s">
        <v>49</v>
      </c>
      <c r="Y7" s="7" t="s">
        <v>50</v>
      </c>
      <c r="Z7" s="8" t="s">
        <v>51</v>
      </c>
      <c r="AA7" s="8" t="s">
        <v>52</v>
      </c>
      <c r="AB7" s="7" t="s">
        <v>53</v>
      </c>
      <c r="AC7" s="137" t="s">
        <v>2628</v>
      </c>
    </row>
    <row r="8" spans="1:29" ht="36.75" thickBot="1" x14ac:dyDescent="0.3">
      <c r="A8" s="9" t="s">
        <v>54</v>
      </c>
      <c r="B8" s="10" t="s">
        <v>55</v>
      </c>
      <c r="C8" s="11">
        <v>999</v>
      </c>
      <c r="D8" s="154">
        <v>1</v>
      </c>
      <c r="E8" s="154" t="s">
        <v>1895</v>
      </c>
      <c r="F8" s="154" t="s">
        <v>56</v>
      </c>
      <c r="G8" s="154" t="s">
        <v>1896</v>
      </c>
      <c r="H8" s="154" t="s">
        <v>57</v>
      </c>
      <c r="I8" s="154" t="s">
        <v>74</v>
      </c>
      <c r="J8" s="154" t="s">
        <v>75</v>
      </c>
      <c r="K8" s="154" t="s">
        <v>60</v>
      </c>
      <c r="L8" s="154" t="s">
        <v>1897</v>
      </c>
      <c r="M8" s="154" t="s">
        <v>1383</v>
      </c>
      <c r="N8" s="154" t="s">
        <v>61</v>
      </c>
      <c r="O8" s="154" t="s">
        <v>62</v>
      </c>
      <c r="P8" s="146">
        <v>671676.95</v>
      </c>
      <c r="Q8" s="146">
        <v>0</v>
      </c>
      <c r="R8" s="154" t="s">
        <v>1384</v>
      </c>
      <c r="S8" s="154" t="s">
        <v>1385</v>
      </c>
      <c r="T8" s="155">
        <v>44564</v>
      </c>
      <c r="U8" s="155">
        <v>44564</v>
      </c>
      <c r="V8" s="154" t="s">
        <v>1562</v>
      </c>
      <c r="W8" s="154">
        <v>0</v>
      </c>
      <c r="X8" s="154" t="s">
        <v>63</v>
      </c>
      <c r="Y8" s="154" t="s">
        <v>1386</v>
      </c>
      <c r="Z8" s="154"/>
      <c r="AA8" s="154" t="s">
        <v>1387</v>
      </c>
      <c r="AB8" s="154">
        <v>0</v>
      </c>
      <c r="AC8" s="138">
        <f>IFERROR(IF(DATEDIF(#REF!,U8,"m")&lt;=1,1,IF(AND(DATEDIF(#REF!,U8,"m")&gt;1,DATEDIF(#REF!,U8,"m")&lt;12),2,IF(AND(DATEDIF(#REF!,U8,"m")&gt;=12,DATEDIF(#REF!,U8,"m")&lt;24),3,IF(DATEDIF(#REF!,U8,"m")&gt;=24,4,"")))),IF(E8="r0320 - Deposits, not covered and not preferential",1,4))</f>
        <v>1</v>
      </c>
    </row>
    <row r="9" spans="1:29" ht="36.75" thickBot="1" x14ac:dyDescent="0.3">
      <c r="B9" s="14"/>
      <c r="C9" s="11">
        <v>999</v>
      </c>
      <c r="D9" s="154">
        <v>2</v>
      </c>
      <c r="E9" s="154" t="s">
        <v>1895</v>
      </c>
      <c r="F9" s="154" t="s">
        <v>56</v>
      </c>
      <c r="G9" s="154" t="s">
        <v>1896</v>
      </c>
      <c r="H9" s="154" t="s">
        <v>57</v>
      </c>
      <c r="I9" s="154" t="s">
        <v>58</v>
      </c>
      <c r="J9" s="154" t="s">
        <v>59</v>
      </c>
      <c r="K9" s="154" t="s">
        <v>60</v>
      </c>
      <c r="L9" s="154" t="s">
        <v>1897</v>
      </c>
      <c r="M9" s="154" t="s">
        <v>1383</v>
      </c>
      <c r="N9" s="154" t="s">
        <v>61</v>
      </c>
      <c r="O9" s="154" t="s">
        <v>62</v>
      </c>
      <c r="P9" s="146">
        <v>54615.880000000005</v>
      </c>
      <c r="Q9" s="146">
        <v>0</v>
      </c>
      <c r="R9" s="154" t="s">
        <v>1384</v>
      </c>
      <c r="S9" s="154" t="s">
        <v>1385</v>
      </c>
      <c r="T9" s="155">
        <v>44564</v>
      </c>
      <c r="U9" s="155">
        <v>44564</v>
      </c>
      <c r="V9" s="154" t="s">
        <v>1562</v>
      </c>
      <c r="W9" s="154">
        <v>0</v>
      </c>
      <c r="X9" s="154" t="s">
        <v>63</v>
      </c>
      <c r="Y9" s="154" t="s">
        <v>1386</v>
      </c>
      <c r="Z9" s="154"/>
      <c r="AA9" s="154" t="s">
        <v>1387</v>
      </c>
      <c r="AB9" s="154">
        <v>0</v>
      </c>
      <c r="AC9" s="138">
        <f>IFERROR(IF(DATEDIF(#REF!,U9,"m")&lt;=1,1,IF(AND(DATEDIF(#REF!,U9,"m")&gt;1,DATEDIF(#REF!,U9,"m")&lt;12),2,IF(AND(DATEDIF(#REF!,U9,"m")&gt;=12,DATEDIF(#REF!,U9,"m")&lt;24),3,IF(DATEDIF(#REF!,U9,"m")&gt;=24,4,"")))),IF(E9="r0320 - Deposits, not covered and not preferential",1,4))</f>
        <v>1</v>
      </c>
    </row>
    <row r="10" spans="1:29" ht="36.75" thickBot="1" x14ac:dyDescent="0.3">
      <c r="B10" s="14"/>
      <c r="C10" s="11">
        <v>999</v>
      </c>
      <c r="D10" s="154">
        <v>3</v>
      </c>
      <c r="E10" s="154" t="s">
        <v>1895</v>
      </c>
      <c r="F10" s="154" t="s">
        <v>56</v>
      </c>
      <c r="G10" s="154" t="s">
        <v>1896</v>
      </c>
      <c r="H10" s="154" t="s">
        <v>57</v>
      </c>
      <c r="I10" s="154" t="s">
        <v>70</v>
      </c>
      <c r="J10" s="154" t="s">
        <v>71</v>
      </c>
      <c r="K10" s="154" t="s">
        <v>60</v>
      </c>
      <c r="L10" s="154" t="s">
        <v>1897</v>
      </c>
      <c r="M10" s="154" t="s">
        <v>1383</v>
      </c>
      <c r="N10" s="154" t="s">
        <v>61</v>
      </c>
      <c r="O10" s="154" t="s">
        <v>62</v>
      </c>
      <c r="P10" s="146">
        <v>1534356.35</v>
      </c>
      <c r="Q10" s="146">
        <v>0</v>
      </c>
      <c r="R10" s="154" t="s">
        <v>1384</v>
      </c>
      <c r="S10" s="154" t="s">
        <v>1385</v>
      </c>
      <c r="T10" s="155">
        <v>44564</v>
      </c>
      <c r="U10" s="155">
        <v>44564</v>
      </c>
      <c r="V10" s="154" t="s">
        <v>1562</v>
      </c>
      <c r="W10" s="154">
        <v>0</v>
      </c>
      <c r="X10" s="154" t="s">
        <v>63</v>
      </c>
      <c r="Y10" s="154" t="s">
        <v>1386</v>
      </c>
      <c r="Z10" s="154"/>
      <c r="AA10" s="154" t="s">
        <v>1387</v>
      </c>
      <c r="AB10" s="154">
        <v>0</v>
      </c>
      <c r="AC10" s="138">
        <f>IFERROR(IF(DATEDIF(#REF!,U10,"m")&lt;=1,1,IF(AND(DATEDIF(#REF!,U10,"m")&gt;1,DATEDIF(#REF!,U10,"m")&lt;12),2,IF(AND(DATEDIF(#REF!,U10,"m")&gt;=12,DATEDIF(#REF!,U10,"m")&lt;24),3,IF(DATEDIF(#REF!,U10,"m")&gt;=24,4,"")))),IF(E10="r0320 - Deposits, not covered and not preferential",1,4))</f>
        <v>1</v>
      </c>
    </row>
    <row r="11" spans="1:29" ht="36.75" thickBot="1" x14ac:dyDescent="0.3">
      <c r="B11" s="14"/>
      <c r="C11" s="11">
        <v>999</v>
      </c>
      <c r="D11" s="154">
        <v>4</v>
      </c>
      <c r="E11" s="154" t="s">
        <v>1895</v>
      </c>
      <c r="F11" s="154" t="s">
        <v>56</v>
      </c>
      <c r="G11" s="154" t="s">
        <v>1896</v>
      </c>
      <c r="H11" s="154" t="s">
        <v>57</v>
      </c>
      <c r="I11" s="154" t="s">
        <v>64</v>
      </c>
      <c r="J11" s="154" t="s">
        <v>65</v>
      </c>
      <c r="K11" s="154" t="s">
        <v>60</v>
      </c>
      <c r="L11" s="154" t="s">
        <v>1897</v>
      </c>
      <c r="M11" s="154" t="s">
        <v>1383</v>
      </c>
      <c r="N11" s="154" t="s">
        <v>61</v>
      </c>
      <c r="O11" s="154" t="s">
        <v>62</v>
      </c>
      <c r="P11" s="146">
        <v>6857006.7300000004</v>
      </c>
      <c r="Q11" s="146">
        <v>0</v>
      </c>
      <c r="R11" s="154" t="s">
        <v>1384</v>
      </c>
      <c r="S11" s="154" t="s">
        <v>1385</v>
      </c>
      <c r="T11" s="155">
        <v>44564</v>
      </c>
      <c r="U11" s="155">
        <v>44564</v>
      </c>
      <c r="V11" s="154" t="s">
        <v>1562</v>
      </c>
      <c r="W11" s="154">
        <v>0</v>
      </c>
      <c r="X11" s="154" t="s">
        <v>63</v>
      </c>
      <c r="Y11" s="154" t="s">
        <v>1386</v>
      </c>
      <c r="Z11" s="154"/>
      <c r="AA11" s="154" t="s">
        <v>1387</v>
      </c>
      <c r="AB11" s="154">
        <v>0</v>
      </c>
      <c r="AC11" s="138">
        <f>IFERROR(IF(DATEDIF(#REF!,U11,"m")&lt;=1,1,IF(AND(DATEDIF(#REF!,U11,"m")&gt;1,DATEDIF(#REF!,U11,"m")&lt;12),2,IF(AND(DATEDIF(#REF!,U11,"m")&gt;=12,DATEDIF(#REF!,U11,"m")&lt;24),3,IF(DATEDIF(#REF!,U11,"m")&gt;=24,4,"")))),IF(E11="r0320 - Deposits, not covered and not preferential",1,4))</f>
        <v>1</v>
      </c>
    </row>
    <row r="12" spans="1:29" ht="36.75" thickBot="1" x14ac:dyDescent="0.3">
      <c r="B12" s="14"/>
      <c r="C12" s="11">
        <v>999</v>
      </c>
      <c r="D12" s="154">
        <v>5</v>
      </c>
      <c r="E12" s="154" t="s">
        <v>1895</v>
      </c>
      <c r="F12" s="154" t="s">
        <v>56</v>
      </c>
      <c r="G12" s="154" t="s">
        <v>1896</v>
      </c>
      <c r="H12" s="154" t="s">
        <v>57</v>
      </c>
      <c r="I12" s="154" t="s">
        <v>72</v>
      </c>
      <c r="J12" s="154" t="s">
        <v>73</v>
      </c>
      <c r="K12" s="154" t="s">
        <v>60</v>
      </c>
      <c r="L12" s="154" t="s">
        <v>1897</v>
      </c>
      <c r="M12" s="154" t="s">
        <v>1388</v>
      </c>
      <c r="N12" s="154" t="s">
        <v>61</v>
      </c>
      <c r="O12" s="154" t="s">
        <v>62</v>
      </c>
      <c r="P12" s="146">
        <v>37572080.060000002</v>
      </c>
      <c r="Q12" s="146">
        <v>0</v>
      </c>
      <c r="R12" s="154" t="s">
        <v>1384</v>
      </c>
      <c r="S12" s="154" t="s">
        <v>1385</v>
      </c>
      <c r="T12" s="155">
        <v>44564</v>
      </c>
      <c r="U12" s="155">
        <v>44564</v>
      </c>
      <c r="V12" s="154" t="s">
        <v>1562</v>
      </c>
      <c r="W12" s="154">
        <v>0</v>
      </c>
      <c r="X12" s="154" t="s">
        <v>63</v>
      </c>
      <c r="Y12" s="154" t="s">
        <v>1386</v>
      </c>
      <c r="Z12" s="154"/>
      <c r="AA12" s="154" t="s">
        <v>1387</v>
      </c>
      <c r="AB12" s="154">
        <v>0</v>
      </c>
      <c r="AC12" s="138">
        <f>IFERROR(IF(DATEDIF(#REF!,U12,"m")&lt;=1,1,IF(AND(DATEDIF(#REF!,U12,"m")&gt;1,DATEDIF(#REF!,U12,"m")&lt;12),2,IF(AND(DATEDIF(#REF!,U12,"m")&gt;=12,DATEDIF(#REF!,U12,"m")&lt;24),3,IF(DATEDIF(#REF!,U12,"m")&gt;=24,4,"")))),IF(E12="r0320 - Deposits, not covered and not preferential",1,4))</f>
        <v>1</v>
      </c>
    </row>
    <row r="13" spans="1:29" ht="36.75" thickBot="1" x14ac:dyDescent="0.3">
      <c r="B13" s="14"/>
      <c r="C13" s="11">
        <v>999</v>
      </c>
      <c r="D13" s="154">
        <v>6</v>
      </c>
      <c r="E13" s="154" t="s">
        <v>1895</v>
      </c>
      <c r="F13" s="154" t="s">
        <v>56</v>
      </c>
      <c r="G13" s="154" t="s">
        <v>1896</v>
      </c>
      <c r="H13" s="154" t="s">
        <v>57</v>
      </c>
      <c r="I13" s="154" t="s">
        <v>66</v>
      </c>
      <c r="J13" s="154" t="s">
        <v>67</v>
      </c>
      <c r="K13" s="154" t="s">
        <v>60</v>
      </c>
      <c r="L13" s="154" t="s">
        <v>1897</v>
      </c>
      <c r="M13" s="154" t="s">
        <v>1383</v>
      </c>
      <c r="N13" s="154" t="s">
        <v>61</v>
      </c>
      <c r="O13" s="154" t="s">
        <v>62</v>
      </c>
      <c r="P13" s="146">
        <v>983570.28</v>
      </c>
      <c r="Q13" s="146">
        <v>0</v>
      </c>
      <c r="R13" s="154" t="s">
        <v>1384</v>
      </c>
      <c r="S13" s="154" t="s">
        <v>1385</v>
      </c>
      <c r="T13" s="155">
        <v>44564</v>
      </c>
      <c r="U13" s="155">
        <v>44564</v>
      </c>
      <c r="V13" s="154" t="s">
        <v>1562</v>
      </c>
      <c r="W13" s="154">
        <v>0</v>
      </c>
      <c r="X13" s="154" t="s">
        <v>63</v>
      </c>
      <c r="Y13" s="154" t="s">
        <v>1386</v>
      </c>
      <c r="Z13" s="154"/>
      <c r="AA13" s="154" t="s">
        <v>1387</v>
      </c>
      <c r="AB13" s="154">
        <v>0</v>
      </c>
      <c r="AC13" s="138">
        <f>IFERROR(IF(DATEDIF(#REF!,U13,"m")&lt;=1,1,IF(AND(DATEDIF(#REF!,U13,"m")&gt;1,DATEDIF(#REF!,U13,"m")&lt;12),2,IF(AND(DATEDIF(#REF!,U13,"m")&gt;=12,DATEDIF(#REF!,U13,"m")&lt;24),3,IF(DATEDIF(#REF!,U13,"m")&gt;=24,4,"")))),IF(E13="r0320 - Deposits, not covered and not preferential",1,4))</f>
        <v>1</v>
      </c>
    </row>
    <row r="14" spans="1:29" ht="36.75" thickBot="1" x14ac:dyDescent="0.3">
      <c r="B14" s="14"/>
      <c r="C14" s="11">
        <v>999</v>
      </c>
      <c r="D14" s="154">
        <v>7</v>
      </c>
      <c r="E14" s="154" t="s">
        <v>1895</v>
      </c>
      <c r="F14" s="154" t="s">
        <v>56</v>
      </c>
      <c r="G14" s="154" t="s">
        <v>1896</v>
      </c>
      <c r="H14" s="154" t="s">
        <v>57</v>
      </c>
      <c r="I14" s="154" t="s">
        <v>68</v>
      </c>
      <c r="J14" s="154" t="s">
        <v>69</v>
      </c>
      <c r="K14" s="154" t="s">
        <v>60</v>
      </c>
      <c r="L14" s="154" t="s">
        <v>1897</v>
      </c>
      <c r="M14" s="154" t="s">
        <v>1388</v>
      </c>
      <c r="N14" s="154" t="s">
        <v>61</v>
      </c>
      <c r="O14" s="154" t="s">
        <v>62</v>
      </c>
      <c r="P14" s="146">
        <v>13753406.77</v>
      </c>
      <c r="Q14" s="146">
        <v>0</v>
      </c>
      <c r="R14" s="154" t="s">
        <v>1384</v>
      </c>
      <c r="S14" s="154" t="s">
        <v>1385</v>
      </c>
      <c r="T14" s="155">
        <v>44564</v>
      </c>
      <c r="U14" s="155">
        <v>44564</v>
      </c>
      <c r="V14" s="154" t="s">
        <v>1562</v>
      </c>
      <c r="W14" s="154">
        <v>0</v>
      </c>
      <c r="X14" s="154" t="s">
        <v>63</v>
      </c>
      <c r="Y14" s="154" t="s">
        <v>1386</v>
      </c>
      <c r="Z14" s="154"/>
      <c r="AA14" s="154" t="s">
        <v>1387</v>
      </c>
      <c r="AB14" s="154">
        <v>0</v>
      </c>
      <c r="AC14" s="138">
        <f>IFERROR(IF(DATEDIF(#REF!,U14,"m")&lt;=1,1,IF(AND(DATEDIF(#REF!,U14,"m")&gt;1,DATEDIF(#REF!,U14,"m")&lt;12),2,IF(AND(DATEDIF(#REF!,U14,"m")&gt;=12,DATEDIF(#REF!,U14,"m")&lt;24),3,IF(DATEDIF(#REF!,U14,"m")&gt;=24,4,"")))),IF(E14="r0320 - Deposits, not covered and not preferential",1,4))</f>
        <v>1</v>
      </c>
    </row>
    <row r="15" spans="1:29" ht="36.75" thickBot="1" x14ac:dyDescent="0.3">
      <c r="B15" s="14"/>
      <c r="C15" s="11">
        <v>999</v>
      </c>
      <c r="D15" s="154">
        <v>8</v>
      </c>
      <c r="E15" s="154" t="s">
        <v>1895</v>
      </c>
      <c r="F15" s="154" t="s">
        <v>56</v>
      </c>
      <c r="G15" s="154" t="s">
        <v>1896</v>
      </c>
      <c r="H15" s="154" t="s">
        <v>57</v>
      </c>
      <c r="I15" s="154" t="s">
        <v>76</v>
      </c>
      <c r="J15" s="154" t="s">
        <v>77</v>
      </c>
      <c r="K15" s="154" t="s">
        <v>60</v>
      </c>
      <c r="L15" s="154" t="s">
        <v>1897</v>
      </c>
      <c r="M15" s="154" t="s">
        <v>1383</v>
      </c>
      <c r="N15" s="154" t="s">
        <v>61</v>
      </c>
      <c r="O15" s="154" t="s">
        <v>62</v>
      </c>
      <c r="P15" s="146">
        <v>1012164.5700000001</v>
      </c>
      <c r="Q15" s="146">
        <v>0</v>
      </c>
      <c r="R15" s="154" t="s">
        <v>1384</v>
      </c>
      <c r="S15" s="154" t="s">
        <v>1385</v>
      </c>
      <c r="T15" s="155">
        <v>44564</v>
      </c>
      <c r="U15" s="155">
        <v>44564</v>
      </c>
      <c r="V15" s="154" t="s">
        <v>1562</v>
      </c>
      <c r="W15" s="154">
        <v>0</v>
      </c>
      <c r="X15" s="154" t="s">
        <v>63</v>
      </c>
      <c r="Y15" s="154" t="s">
        <v>1386</v>
      </c>
      <c r="Z15" s="154"/>
      <c r="AA15" s="154" t="s">
        <v>1387</v>
      </c>
      <c r="AB15" s="154">
        <v>0</v>
      </c>
      <c r="AC15" s="138">
        <f>IFERROR(IF(DATEDIF(#REF!,U15,"m")&lt;=1,1,IF(AND(DATEDIF(#REF!,U15,"m")&gt;1,DATEDIF(#REF!,U15,"m")&lt;12),2,IF(AND(DATEDIF(#REF!,U15,"m")&gt;=12,DATEDIF(#REF!,U15,"m")&lt;24),3,IF(DATEDIF(#REF!,U15,"m")&gt;=24,4,"")))),IF(E15="r0320 - Deposits, not covered and not preferential",1,4))</f>
        <v>1</v>
      </c>
    </row>
    <row r="16" spans="1:29" ht="36.75" thickBot="1" x14ac:dyDescent="0.3">
      <c r="B16" s="14"/>
      <c r="C16" s="11">
        <v>999</v>
      </c>
      <c r="D16" s="154">
        <v>9</v>
      </c>
      <c r="E16" s="154" t="s">
        <v>1895</v>
      </c>
      <c r="F16" s="154" t="s">
        <v>56</v>
      </c>
      <c r="G16" s="154" t="s">
        <v>1896</v>
      </c>
      <c r="H16" s="154" t="s">
        <v>57</v>
      </c>
      <c r="I16" s="154" t="s">
        <v>78</v>
      </c>
      <c r="J16" s="154" t="s">
        <v>79</v>
      </c>
      <c r="K16" s="154" t="s">
        <v>60</v>
      </c>
      <c r="L16" s="154" t="s">
        <v>1897</v>
      </c>
      <c r="M16" s="154" t="s">
        <v>1383</v>
      </c>
      <c r="N16" s="154" t="s">
        <v>61</v>
      </c>
      <c r="O16" s="154" t="s">
        <v>62</v>
      </c>
      <c r="P16" s="146">
        <v>0</v>
      </c>
      <c r="Q16" s="146">
        <v>0</v>
      </c>
      <c r="R16" s="154" t="s">
        <v>1384</v>
      </c>
      <c r="S16" s="154" t="s">
        <v>1385</v>
      </c>
      <c r="T16" s="155">
        <v>44564</v>
      </c>
      <c r="U16" s="155">
        <v>44564</v>
      </c>
      <c r="V16" s="154" t="s">
        <v>1562</v>
      </c>
      <c r="W16" s="154">
        <v>0</v>
      </c>
      <c r="X16" s="154" t="s">
        <v>63</v>
      </c>
      <c r="Y16" s="154" t="s">
        <v>1386</v>
      </c>
      <c r="Z16" s="154"/>
      <c r="AA16" s="154" t="s">
        <v>1387</v>
      </c>
      <c r="AB16" s="154">
        <v>0</v>
      </c>
      <c r="AC16" s="138">
        <f>IFERROR(IF(DATEDIF(#REF!,U16,"m")&lt;=1,1,IF(AND(DATEDIF(#REF!,U16,"m")&gt;1,DATEDIF(#REF!,U16,"m")&lt;12),2,IF(AND(DATEDIF(#REF!,U16,"m")&gt;=12,DATEDIF(#REF!,U16,"m")&lt;24),3,IF(DATEDIF(#REF!,U16,"m")&gt;=24,4,"")))),IF(E16="r0320 - Deposits, not covered and not preferential",1,4))</f>
        <v>1</v>
      </c>
    </row>
    <row r="17" spans="2:29" ht="36.75" thickBot="1" x14ac:dyDescent="0.3">
      <c r="B17" s="14"/>
      <c r="C17" s="11">
        <v>999</v>
      </c>
      <c r="D17" s="154">
        <v>10</v>
      </c>
      <c r="E17" s="154" t="s">
        <v>1895</v>
      </c>
      <c r="F17" s="154" t="s">
        <v>80</v>
      </c>
      <c r="G17" s="154" t="s">
        <v>1896</v>
      </c>
      <c r="H17" s="154" t="s">
        <v>57</v>
      </c>
      <c r="I17" s="154" t="s">
        <v>81</v>
      </c>
      <c r="J17" s="154" t="s">
        <v>82</v>
      </c>
      <c r="K17" s="154" t="s">
        <v>60</v>
      </c>
      <c r="L17" s="154" t="s">
        <v>1897</v>
      </c>
      <c r="M17" s="154" t="s">
        <v>1383</v>
      </c>
      <c r="N17" s="154" t="s">
        <v>61</v>
      </c>
      <c r="O17" s="154" t="s">
        <v>62</v>
      </c>
      <c r="P17" s="146">
        <v>1834.9799999999996</v>
      </c>
      <c r="Q17" s="146">
        <v>0</v>
      </c>
      <c r="R17" s="154" t="s">
        <v>1384</v>
      </c>
      <c r="S17" s="154" t="s">
        <v>1385</v>
      </c>
      <c r="T17" s="155">
        <v>44564</v>
      </c>
      <c r="U17" s="155">
        <v>44564</v>
      </c>
      <c r="V17" s="154" t="s">
        <v>1562</v>
      </c>
      <c r="W17" s="154">
        <v>0</v>
      </c>
      <c r="X17" s="154" t="s">
        <v>63</v>
      </c>
      <c r="Y17" s="154" t="s">
        <v>1386</v>
      </c>
      <c r="Z17" s="154"/>
      <c r="AA17" s="154" t="s">
        <v>1387</v>
      </c>
      <c r="AB17" s="154">
        <v>0</v>
      </c>
      <c r="AC17" s="138">
        <f>IFERROR(IF(DATEDIF(#REF!,U17,"m")&lt;=1,1,IF(AND(DATEDIF(#REF!,U17,"m")&gt;1,DATEDIF(#REF!,U17,"m")&lt;12),2,IF(AND(DATEDIF(#REF!,U17,"m")&gt;=12,DATEDIF(#REF!,U17,"m")&lt;24),3,IF(DATEDIF(#REF!,U17,"m")&gt;=24,4,"")))),IF(E17="r0320 - Deposits, not covered and not preferential",1,4))</f>
        <v>1</v>
      </c>
    </row>
    <row r="18" spans="2:29" ht="48.75" thickBot="1" x14ac:dyDescent="0.3">
      <c r="B18" s="14"/>
      <c r="C18" s="11">
        <v>999</v>
      </c>
      <c r="D18" s="154">
        <v>11</v>
      </c>
      <c r="E18" s="154" t="s">
        <v>2638</v>
      </c>
      <c r="F18" s="154" t="s">
        <v>260</v>
      </c>
      <c r="G18" s="154" t="s">
        <v>768</v>
      </c>
      <c r="H18" s="154" t="s">
        <v>57</v>
      </c>
      <c r="I18" s="154" t="s">
        <v>783</v>
      </c>
      <c r="J18" s="154" t="s">
        <v>784</v>
      </c>
      <c r="K18" s="154" t="s">
        <v>91</v>
      </c>
      <c r="L18" s="154" t="s">
        <v>1897</v>
      </c>
      <c r="M18" s="154" t="s">
        <v>1388</v>
      </c>
      <c r="N18" s="154" t="s">
        <v>61</v>
      </c>
      <c r="O18" s="154" t="s">
        <v>62</v>
      </c>
      <c r="P18" s="146">
        <v>10885798.01</v>
      </c>
      <c r="Q18" s="146">
        <v>0</v>
      </c>
      <c r="R18" s="154" t="s">
        <v>1384</v>
      </c>
      <c r="S18" s="154" t="s">
        <v>1385</v>
      </c>
      <c r="T18" s="155" t="s">
        <v>1385</v>
      </c>
      <c r="U18" s="155" t="s">
        <v>1385</v>
      </c>
      <c r="V18" s="154" t="s">
        <v>1562</v>
      </c>
      <c r="W18" s="154">
        <v>0</v>
      </c>
      <c r="X18" s="154" t="s">
        <v>63</v>
      </c>
      <c r="Y18" s="154" t="s">
        <v>1900</v>
      </c>
      <c r="Z18" s="154"/>
      <c r="AA18" s="154" t="s">
        <v>1387</v>
      </c>
      <c r="AB18" s="154">
        <v>0</v>
      </c>
      <c r="AC18" s="138">
        <f>IFERROR(IF(DATEDIF(#REF!,U18,"m")&lt;=1,1,IF(AND(DATEDIF(#REF!,U18,"m")&gt;1,DATEDIF(#REF!,U18,"m")&lt;12),2,IF(AND(DATEDIF(#REF!,U18,"m")&gt;=12,DATEDIF(#REF!,U18,"m")&lt;24),3,IF(DATEDIF(#REF!,U18,"m")&gt;=24,4,"")))),IF(E18="r0320 - Deposits, not covered and not preferential",1,4))</f>
        <v>4</v>
      </c>
    </row>
    <row r="19" spans="2:29" ht="48.75" thickBot="1" x14ac:dyDescent="0.3">
      <c r="B19" s="14"/>
      <c r="C19" s="11">
        <v>999</v>
      </c>
      <c r="D19" s="154">
        <v>12</v>
      </c>
      <c r="E19" s="154" t="s">
        <v>2638</v>
      </c>
      <c r="F19" s="154" t="s">
        <v>83</v>
      </c>
      <c r="G19" s="154" t="s">
        <v>768</v>
      </c>
      <c r="H19" s="154" t="s">
        <v>57</v>
      </c>
      <c r="I19" s="154" t="s">
        <v>93</v>
      </c>
      <c r="J19" s="154" t="s">
        <v>94</v>
      </c>
      <c r="K19" s="154" t="s">
        <v>60</v>
      </c>
      <c r="L19" s="154" t="s">
        <v>1897</v>
      </c>
      <c r="M19" s="154" t="s">
        <v>1388</v>
      </c>
      <c r="N19" s="154" t="s">
        <v>61</v>
      </c>
      <c r="O19" s="154" t="s">
        <v>62</v>
      </c>
      <c r="P19" s="146">
        <v>186944801.56999999</v>
      </c>
      <c r="Q19" s="146">
        <v>0</v>
      </c>
      <c r="R19" s="154" t="s">
        <v>1384</v>
      </c>
      <c r="S19" s="154" t="s">
        <v>1385</v>
      </c>
      <c r="T19" s="155" t="s">
        <v>1385</v>
      </c>
      <c r="U19" s="155" t="s">
        <v>1385</v>
      </c>
      <c r="V19" s="154" t="s">
        <v>1562</v>
      </c>
      <c r="W19" s="154">
        <v>0</v>
      </c>
      <c r="X19" s="154" t="s">
        <v>63</v>
      </c>
      <c r="Y19" s="154" t="s">
        <v>1900</v>
      </c>
      <c r="Z19" s="154"/>
      <c r="AA19" s="154" t="s">
        <v>1387</v>
      </c>
      <c r="AB19" s="154">
        <v>0</v>
      </c>
      <c r="AC19" s="138">
        <f>IFERROR(IF(DATEDIF(#REF!,U19,"m")&lt;=1,1,IF(AND(DATEDIF(#REF!,U19,"m")&gt;1,DATEDIF(#REF!,U19,"m")&lt;12),2,IF(AND(DATEDIF(#REF!,U19,"m")&gt;=12,DATEDIF(#REF!,U19,"m")&lt;24),3,IF(DATEDIF(#REF!,U19,"m")&gt;=24,4,"")))),IF(E19="r0320 - Deposits, not covered and not preferential",1,4))</f>
        <v>4</v>
      </c>
    </row>
    <row r="20" spans="2:29" ht="48.75" thickBot="1" x14ac:dyDescent="0.3">
      <c r="B20" s="14"/>
      <c r="C20" s="11">
        <v>999</v>
      </c>
      <c r="D20" s="154">
        <v>13</v>
      </c>
      <c r="E20" s="154" t="s">
        <v>2638</v>
      </c>
      <c r="F20" s="154" t="s">
        <v>83</v>
      </c>
      <c r="G20" s="154" t="s">
        <v>768</v>
      </c>
      <c r="H20" s="154" t="s">
        <v>57</v>
      </c>
      <c r="I20" s="154" t="s">
        <v>153</v>
      </c>
      <c r="J20" s="154" t="s">
        <v>154</v>
      </c>
      <c r="K20" s="154" t="s">
        <v>60</v>
      </c>
      <c r="L20" s="154" t="s">
        <v>1897</v>
      </c>
      <c r="M20" s="154" t="s">
        <v>1388</v>
      </c>
      <c r="N20" s="154" t="s">
        <v>61</v>
      </c>
      <c r="O20" s="154" t="s">
        <v>62</v>
      </c>
      <c r="P20" s="146">
        <v>5293541.03</v>
      </c>
      <c r="Q20" s="146">
        <v>0</v>
      </c>
      <c r="R20" s="154" t="s">
        <v>1384</v>
      </c>
      <c r="S20" s="154" t="s">
        <v>1385</v>
      </c>
      <c r="T20" s="155" t="s">
        <v>1385</v>
      </c>
      <c r="U20" s="155" t="s">
        <v>1385</v>
      </c>
      <c r="V20" s="154" t="s">
        <v>1562</v>
      </c>
      <c r="W20" s="154">
        <v>0</v>
      </c>
      <c r="X20" s="154" t="s">
        <v>63</v>
      </c>
      <c r="Y20" s="154" t="s">
        <v>1900</v>
      </c>
      <c r="Z20" s="154"/>
      <c r="AA20" s="154" t="s">
        <v>1387</v>
      </c>
      <c r="AB20" s="154">
        <v>0</v>
      </c>
      <c r="AC20" s="138">
        <f>IFERROR(IF(DATEDIF(#REF!,U20,"m")&lt;=1,1,IF(AND(DATEDIF(#REF!,U20,"m")&gt;1,DATEDIF(#REF!,U20,"m")&lt;12),2,IF(AND(DATEDIF(#REF!,U20,"m")&gt;=12,DATEDIF(#REF!,U20,"m")&lt;24),3,IF(DATEDIF(#REF!,U20,"m")&gt;=24,4,"")))),IF(E20="r0320 - Deposits, not covered and not preferential",1,4))</f>
        <v>4</v>
      </c>
    </row>
    <row r="21" spans="2:29" ht="48.75" thickBot="1" x14ac:dyDescent="0.3">
      <c r="B21" s="14"/>
      <c r="C21" s="11">
        <v>999</v>
      </c>
      <c r="D21" s="154">
        <v>14</v>
      </c>
      <c r="E21" s="154" t="s">
        <v>2638</v>
      </c>
      <c r="F21" s="154" t="s">
        <v>87</v>
      </c>
      <c r="G21" s="154" t="s">
        <v>768</v>
      </c>
      <c r="H21" s="154" t="s">
        <v>57</v>
      </c>
      <c r="I21" s="154" t="s">
        <v>89</v>
      </c>
      <c r="J21" s="154" t="s">
        <v>90</v>
      </c>
      <c r="K21" s="154" t="s">
        <v>91</v>
      </c>
      <c r="L21" s="154" t="s">
        <v>1901</v>
      </c>
      <c r="M21" s="154" t="s">
        <v>1383</v>
      </c>
      <c r="N21" s="154" t="s">
        <v>61</v>
      </c>
      <c r="O21" s="154" t="s">
        <v>62</v>
      </c>
      <c r="P21" s="146">
        <v>11361.96</v>
      </c>
      <c r="Q21" s="146">
        <v>0</v>
      </c>
      <c r="R21" s="154" t="s">
        <v>1384</v>
      </c>
      <c r="S21" s="154" t="s">
        <v>1385</v>
      </c>
      <c r="T21" s="155" t="s">
        <v>1385</v>
      </c>
      <c r="U21" s="155" t="s">
        <v>1385</v>
      </c>
      <c r="V21" s="154" t="s">
        <v>1562</v>
      </c>
      <c r="W21" s="154">
        <v>0</v>
      </c>
      <c r="X21" s="154" t="s">
        <v>63</v>
      </c>
      <c r="Y21" s="154" t="s">
        <v>1900</v>
      </c>
      <c r="Z21" s="154"/>
      <c r="AA21" s="154" t="s">
        <v>1387</v>
      </c>
      <c r="AB21" s="154">
        <v>0</v>
      </c>
      <c r="AC21" s="138">
        <f>IFERROR(IF(DATEDIF(#REF!,U21,"m")&lt;=1,1,IF(AND(DATEDIF(#REF!,U21,"m")&gt;1,DATEDIF(#REF!,U21,"m")&lt;12),2,IF(AND(DATEDIF(#REF!,U21,"m")&gt;=12,DATEDIF(#REF!,U21,"m")&lt;24),3,IF(DATEDIF(#REF!,U21,"m")&gt;=24,4,"")))),IF(E21="r0320 - Deposits, not covered and not preferential",1,4))</f>
        <v>4</v>
      </c>
    </row>
    <row r="22" spans="2:29" ht="48.75" thickBot="1" x14ac:dyDescent="0.3">
      <c r="B22" s="14"/>
      <c r="C22" s="11">
        <v>999</v>
      </c>
      <c r="D22" s="154">
        <v>15</v>
      </c>
      <c r="E22" s="154" t="s">
        <v>2638</v>
      </c>
      <c r="F22" s="154" t="s">
        <v>260</v>
      </c>
      <c r="G22" s="154" t="s">
        <v>768</v>
      </c>
      <c r="H22" s="154" t="s">
        <v>57</v>
      </c>
      <c r="I22" s="154" t="s">
        <v>262</v>
      </c>
      <c r="J22" s="154" t="s">
        <v>263</v>
      </c>
      <c r="K22" s="154" t="s">
        <v>91</v>
      </c>
      <c r="L22" s="154" t="s">
        <v>1897</v>
      </c>
      <c r="M22" s="154" t="s">
        <v>1388</v>
      </c>
      <c r="N22" s="154" t="s">
        <v>61</v>
      </c>
      <c r="O22" s="154" t="s">
        <v>62</v>
      </c>
      <c r="P22" s="146">
        <v>248370451.47999999</v>
      </c>
      <c r="Q22" s="146">
        <v>677.16</v>
      </c>
      <c r="R22" s="154" t="s">
        <v>1384</v>
      </c>
      <c r="S22" s="154" t="s">
        <v>1385</v>
      </c>
      <c r="T22" s="155" t="s">
        <v>1385</v>
      </c>
      <c r="U22" s="155" t="s">
        <v>1385</v>
      </c>
      <c r="V22" s="154" t="s">
        <v>1562</v>
      </c>
      <c r="W22" s="154">
        <v>0</v>
      </c>
      <c r="X22" s="154" t="s">
        <v>63</v>
      </c>
      <c r="Y22" s="154" t="s">
        <v>1900</v>
      </c>
      <c r="Z22" s="154"/>
      <c r="AA22" s="154" t="s">
        <v>1387</v>
      </c>
      <c r="AB22" s="154">
        <v>0</v>
      </c>
      <c r="AC22" s="138">
        <f>IFERROR(IF(DATEDIF(#REF!,U22,"m")&lt;=1,1,IF(AND(DATEDIF(#REF!,U22,"m")&gt;1,DATEDIF(#REF!,U22,"m")&lt;12),2,IF(AND(DATEDIF(#REF!,U22,"m")&gt;=12,DATEDIF(#REF!,U22,"m")&lt;24),3,IF(DATEDIF(#REF!,U22,"m")&gt;=24,4,"")))),IF(E22="r0320 - Deposits, not covered and not preferential",1,4))</f>
        <v>4</v>
      </c>
    </row>
    <row r="23" spans="2:29" ht="48.75" thickBot="1" x14ac:dyDescent="0.3">
      <c r="B23" s="14"/>
      <c r="C23" s="11">
        <v>999</v>
      </c>
      <c r="D23" s="154">
        <v>16</v>
      </c>
      <c r="E23" s="154" t="s">
        <v>2638</v>
      </c>
      <c r="F23" s="154" t="s">
        <v>260</v>
      </c>
      <c r="G23" s="154" t="s">
        <v>768</v>
      </c>
      <c r="H23" s="154" t="s">
        <v>57</v>
      </c>
      <c r="I23" s="154" t="s">
        <v>295</v>
      </c>
      <c r="J23" s="154" t="s">
        <v>296</v>
      </c>
      <c r="K23" s="154" t="s">
        <v>91</v>
      </c>
      <c r="L23" s="154" t="s">
        <v>1897</v>
      </c>
      <c r="M23" s="154" t="s">
        <v>1388</v>
      </c>
      <c r="N23" s="154" t="s">
        <v>61</v>
      </c>
      <c r="O23" s="154" t="s">
        <v>62</v>
      </c>
      <c r="P23" s="146">
        <v>5303802.1399999997</v>
      </c>
      <c r="Q23" s="146">
        <v>0</v>
      </c>
      <c r="R23" s="154" t="s">
        <v>1384</v>
      </c>
      <c r="S23" s="154" t="s">
        <v>1385</v>
      </c>
      <c r="T23" s="155" t="s">
        <v>1385</v>
      </c>
      <c r="U23" s="155" t="s">
        <v>1385</v>
      </c>
      <c r="V23" s="154" t="s">
        <v>1562</v>
      </c>
      <c r="W23" s="154">
        <v>0</v>
      </c>
      <c r="X23" s="154" t="s">
        <v>63</v>
      </c>
      <c r="Y23" s="154" t="s">
        <v>1900</v>
      </c>
      <c r="Z23" s="154"/>
      <c r="AA23" s="154" t="s">
        <v>1387</v>
      </c>
      <c r="AB23" s="154">
        <v>0</v>
      </c>
      <c r="AC23" s="138">
        <f>IFERROR(IF(DATEDIF(#REF!,U23,"m")&lt;=1,1,IF(AND(DATEDIF(#REF!,U23,"m")&gt;1,DATEDIF(#REF!,U23,"m")&lt;12),2,IF(AND(DATEDIF(#REF!,U23,"m")&gt;=12,DATEDIF(#REF!,U23,"m")&lt;24),3,IF(DATEDIF(#REF!,U23,"m")&gt;=24,4,"")))),IF(E23="r0320 - Deposits, not covered and not preferential",1,4))</f>
        <v>4</v>
      </c>
    </row>
    <row r="24" spans="2:29" ht="48.75" thickBot="1" x14ac:dyDescent="0.3">
      <c r="B24" s="14"/>
      <c r="C24" s="11">
        <v>999</v>
      </c>
      <c r="D24" s="154">
        <v>17</v>
      </c>
      <c r="E24" s="154" t="s">
        <v>2638</v>
      </c>
      <c r="F24" s="154" t="s">
        <v>260</v>
      </c>
      <c r="G24" s="154" t="s">
        <v>768</v>
      </c>
      <c r="H24" s="154" t="s">
        <v>57</v>
      </c>
      <c r="I24" s="154" t="s">
        <v>275</v>
      </c>
      <c r="J24" s="154" t="s">
        <v>276</v>
      </c>
      <c r="K24" s="154" t="s">
        <v>91</v>
      </c>
      <c r="L24" s="154" t="s">
        <v>1897</v>
      </c>
      <c r="M24" s="154" t="s">
        <v>1388</v>
      </c>
      <c r="N24" s="154" t="s">
        <v>61</v>
      </c>
      <c r="O24" s="154" t="s">
        <v>62</v>
      </c>
      <c r="P24" s="146">
        <v>8439317.9499999993</v>
      </c>
      <c r="Q24" s="146">
        <v>0</v>
      </c>
      <c r="R24" s="154" t="s">
        <v>1384</v>
      </c>
      <c r="S24" s="154" t="s">
        <v>1385</v>
      </c>
      <c r="T24" s="155" t="s">
        <v>1385</v>
      </c>
      <c r="U24" s="155" t="s">
        <v>1385</v>
      </c>
      <c r="V24" s="154" t="s">
        <v>1562</v>
      </c>
      <c r="W24" s="154">
        <v>0</v>
      </c>
      <c r="X24" s="154" t="s">
        <v>63</v>
      </c>
      <c r="Y24" s="154" t="s">
        <v>1900</v>
      </c>
      <c r="Z24" s="154"/>
      <c r="AA24" s="154" t="s">
        <v>1387</v>
      </c>
      <c r="AB24" s="154">
        <v>0</v>
      </c>
      <c r="AC24" s="138">
        <f>IFERROR(IF(DATEDIF(#REF!,U24,"m")&lt;=1,1,IF(AND(DATEDIF(#REF!,U24,"m")&gt;1,DATEDIF(#REF!,U24,"m")&lt;12),2,IF(AND(DATEDIF(#REF!,U24,"m")&gt;=12,DATEDIF(#REF!,U24,"m")&lt;24),3,IF(DATEDIF(#REF!,U24,"m")&gt;=24,4,"")))),IF(E24="r0320 - Deposits, not covered and not preferential",1,4))</f>
        <v>4</v>
      </c>
    </row>
    <row r="25" spans="2:29" ht="48.75" thickBot="1" x14ac:dyDescent="0.3">
      <c r="B25" s="14"/>
      <c r="C25" s="11">
        <v>999</v>
      </c>
      <c r="D25" s="154">
        <v>18</v>
      </c>
      <c r="E25" s="154" t="s">
        <v>2638</v>
      </c>
      <c r="F25" s="154" t="s">
        <v>260</v>
      </c>
      <c r="G25" s="154" t="s">
        <v>768</v>
      </c>
      <c r="H25" s="154" t="s">
        <v>261</v>
      </c>
      <c r="I25" s="154" t="s">
        <v>262</v>
      </c>
      <c r="J25" s="154" t="s">
        <v>263</v>
      </c>
      <c r="K25" s="154" t="s">
        <v>91</v>
      </c>
      <c r="L25" s="154" t="s">
        <v>1897</v>
      </c>
      <c r="M25" s="154" t="s">
        <v>1388</v>
      </c>
      <c r="N25" s="154" t="s">
        <v>61</v>
      </c>
      <c r="O25" s="154" t="s">
        <v>62</v>
      </c>
      <c r="P25" s="146">
        <v>2760000</v>
      </c>
      <c r="Q25" s="146">
        <v>5812.51</v>
      </c>
      <c r="R25" s="154" t="s">
        <v>1384</v>
      </c>
      <c r="S25" s="154" t="s">
        <v>1385</v>
      </c>
      <c r="T25" s="155" t="s">
        <v>1385</v>
      </c>
      <c r="U25" s="155" t="s">
        <v>1385</v>
      </c>
      <c r="V25" s="154" t="s">
        <v>1562</v>
      </c>
      <c r="W25" s="154">
        <v>0</v>
      </c>
      <c r="X25" s="154" t="s">
        <v>63</v>
      </c>
      <c r="Y25" s="154" t="s">
        <v>1900</v>
      </c>
      <c r="Z25" s="154"/>
      <c r="AA25" s="154" t="s">
        <v>1387</v>
      </c>
      <c r="AB25" s="154">
        <v>0</v>
      </c>
      <c r="AC25" s="138">
        <f>IFERROR(IF(DATEDIF(#REF!,U25,"m")&lt;=1,1,IF(AND(DATEDIF(#REF!,U25,"m")&gt;1,DATEDIF(#REF!,U25,"m")&lt;12),2,IF(AND(DATEDIF(#REF!,U25,"m")&gt;=12,DATEDIF(#REF!,U25,"m")&lt;24),3,IF(DATEDIF(#REF!,U25,"m")&gt;=24,4,"")))),IF(E25="r0320 - Deposits, not covered and not preferential",1,4))</f>
        <v>4</v>
      </c>
    </row>
    <row r="26" spans="2:29" ht="48.75" thickBot="1" x14ac:dyDescent="0.3">
      <c r="B26" s="14"/>
      <c r="C26" s="11">
        <v>999</v>
      </c>
      <c r="D26" s="154">
        <v>19</v>
      </c>
      <c r="E26" s="154" t="s">
        <v>2638</v>
      </c>
      <c r="F26" s="154" t="s">
        <v>83</v>
      </c>
      <c r="G26" s="154" t="s">
        <v>768</v>
      </c>
      <c r="H26" s="154" t="s">
        <v>57</v>
      </c>
      <c r="I26" s="154" t="s">
        <v>829</v>
      </c>
      <c r="J26" s="154" t="s">
        <v>830</v>
      </c>
      <c r="K26" s="154" t="s">
        <v>60</v>
      </c>
      <c r="L26" s="154" t="s">
        <v>1897</v>
      </c>
      <c r="M26" s="154" t="s">
        <v>1388</v>
      </c>
      <c r="N26" s="154" t="s">
        <v>61</v>
      </c>
      <c r="O26" s="154" t="s">
        <v>62</v>
      </c>
      <c r="P26" s="146">
        <v>93903231.420000002</v>
      </c>
      <c r="Q26" s="146">
        <v>0</v>
      </c>
      <c r="R26" s="154" t="s">
        <v>1384</v>
      </c>
      <c r="S26" s="154" t="s">
        <v>1385</v>
      </c>
      <c r="T26" s="155" t="s">
        <v>1385</v>
      </c>
      <c r="U26" s="155" t="s">
        <v>1385</v>
      </c>
      <c r="V26" s="154" t="s">
        <v>1562</v>
      </c>
      <c r="W26" s="154">
        <v>0</v>
      </c>
      <c r="X26" s="154" t="s">
        <v>63</v>
      </c>
      <c r="Y26" s="154" t="s">
        <v>1900</v>
      </c>
      <c r="Z26" s="154"/>
      <c r="AA26" s="154" t="s">
        <v>1387</v>
      </c>
      <c r="AB26" s="154">
        <v>0</v>
      </c>
      <c r="AC26" s="138">
        <f>IFERROR(IF(DATEDIF(#REF!,U26,"m")&lt;=1,1,IF(AND(DATEDIF(#REF!,U26,"m")&gt;1,DATEDIF(#REF!,U26,"m")&lt;12),2,IF(AND(DATEDIF(#REF!,U26,"m")&gt;=12,DATEDIF(#REF!,U26,"m")&lt;24),3,IF(DATEDIF(#REF!,U26,"m")&gt;=24,4,"")))),IF(E26="r0320 - Deposits, not covered and not preferential",1,4))</f>
        <v>4</v>
      </c>
    </row>
    <row r="27" spans="2:29" ht="48.75" thickBot="1" x14ac:dyDescent="0.3">
      <c r="B27" s="14"/>
      <c r="C27" s="11">
        <v>999</v>
      </c>
      <c r="D27" s="154">
        <v>20</v>
      </c>
      <c r="E27" s="154" t="s">
        <v>2638</v>
      </c>
      <c r="F27" s="154" t="s">
        <v>87</v>
      </c>
      <c r="G27" s="154" t="s">
        <v>768</v>
      </c>
      <c r="H27" s="154" t="s">
        <v>57</v>
      </c>
      <c r="I27" s="154" t="s">
        <v>108</v>
      </c>
      <c r="J27" s="154" t="s">
        <v>90</v>
      </c>
      <c r="K27" s="154" t="s">
        <v>91</v>
      </c>
      <c r="L27" s="154" t="s">
        <v>1897</v>
      </c>
      <c r="M27" s="154" t="s">
        <v>1383</v>
      </c>
      <c r="N27" s="154" t="s">
        <v>61</v>
      </c>
      <c r="O27" s="154" t="s">
        <v>62</v>
      </c>
      <c r="P27" s="146">
        <v>27137.780000000101</v>
      </c>
      <c r="Q27" s="146">
        <v>0</v>
      </c>
      <c r="R27" s="154" t="s">
        <v>1384</v>
      </c>
      <c r="S27" s="154" t="s">
        <v>1385</v>
      </c>
      <c r="T27" s="155" t="s">
        <v>1385</v>
      </c>
      <c r="U27" s="155" t="s">
        <v>1385</v>
      </c>
      <c r="V27" s="154" t="s">
        <v>1562</v>
      </c>
      <c r="W27" s="154">
        <v>0</v>
      </c>
      <c r="X27" s="154" t="s">
        <v>63</v>
      </c>
      <c r="Y27" s="154" t="s">
        <v>1900</v>
      </c>
      <c r="Z27" s="154"/>
      <c r="AA27" s="154" t="s">
        <v>1387</v>
      </c>
      <c r="AB27" s="154">
        <v>0</v>
      </c>
      <c r="AC27" s="138">
        <f>IFERROR(IF(DATEDIF(#REF!,U27,"m")&lt;=1,1,IF(AND(DATEDIF(#REF!,U27,"m")&gt;1,DATEDIF(#REF!,U27,"m")&lt;12),2,IF(AND(DATEDIF(#REF!,U27,"m")&gt;=12,DATEDIF(#REF!,U27,"m")&lt;24),3,IF(DATEDIF(#REF!,U27,"m")&gt;=24,4,"")))),IF(E27="r0320 - Deposits, not covered and not preferential",1,4))</f>
        <v>4</v>
      </c>
    </row>
    <row r="28" spans="2:29" ht="36.75" thickBot="1" x14ac:dyDescent="0.3">
      <c r="B28" s="14"/>
      <c r="C28" s="11">
        <v>999</v>
      </c>
      <c r="D28" s="154">
        <v>21</v>
      </c>
      <c r="E28" s="154" t="s">
        <v>1898</v>
      </c>
      <c r="F28" s="154" t="s">
        <v>87</v>
      </c>
      <c r="G28" s="154" t="s">
        <v>1402</v>
      </c>
      <c r="H28" s="154" t="s">
        <v>1270</v>
      </c>
      <c r="I28" s="154" t="s">
        <v>96</v>
      </c>
      <c r="J28" s="154" t="s">
        <v>97</v>
      </c>
      <c r="K28" s="154" t="s">
        <v>91</v>
      </c>
      <c r="L28" s="154" t="s">
        <v>1897</v>
      </c>
      <c r="M28" s="154" t="s">
        <v>1383</v>
      </c>
      <c r="N28" s="154" t="s">
        <v>61</v>
      </c>
      <c r="O28" s="154" t="s">
        <v>62</v>
      </c>
      <c r="P28" s="146">
        <v>9.15</v>
      </c>
      <c r="Q28" s="146">
        <v>0</v>
      </c>
      <c r="R28" s="154" t="s">
        <v>1384</v>
      </c>
      <c r="S28" s="154" t="s">
        <v>1899</v>
      </c>
      <c r="T28" s="155" t="s">
        <v>1899</v>
      </c>
      <c r="U28" s="155" t="s">
        <v>1899</v>
      </c>
      <c r="V28" s="154" t="s">
        <v>1562</v>
      </c>
      <c r="W28" s="154">
        <v>0</v>
      </c>
      <c r="X28" s="154" t="s">
        <v>63</v>
      </c>
      <c r="Y28" s="154" t="s">
        <v>1900</v>
      </c>
      <c r="Z28" s="154"/>
      <c r="AA28" s="154" t="s">
        <v>1387</v>
      </c>
      <c r="AB28" s="154">
        <v>0</v>
      </c>
      <c r="AC28" s="138">
        <f>IFERROR(IF(DATEDIF(#REF!,U28,"m")&lt;=1,1,IF(AND(DATEDIF(#REF!,U28,"m")&gt;1,DATEDIF(#REF!,U28,"m")&lt;12),2,IF(AND(DATEDIF(#REF!,U28,"m")&gt;=12,DATEDIF(#REF!,U28,"m")&lt;24),3,IF(DATEDIF(#REF!,U28,"m")&gt;=24,4,"")))),IF(E28="r0320 - Deposits, not covered and not preferential",1,4))</f>
        <v>4</v>
      </c>
    </row>
    <row r="29" spans="2:29" ht="36.75" thickBot="1" x14ac:dyDescent="0.3">
      <c r="B29" s="14"/>
      <c r="C29" s="11">
        <v>999</v>
      </c>
      <c r="D29" s="154">
        <v>22</v>
      </c>
      <c r="E29" s="154" t="s">
        <v>1898</v>
      </c>
      <c r="F29" s="154" t="s">
        <v>87</v>
      </c>
      <c r="G29" s="154" t="s">
        <v>1402</v>
      </c>
      <c r="H29" s="154" t="s">
        <v>692</v>
      </c>
      <c r="I29" s="154" t="s">
        <v>89</v>
      </c>
      <c r="J29" s="154" t="s">
        <v>90</v>
      </c>
      <c r="K29" s="154" t="s">
        <v>91</v>
      </c>
      <c r="L29" s="154" t="s">
        <v>1901</v>
      </c>
      <c r="M29" s="154" t="s">
        <v>1383</v>
      </c>
      <c r="N29" s="154" t="s">
        <v>61</v>
      </c>
      <c r="O29" s="154" t="s">
        <v>62</v>
      </c>
      <c r="P29" s="146">
        <v>0.1</v>
      </c>
      <c r="Q29" s="146">
        <v>0</v>
      </c>
      <c r="R29" s="154" t="s">
        <v>1384</v>
      </c>
      <c r="S29" s="154" t="s">
        <v>1899</v>
      </c>
      <c r="T29" s="155" t="s">
        <v>1899</v>
      </c>
      <c r="U29" s="155" t="s">
        <v>1899</v>
      </c>
      <c r="V29" s="154" t="s">
        <v>1562</v>
      </c>
      <c r="W29" s="154">
        <v>0</v>
      </c>
      <c r="X29" s="154" t="s">
        <v>63</v>
      </c>
      <c r="Y29" s="154" t="s">
        <v>1900</v>
      </c>
      <c r="Z29" s="154"/>
      <c r="AA29" s="154" t="s">
        <v>1387</v>
      </c>
      <c r="AB29" s="154">
        <v>0</v>
      </c>
      <c r="AC29" s="138">
        <f>IFERROR(IF(DATEDIF(#REF!,U29,"m")&lt;=1,1,IF(AND(DATEDIF(#REF!,U29,"m")&gt;1,DATEDIF(#REF!,U29,"m")&lt;12),2,IF(AND(DATEDIF(#REF!,U29,"m")&gt;=12,DATEDIF(#REF!,U29,"m")&lt;24),3,IF(DATEDIF(#REF!,U29,"m")&gt;=24,4,"")))),IF(E29="r0320 - Deposits, not covered and not preferential",1,4))</f>
        <v>4</v>
      </c>
    </row>
    <row r="30" spans="2:29" ht="48.75" thickBot="1" x14ac:dyDescent="0.3">
      <c r="B30" s="14"/>
      <c r="C30" s="11">
        <v>999</v>
      </c>
      <c r="D30" s="154">
        <v>23</v>
      </c>
      <c r="E30" s="154" t="s">
        <v>1902</v>
      </c>
      <c r="F30" s="154" t="s">
        <v>83</v>
      </c>
      <c r="G30" s="154" t="s">
        <v>1903</v>
      </c>
      <c r="H30" s="154" t="s">
        <v>1278</v>
      </c>
      <c r="I30" s="154" t="s">
        <v>114</v>
      </c>
      <c r="J30" s="154" t="s">
        <v>115</v>
      </c>
      <c r="K30" s="154" t="s">
        <v>60</v>
      </c>
      <c r="L30" s="154" t="s">
        <v>1897</v>
      </c>
      <c r="M30" s="154" t="s">
        <v>1388</v>
      </c>
      <c r="N30" s="154" t="s">
        <v>61</v>
      </c>
      <c r="O30" s="154" t="s">
        <v>62</v>
      </c>
      <c r="P30" s="146">
        <v>86101.18</v>
      </c>
      <c r="Q30" s="146">
        <v>11.01</v>
      </c>
      <c r="R30" s="154" t="s">
        <v>1384</v>
      </c>
      <c r="S30" s="154" t="s">
        <v>1899</v>
      </c>
      <c r="T30" s="155" t="s">
        <v>768</v>
      </c>
      <c r="U30" s="155" t="s">
        <v>1899</v>
      </c>
      <c r="V30" s="154" t="s">
        <v>1904</v>
      </c>
      <c r="W30" s="154">
        <v>0</v>
      </c>
      <c r="X30" s="154" t="s">
        <v>63</v>
      </c>
      <c r="Y30" s="154" t="s">
        <v>1386</v>
      </c>
      <c r="Z30" s="154"/>
      <c r="AA30" s="154" t="s">
        <v>1387</v>
      </c>
      <c r="AB30" s="154">
        <v>0</v>
      </c>
      <c r="AC30" s="138">
        <f>IFERROR(IF(DATEDIF(#REF!,U30,"m")&lt;=1,1,IF(AND(DATEDIF(#REF!,U30,"m")&gt;1,DATEDIF(#REF!,U30,"m")&lt;12),2,IF(AND(DATEDIF(#REF!,U30,"m")&gt;=12,DATEDIF(#REF!,U30,"m")&lt;24),3,IF(DATEDIF(#REF!,U30,"m")&gt;=24,4,"")))),IF(E30="r0320 - Deposits, not covered and not preferential",1,4))</f>
        <v>4</v>
      </c>
    </row>
    <row r="31" spans="2:29" ht="48.75" thickBot="1" x14ac:dyDescent="0.3">
      <c r="B31" s="14"/>
      <c r="C31" s="11">
        <v>999</v>
      </c>
      <c r="D31" s="154">
        <v>24</v>
      </c>
      <c r="E31" s="154" t="s">
        <v>1902</v>
      </c>
      <c r="F31" s="154" t="s">
        <v>83</v>
      </c>
      <c r="G31" s="154" t="s">
        <v>1903</v>
      </c>
      <c r="H31" s="154" t="s">
        <v>211</v>
      </c>
      <c r="I31" s="154" t="s">
        <v>101</v>
      </c>
      <c r="J31" s="154" t="s">
        <v>102</v>
      </c>
      <c r="K31" s="154" t="s">
        <v>60</v>
      </c>
      <c r="L31" s="154" t="s">
        <v>1897</v>
      </c>
      <c r="M31" s="154" t="s">
        <v>1388</v>
      </c>
      <c r="N31" s="154" t="s">
        <v>61</v>
      </c>
      <c r="O31" s="154" t="s">
        <v>62</v>
      </c>
      <c r="P31" s="146">
        <v>146906.53</v>
      </c>
      <c r="Q31" s="146">
        <v>96.35</v>
      </c>
      <c r="R31" s="154" t="s">
        <v>1384</v>
      </c>
      <c r="S31" s="154" t="s">
        <v>1899</v>
      </c>
      <c r="T31" s="155" t="s">
        <v>768</v>
      </c>
      <c r="U31" s="155" t="s">
        <v>1899</v>
      </c>
      <c r="V31" s="154" t="s">
        <v>1904</v>
      </c>
      <c r="W31" s="154">
        <v>0</v>
      </c>
      <c r="X31" s="154" t="s">
        <v>63</v>
      </c>
      <c r="Y31" s="154" t="s">
        <v>1386</v>
      </c>
      <c r="Z31" s="154"/>
      <c r="AA31" s="154" t="s">
        <v>1387</v>
      </c>
      <c r="AB31" s="154">
        <v>0</v>
      </c>
      <c r="AC31" s="138">
        <f>IFERROR(IF(DATEDIF(#REF!,U31,"m")&lt;=1,1,IF(AND(DATEDIF(#REF!,U31,"m")&gt;1,DATEDIF(#REF!,U31,"m")&lt;12),2,IF(AND(DATEDIF(#REF!,U31,"m")&gt;=12,DATEDIF(#REF!,U31,"m")&lt;24),3,IF(DATEDIF(#REF!,U31,"m")&gt;=24,4,"")))),IF(E31="r0320 - Deposits, not covered and not preferential",1,4))</f>
        <v>4</v>
      </c>
    </row>
    <row r="32" spans="2:29" ht="36.75" thickBot="1" x14ac:dyDescent="0.3">
      <c r="B32" s="14"/>
      <c r="C32" s="11">
        <v>999</v>
      </c>
      <c r="D32" s="154">
        <v>25</v>
      </c>
      <c r="E32" s="154" t="s">
        <v>1898</v>
      </c>
      <c r="F32" s="154" t="s">
        <v>87</v>
      </c>
      <c r="G32" s="154" t="s">
        <v>1402</v>
      </c>
      <c r="H32" s="154" t="s">
        <v>391</v>
      </c>
      <c r="I32" s="154" t="s">
        <v>99</v>
      </c>
      <c r="J32" s="154" t="s">
        <v>90</v>
      </c>
      <c r="K32" s="154" t="s">
        <v>91</v>
      </c>
      <c r="L32" s="154" t="s">
        <v>1897</v>
      </c>
      <c r="M32" s="154" t="s">
        <v>1383</v>
      </c>
      <c r="N32" s="154" t="s">
        <v>61</v>
      </c>
      <c r="O32" s="154" t="s">
        <v>62</v>
      </c>
      <c r="P32" s="146">
        <v>0.01</v>
      </c>
      <c r="Q32" s="146">
        <v>0</v>
      </c>
      <c r="R32" s="154" t="s">
        <v>1384</v>
      </c>
      <c r="S32" s="154" t="s">
        <v>1899</v>
      </c>
      <c r="T32" s="155" t="s">
        <v>1899</v>
      </c>
      <c r="U32" s="155" t="s">
        <v>1899</v>
      </c>
      <c r="V32" s="154" t="s">
        <v>1562</v>
      </c>
      <c r="W32" s="154">
        <v>0</v>
      </c>
      <c r="X32" s="154" t="s">
        <v>63</v>
      </c>
      <c r="Y32" s="154" t="s">
        <v>1900</v>
      </c>
      <c r="Z32" s="154"/>
      <c r="AA32" s="154" t="s">
        <v>1387</v>
      </c>
      <c r="AB32" s="154">
        <v>0</v>
      </c>
      <c r="AC32" s="138">
        <f>IFERROR(IF(DATEDIF(#REF!,U32,"m")&lt;=1,1,IF(AND(DATEDIF(#REF!,U32,"m")&gt;1,DATEDIF(#REF!,U32,"m")&lt;12),2,IF(AND(DATEDIF(#REF!,U32,"m")&gt;=12,DATEDIF(#REF!,U32,"m")&lt;24),3,IF(DATEDIF(#REF!,U32,"m")&gt;=24,4,"")))),IF(E32="r0320 - Deposits, not covered and not preferential",1,4))</f>
        <v>4</v>
      </c>
    </row>
    <row r="33" spans="2:29" ht="36.75" thickBot="1" x14ac:dyDescent="0.3">
      <c r="B33" s="14"/>
      <c r="C33" s="11">
        <v>999</v>
      </c>
      <c r="D33" s="154">
        <v>26</v>
      </c>
      <c r="E33" s="154" t="s">
        <v>1898</v>
      </c>
      <c r="F33" s="154" t="s">
        <v>87</v>
      </c>
      <c r="G33" s="154" t="s">
        <v>1402</v>
      </c>
      <c r="H33" s="154" t="s">
        <v>613</v>
      </c>
      <c r="I33" s="154" t="s">
        <v>108</v>
      </c>
      <c r="J33" s="154" t="s">
        <v>90</v>
      </c>
      <c r="K33" s="154" t="s">
        <v>91</v>
      </c>
      <c r="L33" s="154" t="s">
        <v>1897</v>
      </c>
      <c r="M33" s="154" t="s">
        <v>1383</v>
      </c>
      <c r="N33" s="154" t="s">
        <v>61</v>
      </c>
      <c r="O33" s="154" t="s">
        <v>62</v>
      </c>
      <c r="P33" s="146">
        <v>0.3</v>
      </c>
      <c r="Q33" s="146">
        <v>0</v>
      </c>
      <c r="R33" s="154" t="s">
        <v>1384</v>
      </c>
      <c r="S33" s="154" t="s">
        <v>1899</v>
      </c>
      <c r="T33" s="155" t="s">
        <v>1899</v>
      </c>
      <c r="U33" s="155" t="s">
        <v>1899</v>
      </c>
      <c r="V33" s="154" t="s">
        <v>1562</v>
      </c>
      <c r="W33" s="154">
        <v>0</v>
      </c>
      <c r="X33" s="154" t="s">
        <v>63</v>
      </c>
      <c r="Y33" s="154" t="s">
        <v>1900</v>
      </c>
      <c r="Z33" s="154"/>
      <c r="AA33" s="154" t="s">
        <v>1387</v>
      </c>
      <c r="AB33" s="154">
        <v>0</v>
      </c>
      <c r="AC33" s="138">
        <f>IFERROR(IF(DATEDIF(#REF!,U33,"m")&lt;=1,1,IF(AND(DATEDIF(#REF!,U33,"m")&gt;1,DATEDIF(#REF!,U33,"m")&lt;12),2,IF(AND(DATEDIF(#REF!,U33,"m")&gt;=12,DATEDIF(#REF!,U33,"m")&lt;24),3,IF(DATEDIF(#REF!,U33,"m")&gt;=24,4,"")))),IF(E33="r0320 - Deposits, not covered and not preferential",1,4))</f>
        <v>4</v>
      </c>
    </row>
    <row r="34" spans="2:29" ht="36.75" thickBot="1" x14ac:dyDescent="0.3">
      <c r="B34" s="14"/>
      <c r="C34" s="11">
        <v>999</v>
      </c>
      <c r="D34" s="154">
        <v>27</v>
      </c>
      <c r="E34" s="154" t="s">
        <v>1898</v>
      </c>
      <c r="F34" s="154" t="s">
        <v>87</v>
      </c>
      <c r="G34" s="154" t="s">
        <v>1402</v>
      </c>
      <c r="H34" s="154" t="s">
        <v>294</v>
      </c>
      <c r="I34" s="154" t="s">
        <v>104</v>
      </c>
      <c r="J34" s="154" t="s">
        <v>105</v>
      </c>
      <c r="K34" s="154" t="s">
        <v>60</v>
      </c>
      <c r="L34" s="154" t="s">
        <v>1897</v>
      </c>
      <c r="M34" s="154" t="s">
        <v>1383</v>
      </c>
      <c r="N34" s="154" t="s">
        <v>61</v>
      </c>
      <c r="O34" s="154" t="s">
        <v>62</v>
      </c>
      <c r="P34" s="146">
        <v>3.87</v>
      </c>
      <c r="Q34" s="146">
        <v>0</v>
      </c>
      <c r="R34" s="154" t="s">
        <v>1384</v>
      </c>
      <c r="S34" s="154" t="s">
        <v>1899</v>
      </c>
      <c r="T34" s="155" t="s">
        <v>1899</v>
      </c>
      <c r="U34" s="155" t="s">
        <v>1899</v>
      </c>
      <c r="V34" s="154" t="s">
        <v>1562</v>
      </c>
      <c r="W34" s="154">
        <v>0</v>
      </c>
      <c r="X34" s="154" t="s">
        <v>63</v>
      </c>
      <c r="Y34" s="154" t="s">
        <v>1900</v>
      </c>
      <c r="Z34" s="154"/>
      <c r="AA34" s="154" t="s">
        <v>1387</v>
      </c>
      <c r="AB34" s="154">
        <v>0</v>
      </c>
      <c r="AC34" s="138">
        <f>IFERROR(IF(DATEDIF(#REF!,U34,"m")&lt;=1,1,IF(AND(DATEDIF(#REF!,U34,"m")&gt;1,DATEDIF(#REF!,U34,"m")&lt;12),2,IF(AND(DATEDIF(#REF!,U34,"m")&gt;=12,DATEDIF(#REF!,U34,"m")&lt;24),3,IF(DATEDIF(#REF!,U34,"m")&gt;=24,4,"")))),IF(E34="r0320 - Deposits, not covered and not preferential",1,4))</f>
        <v>4</v>
      </c>
    </row>
    <row r="35" spans="2:29" ht="48.75" thickBot="1" x14ac:dyDescent="0.3">
      <c r="B35" s="14"/>
      <c r="C35" s="11">
        <v>999</v>
      </c>
      <c r="D35" s="154">
        <v>28</v>
      </c>
      <c r="E35" s="154" t="s">
        <v>1902</v>
      </c>
      <c r="F35" s="154" t="s">
        <v>83</v>
      </c>
      <c r="G35" s="154" t="s">
        <v>1903</v>
      </c>
      <c r="H35" s="154" t="s">
        <v>467</v>
      </c>
      <c r="I35" s="154" t="s">
        <v>101</v>
      </c>
      <c r="J35" s="154" t="s">
        <v>102</v>
      </c>
      <c r="K35" s="154" t="s">
        <v>60</v>
      </c>
      <c r="L35" s="154" t="s">
        <v>1897</v>
      </c>
      <c r="M35" s="154" t="s">
        <v>1388</v>
      </c>
      <c r="N35" s="154" t="s">
        <v>61</v>
      </c>
      <c r="O35" s="154" t="s">
        <v>62</v>
      </c>
      <c r="P35" s="146">
        <v>57011.18</v>
      </c>
      <c r="Q35" s="146">
        <v>73.680000000000007</v>
      </c>
      <c r="R35" s="154" t="s">
        <v>1384</v>
      </c>
      <c r="S35" s="154" t="s">
        <v>1899</v>
      </c>
      <c r="T35" s="155" t="s">
        <v>768</v>
      </c>
      <c r="U35" s="155" t="s">
        <v>1899</v>
      </c>
      <c r="V35" s="154" t="s">
        <v>1904</v>
      </c>
      <c r="W35" s="154">
        <v>0</v>
      </c>
      <c r="X35" s="154" t="s">
        <v>63</v>
      </c>
      <c r="Y35" s="154" t="s">
        <v>1386</v>
      </c>
      <c r="Z35" s="154"/>
      <c r="AA35" s="154" t="s">
        <v>1387</v>
      </c>
      <c r="AB35" s="154">
        <v>0</v>
      </c>
      <c r="AC35" s="138">
        <f>IFERROR(IF(DATEDIF(#REF!,U35,"m")&lt;=1,1,IF(AND(DATEDIF(#REF!,U35,"m")&gt;1,DATEDIF(#REF!,U35,"m")&lt;12),2,IF(AND(DATEDIF(#REF!,U35,"m")&gt;=12,DATEDIF(#REF!,U35,"m")&lt;24),3,IF(DATEDIF(#REF!,U35,"m")&gt;=24,4,"")))),IF(E35="r0320 - Deposits, not covered and not preferential",1,4))</f>
        <v>4</v>
      </c>
    </row>
    <row r="36" spans="2:29" ht="36.75" thickBot="1" x14ac:dyDescent="0.3">
      <c r="B36" s="14"/>
      <c r="C36" s="11">
        <v>999</v>
      </c>
      <c r="D36" s="154">
        <v>29</v>
      </c>
      <c r="E36" s="154" t="s">
        <v>1898</v>
      </c>
      <c r="F36" s="154" t="s">
        <v>87</v>
      </c>
      <c r="G36" s="154" t="s">
        <v>1402</v>
      </c>
      <c r="H36" s="154" t="s">
        <v>1305</v>
      </c>
      <c r="I36" s="154" t="s">
        <v>108</v>
      </c>
      <c r="J36" s="154" t="s">
        <v>90</v>
      </c>
      <c r="K36" s="154" t="s">
        <v>91</v>
      </c>
      <c r="L36" s="154" t="s">
        <v>1897</v>
      </c>
      <c r="M36" s="154" t="s">
        <v>1383</v>
      </c>
      <c r="N36" s="154" t="s">
        <v>61</v>
      </c>
      <c r="O36" s="154" t="s">
        <v>62</v>
      </c>
      <c r="P36" s="146">
        <v>1.33</v>
      </c>
      <c r="Q36" s="146">
        <v>0</v>
      </c>
      <c r="R36" s="154" t="s">
        <v>1384</v>
      </c>
      <c r="S36" s="154" t="s">
        <v>1899</v>
      </c>
      <c r="T36" s="155" t="s">
        <v>1899</v>
      </c>
      <c r="U36" s="155" t="s">
        <v>1899</v>
      </c>
      <c r="V36" s="154" t="s">
        <v>1562</v>
      </c>
      <c r="W36" s="154">
        <v>0</v>
      </c>
      <c r="X36" s="154" t="s">
        <v>63</v>
      </c>
      <c r="Y36" s="154" t="s">
        <v>1900</v>
      </c>
      <c r="Z36" s="154"/>
      <c r="AA36" s="154" t="s">
        <v>1387</v>
      </c>
      <c r="AB36" s="154">
        <v>0</v>
      </c>
      <c r="AC36" s="138">
        <f>IFERROR(IF(DATEDIF(#REF!,U36,"m")&lt;=1,1,IF(AND(DATEDIF(#REF!,U36,"m")&gt;1,DATEDIF(#REF!,U36,"m")&lt;12),2,IF(AND(DATEDIF(#REF!,U36,"m")&gt;=12,DATEDIF(#REF!,U36,"m")&lt;24),3,IF(DATEDIF(#REF!,U36,"m")&gt;=24,4,"")))),IF(E36="r0320 - Deposits, not covered and not preferential",1,4))</f>
        <v>4</v>
      </c>
    </row>
    <row r="37" spans="2:29" ht="48.75" thickBot="1" x14ac:dyDescent="0.3">
      <c r="B37" s="14"/>
      <c r="C37" s="11">
        <v>999</v>
      </c>
      <c r="D37" s="154">
        <v>30</v>
      </c>
      <c r="E37" s="154" t="s">
        <v>1902</v>
      </c>
      <c r="F37" s="154" t="s">
        <v>83</v>
      </c>
      <c r="G37" s="154" t="s">
        <v>1903</v>
      </c>
      <c r="H37" s="154" t="s">
        <v>519</v>
      </c>
      <c r="I37" s="154" t="s">
        <v>101</v>
      </c>
      <c r="J37" s="154" t="s">
        <v>102</v>
      </c>
      <c r="K37" s="154" t="s">
        <v>60</v>
      </c>
      <c r="L37" s="154" t="s">
        <v>1897</v>
      </c>
      <c r="M37" s="154" t="s">
        <v>1388</v>
      </c>
      <c r="N37" s="154" t="s">
        <v>61</v>
      </c>
      <c r="O37" s="154" t="s">
        <v>62</v>
      </c>
      <c r="P37" s="146">
        <v>46427.45</v>
      </c>
      <c r="Q37" s="146">
        <v>84.54</v>
      </c>
      <c r="R37" s="154" t="s">
        <v>1384</v>
      </c>
      <c r="S37" s="154" t="s">
        <v>1899</v>
      </c>
      <c r="T37" s="155" t="s">
        <v>768</v>
      </c>
      <c r="U37" s="155" t="s">
        <v>1899</v>
      </c>
      <c r="V37" s="154" t="s">
        <v>1904</v>
      </c>
      <c r="W37" s="154">
        <v>0</v>
      </c>
      <c r="X37" s="154" t="s">
        <v>63</v>
      </c>
      <c r="Y37" s="154" t="s">
        <v>1386</v>
      </c>
      <c r="Z37" s="154"/>
      <c r="AA37" s="154" t="s">
        <v>1387</v>
      </c>
      <c r="AB37" s="154">
        <v>0</v>
      </c>
      <c r="AC37" s="138">
        <f>IFERROR(IF(DATEDIF(#REF!,U37,"m")&lt;=1,1,IF(AND(DATEDIF(#REF!,U37,"m")&gt;1,DATEDIF(#REF!,U37,"m")&lt;12),2,IF(AND(DATEDIF(#REF!,U37,"m")&gt;=12,DATEDIF(#REF!,U37,"m")&lt;24),3,IF(DATEDIF(#REF!,U37,"m")&gt;=24,4,"")))),IF(E37="r0320 - Deposits, not covered and not preferential",1,4))</f>
        <v>4</v>
      </c>
    </row>
    <row r="38" spans="2:29" ht="36.75" thickBot="1" x14ac:dyDescent="0.3">
      <c r="B38" s="14"/>
      <c r="C38" s="11">
        <v>999</v>
      </c>
      <c r="D38" s="154">
        <v>31</v>
      </c>
      <c r="E38" s="154" t="s">
        <v>1898</v>
      </c>
      <c r="F38" s="154" t="s">
        <v>87</v>
      </c>
      <c r="G38" s="154" t="s">
        <v>1402</v>
      </c>
      <c r="H38" s="154" t="s">
        <v>914</v>
      </c>
      <c r="I38" s="154" t="s">
        <v>108</v>
      </c>
      <c r="J38" s="154" t="s">
        <v>90</v>
      </c>
      <c r="K38" s="154" t="s">
        <v>91</v>
      </c>
      <c r="L38" s="154" t="s">
        <v>1897</v>
      </c>
      <c r="M38" s="154" t="s">
        <v>1383</v>
      </c>
      <c r="N38" s="154" t="s">
        <v>61</v>
      </c>
      <c r="O38" s="154" t="s">
        <v>62</v>
      </c>
      <c r="P38" s="146">
        <v>0.67</v>
      </c>
      <c r="Q38" s="146">
        <v>0</v>
      </c>
      <c r="R38" s="154" t="s">
        <v>1384</v>
      </c>
      <c r="S38" s="154" t="s">
        <v>1899</v>
      </c>
      <c r="T38" s="155" t="s">
        <v>1899</v>
      </c>
      <c r="U38" s="155" t="s">
        <v>1899</v>
      </c>
      <c r="V38" s="154" t="s">
        <v>1562</v>
      </c>
      <c r="W38" s="154">
        <v>0</v>
      </c>
      <c r="X38" s="154" t="s">
        <v>63</v>
      </c>
      <c r="Y38" s="154" t="s">
        <v>1900</v>
      </c>
      <c r="Z38" s="154"/>
      <c r="AA38" s="154" t="s">
        <v>1387</v>
      </c>
      <c r="AB38" s="154">
        <v>0</v>
      </c>
      <c r="AC38" s="138">
        <f>IFERROR(IF(DATEDIF(#REF!,U38,"m")&lt;=1,1,IF(AND(DATEDIF(#REF!,U38,"m")&gt;1,DATEDIF(#REF!,U38,"m")&lt;12),2,IF(AND(DATEDIF(#REF!,U38,"m")&gt;=12,DATEDIF(#REF!,U38,"m")&lt;24),3,IF(DATEDIF(#REF!,U38,"m")&gt;=24,4,"")))),IF(E38="r0320 - Deposits, not covered and not preferential",1,4))</f>
        <v>4</v>
      </c>
    </row>
    <row r="39" spans="2:29" ht="36.75" thickBot="1" x14ac:dyDescent="0.3">
      <c r="B39" s="14"/>
      <c r="C39" s="11">
        <v>999</v>
      </c>
      <c r="D39" s="154">
        <v>32</v>
      </c>
      <c r="E39" s="154" t="s">
        <v>1898</v>
      </c>
      <c r="F39" s="154" t="s">
        <v>87</v>
      </c>
      <c r="G39" s="154" t="s">
        <v>1402</v>
      </c>
      <c r="H39" s="154" t="s">
        <v>608</v>
      </c>
      <c r="I39" s="154" t="s">
        <v>99</v>
      </c>
      <c r="J39" s="154" t="s">
        <v>90</v>
      </c>
      <c r="K39" s="154" t="s">
        <v>91</v>
      </c>
      <c r="L39" s="154" t="s">
        <v>1897</v>
      </c>
      <c r="M39" s="154" t="s">
        <v>1383</v>
      </c>
      <c r="N39" s="154" t="s">
        <v>61</v>
      </c>
      <c r="O39" s="154" t="s">
        <v>62</v>
      </c>
      <c r="P39" s="146">
        <v>0.01</v>
      </c>
      <c r="Q39" s="146">
        <v>0</v>
      </c>
      <c r="R39" s="154" t="s">
        <v>1384</v>
      </c>
      <c r="S39" s="154" t="s">
        <v>1899</v>
      </c>
      <c r="T39" s="155" t="s">
        <v>1899</v>
      </c>
      <c r="U39" s="155" t="s">
        <v>1899</v>
      </c>
      <c r="V39" s="154" t="s">
        <v>1562</v>
      </c>
      <c r="W39" s="154">
        <v>0</v>
      </c>
      <c r="X39" s="154" t="s">
        <v>63</v>
      </c>
      <c r="Y39" s="154" t="s">
        <v>1900</v>
      </c>
      <c r="Z39" s="154"/>
      <c r="AA39" s="154" t="s">
        <v>1387</v>
      </c>
      <c r="AB39" s="154">
        <v>0</v>
      </c>
      <c r="AC39" s="138">
        <f>IFERROR(IF(DATEDIF(#REF!,U39,"m")&lt;=1,1,IF(AND(DATEDIF(#REF!,U39,"m")&gt;1,DATEDIF(#REF!,U39,"m")&lt;12),2,IF(AND(DATEDIF(#REF!,U39,"m")&gt;=12,DATEDIF(#REF!,U39,"m")&lt;24),3,IF(DATEDIF(#REF!,U39,"m")&gt;=24,4,"")))),IF(E39="r0320 - Deposits, not covered and not preferential",1,4))</f>
        <v>4</v>
      </c>
    </row>
    <row r="40" spans="2:29" ht="36.75" thickBot="1" x14ac:dyDescent="0.3">
      <c r="B40" s="14"/>
      <c r="C40" s="11">
        <v>999</v>
      </c>
      <c r="D40" s="154">
        <v>33</v>
      </c>
      <c r="E40" s="154" t="s">
        <v>1898</v>
      </c>
      <c r="F40" s="154" t="s">
        <v>56</v>
      </c>
      <c r="G40" s="154" t="s">
        <v>1402</v>
      </c>
      <c r="H40" s="154" t="s">
        <v>973</v>
      </c>
      <c r="I40" s="154" t="s">
        <v>66</v>
      </c>
      <c r="J40" s="154" t="s">
        <v>67</v>
      </c>
      <c r="K40" s="154" t="s">
        <v>60</v>
      </c>
      <c r="L40" s="154" t="s">
        <v>1897</v>
      </c>
      <c r="M40" s="154" t="s">
        <v>1383</v>
      </c>
      <c r="N40" s="154" t="s">
        <v>61</v>
      </c>
      <c r="O40" s="154" t="s">
        <v>62</v>
      </c>
      <c r="P40" s="146">
        <v>1.51</v>
      </c>
      <c r="Q40" s="146">
        <v>0</v>
      </c>
      <c r="R40" s="154" t="s">
        <v>1384</v>
      </c>
      <c r="S40" s="154" t="s">
        <v>1899</v>
      </c>
      <c r="T40" s="155" t="s">
        <v>1899</v>
      </c>
      <c r="U40" s="155" t="s">
        <v>1899</v>
      </c>
      <c r="V40" s="154" t="s">
        <v>1562</v>
      </c>
      <c r="W40" s="154">
        <v>0</v>
      </c>
      <c r="X40" s="154" t="s">
        <v>63</v>
      </c>
      <c r="Y40" s="154" t="s">
        <v>1900</v>
      </c>
      <c r="Z40" s="154"/>
      <c r="AA40" s="154" t="s">
        <v>1387</v>
      </c>
      <c r="AB40" s="154">
        <v>0</v>
      </c>
      <c r="AC40" s="138">
        <f>IFERROR(IF(DATEDIF(#REF!,U40,"m")&lt;=1,1,IF(AND(DATEDIF(#REF!,U40,"m")&gt;1,DATEDIF(#REF!,U40,"m")&lt;12),2,IF(AND(DATEDIF(#REF!,U40,"m")&gt;=12,DATEDIF(#REF!,U40,"m")&lt;24),3,IF(DATEDIF(#REF!,U40,"m")&gt;=24,4,"")))),IF(E40="r0320 - Deposits, not covered and not preferential",1,4))</f>
        <v>4</v>
      </c>
    </row>
    <row r="41" spans="2:29" ht="36.75" thickBot="1" x14ac:dyDescent="0.3">
      <c r="B41" s="14"/>
      <c r="C41" s="11">
        <v>999</v>
      </c>
      <c r="D41" s="154">
        <v>34</v>
      </c>
      <c r="E41" s="154" t="s">
        <v>1898</v>
      </c>
      <c r="F41" s="154" t="s">
        <v>56</v>
      </c>
      <c r="G41" s="154" t="s">
        <v>1402</v>
      </c>
      <c r="H41" s="154" t="s">
        <v>1090</v>
      </c>
      <c r="I41" s="154" t="s">
        <v>66</v>
      </c>
      <c r="J41" s="154" t="s">
        <v>67</v>
      </c>
      <c r="K41" s="154" t="s">
        <v>60</v>
      </c>
      <c r="L41" s="154" t="s">
        <v>1897</v>
      </c>
      <c r="M41" s="154" t="s">
        <v>1383</v>
      </c>
      <c r="N41" s="154" t="s">
        <v>61</v>
      </c>
      <c r="O41" s="154" t="s">
        <v>62</v>
      </c>
      <c r="P41" s="146">
        <v>1.46</v>
      </c>
      <c r="Q41" s="146">
        <v>0</v>
      </c>
      <c r="R41" s="154" t="s">
        <v>1384</v>
      </c>
      <c r="S41" s="154" t="s">
        <v>1899</v>
      </c>
      <c r="T41" s="155" t="s">
        <v>1899</v>
      </c>
      <c r="U41" s="155" t="s">
        <v>1899</v>
      </c>
      <c r="V41" s="154" t="s">
        <v>1562</v>
      </c>
      <c r="W41" s="154">
        <v>0</v>
      </c>
      <c r="X41" s="154" t="s">
        <v>63</v>
      </c>
      <c r="Y41" s="154" t="s">
        <v>1900</v>
      </c>
      <c r="Z41" s="154"/>
      <c r="AA41" s="154" t="s">
        <v>1387</v>
      </c>
      <c r="AB41" s="154">
        <v>0</v>
      </c>
      <c r="AC41" s="138">
        <f>IFERROR(IF(DATEDIF(#REF!,U41,"m")&lt;=1,1,IF(AND(DATEDIF(#REF!,U41,"m")&gt;1,DATEDIF(#REF!,U41,"m")&lt;12),2,IF(AND(DATEDIF(#REF!,U41,"m")&gt;=12,DATEDIF(#REF!,U41,"m")&lt;24),3,IF(DATEDIF(#REF!,U41,"m")&gt;=24,4,"")))),IF(E41="r0320 - Deposits, not covered and not preferential",1,4))</f>
        <v>4</v>
      </c>
    </row>
    <row r="42" spans="2:29" ht="36.75" thickBot="1" x14ac:dyDescent="0.3">
      <c r="B42" s="14"/>
      <c r="C42" s="11">
        <v>999</v>
      </c>
      <c r="D42" s="154">
        <v>35</v>
      </c>
      <c r="E42" s="154" t="s">
        <v>1898</v>
      </c>
      <c r="F42" s="154" t="s">
        <v>56</v>
      </c>
      <c r="G42" s="154" t="s">
        <v>1402</v>
      </c>
      <c r="H42" s="154" t="s">
        <v>181</v>
      </c>
      <c r="I42" s="154" t="s">
        <v>72</v>
      </c>
      <c r="J42" s="154" t="s">
        <v>73</v>
      </c>
      <c r="K42" s="154" t="s">
        <v>60</v>
      </c>
      <c r="L42" s="154" t="s">
        <v>1897</v>
      </c>
      <c r="M42" s="154" t="s">
        <v>1388</v>
      </c>
      <c r="N42" s="154" t="s">
        <v>61</v>
      </c>
      <c r="O42" s="154" t="s">
        <v>62</v>
      </c>
      <c r="P42" s="146">
        <v>0.13</v>
      </c>
      <c r="Q42" s="146">
        <v>0</v>
      </c>
      <c r="R42" s="154" t="s">
        <v>1384</v>
      </c>
      <c r="S42" s="154" t="s">
        <v>1899</v>
      </c>
      <c r="T42" s="155" t="s">
        <v>1899</v>
      </c>
      <c r="U42" s="155" t="s">
        <v>1899</v>
      </c>
      <c r="V42" s="154" t="s">
        <v>1562</v>
      </c>
      <c r="W42" s="154">
        <v>0</v>
      </c>
      <c r="X42" s="154" t="s">
        <v>63</v>
      </c>
      <c r="Y42" s="154" t="s">
        <v>1900</v>
      </c>
      <c r="Z42" s="154"/>
      <c r="AA42" s="154" t="s">
        <v>1387</v>
      </c>
      <c r="AB42" s="154">
        <v>0</v>
      </c>
      <c r="AC42" s="138">
        <f>IFERROR(IF(DATEDIF(#REF!,U42,"m")&lt;=1,1,IF(AND(DATEDIF(#REF!,U42,"m")&gt;1,DATEDIF(#REF!,U42,"m")&lt;12),2,IF(AND(DATEDIF(#REF!,U42,"m")&gt;=12,DATEDIF(#REF!,U42,"m")&lt;24),3,IF(DATEDIF(#REF!,U42,"m")&gt;=24,4,"")))),IF(E42="r0320 - Deposits, not covered and not preferential",1,4))</f>
        <v>4</v>
      </c>
    </row>
    <row r="43" spans="2:29" ht="36.75" thickBot="1" x14ac:dyDescent="0.3">
      <c r="B43" s="14"/>
      <c r="C43" s="11">
        <v>999</v>
      </c>
      <c r="D43" s="154">
        <v>36</v>
      </c>
      <c r="E43" s="154" t="s">
        <v>1898</v>
      </c>
      <c r="F43" s="154" t="s">
        <v>87</v>
      </c>
      <c r="G43" s="154" t="s">
        <v>1402</v>
      </c>
      <c r="H43" s="154" t="s">
        <v>1194</v>
      </c>
      <c r="I43" s="154" t="s">
        <v>108</v>
      </c>
      <c r="J43" s="154" t="s">
        <v>90</v>
      </c>
      <c r="K43" s="154" t="s">
        <v>91</v>
      </c>
      <c r="L43" s="154" t="s">
        <v>1897</v>
      </c>
      <c r="M43" s="154" t="s">
        <v>1383</v>
      </c>
      <c r="N43" s="154" t="s">
        <v>61</v>
      </c>
      <c r="O43" s="154" t="s">
        <v>62</v>
      </c>
      <c r="P43" s="146">
        <v>0.64</v>
      </c>
      <c r="Q43" s="146">
        <v>0</v>
      </c>
      <c r="R43" s="154" t="s">
        <v>1384</v>
      </c>
      <c r="S43" s="154" t="s">
        <v>1899</v>
      </c>
      <c r="T43" s="155" t="s">
        <v>1899</v>
      </c>
      <c r="U43" s="155" t="s">
        <v>1899</v>
      </c>
      <c r="V43" s="154" t="s">
        <v>1562</v>
      </c>
      <c r="W43" s="154">
        <v>0</v>
      </c>
      <c r="X43" s="154" t="s">
        <v>63</v>
      </c>
      <c r="Y43" s="154" t="s">
        <v>1900</v>
      </c>
      <c r="Z43" s="154"/>
      <c r="AA43" s="154" t="s">
        <v>1387</v>
      </c>
      <c r="AB43" s="154">
        <v>0</v>
      </c>
      <c r="AC43" s="138">
        <f>IFERROR(IF(DATEDIF(#REF!,U43,"m")&lt;=1,1,IF(AND(DATEDIF(#REF!,U43,"m")&gt;1,DATEDIF(#REF!,U43,"m")&lt;12),2,IF(AND(DATEDIF(#REF!,U43,"m")&gt;=12,DATEDIF(#REF!,U43,"m")&lt;24),3,IF(DATEDIF(#REF!,U43,"m")&gt;=24,4,"")))),IF(E43="r0320 - Deposits, not covered and not preferential",1,4))</f>
        <v>4</v>
      </c>
    </row>
    <row r="44" spans="2:29" ht="48.75" thickBot="1" x14ac:dyDescent="0.3">
      <c r="B44" s="14"/>
      <c r="C44" s="11">
        <v>999</v>
      </c>
      <c r="D44" s="154">
        <v>37</v>
      </c>
      <c r="E44" s="154" t="s">
        <v>1902</v>
      </c>
      <c r="F44" s="154" t="s">
        <v>83</v>
      </c>
      <c r="G44" s="154" t="s">
        <v>1903</v>
      </c>
      <c r="H44" s="154" t="s">
        <v>735</v>
      </c>
      <c r="I44" s="154" t="s">
        <v>114</v>
      </c>
      <c r="J44" s="154" t="s">
        <v>115</v>
      </c>
      <c r="K44" s="154" t="s">
        <v>60</v>
      </c>
      <c r="L44" s="154" t="s">
        <v>1897</v>
      </c>
      <c r="M44" s="154" t="s">
        <v>1388</v>
      </c>
      <c r="N44" s="154" t="s">
        <v>61</v>
      </c>
      <c r="O44" s="154" t="s">
        <v>62</v>
      </c>
      <c r="P44" s="146">
        <v>33730.76</v>
      </c>
      <c r="Q44" s="146">
        <v>1.88</v>
      </c>
      <c r="R44" s="154" t="s">
        <v>1384</v>
      </c>
      <c r="S44" s="154" t="s">
        <v>1899</v>
      </c>
      <c r="T44" s="155" t="s">
        <v>768</v>
      </c>
      <c r="U44" s="155" t="s">
        <v>1899</v>
      </c>
      <c r="V44" s="154" t="s">
        <v>1904</v>
      </c>
      <c r="W44" s="154">
        <v>0</v>
      </c>
      <c r="X44" s="154" t="s">
        <v>63</v>
      </c>
      <c r="Y44" s="154" t="s">
        <v>1386</v>
      </c>
      <c r="Z44" s="154"/>
      <c r="AA44" s="154" t="s">
        <v>1387</v>
      </c>
      <c r="AB44" s="154">
        <v>0</v>
      </c>
      <c r="AC44" s="138">
        <f>IFERROR(IF(DATEDIF(#REF!,U44,"m")&lt;=1,1,IF(AND(DATEDIF(#REF!,U44,"m")&gt;1,DATEDIF(#REF!,U44,"m")&lt;12),2,IF(AND(DATEDIF(#REF!,U44,"m")&gt;=12,DATEDIF(#REF!,U44,"m")&lt;24),3,IF(DATEDIF(#REF!,U44,"m")&gt;=24,4,"")))),IF(E44="r0320 - Deposits, not covered and not preferential",1,4))</f>
        <v>4</v>
      </c>
    </row>
    <row r="45" spans="2:29" ht="36.75" thickBot="1" x14ac:dyDescent="0.3">
      <c r="B45" s="14"/>
      <c r="C45" s="11">
        <v>999</v>
      </c>
      <c r="D45" s="154">
        <v>38</v>
      </c>
      <c r="E45" s="154" t="s">
        <v>1898</v>
      </c>
      <c r="F45" s="154" t="s">
        <v>87</v>
      </c>
      <c r="G45" s="154" t="s">
        <v>1402</v>
      </c>
      <c r="H45" s="154" t="s">
        <v>1247</v>
      </c>
      <c r="I45" s="154" t="s">
        <v>96</v>
      </c>
      <c r="J45" s="154" t="s">
        <v>97</v>
      </c>
      <c r="K45" s="154" t="s">
        <v>91</v>
      </c>
      <c r="L45" s="154" t="s">
        <v>1897</v>
      </c>
      <c r="M45" s="154" t="s">
        <v>1383</v>
      </c>
      <c r="N45" s="154" t="s">
        <v>61</v>
      </c>
      <c r="O45" s="154" t="s">
        <v>62</v>
      </c>
      <c r="P45" s="146">
        <v>2.33</v>
      </c>
      <c r="Q45" s="146">
        <v>0</v>
      </c>
      <c r="R45" s="154" t="s">
        <v>1384</v>
      </c>
      <c r="S45" s="154" t="s">
        <v>1899</v>
      </c>
      <c r="T45" s="155" t="s">
        <v>1899</v>
      </c>
      <c r="U45" s="155" t="s">
        <v>1899</v>
      </c>
      <c r="V45" s="154" t="s">
        <v>1562</v>
      </c>
      <c r="W45" s="154">
        <v>0</v>
      </c>
      <c r="X45" s="154" t="s">
        <v>63</v>
      </c>
      <c r="Y45" s="154" t="s">
        <v>1900</v>
      </c>
      <c r="Z45" s="154"/>
      <c r="AA45" s="154" t="s">
        <v>1387</v>
      </c>
      <c r="AB45" s="154">
        <v>0</v>
      </c>
      <c r="AC45" s="138">
        <f>IFERROR(IF(DATEDIF(#REF!,U45,"m")&lt;=1,1,IF(AND(DATEDIF(#REF!,U45,"m")&gt;1,DATEDIF(#REF!,U45,"m")&lt;12),2,IF(AND(DATEDIF(#REF!,U45,"m")&gt;=12,DATEDIF(#REF!,U45,"m")&lt;24),3,IF(DATEDIF(#REF!,U45,"m")&gt;=24,4,"")))),IF(E45="r0320 - Deposits, not covered and not preferential",1,4))</f>
        <v>4</v>
      </c>
    </row>
    <row r="46" spans="2:29" ht="48.75" thickBot="1" x14ac:dyDescent="0.3">
      <c r="B46" s="14"/>
      <c r="C46" s="11">
        <v>999</v>
      </c>
      <c r="D46" s="154">
        <v>39</v>
      </c>
      <c r="E46" s="154" t="s">
        <v>1902</v>
      </c>
      <c r="F46" s="154" t="s">
        <v>83</v>
      </c>
      <c r="G46" s="154" t="s">
        <v>1903</v>
      </c>
      <c r="H46" s="154" t="s">
        <v>119</v>
      </c>
      <c r="I46" s="154" t="s">
        <v>101</v>
      </c>
      <c r="J46" s="154" t="s">
        <v>102</v>
      </c>
      <c r="K46" s="154" t="s">
        <v>60</v>
      </c>
      <c r="L46" s="154" t="s">
        <v>1897</v>
      </c>
      <c r="M46" s="154" t="s">
        <v>1388</v>
      </c>
      <c r="N46" s="154" t="s">
        <v>61</v>
      </c>
      <c r="O46" s="154" t="s">
        <v>62</v>
      </c>
      <c r="P46" s="146">
        <v>875504.01</v>
      </c>
      <c r="Q46" s="146">
        <v>294.45999999999998</v>
      </c>
      <c r="R46" s="154" t="s">
        <v>1384</v>
      </c>
      <c r="S46" s="154" t="s">
        <v>1899</v>
      </c>
      <c r="T46" s="155" t="s">
        <v>768</v>
      </c>
      <c r="U46" s="155" t="s">
        <v>1899</v>
      </c>
      <c r="V46" s="154" t="s">
        <v>1904</v>
      </c>
      <c r="W46" s="154">
        <v>0</v>
      </c>
      <c r="X46" s="154" t="s">
        <v>63</v>
      </c>
      <c r="Y46" s="154" t="s">
        <v>1386</v>
      </c>
      <c r="Z46" s="154"/>
      <c r="AA46" s="154" t="s">
        <v>1387</v>
      </c>
      <c r="AB46" s="154">
        <v>0</v>
      </c>
      <c r="AC46" s="138">
        <f>IFERROR(IF(DATEDIF(#REF!,U46,"m")&lt;=1,1,IF(AND(DATEDIF(#REF!,U46,"m")&gt;1,DATEDIF(#REF!,U46,"m")&lt;12),2,IF(AND(DATEDIF(#REF!,U46,"m")&gt;=12,DATEDIF(#REF!,U46,"m")&lt;24),3,IF(DATEDIF(#REF!,U46,"m")&gt;=24,4,"")))),IF(E46="r0320 - Deposits, not covered and not preferential",1,4))</f>
        <v>4</v>
      </c>
    </row>
    <row r="47" spans="2:29" ht="36.75" thickBot="1" x14ac:dyDescent="0.3">
      <c r="B47" s="14"/>
      <c r="C47" s="11">
        <v>999</v>
      </c>
      <c r="D47" s="154">
        <v>40</v>
      </c>
      <c r="E47" s="154" t="s">
        <v>1898</v>
      </c>
      <c r="F47" s="154" t="s">
        <v>87</v>
      </c>
      <c r="G47" s="154" t="s">
        <v>1402</v>
      </c>
      <c r="H47" s="154" t="s">
        <v>755</v>
      </c>
      <c r="I47" s="154" t="s">
        <v>96</v>
      </c>
      <c r="J47" s="154" t="s">
        <v>97</v>
      </c>
      <c r="K47" s="154" t="s">
        <v>91</v>
      </c>
      <c r="L47" s="154" t="s">
        <v>1897</v>
      </c>
      <c r="M47" s="154" t="s">
        <v>1383</v>
      </c>
      <c r="N47" s="154" t="s">
        <v>61</v>
      </c>
      <c r="O47" s="154" t="s">
        <v>62</v>
      </c>
      <c r="P47" s="146">
        <v>64.44</v>
      </c>
      <c r="Q47" s="146">
        <v>0</v>
      </c>
      <c r="R47" s="154" t="s">
        <v>1384</v>
      </c>
      <c r="S47" s="154" t="s">
        <v>1899</v>
      </c>
      <c r="T47" s="155" t="s">
        <v>1899</v>
      </c>
      <c r="U47" s="155" t="s">
        <v>1899</v>
      </c>
      <c r="V47" s="154" t="s">
        <v>1562</v>
      </c>
      <c r="W47" s="154">
        <v>0</v>
      </c>
      <c r="X47" s="154" t="s">
        <v>63</v>
      </c>
      <c r="Y47" s="154" t="s">
        <v>1900</v>
      </c>
      <c r="Z47" s="154"/>
      <c r="AA47" s="154" t="s">
        <v>1387</v>
      </c>
      <c r="AB47" s="154">
        <v>0</v>
      </c>
      <c r="AC47" s="138">
        <f>IFERROR(IF(DATEDIF(#REF!,U47,"m")&lt;=1,1,IF(AND(DATEDIF(#REF!,U47,"m")&gt;1,DATEDIF(#REF!,U47,"m")&lt;12),2,IF(AND(DATEDIF(#REF!,U47,"m")&gt;=12,DATEDIF(#REF!,U47,"m")&lt;24),3,IF(DATEDIF(#REF!,U47,"m")&gt;=24,4,"")))),IF(E47="r0320 - Deposits, not covered and not preferential",1,4))</f>
        <v>4</v>
      </c>
    </row>
    <row r="48" spans="2:29" ht="48.75" thickBot="1" x14ac:dyDescent="0.3">
      <c r="B48" s="14"/>
      <c r="C48" s="11">
        <v>999</v>
      </c>
      <c r="D48" s="154">
        <v>41</v>
      </c>
      <c r="E48" s="154" t="s">
        <v>1902</v>
      </c>
      <c r="F48" s="154" t="s">
        <v>83</v>
      </c>
      <c r="G48" s="154" t="s">
        <v>1903</v>
      </c>
      <c r="H48" s="154" t="s">
        <v>312</v>
      </c>
      <c r="I48" s="154" t="s">
        <v>101</v>
      </c>
      <c r="J48" s="154" t="s">
        <v>102</v>
      </c>
      <c r="K48" s="154" t="s">
        <v>60</v>
      </c>
      <c r="L48" s="154" t="s">
        <v>1897</v>
      </c>
      <c r="M48" s="154" t="s">
        <v>1388</v>
      </c>
      <c r="N48" s="154" t="s">
        <v>61</v>
      </c>
      <c r="O48" s="154" t="s">
        <v>62</v>
      </c>
      <c r="P48" s="146">
        <v>121877.32</v>
      </c>
      <c r="Q48" s="146">
        <v>-8.8699999999999992</v>
      </c>
      <c r="R48" s="154" t="s">
        <v>1384</v>
      </c>
      <c r="S48" s="154" t="s">
        <v>1899</v>
      </c>
      <c r="T48" s="155" t="s">
        <v>768</v>
      </c>
      <c r="U48" s="155" t="s">
        <v>1899</v>
      </c>
      <c r="V48" s="154" t="s">
        <v>1904</v>
      </c>
      <c r="W48" s="154">
        <v>0</v>
      </c>
      <c r="X48" s="154" t="s">
        <v>63</v>
      </c>
      <c r="Y48" s="154" t="s">
        <v>1386</v>
      </c>
      <c r="Z48" s="154"/>
      <c r="AA48" s="154" t="s">
        <v>1387</v>
      </c>
      <c r="AB48" s="154">
        <v>0</v>
      </c>
      <c r="AC48" s="138">
        <f>IFERROR(IF(DATEDIF(#REF!,U48,"m")&lt;=1,1,IF(AND(DATEDIF(#REF!,U48,"m")&gt;1,DATEDIF(#REF!,U48,"m")&lt;12),2,IF(AND(DATEDIF(#REF!,U48,"m")&gt;=12,DATEDIF(#REF!,U48,"m")&lt;24),3,IF(DATEDIF(#REF!,U48,"m")&gt;=24,4,"")))),IF(E48="r0320 - Deposits, not covered and not preferential",1,4))</f>
        <v>4</v>
      </c>
    </row>
    <row r="49" spans="2:29" ht="36.75" thickBot="1" x14ac:dyDescent="0.3">
      <c r="B49" s="14"/>
      <c r="C49" s="11">
        <v>999</v>
      </c>
      <c r="D49" s="154">
        <v>42</v>
      </c>
      <c r="E49" s="154" t="s">
        <v>1898</v>
      </c>
      <c r="F49" s="154" t="s">
        <v>87</v>
      </c>
      <c r="G49" s="154" t="s">
        <v>1402</v>
      </c>
      <c r="H49" s="154" t="s">
        <v>204</v>
      </c>
      <c r="I49" s="154" t="s">
        <v>108</v>
      </c>
      <c r="J49" s="154" t="s">
        <v>90</v>
      </c>
      <c r="K49" s="154" t="s">
        <v>91</v>
      </c>
      <c r="L49" s="154" t="s">
        <v>1897</v>
      </c>
      <c r="M49" s="154" t="s">
        <v>1383</v>
      </c>
      <c r="N49" s="154" t="s">
        <v>61</v>
      </c>
      <c r="O49" s="154" t="s">
        <v>62</v>
      </c>
      <c r="P49" s="146">
        <v>0.18</v>
      </c>
      <c r="Q49" s="146">
        <v>0</v>
      </c>
      <c r="R49" s="154" t="s">
        <v>1384</v>
      </c>
      <c r="S49" s="154" t="s">
        <v>1899</v>
      </c>
      <c r="T49" s="155" t="s">
        <v>1899</v>
      </c>
      <c r="U49" s="155" t="s">
        <v>1899</v>
      </c>
      <c r="V49" s="154" t="s">
        <v>1562</v>
      </c>
      <c r="W49" s="154">
        <v>0</v>
      </c>
      <c r="X49" s="154" t="s">
        <v>63</v>
      </c>
      <c r="Y49" s="154" t="s">
        <v>1900</v>
      </c>
      <c r="Z49" s="154"/>
      <c r="AA49" s="154" t="s">
        <v>1387</v>
      </c>
      <c r="AB49" s="154">
        <v>0</v>
      </c>
      <c r="AC49" s="138">
        <f>IFERROR(IF(DATEDIF(#REF!,U49,"m")&lt;=1,1,IF(AND(DATEDIF(#REF!,U49,"m")&gt;1,DATEDIF(#REF!,U49,"m")&lt;12),2,IF(AND(DATEDIF(#REF!,U49,"m")&gt;=12,DATEDIF(#REF!,U49,"m")&lt;24),3,IF(DATEDIF(#REF!,U49,"m")&gt;=24,4,"")))),IF(E49="r0320 - Deposits, not covered and not preferential",1,4))</f>
        <v>4</v>
      </c>
    </row>
    <row r="50" spans="2:29" ht="48.75" thickBot="1" x14ac:dyDescent="0.3">
      <c r="B50" s="14"/>
      <c r="C50" s="11">
        <v>999</v>
      </c>
      <c r="D50" s="154">
        <v>43</v>
      </c>
      <c r="E50" s="154" t="s">
        <v>1902</v>
      </c>
      <c r="F50" s="154" t="s">
        <v>83</v>
      </c>
      <c r="G50" s="154" t="s">
        <v>1903</v>
      </c>
      <c r="H50" s="154" t="s">
        <v>853</v>
      </c>
      <c r="I50" s="154" t="s">
        <v>93</v>
      </c>
      <c r="J50" s="154" t="s">
        <v>94</v>
      </c>
      <c r="K50" s="154" t="s">
        <v>60</v>
      </c>
      <c r="L50" s="154" t="s">
        <v>1897</v>
      </c>
      <c r="M50" s="154" t="s">
        <v>1388</v>
      </c>
      <c r="N50" s="154" t="s">
        <v>61</v>
      </c>
      <c r="O50" s="154" t="s">
        <v>62</v>
      </c>
      <c r="P50" s="146">
        <v>114383.25</v>
      </c>
      <c r="Q50" s="146">
        <v>7.41</v>
      </c>
      <c r="R50" s="154" t="s">
        <v>1384</v>
      </c>
      <c r="S50" s="154" t="s">
        <v>1899</v>
      </c>
      <c r="T50" s="155" t="s">
        <v>768</v>
      </c>
      <c r="U50" s="155" t="s">
        <v>1899</v>
      </c>
      <c r="V50" s="154" t="s">
        <v>1904</v>
      </c>
      <c r="W50" s="154">
        <v>0</v>
      </c>
      <c r="X50" s="154" t="s">
        <v>63</v>
      </c>
      <c r="Y50" s="154" t="s">
        <v>1386</v>
      </c>
      <c r="Z50" s="154"/>
      <c r="AA50" s="154" t="s">
        <v>1387</v>
      </c>
      <c r="AB50" s="154">
        <v>0</v>
      </c>
      <c r="AC50" s="138">
        <f>IFERROR(IF(DATEDIF(#REF!,U50,"m")&lt;=1,1,IF(AND(DATEDIF(#REF!,U50,"m")&gt;1,DATEDIF(#REF!,U50,"m")&lt;12),2,IF(AND(DATEDIF(#REF!,U50,"m")&gt;=12,DATEDIF(#REF!,U50,"m")&lt;24),3,IF(DATEDIF(#REF!,U50,"m")&gt;=24,4,"")))),IF(E50="r0320 - Deposits, not covered and not preferential",1,4))</f>
        <v>4</v>
      </c>
    </row>
    <row r="51" spans="2:29" ht="48.75" thickBot="1" x14ac:dyDescent="0.3">
      <c r="B51" s="14"/>
      <c r="C51" s="11">
        <v>999</v>
      </c>
      <c r="D51" s="154">
        <v>44</v>
      </c>
      <c r="E51" s="154" t="s">
        <v>1902</v>
      </c>
      <c r="F51" s="154" t="s">
        <v>83</v>
      </c>
      <c r="G51" s="154" t="s">
        <v>1903</v>
      </c>
      <c r="H51" s="154" t="s">
        <v>215</v>
      </c>
      <c r="I51" s="154" t="s">
        <v>101</v>
      </c>
      <c r="J51" s="154" t="s">
        <v>102</v>
      </c>
      <c r="K51" s="154" t="s">
        <v>60</v>
      </c>
      <c r="L51" s="154" t="s">
        <v>1897</v>
      </c>
      <c r="M51" s="154" t="s">
        <v>1388</v>
      </c>
      <c r="N51" s="154" t="s">
        <v>61</v>
      </c>
      <c r="O51" s="154" t="s">
        <v>62</v>
      </c>
      <c r="P51" s="146">
        <v>84716.01</v>
      </c>
      <c r="Q51" s="146">
        <v>26.79</v>
      </c>
      <c r="R51" s="154" t="s">
        <v>1384</v>
      </c>
      <c r="S51" s="154" t="s">
        <v>1899</v>
      </c>
      <c r="T51" s="155" t="s">
        <v>768</v>
      </c>
      <c r="U51" s="155" t="s">
        <v>1899</v>
      </c>
      <c r="V51" s="154" t="s">
        <v>1904</v>
      </c>
      <c r="W51" s="154">
        <v>0</v>
      </c>
      <c r="X51" s="154" t="s">
        <v>63</v>
      </c>
      <c r="Y51" s="154" t="s">
        <v>1386</v>
      </c>
      <c r="Z51" s="154"/>
      <c r="AA51" s="154" t="s">
        <v>1387</v>
      </c>
      <c r="AB51" s="154">
        <v>0</v>
      </c>
      <c r="AC51" s="138">
        <f>IFERROR(IF(DATEDIF(#REF!,U51,"m")&lt;=1,1,IF(AND(DATEDIF(#REF!,U51,"m")&gt;1,DATEDIF(#REF!,U51,"m")&lt;12),2,IF(AND(DATEDIF(#REF!,U51,"m")&gt;=12,DATEDIF(#REF!,U51,"m")&lt;24),3,IF(DATEDIF(#REF!,U51,"m")&gt;=24,4,"")))),IF(E51="r0320 - Deposits, not covered and not preferential",1,4))</f>
        <v>4</v>
      </c>
    </row>
    <row r="52" spans="2:29" ht="36.75" thickBot="1" x14ac:dyDescent="0.3">
      <c r="B52" s="14"/>
      <c r="C52" s="11">
        <v>999</v>
      </c>
      <c r="D52" s="154">
        <v>45</v>
      </c>
      <c r="E52" s="154" t="s">
        <v>1898</v>
      </c>
      <c r="F52" s="154" t="s">
        <v>87</v>
      </c>
      <c r="G52" s="154" t="s">
        <v>1402</v>
      </c>
      <c r="H52" s="154" t="s">
        <v>340</v>
      </c>
      <c r="I52" s="154" t="s">
        <v>111</v>
      </c>
      <c r="J52" s="154" t="s">
        <v>90</v>
      </c>
      <c r="K52" s="154" t="s">
        <v>91</v>
      </c>
      <c r="L52" s="154" t="s">
        <v>1897</v>
      </c>
      <c r="M52" s="154" t="s">
        <v>1383</v>
      </c>
      <c r="N52" s="154" t="s">
        <v>61</v>
      </c>
      <c r="O52" s="154" t="s">
        <v>62</v>
      </c>
      <c r="P52" s="146">
        <v>0.22</v>
      </c>
      <c r="Q52" s="146">
        <v>0</v>
      </c>
      <c r="R52" s="154" t="s">
        <v>1384</v>
      </c>
      <c r="S52" s="154" t="s">
        <v>1899</v>
      </c>
      <c r="T52" s="155" t="s">
        <v>1899</v>
      </c>
      <c r="U52" s="155" t="s">
        <v>1899</v>
      </c>
      <c r="V52" s="154" t="s">
        <v>1562</v>
      </c>
      <c r="W52" s="154">
        <v>0</v>
      </c>
      <c r="X52" s="154" t="s">
        <v>63</v>
      </c>
      <c r="Y52" s="154" t="s">
        <v>1900</v>
      </c>
      <c r="Z52" s="154"/>
      <c r="AA52" s="154" t="s">
        <v>1387</v>
      </c>
      <c r="AB52" s="154">
        <v>0</v>
      </c>
      <c r="AC52" s="138">
        <f>IFERROR(IF(DATEDIF(#REF!,U52,"m")&lt;=1,1,IF(AND(DATEDIF(#REF!,U52,"m")&gt;1,DATEDIF(#REF!,U52,"m")&lt;12),2,IF(AND(DATEDIF(#REF!,U52,"m")&gt;=12,DATEDIF(#REF!,U52,"m")&lt;24),3,IF(DATEDIF(#REF!,U52,"m")&gt;=24,4,"")))),IF(E52="r0320 - Deposits, not covered and not preferential",1,4))</f>
        <v>4</v>
      </c>
    </row>
    <row r="53" spans="2:29" ht="36.75" thickBot="1" x14ac:dyDescent="0.3">
      <c r="B53" s="14"/>
      <c r="C53" s="11">
        <v>999</v>
      </c>
      <c r="D53" s="154">
        <v>46</v>
      </c>
      <c r="E53" s="154" t="s">
        <v>1898</v>
      </c>
      <c r="F53" s="154" t="s">
        <v>87</v>
      </c>
      <c r="G53" s="154" t="s">
        <v>1402</v>
      </c>
      <c r="H53" s="154" t="s">
        <v>566</v>
      </c>
      <c r="I53" s="154" t="s">
        <v>89</v>
      </c>
      <c r="J53" s="154" t="s">
        <v>90</v>
      </c>
      <c r="K53" s="154" t="s">
        <v>91</v>
      </c>
      <c r="L53" s="154" t="s">
        <v>1901</v>
      </c>
      <c r="M53" s="154" t="s">
        <v>1383</v>
      </c>
      <c r="N53" s="154" t="s">
        <v>61</v>
      </c>
      <c r="O53" s="154" t="s">
        <v>62</v>
      </c>
      <c r="P53" s="146">
        <v>0.32</v>
      </c>
      <c r="Q53" s="146">
        <v>0</v>
      </c>
      <c r="R53" s="154" t="s">
        <v>1384</v>
      </c>
      <c r="S53" s="154" t="s">
        <v>1899</v>
      </c>
      <c r="T53" s="155" t="s">
        <v>1899</v>
      </c>
      <c r="U53" s="155" t="s">
        <v>1899</v>
      </c>
      <c r="V53" s="154" t="s">
        <v>1562</v>
      </c>
      <c r="W53" s="154">
        <v>0</v>
      </c>
      <c r="X53" s="154" t="s">
        <v>63</v>
      </c>
      <c r="Y53" s="154" t="s">
        <v>1900</v>
      </c>
      <c r="Z53" s="154"/>
      <c r="AA53" s="154" t="s">
        <v>1387</v>
      </c>
      <c r="AB53" s="154">
        <v>0</v>
      </c>
      <c r="AC53" s="138">
        <f>IFERROR(IF(DATEDIF(#REF!,U53,"m")&lt;=1,1,IF(AND(DATEDIF(#REF!,U53,"m")&gt;1,DATEDIF(#REF!,U53,"m")&lt;12),2,IF(AND(DATEDIF(#REF!,U53,"m")&gt;=12,DATEDIF(#REF!,U53,"m")&lt;24),3,IF(DATEDIF(#REF!,U53,"m")&gt;=24,4,"")))),IF(E53="r0320 - Deposits, not covered and not preferential",1,4))</f>
        <v>4</v>
      </c>
    </row>
    <row r="54" spans="2:29" ht="36.75" thickBot="1" x14ac:dyDescent="0.3">
      <c r="B54" s="14"/>
      <c r="C54" s="11">
        <v>999</v>
      </c>
      <c r="D54" s="154">
        <v>47</v>
      </c>
      <c r="E54" s="154" t="s">
        <v>1898</v>
      </c>
      <c r="F54" s="154" t="s">
        <v>87</v>
      </c>
      <c r="G54" s="154" t="s">
        <v>1402</v>
      </c>
      <c r="H54" s="154" t="s">
        <v>979</v>
      </c>
      <c r="I54" s="154" t="s">
        <v>99</v>
      </c>
      <c r="J54" s="154" t="s">
        <v>90</v>
      </c>
      <c r="K54" s="154" t="s">
        <v>91</v>
      </c>
      <c r="L54" s="154" t="s">
        <v>1897</v>
      </c>
      <c r="M54" s="154" t="s">
        <v>1383</v>
      </c>
      <c r="N54" s="154" t="s">
        <v>61</v>
      </c>
      <c r="O54" s="154" t="s">
        <v>62</v>
      </c>
      <c r="P54" s="146">
        <v>0.03</v>
      </c>
      <c r="Q54" s="146">
        <v>0</v>
      </c>
      <c r="R54" s="154" t="s">
        <v>1384</v>
      </c>
      <c r="S54" s="154" t="s">
        <v>1899</v>
      </c>
      <c r="T54" s="155" t="s">
        <v>1899</v>
      </c>
      <c r="U54" s="155" t="s">
        <v>1899</v>
      </c>
      <c r="V54" s="154" t="s">
        <v>1562</v>
      </c>
      <c r="W54" s="154">
        <v>0</v>
      </c>
      <c r="X54" s="154" t="s">
        <v>63</v>
      </c>
      <c r="Y54" s="154" t="s">
        <v>1900</v>
      </c>
      <c r="Z54" s="154"/>
      <c r="AA54" s="154" t="s">
        <v>1387</v>
      </c>
      <c r="AB54" s="154">
        <v>0</v>
      </c>
      <c r="AC54" s="138">
        <f>IFERROR(IF(DATEDIF(#REF!,U54,"m")&lt;=1,1,IF(AND(DATEDIF(#REF!,U54,"m")&gt;1,DATEDIF(#REF!,U54,"m")&lt;12),2,IF(AND(DATEDIF(#REF!,U54,"m")&gt;=12,DATEDIF(#REF!,U54,"m")&lt;24),3,IF(DATEDIF(#REF!,U54,"m")&gt;=24,4,"")))),IF(E54="r0320 - Deposits, not covered and not preferential",1,4))</f>
        <v>4</v>
      </c>
    </row>
    <row r="55" spans="2:29" ht="36.75" thickBot="1" x14ac:dyDescent="0.3">
      <c r="B55" s="14"/>
      <c r="C55" s="11">
        <v>999</v>
      </c>
      <c r="D55" s="154">
        <v>48</v>
      </c>
      <c r="E55" s="154" t="s">
        <v>1898</v>
      </c>
      <c r="F55" s="154" t="s">
        <v>87</v>
      </c>
      <c r="G55" s="154" t="s">
        <v>1402</v>
      </c>
      <c r="H55" s="154" t="s">
        <v>1357</v>
      </c>
      <c r="I55" s="154" t="s">
        <v>108</v>
      </c>
      <c r="J55" s="154" t="s">
        <v>90</v>
      </c>
      <c r="K55" s="154" t="s">
        <v>91</v>
      </c>
      <c r="L55" s="154" t="s">
        <v>1897</v>
      </c>
      <c r="M55" s="154" t="s">
        <v>1383</v>
      </c>
      <c r="N55" s="154" t="s">
        <v>61</v>
      </c>
      <c r="O55" s="154" t="s">
        <v>62</v>
      </c>
      <c r="P55" s="146">
        <v>5.27</v>
      </c>
      <c r="Q55" s="146">
        <v>0</v>
      </c>
      <c r="R55" s="154" t="s">
        <v>1384</v>
      </c>
      <c r="S55" s="154" t="s">
        <v>1899</v>
      </c>
      <c r="T55" s="155" t="s">
        <v>1899</v>
      </c>
      <c r="U55" s="155" t="s">
        <v>1899</v>
      </c>
      <c r="V55" s="154" t="s">
        <v>1562</v>
      </c>
      <c r="W55" s="154">
        <v>0</v>
      </c>
      <c r="X55" s="154" t="s">
        <v>63</v>
      </c>
      <c r="Y55" s="154" t="s">
        <v>1900</v>
      </c>
      <c r="Z55" s="154"/>
      <c r="AA55" s="154" t="s">
        <v>1387</v>
      </c>
      <c r="AB55" s="154">
        <v>0</v>
      </c>
      <c r="AC55" s="138">
        <f>IFERROR(IF(DATEDIF(#REF!,U55,"m")&lt;=1,1,IF(AND(DATEDIF(#REF!,U55,"m")&gt;1,DATEDIF(#REF!,U55,"m")&lt;12),2,IF(AND(DATEDIF(#REF!,U55,"m")&gt;=12,DATEDIF(#REF!,U55,"m")&lt;24),3,IF(DATEDIF(#REF!,U55,"m")&gt;=24,4,"")))),IF(E55="r0320 - Deposits, not covered and not preferential",1,4))</f>
        <v>4</v>
      </c>
    </row>
    <row r="56" spans="2:29" ht="36.75" thickBot="1" x14ac:dyDescent="0.3">
      <c r="B56" s="14"/>
      <c r="C56" s="11">
        <v>999</v>
      </c>
      <c r="D56" s="154">
        <v>49</v>
      </c>
      <c r="E56" s="154" t="s">
        <v>1898</v>
      </c>
      <c r="F56" s="154" t="s">
        <v>87</v>
      </c>
      <c r="G56" s="154" t="s">
        <v>1402</v>
      </c>
      <c r="H56" s="154" t="s">
        <v>623</v>
      </c>
      <c r="I56" s="154" t="s">
        <v>89</v>
      </c>
      <c r="J56" s="154" t="s">
        <v>90</v>
      </c>
      <c r="K56" s="154" t="s">
        <v>91</v>
      </c>
      <c r="L56" s="154" t="s">
        <v>1901</v>
      </c>
      <c r="M56" s="154" t="s">
        <v>1383</v>
      </c>
      <c r="N56" s="154" t="s">
        <v>61</v>
      </c>
      <c r="O56" s="154" t="s">
        <v>62</v>
      </c>
      <c r="P56" s="146">
        <v>0.05</v>
      </c>
      <c r="Q56" s="146">
        <v>0</v>
      </c>
      <c r="R56" s="154" t="s">
        <v>1384</v>
      </c>
      <c r="S56" s="154" t="s">
        <v>1899</v>
      </c>
      <c r="T56" s="155" t="s">
        <v>1899</v>
      </c>
      <c r="U56" s="155" t="s">
        <v>1899</v>
      </c>
      <c r="V56" s="154" t="s">
        <v>1562</v>
      </c>
      <c r="W56" s="154">
        <v>0</v>
      </c>
      <c r="X56" s="154" t="s">
        <v>63</v>
      </c>
      <c r="Y56" s="154" t="s">
        <v>1900</v>
      </c>
      <c r="Z56" s="154"/>
      <c r="AA56" s="154" t="s">
        <v>1387</v>
      </c>
      <c r="AB56" s="154">
        <v>0</v>
      </c>
      <c r="AC56" s="138">
        <f>IFERROR(IF(DATEDIF(#REF!,U56,"m")&lt;=1,1,IF(AND(DATEDIF(#REF!,U56,"m")&gt;1,DATEDIF(#REF!,U56,"m")&lt;12),2,IF(AND(DATEDIF(#REF!,U56,"m")&gt;=12,DATEDIF(#REF!,U56,"m")&lt;24),3,IF(DATEDIF(#REF!,U56,"m")&gt;=24,4,"")))),IF(E56="r0320 - Deposits, not covered and not preferential",1,4))</f>
        <v>4</v>
      </c>
    </row>
    <row r="57" spans="2:29" ht="36.75" thickBot="1" x14ac:dyDescent="0.3">
      <c r="B57" s="14"/>
      <c r="C57" s="11">
        <v>999</v>
      </c>
      <c r="D57" s="154">
        <v>50</v>
      </c>
      <c r="E57" s="154" t="s">
        <v>1898</v>
      </c>
      <c r="F57" s="154" t="s">
        <v>87</v>
      </c>
      <c r="G57" s="154" t="s">
        <v>1402</v>
      </c>
      <c r="H57" s="154" t="s">
        <v>1066</v>
      </c>
      <c r="I57" s="154" t="s">
        <v>89</v>
      </c>
      <c r="J57" s="154" t="s">
        <v>90</v>
      </c>
      <c r="K57" s="154" t="s">
        <v>91</v>
      </c>
      <c r="L57" s="154" t="s">
        <v>1901</v>
      </c>
      <c r="M57" s="154" t="s">
        <v>1383</v>
      </c>
      <c r="N57" s="154" t="s">
        <v>61</v>
      </c>
      <c r="O57" s="154" t="s">
        <v>62</v>
      </c>
      <c r="P57" s="146">
        <v>0.33</v>
      </c>
      <c r="Q57" s="146">
        <v>0</v>
      </c>
      <c r="R57" s="154" t="s">
        <v>1384</v>
      </c>
      <c r="S57" s="154" t="s">
        <v>1899</v>
      </c>
      <c r="T57" s="155" t="s">
        <v>1899</v>
      </c>
      <c r="U57" s="155" t="s">
        <v>1899</v>
      </c>
      <c r="V57" s="154" t="s">
        <v>1562</v>
      </c>
      <c r="W57" s="154">
        <v>0</v>
      </c>
      <c r="X57" s="154" t="s">
        <v>63</v>
      </c>
      <c r="Y57" s="154" t="s">
        <v>1900</v>
      </c>
      <c r="Z57" s="154"/>
      <c r="AA57" s="154" t="s">
        <v>1387</v>
      </c>
      <c r="AB57" s="154">
        <v>0</v>
      </c>
      <c r="AC57" s="138">
        <f>IFERROR(IF(DATEDIF(#REF!,U57,"m")&lt;=1,1,IF(AND(DATEDIF(#REF!,U57,"m")&gt;1,DATEDIF(#REF!,U57,"m")&lt;12),2,IF(AND(DATEDIF(#REF!,U57,"m")&gt;=12,DATEDIF(#REF!,U57,"m")&lt;24),3,IF(DATEDIF(#REF!,U57,"m")&gt;=24,4,"")))),IF(E57="r0320 - Deposits, not covered and not preferential",1,4))</f>
        <v>4</v>
      </c>
    </row>
    <row r="58" spans="2:29" ht="36.75" thickBot="1" x14ac:dyDescent="0.3">
      <c r="B58" s="14"/>
      <c r="C58" s="11">
        <v>999</v>
      </c>
      <c r="D58" s="154">
        <v>51</v>
      </c>
      <c r="E58" s="154" t="s">
        <v>1898</v>
      </c>
      <c r="F58" s="154" t="s">
        <v>56</v>
      </c>
      <c r="G58" s="154" t="s">
        <v>1402</v>
      </c>
      <c r="H58" s="154" t="s">
        <v>1067</v>
      </c>
      <c r="I58" s="154" t="s">
        <v>66</v>
      </c>
      <c r="J58" s="154" t="s">
        <v>67</v>
      </c>
      <c r="K58" s="154" t="s">
        <v>60</v>
      </c>
      <c r="L58" s="154" t="s">
        <v>1897</v>
      </c>
      <c r="M58" s="154" t="s">
        <v>1383</v>
      </c>
      <c r="N58" s="154" t="s">
        <v>61</v>
      </c>
      <c r="O58" s="154" t="s">
        <v>62</v>
      </c>
      <c r="P58" s="146">
        <v>0.22</v>
      </c>
      <c r="Q58" s="146">
        <v>0</v>
      </c>
      <c r="R58" s="154" t="s">
        <v>1384</v>
      </c>
      <c r="S58" s="154" t="s">
        <v>1899</v>
      </c>
      <c r="T58" s="155" t="s">
        <v>1899</v>
      </c>
      <c r="U58" s="155" t="s">
        <v>1899</v>
      </c>
      <c r="V58" s="154" t="s">
        <v>1562</v>
      </c>
      <c r="W58" s="154">
        <v>0</v>
      </c>
      <c r="X58" s="154" t="s">
        <v>63</v>
      </c>
      <c r="Y58" s="154" t="s">
        <v>1900</v>
      </c>
      <c r="Z58" s="154"/>
      <c r="AA58" s="154" t="s">
        <v>1387</v>
      </c>
      <c r="AB58" s="154">
        <v>0</v>
      </c>
      <c r="AC58" s="138">
        <f>IFERROR(IF(DATEDIF(#REF!,U58,"m")&lt;=1,1,IF(AND(DATEDIF(#REF!,U58,"m")&gt;1,DATEDIF(#REF!,U58,"m")&lt;12),2,IF(AND(DATEDIF(#REF!,U58,"m")&gt;=12,DATEDIF(#REF!,U58,"m")&lt;24),3,IF(DATEDIF(#REF!,U58,"m")&gt;=24,4,"")))),IF(E58="r0320 - Deposits, not covered and not preferential",1,4))</f>
        <v>4</v>
      </c>
    </row>
    <row r="59" spans="2:29" ht="36.75" thickBot="1" x14ac:dyDescent="0.3">
      <c r="B59" s="14"/>
      <c r="C59" s="11">
        <v>999</v>
      </c>
      <c r="D59" s="154">
        <v>52</v>
      </c>
      <c r="E59" s="154" t="s">
        <v>1898</v>
      </c>
      <c r="F59" s="154" t="s">
        <v>56</v>
      </c>
      <c r="G59" s="154" t="s">
        <v>1402</v>
      </c>
      <c r="H59" s="154" t="s">
        <v>933</v>
      </c>
      <c r="I59" s="154" t="s">
        <v>66</v>
      </c>
      <c r="J59" s="154" t="s">
        <v>67</v>
      </c>
      <c r="K59" s="154" t="s">
        <v>60</v>
      </c>
      <c r="L59" s="154" t="s">
        <v>1897</v>
      </c>
      <c r="M59" s="154" t="s">
        <v>1383</v>
      </c>
      <c r="N59" s="154" t="s">
        <v>61</v>
      </c>
      <c r="O59" s="154" t="s">
        <v>62</v>
      </c>
      <c r="P59" s="146">
        <v>0.89</v>
      </c>
      <c r="Q59" s="146">
        <v>0</v>
      </c>
      <c r="R59" s="154" t="s">
        <v>1384</v>
      </c>
      <c r="S59" s="154" t="s">
        <v>1899</v>
      </c>
      <c r="T59" s="155" t="s">
        <v>1899</v>
      </c>
      <c r="U59" s="155" t="s">
        <v>1899</v>
      </c>
      <c r="V59" s="154" t="s">
        <v>1562</v>
      </c>
      <c r="W59" s="154">
        <v>0</v>
      </c>
      <c r="X59" s="154" t="s">
        <v>63</v>
      </c>
      <c r="Y59" s="154" t="s">
        <v>1900</v>
      </c>
      <c r="Z59" s="154"/>
      <c r="AA59" s="154" t="s">
        <v>1387</v>
      </c>
      <c r="AB59" s="154">
        <v>0</v>
      </c>
      <c r="AC59" s="138">
        <f>IFERROR(IF(DATEDIF(#REF!,U59,"m")&lt;=1,1,IF(AND(DATEDIF(#REF!,U59,"m")&gt;1,DATEDIF(#REF!,U59,"m")&lt;12),2,IF(AND(DATEDIF(#REF!,U59,"m")&gt;=12,DATEDIF(#REF!,U59,"m")&lt;24),3,IF(DATEDIF(#REF!,U59,"m")&gt;=24,4,"")))),IF(E59="r0320 - Deposits, not covered and not preferential",1,4))</f>
        <v>4</v>
      </c>
    </row>
    <row r="60" spans="2:29" ht="36.75" thickBot="1" x14ac:dyDescent="0.3">
      <c r="B60" s="14"/>
      <c r="C60" s="11">
        <v>999</v>
      </c>
      <c r="D60" s="154">
        <v>53</v>
      </c>
      <c r="E60" s="154" t="s">
        <v>1898</v>
      </c>
      <c r="F60" s="154" t="s">
        <v>87</v>
      </c>
      <c r="G60" s="154" t="s">
        <v>1402</v>
      </c>
      <c r="H60" s="154" t="s">
        <v>413</v>
      </c>
      <c r="I60" s="154" t="s">
        <v>108</v>
      </c>
      <c r="J60" s="154" t="s">
        <v>90</v>
      </c>
      <c r="K60" s="154" t="s">
        <v>91</v>
      </c>
      <c r="L60" s="154" t="s">
        <v>1897</v>
      </c>
      <c r="M60" s="154" t="s">
        <v>1383</v>
      </c>
      <c r="N60" s="154" t="s">
        <v>61</v>
      </c>
      <c r="O60" s="154" t="s">
        <v>62</v>
      </c>
      <c r="P60" s="146">
        <v>6.3</v>
      </c>
      <c r="Q60" s="146">
        <v>0</v>
      </c>
      <c r="R60" s="154" t="s">
        <v>1384</v>
      </c>
      <c r="S60" s="154" t="s">
        <v>1899</v>
      </c>
      <c r="T60" s="155" t="s">
        <v>1899</v>
      </c>
      <c r="U60" s="155" t="s">
        <v>1899</v>
      </c>
      <c r="V60" s="154" t="s">
        <v>1562</v>
      </c>
      <c r="W60" s="154">
        <v>0</v>
      </c>
      <c r="X60" s="154" t="s">
        <v>63</v>
      </c>
      <c r="Y60" s="154" t="s">
        <v>1900</v>
      </c>
      <c r="Z60" s="154"/>
      <c r="AA60" s="154" t="s">
        <v>1387</v>
      </c>
      <c r="AB60" s="154">
        <v>0</v>
      </c>
      <c r="AC60" s="138">
        <f>IFERROR(IF(DATEDIF(#REF!,U60,"m")&lt;=1,1,IF(AND(DATEDIF(#REF!,U60,"m")&gt;1,DATEDIF(#REF!,U60,"m")&lt;12),2,IF(AND(DATEDIF(#REF!,U60,"m")&gt;=12,DATEDIF(#REF!,U60,"m")&lt;24),3,IF(DATEDIF(#REF!,U60,"m")&gt;=24,4,"")))),IF(E60="r0320 - Deposits, not covered and not preferential",1,4))</f>
        <v>4</v>
      </c>
    </row>
    <row r="61" spans="2:29" ht="48.75" thickBot="1" x14ac:dyDescent="0.3">
      <c r="B61" s="14"/>
      <c r="C61" s="11">
        <v>999</v>
      </c>
      <c r="D61" s="154">
        <v>54</v>
      </c>
      <c r="E61" s="154" t="s">
        <v>1902</v>
      </c>
      <c r="F61" s="154" t="s">
        <v>83</v>
      </c>
      <c r="G61" s="154" t="s">
        <v>1903</v>
      </c>
      <c r="H61" s="154" t="s">
        <v>178</v>
      </c>
      <c r="I61" s="154" t="s">
        <v>101</v>
      </c>
      <c r="J61" s="154" t="s">
        <v>102</v>
      </c>
      <c r="K61" s="154" t="s">
        <v>60</v>
      </c>
      <c r="L61" s="154" t="s">
        <v>1897</v>
      </c>
      <c r="M61" s="154" t="s">
        <v>1388</v>
      </c>
      <c r="N61" s="154" t="s">
        <v>61</v>
      </c>
      <c r="O61" s="154" t="s">
        <v>62</v>
      </c>
      <c r="P61" s="146">
        <v>334627.98</v>
      </c>
      <c r="Q61" s="146">
        <v>142.5</v>
      </c>
      <c r="R61" s="154" t="s">
        <v>1384</v>
      </c>
      <c r="S61" s="154" t="s">
        <v>1899</v>
      </c>
      <c r="T61" s="155" t="s">
        <v>768</v>
      </c>
      <c r="U61" s="155" t="s">
        <v>1899</v>
      </c>
      <c r="V61" s="154" t="s">
        <v>1904</v>
      </c>
      <c r="W61" s="154">
        <v>0</v>
      </c>
      <c r="X61" s="154" t="s">
        <v>63</v>
      </c>
      <c r="Y61" s="154" t="s">
        <v>1386</v>
      </c>
      <c r="Z61" s="154"/>
      <c r="AA61" s="154" t="s">
        <v>1387</v>
      </c>
      <c r="AB61" s="154">
        <v>0</v>
      </c>
      <c r="AC61" s="138">
        <f>IFERROR(IF(DATEDIF(#REF!,U61,"m")&lt;=1,1,IF(AND(DATEDIF(#REF!,U61,"m")&gt;1,DATEDIF(#REF!,U61,"m")&lt;12),2,IF(AND(DATEDIF(#REF!,U61,"m")&gt;=12,DATEDIF(#REF!,U61,"m")&lt;24),3,IF(DATEDIF(#REF!,U61,"m")&gt;=24,4,"")))),IF(E61="r0320 - Deposits, not covered and not preferential",1,4))</f>
        <v>4</v>
      </c>
    </row>
    <row r="62" spans="2:29" ht="36.75" thickBot="1" x14ac:dyDescent="0.3">
      <c r="B62" s="14"/>
      <c r="C62" s="11">
        <v>999</v>
      </c>
      <c r="D62" s="154">
        <v>55</v>
      </c>
      <c r="E62" s="154" t="s">
        <v>1898</v>
      </c>
      <c r="F62" s="154" t="s">
        <v>56</v>
      </c>
      <c r="G62" s="154" t="s">
        <v>1402</v>
      </c>
      <c r="H62" s="154" t="s">
        <v>706</v>
      </c>
      <c r="I62" s="154" t="s">
        <v>72</v>
      </c>
      <c r="J62" s="154" t="s">
        <v>73</v>
      </c>
      <c r="K62" s="154" t="s">
        <v>60</v>
      </c>
      <c r="L62" s="154" t="s">
        <v>1897</v>
      </c>
      <c r="M62" s="154" t="s">
        <v>1388</v>
      </c>
      <c r="N62" s="154" t="s">
        <v>61</v>
      </c>
      <c r="O62" s="154" t="s">
        <v>62</v>
      </c>
      <c r="P62" s="146">
        <v>7.31</v>
      </c>
      <c r="Q62" s="146">
        <v>0</v>
      </c>
      <c r="R62" s="154" t="s">
        <v>1384</v>
      </c>
      <c r="S62" s="154" t="s">
        <v>1899</v>
      </c>
      <c r="T62" s="155" t="s">
        <v>1899</v>
      </c>
      <c r="U62" s="155" t="s">
        <v>1899</v>
      </c>
      <c r="V62" s="154" t="s">
        <v>1562</v>
      </c>
      <c r="W62" s="154">
        <v>0</v>
      </c>
      <c r="X62" s="154" t="s">
        <v>63</v>
      </c>
      <c r="Y62" s="154" t="s">
        <v>1900</v>
      </c>
      <c r="Z62" s="154"/>
      <c r="AA62" s="154" t="s">
        <v>1387</v>
      </c>
      <c r="AB62" s="154">
        <v>0</v>
      </c>
      <c r="AC62" s="138">
        <f>IFERROR(IF(DATEDIF(#REF!,U62,"m")&lt;=1,1,IF(AND(DATEDIF(#REF!,U62,"m")&gt;1,DATEDIF(#REF!,U62,"m")&lt;12),2,IF(AND(DATEDIF(#REF!,U62,"m")&gt;=12,DATEDIF(#REF!,U62,"m")&lt;24),3,IF(DATEDIF(#REF!,U62,"m")&gt;=24,4,"")))),IF(E62="r0320 - Deposits, not covered and not preferential",1,4))</f>
        <v>4</v>
      </c>
    </row>
    <row r="63" spans="2:29" ht="36.75" thickBot="1" x14ac:dyDescent="0.3">
      <c r="B63" s="14"/>
      <c r="C63" s="11">
        <v>999</v>
      </c>
      <c r="D63" s="154">
        <v>56</v>
      </c>
      <c r="E63" s="154" t="s">
        <v>1898</v>
      </c>
      <c r="F63" s="154" t="s">
        <v>87</v>
      </c>
      <c r="G63" s="154" t="s">
        <v>1402</v>
      </c>
      <c r="H63" s="154" t="s">
        <v>672</v>
      </c>
      <c r="I63" s="154" t="s">
        <v>108</v>
      </c>
      <c r="J63" s="154" t="s">
        <v>90</v>
      </c>
      <c r="K63" s="154" t="s">
        <v>91</v>
      </c>
      <c r="L63" s="154" t="s">
        <v>1897</v>
      </c>
      <c r="M63" s="154" t="s">
        <v>1383</v>
      </c>
      <c r="N63" s="154" t="s">
        <v>61</v>
      </c>
      <c r="O63" s="154" t="s">
        <v>62</v>
      </c>
      <c r="P63" s="146">
        <v>3.42</v>
      </c>
      <c r="Q63" s="146">
        <v>0</v>
      </c>
      <c r="R63" s="154" t="s">
        <v>1384</v>
      </c>
      <c r="S63" s="154" t="s">
        <v>1899</v>
      </c>
      <c r="T63" s="155" t="s">
        <v>1899</v>
      </c>
      <c r="U63" s="155" t="s">
        <v>1899</v>
      </c>
      <c r="V63" s="154" t="s">
        <v>1562</v>
      </c>
      <c r="W63" s="154">
        <v>0</v>
      </c>
      <c r="X63" s="154" t="s">
        <v>63</v>
      </c>
      <c r="Y63" s="154" t="s">
        <v>1900</v>
      </c>
      <c r="Z63" s="154"/>
      <c r="AA63" s="154" t="s">
        <v>1387</v>
      </c>
      <c r="AB63" s="154">
        <v>0</v>
      </c>
      <c r="AC63" s="138">
        <f>IFERROR(IF(DATEDIF(#REF!,U63,"m")&lt;=1,1,IF(AND(DATEDIF(#REF!,U63,"m")&gt;1,DATEDIF(#REF!,U63,"m")&lt;12),2,IF(AND(DATEDIF(#REF!,U63,"m")&gt;=12,DATEDIF(#REF!,U63,"m")&lt;24),3,IF(DATEDIF(#REF!,U63,"m")&gt;=24,4,"")))),IF(E63="r0320 - Deposits, not covered and not preferential",1,4))</f>
        <v>4</v>
      </c>
    </row>
    <row r="64" spans="2:29" ht="36.75" thickBot="1" x14ac:dyDescent="0.3">
      <c r="B64" s="14"/>
      <c r="C64" s="11">
        <v>999</v>
      </c>
      <c r="D64" s="154">
        <v>57</v>
      </c>
      <c r="E64" s="154" t="s">
        <v>1898</v>
      </c>
      <c r="F64" s="154" t="s">
        <v>87</v>
      </c>
      <c r="G64" s="154" t="s">
        <v>1402</v>
      </c>
      <c r="H64" s="154" t="s">
        <v>940</v>
      </c>
      <c r="I64" s="154" t="s">
        <v>96</v>
      </c>
      <c r="J64" s="154" t="s">
        <v>97</v>
      </c>
      <c r="K64" s="154" t="s">
        <v>91</v>
      </c>
      <c r="L64" s="154" t="s">
        <v>1897</v>
      </c>
      <c r="M64" s="154" t="s">
        <v>1383</v>
      </c>
      <c r="N64" s="154" t="s">
        <v>61</v>
      </c>
      <c r="O64" s="154" t="s">
        <v>62</v>
      </c>
      <c r="P64" s="146">
        <v>0.83</v>
      </c>
      <c r="Q64" s="146">
        <v>0</v>
      </c>
      <c r="R64" s="154" t="s">
        <v>1384</v>
      </c>
      <c r="S64" s="154" t="s">
        <v>1899</v>
      </c>
      <c r="T64" s="155" t="s">
        <v>1899</v>
      </c>
      <c r="U64" s="155" t="s">
        <v>1899</v>
      </c>
      <c r="V64" s="154" t="s">
        <v>1562</v>
      </c>
      <c r="W64" s="154">
        <v>0</v>
      </c>
      <c r="X64" s="154" t="s">
        <v>63</v>
      </c>
      <c r="Y64" s="154" t="s">
        <v>1900</v>
      </c>
      <c r="Z64" s="154"/>
      <c r="AA64" s="154" t="s">
        <v>1387</v>
      </c>
      <c r="AB64" s="154">
        <v>0</v>
      </c>
      <c r="AC64" s="138">
        <f>IFERROR(IF(DATEDIF(#REF!,U64,"m")&lt;=1,1,IF(AND(DATEDIF(#REF!,U64,"m")&gt;1,DATEDIF(#REF!,U64,"m")&lt;12),2,IF(AND(DATEDIF(#REF!,U64,"m")&gt;=12,DATEDIF(#REF!,U64,"m")&lt;24),3,IF(DATEDIF(#REF!,U64,"m")&gt;=24,4,"")))),IF(E64="r0320 - Deposits, not covered and not preferential",1,4))</f>
        <v>4</v>
      </c>
    </row>
    <row r="65" spans="2:29" ht="48.75" thickBot="1" x14ac:dyDescent="0.3">
      <c r="B65" s="14"/>
      <c r="C65" s="11">
        <v>999</v>
      </c>
      <c r="D65" s="154">
        <v>58</v>
      </c>
      <c r="E65" s="154" t="s">
        <v>1902</v>
      </c>
      <c r="F65" s="154" t="s">
        <v>83</v>
      </c>
      <c r="G65" s="154" t="s">
        <v>1903</v>
      </c>
      <c r="H65" s="154" t="s">
        <v>442</v>
      </c>
      <c r="I65" s="154" t="s">
        <v>93</v>
      </c>
      <c r="J65" s="154" t="s">
        <v>94</v>
      </c>
      <c r="K65" s="154" t="s">
        <v>60</v>
      </c>
      <c r="L65" s="154" t="s">
        <v>1897</v>
      </c>
      <c r="M65" s="154" t="s">
        <v>1388</v>
      </c>
      <c r="N65" s="154" t="s">
        <v>61</v>
      </c>
      <c r="O65" s="154" t="s">
        <v>62</v>
      </c>
      <c r="P65" s="146">
        <v>61217.96</v>
      </c>
      <c r="Q65" s="146">
        <v>-7.36</v>
      </c>
      <c r="R65" s="154" t="s">
        <v>1384</v>
      </c>
      <c r="S65" s="154" t="s">
        <v>1899</v>
      </c>
      <c r="T65" s="155" t="s">
        <v>768</v>
      </c>
      <c r="U65" s="155" t="s">
        <v>1899</v>
      </c>
      <c r="V65" s="154" t="s">
        <v>1904</v>
      </c>
      <c r="W65" s="154">
        <v>0</v>
      </c>
      <c r="X65" s="154" t="s">
        <v>63</v>
      </c>
      <c r="Y65" s="154" t="s">
        <v>1386</v>
      </c>
      <c r="Z65" s="154"/>
      <c r="AA65" s="154" t="s">
        <v>1387</v>
      </c>
      <c r="AB65" s="154">
        <v>0</v>
      </c>
      <c r="AC65" s="138">
        <f>IFERROR(IF(DATEDIF(#REF!,U65,"m")&lt;=1,1,IF(AND(DATEDIF(#REF!,U65,"m")&gt;1,DATEDIF(#REF!,U65,"m")&lt;12),2,IF(AND(DATEDIF(#REF!,U65,"m")&gt;=12,DATEDIF(#REF!,U65,"m")&lt;24),3,IF(DATEDIF(#REF!,U65,"m")&gt;=24,4,"")))),IF(E65="r0320 - Deposits, not covered and not preferential",1,4))</f>
        <v>4</v>
      </c>
    </row>
    <row r="66" spans="2:29" ht="36.75" thickBot="1" x14ac:dyDescent="0.3">
      <c r="B66" s="14"/>
      <c r="C66" s="11">
        <v>999</v>
      </c>
      <c r="D66" s="154">
        <v>59</v>
      </c>
      <c r="E66" s="154" t="s">
        <v>1898</v>
      </c>
      <c r="F66" s="154" t="s">
        <v>87</v>
      </c>
      <c r="G66" s="154" t="s">
        <v>1402</v>
      </c>
      <c r="H66" s="154" t="s">
        <v>833</v>
      </c>
      <c r="I66" s="154" t="s">
        <v>96</v>
      </c>
      <c r="J66" s="154" t="s">
        <v>97</v>
      </c>
      <c r="K66" s="154" t="s">
        <v>91</v>
      </c>
      <c r="L66" s="154" t="s">
        <v>1897</v>
      </c>
      <c r="M66" s="154" t="s">
        <v>1383</v>
      </c>
      <c r="N66" s="154" t="s">
        <v>61</v>
      </c>
      <c r="O66" s="154" t="s">
        <v>62</v>
      </c>
      <c r="P66" s="146">
        <v>30</v>
      </c>
      <c r="Q66" s="146">
        <v>0</v>
      </c>
      <c r="R66" s="154" t="s">
        <v>1384</v>
      </c>
      <c r="S66" s="154" t="s">
        <v>1899</v>
      </c>
      <c r="T66" s="155" t="s">
        <v>1899</v>
      </c>
      <c r="U66" s="155" t="s">
        <v>1899</v>
      </c>
      <c r="V66" s="154" t="s">
        <v>1562</v>
      </c>
      <c r="W66" s="154">
        <v>0</v>
      </c>
      <c r="X66" s="154" t="s">
        <v>63</v>
      </c>
      <c r="Y66" s="154" t="s">
        <v>1900</v>
      </c>
      <c r="Z66" s="154"/>
      <c r="AA66" s="154" t="s">
        <v>1387</v>
      </c>
      <c r="AB66" s="154">
        <v>0</v>
      </c>
      <c r="AC66" s="138">
        <f>IFERROR(IF(DATEDIF(#REF!,U66,"m")&lt;=1,1,IF(AND(DATEDIF(#REF!,U66,"m")&gt;1,DATEDIF(#REF!,U66,"m")&lt;12),2,IF(AND(DATEDIF(#REF!,U66,"m")&gt;=12,DATEDIF(#REF!,U66,"m")&lt;24),3,IF(DATEDIF(#REF!,U66,"m")&gt;=24,4,"")))),IF(E66="r0320 - Deposits, not covered and not preferential",1,4))</f>
        <v>4</v>
      </c>
    </row>
    <row r="67" spans="2:29" ht="48.75" thickBot="1" x14ac:dyDescent="0.3">
      <c r="B67" s="14"/>
      <c r="C67" s="11">
        <v>999</v>
      </c>
      <c r="D67" s="154">
        <v>60</v>
      </c>
      <c r="E67" s="154" t="s">
        <v>1902</v>
      </c>
      <c r="F67" s="154" t="s">
        <v>83</v>
      </c>
      <c r="G67" s="154" t="s">
        <v>1903</v>
      </c>
      <c r="H67" s="154" t="s">
        <v>756</v>
      </c>
      <c r="I67" s="154" t="s">
        <v>114</v>
      </c>
      <c r="J67" s="154" t="s">
        <v>115</v>
      </c>
      <c r="K67" s="154" t="s">
        <v>60</v>
      </c>
      <c r="L67" s="154" t="s">
        <v>1897</v>
      </c>
      <c r="M67" s="154" t="s">
        <v>1388</v>
      </c>
      <c r="N67" s="154" t="s">
        <v>61</v>
      </c>
      <c r="O67" s="154" t="s">
        <v>62</v>
      </c>
      <c r="P67" s="146">
        <v>198492.75</v>
      </c>
      <c r="Q67" s="146">
        <v>11.74</v>
      </c>
      <c r="R67" s="154" t="s">
        <v>1384</v>
      </c>
      <c r="S67" s="154" t="s">
        <v>1899</v>
      </c>
      <c r="T67" s="155" t="s">
        <v>768</v>
      </c>
      <c r="U67" s="155" t="s">
        <v>1899</v>
      </c>
      <c r="V67" s="154" t="s">
        <v>1904</v>
      </c>
      <c r="W67" s="154">
        <v>0</v>
      </c>
      <c r="X67" s="154" t="s">
        <v>63</v>
      </c>
      <c r="Y67" s="154" t="s">
        <v>1386</v>
      </c>
      <c r="Z67" s="154"/>
      <c r="AA67" s="154" t="s">
        <v>1387</v>
      </c>
      <c r="AB67" s="154">
        <v>0</v>
      </c>
      <c r="AC67" s="138">
        <f>IFERROR(IF(DATEDIF(#REF!,U67,"m")&lt;=1,1,IF(AND(DATEDIF(#REF!,U67,"m")&gt;1,DATEDIF(#REF!,U67,"m")&lt;12),2,IF(AND(DATEDIF(#REF!,U67,"m")&gt;=12,DATEDIF(#REF!,U67,"m")&lt;24),3,IF(DATEDIF(#REF!,U67,"m")&gt;=24,4,"")))),IF(E67="r0320 - Deposits, not covered and not preferential",1,4))</f>
        <v>4</v>
      </c>
    </row>
    <row r="68" spans="2:29" ht="36.75" thickBot="1" x14ac:dyDescent="0.3">
      <c r="B68" s="14"/>
      <c r="C68" s="11">
        <v>999</v>
      </c>
      <c r="D68" s="154">
        <v>61</v>
      </c>
      <c r="E68" s="154" t="s">
        <v>1898</v>
      </c>
      <c r="F68" s="154" t="s">
        <v>87</v>
      </c>
      <c r="G68" s="154" t="s">
        <v>1402</v>
      </c>
      <c r="H68" s="154" t="s">
        <v>1260</v>
      </c>
      <c r="I68" s="154" t="s">
        <v>104</v>
      </c>
      <c r="J68" s="154" t="s">
        <v>105</v>
      </c>
      <c r="K68" s="154" t="s">
        <v>60</v>
      </c>
      <c r="L68" s="154" t="s">
        <v>1897</v>
      </c>
      <c r="M68" s="154" t="s">
        <v>1383</v>
      </c>
      <c r="N68" s="154" t="s">
        <v>61</v>
      </c>
      <c r="O68" s="154" t="s">
        <v>62</v>
      </c>
      <c r="P68" s="146">
        <v>0.49</v>
      </c>
      <c r="Q68" s="146">
        <v>0</v>
      </c>
      <c r="R68" s="154" t="s">
        <v>1384</v>
      </c>
      <c r="S68" s="154" t="s">
        <v>1899</v>
      </c>
      <c r="T68" s="155" t="s">
        <v>1899</v>
      </c>
      <c r="U68" s="155" t="s">
        <v>1899</v>
      </c>
      <c r="V68" s="154" t="s">
        <v>1562</v>
      </c>
      <c r="W68" s="154">
        <v>0</v>
      </c>
      <c r="X68" s="154" t="s">
        <v>63</v>
      </c>
      <c r="Y68" s="154" t="s">
        <v>1900</v>
      </c>
      <c r="Z68" s="154"/>
      <c r="AA68" s="154" t="s">
        <v>1387</v>
      </c>
      <c r="AB68" s="154">
        <v>0</v>
      </c>
      <c r="AC68" s="138">
        <f>IFERROR(IF(DATEDIF(#REF!,U68,"m")&lt;=1,1,IF(AND(DATEDIF(#REF!,U68,"m")&gt;1,DATEDIF(#REF!,U68,"m")&lt;12),2,IF(AND(DATEDIF(#REF!,U68,"m")&gt;=12,DATEDIF(#REF!,U68,"m")&lt;24),3,IF(DATEDIF(#REF!,U68,"m")&gt;=24,4,"")))),IF(E68="r0320 - Deposits, not covered and not preferential",1,4))</f>
        <v>4</v>
      </c>
    </row>
    <row r="69" spans="2:29" ht="36.75" thickBot="1" x14ac:dyDescent="0.3">
      <c r="B69" s="14"/>
      <c r="C69" s="11">
        <v>999</v>
      </c>
      <c r="D69" s="154">
        <v>62</v>
      </c>
      <c r="E69" s="154" t="s">
        <v>1898</v>
      </c>
      <c r="F69" s="154" t="s">
        <v>83</v>
      </c>
      <c r="G69" s="154" t="s">
        <v>1402</v>
      </c>
      <c r="H69" s="154" t="s">
        <v>57</v>
      </c>
      <c r="I69" s="154" t="s">
        <v>99</v>
      </c>
      <c r="J69" s="154" t="s">
        <v>90</v>
      </c>
      <c r="K69" s="154" t="s">
        <v>91</v>
      </c>
      <c r="L69" s="154" t="s">
        <v>1897</v>
      </c>
      <c r="M69" s="154" t="s">
        <v>1383</v>
      </c>
      <c r="N69" s="154" t="s">
        <v>61</v>
      </c>
      <c r="O69" s="154" t="s">
        <v>62</v>
      </c>
      <c r="P69" s="146">
        <v>6.5960000000000003E-3</v>
      </c>
      <c r="Q69" s="146">
        <v>0</v>
      </c>
      <c r="R69" s="154" t="s">
        <v>768</v>
      </c>
      <c r="S69" s="154" t="s">
        <v>1899</v>
      </c>
      <c r="T69" s="155" t="s">
        <v>1899</v>
      </c>
      <c r="U69" s="155" t="s">
        <v>1899</v>
      </c>
      <c r="V69" s="154" t="s">
        <v>1562</v>
      </c>
      <c r="W69" s="154">
        <v>0</v>
      </c>
      <c r="X69" s="154" t="s">
        <v>63</v>
      </c>
      <c r="Y69" s="154" t="s">
        <v>1900</v>
      </c>
      <c r="Z69" s="154"/>
      <c r="AA69" s="154" t="s">
        <v>1387</v>
      </c>
      <c r="AB69" s="154">
        <v>0</v>
      </c>
      <c r="AC69" s="138">
        <f>IFERROR(IF(DATEDIF(#REF!,U69,"m")&lt;=1,1,IF(AND(DATEDIF(#REF!,U69,"m")&gt;1,DATEDIF(#REF!,U69,"m")&lt;12),2,IF(AND(DATEDIF(#REF!,U69,"m")&gt;=12,DATEDIF(#REF!,U69,"m")&lt;24),3,IF(DATEDIF(#REF!,U69,"m")&gt;=24,4,"")))),IF(E69="r0320 - Deposits, not covered and not preferential",1,4))</f>
        <v>4</v>
      </c>
    </row>
    <row r="70" spans="2:29" ht="36.75" thickBot="1" x14ac:dyDescent="0.3">
      <c r="B70" s="14"/>
      <c r="C70" s="11">
        <v>999</v>
      </c>
      <c r="D70" s="154">
        <v>63</v>
      </c>
      <c r="E70" s="154" t="s">
        <v>1898</v>
      </c>
      <c r="F70" s="154" t="s">
        <v>87</v>
      </c>
      <c r="G70" s="154" t="s">
        <v>1402</v>
      </c>
      <c r="H70" s="154" t="s">
        <v>811</v>
      </c>
      <c r="I70" s="154" t="s">
        <v>142</v>
      </c>
      <c r="J70" s="154" t="s">
        <v>143</v>
      </c>
      <c r="K70" s="154" t="s">
        <v>60</v>
      </c>
      <c r="L70" s="154" t="s">
        <v>1897</v>
      </c>
      <c r="M70" s="154" t="s">
        <v>1383</v>
      </c>
      <c r="N70" s="154" t="s">
        <v>61</v>
      </c>
      <c r="O70" s="154" t="s">
        <v>62</v>
      </c>
      <c r="P70" s="146">
        <v>11.64</v>
      </c>
      <c r="Q70" s="146">
        <v>0</v>
      </c>
      <c r="R70" s="154" t="s">
        <v>1384</v>
      </c>
      <c r="S70" s="154" t="s">
        <v>1899</v>
      </c>
      <c r="T70" s="155" t="s">
        <v>1899</v>
      </c>
      <c r="U70" s="155" t="s">
        <v>1899</v>
      </c>
      <c r="V70" s="154" t="s">
        <v>1562</v>
      </c>
      <c r="W70" s="154">
        <v>0</v>
      </c>
      <c r="X70" s="154" t="s">
        <v>63</v>
      </c>
      <c r="Y70" s="154" t="s">
        <v>1900</v>
      </c>
      <c r="Z70" s="154"/>
      <c r="AA70" s="154" t="s">
        <v>1387</v>
      </c>
      <c r="AB70" s="154">
        <v>0</v>
      </c>
      <c r="AC70" s="138">
        <f>IFERROR(IF(DATEDIF(#REF!,U70,"m")&lt;=1,1,IF(AND(DATEDIF(#REF!,U70,"m")&gt;1,DATEDIF(#REF!,U70,"m")&lt;12),2,IF(AND(DATEDIF(#REF!,U70,"m")&gt;=12,DATEDIF(#REF!,U70,"m")&lt;24),3,IF(DATEDIF(#REF!,U70,"m")&gt;=24,4,"")))),IF(E70="r0320 - Deposits, not covered and not preferential",1,4))</f>
        <v>4</v>
      </c>
    </row>
    <row r="71" spans="2:29" ht="48.75" thickBot="1" x14ac:dyDescent="0.3">
      <c r="B71" s="14"/>
      <c r="C71" s="11">
        <v>999</v>
      </c>
      <c r="D71" s="154">
        <v>64</v>
      </c>
      <c r="E71" s="154" t="s">
        <v>1902</v>
      </c>
      <c r="F71" s="154" t="s">
        <v>83</v>
      </c>
      <c r="G71" s="154" t="s">
        <v>1903</v>
      </c>
      <c r="H71" s="154" t="s">
        <v>489</v>
      </c>
      <c r="I71" s="154" t="s">
        <v>101</v>
      </c>
      <c r="J71" s="154" t="s">
        <v>102</v>
      </c>
      <c r="K71" s="154" t="s">
        <v>60</v>
      </c>
      <c r="L71" s="154" t="s">
        <v>1897</v>
      </c>
      <c r="M71" s="154" t="s">
        <v>1388</v>
      </c>
      <c r="N71" s="154" t="s">
        <v>61</v>
      </c>
      <c r="O71" s="154" t="s">
        <v>62</v>
      </c>
      <c r="P71" s="146">
        <v>35324.949999999997</v>
      </c>
      <c r="Q71" s="146">
        <v>2.08</v>
      </c>
      <c r="R71" s="154" t="s">
        <v>1384</v>
      </c>
      <c r="S71" s="154" t="s">
        <v>1899</v>
      </c>
      <c r="T71" s="155" t="s">
        <v>768</v>
      </c>
      <c r="U71" s="155" t="s">
        <v>1899</v>
      </c>
      <c r="V71" s="154" t="s">
        <v>1904</v>
      </c>
      <c r="W71" s="154">
        <v>0</v>
      </c>
      <c r="X71" s="154" t="s">
        <v>63</v>
      </c>
      <c r="Y71" s="154" t="s">
        <v>1386</v>
      </c>
      <c r="Z71" s="154"/>
      <c r="AA71" s="154" t="s">
        <v>1387</v>
      </c>
      <c r="AB71" s="154">
        <v>0</v>
      </c>
      <c r="AC71" s="138">
        <f>IFERROR(IF(DATEDIF(#REF!,U71,"m")&lt;=1,1,IF(AND(DATEDIF(#REF!,U71,"m")&gt;1,DATEDIF(#REF!,U71,"m")&lt;12),2,IF(AND(DATEDIF(#REF!,U71,"m")&gt;=12,DATEDIF(#REF!,U71,"m")&lt;24),3,IF(DATEDIF(#REF!,U71,"m")&gt;=24,4,"")))),IF(E71="r0320 - Deposits, not covered and not preferential",1,4))</f>
        <v>4</v>
      </c>
    </row>
    <row r="72" spans="2:29" ht="36.75" thickBot="1" x14ac:dyDescent="0.3">
      <c r="B72" s="14"/>
      <c r="C72" s="11">
        <v>999</v>
      </c>
      <c r="D72" s="154">
        <v>65</v>
      </c>
      <c r="E72" s="154" t="s">
        <v>1898</v>
      </c>
      <c r="F72" s="154" t="s">
        <v>87</v>
      </c>
      <c r="G72" s="154" t="s">
        <v>1402</v>
      </c>
      <c r="H72" s="154" t="s">
        <v>1295</v>
      </c>
      <c r="I72" s="154" t="s">
        <v>108</v>
      </c>
      <c r="J72" s="154" t="s">
        <v>90</v>
      </c>
      <c r="K72" s="154" t="s">
        <v>91</v>
      </c>
      <c r="L72" s="154" t="s">
        <v>1897</v>
      </c>
      <c r="M72" s="154" t="s">
        <v>1383</v>
      </c>
      <c r="N72" s="154" t="s">
        <v>61</v>
      </c>
      <c r="O72" s="154" t="s">
        <v>62</v>
      </c>
      <c r="P72" s="146">
        <v>25.17</v>
      </c>
      <c r="Q72" s="146">
        <v>0</v>
      </c>
      <c r="R72" s="154" t="s">
        <v>1384</v>
      </c>
      <c r="S72" s="154" t="s">
        <v>1899</v>
      </c>
      <c r="T72" s="155" t="s">
        <v>1899</v>
      </c>
      <c r="U72" s="155" t="s">
        <v>1899</v>
      </c>
      <c r="V72" s="154" t="s">
        <v>1562</v>
      </c>
      <c r="W72" s="154">
        <v>0</v>
      </c>
      <c r="X72" s="154" t="s">
        <v>63</v>
      </c>
      <c r="Y72" s="154" t="s">
        <v>1900</v>
      </c>
      <c r="Z72" s="154"/>
      <c r="AA72" s="154" t="s">
        <v>1387</v>
      </c>
      <c r="AB72" s="154">
        <v>0</v>
      </c>
      <c r="AC72" s="138">
        <f>IFERROR(IF(DATEDIF(#REF!,U72,"m")&lt;=1,1,IF(AND(DATEDIF(#REF!,U72,"m")&gt;1,DATEDIF(#REF!,U72,"m")&lt;12),2,IF(AND(DATEDIF(#REF!,U72,"m")&gt;=12,DATEDIF(#REF!,U72,"m")&lt;24),3,IF(DATEDIF(#REF!,U72,"m")&gt;=24,4,"")))),IF(E72="r0320 - Deposits, not covered and not preferential",1,4))</f>
        <v>4</v>
      </c>
    </row>
    <row r="73" spans="2:29" ht="48.75" thickBot="1" x14ac:dyDescent="0.3">
      <c r="B73" s="14"/>
      <c r="C73" s="11">
        <v>999</v>
      </c>
      <c r="D73" s="154">
        <v>66</v>
      </c>
      <c r="E73" s="154" t="s">
        <v>1902</v>
      </c>
      <c r="F73" s="154" t="s">
        <v>83</v>
      </c>
      <c r="G73" s="154" t="s">
        <v>1903</v>
      </c>
      <c r="H73" s="154" t="s">
        <v>123</v>
      </c>
      <c r="I73" s="154" t="s">
        <v>101</v>
      </c>
      <c r="J73" s="154" t="s">
        <v>102</v>
      </c>
      <c r="K73" s="154" t="s">
        <v>60</v>
      </c>
      <c r="L73" s="154" t="s">
        <v>1897</v>
      </c>
      <c r="M73" s="154" t="s">
        <v>1388</v>
      </c>
      <c r="N73" s="154" t="s">
        <v>61</v>
      </c>
      <c r="O73" s="154" t="s">
        <v>62</v>
      </c>
      <c r="P73" s="146">
        <v>31239.8</v>
      </c>
      <c r="Q73" s="146">
        <v>9.9600000000000009</v>
      </c>
      <c r="R73" s="154" t="s">
        <v>1384</v>
      </c>
      <c r="S73" s="154" t="s">
        <v>1899</v>
      </c>
      <c r="T73" s="155" t="s">
        <v>768</v>
      </c>
      <c r="U73" s="155" t="s">
        <v>1899</v>
      </c>
      <c r="V73" s="154" t="s">
        <v>1904</v>
      </c>
      <c r="W73" s="154">
        <v>0</v>
      </c>
      <c r="X73" s="154" t="s">
        <v>63</v>
      </c>
      <c r="Y73" s="154" t="s">
        <v>1386</v>
      </c>
      <c r="Z73" s="154"/>
      <c r="AA73" s="154" t="s">
        <v>1387</v>
      </c>
      <c r="AB73" s="154">
        <v>0</v>
      </c>
      <c r="AC73" s="138">
        <f>IFERROR(IF(DATEDIF(#REF!,U73,"m")&lt;=1,1,IF(AND(DATEDIF(#REF!,U73,"m")&gt;1,DATEDIF(#REF!,U73,"m")&lt;12),2,IF(AND(DATEDIF(#REF!,U73,"m")&gt;=12,DATEDIF(#REF!,U73,"m")&lt;24),3,IF(DATEDIF(#REF!,U73,"m")&gt;=24,4,"")))),IF(E73="r0320 - Deposits, not covered and not preferential",1,4))</f>
        <v>4</v>
      </c>
    </row>
    <row r="74" spans="2:29" ht="36.75" thickBot="1" x14ac:dyDescent="0.3">
      <c r="B74" s="14"/>
      <c r="C74" s="11">
        <v>999</v>
      </c>
      <c r="D74" s="154">
        <v>67</v>
      </c>
      <c r="E74" s="154" t="s">
        <v>1898</v>
      </c>
      <c r="F74" s="154" t="s">
        <v>87</v>
      </c>
      <c r="G74" s="154" t="s">
        <v>1402</v>
      </c>
      <c r="H74" s="154" t="s">
        <v>1318</v>
      </c>
      <c r="I74" s="154" t="s">
        <v>108</v>
      </c>
      <c r="J74" s="154" t="s">
        <v>90</v>
      </c>
      <c r="K74" s="154" t="s">
        <v>91</v>
      </c>
      <c r="L74" s="154" t="s">
        <v>1897</v>
      </c>
      <c r="M74" s="154" t="s">
        <v>1383</v>
      </c>
      <c r="N74" s="154" t="s">
        <v>61</v>
      </c>
      <c r="O74" s="154" t="s">
        <v>62</v>
      </c>
      <c r="P74" s="146">
        <v>2.71</v>
      </c>
      <c r="Q74" s="146">
        <v>0</v>
      </c>
      <c r="R74" s="154" t="s">
        <v>1384</v>
      </c>
      <c r="S74" s="154" t="s">
        <v>1899</v>
      </c>
      <c r="T74" s="155" t="s">
        <v>1899</v>
      </c>
      <c r="U74" s="155" t="s">
        <v>1899</v>
      </c>
      <c r="V74" s="154" t="s">
        <v>1562</v>
      </c>
      <c r="W74" s="154">
        <v>0</v>
      </c>
      <c r="X74" s="154" t="s">
        <v>63</v>
      </c>
      <c r="Y74" s="154" t="s">
        <v>1900</v>
      </c>
      <c r="Z74" s="154"/>
      <c r="AA74" s="154" t="s">
        <v>1387</v>
      </c>
      <c r="AB74" s="154">
        <v>0</v>
      </c>
      <c r="AC74" s="138">
        <f>IFERROR(IF(DATEDIF(#REF!,U74,"m")&lt;=1,1,IF(AND(DATEDIF(#REF!,U74,"m")&gt;1,DATEDIF(#REF!,U74,"m")&lt;12),2,IF(AND(DATEDIF(#REF!,U74,"m")&gt;=12,DATEDIF(#REF!,U74,"m")&lt;24),3,IF(DATEDIF(#REF!,U74,"m")&gt;=24,4,"")))),IF(E74="r0320 - Deposits, not covered and not preferential",1,4))</f>
        <v>4</v>
      </c>
    </row>
    <row r="75" spans="2:29" ht="36.75" thickBot="1" x14ac:dyDescent="0.3">
      <c r="B75" s="14"/>
      <c r="C75" s="11">
        <v>999</v>
      </c>
      <c r="D75" s="154">
        <v>68</v>
      </c>
      <c r="E75" s="154" t="s">
        <v>1898</v>
      </c>
      <c r="F75" s="154" t="s">
        <v>87</v>
      </c>
      <c r="G75" s="154" t="s">
        <v>1402</v>
      </c>
      <c r="H75" s="154" t="s">
        <v>316</v>
      </c>
      <c r="I75" s="154" t="s">
        <v>96</v>
      </c>
      <c r="J75" s="154" t="s">
        <v>97</v>
      </c>
      <c r="K75" s="154" t="s">
        <v>91</v>
      </c>
      <c r="L75" s="154" t="s">
        <v>1897</v>
      </c>
      <c r="M75" s="154" t="s">
        <v>1383</v>
      </c>
      <c r="N75" s="154" t="s">
        <v>61</v>
      </c>
      <c r="O75" s="154" t="s">
        <v>62</v>
      </c>
      <c r="P75" s="146">
        <v>3.39</v>
      </c>
      <c r="Q75" s="146">
        <v>0</v>
      </c>
      <c r="R75" s="154" t="s">
        <v>1384</v>
      </c>
      <c r="S75" s="154" t="s">
        <v>1899</v>
      </c>
      <c r="T75" s="155" t="s">
        <v>1899</v>
      </c>
      <c r="U75" s="155" t="s">
        <v>1899</v>
      </c>
      <c r="V75" s="154" t="s">
        <v>1562</v>
      </c>
      <c r="W75" s="154">
        <v>0</v>
      </c>
      <c r="X75" s="154" t="s">
        <v>63</v>
      </c>
      <c r="Y75" s="154" t="s">
        <v>1900</v>
      </c>
      <c r="Z75" s="154"/>
      <c r="AA75" s="154" t="s">
        <v>1387</v>
      </c>
      <c r="AB75" s="154">
        <v>0</v>
      </c>
      <c r="AC75" s="138">
        <f>IFERROR(IF(DATEDIF(#REF!,U75,"m")&lt;=1,1,IF(AND(DATEDIF(#REF!,U75,"m")&gt;1,DATEDIF(#REF!,U75,"m")&lt;12),2,IF(AND(DATEDIF(#REF!,U75,"m")&gt;=12,DATEDIF(#REF!,U75,"m")&lt;24),3,IF(DATEDIF(#REF!,U75,"m")&gt;=24,4,"")))),IF(E75="r0320 - Deposits, not covered and not preferential",1,4))</f>
        <v>4</v>
      </c>
    </row>
    <row r="76" spans="2:29" ht="36.75" thickBot="1" x14ac:dyDescent="0.3">
      <c r="B76" s="14"/>
      <c r="C76" s="11">
        <v>999</v>
      </c>
      <c r="D76" s="154">
        <v>69</v>
      </c>
      <c r="E76" s="154" t="s">
        <v>1898</v>
      </c>
      <c r="F76" s="154" t="s">
        <v>87</v>
      </c>
      <c r="G76" s="154" t="s">
        <v>1402</v>
      </c>
      <c r="H76" s="154" t="s">
        <v>859</v>
      </c>
      <c r="I76" s="154" t="s">
        <v>96</v>
      </c>
      <c r="J76" s="154" t="s">
        <v>97</v>
      </c>
      <c r="K76" s="154" t="s">
        <v>91</v>
      </c>
      <c r="L76" s="154" t="s">
        <v>1897</v>
      </c>
      <c r="M76" s="154" t="s">
        <v>1383</v>
      </c>
      <c r="N76" s="154" t="s">
        <v>61</v>
      </c>
      <c r="O76" s="154" t="s">
        <v>62</v>
      </c>
      <c r="P76" s="146">
        <v>101.11</v>
      </c>
      <c r="Q76" s="146">
        <v>0</v>
      </c>
      <c r="R76" s="154" t="s">
        <v>1384</v>
      </c>
      <c r="S76" s="154" t="s">
        <v>1899</v>
      </c>
      <c r="T76" s="155" t="s">
        <v>1899</v>
      </c>
      <c r="U76" s="155" t="s">
        <v>1899</v>
      </c>
      <c r="V76" s="154" t="s">
        <v>1562</v>
      </c>
      <c r="W76" s="154">
        <v>0</v>
      </c>
      <c r="X76" s="154" t="s">
        <v>63</v>
      </c>
      <c r="Y76" s="154" t="s">
        <v>1900</v>
      </c>
      <c r="Z76" s="154"/>
      <c r="AA76" s="154" t="s">
        <v>1387</v>
      </c>
      <c r="AB76" s="154">
        <v>0</v>
      </c>
      <c r="AC76" s="138">
        <f>IFERROR(IF(DATEDIF(#REF!,U76,"m")&lt;=1,1,IF(AND(DATEDIF(#REF!,U76,"m")&gt;1,DATEDIF(#REF!,U76,"m")&lt;12),2,IF(AND(DATEDIF(#REF!,U76,"m")&gt;=12,DATEDIF(#REF!,U76,"m")&lt;24),3,IF(DATEDIF(#REF!,U76,"m")&gt;=24,4,"")))),IF(E76="r0320 - Deposits, not covered and not preferential",1,4))</f>
        <v>4</v>
      </c>
    </row>
    <row r="77" spans="2:29" ht="36.75" thickBot="1" x14ac:dyDescent="0.3">
      <c r="B77" s="14"/>
      <c r="C77" s="11">
        <v>999</v>
      </c>
      <c r="D77" s="154">
        <v>70</v>
      </c>
      <c r="E77" s="154" t="s">
        <v>1898</v>
      </c>
      <c r="F77" s="154" t="s">
        <v>87</v>
      </c>
      <c r="G77" s="154" t="s">
        <v>1402</v>
      </c>
      <c r="H77" s="154" t="s">
        <v>159</v>
      </c>
      <c r="I77" s="154" t="s">
        <v>111</v>
      </c>
      <c r="J77" s="154" t="s">
        <v>90</v>
      </c>
      <c r="K77" s="154" t="s">
        <v>91</v>
      </c>
      <c r="L77" s="154" t="s">
        <v>1897</v>
      </c>
      <c r="M77" s="154" t="s">
        <v>1383</v>
      </c>
      <c r="N77" s="154" t="s">
        <v>61</v>
      </c>
      <c r="O77" s="154" t="s">
        <v>62</v>
      </c>
      <c r="P77" s="146">
        <v>0.05</v>
      </c>
      <c r="Q77" s="146">
        <v>0</v>
      </c>
      <c r="R77" s="154" t="s">
        <v>1384</v>
      </c>
      <c r="S77" s="154" t="s">
        <v>1899</v>
      </c>
      <c r="T77" s="155" t="s">
        <v>1899</v>
      </c>
      <c r="U77" s="155" t="s">
        <v>1899</v>
      </c>
      <c r="V77" s="154" t="s">
        <v>1562</v>
      </c>
      <c r="W77" s="154">
        <v>0</v>
      </c>
      <c r="X77" s="154" t="s">
        <v>63</v>
      </c>
      <c r="Y77" s="154" t="s">
        <v>1900</v>
      </c>
      <c r="Z77" s="154"/>
      <c r="AA77" s="154" t="s">
        <v>1387</v>
      </c>
      <c r="AB77" s="154">
        <v>0</v>
      </c>
      <c r="AC77" s="138">
        <f>IFERROR(IF(DATEDIF(#REF!,U77,"m")&lt;=1,1,IF(AND(DATEDIF(#REF!,U77,"m")&gt;1,DATEDIF(#REF!,U77,"m")&lt;12),2,IF(AND(DATEDIF(#REF!,U77,"m")&gt;=12,DATEDIF(#REF!,U77,"m")&lt;24),3,IF(DATEDIF(#REF!,U77,"m")&gt;=24,4,"")))),IF(E77="r0320 - Deposits, not covered and not preferential",1,4))</f>
        <v>4</v>
      </c>
    </row>
    <row r="78" spans="2:29" ht="48.75" thickBot="1" x14ac:dyDescent="0.3">
      <c r="B78" s="14"/>
      <c r="C78" s="11">
        <v>999</v>
      </c>
      <c r="D78" s="154">
        <v>71</v>
      </c>
      <c r="E78" s="154" t="s">
        <v>1902</v>
      </c>
      <c r="F78" s="154" t="s">
        <v>83</v>
      </c>
      <c r="G78" s="154" t="s">
        <v>1903</v>
      </c>
      <c r="H78" s="154" t="s">
        <v>109</v>
      </c>
      <c r="I78" s="154" t="s">
        <v>114</v>
      </c>
      <c r="J78" s="154" t="s">
        <v>115</v>
      </c>
      <c r="K78" s="154" t="s">
        <v>60</v>
      </c>
      <c r="L78" s="154" t="s">
        <v>1897</v>
      </c>
      <c r="M78" s="154" t="s">
        <v>1388</v>
      </c>
      <c r="N78" s="154" t="s">
        <v>61</v>
      </c>
      <c r="O78" s="154" t="s">
        <v>62</v>
      </c>
      <c r="P78" s="146">
        <v>40563.53</v>
      </c>
      <c r="Q78" s="146">
        <v>5.82</v>
      </c>
      <c r="R78" s="154" t="s">
        <v>1384</v>
      </c>
      <c r="S78" s="154" t="s">
        <v>1899</v>
      </c>
      <c r="T78" s="155" t="s">
        <v>768</v>
      </c>
      <c r="U78" s="155" t="s">
        <v>1899</v>
      </c>
      <c r="V78" s="154" t="s">
        <v>1904</v>
      </c>
      <c r="W78" s="154">
        <v>0</v>
      </c>
      <c r="X78" s="154" t="s">
        <v>63</v>
      </c>
      <c r="Y78" s="154" t="s">
        <v>1386</v>
      </c>
      <c r="Z78" s="154"/>
      <c r="AA78" s="154" t="s">
        <v>1387</v>
      </c>
      <c r="AB78" s="154">
        <v>0</v>
      </c>
      <c r="AC78" s="138">
        <f>IFERROR(IF(DATEDIF(#REF!,U78,"m")&lt;=1,1,IF(AND(DATEDIF(#REF!,U78,"m")&gt;1,DATEDIF(#REF!,U78,"m")&lt;12),2,IF(AND(DATEDIF(#REF!,U78,"m")&gt;=12,DATEDIF(#REF!,U78,"m")&lt;24),3,IF(DATEDIF(#REF!,U78,"m")&gt;=24,4,"")))),IF(E78="r0320 - Deposits, not covered and not preferential",1,4))</f>
        <v>4</v>
      </c>
    </row>
    <row r="79" spans="2:29" ht="48.75" thickBot="1" x14ac:dyDescent="0.3">
      <c r="B79" s="14"/>
      <c r="C79" s="11">
        <v>999</v>
      </c>
      <c r="D79" s="154">
        <v>72</v>
      </c>
      <c r="E79" s="154" t="s">
        <v>1902</v>
      </c>
      <c r="F79" s="154" t="s">
        <v>83</v>
      </c>
      <c r="G79" s="154" t="s">
        <v>1903</v>
      </c>
      <c r="H79" s="154" t="s">
        <v>158</v>
      </c>
      <c r="I79" s="154" t="s">
        <v>101</v>
      </c>
      <c r="J79" s="154" t="s">
        <v>102</v>
      </c>
      <c r="K79" s="154" t="s">
        <v>60</v>
      </c>
      <c r="L79" s="154" t="s">
        <v>1897</v>
      </c>
      <c r="M79" s="154" t="s">
        <v>1388</v>
      </c>
      <c r="N79" s="154" t="s">
        <v>61</v>
      </c>
      <c r="O79" s="154" t="s">
        <v>62</v>
      </c>
      <c r="P79" s="146">
        <v>76333.59</v>
      </c>
      <c r="Q79" s="146">
        <v>-2.89</v>
      </c>
      <c r="R79" s="154" t="s">
        <v>1384</v>
      </c>
      <c r="S79" s="154" t="s">
        <v>1899</v>
      </c>
      <c r="T79" s="155" t="s">
        <v>768</v>
      </c>
      <c r="U79" s="155" t="s">
        <v>1899</v>
      </c>
      <c r="V79" s="154" t="s">
        <v>1904</v>
      </c>
      <c r="W79" s="154">
        <v>0</v>
      </c>
      <c r="X79" s="154" t="s">
        <v>63</v>
      </c>
      <c r="Y79" s="154" t="s">
        <v>1386</v>
      </c>
      <c r="Z79" s="154"/>
      <c r="AA79" s="154" t="s">
        <v>1387</v>
      </c>
      <c r="AB79" s="154">
        <v>0</v>
      </c>
      <c r="AC79" s="138">
        <f>IFERROR(IF(DATEDIF(#REF!,U79,"m")&lt;=1,1,IF(AND(DATEDIF(#REF!,U79,"m")&gt;1,DATEDIF(#REF!,U79,"m")&lt;12),2,IF(AND(DATEDIF(#REF!,U79,"m")&gt;=12,DATEDIF(#REF!,U79,"m")&lt;24),3,IF(DATEDIF(#REF!,U79,"m")&gt;=24,4,"")))),IF(E79="r0320 - Deposits, not covered and not preferential",1,4))</f>
        <v>4</v>
      </c>
    </row>
    <row r="80" spans="2:29" ht="36.75" thickBot="1" x14ac:dyDescent="0.3">
      <c r="B80" s="14"/>
      <c r="C80" s="11">
        <v>999</v>
      </c>
      <c r="D80" s="154">
        <v>73</v>
      </c>
      <c r="E80" s="154" t="s">
        <v>1898</v>
      </c>
      <c r="F80" s="154" t="s">
        <v>87</v>
      </c>
      <c r="G80" s="154" t="s">
        <v>1402</v>
      </c>
      <c r="H80" s="154" t="s">
        <v>910</v>
      </c>
      <c r="I80" s="154" t="s">
        <v>111</v>
      </c>
      <c r="J80" s="154" t="s">
        <v>90</v>
      </c>
      <c r="K80" s="154" t="s">
        <v>91</v>
      </c>
      <c r="L80" s="154" t="s">
        <v>1897</v>
      </c>
      <c r="M80" s="154" t="s">
        <v>1383</v>
      </c>
      <c r="N80" s="154" t="s">
        <v>61</v>
      </c>
      <c r="O80" s="154" t="s">
        <v>62</v>
      </c>
      <c r="P80" s="146">
        <v>0.15</v>
      </c>
      <c r="Q80" s="146">
        <v>0</v>
      </c>
      <c r="R80" s="154" t="s">
        <v>1384</v>
      </c>
      <c r="S80" s="154" t="s">
        <v>1899</v>
      </c>
      <c r="T80" s="155" t="s">
        <v>1899</v>
      </c>
      <c r="U80" s="155" t="s">
        <v>1899</v>
      </c>
      <c r="V80" s="154" t="s">
        <v>1562</v>
      </c>
      <c r="W80" s="154">
        <v>0</v>
      </c>
      <c r="X80" s="154" t="s">
        <v>63</v>
      </c>
      <c r="Y80" s="154" t="s">
        <v>1900</v>
      </c>
      <c r="Z80" s="154"/>
      <c r="AA80" s="154" t="s">
        <v>1387</v>
      </c>
      <c r="AB80" s="154">
        <v>0</v>
      </c>
      <c r="AC80" s="138">
        <f>IFERROR(IF(DATEDIF(#REF!,U80,"m")&lt;=1,1,IF(AND(DATEDIF(#REF!,U80,"m")&gt;1,DATEDIF(#REF!,U80,"m")&lt;12),2,IF(AND(DATEDIF(#REF!,U80,"m")&gt;=12,DATEDIF(#REF!,U80,"m")&lt;24),3,IF(DATEDIF(#REF!,U80,"m")&gt;=24,4,"")))),IF(E80="r0320 - Deposits, not covered and not preferential",1,4))</f>
        <v>4</v>
      </c>
    </row>
    <row r="81" spans="2:29" ht="48.75" thickBot="1" x14ac:dyDescent="0.3">
      <c r="B81" s="14"/>
      <c r="C81" s="11">
        <v>999</v>
      </c>
      <c r="D81" s="154">
        <v>74</v>
      </c>
      <c r="E81" s="154" t="s">
        <v>1902</v>
      </c>
      <c r="F81" s="154" t="s">
        <v>83</v>
      </c>
      <c r="G81" s="154" t="s">
        <v>1903</v>
      </c>
      <c r="H81" s="154" t="s">
        <v>505</v>
      </c>
      <c r="I81" s="154" t="s">
        <v>114</v>
      </c>
      <c r="J81" s="154" t="s">
        <v>115</v>
      </c>
      <c r="K81" s="154" t="s">
        <v>60</v>
      </c>
      <c r="L81" s="154" t="s">
        <v>1897</v>
      </c>
      <c r="M81" s="154" t="s">
        <v>1388</v>
      </c>
      <c r="N81" s="154" t="s">
        <v>61</v>
      </c>
      <c r="O81" s="154" t="s">
        <v>62</v>
      </c>
      <c r="P81" s="146">
        <v>411430.66</v>
      </c>
      <c r="Q81" s="146">
        <v>69.819999999999993</v>
      </c>
      <c r="R81" s="154" t="s">
        <v>1384</v>
      </c>
      <c r="S81" s="154" t="s">
        <v>1899</v>
      </c>
      <c r="T81" s="155" t="s">
        <v>768</v>
      </c>
      <c r="U81" s="155" t="s">
        <v>1899</v>
      </c>
      <c r="V81" s="154" t="s">
        <v>1904</v>
      </c>
      <c r="W81" s="154">
        <v>0</v>
      </c>
      <c r="X81" s="154" t="s">
        <v>63</v>
      </c>
      <c r="Y81" s="154" t="s">
        <v>1386</v>
      </c>
      <c r="Z81" s="154"/>
      <c r="AA81" s="154" t="s">
        <v>1387</v>
      </c>
      <c r="AB81" s="154">
        <v>0</v>
      </c>
      <c r="AC81" s="138">
        <f>IFERROR(IF(DATEDIF(#REF!,U81,"m")&lt;=1,1,IF(AND(DATEDIF(#REF!,U81,"m")&gt;1,DATEDIF(#REF!,U81,"m")&lt;12),2,IF(AND(DATEDIF(#REF!,U81,"m")&gt;=12,DATEDIF(#REF!,U81,"m")&lt;24),3,IF(DATEDIF(#REF!,U81,"m")&gt;=24,4,"")))),IF(E81="r0320 - Deposits, not covered and not preferential",1,4))</f>
        <v>4</v>
      </c>
    </row>
    <row r="82" spans="2:29" ht="36.75" thickBot="1" x14ac:dyDescent="0.3">
      <c r="B82" s="14"/>
      <c r="C82" s="11">
        <v>999</v>
      </c>
      <c r="D82" s="154">
        <v>75</v>
      </c>
      <c r="E82" s="154" t="s">
        <v>1898</v>
      </c>
      <c r="F82" s="154" t="s">
        <v>87</v>
      </c>
      <c r="G82" s="154" t="s">
        <v>1402</v>
      </c>
      <c r="H82" s="154" t="s">
        <v>919</v>
      </c>
      <c r="I82" s="154" t="s">
        <v>96</v>
      </c>
      <c r="J82" s="154" t="s">
        <v>97</v>
      </c>
      <c r="K82" s="154" t="s">
        <v>91</v>
      </c>
      <c r="L82" s="154" t="s">
        <v>1897</v>
      </c>
      <c r="M82" s="154" t="s">
        <v>1383</v>
      </c>
      <c r="N82" s="154" t="s">
        <v>61</v>
      </c>
      <c r="O82" s="154" t="s">
        <v>62</v>
      </c>
      <c r="P82" s="146">
        <v>201.15</v>
      </c>
      <c r="Q82" s="146">
        <v>0</v>
      </c>
      <c r="R82" s="154" t="s">
        <v>1384</v>
      </c>
      <c r="S82" s="154" t="s">
        <v>1899</v>
      </c>
      <c r="T82" s="155" t="s">
        <v>1899</v>
      </c>
      <c r="U82" s="155" t="s">
        <v>1899</v>
      </c>
      <c r="V82" s="154" t="s">
        <v>1562</v>
      </c>
      <c r="W82" s="154">
        <v>0</v>
      </c>
      <c r="X82" s="154" t="s">
        <v>63</v>
      </c>
      <c r="Y82" s="154" t="s">
        <v>1900</v>
      </c>
      <c r="Z82" s="154"/>
      <c r="AA82" s="154" t="s">
        <v>1387</v>
      </c>
      <c r="AB82" s="154">
        <v>0</v>
      </c>
      <c r="AC82" s="138">
        <f>IFERROR(IF(DATEDIF(#REF!,U82,"m")&lt;=1,1,IF(AND(DATEDIF(#REF!,U82,"m")&gt;1,DATEDIF(#REF!,U82,"m")&lt;12),2,IF(AND(DATEDIF(#REF!,U82,"m")&gt;=12,DATEDIF(#REF!,U82,"m")&lt;24),3,IF(DATEDIF(#REF!,U82,"m")&gt;=24,4,"")))),IF(E82="r0320 - Deposits, not covered and not preferential",1,4))</f>
        <v>4</v>
      </c>
    </row>
    <row r="83" spans="2:29" ht="36.75" thickBot="1" x14ac:dyDescent="0.3">
      <c r="B83" s="14"/>
      <c r="C83" s="11">
        <v>999</v>
      </c>
      <c r="D83" s="154">
        <v>76</v>
      </c>
      <c r="E83" s="154" t="s">
        <v>1898</v>
      </c>
      <c r="F83" s="154" t="s">
        <v>87</v>
      </c>
      <c r="G83" s="154" t="s">
        <v>1402</v>
      </c>
      <c r="H83" s="154" t="s">
        <v>223</v>
      </c>
      <c r="I83" s="154" t="s">
        <v>99</v>
      </c>
      <c r="J83" s="154" t="s">
        <v>90</v>
      </c>
      <c r="K83" s="154" t="s">
        <v>91</v>
      </c>
      <c r="L83" s="154" t="s">
        <v>1897</v>
      </c>
      <c r="M83" s="154" t="s">
        <v>1383</v>
      </c>
      <c r="N83" s="154" t="s">
        <v>61</v>
      </c>
      <c r="O83" s="154" t="s">
        <v>62</v>
      </c>
      <c r="P83" s="146">
        <v>0.01</v>
      </c>
      <c r="Q83" s="146">
        <v>0</v>
      </c>
      <c r="R83" s="154" t="s">
        <v>1384</v>
      </c>
      <c r="S83" s="154" t="s">
        <v>1899</v>
      </c>
      <c r="T83" s="155" t="s">
        <v>1899</v>
      </c>
      <c r="U83" s="155" t="s">
        <v>1899</v>
      </c>
      <c r="V83" s="154" t="s">
        <v>1562</v>
      </c>
      <c r="W83" s="154">
        <v>0</v>
      </c>
      <c r="X83" s="154" t="s">
        <v>63</v>
      </c>
      <c r="Y83" s="154" t="s">
        <v>1900</v>
      </c>
      <c r="Z83" s="154"/>
      <c r="AA83" s="154" t="s">
        <v>1387</v>
      </c>
      <c r="AB83" s="154">
        <v>0</v>
      </c>
      <c r="AC83" s="138">
        <f>IFERROR(IF(DATEDIF(#REF!,U83,"m")&lt;=1,1,IF(AND(DATEDIF(#REF!,U83,"m")&gt;1,DATEDIF(#REF!,U83,"m")&lt;12),2,IF(AND(DATEDIF(#REF!,U83,"m")&gt;=12,DATEDIF(#REF!,U83,"m")&lt;24),3,IF(DATEDIF(#REF!,U83,"m")&gt;=24,4,"")))),IF(E83="r0320 - Deposits, not covered and not preferential",1,4))</f>
        <v>4</v>
      </c>
    </row>
    <row r="84" spans="2:29" ht="36.75" thickBot="1" x14ac:dyDescent="0.3">
      <c r="B84" s="14"/>
      <c r="C84" s="11">
        <v>999</v>
      </c>
      <c r="D84" s="154">
        <v>77</v>
      </c>
      <c r="E84" s="154" t="s">
        <v>1898</v>
      </c>
      <c r="F84" s="154" t="s">
        <v>87</v>
      </c>
      <c r="G84" s="154" t="s">
        <v>1402</v>
      </c>
      <c r="H84" s="154" t="s">
        <v>936</v>
      </c>
      <c r="I84" s="154" t="s">
        <v>96</v>
      </c>
      <c r="J84" s="154" t="s">
        <v>97</v>
      </c>
      <c r="K84" s="154" t="s">
        <v>91</v>
      </c>
      <c r="L84" s="154" t="s">
        <v>1897</v>
      </c>
      <c r="M84" s="154" t="s">
        <v>1383</v>
      </c>
      <c r="N84" s="154" t="s">
        <v>61</v>
      </c>
      <c r="O84" s="154" t="s">
        <v>62</v>
      </c>
      <c r="P84" s="146">
        <v>304.89</v>
      </c>
      <c r="Q84" s="146">
        <v>0</v>
      </c>
      <c r="R84" s="154" t="s">
        <v>1384</v>
      </c>
      <c r="S84" s="154" t="s">
        <v>1899</v>
      </c>
      <c r="T84" s="155" t="s">
        <v>1899</v>
      </c>
      <c r="U84" s="155" t="s">
        <v>1899</v>
      </c>
      <c r="V84" s="154" t="s">
        <v>1562</v>
      </c>
      <c r="W84" s="154">
        <v>0</v>
      </c>
      <c r="X84" s="154" t="s">
        <v>63</v>
      </c>
      <c r="Y84" s="154" t="s">
        <v>1900</v>
      </c>
      <c r="Z84" s="154"/>
      <c r="AA84" s="154" t="s">
        <v>1387</v>
      </c>
      <c r="AB84" s="154">
        <v>0</v>
      </c>
      <c r="AC84" s="138">
        <f>IFERROR(IF(DATEDIF(#REF!,U84,"m")&lt;=1,1,IF(AND(DATEDIF(#REF!,U84,"m")&gt;1,DATEDIF(#REF!,U84,"m")&lt;12),2,IF(AND(DATEDIF(#REF!,U84,"m")&gt;=12,DATEDIF(#REF!,U84,"m")&lt;24),3,IF(DATEDIF(#REF!,U84,"m")&gt;=24,4,"")))),IF(E84="r0320 - Deposits, not covered and not preferential",1,4))</f>
        <v>4</v>
      </c>
    </row>
    <row r="85" spans="2:29" ht="36.75" thickBot="1" x14ac:dyDescent="0.3">
      <c r="B85" s="14"/>
      <c r="C85" s="11">
        <v>999</v>
      </c>
      <c r="D85" s="154">
        <v>78</v>
      </c>
      <c r="E85" s="154" t="s">
        <v>1898</v>
      </c>
      <c r="F85" s="154" t="s">
        <v>87</v>
      </c>
      <c r="G85" s="154" t="s">
        <v>1402</v>
      </c>
      <c r="H85" s="154" t="s">
        <v>964</v>
      </c>
      <c r="I85" s="154" t="s">
        <v>99</v>
      </c>
      <c r="J85" s="154" t="s">
        <v>90</v>
      </c>
      <c r="K85" s="154" t="s">
        <v>91</v>
      </c>
      <c r="L85" s="154" t="s">
        <v>1897</v>
      </c>
      <c r="M85" s="154" t="s">
        <v>1383</v>
      </c>
      <c r="N85" s="154" t="s">
        <v>61</v>
      </c>
      <c r="O85" s="154" t="s">
        <v>62</v>
      </c>
      <c r="P85" s="146">
        <v>0.01</v>
      </c>
      <c r="Q85" s="146">
        <v>0</v>
      </c>
      <c r="R85" s="154" t="s">
        <v>1384</v>
      </c>
      <c r="S85" s="154" t="s">
        <v>1899</v>
      </c>
      <c r="T85" s="155" t="s">
        <v>1899</v>
      </c>
      <c r="U85" s="155" t="s">
        <v>1899</v>
      </c>
      <c r="V85" s="154" t="s">
        <v>1562</v>
      </c>
      <c r="W85" s="154">
        <v>0</v>
      </c>
      <c r="X85" s="154" t="s">
        <v>63</v>
      </c>
      <c r="Y85" s="154" t="s">
        <v>1900</v>
      </c>
      <c r="Z85" s="154"/>
      <c r="AA85" s="154" t="s">
        <v>1387</v>
      </c>
      <c r="AB85" s="154">
        <v>0</v>
      </c>
      <c r="AC85" s="138">
        <f>IFERROR(IF(DATEDIF(#REF!,U85,"m")&lt;=1,1,IF(AND(DATEDIF(#REF!,U85,"m")&gt;1,DATEDIF(#REF!,U85,"m")&lt;12),2,IF(AND(DATEDIF(#REF!,U85,"m")&gt;=12,DATEDIF(#REF!,U85,"m")&lt;24),3,IF(DATEDIF(#REF!,U85,"m")&gt;=24,4,"")))),IF(E85="r0320 - Deposits, not covered and not preferential",1,4))</f>
        <v>4</v>
      </c>
    </row>
    <row r="86" spans="2:29" ht="36.75" thickBot="1" x14ac:dyDescent="0.3">
      <c r="B86" s="14"/>
      <c r="C86" s="11">
        <v>999</v>
      </c>
      <c r="D86" s="154">
        <v>79</v>
      </c>
      <c r="E86" s="154" t="s">
        <v>1898</v>
      </c>
      <c r="F86" s="154" t="s">
        <v>87</v>
      </c>
      <c r="G86" s="154" t="s">
        <v>1402</v>
      </c>
      <c r="H86" s="154" t="s">
        <v>955</v>
      </c>
      <c r="I86" s="154" t="s">
        <v>108</v>
      </c>
      <c r="J86" s="154" t="s">
        <v>90</v>
      </c>
      <c r="K86" s="154" t="s">
        <v>91</v>
      </c>
      <c r="L86" s="154" t="s">
        <v>1897</v>
      </c>
      <c r="M86" s="154" t="s">
        <v>1383</v>
      </c>
      <c r="N86" s="154" t="s">
        <v>61</v>
      </c>
      <c r="O86" s="154" t="s">
        <v>62</v>
      </c>
      <c r="P86" s="146">
        <v>0.43</v>
      </c>
      <c r="Q86" s="146">
        <v>0</v>
      </c>
      <c r="R86" s="154" t="s">
        <v>1384</v>
      </c>
      <c r="S86" s="154" t="s">
        <v>1899</v>
      </c>
      <c r="T86" s="155" t="s">
        <v>1899</v>
      </c>
      <c r="U86" s="155" t="s">
        <v>1899</v>
      </c>
      <c r="V86" s="154" t="s">
        <v>1562</v>
      </c>
      <c r="W86" s="154">
        <v>0</v>
      </c>
      <c r="X86" s="154" t="s">
        <v>63</v>
      </c>
      <c r="Y86" s="154" t="s">
        <v>1900</v>
      </c>
      <c r="Z86" s="154"/>
      <c r="AA86" s="154" t="s">
        <v>1387</v>
      </c>
      <c r="AB86" s="154">
        <v>0</v>
      </c>
      <c r="AC86" s="138">
        <f>IFERROR(IF(DATEDIF(#REF!,U86,"m")&lt;=1,1,IF(AND(DATEDIF(#REF!,U86,"m")&gt;1,DATEDIF(#REF!,U86,"m")&lt;12),2,IF(AND(DATEDIF(#REF!,U86,"m")&gt;=12,DATEDIF(#REF!,U86,"m")&lt;24),3,IF(DATEDIF(#REF!,U86,"m")&gt;=24,4,"")))),IF(E86="r0320 - Deposits, not covered and not preferential",1,4))</f>
        <v>4</v>
      </c>
    </row>
    <row r="87" spans="2:29" ht="36.75" thickBot="1" x14ac:dyDescent="0.3">
      <c r="B87" s="14"/>
      <c r="C87" s="11">
        <v>999</v>
      </c>
      <c r="D87" s="154">
        <v>80</v>
      </c>
      <c r="E87" s="154" t="s">
        <v>1898</v>
      </c>
      <c r="F87" s="154" t="s">
        <v>56</v>
      </c>
      <c r="G87" s="154" t="s">
        <v>1402</v>
      </c>
      <c r="H87" s="154" t="s">
        <v>601</v>
      </c>
      <c r="I87" s="154" t="s">
        <v>72</v>
      </c>
      <c r="J87" s="154" t="s">
        <v>73</v>
      </c>
      <c r="K87" s="154" t="s">
        <v>60</v>
      </c>
      <c r="L87" s="154" t="s">
        <v>1897</v>
      </c>
      <c r="M87" s="154" t="s">
        <v>1388</v>
      </c>
      <c r="N87" s="154" t="s">
        <v>61</v>
      </c>
      <c r="O87" s="154" t="s">
        <v>62</v>
      </c>
      <c r="P87" s="146">
        <v>0.02</v>
      </c>
      <c r="Q87" s="146">
        <v>0</v>
      </c>
      <c r="R87" s="154" t="s">
        <v>1384</v>
      </c>
      <c r="S87" s="154" t="s">
        <v>1899</v>
      </c>
      <c r="T87" s="155" t="s">
        <v>1899</v>
      </c>
      <c r="U87" s="155" t="s">
        <v>1899</v>
      </c>
      <c r="V87" s="154" t="s">
        <v>1562</v>
      </c>
      <c r="W87" s="154">
        <v>0</v>
      </c>
      <c r="X87" s="154" t="s">
        <v>63</v>
      </c>
      <c r="Y87" s="154" t="s">
        <v>1900</v>
      </c>
      <c r="Z87" s="154"/>
      <c r="AA87" s="154" t="s">
        <v>1387</v>
      </c>
      <c r="AB87" s="154">
        <v>0</v>
      </c>
      <c r="AC87" s="138">
        <f>IFERROR(IF(DATEDIF(#REF!,U87,"m")&lt;=1,1,IF(AND(DATEDIF(#REF!,U87,"m")&gt;1,DATEDIF(#REF!,U87,"m")&lt;12),2,IF(AND(DATEDIF(#REF!,U87,"m")&gt;=12,DATEDIF(#REF!,U87,"m")&lt;24),3,IF(DATEDIF(#REF!,U87,"m")&gt;=24,4,"")))),IF(E87="r0320 - Deposits, not covered and not preferential",1,4))</f>
        <v>4</v>
      </c>
    </row>
    <row r="88" spans="2:29" ht="36.75" thickBot="1" x14ac:dyDescent="0.3">
      <c r="B88" s="14"/>
      <c r="C88" s="11">
        <v>999</v>
      </c>
      <c r="D88" s="154">
        <v>81</v>
      </c>
      <c r="E88" s="154" t="s">
        <v>1898</v>
      </c>
      <c r="F88" s="154" t="s">
        <v>87</v>
      </c>
      <c r="G88" s="154" t="s">
        <v>1402</v>
      </c>
      <c r="H88" s="154" t="s">
        <v>1016</v>
      </c>
      <c r="I88" s="154" t="s">
        <v>89</v>
      </c>
      <c r="J88" s="154" t="s">
        <v>90</v>
      </c>
      <c r="K88" s="154" t="s">
        <v>91</v>
      </c>
      <c r="L88" s="154" t="s">
        <v>1901</v>
      </c>
      <c r="M88" s="154" t="s">
        <v>1383</v>
      </c>
      <c r="N88" s="154" t="s">
        <v>61</v>
      </c>
      <c r="O88" s="154" t="s">
        <v>62</v>
      </c>
      <c r="P88" s="146">
        <v>0.06</v>
      </c>
      <c r="Q88" s="146">
        <v>0</v>
      </c>
      <c r="R88" s="154" t="s">
        <v>1384</v>
      </c>
      <c r="S88" s="154" t="s">
        <v>1899</v>
      </c>
      <c r="T88" s="155" t="s">
        <v>1899</v>
      </c>
      <c r="U88" s="155" t="s">
        <v>1899</v>
      </c>
      <c r="V88" s="154" t="s">
        <v>1562</v>
      </c>
      <c r="W88" s="154">
        <v>0</v>
      </c>
      <c r="X88" s="154" t="s">
        <v>63</v>
      </c>
      <c r="Y88" s="154" t="s">
        <v>1900</v>
      </c>
      <c r="Z88" s="154"/>
      <c r="AA88" s="154" t="s">
        <v>1387</v>
      </c>
      <c r="AB88" s="154">
        <v>0</v>
      </c>
      <c r="AC88" s="138">
        <f>IFERROR(IF(DATEDIF(#REF!,U88,"m")&lt;=1,1,IF(AND(DATEDIF(#REF!,U88,"m")&gt;1,DATEDIF(#REF!,U88,"m")&lt;12),2,IF(AND(DATEDIF(#REF!,U88,"m")&gt;=12,DATEDIF(#REF!,U88,"m")&lt;24),3,IF(DATEDIF(#REF!,U88,"m")&gt;=24,4,"")))),IF(E88="r0320 - Deposits, not covered and not preferential",1,4))</f>
        <v>4</v>
      </c>
    </row>
    <row r="89" spans="2:29" ht="36.75" thickBot="1" x14ac:dyDescent="0.3">
      <c r="B89" s="14"/>
      <c r="C89" s="11">
        <v>999</v>
      </c>
      <c r="D89" s="154">
        <v>82</v>
      </c>
      <c r="E89" s="154" t="s">
        <v>1898</v>
      </c>
      <c r="F89" s="154" t="s">
        <v>87</v>
      </c>
      <c r="G89" s="154" t="s">
        <v>1402</v>
      </c>
      <c r="H89" s="154" t="s">
        <v>616</v>
      </c>
      <c r="I89" s="154" t="s">
        <v>99</v>
      </c>
      <c r="J89" s="154" t="s">
        <v>90</v>
      </c>
      <c r="K89" s="154" t="s">
        <v>91</v>
      </c>
      <c r="L89" s="154" t="s">
        <v>1897</v>
      </c>
      <c r="M89" s="154" t="s">
        <v>1383</v>
      </c>
      <c r="N89" s="154" t="s">
        <v>61</v>
      </c>
      <c r="O89" s="154" t="s">
        <v>62</v>
      </c>
      <c r="P89" s="146">
        <v>0.02</v>
      </c>
      <c r="Q89" s="146">
        <v>0</v>
      </c>
      <c r="R89" s="154" t="s">
        <v>1384</v>
      </c>
      <c r="S89" s="154" t="s">
        <v>1899</v>
      </c>
      <c r="T89" s="155" t="s">
        <v>1899</v>
      </c>
      <c r="U89" s="155" t="s">
        <v>1899</v>
      </c>
      <c r="V89" s="154" t="s">
        <v>1562</v>
      </c>
      <c r="W89" s="154">
        <v>0</v>
      </c>
      <c r="X89" s="154" t="s">
        <v>63</v>
      </c>
      <c r="Y89" s="154" t="s">
        <v>1900</v>
      </c>
      <c r="Z89" s="154"/>
      <c r="AA89" s="154" t="s">
        <v>1387</v>
      </c>
      <c r="AB89" s="154">
        <v>0</v>
      </c>
      <c r="AC89" s="138">
        <f>IFERROR(IF(DATEDIF(#REF!,U89,"m")&lt;=1,1,IF(AND(DATEDIF(#REF!,U89,"m")&gt;1,DATEDIF(#REF!,U89,"m")&lt;12),2,IF(AND(DATEDIF(#REF!,U89,"m")&gt;=12,DATEDIF(#REF!,U89,"m")&lt;24),3,IF(DATEDIF(#REF!,U89,"m")&gt;=24,4,"")))),IF(E89="r0320 - Deposits, not covered and not preferential",1,4))</f>
        <v>4</v>
      </c>
    </row>
    <row r="90" spans="2:29" ht="36.75" thickBot="1" x14ac:dyDescent="0.3">
      <c r="B90" s="14"/>
      <c r="C90" s="11">
        <v>999</v>
      </c>
      <c r="D90" s="154">
        <v>83</v>
      </c>
      <c r="E90" s="154" t="s">
        <v>1898</v>
      </c>
      <c r="F90" s="154" t="s">
        <v>87</v>
      </c>
      <c r="G90" s="154" t="s">
        <v>1402</v>
      </c>
      <c r="H90" s="154" t="s">
        <v>356</v>
      </c>
      <c r="I90" s="154" t="s">
        <v>108</v>
      </c>
      <c r="J90" s="154" t="s">
        <v>90</v>
      </c>
      <c r="K90" s="154" t="s">
        <v>91</v>
      </c>
      <c r="L90" s="154" t="s">
        <v>1897</v>
      </c>
      <c r="M90" s="154" t="s">
        <v>1383</v>
      </c>
      <c r="N90" s="154" t="s">
        <v>61</v>
      </c>
      <c r="O90" s="154" t="s">
        <v>62</v>
      </c>
      <c r="P90" s="146">
        <v>1.75</v>
      </c>
      <c r="Q90" s="146">
        <v>0</v>
      </c>
      <c r="R90" s="154" t="s">
        <v>1384</v>
      </c>
      <c r="S90" s="154" t="s">
        <v>1899</v>
      </c>
      <c r="T90" s="155" t="s">
        <v>1899</v>
      </c>
      <c r="U90" s="155" t="s">
        <v>1899</v>
      </c>
      <c r="V90" s="154" t="s">
        <v>1562</v>
      </c>
      <c r="W90" s="154">
        <v>0</v>
      </c>
      <c r="X90" s="154" t="s">
        <v>63</v>
      </c>
      <c r="Y90" s="154" t="s">
        <v>1900</v>
      </c>
      <c r="Z90" s="154"/>
      <c r="AA90" s="154" t="s">
        <v>1387</v>
      </c>
      <c r="AB90" s="154">
        <v>0</v>
      </c>
      <c r="AC90" s="138">
        <f>IFERROR(IF(DATEDIF(#REF!,U90,"m")&lt;=1,1,IF(AND(DATEDIF(#REF!,U90,"m")&gt;1,DATEDIF(#REF!,U90,"m")&lt;12),2,IF(AND(DATEDIF(#REF!,U90,"m")&gt;=12,DATEDIF(#REF!,U90,"m")&lt;24),3,IF(DATEDIF(#REF!,U90,"m")&gt;=24,4,"")))),IF(E90="r0320 - Deposits, not covered and not preferential",1,4))</f>
        <v>4</v>
      </c>
    </row>
    <row r="91" spans="2:29" ht="36.75" thickBot="1" x14ac:dyDescent="0.3">
      <c r="B91" s="14"/>
      <c r="C91" s="11">
        <v>999</v>
      </c>
      <c r="D91" s="154">
        <v>84</v>
      </c>
      <c r="E91" s="154" t="s">
        <v>1898</v>
      </c>
      <c r="F91" s="154" t="s">
        <v>87</v>
      </c>
      <c r="G91" s="154" t="s">
        <v>1402</v>
      </c>
      <c r="H91" s="154" t="s">
        <v>631</v>
      </c>
      <c r="I91" s="154" t="s">
        <v>89</v>
      </c>
      <c r="J91" s="154" t="s">
        <v>90</v>
      </c>
      <c r="K91" s="154" t="s">
        <v>91</v>
      </c>
      <c r="L91" s="154" t="s">
        <v>1901</v>
      </c>
      <c r="M91" s="154" t="s">
        <v>1383</v>
      </c>
      <c r="N91" s="154" t="s">
        <v>61</v>
      </c>
      <c r="O91" s="154" t="s">
        <v>62</v>
      </c>
      <c r="P91" s="146">
        <v>0.37</v>
      </c>
      <c r="Q91" s="146">
        <v>0</v>
      </c>
      <c r="R91" s="154" t="s">
        <v>1384</v>
      </c>
      <c r="S91" s="154" t="s">
        <v>1899</v>
      </c>
      <c r="T91" s="155" t="s">
        <v>1899</v>
      </c>
      <c r="U91" s="155" t="s">
        <v>1899</v>
      </c>
      <c r="V91" s="154" t="s">
        <v>1562</v>
      </c>
      <c r="W91" s="154">
        <v>0</v>
      </c>
      <c r="X91" s="154" t="s">
        <v>63</v>
      </c>
      <c r="Y91" s="154" t="s">
        <v>1900</v>
      </c>
      <c r="Z91" s="154"/>
      <c r="AA91" s="154" t="s">
        <v>1387</v>
      </c>
      <c r="AB91" s="154">
        <v>0</v>
      </c>
      <c r="AC91" s="138">
        <f>IFERROR(IF(DATEDIF(#REF!,U91,"m")&lt;=1,1,IF(AND(DATEDIF(#REF!,U91,"m")&gt;1,DATEDIF(#REF!,U91,"m")&lt;12),2,IF(AND(DATEDIF(#REF!,U91,"m")&gt;=12,DATEDIF(#REF!,U91,"m")&lt;24),3,IF(DATEDIF(#REF!,U91,"m")&gt;=24,4,"")))),IF(E91="r0320 - Deposits, not covered and not preferential",1,4))</f>
        <v>4</v>
      </c>
    </row>
    <row r="92" spans="2:29" ht="48.75" thickBot="1" x14ac:dyDescent="0.3">
      <c r="B92" s="14"/>
      <c r="C92" s="11">
        <v>999</v>
      </c>
      <c r="D92" s="154">
        <v>85</v>
      </c>
      <c r="E92" s="154" t="s">
        <v>1902</v>
      </c>
      <c r="F92" s="154" t="s">
        <v>83</v>
      </c>
      <c r="G92" s="154" t="s">
        <v>1903</v>
      </c>
      <c r="H92" s="154" t="s">
        <v>170</v>
      </c>
      <c r="I92" s="154" t="s">
        <v>101</v>
      </c>
      <c r="J92" s="154" t="s">
        <v>102</v>
      </c>
      <c r="K92" s="154" t="s">
        <v>60</v>
      </c>
      <c r="L92" s="154" t="s">
        <v>1897</v>
      </c>
      <c r="M92" s="154" t="s">
        <v>1388</v>
      </c>
      <c r="N92" s="154" t="s">
        <v>61</v>
      </c>
      <c r="O92" s="154" t="s">
        <v>62</v>
      </c>
      <c r="P92" s="146">
        <v>1545912.95</v>
      </c>
      <c r="Q92" s="146">
        <v>881.42</v>
      </c>
      <c r="R92" s="154" t="s">
        <v>1384</v>
      </c>
      <c r="S92" s="154" t="s">
        <v>1899</v>
      </c>
      <c r="T92" s="155" t="s">
        <v>768</v>
      </c>
      <c r="U92" s="155" t="s">
        <v>1899</v>
      </c>
      <c r="V92" s="154" t="s">
        <v>1904</v>
      </c>
      <c r="W92" s="154">
        <v>0</v>
      </c>
      <c r="X92" s="154" t="s">
        <v>63</v>
      </c>
      <c r="Y92" s="154" t="s">
        <v>1386</v>
      </c>
      <c r="Z92" s="154"/>
      <c r="AA92" s="154" t="s">
        <v>1387</v>
      </c>
      <c r="AB92" s="154">
        <v>0</v>
      </c>
      <c r="AC92" s="138">
        <f>IFERROR(IF(DATEDIF(#REF!,U92,"m")&lt;=1,1,IF(AND(DATEDIF(#REF!,U92,"m")&gt;1,DATEDIF(#REF!,U92,"m")&lt;12),2,IF(AND(DATEDIF(#REF!,U92,"m")&gt;=12,DATEDIF(#REF!,U92,"m")&lt;24),3,IF(DATEDIF(#REF!,U92,"m")&gt;=24,4,"")))),IF(E92="r0320 - Deposits, not covered and not preferential",1,4))</f>
        <v>4</v>
      </c>
    </row>
    <row r="93" spans="2:29" ht="36.75" thickBot="1" x14ac:dyDescent="0.3">
      <c r="B93" s="14"/>
      <c r="C93" s="11">
        <v>999</v>
      </c>
      <c r="D93" s="154">
        <v>86</v>
      </c>
      <c r="E93" s="154" t="s">
        <v>1898</v>
      </c>
      <c r="F93" s="154" t="s">
        <v>87</v>
      </c>
      <c r="G93" s="154" t="s">
        <v>1402</v>
      </c>
      <c r="H93" s="154" t="s">
        <v>395</v>
      </c>
      <c r="I93" s="154" t="s">
        <v>99</v>
      </c>
      <c r="J93" s="154" t="s">
        <v>90</v>
      </c>
      <c r="K93" s="154" t="s">
        <v>91</v>
      </c>
      <c r="L93" s="154" t="s">
        <v>1897</v>
      </c>
      <c r="M93" s="154" t="s">
        <v>1383</v>
      </c>
      <c r="N93" s="154" t="s">
        <v>61</v>
      </c>
      <c r="O93" s="154" t="s">
        <v>62</v>
      </c>
      <c r="P93" s="146">
        <v>0.01</v>
      </c>
      <c r="Q93" s="146">
        <v>0</v>
      </c>
      <c r="R93" s="154" t="s">
        <v>1384</v>
      </c>
      <c r="S93" s="154" t="s">
        <v>1899</v>
      </c>
      <c r="T93" s="155" t="s">
        <v>1899</v>
      </c>
      <c r="U93" s="155" t="s">
        <v>1899</v>
      </c>
      <c r="V93" s="154" t="s">
        <v>1562</v>
      </c>
      <c r="W93" s="154">
        <v>0</v>
      </c>
      <c r="X93" s="154" t="s">
        <v>63</v>
      </c>
      <c r="Y93" s="154" t="s">
        <v>1900</v>
      </c>
      <c r="Z93" s="154"/>
      <c r="AA93" s="154" t="s">
        <v>1387</v>
      </c>
      <c r="AB93" s="154">
        <v>0</v>
      </c>
      <c r="AC93" s="138">
        <f>IFERROR(IF(DATEDIF(#REF!,U93,"m")&lt;=1,1,IF(AND(DATEDIF(#REF!,U93,"m")&gt;1,DATEDIF(#REF!,U93,"m")&lt;12),2,IF(AND(DATEDIF(#REF!,U93,"m")&gt;=12,DATEDIF(#REF!,U93,"m")&lt;24),3,IF(DATEDIF(#REF!,U93,"m")&gt;=24,4,"")))),IF(E93="r0320 - Deposits, not covered and not preferential",1,4))</f>
        <v>4</v>
      </c>
    </row>
    <row r="94" spans="2:29" ht="36.75" thickBot="1" x14ac:dyDescent="0.3">
      <c r="B94" s="14"/>
      <c r="C94" s="11">
        <v>999</v>
      </c>
      <c r="D94" s="154">
        <v>87</v>
      </c>
      <c r="E94" s="154" t="s">
        <v>1898</v>
      </c>
      <c r="F94" s="154" t="s">
        <v>87</v>
      </c>
      <c r="G94" s="154" t="s">
        <v>1402</v>
      </c>
      <c r="H94" s="154" t="s">
        <v>1021</v>
      </c>
      <c r="I94" s="154" t="s">
        <v>108</v>
      </c>
      <c r="J94" s="154" t="s">
        <v>90</v>
      </c>
      <c r="K94" s="154" t="s">
        <v>91</v>
      </c>
      <c r="L94" s="154" t="s">
        <v>1897</v>
      </c>
      <c r="M94" s="154" t="s">
        <v>1383</v>
      </c>
      <c r="N94" s="154" t="s">
        <v>61</v>
      </c>
      <c r="O94" s="154" t="s">
        <v>62</v>
      </c>
      <c r="P94" s="146">
        <v>0.75</v>
      </c>
      <c r="Q94" s="146">
        <v>0</v>
      </c>
      <c r="R94" s="154" t="s">
        <v>1384</v>
      </c>
      <c r="S94" s="154" t="s">
        <v>1899</v>
      </c>
      <c r="T94" s="155" t="s">
        <v>1899</v>
      </c>
      <c r="U94" s="155" t="s">
        <v>1899</v>
      </c>
      <c r="V94" s="154" t="s">
        <v>1562</v>
      </c>
      <c r="W94" s="154">
        <v>0</v>
      </c>
      <c r="X94" s="154" t="s">
        <v>63</v>
      </c>
      <c r="Y94" s="154" t="s">
        <v>1900</v>
      </c>
      <c r="Z94" s="154"/>
      <c r="AA94" s="154" t="s">
        <v>1387</v>
      </c>
      <c r="AB94" s="154">
        <v>0</v>
      </c>
      <c r="AC94" s="138">
        <f>IFERROR(IF(DATEDIF(#REF!,U94,"m")&lt;=1,1,IF(AND(DATEDIF(#REF!,U94,"m")&gt;1,DATEDIF(#REF!,U94,"m")&lt;12),2,IF(AND(DATEDIF(#REF!,U94,"m")&gt;=12,DATEDIF(#REF!,U94,"m")&lt;24),3,IF(DATEDIF(#REF!,U94,"m")&gt;=24,4,"")))),IF(E94="r0320 - Deposits, not covered and not preferential",1,4))</f>
        <v>4</v>
      </c>
    </row>
    <row r="95" spans="2:29" ht="36.75" thickBot="1" x14ac:dyDescent="0.3">
      <c r="B95" s="14"/>
      <c r="C95" s="11">
        <v>999</v>
      </c>
      <c r="D95" s="154">
        <v>88</v>
      </c>
      <c r="E95" s="154" t="s">
        <v>1898</v>
      </c>
      <c r="F95" s="154" t="s">
        <v>87</v>
      </c>
      <c r="G95" s="154" t="s">
        <v>1402</v>
      </c>
      <c r="H95" s="154" t="s">
        <v>1079</v>
      </c>
      <c r="I95" s="154" t="s">
        <v>108</v>
      </c>
      <c r="J95" s="154" t="s">
        <v>90</v>
      </c>
      <c r="K95" s="154" t="s">
        <v>91</v>
      </c>
      <c r="L95" s="154" t="s">
        <v>1897</v>
      </c>
      <c r="M95" s="154" t="s">
        <v>1383</v>
      </c>
      <c r="N95" s="154" t="s">
        <v>61</v>
      </c>
      <c r="O95" s="154" t="s">
        <v>62</v>
      </c>
      <c r="P95" s="146">
        <v>3.08</v>
      </c>
      <c r="Q95" s="146">
        <v>0</v>
      </c>
      <c r="R95" s="154" t="s">
        <v>1384</v>
      </c>
      <c r="S95" s="154" t="s">
        <v>1899</v>
      </c>
      <c r="T95" s="155" t="s">
        <v>1899</v>
      </c>
      <c r="U95" s="155" t="s">
        <v>1899</v>
      </c>
      <c r="V95" s="154" t="s">
        <v>1562</v>
      </c>
      <c r="W95" s="154">
        <v>0</v>
      </c>
      <c r="X95" s="154" t="s">
        <v>63</v>
      </c>
      <c r="Y95" s="154" t="s">
        <v>1900</v>
      </c>
      <c r="Z95" s="154"/>
      <c r="AA95" s="154" t="s">
        <v>1387</v>
      </c>
      <c r="AB95" s="154">
        <v>0</v>
      </c>
      <c r="AC95" s="138">
        <f>IFERROR(IF(DATEDIF(#REF!,U95,"m")&lt;=1,1,IF(AND(DATEDIF(#REF!,U95,"m")&gt;1,DATEDIF(#REF!,U95,"m")&lt;12),2,IF(AND(DATEDIF(#REF!,U95,"m")&gt;=12,DATEDIF(#REF!,U95,"m")&lt;24),3,IF(DATEDIF(#REF!,U95,"m")&gt;=24,4,"")))),IF(E95="r0320 - Deposits, not covered and not preferential",1,4))</f>
        <v>4</v>
      </c>
    </row>
    <row r="96" spans="2:29" ht="36.75" thickBot="1" x14ac:dyDescent="0.3">
      <c r="B96" s="14"/>
      <c r="C96" s="11">
        <v>999</v>
      </c>
      <c r="D96" s="154">
        <v>89</v>
      </c>
      <c r="E96" s="154" t="s">
        <v>1898</v>
      </c>
      <c r="F96" s="154" t="s">
        <v>87</v>
      </c>
      <c r="G96" s="154" t="s">
        <v>1402</v>
      </c>
      <c r="H96" s="154" t="s">
        <v>1114</v>
      </c>
      <c r="I96" s="154" t="s">
        <v>89</v>
      </c>
      <c r="J96" s="154" t="s">
        <v>90</v>
      </c>
      <c r="K96" s="154" t="s">
        <v>91</v>
      </c>
      <c r="L96" s="154" t="s">
        <v>1901</v>
      </c>
      <c r="M96" s="154" t="s">
        <v>1383</v>
      </c>
      <c r="N96" s="154" t="s">
        <v>61</v>
      </c>
      <c r="O96" s="154" t="s">
        <v>62</v>
      </c>
      <c r="P96" s="146">
        <v>0.18</v>
      </c>
      <c r="Q96" s="146">
        <v>0</v>
      </c>
      <c r="R96" s="154" t="s">
        <v>1384</v>
      </c>
      <c r="S96" s="154" t="s">
        <v>1899</v>
      </c>
      <c r="T96" s="155" t="s">
        <v>1899</v>
      </c>
      <c r="U96" s="155" t="s">
        <v>1899</v>
      </c>
      <c r="V96" s="154" t="s">
        <v>1562</v>
      </c>
      <c r="W96" s="154">
        <v>0</v>
      </c>
      <c r="X96" s="154" t="s">
        <v>63</v>
      </c>
      <c r="Y96" s="154" t="s">
        <v>1900</v>
      </c>
      <c r="Z96" s="154"/>
      <c r="AA96" s="154" t="s">
        <v>1387</v>
      </c>
      <c r="AB96" s="154">
        <v>0</v>
      </c>
      <c r="AC96" s="138">
        <f>IFERROR(IF(DATEDIF(#REF!,U96,"m")&lt;=1,1,IF(AND(DATEDIF(#REF!,U96,"m")&gt;1,DATEDIF(#REF!,U96,"m")&lt;12),2,IF(AND(DATEDIF(#REF!,U96,"m")&gt;=12,DATEDIF(#REF!,U96,"m")&lt;24),3,IF(DATEDIF(#REF!,U96,"m")&gt;=24,4,"")))),IF(E96="r0320 - Deposits, not covered and not preferential",1,4))</f>
        <v>4</v>
      </c>
    </row>
    <row r="97" spans="2:29" ht="36.75" thickBot="1" x14ac:dyDescent="0.3">
      <c r="B97" s="14"/>
      <c r="C97" s="11">
        <v>999</v>
      </c>
      <c r="D97" s="154">
        <v>90</v>
      </c>
      <c r="E97" s="154" t="s">
        <v>1898</v>
      </c>
      <c r="F97" s="154" t="s">
        <v>87</v>
      </c>
      <c r="G97" s="154" t="s">
        <v>1402</v>
      </c>
      <c r="H97" s="154" t="s">
        <v>409</v>
      </c>
      <c r="I97" s="154" t="s">
        <v>108</v>
      </c>
      <c r="J97" s="154" t="s">
        <v>90</v>
      </c>
      <c r="K97" s="154" t="s">
        <v>91</v>
      </c>
      <c r="L97" s="154" t="s">
        <v>1897</v>
      </c>
      <c r="M97" s="154" t="s">
        <v>1383</v>
      </c>
      <c r="N97" s="154" t="s">
        <v>61</v>
      </c>
      <c r="O97" s="154" t="s">
        <v>62</v>
      </c>
      <c r="P97" s="146">
        <v>0.45</v>
      </c>
      <c r="Q97" s="146">
        <v>0</v>
      </c>
      <c r="R97" s="154" t="s">
        <v>1384</v>
      </c>
      <c r="S97" s="154" t="s">
        <v>1899</v>
      </c>
      <c r="T97" s="155" t="s">
        <v>1899</v>
      </c>
      <c r="U97" s="155" t="s">
        <v>1899</v>
      </c>
      <c r="V97" s="154" t="s">
        <v>1562</v>
      </c>
      <c r="W97" s="154">
        <v>0</v>
      </c>
      <c r="X97" s="154" t="s">
        <v>63</v>
      </c>
      <c r="Y97" s="154" t="s">
        <v>1900</v>
      </c>
      <c r="Z97" s="154"/>
      <c r="AA97" s="154" t="s">
        <v>1387</v>
      </c>
      <c r="AB97" s="154">
        <v>0</v>
      </c>
      <c r="AC97" s="138">
        <f>IFERROR(IF(DATEDIF(#REF!,U97,"m")&lt;=1,1,IF(AND(DATEDIF(#REF!,U97,"m")&gt;1,DATEDIF(#REF!,U97,"m")&lt;12),2,IF(AND(DATEDIF(#REF!,U97,"m")&gt;=12,DATEDIF(#REF!,U97,"m")&lt;24),3,IF(DATEDIF(#REF!,U97,"m")&gt;=24,4,"")))),IF(E97="r0320 - Deposits, not covered and not preferential",1,4))</f>
        <v>4</v>
      </c>
    </row>
    <row r="98" spans="2:29" ht="36.75" thickBot="1" x14ac:dyDescent="0.3">
      <c r="B98" s="14"/>
      <c r="C98" s="11">
        <v>999</v>
      </c>
      <c r="D98" s="154">
        <v>91</v>
      </c>
      <c r="E98" s="154" t="s">
        <v>1898</v>
      </c>
      <c r="F98" s="154" t="s">
        <v>87</v>
      </c>
      <c r="G98" s="154" t="s">
        <v>1402</v>
      </c>
      <c r="H98" s="154" t="s">
        <v>1071</v>
      </c>
      <c r="I98" s="154" t="s">
        <v>108</v>
      </c>
      <c r="J98" s="154" t="s">
        <v>90</v>
      </c>
      <c r="K98" s="154" t="s">
        <v>91</v>
      </c>
      <c r="L98" s="154" t="s">
        <v>1897</v>
      </c>
      <c r="M98" s="154" t="s">
        <v>1383</v>
      </c>
      <c r="N98" s="154" t="s">
        <v>61</v>
      </c>
      <c r="O98" s="154" t="s">
        <v>62</v>
      </c>
      <c r="P98" s="146">
        <v>12.48</v>
      </c>
      <c r="Q98" s="146">
        <v>0</v>
      </c>
      <c r="R98" s="154" t="s">
        <v>1384</v>
      </c>
      <c r="S98" s="154" t="s">
        <v>1899</v>
      </c>
      <c r="T98" s="155" t="s">
        <v>1899</v>
      </c>
      <c r="U98" s="155" t="s">
        <v>1899</v>
      </c>
      <c r="V98" s="154" t="s">
        <v>1562</v>
      </c>
      <c r="W98" s="154">
        <v>0</v>
      </c>
      <c r="X98" s="154" t="s">
        <v>63</v>
      </c>
      <c r="Y98" s="154" t="s">
        <v>1900</v>
      </c>
      <c r="Z98" s="154"/>
      <c r="AA98" s="154" t="s">
        <v>1387</v>
      </c>
      <c r="AB98" s="154">
        <v>0</v>
      </c>
      <c r="AC98" s="138">
        <f>IFERROR(IF(DATEDIF(#REF!,U98,"m")&lt;=1,1,IF(AND(DATEDIF(#REF!,U98,"m")&gt;1,DATEDIF(#REF!,U98,"m")&lt;12),2,IF(AND(DATEDIF(#REF!,U98,"m")&gt;=12,DATEDIF(#REF!,U98,"m")&lt;24),3,IF(DATEDIF(#REF!,U98,"m")&gt;=24,4,"")))),IF(E98="r0320 - Deposits, not covered and not preferential",1,4))</f>
        <v>4</v>
      </c>
    </row>
    <row r="99" spans="2:29" ht="36.75" thickBot="1" x14ac:dyDescent="0.3">
      <c r="B99" s="14"/>
      <c r="C99" s="11">
        <v>999</v>
      </c>
      <c r="D99" s="154">
        <v>92</v>
      </c>
      <c r="E99" s="154" t="s">
        <v>1898</v>
      </c>
      <c r="F99" s="154" t="s">
        <v>87</v>
      </c>
      <c r="G99" s="154" t="s">
        <v>1402</v>
      </c>
      <c r="H99" s="154" t="s">
        <v>417</v>
      </c>
      <c r="I99" s="154" t="s">
        <v>108</v>
      </c>
      <c r="J99" s="154" t="s">
        <v>90</v>
      </c>
      <c r="K99" s="154" t="s">
        <v>91</v>
      </c>
      <c r="L99" s="154" t="s">
        <v>1897</v>
      </c>
      <c r="M99" s="154" t="s">
        <v>1383</v>
      </c>
      <c r="N99" s="154" t="s">
        <v>61</v>
      </c>
      <c r="O99" s="154" t="s">
        <v>62</v>
      </c>
      <c r="P99" s="146">
        <v>0.15</v>
      </c>
      <c r="Q99" s="146">
        <v>0</v>
      </c>
      <c r="R99" s="154" t="s">
        <v>1384</v>
      </c>
      <c r="S99" s="154" t="s">
        <v>1899</v>
      </c>
      <c r="T99" s="155" t="s">
        <v>1899</v>
      </c>
      <c r="U99" s="155" t="s">
        <v>1899</v>
      </c>
      <c r="V99" s="154" t="s">
        <v>1562</v>
      </c>
      <c r="W99" s="154">
        <v>0</v>
      </c>
      <c r="X99" s="154" t="s">
        <v>63</v>
      </c>
      <c r="Y99" s="154" t="s">
        <v>1900</v>
      </c>
      <c r="Z99" s="154"/>
      <c r="AA99" s="154" t="s">
        <v>1387</v>
      </c>
      <c r="AB99" s="154">
        <v>0</v>
      </c>
      <c r="AC99" s="138">
        <f>IFERROR(IF(DATEDIF(#REF!,U99,"m")&lt;=1,1,IF(AND(DATEDIF(#REF!,U99,"m")&gt;1,DATEDIF(#REF!,U99,"m")&lt;12),2,IF(AND(DATEDIF(#REF!,U99,"m")&gt;=12,DATEDIF(#REF!,U99,"m")&lt;24),3,IF(DATEDIF(#REF!,U99,"m")&gt;=24,4,"")))),IF(E99="r0320 - Deposits, not covered and not preferential",1,4))</f>
        <v>4</v>
      </c>
    </row>
    <row r="100" spans="2:29" ht="36.75" thickBot="1" x14ac:dyDescent="0.3">
      <c r="B100" s="14"/>
      <c r="C100" s="11">
        <v>999</v>
      </c>
      <c r="D100" s="154">
        <v>93</v>
      </c>
      <c r="E100" s="154" t="s">
        <v>1898</v>
      </c>
      <c r="F100" s="154" t="s">
        <v>87</v>
      </c>
      <c r="G100" s="154" t="s">
        <v>1402</v>
      </c>
      <c r="H100" s="154" t="s">
        <v>732</v>
      </c>
      <c r="I100" s="154" t="s">
        <v>108</v>
      </c>
      <c r="J100" s="154" t="s">
        <v>90</v>
      </c>
      <c r="K100" s="154" t="s">
        <v>91</v>
      </c>
      <c r="L100" s="154" t="s">
        <v>1897</v>
      </c>
      <c r="M100" s="154" t="s">
        <v>1383</v>
      </c>
      <c r="N100" s="154" t="s">
        <v>61</v>
      </c>
      <c r="O100" s="154" t="s">
        <v>62</v>
      </c>
      <c r="P100" s="146">
        <v>9.68</v>
      </c>
      <c r="Q100" s="146">
        <v>0</v>
      </c>
      <c r="R100" s="154" t="s">
        <v>1384</v>
      </c>
      <c r="S100" s="154" t="s">
        <v>1899</v>
      </c>
      <c r="T100" s="155" t="s">
        <v>1899</v>
      </c>
      <c r="U100" s="155" t="s">
        <v>1899</v>
      </c>
      <c r="V100" s="154" t="s">
        <v>1562</v>
      </c>
      <c r="W100" s="154">
        <v>0</v>
      </c>
      <c r="X100" s="154" t="s">
        <v>63</v>
      </c>
      <c r="Y100" s="154" t="s">
        <v>1900</v>
      </c>
      <c r="Z100" s="154"/>
      <c r="AA100" s="154" t="s">
        <v>1387</v>
      </c>
      <c r="AB100" s="154">
        <v>0</v>
      </c>
      <c r="AC100" s="138">
        <f>IFERROR(IF(DATEDIF(#REF!,U100,"m")&lt;=1,1,IF(AND(DATEDIF(#REF!,U100,"m")&gt;1,DATEDIF(#REF!,U100,"m")&lt;12),2,IF(AND(DATEDIF(#REF!,U100,"m")&gt;=12,DATEDIF(#REF!,U100,"m")&lt;24),3,IF(DATEDIF(#REF!,U100,"m")&gt;=24,4,"")))),IF(E100="r0320 - Deposits, not covered and not preferential",1,4))</f>
        <v>4</v>
      </c>
    </row>
    <row r="101" spans="2:29" ht="36.75" thickBot="1" x14ac:dyDescent="0.3">
      <c r="B101" s="14"/>
      <c r="C101" s="11">
        <v>999</v>
      </c>
      <c r="D101" s="154">
        <v>94</v>
      </c>
      <c r="E101" s="154" t="s">
        <v>1898</v>
      </c>
      <c r="F101" s="154" t="s">
        <v>87</v>
      </c>
      <c r="G101" s="154" t="s">
        <v>1402</v>
      </c>
      <c r="H101" s="154" t="s">
        <v>699</v>
      </c>
      <c r="I101" s="154" t="s">
        <v>89</v>
      </c>
      <c r="J101" s="154" t="s">
        <v>90</v>
      </c>
      <c r="K101" s="154" t="s">
        <v>91</v>
      </c>
      <c r="L101" s="154" t="s">
        <v>1901</v>
      </c>
      <c r="M101" s="154" t="s">
        <v>1383</v>
      </c>
      <c r="N101" s="154" t="s">
        <v>61</v>
      </c>
      <c r="O101" s="154" t="s">
        <v>62</v>
      </c>
      <c r="P101" s="146">
        <v>0.18</v>
      </c>
      <c r="Q101" s="146">
        <v>0</v>
      </c>
      <c r="R101" s="154" t="s">
        <v>1384</v>
      </c>
      <c r="S101" s="154" t="s">
        <v>1899</v>
      </c>
      <c r="T101" s="155" t="s">
        <v>1899</v>
      </c>
      <c r="U101" s="155" t="s">
        <v>1899</v>
      </c>
      <c r="V101" s="154" t="s">
        <v>1562</v>
      </c>
      <c r="W101" s="154">
        <v>0</v>
      </c>
      <c r="X101" s="154" t="s">
        <v>63</v>
      </c>
      <c r="Y101" s="154" t="s">
        <v>1900</v>
      </c>
      <c r="Z101" s="154"/>
      <c r="AA101" s="154" t="s">
        <v>1387</v>
      </c>
      <c r="AB101" s="154">
        <v>0</v>
      </c>
      <c r="AC101" s="138">
        <f>IFERROR(IF(DATEDIF(#REF!,U101,"m")&lt;=1,1,IF(AND(DATEDIF(#REF!,U101,"m")&gt;1,DATEDIF(#REF!,U101,"m")&lt;12),2,IF(AND(DATEDIF(#REF!,U101,"m")&gt;=12,DATEDIF(#REF!,U101,"m")&lt;24),3,IF(DATEDIF(#REF!,U101,"m")&gt;=24,4,"")))),IF(E101="r0320 - Deposits, not covered and not preferential",1,4))</f>
        <v>4</v>
      </c>
    </row>
    <row r="102" spans="2:29" ht="36.75" thickBot="1" x14ac:dyDescent="0.3">
      <c r="B102" s="14"/>
      <c r="C102" s="11">
        <v>999</v>
      </c>
      <c r="D102" s="154">
        <v>95</v>
      </c>
      <c r="E102" s="154" t="s">
        <v>1898</v>
      </c>
      <c r="F102" s="154" t="s">
        <v>87</v>
      </c>
      <c r="G102" s="154" t="s">
        <v>1402</v>
      </c>
      <c r="H102" s="154" t="s">
        <v>1120</v>
      </c>
      <c r="I102" s="154" t="s">
        <v>108</v>
      </c>
      <c r="J102" s="154" t="s">
        <v>90</v>
      </c>
      <c r="K102" s="154" t="s">
        <v>91</v>
      </c>
      <c r="L102" s="154" t="s">
        <v>1897</v>
      </c>
      <c r="M102" s="154" t="s">
        <v>1383</v>
      </c>
      <c r="N102" s="154" t="s">
        <v>61</v>
      </c>
      <c r="O102" s="154" t="s">
        <v>62</v>
      </c>
      <c r="P102" s="146">
        <v>0.72</v>
      </c>
      <c r="Q102" s="146">
        <v>0</v>
      </c>
      <c r="R102" s="154" t="s">
        <v>1384</v>
      </c>
      <c r="S102" s="154" t="s">
        <v>1899</v>
      </c>
      <c r="T102" s="155" t="s">
        <v>1899</v>
      </c>
      <c r="U102" s="155" t="s">
        <v>1899</v>
      </c>
      <c r="V102" s="154" t="s">
        <v>1562</v>
      </c>
      <c r="W102" s="154">
        <v>0</v>
      </c>
      <c r="X102" s="154" t="s">
        <v>63</v>
      </c>
      <c r="Y102" s="154" t="s">
        <v>1900</v>
      </c>
      <c r="Z102" s="154"/>
      <c r="AA102" s="154" t="s">
        <v>1387</v>
      </c>
      <c r="AB102" s="154">
        <v>0</v>
      </c>
      <c r="AC102" s="138">
        <f>IFERROR(IF(DATEDIF(#REF!,U102,"m")&lt;=1,1,IF(AND(DATEDIF(#REF!,U102,"m")&gt;1,DATEDIF(#REF!,U102,"m")&lt;12),2,IF(AND(DATEDIF(#REF!,U102,"m")&gt;=12,DATEDIF(#REF!,U102,"m")&lt;24),3,IF(DATEDIF(#REF!,U102,"m")&gt;=24,4,"")))),IF(E102="r0320 - Deposits, not covered and not preferential",1,4))</f>
        <v>4</v>
      </c>
    </row>
    <row r="103" spans="2:29" ht="36.75" thickBot="1" x14ac:dyDescent="0.3">
      <c r="B103" s="14"/>
      <c r="C103" s="11">
        <v>999</v>
      </c>
      <c r="D103" s="154">
        <v>96</v>
      </c>
      <c r="E103" s="154" t="s">
        <v>1898</v>
      </c>
      <c r="F103" s="154" t="s">
        <v>87</v>
      </c>
      <c r="G103" s="154" t="s">
        <v>1402</v>
      </c>
      <c r="H103" s="154" t="s">
        <v>714</v>
      </c>
      <c r="I103" s="154" t="s">
        <v>108</v>
      </c>
      <c r="J103" s="154" t="s">
        <v>90</v>
      </c>
      <c r="K103" s="154" t="s">
        <v>91</v>
      </c>
      <c r="L103" s="154" t="s">
        <v>1897</v>
      </c>
      <c r="M103" s="154" t="s">
        <v>1383</v>
      </c>
      <c r="N103" s="154" t="s">
        <v>61</v>
      </c>
      <c r="O103" s="154" t="s">
        <v>62</v>
      </c>
      <c r="P103" s="146">
        <v>0.63</v>
      </c>
      <c r="Q103" s="146">
        <v>0</v>
      </c>
      <c r="R103" s="154" t="s">
        <v>1384</v>
      </c>
      <c r="S103" s="154" t="s">
        <v>1899</v>
      </c>
      <c r="T103" s="155" t="s">
        <v>1899</v>
      </c>
      <c r="U103" s="155" t="s">
        <v>1899</v>
      </c>
      <c r="V103" s="154" t="s">
        <v>1562</v>
      </c>
      <c r="W103" s="154">
        <v>0</v>
      </c>
      <c r="X103" s="154" t="s">
        <v>63</v>
      </c>
      <c r="Y103" s="154" t="s">
        <v>1900</v>
      </c>
      <c r="Z103" s="154"/>
      <c r="AA103" s="154" t="s">
        <v>1387</v>
      </c>
      <c r="AB103" s="154">
        <v>0</v>
      </c>
      <c r="AC103" s="138">
        <f>IFERROR(IF(DATEDIF(#REF!,U103,"m")&lt;=1,1,IF(AND(DATEDIF(#REF!,U103,"m")&gt;1,DATEDIF(#REF!,U103,"m")&lt;12),2,IF(AND(DATEDIF(#REF!,U103,"m")&gt;=12,DATEDIF(#REF!,U103,"m")&lt;24),3,IF(DATEDIF(#REF!,U103,"m")&gt;=24,4,"")))),IF(E103="r0320 - Deposits, not covered and not preferential",1,4))</f>
        <v>4</v>
      </c>
    </row>
    <row r="104" spans="2:29" ht="36.75" thickBot="1" x14ac:dyDescent="0.3">
      <c r="C104" s="11">
        <v>999</v>
      </c>
      <c r="D104" s="154">
        <v>97</v>
      </c>
      <c r="E104" s="154" t="s">
        <v>1898</v>
      </c>
      <c r="F104" s="154" t="s">
        <v>87</v>
      </c>
      <c r="G104" s="154" t="s">
        <v>1402</v>
      </c>
      <c r="H104" s="154" t="s">
        <v>434</v>
      </c>
      <c r="I104" s="154" t="s">
        <v>108</v>
      </c>
      <c r="J104" s="154" t="s">
        <v>90</v>
      </c>
      <c r="K104" s="154" t="s">
        <v>91</v>
      </c>
      <c r="L104" s="154" t="s">
        <v>1897</v>
      </c>
      <c r="M104" s="154" t="s">
        <v>1383</v>
      </c>
      <c r="N104" s="154" t="s">
        <v>61</v>
      </c>
      <c r="O104" s="154" t="s">
        <v>62</v>
      </c>
      <c r="P104" s="146">
        <v>1.04</v>
      </c>
      <c r="Q104" s="146">
        <v>0</v>
      </c>
      <c r="R104" s="154" t="s">
        <v>1384</v>
      </c>
      <c r="S104" s="154" t="s">
        <v>1899</v>
      </c>
      <c r="T104" s="155" t="s">
        <v>1899</v>
      </c>
      <c r="U104" s="155" t="s">
        <v>1899</v>
      </c>
      <c r="V104" s="154" t="s">
        <v>1562</v>
      </c>
      <c r="W104" s="154">
        <v>0</v>
      </c>
      <c r="X104" s="154" t="s">
        <v>63</v>
      </c>
      <c r="Y104" s="154" t="s">
        <v>1900</v>
      </c>
      <c r="Z104" s="154"/>
      <c r="AA104" s="154" t="s">
        <v>1387</v>
      </c>
      <c r="AB104" s="154">
        <v>0</v>
      </c>
      <c r="AC104" s="138">
        <f>IFERROR(IF(DATEDIF(#REF!,U104,"m")&lt;=1,1,IF(AND(DATEDIF(#REF!,U104,"m")&gt;1,DATEDIF(#REF!,U104,"m")&lt;12),2,IF(AND(DATEDIF(#REF!,U104,"m")&gt;=12,DATEDIF(#REF!,U104,"m")&lt;24),3,IF(DATEDIF(#REF!,U104,"m")&gt;=24,4,"")))),IF(E104="r0320 - Deposits, not covered and not preferential",1,4))</f>
        <v>4</v>
      </c>
    </row>
    <row r="105" spans="2:29" ht="36.75" thickBot="1" x14ac:dyDescent="0.3">
      <c r="C105" s="11">
        <v>999</v>
      </c>
      <c r="D105" s="154">
        <v>98</v>
      </c>
      <c r="E105" s="154" t="s">
        <v>1898</v>
      </c>
      <c r="F105" s="154" t="s">
        <v>87</v>
      </c>
      <c r="G105" s="154" t="s">
        <v>1402</v>
      </c>
      <c r="H105" s="154" t="s">
        <v>1205</v>
      </c>
      <c r="I105" s="154" t="s">
        <v>108</v>
      </c>
      <c r="J105" s="154" t="s">
        <v>90</v>
      </c>
      <c r="K105" s="154" t="s">
        <v>91</v>
      </c>
      <c r="L105" s="154" t="s">
        <v>1897</v>
      </c>
      <c r="M105" s="154" t="s">
        <v>1383</v>
      </c>
      <c r="N105" s="154" t="s">
        <v>61</v>
      </c>
      <c r="O105" s="154" t="s">
        <v>62</v>
      </c>
      <c r="P105" s="146">
        <v>0.48</v>
      </c>
      <c r="Q105" s="146">
        <v>0</v>
      </c>
      <c r="R105" s="154" t="s">
        <v>1384</v>
      </c>
      <c r="S105" s="154" t="s">
        <v>1899</v>
      </c>
      <c r="T105" s="155" t="s">
        <v>1899</v>
      </c>
      <c r="U105" s="155" t="s">
        <v>1899</v>
      </c>
      <c r="V105" s="154" t="s">
        <v>1562</v>
      </c>
      <c r="W105" s="154">
        <v>0</v>
      </c>
      <c r="X105" s="154" t="s">
        <v>63</v>
      </c>
      <c r="Y105" s="154" t="s">
        <v>1900</v>
      </c>
      <c r="Z105" s="154"/>
      <c r="AA105" s="154" t="s">
        <v>1387</v>
      </c>
      <c r="AB105" s="154">
        <v>0</v>
      </c>
      <c r="AC105" s="138">
        <f>IFERROR(IF(DATEDIF(#REF!,U105,"m")&lt;=1,1,IF(AND(DATEDIF(#REF!,U105,"m")&gt;1,DATEDIF(#REF!,U105,"m")&lt;12),2,IF(AND(DATEDIF(#REF!,U105,"m")&gt;=12,DATEDIF(#REF!,U105,"m")&lt;24),3,IF(DATEDIF(#REF!,U105,"m")&gt;=24,4,"")))),IF(E105="r0320 - Deposits, not covered and not preferential",1,4))</f>
        <v>4</v>
      </c>
    </row>
    <row r="106" spans="2:29" ht="48.75" thickBot="1" x14ac:dyDescent="0.3">
      <c r="C106" s="11">
        <v>999</v>
      </c>
      <c r="D106" s="154">
        <v>99</v>
      </c>
      <c r="E106" s="154" t="s">
        <v>1902</v>
      </c>
      <c r="F106" s="154" t="s">
        <v>83</v>
      </c>
      <c r="G106" s="154" t="s">
        <v>1903</v>
      </c>
      <c r="H106" s="154" t="s">
        <v>440</v>
      </c>
      <c r="I106" s="154" t="s">
        <v>114</v>
      </c>
      <c r="J106" s="154" t="s">
        <v>115</v>
      </c>
      <c r="K106" s="154" t="s">
        <v>60</v>
      </c>
      <c r="L106" s="154" t="s">
        <v>1897</v>
      </c>
      <c r="M106" s="154" t="s">
        <v>1388</v>
      </c>
      <c r="N106" s="154" t="s">
        <v>61</v>
      </c>
      <c r="O106" s="154" t="s">
        <v>62</v>
      </c>
      <c r="P106" s="146">
        <v>171831.04000000001</v>
      </c>
      <c r="Q106" s="146">
        <v>-8.86</v>
      </c>
      <c r="R106" s="154" t="s">
        <v>1384</v>
      </c>
      <c r="S106" s="154" t="s">
        <v>1899</v>
      </c>
      <c r="T106" s="155" t="s">
        <v>768</v>
      </c>
      <c r="U106" s="155" t="s">
        <v>1899</v>
      </c>
      <c r="V106" s="154" t="s">
        <v>1904</v>
      </c>
      <c r="W106" s="154">
        <v>0</v>
      </c>
      <c r="X106" s="154" t="s">
        <v>63</v>
      </c>
      <c r="Y106" s="154" t="s">
        <v>1386</v>
      </c>
      <c r="Z106" s="154"/>
      <c r="AA106" s="154" t="s">
        <v>1387</v>
      </c>
      <c r="AB106" s="154">
        <v>0</v>
      </c>
      <c r="AC106" s="138">
        <f>IFERROR(IF(DATEDIF(#REF!,U106,"m")&lt;=1,1,IF(AND(DATEDIF(#REF!,U106,"m")&gt;1,DATEDIF(#REF!,U106,"m")&lt;12),2,IF(AND(DATEDIF(#REF!,U106,"m")&gt;=12,DATEDIF(#REF!,U106,"m")&lt;24),3,IF(DATEDIF(#REF!,U106,"m")&gt;=24,4,"")))),IF(E106="r0320 - Deposits, not covered and not preferential",1,4))</f>
        <v>4</v>
      </c>
    </row>
    <row r="107" spans="2:29" ht="36.75" thickBot="1" x14ac:dyDescent="0.3">
      <c r="C107" s="11">
        <v>999</v>
      </c>
      <c r="D107" s="154">
        <v>100</v>
      </c>
      <c r="E107" s="154" t="s">
        <v>1898</v>
      </c>
      <c r="F107" s="154" t="s">
        <v>87</v>
      </c>
      <c r="G107" s="154" t="s">
        <v>1402</v>
      </c>
      <c r="H107" s="154" t="s">
        <v>502</v>
      </c>
      <c r="I107" s="154" t="s">
        <v>96</v>
      </c>
      <c r="J107" s="154" t="s">
        <v>97</v>
      </c>
      <c r="K107" s="154" t="s">
        <v>91</v>
      </c>
      <c r="L107" s="154" t="s">
        <v>1897</v>
      </c>
      <c r="M107" s="154" t="s">
        <v>1383</v>
      </c>
      <c r="N107" s="154" t="s">
        <v>61</v>
      </c>
      <c r="O107" s="154" t="s">
        <v>62</v>
      </c>
      <c r="P107" s="146">
        <v>0.02</v>
      </c>
      <c r="Q107" s="146">
        <v>0</v>
      </c>
      <c r="R107" s="154" t="s">
        <v>1384</v>
      </c>
      <c r="S107" s="154" t="s">
        <v>1899</v>
      </c>
      <c r="T107" s="155" t="s">
        <v>1899</v>
      </c>
      <c r="U107" s="155" t="s">
        <v>1899</v>
      </c>
      <c r="V107" s="154" t="s">
        <v>1562</v>
      </c>
      <c r="W107" s="154">
        <v>0</v>
      </c>
      <c r="X107" s="154" t="s">
        <v>63</v>
      </c>
      <c r="Y107" s="154" t="s">
        <v>1900</v>
      </c>
      <c r="Z107" s="154"/>
      <c r="AA107" s="154" t="s">
        <v>1387</v>
      </c>
      <c r="AB107" s="154">
        <v>0</v>
      </c>
      <c r="AC107" s="138">
        <f>IFERROR(IF(DATEDIF(#REF!,U107,"m")&lt;=1,1,IF(AND(DATEDIF(#REF!,U107,"m")&gt;1,DATEDIF(#REF!,U107,"m")&lt;12),2,IF(AND(DATEDIF(#REF!,U107,"m")&gt;=12,DATEDIF(#REF!,U107,"m")&lt;24),3,IF(DATEDIF(#REF!,U107,"m")&gt;=24,4,"")))),IF(E107="r0320 - Deposits, not covered and not preferential",1,4))</f>
        <v>4</v>
      </c>
    </row>
    <row r="108" spans="2:29" ht="48.75" thickBot="1" x14ac:dyDescent="0.3">
      <c r="C108" s="11">
        <v>999</v>
      </c>
      <c r="D108" s="154">
        <v>101</v>
      </c>
      <c r="E108" s="154" t="s">
        <v>1902</v>
      </c>
      <c r="F108" s="154" t="s">
        <v>83</v>
      </c>
      <c r="G108" s="154" t="s">
        <v>1903</v>
      </c>
      <c r="H108" s="154" t="s">
        <v>1189</v>
      </c>
      <c r="I108" s="154" t="s">
        <v>101</v>
      </c>
      <c r="J108" s="154" t="s">
        <v>102</v>
      </c>
      <c r="K108" s="154" t="s">
        <v>60</v>
      </c>
      <c r="L108" s="154" t="s">
        <v>1897</v>
      </c>
      <c r="M108" s="154" t="s">
        <v>1388</v>
      </c>
      <c r="N108" s="154" t="s">
        <v>61</v>
      </c>
      <c r="O108" s="154" t="s">
        <v>62</v>
      </c>
      <c r="P108" s="146">
        <v>264100716.08000001</v>
      </c>
      <c r="Q108" s="146">
        <v>71992.690000000104</v>
      </c>
      <c r="R108" s="154" t="s">
        <v>1384</v>
      </c>
      <c r="S108" s="154" t="s">
        <v>1899</v>
      </c>
      <c r="T108" s="155" t="s">
        <v>768</v>
      </c>
      <c r="U108" s="155" t="s">
        <v>1899</v>
      </c>
      <c r="V108" s="154" t="s">
        <v>1904</v>
      </c>
      <c r="W108" s="154">
        <v>0</v>
      </c>
      <c r="X108" s="154" t="s">
        <v>63</v>
      </c>
      <c r="Y108" s="154" t="s">
        <v>1386</v>
      </c>
      <c r="Z108" s="154"/>
      <c r="AA108" s="154" t="s">
        <v>1387</v>
      </c>
      <c r="AB108" s="154">
        <v>0</v>
      </c>
      <c r="AC108" s="138">
        <f>IFERROR(IF(DATEDIF(#REF!,U108,"m")&lt;=1,1,IF(AND(DATEDIF(#REF!,U108,"m")&gt;1,DATEDIF(#REF!,U108,"m")&lt;12),2,IF(AND(DATEDIF(#REF!,U108,"m")&gt;=12,DATEDIF(#REF!,U108,"m")&lt;24),3,IF(DATEDIF(#REF!,U108,"m")&gt;=24,4,"")))),IF(E108="r0320 - Deposits, not covered and not preferential",1,4))</f>
        <v>4</v>
      </c>
    </row>
    <row r="109" spans="2:29" ht="36.75" thickBot="1" x14ac:dyDescent="0.3">
      <c r="C109" s="11">
        <v>999</v>
      </c>
      <c r="D109" s="154">
        <v>102</v>
      </c>
      <c r="E109" s="154" t="s">
        <v>1898</v>
      </c>
      <c r="F109" s="154" t="s">
        <v>87</v>
      </c>
      <c r="G109" s="154" t="s">
        <v>1402</v>
      </c>
      <c r="H109" s="154" t="s">
        <v>488</v>
      </c>
      <c r="I109" s="154" t="s">
        <v>96</v>
      </c>
      <c r="J109" s="154" t="s">
        <v>97</v>
      </c>
      <c r="K109" s="154" t="s">
        <v>91</v>
      </c>
      <c r="L109" s="154" t="s">
        <v>1897</v>
      </c>
      <c r="M109" s="154" t="s">
        <v>1383</v>
      </c>
      <c r="N109" s="154" t="s">
        <v>61</v>
      </c>
      <c r="O109" s="154" t="s">
        <v>62</v>
      </c>
      <c r="P109" s="146">
        <v>0.4</v>
      </c>
      <c r="Q109" s="146">
        <v>0</v>
      </c>
      <c r="R109" s="154" t="s">
        <v>1384</v>
      </c>
      <c r="S109" s="154" t="s">
        <v>1899</v>
      </c>
      <c r="T109" s="155" t="s">
        <v>1899</v>
      </c>
      <c r="U109" s="155" t="s">
        <v>1899</v>
      </c>
      <c r="V109" s="154" t="s">
        <v>1562</v>
      </c>
      <c r="W109" s="154">
        <v>0</v>
      </c>
      <c r="X109" s="154" t="s">
        <v>63</v>
      </c>
      <c r="Y109" s="154" t="s">
        <v>1900</v>
      </c>
      <c r="Z109" s="154"/>
      <c r="AA109" s="154" t="s">
        <v>1387</v>
      </c>
      <c r="AB109" s="154">
        <v>0</v>
      </c>
      <c r="AC109" s="138">
        <f>IFERROR(IF(DATEDIF(#REF!,U109,"m")&lt;=1,1,IF(AND(DATEDIF(#REF!,U109,"m")&gt;1,DATEDIF(#REF!,U109,"m")&lt;12),2,IF(AND(DATEDIF(#REF!,U109,"m")&gt;=12,DATEDIF(#REF!,U109,"m")&lt;24),3,IF(DATEDIF(#REF!,U109,"m")&gt;=24,4,"")))),IF(E109="r0320 - Deposits, not covered and not preferential",1,4))</f>
        <v>4</v>
      </c>
    </row>
    <row r="110" spans="2:29" ht="48.75" thickBot="1" x14ac:dyDescent="0.3">
      <c r="C110" s="11">
        <v>999</v>
      </c>
      <c r="D110" s="154">
        <v>103</v>
      </c>
      <c r="E110" s="154" t="s">
        <v>1902</v>
      </c>
      <c r="F110" s="154" t="s">
        <v>83</v>
      </c>
      <c r="G110" s="154" t="s">
        <v>1903</v>
      </c>
      <c r="H110" s="154" t="s">
        <v>448</v>
      </c>
      <c r="I110" s="154" t="s">
        <v>101</v>
      </c>
      <c r="J110" s="154" t="s">
        <v>102</v>
      </c>
      <c r="K110" s="154" t="s">
        <v>60</v>
      </c>
      <c r="L110" s="154" t="s">
        <v>1897</v>
      </c>
      <c r="M110" s="154" t="s">
        <v>1388</v>
      </c>
      <c r="N110" s="154" t="s">
        <v>61</v>
      </c>
      <c r="O110" s="154" t="s">
        <v>62</v>
      </c>
      <c r="P110" s="146">
        <v>1254794.3500000001</v>
      </c>
      <c r="Q110" s="146">
        <v>551.04</v>
      </c>
      <c r="R110" s="154" t="s">
        <v>1384</v>
      </c>
      <c r="S110" s="154" t="s">
        <v>1899</v>
      </c>
      <c r="T110" s="155" t="s">
        <v>768</v>
      </c>
      <c r="U110" s="155" t="s">
        <v>1899</v>
      </c>
      <c r="V110" s="154" t="s">
        <v>1904</v>
      </c>
      <c r="W110" s="154">
        <v>0</v>
      </c>
      <c r="X110" s="154" t="s">
        <v>63</v>
      </c>
      <c r="Y110" s="154" t="s">
        <v>1386</v>
      </c>
      <c r="Z110" s="154"/>
      <c r="AA110" s="154" t="s">
        <v>1387</v>
      </c>
      <c r="AB110" s="154">
        <v>0</v>
      </c>
      <c r="AC110" s="138">
        <f>IFERROR(IF(DATEDIF(#REF!,U110,"m")&lt;=1,1,IF(AND(DATEDIF(#REF!,U110,"m")&gt;1,DATEDIF(#REF!,U110,"m")&lt;12),2,IF(AND(DATEDIF(#REF!,U110,"m")&gt;=12,DATEDIF(#REF!,U110,"m")&lt;24),3,IF(DATEDIF(#REF!,U110,"m")&gt;=24,4,"")))),IF(E110="r0320 - Deposits, not covered and not preferential",1,4))</f>
        <v>4</v>
      </c>
    </row>
    <row r="111" spans="2:29" ht="36.75" thickBot="1" x14ac:dyDescent="0.3">
      <c r="C111" s="11">
        <v>999</v>
      </c>
      <c r="D111" s="154">
        <v>104</v>
      </c>
      <c r="E111" s="154" t="s">
        <v>1898</v>
      </c>
      <c r="F111" s="154" t="s">
        <v>87</v>
      </c>
      <c r="G111" s="154" t="s">
        <v>1402</v>
      </c>
      <c r="H111" s="154" t="s">
        <v>856</v>
      </c>
      <c r="I111" s="154" t="s">
        <v>96</v>
      </c>
      <c r="J111" s="154" t="s">
        <v>97</v>
      </c>
      <c r="K111" s="154" t="s">
        <v>91</v>
      </c>
      <c r="L111" s="154" t="s">
        <v>1897</v>
      </c>
      <c r="M111" s="154" t="s">
        <v>1383</v>
      </c>
      <c r="N111" s="154" t="s">
        <v>61</v>
      </c>
      <c r="O111" s="154" t="s">
        <v>62</v>
      </c>
      <c r="P111" s="146">
        <v>106.94</v>
      </c>
      <c r="Q111" s="146">
        <v>0</v>
      </c>
      <c r="R111" s="154" t="s">
        <v>1384</v>
      </c>
      <c r="S111" s="154" t="s">
        <v>1899</v>
      </c>
      <c r="T111" s="155" t="s">
        <v>1899</v>
      </c>
      <c r="U111" s="155" t="s">
        <v>1899</v>
      </c>
      <c r="V111" s="154" t="s">
        <v>1562</v>
      </c>
      <c r="W111" s="154">
        <v>0</v>
      </c>
      <c r="X111" s="154" t="s">
        <v>63</v>
      </c>
      <c r="Y111" s="154" t="s">
        <v>1900</v>
      </c>
      <c r="Z111" s="154"/>
      <c r="AA111" s="154" t="s">
        <v>1387</v>
      </c>
      <c r="AB111" s="154">
        <v>0</v>
      </c>
      <c r="AC111" s="138">
        <f>IFERROR(IF(DATEDIF(#REF!,U111,"m")&lt;=1,1,IF(AND(DATEDIF(#REF!,U111,"m")&gt;1,DATEDIF(#REF!,U111,"m")&lt;12),2,IF(AND(DATEDIF(#REF!,U111,"m")&gt;=12,DATEDIF(#REF!,U111,"m")&lt;24),3,IF(DATEDIF(#REF!,U111,"m")&gt;=24,4,"")))),IF(E111="r0320 - Deposits, not covered and not preferential",1,4))</f>
        <v>4</v>
      </c>
    </row>
    <row r="112" spans="2:29" ht="48.75" thickBot="1" x14ac:dyDescent="0.3">
      <c r="C112" s="11">
        <v>999</v>
      </c>
      <c r="D112" s="154">
        <v>105</v>
      </c>
      <c r="E112" s="154" t="s">
        <v>1902</v>
      </c>
      <c r="F112" s="154" t="s">
        <v>83</v>
      </c>
      <c r="G112" s="154" t="s">
        <v>1903</v>
      </c>
      <c r="H112" s="154" t="s">
        <v>188</v>
      </c>
      <c r="I112" s="154" t="s">
        <v>93</v>
      </c>
      <c r="J112" s="154" t="s">
        <v>94</v>
      </c>
      <c r="K112" s="154" t="s">
        <v>60</v>
      </c>
      <c r="L112" s="154" t="s">
        <v>1897</v>
      </c>
      <c r="M112" s="154" t="s">
        <v>1388</v>
      </c>
      <c r="N112" s="154" t="s">
        <v>61</v>
      </c>
      <c r="O112" s="154" t="s">
        <v>62</v>
      </c>
      <c r="P112" s="146">
        <v>256105.75</v>
      </c>
      <c r="Q112" s="146">
        <v>179.24</v>
      </c>
      <c r="R112" s="154" t="s">
        <v>1384</v>
      </c>
      <c r="S112" s="154" t="s">
        <v>1899</v>
      </c>
      <c r="T112" s="155" t="s">
        <v>768</v>
      </c>
      <c r="U112" s="155" t="s">
        <v>1899</v>
      </c>
      <c r="V112" s="154" t="s">
        <v>1904</v>
      </c>
      <c r="W112" s="154">
        <v>0</v>
      </c>
      <c r="X112" s="154" t="s">
        <v>63</v>
      </c>
      <c r="Y112" s="154" t="s">
        <v>1386</v>
      </c>
      <c r="Z112" s="154"/>
      <c r="AA112" s="154" t="s">
        <v>1387</v>
      </c>
      <c r="AB112" s="154">
        <v>0</v>
      </c>
      <c r="AC112" s="138">
        <f>IFERROR(IF(DATEDIF(#REF!,U112,"m")&lt;=1,1,IF(AND(DATEDIF(#REF!,U112,"m")&gt;1,DATEDIF(#REF!,U112,"m")&lt;12),2,IF(AND(DATEDIF(#REF!,U112,"m")&gt;=12,DATEDIF(#REF!,U112,"m")&lt;24),3,IF(DATEDIF(#REF!,U112,"m")&gt;=24,4,"")))),IF(E112="r0320 - Deposits, not covered and not preferential",1,4))</f>
        <v>4</v>
      </c>
    </row>
    <row r="113" spans="3:29" ht="36.75" thickBot="1" x14ac:dyDescent="0.3">
      <c r="C113" s="11">
        <v>999</v>
      </c>
      <c r="D113" s="154">
        <v>106</v>
      </c>
      <c r="E113" s="154" t="s">
        <v>1898</v>
      </c>
      <c r="F113" s="154" t="s">
        <v>87</v>
      </c>
      <c r="G113" s="154" t="s">
        <v>1402</v>
      </c>
      <c r="H113" s="154" t="s">
        <v>1251</v>
      </c>
      <c r="I113" s="154" t="s">
        <v>96</v>
      </c>
      <c r="J113" s="154" t="s">
        <v>97</v>
      </c>
      <c r="K113" s="154" t="s">
        <v>91</v>
      </c>
      <c r="L113" s="154" t="s">
        <v>1897</v>
      </c>
      <c r="M113" s="154" t="s">
        <v>1383</v>
      </c>
      <c r="N113" s="154" t="s">
        <v>61</v>
      </c>
      <c r="O113" s="154" t="s">
        <v>62</v>
      </c>
      <c r="P113" s="146">
        <v>100.94</v>
      </c>
      <c r="Q113" s="146">
        <v>0</v>
      </c>
      <c r="R113" s="154" t="s">
        <v>1384</v>
      </c>
      <c r="S113" s="154" t="s">
        <v>1899</v>
      </c>
      <c r="T113" s="155" t="s">
        <v>1899</v>
      </c>
      <c r="U113" s="155" t="s">
        <v>1899</v>
      </c>
      <c r="V113" s="154" t="s">
        <v>1562</v>
      </c>
      <c r="W113" s="154">
        <v>0</v>
      </c>
      <c r="X113" s="154" t="s">
        <v>63</v>
      </c>
      <c r="Y113" s="154" t="s">
        <v>1900</v>
      </c>
      <c r="Z113" s="154"/>
      <c r="AA113" s="154" t="s">
        <v>1387</v>
      </c>
      <c r="AB113" s="154">
        <v>0</v>
      </c>
      <c r="AC113" s="138">
        <f>IFERROR(IF(DATEDIF(#REF!,U113,"m")&lt;=1,1,IF(AND(DATEDIF(#REF!,U113,"m")&gt;1,DATEDIF(#REF!,U113,"m")&lt;12),2,IF(AND(DATEDIF(#REF!,U113,"m")&gt;=12,DATEDIF(#REF!,U113,"m")&lt;24),3,IF(DATEDIF(#REF!,U113,"m")&gt;=24,4,"")))),IF(E113="r0320 - Deposits, not covered and not preferential",1,4))</f>
        <v>4</v>
      </c>
    </row>
    <row r="114" spans="3:29" ht="48.75" thickBot="1" x14ac:dyDescent="0.3">
      <c r="C114" s="11">
        <v>999</v>
      </c>
      <c r="D114" s="154">
        <v>107</v>
      </c>
      <c r="E114" s="154" t="s">
        <v>1902</v>
      </c>
      <c r="F114" s="154" t="s">
        <v>83</v>
      </c>
      <c r="G114" s="154" t="s">
        <v>1903</v>
      </c>
      <c r="H114" s="154" t="s">
        <v>770</v>
      </c>
      <c r="I114" s="154" t="s">
        <v>114</v>
      </c>
      <c r="J114" s="154" t="s">
        <v>115</v>
      </c>
      <c r="K114" s="154" t="s">
        <v>60</v>
      </c>
      <c r="L114" s="154" t="s">
        <v>1897</v>
      </c>
      <c r="M114" s="154" t="s">
        <v>1388</v>
      </c>
      <c r="N114" s="154" t="s">
        <v>61</v>
      </c>
      <c r="O114" s="154" t="s">
        <v>62</v>
      </c>
      <c r="P114" s="146">
        <v>71671.789999999994</v>
      </c>
      <c r="Q114" s="146">
        <v>5.69</v>
      </c>
      <c r="R114" s="154" t="s">
        <v>1384</v>
      </c>
      <c r="S114" s="154" t="s">
        <v>1899</v>
      </c>
      <c r="T114" s="155" t="s">
        <v>768</v>
      </c>
      <c r="U114" s="155" t="s">
        <v>1899</v>
      </c>
      <c r="V114" s="154" t="s">
        <v>1904</v>
      </c>
      <c r="W114" s="154">
        <v>0</v>
      </c>
      <c r="X114" s="154" t="s">
        <v>63</v>
      </c>
      <c r="Y114" s="154" t="s">
        <v>1386</v>
      </c>
      <c r="Z114" s="154"/>
      <c r="AA114" s="154" t="s">
        <v>1387</v>
      </c>
      <c r="AB114" s="154">
        <v>0</v>
      </c>
      <c r="AC114" s="138">
        <f>IFERROR(IF(DATEDIF(#REF!,U114,"m")&lt;=1,1,IF(AND(DATEDIF(#REF!,U114,"m")&gt;1,DATEDIF(#REF!,U114,"m")&lt;12),2,IF(AND(DATEDIF(#REF!,U114,"m")&gt;=12,DATEDIF(#REF!,U114,"m")&lt;24),3,IF(DATEDIF(#REF!,U114,"m")&gt;=24,4,"")))),IF(E114="r0320 - Deposits, not covered and not preferential",1,4))</f>
        <v>4</v>
      </c>
    </row>
    <row r="115" spans="3:29" ht="36.75" thickBot="1" x14ac:dyDescent="0.3">
      <c r="C115" s="11">
        <v>999</v>
      </c>
      <c r="D115" s="154">
        <v>108</v>
      </c>
      <c r="E115" s="154" t="s">
        <v>1898</v>
      </c>
      <c r="F115" s="154" t="s">
        <v>87</v>
      </c>
      <c r="G115" s="154" t="s">
        <v>1402</v>
      </c>
      <c r="H115" s="154" t="s">
        <v>1265</v>
      </c>
      <c r="I115" s="154" t="s">
        <v>96</v>
      </c>
      <c r="J115" s="154" t="s">
        <v>97</v>
      </c>
      <c r="K115" s="154" t="s">
        <v>91</v>
      </c>
      <c r="L115" s="154" t="s">
        <v>1897</v>
      </c>
      <c r="M115" s="154" t="s">
        <v>1383</v>
      </c>
      <c r="N115" s="154" t="s">
        <v>61</v>
      </c>
      <c r="O115" s="154" t="s">
        <v>62</v>
      </c>
      <c r="P115" s="146">
        <v>0.39</v>
      </c>
      <c r="Q115" s="146">
        <v>0</v>
      </c>
      <c r="R115" s="154" t="s">
        <v>1384</v>
      </c>
      <c r="S115" s="154" t="s">
        <v>1899</v>
      </c>
      <c r="T115" s="155" t="s">
        <v>1899</v>
      </c>
      <c r="U115" s="155" t="s">
        <v>1899</v>
      </c>
      <c r="V115" s="154" t="s">
        <v>1562</v>
      </c>
      <c r="W115" s="154">
        <v>0</v>
      </c>
      <c r="X115" s="154" t="s">
        <v>63</v>
      </c>
      <c r="Y115" s="154" t="s">
        <v>1900</v>
      </c>
      <c r="Z115" s="154"/>
      <c r="AA115" s="154" t="s">
        <v>1387</v>
      </c>
      <c r="AB115" s="154">
        <v>0</v>
      </c>
      <c r="AC115" s="138">
        <f>IFERROR(IF(DATEDIF(#REF!,U115,"m")&lt;=1,1,IF(AND(DATEDIF(#REF!,U115,"m")&gt;1,DATEDIF(#REF!,U115,"m")&lt;12),2,IF(AND(DATEDIF(#REF!,U115,"m")&gt;=12,DATEDIF(#REF!,U115,"m")&lt;24),3,IF(DATEDIF(#REF!,U115,"m")&gt;=24,4,"")))),IF(E115="r0320 - Deposits, not covered and not preferential",1,4))</f>
        <v>4</v>
      </c>
    </row>
    <row r="116" spans="3:29" ht="36.75" thickBot="1" x14ac:dyDescent="0.3">
      <c r="C116" s="11">
        <v>999</v>
      </c>
      <c r="D116" s="154">
        <v>109</v>
      </c>
      <c r="E116" s="154" t="s">
        <v>1898</v>
      </c>
      <c r="F116" s="154" t="s">
        <v>87</v>
      </c>
      <c r="G116" s="154" t="s">
        <v>1402</v>
      </c>
      <c r="H116" s="154" t="s">
        <v>733</v>
      </c>
      <c r="I116" s="154" t="s">
        <v>108</v>
      </c>
      <c r="J116" s="154" t="s">
        <v>90</v>
      </c>
      <c r="K116" s="154" t="s">
        <v>91</v>
      </c>
      <c r="L116" s="154" t="s">
        <v>1897</v>
      </c>
      <c r="M116" s="154" t="s">
        <v>1383</v>
      </c>
      <c r="N116" s="154" t="s">
        <v>61</v>
      </c>
      <c r="O116" s="154" t="s">
        <v>62</v>
      </c>
      <c r="P116" s="146">
        <v>0.4</v>
      </c>
      <c r="Q116" s="146">
        <v>0</v>
      </c>
      <c r="R116" s="154" t="s">
        <v>1384</v>
      </c>
      <c r="S116" s="154" t="s">
        <v>1899</v>
      </c>
      <c r="T116" s="155" t="s">
        <v>1899</v>
      </c>
      <c r="U116" s="155" t="s">
        <v>1899</v>
      </c>
      <c r="V116" s="154" t="s">
        <v>1562</v>
      </c>
      <c r="W116" s="154">
        <v>0</v>
      </c>
      <c r="X116" s="154" t="s">
        <v>63</v>
      </c>
      <c r="Y116" s="154" t="s">
        <v>1900</v>
      </c>
      <c r="Z116" s="154"/>
      <c r="AA116" s="154" t="s">
        <v>1387</v>
      </c>
      <c r="AB116" s="154">
        <v>0</v>
      </c>
      <c r="AC116" s="138">
        <f>IFERROR(IF(DATEDIF(#REF!,U116,"m")&lt;=1,1,IF(AND(DATEDIF(#REF!,U116,"m")&gt;1,DATEDIF(#REF!,U116,"m")&lt;12),2,IF(AND(DATEDIF(#REF!,U116,"m")&gt;=12,DATEDIF(#REF!,U116,"m")&lt;24),3,IF(DATEDIF(#REF!,U116,"m")&gt;=24,4,"")))),IF(E116="r0320 - Deposits, not covered and not preferential",1,4))</f>
        <v>4</v>
      </c>
    </row>
    <row r="117" spans="3:29" ht="48.75" thickBot="1" x14ac:dyDescent="0.3">
      <c r="C117" s="11">
        <v>999</v>
      </c>
      <c r="D117" s="154">
        <v>110</v>
      </c>
      <c r="E117" s="154" t="s">
        <v>1902</v>
      </c>
      <c r="F117" s="154" t="s">
        <v>83</v>
      </c>
      <c r="G117" s="154" t="s">
        <v>1903</v>
      </c>
      <c r="H117" s="154" t="s">
        <v>478</v>
      </c>
      <c r="I117" s="154" t="s">
        <v>101</v>
      </c>
      <c r="J117" s="154" t="s">
        <v>102</v>
      </c>
      <c r="K117" s="154" t="s">
        <v>60</v>
      </c>
      <c r="L117" s="154" t="s">
        <v>1897</v>
      </c>
      <c r="M117" s="154" t="s">
        <v>1388</v>
      </c>
      <c r="N117" s="154" t="s">
        <v>61</v>
      </c>
      <c r="O117" s="154" t="s">
        <v>62</v>
      </c>
      <c r="P117" s="146">
        <v>208349.99</v>
      </c>
      <c r="Q117" s="146">
        <v>59.53</v>
      </c>
      <c r="R117" s="154" t="s">
        <v>1384</v>
      </c>
      <c r="S117" s="154" t="s">
        <v>1899</v>
      </c>
      <c r="T117" s="155" t="s">
        <v>768</v>
      </c>
      <c r="U117" s="155" t="s">
        <v>1899</v>
      </c>
      <c r="V117" s="154" t="s">
        <v>1904</v>
      </c>
      <c r="W117" s="154">
        <v>0</v>
      </c>
      <c r="X117" s="154" t="s">
        <v>63</v>
      </c>
      <c r="Y117" s="154" t="s">
        <v>1386</v>
      </c>
      <c r="Z117" s="154"/>
      <c r="AA117" s="154" t="s">
        <v>1387</v>
      </c>
      <c r="AB117" s="154">
        <v>0</v>
      </c>
      <c r="AC117" s="138">
        <f>IFERROR(IF(DATEDIF(#REF!,U117,"m")&lt;=1,1,IF(AND(DATEDIF(#REF!,U117,"m")&gt;1,DATEDIF(#REF!,U117,"m")&lt;12),2,IF(AND(DATEDIF(#REF!,U117,"m")&gt;=12,DATEDIF(#REF!,U117,"m")&lt;24),3,IF(DATEDIF(#REF!,U117,"m")&gt;=24,4,"")))),IF(E117="r0320 - Deposits, not covered and not preferential",1,4))</f>
        <v>4</v>
      </c>
    </row>
    <row r="118" spans="3:29" ht="48.75" thickBot="1" x14ac:dyDescent="0.3">
      <c r="C118" s="11">
        <v>999</v>
      </c>
      <c r="D118" s="154">
        <v>111</v>
      </c>
      <c r="E118" s="154" t="s">
        <v>1902</v>
      </c>
      <c r="F118" s="154" t="s">
        <v>83</v>
      </c>
      <c r="G118" s="154" t="s">
        <v>1903</v>
      </c>
      <c r="H118" s="154" t="s">
        <v>299</v>
      </c>
      <c r="I118" s="154" t="s">
        <v>101</v>
      </c>
      <c r="J118" s="154" t="s">
        <v>102</v>
      </c>
      <c r="K118" s="154" t="s">
        <v>60</v>
      </c>
      <c r="L118" s="154" t="s">
        <v>1897</v>
      </c>
      <c r="M118" s="154" t="s">
        <v>1388</v>
      </c>
      <c r="N118" s="154" t="s">
        <v>61</v>
      </c>
      <c r="O118" s="154" t="s">
        <v>62</v>
      </c>
      <c r="P118" s="146">
        <v>199642.11</v>
      </c>
      <c r="Q118" s="146">
        <v>60.17</v>
      </c>
      <c r="R118" s="154" t="s">
        <v>1384</v>
      </c>
      <c r="S118" s="154" t="s">
        <v>1899</v>
      </c>
      <c r="T118" s="155" t="s">
        <v>768</v>
      </c>
      <c r="U118" s="155" t="s">
        <v>1899</v>
      </c>
      <c r="V118" s="154" t="s">
        <v>1904</v>
      </c>
      <c r="W118" s="154">
        <v>0</v>
      </c>
      <c r="X118" s="154" t="s">
        <v>63</v>
      </c>
      <c r="Y118" s="154" t="s">
        <v>1386</v>
      </c>
      <c r="Z118" s="154"/>
      <c r="AA118" s="154" t="s">
        <v>1387</v>
      </c>
      <c r="AB118" s="154">
        <v>0</v>
      </c>
      <c r="AC118" s="138">
        <f>IFERROR(IF(DATEDIF(#REF!,U118,"m")&lt;=1,1,IF(AND(DATEDIF(#REF!,U118,"m")&gt;1,DATEDIF(#REF!,U118,"m")&lt;12),2,IF(AND(DATEDIF(#REF!,U118,"m")&gt;=12,DATEDIF(#REF!,U118,"m")&lt;24),3,IF(DATEDIF(#REF!,U118,"m")&gt;=24,4,"")))),IF(E118="r0320 - Deposits, not covered and not preferential",1,4))</f>
        <v>4</v>
      </c>
    </row>
    <row r="119" spans="3:29" ht="36.75" thickBot="1" x14ac:dyDescent="0.3">
      <c r="C119" s="11">
        <v>999</v>
      </c>
      <c r="D119" s="154">
        <v>112</v>
      </c>
      <c r="E119" s="154" t="s">
        <v>1898</v>
      </c>
      <c r="F119" s="154" t="s">
        <v>87</v>
      </c>
      <c r="G119" s="154" t="s">
        <v>1402</v>
      </c>
      <c r="H119" s="154" t="s">
        <v>754</v>
      </c>
      <c r="I119" s="154" t="s">
        <v>96</v>
      </c>
      <c r="J119" s="154" t="s">
        <v>97</v>
      </c>
      <c r="K119" s="154" t="s">
        <v>91</v>
      </c>
      <c r="L119" s="154" t="s">
        <v>1897</v>
      </c>
      <c r="M119" s="154" t="s">
        <v>1383</v>
      </c>
      <c r="N119" s="154" t="s">
        <v>61</v>
      </c>
      <c r="O119" s="154" t="s">
        <v>62</v>
      </c>
      <c r="P119" s="146">
        <v>30</v>
      </c>
      <c r="Q119" s="146">
        <v>0</v>
      </c>
      <c r="R119" s="154" t="s">
        <v>1384</v>
      </c>
      <c r="S119" s="154" t="s">
        <v>1899</v>
      </c>
      <c r="T119" s="155" t="s">
        <v>1899</v>
      </c>
      <c r="U119" s="155" t="s">
        <v>1899</v>
      </c>
      <c r="V119" s="154" t="s">
        <v>1562</v>
      </c>
      <c r="W119" s="154">
        <v>0</v>
      </c>
      <c r="X119" s="154" t="s">
        <v>63</v>
      </c>
      <c r="Y119" s="154" t="s">
        <v>1900</v>
      </c>
      <c r="Z119" s="154"/>
      <c r="AA119" s="154" t="s">
        <v>1387</v>
      </c>
      <c r="AB119" s="154">
        <v>0</v>
      </c>
      <c r="AC119" s="138">
        <f>IFERROR(IF(DATEDIF(#REF!,U119,"m")&lt;=1,1,IF(AND(DATEDIF(#REF!,U119,"m")&gt;1,DATEDIF(#REF!,U119,"m")&lt;12),2,IF(AND(DATEDIF(#REF!,U119,"m")&gt;=12,DATEDIF(#REF!,U119,"m")&lt;24),3,IF(DATEDIF(#REF!,U119,"m")&gt;=24,4,"")))),IF(E119="r0320 - Deposits, not covered and not preferential",1,4))</f>
        <v>4</v>
      </c>
    </row>
    <row r="120" spans="3:29" ht="48.75" thickBot="1" x14ac:dyDescent="0.3">
      <c r="C120" s="11">
        <v>999</v>
      </c>
      <c r="D120" s="154">
        <v>113</v>
      </c>
      <c r="E120" s="154" t="s">
        <v>1902</v>
      </c>
      <c r="F120" s="154" t="s">
        <v>83</v>
      </c>
      <c r="G120" s="154" t="s">
        <v>1903</v>
      </c>
      <c r="H120" s="154" t="s">
        <v>148</v>
      </c>
      <c r="I120" s="154" t="s">
        <v>101</v>
      </c>
      <c r="J120" s="154" t="s">
        <v>102</v>
      </c>
      <c r="K120" s="154" t="s">
        <v>60</v>
      </c>
      <c r="L120" s="154" t="s">
        <v>1897</v>
      </c>
      <c r="M120" s="154" t="s">
        <v>1388</v>
      </c>
      <c r="N120" s="154" t="s">
        <v>61</v>
      </c>
      <c r="O120" s="154" t="s">
        <v>62</v>
      </c>
      <c r="P120" s="146">
        <v>141212.82</v>
      </c>
      <c r="Q120" s="146">
        <v>83.35</v>
      </c>
      <c r="R120" s="154" t="s">
        <v>1384</v>
      </c>
      <c r="S120" s="154" t="s">
        <v>1899</v>
      </c>
      <c r="T120" s="155" t="s">
        <v>768</v>
      </c>
      <c r="U120" s="155" t="s">
        <v>1899</v>
      </c>
      <c r="V120" s="154" t="s">
        <v>1904</v>
      </c>
      <c r="W120" s="154">
        <v>0</v>
      </c>
      <c r="X120" s="154" t="s">
        <v>63</v>
      </c>
      <c r="Y120" s="154" t="s">
        <v>1386</v>
      </c>
      <c r="Z120" s="154"/>
      <c r="AA120" s="154" t="s">
        <v>1387</v>
      </c>
      <c r="AB120" s="154">
        <v>0</v>
      </c>
      <c r="AC120" s="138">
        <f>IFERROR(IF(DATEDIF(#REF!,U120,"m")&lt;=1,1,IF(AND(DATEDIF(#REF!,U120,"m")&gt;1,DATEDIF(#REF!,U120,"m")&lt;12),2,IF(AND(DATEDIF(#REF!,U120,"m")&gt;=12,DATEDIF(#REF!,U120,"m")&lt;24),3,IF(DATEDIF(#REF!,U120,"m")&gt;=24,4,"")))),IF(E120="r0320 - Deposits, not covered and not preferential",1,4))</f>
        <v>4</v>
      </c>
    </row>
    <row r="121" spans="3:29" ht="36.75" thickBot="1" x14ac:dyDescent="0.3">
      <c r="C121" s="11">
        <v>999</v>
      </c>
      <c r="D121" s="154">
        <v>114</v>
      </c>
      <c r="E121" s="154" t="s">
        <v>1898</v>
      </c>
      <c r="F121" s="154" t="s">
        <v>87</v>
      </c>
      <c r="G121" s="154" t="s">
        <v>1402</v>
      </c>
      <c r="H121" s="154" t="s">
        <v>825</v>
      </c>
      <c r="I121" s="154" t="s">
        <v>96</v>
      </c>
      <c r="J121" s="154" t="s">
        <v>97</v>
      </c>
      <c r="K121" s="154" t="s">
        <v>91</v>
      </c>
      <c r="L121" s="154" t="s">
        <v>1897</v>
      </c>
      <c r="M121" s="154" t="s">
        <v>1383</v>
      </c>
      <c r="N121" s="154" t="s">
        <v>61</v>
      </c>
      <c r="O121" s="154" t="s">
        <v>62</v>
      </c>
      <c r="P121" s="146">
        <v>2.5299999999999998</v>
      </c>
      <c r="Q121" s="146">
        <v>0</v>
      </c>
      <c r="R121" s="154" t="s">
        <v>1384</v>
      </c>
      <c r="S121" s="154" t="s">
        <v>1899</v>
      </c>
      <c r="T121" s="155" t="s">
        <v>1899</v>
      </c>
      <c r="U121" s="155" t="s">
        <v>1899</v>
      </c>
      <c r="V121" s="154" t="s">
        <v>1562</v>
      </c>
      <c r="W121" s="154">
        <v>0</v>
      </c>
      <c r="X121" s="154" t="s">
        <v>63</v>
      </c>
      <c r="Y121" s="154" t="s">
        <v>1900</v>
      </c>
      <c r="Z121" s="154"/>
      <c r="AA121" s="154" t="s">
        <v>1387</v>
      </c>
      <c r="AB121" s="154">
        <v>0</v>
      </c>
      <c r="AC121" s="138">
        <f>IFERROR(IF(DATEDIF(#REF!,U121,"m")&lt;=1,1,IF(AND(DATEDIF(#REF!,U121,"m")&gt;1,DATEDIF(#REF!,U121,"m")&lt;12),2,IF(AND(DATEDIF(#REF!,U121,"m")&gt;=12,DATEDIF(#REF!,U121,"m")&lt;24),3,IF(DATEDIF(#REF!,U121,"m")&gt;=24,4,"")))),IF(E121="r0320 - Deposits, not covered and not preferential",1,4))</f>
        <v>4</v>
      </c>
    </row>
    <row r="122" spans="3:29" ht="48.75" thickBot="1" x14ac:dyDescent="0.3">
      <c r="C122" s="11">
        <v>999</v>
      </c>
      <c r="D122" s="154">
        <v>115</v>
      </c>
      <c r="E122" s="154" t="s">
        <v>1902</v>
      </c>
      <c r="F122" s="154" t="s">
        <v>83</v>
      </c>
      <c r="G122" s="154" t="s">
        <v>1903</v>
      </c>
      <c r="H122" s="154" t="s">
        <v>199</v>
      </c>
      <c r="I122" s="154" t="s">
        <v>93</v>
      </c>
      <c r="J122" s="154" t="s">
        <v>94</v>
      </c>
      <c r="K122" s="154" t="s">
        <v>60</v>
      </c>
      <c r="L122" s="154" t="s">
        <v>1897</v>
      </c>
      <c r="M122" s="154" t="s">
        <v>1388</v>
      </c>
      <c r="N122" s="154" t="s">
        <v>61</v>
      </c>
      <c r="O122" s="154" t="s">
        <v>62</v>
      </c>
      <c r="P122" s="146">
        <v>46647.98</v>
      </c>
      <c r="Q122" s="146">
        <v>29.05</v>
      </c>
      <c r="R122" s="154" t="s">
        <v>1384</v>
      </c>
      <c r="S122" s="154" t="s">
        <v>1899</v>
      </c>
      <c r="T122" s="155" t="s">
        <v>768</v>
      </c>
      <c r="U122" s="155" t="s">
        <v>1899</v>
      </c>
      <c r="V122" s="154" t="s">
        <v>1904</v>
      </c>
      <c r="W122" s="154">
        <v>0</v>
      </c>
      <c r="X122" s="154" t="s">
        <v>63</v>
      </c>
      <c r="Y122" s="154" t="s">
        <v>1386</v>
      </c>
      <c r="Z122" s="154"/>
      <c r="AA122" s="154" t="s">
        <v>1387</v>
      </c>
      <c r="AB122" s="154">
        <v>0</v>
      </c>
      <c r="AC122" s="138">
        <f>IFERROR(IF(DATEDIF(#REF!,U122,"m")&lt;=1,1,IF(AND(DATEDIF(#REF!,U122,"m")&gt;1,DATEDIF(#REF!,U122,"m")&lt;12),2,IF(AND(DATEDIF(#REF!,U122,"m")&gt;=12,DATEDIF(#REF!,U122,"m")&lt;24),3,IF(DATEDIF(#REF!,U122,"m")&gt;=24,4,"")))),IF(E122="r0320 - Deposits, not covered and not preferential",1,4))</f>
        <v>4</v>
      </c>
    </row>
    <row r="123" spans="3:29" ht="36.75" thickBot="1" x14ac:dyDescent="0.3">
      <c r="C123" s="11">
        <v>999</v>
      </c>
      <c r="D123" s="154">
        <v>116</v>
      </c>
      <c r="E123" s="154" t="s">
        <v>1898</v>
      </c>
      <c r="F123" s="154" t="s">
        <v>87</v>
      </c>
      <c r="G123" s="154" t="s">
        <v>1402</v>
      </c>
      <c r="H123" s="154" t="s">
        <v>1299</v>
      </c>
      <c r="I123" s="154" t="s">
        <v>108</v>
      </c>
      <c r="J123" s="154" t="s">
        <v>90</v>
      </c>
      <c r="K123" s="154" t="s">
        <v>91</v>
      </c>
      <c r="L123" s="154" t="s">
        <v>1897</v>
      </c>
      <c r="M123" s="154" t="s">
        <v>1383</v>
      </c>
      <c r="N123" s="154" t="s">
        <v>61</v>
      </c>
      <c r="O123" s="154" t="s">
        <v>62</v>
      </c>
      <c r="P123" s="146">
        <v>1.74</v>
      </c>
      <c r="Q123" s="146">
        <v>0</v>
      </c>
      <c r="R123" s="154" t="s">
        <v>1384</v>
      </c>
      <c r="S123" s="154" t="s">
        <v>1899</v>
      </c>
      <c r="T123" s="155" t="s">
        <v>1899</v>
      </c>
      <c r="U123" s="155" t="s">
        <v>1899</v>
      </c>
      <c r="V123" s="154" t="s">
        <v>1562</v>
      </c>
      <c r="W123" s="154">
        <v>0</v>
      </c>
      <c r="X123" s="154" t="s">
        <v>63</v>
      </c>
      <c r="Y123" s="154" t="s">
        <v>1900</v>
      </c>
      <c r="Z123" s="154"/>
      <c r="AA123" s="154" t="s">
        <v>1387</v>
      </c>
      <c r="AB123" s="154">
        <v>0</v>
      </c>
      <c r="AC123" s="138">
        <f>IFERROR(IF(DATEDIF(#REF!,U123,"m")&lt;=1,1,IF(AND(DATEDIF(#REF!,U123,"m")&gt;1,DATEDIF(#REF!,U123,"m")&lt;12),2,IF(AND(DATEDIF(#REF!,U123,"m")&gt;=12,DATEDIF(#REF!,U123,"m")&lt;24),3,IF(DATEDIF(#REF!,U123,"m")&gt;=24,4,"")))),IF(E123="r0320 - Deposits, not covered and not preferential",1,4))</f>
        <v>4</v>
      </c>
    </row>
    <row r="124" spans="3:29" ht="48.75" thickBot="1" x14ac:dyDescent="0.3">
      <c r="C124" s="11">
        <v>999</v>
      </c>
      <c r="D124" s="154">
        <v>117</v>
      </c>
      <c r="E124" s="154" t="s">
        <v>1902</v>
      </c>
      <c r="F124" s="154" t="s">
        <v>83</v>
      </c>
      <c r="G124" s="154" t="s">
        <v>1903</v>
      </c>
      <c r="H124" s="154" t="s">
        <v>804</v>
      </c>
      <c r="I124" s="154" t="s">
        <v>101</v>
      </c>
      <c r="J124" s="154" t="s">
        <v>102</v>
      </c>
      <c r="K124" s="154" t="s">
        <v>60</v>
      </c>
      <c r="L124" s="154" t="s">
        <v>1897</v>
      </c>
      <c r="M124" s="154" t="s">
        <v>1388</v>
      </c>
      <c r="N124" s="154" t="s">
        <v>61</v>
      </c>
      <c r="O124" s="154" t="s">
        <v>62</v>
      </c>
      <c r="P124" s="146">
        <v>1238532.42</v>
      </c>
      <c r="Q124" s="146">
        <v>382.39</v>
      </c>
      <c r="R124" s="154" t="s">
        <v>1384</v>
      </c>
      <c r="S124" s="154" t="s">
        <v>1899</v>
      </c>
      <c r="T124" s="155" t="s">
        <v>768</v>
      </c>
      <c r="U124" s="155" t="s">
        <v>1899</v>
      </c>
      <c r="V124" s="154" t="s">
        <v>1904</v>
      </c>
      <c r="W124" s="154">
        <v>0</v>
      </c>
      <c r="X124" s="154" t="s">
        <v>63</v>
      </c>
      <c r="Y124" s="154" t="s">
        <v>1386</v>
      </c>
      <c r="Z124" s="154"/>
      <c r="AA124" s="154" t="s">
        <v>1387</v>
      </c>
      <c r="AB124" s="154">
        <v>0</v>
      </c>
      <c r="AC124" s="138">
        <f>IFERROR(IF(DATEDIF(#REF!,U124,"m")&lt;=1,1,IF(AND(DATEDIF(#REF!,U124,"m")&gt;1,DATEDIF(#REF!,U124,"m")&lt;12),2,IF(AND(DATEDIF(#REF!,U124,"m")&gt;=12,DATEDIF(#REF!,U124,"m")&lt;24),3,IF(DATEDIF(#REF!,U124,"m")&gt;=24,4,"")))),IF(E124="r0320 - Deposits, not covered and not preferential",1,4))</f>
        <v>4</v>
      </c>
    </row>
    <row r="125" spans="3:29" ht="36.75" thickBot="1" x14ac:dyDescent="0.3">
      <c r="C125" s="11">
        <v>999</v>
      </c>
      <c r="D125" s="154">
        <v>118</v>
      </c>
      <c r="E125" s="154" t="s">
        <v>1898</v>
      </c>
      <c r="F125" s="154" t="s">
        <v>87</v>
      </c>
      <c r="G125" s="154" t="s">
        <v>1402</v>
      </c>
      <c r="H125" s="154" t="s">
        <v>1311</v>
      </c>
      <c r="I125" s="154" t="s">
        <v>108</v>
      </c>
      <c r="J125" s="154" t="s">
        <v>90</v>
      </c>
      <c r="K125" s="154" t="s">
        <v>91</v>
      </c>
      <c r="L125" s="154" t="s">
        <v>1897</v>
      </c>
      <c r="M125" s="154" t="s">
        <v>1383</v>
      </c>
      <c r="N125" s="154" t="s">
        <v>61</v>
      </c>
      <c r="O125" s="154" t="s">
        <v>62</v>
      </c>
      <c r="P125" s="146">
        <v>0.55000000000000004</v>
      </c>
      <c r="Q125" s="146">
        <v>0</v>
      </c>
      <c r="R125" s="154" t="s">
        <v>1384</v>
      </c>
      <c r="S125" s="154" t="s">
        <v>1899</v>
      </c>
      <c r="T125" s="155" t="s">
        <v>1899</v>
      </c>
      <c r="U125" s="155" t="s">
        <v>1899</v>
      </c>
      <c r="V125" s="154" t="s">
        <v>1562</v>
      </c>
      <c r="W125" s="154">
        <v>0</v>
      </c>
      <c r="X125" s="154" t="s">
        <v>63</v>
      </c>
      <c r="Y125" s="154" t="s">
        <v>1900</v>
      </c>
      <c r="Z125" s="154"/>
      <c r="AA125" s="154" t="s">
        <v>1387</v>
      </c>
      <c r="AB125" s="154">
        <v>0</v>
      </c>
      <c r="AC125" s="138">
        <f>IFERROR(IF(DATEDIF(#REF!,U125,"m")&lt;=1,1,IF(AND(DATEDIF(#REF!,U125,"m")&gt;1,DATEDIF(#REF!,U125,"m")&lt;12),2,IF(AND(DATEDIF(#REF!,U125,"m")&gt;=12,DATEDIF(#REF!,U125,"m")&lt;24),3,IF(DATEDIF(#REF!,U125,"m")&gt;=24,4,"")))),IF(E125="r0320 - Deposits, not covered and not preferential",1,4))</f>
        <v>4</v>
      </c>
    </row>
    <row r="126" spans="3:29" ht="48.75" thickBot="1" x14ac:dyDescent="0.3">
      <c r="C126" s="11">
        <v>999</v>
      </c>
      <c r="D126" s="154">
        <v>119</v>
      </c>
      <c r="E126" s="154" t="s">
        <v>1902</v>
      </c>
      <c r="F126" s="154" t="s">
        <v>83</v>
      </c>
      <c r="G126" s="154" t="s">
        <v>1903</v>
      </c>
      <c r="H126" s="154" t="s">
        <v>507</v>
      </c>
      <c r="I126" s="154" t="s">
        <v>101</v>
      </c>
      <c r="J126" s="154" t="s">
        <v>102</v>
      </c>
      <c r="K126" s="154" t="s">
        <v>60</v>
      </c>
      <c r="L126" s="154" t="s">
        <v>1897</v>
      </c>
      <c r="M126" s="154" t="s">
        <v>1388</v>
      </c>
      <c r="N126" s="154" t="s">
        <v>61</v>
      </c>
      <c r="O126" s="154" t="s">
        <v>62</v>
      </c>
      <c r="P126" s="146">
        <v>12525.75</v>
      </c>
      <c r="Q126" s="146">
        <v>7.91</v>
      </c>
      <c r="R126" s="154" t="s">
        <v>1384</v>
      </c>
      <c r="S126" s="154" t="s">
        <v>1899</v>
      </c>
      <c r="T126" s="155" t="s">
        <v>768</v>
      </c>
      <c r="U126" s="155" t="s">
        <v>1899</v>
      </c>
      <c r="V126" s="154" t="s">
        <v>1904</v>
      </c>
      <c r="W126" s="154">
        <v>0</v>
      </c>
      <c r="X126" s="154" t="s">
        <v>63</v>
      </c>
      <c r="Y126" s="154" t="s">
        <v>1386</v>
      </c>
      <c r="Z126" s="154"/>
      <c r="AA126" s="154" t="s">
        <v>1387</v>
      </c>
      <c r="AB126" s="154">
        <v>0</v>
      </c>
      <c r="AC126" s="138">
        <f>IFERROR(IF(DATEDIF(#REF!,U126,"m")&lt;=1,1,IF(AND(DATEDIF(#REF!,U126,"m")&gt;1,DATEDIF(#REF!,U126,"m")&lt;12),2,IF(AND(DATEDIF(#REF!,U126,"m")&gt;=12,DATEDIF(#REF!,U126,"m")&lt;24),3,IF(DATEDIF(#REF!,U126,"m")&gt;=24,4,"")))),IF(E126="r0320 - Deposits, not covered and not preferential",1,4))</f>
        <v>4</v>
      </c>
    </row>
    <row r="127" spans="3:29" ht="36.75" thickBot="1" x14ac:dyDescent="0.3">
      <c r="C127" s="11">
        <v>999</v>
      </c>
      <c r="D127" s="154">
        <v>120</v>
      </c>
      <c r="E127" s="154" t="s">
        <v>1898</v>
      </c>
      <c r="F127" s="154" t="s">
        <v>87</v>
      </c>
      <c r="G127" s="154" t="s">
        <v>1402</v>
      </c>
      <c r="H127" s="154" t="s">
        <v>149</v>
      </c>
      <c r="I127" s="154" t="s">
        <v>108</v>
      </c>
      <c r="J127" s="154" t="s">
        <v>90</v>
      </c>
      <c r="K127" s="154" t="s">
        <v>91</v>
      </c>
      <c r="L127" s="154" t="s">
        <v>1897</v>
      </c>
      <c r="M127" s="154" t="s">
        <v>1383</v>
      </c>
      <c r="N127" s="154" t="s">
        <v>61</v>
      </c>
      <c r="O127" s="154" t="s">
        <v>62</v>
      </c>
      <c r="P127" s="146">
        <v>2.38</v>
      </c>
      <c r="Q127" s="146">
        <v>0</v>
      </c>
      <c r="R127" s="154" t="s">
        <v>1384</v>
      </c>
      <c r="S127" s="154" t="s">
        <v>1899</v>
      </c>
      <c r="T127" s="155" t="s">
        <v>1899</v>
      </c>
      <c r="U127" s="155" t="s">
        <v>1899</v>
      </c>
      <c r="V127" s="154" t="s">
        <v>1562</v>
      </c>
      <c r="W127" s="154">
        <v>0</v>
      </c>
      <c r="X127" s="154" t="s">
        <v>63</v>
      </c>
      <c r="Y127" s="154" t="s">
        <v>1900</v>
      </c>
      <c r="Z127" s="154"/>
      <c r="AA127" s="154" t="s">
        <v>1387</v>
      </c>
      <c r="AB127" s="154">
        <v>0</v>
      </c>
      <c r="AC127" s="138">
        <f>IFERROR(IF(DATEDIF(#REF!,U127,"m")&lt;=1,1,IF(AND(DATEDIF(#REF!,U127,"m")&gt;1,DATEDIF(#REF!,U127,"m")&lt;12),2,IF(AND(DATEDIF(#REF!,U127,"m")&gt;=12,DATEDIF(#REF!,U127,"m")&lt;24),3,IF(DATEDIF(#REF!,U127,"m")&gt;=24,4,"")))),IF(E127="r0320 - Deposits, not covered and not preferential",1,4))</f>
        <v>4</v>
      </c>
    </row>
    <row r="128" spans="3:29" ht="48.75" thickBot="1" x14ac:dyDescent="0.3">
      <c r="C128" s="11">
        <v>999</v>
      </c>
      <c r="D128" s="154">
        <v>121</v>
      </c>
      <c r="E128" s="154" t="s">
        <v>1902</v>
      </c>
      <c r="F128" s="154" t="s">
        <v>83</v>
      </c>
      <c r="G128" s="154" t="s">
        <v>1903</v>
      </c>
      <c r="H128" s="154" t="s">
        <v>109</v>
      </c>
      <c r="I128" s="154" t="s">
        <v>101</v>
      </c>
      <c r="J128" s="154" t="s">
        <v>102</v>
      </c>
      <c r="K128" s="154" t="s">
        <v>60</v>
      </c>
      <c r="L128" s="154" t="s">
        <v>1897</v>
      </c>
      <c r="M128" s="154" t="s">
        <v>1388</v>
      </c>
      <c r="N128" s="154" t="s">
        <v>61</v>
      </c>
      <c r="O128" s="154" t="s">
        <v>62</v>
      </c>
      <c r="P128" s="146">
        <v>149708.12</v>
      </c>
      <c r="Q128" s="146">
        <v>9.98</v>
      </c>
      <c r="R128" s="154" t="s">
        <v>1384</v>
      </c>
      <c r="S128" s="154" t="s">
        <v>1899</v>
      </c>
      <c r="T128" s="155" t="s">
        <v>768</v>
      </c>
      <c r="U128" s="155" t="s">
        <v>1899</v>
      </c>
      <c r="V128" s="154" t="s">
        <v>1904</v>
      </c>
      <c r="W128" s="154">
        <v>0</v>
      </c>
      <c r="X128" s="154" t="s">
        <v>63</v>
      </c>
      <c r="Y128" s="154" t="s">
        <v>1386</v>
      </c>
      <c r="Z128" s="154"/>
      <c r="AA128" s="154" t="s">
        <v>1387</v>
      </c>
      <c r="AB128" s="154">
        <v>0</v>
      </c>
      <c r="AC128" s="138">
        <f>IFERROR(IF(DATEDIF(#REF!,U128,"m")&lt;=1,1,IF(AND(DATEDIF(#REF!,U128,"m")&gt;1,DATEDIF(#REF!,U128,"m")&lt;12),2,IF(AND(DATEDIF(#REF!,U128,"m")&gt;=12,DATEDIF(#REF!,U128,"m")&lt;24),3,IF(DATEDIF(#REF!,U128,"m")&gt;=24,4,"")))),IF(E128="r0320 - Deposits, not covered and not preferential",1,4))</f>
        <v>4</v>
      </c>
    </row>
    <row r="129" spans="3:29" ht="36.75" thickBot="1" x14ac:dyDescent="0.3">
      <c r="C129" s="11">
        <v>999</v>
      </c>
      <c r="D129" s="154">
        <v>122</v>
      </c>
      <c r="E129" s="154" t="s">
        <v>1898</v>
      </c>
      <c r="F129" s="154" t="s">
        <v>87</v>
      </c>
      <c r="G129" s="154" t="s">
        <v>1402</v>
      </c>
      <c r="H129" s="154" t="s">
        <v>773</v>
      </c>
      <c r="I129" s="154" t="s">
        <v>108</v>
      </c>
      <c r="J129" s="154" t="s">
        <v>90</v>
      </c>
      <c r="K129" s="154" t="s">
        <v>91</v>
      </c>
      <c r="L129" s="154" t="s">
        <v>1897</v>
      </c>
      <c r="M129" s="154" t="s">
        <v>1383</v>
      </c>
      <c r="N129" s="154" t="s">
        <v>61</v>
      </c>
      <c r="O129" s="154" t="s">
        <v>62</v>
      </c>
      <c r="P129" s="146">
        <v>0.81</v>
      </c>
      <c r="Q129" s="146">
        <v>0</v>
      </c>
      <c r="R129" s="154" t="s">
        <v>1384</v>
      </c>
      <c r="S129" s="154" t="s">
        <v>1899</v>
      </c>
      <c r="T129" s="155" t="s">
        <v>1899</v>
      </c>
      <c r="U129" s="155" t="s">
        <v>1899</v>
      </c>
      <c r="V129" s="154" t="s">
        <v>1562</v>
      </c>
      <c r="W129" s="154">
        <v>0</v>
      </c>
      <c r="X129" s="154" t="s">
        <v>63</v>
      </c>
      <c r="Y129" s="154" t="s">
        <v>1900</v>
      </c>
      <c r="Z129" s="154"/>
      <c r="AA129" s="154" t="s">
        <v>1387</v>
      </c>
      <c r="AB129" s="154">
        <v>0</v>
      </c>
      <c r="AC129" s="138">
        <f>IFERROR(IF(DATEDIF(#REF!,U129,"m")&lt;=1,1,IF(AND(DATEDIF(#REF!,U129,"m")&gt;1,DATEDIF(#REF!,U129,"m")&lt;12),2,IF(AND(DATEDIF(#REF!,U129,"m")&gt;=12,DATEDIF(#REF!,U129,"m")&lt;24),3,IF(DATEDIF(#REF!,U129,"m")&gt;=24,4,"")))),IF(E129="r0320 - Deposits, not covered and not preferential",1,4))</f>
        <v>4</v>
      </c>
    </row>
    <row r="130" spans="3:29" ht="36.75" thickBot="1" x14ac:dyDescent="0.3">
      <c r="C130" s="11">
        <v>999</v>
      </c>
      <c r="D130" s="154">
        <v>123</v>
      </c>
      <c r="E130" s="154" t="s">
        <v>1898</v>
      </c>
      <c r="F130" s="154" t="s">
        <v>83</v>
      </c>
      <c r="G130" s="154" t="s">
        <v>1402</v>
      </c>
      <c r="H130" s="154" t="s">
        <v>155</v>
      </c>
      <c r="I130" s="154" t="s">
        <v>156</v>
      </c>
      <c r="J130" s="154" t="s">
        <v>157</v>
      </c>
      <c r="K130" s="154" t="s">
        <v>60</v>
      </c>
      <c r="L130" s="154" t="s">
        <v>1897</v>
      </c>
      <c r="M130" s="154" t="s">
        <v>1383</v>
      </c>
      <c r="N130" s="154" t="s">
        <v>61</v>
      </c>
      <c r="O130" s="154" t="s">
        <v>62</v>
      </c>
      <c r="P130" s="146">
        <v>0.95</v>
      </c>
      <c r="Q130" s="146">
        <v>0</v>
      </c>
      <c r="R130" s="154" t="s">
        <v>1384</v>
      </c>
      <c r="S130" s="154" t="s">
        <v>1899</v>
      </c>
      <c r="T130" s="155" t="s">
        <v>1899</v>
      </c>
      <c r="U130" s="155" t="s">
        <v>1899</v>
      </c>
      <c r="V130" s="154" t="s">
        <v>1562</v>
      </c>
      <c r="W130" s="154">
        <v>0</v>
      </c>
      <c r="X130" s="154" t="s">
        <v>63</v>
      </c>
      <c r="Y130" s="154" t="s">
        <v>1900</v>
      </c>
      <c r="Z130" s="154"/>
      <c r="AA130" s="154" t="s">
        <v>1387</v>
      </c>
      <c r="AB130" s="154">
        <v>0</v>
      </c>
      <c r="AC130" s="138">
        <f>IFERROR(IF(DATEDIF(#REF!,U130,"m")&lt;=1,1,IF(AND(DATEDIF(#REF!,U130,"m")&gt;1,DATEDIF(#REF!,U130,"m")&lt;12),2,IF(AND(DATEDIF(#REF!,U130,"m")&gt;=12,DATEDIF(#REF!,U130,"m")&lt;24),3,IF(DATEDIF(#REF!,U130,"m")&gt;=24,4,"")))),IF(E130="r0320 - Deposits, not covered and not preferential",1,4))</f>
        <v>4</v>
      </c>
    </row>
    <row r="131" spans="3:29" ht="36.75" thickBot="1" x14ac:dyDescent="0.3">
      <c r="C131" s="11">
        <v>999</v>
      </c>
      <c r="D131" s="154">
        <v>124</v>
      </c>
      <c r="E131" s="154" t="s">
        <v>1898</v>
      </c>
      <c r="F131" s="154" t="s">
        <v>87</v>
      </c>
      <c r="G131" s="154" t="s">
        <v>1402</v>
      </c>
      <c r="H131" s="154" t="s">
        <v>327</v>
      </c>
      <c r="I131" s="154" t="s">
        <v>99</v>
      </c>
      <c r="J131" s="154" t="s">
        <v>90</v>
      </c>
      <c r="K131" s="154" t="s">
        <v>91</v>
      </c>
      <c r="L131" s="154" t="s">
        <v>1897</v>
      </c>
      <c r="M131" s="154" t="s">
        <v>1383</v>
      </c>
      <c r="N131" s="154" t="s">
        <v>61</v>
      </c>
      <c r="O131" s="154" t="s">
        <v>62</v>
      </c>
      <c r="P131" s="146">
        <v>2.8</v>
      </c>
      <c r="Q131" s="146">
        <v>0</v>
      </c>
      <c r="R131" s="154" t="s">
        <v>1384</v>
      </c>
      <c r="S131" s="154" t="s">
        <v>1899</v>
      </c>
      <c r="T131" s="155" t="s">
        <v>1899</v>
      </c>
      <c r="U131" s="155" t="s">
        <v>1899</v>
      </c>
      <c r="V131" s="154" t="s">
        <v>1562</v>
      </c>
      <c r="W131" s="154">
        <v>0</v>
      </c>
      <c r="X131" s="154" t="s">
        <v>63</v>
      </c>
      <c r="Y131" s="154" t="s">
        <v>1900</v>
      </c>
      <c r="Z131" s="154"/>
      <c r="AA131" s="154" t="s">
        <v>1387</v>
      </c>
      <c r="AB131" s="154">
        <v>0</v>
      </c>
      <c r="AC131" s="138">
        <f>IFERROR(IF(DATEDIF(#REF!,U131,"m")&lt;=1,1,IF(AND(DATEDIF(#REF!,U131,"m")&gt;1,DATEDIF(#REF!,U131,"m")&lt;12),2,IF(AND(DATEDIF(#REF!,U131,"m")&gt;=12,DATEDIF(#REF!,U131,"m")&lt;24),3,IF(DATEDIF(#REF!,U131,"m")&gt;=24,4,"")))),IF(E131="r0320 - Deposits, not covered and not preferential",1,4))</f>
        <v>4</v>
      </c>
    </row>
    <row r="132" spans="3:29" ht="36.75" thickBot="1" x14ac:dyDescent="0.3">
      <c r="C132" s="11">
        <v>999</v>
      </c>
      <c r="D132" s="154">
        <v>125</v>
      </c>
      <c r="E132" s="154" t="s">
        <v>1898</v>
      </c>
      <c r="F132" s="154" t="s">
        <v>87</v>
      </c>
      <c r="G132" s="154" t="s">
        <v>1402</v>
      </c>
      <c r="H132" s="154" t="s">
        <v>924</v>
      </c>
      <c r="I132" s="154" t="s">
        <v>96</v>
      </c>
      <c r="J132" s="154" t="s">
        <v>97</v>
      </c>
      <c r="K132" s="154" t="s">
        <v>91</v>
      </c>
      <c r="L132" s="154" t="s">
        <v>1897</v>
      </c>
      <c r="M132" s="154" t="s">
        <v>1383</v>
      </c>
      <c r="N132" s="154" t="s">
        <v>61</v>
      </c>
      <c r="O132" s="154" t="s">
        <v>62</v>
      </c>
      <c r="P132" s="146">
        <v>0.06</v>
      </c>
      <c r="Q132" s="146">
        <v>0</v>
      </c>
      <c r="R132" s="154" t="s">
        <v>1384</v>
      </c>
      <c r="S132" s="154" t="s">
        <v>1899</v>
      </c>
      <c r="T132" s="155" t="s">
        <v>1899</v>
      </c>
      <c r="U132" s="155" t="s">
        <v>1899</v>
      </c>
      <c r="V132" s="154" t="s">
        <v>1562</v>
      </c>
      <c r="W132" s="154">
        <v>0</v>
      </c>
      <c r="X132" s="154" t="s">
        <v>63</v>
      </c>
      <c r="Y132" s="154" t="s">
        <v>1900</v>
      </c>
      <c r="Z132" s="154"/>
      <c r="AA132" s="154" t="s">
        <v>1387</v>
      </c>
      <c r="AB132" s="154">
        <v>0</v>
      </c>
      <c r="AC132" s="138">
        <f>IFERROR(IF(DATEDIF(#REF!,U132,"m")&lt;=1,1,IF(AND(DATEDIF(#REF!,U132,"m")&gt;1,DATEDIF(#REF!,U132,"m")&lt;12),2,IF(AND(DATEDIF(#REF!,U132,"m")&gt;=12,DATEDIF(#REF!,U132,"m")&lt;24),3,IF(DATEDIF(#REF!,U132,"m")&gt;=24,4,"")))),IF(E132="r0320 - Deposits, not covered and not preferential",1,4))</f>
        <v>4</v>
      </c>
    </row>
    <row r="133" spans="3:29" ht="48.75" thickBot="1" x14ac:dyDescent="0.3">
      <c r="C133" s="11">
        <v>999</v>
      </c>
      <c r="D133" s="154">
        <v>126</v>
      </c>
      <c r="E133" s="154" t="s">
        <v>1902</v>
      </c>
      <c r="F133" s="154" t="s">
        <v>83</v>
      </c>
      <c r="G133" s="154" t="s">
        <v>1903</v>
      </c>
      <c r="H133" s="154" t="s">
        <v>887</v>
      </c>
      <c r="I133" s="154" t="s">
        <v>93</v>
      </c>
      <c r="J133" s="154" t="s">
        <v>94</v>
      </c>
      <c r="K133" s="154" t="s">
        <v>60</v>
      </c>
      <c r="L133" s="154" t="s">
        <v>1897</v>
      </c>
      <c r="M133" s="154" t="s">
        <v>1388</v>
      </c>
      <c r="N133" s="154" t="s">
        <v>61</v>
      </c>
      <c r="O133" s="154" t="s">
        <v>62</v>
      </c>
      <c r="P133" s="146">
        <v>280477.12</v>
      </c>
      <c r="Q133" s="146">
        <v>4.7</v>
      </c>
      <c r="R133" s="154" t="s">
        <v>1384</v>
      </c>
      <c r="S133" s="154" t="s">
        <v>1899</v>
      </c>
      <c r="T133" s="155" t="s">
        <v>768</v>
      </c>
      <c r="U133" s="155" t="s">
        <v>1899</v>
      </c>
      <c r="V133" s="154" t="s">
        <v>1904</v>
      </c>
      <c r="W133" s="154">
        <v>0</v>
      </c>
      <c r="X133" s="154" t="s">
        <v>63</v>
      </c>
      <c r="Y133" s="154" t="s">
        <v>1386</v>
      </c>
      <c r="Z133" s="154"/>
      <c r="AA133" s="154" t="s">
        <v>1387</v>
      </c>
      <c r="AB133" s="154">
        <v>0</v>
      </c>
      <c r="AC133" s="138">
        <f>IFERROR(IF(DATEDIF(#REF!,U133,"m")&lt;=1,1,IF(AND(DATEDIF(#REF!,U133,"m")&gt;1,DATEDIF(#REF!,U133,"m")&lt;12),2,IF(AND(DATEDIF(#REF!,U133,"m")&gt;=12,DATEDIF(#REF!,U133,"m")&lt;24),3,IF(DATEDIF(#REF!,U133,"m")&gt;=24,4,"")))),IF(E133="r0320 - Deposits, not covered and not preferential",1,4))</f>
        <v>4</v>
      </c>
    </row>
    <row r="134" spans="3:29" ht="48.75" thickBot="1" x14ac:dyDescent="0.3">
      <c r="C134" s="11">
        <v>999</v>
      </c>
      <c r="D134" s="154">
        <v>127</v>
      </c>
      <c r="E134" s="154" t="s">
        <v>1902</v>
      </c>
      <c r="F134" s="154" t="s">
        <v>83</v>
      </c>
      <c r="G134" s="154" t="s">
        <v>1903</v>
      </c>
      <c r="H134" s="154" t="s">
        <v>334</v>
      </c>
      <c r="I134" s="154" t="s">
        <v>114</v>
      </c>
      <c r="J134" s="154" t="s">
        <v>115</v>
      </c>
      <c r="K134" s="154" t="s">
        <v>60</v>
      </c>
      <c r="L134" s="154" t="s">
        <v>1897</v>
      </c>
      <c r="M134" s="154" t="s">
        <v>1388</v>
      </c>
      <c r="N134" s="154" t="s">
        <v>61</v>
      </c>
      <c r="O134" s="154" t="s">
        <v>62</v>
      </c>
      <c r="P134" s="146">
        <v>25699.69</v>
      </c>
      <c r="Q134" s="146">
        <v>16</v>
      </c>
      <c r="R134" s="154" t="s">
        <v>1384</v>
      </c>
      <c r="S134" s="154" t="s">
        <v>1899</v>
      </c>
      <c r="T134" s="155" t="s">
        <v>768</v>
      </c>
      <c r="U134" s="155" t="s">
        <v>1899</v>
      </c>
      <c r="V134" s="154" t="s">
        <v>1904</v>
      </c>
      <c r="W134" s="154">
        <v>0</v>
      </c>
      <c r="X134" s="154" t="s">
        <v>63</v>
      </c>
      <c r="Y134" s="154" t="s">
        <v>1386</v>
      </c>
      <c r="Z134" s="154"/>
      <c r="AA134" s="154" t="s">
        <v>1387</v>
      </c>
      <c r="AB134" s="154">
        <v>0</v>
      </c>
      <c r="AC134" s="138">
        <f>IFERROR(IF(DATEDIF(#REF!,U134,"m")&lt;=1,1,IF(AND(DATEDIF(#REF!,U134,"m")&gt;1,DATEDIF(#REF!,U134,"m")&lt;12),2,IF(AND(DATEDIF(#REF!,U134,"m")&gt;=12,DATEDIF(#REF!,U134,"m")&lt;24),3,IF(DATEDIF(#REF!,U134,"m")&gt;=24,4,"")))),IF(E134="r0320 - Deposits, not covered and not preferential",1,4))</f>
        <v>4</v>
      </c>
    </row>
    <row r="135" spans="3:29" ht="48.75" thickBot="1" x14ac:dyDescent="0.3">
      <c r="C135" s="11">
        <v>999</v>
      </c>
      <c r="D135" s="154">
        <v>128</v>
      </c>
      <c r="E135" s="154" t="s">
        <v>1902</v>
      </c>
      <c r="F135" s="154" t="s">
        <v>83</v>
      </c>
      <c r="G135" s="154" t="s">
        <v>1903</v>
      </c>
      <c r="H135" s="154" t="s">
        <v>334</v>
      </c>
      <c r="I135" s="154" t="s">
        <v>101</v>
      </c>
      <c r="J135" s="154" t="s">
        <v>102</v>
      </c>
      <c r="K135" s="154" t="s">
        <v>60</v>
      </c>
      <c r="L135" s="154" t="s">
        <v>1897</v>
      </c>
      <c r="M135" s="154" t="s">
        <v>1388</v>
      </c>
      <c r="N135" s="154" t="s">
        <v>61</v>
      </c>
      <c r="O135" s="154" t="s">
        <v>62</v>
      </c>
      <c r="P135" s="146">
        <v>44220.639999999999</v>
      </c>
      <c r="Q135" s="146">
        <v>70.459999999999994</v>
      </c>
      <c r="R135" s="154" t="s">
        <v>1384</v>
      </c>
      <c r="S135" s="154" t="s">
        <v>1899</v>
      </c>
      <c r="T135" s="155" t="s">
        <v>768</v>
      </c>
      <c r="U135" s="155" t="s">
        <v>1899</v>
      </c>
      <c r="V135" s="154" t="s">
        <v>1904</v>
      </c>
      <c r="W135" s="154">
        <v>0</v>
      </c>
      <c r="X135" s="154" t="s">
        <v>63</v>
      </c>
      <c r="Y135" s="154" t="s">
        <v>1386</v>
      </c>
      <c r="Z135" s="154"/>
      <c r="AA135" s="154" t="s">
        <v>1387</v>
      </c>
      <c r="AB135" s="154">
        <v>0</v>
      </c>
      <c r="AC135" s="138">
        <f>IFERROR(IF(DATEDIF(#REF!,U135,"m")&lt;=1,1,IF(AND(DATEDIF(#REF!,U135,"m")&gt;1,DATEDIF(#REF!,U135,"m")&lt;12),2,IF(AND(DATEDIF(#REF!,U135,"m")&gt;=12,DATEDIF(#REF!,U135,"m")&lt;24),3,IF(DATEDIF(#REF!,U135,"m")&gt;=24,4,"")))),IF(E135="r0320 - Deposits, not covered and not preferential",1,4))</f>
        <v>4</v>
      </c>
    </row>
    <row r="136" spans="3:29" ht="36.75" thickBot="1" x14ac:dyDescent="0.3">
      <c r="C136" s="11">
        <v>999</v>
      </c>
      <c r="D136" s="154">
        <v>129</v>
      </c>
      <c r="E136" s="154" t="s">
        <v>1898</v>
      </c>
      <c r="F136" s="154" t="s">
        <v>87</v>
      </c>
      <c r="G136" s="154" t="s">
        <v>1402</v>
      </c>
      <c r="H136" s="154" t="s">
        <v>547</v>
      </c>
      <c r="I136" s="154" t="s">
        <v>111</v>
      </c>
      <c r="J136" s="154" t="s">
        <v>90</v>
      </c>
      <c r="K136" s="154" t="s">
        <v>91</v>
      </c>
      <c r="L136" s="154" t="s">
        <v>1897</v>
      </c>
      <c r="M136" s="154" t="s">
        <v>1383</v>
      </c>
      <c r="N136" s="154" t="s">
        <v>61</v>
      </c>
      <c r="O136" s="154" t="s">
        <v>62</v>
      </c>
      <c r="P136" s="146">
        <v>0.38</v>
      </c>
      <c r="Q136" s="146">
        <v>0</v>
      </c>
      <c r="R136" s="154" t="s">
        <v>1384</v>
      </c>
      <c r="S136" s="154" t="s">
        <v>1899</v>
      </c>
      <c r="T136" s="155" t="s">
        <v>1899</v>
      </c>
      <c r="U136" s="155" t="s">
        <v>1899</v>
      </c>
      <c r="V136" s="154" t="s">
        <v>1562</v>
      </c>
      <c r="W136" s="154">
        <v>0</v>
      </c>
      <c r="X136" s="154" t="s">
        <v>63</v>
      </c>
      <c r="Y136" s="154" t="s">
        <v>1900</v>
      </c>
      <c r="Z136" s="154"/>
      <c r="AA136" s="154" t="s">
        <v>1387</v>
      </c>
      <c r="AB136" s="154">
        <v>0</v>
      </c>
      <c r="AC136" s="138">
        <f>IFERROR(IF(DATEDIF(#REF!,U136,"m")&lt;=1,1,IF(AND(DATEDIF(#REF!,U136,"m")&gt;1,DATEDIF(#REF!,U136,"m")&lt;12),2,IF(AND(DATEDIF(#REF!,U136,"m")&gt;=12,DATEDIF(#REF!,U136,"m")&lt;24),3,IF(DATEDIF(#REF!,U136,"m")&gt;=24,4,"")))),IF(E136="r0320 - Deposits, not covered and not preferential",1,4))</f>
        <v>4</v>
      </c>
    </row>
    <row r="137" spans="3:29" ht="48.75" thickBot="1" x14ac:dyDescent="0.3">
      <c r="C137" s="11">
        <v>999</v>
      </c>
      <c r="D137" s="154">
        <v>130</v>
      </c>
      <c r="E137" s="154" t="s">
        <v>1902</v>
      </c>
      <c r="F137" s="154" t="s">
        <v>83</v>
      </c>
      <c r="G137" s="154" t="s">
        <v>1903</v>
      </c>
      <c r="H137" s="154" t="s">
        <v>338</v>
      </c>
      <c r="I137" s="154" t="s">
        <v>101</v>
      </c>
      <c r="J137" s="154" t="s">
        <v>102</v>
      </c>
      <c r="K137" s="154" t="s">
        <v>60</v>
      </c>
      <c r="L137" s="154" t="s">
        <v>1897</v>
      </c>
      <c r="M137" s="154" t="s">
        <v>1388</v>
      </c>
      <c r="N137" s="154" t="s">
        <v>61</v>
      </c>
      <c r="O137" s="154" t="s">
        <v>62</v>
      </c>
      <c r="P137" s="146">
        <v>40544.160000000003</v>
      </c>
      <c r="Q137" s="146">
        <v>5.65</v>
      </c>
      <c r="R137" s="154" t="s">
        <v>1384</v>
      </c>
      <c r="S137" s="154" t="s">
        <v>1899</v>
      </c>
      <c r="T137" s="155" t="s">
        <v>768</v>
      </c>
      <c r="U137" s="155" t="s">
        <v>1899</v>
      </c>
      <c r="V137" s="154" t="s">
        <v>1904</v>
      </c>
      <c r="W137" s="154">
        <v>0</v>
      </c>
      <c r="X137" s="154" t="s">
        <v>63</v>
      </c>
      <c r="Y137" s="154" t="s">
        <v>1386</v>
      </c>
      <c r="Z137" s="154"/>
      <c r="AA137" s="154" t="s">
        <v>1387</v>
      </c>
      <c r="AB137" s="154">
        <v>0</v>
      </c>
      <c r="AC137" s="138">
        <f>IFERROR(IF(DATEDIF(#REF!,U137,"m")&lt;=1,1,IF(AND(DATEDIF(#REF!,U137,"m")&gt;1,DATEDIF(#REF!,U137,"m")&lt;12),2,IF(AND(DATEDIF(#REF!,U137,"m")&gt;=12,DATEDIF(#REF!,U137,"m")&lt;24),3,IF(DATEDIF(#REF!,U137,"m")&gt;=24,4,"")))),IF(E137="r0320 - Deposits, not covered and not preferential",1,4))</f>
        <v>4</v>
      </c>
    </row>
    <row r="138" spans="3:29" ht="36.75" thickBot="1" x14ac:dyDescent="0.3">
      <c r="C138" s="11">
        <v>999</v>
      </c>
      <c r="D138" s="154">
        <v>131</v>
      </c>
      <c r="E138" s="154" t="s">
        <v>1898</v>
      </c>
      <c r="F138" s="154" t="s">
        <v>87</v>
      </c>
      <c r="G138" s="154" t="s">
        <v>1402</v>
      </c>
      <c r="H138" s="154" t="s">
        <v>534</v>
      </c>
      <c r="I138" s="154" t="s">
        <v>111</v>
      </c>
      <c r="J138" s="154" t="s">
        <v>90</v>
      </c>
      <c r="K138" s="154" t="s">
        <v>91</v>
      </c>
      <c r="L138" s="154" t="s">
        <v>1897</v>
      </c>
      <c r="M138" s="154" t="s">
        <v>1383</v>
      </c>
      <c r="N138" s="154" t="s">
        <v>61</v>
      </c>
      <c r="O138" s="154" t="s">
        <v>62</v>
      </c>
      <c r="P138" s="146">
        <v>0.12</v>
      </c>
      <c r="Q138" s="146">
        <v>0</v>
      </c>
      <c r="R138" s="154" t="s">
        <v>1384</v>
      </c>
      <c r="S138" s="154" t="s">
        <v>1899</v>
      </c>
      <c r="T138" s="155" t="s">
        <v>1899</v>
      </c>
      <c r="U138" s="155" t="s">
        <v>1899</v>
      </c>
      <c r="V138" s="154" t="s">
        <v>1562</v>
      </c>
      <c r="W138" s="154">
        <v>0</v>
      </c>
      <c r="X138" s="154" t="s">
        <v>63</v>
      </c>
      <c r="Y138" s="154" t="s">
        <v>1900</v>
      </c>
      <c r="Z138" s="154"/>
      <c r="AA138" s="154" t="s">
        <v>1387</v>
      </c>
      <c r="AB138" s="154">
        <v>0</v>
      </c>
      <c r="AC138" s="138">
        <f>IFERROR(IF(DATEDIF(#REF!,U138,"m")&lt;=1,1,IF(AND(DATEDIF(#REF!,U138,"m")&gt;1,DATEDIF(#REF!,U138,"m")&lt;12),2,IF(AND(DATEDIF(#REF!,U138,"m")&gt;=12,DATEDIF(#REF!,U138,"m")&lt;24),3,IF(DATEDIF(#REF!,U138,"m")&gt;=24,4,"")))),IF(E138="r0320 - Deposits, not covered and not preferential",1,4))</f>
        <v>4</v>
      </c>
    </row>
    <row r="139" spans="3:29" ht="36.75" thickBot="1" x14ac:dyDescent="0.3">
      <c r="C139" s="11">
        <v>999</v>
      </c>
      <c r="D139" s="154">
        <v>132</v>
      </c>
      <c r="E139" s="154" t="s">
        <v>1898</v>
      </c>
      <c r="F139" s="154" t="s">
        <v>87</v>
      </c>
      <c r="G139" s="154" t="s">
        <v>1402</v>
      </c>
      <c r="H139" s="154" t="s">
        <v>544</v>
      </c>
      <c r="I139" s="154" t="s">
        <v>96</v>
      </c>
      <c r="J139" s="154" t="s">
        <v>97</v>
      </c>
      <c r="K139" s="154" t="s">
        <v>91</v>
      </c>
      <c r="L139" s="154" t="s">
        <v>1897</v>
      </c>
      <c r="M139" s="154" t="s">
        <v>1383</v>
      </c>
      <c r="N139" s="154" t="s">
        <v>61</v>
      </c>
      <c r="O139" s="154" t="s">
        <v>62</v>
      </c>
      <c r="P139" s="146">
        <v>0.04</v>
      </c>
      <c r="Q139" s="146">
        <v>0</v>
      </c>
      <c r="R139" s="154" t="s">
        <v>1384</v>
      </c>
      <c r="S139" s="154" t="s">
        <v>1899</v>
      </c>
      <c r="T139" s="155" t="s">
        <v>1899</v>
      </c>
      <c r="U139" s="155" t="s">
        <v>1899</v>
      </c>
      <c r="V139" s="154" t="s">
        <v>1562</v>
      </c>
      <c r="W139" s="154">
        <v>0</v>
      </c>
      <c r="X139" s="154" t="s">
        <v>63</v>
      </c>
      <c r="Y139" s="154" t="s">
        <v>1900</v>
      </c>
      <c r="Z139" s="154"/>
      <c r="AA139" s="154" t="s">
        <v>1387</v>
      </c>
      <c r="AB139" s="154">
        <v>0</v>
      </c>
      <c r="AC139" s="138">
        <f>IFERROR(IF(DATEDIF(#REF!,U139,"m")&lt;=1,1,IF(AND(DATEDIF(#REF!,U139,"m")&gt;1,DATEDIF(#REF!,U139,"m")&lt;12),2,IF(AND(DATEDIF(#REF!,U139,"m")&gt;=12,DATEDIF(#REF!,U139,"m")&lt;24),3,IF(DATEDIF(#REF!,U139,"m")&gt;=24,4,"")))),IF(E139="r0320 - Deposits, not covered and not preferential",1,4))</f>
        <v>4</v>
      </c>
    </row>
    <row r="140" spans="3:29" ht="36.75" thickBot="1" x14ac:dyDescent="0.3">
      <c r="C140" s="11">
        <v>999</v>
      </c>
      <c r="D140" s="154">
        <v>133</v>
      </c>
      <c r="E140" s="154" t="s">
        <v>1898</v>
      </c>
      <c r="F140" s="154" t="s">
        <v>87</v>
      </c>
      <c r="G140" s="154" t="s">
        <v>1402</v>
      </c>
      <c r="H140" s="154" t="s">
        <v>163</v>
      </c>
      <c r="I140" s="154" t="s">
        <v>99</v>
      </c>
      <c r="J140" s="154" t="s">
        <v>90</v>
      </c>
      <c r="K140" s="154" t="s">
        <v>91</v>
      </c>
      <c r="L140" s="154" t="s">
        <v>1897</v>
      </c>
      <c r="M140" s="154" t="s">
        <v>1383</v>
      </c>
      <c r="N140" s="154" t="s">
        <v>61</v>
      </c>
      <c r="O140" s="154" t="s">
        <v>62</v>
      </c>
      <c r="P140" s="146">
        <v>0.02</v>
      </c>
      <c r="Q140" s="146">
        <v>0</v>
      </c>
      <c r="R140" s="154" t="s">
        <v>1384</v>
      </c>
      <c r="S140" s="154" t="s">
        <v>1899</v>
      </c>
      <c r="T140" s="155" t="s">
        <v>1899</v>
      </c>
      <c r="U140" s="155" t="s">
        <v>1899</v>
      </c>
      <c r="V140" s="154" t="s">
        <v>1562</v>
      </c>
      <c r="W140" s="154">
        <v>0</v>
      </c>
      <c r="X140" s="154" t="s">
        <v>63</v>
      </c>
      <c r="Y140" s="154" t="s">
        <v>1900</v>
      </c>
      <c r="Z140" s="154"/>
      <c r="AA140" s="154" t="s">
        <v>1387</v>
      </c>
      <c r="AB140" s="154">
        <v>0</v>
      </c>
      <c r="AC140" s="138">
        <f>IFERROR(IF(DATEDIF(#REF!,U140,"m")&lt;=1,1,IF(AND(DATEDIF(#REF!,U140,"m")&gt;1,DATEDIF(#REF!,U140,"m")&lt;12),2,IF(AND(DATEDIF(#REF!,U140,"m")&gt;=12,DATEDIF(#REF!,U140,"m")&lt;24),3,IF(DATEDIF(#REF!,U140,"m")&gt;=24,4,"")))),IF(E140="r0320 - Deposits, not covered and not preferential",1,4))</f>
        <v>4</v>
      </c>
    </row>
    <row r="141" spans="3:29" ht="36.75" thickBot="1" x14ac:dyDescent="0.3">
      <c r="C141" s="11">
        <v>999</v>
      </c>
      <c r="D141" s="154">
        <v>134</v>
      </c>
      <c r="E141" s="154" t="s">
        <v>1898</v>
      </c>
      <c r="F141" s="154" t="s">
        <v>87</v>
      </c>
      <c r="G141" s="154" t="s">
        <v>1402</v>
      </c>
      <c r="H141" s="154" t="s">
        <v>481</v>
      </c>
      <c r="I141" s="154" t="s">
        <v>96</v>
      </c>
      <c r="J141" s="154" t="s">
        <v>97</v>
      </c>
      <c r="K141" s="154" t="s">
        <v>91</v>
      </c>
      <c r="L141" s="154" t="s">
        <v>1897</v>
      </c>
      <c r="M141" s="154" t="s">
        <v>1383</v>
      </c>
      <c r="N141" s="154" t="s">
        <v>61</v>
      </c>
      <c r="O141" s="154" t="s">
        <v>62</v>
      </c>
      <c r="P141" s="146">
        <v>0.06</v>
      </c>
      <c r="Q141" s="146">
        <v>0</v>
      </c>
      <c r="R141" s="154" t="s">
        <v>1384</v>
      </c>
      <c r="S141" s="154" t="s">
        <v>1899</v>
      </c>
      <c r="T141" s="155" t="s">
        <v>1899</v>
      </c>
      <c r="U141" s="155" t="s">
        <v>1899</v>
      </c>
      <c r="V141" s="154" t="s">
        <v>1562</v>
      </c>
      <c r="W141" s="154">
        <v>0</v>
      </c>
      <c r="X141" s="154" t="s">
        <v>63</v>
      </c>
      <c r="Y141" s="154" t="s">
        <v>1900</v>
      </c>
      <c r="Z141" s="154"/>
      <c r="AA141" s="154" t="s">
        <v>1387</v>
      </c>
      <c r="AB141" s="154">
        <v>0</v>
      </c>
      <c r="AC141" s="138">
        <f>IFERROR(IF(DATEDIF(#REF!,U141,"m")&lt;=1,1,IF(AND(DATEDIF(#REF!,U141,"m")&gt;1,DATEDIF(#REF!,U141,"m")&lt;12),2,IF(AND(DATEDIF(#REF!,U141,"m")&gt;=12,DATEDIF(#REF!,U141,"m")&lt;24),3,IF(DATEDIF(#REF!,U141,"m")&gt;=24,4,"")))),IF(E141="r0320 - Deposits, not covered and not preferential",1,4))</f>
        <v>4</v>
      </c>
    </row>
    <row r="142" spans="3:29" ht="36.75" thickBot="1" x14ac:dyDescent="0.3">
      <c r="C142" s="11">
        <v>999</v>
      </c>
      <c r="D142" s="154">
        <v>135</v>
      </c>
      <c r="E142" s="154" t="s">
        <v>1898</v>
      </c>
      <c r="F142" s="154" t="s">
        <v>87</v>
      </c>
      <c r="G142" s="154" t="s">
        <v>1402</v>
      </c>
      <c r="H142" s="154" t="s">
        <v>548</v>
      </c>
      <c r="I142" s="154" t="s">
        <v>99</v>
      </c>
      <c r="J142" s="154" t="s">
        <v>90</v>
      </c>
      <c r="K142" s="154" t="s">
        <v>91</v>
      </c>
      <c r="L142" s="154" t="s">
        <v>1897</v>
      </c>
      <c r="M142" s="154" t="s">
        <v>1383</v>
      </c>
      <c r="N142" s="154" t="s">
        <v>61</v>
      </c>
      <c r="O142" s="154" t="s">
        <v>62</v>
      </c>
      <c r="P142" s="146">
        <v>6.95</v>
      </c>
      <c r="Q142" s="146">
        <v>0</v>
      </c>
      <c r="R142" s="154" t="s">
        <v>1384</v>
      </c>
      <c r="S142" s="154" t="s">
        <v>1899</v>
      </c>
      <c r="T142" s="155" t="s">
        <v>1899</v>
      </c>
      <c r="U142" s="155" t="s">
        <v>1899</v>
      </c>
      <c r="V142" s="154" t="s">
        <v>1562</v>
      </c>
      <c r="W142" s="154">
        <v>0</v>
      </c>
      <c r="X142" s="154" t="s">
        <v>63</v>
      </c>
      <c r="Y142" s="154" t="s">
        <v>1900</v>
      </c>
      <c r="Z142" s="154"/>
      <c r="AA142" s="154" t="s">
        <v>1387</v>
      </c>
      <c r="AB142" s="154">
        <v>0</v>
      </c>
      <c r="AC142" s="138">
        <f>IFERROR(IF(DATEDIF(#REF!,U142,"m")&lt;=1,1,IF(AND(DATEDIF(#REF!,U142,"m")&gt;1,DATEDIF(#REF!,U142,"m")&lt;12),2,IF(AND(DATEDIF(#REF!,U142,"m")&gt;=12,DATEDIF(#REF!,U142,"m")&lt;24),3,IF(DATEDIF(#REF!,U142,"m")&gt;=24,4,"")))),IF(E142="r0320 - Deposits, not covered and not preferential",1,4))</f>
        <v>4</v>
      </c>
    </row>
    <row r="143" spans="3:29" ht="36.75" thickBot="1" x14ac:dyDescent="0.3">
      <c r="C143" s="11">
        <v>999</v>
      </c>
      <c r="D143" s="154">
        <v>136</v>
      </c>
      <c r="E143" s="154" t="s">
        <v>1898</v>
      </c>
      <c r="F143" s="154" t="s">
        <v>83</v>
      </c>
      <c r="G143" s="154" t="s">
        <v>1402</v>
      </c>
      <c r="H143" s="154" t="s">
        <v>57</v>
      </c>
      <c r="I143" s="154" t="s">
        <v>108</v>
      </c>
      <c r="J143" s="154" t="s">
        <v>90</v>
      </c>
      <c r="K143" s="154" t="s">
        <v>91</v>
      </c>
      <c r="L143" s="154" t="s">
        <v>1897</v>
      </c>
      <c r="M143" s="154" t="s">
        <v>1383</v>
      </c>
      <c r="N143" s="154" t="s">
        <v>61</v>
      </c>
      <c r="O143" s="154" t="s">
        <v>62</v>
      </c>
      <c r="P143" s="146">
        <v>1778381.25</v>
      </c>
      <c r="Q143" s="146">
        <v>0</v>
      </c>
      <c r="R143" s="154" t="s">
        <v>1384</v>
      </c>
      <c r="S143" s="154" t="s">
        <v>1899</v>
      </c>
      <c r="T143" s="155" t="s">
        <v>1899</v>
      </c>
      <c r="U143" s="155" t="s">
        <v>1899</v>
      </c>
      <c r="V143" s="154" t="s">
        <v>1562</v>
      </c>
      <c r="W143" s="154">
        <v>0</v>
      </c>
      <c r="X143" s="154" t="s">
        <v>63</v>
      </c>
      <c r="Y143" s="154" t="s">
        <v>1900</v>
      </c>
      <c r="Z143" s="154"/>
      <c r="AA143" s="154" t="s">
        <v>1387</v>
      </c>
      <c r="AB143" s="154">
        <v>0</v>
      </c>
      <c r="AC143" s="138">
        <f>IFERROR(IF(DATEDIF(#REF!,U143,"m")&lt;=1,1,IF(AND(DATEDIF(#REF!,U143,"m")&gt;1,DATEDIF(#REF!,U143,"m")&lt;12),2,IF(AND(DATEDIF(#REF!,U143,"m")&gt;=12,DATEDIF(#REF!,U143,"m")&lt;24),3,IF(DATEDIF(#REF!,U143,"m")&gt;=24,4,"")))),IF(E143="r0320 - Deposits, not covered and not preferential",1,4))</f>
        <v>4</v>
      </c>
    </row>
    <row r="144" spans="3:29" ht="48.75" thickBot="1" x14ac:dyDescent="0.3">
      <c r="C144" s="11">
        <v>999</v>
      </c>
      <c r="D144" s="154">
        <v>137</v>
      </c>
      <c r="E144" s="154" t="s">
        <v>1902</v>
      </c>
      <c r="F144" s="154" t="s">
        <v>83</v>
      </c>
      <c r="G144" s="154" t="s">
        <v>1903</v>
      </c>
      <c r="H144" s="154" t="s">
        <v>559</v>
      </c>
      <c r="I144" s="154" t="s">
        <v>114</v>
      </c>
      <c r="J144" s="154" t="s">
        <v>115</v>
      </c>
      <c r="K144" s="154" t="s">
        <v>60</v>
      </c>
      <c r="L144" s="154" t="s">
        <v>1897</v>
      </c>
      <c r="M144" s="154" t="s">
        <v>1388</v>
      </c>
      <c r="N144" s="154" t="s">
        <v>61</v>
      </c>
      <c r="O144" s="154" t="s">
        <v>62</v>
      </c>
      <c r="P144" s="146">
        <v>493662.54</v>
      </c>
      <c r="Q144" s="146">
        <v>-17.5</v>
      </c>
      <c r="R144" s="154" t="s">
        <v>1384</v>
      </c>
      <c r="S144" s="154" t="s">
        <v>1899</v>
      </c>
      <c r="T144" s="155" t="s">
        <v>768</v>
      </c>
      <c r="U144" s="155" t="s">
        <v>1899</v>
      </c>
      <c r="V144" s="154" t="s">
        <v>1904</v>
      </c>
      <c r="W144" s="154">
        <v>0</v>
      </c>
      <c r="X144" s="154" t="s">
        <v>63</v>
      </c>
      <c r="Y144" s="154" t="s">
        <v>1386</v>
      </c>
      <c r="Z144" s="154"/>
      <c r="AA144" s="154" t="s">
        <v>1387</v>
      </c>
      <c r="AB144" s="154">
        <v>0</v>
      </c>
      <c r="AC144" s="138">
        <f>IFERROR(IF(DATEDIF(#REF!,U144,"m")&lt;=1,1,IF(AND(DATEDIF(#REF!,U144,"m")&gt;1,DATEDIF(#REF!,U144,"m")&lt;12),2,IF(AND(DATEDIF(#REF!,U144,"m")&gt;=12,DATEDIF(#REF!,U144,"m")&lt;24),3,IF(DATEDIF(#REF!,U144,"m")&gt;=24,4,"")))),IF(E144="r0320 - Deposits, not covered and not preferential",1,4))</f>
        <v>4</v>
      </c>
    </row>
    <row r="145" spans="3:29" ht="36.75" thickBot="1" x14ac:dyDescent="0.3">
      <c r="C145" s="11">
        <v>999</v>
      </c>
      <c r="D145" s="154">
        <v>138</v>
      </c>
      <c r="E145" s="154" t="s">
        <v>1898</v>
      </c>
      <c r="F145" s="154" t="s">
        <v>87</v>
      </c>
      <c r="G145" s="154" t="s">
        <v>1402</v>
      </c>
      <c r="H145" s="154" t="s">
        <v>932</v>
      </c>
      <c r="I145" s="154" t="s">
        <v>96</v>
      </c>
      <c r="J145" s="154" t="s">
        <v>97</v>
      </c>
      <c r="K145" s="154" t="s">
        <v>91</v>
      </c>
      <c r="L145" s="154" t="s">
        <v>1897</v>
      </c>
      <c r="M145" s="154" t="s">
        <v>1383</v>
      </c>
      <c r="N145" s="154" t="s">
        <v>61</v>
      </c>
      <c r="O145" s="154" t="s">
        <v>62</v>
      </c>
      <c r="P145" s="146">
        <v>14</v>
      </c>
      <c r="Q145" s="146">
        <v>0</v>
      </c>
      <c r="R145" s="154" t="s">
        <v>1384</v>
      </c>
      <c r="S145" s="154" t="s">
        <v>1899</v>
      </c>
      <c r="T145" s="155" t="s">
        <v>1899</v>
      </c>
      <c r="U145" s="155" t="s">
        <v>1899</v>
      </c>
      <c r="V145" s="154" t="s">
        <v>1562</v>
      </c>
      <c r="W145" s="154">
        <v>0</v>
      </c>
      <c r="X145" s="154" t="s">
        <v>63</v>
      </c>
      <c r="Y145" s="154" t="s">
        <v>1900</v>
      </c>
      <c r="Z145" s="154"/>
      <c r="AA145" s="154" t="s">
        <v>1387</v>
      </c>
      <c r="AB145" s="154">
        <v>0</v>
      </c>
      <c r="AC145" s="138">
        <f>IFERROR(IF(DATEDIF(#REF!,U145,"m")&lt;=1,1,IF(AND(DATEDIF(#REF!,U145,"m")&gt;1,DATEDIF(#REF!,U145,"m")&lt;12),2,IF(AND(DATEDIF(#REF!,U145,"m")&gt;=12,DATEDIF(#REF!,U145,"m")&lt;24),3,IF(DATEDIF(#REF!,U145,"m")&gt;=24,4,"")))),IF(E145="r0320 - Deposits, not covered and not preferential",1,4))</f>
        <v>4</v>
      </c>
    </row>
    <row r="146" spans="3:29" ht="48.75" thickBot="1" x14ac:dyDescent="0.3">
      <c r="C146" s="11">
        <v>999</v>
      </c>
      <c r="D146" s="154">
        <v>139</v>
      </c>
      <c r="E146" s="154" t="s">
        <v>1902</v>
      </c>
      <c r="F146" s="154" t="s">
        <v>83</v>
      </c>
      <c r="G146" s="154" t="s">
        <v>1903</v>
      </c>
      <c r="H146" s="154" t="s">
        <v>567</v>
      </c>
      <c r="I146" s="154" t="s">
        <v>114</v>
      </c>
      <c r="J146" s="154" t="s">
        <v>115</v>
      </c>
      <c r="K146" s="154" t="s">
        <v>60</v>
      </c>
      <c r="L146" s="154" t="s">
        <v>1897</v>
      </c>
      <c r="M146" s="154" t="s">
        <v>1388</v>
      </c>
      <c r="N146" s="154" t="s">
        <v>61</v>
      </c>
      <c r="O146" s="154" t="s">
        <v>62</v>
      </c>
      <c r="P146" s="146">
        <v>37843.07</v>
      </c>
      <c r="Q146" s="146">
        <v>-0.79</v>
      </c>
      <c r="R146" s="154" t="s">
        <v>1384</v>
      </c>
      <c r="S146" s="154" t="s">
        <v>1899</v>
      </c>
      <c r="T146" s="155" t="s">
        <v>768</v>
      </c>
      <c r="U146" s="155" t="s">
        <v>1899</v>
      </c>
      <c r="V146" s="154" t="s">
        <v>1904</v>
      </c>
      <c r="W146" s="154">
        <v>0</v>
      </c>
      <c r="X146" s="154" t="s">
        <v>63</v>
      </c>
      <c r="Y146" s="154" t="s">
        <v>1386</v>
      </c>
      <c r="Z146" s="154"/>
      <c r="AA146" s="154" t="s">
        <v>1387</v>
      </c>
      <c r="AB146" s="154">
        <v>0</v>
      </c>
      <c r="AC146" s="138">
        <f>IFERROR(IF(DATEDIF(#REF!,U146,"m")&lt;=1,1,IF(AND(DATEDIF(#REF!,U146,"m")&gt;1,DATEDIF(#REF!,U146,"m")&lt;12),2,IF(AND(DATEDIF(#REF!,U146,"m")&gt;=12,DATEDIF(#REF!,U146,"m")&lt;24),3,IF(DATEDIF(#REF!,U146,"m")&gt;=24,4,"")))),IF(E146="r0320 - Deposits, not covered and not preferential",1,4))</f>
        <v>4</v>
      </c>
    </row>
    <row r="147" spans="3:29" ht="36.75" thickBot="1" x14ac:dyDescent="0.3">
      <c r="C147" s="11">
        <v>999</v>
      </c>
      <c r="D147" s="154">
        <v>140</v>
      </c>
      <c r="E147" s="154" t="s">
        <v>1898</v>
      </c>
      <c r="F147" s="154" t="s">
        <v>87</v>
      </c>
      <c r="G147" s="154" t="s">
        <v>1402</v>
      </c>
      <c r="H147" s="154" t="s">
        <v>943</v>
      </c>
      <c r="I147" s="154" t="s">
        <v>96</v>
      </c>
      <c r="J147" s="154" t="s">
        <v>97</v>
      </c>
      <c r="K147" s="154" t="s">
        <v>91</v>
      </c>
      <c r="L147" s="154" t="s">
        <v>1897</v>
      </c>
      <c r="M147" s="154" t="s">
        <v>1383</v>
      </c>
      <c r="N147" s="154" t="s">
        <v>61</v>
      </c>
      <c r="O147" s="154" t="s">
        <v>62</v>
      </c>
      <c r="P147" s="146">
        <v>1.33</v>
      </c>
      <c r="Q147" s="146">
        <v>0</v>
      </c>
      <c r="R147" s="154" t="s">
        <v>1384</v>
      </c>
      <c r="S147" s="154" t="s">
        <v>1899</v>
      </c>
      <c r="T147" s="155" t="s">
        <v>1899</v>
      </c>
      <c r="U147" s="155" t="s">
        <v>1899</v>
      </c>
      <c r="V147" s="154" t="s">
        <v>1562</v>
      </c>
      <c r="W147" s="154">
        <v>0</v>
      </c>
      <c r="X147" s="154" t="s">
        <v>63</v>
      </c>
      <c r="Y147" s="154" t="s">
        <v>1900</v>
      </c>
      <c r="Z147" s="154"/>
      <c r="AA147" s="154" t="s">
        <v>1387</v>
      </c>
      <c r="AB147" s="154">
        <v>0</v>
      </c>
      <c r="AC147" s="138">
        <f>IFERROR(IF(DATEDIF(#REF!,U147,"m")&lt;=1,1,IF(AND(DATEDIF(#REF!,U147,"m")&gt;1,DATEDIF(#REF!,U147,"m")&lt;12),2,IF(AND(DATEDIF(#REF!,U147,"m")&gt;=12,DATEDIF(#REF!,U147,"m")&lt;24),3,IF(DATEDIF(#REF!,U147,"m")&gt;=24,4,"")))),IF(E147="r0320 - Deposits, not covered and not preferential",1,4))</f>
        <v>4</v>
      </c>
    </row>
    <row r="148" spans="3:29" ht="36.75" thickBot="1" x14ac:dyDescent="0.3">
      <c r="C148" s="11">
        <v>999</v>
      </c>
      <c r="D148" s="154">
        <v>141</v>
      </c>
      <c r="E148" s="154" t="s">
        <v>1898</v>
      </c>
      <c r="F148" s="154" t="s">
        <v>87</v>
      </c>
      <c r="G148" s="154" t="s">
        <v>1402</v>
      </c>
      <c r="H148" s="154" t="s">
        <v>958</v>
      </c>
      <c r="I148" s="154" t="s">
        <v>217</v>
      </c>
      <c r="J148" s="154" t="s">
        <v>218</v>
      </c>
      <c r="K148" s="154" t="s">
        <v>60</v>
      </c>
      <c r="L148" s="154" t="s">
        <v>1897</v>
      </c>
      <c r="M148" s="154" t="s">
        <v>1383</v>
      </c>
      <c r="N148" s="154" t="s">
        <v>61</v>
      </c>
      <c r="O148" s="154" t="s">
        <v>62</v>
      </c>
      <c r="P148" s="146">
        <v>0.05</v>
      </c>
      <c r="Q148" s="146">
        <v>0</v>
      </c>
      <c r="R148" s="154" t="s">
        <v>1384</v>
      </c>
      <c r="S148" s="154" t="s">
        <v>1899</v>
      </c>
      <c r="T148" s="155" t="s">
        <v>1899</v>
      </c>
      <c r="U148" s="155" t="s">
        <v>1899</v>
      </c>
      <c r="V148" s="154" t="s">
        <v>1562</v>
      </c>
      <c r="W148" s="154">
        <v>0</v>
      </c>
      <c r="X148" s="154" t="s">
        <v>63</v>
      </c>
      <c r="Y148" s="154" t="s">
        <v>1900</v>
      </c>
      <c r="Z148" s="154"/>
      <c r="AA148" s="154" t="s">
        <v>1387</v>
      </c>
      <c r="AB148" s="154">
        <v>0</v>
      </c>
      <c r="AC148" s="138">
        <f>IFERROR(IF(DATEDIF(#REF!,U148,"m")&lt;=1,1,IF(AND(DATEDIF(#REF!,U148,"m")&gt;1,DATEDIF(#REF!,U148,"m")&lt;12),2,IF(AND(DATEDIF(#REF!,U148,"m")&gt;=12,DATEDIF(#REF!,U148,"m")&lt;24),3,IF(DATEDIF(#REF!,U148,"m")&gt;=24,4,"")))),IF(E148="r0320 - Deposits, not covered and not preferential",1,4))</f>
        <v>4</v>
      </c>
    </row>
    <row r="149" spans="3:29" ht="36.75" thickBot="1" x14ac:dyDescent="0.3">
      <c r="C149" s="11">
        <v>999</v>
      </c>
      <c r="D149" s="154">
        <v>142</v>
      </c>
      <c r="E149" s="154" t="s">
        <v>1898</v>
      </c>
      <c r="F149" s="154" t="s">
        <v>87</v>
      </c>
      <c r="G149" s="154" t="s">
        <v>1402</v>
      </c>
      <c r="H149" s="154" t="s">
        <v>231</v>
      </c>
      <c r="I149" s="154" t="s">
        <v>96</v>
      </c>
      <c r="J149" s="154" t="s">
        <v>97</v>
      </c>
      <c r="K149" s="154" t="s">
        <v>91</v>
      </c>
      <c r="L149" s="154" t="s">
        <v>1897</v>
      </c>
      <c r="M149" s="154" t="s">
        <v>1383</v>
      </c>
      <c r="N149" s="154" t="s">
        <v>61</v>
      </c>
      <c r="O149" s="154" t="s">
        <v>62</v>
      </c>
      <c r="P149" s="146">
        <v>0.03</v>
      </c>
      <c r="Q149" s="146">
        <v>0</v>
      </c>
      <c r="R149" s="154" t="s">
        <v>1384</v>
      </c>
      <c r="S149" s="154" t="s">
        <v>1899</v>
      </c>
      <c r="T149" s="155" t="s">
        <v>1899</v>
      </c>
      <c r="U149" s="155" t="s">
        <v>1899</v>
      </c>
      <c r="V149" s="154" t="s">
        <v>1562</v>
      </c>
      <c r="W149" s="154">
        <v>0</v>
      </c>
      <c r="X149" s="154" t="s">
        <v>63</v>
      </c>
      <c r="Y149" s="154" t="s">
        <v>1900</v>
      </c>
      <c r="Z149" s="154"/>
      <c r="AA149" s="154" t="s">
        <v>1387</v>
      </c>
      <c r="AB149" s="154">
        <v>0</v>
      </c>
      <c r="AC149" s="138">
        <f>IFERROR(IF(DATEDIF(#REF!,U149,"m")&lt;=1,1,IF(AND(DATEDIF(#REF!,U149,"m")&gt;1,DATEDIF(#REF!,U149,"m")&lt;12),2,IF(AND(DATEDIF(#REF!,U149,"m")&gt;=12,DATEDIF(#REF!,U149,"m")&lt;24),3,IF(DATEDIF(#REF!,U149,"m")&gt;=24,4,"")))),IF(E149="r0320 - Deposits, not covered and not preferential",1,4))</f>
        <v>4</v>
      </c>
    </row>
    <row r="150" spans="3:29" ht="36.75" thickBot="1" x14ac:dyDescent="0.3">
      <c r="C150" s="11">
        <v>999</v>
      </c>
      <c r="D150" s="154">
        <v>143</v>
      </c>
      <c r="E150" s="154" t="s">
        <v>1898</v>
      </c>
      <c r="F150" s="154" t="s">
        <v>87</v>
      </c>
      <c r="G150" s="154" t="s">
        <v>1402</v>
      </c>
      <c r="H150" s="154" t="s">
        <v>972</v>
      </c>
      <c r="I150" s="154" t="s">
        <v>99</v>
      </c>
      <c r="J150" s="154" t="s">
        <v>90</v>
      </c>
      <c r="K150" s="154" t="s">
        <v>91</v>
      </c>
      <c r="L150" s="154" t="s">
        <v>1897</v>
      </c>
      <c r="M150" s="154" t="s">
        <v>1383</v>
      </c>
      <c r="N150" s="154" t="s">
        <v>61</v>
      </c>
      <c r="O150" s="154" t="s">
        <v>62</v>
      </c>
      <c r="P150" s="146">
        <v>0.01</v>
      </c>
      <c r="Q150" s="146">
        <v>0</v>
      </c>
      <c r="R150" s="154" t="s">
        <v>1384</v>
      </c>
      <c r="S150" s="154" t="s">
        <v>1899</v>
      </c>
      <c r="T150" s="155" t="s">
        <v>1899</v>
      </c>
      <c r="U150" s="155" t="s">
        <v>1899</v>
      </c>
      <c r="V150" s="154" t="s">
        <v>1562</v>
      </c>
      <c r="W150" s="154">
        <v>0</v>
      </c>
      <c r="X150" s="154" t="s">
        <v>63</v>
      </c>
      <c r="Y150" s="154" t="s">
        <v>1900</v>
      </c>
      <c r="Z150" s="154"/>
      <c r="AA150" s="154" t="s">
        <v>1387</v>
      </c>
      <c r="AB150" s="154">
        <v>0</v>
      </c>
      <c r="AC150" s="138">
        <f>IFERROR(IF(DATEDIF(#REF!,U150,"m")&lt;=1,1,IF(AND(DATEDIF(#REF!,U150,"m")&gt;1,DATEDIF(#REF!,U150,"m")&lt;12),2,IF(AND(DATEDIF(#REF!,U150,"m")&gt;=12,DATEDIF(#REF!,U150,"m")&lt;24),3,IF(DATEDIF(#REF!,U150,"m")&gt;=24,4,"")))),IF(E150="r0320 - Deposits, not covered and not preferential",1,4))</f>
        <v>4</v>
      </c>
    </row>
    <row r="151" spans="3:29" ht="36.75" thickBot="1" x14ac:dyDescent="0.3">
      <c r="C151" s="11">
        <v>999</v>
      </c>
      <c r="D151" s="154">
        <v>144</v>
      </c>
      <c r="E151" s="154" t="s">
        <v>1898</v>
      </c>
      <c r="F151" s="154" t="s">
        <v>87</v>
      </c>
      <c r="G151" s="154" t="s">
        <v>1402</v>
      </c>
      <c r="H151" s="154" t="s">
        <v>994</v>
      </c>
      <c r="I151" s="154" t="s">
        <v>99</v>
      </c>
      <c r="J151" s="154" t="s">
        <v>90</v>
      </c>
      <c r="K151" s="154" t="s">
        <v>91</v>
      </c>
      <c r="L151" s="154" t="s">
        <v>1897</v>
      </c>
      <c r="M151" s="154" t="s">
        <v>1383</v>
      </c>
      <c r="N151" s="154" t="s">
        <v>61</v>
      </c>
      <c r="O151" s="154" t="s">
        <v>62</v>
      </c>
      <c r="P151" s="146">
        <v>0.02</v>
      </c>
      <c r="Q151" s="146">
        <v>0</v>
      </c>
      <c r="R151" s="154" t="s">
        <v>1384</v>
      </c>
      <c r="S151" s="154" t="s">
        <v>1899</v>
      </c>
      <c r="T151" s="155" t="s">
        <v>1899</v>
      </c>
      <c r="U151" s="155" t="s">
        <v>1899</v>
      </c>
      <c r="V151" s="154" t="s">
        <v>1562</v>
      </c>
      <c r="W151" s="154">
        <v>0</v>
      </c>
      <c r="X151" s="154" t="s">
        <v>63</v>
      </c>
      <c r="Y151" s="154" t="s">
        <v>1900</v>
      </c>
      <c r="Z151" s="154"/>
      <c r="AA151" s="154" t="s">
        <v>1387</v>
      </c>
      <c r="AB151" s="154">
        <v>0</v>
      </c>
      <c r="AC151" s="138">
        <f>IFERROR(IF(DATEDIF(#REF!,U151,"m")&lt;=1,1,IF(AND(DATEDIF(#REF!,U151,"m")&gt;1,DATEDIF(#REF!,U151,"m")&lt;12),2,IF(AND(DATEDIF(#REF!,U151,"m")&gt;=12,DATEDIF(#REF!,U151,"m")&lt;24),3,IF(DATEDIF(#REF!,U151,"m")&gt;=24,4,"")))),IF(E151="r0320 - Deposits, not covered and not preferential",1,4))</f>
        <v>4</v>
      </c>
    </row>
    <row r="152" spans="3:29" ht="36.75" thickBot="1" x14ac:dyDescent="0.3">
      <c r="C152" s="11">
        <v>999</v>
      </c>
      <c r="D152" s="154">
        <v>145</v>
      </c>
      <c r="E152" s="154" t="s">
        <v>1898</v>
      </c>
      <c r="F152" s="154" t="s">
        <v>56</v>
      </c>
      <c r="G152" s="154" t="s">
        <v>1402</v>
      </c>
      <c r="H152" s="154" t="s">
        <v>986</v>
      </c>
      <c r="I152" s="154" t="s">
        <v>72</v>
      </c>
      <c r="J152" s="154" t="s">
        <v>73</v>
      </c>
      <c r="K152" s="154" t="s">
        <v>60</v>
      </c>
      <c r="L152" s="154" t="s">
        <v>1897</v>
      </c>
      <c r="M152" s="154" t="s">
        <v>1388</v>
      </c>
      <c r="N152" s="154" t="s">
        <v>61</v>
      </c>
      <c r="O152" s="154" t="s">
        <v>62</v>
      </c>
      <c r="P152" s="146">
        <v>6.15</v>
      </c>
      <c r="Q152" s="146">
        <v>0</v>
      </c>
      <c r="R152" s="154" t="s">
        <v>1384</v>
      </c>
      <c r="S152" s="154" t="s">
        <v>1899</v>
      </c>
      <c r="T152" s="155" t="s">
        <v>1899</v>
      </c>
      <c r="U152" s="155" t="s">
        <v>1899</v>
      </c>
      <c r="V152" s="154" t="s">
        <v>1562</v>
      </c>
      <c r="W152" s="154">
        <v>0</v>
      </c>
      <c r="X152" s="154" t="s">
        <v>63</v>
      </c>
      <c r="Y152" s="154" t="s">
        <v>1900</v>
      </c>
      <c r="Z152" s="154"/>
      <c r="AA152" s="154" t="s">
        <v>1387</v>
      </c>
      <c r="AB152" s="154">
        <v>0</v>
      </c>
      <c r="AC152" s="138">
        <f>IFERROR(IF(DATEDIF(#REF!,U152,"m")&lt;=1,1,IF(AND(DATEDIF(#REF!,U152,"m")&gt;1,DATEDIF(#REF!,U152,"m")&lt;12),2,IF(AND(DATEDIF(#REF!,U152,"m")&gt;=12,DATEDIF(#REF!,U152,"m")&lt;24),3,IF(DATEDIF(#REF!,U152,"m")&gt;=24,4,"")))),IF(E152="r0320 - Deposits, not covered and not preferential",1,4))</f>
        <v>4</v>
      </c>
    </row>
    <row r="153" spans="3:29" ht="36.75" thickBot="1" x14ac:dyDescent="0.3">
      <c r="C153" s="11">
        <v>999</v>
      </c>
      <c r="D153" s="154">
        <v>146</v>
      </c>
      <c r="E153" s="154" t="s">
        <v>1898</v>
      </c>
      <c r="F153" s="154" t="s">
        <v>87</v>
      </c>
      <c r="G153" s="154" t="s">
        <v>1402</v>
      </c>
      <c r="H153" s="154" t="s">
        <v>945</v>
      </c>
      <c r="I153" s="154" t="s">
        <v>108</v>
      </c>
      <c r="J153" s="154" t="s">
        <v>90</v>
      </c>
      <c r="K153" s="154" t="s">
        <v>91</v>
      </c>
      <c r="L153" s="154" t="s">
        <v>1897</v>
      </c>
      <c r="M153" s="154" t="s">
        <v>1383</v>
      </c>
      <c r="N153" s="154" t="s">
        <v>61</v>
      </c>
      <c r="O153" s="154" t="s">
        <v>62</v>
      </c>
      <c r="P153" s="146">
        <v>6.12</v>
      </c>
      <c r="Q153" s="146">
        <v>0</v>
      </c>
      <c r="R153" s="154" t="s">
        <v>1384</v>
      </c>
      <c r="S153" s="154" t="s">
        <v>1899</v>
      </c>
      <c r="T153" s="155" t="s">
        <v>1899</v>
      </c>
      <c r="U153" s="155" t="s">
        <v>1899</v>
      </c>
      <c r="V153" s="154" t="s">
        <v>1562</v>
      </c>
      <c r="W153" s="154">
        <v>0</v>
      </c>
      <c r="X153" s="154" t="s">
        <v>63</v>
      </c>
      <c r="Y153" s="154" t="s">
        <v>1900</v>
      </c>
      <c r="Z153" s="154"/>
      <c r="AA153" s="154" t="s">
        <v>1387</v>
      </c>
      <c r="AB153" s="154">
        <v>0</v>
      </c>
      <c r="AC153" s="138">
        <f>IFERROR(IF(DATEDIF(#REF!,U153,"m")&lt;=1,1,IF(AND(DATEDIF(#REF!,U153,"m")&gt;1,DATEDIF(#REF!,U153,"m")&lt;12),2,IF(AND(DATEDIF(#REF!,U153,"m")&gt;=12,DATEDIF(#REF!,U153,"m")&lt;24),3,IF(DATEDIF(#REF!,U153,"m")&gt;=24,4,"")))),IF(E153="r0320 - Deposits, not covered and not preferential",1,4))</f>
        <v>4</v>
      </c>
    </row>
    <row r="154" spans="3:29" ht="36.75" thickBot="1" x14ac:dyDescent="0.3">
      <c r="C154" s="11">
        <v>999</v>
      </c>
      <c r="D154" s="154">
        <v>147</v>
      </c>
      <c r="E154" s="154" t="s">
        <v>1898</v>
      </c>
      <c r="F154" s="154" t="s">
        <v>87</v>
      </c>
      <c r="G154" s="154" t="s">
        <v>1402</v>
      </c>
      <c r="H154" s="154" t="s">
        <v>605</v>
      </c>
      <c r="I154" s="154" t="s">
        <v>99</v>
      </c>
      <c r="J154" s="154" t="s">
        <v>90</v>
      </c>
      <c r="K154" s="154" t="s">
        <v>91</v>
      </c>
      <c r="L154" s="154" t="s">
        <v>1897</v>
      </c>
      <c r="M154" s="154" t="s">
        <v>1383</v>
      </c>
      <c r="N154" s="154" t="s">
        <v>61</v>
      </c>
      <c r="O154" s="154" t="s">
        <v>62</v>
      </c>
      <c r="P154" s="146">
        <v>0.02</v>
      </c>
      <c r="Q154" s="146">
        <v>0</v>
      </c>
      <c r="R154" s="154" t="s">
        <v>1384</v>
      </c>
      <c r="S154" s="154" t="s">
        <v>1899</v>
      </c>
      <c r="T154" s="155" t="s">
        <v>1899</v>
      </c>
      <c r="U154" s="155" t="s">
        <v>1899</v>
      </c>
      <c r="V154" s="154" t="s">
        <v>1562</v>
      </c>
      <c r="W154" s="154">
        <v>0</v>
      </c>
      <c r="X154" s="154" t="s">
        <v>63</v>
      </c>
      <c r="Y154" s="154" t="s">
        <v>1900</v>
      </c>
      <c r="Z154" s="154"/>
      <c r="AA154" s="154" t="s">
        <v>1387</v>
      </c>
      <c r="AB154" s="154">
        <v>0</v>
      </c>
      <c r="AC154" s="138">
        <f>IFERROR(IF(DATEDIF(#REF!,U154,"m")&lt;=1,1,IF(AND(DATEDIF(#REF!,U154,"m")&gt;1,DATEDIF(#REF!,U154,"m")&lt;12),2,IF(AND(DATEDIF(#REF!,U154,"m")&gt;=12,DATEDIF(#REF!,U154,"m")&lt;24),3,IF(DATEDIF(#REF!,U154,"m")&gt;=24,4,"")))),IF(E154="r0320 - Deposits, not covered and not preferential",1,4))</f>
        <v>4</v>
      </c>
    </row>
    <row r="155" spans="3:29" ht="48.75" thickBot="1" x14ac:dyDescent="0.3">
      <c r="C155" s="11">
        <v>999</v>
      </c>
      <c r="D155" s="154">
        <v>148</v>
      </c>
      <c r="E155" s="154" t="s">
        <v>2638</v>
      </c>
      <c r="F155" s="154" t="s">
        <v>260</v>
      </c>
      <c r="G155" s="154" t="s">
        <v>768</v>
      </c>
      <c r="H155" s="154" t="s">
        <v>279</v>
      </c>
      <c r="I155" s="154" t="s">
        <v>262</v>
      </c>
      <c r="J155" s="154" t="s">
        <v>263</v>
      </c>
      <c r="K155" s="154" t="s">
        <v>91</v>
      </c>
      <c r="L155" s="154" t="s">
        <v>1897</v>
      </c>
      <c r="M155" s="154" t="s">
        <v>1388</v>
      </c>
      <c r="N155" s="154" t="s">
        <v>61</v>
      </c>
      <c r="O155" s="154" t="s">
        <v>62</v>
      </c>
      <c r="P155" s="146">
        <v>1900000</v>
      </c>
      <c r="Q155" s="146">
        <v>275369.11</v>
      </c>
      <c r="R155" s="154" t="s">
        <v>1384</v>
      </c>
      <c r="S155" s="154" t="s">
        <v>1385</v>
      </c>
      <c r="T155" s="155" t="s">
        <v>1385</v>
      </c>
      <c r="U155" s="155" t="s">
        <v>1385</v>
      </c>
      <c r="V155" s="154" t="s">
        <v>1562</v>
      </c>
      <c r="W155" s="154">
        <v>0</v>
      </c>
      <c r="X155" s="154" t="s">
        <v>63</v>
      </c>
      <c r="Y155" s="154" t="s">
        <v>1900</v>
      </c>
      <c r="Z155" s="154"/>
      <c r="AA155" s="154" t="s">
        <v>1387</v>
      </c>
      <c r="AB155" s="154">
        <v>0</v>
      </c>
      <c r="AC155" s="138">
        <f>IFERROR(IF(DATEDIF(#REF!,U155,"m")&lt;=1,1,IF(AND(DATEDIF(#REF!,U155,"m")&gt;1,DATEDIF(#REF!,U155,"m")&lt;12),2,IF(AND(DATEDIF(#REF!,U155,"m")&gt;=12,DATEDIF(#REF!,U155,"m")&lt;24),3,IF(DATEDIF(#REF!,U155,"m")&gt;=24,4,"")))),IF(E155="r0320 - Deposits, not covered and not preferential",1,4))</f>
        <v>4</v>
      </c>
    </row>
    <row r="156" spans="3:29" ht="36.75" thickBot="1" x14ac:dyDescent="0.3">
      <c r="C156" s="11">
        <v>999</v>
      </c>
      <c r="D156" s="154">
        <v>149</v>
      </c>
      <c r="E156" s="154" t="s">
        <v>1898</v>
      </c>
      <c r="F156" s="154" t="s">
        <v>87</v>
      </c>
      <c r="G156" s="154" t="s">
        <v>1402</v>
      </c>
      <c r="H156" s="154" t="s">
        <v>612</v>
      </c>
      <c r="I156" s="154" t="s">
        <v>99</v>
      </c>
      <c r="J156" s="154" t="s">
        <v>90</v>
      </c>
      <c r="K156" s="154" t="s">
        <v>91</v>
      </c>
      <c r="L156" s="154" t="s">
        <v>1897</v>
      </c>
      <c r="M156" s="154" t="s">
        <v>1383</v>
      </c>
      <c r="N156" s="154" t="s">
        <v>61</v>
      </c>
      <c r="O156" s="154" t="s">
        <v>62</v>
      </c>
      <c r="P156" s="146">
        <v>0.06</v>
      </c>
      <c r="Q156" s="146">
        <v>0</v>
      </c>
      <c r="R156" s="154" t="s">
        <v>1384</v>
      </c>
      <c r="S156" s="154" t="s">
        <v>1899</v>
      </c>
      <c r="T156" s="155" t="s">
        <v>1899</v>
      </c>
      <c r="U156" s="155" t="s">
        <v>1899</v>
      </c>
      <c r="V156" s="154" t="s">
        <v>1562</v>
      </c>
      <c r="W156" s="154">
        <v>0</v>
      </c>
      <c r="X156" s="154" t="s">
        <v>63</v>
      </c>
      <c r="Y156" s="154" t="s">
        <v>1900</v>
      </c>
      <c r="Z156" s="154"/>
      <c r="AA156" s="154" t="s">
        <v>1387</v>
      </c>
      <c r="AB156" s="154">
        <v>0</v>
      </c>
      <c r="AC156" s="138">
        <f>IFERROR(IF(DATEDIF(#REF!,U156,"m")&lt;=1,1,IF(AND(DATEDIF(#REF!,U156,"m")&gt;1,DATEDIF(#REF!,U156,"m")&lt;12),2,IF(AND(DATEDIF(#REF!,U156,"m")&gt;=12,DATEDIF(#REF!,U156,"m")&lt;24),3,IF(DATEDIF(#REF!,U156,"m")&gt;=24,4,"")))),IF(E156="r0320 - Deposits, not covered and not preferential",1,4))</f>
        <v>4</v>
      </c>
    </row>
    <row r="157" spans="3:29" ht="36.75" thickBot="1" x14ac:dyDescent="0.3">
      <c r="C157" s="11">
        <v>999</v>
      </c>
      <c r="D157" s="154">
        <v>150</v>
      </c>
      <c r="E157" s="154" t="s">
        <v>1898</v>
      </c>
      <c r="F157" s="154" t="s">
        <v>56</v>
      </c>
      <c r="G157" s="154" t="s">
        <v>1402</v>
      </c>
      <c r="H157" s="154" t="s">
        <v>370</v>
      </c>
      <c r="I157" s="154" t="s">
        <v>66</v>
      </c>
      <c r="J157" s="154" t="s">
        <v>67</v>
      </c>
      <c r="K157" s="154" t="s">
        <v>60</v>
      </c>
      <c r="L157" s="154" t="s">
        <v>1897</v>
      </c>
      <c r="M157" s="154" t="s">
        <v>1383</v>
      </c>
      <c r="N157" s="154" t="s">
        <v>61</v>
      </c>
      <c r="O157" s="154" t="s">
        <v>62</v>
      </c>
      <c r="P157" s="146">
        <v>3.64</v>
      </c>
      <c r="Q157" s="146">
        <v>0</v>
      </c>
      <c r="R157" s="154" t="s">
        <v>1384</v>
      </c>
      <c r="S157" s="154" t="s">
        <v>1899</v>
      </c>
      <c r="T157" s="155" t="s">
        <v>1899</v>
      </c>
      <c r="U157" s="155" t="s">
        <v>1899</v>
      </c>
      <c r="V157" s="154" t="s">
        <v>1562</v>
      </c>
      <c r="W157" s="154">
        <v>0</v>
      </c>
      <c r="X157" s="154" t="s">
        <v>63</v>
      </c>
      <c r="Y157" s="154" t="s">
        <v>1900</v>
      </c>
      <c r="Z157" s="154"/>
      <c r="AA157" s="154" t="s">
        <v>1387</v>
      </c>
      <c r="AB157" s="154">
        <v>0</v>
      </c>
      <c r="AC157" s="138">
        <f>IFERROR(IF(DATEDIF(#REF!,U157,"m")&lt;=1,1,IF(AND(DATEDIF(#REF!,U157,"m")&gt;1,DATEDIF(#REF!,U157,"m")&lt;12),2,IF(AND(DATEDIF(#REF!,U157,"m")&gt;=12,DATEDIF(#REF!,U157,"m")&lt;24),3,IF(DATEDIF(#REF!,U157,"m")&gt;=24,4,"")))),IF(E157="r0320 - Deposits, not covered and not preferential",1,4))</f>
        <v>4</v>
      </c>
    </row>
    <row r="158" spans="3:29" ht="36.75" thickBot="1" x14ac:dyDescent="0.3">
      <c r="C158" s="11">
        <v>999</v>
      </c>
      <c r="D158" s="154">
        <v>151</v>
      </c>
      <c r="E158" s="154" t="s">
        <v>1898</v>
      </c>
      <c r="F158" s="154" t="s">
        <v>87</v>
      </c>
      <c r="G158" s="154" t="s">
        <v>1402</v>
      </c>
      <c r="H158" s="154" t="s">
        <v>620</v>
      </c>
      <c r="I158" s="154" t="s">
        <v>89</v>
      </c>
      <c r="J158" s="154" t="s">
        <v>90</v>
      </c>
      <c r="K158" s="154" t="s">
        <v>91</v>
      </c>
      <c r="L158" s="154" t="s">
        <v>1901</v>
      </c>
      <c r="M158" s="154" t="s">
        <v>1383</v>
      </c>
      <c r="N158" s="154" t="s">
        <v>61</v>
      </c>
      <c r="O158" s="154" t="s">
        <v>62</v>
      </c>
      <c r="P158" s="146">
        <v>7.0000000000000007E-2</v>
      </c>
      <c r="Q158" s="146">
        <v>0</v>
      </c>
      <c r="R158" s="154" t="s">
        <v>1384</v>
      </c>
      <c r="S158" s="154" t="s">
        <v>1899</v>
      </c>
      <c r="T158" s="155" t="s">
        <v>1899</v>
      </c>
      <c r="U158" s="155" t="s">
        <v>1899</v>
      </c>
      <c r="V158" s="154" t="s">
        <v>1562</v>
      </c>
      <c r="W158" s="154">
        <v>0</v>
      </c>
      <c r="X158" s="154" t="s">
        <v>63</v>
      </c>
      <c r="Y158" s="154" t="s">
        <v>1900</v>
      </c>
      <c r="Z158" s="154"/>
      <c r="AA158" s="154" t="s">
        <v>1387</v>
      </c>
      <c r="AB158" s="154">
        <v>0</v>
      </c>
      <c r="AC158" s="138">
        <f>IFERROR(IF(DATEDIF(#REF!,U158,"m")&lt;=1,1,IF(AND(DATEDIF(#REF!,U158,"m")&gt;1,DATEDIF(#REF!,U158,"m")&lt;12),2,IF(AND(DATEDIF(#REF!,U158,"m")&gt;=12,DATEDIF(#REF!,U158,"m")&lt;24),3,IF(DATEDIF(#REF!,U158,"m")&gt;=24,4,"")))),IF(E158="r0320 - Deposits, not covered and not preferential",1,4))</f>
        <v>4</v>
      </c>
    </row>
    <row r="159" spans="3:29" ht="36.75" thickBot="1" x14ac:dyDescent="0.3">
      <c r="C159" s="11">
        <v>999</v>
      </c>
      <c r="D159" s="154">
        <v>152</v>
      </c>
      <c r="E159" s="154" t="s">
        <v>1898</v>
      </c>
      <c r="F159" s="154" t="s">
        <v>87</v>
      </c>
      <c r="G159" s="154" t="s">
        <v>1402</v>
      </c>
      <c r="H159" s="154" t="s">
        <v>1043</v>
      </c>
      <c r="I159" s="154" t="s">
        <v>89</v>
      </c>
      <c r="J159" s="154" t="s">
        <v>90</v>
      </c>
      <c r="K159" s="154" t="s">
        <v>91</v>
      </c>
      <c r="L159" s="154" t="s">
        <v>1901</v>
      </c>
      <c r="M159" s="154" t="s">
        <v>1383</v>
      </c>
      <c r="N159" s="154" t="s">
        <v>61</v>
      </c>
      <c r="O159" s="154" t="s">
        <v>62</v>
      </c>
      <c r="P159" s="146">
        <v>0.11</v>
      </c>
      <c r="Q159" s="146">
        <v>0</v>
      </c>
      <c r="R159" s="154" t="s">
        <v>1384</v>
      </c>
      <c r="S159" s="154" t="s">
        <v>1899</v>
      </c>
      <c r="T159" s="155" t="s">
        <v>1899</v>
      </c>
      <c r="U159" s="155" t="s">
        <v>1899</v>
      </c>
      <c r="V159" s="154" t="s">
        <v>1562</v>
      </c>
      <c r="W159" s="154">
        <v>0</v>
      </c>
      <c r="X159" s="154" t="s">
        <v>63</v>
      </c>
      <c r="Y159" s="154" t="s">
        <v>1900</v>
      </c>
      <c r="Z159" s="154"/>
      <c r="AA159" s="154" t="s">
        <v>1387</v>
      </c>
      <c r="AB159" s="154">
        <v>0</v>
      </c>
      <c r="AC159" s="138">
        <f>IFERROR(IF(DATEDIF(#REF!,U159,"m")&lt;=1,1,IF(AND(DATEDIF(#REF!,U159,"m")&gt;1,DATEDIF(#REF!,U159,"m")&lt;12),2,IF(AND(DATEDIF(#REF!,U159,"m")&gt;=12,DATEDIF(#REF!,U159,"m")&lt;24),3,IF(DATEDIF(#REF!,U159,"m")&gt;=24,4,"")))),IF(E159="r0320 - Deposits, not covered and not preferential",1,4))</f>
        <v>4</v>
      </c>
    </row>
    <row r="160" spans="3:29" ht="36.75" thickBot="1" x14ac:dyDescent="0.3">
      <c r="C160" s="11">
        <v>999</v>
      </c>
      <c r="D160" s="154">
        <v>153</v>
      </c>
      <c r="E160" s="154" t="s">
        <v>1898</v>
      </c>
      <c r="F160" s="154" t="s">
        <v>87</v>
      </c>
      <c r="G160" s="154" t="s">
        <v>1402</v>
      </c>
      <c r="H160" s="154" t="s">
        <v>627</v>
      </c>
      <c r="I160" s="154" t="s">
        <v>89</v>
      </c>
      <c r="J160" s="154" t="s">
        <v>90</v>
      </c>
      <c r="K160" s="154" t="s">
        <v>91</v>
      </c>
      <c r="L160" s="154" t="s">
        <v>1901</v>
      </c>
      <c r="M160" s="154" t="s">
        <v>1383</v>
      </c>
      <c r="N160" s="154" t="s">
        <v>61</v>
      </c>
      <c r="O160" s="154" t="s">
        <v>62</v>
      </c>
      <c r="P160" s="146">
        <v>0.18</v>
      </c>
      <c r="Q160" s="146">
        <v>0</v>
      </c>
      <c r="R160" s="154" t="s">
        <v>1384</v>
      </c>
      <c r="S160" s="154" t="s">
        <v>1899</v>
      </c>
      <c r="T160" s="155" t="s">
        <v>1899</v>
      </c>
      <c r="U160" s="155" t="s">
        <v>1899</v>
      </c>
      <c r="V160" s="154" t="s">
        <v>1562</v>
      </c>
      <c r="W160" s="154">
        <v>0</v>
      </c>
      <c r="X160" s="154" t="s">
        <v>63</v>
      </c>
      <c r="Y160" s="154" t="s">
        <v>1900</v>
      </c>
      <c r="Z160" s="154"/>
      <c r="AA160" s="154" t="s">
        <v>1387</v>
      </c>
      <c r="AB160" s="154">
        <v>0</v>
      </c>
      <c r="AC160" s="138">
        <f>IFERROR(IF(DATEDIF(#REF!,U160,"m")&lt;=1,1,IF(AND(DATEDIF(#REF!,U160,"m")&gt;1,DATEDIF(#REF!,U160,"m")&lt;12),2,IF(AND(DATEDIF(#REF!,U160,"m")&gt;=12,DATEDIF(#REF!,U160,"m")&lt;24),3,IF(DATEDIF(#REF!,U160,"m")&gt;=24,4,"")))),IF(E160="r0320 - Deposits, not covered and not preferential",1,4))</f>
        <v>4</v>
      </c>
    </row>
    <row r="161" spans="3:29" ht="36.75" thickBot="1" x14ac:dyDescent="0.3">
      <c r="C161" s="11">
        <v>999</v>
      </c>
      <c r="D161" s="154">
        <v>154</v>
      </c>
      <c r="E161" s="154" t="s">
        <v>1898</v>
      </c>
      <c r="F161" s="154" t="s">
        <v>56</v>
      </c>
      <c r="G161" s="154" t="s">
        <v>1402</v>
      </c>
      <c r="H161" s="154" t="s">
        <v>240</v>
      </c>
      <c r="I161" s="154" t="s">
        <v>66</v>
      </c>
      <c r="J161" s="154" t="s">
        <v>67</v>
      </c>
      <c r="K161" s="154" t="s">
        <v>60</v>
      </c>
      <c r="L161" s="154" t="s">
        <v>1897</v>
      </c>
      <c r="M161" s="154" t="s">
        <v>1383</v>
      </c>
      <c r="N161" s="154" t="s">
        <v>61</v>
      </c>
      <c r="O161" s="154" t="s">
        <v>62</v>
      </c>
      <c r="P161" s="146">
        <v>1.72</v>
      </c>
      <c r="Q161" s="146">
        <v>0</v>
      </c>
      <c r="R161" s="154" t="s">
        <v>1384</v>
      </c>
      <c r="S161" s="154" t="s">
        <v>1899</v>
      </c>
      <c r="T161" s="155" t="s">
        <v>1899</v>
      </c>
      <c r="U161" s="155" t="s">
        <v>1899</v>
      </c>
      <c r="V161" s="154" t="s">
        <v>1562</v>
      </c>
      <c r="W161" s="154">
        <v>0</v>
      </c>
      <c r="X161" s="154" t="s">
        <v>63</v>
      </c>
      <c r="Y161" s="154" t="s">
        <v>1900</v>
      </c>
      <c r="Z161" s="154"/>
      <c r="AA161" s="154" t="s">
        <v>1387</v>
      </c>
      <c r="AB161" s="154">
        <v>0</v>
      </c>
      <c r="AC161" s="138">
        <f>IFERROR(IF(DATEDIF(#REF!,U161,"m")&lt;=1,1,IF(AND(DATEDIF(#REF!,U161,"m")&gt;1,DATEDIF(#REF!,U161,"m")&lt;12),2,IF(AND(DATEDIF(#REF!,U161,"m")&gt;=12,DATEDIF(#REF!,U161,"m")&lt;24),3,IF(DATEDIF(#REF!,U161,"m")&gt;=24,4,"")))),IF(E161="r0320 - Deposits, not covered and not preferential",1,4))</f>
        <v>4</v>
      </c>
    </row>
    <row r="162" spans="3:29" ht="36.75" thickBot="1" x14ac:dyDescent="0.3">
      <c r="C162" s="11">
        <v>999</v>
      </c>
      <c r="D162" s="154">
        <v>155</v>
      </c>
      <c r="E162" s="154" t="s">
        <v>1898</v>
      </c>
      <c r="F162" s="154" t="s">
        <v>87</v>
      </c>
      <c r="G162" s="154" t="s">
        <v>1402</v>
      </c>
      <c r="H162" s="154" t="s">
        <v>389</v>
      </c>
      <c r="I162" s="154" t="s">
        <v>89</v>
      </c>
      <c r="J162" s="154" t="s">
        <v>90</v>
      </c>
      <c r="K162" s="154" t="s">
        <v>91</v>
      </c>
      <c r="L162" s="154" t="s">
        <v>1901</v>
      </c>
      <c r="M162" s="154" t="s">
        <v>1383</v>
      </c>
      <c r="N162" s="154" t="s">
        <v>61</v>
      </c>
      <c r="O162" s="154" t="s">
        <v>62</v>
      </c>
      <c r="P162" s="146">
        <v>0.28999999999999998</v>
      </c>
      <c r="Q162" s="146">
        <v>0</v>
      </c>
      <c r="R162" s="154" t="s">
        <v>1384</v>
      </c>
      <c r="S162" s="154" t="s">
        <v>1899</v>
      </c>
      <c r="T162" s="155" t="s">
        <v>1899</v>
      </c>
      <c r="U162" s="155" t="s">
        <v>1899</v>
      </c>
      <c r="V162" s="154" t="s">
        <v>1562</v>
      </c>
      <c r="W162" s="154">
        <v>0</v>
      </c>
      <c r="X162" s="154" t="s">
        <v>63</v>
      </c>
      <c r="Y162" s="154" t="s">
        <v>1900</v>
      </c>
      <c r="Z162" s="154"/>
      <c r="AA162" s="154" t="s">
        <v>1387</v>
      </c>
      <c r="AB162" s="154">
        <v>0</v>
      </c>
      <c r="AC162" s="138">
        <f>IFERROR(IF(DATEDIF(#REF!,U162,"m")&lt;=1,1,IF(AND(DATEDIF(#REF!,U162,"m")&gt;1,DATEDIF(#REF!,U162,"m")&lt;12),2,IF(AND(DATEDIF(#REF!,U162,"m")&gt;=12,DATEDIF(#REF!,U162,"m")&lt;24),3,IF(DATEDIF(#REF!,U162,"m")&gt;=24,4,"")))),IF(E162="r0320 - Deposits, not covered and not preferential",1,4))</f>
        <v>4</v>
      </c>
    </row>
    <row r="163" spans="3:29" ht="36.75" thickBot="1" x14ac:dyDescent="0.3">
      <c r="C163" s="11">
        <v>999</v>
      </c>
      <c r="D163" s="154">
        <v>156</v>
      </c>
      <c r="E163" s="154" t="s">
        <v>1898</v>
      </c>
      <c r="F163" s="154" t="s">
        <v>87</v>
      </c>
      <c r="G163" s="154" t="s">
        <v>1402</v>
      </c>
      <c r="H163" s="154" t="s">
        <v>1125</v>
      </c>
      <c r="I163" s="154" t="s">
        <v>89</v>
      </c>
      <c r="J163" s="154" t="s">
        <v>90</v>
      </c>
      <c r="K163" s="154" t="s">
        <v>91</v>
      </c>
      <c r="L163" s="154" t="s">
        <v>1901</v>
      </c>
      <c r="M163" s="154" t="s">
        <v>1383</v>
      </c>
      <c r="N163" s="154" t="s">
        <v>61</v>
      </c>
      <c r="O163" s="154" t="s">
        <v>62</v>
      </c>
      <c r="P163" s="146">
        <v>0.37</v>
      </c>
      <c r="Q163" s="146">
        <v>0</v>
      </c>
      <c r="R163" s="154" t="s">
        <v>1384</v>
      </c>
      <c r="S163" s="154" t="s">
        <v>1899</v>
      </c>
      <c r="T163" s="155" t="s">
        <v>1899</v>
      </c>
      <c r="U163" s="155" t="s">
        <v>1899</v>
      </c>
      <c r="V163" s="154" t="s">
        <v>1562</v>
      </c>
      <c r="W163" s="154">
        <v>0</v>
      </c>
      <c r="X163" s="154" t="s">
        <v>63</v>
      </c>
      <c r="Y163" s="154" t="s">
        <v>1900</v>
      </c>
      <c r="Z163" s="154"/>
      <c r="AA163" s="154" t="s">
        <v>1387</v>
      </c>
      <c r="AB163" s="154">
        <v>0</v>
      </c>
      <c r="AC163" s="138">
        <f>IFERROR(IF(DATEDIF(#REF!,U163,"m")&lt;=1,1,IF(AND(DATEDIF(#REF!,U163,"m")&gt;1,DATEDIF(#REF!,U163,"m")&lt;12),2,IF(AND(DATEDIF(#REF!,U163,"m")&gt;=12,DATEDIF(#REF!,U163,"m")&lt;24),3,IF(DATEDIF(#REF!,U163,"m")&gt;=24,4,"")))),IF(E163="r0320 - Deposits, not covered and not preferential",1,4))</f>
        <v>4</v>
      </c>
    </row>
    <row r="164" spans="3:29" ht="36.75" thickBot="1" x14ac:dyDescent="0.3">
      <c r="C164" s="11">
        <v>999</v>
      </c>
      <c r="D164" s="154">
        <v>157</v>
      </c>
      <c r="E164" s="154" t="s">
        <v>1898</v>
      </c>
      <c r="F164" s="154" t="s">
        <v>87</v>
      </c>
      <c r="G164" s="154" t="s">
        <v>1402</v>
      </c>
      <c r="H164" s="154" t="s">
        <v>393</v>
      </c>
      <c r="I164" s="154" t="s">
        <v>99</v>
      </c>
      <c r="J164" s="154" t="s">
        <v>90</v>
      </c>
      <c r="K164" s="154" t="s">
        <v>91</v>
      </c>
      <c r="L164" s="154" t="s">
        <v>1897</v>
      </c>
      <c r="M164" s="154" t="s">
        <v>1383</v>
      </c>
      <c r="N164" s="154" t="s">
        <v>61</v>
      </c>
      <c r="O164" s="154" t="s">
        <v>62</v>
      </c>
      <c r="P164" s="146">
        <v>0.01</v>
      </c>
      <c r="Q164" s="146">
        <v>0</v>
      </c>
      <c r="R164" s="154" t="s">
        <v>1384</v>
      </c>
      <c r="S164" s="154" t="s">
        <v>1899</v>
      </c>
      <c r="T164" s="155" t="s">
        <v>1899</v>
      </c>
      <c r="U164" s="155" t="s">
        <v>1899</v>
      </c>
      <c r="V164" s="154" t="s">
        <v>1562</v>
      </c>
      <c r="W164" s="154">
        <v>0</v>
      </c>
      <c r="X164" s="154" t="s">
        <v>63</v>
      </c>
      <c r="Y164" s="154" t="s">
        <v>1900</v>
      </c>
      <c r="Z164" s="154"/>
      <c r="AA164" s="154" t="s">
        <v>1387</v>
      </c>
      <c r="AB164" s="154">
        <v>0</v>
      </c>
      <c r="AC164" s="138">
        <f>IFERROR(IF(DATEDIF(#REF!,U164,"m")&lt;=1,1,IF(AND(DATEDIF(#REF!,U164,"m")&gt;1,DATEDIF(#REF!,U164,"m")&lt;12),2,IF(AND(DATEDIF(#REF!,U164,"m")&gt;=12,DATEDIF(#REF!,U164,"m")&lt;24),3,IF(DATEDIF(#REF!,U164,"m")&gt;=24,4,"")))),IF(E164="r0320 - Deposits, not covered and not preferential",1,4))</f>
        <v>4</v>
      </c>
    </row>
    <row r="165" spans="3:29" ht="36.75" thickBot="1" x14ac:dyDescent="0.3">
      <c r="C165" s="11">
        <v>999</v>
      </c>
      <c r="D165" s="154">
        <v>158</v>
      </c>
      <c r="E165" s="154" t="s">
        <v>1898</v>
      </c>
      <c r="F165" s="154" t="s">
        <v>87</v>
      </c>
      <c r="G165" s="154" t="s">
        <v>1402</v>
      </c>
      <c r="H165" s="154" t="s">
        <v>386</v>
      </c>
      <c r="I165" s="154" t="s">
        <v>108</v>
      </c>
      <c r="J165" s="154" t="s">
        <v>90</v>
      </c>
      <c r="K165" s="154" t="s">
        <v>91</v>
      </c>
      <c r="L165" s="154" t="s">
        <v>1897</v>
      </c>
      <c r="M165" s="154" t="s">
        <v>1383</v>
      </c>
      <c r="N165" s="154" t="s">
        <v>61</v>
      </c>
      <c r="O165" s="154" t="s">
        <v>62</v>
      </c>
      <c r="P165" s="146">
        <v>0.54</v>
      </c>
      <c r="Q165" s="146">
        <v>0</v>
      </c>
      <c r="R165" s="154" t="s">
        <v>1384</v>
      </c>
      <c r="S165" s="154" t="s">
        <v>1899</v>
      </c>
      <c r="T165" s="155" t="s">
        <v>1899</v>
      </c>
      <c r="U165" s="155" t="s">
        <v>1899</v>
      </c>
      <c r="V165" s="154" t="s">
        <v>1562</v>
      </c>
      <c r="W165" s="154">
        <v>0</v>
      </c>
      <c r="X165" s="154" t="s">
        <v>63</v>
      </c>
      <c r="Y165" s="154" t="s">
        <v>1900</v>
      </c>
      <c r="Z165" s="154"/>
      <c r="AA165" s="154" t="s">
        <v>1387</v>
      </c>
      <c r="AB165" s="154">
        <v>0</v>
      </c>
      <c r="AC165" s="138">
        <f>IFERROR(IF(DATEDIF(#REF!,U165,"m")&lt;=1,1,IF(AND(DATEDIF(#REF!,U165,"m")&gt;1,DATEDIF(#REF!,U165,"m")&lt;12),2,IF(AND(DATEDIF(#REF!,U165,"m")&gt;=12,DATEDIF(#REF!,U165,"m")&lt;24),3,IF(DATEDIF(#REF!,U165,"m")&gt;=24,4,"")))),IF(E165="r0320 - Deposits, not covered and not preferential",1,4))</f>
        <v>4</v>
      </c>
    </row>
    <row r="166" spans="3:29" ht="36.75" thickBot="1" x14ac:dyDescent="0.3">
      <c r="C166" s="11">
        <v>999</v>
      </c>
      <c r="D166" s="154">
        <v>159</v>
      </c>
      <c r="E166" s="154" t="s">
        <v>1898</v>
      </c>
      <c r="F166" s="154" t="s">
        <v>87</v>
      </c>
      <c r="G166" s="154" t="s">
        <v>1402</v>
      </c>
      <c r="H166" s="154" t="s">
        <v>1061</v>
      </c>
      <c r="I166" s="154" t="s">
        <v>108</v>
      </c>
      <c r="J166" s="154" t="s">
        <v>90</v>
      </c>
      <c r="K166" s="154" t="s">
        <v>91</v>
      </c>
      <c r="L166" s="154" t="s">
        <v>1897</v>
      </c>
      <c r="M166" s="154" t="s">
        <v>1383</v>
      </c>
      <c r="N166" s="154" t="s">
        <v>61</v>
      </c>
      <c r="O166" s="154" t="s">
        <v>62</v>
      </c>
      <c r="P166" s="146">
        <v>1.74</v>
      </c>
      <c r="Q166" s="146">
        <v>0</v>
      </c>
      <c r="R166" s="154" t="s">
        <v>1384</v>
      </c>
      <c r="S166" s="154" t="s">
        <v>1899</v>
      </c>
      <c r="T166" s="155" t="s">
        <v>1899</v>
      </c>
      <c r="U166" s="155" t="s">
        <v>1899</v>
      </c>
      <c r="V166" s="154" t="s">
        <v>1562</v>
      </c>
      <c r="W166" s="154">
        <v>0</v>
      </c>
      <c r="X166" s="154" t="s">
        <v>63</v>
      </c>
      <c r="Y166" s="154" t="s">
        <v>1900</v>
      </c>
      <c r="Z166" s="154"/>
      <c r="AA166" s="154" t="s">
        <v>1387</v>
      </c>
      <c r="AB166" s="154">
        <v>0</v>
      </c>
      <c r="AC166" s="138">
        <f>IFERROR(IF(DATEDIF(#REF!,U166,"m")&lt;=1,1,IF(AND(DATEDIF(#REF!,U166,"m")&gt;1,DATEDIF(#REF!,U166,"m")&lt;12),2,IF(AND(DATEDIF(#REF!,U166,"m")&gt;=12,DATEDIF(#REF!,U166,"m")&lt;24),3,IF(DATEDIF(#REF!,U166,"m")&gt;=24,4,"")))),IF(E166="r0320 - Deposits, not covered and not preferential",1,4))</f>
        <v>4</v>
      </c>
    </row>
    <row r="167" spans="3:29" ht="36.75" thickBot="1" x14ac:dyDescent="0.3">
      <c r="C167" s="11">
        <v>999</v>
      </c>
      <c r="D167" s="154">
        <v>160</v>
      </c>
      <c r="E167" s="154" t="s">
        <v>1898</v>
      </c>
      <c r="F167" s="154" t="s">
        <v>87</v>
      </c>
      <c r="G167" s="154" t="s">
        <v>1402</v>
      </c>
      <c r="H167" s="154" t="s">
        <v>1089</v>
      </c>
      <c r="I167" s="154" t="s">
        <v>89</v>
      </c>
      <c r="J167" s="154" t="s">
        <v>90</v>
      </c>
      <c r="K167" s="154" t="s">
        <v>91</v>
      </c>
      <c r="L167" s="154" t="s">
        <v>1901</v>
      </c>
      <c r="M167" s="154" t="s">
        <v>1383</v>
      </c>
      <c r="N167" s="154" t="s">
        <v>61</v>
      </c>
      <c r="O167" s="154" t="s">
        <v>62</v>
      </c>
      <c r="P167" s="146">
        <v>0.23</v>
      </c>
      <c r="Q167" s="146">
        <v>0</v>
      </c>
      <c r="R167" s="154" t="s">
        <v>1384</v>
      </c>
      <c r="S167" s="154" t="s">
        <v>1899</v>
      </c>
      <c r="T167" s="155" t="s">
        <v>1899</v>
      </c>
      <c r="U167" s="155" t="s">
        <v>1899</v>
      </c>
      <c r="V167" s="154" t="s">
        <v>1562</v>
      </c>
      <c r="W167" s="154">
        <v>0</v>
      </c>
      <c r="X167" s="154" t="s">
        <v>63</v>
      </c>
      <c r="Y167" s="154" t="s">
        <v>1900</v>
      </c>
      <c r="Z167" s="154"/>
      <c r="AA167" s="154" t="s">
        <v>1387</v>
      </c>
      <c r="AB167" s="154">
        <v>0</v>
      </c>
      <c r="AC167" s="138">
        <f>IFERROR(IF(DATEDIF(#REF!,U167,"m")&lt;=1,1,IF(AND(DATEDIF(#REF!,U167,"m")&gt;1,DATEDIF(#REF!,U167,"m")&lt;12),2,IF(AND(DATEDIF(#REF!,U167,"m")&gt;=12,DATEDIF(#REF!,U167,"m")&lt;24),3,IF(DATEDIF(#REF!,U167,"m")&gt;=24,4,"")))),IF(E167="r0320 - Deposits, not covered and not preferential",1,4))</f>
        <v>4</v>
      </c>
    </row>
    <row r="168" spans="3:29" ht="36.75" thickBot="1" x14ac:dyDescent="0.3">
      <c r="C168" s="11">
        <v>999</v>
      </c>
      <c r="D168" s="154">
        <v>161</v>
      </c>
      <c r="E168" s="154" t="s">
        <v>1898</v>
      </c>
      <c r="F168" s="154" t="s">
        <v>56</v>
      </c>
      <c r="G168" s="154" t="s">
        <v>1402</v>
      </c>
      <c r="H168" s="154" t="s">
        <v>1074</v>
      </c>
      <c r="I168" s="154" t="s">
        <v>66</v>
      </c>
      <c r="J168" s="154" t="s">
        <v>67</v>
      </c>
      <c r="K168" s="154" t="s">
        <v>60</v>
      </c>
      <c r="L168" s="154" t="s">
        <v>1897</v>
      </c>
      <c r="M168" s="154" t="s">
        <v>1383</v>
      </c>
      <c r="N168" s="154" t="s">
        <v>61</v>
      </c>
      <c r="O168" s="154" t="s">
        <v>62</v>
      </c>
      <c r="P168" s="146">
        <v>1.85</v>
      </c>
      <c r="Q168" s="146">
        <v>0</v>
      </c>
      <c r="R168" s="154" t="s">
        <v>1384</v>
      </c>
      <c r="S168" s="154" t="s">
        <v>1899</v>
      </c>
      <c r="T168" s="155" t="s">
        <v>1899</v>
      </c>
      <c r="U168" s="155" t="s">
        <v>1899</v>
      </c>
      <c r="V168" s="154" t="s">
        <v>1562</v>
      </c>
      <c r="W168" s="154">
        <v>0</v>
      </c>
      <c r="X168" s="154" t="s">
        <v>63</v>
      </c>
      <c r="Y168" s="154" t="s">
        <v>1900</v>
      </c>
      <c r="Z168" s="154"/>
      <c r="AA168" s="154" t="s">
        <v>1387</v>
      </c>
      <c r="AB168" s="154">
        <v>0</v>
      </c>
      <c r="AC168" s="138">
        <f>IFERROR(IF(DATEDIF(#REF!,U168,"m")&lt;=1,1,IF(AND(DATEDIF(#REF!,U168,"m")&gt;1,DATEDIF(#REF!,U168,"m")&lt;12),2,IF(AND(DATEDIF(#REF!,U168,"m")&gt;=12,DATEDIF(#REF!,U168,"m")&lt;24),3,IF(DATEDIF(#REF!,U168,"m")&gt;=24,4,"")))),IF(E168="r0320 - Deposits, not covered and not preferential",1,4))</f>
        <v>4</v>
      </c>
    </row>
    <row r="169" spans="3:29" ht="36.75" thickBot="1" x14ac:dyDescent="0.3">
      <c r="C169" s="11">
        <v>999</v>
      </c>
      <c r="D169" s="154">
        <v>162</v>
      </c>
      <c r="E169" s="154" t="s">
        <v>1898</v>
      </c>
      <c r="F169" s="154" t="s">
        <v>87</v>
      </c>
      <c r="G169" s="154" t="s">
        <v>1402</v>
      </c>
      <c r="H169" s="154" t="s">
        <v>172</v>
      </c>
      <c r="I169" s="154" t="s">
        <v>108</v>
      </c>
      <c r="J169" s="154" t="s">
        <v>90</v>
      </c>
      <c r="K169" s="154" t="s">
        <v>91</v>
      </c>
      <c r="L169" s="154" t="s">
        <v>1897</v>
      </c>
      <c r="M169" s="154" t="s">
        <v>1383</v>
      </c>
      <c r="N169" s="154" t="s">
        <v>61</v>
      </c>
      <c r="O169" s="154" t="s">
        <v>62</v>
      </c>
      <c r="P169" s="146">
        <v>3.56</v>
      </c>
      <c r="Q169" s="146">
        <v>0</v>
      </c>
      <c r="R169" s="154" t="s">
        <v>1384</v>
      </c>
      <c r="S169" s="154" t="s">
        <v>1899</v>
      </c>
      <c r="T169" s="155" t="s">
        <v>1899</v>
      </c>
      <c r="U169" s="155" t="s">
        <v>1899</v>
      </c>
      <c r="V169" s="154" t="s">
        <v>1562</v>
      </c>
      <c r="W169" s="154">
        <v>0</v>
      </c>
      <c r="X169" s="154" t="s">
        <v>63</v>
      </c>
      <c r="Y169" s="154" t="s">
        <v>1900</v>
      </c>
      <c r="Z169" s="154"/>
      <c r="AA169" s="154" t="s">
        <v>1387</v>
      </c>
      <c r="AB169" s="154">
        <v>0</v>
      </c>
      <c r="AC169" s="138">
        <f>IFERROR(IF(DATEDIF(#REF!,U169,"m")&lt;=1,1,IF(AND(DATEDIF(#REF!,U169,"m")&gt;1,DATEDIF(#REF!,U169,"m")&lt;12),2,IF(AND(DATEDIF(#REF!,U169,"m")&gt;=12,DATEDIF(#REF!,U169,"m")&lt;24),3,IF(DATEDIF(#REF!,U169,"m")&gt;=24,4,"")))),IF(E169="r0320 - Deposits, not covered and not preferential",1,4))</f>
        <v>4</v>
      </c>
    </row>
    <row r="170" spans="3:29" ht="36.75" thickBot="1" x14ac:dyDescent="0.3">
      <c r="C170" s="11">
        <v>999</v>
      </c>
      <c r="D170" s="154">
        <v>163</v>
      </c>
      <c r="E170" s="154" t="s">
        <v>1898</v>
      </c>
      <c r="F170" s="154" t="s">
        <v>87</v>
      </c>
      <c r="G170" s="154" t="s">
        <v>1402</v>
      </c>
      <c r="H170" s="154" t="s">
        <v>1084</v>
      </c>
      <c r="I170" s="154" t="s">
        <v>108</v>
      </c>
      <c r="J170" s="154" t="s">
        <v>90</v>
      </c>
      <c r="K170" s="154" t="s">
        <v>91</v>
      </c>
      <c r="L170" s="154" t="s">
        <v>1897</v>
      </c>
      <c r="M170" s="154" t="s">
        <v>1383</v>
      </c>
      <c r="N170" s="154" t="s">
        <v>61</v>
      </c>
      <c r="O170" s="154" t="s">
        <v>62</v>
      </c>
      <c r="P170" s="146">
        <v>1.06</v>
      </c>
      <c r="Q170" s="146">
        <v>0</v>
      </c>
      <c r="R170" s="154" t="s">
        <v>1384</v>
      </c>
      <c r="S170" s="154" t="s">
        <v>1899</v>
      </c>
      <c r="T170" s="155" t="s">
        <v>1899</v>
      </c>
      <c r="U170" s="155" t="s">
        <v>1899</v>
      </c>
      <c r="V170" s="154" t="s">
        <v>1562</v>
      </c>
      <c r="W170" s="154">
        <v>0</v>
      </c>
      <c r="X170" s="154" t="s">
        <v>63</v>
      </c>
      <c r="Y170" s="154" t="s">
        <v>1900</v>
      </c>
      <c r="Z170" s="154"/>
      <c r="AA170" s="154" t="s">
        <v>1387</v>
      </c>
      <c r="AB170" s="154">
        <v>0</v>
      </c>
      <c r="AC170" s="138">
        <f>IFERROR(IF(DATEDIF(#REF!,U170,"m")&lt;=1,1,IF(AND(DATEDIF(#REF!,U170,"m")&gt;1,DATEDIF(#REF!,U170,"m")&lt;12),2,IF(AND(DATEDIF(#REF!,U170,"m")&gt;=12,DATEDIF(#REF!,U170,"m")&lt;24),3,IF(DATEDIF(#REF!,U170,"m")&gt;=24,4,"")))),IF(E170="r0320 - Deposits, not covered and not preferential",1,4))</f>
        <v>4</v>
      </c>
    </row>
    <row r="171" spans="3:29" ht="48.75" thickBot="1" x14ac:dyDescent="0.3">
      <c r="C171" s="11">
        <v>999</v>
      </c>
      <c r="D171" s="154">
        <v>164</v>
      </c>
      <c r="E171" s="154" t="s">
        <v>2638</v>
      </c>
      <c r="F171" s="154" t="s">
        <v>260</v>
      </c>
      <c r="G171" s="154" t="s">
        <v>768</v>
      </c>
      <c r="H171" s="154" t="s">
        <v>57</v>
      </c>
      <c r="I171" s="154" t="s">
        <v>262</v>
      </c>
      <c r="J171" s="154" t="s">
        <v>263</v>
      </c>
      <c r="K171" s="154" t="s">
        <v>91</v>
      </c>
      <c r="L171" s="154" t="s">
        <v>1897</v>
      </c>
      <c r="M171" s="154" t="s">
        <v>1388</v>
      </c>
      <c r="N171" s="154" t="s">
        <v>61</v>
      </c>
      <c r="O171" s="154" t="s">
        <v>62</v>
      </c>
      <c r="P171" s="146">
        <v>4145720.1924769999</v>
      </c>
      <c r="Q171" s="146">
        <v>53.831890999999999</v>
      </c>
      <c r="R171" s="154" t="s">
        <v>768</v>
      </c>
      <c r="S171" s="154" t="s">
        <v>1385</v>
      </c>
      <c r="T171" s="155" t="s">
        <v>1385</v>
      </c>
      <c r="U171" s="155" t="s">
        <v>1385</v>
      </c>
      <c r="V171" s="154" t="s">
        <v>1562</v>
      </c>
      <c r="W171" s="154">
        <v>0</v>
      </c>
      <c r="X171" s="154" t="s">
        <v>63</v>
      </c>
      <c r="Y171" s="154" t="s">
        <v>1900</v>
      </c>
      <c r="Z171" s="154"/>
      <c r="AA171" s="154" t="s">
        <v>1387</v>
      </c>
      <c r="AB171" s="154">
        <v>0</v>
      </c>
      <c r="AC171" s="138">
        <f>IFERROR(IF(DATEDIF(#REF!,U171,"m")&lt;=1,1,IF(AND(DATEDIF(#REF!,U171,"m")&gt;1,DATEDIF(#REF!,U171,"m")&lt;12),2,IF(AND(DATEDIF(#REF!,U171,"m")&gt;=12,DATEDIF(#REF!,U171,"m")&lt;24),3,IF(DATEDIF(#REF!,U171,"m")&gt;=24,4,"")))),IF(E171="r0320 - Deposits, not covered and not preferential",1,4))</f>
        <v>4</v>
      </c>
    </row>
    <row r="172" spans="3:29" ht="36.75" thickBot="1" x14ac:dyDescent="0.3">
      <c r="C172" s="11">
        <v>999</v>
      </c>
      <c r="D172" s="154">
        <v>165</v>
      </c>
      <c r="E172" s="154" t="s">
        <v>1898</v>
      </c>
      <c r="F172" s="154" t="s">
        <v>87</v>
      </c>
      <c r="G172" s="154" t="s">
        <v>1402</v>
      </c>
      <c r="H172" s="154" t="s">
        <v>1095</v>
      </c>
      <c r="I172" s="154" t="s">
        <v>108</v>
      </c>
      <c r="J172" s="154" t="s">
        <v>90</v>
      </c>
      <c r="K172" s="154" t="s">
        <v>91</v>
      </c>
      <c r="L172" s="154" t="s">
        <v>1897</v>
      </c>
      <c r="M172" s="154" t="s">
        <v>1383</v>
      </c>
      <c r="N172" s="154" t="s">
        <v>61</v>
      </c>
      <c r="O172" s="154" t="s">
        <v>62</v>
      </c>
      <c r="P172" s="146">
        <v>0.35</v>
      </c>
      <c r="Q172" s="146">
        <v>0</v>
      </c>
      <c r="R172" s="154" t="s">
        <v>1384</v>
      </c>
      <c r="S172" s="154" t="s">
        <v>1899</v>
      </c>
      <c r="T172" s="155" t="s">
        <v>1899</v>
      </c>
      <c r="U172" s="155" t="s">
        <v>1899</v>
      </c>
      <c r="V172" s="154" t="s">
        <v>1562</v>
      </c>
      <c r="W172" s="154">
        <v>0</v>
      </c>
      <c r="X172" s="154" t="s">
        <v>63</v>
      </c>
      <c r="Y172" s="154" t="s">
        <v>1900</v>
      </c>
      <c r="Z172" s="154"/>
      <c r="AA172" s="154" t="s">
        <v>1387</v>
      </c>
      <c r="AB172" s="154">
        <v>0</v>
      </c>
      <c r="AC172" s="138">
        <f>IFERROR(IF(DATEDIF(#REF!,U172,"m")&lt;=1,1,IF(AND(DATEDIF(#REF!,U172,"m")&gt;1,DATEDIF(#REF!,U172,"m")&lt;12),2,IF(AND(DATEDIF(#REF!,U172,"m")&gt;=12,DATEDIF(#REF!,U172,"m")&lt;24),3,IF(DATEDIF(#REF!,U172,"m")&gt;=24,4,"")))),IF(E172="r0320 - Deposits, not covered and not preferential",1,4))</f>
        <v>4</v>
      </c>
    </row>
    <row r="173" spans="3:29" ht="36.75" thickBot="1" x14ac:dyDescent="0.3">
      <c r="C173" s="11">
        <v>999</v>
      </c>
      <c r="D173" s="154">
        <v>166</v>
      </c>
      <c r="E173" s="154" t="s">
        <v>1898</v>
      </c>
      <c r="F173" s="154" t="s">
        <v>87</v>
      </c>
      <c r="G173" s="154" t="s">
        <v>1402</v>
      </c>
      <c r="H173" s="154" t="s">
        <v>402</v>
      </c>
      <c r="I173" s="154" t="s">
        <v>108</v>
      </c>
      <c r="J173" s="154" t="s">
        <v>90</v>
      </c>
      <c r="K173" s="154" t="s">
        <v>91</v>
      </c>
      <c r="L173" s="154" t="s">
        <v>1897</v>
      </c>
      <c r="M173" s="154" t="s">
        <v>1383</v>
      </c>
      <c r="N173" s="154" t="s">
        <v>61</v>
      </c>
      <c r="O173" s="154" t="s">
        <v>62</v>
      </c>
      <c r="P173" s="146">
        <v>0.76</v>
      </c>
      <c r="Q173" s="146">
        <v>0</v>
      </c>
      <c r="R173" s="154" t="s">
        <v>1384</v>
      </c>
      <c r="S173" s="154" t="s">
        <v>1899</v>
      </c>
      <c r="T173" s="155" t="s">
        <v>1899</v>
      </c>
      <c r="U173" s="155" t="s">
        <v>1899</v>
      </c>
      <c r="V173" s="154" t="s">
        <v>1562</v>
      </c>
      <c r="W173" s="154">
        <v>0</v>
      </c>
      <c r="X173" s="154" t="s">
        <v>63</v>
      </c>
      <c r="Y173" s="154" t="s">
        <v>1900</v>
      </c>
      <c r="Z173" s="154"/>
      <c r="AA173" s="154" t="s">
        <v>1387</v>
      </c>
      <c r="AB173" s="154">
        <v>0</v>
      </c>
      <c r="AC173" s="138">
        <f>IFERROR(IF(DATEDIF(#REF!,U173,"m")&lt;=1,1,IF(AND(DATEDIF(#REF!,U173,"m")&gt;1,DATEDIF(#REF!,U173,"m")&lt;12),2,IF(AND(DATEDIF(#REF!,U173,"m")&gt;=12,DATEDIF(#REF!,U173,"m")&lt;24),3,IF(DATEDIF(#REF!,U173,"m")&gt;=24,4,"")))),IF(E173="r0320 - Deposits, not covered and not preferential",1,4))</f>
        <v>4</v>
      </c>
    </row>
    <row r="174" spans="3:29" ht="36.75" thickBot="1" x14ac:dyDescent="0.3">
      <c r="C174" s="11">
        <v>999</v>
      </c>
      <c r="D174" s="154">
        <v>167</v>
      </c>
      <c r="E174" s="154" t="s">
        <v>1898</v>
      </c>
      <c r="F174" s="154" t="s">
        <v>87</v>
      </c>
      <c r="G174" s="154" t="s">
        <v>1402</v>
      </c>
      <c r="H174" s="154" t="s">
        <v>411</v>
      </c>
      <c r="I174" s="154" t="s">
        <v>108</v>
      </c>
      <c r="J174" s="154" t="s">
        <v>90</v>
      </c>
      <c r="K174" s="154" t="s">
        <v>91</v>
      </c>
      <c r="L174" s="154" t="s">
        <v>1897</v>
      </c>
      <c r="M174" s="154" t="s">
        <v>1383</v>
      </c>
      <c r="N174" s="154" t="s">
        <v>61</v>
      </c>
      <c r="O174" s="154" t="s">
        <v>62</v>
      </c>
      <c r="P174" s="146">
        <v>0.76</v>
      </c>
      <c r="Q174" s="146">
        <v>0</v>
      </c>
      <c r="R174" s="154" t="s">
        <v>1384</v>
      </c>
      <c r="S174" s="154" t="s">
        <v>1899</v>
      </c>
      <c r="T174" s="155" t="s">
        <v>1899</v>
      </c>
      <c r="U174" s="155" t="s">
        <v>1899</v>
      </c>
      <c r="V174" s="154" t="s">
        <v>1562</v>
      </c>
      <c r="W174" s="154">
        <v>0</v>
      </c>
      <c r="X174" s="154" t="s">
        <v>63</v>
      </c>
      <c r="Y174" s="154" t="s">
        <v>1900</v>
      </c>
      <c r="Z174" s="154"/>
      <c r="AA174" s="154" t="s">
        <v>1387</v>
      </c>
      <c r="AB174" s="154">
        <v>0</v>
      </c>
      <c r="AC174" s="138">
        <f>IFERROR(IF(DATEDIF(#REF!,U174,"m")&lt;=1,1,IF(AND(DATEDIF(#REF!,U174,"m")&gt;1,DATEDIF(#REF!,U174,"m")&lt;12),2,IF(AND(DATEDIF(#REF!,U174,"m")&gt;=12,DATEDIF(#REF!,U174,"m")&lt;24),3,IF(DATEDIF(#REF!,U174,"m")&gt;=24,4,"")))),IF(E174="r0320 - Deposits, not covered and not preferential",1,4))</f>
        <v>4</v>
      </c>
    </row>
    <row r="175" spans="3:29" ht="36.75" thickBot="1" x14ac:dyDescent="0.3">
      <c r="C175" s="11">
        <v>999</v>
      </c>
      <c r="D175" s="154">
        <v>168</v>
      </c>
      <c r="E175" s="154" t="s">
        <v>1898</v>
      </c>
      <c r="F175" s="154" t="s">
        <v>87</v>
      </c>
      <c r="G175" s="154" t="s">
        <v>1402</v>
      </c>
      <c r="H175" s="154" t="s">
        <v>1144</v>
      </c>
      <c r="I175" s="154" t="s">
        <v>89</v>
      </c>
      <c r="J175" s="154" t="s">
        <v>90</v>
      </c>
      <c r="K175" s="154" t="s">
        <v>91</v>
      </c>
      <c r="L175" s="154" t="s">
        <v>1901</v>
      </c>
      <c r="M175" s="154" t="s">
        <v>1383</v>
      </c>
      <c r="N175" s="154" t="s">
        <v>61</v>
      </c>
      <c r="O175" s="154" t="s">
        <v>62</v>
      </c>
      <c r="P175" s="146">
        <v>0.14000000000000001</v>
      </c>
      <c r="Q175" s="146">
        <v>0</v>
      </c>
      <c r="R175" s="154" t="s">
        <v>1384</v>
      </c>
      <c r="S175" s="154" t="s">
        <v>1899</v>
      </c>
      <c r="T175" s="155" t="s">
        <v>1899</v>
      </c>
      <c r="U175" s="155" t="s">
        <v>1899</v>
      </c>
      <c r="V175" s="154" t="s">
        <v>1562</v>
      </c>
      <c r="W175" s="154">
        <v>0</v>
      </c>
      <c r="X175" s="154" t="s">
        <v>63</v>
      </c>
      <c r="Y175" s="154" t="s">
        <v>1900</v>
      </c>
      <c r="Z175" s="154"/>
      <c r="AA175" s="154" t="s">
        <v>1387</v>
      </c>
      <c r="AB175" s="154">
        <v>0</v>
      </c>
      <c r="AC175" s="138">
        <f>IFERROR(IF(DATEDIF(#REF!,U175,"m")&lt;=1,1,IF(AND(DATEDIF(#REF!,U175,"m")&gt;1,DATEDIF(#REF!,U175,"m")&lt;12),2,IF(AND(DATEDIF(#REF!,U175,"m")&gt;=12,DATEDIF(#REF!,U175,"m")&lt;24),3,IF(DATEDIF(#REF!,U175,"m")&gt;=24,4,"")))),IF(E175="r0320 - Deposits, not covered and not preferential",1,4))</f>
        <v>4</v>
      </c>
    </row>
    <row r="176" spans="3:29" ht="36.75" thickBot="1" x14ac:dyDescent="0.3">
      <c r="C176" s="11">
        <v>999</v>
      </c>
      <c r="D176" s="154">
        <v>169</v>
      </c>
      <c r="E176" s="154" t="s">
        <v>1898</v>
      </c>
      <c r="F176" s="154" t="s">
        <v>56</v>
      </c>
      <c r="G176" s="154" t="s">
        <v>1402</v>
      </c>
      <c r="H176" s="154" t="s">
        <v>415</v>
      </c>
      <c r="I176" s="154" t="s">
        <v>66</v>
      </c>
      <c r="J176" s="154" t="s">
        <v>67</v>
      </c>
      <c r="K176" s="154" t="s">
        <v>60</v>
      </c>
      <c r="L176" s="154" t="s">
        <v>1897</v>
      </c>
      <c r="M176" s="154" t="s">
        <v>1383</v>
      </c>
      <c r="N176" s="154" t="s">
        <v>61</v>
      </c>
      <c r="O176" s="154" t="s">
        <v>62</v>
      </c>
      <c r="P176" s="146">
        <v>0.08</v>
      </c>
      <c r="Q176" s="146">
        <v>0</v>
      </c>
      <c r="R176" s="154" t="s">
        <v>1384</v>
      </c>
      <c r="S176" s="154" t="s">
        <v>1899</v>
      </c>
      <c r="T176" s="155" t="s">
        <v>1899</v>
      </c>
      <c r="U176" s="155" t="s">
        <v>1899</v>
      </c>
      <c r="V176" s="154" t="s">
        <v>1562</v>
      </c>
      <c r="W176" s="154">
        <v>0</v>
      </c>
      <c r="X176" s="154" t="s">
        <v>63</v>
      </c>
      <c r="Y176" s="154" t="s">
        <v>1900</v>
      </c>
      <c r="Z176" s="154"/>
      <c r="AA176" s="154" t="s">
        <v>1387</v>
      </c>
      <c r="AB176" s="154">
        <v>0</v>
      </c>
      <c r="AC176" s="138">
        <f>IFERROR(IF(DATEDIF(#REF!,U176,"m")&lt;=1,1,IF(AND(DATEDIF(#REF!,U176,"m")&gt;1,DATEDIF(#REF!,U176,"m")&lt;12),2,IF(AND(DATEDIF(#REF!,U176,"m")&gt;=12,DATEDIF(#REF!,U176,"m")&lt;24),3,IF(DATEDIF(#REF!,U176,"m")&gt;=24,4,"")))),IF(E176="r0320 - Deposits, not covered and not preferential",1,4))</f>
        <v>4</v>
      </c>
    </row>
    <row r="177" spans="3:29" ht="36.75" thickBot="1" x14ac:dyDescent="0.3">
      <c r="C177" s="11">
        <v>999</v>
      </c>
      <c r="D177" s="154">
        <v>170</v>
      </c>
      <c r="E177" s="154" t="s">
        <v>1898</v>
      </c>
      <c r="F177" s="154" t="s">
        <v>87</v>
      </c>
      <c r="G177" s="154" t="s">
        <v>1402</v>
      </c>
      <c r="H177" s="154" t="s">
        <v>254</v>
      </c>
      <c r="I177" s="154" t="s">
        <v>108</v>
      </c>
      <c r="J177" s="154" t="s">
        <v>90</v>
      </c>
      <c r="K177" s="154" t="s">
        <v>91</v>
      </c>
      <c r="L177" s="154" t="s">
        <v>1897</v>
      </c>
      <c r="M177" s="154" t="s">
        <v>1383</v>
      </c>
      <c r="N177" s="154" t="s">
        <v>61</v>
      </c>
      <c r="O177" s="154" t="s">
        <v>62</v>
      </c>
      <c r="P177" s="146">
        <v>0.34</v>
      </c>
      <c r="Q177" s="146">
        <v>0</v>
      </c>
      <c r="R177" s="154" t="s">
        <v>1384</v>
      </c>
      <c r="S177" s="154" t="s">
        <v>1899</v>
      </c>
      <c r="T177" s="155" t="s">
        <v>1899</v>
      </c>
      <c r="U177" s="155" t="s">
        <v>1899</v>
      </c>
      <c r="V177" s="154" t="s">
        <v>1562</v>
      </c>
      <c r="W177" s="154">
        <v>0</v>
      </c>
      <c r="X177" s="154" t="s">
        <v>63</v>
      </c>
      <c r="Y177" s="154" t="s">
        <v>1900</v>
      </c>
      <c r="Z177" s="154"/>
      <c r="AA177" s="154" t="s">
        <v>1387</v>
      </c>
      <c r="AB177" s="154">
        <v>0</v>
      </c>
      <c r="AC177" s="138">
        <f>IFERROR(IF(DATEDIF(#REF!,U177,"m")&lt;=1,1,IF(AND(DATEDIF(#REF!,U177,"m")&gt;1,DATEDIF(#REF!,U177,"m")&lt;12),2,IF(AND(DATEDIF(#REF!,U177,"m")&gt;=12,DATEDIF(#REF!,U177,"m")&lt;24),3,IF(DATEDIF(#REF!,U177,"m")&gt;=24,4,"")))),IF(E177="r0320 - Deposits, not covered and not preferential",1,4))</f>
        <v>4</v>
      </c>
    </row>
    <row r="178" spans="3:29" ht="36.75" thickBot="1" x14ac:dyDescent="0.3">
      <c r="C178" s="11">
        <v>999</v>
      </c>
      <c r="D178" s="154">
        <v>171</v>
      </c>
      <c r="E178" s="154" t="s">
        <v>1898</v>
      </c>
      <c r="F178" s="154" t="s">
        <v>87</v>
      </c>
      <c r="G178" s="154" t="s">
        <v>1402</v>
      </c>
      <c r="H178" s="154" t="s">
        <v>1149</v>
      </c>
      <c r="I178" s="154" t="s">
        <v>89</v>
      </c>
      <c r="J178" s="154" t="s">
        <v>90</v>
      </c>
      <c r="K178" s="154" t="s">
        <v>91</v>
      </c>
      <c r="L178" s="154" t="s">
        <v>1901</v>
      </c>
      <c r="M178" s="154" t="s">
        <v>1383</v>
      </c>
      <c r="N178" s="154" t="s">
        <v>61</v>
      </c>
      <c r="O178" s="154" t="s">
        <v>62</v>
      </c>
      <c r="P178" s="146">
        <v>0.1</v>
      </c>
      <c r="Q178" s="146">
        <v>0</v>
      </c>
      <c r="R178" s="154" t="s">
        <v>1384</v>
      </c>
      <c r="S178" s="154" t="s">
        <v>1899</v>
      </c>
      <c r="T178" s="155" t="s">
        <v>1899</v>
      </c>
      <c r="U178" s="155" t="s">
        <v>1899</v>
      </c>
      <c r="V178" s="154" t="s">
        <v>1562</v>
      </c>
      <c r="W178" s="154">
        <v>0</v>
      </c>
      <c r="X178" s="154" t="s">
        <v>63</v>
      </c>
      <c r="Y178" s="154" t="s">
        <v>1900</v>
      </c>
      <c r="Z178" s="154"/>
      <c r="AA178" s="154" t="s">
        <v>1387</v>
      </c>
      <c r="AB178" s="154">
        <v>0</v>
      </c>
      <c r="AC178" s="138">
        <f>IFERROR(IF(DATEDIF(#REF!,U178,"m")&lt;=1,1,IF(AND(DATEDIF(#REF!,U178,"m")&gt;1,DATEDIF(#REF!,U178,"m")&lt;12),2,IF(AND(DATEDIF(#REF!,U178,"m")&gt;=12,DATEDIF(#REF!,U178,"m")&lt;24),3,IF(DATEDIF(#REF!,U178,"m")&gt;=24,4,"")))),IF(E178="r0320 - Deposits, not covered and not preferential",1,4))</f>
        <v>4</v>
      </c>
    </row>
    <row r="179" spans="3:29" ht="48.75" thickBot="1" x14ac:dyDescent="0.3">
      <c r="C179" s="11">
        <v>999</v>
      </c>
      <c r="D179" s="154">
        <v>172</v>
      </c>
      <c r="E179" s="154" t="s">
        <v>1902</v>
      </c>
      <c r="F179" s="154" t="s">
        <v>83</v>
      </c>
      <c r="G179" s="154" t="s">
        <v>1903</v>
      </c>
      <c r="H179" s="154" t="s">
        <v>750</v>
      </c>
      <c r="I179" s="154" t="s">
        <v>114</v>
      </c>
      <c r="J179" s="154" t="s">
        <v>115</v>
      </c>
      <c r="K179" s="154" t="s">
        <v>60</v>
      </c>
      <c r="L179" s="154" t="s">
        <v>1897</v>
      </c>
      <c r="M179" s="154" t="s">
        <v>1388</v>
      </c>
      <c r="N179" s="154" t="s">
        <v>61</v>
      </c>
      <c r="O179" s="154" t="s">
        <v>62</v>
      </c>
      <c r="P179" s="146">
        <v>86816.47</v>
      </c>
      <c r="Q179" s="146">
        <v>7.05</v>
      </c>
      <c r="R179" s="154" t="s">
        <v>1384</v>
      </c>
      <c r="S179" s="154" t="s">
        <v>1899</v>
      </c>
      <c r="T179" s="155" t="s">
        <v>768</v>
      </c>
      <c r="U179" s="155" t="s">
        <v>1899</v>
      </c>
      <c r="V179" s="154" t="s">
        <v>1904</v>
      </c>
      <c r="W179" s="154">
        <v>0</v>
      </c>
      <c r="X179" s="154" t="s">
        <v>63</v>
      </c>
      <c r="Y179" s="154" t="s">
        <v>1386</v>
      </c>
      <c r="Z179" s="154"/>
      <c r="AA179" s="154" t="s">
        <v>1387</v>
      </c>
      <c r="AB179" s="154">
        <v>0</v>
      </c>
      <c r="AC179" s="138">
        <f>IFERROR(IF(DATEDIF(#REF!,U179,"m")&lt;=1,1,IF(AND(DATEDIF(#REF!,U179,"m")&gt;1,DATEDIF(#REF!,U179,"m")&lt;12),2,IF(AND(DATEDIF(#REF!,U179,"m")&gt;=12,DATEDIF(#REF!,U179,"m")&lt;24),3,IF(DATEDIF(#REF!,U179,"m")&gt;=24,4,"")))),IF(E179="r0320 - Deposits, not covered and not preferential",1,4))</f>
        <v>4</v>
      </c>
    </row>
    <row r="180" spans="3:29" ht="36.75" thickBot="1" x14ac:dyDescent="0.3">
      <c r="C180" s="11">
        <v>999</v>
      </c>
      <c r="D180" s="154">
        <v>173</v>
      </c>
      <c r="E180" s="154" t="s">
        <v>1898</v>
      </c>
      <c r="F180" s="154" t="s">
        <v>87</v>
      </c>
      <c r="G180" s="154" t="s">
        <v>1402</v>
      </c>
      <c r="H180" s="154" t="s">
        <v>696</v>
      </c>
      <c r="I180" s="154" t="s">
        <v>89</v>
      </c>
      <c r="J180" s="154" t="s">
        <v>90</v>
      </c>
      <c r="K180" s="154" t="s">
        <v>91</v>
      </c>
      <c r="L180" s="154" t="s">
        <v>1901</v>
      </c>
      <c r="M180" s="154" t="s">
        <v>1383</v>
      </c>
      <c r="N180" s="154" t="s">
        <v>61</v>
      </c>
      <c r="O180" s="154" t="s">
        <v>62</v>
      </c>
      <c r="P180" s="146">
        <v>0.32</v>
      </c>
      <c r="Q180" s="146">
        <v>0</v>
      </c>
      <c r="R180" s="154" t="s">
        <v>1384</v>
      </c>
      <c r="S180" s="154" t="s">
        <v>1899</v>
      </c>
      <c r="T180" s="155" t="s">
        <v>1899</v>
      </c>
      <c r="U180" s="155" t="s">
        <v>1899</v>
      </c>
      <c r="V180" s="154" t="s">
        <v>1562</v>
      </c>
      <c r="W180" s="154">
        <v>0</v>
      </c>
      <c r="X180" s="154" t="s">
        <v>63</v>
      </c>
      <c r="Y180" s="154" t="s">
        <v>1900</v>
      </c>
      <c r="Z180" s="154"/>
      <c r="AA180" s="154" t="s">
        <v>1387</v>
      </c>
      <c r="AB180" s="154">
        <v>0</v>
      </c>
      <c r="AC180" s="138">
        <f>IFERROR(IF(DATEDIF(#REF!,U180,"m")&lt;=1,1,IF(AND(DATEDIF(#REF!,U180,"m")&gt;1,DATEDIF(#REF!,U180,"m")&lt;12),2,IF(AND(DATEDIF(#REF!,U180,"m")&gt;=12,DATEDIF(#REF!,U180,"m")&lt;24),3,IF(DATEDIF(#REF!,U180,"m")&gt;=24,4,"")))),IF(E180="r0320 - Deposits, not covered and not preferential",1,4))</f>
        <v>4</v>
      </c>
    </row>
    <row r="181" spans="3:29" ht="36.75" thickBot="1" x14ac:dyDescent="0.3">
      <c r="C181" s="11">
        <v>999</v>
      </c>
      <c r="D181" s="154">
        <v>174</v>
      </c>
      <c r="E181" s="154" t="s">
        <v>1898</v>
      </c>
      <c r="F181" s="154" t="s">
        <v>87</v>
      </c>
      <c r="G181" s="154" t="s">
        <v>1402</v>
      </c>
      <c r="H181" s="154" t="s">
        <v>418</v>
      </c>
      <c r="I181" s="154" t="s">
        <v>108</v>
      </c>
      <c r="J181" s="154" t="s">
        <v>90</v>
      </c>
      <c r="K181" s="154" t="s">
        <v>91</v>
      </c>
      <c r="L181" s="154" t="s">
        <v>1897</v>
      </c>
      <c r="M181" s="154" t="s">
        <v>1383</v>
      </c>
      <c r="N181" s="154" t="s">
        <v>61</v>
      </c>
      <c r="O181" s="154" t="s">
        <v>62</v>
      </c>
      <c r="P181" s="146">
        <v>1.83</v>
      </c>
      <c r="Q181" s="146">
        <v>0</v>
      </c>
      <c r="R181" s="154" t="s">
        <v>1384</v>
      </c>
      <c r="S181" s="154" t="s">
        <v>1899</v>
      </c>
      <c r="T181" s="155" t="s">
        <v>1899</v>
      </c>
      <c r="U181" s="155" t="s">
        <v>1899</v>
      </c>
      <c r="V181" s="154" t="s">
        <v>1562</v>
      </c>
      <c r="W181" s="154">
        <v>0</v>
      </c>
      <c r="X181" s="154" t="s">
        <v>63</v>
      </c>
      <c r="Y181" s="154" t="s">
        <v>1900</v>
      </c>
      <c r="Z181" s="154"/>
      <c r="AA181" s="154" t="s">
        <v>1387</v>
      </c>
      <c r="AB181" s="154">
        <v>0</v>
      </c>
      <c r="AC181" s="138">
        <f>IFERROR(IF(DATEDIF(#REF!,U181,"m")&lt;=1,1,IF(AND(DATEDIF(#REF!,U181,"m")&gt;1,DATEDIF(#REF!,U181,"m")&lt;12),2,IF(AND(DATEDIF(#REF!,U181,"m")&gt;=12,DATEDIF(#REF!,U181,"m")&lt;24),3,IF(DATEDIF(#REF!,U181,"m")&gt;=24,4,"")))),IF(E181="r0320 - Deposits, not covered and not preferential",1,4))</f>
        <v>4</v>
      </c>
    </row>
    <row r="182" spans="3:29" ht="36.75" thickBot="1" x14ac:dyDescent="0.3">
      <c r="C182" s="11">
        <v>999</v>
      </c>
      <c r="D182" s="154">
        <v>175</v>
      </c>
      <c r="E182" s="154" t="s">
        <v>1898</v>
      </c>
      <c r="F182" s="154" t="s">
        <v>87</v>
      </c>
      <c r="G182" s="154" t="s">
        <v>1402</v>
      </c>
      <c r="H182" s="154" t="s">
        <v>703</v>
      </c>
      <c r="I182" s="154" t="s">
        <v>111</v>
      </c>
      <c r="J182" s="154" t="s">
        <v>90</v>
      </c>
      <c r="K182" s="154" t="s">
        <v>91</v>
      </c>
      <c r="L182" s="154" t="s">
        <v>1897</v>
      </c>
      <c r="M182" s="154" t="s">
        <v>1383</v>
      </c>
      <c r="N182" s="154" t="s">
        <v>61</v>
      </c>
      <c r="O182" s="154" t="s">
        <v>62</v>
      </c>
      <c r="P182" s="146">
        <v>1.31</v>
      </c>
      <c r="Q182" s="146">
        <v>0</v>
      </c>
      <c r="R182" s="154" t="s">
        <v>1384</v>
      </c>
      <c r="S182" s="154" t="s">
        <v>1899</v>
      </c>
      <c r="T182" s="155" t="s">
        <v>1899</v>
      </c>
      <c r="U182" s="155" t="s">
        <v>1899</v>
      </c>
      <c r="V182" s="154" t="s">
        <v>1562</v>
      </c>
      <c r="W182" s="154">
        <v>0</v>
      </c>
      <c r="X182" s="154" t="s">
        <v>63</v>
      </c>
      <c r="Y182" s="154" t="s">
        <v>1900</v>
      </c>
      <c r="Z182" s="154"/>
      <c r="AA182" s="154" t="s">
        <v>1387</v>
      </c>
      <c r="AB182" s="154">
        <v>0</v>
      </c>
      <c r="AC182" s="138">
        <f>IFERROR(IF(DATEDIF(#REF!,U182,"m")&lt;=1,1,IF(AND(DATEDIF(#REF!,U182,"m")&gt;1,DATEDIF(#REF!,U182,"m")&lt;12),2,IF(AND(DATEDIF(#REF!,U182,"m")&gt;=12,DATEDIF(#REF!,U182,"m")&lt;24),3,IF(DATEDIF(#REF!,U182,"m")&gt;=24,4,"")))),IF(E182="r0320 - Deposits, not covered and not preferential",1,4))</f>
        <v>4</v>
      </c>
    </row>
    <row r="183" spans="3:29" ht="36.75" thickBot="1" x14ac:dyDescent="0.3">
      <c r="C183" s="11">
        <v>999</v>
      </c>
      <c r="D183" s="154">
        <v>176</v>
      </c>
      <c r="E183" s="154" t="s">
        <v>1898</v>
      </c>
      <c r="F183" s="154" t="s">
        <v>87</v>
      </c>
      <c r="G183" s="154" t="s">
        <v>1402</v>
      </c>
      <c r="H183" s="154" t="s">
        <v>1193</v>
      </c>
      <c r="I183" s="154" t="s">
        <v>108</v>
      </c>
      <c r="J183" s="154" t="s">
        <v>90</v>
      </c>
      <c r="K183" s="154" t="s">
        <v>91</v>
      </c>
      <c r="L183" s="154" t="s">
        <v>1897</v>
      </c>
      <c r="M183" s="154" t="s">
        <v>1383</v>
      </c>
      <c r="N183" s="154" t="s">
        <v>61</v>
      </c>
      <c r="O183" s="154" t="s">
        <v>62</v>
      </c>
      <c r="P183" s="146">
        <v>2.39</v>
      </c>
      <c r="Q183" s="146">
        <v>0</v>
      </c>
      <c r="R183" s="154" t="s">
        <v>1384</v>
      </c>
      <c r="S183" s="154" t="s">
        <v>1899</v>
      </c>
      <c r="T183" s="155" t="s">
        <v>1899</v>
      </c>
      <c r="U183" s="155" t="s">
        <v>1899</v>
      </c>
      <c r="V183" s="154" t="s">
        <v>1562</v>
      </c>
      <c r="W183" s="154">
        <v>0</v>
      </c>
      <c r="X183" s="154" t="s">
        <v>63</v>
      </c>
      <c r="Y183" s="154" t="s">
        <v>1900</v>
      </c>
      <c r="Z183" s="154"/>
      <c r="AA183" s="154" t="s">
        <v>1387</v>
      </c>
      <c r="AB183" s="154">
        <v>0</v>
      </c>
      <c r="AC183" s="138">
        <f>IFERROR(IF(DATEDIF(#REF!,U183,"m")&lt;=1,1,IF(AND(DATEDIF(#REF!,U183,"m")&gt;1,DATEDIF(#REF!,U183,"m")&lt;12),2,IF(AND(DATEDIF(#REF!,U183,"m")&gt;=12,DATEDIF(#REF!,U183,"m")&lt;24),3,IF(DATEDIF(#REF!,U183,"m")&gt;=24,4,"")))),IF(E183="r0320 - Deposits, not covered and not preferential",1,4))</f>
        <v>4</v>
      </c>
    </row>
    <row r="184" spans="3:29" ht="36.75" thickBot="1" x14ac:dyDescent="0.3">
      <c r="C184" s="11">
        <v>999</v>
      </c>
      <c r="D184" s="154">
        <v>177</v>
      </c>
      <c r="E184" s="154" t="s">
        <v>1898</v>
      </c>
      <c r="F184" s="154" t="s">
        <v>87</v>
      </c>
      <c r="G184" s="154" t="s">
        <v>1402</v>
      </c>
      <c r="H184" s="154" t="s">
        <v>710</v>
      </c>
      <c r="I184" s="154" t="s">
        <v>108</v>
      </c>
      <c r="J184" s="154" t="s">
        <v>90</v>
      </c>
      <c r="K184" s="154" t="s">
        <v>91</v>
      </c>
      <c r="L184" s="154" t="s">
        <v>1897</v>
      </c>
      <c r="M184" s="154" t="s">
        <v>1383</v>
      </c>
      <c r="N184" s="154" t="s">
        <v>61</v>
      </c>
      <c r="O184" s="154" t="s">
        <v>62</v>
      </c>
      <c r="P184" s="146">
        <v>19.39</v>
      </c>
      <c r="Q184" s="146">
        <v>0</v>
      </c>
      <c r="R184" s="154" t="s">
        <v>1384</v>
      </c>
      <c r="S184" s="154" t="s">
        <v>1899</v>
      </c>
      <c r="T184" s="155" t="s">
        <v>1899</v>
      </c>
      <c r="U184" s="155" t="s">
        <v>1899</v>
      </c>
      <c r="V184" s="154" t="s">
        <v>1562</v>
      </c>
      <c r="W184" s="154">
        <v>0</v>
      </c>
      <c r="X184" s="154" t="s">
        <v>63</v>
      </c>
      <c r="Y184" s="154" t="s">
        <v>1900</v>
      </c>
      <c r="Z184" s="154"/>
      <c r="AA184" s="154" t="s">
        <v>1387</v>
      </c>
      <c r="AB184" s="154">
        <v>0</v>
      </c>
      <c r="AC184" s="138">
        <f>IFERROR(IF(DATEDIF(#REF!,U184,"m")&lt;=1,1,IF(AND(DATEDIF(#REF!,U184,"m")&gt;1,DATEDIF(#REF!,U184,"m")&lt;12),2,IF(AND(DATEDIF(#REF!,U184,"m")&gt;=12,DATEDIF(#REF!,U184,"m")&lt;24),3,IF(DATEDIF(#REF!,U184,"m")&gt;=24,4,"")))),IF(E184="r0320 - Deposits, not covered and not preferential",1,4))</f>
        <v>4</v>
      </c>
    </row>
    <row r="185" spans="3:29" ht="36.75" thickBot="1" x14ac:dyDescent="0.3">
      <c r="C185" s="11">
        <v>999</v>
      </c>
      <c r="D185" s="154">
        <v>178</v>
      </c>
      <c r="E185" s="154" t="s">
        <v>1898</v>
      </c>
      <c r="F185" s="154" t="s">
        <v>87</v>
      </c>
      <c r="G185" s="154" t="s">
        <v>1402</v>
      </c>
      <c r="H185" s="154" t="s">
        <v>136</v>
      </c>
      <c r="I185" s="154" t="s">
        <v>108</v>
      </c>
      <c r="J185" s="154" t="s">
        <v>90</v>
      </c>
      <c r="K185" s="154" t="s">
        <v>91</v>
      </c>
      <c r="L185" s="154" t="s">
        <v>1897</v>
      </c>
      <c r="M185" s="154" t="s">
        <v>1383</v>
      </c>
      <c r="N185" s="154" t="s">
        <v>61</v>
      </c>
      <c r="O185" s="154" t="s">
        <v>62</v>
      </c>
      <c r="P185" s="146">
        <v>0.47</v>
      </c>
      <c r="Q185" s="146">
        <v>0</v>
      </c>
      <c r="R185" s="154" t="s">
        <v>1384</v>
      </c>
      <c r="S185" s="154" t="s">
        <v>1899</v>
      </c>
      <c r="T185" s="155" t="s">
        <v>1899</v>
      </c>
      <c r="U185" s="155" t="s">
        <v>1899</v>
      </c>
      <c r="V185" s="154" t="s">
        <v>1562</v>
      </c>
      <c r="W185" s="154">
        <v>0</v>
      </c>
      <c r="X185" s="154" t="s">
        <v>63</v>
      </c>
      <c r="Y185" s="154" t="s">
        <v>1900</v>
      </c>
      <c r="Z185" s="154"/>
      <c r="AA185" s="154" t="s">
        <v>1387</v>
      </c>
      <c r="AB185" s="154">
        <v>0</v>
      </c>
      <c r="AC185" s="138">
        <f>IFERROR(IF(DATEDIF(#REF!,U185,"m")&lt;=1,1,IF(AND(DATEDIF(#REF!,U185,"m")&gt;1,DATEDIF(#REF!,U185,"m")&lt;12),2,IF(AND(DATEDIF(#REF!,U185,"m")&gt;=12,DATEDIF(#REF!,U185,"m")&lt;24),3,IF(DATEDIF(#REF!,U185,"m")&gt;=24,4,"")))),IF(E185="r0320 - Deposits, not covered and not preferential",1,4))</f>
        <v>4</v>
      </c>
    </row>
    <row r="186" spans="3:29" ht="36.75" thickBot="1" x14ac:dyDescent="0.3">
      <c r="C186" s="11">
        <v>999</v>
      </c>
      <c r="D186" s="154">
        <v>179</v>
      </c>
      <c r="E186" s="154" t="s">
        <v>1898</v>
      </c>
      <c r="F186" s="154" t="s">
        <v>56</v>
      </c>
      <c r="G186" s="154" t="s">
        <v>1402</v>
      </c>
      <c r="H186" s="154" t="s">
        <v>1188</v>
      </c>
      <c r="I186" s="154" t="s">
        <v>66</v>
      </c>
      <c r="J186" s="154" t="s">
        <v>67</v>
      </c>
      <c r="K186" s="154" t="s">
        <v>60</v>
      </c>
      <c r="L186" s="154" t="s">
        <v>1897</v>
      </c>
      <c r="M186" s="154" t="s">
        <v>1383</v>
      </c>
      <c r="N186" s="154" t="s">
        <v>61</v>
      </c>
      <c r="O186" s="154" t="s">
        <v>62</v>
      </c>
      <c r="P186" s="146">
        <v>0.31</v>
      </c>
      <c r="Q186" s="146">
        <v>0</v>
      </c>
      <c r="R186" s="154" t="s">
        <v>1384</v>
      </c>
      <c r="S186" s="154" t="s">
        <v>1899</v>
      </c>
      <c r="T186" s="155" t="s">
        <v>1899</v>
      </c>
      <c r="U186" s="155" t="s">
        <v>1899</v>
      </c>
      <c r="V186" s="154" t="s">
        <v>1562</v>
      </c>
      <c r="W186" s="154">
        <v>0</v>
      </c>
      <c r="X186" s="154" t="s">
        <v>63</v>
      </c>
      <c r="Y186" s="154" t="s">
        <v>1900</v>
      </c>
      <c r="Z186" s="154"/>
      <c r="AA186" s="154" t="s">
        <v>1387</v>
      </c>
      <c r="AB186" s="154">
        <v>0</v>
      </c>
      <c r="AC186" s="138">
        <f>IFERROR(IF(DATEDIF(#REF!,U186,"m")&lt;=1,1,IF(AND(DATEDIF(#REF!,U186,"m")&gt;1,DATEDIF(#REF!,U186,"m")&lt;12),2,IF(AND(DATEDIF(#REF!,U186,"m")&gt;=12,DATEDIF(#REF!,U186,"m")&lt;24),3,IF(DATEDIF(#REF!,U186,"m")&gt;=24,4,"")))),IF(E186="r0320 - Deposits, not covered and not preferential",1,4))</f>
        <v>4</v>
      </c>
    </row>
    <row r="187" spans="3:29" ht="36.75" thickBot="1" x14ac:dyDescent="0.3">
      <c r="C187" s="11">
        <v>999</v>
      </c>
      <c r="D187" s="154">
        <v>180</v>
      </c>
      <c r="E187" s="154" t="s">
        <v>1898</v>
      </c>
      <c r="F187" s="154" t="s">
        <v>87</v>
      </c>
      <c r="G187" s="154" t="s">
        <v>1402</v>
      </c>
      <c r="H187" s="154" t="s">
        <v>57</v>
      </c>
      <c r="I187" s="154" t="s">
        <v>104</v>
      </c>
      <c r="J187" s="154" t="s">
        <v>105</v>
      </c>
      <c r="K187" s="154" t="s">
        <v>60</v>
      </c>
      <c r="L187" s="154" t="s">
        <v>1897</v>
      </c>
      <c r="M187" s="154" t="s">
        <v>1383</v>
      </c>
      <c r="N187" s="154" t="s">
        <v>61</v>
      </c>
      <c r="O187" s="154" t="s">
        <v>62</v>
      </c>
      <c r="P187" s="146">
        <v>317.64</v>
      </c>
      <c r="Q187" s="146">
        <v>0</v>
      </c>
      <c r="R187" s="154" t="s">
        <v>1384</v>
      </c>
      <c r="S187" s="154" t="s">
        <v>1899</v>
      </c>
      <c r="T187" s="155" t="s">
        <v>1899</v>
      </c>
      <c r="U187" s="155" t="s">
        <v>1899</v>
      </c>
      <c r="V187" s="154" t="s">
        <v>1562</v>
      </c>
      <c r="W187" s="154">
        <v>0</v>
      </c>
      <c r="X187" s="154" t="s">
        <v>63</v>
      </c>
      <c r="Y187" s="154" t="s">
        <v>1900</v>
      </c>
      <c r="Z187" s="154"/>
      <c r="AA187" s="154" t="s">
        <v>1387</v>
      </c>
      <c r="AB187" s="154">
        <v>0</v>
      </c>
      <c r="AC187" s="138">
        <f>IFERROR(IF(DATEDIF(#REF!,U187,"m")&lt;=1,1,IF(AND(DATEDIF(#REF!,U187,"m")&gt;1,DATEDIF(#REF!,U187,"m")&lt;12),2,IF(AND(DATEDIF(#REF!,U187,"m")&gt;=12,DATEDIF(#REF!,U187,"m")&lt;24),3,IF(DATEDIF(#REF!,U187,"m")&gt;=24,4,"")))),IF(E187="r0320 - Deposits, not covered and not preferential",1,4))</f>
        <v>4</v>
      </c>
    </row>
    <row r="188" spans="3:29" ht="36.75" thickBot="1" x14ac:dyDescent="0.3">
      <c r="C188" s="11">
        <v>999</v>
      </c>
      <c r="D188" s="154">
        <v>181</v>
      </c>
      <c r="E188" s="154" t="s">
        <v>1898</v>
      </c>
      <c r="F188" s="154" t="s">
        <v>87</v>
      </c>
      <c r="G188" s="154" t="s">
        <v>1402</v>
      </c>
      <c r="H188" s="154" t="s">
        <v>1200</v>
      </c>
      <c r="I188" s="154" t="s">
        <v>108</v>
      </c>
      <c r="J188" s="154" t="s">
        <v>90</v>
      </c>
      <c r="K188" s="154" t="s">
        <v>91</v>
      </c>
      <c r="L188" s="154" t="s">
        <v>1897</v>
      </c>
      <c r="M188" s="154" t="s">
        <v>1383</v>
      </c>
      <c r="N188" s="154" t="s">
        <v>61</v>
      </c>
      <c r="O188" s="154" t="s">
        <v>62</v>
      </c>
      <c r="P188" s="146">
        <v>0.69</v>
      </c>
      <c r="Q188" s="146">
        <v>0</v>
      </c>
      <c r="R188" s="154" t="s">
        <v>1384</v>
      </c>
      <c r="S188" s="154" t="s">
        <v>1899</v>
      </c>
      <c r="T188" s="155" t="s">
        <v>1899</v>
      </c>
      <c r="U188" s="155" t="s">
        <v>1899</v>
      </c>
      <c r="V188" s="154" t="s">
        <v>1562</v>
      </c>
      <c r="W188" s="154">
        <v>0</v>
      </c>
      <c r="X188" s="154" t="s">
        <v>63</v>
      </c>
      <c r="Y188" s="154" t="s">
        <v>1900</v>
      </c>
      <c r="Z188" s="154"/>
      <c r="AA188" s="154" t="s">
        <v>1387</v>
      </c>
      <c r="AB188" s="154">
        <v>0</v>
      </c>
      <c r="AC188" s="138">
        <f>IFERROR(IF(DATEDIF(#REF!,U188,"m")&lt;=1,1,IF(AND(DATEDIF(#REF!,U188,"m")&gt;1,DATEDIF(#REF!,U188,"m")&lt;12),2,IF(AND(DATEDIF(#REF!,U188,"m")&gt;=12,DATEDIF(#REF!,U188,"m")&lt;24),3,IF(DATEDIF(#REF!,U188,"m")&gt;=24,4,"")))),IF(E188="r0320 - Deposits, not covered and not preferential",1,4))</f>
        <v>4</v>
      </c>
    </row>
    <row r="189" spans="3:29" ht="48.75" thickBot="1" x14ac:dyDescent="0.3">
      <c r="C189" s="11">
        <v>999</v>
      </c>
      <c r="D189" s="154">
        <v>182</v>
      </c>
      <c r="E189" s="154" t="s">
        <v>1902</v>
      </c>
      <c r="F189" s="154" t="s">
        <v>83</v>
      </c>
      <c r="G189" s="154" t="s">
        <v>1903</v>
      </c>
      <c r="H189" s="154" t="s">
        <v>436</v>
      </c>
      <c r="I189" s="154" t="s">
        <v>101</v>
      </c>
      <c r="J189" s="154" t="s">
        <v>102</v>
      </c>
      <c r="K189" s="154" t="s">
        <v>60</v>
      </c>
      <c r="L189" s="154" t="s">
        <v>1897</v>
      </c>
      <c r="M189" s="154" t="s">
        <v>1388</v>
      </c>
      <c r="N189" s="154" t="s">
        <v>61</v>
      </c>
      <c r="O189" s="154" t="s">
        <v>62</v>
      </c>
      <c r="P189" s="146">
        <v>985062.49</v>
      </c>
      <c r="Q189" s="146">
        <v>431.5</v>
      </c>
      <c r="R189" s="154" t="s">
        <v>1384</v>
      </c>
      <c r="S189" s="154" t="s">
        <v>1899</v>
      </c>
      <c r="T189" s="155" t="s">
        <v>768</v>
      </c>
      <c r="U189" s="155" t="s">
        <v>1899</v>
      </c>
      <c r="V189" s="154" t="s">
        <v>1904</v>
      </c>
      <c r="W189" s="154">
        <v>0</v>
      </c>
      <c r="X189" s="154" t="s">
        <v>63</v>
      </c>
      <c r="Y189" s="154" t="s">
        <v>1386</v>
      </c>
      <c r="Z189" s="154"/>
      <c r="AA189" s="154" t="s">
        <v>1387</v>
      </c>
      <c r="AB189" s="154">
        <v>0</v>
      </c>
      <c r="AC189" s="138">
        <f>IFERROR(IF(DATEDIF(#REF!,U189,"m")&lt;=1,1,IF(AND(DATEDIF(#REF!,U189,"m")&gt;1,DATEDIF(#REF!,U189,"m")&lt;12),2,IF(AND(DATEDIF(#REF!,U189,"m")&gt;=12,DATEDIF(#REF!,U189,"m")&lt;24),3,IF(DATEDIF(#REF!,U189,"m")&gt;=24,4,"")))),IF(E189="r0320 - Deposits, not covered and not preferential",1,4))</f>
        <v>4</v>
      </c>
    </row>
    <row r="190" spans="3:29" ht="48.75" thickBot="1" x14ac:dyDescent="0.3">
      <c r="C190" s="11">
        <v>999</v>
      </c>
      <c r="D190" s="154">
        <v>183</v>
      </c>
      <c r="E190" s="154" t="s">
        <v>2638</v>
      </c>
      <c r="F190" s="154" t="s">
        <v>260</v>
      </c>
      <c r="G190" s="154" t="s">
        <v>768</v>
      </c>
      <c r="H190" s="154" t="s">
        <v>57</v>
      </c>
      <c r="I190" s="154" t="s">
        <v>262</v>
      </c>
      <c r="J190" s="154" t="s">
        <v>263</v>
      </c>
      <c r="K190" s="154" t="s">
        <v>91</v>
      </c>
      <c r="L190" s="154" t="s">
        <v>1897</v>
      </c>
      <c r="M190" s="154" t="s">
        <v>1388</v>
      </c>
      <c r="N190" s="154" t="s">
        <v>61</v>
      </c>
      <c r="O190" s="154" t="s">
        <v>62</v>
      </c>
      <c r="P190" s="146">
        <v>352376.85994699999</v>
      </c>
      <c r="Q190" s="146">
        <v>0</v>
      </c>
      <c r="R190" s="154" t="s">
        <v>768</v>
      </c>
      <c r="S190" s="154" t="s">
        <v>1385</v>
      </c>
      <c r="T190" s="155" t="s">
        <v>1385</v>
      </c>
      <c r="U190" s="155" t="s">
        <v>1385</v>
      </c>
      <c r="V190" s="154" t="s">
        <v>1562</v>
      </c>
      <c r="W190" s="154">
        <v>0</v>
      </c>
      <c r="X190" s="154" t="s">
        <v>63</v>
      </c>
      <c r="Y190" s="154" t="s">
        <v>1900</v>
      </c>
      <c r="Z190" s="154"/>
      <c r="AA190" s="154" t="s">
        <v>1387</v>
      </c>
      <c r="AB190" s="154">
        <v>0</v>
      </c>
      <c r="AC190" s="138">
        <f>IFERROR(IF(DATEDIF(#REF!,U190,"m")&lt;=1,1,IF(AND(DATEDIF(#REF!,U190,"m")&gt;1,DATEDIF(#REF!,U190,"m")&lt;12),2,IF(AND(DATEDIF(#REF!,U190,"m")&gt;=12,DATEDIF(#REF!,U190,"m")&lt;24),3,IF(DATEDIF(#REF!,U190,"m")&gt;=24,4,"")))),IF(E190="r0320 - Deposits, not covered and not preferential",1,4))</f>
        <v>4</v>
      </c>
    </row>
    <row r="191" spans="3:29" ht="48.75" thickBot="1" x14ac:dyDescent="0.3">
      <c r="C191" s="11">
        <v>999</v>
      </c>
      <c r="D191" s="154">
        <v>184</v>
      </c>
      <c r="E191" s="154" t="s">
        <v>1902</v>
      </c>
      <c r="F191" s="154" t="s">
        <v>83</v>
      </c>
      <c r="G191" s="154" t="s">
        <v>1903</v>
      </c>
      <c r="H191" s="154" t="s">
        <v>711</v>
      </c>
      <c r="I191" s="154" t="s">
        <v>114</v>
      </c>
      <c r="J191" s="154" t="s">
        <v>115</v>
      </c>
      <c r="K191" s="154" t="s">
        <v>60</v>
      </c>
      <c r="L191" s="154" t="s">
        <v>1897</v>
      </c>
      <c r="M191" s="154" t="s">
        <v>1388</v>
      </c>
      <c r="N191" s="154" t="s">
        <v>61</v>
      </c>
      <c r="O191" s="154" t="s">
        <v>62</v>
      </c>
      <c r="P191" s="146">
        <v>33498.839999999997</v>
      </c>
      <c r="Q191" s="146">
        <v>-4.4800000000000004</v>
      </c>
      <c r="R191" s="154" t="s">
        <v>1384</v>
      </c>
      <c r="S191" s="154" t="s">
        <v>1899</v>
      </c>
      <c r="T191" s="155" t="s">
        <v>768</v>
      </c>
      <c r="U191" s="155" t="s">
        <v>1899</v>
      </c>
      <c r="V191" s="154" t="s">
        <v>1904</v>
      </c>
      <c r="W191" s="154">
        <v>0</v>
      </c>
      <c r="X191" s="154" t="s">
        <v>63</v>
      </c>
      <c r="Y191" s="154" t="s">
        <v>1386</v>
      </c>
      <c r="Z191" s="154"/>
      <c r="AA191" s="154" t="s">
        <v>1387</v>
      </c>
      <c r="AB191" s="154">
        <v>0</v>
      </c>
      <c r="AC191" s="138">
        <f>IFERROR(IF(DATEDIF(#REF!,U191,"m")&lt;=1,1,IF(AND(DATEDIF(#REF!,U191,"m")&gt;1,DATEDIF(#REF!,U191,"m")&lt;12),2,IF(AND(DATEDIF(#REF!,U191,"m")&gt;=12,DATEDIF(#REF!,U191,"m")&lt;24),3,IF(DATEDIF(#REF!,U191,"m")&gt;=24,4,"")))),IF(E191="r0320 - Deposits, not covered and not preferential",1,4))</f>
        <v>4</v>
      </c>
    </row>
    <row r="192" spans="3:29" ht="48.75" thickBot="1" x14ac:dyDescent="0.3">
      <c r="C192" s="11">
        <v>999</v>
      </c>
      <c r="D192" s="154">
        <v>185</v>
      </c>
      <c r="E192" s="154" t="s">
        <v>1902</v>
      </c>
      <c r="F192" s="154" t="s">
        <v>83</v>
      </c>
      <c r="G192" s="154" t="s">
        <v>1903</v>
      </c>
      <c r="H192" s="154" t="s">
        <v>444</v>
      </c>
      <c r="I192" s="154" t="s">
        <v>101</v>
      </c>
      <c r="J192" s="154" t="s">
        <v>102</v>
      </c>
      <c r="K192" s="154" t="s">
        <v>60</v>
      </c>
      <c r="L192" s="154" t="s">
        <v>1897</v>
      </c>
      <c r="M192" s="154" t="s">
        <v>1388</v>
      </c>
      <c r="N192" s="154" t="s">
        <v>61</v>
      </c>
      <c r="O192" s="154" t="s">
        <v>62</v>
      </c>
      <c r="P192" s="146">
        <v>710831.45</v>
      </c>
      <c r="Q192" s="146">
        <v>319.14999999999998</v>
      </c>
      <c r="R192" s="154" t="s">
        <v>1384</v>
      </c>
      <c r="S192" s="154" t="s">
        <v>1899</v>
      </c>
      <c r="T192" s="155" t="s">
        <v>768</v>
      </c>
      <c r="U192" s="155" t="s">
        <v>1899</v>
      </c>
      <c r="V192" s="154" t="s">
        <v>1904</v>
      </c>
      <c r="W192" s="154">
        <v>0</v>
      </c>
      <c r="X192" s="154" t="s">
        <v>63</v>
      </c>
      <c r="Y192" s="154" t="s">
        <v>1386</v>
      </c>
      <c r="Z192" s="154"/>
      <c r="AA192" s="154" t="s">
        <v>1387</v>
      </c>
      <c r="AB192" s="154">
        <v>0</v>
      </c>
      <c r="AC192" s="138">
        <f>IFERROR(IF(DATEDIF(#REF!,U192,"m")&lt;=1,1,IF(AND(DATEDIF(#REF!,U192,"m")&gt;1,DATEDIF(#REF!,U192,"m")&lt;12),2,IF(AND(DATEDIF(#REF!,U192,"m")&gt;=12,DATEDIF(#REF!,U192,"m")&lt;24),3,IF(DATEDIF(#REF!,U192,"m")&gt;=24,4,"")))),IF(E192="r0320 - Deposits, not covered and not preferential",1,4))</f>
        <v>4</v>
      </c>
    </row>
    <row r="193" spans="3:29" ht="48.75" thickBot="1" x14ac:dyDescent="0.3">
      <c r="C193" s="11">
        <v>999</v>
      </c>
      <c r="D193" s="154">
        <v>186</v>
      </c>
      <c r="E193" s="154" t="s">
        <v>1902</v>
      </c>
      <c r="F193" s="154" t="s">
        <v>83</v>
      </c>
      <c r="G193" s="154" t="s">
        <v>1903</v>
      </c>
      <c r="H193" s="154" t="s">
        <v>719</v>
      </c>
      <c r="I193" s="154" t="s">
        <v>101</v>
      </c>
      <c r="J193" s="154" t="s">
        <v>102</v>
      </c>
      <c r="K193" s="154" t="s">
        <v>60</v>
      </c>
      <c r="L193" s="154" t="s">
        <v>1897</v>
      </c>
      <c r="M193" s="154" t="s">
        <v>1388</v>
      </c>
      <c r="N193" s="154" t="s">
        <v>61</v>
      </c>
      <c r="O193" s="154" t="s">
        <v>62</v>
      </c>
      <c r="P193" s="146">
        <v>1634027.99</v>
      </c>
      <c r="Q193" s="146">
        <v>619.54</v>
      </c>
      <c r="R193" s="154" t="s">
        <v>1384</v>
      </c>
      <c r="S193" s="154" t="s">
        <v>1899</v>
      </c>
      <c r="T193" s="155" t="s">
        <v>768</v>
      </c>
      <c r="U193" s="155" t="s">
        <v>1899</v>
      </c>
      <c r="V193" s="154" t="s">
        <v>1904</v>
      </c>
      <c r="W193" s="154">
        <v>0</v>
      </c>
      <c r="X193" s="154" t="s">
        <v>63</v>
      </c>
      <c r="Y193" s="154" t="s">
        <v>1386</v>
      </c>
      <c r="Z193" s="154"/>
      <c r="AA193" s="154" t="s">
        <v>1387</v>
      </c>
      <c r="AB193" s="154">
        <v>0</v>
      </c>
      <c r="AC193" s="138">
        <f>IFERROR(IF(DATEDIF(#REF!,U193,"m")&lt;=1,1,IF(AND(DATEDIF(#REF!,U193,"m")&gt;1,DATEDIF(#REF!,U193,"m")&lt;12),2,IF(AND(DATEDIF(#REF!,U193,"m")&gt;=12,DATEDIF(#REF!,U193,"m")&lt;24),3,IF(DATEDIF(#REF!,U193,"m")&gt;=24,4,"")))),IF(E193="r0320 - Deposits, not covered and not preferential",1,4))</f>
        <v>4</v>
      </c>
    </row>
    <row r="194" spans="3:29" ht="36.75" thickBot="1" x14ac:dyDescent="0.3">
      <c r="C194" s="11">
        <v>999</v>
      </c>
      <c r="D194" s="154">
        <v>187</v>
      </c>
      <c r="E194" s="154" t="s">
        <v>1898</v>
      </c>
      <c r="F194" s="154" t="s">
        <v>87</v>
      </c>
      <c r="G194" s="154" t="s">
        <v>1402</v>
      </c>
      <c r="H194" s="154" t="s">
        <v>771</v>
      </c>
      <c r="I194" s="154" t="s">
        <v>108</v>
      </c>
      <c r="J194" s="154" t="s">
        <v>90</v>
      </c>
      <c r="K194" s="154" t="s">
        <v>91</v>
      </c>
      <c r="L194" s="154" t="s">
        <v>1897</v>
      </c>
      <c r="M194" s="154" t="s">
        <v>1383</v>
      </c>
      <c r="N194" s="154" t="s">
        <v>61</v>
      </c>
      <c r="O194" s="154" t="s">
        <v>62</v>
      </c>
      <c r="P194" s="146">
        <v>7.07</v>
      </c>
      <c r="Q194" s="146">
        <v>0</v>
      </c>
      <c r="R194" s="154" t="s">
        <v>1384</v>
      </c>
      <c r="S194" s="154" t="s">
        <v>1899</v>
      </c>
      <c r="T194" s="155" t="s">
        <v>1899</v>
      </c>
      <c r="U194" s="155" t="s">
        <v>1899</v>
      </c>
      <c r="V194" s="154" t="s">
        <v>1562</v>
      </c>
      <c r="W194" s="154">
        <v>0</v>
      </c>
      <c r="X194" s="154" t="s">
        <v>63</v>
      </c>
      <c r="Y194" s="154" t="s">
        <v>1900</v>
      </c>
      <c r="Z194" s="154"/>
      <c r="AA194" s="154" t="s">
        <v>1387</v>
      </c>
      <c r="AB194" s="154">
        <v>0</v>
      </c>
      <c r="AC194" s="138">
        <f>IFERROR(IF(DATEDIF(#REF!,U194,"m")&lt;=1,1,IF(AND(DATEDIF(#REF!,U194,"m")&gt;1,DATEDIF(#REF!,U194,"m")&lt;12),2,IF(AND(DATEDIF(#REF!,U194,"m")&gt;=12,DATEDIF(#REF!,U194,"m")&lt;24),3,IF(DATEDIF(#REF!,U194,"m")&gt;=24,4,"")))),IF(E194="r0320 - Deposits, not covered and not preferential",1,4))</f>
        <v>4</v>
      </c>
    </row>
    <row r="195" spans="3:29" ht="48.75" thickBot="1" x14ac:dyDescent="0.3">
      <c r="C195" s="11">
        <v>999</v>
      </c>
      <c r="D195" s="154">
        <v>188</v>
      </c>
      <c r="E195" s="154" t="s">
        <v>1902</v>
      </c>
      <c r="F195" s="154" t="s">
        <v>83</v>
      </c>
      <c r="G195" s="154" t="s">
        <v>1903</v>
      </c>
      <c r="H195" s="154" t="s">
        <v>803</v>
      </c>
      <c r="I195" s="154" t="s">
        <v>101</v>
      </c>
      <c r="J195" s="154" t="s">
        <v>102</v>
      </c>
      <c r="K195" s="154" t="s">
        <v>60</v>
      </c>
      <c r="L195" s="154" t="s">
        <v>1897</v>
      </c>
      <c r="M195" s="154" t="s">
        <v>1388</v>
      </c>
      <c r="N195" s="154" t="s">
        <v>61</v>
      </c>
      <c r="O195" s="154" t="s">
        <v>62</v>
      </c>
      <c r="P195" s="146">
        <v>815337.32</v>
      </c>
      <c r="Q195" s="146">
        <v>610.08000000000004</v>
      </c>
      <c r="R195" s="154" t="s">
        <v>1384</v>
      </c>
      <c r="S195" s="154" t="s">
        <v>1899</v>
      </c>
      <c r="T195" s="155" t="s">
        <v>768</v>
      </c>
      <c r="U195" s="155" t="s">
        <v>1899</v>
      </c>
      <c r="V195" s="154" t="s">
        <v>1904</v>
      </c>
      <c r="W195" s="154">
        <v>0</v>
      </c>
      <c r="X195" s="154" t="s">
        <v>63</v>
      </c>
      <c r="Y195" s="154" t="s">
        <v>1386</v>
      </c>
      <c r="Z195" s="154"/>
      <c r="AA195" s="154" t="s">
        <v>1387</v>
      </c>
      <c r="AB195" s="154">
        <v>0</v>
      </c>
      <c r="AC195" s="138">
        <f>IFERROR(IF(DATEDIF(#REF!,U195,"m")&lt;=1,1,IF(AND(DATEDIF(#REF!,U195,"m")&gt;1,DATEDIF(#REF!,U195,"m")&lt;12),2,IF(AND(DATEDIF(#REF!,U195,"m")&gt;=12,DATEDIF(#REF!,U195,"m")&lt;24),3,IF(DATEDIF(#REF!,U195,"m")&gt;=24,4,"")))),IF(E195="r0320 - Deposits, not covered and not preferential",1,4))</f>
        <v>4</v>
      </c>
    </row>
    <row r="196" spans="3:29" ht="48.75" thickBot="1" x14ac:dyDescent="0.3">
      <c r="C196" s="11">
        <v>999</v>
      </c>
      <c r="D196" s="154">
        <v>189</v>
      </c>
      <c r="E196" s="154" t="s">
        <v>1902</v>
      </c>
      <c r="F196" s="154" t="s">
        <v>83</v>
      </c>
      <c r="G196" s="154" t="s">
        <v>1903</v>
      </c>
      <c r="H196" s="154" t="s">
        <v>272</v>
      </c>
      <c r="I196" s="154" t="s">
        <v>114</v>
      </c>
      <c r="J196" s="154" t="s">
        <v>115</v>
      </c>
      <c r="K196" s="154" t="s">
        <v>60</v>
      </c>
      <c r="L196" s="154" t="s">
        <v>1897</v>
      </c>
      <c r="M196" s="154" t="s">
        <v>1388</v>
      </c>
      <c r="N196" s="154" t="s">
        <v>61</v>
      </c>
      <c r="O196" s="154" t="s">
        <v>62</v>
      </c>
      <c r="P196" s="146">
        <v>56185.15</v>
      </c>
      <c r="Q196" s="146">
        <v>24.85</v>
      </c>
      <c r="R196" s="154" t="s">
        <v>1384</v>
      </c>
      <c r="S196" s="154" t="s">
        <v>1899</v>
      </c>
      <c r="T196" s="155" t="s">
        <v>768</v>
      </c>
      <c r="U196" s="155" t="s">
        <v>1899</v>
      </c>
      <c r="V196" s="154" t="s">
        <v>1904</v>
      </c>
      <c r="W196" s="154">
        <v>0</v>
      </c>
      <c r="X196" s="154" t="s">
        <v>63</v>
      </c>
      <c r="Y196" s="154" t="s">
        <v>1386</v>
      </c>
      <c r="Z196" s="154"/>
      <c r="AA196" s="154" t="s">
        <v>1387</v>
      </c>
      <c r="AB196" s="154">
        <v>0</v>
      </c>
      <c r="AC196" s="138">
        <f>IFERROR(IF(DATEDIF(#REF!,U196,"m")&lt;=1,1,IF(AND(DATEDIF(#REF!,U196,"m")&gt;1,DATEDIF(#REF!,U196,"m")&lt;12),2,IF(AND(DATEDIF(#REF!,U196,"m")&gt;=12,DATEDIF(#REF!,U196,"m")&lt;24),3,IF(DATEDIF(#REF!,U196,"m")&gt;=24,4,"")))),IF(E196="r0320 - Deposits, not covered and not preferential",1,4))</f>
        <v>4</v>
      </c>
    </row>
    <row r="197" spans="3:29" ht="48.75" thickBot="1" x14ac:dyDescent="0.3">
      <c r="C197" s="11">
        <v>999</v>
      </c>
      <c r="D197" s="154">
        <v>190</v>
      </c>
      <c r="E197" s="154" t="s">
        <v>1902</v>
      </c>
      <c r="F197" s="154" t="s">
        <v>83</v>
      </c>
      <c r="G197" s="154" t="s">
        <v>1903</v>
      </c>
      <c r="H197" s="154" t="s">
        <v>743</v>
      </c>
      <c r="I197" s="154" t="s">
        <v>114</v>
      </c>
      <c r="J197" s="154" t="s">
        <v>115</v>
      </c>
      <c r="K197" s="154" t="s">
        <v>60</v>
      </c>
      <c r="L197" s="154" t="s">
        <v>1897</v>
      </c>
      <c r="M197" s="154" t="s">
        <v>1388</v>
      </c>
      <c r="N197" s="154" t="s">
        <v>61</v>
      </c>
      <c r="O197" s="154" t="s">
        <v>62</v>
      </c>
      <c r="P197" s="146">
        <v>26628.639999999999</v>
      </c>
      <c r="Q197" s="146">
        <v>0.15</v>
      </c>
      <c r="R197" s="154" t="s">
        <v>1384</v>
      </c>
      <c r="S197" s="154" t="s">
        <v>1899</v>
      </c>
      <c r="T197" s="155" t="s">
        <v>768</v>
      </c>
      <c r="U197" s="155" t="s">
        <v>1899</v>
      </c>
      <c r="V197" s="154" t="s">
        <v>1904</v>
      </c>
      <c r="W197" s="154">
        <v>0</v>
      </c>
      <c r="X197" s="154" t="s">
        <v>63</v>
      </c>
      <c r="Y197" s="154" t="s">
        <v>1386</v>
      </c>
      <c r="Z197" s="154"/>
      <c r="AA197" s="154" t="s">
        <v>1387</v>
      </c>
      <c r="AB197" s="154">
        <v>0</v>
      </c>
      <c r="AC197" s="138">
        <f>IFERROR(IF(DATEDIF(#REF!,U197,"m")&lt;=1,1,IF(AND(DATEDIF(#REF!,U197,"m")&gt;1,DATEDIF(#REF!,U197,"m")&lt;12),2,IF(AND(DATEDIF(#REF!,U197,"m")&gt;=12,DATEDIF(#REF!,U197,"m")&lt;24),3,IF(DATEDIF(#REF!,U197,"m")&gt;=24,4,"")))),IF(E197="r0320 - Deposits, not covered and not preferential",1,4))</f>
        <v>4</v>
      </c>
    </row>
    <row r="198" spans="3:29" ht="36.75" thickBot="1" x14ac:dyDescent="0.3">
      <c r="C198" s="11">
        <v>999</v>
      </c>
      <c r="D198" s="154">
        <v>191</v>
      </c>
      <c r="E198" s="154" t="s">
        <v>1898</v>
      </c>
      <c r="F198" s="154" t="s">
        <v>87</v>
      </c>
      <c r="G198" s="154" t="s">
        <v>1402</v>
      </c>
      <c r="H198" s="154" t="s">
        <v>494</v>
      </c>
      <c r="I198" s="154" t="s">
        <v>96</v>
      </c>
      <c r="J198" s="154" t="s">
        <v>97</v>
      </c>
      <c r="K198" s="154" t="s">
        <v>91</v>
      </c>
      <c r="L198" s="154" t="s">
        <v>1897</v>
      </c>
      <c r="M198" s="154" t="s">
        <v>1383</v>
      </c>
      <c r="N198" s="154" t="s">
        <v>61</v>
      </c>
      <c r="O198" s="154" t="s">
        <v>62</v>
      </c>
      <c r="P198" s="146">
        <v>0.74</v>
      </c>
      <c r="Q198" s="146">
        <v>0</v>
      </c>
      <c r="R198" s="154" t="s">
        <v>1384</v>
      </c>
      <c r="S198" s="154" t="s">
        <v>1899</v>
      </c>
      <c r="T198" s="155" t="s">
        <v>1899</v>
      </c>
      <c r="U198" s="155" t="s">
        <v>1899</v>
      </c>
      <c r="V198" s="154" t="s">
        <v>1562</v>
      </c>
      <c r="W198" s="154">
        <v>0</v>
      </c>
      <c r="X198" s="154" t="s">
        <v>63</v>
      </c>
      <c r="Y198" s="154" t="s">
        <v>1900</v>
      </c>
      <c r="Z198" s="154"/>
      <c r="AA198" s="154" t="s">
        <v>1387</v>
      </c>
      <c r="AB198" s="154">
        <v>0</v>
      </c>
      <c r="AC198" s="138">
        <f>IFERROR(IF(DATEDIF(#REF!,U198,"m")&lt;=1,1,IF(AND(DATEDIF(#REF!,U198,"m")&gt;1,DATEDIF(#REF!,U198,"m")&lt;12),2,IF(AND(DATEDIF(#REF!,U198,"m")&gt;=12,DATEDIF(#REF!,U198,"m")&lt;24),3,IF(DATEDIF(#REF!,U198,"m")&gt;=24,4,"")))),IF(E198="r0320 - Deposits, not covered and not preferential",1,4))</f>
        <v>4</v>
      </c>
    </row>
    <row r="199" spans="3:29" ht="48.75" thickBot="1" x14ac:dyDescent="0.3">
      <c r="C199" s="11">
        <v>999</v>
      </c>
      <c r="D199" s="154">
        <v>192</v>
      </c>
      <c r="E199" s="154" t="s">
        <v>1902</v>
      </c>
      <c r="F199" s="154" t="s">
        <v>83</v>
      </c>
      <c r="G199" s="154" t="s">
        <v>1903</v>
      </c>
      <c r="H199" s="154" t="s">
        <v>1230</v>
      </c>
      <c r="I199" s="154" t="s">
        <v>114</v>
      </c>
      <c r="J199" s="154" t="s">
        <v>115</v>
      </c>
      <c r="K199" s="154" t="s">
        <v>60</v>
      </c>
      <c r="L199" s="154" t="s">
        <v>1897</v>
      </c>
      <c r="M199" s="154" t="s">
        <v>1388</v>
      </c>
      <c r="N199" s="154" t="s">
        <v>61</v>
      </c>
      <c r="O199" s="154" t="s">
        <v>62</v>
      </c>
      <c r="P199" s="146">
        <v>191196.28</v>
      </c>
      <c r="Q199" s="146">
        <v>47.84</v>
      </c>
      <c r="R199" s="154" t="s">
        <v>1384</v>
      </c>
      <c r="S199" s="154" t="s">
        <v>1899</v>
      </c>
      <c r="T199" s="155" t="s">
        <v>768</v>
      </c>
      <c r="U199" s="155" t="s">
        <v>1899</v>
      </c>
      <c r="V199" s="154" t="s">
        <v>1904</v>
      </c>
      <c r="W199" s="154">
        <v>0</v>
      </c>
      <c r="X199" s="154" t="s">
        <v>63</v>
      </c>
      <c r="Y199" s="154" t="s">
        <v>1386</v>
      </c>
      <c r="Z199" s="154"/>
      <c r="AA199" s="154" t="s">
        <v>1387</v>
      </c>
      <c r="AB199" s="154">
        <v>0</v>
      </c>
      <c r="AC199" s="138">
        <f>IFERROR(IF(DATEDIF(#REF!,U199,"m")&lt;=1,1,IF(AND(DATEDIF(#REF!,U199,"m")&gt;1,DATEDIF(#REF!,U199,"m")&lt;12),2,IF(AND(DATEDIF(#REF!,U199,"m")&gt;=12,DATEDIF(#REF!,U199,"m")&lt;24),3,IF(DATEDIF(#REF!,U199,"m")&gt;=24,4,"")))),IF(E199="r0320 - Deposits, not covered and not preferential",1,4))</f>
        <v>4</v>
      </c>
    </row>
    <row r="200" spans="3:29" ht="36.75" thickBot="1" x14ac:dyDescent="0.3">
      <c r="C200" s="11">
        <v>999</v>
      </c>
      <c r="D200" s="154">
        <v>193</v>
      </c>
      <c r="E200" s="154" t="s">
        <v>1898</v>
      </c>
      <c r="F200" s="154" t="s">
        <v>87</v>
      </c>
      <c r="G200" s="154" t="s">
        <v>1402</v>
      </c>
      <c r="H200" s="154" t="s">
        <v>848</v>
      </c>
      <c r="I200" s="154" t="s">
        <v>96</v>
      </c>
      <c r="J200" s="154" t="s">
        <v>97</v>
      </c>
      <c r="K200" s="154" t="s">
        <v>91</v>
      </c>
      <c r="L200" s="154" t="s">
        <v>1897</v>
      </c>
      <c r="M200" s="154" t="s">
        <v>1383</v>
      </c>
      <c r="N200" s="154" t="s">
        <v>61</v>
      </c>
      <c r="O200" s="154" t="s">
        <v>62</v>
      </c>
      <c r="P200" s="146">
        <v>97.78</v>
      </c>
      <c r="Q200" s="146">
        <v>0</v>
      </c>
      <c r="R200" s="154" t="s">
        <v>1384</v>
      </c>
      <c r="S200" s="154" t="s">
        <v>1899</v>
      </c>
      <c r="T200" s="155" t="s">
        <v>1899</v>
      </c>
      <c r="U200" s="155" t="s">
        <v>1899</v>
      </c>
      <c r="V200" s="154" t="s">
        <v>1562</v>
      </c>
      <c r="W200" s="154">
        <v>0</v>
      </c>
      <c r="X200" s="154" t="s">
        <v>63</v>
      </c>
      <c r="Y200" s="154" t="s">
        <v>1900</v>
      </c>
      <c r="Z200" s="154"/>
      <c r="AA200" s="154" t="s">
        <v>1387</v>
      </c>
      <c r="AB200" s="154">
        <v>0</v>
      </c>
      <c r="AC200" s="138">
        <f>IFERROR(IF(DATEDIF(#REF!,U200,"m")&lt;=1,1,IF(AND(DATEDIF(#REF!,U200,"m")&gt;1,DATEDIF(#REF!,U200,"m")&lt;12),2,IF(AND(DATEDIF(#REF!,U200,"m")&gt;=12,DATEDIF(#REF!,U200,"m")&lt;24),3,IF(DATEDIF(#REF!,U200,"m")&gt;=24,4,"")))),IF(E200="r0320 - Deposits, not covered and not preferential",1,4))</f>
        <v>4</v>
      </c>
    </row>
    <row r="201" spans="3:29" ht="48.75" thickBot="1" x14ac:dyDescent="0.3">
      <c r="C201" s="11">
        <v>999</v>
      </c>
      <c r="D201" s="154">
        <v>194</v>
      </c>
      <c r="E201" s="154" t="s">
        <v>1902</v>
      </c>
      <c r="F201" s="154" t="s">
        <v>83</v>
      </c>
      <c r="G201" s="154" t="s">
        <v>1903</v>
      </c>
      <c r="H201" s="154" t="s">
        <v>906</v>
      </c>
      <c r="I201" s="154" t="s">
        <v>93</v>
      </c>
      <c r="J201" s="154" t="s">
        <v>94</v>
      </c>
      <c r="K201" s="154" t="s">
        <v>60</v>
      </c>
      <c r="L201" s="154" t="s">
        <v>1897</v>
      </c>
      <c r="M201" s="154" t="s">
        <v>1388</v>
      </c>
      <c r="N201" s="154" t="s">
        <v>61</v>
      </c>
      <c r="O201" s="154" t="s">
        <v>62</v>
      </c>
      <c r="P201" s="146">
        <v>168549.51</v>
      </c>
      <c r="Q201" s="146">
        <v>138.79</v>
      </c>
      <c r="R201" s="154" t="s">
        <v>1384</v>
      </c>
      <c r="S201" s="154" t="s">
        <v>1899</v>
      </c>
      <c r="T201" s="155" t="s">
        <v>768</v>
      </c>
      <c r="U201" s="155" t="s">
        <v>1899</v>
      </c>
      <c r="V201" s="154" t="s">
        <v>1904</v>
      </c>
      <c r="W201" s="154">
        <v>0</v>
      </c>
      <c r="X201" s="154" t="s">
        <v>63</v>
      </c>
      <c r="Y201" s="154" t="s">
        <v>1386</v>
      </c>
      <c r="Z201" s="154"/>
      <c r="AA201" s="154" t="s">
        <v>1387</v>
      </c>
      <c r="AB201" s="154">
        <v>0</v>
      </c>
      <c r="AC201" s="138">
        <f>IFERROR(IF(DATEDIF(#REF!,U201,"m")&lt;=1,1,IF(AND(DATEDIF(#REF!,U201,"m")&gt;1,DATEDIF(#REF!,U201,"m")&lt;12),2,IF(AND(DATEDIF(#REF!,U201,"m")&gt;=12,DATEDIF(#REF!,U201,"m")&lt;24),3,IF(DATEDIF(#REF!,U201,"m")&gt;=24,4,"")))),IF(E201="r0320 - Deposits, not covered and not preferential",1,4))</f>
        <v>4</v>
      </c>
    </row>
    <row r="202" spans="3:29" ht="36.75" thickBot="1" x14ac:dyDescent="0.3">
      <c r="C202" s="11">
        <v>999</v>
      </c>
      <c r="D202" s="154">
        <v>195</v>
      </c>
      <c r="E202" s="154" t="s">
        <v>1898</v>
      </c>
      <c r="F202" s="154" t="s">
        <v>87</v>
      </c>
      <c r="G202" s="154" t="s">
        <v>1402</v>
      </c>
      <c r="H202" s="154" t="s">
        <v>513</v>
      </c>
      <c r="I202" s="154" t="s">
        <v>96</v>
      </c>
      <c r="J202" s="154" t="s">
        <v>97</v>
      </c>
      <c r="K202" s="154" t="s">
        <v>91</v>
      </c>
      <c r="L202" s="154" t="s">
        <v>1897</v>
      </c>
      <c r="M202" s="154" t="s">
        <v>1383</v>
      </c>
      <c r="N202" s="154" t="s">
        <v>61</v>
      </c>
      <c r="O202" s="154" t="s">
        <v>62</v>
      </c>
      <c r="P202" s="146">
        <v>32.22</v>
      </c>
      <c r="Q202" s="146">
        <v>0</v>
      </c>
      <c r="R202" s="154" t="s">
        <v>1384</v>
      </c>
      <c r="S202" s="154" t="s">
        <v>1899</v>
      </c>
      <c r="T202" s="155" t="s">
        <v>1899</v>
      </c>
      <c r="U202" s="155" t="s">
        <v>1899</v>
      </c>
      <c r="V202" s="154" t="s">
        <v>1562</v>
      </c>
      <c r="W202" s="154">
        <v>0</v>
      </c>
      <c r="X202" s="154" t="s">
        <v>63</v>
      </c>
      <c r="Y202" s="154" t="s">
        <v>1900</v>
      </c>
      <c r="Z202" s="154"/>
      <c r="AA202" s="154" t="s">
        <v>1387</v>
      </c>
      <c r="AB202" s="154">
        <v>0</v>
      </c>
      <c r="AC202" s="138">
        <f>IFERROR(IF(DATEDIF(#REF!,U202,"m")&lt;=1,1,IF(AND(DATEDIF(#REF!,U202,"m")&gt;1,DATEDIF(#REF!,U202,"m")&lt;12),2,IF(AND(DATEDIF(#REF!,U202,"m")&gt;=12,DATEDIF(#REF!,U202,"m")&lt;24),3,IF(DATEDIF(#REF!,U202,"m")&gt;=24,4,"")))),IF(E202="r0320 - Deposits, not covered and not preferential",1,4))</f>
        <v>4</v>
      </c>
    </row>
    <row r="203" spans="3:29" ht="36.75" thickBot="1" x14ac:dyDescent="0.3">
      <c r="C203" s="11">
        <v>999</v>
      </c>
      <c r="D203" s="154">
        <v>196</v>
      </c>
      <c r="E203" s="154" t="s">
        <v>1898</v>
      </c>
      <c r="F203" s="154" t="s">
        <v>260</v>
      </c>
      <c r="G203" s="154" t="s">
        <v>1402</v>
      </c>
      <c r="H203" s="154" t="s">
        <v>57</v>
      </c>
      <c r="I203" s="154" t="s">
        <v>262</v>
      </c>
      <c r="J203" s="154" t="s">
        <v>263</v>
      </c>
      <c r="K203" s="154" t="s">
        <v>91</v>
      </c>
      <c r="L203" s="154" t="s">
        <v>1897</v>
      </c>
      <c r="M203" s="154" t="s">
        <v>1388</v>
      </c>
      <c r="N203" s="154" t="s">
        <v>61</v>
      </c>
      <c r="O203" s="154" t="s">
        <v>62</v>
      </c>
      <c r="P203" s="146">
        <v>12.09</v>
      </c>
      <c r="Q203" s="146">
        <v>0</v>
      </c>
      <c r="R203" s="154" t="s">
        <v>1384</v>
      </c>
      <c r="S203" s="154" t="s">
        <v>1899</v>
      </c>
      <c r="T203" s="155" t="s">
        <v>1899</v>
      </c>
      <c r="U203" s="155" t="s">
        <v>1899</v>
      </c>
      <c r="V203" s="154" t="s">
        <v>1562</v>
      </c>
      <c r="W203" s="154">
        <v>0</v>
      </c>
      <c r="X203" s="154" t="s">
        <v>63</v>
      </c>
      <c r="Y203" s="154" t="s">
        <v>1900</v>
      </c>
      <c r="Z203" s="154"/>
      <c r="AA203" s="154" t="s">
        <v>1387</v>
      </c>
      <c r="AB203" s="154">
        <v>0</v>
      </c>
      <c r="AC203" s="138">
        <f>IFERROR(IF(DATEDIF(#REF!,U203,"m")&lt;=1,1,IF(AND(DATEDIF(#REF!,U203,"m")&gt;1,DATEDIF(#REF!,U203,"m")&lt;12),2,IF(AND(DATEDIF(#REF!,U203,"m")&gt;=12,DATEDIF(#REF!,U203,"m")&lt;24),3,IF(DATEDIF(#REF!,U203,"m")&gt;=24,4,"")))),IF(E203="r0320 - Deposits, not covered and not preferential",1,4))</f>
        <v>4</v>
      </c>
    </row>
    <row r="204" spans="3:29" ht="36.75" thickBot="1" x14ac:dyDescent="0.3">
      <c r="C204" s="11">
        <v>999</v>
      </c>
      <c r="D204" s="154">
        <v>197</v>
      </c>
      <c r="E204" s="154" t="s">
        <v>1898</v>
      </c>
      <c r="F204" s="154" t="s">
        <v>87</v>
      </c>
      <c r="G204" s="154" t="s">
        <v>1402</v>
      </c>
      <c r="H204" s="154" t="s">
        <v>1249</v>
      </c>
      <c r="I204" s="154" t="s">
        <v>96</v>
      </c>
      <c r="J204" s="154" t="s">
        <v>97</v>
      </c>
      <c r="K204" s="154" t="s">
        <v>91</v>
      </c>
      <c r="L204" s="154" t="s">
        <v>1897</v>
      </c>
      <c r="M204" s="154" t="s">
        <v>1383</v>
      </c>
      <c r="N204" s="154" t="s">
        <v>61</v>
      </c>
      <c r="O204" s="154" t="s">
        <v>62</v>
      </c>
      <c r="P204" s="146">
        <v>67.040000000000006</v>
      </c>
      <c r="Q204" s="146">
        <v>0</v>
      </c>
      <c r="R204" s="154" t="s">
        <v>1384</v>
      </c>
      <c r="S204" s="154" t="s">
        <v>1899</v>
      </c>
      <c r="T204" s="155" t="s">
        <v>1899</v>
      </c>
      <c r="U204" s="155" t="s">
        <v>1899</v>
      </c>
      <c r="V204" s="154" t="s">
        <v>1562</v>
      </c>
      <c r="W204" s="154">
        <v>0</v>
      </c>
      <c r="X204" s="154" t="s">
        <v>63</v>
      </c>
      <c r="Y204" s="154" t="s">
        <v>1900</v>
      </c>
      <c r="Z204" s="154"/>
      <c r="AA204" s="154" t="s">
        <v>1387</v>
      </c>
      <c r="AB204" s="154">
        <v>0</v>
      </c>
      <c r="AC204" s="138">
        <f>IFERROR(IF(DATEDIF(#REF!,U204,"m")&lt;=1,1,IF(AND(DATEDIF(#REF!,U204,"m")&gt;1,DATEDIF(#REF!,U204,"m")&lt;12),2,IF(AND(DATEDIF(#REF!,U204,"m")&gt;=12,DATEDIF(#REF!,U204,"m")&lt;24),3,IF(DATEDIF(#REF!,U204,"m")&gt;=24,4,"")))),IF(E204="r0320 - Deposits, not covered and not preferential",1,4))</f>
        <v>4</v>
      </c>
    </row>
    <row r="205" spans="3:29" ht="48.75" thickBot="1" x14ac:dyDescent="0.3">
      <c r="C205" s="11">
        <v>999</v>
      </c>
      <c r="D205" s="154">
        <v>198</v>
      </c>
      <c r="E205" s="154" t="s">
        <v>1902</v>
      </c>
      <c r="F205" s="154" t="s">
        <v>83</v>
      </c>
      <c r="G205" s="154" t="s">
        <v>1903</v>
      </c>
      <c r="H205" s="154" t="s">
        <v>767</v>
      </c>
      <c r="I205" s="154" t="s">
        <v>101</v>
      </c>
      <c r="J205" s="154" t="s">
        <v>102</v>
      </c>
      <c r="K205" s="154" t="s">
        <v>60</v>
      </c>
      <c r="L205" s="154" t="s">
        <v>1897</v>
      </c>
      <c r="M205" s="154" t="s">
        <v>1388</v>
      </c>
      <c r="N205" s="154" t="s">
        <v>61</v>
      </c>
      <c r="O205" s="154" t="s">
        <v>62</v>
      </c>
      <c r="P205" s="146">
        <v>678312.08</v>
      </c>
      <c r="Q205" s="146">
        <v>132.41999999999999</v>
      </c>
      <c r="R205" s="154" t="s">
        <v>1384</v>
      </c>
      <c r="S205" s="154" t="s">
        <v>1899</v>
      </c>
      <c r="T205" s="155" t="s">
        <v>768</v>
      </c>
      <c r="U205" s="155" t="s">
        <v>1899</v>
      </c>
      <c r="V205" s="154" t="s">
        <v>1904</v>
      </c>
      <c r="W205" s="154">
        <v>0</v>
      </c>
      <c r="X205" s="154" t="s">
        <v>63</v>
      </c>
      <c r="Y205" s="154" t="s">
        <v>1386</v>
      </c>
      <c r="Z205" s="154"/>
      <c r="AA205" s="154" t="s">
        <v>1387</v>
      </c>
      <c r="AB205" s="154">
        <v>0</v>
      </c>
      <c r="AC205" s="138">
        <f>IFERROR(IF(DATEDIF(#REF!,U205,"m")&lt;=1,1,IF(AND(DATEDIF(#REF!,U205,"m")&gt;1,DATEDIF(#REF!,U205,"m")&lt;12),2,IF(AND(DATEDIF(#REF!,U205,"m")&gt;=12,DATEDIF(#REF!,U205,"m")&lt;24),3,IF(DATEDIF(#REF!,U205,"m")&gt;=24,4,"")))),IF(E205="r0320 - Deposits, not covered and not preferential",1,4))</f>
        <v>4</v>
      </c>
    </row>
    <row r="206" spans="3:29" ht="36.75" thickBot="1" x14ac:dyDescent="0.3">
      <c r="C206" s="11">
        <v>999</v>
      </c>
      <c r="D206" s="154">
        <v>199</v>
      </c>
      <c r="E206" s="154" t="s">
        <v>1898</v>
      </c>
      <c r="F206" s="154" t="s">
        <v>87</v>
      </c>
      <c r="G206" s="154" t="s">
        <v>1402</v>
      </c>
      <c r="H206" s="154" t="s">
        <v>1254</v>
      </c>
      <c r="I206" s="154" t="s">
        <v>1255</v>
      </c>
      <c r="J206" s="154" t="s">
        <v>1256</v>
      </c>
      <c r="K206" s="154" t="s">
        <v>60</v>
      </c>
      <c r="L206" s="154" t="s">
        <v>1897</v>
      </c>
      <c r="M206" s="154" t="s">
        <v>1383</v>
      </c>
      <c r="N206" s="154" t="s">
        <v>61</v>
      </c>
      <c r="O206" s="154" t="s">
        <v>62</v>
      </c>
      <c r="P206" s="146">
        <v>0.11</v>
      </c>
      <c r="Q206" s="146">
        <v>0</v>
      </c>
      <c r="R206" s="154" t="s">
        <v>1384</v>
      </c>
      <c r="S206" s="154" t="s">
        <v>1899</v>
      </c>
      <c r="T206" s="155" t="s">
        <v>1899</v>
      </c>
      <c r="U206" s="155" t="s">
        <v>1899</v>
      </c>
      <c r="V206" s="154" t="s">
        <v>1562</v>
      </c>
      <c r="W206" s="154">
        <v>0</v>
      </c>
      <c r="X206" s="154" t="s">
        <v>63</v>
      </c>
      <c r="Y206" s="154" t="s">
        <v>1900</v>
      </c>
      <c r="Z206" s="154"/>
      <c r="AA206" s="154" t="s">
        <v>1387</v>
      </c>
      <c r="AB206" s="154">
        <v>0</v>
      </c>
      <c r="AC206" s="138">
        <f>IFERROR(IF(DATEDIF(#REF!,U206,"m")&lt;=1,1,IF(AND(DATEDIF(#REF!,U206,"m")&gt;1,DATEDIF(#REF!,U206,"m")&lt;12),2,IF(AND(DATEDIF(#REF!,U206,"m")&gt;=12,DATEDIF(#REF!,U206,"m")&lt;24),3,IF(DATEDIF(#REF!,U206,"m")&gt;=24,4,"")))),IF(E206="r0320 - Deposits, not covered and not preferential",1,4))</f>
        <v>4</v>
      </c>
    </row>
    <row r="207" spans="3:29" ht="48.75" thickBot="1" x14ac:dyDescent="0.3">
      <c r="C207" s="11">
        <v>999</v>
      </c>
      <c r="D207" s="154">
        <v>200</v>
      </c>
      <c r="E207" s="154" t="s">
        <v>1902</v>
      </c>
      <c r="F207" s="154" t="s">
        <v>83</v>
      </c>
      <c r="G207" s="154" t="s">
        <v>1903</v>
      </c>
      <c r="H207" s="154" t="s">
        <v>1268</v>
      </c>
      <c r="I207" s="154" t="s">
        <v>114</v>
      </c>
      <c r="J207" s="154" t="s">
        <v>115</v>
      </c>
      <c r="K207" s="154" t="s">
        <v>60</v>
      </c>
      <c r="L207" s="154" t="s">
        <v>1897</v>
      </c>
      <c r="M207" s="154" t="s">
        <v>1388</v>
      </c>
      <c r="N207" s="154" t="s">
        <v>61</v>
      </c>
      <c r="O207" s="154" t="s">
        <v>62</v>
      </c>
      <c r="P207" s="146">
        <v>4106.4399999999996</v>
      </c>
      <c r="Q207" s="146">
        <v>6.57</v>
      </c>
      <c r="R207" s="154" t="s">
        <v>1384</v>
      </c>
      <c r="S207" s="154" t="s">
        <v>1899</v>
      </c>
      <c r="T207" s="155" t="s">
        <v>768</v>
      </c>
      <c r="U207" s="155" t="s">
        <v>1899</v>
      </c>
      <c r="V207" s="154" t="s">
        <v>1904</v>
      </c>
      <c r="W207" s="154">
        <v>0</v>
      </c>
      <c r="X207" s="154" t="s">
        <v>63</v>
      </c>
      <c r="Y207" s="154" t="s">
        <v>1386</v>
      </c>
      <c r="Z207" s="154"/>
      <c r="AA207" s="154" t="s">
        <v>1387</v>
      </c>
      <c r="AB207" s="154">
        <v>0</v>
      </c>
      <c r="AC207" s="138">
        <f>IFERROR(IF(DATEDIF(#REF!,U207,"m")&lt;=1,1,IF(AND(DATEDIF(#REF!,U207,"m")&gt;1,DATEDIF(#REF!,U207,"m")&lt;12),2,IF(AND(DATEDIF(#REF!,U207,"m")&gt;=12,DATEDIF(#REF!,U207,"m")&lt;24),3,IF(DATEDIF(#REF!,U207,"m")&gt;=24,4,"")))),IF(E207="r0320 - Deposits, not covered and not preferential",1,4))</f>
        <v>4</v>
      </c>
    </row>
    <row r="208" spans="3:29" ht="36.75" thickBot="1" x14ac:dyDescent="0.3">
      <c r="C208" s="11">
        <v>999</v>
      </c>
      <c r="D208" s="154">
        <v>201</v>
      </c>
      <c r="E208" s="154" t="s">
        <v>1898</v>
      </c>
      <c r="F208" s="154" t="s">
        <v>87</v>
      </c>
      <c r="G208" s="154" t="s">
        <v>1402</v>
      </c>
      <c r="H208" s="154" t="s">
        <v>1262</v>
      </c>
      <c r="I208" s="154" t="s">
        <v>104</v>
      </c>
      <c r="J208" s="154" t="s">
        <v>105</v>
      </c>
      <c r="K208" s="154" t="s">
        <v>60</v>
      </c>
      <c r="L208" s="154" t="s">
        <v>1897</v>
      </c>
      <c r="M208" s="154" t="s">
        <v>1383</v>
      </c>
      <c r="N208" s="154" t="s">
        <v>61</v>
      </c>
      <c r="O208" s="154" t="s">
        <v>62</v>
      </c>
      <c r="P208" s="146">
        <v>1.68</v>
      </c>
      <c r="Q208" s="146">
        <v>0</v>
      </c>
      <c r="R208" s="154" t="s">
        <v>1384</v>
      </c>
      <c r="S208" s="154" t="s">
        <v>1899</v>
      </c>
      <c r="T208" s="155" t="s">
        <v>1899</v>
      </c>
      <c r="U208" s="155" t="s">
        <v>1899</v>
      </c>
      <c r="V208" s="154" t="s">
        <v>1562</v>
      </c>
      <c r="W208" s="154">
        <v>0</v>
      </c>
      <c r="X208" s="154" t="s">
        <v>63</v>
      </c>
      <c r="Y208" s="154" t="s">
        <v>1900</v>
      </c>
      <c r="Z208" s="154"/>
      <c r="AA208" s="154" t="s">
        <v>1387</v>
      </c>
      <c r="AB208" s="154">
        <v>0</v>
      </c>
      <c r="AC208" s="138">
        <f>IFERROR(IF(DATEDIF(#REF!,U208,"m")&lt;=1,1,IF(AND(DATEDIF(#REF!,U208,"m")&gt;1,DATEDIF(#REF!,U208,"m")&lt;12),2,IF(AND(DATEDIF(#REF!,U208,"m")&gt;=12,DATEDIF(#REF!,U208,"m")&lt;24),3,IF(DATEDIF(#REF!,U208,"m")&gt;=24,4,"")))),IF(E208="r0320 - Deposits, not covered and not preferential",1,4))</f>
        <v>4</v>
      </c>
    </row>
    <row r="209" spans="3:29" ht="36.75" thickBot="1" x14ac:dyDescent="0.3">
      <c r="C209" s="11">
        <v>999</v>
      </c>
      <c r="D209" s="154">
        <v>202</v>
      </c>
      <c r="E209" s="154" t="s">
        <v>1898</v>
      </c>
      <c r="F209" s="154" t="s">
        <v>87</v>
      </c>
      <c r="G209" s="154" t="s">
        <v>1402</v>
      </c>
      <c r="H209" s="154" t="s">
        <v>946</v>
      </c>
      <c r="I209" s="154" t="s">
        <v>96</v>
      </c>
      <c r="J209" s="154" t="s">
        <v>97</v>
      </c>
      <c r="K209" s="154" t="s">
        <v>91</v>
      </c>
      <c r="L209" s="154" t="s">
        <v>1897</v>
      </c>
      <c r="M209" s="154" t="s">
        <v>1383</v>
      </c>
      <c r="N209" s="154" t="s">
        <v>61</v>
      </c>
      <c r="O209" s="154" t="s">
        <v>62</v>
      </c>
      <c r="P209" s="146">
        <v>2</v>
      </c>
      <c r="Q209" s="146">
        <v>0</v>
      </c>
      <c r="R209" s="154" t="s">
        <v>1384</v>
      </c>
      <c r="S209" s="154" t="s">
        <v>1899</v>
      </c>
      <c r="T209" s="155" t="s">
        <v>1899</v>
      </c>
      <c r="U209" s="155" t="s">
        <v>1899</v>
      </c>
      <c r="V209" s="154" t="s">
        <v>1562</v>
      </c>
      <c r="W209" s="154">
        <v>0</v>
      </c>
      <c r="X209" s="154" t="s">
        <v>63</v>
      </c>
      <c r="Y209" s="154" t="s">
        <v>1900</v>
      </c>
      <c r="Z209" s="154"/>
      <c r="AA209" s="154" t="s">
        <v>1387</v>
      </c>
      <c r="AB209" s="154">
        <v>0</v>
      </c>
      <c r="AC209" s="138">
        <f>IFERROR(IF(DATEDIF(#REF!,U209,"m")&lt;=1,1,IF(AND(DATEDIF(#REF!,U209,"m")&gt;1,DATEDIF(#REF!,U209,"m")&lt;12),2,IF(AND(DATEDIF(#REF!,U209,"m")&gt;=12,DATEDIF(#REF!,U209,"m")&lt;24),3,IF(DATEDIF(#REF!,U209,"m")&gt;=24,4,"")))),IF(E209="r0320 - Deposits, not covered and not preferential",1,4))</f>
        <v>4</v>
      </c>
    </row>
    <row r="210" spans="3:29" ht="36.75" thickBot="1" x14ac:dyDescent="0.3">
      <c r="C210" s="11">
        <v>999</v>
      </c>
      <c r="D210" s="154">
        <v>203</v>
      </c>
      <c r="E210" s="154" t="s">
        <v>1898</v>
      </c>
      <c r="F210" s="154" t="s">
        <v>87</v>
      </c>
      <c r="G210" s="154" t="s">
        <v>1402</v>
      </c>
      <c r="H210" s="154" t="s">
        <v>1267</v>
      </c>
      <c r="I210" s="154" t="s">
        <v>96</v>
      </c>
      <c r="J210" s="154" t="s">
        <v>97</v>
      </c>
      <c r="K210" s="154" t="s">
        <v>91</v>
      </c>
      <c r="L210" s="154" t="s">
        <v>1897</v>
      </c>
      <c r="M210" s="154" t="s">
        <v>1383</v>
      </c>
      <c r="N210" s="154" t="s">
        <v>61</v>
      </c>
      <c r="O210" s="154" t="s">
        <v>62</v>
      </c>
      <c r="P210" s="146">
        <v>10.82</v>
      </c>
      <c r="Q210" s="146">
        <v>0</v>
      </c>
      <c r="R210" s="154" t="s">
        <v>1384</v>
      </c>
      <c r="S210" s="154" t="s">
        <v>1899</v>
      </c>
      <c r="T210" s="155" t="s">
        <v>1899</v>
      </c>
      <c r="U210" s="155" t="s">
        <v>1899</v>
      </c>
      <c r="V210" s="154" t="s">
        <v>1562</v>
      </c>
      <c r="W210" s="154">
        <v>0</v>
      </c>
      <c r="X210" s="154" t="s">
        <v>63</v>
      </c>
      <c r="Y210" s="154" t="s">
        <v>1900</v>
      </c>
      <c r="Z210" s="154"/>
      <c r="AA210" s="154" t="s">
        <v>1387</v>
      </c>
      <c r="AB210" s="154">
        <v>0</v>
      </c>
      <c r="AC210" s="138">
        <f>IFERROR(IF(DATEDIF(#REF!,U210,"m")&lt;=1,1,IF(AND(DATEDIF(#REF!,U210,"m")&gt;1,DATEDIF(#REF!,U210,"m")&lt;12),2,IF(AND(DATEDIF(#REF!,U210,"m")&gt;=12,DATEDIF(#REF!,U210,"m")&lt;24),3,IF(DATEDIF(#REF!,U210,"m")&gt;=24,4,"")))),IF(E210="r0320 - Deposits, not covered and not preferential",1,4))</f>
        <v>4</v>
      </c>
    </row>
    <row r="211" spans="3:29" ht="48.75" thickBot="1" x14ac:dyDescent="0.3">
      <c r="C211" s="11">
        <v>999</v>
      </c>
      <c r="D211" s="154">
        <v>204</v>
      </c>
      <c r="E211" s="154" t="s">
        <v>1902</v>
      </c>
      <c r="F211" s="154" t="s">
        <v>83</v>
      </c>
      <c r="G211" s="154" t="s">
        <v>1903</v>
      </c>
      <c r="H211" s="154" t="s">
        <v>845</v>
      </c>
      <c r="I211" s="154" t="s">
        <v>101</v>
      </c>
      <c r="J211" s="154" t="s">
        <v>102</v>
      </c>
      <c r="K211" s="154" t="s">
        <v>60</v>
      </c>
      <c r="L211" s="154" t="s">
        <v>1897</v>
      </c>
      <c r="M211" s="154" t="s">
        <v>1388</v>
      </c>
      <c r="N211" s="154" t="s">
        <v>61</v>
      </c>
      <c r="O211" s="154" t="s">
        <v>62</v>
      </c>
      <c r="P211" s="146">
        <v>1273898.08</v>
      </c>
      <c r="Q211" s="146">
        <v>460.17</v>
      </c>
      <c r="R211" s="154" t="s">
        <v>1384</v>
      </c>
      <c r="S211" s="154" t="s">
        <v>1899</v>
      </c>
      <c r="T211" s="155" t="s">
        <v>768</v>
      </c>
      <c r="U211" s="155" t="s">
        <v>1899</v>
      </c>
      <c r="V211" s="154" t="s">
        <v>1904</v>
      </c>
      <c r="W211" s="154">
        <v>0</v>
      </c>
      <c r="X211" s="154" t="s">
        <v>63</v>
      </c>
      <c r="Y211" s="154" t="s">
        <v>1386</v>
      </c>
      <c r="Z211" s="154"/>
      <c r="AA211" s="154" t="s">
        <v>1387</v>
      </c>
      <c r="AB211" s="154">
        <v>0</v>
      </c>
      <c r="AC211" s="138">
        <f>IFERROR(IF(DATEDIF(#REF!,U211,"m")&lt;=1,1,IF(AND(DATEDIF(#REF!,U211,"m")&gt;1,DATEDIF(#REF!,U211,"m")&lt;12),2,IF(AND(DATEDIF(#REF!,U211,"m")&gt;=12,DATEDIF(#REF!,U211,"m")&lt;24),3,IF(DATEDIF(#REF!,U211,"m")&gt;=24,4,"")))),IF(E211="r0320 - Deposits, not covered and not preferential",1,4))</f>
        <v>4</v>
      </c>
    </row>
    <row r="212" spans="3:29" ht="48.75" thickBot="1" x14ac:dyDescent="0.3">
      <c r="C212" s="11">
        <v>999</v>
      </c>
      <c r="D212" s="154">
        <v>205</v>
      </c>
      <c r="E212" s="154" t="s">
        <v>1902</v>
      </c>
      <c r="F212" s="154" t="s">
        <v>83</v>
      </c>
      <c r="G212" s="154" t="s">
        <v>1903</v>
      </c>
      <c r="H212" s="154" t="s">
        <v>426</v>
      </c>
      <c r="I212" s="154" t="s">
        <v>101</v>
      </c>
      <c r="J212" s="154" t="s">
        <v>102</v>
      </c>
      <c r="K212" s="154" t="s">
        <v>60</v>
      </c>
      <c r="L212" s="154" t="s">
        <v>1897</v>
      </c>
      <c r="M212" s="154" t="s">
        <v>1388</v>
      </c>
      <c r="N212" s="154" t="s">
        <v>61</v>
      </c>
      <c r="O212" s="154" t="s">
        <v>62</v>
      </c>
      <c r="P212" s="146">
        <v>340813.74</v>
      </c>
      <c r="Q212" s="146">
        <v>364.96</v>
      </c>
      <c r="R212" s="154" t="s">
        <v>1384</v>
      </c>
      <c r="S212" s="154" t="s">
        <v>1899</v>
      </c>
      <c r="T212" s="155" t="s">
        <v>768</v>
      </c>
      <c r="U212" s="155" t="s">
        <v>1899</v>
      </c>
      <c r="V212" s="154" t="s">
        <v>1904</v>
      </c>
      <c r="W212" s="154">
        <v>0</v>
      </c>
      <c r="X212" s="154" t="s">
        <v>63</v>
      </c>
      <c r="Y212" s="154" t="s">
        <v>1386</v>
      </c>
      <c r="Z212" s="154"/>
      <c r="AA212" s="154" t="s">
        <v>1387</v>
      </c>
      <c r="AB212" s="154">
        <v>0</v>
      </c>
      <c r="AC212" s="138">
        <f>IFERROR(IF(DATEDIF(#REF!,U212,"m")&lt;=1,1,IF(AND(DATEDIF(#REF!,U212,"m")&gt;1,DATEDIF(#REF!,U212,"m")&lt;12),2,IF(AND(DATEDIF(#REF!,U212,"m")&gt;=12,DATEDIF(#REF!,U212,"m")&lt;24),3,IF(DATEDIF(#REF!,U212,"m")&gt;=24,4,"")))),IF(E212="r0320 - Deposits, not covered and not preferential",1,4))</f>
        <v>4</v>
      </c>
    </row>
    <row r="213" spans="3:29" ht="48.75" thickBot="1" x14ac:dyDescent="0.3">
      <c r="C213" s="11">
        <v>999</v>
      </c>
      <c r="D213" s="154">
        <v>206</v>
      </c>
      <c r="E213" s="154" t="s">
        <v>1902</v>
      </c>
      <c r="F213" s="154" t="s">
        <v>83</v>
      </c>
      <c r="G213" s="154" t="s">
        <v>1903</v>
      </c>
      <c r="H213" s="154" t="s">
        <v>300</v>
      </c>
      <c r="I213" s="154" t="s">
        <v>101</v>
      </c>
      <c r="J213" s="154" t="s">
        <v>102</v>
      </c>
      <c r="K213" s="154" t="s">
        <v>60</v>
      </c>
      <c r="L213" s="154" t="s">
        <v>1897</v>
      </c>
      <c r="M213" s="154" t="s">
        <v>1388</v>
      </c>
      <c r="N213" s="154" t="s">
        <v>61</v>
      </c>
      <c r="O213" s="154" t="s">
        <v>62</v>
      </c>
      <c r="P213" s="146">
        <v>74319.179999999993</v>
      </c>
      <c r="Q213" s="146">
        <v>5.85</v>
      </c>
      <c r="R213" s="154" t="s">
        <v>1384</v>
      </c>
      <c r="S213" s="154" t="s">
        <v>1899</v>
      </c>
      <c r="T213" s="155" t="s">
        <v>768</v>
      </c>
      <c r="U213" s="155" t="s">
        <v>1899</v>
      </c>
      <c r="V213" s="154" t="s">
        <v>1904</v>
      </c>
      <c r="W213" s="154">
        <v>0</v>
      </c>
      <c r="X213" s="154" t="s">
        <v>63</v>
      </c>
      <c r="Y213" s="154" t="s">
        <v>1386</v>
      </c>
      <c r="Z213" s="154"/>
      <c r="AA213" s="154" t="s">
        <v>1387</v>
      </c>
      <c r="AB213" s="154">
        <v>0</v>
      </c>
      <c r="AC213" s="138">
        <f>IFERROR(IF(DATEDIF(#REF!,U213,"m")&lt;=1,1,IF(AND(DATEDIF(#REF!,U213,"m")&gt;1,DATEDIF(#REF!,U213,"m")&lt;12),2,IF(AND(DATEDIF(#REF!,U213,"m")&gt;=12,DATEDIF(#REF!,U213,"m")&lt;24),3,IF(DATEDIF(#REF!,U213,"m")&gt;=24,4,"")))),IF(E213="r0320 - Deposits, not covered and not preferential",1,4))</f>
        <v>4</v>
      </c>
    </row>
    <row r="214" spans="3:29" ht="36.75" thickBot="1" x14ac:dyDescent="0.3">
      <c r="C214" s="11">
        <v>999</v>
      </c>
      <c r="D214" s="154">
        <v>207</v>
      </c>
      <c r="E214" s="154" t="s">
        <v>1898</v>
      </c>
      <c r="F214" s="154" t="s">
        <v>87</v>
      </c>
      <c r="G214" s="154" t="s">
        <v>1402</v>
      </c>
      <c r="H214" s="154" t="s">
        <v>807</v>
      </c>
      <c r="I214" s="154" t="s">
        <v>96</v>
      </c>
      <c r="J214" s="154" t="s">
        <v>97</v>
      </c>
      <c r="K214" s="154" t="s">
        <v>91</v>
      </c>
      <c r="L214" s="154" t="s">
        <v>1897</v>
      </c>
      <c r="M214" s="154" t="s">
        <v>1383</v>
      </c>
      <c r="N214" s="154" t="s">
        <v>61</v>
      </c>
      <c r="O214" s="154" t="s">
        <v>62</v>
      </c>
      <c r="P214" s="146">
        <v>3.14</v>
      </c>
      <c r="Q214" s="146">
        <v>0</v>
      </c>
      <c r="R214" s="154" t="s">
        <v>1384</v>
      </c>
      <c r="S214" s="154" t="s">
        <v>1899</v>
      </c>
      <c r="T214" s="155" t="s">
        <v>1899</v>
      </c>
      <c r="U214" s="155" t="s">
        <v>1899</v>
      </c>
      <c r="V214" s="154" t="s">
        <v>1562</v>
      </c>
      <c r="W214" s="154">
        <v>0</v>
      </c>
      <c r="X214" s="154" t="s">
        <v>63</v>
      </c>
      <c r="Y214" s="154" t="s">
        <v>1900</v>
      </c>
      <c r="Z214" s="154"/>
      <c r="AA214" s="154" t="s">
        <v>1387</v>
      </c>
      <c r="AB214" s="154">
        <v>0</v>
      </c>
      <c r="AC214" s="138">
        <f>IFERROR(IF(DATEDIF(#REF!,U214,"m")&lt;=1,1,IF(AND(DATEDIF(#REF!,U214,"m")&gt;1,DATEDIF(#REF!,U214,"m")&lt;12),2,IF(AND(DATEDIF(#REF!,U214,"m")&gt;=12,DATEDIF(#REF!,U214,"m")&lt;24),3,IF(DATEDIF(#REF!,U214,"m")&gt;=24,4,"")))),IF(E214="r0320 - Deposits, not covered and not preferential",1,4))</f>
        <v>4</v>
      </c>
    </row>
    <row r="215" spans="3:29" ht="48.75" thickBot="1" x14ac:dyDescent="0.3">
      <c r="C215" s="11">
        <v>999</v>
      </c>
      <c r="D215" s="154">
        <v>208</v>
      </c>
      <c r="E215" s="154" t="s">
        <v>1902</v>
      </c>
      <c r="F215" s="154" t="s">
        <v>83</v>
      </c>
      <c r="G215" s="154" t="s">
        <v>1903</v>
      </c>
      <c r="H215" s="154" t="s">
        <v>790</v>
      </c>
      <c r="I215" s="154" t="s">
        <v>101</v>
      </c>
      <c r="J215" s="154" t="s">
        <v>102</v>
      </c>
      <c r="K215" s="154" t="s">
        <v>60</v>
      </c>
      <c r="L215" s="154" t="s">
        <v>1897</v>
      </c>
      <c r="M215" s="154" t="s">
        <v>1388</v>
      </c>
      <c r="N215" s="154" t="s">
        <v>61</v>
      </c>
      <c r="O215" s="154" t="s">
        <v>62</v>
      </c>
      <c r="P215" s="146">
        <v>63502.39</v>
      </c>
      <c r="Q215" s="146">
        <v>78.45</v>
      </c>
      <c r="R215" s="154" t="s">
        <v>1384</v>
      </c>
      <c r="S215" s="154" t="s">
        <v>1899</v>
      </c>
      <c r="T215" s="155" t="s">
        <v>768</v>
      </c>
      <c r="U215" s="155" t="s">
        <v>1899</v>
      </c>
      <c r="V215" s="154" t="s">
        <v>1904</v>
      </c>
      <c r="W215" s="154">
        <v>0</v>
      </c>
      <c r="X215" s="154" t="s">
        <v>63</v>
      </c>
      <c r="Y215" s="154" t="s">
        <v>1386</v>
      </c>
      <c r="Z215" s="154"/>
      <c r="AA215" s="154" t="s">
        <v>1387</v>
      </c>
      <c r="AB215" s="154">
        <v>0</v>
      </c>
      <c r="AC215" s="138">
        <f>IFERROR(IF(DATEDIF(#REF!,U215,"m")&lt;=1,1,IF(AND(DATEDIF(#REF!,U215,"m")&gt;1,DATEDIF(#REF!,U215,"m")&lt;12),2,IF(AND(DATEDIF(#REF!,U215,"m")&gt;=12,DATEDIF(#REF!,U215,"m")&lt;24),3,IF(DATEDIF(#REF!,U215,"m")&gt;=24,4,"")))),IF(E215="r0320 - Deposits, not covered and not preferential",1,4))</f>
        <v>4</v>
      </c>
    </row>
    <row r="216" spans="3:29" ht="36.75" thickBot="1" x14ac:dyDescent="0.3">
      <c r="C216" s="11">
        <v>999</v>
      </c>
      <c r="D216" s="154">
        <v>209</v>
      </c>
      <c r="E216" s="154" t="s">
        <v>1898</v>
      </c>
      <c r="F216" s="154" t="s">
        <v>87</v>
      </c>
      <c r="G216" s="154" t="s">
        <v>1402</v>
      </c>
      <c r="H216" s="154" t="s">
        <v>456</v>
      </c>
      <c r="I216" s="154" t="s">
        <v>96</v>
      </c>
      <c r="J216" s="154" t="s">
        <v>97</v>
      </c>
      <c r="K216" s="154" t="s">
        <v>91</v>
      </c>
      <c r="L216" s="154" t="s">
        <v>1897</v>
      </c>
      <c r="M216" s="154" t="s">
        <v>1383</v>
      </c>
      <c r="N216" s="154" t="s">
        <v>61</v>
      </c>
      <c r="O216" s="154" t="s">
        <v>62</v>
      </c>
      <c r="P216" s="146">
        <v>129.46</v>
      </c>
      <c r="Q216" s="146">
        <v>0</v>
      </c>
      <c r="R216" s="154" t="s">
        <v>1384</v>
      </c>
      <c r="S216" s="154" t="s">
        <v>1899</v>
      </c>
      <c r="T216" s="155" t="s">
        <v>1899</v>
      </c>
      <c r="U216" s="155" t="s">
        <v>1899</v>
      </c>
      <c r="V216" s="154" t="s">
        <v>1562</v>
      </c>
      <c r="W216" s="154">
        <v>0</v>
      </c>
      <c r="X216" s="154" t="s">
        <v>63</v>
      </c>
      <c r="Y216" s="154" t="s">
        <v>1900</v>
      </c>
      <c r="Z216" s="154"/>
      <c r="AA216" s="154" t="s">
        <v>1387</v>
      </c>
      <c r="AB216" s="154">
        <v>0</v>
      </c>
      <c r="AC216" s="138">
        <f>IFERROR(IF(DATEDIF(#REF!,U216,"m")&lt;=1,1,IF(AND(DATEDIF(#REF!,U216,"m")&gt;1,DATEDIF(#REF!,U216,"m")&lt;12),2,IF(AND(DATEDIF(#REF!,U216,"m")&gt;=12,DATEDIF(#REF!,U216,"m")&lt;24),3,IF(DATEDIF(#REF!,U216,"m")&gt;=24,4,"")))),IF(E216="r0320 - Deposits, not covered and not preferential",1,4))</f>
        <v>4</v>
      </c>
    </row>
    <row r="217" spans="3:29" ht="48.75" thickBot="1" x14ac:dyDescent="0.3">
      <c r="C217" s="11">
        <v>999</v>
      </c>
      <c r="D217" s="154">
        <v>210</v>
      </c>
      <c r="E217" s="154" t="s">
        <v>1902</v>
      </c>
      <c r="F217" s="154" t="s">
        <v>83</v>
      </c>
      <c r="G217" s="154" t="s">
        <v>1903</v>
      </c>
      <c r="H217" s="154" t="s">
        <v>484</v>
      </c>
      <c r="I217" s="154" t="s">
        <v>93</v>
      </c>
      <c r="J217" s="154" t="s">
        <v>94</v>
      </c>
      <c r="K217" s="154" t="s">
        <v>60</v>
      </c>
      <c r="L217" s="154" t="s">
        <v>1897</v>
      </c>
      <c r="M217" s="154" t="s">
        <v>1388</v>
      </c>
      <c r="N217" s="154" t="s">
        <v>61</v>
      </c>
      <c r="O217" s="154" t="s">
        <v>62</v>
      </c>
      <c r="P217" s="146">
        <v>103056.05</v>
      </c>
      <c r="Q217" s="146">
        <v>-17.5</v>
      </c>
      <c r="R217" s="154" t="s">
        <v>1384</v>
      </c>
      <c r="S217" s="154" t="s">
        <v>1899</v>
      </c>
      <c r="T217" s="155" t="s">
        <v>768</v>
      </c>
      <c r="U217" s="155" t="s">
        <v>1899</v>
      </c>
      <c r="V217" s="154" t="s">
        <v>1904</v>
      </c>
      <c r="W217" s="154">
        <v>0</v>
      </c>
      <c r="X217" s="154" t="s">
        <v>63</v>
      </c>
      <c r="Y217" s="154" t="s">
        <v>1386</v>
      </c>
      <c r="Z217" s="154"/>
      <c r="AA217" s="154" t="s">
        <v>1387</v>
      </c>
      <c r="AB217" s="154">
        <v>0</v>
      </c>
      <c r="AC217" s="138">
        <f>IFERROR(IF(DATEDIF(#REF!,U217,"m")&lt;=1,1,IF(AND(DATEDIF(#REF!,U217,"m")&gt;1,DATEDIF(#REF!,U217,"m")&lt;12),2,IF(AND(DATEDIF(#REF!,U217,"m")&gt;=12,DATEDIF(#REF!,U217,"m")&lt;24),3,IF(DATEDIF(#REF!,U217,"m")&gt;=24,4,"")))),IF(E217="r0320 - Deposits, not covered and not preferential",1,4))</f>
        <v>4</v>
      </c>
    </row>
    <row r="218" spans="3:29" ht="36.75" thickBot="1" x14ac:dyDescent="0.3">
      <c r="C218" s="11">
        <v>999</v>
      </c>
      <c r="D218" s="154">
        <v>211</v>
      </c>
      <c r="E218" s="154" t="s">
        <v>1898</v>
      </c>
      <c r="F218" s="154" t="s">
        <v>87</v>
      </c>
      <c r="G218" s="154" t="s">
        <v>1402</v>
      </c>
      <c r="H218" s="154" t="s">
        <v>189</v>
      </c>
      <c r="I218" s="154" t="s">
        <v>96</v>
      </c>
      <c r="J218" s="154" t="s">
        <v>97</v>
      </c>
      <c r="K218" s="154" t="s">
        <v>91</v>
      </c>
      <c r="L218" s="154" t="s">
        <v>1897</v>
      </c>
      <c r="M218" s="154" t="s">
        <v>1383</v>
      </c>
      <c r="N218" s="154" t="s">
        <v>61</v>
      </c>
      <c r="O218" s="154" t="s">
        <v>62</v>
      </c>
      <c r="P218" s="146">
        <v>72.459999999999994</v>
      </c>
      <c r="Q218" s="146">
        <v>0</v>
      </c>
      <c r="R218" s="154" t="s">
        <v>1384</v>
      </c>
      <c r="S218" s="154" t="s">
        <v>1899</v>
      </c>
      <c r="T218" s="155" t="s">
        <v>1899</v>
      </c>
      <c r="U218" s="155" t="s">
        <v>1899</v>
      </c>
      <c r="V218" s="154" t="s">
        <v>1562</v>
      </c>
      <c r="W218" s="154">
        <v>0</v>
      </c>
      <c r="X218" s="154" t="s">
        <v>63</v>
      </c>
      <c r="Y218" s="154" t="s">
        <v>1900</v>
      </c>
      <c r="Z218" s="154"/>
      <c r="AA218" s="154" t="s">
        <v>1387</v>
      </c>
      <c r="AB218" s="154">
        <v>0</v>
      </c>
      <c r="AC218" s="138">
        <f>IFERROR(IF(DATEDIF(#REF!,U218,"m")&lt;=1,1,IF(AND(DATEDIF(#REF!,U218,"m")&gt;1,DATEDIF(#REF!,U218,"m")&lt;12),2,IF(AND(DATEDIF(#REF!,U218,"m")&gt;=12,DATEDIF(#REF!,U218,"m")&lt;24),3,IF(DATEDIF(#REF!,U218,"m")&gt;=24,4,"")))),IF(E218="r0320 - Deposits, not covered and not preferential",1,4))</f>
        <v>4</v>
      </c>
    </row>
    <row r="219" spans="3:29" ht="36.75" thickBot="1" x14ac:dyDescent="0.3">
      <c r="C219" s="11">
        <v>999</v>
      </c>
      <c r="D219" s="154">
        <v>212</v>
      </c>
      <c r="E219" s="154" t="s">
        <v>1898</v>
      </c>
      <c r="F219" s="154" t="s">
        <v>87</v>
      </c>
      <c r="G219" s="154" t="s">
        <v>1402</v>
      </c>
      <c r="H219" s="154" t="s">
        <v>821</v>
      </c>
      <c r="I219" s="154" t="s">
        <v>96</v>
      </c>
      <c r="J219" s="154" t="s">
        <v>97</v>
      </c>
      <c r="K219" s="154" t="s">
        <v>91</v>
      </c>
      <c r="L219" s="154" t="s">
        <v>1897</v>
      </c>
      <c r="M219" s="154" t="s">
        <v>1383</v>
      </c>
      <c r="N219" s="154" t="s">
        <v>61</v>
      </c>
      <c r="O219" s="154" t="s">
        <v>62</v>
      </c>
      <c r="P219" s="146">
        <v>0.24</v>
      </c>
      <c r="Q219" s="146">
        <v>0</v>
      </c>
      <c r="R219" s="154" t="s">
        <v>1384</v>
      </c>
      <c r="S219" s="154" t="s">
        <v>1899</v>
      </c>
      <c r="T219" s="155" t="s">
        <v>1899</v>
      </c>
      <c r="U219" s="155" t="s">
        <v>1899</v>
      </c>
      <c r="V219" s="154" t="s">
        <v>1562</v>
      </c>
      <c r="W219" s="154">
        <v>0</v>
      </c>
      <c r="X219" s="154" t="s">
        <v>63</v>
      </c>
      <c r="Y219" s="154" t="s">
        <v>1900</v>
      </c>
      <c r="Z219" s="154"/>
      <c r="AA219" s="154" t="s">
        <v>1387</v>
      </c>
      <c r="AB219" s="154">
        <v>0</v>
      </c>
      <c r="AC219" s="138">
        <f>IFERROR(IF(DATEDIF(#REF!,U219,"m")&lt;=1,1,IF(AND(DATEDIF(#REF!,U219,"m")&gt;1,DATEDIF(#REF!,U219,"m")&lt;12),2,IF(AND(DATEDIF(#REF!,U219,"m")&gt;=12,DATEDIF(#REF!,U219,"m")&lt;24),3,IF(DATEDIF(#REF!,U219,"m")&gt;=24,4,"")))),IF(E219="r0320 - Deposits, not covered and not preferential",1,4))</f>
        <v>4</v>
      </c>
    </row>
    <row r="220" spans="3:29" ht="48.75" thickBot="1" x14ac:dyDescent="0.3">
      <c r="C220" s="11">
        <v>999</v>
      </c>
      <c r="D220" s="154">
        <v>213</v>
      </c>
      <c r="E220" s="154" t="s">
        <v>1902</v>
      </c>
      <c r="F220" s="154" t="s">
        <v>83</v>
      </c>
      <c r="G220" s="154" t="s">
        <v>1903</v>
      </c>
      <c r="H220" s="154" t="s">
        <v>493</v>
      </c>
      <c r="I220" s="154" t="s">
        <v>101</v>
      </c>
      <c r="J220" s="154" t="s">
        <v>102</v>
      </c>
      <c r="K220" s="154" t="s">
        <v>60</v>
      </c>
      <c r="L220" s="154" t="s">
        <v>1897</v>
      </c>
      <c r="M220" s="154" t="s">
        <v>1388</v>
      </c>
      <c r="N220" s="154" t="s">
        <v>61</v>
      </c>
      <c r="O220" s="154" t="s">
        <v>62</v>
      </c>
      <c r="P220" s="146">
        <v>97601</v>
      </c>
      <c r="Q220" s="146">
        <v>153.88999999999999</v>
      </c>
      <c r="R220" s="154" t="s">
        <v>1384</v>
      </c>
      <c r="S220" s="154" t="s">
        <v>1899</v>
      </c>
      <c r="T220" s="155" t="s">
        <v>768</v>
      </c>
      <c r="U220" s="155" t="s">
        <v>1899</v>
      </c>
      <c r="V220" s="154" t="s">
        <v>1904</v>
      </c>
      <c r="W220" s="154">
        <v>0</v>
      </c>
      <c r="X220" s="154" t="s">
        <v>63</v>
      </c>
      <c r="Y220" s="154" t="s">
        <v>1386</v>
      </c>
      <c r="Z220" s="154"/>
      <c r="AA220" s="154" t="s">
        <v>1387</v>
      </c>
      <c r="AB220" s="154">
        <v>0</v>
      </c>
      <c r="AC220" s="138">
        <f>IFERROR(IF(DATEDIF(#REF!,U220,"m")&lt;=1,1,IF(AND(DATEDIF(#REF!,U220,"m")&gt;1,DATEDIF(#REF!,U220,"m")&lt;12),2,IF(AND(DATEDIF(#REF!,U220,"m")&gt;=12,DATEDIF(#REF!,U220,"m")&lt;24),3,IF(DATEDIF(#REF!,U220,"m")&gt;=24,4,"")))),IF(E220="r0320 - Deposits, not covered and not preferential",1,4))</f>
        <v>4</v>
      </c>
    </row>
    <row r="221" spans="3:29" ht="36.75" thickBot="1" x14ac:dyDescent="0.3">
      <c r="C221" s="11">
        <v>999</v>
      </c>
      <c r="D221" s="154">
        <v>214</v>
      </c>
      <c r="E221" s="154" t="s">
        <v>1898</v>
      </c>
      <c r="F221" s="154" t="s">
        <v>87</v>
      </c>
      <c r="G221" s="154" t="s">
        <v>1402</v>
      </c>
      <c r="H221" s="154" t="s">
        <v>828</v>
      </c>
      <c r="I221" s="154" t="s">
        <v>96</v>
      </c>
      <c r="J221" s="154" t="s">
        <v>97</v>
      </c>
      <c r="K221" s="154" t="s">
        <v>91</v>
      </c>
      <c r="L221" s="154" t="s">
        <v>1897</v>
      </c>
      <c r="M221" s="154" t="s">
        <v>1383</v>
      </c>
      <c r="N221" s="154" t="s">
        <v>61</v>
      </c>
      <c r="O221" s="154" t="s">
        <v>62</v>
      </c>
      <c r="P221" s="146">
        <v>1.59</v>
      </c>
      <c r="Q221" s="146">
        <v>0</v>
      </c>
      <c r="R221" s="154" t="s">
        <v>1384</v>
      </c>
      <c r="S221" s="154" t="s">
        <v>1899</v>
      </c>
      <c r="T221" s="155" t="s">
        <v>1899</v>
      </c>
      <c r="U221" s="155" t="s">
        <v>1899</v>
      </c>
      <c r="V221" s="154" t="s">
        <v>1562</v>
      </c>
      <c r="W221" s="154">
        <v>0</v>
      </c>
      <c r="X221" s="154" t="s">
        <v>63</v>
      </c>
      <c r="Y221" s="154" t="s">
        <v>1900</v>
      </c>
      <c r="Z221" s="154"/>
      <c r="AA221" s="154" t="s">
        <v>1387</v>
      </c>
      <c r="AB221" s="154">
        <v>0</v>
      </c>
      <c r="AC221" s="138">
        <f>IFERROR(IF(DATEDIF(#REF!,U221,"m")&lt;=1,1,IF(AND(DATEDIF(#REF!,U221,"m")&gt;1,DATEDIF(#REF!,U221,"m")&lt;12),2,IF(AND(DATEDIF(#REF!,U221,"m")&gt;=12,DATEDIF(#REF!,U221,"m")&lt;24),3,IF(DATEDIF(#REF!,U221,"m")&gt;=24,4,"")))),IF(E221="r0320 - Deposits, not covered and not preferential",1,4))</f>
        <v>4</v>
      </c>
    </row>
    <row r="222" spans="3:29" ht="48.75" thickBot="1" x14ac:dyDescent="0.3">
      <c r="C222" s="11">
        <v>999</v>
      </c>
      <c r="D222" s="154">
        <v>215</v>
      </c>
      <c r="E222" s="154" t="s">
        <v>1902</v>
      </c>
      <c r="F222" s="154" t="s">
        <v>83</v>
      </c>
      <c r="G222" s="154" t="s">
        <v>1903</v>
      </c>
      <c r="H222" s="154" t="s">
        <v>812</v>
      </c>
      <c r="I222" s="154" t="s">
        <v>101</v>
      </c>
      <c r="J222" s="154" t="s">
        <v>102</v>
      </c>
      <c r="K222" s="154" t="s">
        <v>60</v>
      </c>
      <c r="L222" s="154" t="s">
        <v>1897</v>
      </c>
      <c r="M222" s="154" t="s">
        <v>1388</v>
      </c>
      <c r="N222" s="154" t="s">
        <v>61</v>
      </c>
      <c r="O222" s="154" t="s">
        <v>62</v>
      </c>
      <c r="P222" s="146">
        <v>65113.25</v>
      </c>
      <c r="Q222" s="146">
        <v>45.09</v>
      </c>
      <c r="R222" s="154" t="s">
        <v>1384</v>
      </c>
      <c r="S222" s="154" t="s">
        <v>1899</v>
      </c>
      <c r="T222" s="155" t="s">
        <v>768</v>
      </c>
      <c r="U222" s="155" t="s">
        <v>1899</v>
      </c>
      <c r="V222" s="154" t="s">
        <v>1904</v>
      </c>
      <c r="W222" s="154">
        <v>0</v>
      </c>
      <c r="X222" s="154" t="s">
        <v>63</v>
      </c>
      <c r="Y222" s="154" t="s">
        <v>1386</v>
      </c>
      <c r="Z222" s="154"/>
      <c r="AA222" s="154" t="s">
        <v>1387</v>
      </c>
      <c r="AB222" s="154">
        <v>0</v>
      </c>
      <c r="AC222" s="138">
        <f>IFERROR(IF(DATEDIF(#REF!,U222,"m")&lt;=1,1,IF(AND(DATEDIF(#REF!,U222,"m")&gt;1,DATEDIF(#REF!,U222,"m")&lt;12),2,IF(AND(DATEDIF(#REF!,U222,"m")&gt;=12,DATEDIF(#REF!,U222,"m")&lt;24),3,IF(DATEDIF(#REF!,U222,"m")&gt;=24,4,"")))),IF(E222="r0320 - Deposits, not covered and not preferential",1,4))</f>
        <v>4</v>
      </c>
    </row>
    <row r="223" spans="3:29" ht="36.75" thickBot="1" x14ac:dyDescent="0.3">
      <c r="C223" s="11">
        <v>999</v>
      </c>
      <c r="D223" s="154">
        <v>216</v>
      </c>
      <c r="E223" s="154" t="s">
        <v>1898</v>
      </c>
      <c r="F223" s="154" t="s">
        <v>87</v>
      </c>
      <c r="G223" s="154" t="s">
        <v>1402</v>
      </c>
      <c r="H223" s="154" t="s">
        <v>1308</v>
      </c>
      <c r="I223" s="154" t="s">
        <v>108</v>
      </c>
      <c r="J223" s="154" t="s">
        <v>90</v>
      </c>
      <c r="K223" s="154" t="s">
        <v>91</v>
      </c>
      <c r="L223" s="154" t="s">
        <v>1897</v>
      </c>
      <c r="M223" s="154" t="s">
        <v>1383</v>
      </c>
      <c r="N223" s="154" t="s">
        <v>61</v>
      </c>
      <c r="O223" s="154" t="s">
        <v>62</v>
      </c>
      <c r="P223" s="146">
        <v>15.16</v>
      </c>
      <c r="Q223" s="146">
        <v>0</v>
      </c>
      <c r="R223" s="154" t="s">
        <v>1384</v>
      </c>
      <c r="S223" s="154" t="s">
        <v>1899</v>
      </c>
      <c r="T223" s="155" t="s">
        <v>1899</v>
      </c>
      <c r="U223" s="155" t="s">
        <v>1899</v>
      </c>
      <c r="V223" s="154" t="s">
        <v>1562</v>
      </c>
      <c r="W223" s="154">
        <v>0</v>
      </c>
      <c r="X223" s="154" t="s">
        <v>63</v>
      </c>
      <c r="Y223" s="154" t="s">
        <v>1900</v>
      </c>
      <c r="Z223" s="154"/>
      <c r="AA223" s="154" t="s">
        <v>1387</v>
      </c>
      <c r="AB223" s="154">
        <v>0</v>
      </c>
      <c r="AC223" s="138">
        <f>IFERROR(IF(DATEDIF(#REF!,U223,"m")&lt;=1,1,IF(AND(DATEDIF(#REF!,U223,"m")&gt;1,DATEDIF(#REF!,U223,"m")&lt;12),2,IF(AND(DATEDIF(#REF!,U223,"m")&gt;=12,DATEDIF(#REF!,U223,"m")&lt;24),3,IF(DATEDIF(#REF!,U223,"m")&gt;=24,4,"")))),IF(E223="r0320 - Deposits, not covered and not preferential",1,4))</f>
        <v>4</v>
      </c>
    </row>
    <row r="224" spans="3:29" ht="48.75" thickBot="1" x14ac:dyDescent="0.3">
      <c r="C224" s="11">
        <v>999</v>
      </c>
      <c r="D224" s="154">
        <v>217</v>
      </c>
      <c r="E224" s="154" t="s">
        <v>1902</v>
      </c>
      <c r="F224" s="154" t="s">
        <v>83</v>
      </c>
      <c r="G224" s="154" t="s">
        <v>1903</v>
      </c>
      <c r="H224" s="154" t="s">
        <v>495</v>
      </c>
      <c r="I224" s="154" t="s">
        <v>93</v>
      </c>
      <c r="J224" s="154" t="s">
        <v>94</v>
      </c>
      <c r="K224" s="154" t="s">
        <v>60</v>
      </c>
      <c r="L224" s="154" t="s">
        <v>1897</v>
      </c>
      <c r="M224" s="154" t="s">
        <v>1388</v>
      </c>
      <c r="N224" s="154" t="s">
        <v>61</v>
      </c>
      <c r="O224" s="154" t="s">
        <v>62</v>
      </c>
      <c r="P224" s="146">
        <v>92547.66</v>
      </c>
      <c r="Q224" s="146">
        <v>-6.01</v>
      </c>
      <c r="R224" s="154" t="s">
        <v>1384</v>
      </c>
      <c r="S224" s="154" t="s">
        <v>1899</v>
      </c>
      <c r="T224" s="155" t="s">
        <v>768</v>
      </c>
      <c r="U224" s="155" t="s">
        <v>1899</v>
      </c>
      <c r="V224" s="154" t="s">
        <v>1904</v>
      </c>
      <c r="W224" s="154">
        <v>0</v>
      </c>
      <c r="X224" s="154" t="s">
        <v>63</v>
      </c>
      <c r="Y224" s="154" t="s">
        <v>1386</v>
      </c>
      <c r="Z224" s="154"/>
      <c r="AA224" s="154" t="s">
        <v>1387</v>
      </c>
      <c r="AB224" s="154">
        <v>0</v>
      </c>
      <c r="AC224" s="138">
        <f>IFERROR(IF(DATEDIF(#REF!,U224,"m")&lt;=1,1,IF(AND(DATEDIF(#REF!,U224,"m")&gt;1,DATEDIF(#REF!,U224,"m")&lt;12),2,IF(AND(DATEDIF(#REF!,U224,"m")&gt;=12,DATEDIF(#REF!,U224,"m")&lt;24),3,IF(DATEDIF(#REF!,U224,"m")&gt;=24,4,"")))),IF(E224="r0320 - Deposits, not covered and not preferential",1,4))</f>
        <v>4</v>
      </c>
    </row>
    <row r="225" spans="3:29" ht="36.75" thickBot="1" x14ac:dyDescent="0.3">
      <c r="C225" s="11">
        <v>999</v>
      </c>
      <c r="D225" s="154">
        <v>218</v>
      </c>
      <c r="E225" s="154" t="s">
        <v>1898</v>
      </c>
      <c r="F225" s="154" t="s">
        <v>87</v>
      </c>
      <c r="G225" s="154" t="s">
        <v>1402</v>
      </c>
      <c r="H225" s="154" t="s">
        <v>1135</v>
      </c>
      <c r="I225" s="154" t="s">
        <v>108</v>
      </c>
      <c r="J225" s="154" t="s">
        <v>90</v>
      </c>
      <c r="K225" s="154" t="s">
        <v>91</v>
      </c>
      <c r="L225" s="154" t="s">
        <v>1897</v>
      </c>
      <c r="M225" s="154" t="s">
        <v>1383</v>
      </c>
      <c r="N225" s="154" t="s">
        <v>61</v>
      </c>
      <c r="O225" s="154" t="s">
        <v>62</v>
      </c>
      <c r="P225" s="146">
        <v>0.43</v>
      </c>
      <c r="Q225" s="146">
        <v>0</v>
      </c>
      <c r="R225" s="154" t="s">
        <v>1384</v>
      </c>
      <c r="S225" s="154" t="s">
        <v>1899</v>
      </c>
      <c r="T225" s="155" t="s">
        <v>1899</v>
      </c>
      <c r="U225" s="155" t="s">
        <v>1899</v>
      </c>
      <c r="V225" s="154" t="s">
        <v>1562</v>
      </c>
      <c r="W225" s="154">
        <v>0</v>
      </c>
      <c r="X225" s="154" t="s">
        <v>63</v>
      </c>
      <c r="Y225" s="154" t="s">
        <v>1900</v>
      </c>
      <c r="Z225" s="154"/>
      <c r="AA225" s="154" t="s">
        <v>1387</v>
      </c>
      <c r="AB225" s="154">
        <v>0</v>
      </c>
      <c r="AC225" s="138">
        <f>IFERROR(IF(DATEDIF(#REF!,U225,"m")&lt;=1,1,IF(AND(DATEDIF(#REF!,U225,"m")&gt;1,DATEDIF(#REF!,U225,"m")&lt;12),2,IF(AND(DATEDIF(#REF!,U225,"m")&gt;=12,DATEDIF(#REF!,U225,"m")&lt;24),3,IF(DATEDIF(#REF!,U225,"m")&gt;=24,4,"")))),IF(E225="r0320 - Deposits, not covered and not preferential",1,4))</f>
        <v>4</v>
      </c>
    </row>
    <row r="226" spans="3:29" ht="36.75" thickBot="1" x14ac:dyDescent="0.3">
      <c r="C226" s="11">
        <v>999</v>
      </c>
      <c r="D226" s="154">
        <v>219</v>
      </c>
      <c r="E226" s="154" t="s">
        <v>1898</v>
      </c>
      <c r="F226" s="154" t="s">
        <v>87</v>
      </c>
      <c r="G226" s="154" t="s">
        <v>1402</v>
      </c>
      <c r="H226" s="154" t="s">
        <v>209</v>
      </c>
      <c r="I226" s="154" t="s">
        <v>96</v>
      </c>
      <c r="J226" s="154" t="s">
        <v>97</v>
      </c>
      <c r="K226" s="154" t="s">
        <v>91</v>
      </c>
      <c r="L226" s="154" t="s">
        <v>1897</v>
      </c>
      <c r="M226" s="154" t="s">
        <v>1383</v>
      </c>
      <c r="N226" s="154" t="s">
        <v>61</v>
      </c>
      <c r="O226" s="154" t="s">
        <v>62</v>
      </c>
      <c r="P226" s="146">
        <v>0.15</v>
      </c>
      <c r="Q226" s="146">
        <v>0</v>
      </c>
      <c r="R226" s="154" t="s">
        <v>1384</v>
      </c>
      <c r="S226" s="154" t="s">
        <v>1899</v>
      </c>
      <c r="T226" s="155" t="s">
        <v>1899</v>
      </c>
      <c r="U226" s="155" t="s">
        <v>1899</v>
      </c>
      <c r="V226" s="154" t="s">
        <v>1562</v>
      </c>
      <c r="W226" s="154">
        <v>0</v>
      </c>
      <c r="X226" s="154" t="s">
        <v>63</v>
      </c>
      <c r="Y226" s="154" t="s">
        <v>1900</v>
      </c>
      <c r="Z226" s="154"/>
      <c r="AA226" s="154" t="s">
        <v>1387</v>
      </c>
      <c r="AB226" s="154">
        <v>0</v>
      </c>
      <c r="AC226" s="138">
        <f>IFERROR(IF(DATEDIF(#REF!,U226,"m")&lt;=1,1,IF(AND(DATEDIF(#REF!,U226,"m")&gt;1,DATEDIF(#REF!,U226,"m")&lt;12),2,IF(AND(DATEDIF(#REF!,U226,"m")&gt;=12,DATEDIF(#REF!,U226,"m")&lt;24),3,IF(DATEDIF(#REF!,U226,"m")&gt;=24,4,"")))),IF(E226="r0320 - Deposits, not covered and not preferential",1,4))</f>
        <v>4</v>
      </c>
    </row>
    <row r="227" spans="3:29" ht="36.75" thickBot="1" x14ac:dyDescent="0.3">
      <c r="C227" s="11">
        <v>999</v>
      </c>
      <c r="D227" s="154">
        <v>220</v>
      </c>
      <c r="E227" s="154" t="s">
        <v>1898</v>
      </c>
      <c r="F227" s="154" t="s">
        <v>87</v>
      </c>
      <c r="G227" s="154" t="s">
        <v>1402</v>
      </c>
      <c r="H227" s="154" t="s">
        <v>315</v>
      </c>
      <c r="I227" s="154" t="s">
        <v>108</v>
      </c>
      <c r="J227" s="154" t="s">
        <v>90</v>
      </c>
      <c r="K227" s="154" t="s">
        <v>91</v>
      </c>
      <c r="L227" s="154" t="s">
        <v>1897</v>
      </c>
      <c r="M227" s="154" t="s">
        <v>1383</v>
      </c>
      <c r="N227" s="154" t="s">
        <v>61</v>
      </c>
      <c r="O227" s="154" t="s">
        <v>62</v>
      </c>
      <c r="P227" s="146">
        <v>49.14</v>
      </c>
      <c r="Q227" s="146">
        <v>0</v>
      </c>
      <c r="R227" s="154" t="s">
        <v>1384</v>
      </c>
      <c r="S227" s="154" t="s">
        <v>1899</v>
      </c>
      <c r="T227" s="155" t="s">
        <v>1899</v>
      </c>
      <c r="U227" s="155" t="s">
        <v>1899</v>
      </c>
      <c r="V227" s="154" t="s">
        <v>1562</v>
      </c>
      <c r="W227" s="154">
        <v>0</v>
      </c>
      <c r="X227" s="154" t="s">
        <v>63</v>
      </c>
      <c r="Y227" s="154" t="s">
        <v>1900</v>
      </c>
      <c r="Z227" s="154"/>
      <c r="AA227" s="154" t="s">
        <v>1387</v>
      </c>
      <c r="AB227" s="154">
        <v>0</v>
      </c>
      <c r="AC227" s="138">
        <f>IFERROR(IF(DATEDIF(#REF!,U227,"m")&lt;=1,1,IF(AND(DATEDIF(#REF!,U227,"m")&gt;1,DATEDIF(#REF!,U227,"m")&lt;12),2,IF(AND(DATEDIF(#REF!,U227,"m")&gt;=12,DATEDIF(#REF!,U227,"m")&lt;24),3,IF(DATEDIF(#REF!,U227,"m")&gt;=24,4,"")))),IF(E227="r0320 - Deposits, not covered and not preferential",1,4))</f>
        <v>4</v>
      </c>
    </row>
    <row r="228" spans="3:29" ht="48.75" thickBot="1" x14ac:dyDescent="0.3">
      <c r="C228" s="11">
        <v>999</v>
      </c>
      <c r="D228" s="154">
        <v>221</v>
      </c>
      <c r="E228" s="154" t="s">
        <v>1902</v>
      </c>
      <c r="F228" s="154" t="s">
        <v>83</v>
      </c>
      <c r="G228" s="154" t="s">
        <v>1903</v>
      </c>
      <c r="H228" s="154" t="s">
        <v>503</v>
      </c>
      <c r="I228" s="154" t="s">
        <v>101</v>
      </c>
      <c r="J228" s="154" t="s">
        <v>102</v>
      </c>
      <c r="K228" s="154" t="s">
        <v>60</v>
      </c>
      <c r="L228" s="154" t="s">
        <v>1897</v>
      </c>
      <c r="M228" s="154" t="s">
        <v>1388</v>
      </c>
      <c r="N228" s="154" t="s">
        <v>61</v>
      </c>
      <c r="O228" s="154" t="s">
        <v>62</v>
      </c>
      <c r="P228" s="146">
        <v>59992.74</v>
      </c>
      <c r="Q228" s="146">
        <v>23.1</v>
      </c>
      <c r="R228" s="154" t="s">
        <v>1384</v>
      </c>
      <c r="S228" s="154" t="s">
        <v>1899</v>
      </c>
      <c r="T228" s="155" t="s">
        <v>768</v>
      </c>
      <c r="U228" s="155" t="s">
        <v>1899</v>
      </c>
      <c r="V228" s="154" t="s">
        <v>1904</v>
      </c>
      <c r="W228" s="154">
        <v>0</v>
      </c>
      <c r="X228" s="154" t="s">
        <v>63</v>
      </c>
      <c r="Y228" s="154" t="s">
        <v>1386</v>
      </c>
      <c r="Z228" s="154"/>
      <c r="AA228" s="154" t="s">
        <v>1387</v>
      </c>
      <c r="AB228" s="154">
        <v>0</v>
      </c>
      <c r="AC228" s="138">
        <f>IFERROR(IF(DATEDIF(#REF!,U228,"m")&lt;=1,1,IF(AND(DATEDIF(#REF!,U228,"m")&gt;1,DATEDIF(#REF!,U228,"m")&lt;12),2,IF(AND(DATEDIF(#REF!,U228,"m")&gt;=12,DATEDIF(#REF!,U228,"m")&lt;24),3,IF(DATEDIF(#REF!,U228,"m")&gt;=24,4,"")))),IF(E228="r0320 - Deposits, not covered and not preferential",1,4))</f>
        <v>4</v>
      </c>
    </row>
    <row r="229" spans="3:29" ht="36.75" thickBot="1" x14ac:dyDescent="0.3">
      <c r="C229" s="11">
        <v>999</v>
      </c>
      <c r="D229" s="154">
        <v>222</v>
      </c>
      <c r="E229" s="154" t="s">
        <v>1898</v>
      </c>
      <c r="F229" s="154" t="s">
        <v>87</v>
      </c>
      <c r="G229" s="154" t="s">
        <v>1402</v>
      </c>
      <c r="H229" s="154" t="s">
        <v>184</v>
      </c>
      <c r="I229" s="154" t="s">
        <v>108</v>
      </c>
      <c r="J229" s="154" t="s">
        <v>90</v>
      </c>
      <c r="K229" s="154" t="s">
        <v>91</v>
      </c>
      <c r="L229" s="154" t="s">
        <v>1897</v>
      </c>
      <c r="M229" s="154" t="s">
        <v>1383</v>
      </c>
      <c r="N229" s="154" t="s">
        <v>61</v>
      </c>
      <c r="O229" s="154" t="s">
        <v>62</v>
      </c>
      <c r="P229" s="146">
        <v>4.91</v>
      </c>
      <c r="Q229" s="146">
        <v>0</v>
      </c>
      <c r="R229" s="154" t="s">
        <v>1384</v>
      </c>
      <c r="S229" s="154" t="s">
        <v>1899</v>
      </c>
      <c r="T229" s="155" t="s">
        <v>1899</v>
      </c>
      <c r="U229" s="155" t="s">
        <v>1899</v>
      </c>
      <c r="V229" s="154" t="s">
        <v>1562</v>
      </c>
      <c r="W229" s="154">
        <v>0</v>
      </c>
      <c r="X229" s="154" t="s">
        <v>63</v>
      </c>
      <c r="Y229" s="154" t="s">
        <v>1900</v>
      </c>
      <c r="Z229" s="154"/>
      <c r="AA229" s="154" t="s">
        <v>1387</v>
      </c>
      <c r="AB229" s="154">
        <v>0</v>
      </c>
      <c r="AC229" s="138">
        <f>IFERROR(IF(DATEDIF(#REF!,U229,"m")&lt;=1,1,IF(AND(DATEDIF(#REF!,U229,"m")&gt;1,DATEDIF(#REF!,U229,"m")&lt;12),2,IF(AND(DATEDIF(#REF!,U229,"m")&gt;=12,DATEDIF(#REF!,U229,"m")&lt;24),3,IF(DATEDIF(#REF!,U229,"m")&gt;=24,4,"")))),IF(E229="r0320 - Deposits, not covered and not preferential",1,4))</f>
        <v>4</v>
      </c>
    </row>
    <row r="230" spans="3:29" ht="48.75" thickBot="1" x14ac:dyDescent="0.3">
      <c r="C230" s="11">
        <v>999</v>
      </c>
      <c r="D230" s="154">
        <v>223</v>
      </c>
      <c r="E230" s="154" t="s">
        <v>1902</v>
      </c>
      <c r="F230" s="154" t="s">
        <v>83</v>
      </c>
      <c r="G230" s="154" t="s">
        <v>1903</v>
      </c>
      <c r="H230" s="154" t="s">
        <v>835</v>
      </c>
      <c r="I230" s="154" t="s">
        <v>114</v>
      </c>
      <c r="J230" s="154" t="s">
        <v>115</v>
      </c>
      <c r="K230" s="154" t="s">
        <v>60</v>
      </c>
      <c r="L230" s="154" t="s">
        <v>1897</v>
      </c>
      <c r="M230" s="154" t="s">
        <v>1388</v>
      </c>
      <c r="N230" s="154" t="s">
        <v>61</v>
      </c>
      <c r="O230" s="154" t="s">
        <v>62</v>
      </c>
      <c r="P230" s="146">
        <v>28826.99</v>
      </c>
      <c r="Q230" s="146">
        <v>-0.35</v>
      </c>
      <c r="R230" s="154" t="s">
        <v>1384</v>
      </c>
      <c r="S230" s="154" t="s">
        <v>1899</v>
      </c>
      <c r="T230" s="155" t="s">
        <v>768</v>
      </c>
      <c r="U230" s="155" t="s">
        <v>1899</v>
      </c>
      <c r="V230" s="154" t="s">
        <v>1904</v>
      </c>
      <c r="W230" s="154">
        <v>0</v>
      </c>
      <c r="X230" s="154" t="s">
        <v>63</v>
      </c>
      <c r="Y230" s="154" t="s">
        <v>1386</v>
      </c>
      <c r="Z230" s="154"/>
      <c r="AA230" s="154" t="s">
        <v>1387</v>
      </c>
      <c r="AB230" s="154">
        <v>0</v>
      </c>
      <c r="AC230" s="138">
        <f>IFERROR(IF(DATEDIF(#REF!,U230,"m")&lt;=1,1,IF(AND(DATEDIF(#REF!,U230,"m")&gt;1,DATEDIF(#REF!,U230,"m")&lt;12),2,IF(AND(DATEDIF(#REF!,U230,"m")&gt;=12,DATEDIF(#REF!,U230,"m")&lt;24),3,IF(DATEDIF(#REF!,U230,"m")&gt;=24,4,"")))),IF(E230="r0320 - Deposits, not covered and not preferential",1,4))</f>
        <v>4</v>
      </c>
    </row>
    <row r="231" spans="3:29" ht="36.75" thickBot="1" x14ac:dyDescent="0.3">
      <c r="C231" s="11">
        <v>999</v>
      </c>
      <c r="D231" s="154">
        <v>224</v>
      </c>
      <c r="E231" s="154" t="s">
        <v>1898</v>
      </c>
      <c r="F231" s="154" t="s">
        <v>87</v>
      </c>
      <c r="G231" s="154" t="s">
        <v>1402</v>
      </c>
      <c r="H231" s="154" t="s">
        <v>323</v>
      </c>
      <c r="I231" s="154" t="s">
        <v>108</v>
      </c>
      <c r="J231" s="154" t="s">
        <v>90</v>
      </c>
      <c r="K231" s="154" t="s">
        <v>91</v>
      </c>
      <c r="L231" s="154" t="s">
        <v>1897</v>
      </c>
      <c r="M231" s="154" t="s">
        <v>1383</v>
      </c>
      <c r="N231" s="154" t="s">
        <v>61</v>
      </c>
      <c r="O231" s="154" t="s">
        <v>62</v>
      </c>
      <c r="P231" s="146">
        <v>0.23</v>
      </c>
      <c r="Q231" s="146">
        <v>0</v>
      </c>
      <c r="R231" s="154" t="s">
        <v>1384</v>
      </c>
      <c r="S231" s="154" t="s">
        <v>1899</v>
      </c>
      <c r="T231" s="155" t="s">
        <v>1899</v>
      </c>
      <c r="U231" s="155" t="s">
        <v>1899</v>
      </c>
      <c r="V231" s="154" t="s">
        <v>1562</v>
      </c>
      <c r="W231" s="154">
        <v>0</v>
      </c>
      <c r="X231" s="154" t="s">
        <v>63</v>
      </c>
      <c r="Y231" s="154" t="s">
        <v>1900</v>
      </c>
      <c r="Z231" s="154"/>
      <c r="AA231" s="154" t="s">
        <v>1387</v>
      </c>
      <c r="AB231" s="154">
        <v>0</v>
      </c>
      <c r="AC231" s="138">
        <f>IFERROR(IF(DATEDIF(#REF!,U231,"m")&lt;=1,1,IF(AND(DATEDIF(#REF!,U231,"m")&gt;1,DATEDIF(#REF!,U231,"m")&lt;12),2,IF(AND(DATEDIF(#REF!,U231,"m")&gt;=12,DATEDIF(#REF!,U231,"m")&lt;24),3,IF(DATEDIF(#REF!,U231,"m")&gt;=24,4,"")))),IF(E231="r0320 - Deposits, not covered and not preferential",1,4))</f>
        <v>4</v>
      </c>
    </row>
    <row r="232" spans="3:29" ht="48.75" thickBot="1" x14ac:dyDescent="0.3">
      <c r="C232" s="11">
        <v>999</v>
      </c>
      <c r="D232" s="154">
        <v>225</v>
      </c>
      <c r="E232" s="154" t="s">
        <v>1902</v>
      </c>
      <c r="F232" s="154" t="s">
        <v>83</v>
      </c>
      <c r="G232" s="154" t="s">
        <v>1903</v>
      </c>
      <c r="H232" s="154" t="s">
        <v>510</v>
      </c>
      <c r="I232" s="154" t="s">
        <v>114</v>
      </c>
      <c r="J232" s="154" t="s">
        <v>115</v>
      </c>
      <c r="K232" s="154" t="s">
        <v>60</v>
      </c>
      <c r="L232" s="154" t="s">
        <v>1897</v>
      </c>
      <c r="M232" s="154" t="s">
        <v>1388</v>
      </c>
      <c r="N232" s="154" t="s">
        <v>61</v>
      </c>
      <c r="O232" s="154" t="s">
        <v>62</v>
      </c>
      <c r="P232" s="146">
        <v>6856.88</v>
      </c>
      <c r="Q232" s="146">
        <v>0.96</v>
      </c>
      <c r="R232" s="154" t="s">
        <v>1384</v>
      </c>
      <c r="S232" s="154" t="s">
        <v>1899</v>
      </c>
      <c r="T232" s="155" t="s">
        <v>768</v>
      </c>
      <c r="U232" s="155" t="s">
        <v>1899</v>
      </c>
      <c r="V232" s="154" t="s">
        <v>1904</v>
      </c>
      <c r="W232" s="154">
        <v>0</v>
      </c>
      <c r="X232" s="154" t="s">
        <v>63</v>
      </c>
      <c r="Y232" s="154" t="s">
        <v>1386</v>
      </c>
      <c r="Z232" s="154"/>
      <c r="AA232" s="154" t="s">
        <v>1387</v>
      </c>
      <c r="AB232" s="154">
        <v>0</v>
      </c>
      <c r="AC232" s="138">
        <f>IFERROR(IF(DATEDIF(#REF!,U232,"m")&lt;=1,1,IF(AND(DATEDIF(#REF!,U232,"m")&gt;1,DATEDIF(#REF!,U232,"m")&lt;12),2,IF(AND(DATEDIF(#REF!,U232,"m")&gt;=12,DATEDIF(#REF!,U232,"m")&lt;24),3,IF(DATEDIF(#REF!,U232,"m")&gt;=24,4,"")))),IF(E232="r0320 - Deposits, not covered and not preferential",1,4))</f>
        <v>4</v>
      </c>
    </row>
    <row r="233" spans="3:29" ht="36.75" thickBot="1" x14ac:dyDescent="0.3">
      <c r="C233" s="11">
        <v>999</v>
      </c>
      <c r="D233" s="154">
        <v>226</v>
      </c>
      <c r="E233" s="154" t="s">
        <v>1898</v>
      </c>
      <c r="F233" s="154" t="s">
        <v>87</v>
      </c>
      <c r="G233" s="154" t="s">
        <v>1402</v>
      </c>
      <c r="H233" s="154" t="s">
        <v>298</v>
      </c>
      <c r="I233" s="154" t="s">
        <v>108</v>
      </c>
      <c r="J233" s="154" t="s">
        <v>90</v>
      </c>
      <c r="K233" s="154" t="s">
        <v>91</v>
      </c>
      <c r="L233" s="154" t="s">
        <v>1897</v>
      </c>
      <c r="M233" s="154" t="s">
        <v>1383</v>
      </c>
      <c r="N233" s="154" t="s">
        <v>61</v>
      </c>
      <c r="O233" s="154" t="s">
        <v>62</v>
      </c>
      <c r="P233" s="146">
        <v>2.72</v>
      </c>
      <c r="Q233" s="146">
        <v>0</v>
      </c>
      <c r="R233" s="154" t="s">
        <v>1384</v>
      </c>
      <c r="S233" s="154" t="s">
        <v>1899</v>
      </c>
      <c r="T233" s="155" t="s">
        <v>1899</v>
      </c>
      <c r="U233" s="155" t="s">
        <v>1899</v>
      </c>
      <c r="V233" s="154" t="s">
        <v>1562</v>
      </c>
      <c r="W233" s="154">
        <v>0</v>
      </c>
      <c r="X233" s="154" t="s">
        <v>63</v>
      </c>
      <c r="Y233" s="154" t="s">
        <v>1900</v>
      </c>
      <c r="Z233" s="154"/>
      <c r="AA233" s="154" t="s">
        <v>1387</v>
      </c>
      <c r="AB233" s="154">
        <v>0</v>
      </c>
      <c r="AC233" s="138">
        <f>IFERROR(IF(DATEDIF(#REF!,U233,"m")&lt;=1,1,IF(AND(DATEDIF(#REF!,U233,"m")&gt;1,DATEDIF(#REF!,U233,"m")&lt;12),2,IF(AND(DATEDIF(#REF!,U233,"m")&gt;=12,DATEDIF(#REF!,U233,"m")&lt;24),3,IF(DATEDIF(#REF!,U233,"m")&gt;=24,4,"")))),IF(E233="r0320 - Deposits, not covered and not preferential",1,4))</f>
        <v>4</v>
      </c>
    </row>
    <row r="234" spans="3:29" ht="48.75" thickBot="1" x14ac:dyDescent="0.3">
      <c r="C234" s="11">
        <v>999</v>
      </c>
      <c r="D234" s="154">
        <v>227</v>
      </c>
      <c r="E234" s="154" t="s">
        <v>1902</v>
      </c>
      <c r="F234" s="154" t="s">
        <v>83</v>
      </c>
      <c r="G234" s="154" t="s">
        <v>1903</v>
      </c>
      <c r="H234" s="154" t="s">
        <v>320</v>
      </c>
      <c r="I234" s="154" t="s">
        <v>101</v>
      </c>
      <c r="J234" s="154" t="s">
        <v>102</v>
      </c>
      <c r="K234" s="154" t="s">
        <v>60</v>
      </c>
      <c r="L234" s="154" t="s">
        <v>1897</v>
      </c>
      <c r="M234" s="154" t="s">
        <v>1388</v>
      </c>
      <c r="N234" s="154" t="s">
        <v>61</v>
      </c>
      <c r="O234" s="154" t="s">
        <v>62</v>
      </c>
      <c r="P234" s="146">
        <v>14985.01</v>
      </c>
      <c r="Q234" s="146">
        <v>6.6</v>
      </c>
      <c r="R234" s="154" t="s">
        <v>1384</v>
      </c>
      <c r="S234" s="154" t="s">
        <v>1899</v>
      </c>
      <c r="T234" s="155" t="s">
        <v>768</v>
      </c>
      <c r="U234" s="155" t="s">
        <v>1899</v>
      </c>
      <c r="V234" s="154" t="s">
        <v>1904</v>
      </c>
      <c r="W234" s="154">
        <v>0</v>
      </c>
      <c r="X234" s="154" t="s">
        <v>63</v>
      </c>
      <c r="Y234" s="154" t="s">
        <v>1386</v>
      </c>
      <c r="Z234" s="154"/>
      <c r="AA234" s="154" t="s">
        <v>1387</v>
      </c>
      <c r="AB234" s="154">
        <v>0</v>
      </c>
      <c r="AC234" s="138">
        <f>IFERROR(IF(DATEDIF(#REF!,U234,"m")&lt;=1,1,IF(AND(DATEDIF(#REF!,U234,"m")&gt;1,DATEDIF(#REF!,U234,"m")&lt;12),2,IF(AND(DATEDIF(#REF!,U234,"m")&gt;=12,DATEDIF(#REF!,U234,"m")&lt;24),3,IF(DATEDIF(#REF!,U234,"m")&gt;=24,4,"")))),IF(E234="r0320 - Deposits, not covered and not preferential",1,4))</f>
        <v>4</v>
      </c>
    </row>
    <row r="235" spans="3:29" ht="36.75" thickBot="1" x14ac:dyDescent="0.3">
      <c r="C235" s="11">
        <v>999</v>
      </c>
      <c r="D235" s="154">
        <v>228</v>
      </c>
      <c r="E235" s="154" t="s">
        <v>1898</v>
      </c>
      <c r="F235" s="154" t="s">
        <v>87</v>
      </c>
      <c r="G235" s="154" t="s">
        <v>1402</v>
      </c>
      <c r="H235" s="154" t="s">
        <v>1301</v>
      </c>
      <c r="I235" s="154" t="s">
        <v>108</v>
      </c>
      <c r="J235" s="154" t="s">
        <v>90</v>
      </c>
      <c r="K235" s="154" t="s">
        <v>91</v>
      </c>
      <c r="L235" s="154" t="s">
        <v>1897</v>
      </c>
      <c r="M235" s="154" t="s">
        <v>1383</v>
      </c>
      <c r="N235" s="154" t="s">
        <v>61</v>
      </c>
      <c r="O235" s="154" t="s">
        <v>62</v>
      </c>
      <c r="P235" s="146">
        <v>0.26</v>
      </c>
      <c r="Q235" s="146">
        <v>0</v>
      </c>
      <c r="R235" s="154" t="s">
        <v>1384</v>
      </c>
      <c r="S235" s="154" t="s">
        <v>1899</v>
      </c>
      <c r="T235" s="155" t="s">
        <v>1899</v>
      </c>
      <c r="U235" s="155" t="s">
        <v>1899</v>
      </c>
      <c r="V235" s="154" t="s">
        <v>1562</v>
      </c>
      <c r="W235" s="154">
        <v>0</v>
      </c>
      <c r="X235" s="154" t="s">
        <v>63</v>
      </c>
      <c r="Y235" s="154" t="s">
        <v>1900</v>
      </c>
      <c r="Z235" s="154"/>
      <c r="AA235" s="154" t="s">
        <v>1387</v>
      </c>
      <c r="AB235" s="154">
        <v>0</v>
      </c>
      <c r="AC235" s="138">
        <f>IFERROR(IF(DATEDIF(#REF!,U235,"m")&lt;=1,1,IF(AND(DATEDIF(#REF!,U235,"m")&gt;1,DATEDIF(#REF!,U235,"m")&lt;12),2,IF(AND(DATEDIF(#REF!,U235,"m")&gt;=12,DATEDIF(#REF!,U235,"m")&lt;24),3,IF(DATEDIF(#REF!,U235,"m")&gt;=24,4,"")))),IF(E235="r0320 - Deposits, not covered and not preferential",1,4))</f>
        <v>4</v>
      </c>
    </row>
    <row r="236" spans="3:29" ht="36.75" thickBot="1" x14ac:dyDescent="0.3">
      <c r="C236" s="11">
        <v>999</v>
      </c>
      <c r="D236" s="154">
        <v>229</v>
      </c>
      <c r="E236" s="154" t="s">
        <v>1898</v>
      </c>
      <c r="F236" s="154" t="s">
        <v>87</v>
      </c>
      <c r="G236" s="154" t="s">
        <v>1402</v>
      </c>
      <c r="H236" s="154" t="s">
        <v>1346</v>
      </c>
      <c r="I236" s="154" t="s">
        <v>96</v>
      </c>
      <c r="J236" s="154" t="s">
        <v>97</v>
      </c>
      <c r="K236" s="154" t="s">
        <v>91</v>
      </c>
      <c r="L236" s="154" t="s">
        <v>1897</v>
      </c>
      <c r="M236" s="154" t="s">
        <v>1383</v>
      </c>
      <c r="N236" s="154" t="s">
        <v>61</v>
      </c>
      <c r="O236" s="154" t="s">
        <v>62</v>
      </c>
      <c r="P236" s="146">
        <v>86.78</v>
      </c>
      <c r="Q236" s="146">
        <v>0</v>
      </c>
      <c r="R236" s="154" t="s">
        <v>1384</v>
      </c>
      <c r="S236" s="154" t="s">
        <v>1899</v>
      </c>
      <c r="T236" s="155" t="s">
        <v>1899</v>
      </c>
      <c r="U236" s="155" t="s">
        <v>1899</v>
      </c>
      <c r="V236" s="154" t="s">
        <v>1562</v>
      </c>
      <c r="W236" s="154">
        <v>0</v>
      </c>
      <c r="X236" s="154" t="s">
        <v>63</v>
      </c>
      <c r="Y236" s="154" t="s">
        <v>1900</v>
      </c>
      <c r="Z236" s="154"/>
      <c r="AA236" s="154" t="s">
        <v>1387</v>
      </c>
      <c r="AB236" s="154">
        <v>0</v>
      </c>
      <c r="AC236" s="138">
        <f>IFERROR(IF(DATEDIF(#REF!,U236,"m")&lt;=1,1,IF(AND(DATEDIF(#REF!,U236,"m")&gt;1,DATEDIF(#REF!,U236,"m")&lt;12),2,IF(AND(DATEDIF(#REF!,U236,"m")&gt;=12,DATEDIF(#REF!,U236,"m")&lt;24),3,IF(DATEDIF(#REF!,U236,"m")&gt;=24,4,"")))),IF(E236="r0320 - Deposits, not covered and not preferential",1,4))</f>
        <v>4</v>
      </c>
    </row>
    <row r="237" spans="3:29" ht="36.75" thickBot="1" x14ac:dyDescent="0.3">
      <c r="C237" s="11">
        <v>999</v>
      </c>
      <c r="D237" s="154">
        <v>230</v>
      </c>
      <c r="E237" s="154" t="s">
        <v>1898</v>
      </c>
      <c r="F237" s="154" t="s">
        <v>87</v>
      </c>
      <c r="G237" s="154" t="s">
        <v>1402</v>
      </c>
      <c r="H237" s="154" t="s">
        <v>316</v>
      </c>
      <c r="I237" s="154" t="s">
        <v>96</v>
      </c>
      <c r="J237" s="154" t="s">
        <v>97</v>
      </c>
      <c r="K237" s="154" t="s">
        <v>91</v>
      </c>
      <c r="L237" s="154" t="s">
        <v>1897</v>
      </c>
      <c r="M237" s="154" t="s">
        <v>1383</v>
      </c>
      <c r="N237" s="154" t="s">
        <v>61</v>
      </c>
      <c r="O237" s="154" t="s">
        <v>62</v>
      </c>
      <c r="P237" s="146">
        <v>1627.75</v>
      </c>
      <c r="Q237" s="146">
        <v>0</v>
      </c>
      <c r="R237" s="154" t="s">
        <v>1384</v>
      </c>
      <c r="S237" s="154" t="s">
        <v>1899</v>
      </c>
      <c r="T237" s="155" t="s">
        <v>1899</v>
      </c>
      <c r="U237" s="155" t="s">
        <v>1899</v>
      </c>
      <c r="V237" s="154" t="s">
        <v>1562</v>
      </c>
      <c r="W237" s="154">
        <v>0</v>
      </c>
      <c r="X237" s="154" t="s">
        <v>63</v>
      </c>
      <c r="Y237" s="154" t="s">
        <v>1900</v>
      </c>
      <c r="Z237" s="154"/>
      <c r="AA237" s="154" t="s">
        <v>1387</v>
      </c>
      <c r="AB237" s="154">
        <v>0</v>
      </c>
      <c r="AC237" s="138">
        <f>IFERROR(IF(DATEDIF(#REF!,U237,"m")&lt;=1,1,IF(AND(DATEDIF(#REF!,U237,"m")&gt;1,DATEDIF(#REF!,U237,"m")&lt;12),2,IF(AND(DATEDIF(#REF!,U237,"m")&gt;=12,DATEDIF(#REF!,U237,"m")&lt;24),3,IF(DATEDIF(#REF!,U237,"m")&gt;=24,4,"")))),IF(E237="r0320 - Deposits, not covered and not preferential",1,4))</f>
        <v>4</v>
      </c>
    </row>
    <row r="238" spans="3:29" ht="48.75" thickBot="1" x14ac:dyDescent="0.3">
      <c r="C238" s="11">
        <v>999</v>
      </c>
      <c r="D238" s="154">
        <v>231</v>
      </c>
      <c r="E238" s="154" t="s">
        <v>1902</v>
      </c>
      <c r="F238" s="154" t="s">
        <v>83</v>
      </c>
      <c r="G238" s="154" t="s">
        <v>1903</v>
      </c>
      <c r="H238" s="154" t="s">
        <v>864</v>
      </c>
      <c r="I238" s="154" t="s">
        <v>101</v>
      </c>
      <c r="J238" s="154" t="s">
        <v>102</v>
      </c>
      <c r="K238" s="154" t="s">
        <v>60</v>
      </c>
      <c r="L238" s="154" t="s">
        <v>1897</v>
      </c>
      <c r="M238" s="154" t="s">
        <v>1388</v>
      </c>
      <c r="N238" s="154" t="s">
        <v>61</v>
      </c>
      <c r="O238" s="154" t="s">
        <v>62</v>
      </c>
      <c r="P238" s="146">
        <v>1290911.79</v>
      </c>
      <c r="Q238" s="146">
        <v>514.16999999999996</v>
      </c>
      <c r="R238" s="154" t="s">
        <v>1384</v>
      </c>
      <c r="S238" s="154" t="s">
        <v>1899</v>
      </c>
      <c r="T238" s="155" t="s">
        <v>768</v>
      </c>
      <c r="U238" s="155" t="s">
        <v>1899</v>
      </c>
      <c r="V238" s="154" t="s">
        <v>1904</v>
      </c>
      <c r="W238" s="154">
        <v>0</v>
      </c>
      <c r="X238" s="154" t="s">
        <v>63</v>
      </c>
      <c r="Y238" s="154" t="s">
        <v>1386</v>
      </c>
      <c r="Z238" s="154"/>
      <c r="AA238" s="154" t="s">
        <v>1387</v>
      </c>
      <c r="AB238" s="154">
        <v>0</v>
      </c>
      <c r="AC238" s="138">
        <f>IFERROR(IF(DATEDIF(#REF!,U238,"m")&lt;=1,1,IF(AND(DATEDIF(#REF!,U238,"m")&gt;1,DATEDIF(#REF!,U238,"m")&lt;12),2,IF(AND(DATEDIF(#REF!,U238,"m")&gt;=12,DATEDIF(#REF!,U238,"m")&lt;24),3,IF(DATEDIF(#REF!,U238,"m")&gt;=24,4,"")))),IF(E238="r0320 - Deposits, not covered and not preferential",1,4))</f>
        <v>4</v>
      </c>
    </row>
    <row r="239" spans="3:29" ht="36.75" thickBot="1" x14ac:dyDescent="0.3">
      <c r="C239" s="11">
        <v>999</v>
      </c>
      <c r="D239" s="154">
        <v>232</v>
      </c>
      <c r="E239" s="154" t="s">
        <v>1898</v>
      </c>
      <c r="F239" s="154" t="s">
        <v>87</v>
      </c>
      <c r="G239" s="154" t="s">
        <v>1402</v>
      </c>
      <c r="H239" s="154" t="s">
        <v>210</v>
      </c>
      <c r="I239" s="154" t="s">
        <v>96</v>
      </c>
      <c r="J239" s="154" t="s">
        <v>97</v>
      </c>
      <c r="K239" s="154" t="s">
        <v>91</v>
      </c>
      <c r="L239" s="154" t="s">
        <v>1897</v>
      </c>
      <c r="M239" s="154" t="s">
        <v>1383</v>
      </c>
      <c r="N239" s="154" t="s">
        <v>61</v>
      </c>
      <c r="O239" s="154" t="s">
        <v>62</v>
      </c>
      <c r="P239" s="146">
        <v>5.67</v>
      </c>
      <c r="Q239" s="146">
        <v>0</v>
      </c>
      <c r="R239" s="154" t="s">
        <v>1384</v>
      </c>
      <c r="S239" s="154" t="s">
        <v>1899</v>
      </c>
      <c r="T239" s="155" t="s">
        <v>1899</v>
      </c>
      <c r="U239" s="155" t="s">
        <v>1899</v>
      </c>
      <c r="V239" s="154" t="s">
        <v>1562</v>
      </c>
      <c r="W239" s="154">
        <v>0</v>
      </c>
      <c r="X239" s="154" t="s">
        <v>63</v>
      </c>
      <c r="Y239" s="154" t="s">
        <v>1900</v>
      </c>
      <c r="Z239" s="154"/>
      <c r="AA239" s="154" t="s">
        <v>1387</v>
      </c>
      <c r="AB239" s="154">
        <v>0</v>
      </c>
      <c r="AC239" s="138">
        <f>IFERROR(IF(DATEDIF(#REF!,U239,"m")&lt;=1,1,IF(AND(DATEDIF(#REF!,U239,"m")&gt;1,DATEDIF(#REF!,U239,"m")&lt;12),2,IF(AND(DATEDIF(#REF!,U239,"m")&gt;=12,DATEDIF(#REF!,U239,"m")&lt;24),3,IF(DATEDIF(#REF!,U239,"m")&gt;=24,4,"")))),IF(E239="r0320 - Deposits, not covered and not preferential",1,4))</f>
        <v>4</v>
      </c>
    </row>
    <row r="240" spans="3:29" ht="48.75" thickBot="1" x14ac:dyDescent="0.3">
      <c r="C240" s="11">
        <v>999</v>
      </c>
      <c r="D240" s="154">
        <v>233</v>
      </c>
      <c r="E240" s="154" t="s">
        <v>1902</v>
      </c>
      <c r="F240" s="154" t="s">
        <v>83</v>
      </c>
      <c r="G240" s="154" t="s">
        <v>1903</v>
      </c>
      <c r="H240" s="154" t="s">
        <v>516</v>
      </c>
      <c r="I240" s="154" t="s">
        <v>93</v>
      </c>
      <c r="J240" s="154" t="s">
        <v>94</v>
      </c>
      <c r="K240" s="154" t="s">
        <v>60</v>
      </c>
      <c r="L240" s="154" t="s">
        <v>1897</v>
      </c>
      <c r="M240" s="154" t="s">
        <v>1388</v>
      </c>
      <c r="N240" s="154" t="s">
        <v>61</v>
      </c>
      <c r="O240" s="154" t="s">
        <v>62</v>
      </c>
      <c r="P240" s="146">
        <v>278148.73</v>
      </c>
      <c r="Q240" s="146">
        <v>173.44</v>
      </c>
      <c r="R240" s="154" t="s">
        <v>1384</v>
      </c>
      <c r="S240" s="154" t="s">
        <v>1899</v>
      </c>
      <c r="T240" s="155" t="s">
        <v>768</v>
      </c>
      <c r="U240" s="155" t="s">
        <v>1899</v>
      </c>
      <c r="V240" s="154" t="s">
        <v>1904</v>
      </c>
      <c r="W240" s="154">
        <v>0</v>
      </c>
      <c r="X240" s="154" t="s">
        <v>63</v>
      </c>
      <c r="Y240" s="154" t="s">
        <v>1386</v>
      </c>
      <c r="Z240" s="154"/>
      <c r="AA240" s="154" t="s">
        <v>1387</v>
      </c>
      <c r="AB240" s="154">
        <v>0</v>
      </c>
      <c r="AC240" s="138">
        <f>IFERROR(IF(DATEDIF(#REF!,U240,"m")&lt;=1,1,IF(AND(DATEDIF(#REF!,U240,"m")&gt;1,DATEDIF(#REF!,U240,"m")&lt;12),2,IF(AND(DATEDIF(#REF!,U240,"m")&gt;=12,DATEDIF(#REF!,U240,"m")&lt;24),3,IF(DATEDIF(#REF!,U240,"m")&gt;=24,4,"")))),IF(E240="r0320 - Deposits, not covered and not preferential",1,4))</f>
        <v>4</v>
      </c>
    </row>
    <row r="241" spans="3:29" ht="36.75" thickBot="1" x14ac:dyDescent="0.3">
      <c r="C241" s="11">
        <v>999</v>
      </c>
      <c r="D241" s="154">
        <v>234</v>
      </c>
      <c r="E241" s="154" t="s">
        <v>1898</v>
      </c>
      <c r="F241" s="154" t="s">
        <v>87</v>
      </c>
      <c r="G241" s="154" t="s">
        <v>1402</v>
      </c>
      <c r="H241" s="154" t="s">
        <v>525</v>
      </c>
      <c r="I241" s="154" t="s">
        <v>111</v>
      </c>
      <c r="J241" s="154" t="s">
        <v>90</v>
      </c>
      <c r="K241" s="154" t="s">
        <v>91</v>
      </c>
      <c r="L241" s="154" t="s">
        <v>1897</v>
      </c>
      <c r="M241" s="154" t="s">
        <v>1383</v>
      </c>
      <c r="N241" s="154" t="s">
        <v>61</v>
      </c>
      <c r="O241" s="154" t="s">
        <v>62</v>
      </c>
      <c r="P241" s="146">
        <v>0.15</v>
      </c>
      <c r="Q241" s="146">
        <v>0</v>
      </c>
      <c r="R241" s="154" t="s">
        <v>1384</v>
      </c>
      <c r="S241" s="154" t="s">
        <v>1899</v>
      </c>
      <c r="T241" s="155" t="s">
        <v>1899</v>
      </c>
      <c r="U241" s="155" t="s">
        <v>1899</v>
      </c>
      <c r="V241" s="154" t="s">
        <v>1562</v>
      </c>
      <c r="W241" s="154">
        <v>0</v>
      </c>
      <c r="X241" s="154" t="s">
        <v>63</v>
      </c>
      <c r="Y241" s="154" t="s">
        <v>1900</v>
      </c>
      <c r="Z241" s="154"/>
      <c r="AA241" s="154" t="s">
        <v>1387</v>
      </c>
      <c r="AB241" s="154">
        <v>0</v>
      </c>
      <c r="AC241" s="138">
        <f>IFERROR(IF(DATEDIF(#REF!,U241,"m")&lt;=1,1,IF(AND(DATEDIF(#REF!,U241,"m")&gt;1,DATEDIF(#REF!,U241,"m")&lt;12),2,IF(AND(DATEDIF(#REF!,U241,"m")&gt;=12,DATEDIF(#REF!,U241,"m")&lt;24),3,IF(DATEDIF(#REF!,U241,"m")&gt;=24,4,"")))),IF(E241="r0320 - Deposits, not covered and not preferential",1,4))</f>
        <v>4</v>
      </c>
    </row>
    <row r="242" spans="3:29" ht="48.75" thickBot="1" x14ac:dyDescent="0.3">
      <c r="C242" s="11">
        <v>999</v>
      </c>
      <c r="D242" s="154">
        <v>235</v>
      </c>
      <c r="E242" s="154" t="s">
        <v>1902</v>
      </c>
      <c r="F242" s="154" t="s">
        <v>83</v>
      </c>
      <c r="G242" s="154" t="s">
        <v>1903</v>
      </c>
      <c r="H242" s="154" t="s">
        <v>462</v>
      </c>
      <c r="I242" s="154" t="s">
        <v>93</v>
      </c>
      <c r="J242" s="154" t="s">
        <v>94</v>
      </c>
      <c r="K242" s="154" t="s">
        <v>60</v>
      </c>
      <c r="L242" s="154" t="s">
        <v>1897</v>
      </c>
      <c r="M242" s="154" t="s">
        <v>1388</v>
      </c>
      <c r="N242" s="154" t="s">
        <v>61</v>
      </c>
      <c r="O242" s="154" t="s">
        <v>62</v>
      </c>
      <c r="P242" s="146">
        <v>152581.34</v>
      </c>
      <c r="Q242" s="146">
        <v>4.17</v>
      </c>
      <c r="R242" s="154" t="s">
        <v>1384</v>
      </c>
      <c r="S242" s="154" t="s">
        <v>1899</v>
      </c>
      <c r="T242" s="155" t="s">
        <v>768</v>
      </c>
      <c r="U242" s="155" t="s">
        <v>1899</v>
      </c>
      <c r="V242" s="154" t="s">
        <v>1904</v>
      </c>
      <c r="W242" s="154">
        <v>0</v>
      </c>
      <c r="X242" s="154" t="s">
        <v>63</v>
      </c>
      <c r="Y242" s="154" t="s">
        <v>1386</v>
      </c>
      <c r="Z242" s="154"/>
      <c r="AA242" s="154" t="s">
        <v>1387</v>
      </c>
      <c r="AB242" s="154">
        <v>0</v>
      </c>
      <c r="AC242" s="138">
        <f>IFERROR(IF(DATEDIF(#REF!,U242,"m")&lt;=1,1,IF(AND(DATEDIF(#REF!,U242,"m")&gt;1,DATEDIF(#REF!,U242,"m")&lt;12),2,IF(AND(DATEDIF(#REF!,U242,"m")&gt;=12,DATEDIF(#REF!,U242,"m")&lt;24),3,IF(DATEDIF(#REF!,U242,"m")&gt;=24,4,"")))),IF(E242="r0320 - Deposits, not covered and not preferential",1,4))</f>
        <v>4</v>
      </c>
    </row>
    <row r="243" spans="3:29" ht="48.75" thickBot="1" x14ac:dyDescent="0.3">
      <c r="C243" s="11">
        <v>999</v>
      </c>
      <c r="D243" s="154">
        <v>236</v>
      </c>
      <c r="E243" s="154" t="s">
        <v>1902</v>
      </c>
      <c r="F243" s="154" t="s">
        <v>83</v>
      </c>
      <c r="G243" s="154" t="s">
        <v>1903</v>
      </c>
      <c r="H243" s="154" t="s">
        <v>876</v>
      </c>
      <c r="I243" s="154" t="s">
        <v>93</v>
      </c>
      <c r="J243" s="154" t="s">
        <v>94</v>
      </c>
      <c r="K243" s="154" t="s">
        <v>60</v>
      </c>
      <c r="L243" s="154" t="s">
        <v>1897</v>
      </c>
      <c r="M243" s="154" t="s">
        <v>1388</v>
      </c>
      <c r="N243" s="154" t="s">
        <v>61</v>
      </c>
      <c r="O243" s="154" t="s">
        <v>62</v>
      </c>
      <c r="P243" s="146">
        <v>81942.5</v>
      </c>
      <c r="Q243" s="146">
        <v>8.91</v>
      </c>
      <c r="R243" s="154" t="s">
        <v>1384</v>
      </c>
      <c r="S243" s="154" t="s">
        <v>1899</v>
      </c>
      <c r="T243" s="155" t="s">
        <v>768</v>
      </c>
      <c r="U243" s="155" t="s">
        <v>1899</v>
      </c>
      <c r="V243" s="154" t="s">
        <v>1904</v>
      </c>
      <c r="W243" s="154">
        <v>0</v>
      </c>
      <c r="X243" s="154" t="s">
        <v>63</v>
      </c>
      <c r="Y243" s="154" t="s">
        <v>1386</v>
      </c>
      <c r="Z243" s="154"/>
      <c r="AA243" s="154" t="s">
        <v>1387</v>
      </c>
      <c r="AB243" s="154">
        <v>0</v>
      </c>
      <c r="AC243" s="138">
        <f>IFERROR(IF(DATEDIF(#REF!,U243,"m")&lt;=1,1,IF(AND(DATEDIF(#REF!,U243,"m")&gt;1,DATEDIF(#REF!,U243,"m")&lt;12),2,IF(AND(DATEDIF(#REF!,U243,"m")&gt;=12,DATEDIF(#REF!,U243,"m")&lt;24),3,IF(DATEDIF(#REF!,U243,"m")&gt;=24,4,"")))),IF(E243="r0320 - Deposits, not covered and not preferential",1,4))</f>
        <v>4</v>
      </c>
    </row>
    <row r="244" spans="3:29" ht="48.75" thickBot="1" x14ac:dyDescent="0.3">
      <c r="C244" s="11">
        <v>999</v>
      </c>
      <c r="D244" s="154">
        <v>237</v>
      </c>
      <c r="E244" s="154" t="s">
        <v>1902</v>
      </c>
      <c r="F244" s="154" t="s">
        <v>83</v>
      </c>
      <c r="G244" s="154" t="s">
        <v>1903</v>
      </c>
      <c r="H244" s="154" t="s">
        <v>1353</v>
      </c>
      <c r="I244" s="154" t="s">
        <v>101</v>
      </c>
      <c r="J244" s="154" t="s">
        <v>102</v>
      </c>
      <c r="K244" s="154" t="s">
        <v>60</v>
      </c>
      <c r="L244" s="154" t="s">
        <v>1897</v>
      </c>
      <c r="M244" s="154" t="s">
        <v>1388</v>
      </c>
      <c r="N244" s="154" t="s">
        <v>61</v>
      </c>
      <c r="O244" s="154" t="s">
        <v>62</v>
      </c>
      <c r="P244" s="146">
        <v>27465.81</v>
      </c>
      <c r="Q244" s="146">
        <v>0</v>
      </c>
      <c r="R244" s="154" t="s">
        <v>1384</v>
      </c>
      <c r="S244" s="154" t="s">
        <v>1899</v>
      </c>
      <c r="T244" s="155" t="s">
        <v>768</v>
      </c>
      <c r="U244" s="155" t="s">
        <v>1899</v>
      </c>
      <c r="V244" s="154" t="s">
        <v>1904</v>
      </c>
      <c r="W244" s="154">
        <v>0</v>
      </c>
      <c r="X244" s="154" t="s">
        <v>63</v>
      </c>
      <c r="Y244" s="154" t="s">
        <v>1386</v>
      </c>
      <c r="Z244" s="154"/>
      <c r="AA244" s="154" t="s">
        <v>1387</v>
      </c>
      <c r="AB244" s="154">
        <v>0</v>
      </c>
      <c r="AC244" s="138">
        <f>IFERROR(IF(DATEDIF(#REF!,U244,"m")&lt;=1,1,IF(AND(DATEDIF(#REF!,U244,"m")&gt;1,DATEDIF(#REF!,U244,"m")&lt;12),2,IF(AND(DATEDIF(#REF!,U244,"m")&gt;=12,DATEDIF(#REF!,U244,"m")&lt;24),3,IF(DATEDIF(#REF!,U244,"m")&gt;=24,4,"")))),IF(E244="r0320 - Deposits, not covered and not preferential",1,4))</f>
        <v>4</v>
      </c>
    </row>
    <row r="245" spans="3:29" ht="48.75" thickBot="1" x14ac:dyDescent="0.3">
      <c r="C245" s="11">
        <v>999</v>
      </c>
      <c r="D245" s="154">
        <v>238</v>
      </c>
      <c r="E245" s="154" t="s">
        <v>1902</v>
      </c>
      <c r="F245" s="154" t="s">
        <v>83</v>
      </c>
      <c r="G245" s="154" t="s">
        <v>1903</v>
      </c>
      <c r="H245" s="154" t="s">
        <v>889</v>
      </c>
      <c r="I245" s="154" t="s">
        <v>101</v>
      </c>
      <c r="J245" s="154" t="s">
        <v>102</v>
      </c>
      <c r="K245" s="154" t="s">
        <v>60</v>
      </c>
      <c r="L245" s="154" t="s">
        <v>1897</v>
      </c>
      <c r="M245" s="154" t="s">
        <v>1388</v>
      </c>
      <c r="N245" s="154" t="s">
        <v>61</v>
      </c>
      <c r="O245" s="154" t="s">
        <v>62</v>
      </c>
      <c r="P245" s="146">
        <v>58338.720000000001</v>
      </c>
      <c r="Q245" s="146">
        <v>22.18</v>
      </c>
      <c r="R245" s="154" t="s">
        <v>1384</v>
      </c>
      <c r="S245" s="154" t="s">
        <v>1899</v>
      </c>
      <c r="T245" s="155" t="s">
        <v>768</v>
      </c>
      <c r="U245" s="155" t="s">
        <v>1899</v>
      </c>
      <c r="V245" s="154" t="s">
        <v>1904</v>
      </c>
      <c r="W245" s="154">
        <v>0</v>
      </c>
      <c r="X245" s="154" t="s">
        <v>63</v>
      </c>
      <c r="Y245" s="154" t="s">
        <v>1386</v>
      </c>
      <c r="Z245" s="154"/>
      <c r="AA245" s="154" t="s">
        <v>1387</v>
      </c>
      <c r="AB245" s="154">
        <v>0</v>
      </c>
      <c r="AC245" s="138">
        <f>IFERROR(IF(DATEDIF(#REF!,U245,"m")&lt;=1,1,IF(AND(DATEDIF(#REF!,U245,"m")&gt;1,DATEDIF(#REF!,U245,"m")&lt;12),2,IF(AND(DATEDIF(#REF!,U245,"m")&gt;=12,DATEDIF(#REF!,U245,"m")&lt;24),3,IF(DATEDIF(#REF!,U245,"m")&gt;=24,4,"")))),IF(E245="r0320 - Deposits, not covered and not preferential",1,4))</f>
        <v>4</v>
      </c>
    </row>
    <row r="246" spans="3:29" ht="48.75" thickBot="1" x14ac:dyDescent="0.3">
      <c r="C246" s="11">
        <v>999</v>
      </c>
      <c r="D246" s="154">
        <v>239</v>
      </c>
      <c r="E246" s="154" t="s">
        <v>1902</v>
      </c>
      <c r="F246" s="154" t="s">
        <v>83</v>
      </c>
      <c r="G246" s="154" t="s">
        <v>1903</v>
      </c>
      <c r="H246" s="154" t="s">
        <v>527</v>
      </c>
      <c r="I246" s="154" t="s">
        <v>101</v>
      </c>
      <c r="J246" s="154" t="s">
        <v>102</v>
      </c>
      <c r="K246" s="154" t="s">
        <v>60</v>
      </c>
      <c r="L246" s="154" t="s">
        <v>1897</v>
      </c>
      <c r="M246" s="154" t="s">
        <v>1388</v>
      </c>
      <c r="N246" s="154" t="s">
        <v>61</v>
      </c>
      <c r="O246" s="154" t="s">
        <v>62</v>
      </c>
      <c r="P246" s="146">
        <v>789217.62</v>
      </c>
      <c r="Q246" s="146">
        <v>197</v>
      </c>
      <c r="R246" s="154" t="s">
        <v>1384</v>
      </c>
      <c r="S246" s="154" t="s">
        <v>1899</v>
      </c>
      <c r="T246" s="155" t="s">
        <v>768</v>
      </c>
      <c r="U246" s="155" t="s">
        <v>1899</v>
      </c>
      <c r="V246" s="154" t="s">
        <v>1904</v>
      </c>
      <c r="W246" s="154">
        <v>0</v>
      </c>
      <c r="X246" s="154" t="s">
        <v>63</v>
      </c>
      <c r="Y246" s="154" t="s">
        <v>1386</v>
      </c>
      <c r="Z246" s="154"/>
      <c r="AA246" s="154" t="s">
        <v>1387</v>
      </c>
      <c r="AB246" s="154">
        <v>0</v>
      </c>
      <c r="AC246" s="138">
        <f>IFERROR(IF(DATEDIF(#REF!,U246,"m")&lt;=1,1,IF(AND(DATEDIF(#REF!,U246,"m")&gt;1,DATEDIF(#REF!,U246,"m")&lt;12),2,IF(AND(DATEDIF(#REF!,U246,"m")&gt;=12,DATEDIF(#REF!,U246,"m")&lt;24),3,IF(DATEDIF(#REF!,U246,"m")&gt;=24,4,"")))),IF(E246="r0320 - Deposits, not covered and not preferential",1,4))</f>
        <v>4</v>
      </c>
    </row>
    <row r="247" spans="3:29" ht="48.75" thickBot="1" x14ac:dyDescent="0.3">
      <c r="C247" s="11">
        <v>999</v>
      </c>
      <c r="D247" s="154">
        <v>240</v>
      </c>
      <c r="E247" s="154" t="s">
        <v>1902</v>
      </c>
      <c r="F247" s="154" t="s">
        <v>83</v>
      </c>
      <c r="G247" s="154" t="s">
        <v>1903</v>
      </c>
      <c r="H247" s="154" t="s">
        <v>893</v>
      </c>
      <c r="I247" s="154" t="s">
        <v>101</v>
      </c>
      <c r="J247" s="154" t="s">
        <v>102</v>
      </c>
      <c r="K247" s="154" t="s">
        <v>60</v>
      </c>
      <c r="L247" s="154" t="s">
        <v>1897</v>
      </c>
      <c r="M247" s="154" t="s">
        <v>1388</v>
      </c>
      <c r="N247" s="154" t="s">
        <v>61</v>
      </c>
      <c r="O247" s="154" t="s">
        <v>62</v>
      </c>
      <c r="P247" s="146">
        <v>43712.63</v>
      </c>
      <c r="Q247" s="146">
        <v>6.27</v>
      </c>
      <c r="R247" s="154" t="s">
        <v>1384</v>
      </c>
      <c r="S247" s="154" t="s">
        <v>1899</v>
      </c>
      <c r="T247" s="155" t="s">
        <v>768</v>
      </c>
      <c r="U247" s="155" t="s">
        <v>1899</v>
      </c>
      <c r="V247" s="154" t="s">
        <v>1904</v>
      </c>
      <c r="W247" s="154">
        <v>0</v>
      </c>
      <c r="X247" s="154" t="s">
        <v>63</v>
      </c>
      <c r="Y247" s="154" t="s">
        <v>1386</v>
      </c>
      <c r="Z247" s="154"/>
      <c r="AA247" s="154" t="s">
        <v>1387</v>
      </c>
      <c r="AB247" s="154">
        <v>0</v>
      </c>
      <c r="AC247" s="138">
        <f>IFERROR(IF(DATEDIF(#REF!,U247,"m")&lt;=1,1,IF(AND(DATEDIF(#REF!,U247,"m")&gt;1,DATEDIF(#REF!,U247,"m")&lt;12),2,IF(AND(DATEDIF(#REF!,U247,"m")&gt;=12,DATEDIF(#REF!,U247,"m")&lt;24),3,IF(DATEDIF(#REF!,U247,"m")&gt;=24,4,"")))),IF(E247="r0320 - Deposits, not covered and not preferential",1,4))</f>
        <v>4</v>
      </c>
    </row>
    <row r="248" spans="3:29" ht="48.75" thickBot="1" x14ac:dyDescent="0.3">
      <c r="C248" s="11">
        <v>999</v>
      </c>
      <c r="D248" s="154">
        <v>241</v>
      </c>
      <c r="E248" s="154" t="s">
        <v>1902</v>
      </c>
      <c r="F248" s="154" t="s">
        <v>83</v>
      </c>
      <c r="G248" s="154" t="s">
        <v>1903</v>
      </c>
      <c r="H248" s="154" t="s">
        <v>1350</v>
      </c>
      <c r="I248" s="154" t="s">
        <v>93</v>
      </c>
      <c r="J248" s="154" t="s">
        <v>94</v>
      </c>
      <c r="K248" s="154" t="s">
        <v>60</v>
      </c>
      <c r="L248" s="154" t="s">
        <v>1897</v>
      </c>
      <c r="M248" s="154" t="s">
        <v>1388</v>
      </c>
      <c r="N248" s="154" t="s">
        <v>61</v>
      </c>
      <c r="O248" s="154" t="s">
        <v>62</v>
      </c>
      <c r="P248" s="146">
        <v>166637.96</v>
      </c>
      <c r="Q248" s="146">
        <v>14.47</v>
      </c>
      <c r="R248" s="154" t="s">
        <v>1384</v>
      </c>
      <c r="S248" s="154" t="s">
        <v>1899</v>
      </c>
      <c r="T248" s="155" t="s">
        <v>768</v>
      </c>
      <c r="U248" s="155" t="s">
        <v>1899</v>
      </c>
      <c r="V248" s="154" t="s">
        <v>1904</v>
      </c>
      <c r="W248" s="154">
        <v>0</v>
      </c>
      <c r="X248" s="154" t="s">
        <v>63</v>
      </c>
      <c r="Y248" s="154" t="s">
        <v>1386</v>
      </c>
      <c r="Z248" s="154"/>
      <c r="AA248" s="154" t="s">
        <v>1387</v>
      </c>
      <c r="AB248" s="154">
        <v>0</v>
      </c>
      <c r="AC248" s="138">
        <f>IFERROR(IF(DATEDIF(#REF!,U248,"m")&lt;=1,1,IF(AND(DATEDIF(#REF!,U248,"m")&gt;1,DATEDIF(#REF!,U248,"m")&lt;12),2,IF(AND(DATEDIF(#REF!,U248,"m")&gt;=12,DATEDIF(#REF!,U248,"m")&lt;24),3,IF(DATEDIF(#REF!,U248,"m")&gt;=24,4,"")))),IF(E248="r0320 - Deposits, not covered and not preferential",1,4))</f>
        <v>4</v>
      </c>
    </row>
    <row r="249" spans="3:29" ht="48.75" thickBot="1" x14ac:dyDescent="0.3">
      <c r="C249" s="11">
        <v>999</v>
      </c>
      <c r="D249" s="154">
        <v>242</v>
      </c>
      <c r="E249" s="154" t="s">
        <v>1902</v>
      </c>
      <c r="F249" s="154" t="s">
        <v>83</v>
      </c>
      <c r="G249" s="154" t="s">
        <v>1903</v>
      </c>
      <c r="H249" s="154" t="s">
        <v>897</v>
      </c>
      <c r="I249" s="154" t="s">
        <v>101</v>
      </c>
      <c r="J249" s="154" t="s">
        <v>102</v>
      </c>
      <c r="K249" s="154" t="s">
        <v>60</v>
      </c>
      <c r="L249" s="154" t="s">
        <v>1897</v>
      </c>
      <c r="M249" s="154" t="s">
        <v>1388</v>
      </c>
      <c r="N249" s="154" t="s">
        <v>61</v>
      </c>
      <c r="O249" s="154" t="s">
        <v>62</v>
      </c>
      <c r="P249" s="146">
        <v>44041.97</v>
      </c>
      <c r="Q249" s="146">
        <v>-4.21</v>
      </c>
      <c r="R249" s="154" t="s">
        <v>1384</v>
      </c>
      <c r="S249" s="154" t="s">
        <v>1899</v>
      </c>
      <c r="T249" s="155" t="s">
        <v>768</v>
      </c>
      <c r="U249" s="155" t="s">
        <v>1899</v>
      </c>
      <c r="V249" s="154" t="s">
        <v>1904</v>
      </c>
      <c r="W249" s="154">
        <v>0</v>
      </c>
      <c r="X249" s="154" t="s">
        <v>63</v>
      </c>
      <c r="Y249" s="154" t="s">
        <v>1386</v>
      </c>
      <c r="Z249" s="154"/>
      <c r="AA249" s="154" t="s">
        <v>1387</v>
      </c>
      <c r="AB249" s="154">
        <v>0</v>
      </c>
      <c r="AC249" s="138">
        <f>IFERROR(IF(DATEDIF(#REF!,U249,"m")&lt;=1,1,IF(AND(DATEDIF(#REF!,U249,"m")&gt;1,DATEDIF(#REF!,U249,"m")&lt;12),2,IF(AND(DATEDIF(#REF!,U249,"m")&gt;=12,DATEDIF(#REF!,U249,"m")&lt;24),3,IF(DATEDIF(#REF!,U249,"m")&gt;=24,4,"")))),IF(E249="r0320 - Deposits, not covered and not preferential",1,4))</f>
        <v>4</v>
      </c>
    </row>
    <row r="250" spans="3:29" ht="36.75" thickBot="1" x14ac:dyDescent="0.3">
      <c r="C250" s="11">
        <v>999</v>
      </c>
      <c r="D250" s="154">
        <v>243</v>
      </c>
      <c r="E250" s="154" t="s">
        <v>1898</v>
      </c>
      <c r="F250" s="154" t="s">
        <v>87</v>
      </c>
      <c r="G250" s="154" t="s">
        <v>1402</v>
      </c>
      <c r="H250" s="154" t="s">
        <v>127</v>
      </c>
      <c r="I250" s="154" t="s">
        <v>111</v>
      </c>
      <c r="J250" s="154" t="s">
        <v>90</v>
      </c>
      <c r="K250" s="154" t="s">
        <v>91</v>
      </c>
      <c r="L250" s="154" t="s">
        <v>1897</v>
      </c>
      <c r="M250" s="154" t="s">
        <v>1383</v>
      </c>
      <c r="N250" s="154" t="s">
        <v>61</v>
      </c>
      <c r="O250" s="154" t="s">
        <v>62</v>
      </c>
      <c r="P250" s="146">
        <v>0.38</v>
      </c>
      <c r="Q250" s="146">
        <v>0</v>
      </c>
      <c r="R250" s="154" t="s">
        <v>1384</v>
      </c>
      <c r="S250" s="154" t="s">
        <v>1899</v>
      </c>
      <c r="T250" s="155" t="s">
        <v>1899</v>
      </c>
      <c r="U250" s="155" t="s">
        <v>1899</v>
      </c>
      <c r="V250" s="154" t="s">
        <v>1562</v>
      </c>
      <c r="W250" s="154">
        <v>0</v>
      </c>
      <c r="X250" s="154" t="s">
        <v>63</v>
      </c>
      <c r="Y250" s="154" t="s">
        <v>1900</v>
      </c>
      <c r="Z250" s="154"/>
      <c r="AA250" s="154" t="s">
        <v>1387</v>
      </c>
      <c r="AB250" s="154">
        <v>0</v>
      </c>
      <c r="AC250" s="138">
        <f>IFERROR(IF(DATEDIF(#REF!,U250,"m")&lt;=1,1,IF(AND(DATEDIF(#REF!,U250,"m")&gt;1,DATEDIF(#REF!,U250,"m")&lt;12),2,IF(AND(DATEDIF(#REF!,U250,"m")&gt;=12,DATEDIF(#REF!,U250,"m")&lt;24),3,IF(DATEDIF(#REF!,U250,"m")&gt;=24,4,"")))),IF(E250="r0320 - Deposits, not covered and not preferential",1,4))</f>
        <v>4</v>
      </c>
    </row>
    <row r="251" spans="3:29" ht="48.75" thickBot="1" x14ac:dyDescent="0.3">
      <c r="C251" s="11">
        <v>999</v>
      </c>
      <c r="D251" s="154">
        <v>244</v>
      </c>
      <c r="E251" s="154" t="s">
        <v>1902</v>
      </c>
      <c r="F251" s="154" t="s">
        <v>83</v>
      </c>
      <c r="G251" s="154" t="s">
        <v>1903</v>
      </c>
      <c r="H251" s="154" t="s">
        <v>903</v>
      </c>
      <c r="I251" s="154" t="s">
        <v>93</v>
      </c>
      <c r="J251" s="154" t="s">
        <v>94</v>
      </c>
      <c r="K251" s="154" t="s">
        <v>60</v>
      </c>
      <c r="L251" s="154" t="s">
        <v>1897</v>
      </c>
      <c r="M251" s="154" t="s">
        <v>1388</v>
      </c>
      <c r="N251" s="154" t="s">
        <v>61</v>
      </c>
      <c r="O251" s="154" t="s">
        <v>62</v>
      </c>
      <c r="P251" s="146">
        <v>67468.289999999994</v>
      </c>
      <c r="Q251" s="146">
        <v>42.01</v>
      </c>
      <c r="R251" s="154" t="s">
        <v>1384</v>
      </c>
      <c r="S251" s="154" t="s">
        <v>1899</v>
      </c>
      <c r="T251" s="155" t="s">
        <v>768</v>
      </c>
      <c r="U251" s="155" t="s">
        <v>1899</v>
      </c>
      <c r="V251" s="154" t="s">
        <v>1904</v>
      </c>
      <c r="W251" s="154">
        <v>0</v>
      </c>
      <c r="X251" s="154" t="s">
        <v>63</v>
      </c>
      <c r="Y251" s="154" t="s">
        <v>1386</v>
      </c>
      <c r="Z251" s="154"/>
      <c r="AA251" s="154" t="s">
        <v>1387</v>
      </c>
      <c r="AB251" s="154">
        <v>0</v>
      </c>
      <c r="AC251" s="138">
        <f>IFERROR(IF(DATEDIF(#REF!,U251,"m")&lt;=1,1,IF(AND(DATEDIF(#REF!,U251,"m")&gt;1,DATEDIF(#REF!,U251,"m")&lt;12),2,IF(AND(DATEDIF(#REF!,U251,"m")&gt;=12,DATEDIF(#REF!,U251,"m")&lt;24),3,IF(DATEDIF(#REF!,U251,"m")&gt;=24,4,"")))),IF(E251="r0320 - Deposits, not covered and not preferential",1,4))</f>
        <v>4</v>
      </c>
    </row>
    <row r="252" spans="3:29" ht="36.75" thickBot="1" x14ac:dyDescent="0.3">
      <c r="C252" s="11">
        <v>999</v>
      </c>
      <c r="D252" s="154">
        <v>245</v>
      </c>
      <c r="E252" s="154" t="s">
        <v>1898</v>
      </c>
      <c r="F252" s="154" t="s">
        <v>87</v>
      </c>
      <c r="G252" s="154" t="s">
        <v>1402</v>
      </c>
      <c r="H252" s="154" t="s">
        <v>879</v>
      </c>
      <c r="I252" s="154" t="s">
        <v>111</v>
      </c>
      <c r="J252" s="154" t="s">
        <v>90</v>
      </c>
      <c r="K252" s="154" t="s">
        <v>91</v>
      </c>
      <c r="L252" s="154" t="s">
        <v>1897</v>
      </c>
      <c r="M252" s="154" t="s">
        <v>1383</v>
      </c>
      <c r="N252" s="154" t="s">
        <v>61</v>
      </c>
      <c r="O252" s="154" t="s">
        <v>62</v>
      </c>
      <c r="P252" s="146">
        <v>1.31</v>
      </c>
      <c r="Q252" s="146">
        <v>0</v>
      </c>
      <c r="R252" s="154" t="s">
        <v>1384</v>
      </c>
      <c r="S252" s="154" t="s">
        <v>1899</v>
      </c>
      <c r="T252" s="155" t="s">
        <v>1899</v>
      </c>
      <c r="U252" s="155" t="s">
        <v>1899</v>
      </c>
      <c r="V252" s="154" t="s">
        <v>1562</v>
      </c>
      <c r="W252" s="154">
        <v>0</v>
      </c>
      <c r="X252" s="154" t="s">
        <v>63</v>
      </c>
      <c r="Y252" s="154" t="s">
        <v>1900</v>
      </c>
      <c r="Z252" s="154"/>
      <c r="AA252" s="154" t="s">
        <v>1387</v>
      </c>
      <c r="AB252" s="154">
        <v>0</v>
      </c>
      <c r="AC252" s="138">
        <f>IFERROR(IF(DATEDIF(#REF!,U252,"m")&lt;=1,1,IF(AND(DATEDIF(#REF!,U252,"m")&gt;1,DATEDIF(#REF!,U252,"m")&lt;12),2,IF(AND(DATEDIF(#REF!,U252,"m")&gt;=12,DATEDIF(#REF!,U252,"m")&lt;24),3,IF(DATEDIF(#REF!,U252,"m")&gt;=24,4,"")))),IF(E252="r0320 - Deposits, not covered and not preferential",1,4))</f>
        <v>4</v>
      </c>
    </row>
    <row r="253" spans="3:29" ht="48.75" thickBot="1" x14ac:dyDescent="0.3">
      <c r="C253" s="11">
        <v>999</v>
      </c>
      <c r="D253" s="154">
        <v>246</v>
      </c>
      <c r="E253" s="154" t="s">
        <v>1902</v>
      </c>
      <c r="F253" s="154" t="s">
        <v>83</v>
      </c>
      <c r="G253" s="154" t="s">
        <v>1903</v>
      </c>
      <c r="H253" s="154" t="s">
        <v>898</v>
      </c>
      <c r="I253" s="154" t="s">
        <v>93</v>
      </c>
      <c r="J253" s="154" t="s">
        <v>94</v>
      </c>
      <c r="K253" s="154" t="s">
        <v>60</v>
      </c>
      <c r="L253" s="154" t="s">
        <v>1897</v>
      </c>
      <c r="M253" s="154" t="s">
        <v>1388</v>
      </c>
      <c r="N253" s="154" t="s">
        <v>61</v>
      </c>
      <c r="O253" s="154" t="s">
        <v>62</v>
      </c>
      <c r="P253" s="146">
        <v>5623.17</v>
      </c>
      <c r="Q253" s="146">
        <v>0.21</v>
      </c>
      <c r="R253" s="154" t="s">
        <v>1384</v>
      </c>
      <c r="S253" s="154" t="s">
        <v>1899</v>
      </c>
      <c r="T253" s="155" t="s">
        <v>768</v>
      </c>
      <c r="U253" s="155" t="s">
        <v>1899</v>
      </c>
      <c r="V253" s="154" t="s">
        <v>1904</v>
      </c>
      <c r="W253" s="154">
        <v>0</v>
      </c>
      <c r="X253" s="154" t="s">
        <v>63</v>
      </c>
      <c r="Y253" s="154" t="s">
        <v>1386</v>
      </c>
      <c r="Z253" s="154"/>
      <c r="AA253" s="154" t="s">
        <v>1387</v>
      </c>
      <c r="AB253" s="154">
        <v>0</v>
      </c>
      <c r="AC253" s="138">
        <f>IFERROR(IF(DATEDIF(#REF!,U253,"m")&lt;=1,1,IF(AND(DATEDIF(#REF!,U253,"m")&gt;1,DATEDIF(#REF!,U253,"m")&lt;12),2,IF(AND(DATEDIF(#REF!,U253,"m")&gt;=12,DATEDIF(#REF!,U253,"m")&lt;24),3,IF(DATEDIF(#REF!,U253,"m")&gt;=24,4,"")))),IF(E253="r0320 - Deposits, not covered and not preferential",1,4))</f>
        <v>4</v>
      </c>
    </row>
    <row r="254" spans="3:29" ht="48.75" thickBot="1" x14ac:dyDescent="0.3">
      <c r="C254" s="11">
        <v>999</v>
      </c>
      <c r="D254" s="154">
        <v>247</v>
      </c>
      <c r="E254" s="154" t="s">
        <v>1902</v>
      </c>
      <c r="F254" s="154" t="s">
        <v>83</v>
      </c>
      <c r="G254" s="154" t="s">
        <v>1903</v>
      </c>
      <c r="H254" s="154" t="s">
        <v>341</v>
      </c>
      <c r="I254" s="154" t="s">
        <v>101</v>
      </c>
      <c r="J254" s="154" t="s">
        <v>102</v>
      </c>
      <c r="K254" s="154" t="s">
        <v>60</v>
      </c>
      <c r="L254" s="154" t="s">
        <v>1897</v>
      </c>
      <c r="M254" s="154" t="s">
        <v>1388</v>
      </c>
      <c r="N254" s="154" t="s">
        <v>61</v>
      </c>
      <c r="O254" s="154" t="s">
        <v>62</v>
      </c>
      <c r="P254" s="146">
        <v>462713.96</v>
      </c>
      <c r="Q254" s="146">
        <v>177.01</v>
      </c>
      <c r="R254" s="154" t="s">
        <v>1384</v>
      </c>
      <c r="S254" s="154" t="s">
        <v>1899</v>
      </c>
      <c r="T254" s="155" t="s">
        <v>768</v>
      </c>
      <c r="U254" s="155" t="s">
        <v>1899</v>
      </c>
      <c r="V254" s="154" t="s">
        <v>1904</v>
      </c>
      <c r="W254" s="154">
        <v>0</v>
      </c>
      <c r="X254" s="154" t="s">
        <v>63</v>
      </c>
      <c r="Y254" s="154" t="s">
        <v>1386</v>
      </c>
      <c r="Z254" s="154"/>
      <c r="AA254" s="154" t="s">
        <v>1387</v>
      </c>
      <c r="AB254" s="154">
        <v>0</v>
      </c>
      <c r="AC254" s="138">
        <f>IFERROR(IF(DATEDIF(#REF!,U254,"m")&lt;=1,1,IF(AND(DATEDIF(#REF!,U254,"m")&gt;1,DATEDIF(#REF!,U254,"m")&lt;12),2,IF(AND(DATEDIF(#REF!,U254,"m")&gt;=12,DATEDIF(#REF!,U254,"m")&lt;24),3,IF(DATEDIF(#REF!,U254,"m")&gt;=24,4,"")))),IF(E254="r0320 - Deposits, not covered and not preferential",1,4))</f>
        <v>4</v>
      </c>
    </row>
    <row r="255" spans="3:29" ht="36.75" thickBot="1" x14ac:dyDescent="0.3">
      <c r="C255" s="11">
        <v>999</v>
      </c>
      <c r="D255" s="154">
        <v>248</v>
      </c>
      <c r="E255" s="154" t="s">
        <v>1898</v>
      </c>
      <c r="F255" s="154" t="s">
        <v>87</v>
      </c>
      <c r="G255" s="154" t="s">
        <v>1402</v>
      </c>
      <c r="H255" s="154" t="s">
        <v>545</v>
      </c>
      <c r="I255" s="154" t="s">
        <v>111</v>
      </c>
      <c r="J255" s="154" t="s">
        <v>90</v>
      </c>
      <c r="K255" s="154" t="s">
        <v>91</v>
      </c>
      <c r="L255" s="154" t="s">
        <v>1897</v>
      </c>
      <c r="M255" s="154" t="s">
        <v>1383</v>
      </c>
      <c r="N255" s="154" t="s">
        <v>61</v>
      </c>
      <c r="O255" s="154" t="s">
        <v>62</v>
      </c>
      <c r="P255" s="146">
        <v>6.57</v>
      </c>
      <c r="Q255" s="146">
        <v>0</v>
      </c>
      <c r="R255" s="154" t="s">
        <v>1384</v>
      </c>
      <c r="S255" s="154" t="s">
        <v>1899</v>
      </c>
      <c r="T255" s="155" t="s">
        <v>1899</v>
      </c>
      <c r="U255" s="155" t="s">
        <v>1899</v>
      </c>
      <c r="V255" s="154" t="s">
        <v>1562</v>
      </c>
      <c r="W255" s="154">
        <v>0</v>
      </c>
      <c r="X255" s="154" t="s">
        <v>63</v>
      </c>
      <c r="Y255" s="154" t="s">
        <v>1900</v>
      </c>
      <c r="Z255" s="154"/>
      <c r="AA255" s="154" t="s">
        <v>1387</v>
      </c>
      <c r="AB255" s="154">
        <v>0</v>
      </c>
      <c r="AC255" s="138">
        <f>IFERROR(IF(DATEDIF(#REF!,U255,"m")&lt;=1,1,IF(AND(DATEDIF(#REF!,U255,"m")&gt;1,DATEDIF(#REF!,U255,"m")&lt;12),2,IF(AND(DATEDIF(#REF!,U255,"m")&gt;=12,DATEDIF(#REF!,U255,"m")&lt;24),3,IF(DATEDIF(#REF!,U255,"m")&gt;=24,4,"")))),IF(E255="r0320 - Deposits, not covered and not preferential",1,4))</f>
        <v>4</v>
      </c>
    </row>
    <row r="256" spans="3:29" ht="36.75" thickBot="1" x14ac:dyDescent="0.3">
      <c r="C256" s="11">
        <v>999</v>
      </c>
      <c r="D256" s="154">
        <v>249</v>
      </c>
      <c r="E256" s="154" t="s">
        <v>1898</v>
      </c>
      <c r="F256" s="154" t="s">
        <v>87</v>
      </c>
      <c r="G256" s="154" t="s">
        <v>1402</v>
      </c>
      <c r="H256" s="154" t="s">
        <v>529</v>
      </c>
      <c r="I256" s="154" t="s">
        <v>111</v>
      </c>
      <c r="J256" s="154" t="s">
        <v>90</v>
      </c>
      <c r="K256" s="154" t="s">
        <v>91</v>
      </c>
      <c r="L256" s="154" t="s">
        <v>1897</v>
      </c>
      <c r="M256" s="154" t="s">
        <v>1383</v>
      </c>
      <c r="N256" s="154" t="s">
        <v>61</v>
      </c>
      <c r="O256" s="154" t="s">
        <v>62</v>
      </c>
      <c r="P256" s="146">
        <v>0.01</v>
      </c>
      <c r="Q256" s="146">
        <v>0</v>
      </c>
      <c r="R256" s="154" t="s">
        <v>1384</v>
      </c>
      <c r="S256" s="154" t="s">
        <v>1899</v>
      </c>
      <c r="T256" s="155" t="s">
        <v>1899</v>
      </c>
      <c r="U256" s="155" t="s">
        <v>1899</v>
      </c>
      <c r="V256" s="154" t="s">
        <v>1562</v>
      </c>
      <c r="W256" s="154">
        <v>0</v>
      </c>
      <c r="X256" s="154" t="s">
        <v>63</v>
      </c>
      <c r="Y256" s="154" t="s">
        <v>1900</v>
      </c>
      <c r="Z256" s="154"/>
      <c r="AA256" s="154" t="s">
        <v>1387</v>
      </c>
      <c r="AB256" s="154">
        <v>0</v>
      </c>
      <c r="AC256" s="138">
        <f>IFERROR(IF(DATEDIF(#REF!,U256,"m")&lt;=1,1,IF(AND(DATEDIF(#REF!,U256,"m")&gt;1,DATEDIF(#REF!,U256,"m")&lt;12),2,IF(AND(DATEDIF(#REF!,U256,"m")&gt;=12,DATEDIF(#REF!,U256,"m")&lt;24),3,IF(DATEDIF(#REF!,U256,"m")&gt;=24,4,"")))),IF(E256="r0320 - Deposits, not covered and not preferential",1,4))</f>
        <v>4</v>
      </c>
    </row>
    <row r="257" spans="3:29" ht="36.75" thickBot="1" x14ac:dyDescent="0.3">
      <c r="C257" s="11">
        <v>999</v>
      </c>
      <c r="D257" s="154">
        <v>250</v>
      </c>
      <c r="E257" s="154" t="s">
        <v>1898</v>
      </c>
      <c r="F257" s="154" t="s">
        <v>87</v>
      </c>
      <c r="G257" s="154" t="s">
        <v>1402</v>
      </c>
      <c r="H257" s="154" t="s">
        <v>909</v>
      </c>
      <c r="I257" s="154" t="s">
        <v>96</v>
      </c>
      <c r="J257" s="154" t="s">
        <v>97</v>
      </c>
      <c r="K257" s="154" t="s">
        <v>91</v>
      </c>
      <c r="L257" s="154" t="s">
        <v>1897</v>
      </c>
      <c r="M257" s="154" t="s">
        <v>1383</v>
      </c>
      <c r="N257" s="154" t="s">
        <v>61</v>
      </c>
      <c r="O257" s="154" t="s">
        <v>62</v>
      </c>
      <c r="P257" s="146">
        <v>0.37</v>
      </c>
      <c r="Q257" s="146">
        <v>0</v>
      </c>
      <c r="R257" s="154" t="s">
        <v>1384</v>
      </c>
      <c r="S257" s="154" t="s">
        <v>1899</v>
      </c>
      <c r="T257" s="155" t="s">
        <v>1899</v>
      </c>
      <c r="U257" s="155" t="s">
        <v>1899</v>
      </c>
      <c r="V257" s="154" t="s">
        <v>1562</v>
      </c>
      <c r="W257" s="154">
        <v>0</v>
      </c>
      <c r="X257" s="154" t="s">
        <v>63</v>
      </c>
      <c r="Y257" s="154" t="s">
        <v>1900</v>
      </c>
      <c r="Z257" s="154"/>
      <c r="AA257" s="154" t="s">
        <v>1387</v>
      </c>
      <c r="AB257" s="154">
        <v>0</v>
      </c>
      <c r="AC257" s="138">
        <f>IFERROR(IF(DATEDIF(#REF!,U257,"m")&lt;=1,1,IF(AND(DATEDIF(#REF!,U257,"m")&gt;1,DATEDIF(#REF!,U257,"m")&lt;12),2,IF(AND(DATEDIF(#REF!,U257,"m")&gt;=12,DATEDIF(#REF!,U257,"m")&lt;24),3,IF(DATEDIF(#REF!,U257,"m")&gt;=24,4,"")))),IF(E257="r0320 - Deposits, not covered and not preferential",1,4))</f>
        <v>4</v>
      </c>
    </row>
    <row r="258" spans="3:29" ht="36.75" thickBot="1" x14ac:dyDescent="0.3">
      <c r="C258" s="11">
        <v>999</v>
      </c>
      <c r="D258" s="154">
        <v>251</v>
      </c>
      <c r="E258" s="154" t="s">
        <v>1898</v>
      </c>
      <c r="F258" s="154" t="s">
        <v>87</v>
      </c>
      <c r="G258" s="154" t="s">
        <v>1402</v>
      </c>
      <c r="H258" s="154" t="s">
        <v>684</v>
      </c>
      <c r="I258" s="154" t="s">
        <v>108</v>
      </c>
      <c r="J258" s="154" t="s">
        <v>90</v>
      </c>
      <c r="K258" s="154" t="s">
        <v>91</v>
      </c>
      <c r="L258" s="154" t="s">
        <v>1897</v>
      </c>
      <c r="M258" s="154" t="s">
        <v>1383</v>
      </c>
      <c r="N258" s="154" t="s">
        <v>61</v>
      </c>
      <c r="O258" s="154" t="s">
        <v>62</v>
      </c>
      <c r="P258" s="146">
        <v>2.66</v>
      </c>
      <c r="Q258" s="146">
        <v>0</v>
      </c>
      <c r="R258" s="154" t="s">
        <v>1384</v>
      </c>
      <c r="S258" s="154" t="s">
        <v>1899</v>
      </c>
      <c r="T258" s="155" t="s">
        <v>1899</v>
      </c>
      <c r="U258" s="155" t="s">
        <v>1899</v>
      </c>
      <c r="V258" s="154" t="s">
        <v>1562</v>
      </c>
      <c r="W258" s="154">
        <v>0</v>
      </c>
      <c r="X258" s="154" t="s">
        <v>63</v>
      </c>
      <c r="Y258" s="154" t="s">
        <v>1900</v>
      </c>
      <c r="Z258" s="154"/>
      <c r="AA258" s="154" t="s">
        <v>1387</v>
      </c>
      <c r="AB258" s="154">
        <v>0</v>
      </c>
      <c r="AC258" s="138">
        <f>IFERROR(IF(DATEDIF(#REF!,U258,"m")&lt;=1,1,IF(AND(DATEDIF(#REF!,U258,"m")&gt;1,DATEDIF(#REF!,U258,"m")&lt;12),2,IF(AND(DATEDIF(#REF!,U258,"m")&gt;=12,DATEDIF(#REF!,U258,"m")&lt;24),3,IF(DATEDIF(#REF!,U258,"m")&gt;=24,4,"")))),IF(E258="r0320 - Deposits, not covered and not preferential",1,4))</f>
        <v>4</v>
      </c>
    </row>
    <row r="259" spans="3:29" ht="36.75" thickBot="1" x14ac:dyDescent="0.3">
      <c r="C259" s="11">
        <v>999</v>
      </c>
      <c r="D259" s="154">
        <v>252</v>
      </c>
      <c r="E259" s="154" t="s">
        <v>1898</v>
      </c>
      <c r="F259" s="154" t="s">
        <v>87</v>
      </c>
      <c r="G259" s="154" t="s">
        <v>1402</v>
      </c>
      <c r="H259" s="154" t="s">
        <v>915</v>
      </c>
      <c r="I259" s="154" t="s">
        <v>96</v>
      </c>
      <c r="J259" s="154" t="s">
        <v>97</v>
      </c>
      <c r="K259" s="154" t="s">
        <v>91</v>
      </c>
      <c r="L259" s="154" t="s">
        <v>1897</v>
      </c>
      <c r="M259" s="154" t="s">
        <v>1383</v>
      </c>
      <c r="N259" s="154" t="s">
        <v>61</v>
      </c>
      <c r="O259" s="154" t="s">
        <v>62</v>
      </c>
      <c r="P259" s="146">
        <v>0.22</v>
      </c>
      <c r="Q259" s="146">
        <v>0</v>
      </c>
      <c r="R259" s="154" t="s">
        <v>1384</v>
      </c>
      <c r="S259" s="154" t="s">
        <v>1899</v>
      </c>
      <c r="T259" s="155" t="s">
        <v>1899</v>
      </c>
      <c r="U259" s="155" t="s">
        <v>1899</v>
      </c>
      <c r="V259" s="154" t="s">
        <v>1562</v>
      </c>
      <c r="W259" s="154">
        <v>0</v>
      </c>
      <c r="X259" s="154" t="s">
        <v>63</v>
      </c>
      <c r="Y259" s="154" t="s">
        <v>1900</v>
      </c>
      <c r="Z259" s="154"/>
      <c r="AA259" s="154" t="s">
        <v>1387</v>
      </c>
      <c r="AB259" s="154">
        <v>0</v>
      </c>
      <c r="AC259" s="138">
        <f>IFERROR(IF(DATEDIF(#REF!,U259,"m")&lt;=1,1,IF(AND(DATEDIF(#REF!,U259,"m")&gt;1,DATEDIF(#REF!,U259,"m")&lt;12),2,IF(AND(DATEDIF(#REF!,U259,"m")&gt;=12,DATEDIF(#REF!,U259,"m")&lt;24),3,IF(DATEDIF(#REF!,U259,"m")&gt;=24,4,"")))),IF(E259="r0320 - Deposits, not covered and not preferential",1,4))</f>
        <v>4</v>
      </c>
    </row>
    <row r="260" spans="3:29" ht="48.75" thickBot="1" x14ac:dyDescent="0.3">
      <c r="C260" s="11">
        <v>999</v>
      </c>
      <c r="D260" s="154">
        <v>253</v>
      </c>
      <c r="E260" s="154" t="s">
        <v>1902</v>
      </c>
      <c r="F260" s="154" t="s">
        <v>83</v>
      </c>
      <c r="G260" s="154" t="s">
        <v>1903</v>
      </c>
      <c r="H260" s="154" t="s">
        <v>224</v>
      </c>
      <c r="I260" s="154" t="s">
        <v>101</v>
      </c>
      <c r="J260" s="154" t="s">
        <v>102</v>
      </c>
      <c r="K260" s="154" t="s">
        <v>60</v>
      </c>
      <c r="L260" s="154" t="s">
        <v>1897</v>
      </c>
      <c r="M260" s="154" t="s">
        <v>1388</v>
      </c>
      <c r="N260" s="154" t="s">
        <v>61</v>
      </c>
      <c r="O260" s="154" t="s">
        <v>62</v>
      </c>
      <c r="P260" s="146">
        <v>17459423.719999999</v>
      </c>
      <c r="Q260" s="146">
        <v>10070.77</v>
      </c>
      <c r="R260" s="154" t="s">
        <v>1384</v>
      </c>
      <c r="S260" s="154" t="s">
        <v>1899</v>
      </c>
      <c r="T260" s="155" t="s">
        <v>768</v>
      </c>
      <c r="U260" s="155" t="s">
        <v>1899</v>
      </c>
      <c r="V260" s="154" t="s">
        <v>1904</v>
      </c>
      <c r="W260" s="154">
        <v>0</v>
      </c>
      <c r="X260" s="154" t="s">
        <v>63</v>
      </c>
      <c r="Y260" s="154" t="s">
        <v>1386</v>
      </c>
      <c r="Z260" s="154"/>
      <c r="AA260" s="154" t="s">
        <v>1387</v>
      </c>
      <c r="AB260" s="154">
        <v>0</v>
      </c>
      <c r="AC260" s="138">
        <f>IFERROR(IF(DATEDIF(#REF!,U260,"m")&lt;=1,1,IF(AND(DATEDIF(#REF!,U260,"m")&gt;1,DATEDIF(#REF!,U260,"m")&lt;12),2,IF(AND(DATEDIF(#REF!,U260,"m")&gt;=12,DATEDIF(#REF!,U260,"m")&lt;24),3,IF(DATEDIF(#REF!,U260,"m")&gt;=24,4,"")))),IF(E260="r0320 - Deposits, not covered and not preferential",1,4))</f>
        <v>4</v>
      </c>
    </row>
    <row r="261" spans="3:29" ht="36.75" thickBot="1" x14ac:dyDescent="0.3">
      <c r="C261" s="11">
        <v>999</v>
      </c>
      <c r="D261" s="154">
        <v>254</v>
      </c>
      <c r="E261" s="154" t="s">
        <v>1898</v>
      </c>
      <c r="F261" s="154" t="s">
        <v>87</v>
      </c>
      <c r="G261" s="154" t="s">
        <v>1402</v>
      </c>
      <c r="H261" s="154" t="s">
        <v>921</v>
      </c>
      <c r="I261" s="154" t="s">
        <v>108</v>
      </c>
      <c r="J261" s="154" t="s">
        <v>90</v>
      </c>
      <c r="K261" s="154" t="s">
        <v>91</v>
      </c>
      <c r="L261" s="154" t="s">
        <v>1897</v>
      </c>
      <c r="M261" s="154" t="s">
        <v>1383</v>
      </c>
      <c r="N261" s="154" t="s">
        <v>61</v>
      </c>
      <c r="O261" s="154" t="s">
        <v>62</v>
      </c>
      <c r="P261" s="146">
        <v>5.93</v>
      </c>
      <c r="Q261" s="146">
        <v>0</v>
      </c>
      <c r="R261" s="154" t="s">
        <v>1384</v>
      </c>
      <c r="S261" s="154" t="s">
        <v>1899</v>
      </c>
      <c r="T261" s="155" t="s">
        <v>1899</v>
      </c>
      <c r="U261" s="155" t="s">
        <v>1899</v>
      </c>
      <c r="V261" s="154" t="s">
        <v>1562</v>
      </c>
      <c r="W261" s="154">
        <v>0</v>
      </c>
      <c r="X261" s="154" t="s">
        <v>63</v>
      </c>
      <c r="Y261" s="154" t="s">
        <v>1900</v>
      </c>
      <c r="Z261" s="154"/>
      <c r="AA261" s="154" t="s">
        <v>1387</v>
      </c>
      <c r="AB261" s="154">
        <v>0</v>
      </c>
      <c r="AC261" s="138">
        <f>IFERROR(IF(DATEDIF(#REF!,U261,"m")&lt;=1,1,IF(AND(DATEDIF(#REF!,U261,"m")&gt;1,DATEDIF(#REF!,U261,"m")&lt;12),2,IF(AND(DATEDIF(#REF!,U261,"m")&gt;=12,DATEDIF(#REF!,U261,"m")&lt;24),3,IF(DATEDIF(#REF!,U261,"m")&gt;=24,4,"")))),IF(E261="r0320 - Deposits, not covered and not preferential",1,4))</f>
        <v>4</v>
      </c>
    </row>
    <row r="262" spans="3:29" ht="48.75" thickBot="1" x14ac:dyDescent="0.3">
      <c r="C262" s="11">
        <v>999</v>
      </c>
      <c r="D262" s="154">
        <v>255</v>
      </c>
      <c r="E262" s="154" t="s">
        <v>1902</v>
      </c>
      <c r="F262" s="154" t="s">
        <v>83</v>
      </c>
      <c r="G262" s="154" t="s">
        <v>1903</v>
      </c>
      <c r="H262" s="154" t="s">
        <v>922</v>
      </c>
      <c r="I262" s="154" t="s">
        <v>101</v>
      </c>
      <c r="J262" s="154" t="s">
        <v>102</v>
      </c>
      <c r="K262" s="154" t="s">
        <v>60</v>
      </c>
      <c r="L262" s="154" t="s">
        <v>1897</v>
      </c>
      <c r="M262" s="154" t="s">
        <v>1388</v>
      </c>
      <c r="N262" s="154" t="s">
        <v>61</v>
      </c>
      <c r="O262" s="154" t="s">
        <v>62</v>
      </c>
      <c r="P262" s="146">
        <v>283657.89</v>
      </c>
      <c r="Q262" s="146">
        <v>69.17</v>
      </c>
      <c r="R262" s="154" t="s">
        <v>1384</v>
      </c>
      <c r="S262" s="154" t="s">
        <v>1899</v>
      </c>
      <c r="T262" s="155" t="s">
        <v>768</v>
      </c>
      <c r="U262" s="155" t="s">
        <v>1899</v>
      </c>
      <c r="V262" s="154" t="s">
        <v>1904</v>
      </c>
      <c r="W262" s="154">
        <v>0</v>
      </c>
      <c r="X262" s="154" t="s">
        <v>63</v>
      </c>
      <c r="Y262" s="154" t="s">
        <v>1386</v>
      </c>
      <c r="Z262" s="154"/>
      <c r="AA262" s="154" t="s">
        <v>1387</v>
      </c>
      <c r="AB262" s="154">
        <v>0</v>
      </c>
      <c r="AC262" s="138">
        <f>IFERROR(IF(DATEDIF(#REF!,U262,"m")&lt;=1,1,IF(AND(DATEDIF(#REF!,U262,"m")&gt;1,DATEDIF(#REF!,U262,"m")&lt;12),2,IF(AND(DATEDIF(#REF!,U262,"m")&gt;=12,DATEDIF(#REF!,U262,"m")&lt;24),3,IF(DATEDIF(#REF!,U262,"m")&gt;=24,4,"")))),IF(E262="r0320 - Deposits, not covered and not preferential",1,4))</f>
        <v>4</v>
      </c>
    </row>
    <row r="263" spans="3:29" ht="36.75" thickBot="1" x14ac:dyDescent="0.3">
      <c r="C263" s="11">
        <v>999</v>
      </c>
      <c r="D263" s="154">
        <v>256</v>
      </c>
      <c r="E263" s="154" t="s">
        <v>1898</v>
      </c>
      <c r="F263" s="154" t="s">
        <v>87</v>
      </c>
      <c r="G263" s="154" t="s">
        <v>1402</v>
      </c>
      <c r="H263" s="154" t="s">
        <v>344</v>
      </c>
      <c r="I263" s="154" t="s">
        <v>96</v>
      </c>
      <c r="J263" s="154" t="s">
        <v>97</v>
      </c>
      <c r="K263" s="154" t="s">
        <v>91</v>
      </c>
      <c r="L263" s="154" t="s">
        <v>1897</v>
      </c>
      <c r="M263" s="154" t="s">
        <v>1383</v>
      </c>
      <c r="N263" s="154" t="s">
        <v>61</v>
      </c>
      <c r="O263" s="154" t="s">
        <v>62</v>
      </c>
      <c r="P263" s="146">
        <v>132.52000000000001</v>
      </c>
      <c r="Q263" s="146">
        <v>0</v>
      </c>
      <c r="R263" s="154" t="s">
        <v>1384</v>
      </c>
      <c r="S263" s="154" t="s">
        <v>1899</v>
      </c>
      <c r="T263" s="155" t="s">
        <v>1899</v>
      </c>
      <c r="U263" s="155" t="s">
        <v>1899</v>
      </c>
      <c r="V263" s="154" t="s">
        <v>1562</v>
      </c>
      <c r="W263" s="154">
        <v>0</v>
      </c>
      <c r="X263" s="154" t="s">
        <v>63</v>
      </c>
      <c r="Y263" s="154" t="s">
        <v>1900</v>
      </c>
      <c r="Z263" s="154"/>
      <c r="AA263" s="154" t="s">
        <v>1387</v>
      </c>
      <c r="AB263" s="154">
        <v>0</v>
      </c>
      <c r="AC263" s="138">
        <f>IFERROR(IF(DATEDIF(#REF!,U263,"m")&lt;=1,1,IF(AND(DATEDIF(#REF!,U263,"m")&gt;1,DATEDIF(#REF!,U263,"m")&lt;12),2,IF(AND(DATEDIF(#REF!,U263,"m")&gt;=12,DATEDIF(#REF!,U263,"m")&lt;24),3,IF(DATEDIF(#REF!,U263,"m")&gt;=24,4,"")))),IF(E263="r0320 - Deposits, not covered and not preferential",1,4))</f>
        <v>4</v>
      </c>
    </row>
    <row r="264" spans="3:29" ht="36.75" thickBot="1" x14ac:dyDescent="0.3">
      <c r="C264" s="11">
        <v>999</v>
      </c>
      <c r="D264" s="154">
        <v>257</v>
      </c>
      <c r="E264" s="154" t="s">
        <v>1898</v>
      </c>
      <c r="F264" s="154" t="s">
        <v>87</v>
      </c>
      <c r="G264" s="154" t="s">
        <v>1402</v>
      </c>
      <c r="H264" s="154" t="s">
        <v>332</v>
      </c>
      <c r="I264" s="154" t="s">
        <v>89</v>
      </c>
      <c r="J264" s="154" t="s">
        <v>90</v>
      </c>
      <c r="K264" s="154" t="s">
        <v>91</v>
      </c>
      <c r="L264" s="154" t="s">
        <v>1901</v>
      </c>
      <c r="M264" s="154" t="s">
        <v>1383</v>
      </c>
      <c r="N264" s="154" t="s">
        <v>61</v>
      </c>
      <c r="O264" s="154" t="s">
        <v>62</v>
      </c>
      <c r="P264" s="146">
        <v>0.23</v>
      </c>
      <c r="Q264" s="146">
        <v>0</v>
      </c>
      <c r="R264" s="154" t="s">
        <v>1384</v>
      </c>
      <c r="S264" s="154" t="s">
        <v>1899</v>
      </c>
      <c r="T264" s="155" t="s">
        <v>1899</v>
      </c>
      <c r="U264" s="155" t="s">
        <v>1899</v>
      </c>
      <c r="V264" s="154" t="s">
        <v>1562</v>
      </c>
      <c r="W264" s="154">
        <v>0</v>
      </c>
      <c r="X264" s="154" t="s">
        <v>63</v>
      </c>
      <c r="Y264" s="154" t="s">
        <v>1900</v>
      </c>
      <c r="Z264" s="154"/>
      <c r="AA264" s="154" t="s">
        <v>1387</v>
      </c>
      <c r="AB264" s="154">
        <v>0</v>
      </c>
      <c r="AC264" s="138">
        <f>IFERROR(IF(DATEDIF(#REF!,U264,"m")&lt;=1,1,IF(AND(DATEDIF(#REF!,U264,"m")&gt;1,DATEDIF(#REF!,U264,"m")&lt;12),2,IF(AND(DATEDIF(#REF!,U264,"m")&gt;=12,DATEDIF(#REF!,U264,"m")&lt;24),3,IF(DATEDIF(#REF!,U264,"m")&gt;=24,4,"")))),IF(E264="r0320 - Deposits, not covered and not preferential",1,4))</f>
        <v>4</v>
      </c>
    </row>
    <row r="265" spans="3:29" ht="36.75" thickBot="1" x14ac:dyDescent="0.3">
      <c r="C265" s="11">
        <v>999</v>
      </c>
      <c r="D265" s="154">
        <v>258</v>
      </c>
      <c r="E265" s="154" t="s">
        <v>1898</v>
      </c>
      <c r="F265" s="154" t="s">
        <v>87</v>
      </c>
      <c r="G265" s="154" t="s">
        <v>1402</v>
      </c>
      <c r="H265" s="154" t="s">
        <v>564</v>
      </c>
      <c r="I265" s="154" t="s">
        <v>89</v>
      </c>
      <c r="J265" s="154" t="s">
        <v>90</v>
      </c>
      <c r="K265" s="154" t="s">
        <v>91</v>
      </c>
      <c r="L265" s="154" t="s">
        <v>1901</v>
      </c>
      <c r="M265" s="154" t="s">
        <v>1383</v>
      </c>
      <c r="N265" s="154" t="s">
        <v>61</v>
      </c>
      <c r="O265" s="154" t="s">
        <v>62</v>
      </c>
      <c r="P265" s="146">
        <v>0.12</v>
      </c>
      <c r="Q265" s="146">
        <v>0</v>
      </c>
      <c r="R265" s="154" t="s">
        <v>1384</v>
      </c>
      <c r="S265" s="154" t="s">
        <v>1899</v>
      </c>
      <c r="T265" s="155" t="s">
        <v>1899</v>
      </c>
      <c r="U265" s="155" t="s">
        <v>1899</v>
      </c>
      <c r="V265" s="154" t="s">
        <v>1562</v>
      </c>
      <c r="W265" s="154">
        <v>0</v>
      </c>
      <c r="X265" s="154" t="s">
        <v>63</v>
      </c>
      <c r="Y265" s="154" t="s">
        <v>1900</v>
      </c>
      <c r="Z265" s="154"/>
      <c r="AA265" s="154" t="s">
        <v>1387</v>
      </c>
      <c r="AB265" s="154">
        <v>0</v>
      </c>
      <c r="AC265" s="138">
        <f>IFERROR(IF(DATEDIF(#REF!,U265,"m")&lt;=1,1,IF(AND(DATEDIF(#REF!,U265,"m")&gt;1,DATEDIF(#REF!,U265,"m")&lt;12),2,IF(AND(DATEDIF(#REF!,U265,"m")&gt;=12,DATEDIF(#REF!,U265,"m")&lt;24),3,IF(DATEDIF(#REF!,U265,"m")&gt;=24,4,"")))),IF(E265="r0320 - Deposits, not covered and not preferential",1,4))</f>
        <v>4</v>
      </c>
    </row>
    <row r="266" spans="3:29" ht="36.75" thickBot="1" x14ac:dyDescent="0.3">
      <c r="C266" s="11">
        <v>999</v>
      </c>
      <c r="D266" s="154">
        <v>259</v>
      </c>
      <c r="E266" s="154" t="s">
        <v>1898</v>
      </c>
      <c r="F266" s="154" t="s">
        <v>87</v>
      </c>
      <c r="G266" s="154" t="s">
        <v>1402</v>
      </c>
      <c r="H266" s="154" t="s">
        <v>1040</v>
      </c>
      <c r="I266" s="154" t="s">
        <v>89</v>
      </c>
      <c r="J266" s="154" t="s">
        <v>90</v>
      </c>
      <c r="K266" s="154" t="s">
        <v>91</v>
      </c>
      <c r="L266" s="154" t="s">
        <v>1901</v>
      </c>
      <c r="M266" s="154" t="s">
        <v>1383</v>
      </c>
      <c r="N266" s="154" t="s">
        <v>61</v>
      </c>
      <c r="O266" s="154" t="s">
        <v>62</v>
      </c>
      <c r="P266" s="146">
        <v>0.27</v>
      </c>
      <c r="Q266" s="146">
        <v>0</v>
      </c>
      <c r="R266" s="154" t="s">
        <v>1384</v>
      </c>
      <c r="S266" s="154" t="s">
        <v>1899</v>
      </c>
      <c r="T266" s="155" t="s">
        <v>1899</v>
      </c>
      <c r="U266" s="155" t="s">
        <v>1899</v>
      </c>
      <c r="V266" s="154" t="s">
        <v>1562</v>
      </c>
      <c r="W266" s="154">
        <v>0</v>
      </c>
      <c r="X266" s="154" t="s">
        <v>63</v>
      </c>
      <c r="Y266" s="154" t="s">
        <v>1900</v>
      </c>
      <c r="Z266" s="154"/>
      <c r="AA266" s="154" t="s">
        <v>1387</v>
      </c>
      <c r="AB266" s="154">
        <v>0</v>
      </c>
      <c r="AC266" s="138">
        <f>IFERROR(IF(DATEDIF(#REF!,U266,"m")&lt;=1,1,IF(AND(DATEDIF(#REF!,U266,"m")&gt;1,DATEDIF(#REF!,U266,"m")&lt;12),2,IF(AND(DATEDIF(#REF!,U266,"m")&gt;=12,DATEDIF(#REF!,U266,"m")&lt;24),3,IF(DATEDIF(#REF!,U266,"m")&gt;=24,4,"")))),IF(E266="r0320 - Deposits, not covered and not preferential",1,4))</f>
        <v>4</v>
      </c>
    </row>
    <row r="267" spans="3:29" ht="36.75" thickBot="1" x14ac:dyDescent="0.3">
      <c r="C267" s="11">
        <v>999</v>
      </c>
      <c r="D267" s="154">
        <v>260</v>
      </c>
      <c r="E267" s="154" t="s">
        <v>1898</v>
      </c>
      <c r="F267" s="154" t="s">
        <v>87</v>
      </c>
      <c r="G267" s="154" t="s">
        <v>1402</v>
      </c>
      <c r="H267" s="154" t="s">
        <v>568</v>
      </c>
      <c r="I267" s="154" t="s">
        <v>89</v>
      </c>
      <c r="J267" s="154" t="s">
        <v>90</v>
      </c>
      <c r="K267" s="154" t="s">
        <v>91</v>
      </c>
      <c r="L267" s="154" t="s">
        <v>1901</v>
      </c>
      <c r="M267" s="154" t="s">
        <v>1383</v>
      </c>
      <c r="N267" s="154" t="s">
        <v>61</v>
      </c>
      <c r="O267" s="154" t="s">
        <v>62</v>
      </c>
      <c r="P267" s="146">
        <v>1.42</v>
      </c>
      <c r="Q267" s="146">
        <v>0</v>
      </c>
      <c r="R267" s="154" t="s">
        <v>1384</v>
      </c>
      <c r="S267" s="154" t="s">
        <v>1899</v>
      </c>
      <c r="T267" s="155" t="s">
        <v>1899</v>
      </c>
      <c r="U267" s="155" t="s">
        <v>1899</v>
      </c>
      <c r="V267" s="154" t="s">
        <v>1562</v>
      </c>
      <c r="W267" s="154">
        <v>0</v>
      </c>
      <c r="X267" s="154" t="s">
        <v>63</v>
      </c>
      <c r="Y267" s="154" t="s">
        <v>1900</v>
      </c>
      <c r="Z267" s="154"/>
      <c r="AA267" s="154" t="s">
        <v>1387</v>
      </c>
      <c r="AB267" s="154">
        <v>0</v>
      </c>
      <c r="AC267" s="138">
        <f>IFERROR(IF(DATEDIF(#REF!,U267,"m")&lt;=1,1,IF(AND(DATEDIF(#REF!,U267,"m")&gt;1,DATEDIF(#REF!,U267,"m")&lt;12),2,IF(AND(DATEDIF(#REF!,U267,"m")&gt;=12,DATEDIF(#REF!,U267,"m")&lt;24),3,IF(DATEDIF(#REF!,U267,"m")&gt;=24,4,"")))),IF(E267="r0320 - Deposits, not covered and not preferential",1,4))</f>
        <v>4</v>
      </c>
    </row>
    <row r="268" spans="3:29" ht="36.75" thickBot="1" x14ac:dyDescent="0.3">
      <c r="C268" s="11">
        <v>999</v>
      </c>
      <c r="D268" s="154">
        <v>261</v>
      </c>
      <c r="E268" s="154" t="s">
        <v>1898</v>
      </c>
      <c r="F268" s="154" t="s">
        <v>87</v>
      </c>
      <c r="G268" s="154" t="s">
        <v>1402</v>
      </c>
      <c r="H268" s="154" t="s">
        <v>916</v>
      </c>
      <c r="I268" s="154" t="s">
        <v>99</v>
      </c>
      <c r="J268" s="154" t="s">
        <v>90</v>
      </c>
      <c r="K268" s="154" t="s">
        <v>91</v>
      </c>
      <c r="L268" s="154" t="s">
        <v>1897</v>
      </c>
      <c r="M268" s="154" t="s">
        <v>1383</v>
      </c>
      <c r="N268" s="154" t="s">
        <v>61</v>
      </c>
      <c r="O268" s="154" t="s">
        <v>62</v>
      </c>
      <c r="P268" s="146">
        <v>0.01</v>
      </c>
      <c r="Q268" s="146">
        <v>0</v>
      </c>
      <c r="R268" s="154" t="s">
        <v>1384</v>
      </c>
      <c r="S268" s="154" t="s">
        <v>1899</v>
      </c>
      <c r="T268" s="155" t="s">
        <v>1899</v>
      </c>
      <c r="U268" s="155" t="s">
        <v>1899</v>
      </c>
      <c r="V268" s="154" t="s">
        <v>1562</v>
      </c>
      <c r="W268" s="154">
        <v>0</v>
      </c>
      <c r="X268" s="154" t="s">
        <v>63</v>
      </c>
      <c r="Y268" s="154" t="s">
        <v>1900</v>
      </c>
      <c r="Z268" s="154"/>
      <c r="AA268" s="154" t="s">
        <v>1387</v>
      </c>
      <c r="AB268" s="154">
        <v>0</v>
      </c>
      <c r="AC268" s="138">
        <f>IFERROR(IF(DATEDIF(#REF!,U268,"m")&lt;=1,1,IF(AND(DATEDIF(#REF!,U268,"m")&gt;1,DATEDIF(#REF!,U268,"m")&lt;12),2,IF(AND(DATEDIF(#REF!,U268,"m")&gt;=12,DATEDIF(#REF!,U268,"m")&lt;24),3,IF(DATEDIF(#REF!,U268,"m")&gt;=24,4,"")))),IF(E268="r0320 - Deposits, not covered and not preferential",1,4))</f>
        <v>4</v>
      </c>
    </row>
    <row r="269" spans="3:29" ht="36.75" thickBot="1" x14ac:dyDescent="0.3">
      <c r="C269" s="11">
        <v>999</v>
      </c>
      <c r="D269" s="154">
        <v>262</v>
      </c>
      <c r="E269" s="154" t="s">
        <v>1898</v>
      </c>
      <c r="F269" s="154" t="s">
        <v>87</v>
      </c>
      <c r="G269" s="154" t="s">
        <v>1402</v>
      </c>
      <c r="H269" s="154" t="s">
        <v>542</v>
      </c>
      <c r="I269" s="154" t="s">
        <v>96</v>
      </c>
      <c r="J269" s="154" t="s">
        <v>97</v>
      </c>
      <c r="K269" s="154" t="s">
        <v>91</v>
      </c>
      <c r="L269" s="154" t="s">
        <v>1897</v>
      </c>
      <c r="M269" s="154" t="s">
        <v>1383</v>
      </c>
      <c r="N269" s="154" t="s">
        <v>61</v>
      </c>
      <c r="O269" s="154" t="s">
        <v>62</v>
      </c>
      <c r="P269" s="146">
        <v>94.58</v>
      </c>
      <c r="Q269" s="146">
        <v>0</v>
      </c>
      <c r="R269" s="154" t="s">
        <v>1384</v>
      </c>
      <c r="S269" s="154" t="s">
        <v>1899</v>
      </c>
      <c r="T269" s="155" t="s">
        <v>1899</v>
      </c>
      <c r="U269" s="155" t="s">
        <v>1899</v>
      </c>
      <c r="V269" s="154" t="s">
        <v>1562</v>
      </c>
      <c r="W269" s="154">
        <v>0</v>
      </c>
      <c r="X269" s="154" t="s">
        <v>63</v>
      </c>
      <c r="Y269" s="154" t="s">
        <v>1900</v>
      </c>
      <c r="Z269" s="154"/>
      <c r="AA269" s="154" t="s">
        <v>1387</v>
      </c>
      <c r="AB269" s="154">
        <v>0</v>
      </c>
      <c r="AC269" s="138">
        <f>IFERROR(IF(DATEDIF(#REF!,U269,"m")&lt;=1,1,IF(AND(DATEDIF(#REF!,U269,"m")&gt;1,DATEDIF(#REF!,U269,"m")&lt;12),2,IF(AND(DATEDIF(#REF!,U269,"m")&gt;=12,DATEDIF(#REF!,U269,"m")&lt;24),3,IF(DATEDIF(#REF!,U269,"m")&gt;=24,4,"")))),IF(E269="r0320 - Deposits, not covered and not preferential",1,4))</f>
        <v>4</v>
      </c>
    </row>
    <row r="270" spans="3:29" ht="36.75" thickBot="1" x14ac:dyDescent="0.3">
      <c r="C270" s="11">
        <v>999</v>
      </c>
      <c r="D270" s="154">
        <v>263</v>
      </c>
      <c r="E270" s="154" t="s">
        <v>1898</v>
      </c>
      <c r="F270" s="154" t="s">
        <v>56</v>
      </c>
      <c r="G270" s="154" t="s">
        <v>1402</v>
      </c>
      <c r="H270" s="154" t="s">
        <v>985</v>
      </c>
      <c r="I270" s="154" t="s">
        <v>72</v>
      </c>
      <c r="J270" s="154" t="s">
        <v>73</v>
      </c>
      <c r="K270" s="154" t="s">
        <v>60</v>
      </c>
      <c r="L270" s="154" t="s">
        <v>1897</v>
      </c>
      <c r="M270" s="154" t="s">
        <v>1388</v>
      </c>
      <c r="N270" s="154" t="s">
        <v>61</v>
      </c>
      <c r="O270" s="154" t="s">
        <v>62</v>
      </c>
      <c r="P270" s="146">
        <v>4.95</v>
      </c>
      <c r="Q270" s="146">
        <v>0</v>
      </c>
      <c r="R270" s="154" t="s">
        <v>1384</v>
      </c>
      <c r="S270" s="154" t="s">
        <v>1899</v>
      </c>
      <c r="T270" s="155" t="s">
        <v>1899</v>
      </c>
      <c r="U270" s="155" t="s">
        <v>1899</v>
      </c>
      <c r="V270" s="154" t="s">
        <v>1562</v>
      </c>
      <c r="W270" s="154">
        <v>0</v>
      </c>
      <c r="X270" s="154" t="s">
        <v>63</v>
      </c>
      <c r="Y270" s="154" t="s">
        <v>1900</v>
      </c>
      <c r="Z270" s="154"/>
      <c r="AA270" s="154" t="s">
        <v>1387</v>
      </c>
      <c r="AB270" s="154">
        <v>0</v>
      </c>
      <c r="AC270" s="138">
        <f>IFERROR(IF(DATEDIF(#REF!,U270,"m")&lt;=1,1,IF(AND(DATEDIF(#REF!,U270,"m")&gt;1,DATEDIF(#REF!,U270,"m")&lt;12),2,IF(AND(DATEDIF(#REF!,U270,"m")&gt;=12,DATEDIF(#REF!,U270,"m")&lt;24),3,IF(DATEDIF(#REF!,U270,"m")&gt;=24,4,"")))),IF(E270="r0320 - Deposits, not covered and not preferential",1,4))</f>
        <v>4</v>
      </c>
    </row>
    <row r="271" spans="3:29" ht="36.75" thickBot="1" x14ac:dyDescent="0.3">
      <c r="C271" s="11">
        <v>999</v>
      </c>
      <c r="D271" s="154">
        <v>264</v>
      </c>
      <c r="E271" s="154" t="s">
        <v>1898</v>
      </c>
      <c r="F271" s="154" t="s">
        <v>87</v>
      </c>
      <c r="G271" s="154" t="s">
        <v>1402</v>
      </c>
      <c r="H271" s="154" t="s">
        <v>352</v>
      </c>
      <c r="I271" s="154" t="s">
        <v>96</v>
      </c>
      <c r="J271" s="154" t="s">
        <v>97</v>
      </c>
      <c r="K271" s="154" t="s">
        <v>91</v>
      </c>
      <c r="L271" s="154" t="s">
        <v>1897</v>
      </c>
      <c r="M271" s="154" t="s">
        <v>1383</v>
      </c>
      <c r="N271" s="154" t="s">
        <v>61</v>
      </c>
      <c r="O271" s="154" t="s">
        <v>62</v>
      </c>
      <c r="P271" s="146">
        <v>5.4</v>
      </c>
      <c r="Q271" s="146">
        <v>0</v>
      </c>
      <c r="R271" s="154" t="s">
        <v>1384</v>
      </c>
      <c r="S271" s="154" t="s">
        <v>1899</v>
      </c>
      <c r="T271" s="155" t="s">
        <v>1899</v>
      </c>
      <c r="U271" s="155" t="s">
        <v>1899</v>
      </c>
      <c r="V271" s="154" t="s">
        <v>1562</v>
      </c>
      <c r="W271" s="154">
        <v>0</v>
      </c>
      <c r="X271" s="154" t="s">
        <v>63</v>
      </c>
      <c r="Y271" s="154" t="s">
        <v>1900</v>
      </c>
      <c r="Z271" s="154"/>
      <c r="AA271" s="154" t="s">
        <v>1387</v>
      </c>
      <c r="AB271" s="154">
        <v>0</v>
      </c>
      <c r="AC271" s="138">
        <f>IFERROR(IF(DATEDIF(#REF!,U271,"m")&lt;=1,1,IF(AND(DATEDIF(#REF!,U271,"m")&gt;1,DATEDIF(#REF!,U271,"m")&lt;12),2,IF(AND(DATEDIF(#REF!,U271,"m")&gt;=12,DATEDIF(#REF!,U271,"m")&lt;24),3,IF(DATEDIF(#REF!,U271,"m")&gt;=24,4,"")))),IF(E271="r0320 - Deposits, not covered and not preferential",1,4))</f>
        <v>4</v>
      </c>
    </row>
    <row r="272" spans="3:29" ht="36.75" thickBot="1" x14ac:dyDescent="0.3">
      <c r="C272" s="11">
        <v>999</v>
      </c>
      <c r="D272" s="154">
        <v>265</v>
      </c>
      <c r="E272" s="154" t="s">
        <v>1898</v>
      </c>
      <c r="F272" s="154" t="s">
        <v>87</v>
      </c>
      <c r="G272" s="154" t="s">
        <v>1402</v>
      </c>
      <c r="H272" s="154" t="s">
        <v>230</v>
      </c>
      <c r="I272" s="154" t="s">
        <v>96</v>
      </c>
      <c r="J272" s="154" t="s">
        <v>97</v>
      </c>
      <c r="K272" s="154" t="s">
        <v>91</v>
      </c>
      <c r="L272" s="154" t="s">
        <v>1897</v>
      </c>
      <c r="M272" s="154" t="s">
        <v>1383</v>
      </c>
      <c r="N272" s="154" t="s">
        <v>61</v>
      </c>
      <c r="O272" s="154" t="s">
        <v>62</v>
      </c>
      <c r="P272" s="146">
        <v>4.66</v>
      </c>
      <c r="Q272" s="146">
        <v>0</v>
      </c>
      <c r="R272" s="154" t="s">
        <v>1384</v>
      </c>
      <c r="S272" s="154" t="s">
        <v>1899</v>
      </c>
      <c r="T272" s="155" t="s">
        <v>1899</v>
      </c>
      <c r="U272" s="155" t="s">
        <v>1899</v>
      </c>
      <c r="V272" s="154" t="s">
        <v>1562</v>
      </c>
      <c r="W272" s="154">
        <v>0</v>
      </c>
      <c r="X272" s="154" t="s">
        <v>63</v>
      </c>
      <c r="Y272" s="154" t="s">
        <v>1900</v>
      </c>
      <c r="Z272" s="154"/>
      <c r="AA272" s="154" t="s">
        <v>1387</v>
      </c>
      <c r="AB272" s="154">
        <v>0</v>
      </c>
      <c r="AC272" s="138">
        <f>IFERROR(IF(DATEDIF(#REF!,U272,"m")&lt;=1,1,IF(AND(DATEDIF(#REF!,U272,"m")&gt;1,DATEDIF(#REF!,U272,"m")&lt;12),2,IF(AND(DATEDIF(#REF!,U272,"m")&gt;=12,DATEDIF(#REF!,U272,"m")&lt;24),3,IF(DATEDIF(#REF!,U272,"m")&gt;=24,4,"")))),IF(E272="r0320 - Deposits, not covered and not preferential",1,4))</f>
        <v>4</v>
      </c>
    </row>
    <row r="273" spans="3:29" ht="36.75" thickBot="1" x14ac:dyDescent="0.3">
      <c r="C273" s="11">
        <v>999</v>
      </c>
      <c r="D273" s="154">
        <v>266</v>
      </c>
      <c r="E273" s="154" t="s">
        <v>1898</v>
      </c>
      <c r="F273" s="154" t="s">
        <v>87</v>
      </c>
      <c r="G273" s="154" t="s">
        <v>1402</v>
      </c>
      <c r="H273" s="154" t="s">
        <v>361</v>
      </c>
      <c r="I273" s="154" t="s">
        <v>89</v>
      </c>
      <c r="J273" s="154" t="s">
        <v>90</v>
      </c>
      <c r="K273" s="154" t="s">
        <v>91</v>
      </c>
      <c r="L273" s="154" t="s">
        <v>1901</v>
      </c>
      <c r="M273" s="154" t="s">
        <v>1383</v>
      </c>
      <c r="N273" s="154" t="s">
        <v>61</v>
      </c>
      <c r="O273" s="154" t="s">
        <v>62</v>
      </c>
      <c r="P273" s="146">
        <v>0.12</v>
      </c>
      <c r="Q273" s="146">
        <v>0</v>
      </c>
      <c r="R273" s="154" t="s">
        <v>1384</v>
      </c>
      <c r="S273" s="154" t="s">
        <v>1899</v>
      </c>
      <c r="T273" s="155" t="s">
        <v>1899</v>
      </c>
      <c r="U273" s="155" t="s">
        <v>1899</v>
      </c>
      <c r="V273" s="154" t="s">
        <v>1562</v>
      </c>
      <c r="W273" s="154">
        <v>0</v>
      </c>
      <c r="X273" s="154" t="s">
        <v>63</v>
      </c>
      <c r="Y273" s="154" t="s">
        <v>1900</v>
      </c>
      <c r="Z273" s="154"/>
      <c r="AA273" s="154" t="s">
        <v>1387</v>
      </c>
      <c r="AB273" s="154">
        <v>0</v>
      </c>
      <c r="AC273" s="138">
        <f>IFERROR(IF(DATEDIF(#REF!,U273,"m")&lt;=1,1,IF(AND(DATEDIF(#REF!,U273,"m")&gt;1,DATEDIF(#REF!,U273,"m")&lt;12),2,IF(AND(DATEDIF(#REF!,U273,"m")&gt;=12,DATEDIF(#REF!,U273,"m")&lt;24),3,IF(DATEDIF(#REF!,U273,"m")&gt;=24,4,"")))),IF(E273="r0320 - Deposits, not covered and not preferential",1,4))</f>
        <v>4</v>
      </c>
    </row>
    <row r="274" spans="3:29" ht="36.75" thickBot="1" x14ac:dyDescent="0.3">
      <c r="C274" s="11">
        <v>999</v>
      </c>
      <c r="D274" s="154">
        <v>267</v>
      </c>
      <c r="E274" s="154" t="s">
        <v>1898</v>
      </c>
      <c r="F274" s="154" t="s">
        <v>87</v>
      </c>
      <c r="G274" s="154" t="s">
        <v>1402</v>
      </c>
      <c r="H274" s="154" t="s">
        <v>954</v>
      </c>
      <c r="I274" s="154" t="s">
        <v>89</v>
      </c>
      <c r="J274" s="154" t="s">
        <v>90</v>
      </c>
      <c r="K274" s="154" t="s">
        <v>91</v>
      </c>
      <c r="L274" s="154" t="s">
        <v>1901</v>
      </c>
      <c r="M274" s="154" t="s">
        <v>1383</v>
      </c>
      <c r="N274" s="154" t="s">
        <v>61</v>
      </c>
      <c r="O274" s="154" t="s">
        <v>62</v>
      </c>
      <c r="P274" s="146">
        <v>0.12</v>
      </c>
      <c r="Q274" s="146">
        <v>0</v>
      </c>
      <c r="R274" s="154" t="s">
        <v>1384</v>
      </c>
      <c r="S274" s="154" t="s">
        <v>1899</v>
      </c>
      <c r="T274" s="155" t="s">
        <v>1899</v>
      </c>
      <c r="U274" s="155" t="s">
        <v>1899</v>
      </c>
      <c r="V274" s="154" t="s">
        <v>1562</v>
      </c>
      <c r="W274" s="154">
        <v>0</v>
      </c>
      <c r="X274" s="154" t="s">
        <v>63</v>
      </c>
      <c r="Y274" s="154" t="s">
        <v>1900</v>
      </c>
      <c r="Z274" s="154"/>
      <c r="AA274" s="154" t="s">
        <v>1387</v>
      </c>
      <c r="AB274" s="154">
        <v>0</v>
      </c>
      <c r="AC274" s="138">
        <f>IFERROR(IF(DATEDIF(#REF!,U274,"m")&lt;=1,1,IF(AND(DATEDIF(#REF!,U274,"m")&gt;1,DATEDIF(#REF!,U274,"m")&lt;12),2,IF(AND(DATEDIF(#REF!,U274,"m")&gt;=12,DATEDIF(#REF!,U274,"m")&lt;24),3,IF(DATEDIF(#REF!,U274,"m")&gt;=24,4,"")))),IF(E274="r0320 - Deposits, not covered and not preferential",1,4))</f>
        <v>4</v>
      </c>
    </row>
    <row r="275" spans="3:29" ht="36.75" thickBot="1" x14ac:dyDescent="0.3">
      <c r="C275" s="11">
        <v>999</v>
      </c>
      <c r="D275" s="154">
        <v>268</v>
      </c>
      <c r="E275" s="154" t="s">
        <v>1898</v>
      </c>
      <c r="F275" s="154" t="s">
        <v>87</v>
      </c>
      <c r="G275" s="154" t="s">
        <v>1402</v>
      </c>
      <c r="H275" s="154" t="s">
        <v>899</v>
      </c>
      <c r="I275" s="154" t="s">
        <v>96</v>
      </c>
      <c r="J275" s="154" t="s">
        <v>97</v>
      </c>
      <c r="K275" s="154" t="s">
        <v>91</v>
      </c>
      <c r="L275" s="154" t="s">
        <v>1897</v>
      </c>
      <c r="M275" s="154" t="s">
        <v>1383</v>
      </c>
      <c r="N275" s="154" t="s">
        <v>61</v>
      </c>
      <c r="O275" s="154" t="s">
        <v>62</v>
      </c>
      <c r="P275" s="146">
        <v>0.16</v>
      </c>
      <c r="Q275" s="146">
        <v>0</v>
      </c>
      <c r="R275" s="154" t="s">
        <v>1384</v>
      </c>
      <c r="S275" s="154" t="s">
        <v>1899</v>
      </c>
      <c r="T275" s="155" t="s">
        <v>1899</v>
      </c>
      <c r="U275" s="155" t="s">
        <v>1899</v>
      </c>
      <c r="V275" s="154" t="s">
        <v>1562</v>
      </c>
      <c r="W275" s="154">
        <v>0</v>
      </c>
      <c r="X275" s="154" t="s">
        <v>63</v>
      </c>
      <c r="Y275" s="154" t="s">
        <v>1900</v>
      </c>
      <c r="Z275" s="154"/>
      <c r="AA275" s="154" t="s">
        <v>1387</v>
      </c>
      <c r="AB275" s="154">
        <v>0</v>
      </c>
      <c r="AC275" s="138">
        <f>IFERROR(IF(DATEDIF(#REF!,U275,"m")&lt;=1,1,IF(AND(DATEDIF(#REF!,U275,"m")&gt;1,DATEDIF(#REF!,U275,"m")&lt;12),2,IF(AND(DATEDIF(#REF!,U275,"m")&gt;=12,DATEDIF(#REF!,U275,"m")&lt;24),3,IF(DATEDIF(#REF!,U275,"m")&gt;=24,4,"")))),IF(E275="r0320 - Deposits, not covered and not preferential",1,4))</f>
        <v>4</v>
      </c>
    </row>
    <row r="276" spans="3:29" ht="36.75" thickBot="1" x14ac:dyDescent="0.3">
      <c r="C276" s="11">
        <v>999</v>
      </c>
      <c r="D276" s="154">
        <v>269</v>
      </c>
      <c r="E276" s="154" t="s">
        <v>1898</v>
      </c>
      <c r="F276" s="154" t="s">
        <v>87</v>
      </c>
      <c r="G276" s="154" t="s">
        <v>1402</v>
      </c>
      <c r="H276" s="154" t="s">
        <v>961</v>
      </c>
      <c r="I276" s="154" t="s">
        <v>99</v>
      </c>
      <c r="J276" s="154" t="s">
        <v>90</v>
      </c>
      <c r="K276" s="154" t="s">
        <v>91</v>
      </c>
      <c r="L276" s="154" t="s">
        <v>1897</v>
      </c>
      <c r="M276" s="154" t="s">
        <v>1383</v>
      </c>
      <c r="N276" s="154" t="s">
        <v>61</v>
      </c>
      <c r="O276" s="154" t="s">
        <v>62</v>
      </c>
      <c r="P276" s="146">
        <v>0.44</v>
      </c>
      <c r="Q276" s="146">
        <v>0</v>
      </c>
      <c r="R276" s="154" t="s">
        <v>1384</v>
      </c>
      <c r="S276" s="154" t="s">
        <v>1899</v>
      </c>
      <c r="T276" s="155" t="s">
        <v>1899</v>
      </c>
      <c r="U276" s="155" t="s">
        <v>1899</v>
      </c>
      <c r="V276" s="154" t="s">
        <v>1562</v>
      </c>
      <c r="W276" s="154">
        <v>0</v>
      </c>
      <c r="X276" s="154" t="s">
        <v>63</v>
      </c>
      <c r="Y276" s="154" t="s">
        <v>1900</v>
      </c>
      <c r="Z276" s="154"/>
      <c r="AA276" s="154" t="s">
        <v>1387</v>
      </c>
      <c r="AB276" s="154">
        <v>0</v>
      </c>
      <c r="AC276" s="138">
        <f>IFERROR(IF(DATEDIF(#REF!,U276,"m")&lt;=1,1,IF(AND(DATEDIF(#REF!,U276,"m")&gt;1,DATEDIF(#REF!,U276,"m")&lt;12),2,IF(AND(DATEDIF(#REF!,U276,"m")&gt;=12,DATEDIF(#REF!,U276,"m")&lt;24),3,IF(DATEDIF(#REF!,U276,"m")&gt;=24,4,"")))),IF(E276="r0320 - Deposits, not covered and not preferential",1,4))</f>
        <v>4</v>
      </c>
    </row>
    <row r="277" spans="3:29" ht="36.75" thickBot="1" x14ac:dyDescent="0.3">
      <c r="C277" s="11">
        <v>999</v>
      </c>
      <c r="D277" s="154">
        <v>270</v>
      </c>
      <c r="E277" s="154" t="s">
        <v>1898</v>
      </c>
      <c r="F277" s="154" t="s">
        <v>56</v>
      </c>
      <c r="G277" s="154" t="s">
        <v>1402</v>
      </c>
      <c r="H277" s="154" t="s">
        <v>982</v>
      </c>
      <c r="I277" s="154" t="s">
        <v>72</v>
      </c>
      <c r="J277" s="154" t="s">
        <v>73</v>
      </c>
      <c r="K277" s="154" t="s">
        <v>60</v>
      </c>
      <c r="L277" s="154" t="s">
        <v>1897</v>
      </c>
      <c r="M277" s="154" t="s">
        <v>1388</v>
      </c>
      <c r="N277" s="154" t="s">
        <v>61</v>
      </c>
      <c r="O277" s="154" t="s">
        <v>62</v>
      </c>
      <c r="P277" s="146">
        <v>7.15</v>
      </c>
      <c r="Q277" s="146">
        <v>0</v>
      </c>
      <c r="R277" s="154" t="s">
        <v>1384</v>
      </c>
      <c r="S277" s="154" t="s">
        <v>1899</v>
      </c>
      <c r="T277" s="155" t="s">
        <v>1899</v>
      </c>
      <c r="U277" s="155" t="s">
        <v>1899</v>
      </c>
      <c r="V277" s="154" t="s">
        <v>1562</v>
      </c>
      <c r="W277" s="154">
        <v>0</v>
      </c>
      <c r="X277" s="154" t="s">
        <v>63</v>
      </c>
      <c r="Y277" s="154" t="s">
        <v>1900</v>
      </c>
      <c r="Z277" s="154"/>
      <c r="AA277" s="154" t="s">
        <v>1387</v>
      </c>
      <c r="AB277" s="154">
        <v>0</v>
      </c>
      <c r="AC277" s="138">
        <f>IFERROR(IF(DATEDIF(#REF!,U277,"m")&lt;=1,1,IF(AND(DATEDIF(#REF!,U277,"m")&gt;1,DATEDIF(#REF!,U277,"m")&lt;12),2,IF(AND(DATEDIF(#REF!,U277,"m")&gt;=12,DATEDIF(#REF!,U277,"m")&lt;24),3,IF(DATEDIF(#REF!,U277,"m")&gt;=24,4,"")))),IF(E277="r0320 - Deposits, not covered and not preferential",1,4))</f>
        <v>4</v>
      </c>
    </row>
    <row r="278" spans="3:29" ht="36.75" thickBot="1" x14ac:dyDescent="0.3">
      <c r="C278" s="11">
        <v>999</v>
      </c>
      <c r="D278" s="154">
        <v>271</v>
      </c>
      <c r="E278" s="154" t="s">
        <v>1898</v>
      </c>
      <c r="F278" s="154" t="s">
        <v>87</v>
      </c>
      <c r="G278" s="154" t="s">
        <v>1402</v>
      </c>
      <c r="H278" s="154" t="s">
        <v>968</v>
      </c>
      <c r="I278" s="154" t="s">
        <v>99</v>
      </c>
      <c r="J278" s="154" t="s">
        <v>90</v>
      </c>
      <c r="K278" s="154" t="s">
        <v>91</v>
      </c>
      <c r="L278" s="154" t="s">
        <v>1897</v>
      </c>
      <c r="M278" s="154" t="s">
        <v>1383</v>
      </c>
      <c r="N278" s="154" t="s">
        <v>61</v>
      </c>
      <c r="O278" s="154" t="s">
        <v>62</v>
      </c>
      <c r="P278" s="146">
        <v>0.18</v>
      </c>
      <c r="Q278" s="146">
        <v>0</v>
      </c>
      <c r="R278" s="154" t="s">
        <v>1384</v>
      </c>
      <c r="S278" s="154" t="s">
        <v>1899</v>
      </c>
      <c r="T278" s="155" t="s">
        <v>1899</v>
      </c>
      <c r="U278" s="155" t="s">
        <v>1899</v>
      </c>
      <c r="V278" s="154" t="s">
        <v>1562</v>
      </c>
      <c r="W278" s="154">
        <v>0</v>
      </c>
      <c r="X278" s="154" t="s">
        <v>63</v>
      </c>
      <c r="Y278" s="154" t="s">
        <v>1900</v>
      </c>
      <c r="Z278" s="154"/>
      <c r="AA278" s="154" t="s">
        <v>1387</v>
      </c>
      <c r="AB278" s="154">
        <v>0</v>
      </c>
      <c r="AC278" s="138">
        <f>IFERROR(IF(DATEDIF(#REF!,U278,"m")&lt;=1,1,IF(AND(DATEDIF(#REF!,U278,"m")&gt;1,DATEDIF(#REF!,U278,"m")&lt;12),2,IF(AND(DATEDIF(#REF!,U278,"m")&gt;=12,DATEDIF(#REF!,U278,"m")&lt;24),3,IF(DATEDIF(#REF!,U278,"m")&gt;=24,4,"")))),IF(E278="r0320 - Deposits, not covered and not preferential",1,4))</f>
        <v>4</v>
      </c>
    </row>
    <row r="279" spans="3:29" ht="36.75" thickBot="1" x14ac:dyDescent="0.3">
      <c r="C279" s="11">
        <v>999</v>
      </c>
      <c r="D279" s="154">
        <v>272</v>
      </c>
      <c r="E279" s="154" t="s">
        <v>1898</v>
      </c>
      <c r="F279" s="154" t="s">
        <v>87</v>
      </c>
      <c r="G279" s="154" t="s">
        <v>1402</v>
      </c>
      <c r="H279" s="154" t="s">
        <v>581</v>
      </c>
      <c r="I279" s="154" t="s">
        <v>108</v>
      </c>
      <c r="J279" s="154" t="s">
        <v>90</v>
      </c>
      <c r="K279" s="154" t="s">
        <v>91</v>
      </c>
      <c r="L279" s="154" t="s">
        <v>1897</v>
      </c>
      <c r="M279" s="154" t="s">
        <v>1383</v>
      </c>
      <c r="N279" s="154" t="s">
        <v>61</v>
      </c>
      <c r="O279" s="154" t="s">
        <v>62</v>
      </c>
      <c r="P279" s="146">
        <v>2.19</v>
      </c>
      <c r="Q279" s="146">
        <v>0</v>
      </c>
      <c r="R279" s="154" t="s">
        <v>1384</v>
      </c>
      <c r="S279" s="154" t="s">
        <v>1899</v>
      </c>
      <c r="T279" s="155" t="s">
        <v>1899</v>
      </c>
      <c r="U279" s="155" t="s">
        <v>1899</v>
      </c>
      <c r="V279" s="154" t="s">
        <v>1562</v>
      </c>
      <c r="W279" s="154">
        <v>0</v>
      </c>
      <c r="X279" s="154" t="s">
        <v>63</v>
      </c>
      <c r="Y279" s="154" t="s">
        <v>1900</v>
      </c>
      <c r="Z279" s="154"/>
      <c r="AA279" s="154" t="s">
        <v>1387</v>
      </c>
      <c r="AB279" s="154">
        <v>0</v>
      </c>
      <c r="AC279" s="138">
        <f>IFERROR(IF(DATEDIF(#REF!,U279,"m")&lt;=1,1,IF(AND(DATEDIF(#REF!,U279,"m")&gt;1,DATEDIF(#REF!,U279,"m")&lt;12),2,IF(AND(DATEDIF(#REF!,U279,"m")&gt;=12,DATEDIF(#REF!,U279,"m")&lt;24),3,IF(DATEDIF(#REF!,U279,"m")&gt;=24,4,"")))),IF(E279="r0320 - Deposits, not covered and not preferential",1,4))</f>
        <v>4</v>
      </c>
    </row>
    <row r="280" spans="3:29" ht="36.75" thickBot="1" x14ac:dyDescent="0.3">
      <c r="C280" s="11">
        <v>999</v>
      </c>
      <c r="D280" s="154">
        <v>273</v>
      </c>
      <c r="E280" s="154" t="s">
        <v>1898</v>
      </c>
      <c r="F280" s="154" t="s">
        <v>87</v>
      </c>
      <c r="G280" s="154" t="s">
        <v>1402</v>
      </c>
      <c r="H280" s="154" t="s">
        <v>976</v>
      </c>
      <c r="I280" s="154" t="s">
        <v>99</v>
      </c>
      <c r="J280" s="154" t="s">
        <v>90</v>
      </c>
      <c r="K280" s="154" t="s">
        <v>91</v>
      </c>
      <c r="L280" s="154" t="s">
        <v>1897</v>
      </c>
      <c r="M280" s="154" t="s">
        <v>1383</v>
      </c>
      <c r="N280" s="154" t="s">
        <v>61</v>
      </c>
      <c r="O280" s="154" t="s">
        <v>62</v>
      </c>
      <c r="P280" s="146">
        <v>0.01</v>
      </c>
      <c r="Q280" s="146">
        <v>0</v>
      </c>
      <c r="R280" s="154" t="s">
        <v>1384</v>
      </c>
      <c r="S280" s="154" t="s">
        <v>1899</v>
      </c>
      <c r="T280" s="155" t="s">
        <v>1899</v>
      </c>
      <c r="U280" s="155" t="s">
        <v>1899</v>
      </c>
      <c r="V280" s="154" t="s">
        <v>1562</v>
      </c>
      <c r="W280" s="154">
        <v>0</v>
      </c>
      <c r="X280" s="154" t="s">
        <v>63</v>
      </c>
      <c r="Y280" s="154" t="s">
        <v>1900</v>
      </c>
      <c r="Z280" s="154"/>
      <c r="AA280" s="154" t="s">
        <v>1387</v>
      </c>
      <c r="AB280" s="154">
        <v>0</v>
      </c>
      <c r="AC280" s="138">
        <f>IFERROR(IF(DATEDIF(#REF!,U280,"m")&lt;=1,1,IF(AND(DATEDIF(#REF!,U280,"m")&gt;1,DATEDIF(#REF!,U280,"m")&lt;12),2,IF(AND(DATEDIF(#REF!,U280,"m")&gt;=12,DATEDIF(#REF!,U280,"m")&lt;24),3,IF(DATEDIF(#REF!,U280,"m")&gt;=24,4,"")))),IF(E280="r0320 - Deposits, not covered and not preferential",1,4))</f>
        <v>4</v>
      </c>
    </row>
    <row r="281" spans="3:29" ht="48.75" thickBot="1" x14ac:dyDescent="0.3">
      <c r="C281" s="11">
        <v>999</v>
      </c>
      <c r="D281" s="154">
        <v>274</v>
      </c>
      <c r="E281" s="154" t="s">
        <v>1902</v>
      </c>
      <c r="F281" s="154" t="s">
        <v>83</v>
      </c>
      <c r="G281" s="154" t="s">
        <v>1903</v>
      </c>
      <c r="H281" s="154" t="s">
        <v>372</v>
      </c>
      <c r="I281" s="154" t="s">
        <v>101</v>
      </c>
      <c r="J281" s="154" t="s">
        <v>102</v>
      </c>
      <c r="K281" s="154" t="s">
        <v>60</v>
      </c>
      <c r="L281" s="154" t="s">
        <v>1897</v>
      </c>
      <c r="M281" s="154" t="s">
        <v>1388</v>
      </c>
      <c r="N281" s="154" t="s">
        <v>61</v>
      </c>
      <c r="O281" s="154" t="s">
        <v>62</v>
      </c>
      <c r="P281" s="146">
        <v>1152014.79</v>
      </c>
      <c r="Q281" s="146">
        <v>480.31</v>
      </c>
      <c r="R281" s="154" t="s">
        <v>1384</v>
      </c>
      <c r="S281" s="154" t="s">
        <v>1899</v>
      </c>
      <c r="T281" s="155" t="s">
        <v>768</v>
      </c>
      <c r="U281" s="155" t="s">
        <v>1899</v>
      </c>
      <c r="V281" s="154" t="s">
        <v>1904</v>
      </c>
      <c r="W281" s="154">
        <v>0</v>
      </c>
      <c r="X281" s="154" t="s">
        <v>63</v>
      </c>
      <c r="Y281" s="154" t="s">
        <v>1386</v>
      </c>
      <c r="Z281" s="154"/>
      <c r="AA281" s="154" t="s">
        <v>1387</v>
      </c>
      <c r="AB281" s="154">
        <v>0</v>
      </c>
      <c r="AC281" s="138">
        <f>IFERROR(IF(DATEDIF(#REF!,U281,"m")&lt;=1,1,IF(AND(DATEDIF(#REF!,U281,"m")&gt;1,DATEDIF(#REF!,U281,"m")&lt;12),2,IF(AND(DATEDIF(#REF!,U281,"m")&gt;=12,DATEDIF(#REF!,U281,"m")&lt;24),3,IF(DATEDIF(#REF!,U281,"m")&gt;=24,4,"")))),IF(E281="r0320 - Deposits, not covered and not preferential",1,4))</f>
        <v>4</v>
      </c>
    </row>
    <row r="282" spans="3:29" ht="36.75" thickBot="1" x14ac:dyDescent="0.3">
      <c r="C282" s="11">
        <v>999</v>
      </c>
      <c r="D282" s="154">
        <v>275</v>
      </c>
      <c r="E282" s="154" t="s">
        <v>1898</v>
      </c>
      <c r="F282" s="154" t="s">
        <v>56</v>
      </c>
      <c r="G282" s="154" t="s">
        <v>1402</v>
      </c>
      <c r="H282" s="154" t="s">
        <v>978</v>
      </c>
      <c r="I282" s="154" t="s">
        <v>72</v>
      </c>
      <c r="J282" s="154" t="s">
        <v>73</v>
      </c>
      <c r="K282" s="154" t="s">
        <v>60</v>
      </c>
      <c r="L282" s="154" t="s">
        <v>1897</v>
      </c>
      <c r="M282" s="154" t="s">
        <v>1388</v>
      </c>
      <c r="N282" s="154" t="s">
        <v>61</v>
      </c>
      <c r="O282" s="154" t="s">
        <v>62</v>
      </c>
      <c r="P282" s="146">
        <v>0.02</v>
      </c>
      <c r="Q282" s="146">
        <v>0</v>
      </c>
      <c r="R282" s="154" t="s">
        <v>1384</v>
      </c>
      <c r="S282" s="154" t="s">
        <v>1899</v>
      </c>
      <c r="T282" s="155" t="s">
        <v>1899</v>
      </c>
      <c r="U282" s="155" t="s">
        <v>1899</v>
      </c>
      <c r="V282" s="154" t="s">
        <v>1562</v>
      </c>
      <c r="W282" s="154">
        <v>0</v>
      </c>
      <c r="X282" s="154" t="s">
        <v>63</v>
      </c>
      <c r="Y282" s="154" t="s">
        <v>1900</v>
      </c>
      <c r="Z282" s="154"/>
      <c r="AA282" s="154" t="s">
        <v>1387</v>
      </c>
      <c r="AB282" s="154">
        <v>0</v>
      </c>
      <c r="AC282" s="138">
        <f>IFERROR(IF(DATEDIF(#REF!,U282,"m")&lt;=1,1,IF(AND(DATEDIF(#REF!,U282,"m")&gt;1,DATEDIF(#REF!,U282,"m")&lt;12),2,IF(AND(DATEDIF(#REF!,U282,"m")&gt;=12,DATEDIF(#REF!,U282,"m")&lt;24),3,IF(DATEDIF(#REF!,U282,"m")&gt;=24,4,"")))),IF(E282="r0320 - Deposits, not covered and not preferential",1,4))</f>
        <v>4</v>
      </c>
    </row>
    <row r="283" spans="3:29" ht="36.75" thickBot="1" x14ac:dyDescent="0.3">
      <c r="C283" s="11">
        <v>999</v>
      </c>
      <c r="D283" s="154">
        <v>276</v>
      </c>
      <c r="E283" s="154" t="s">
        <v>1898</v>
      </c>
      <c r="F283" s="154" t="s">
        <v>87</v>
      </c>
      <c r="G283" s="154" t="s">
        <v>1402</v>
      </c>
      <c r="H283" s="154" t="s">
        <v>969</v>
      </c>
      <c r="I283" s="154" t="s">
        <v>108</v>
      </c>
      <c r="J283" s="154" t="s">
        <v>90</v>
      </c>
      <c r="K283" s="154" t="s">
        <v>91</v>
      </c>
      <c r="L283" s="154" t="s">
        <v>1897</v>
      </c>
      <c r="M283" s="154" t="s">
        <v>1383</v>
      </c>
      <c r="N283" s="154" t="s">
        <v>61</v>
      </c>
      <c r="O283" s="154" t="s">
        <v>62</v>
      </c>
      <c r="P283" s="146">
        <v>0.99</v>
      </c>
      <c r="Q283" s="146">
        <v>0</v>
      </c>
      <c r="R283" s="154" t="s">
        <v>1384</v>
      </c>
      <c r="S283" s="154" t="s">
        <v>1899</v>
      </c>
      <c r="T283" s="155" t="s">
        <v>1899</v>
      </c>
      <c r="U283" s="155" t="s">
        <v>1899</v>
      </c>
      <c r="V283" s="154" t="s">
        <v>1562</v>
      </c>
      <c r="W283" s="154">
        <v>0</v>
      </c>
      <c r="X283" s="154" t="s">
        <v>63</v>
      </c>
      <c r="Y283" s="154" t="s">
        <v>1900</v>
      </c>
      <c r="Z283" s="154"/>
      <c r="AA283" s="154" t="s">
        <v>1387</v>
      </c>
      <c r="AB283" s="154">
        <v>0</v>
      </c>
      <c r="AC283" s="138">
        <f>IFERROR(IF(DATEDIF(#REF!,U283,"m")&lt;=1,1,IF(AND(DATEDIF(#REF!,U283,"m")&gt;1,DATEDIF(#REF!,U283,"m")&lt;12),2,IF(AND(DATEDIF(#REF!,U283,"m")&gt;=12,DATEDIF(#REF!,U283,"m")&lt;24),3,IF(DATEDIF(#REF!,U283,"m")&gt;=24,4,"")))),IF(E283="r0320 - Deposits, not covered and not preferential",1,4))</f>
        <v>4</v>
      </c>
    </row>
    <row r="284" spans="3:29" ht="36.75" thickBot="1" x14ac:dyDescent="0.3">
      <c r="C284" s="11">
        <v>999</v>
      </c>
      <c r="D284" s="154">
        <v>277</v>
      </c>
      <c r="E284" s="154" t="s">
        <v>1898</v>
      </c>
      <c r="F284" s="154" t="s">
        <v>56</v>
      </c>
      <c r="G284" s="154" t="s">
        <v>1402</v>
      </c>
      <c r="H284" s="154" t="s">
        <v>989</v>
      </c>
      <c r="I284" s="154" t="s">
        <v>72</v>
      </c>
      <c r="J284" s="154" t="s">
        <v>73</v>
      </c>
      <c r="K284" s="154" t="s">
        <v>60</v>
      </c>
      <c r="L284" s="154" t="s">
        <v>1897</v>
      </c>
      <c r="M284" s="154" t="s">
        <v>1388</v>
      </c>
      <c r="N284" s="154" t="s">
        <v>61</v>
      </c>
      <c r="O284" s="154" t="s">
        <v>62</v>
      </c>
      <c r="P284" s="146">
        <v>14.13</v>
      </c>
      <c r="Q284" s="146">
        <v>0</v>
      </c>
      <c r="R284" s="154" t="s">
        <v>1384</v>
      </c>
      <c r="S284" s="154" t="s">
        <v>1899</v>
      </c>
      <c r="T284" s="155" t="s">
        <v>1899</v>
      </c>
      <c r="U284" s="155" t="s">
        <v>1899</v>
      </c>
      <c r="V284" s="154" t="s">
        <v>1562</v>
      </c>
      <c r="W284" s="154">
        <v>0</v>
      </c>
      <c r="X284" s="154" t="s">
        <v>63</v>
      </c>
      <c r="Y284" s="154" t="s">
        <v>1900</v>
      </c>
      <c r="Z284" s="154"/>
      <c r="AA284" s="154" t="s">
        <v>1387</v>
      </c>
      <c r="AB284" s="154">
        <v>0</v>
      </c>
      <c r="AC284" s="138">
        <f>IFERROR(IF(DATEDIF(#REF!,U284,"m")&lt;=1,1,IF(AND(DATEDIF(#REF!,U284,"m")&gt;1,DATEDIF(#REF!,U284,"m")&lt;12),2,IF(AND(DATEDIF(#REF!,U284,"m")&gt;=12,DATEDIF(#REF!,U284,"m")&lt;24),3,IF(DATEDIF(#REF!,U284,"m")&gt;=24,4,"")))),IF(E284="r0320 - Deposits, not covered and not preferential",1,4))</f>
        <v>4</v>
      </c>
    </row>
    <row r="285" spans="3:29" ht="36.75" thickBot="1" x14ac:dyDescent="0.3">
      <c r="C285" s="11">
        <v>999</v>
      </c>
      <c r="D285" s="154">
        <v>278</v>
      </c>
      <c r="E285" s="154" t="s">
        <v>1898</v>
      </c>
      <c r="F285" s="154" t="s">
        <v>87</v>
      </c>
      <c r="G285" s="154" t="s">
        <v>1402</v>
      </c>
      <c r="H285" s="154" t="s">
        <v>1006</v>
      </c>
      <c r="I285" s="154" t="s">
        <v>99</v>
      </c>
      <c r="J285" s="154" t="s">
        <v>90</v>
      </c>
      <c r="K285" s="154" t="s">
        <v>91</v>
      </c>
      <c r="L285" s="154" t="s">
        <v>1897</v>
      </c>
      <c r="M285" s="154" t="s">
        <v>1383</v>
      </c>
      <c r="N285" s="154" t="s">
        <v>61</v>
      </c>
      <c r="O285" s="154" t="s">
        <v>62</v>
      </c>
      <c r="P285" s="146">
        <v>0.01</v>
      </c>
      <c r="Q285" s="146">
        <v>0</v>
      </c>
      <c r="R285" s="154" t="s">
        <v>1384</v>
      </c>
      <c r="S285" s="154" t="s">
        <v>1899</v>
      </c>
      <c r="T285" s="155" t="s">
        <v>1899</v>
      </c>
      <c r="U285" s="155" t="s">
        <v>1899</v>
      </c>
      <c r="V285" s="154" t="s">
        <v>1562</v>
      </c>
      <c r="W285" s="154">
        <v>0</v>
      </c>
      <c r="X285" s="154" t="s">
        <v>63</v>
      </c>
      <c r="Y285" s="154" t="s">
        <v>1900</v>
      </c>
      <c r="Z285" s="154"/>
      <c r="AA285" s="154" t="s">
        <v>1387</v>
      </c>
      <c r="AB285" s="154">
        <v>0</v>
      </c>
      <c r="AC285" s="138">
        <f>IFERROR(IF(DATEDIF(#REF!,U285,"m")&lt;=1,1,IF(AND(DATEDIF(#REF!,U285,"m")&gt;1,DATEDIF(#REF!,U285,"m")&lt;12),2,IF(AND(DATEDIF(#REF!,U285,"m")&gt;=12,DATEDIF(#REF!,U285,"m")&lt;24),3,IF(DATEDIF(#REF!,U285,"m")&gt;=24,4,"")))),IF(E285="r0320 - Deposits, not covered and not preferential",1,4))</f>
        <v>4</v>
      </c>
    </row>
    <row r="286" spans="3:29" ht="36.75" thickBot="1" x14ac:dyDescent="0.3">
      <c r="C286" s="11">
        <v>999</v>
      </c>
      <c r="D286" s="154">
        <v>279</v>
      </c>
      <c r="E286" s="154" t="s">
        <v>1898</v>
      </c>
      <c r="F286" s="154" t="s">
        <v>87</v>
      </c>
      <c r="G286" s="154" t="s">
        <v>1402</v>
      </c>
      <c r="H286" s="154" t="s">
        <v>603</v>
      </c>
      <c r="I286" s="154" t="s">
        <v>99</v>
      </c>
      <c r="J286" s="154" t="s">
        <v>90</v>
      </c>
      <c r="K286" s="154" t="s">
        <v>91</v>
      </c>
      <c r="L286" s="154" t="s">
        <v>1897</v>
      </c>
      <c r="M286" s="154" t="s">
        <v>1383</v>
      </c>
      <c r="N286" s="154" t="s">
        <v>61</v>
      </c>
      <c r="O286" s="154" t="s">
        <v>62</v>
      </c>
      <c r="P286" s="146">
        <v>0.02</v>
      </c>
      <c r="Q286" s="146">
        <v>0</v>
      </c>
      <c r="R286" s="154" t="s">
        <v>1384</v>
      </c>
      <c r="S286" s="154" t="s">
        <v>1899</v>
      </c>
      <c r="T286" s="155" t="s">
        <v>1899</v>
      </c>
      <c r="U286" s="155" t="s">
        <v>1899</v>
      </c>
      <c r="V286" s="154" t="s">
        <v>1562</v>
      </c>
      <c r="W286" s="154">
        <v>0</v>
      </c>
      <c r="X286" s="154" t="s">
        <v>63</v>
      </c>
      <c r="Y286" s="154" t="s">
        <v>1900</v>
      </c>
      <c r="Z286" s="154"/>
      <c r="AA286" s="154" t="s">
        <v>1387</v>
      </c>
      <c r="AB286" s="154">
        <v>0</v>
      </c>
      <c r="AC286" s="138">
        <f>IFERROR(IF(DATEDIF(#REF!,U286,"m")&lt;=1,1,IF(AND(DATEDIF(#REF!,U286,"m")&gt;1,DATEDIF(#REF!,U286,"m")&lt;12),2,IF(AND(DATEDIF(#REF!,U286,"m")&gt;=12,DATEDIF(#REF!,U286,"m")&lt;24),3,IF(DATEDIF(#REF!,U286,"m")&gt;=24,4,"")))),IF(E286="r0320 - Deposits, not covered and not preferential",1,4))</f>
        <v>4</v>
      </c>
    </row>
    <row r="287" spans="3:29" ht="36.75" thickBot="1" x14ac:dyDescent="0.3">
      <c r="C287" s="11">
        <v>999</v>
      </c>
      <c r="D287" s="154">
        <v>280</v>
      </c>
      <c r="E287" s="154" t="s">
        <v>1898</v>
      </c>
      <c r="F287" s="154" t="s">
        <v>56</v>
      </c>
      <c r="G287" s="154" t="s">
        <v>1402</v>
      </c>
      <c r="H287" s="154" t="s">
        <v>983</v>
      </c>
      <c r="I287" s="154" t="s">
        <v>66</v>
      </c>
      <c r="J287" s="154" t="s">
        <v>67</v>
      </c>
      <c r="K287" s="154" t="s">
        <v>60</v>
      </c>
      <c r="L287" s="154" t="s">
        <v>1897</v>
      </c>
      <c r="M287" s="154" t="s">
        <v>1383</v>
      </c>
      <c r="N287" s="154" t="s">
        <v>61</v>
      </c>
      <c r="O287" s="154" t="s">
        <v>62</v>
      </c>
      <c r="P287" s="146">
        <v>0.54</v>
      </c>
      <c r="Q287" s="146">
        <v>0</v>
      </c>
      <c r="R287" s="154" t="s">
        <v>1384</v>
      </c>
      <c r="S287" s="154" t="s">
        <v>1899</v>
      </c>
      <c r="T287" s="155" t="s">
        <v>1899</v>
      </c>
      <c r="U287" s="155" t="s">
        <v>1899</v>
      </c>
      <c r="V287" s="154" t="s">
        <v>1562</v>
      </c>
      <c r="W287" s="154">
        <v>0</v>
      </c>
      <c r="X287" s="154" t="s">
        <v>63</v>
      </c>
      <c r="Y287" s="154" t="s">
        <v>1900</v>
      </c>
      <c r="Z287" s="154"/>
      <c r="AA287" s="154" t="s">
        <v>1387</v>
      </c>
      <c r="AB287" s="154">
        <v>0</v>
      </c>
      <c r="AC287" s="138">
        <f>IFERROR(IF(DATEDIF(#REF!,U287,"m")&lt;=1,1,IF(AND(DATEDIF(#REF!,U287,"m")&gt;1,DATEDIF(#REF!,U287,"m")&lt;12),2,IF(AND(DATEDIF(#REF!,U287,"m")&gt;=12,DATEDIF(#REF!,U287,"m")&lt;24),3,IF(DATEDIF(#REF!,U287,"m")&gt;=24,4,"")))),IF(E287="r0320 - Deposits, not covered and not preferential",1,4))</f>
        <v>4</v>
      </c>
    </row>
    <row r="288" spans="3:29" ht="36.75" thickBot="1" x14ac:dyDescent="0.3">
      <c r="C288" s="11">
        <v>999</v>
      </c>
      <c r="D288" s="154">
        <v>281</v>
      </c>
      <c r="E288" s="154" t="s">
        <v>1898</v>
      </c>
      <c r="F288" s="154" t="s">
        <v>87</v>
      </c>
      <c r="G288" s="154" t="s">
        <v>1402</v>
      </c>
      <c r="H288" s="154" t="s">
        <v>606</v>
      </c>
      <c r="I288" s="154" t="s">
        <v>99</v>
      </c>
      <c r="J288" s="154" t="s">
        <v>90</v>
      </c>
      <c r="K288" s="154" t="s">
        <v>91</v>
      </c>
      <c r="L288" s="154" t="s">
        <v>1897</v>
      </c>
      <c r="M288" s="154" t="s">
        <v>1383</v>
      </c>
      <c r="N288" s="154" t="s">
        <v>61</v>
      </c>
      <c r="O288" s="154" t="s">
        <v>62</v>
      </c>
      <c r="P288" s="146">
        <v>0.02</v>
      </c>
      <c r="Q288" s="146">
        <v>0</v>
      </c>
      <c r="R288" s="154" t="s">
        <v>1384</v>
      </c>
      <c r="S288" s="154" t="s">
        <v>1899</v>
      </c>
      <c r="T288" s="155" t="s">
        <v>1899</v>
      </c>
      <c r="U288" s="155" t="s">
        <v>1899</v>
      </c>
      <c r="V288" s="154" t="s">
        <v>1562</v>
      </c>
      <c r="W288" s="154">
        <v>0</v>
      </c>
      <c r="X288" s="154" t="s">
        <v>63</v>
      </c>
      <c r="Y288" s="154" t="s">
        <v>1900</v>
      </c>
      <c r="Z288" s="154"/>
      <c r="AA288" s="154" t="s">
        <v>1387</v>
      </c>
      <c r="AB288" s="154">
        <v>0</v>
      </c>
      <c r="AC288" s="138">
        <f>IFERROR(IF(DATEDIF(#REF!,U288,"m")&lt;=1,1,IF(AND(DATEDIF(#REF!,U288,"m")&gt;1,DATEDIF(#REF!,U288,"m")&lt;12),2,IF(AND(DATEDIF(#REF!,U288,"m")&gt;=12,DATEDIF(#REF!,U288,"m")&lt;24),3,IF(DATEDIF(#REF!,U288,"m")&gt;=24,4,"")))),IF(E288="r0320 - Deposits, not covered and not preferential",1,4))</f>
        <v>4</v>
      </c>
    </row>
    <row r="289" spans="3:29" ht="36.75" thickBot="1" x14ac:dyDescent="0.3">
      <c r="C289" s="11">
        <v>999</v>
      </c>
      <c r="D289" s="154">
        <v>282</v>
      </c>
      <c r="E289" s="154" t="s">
        <v>1898</v>
      </c>
      <c r="F289" s="154" t="s">
        <v>87</v>
      </c>
      <c r="G289" s="154" t="s">
        <v>1402</v>
      </c>
      <c r="H289" s="154" t="s">
        <v>1075</v>
      </c>
      <c r="I289" s="154" t="s">
        <v>89</v>
      </c>
      <c r="J289" s="154" t="s">
        <v>90</v>
      </c>
      <c r="K289" s="154" t="s">
        <v>91</v>
      </c>
      <c r="L289" s="154" t="s">
        <v>1901</v>
      </c>
      <c r="M289" s="154" t="s">
        <v>1383</v>
      </c>
      <c r="N289" s="154" t="s">
        <v>61</v>
      </c>
      <c r="O289" s="154" t="s">
        <v>62</v>
      </c>
      <c r="P289" s="146">
        <v>0.12</v>
      </c>
      <c r="Q289" s="146">
        <v>0</v>
      </c>
      <c r="R289" s="154" t="s">
        <v>1384</v>
      </c>
      <c r="S289" s="154" t="s">
        <v>1899</v>
      </c>
      <c r="T289" s="155" t="s">
        <v>1899</v>
      </c>
      <c r="U289" s="155" t="s">
        <v>1899</v>
      </c>
      <c r="V289" s="154" t="s">
        <v>1562</v>
      </c>
      <c r="W289" s="154">
        <v>0</v>
      </c>
      <c r="X289" s="154" t="s">
        <v>63</v>
      </c>
      <c r="Y289" s="154" t="s">
        <v>1900</v>
      </c>
      <c r="Z289" s="154"/>
      <c r="AA289" s="154" t="s">
        <v>1387</v>
      </c>
      <c r="AB289" s="154">
        <v>0</v>
      </c>
      <c r="AC289" s="138">
        <f>IFERROR(IF(DATEDIF(#REF!,U289,"m")&lt;=1,1,IF(AND(DATEDIF(#REF!,U289,"m")&gt;1,DATEDIF(#REF!,U289,"m")&lt;12),2,IF(AND(DATEDIF(#REF!,U289,"m")&gt;=12,DATEDIF(#REF!,U289,"m")&lt;24),3,IF(DATEDIF(#REF!,U289,"m")&gt;=24,4,"")))),IF(E289="r0320 - Deposits, not covered and not preferential",1,4))</f>
        <v>4</v>
      </c>
    </row>
    <row r="290" spans="3:29" ht="36.75" thickBot="1" x14ac:dyDescent="0.3">
      <c r="C290" s="11">
        <v>999</v>
      </c>
      <c r="D290" s="154">
        <v>283</v>
      </c>
      <c r="E290" s="154" t="s">
        <v>1898</v>
      </c>
      <c r="F290" s="154" t="s">
        <v>87</v>
      </c>
      <c r="G290" s="154" t="s">
        <v>1402</v>
      </c>
      <c r="H290" s="154" t="s">
        <v>610</v>
      </c>
      <c r="I290" s="154" t="s">
        <v>99</v>
      </c>
      <c r="J290" s="154" t="s">
        <v>90</v>
      </c>
      <c r="K290" s="154" t="s">
        <v>91</v>
      </c>
      <c r="L290" s="154" t="s">
        <v>1897</v>
      </c>
      <c r="M290" s="154" t="s">
        <v>1383</v>
      </c>
      <c r="N290" s="154" t="s">
        <v>61</v>
      </c>
      <c r="O290" s="154" t="s">
        <v>62</v>
      </c>
      <c r="P290" s="146">
        <v>0.11</v>
      </c>
      <c r="Q290" s="146">
        <v>0</v>
      </c>
      <c r="R290" s="154" t="s">
        <v>1384</v>
      </c>
      <c r="S290" s="154" t="s">
        <v>1899</v>
      </c>
      <c r="T290" s="155" t="s">
        <v>1899</v>
      </c>
      <c r="U290" s="155" t="s">
        <v>1899</v>
      </c>
      <c r="V290" s="154" t="s">
        <v>1562</v>
      </c>
      <c r="W290" s="154">
        <v>0</v>
      </c>
      <c r="X290" s="154" t="s">
        <v>63</v>
      </c>
      <c r="Y290" s="154" t="s">
        <v>1900</v>
      </c>
      <c r="Z290" s="154"/>
      <c r="AA290" s="154" t="s">
        <v>1387</v>
      </c>
      <c r="AB290" s="154">
        <v>0</v>
      </c>
      <c r="AC290" s="138">
        <f>IFERROR(IF(DATEDIF(#REF!,U290,"m")&lt;=1,1,IF(AND(DATEDIF(#REF!,U290,"m")&gt;1,DATEDIF(#REF!,U290,"m")&lt;12),2,IF(AND(DATEDIF(#REF!,U290,"m")&gt;=12,DATEDIF(#REF!,U290,"m")&lt;24),3,IF(DATEDIF(#REF!,U290,"m")&gt;=24,4,"")))),IF(E290="r0320 - Deposits, not covered and not preferential",1,4))</f>
        <v>4</v>
      </c>
    </row>
    <row r="291" spans="3:29" ht="36.75" thickBot="1" x14ac:dyDescent="0.3">
      <c r="C291" s="11">
        <v>999</v>
      </c>
      <c r="D291" s="154">
        <v>284</v>
      </c>
      <c r="E291" s="154" t="s">
        <v>1898</v>
      </c>
      <c r="F291" s="154" t="s">
        <v>87</v>
      </c>
      <c r="G291" s="154" t="s">
        <v>1402</v>
      </c>
      <c r="H291" s="154" t="s">
        <v>996</v>
      </c>
      <c r="I291" s="154" t="s">
        <v>108</v>
      </c>
      <c r="J291" s="154" t="s">
        <v>90</v>
      </c>
      <c r="K291" s="154" t="s">
        <v>91</v>
      </c>
      <c r="L291" s="154" t="s">
        <v>1897</v>
      </c>
      <c r="M291" s="154" t="s">
        <v>1383</v>
      </c>
      <c r="N291" s="154" t="s">
        <v>61</v>
      </c>
      <c r="O291" s="154" t="s">
        <v>62</v>
      </c>
      <c r="P291" s="146">
        <v>1.1299999999999999</v>
      </c>
      <c r="Q291" s="146">
        <v>0</v>
      </c>
      <c r="R291" s="154" t="s">
        <v>1384</v>
      </c>
      <c r="S291" s="154" t="s">
        <v>1899</v>
      </c>
      <c r="T291" s="155" t="s">
        <v>1899</v>
      </c>
      <c r="U291" s="155" t="s">
        <v>1899</v>
      </c>
      <c r="V291" s="154" t="s">
        <v>1562</v>
      </c>
      <c r="W291" s="154">
        <v>0</v>
      </c>
      <c r="X291" s="154" t="s">
        <v>63</v>
      </c>
      <c r="Y291" s="154" t="s">
        <v>1900</v>
      </c>
      <c r="Z291" s="154"/>
      <c r="AA291" s="154" t="s">
        <v>1387</v>
      </c>
      <c r="AB291" s="154">
        <v>0</v>
      </c>
      <c r="AC291" s="138">
        <f>IFERROR(IF(DATEDIF(#REF!,U291,"m")&lt;=1,1,IF(AND(DATEDIF(#REF!,U291,"m")&gt;1,DATEDIF(#REF!,U291,"m")&lt;12),2,IF(AND(DATEDIF(#REF!,U291,"m")&gt;=12,DATEDIF(#REF!,U291,"m")&lt;24),3,IF(DATEDIF(#REF!,U291,"m")&gt;=24,4,"")))),IF(E291="r0320 - Deposits, not covered and not preferential",1,4))</f>
        <v>4</v>
      </c>
    </row>
    <row r="292" spans="3:29" ht="36.75" thickBot="1" x14ac:dyDescent="0.3">
      <c r="C292" s="11">
        <v>999</v>
      </c>
      <c r="D292" s="154">
        <v>285</v>
      </c>
      <c r="E292" s="154" t="s">
        <v>1898</v>
      </c>
      <c r="F292" s="154" t="s">
        <v>87</v>
      </c>
      <c r="G292" s="154" t="s">
        <v>1402</v>
      </c>
      <c r="H292" s="154" t="s">
        <v>614</v>
      </c>
      <c r="I292" s="154" t="s">
        <v>99</v>
      </c>
      <c r="J292" s="154" t="s">
        <v>90</v>
      </c>
      <c r="K292" s="154" t="s">
        <v>91</v>
      </c>
      <c r="L292" s="154" t="s">
        <v>1897</v>
      </c>
      <c r="M292" s="154" t="s">
        <v>1383</v>
      </c>
      <c r="N292" s="154" t="s">
        <v>61</v>
      </c>
      <c r="O292" s="154" t="s">
        <v>62</v>
      </c>
      <c r="P292" s="146">
        <v>0.14000000000000001</v>
      </c>
      <c r="Q292" s="146">
        <v>0</v>
      </c>
      <c r="R292" s="154" t="s">
        <v>1384</v>
      </c>
      <c r="S292" s="154" t="s">
        <v>1899</v>
      </c>
      <c r="T292" s="155" t="s">
        <v>1899</v>
      </c>
      <c r="U292" s="155" t="s">
        <v>1899</v>
      </c>
      <c r="V292" s="154" t="s">
        <v>1562</v>
      </c>
      <c r="W292" s="154">
        <v>0</v>
      </c>
      <c r="X292" s="154" t="s">
        <v>63</v>
      </c>
      <c r="Y292" s="154" t="s">
        <v>1900</v>
      </c>
      <c r="Z292" s="154"/>
      <c r="AA292" s="154" t="s">
        <v>1387</v>
      </c>
      <c r="AB292" s="154">
        <v>0</v>
      </c>
      <c r="AC292" s="138">
        <f>IFERROR(IF(DATEDIF(#REF!,U292,"m")&lt;=1,1,IF(AND(DATEDIF(#REF!,U292,"m")&gt;1,DATEDIF(#REF!,U292,"m")&lt;12),2,IF(AND(DATEDIF(#REF!,U292,"m")&gt;=12,DATEDIF(#REF!,U292,"m")&lt;24),3,IF(DATEDIF(#REF!,U292,"m")&gt;=24,4,"")))),IF(E292="r0320 - Deposits, not covered and not preferential",1,4))</f>
        <v>4</v>
      </c>
    </row>
    <row r="293" spans="3:29" ht="36.75" thickBot="1" x14ac:dyDescent="0.3">
      <c r="C293" s="11">
        <v>999</v>
      </c>
      <c r="D293" s="154">
        <v>286</v>
      </c>
      <c r="E293" s="154" t="s">
        <v>1898</v>
      </c>
      <c r="F293" s="154" t="s">
        <v>87</v>
      </c>
      <c r="G293" s="154" t="s">
        <v>1402</v>
      </c>
      <c r="H293" s="154" t="s">
        <v>1030</v>
      </c>
      <c r="I293" s="154" t="s">
        <v>89</v>
      </c>
      <c r="J293" s="154" t="s">
        <v>90</v>
      </c>
      <c r="K293" s="154" t="s">
        <v>91</v>
      </c>
      <c r="L293" s="154" t="s">
        <v>1901</v>
      </c>
      <c r="M293" s="154" t="s">
        <v>1383</v>
      </c>
      <c r="N293" s="154" t="s">
        <v>61</v>
      </c>
      <c r="O293" s="154" t="s">
        <v>62</v>
      </c>
      <c r="P293" s="146">
        <v>0.21</v>
      </c>
      <c r="Q293" s="146">
        <v>0</v>
      </c>
      <c r="R293" s="154" t="s">
        <v>1384</v>
      </c>
      <c r="S293" s="154" t="s">
        <v>1899</v>
      </c>
      <c r="T293" s="155" t="s">
        <v>1899</v>
      </c>
      <c r="U293" s="155" t="s">
        <v>1899</v>
      </c>
      <c r="V293" s="154" t="s">
        <v>1562</v>
      </c>
      <c r="W293" s="154">
        <v>0</v>
      </c>
      <c r="X293" s="154" t="s">
        <v>63</v>
      </c>
      <c r="Y293" s="154" t="s">
        <v>1900</v>
      </c>
      <c r="Z293" s="154"/>
      <c r="AA293" s="154" t="s">
        <v>1387</v>
      </c>
      <c r="AB293" s="154">
        <v>0</v>
      </c>
      <c r="AC293" s="138">
        <f>IFERROR(IF(DATEDIF(#REF!,U293,"m")&lt;=1,1,IF(AND(DATEDIF(#REF!,U293,"m")&gt;1,DATEDIF(#REF!,U293,"m")&lt;12),2,IF(AND(DATEDIF(#REF!,U293,"m")&gt;=12,DATEDIF(#REF!,U293,"m")&lt;24),3,IF(DATEDIF(#REF!,U293,"m")&gt;=24,4,"")))),IF(E293="r0320 - Deposits, not covered and not preferential",1,4))</f>
        <v>4</v>
      </c>
    </row>
    <row r="294" spans="3:29" ht="36.75" thickBot="1" x14ac:dyDescent="0.3">
      <c r="C294" s="11">
        <v>999</v>
      </c>
      <c r="D294" s="154">
        <v>287</v>
      </c>
      <c r="E294" s="154" t="s">
        <v>1898</v>
      </c>
      <c r="F294" s="154" t="s">
        <v>87</v>
      </c>
      <c r="G294" s="154" t="s">
        <v>1402</v>
      </c>
      <c r="H294" s="154" t="s">
        <v>618</v>
      </c>
      <c r="I294" s="154" t="s">
        <v>89</v>
      </c>
      <c r="J294" s="154" t="s">
        <v>90</v>
      </c>
      <c r="K294" s="154" t="s">
        <v>91</v>
      </c>
      <c r="L294" s="154" t="s">
        <v>1901</v>
      </c>
      <c r="M294" s="154" t="s">
        <v>1383</v>
      </c>
      <c r="N294" s="154" t="s">
        <v>61</v>
      </c>
      <c r="O294" s="154" t="s">
        <v>62</v>
      </c>
      <c r="P294" s="146">
        <v>0.73</v>
      </c>
      <c r="Q294" s="146">
        <v>0</v>
      </c>
      <c r="R294" s="154" t="s">
        <v>1384</v>
      </c>
      <c r="S294" s="154" t="s">
        <v>1899</v>
      </c>
      <c r="T294" s="155" t="s">
        <v>1899</v>
      </c>
      <c r="U294" s="155" t="s">
        <v>1899</v>
      </c>
      <c r="V294" s="154" t="s">
        <v>1562</v>
      </c>
      <c r="W294" s="154">
        <v>0</v>
      </c>
      <c r="X294" s="154" t="s">
        <v>63</v>
      </c>
      <c r="Y294" s="154" t="s">
        <v>1900</v>
      </c>
      <c r="Z294" s="154"/>
      <c r="AA294" s="154" t="s">
        <v>1387</v>
      </c>
      <c r="AB294" s="154">
        <v>0</v>
      </c>
      <c r="AC294" s="138">
        <f>IFERROR(IF(DATEDIF(#REF!,U294,"m")&lt;=1,1,IF(AND(DATEDIF(#REF!,U294,"m")&gt;1,DATEDIF(#REF!,U294,"m")&lt;12),2,IF(AND(DATEDIF(#REF!,U294,"m")&gt;=12,DATEDIF(#REF!,U294,"m")&lt;24),3,IF(DATEDIF(#REF!,U294,"m")&gt;=24,4,"")))),IF(E294="r0320 - Deposits, not covered and not preferential",1,4))</f>
        <v>4</v>
      </c>
    </row>
    <row r="295" spans="3:29" ht="36.75" thickBot="1" x14ac:dyDescent="0.3">
      <c r="C295" s="11">
        <v>999</v>
      </c>
      <c r="D295" s="154">
        <v>288</v>
      </c>
      <c r="E295" s="154" t="s">
        <v>1898</v>
      </c>
      <c r="F295" s="154" t="s">
        <v>56</v>
      </c>
      <c r="G295" s="154" t="s">
        <v>1402</v>
      </c>
      <c r="H295" s="154" t="s">
        <v>1008</v>
      </c>
      <c r="I295" s="154" t="s">
        <v>66</v>
      </c>
      <c r="J295" s="154" t="s">
        <v>67</v>
      </c>
      <c r="K295" s="154" t="s">
        <v>60</v>
      </c>
      <c r="L295" s="154" t="s">
        <v>1897</v>
      </c>
      <c r="M295" s="154" t="s">
        <v>1383</v>
      </c>
      <c r="N295" s="154" t="s">
        <v>61</v>
      </c>
      <c r="O295" s="154" t="s">
        <v>62</v>
      </c>
      <c r="P295" s="146">
        <v>0.59</v>
      </c>
      <c r="Q295" s="146">
        <v>0</v>
      </c>
      <c r="R295" s="154" t="s">
        <v>1384</v>
      </c>
      <c r="S295" s="154" t="s">
        <v>1899</v>
      </c>
      <c r="T295" s="155" t="s">
        <v>1899</v>
      </c>
      <c r="U295" s="155" t="s">
        <v>1899</v>
      </c>
      <c r="V295" s="154" t="s">
        <v>1562</v>
      </c>
      <c r="W295" s="154">
        <v>0</v>
      </c>
      <c r="X295" s="154" t="s">
        <v>63</v>
      </c>
      <c r="Y295" s="154" t="s">
        <v>1900</v>
      </c>
      <c r="Z295" s="154"/>
      <c r="AA295" s="154" t="s">
        <v>1387</v>
      </c>
      <c r="AB295" s="154">
        <v>0</v>
      </c>
      <c r="AC295" s="138">
        <f>IFERROR(IF(DATEDIF(#REF!,U295,"m")&lt;=1,1,IF(AND(DATEDIF(#REF!,U295,"m")&gt;1,DATEDIF(#REF!,U295,"m")&lt;12),2,IF(AND(DATEDIF(#REF!,U295,"m")&gt;=12,DATEDIF(#REF!,U295,"m")&lt;24),3,IF(DATEDIF(#REF!,U295,"m")&gt;=24,4,"")))),IF(E295="r0320 - Deposits, not covered and not preferential",1,4))</f>
        <v>4</v>
      </c>
    </row>
    <row r="296" spans="3:29" ht="36.75" thickBot="1" x14ac:dyDescent="0.3">
      <c r="C296" s="11">
        <v>999</v>
      </c>
      <c r="D296" s="154">
        <v>289</v>
      </c>
      <c r="E296" s="154" t="s">
        <v>1898</v>
      </c>
      <c r="F296" s="154" t="s">
        <v>87</v>
      </c>
      <c r="G296" s="154" t="s">
        <v>1402</v>
      </c>
      <c r="H296" s="154" t="s">
        <v>621</v>
      </c>
      <c r="I296" s="154" t="s">
        <v>89</v>
      </c>
      <c r="J296" s="154" t="s">
        <v>90</v>
      </c>
      <c r="K296" s="154" t="s">
        <v>91</v>
      </c>
      <c r="L296" s="154" t="s">
        <v>1901</v>
      </c>
      <c r="M296" s="154" t="s">
        <v>1383</v>
      </c>
      <c r="N296" s="154" t="s">
        <v>61</v>
      </c>
      <c r="O296" s="154" t="s">
        <v>62</v>
      </c>
      <c r="P296" s="146">
        <v>0.04</v>
      </c>
      <c r="Q296" s="146">
        <v>0</v>
      </c>
      <c r="R296" s="154" t="s">
        <v>1384</v>
      </c>
      <c r="S296" s="154" t="s">
        <v>1899</v>
      </c>
      <c r="T296" s="155" t="s">
        <v>1899</v>
      </c>
      <c r="U296" s="155" t="s">
        <v>1899</v>
      </c>
      <c r="V296" s="154" t="s">
        <v>1562</v>
      </c>
      <c r="W296" s="154">
        <v>0</v>
      </c>
      <c r="X296" s="154" t="s">
        <v>63</v>
      </c>
      <c r="Y296" s="154" t="s">
        <v>1900</v>
      </c>
      <c r="Z296" s="154"/>
      <c r="AA296" s="154" t="s">
        <v>1387</v>
      </c>
      <c r="AB296" s="154">
        <v>0</v>
      </c>
      <c r="AC296" s="138">
        <f>IFERROR(IF(DATEDIF(#REF!,U296,"m")&lt;=1,1,IF(AND(DATEDIF(#REF!,U296,"m")&gt;1,DATEDIF(#REF!,U296,"m")&lt;12),2,IF(AND(DATEDIF(#REF!,U296,"m")&gt;=12,DATEDIF(#REF!,U296,"m")&lt;24),3,IF(DATEDIF(#REF!,U296,"m")&gt;=24,4,"")))),IF(E296="r0320 - Deposits, not covered and not preferential",1,4))</f>
        <v>4</v>
      </c>
    </row>
    <row r="297" spans="3:29" ht="48.75" thickBot="1" x14ac:dyDescent="0.3">
      <c r="C297" s="11">
        <v>999</v>
      </c>
      <c r="D297" s="154">
        <v>290</v>
      </c>
      <c r="E297" s="154" t="s">
        <v>1902</v>
      </c>
      <c r="F297" s="154" t="s">
        <v>83</v>
      </c>
      <c r="G297" s="154" t="s">
        <v>1903</v>
      </c>
      <c r="H297" s="154" t="s">
        <v>388</v>
      </c>
      <c r="I297" s="154" t="s">
        <v>93</v>
      </c>
      <c r="J297" s="154" t="s">
        <v>94</v>
      </c>
      <c r="K297" s="154" t="s">
        <v>60</v>
      </c>
      <c r="L297" s="154" t="s">
        <v>1897</v>
      </c>
      <c r="M297" s="154" t="s">
        <v>1388</v>
      </c>
      <c r="N297" s="154" t="s">
        <v>61</v>
      </c>
      <c r="O297" s="154" t="s">
        <v>62</v>
      </c>
      <c r="P297" s="146">
        <v>182288.62</v>
      </c>
      <c r="Q297" s="146">
        <v>-1.71</v>
      </c>
      <c r="R297" s="154" t="s">
        <v>1384</v>
      </c>
      <c r="S297" s="154" t="s">
        <v>1899</v>
      </c>
      <c r="T297" s="155" t="s">
        <v>768</v>
      </c>
      <c r="U297" s="155" t="s">
        <v>1899</v>
      </c>
      <c r="V297" s="154" t="s">
        <v>1904</v>
      </c>
      <c r="W297" s="154">
        <v>0</v>
      </c>
      <c r="X297" s="154" t="s">
        <v>63</v>
      </c>
      <c r="Y297" s="154" t="s">
        <v>1386</v>
      </c>
      <c r="Z297" s="154"/>
      <c r="AA297" s="154" t="s">
        <v>1387</v>
      </c>
      <c r="AB297" s="154">
        <v>0</v>
      </c>
      <c r="AC297" s="138">
        <f>IFERROR(IF(DATEDIF(#REF!,U297,"m")&lt;=1,1,IF(AND(DATEDIF(#REF!,U297,"m")&gt;1,DATEDIF(#REF!,U297,"m")&lt;12),2,IF(AND(DATEDIF(#REF!,U297,"m")&gt;=12,DATEDIF(#REF!,U297,"m")&lt;24),3,IF(DATEDIF(#REF!,U297,"m")&gt;=24,4,"")))),IF(E297="r0320 - Deposits, not covered and not preferential",1,4))</f>
        <v>4</v>
      </c>
    </row>
    <row r="298" spans="3:29" ht="36.75" thickBot="1" x14ac:dyDescent="0.3">
      <c r="C298" s="11">
        <v>999</v>
      </c>
      <c r="D298" s="154">
        <v>291</v>
      </c>
      <c r="E298" s="154" t="s">
        <v>1898</v>
      </c>
      <c r="F298" s="154" t="s">
        <v>87</v>
      </c>
      <c r="G298" s="154" t="s">
        <v>1402</v>
      </c>
      <c r="H298" s="154" t="s">
        <v>625</v>
      </c>
      <c r="I298" s="154" t="s">
        <v>89</v>
      </c>
      <c r="J298" s="154" t="s">
        <v>90</v>
      </c>
      <c r="K298" s="154" t="s">
        <v>91</v>
      </c>
      <c r="L298" s="154" t="s">
        <v>1901</v>
      </c>
      <c r="M298" s="154" t="s">
        <v>1383</v>
      </c>
      <c r="N298" s="154" t="s">
        <v>61</v>
      </c>
      <c r="O298" s="154" t="s">
        <v>62</v>
      </c>
      <c r="P298" s="146">
        <v>0.19</v>
      </c>
      <c r="Q298" s="146">
        <v>0</v>
      </c>
      <c r="R298" s="154" t="s">
        <v>1384</v>
      </c>
      <c r="S298" s="154" t="s">
        <v>1899</v>
      </c>
      <c r="T298" s="155" t="s">
        <v>1899</v>
      </c>
      <c r="U298" s="155" t="s">
        <v>1899</v>
      </c>
      <c r="V298" s="154" t="s">
        <v>1562</v>
      </c>
      <c r="W298" s="154">
        <v>0</v>
      </c>
      <c r="X298" s="154" t="s">
        <v>63</v>
      </c>
      <c r="Y298" s="154" t="s">
        <v>1900</v>
      </c>
      <c r="Z298" s="154"/>
      <c r="AA298" s="154" t="s">
        <v>1387</v>
      </c>
      <c r="AB298" s="154">
        <v>0</v>
      </c>
      <c r="AC298" s="138">
        <f>IFERROR(IF(DATEDIF(#REF!,U298,"m")&lt;=1,1,IF(AND(DATEDIF(#REF!,U298,"m")&gt;1,DATEDIF(#REF!,U298,"m")&lt;12),2,IF(AND(DATEDIF(#REF!,U298,"m")&gt;=12,DATEDIF(#REF!,U298,"m")&lt;24),3,IF(DATEDIF(#REF!,U298,"m")&gt;=24,4,"")))),IF(E298="r0320 - Deposits, not covered and not preferential",1,4))</f>
        <v>4</v>
      </c>
    </row>
    <row r="299" spans="3:29" ht="36.75" thickBot="1" x14ac:dyDescent="0.3">
      <c r="C299" s="11">
        <v>999</v>
      </c>
      <c r="D299" s="154">
        <v>292</v>
      </c>
      <c r="E299" s="154" t="s">
        <v>1898</v>
      </c>
      <c r="F299" s="154" t="s">
        <v>56</v>
      </c>
      <c r="G299" s="154" t="s">
        <v>1402</v>
      </c>
      <c r="H299" s="154" t="s">
        <v>1018</v>
      </c>
      <c r="I299" s="154" t="s">
        <v>66</v>
      </c>
      <c r="J299" s="154" t="s">
        <v>67</v>
      </c>
      <c r="K299" s="154" t="s">
        <v>60</v>
      </c>
      <c r="L299" s="154" t="s">
        <v>1897</v>
      </c>
      <c r="M299" s="154" t="s">
        <v>1383</v>
      </c>
      <c r="N299" s="154" t="s">
        <v>61</v>
      </c>
      <c r="O299" s="154" t="s">
        <v>62</v>
      </c>
      <c r="P299" s="146">
        <v>0.43</v>
      </c>
      <c r="Q299" s="146">
        <v>0</v>
      </c>
      <c r="R299" s="154" t="s">
        <v>1384</v>
      </c>
      <c r="S299" s="154" t="s">
        <v>1899</v>
      </c>
      <c r="T299" s="155" t="s">
        <v>1899</v>
      </c>
      <c r="U299" s="155" t="s">
        <v>1899</v>
      </c>
      <c r="V299" s="154" t="s">
        <v>1562</v>
      </c>
      <c r="W299" s="154">
        <v>0</v>
      </c>
      <c r="X299" s="154" t="s">
        <v>63</v>
      </c>
      <c r="Y299" s="154" t="s">
        <v>1900</v>
      </c>
      <c r="Z299" s="154"/>
      <c r="AA299" s="154" t="s">
        <v>1387</v>
      </c>
      <c r="AB299" s="154">
        <v>0</v>
      </c>
      <c r="AC299" s="138">
        <f>IFERROR(IF(DATEDIF(#REF!,U299,"m")&lt;=1,1,IF(AND(DATEDIF(#REF!,U299,"m")&gt;1,DATEDIF(#REF!,U299,"m")&lt;12),2,IF(AND(DATEDIF(#REF!,U299,"m")&gt;=12,DATEDIF(#REF!,U299,"m")&lt;24),3,IF(DATEDIF(#REF!,U299,"m")&gt;=24,4,"")))),IF(E299="r0320 - Deposits, not covered and not preferential",1,4))</f>
        <v>4</v>
      </c>
    </row>
    <row r="300" spans="3:29" ht="36.75" thickBot="1" x14ac:dyDescent="0.3">
      <c r="C300" s="11">
        <v>999</v>
      </c>
      <c r="D300" s="154">
        <v>293</v>
      </c>
      <c r="E300" s="154" t="s">
        <v>1898</v>
      </c>
      <c r="F300" s="154" t="s">
        <v>87</v>
      </c>
      <c r="G300" s="154" t="s">
        <v>1402</v>
      </c>
      <c r="H300" s="154" t="s">
        <v>629</v>
      </c>
      <c r="I300" s="154" t="s">
        <v>89</v>
      </c>
      <c r="J300" s="154" t="s">
        <v>90</v>
      </c>
      <c r="K300" s="154" t="s">
        <v>91</v>
      </c>
      <c r="L300" s="154" t="s">
        <v>1901</v>
      </c>
      <c r="M300" s="154" t="s">
        <v>1383</v>
      </c>
      <c r="N300" s="154" t="s">
        <v>61</v>
      </c>
      <c r="O300" s="154" t="s">
        <v>62</v>
      </c>
      <c r="P300" s="146">
        <v>0.18</v>
      </c>
      <c r="Q300" s="146">
        <v>0</v>
      </c>
      <c r="R300" s="154" t="s">
        <v>1384</v>
      </c>
      <c r="S300" s="154" t="s">
        <v>1899</v>
      </c>
      <c r="T300" s="155" t="s">
        <v>1899</v>
      </c>
      <c r="U300" s="155" t="s">
        <v>1899</v>
      </c>
      <c r="V300" s="154" t="s">
        <v>1562</v>
      </c>
      <c r="W300" s="154">
        <v>0</v>
      </c>
      <c r="X300" s="154" t="s">
        <v>63</v>
      </c>
      <c r="Y300" s="154" t="s">
        <v>1900</v>
      </c>
      <c r="Z300" s="154"/>
      <c r="AA300" s="154" t="s">
        <v>1387</v>
      </c>
      <c r="AB300" s="154">
        <v>0</v>
      </c>
      <c r="AC300" s="138">
        <f>IFERROR(IF(DATEDIF(#REF!,U300,"m")&lt;=1,1,IF(AND(DATEDIF(#REF!,U300,"m")&gt;1,DATEDIF(#REF!,U300,"m")&lt;12),2,IF(AND(DATEDIF(#REF!,U300,"m")&gt;=12,DATEDIF(#REF!,U300,"m")&lt;24),3,IF(DATEDIF(#REF!,U300,"m")&gt;=24,4,"")))),IF(E300="r0320 - Deposits, not covered and not preferential",1,4))</f>
        <v>4</v>
      </c>
    </row>
    <row r="301" spans="3:29" ht="36.75" thickBot="1" x14ac:dyDescent="0.3">
      <c r="C301" s="11">
        <v>999</v>
      </c>
      <c r="D301" s="154">
        <v>294</v>
      </c>
      <c r="E301" s="154" t="s">
        <v>1898</v>
      </c>
      <c r="F301" s="154" t="s">
        <v>87</v>
      </c>
      <c r="G301" s="154" t="s">
        <v>1402</v>
      </c>
      <c r="H301" s="154" t="s">
        <v>1055</v>
      </c>
      <c r="I301" s="154" t="s">
        <v>99</v>
      </c>
      <c r="J301" s="154" t="s">
        <v>90</v>
      </c>
      <c r="K301" s="154" t="s">
        <v>91</v>
      </c>
      <c r="L301" s="154" t="s">
        <v>1897</v>
      </c>
      <c r="M301" s="154" t="s">
        <v>1383</v>
      </c>
      <c r="N301" s="154" t="s">
        <v>61</v>
      </c>
      <c r="O301" s="154" t="s">
        <v>62</v>
      </c>
      <c r="P301" s="146">
        <v>0.01</v>
      </c>
      <c r="Q301" s="146">
        <v>0</v>
      </c>
      <c r="R301" s="154" t="s">
        <v>1384</v>
      </c>
      <c r="S301" s="154" t="s">
        <v>1899</v>
      </c>
      <c r="T301" s="155" t="s">
        <v>1899</v>
      </c>
      <c r="U301" s="155" t="s">
        <v>1899</v>
      </c>
      <c r="V301" s="154" t="s">
        <v>1562</v>
      </c>
      <c r="W301" s="154">
        <v>0</v>
      </c>
      <c r="X301" s="154" t="s">
        <v>63</v>
      </c>
      <c r="Y301" s="154" t="s">
        <v>1900</v>
      </c>
      <c r="Z301" s="154"/>
      <c r="AA301" s="154" t="s">
        <v>1387</v>
      </c>
      <c r="AB301" s="154">
        <v>0</v>
      </c>
      <c r="AC301" s="138">
        <f>IFERROR(IF(DATEDIF(#REF!,U301,"m")&lt;=1,1,IF(AND(DATEDIF(#REF!,U301,"m")&gt;1,DATEDIF(#REF!,U301,"m")&lt;12),2,IF(AND(DATEDIF(#REF!,U301,"m")&gt;=12,DATEDIF(#REF!,U301,"m")&lt;24),3,IF(DATEDIF(#REF!,U301,"m")&gt;=24,4,"")))),IF(E301="r0320 - Deposits, not covered and not preferential",1,4))</f>
        <v>4</v>
      </c>
    </row>
    <row r="302" spans="3:29" ht="36.75" thickBot="1" x14ac:dyDescent="0.3">
      <c r="C302" s="11">
        <v>999</v>
      </c>
      <c r="D302" s="154">
        <v>295</v>
      </c>
      <c r="E302" s="154" t="s">
        <v>1898</v>
      </c>
      <c r="F302" s="154" t="s">
        <v>87</v>
      </c>
      <c r="G302" s="154" t="s">
        <v>1402</v>
      </c>
      <c r="H302" s="154" t="s">
        <v>633</v>
      </c>
      <c r="I302" s="154" t="s">
        <v>89</v>
      </c>
      <c r="J302" s="154" t="s">
        <v>90</v>
      </c>
      <c r="K302" s="154" t="s">
        <v>91</v>
      </c>
      <c r="L302" s="154" t="s">
        <v>1901</v>
      </c>
      <c r="M302" s="154" t="s">
        <v>1383</v>
      </c>
      <c r="N302" s="154" t="s">
        <v>61</v>
      </c>
      <c r="O302" s="154" t="s">
        <v>62</v>
      </c>
      <c r="P302" s="146">
        <v>0.11</v>
      </c>
      <c r="Q302" s="146">
        <v>0</v>
      </c>
      <c r="R302" s="154" t="s">
        <v>1384</v>
      </c>
      <c r="S302" s="154" t="s">
        <v>1899</v>
      </c>
      <c r="T302" s="155" t="s">
        <v>1899</v>
      </c>
      <c r="U302" s="155" t="s">
        <v>1899</v>
      </c>
      <c r="V302" s="154" t="s">
        <v>1562</v>
      </c>
      <c r="W302" s="154">
        <v>0</v>
      </c>
      <c r="X302" s="154" t="s">
        <v>63</v>
      </c>
      <c r="Y302" s="154" t="s">
        <v>1900</v>
      </c>
      <c r="Z302" s="154"/>
      <c r="AA302" s="154" t="s">
        <v>1387</v>
      </c>
      <c r="AB302" s="154">
        <v>0</v>
      </c>
      <c r="AC302" s="138">
        <f>IFERROR(IF(DATEDIF(#REF!,U302,"m")&lt;=1,1,IF(AND(DATEDIF(#REF!,U302,"m")&gt;1,DATEDIF(#REF!,U302,"m")&lt;12),2,IF(AND(DATEDIF(#REF!,U302,"m")&gt;=12,DATEDIF(#REF!,U302,"m")&lt;24),3,IF(DATEDIF(#REF!,U302,"m")&gt;=24,4,"")))),IF(E302="r0320 - Deposits, not covered and not preferential",1,4))</f>
        <v>4</v>
      </c>
    </row>
    <row r="303" spans="3:29" ht="36.75" thickBot="1" x14ac:dyDescent="0.3">
      <c r="C303" s="11">
        <v>999</v>
      </c>
      <c r="D303" s="154">
        <v>296</v>
      </c>
      <c r="E303" s="154" t="s">
        <v>1898</v>
      </c>
      <c r="F303" s="154" t="s">
        <v>56</v>
      </c>
      <c r="G303" s="154" t="s">
        <v>1402</v>
      </c>
      <c r="H303" s="154" t="s">
        <v>1032</v>
      </c>
      <c r="I303" s="154" t="s">
        <v>66</v>
      </c>
      <c r="J303" s="154" t="s">
        <v>67</v>
      </c>
      <c r="K303" s="154" t="s">
        <v>60</v>
      </c>
      <c r="L303" s="154" t="s">
        <v>1897</v>
      </c>
      <c r="M303" s="154" t="s">
        <v>1383</v>
      </c>
      <c r="N303" s="154" t="s">
        <v>61</v>
      </c>
      <c r="O303" s="154" t="s">
        <v>62</v>
      </c>
      <c r="P303" s="146">
        <v>1.01</v>
      </c>
      <c r="Q303" s="146">
        <v>0</v>
      </c>
      <c r="R303" s="154" t="s">
        <v>1384</v>
      </c>
      <c r="S303" s="154" t="s">
        <v>1899</v>
      </c>
      <c r="T303" s="155" t="s">
        <v>1899</v>
      </c>
      <c r="U303" s="155" t="s">
        <v>1899</v>
      </c>
      <c r="V303" s="154" t="s">
        <v>1562</v>
      </c>
      <c r="W303" s="154">
        <v>0</v>
      </c>
      <c r="X303" s="154" t="s">
        <v>63</v>
      </c>
      <c r="Y303" s="154" t="s">
        <v>1900</v>
      </c>
      <c r="Z303" s="154"/>
      <c r="AA303" s="154" t="s">
        <v>1387</v>
      </c>
      <c r="AB303" s="154">
        <v>0</v>
      </c>
      <c r="AC303" s="138">
        <f>IFERROR(IF(DATEDIF(#REF!,U303,"m")&lt;=1,1,IF(AND(DATEDIF(#REF!,U303,"m")&gt;1,DATEDIF(#REF!,U303,"m")&lt;12),2,IF(AND(DATEDIF(#REF!,U303,"m")&gt;=12,DATEDIF(#REF!,U303,"m")&lt;24),3,IF(DATEDIF(#REF!,U303,"m")&gt;=24,4,"")))),IF(E303="r0320 - Deposits, not covered and not preferential",1,4))</f>
        <v>4</v>
      </c>
    </row>
    <row r="304" spans="3:29" ht="36.75" thickBot="1" x14ac:dyDescent="0.3">
      <c r="C304" s="11">
        <v>999</v>
      </c>
      <c r="D304" s="154">
        <v>297</v>
      </c>
      <c r="E304" s="154" t="s">
        <v>1898</v>
      </c>
      <c r="F304" s="154" t="s">
        <v>87</v>
      </c>
      <c r="G304" s="154" t="s">
        <v>1402</v>
      </c>
      <c r="H304" s="154" t="s">
        <v>171</v>
      </c>
      <c r="I304" s="154" t="s">
        <v>89</v>
      </c>
      <c r="J304" s="154" t="s">
        <v>90</v>
      </c>
      <c r="K304" s="154" t="s">
        <v>91</v>
      </c>
      <c r="L304" s="154" t="s">
        <v>1901</v>
      </c>
      <c r="M304" s="154" t="s">
        <v>1383</v>
      </c>
      <c r="N304" s="154" t="s">
        <v>61</v>
      </c>
      <c r="O304" s="154" t="s">
        <v>62</v>
      </c>
      <c r="P304" s="146">
        <v>0.39</v>
      </c>
      <c r="Q304" s="146">
        <v>0</v>
      </c>
      <c r="R304" s="154" t="s">
        <v>1384</v>
      </c>
      <c r="S304" s="154" t="s">
        <v>1899</v>
      </c>
      <c r="T304" s="155" t="s">
        <v>1899</v>
      </c>
      <c r="U304" s="155" t="s">
        <v>1899</v>
      </c>
      <c r="V304" s="154" t="s">
        <v>1562</v>
      </c>
      <c r="W304" s="154">
        <v>0</v>
      </c>
      <c r="X304" s="154" t="s">
        <v>63</v>
      </c>
      <c r="Y304" s="154" t="s">
        <v>1900</v>
      </c>
      <c r="Z304" s="154"/>
      <c r="AA304" s="154" t="s">
        <v>1387</v>
      </c>
      <c r="AB304" s="154">
        <v>0</v>
      </c>
      <c r="AC304" s="138">
        <f>IFERROR(IF(DATEDIF(#REF!,U304,"m")&lt;=1,1,IF(AND(DATEDIF(#REF!,U304,"m")&gt;1,DATEDIF(#REF!,U304,"m")&lt;12),2,IF(AND(DATEDIF(#REF!,U304,"m")&gt;=12,DATEDIF(#REF!,U304,"m")&lt;24),3,IF(DATEDIF(#REF!,U304,"m")&gt;=24,4,"")))),IF(E304="r0320 - Deposits, not covered and not preferential",1,4))</f>
        <v>4</v>
      </c>
    </row>
    <row r="305" spans="3:29" ht="36.75" thickBot="1" x14ac:dyDescent="0.3">
      <c r="C305" s="11">
        <v>999</v>
      </c>
      <c r="D305" s="154">
        <v>298</v>
      </c>
      <c r="E305" s="154" t="s">
        <v>1898</v>
      </c>
      <c r="F305" s="154" t="s">
        <v>87</v>
      </c>
      <c r="G305" s="154" t="s">
        <v>1402</v>
      </c>
      <c r="H305" s="154" t="s">
        <v>709</v>
      </c>
      <c r="I305" s="154" t="s">
        <v>108</v>
      </c>
      <c r="J305" s="154" t="s">
        <v>90</v>
      </c>
      <c r="K305" s="154" t="s">
        <v>91</v>
      </c>
      <c r="L305" s="154" t="s">
        <v>1897</v>
      </c>
      <c r="M305" s="154" t="s">
        <v>1383</v>
      </c>
      <c r="N305" s="154" t="s">
        <v>61</v>
      </c>
      <c r="O305" s="154" t="s">
        <v>62</v>
      </c>
      <c r="P305" s="146">
        <v>0.49</v>
      </c>
      <c r="Q305" s="146">
        <v>0</v>
      </c>
      <c r="R305" s="154" t="s">
        <v>1384</v>
      </c>
      <c r="S305" s="154" t="s">
        <v>1899</v>
      </c>
      <c r="T305" s="155" t="s">
        <v>1899</v>
      </c>
      <c r="U305" s="155" t="s">
        <v>1899</v>
      </c>
      <c r="V305" s="154" t="s">
        <v>1562</v>
      </c>
      <c r="W305" s="154">
        <v>0</v>
      </c>
      <c r="X305" s="154" t="s">
        <v>63</v>
      </c>
      <c r="Y305" s="154" t="s">
        <v>1900</v>
      </c>
      <c r="Z305" s="154"/>
      <c r="AA305" s="154" t="s">
        <v>1387</v>
      </c>
      <c r="AB305" s="154">
        <v>0</v>
      </c>
      <c r="AC305" s="138">
        <f>IFERROR(IF(DATEDIF(#REF!,U305,"m")&lt;=1,1,IF(AND(DATEDIF(#REF!,U305,"m")&gt;1,DATEDIF(#REF!,U305,"m")&lt;12),2,IF(AND(DATEDIF(#REF!,U305,"m")&gt;=12,DATEDIF(#REF!,U305,"m")&lt;24),3,IF(DATEDIF(#REF!,U305,"m")&gt;=24,4,"")))),IF(E305="r0320 - Deposits, not covered and not preferential",1,4))</f>
        <v>4</v>
      </c>
    </row>
    <row r="306" spans="3:29" ht="36.75" thickBot="1" x14ac:dyDescent="0.3">
      <c r="C306" s="11">
        <v>999</v>
      </c>
      <c r="D306" s="154">
        <v>299</v>
      </c>
      <c r="E306" s="154" t="s">
        <v>1898</v>
      </c>
      <c r="F306" s="154" t="s">
        <v>87</v>
      </c>
      <c r="G306" s="154" t="s">
        <v>1402</v>
      </c>
      <c r="H306" s="154" t="s">
        <v>247</v>
      </c>
      <c r="I306" s="154" t="s">
        <v>99</v>
      </c>
      <c r="J306" s="154" t="s">
        <v>90</v>
      </c>
      <c r="K306" s="154" t="s">
        <v>91</v>
      </c>
      <c r="L306" s="154" t="s">
        <v>1897</v>
      </c>
      <c r="M306" s="154" t="s">
        <v>1383</v>
      </c>
      <c r="N306" s="154" t="s">
        <v>61</v>
      </c>
      <c r="O306" s="154" t="s">
        <v>62</v>
      </c>
      <c r="P306" s="146">
        <v>0.03</v>
      </c>
      <c r="Q306" s="146">
        <v>0</v>
      </c>
      <c r="R306" s="154" t="s">
        <v>1384</v>
      </c>
      <c r="S306" s="154" t="s">
        <v>1899</v>
      </c>
      <c r="T306" s="155" t="s">
        <v>1899</v>
      </c>
      <c r="U306" s="155" t="s">
        <v>1899</v>
      </c>
      <c r="V306" s="154" t="s">
        <v>1562</v>
      </c>
      <c r="W306" s="154">
        <v>0</v>
      </c>
      <c r="X306" s="154" t="s">
        <v>63</v>
      </c>
      <c r="Y306" s="154" t="s">
        <v>1900</v>
      </c>
      <c r="Z306" s="154"/>
      <c r="AA306" s="154" t="s">
        <v>1387</v>
      </c>
      <c r="AB306" s="154">
        <v>0</v>
      </c>
      <c r="AC306" s="138">
        <f>IFERROR(IF(DATEDIF(#REF!,U306,"m")&lt;=1,1,IF(AND(DATEDIF(#REF!,U306,"m")&gt;1,DATEDIF(#REF!,U306,"m")&lt;12),2,IF(AND(DATEDIF(#REF!,U306,"m")&gt;=12,DATEDIF(#REF!,U306,"m")&lt;24),3,IF(DATEDIF(#REF!,U306,"m")&gt;=24,4,"")))),IF(E306="r0320 - Deposits, not covered and not preferential",1,4))</f>
        <v>4</v>
      </c>
    </row>
    <row r="307" spans="3:29" ht="36.75" thickBot="1" x14ac:dyDescent="0.3">
      <c r="C307" s="11">
        <v>999</v>
      </c>
      <c r="D307" s="154">
        <v>300</v>
      </c>
      <c r="E307" s="154" t="s">
        <v>1898</v>
      </c>
      <c r="F307" s="154" t="s">
        <v>87</v>
      </c>
      <c r="G307" s="154" t="s">
        <v>1402</v>
      </c>
      <c r="H307" s="154" t="s">
        <v>1045</v>
      </c>
      <c r="I307" s="154" t="s">
        <v>108</v>
      </c>
      <c r="J307" s="154" t="s">
        <v>90</v>
      </c>
      <c r="K307" s="154" t="s">
        <v>91</v>
      </c>
      <c r="L307" s="154" t="s">
        <v>1897</v>
      </c>
      <c r="M307" s="154" t="s">
        <v>1383</v>
      </c>
      <c r="N307" s="154" t="s">
        <v>61</v>
      </c>
      <c r="O307" s="154" t="s">
        <v>62</v>
      </c>
      <c r="P307" s="146">
        <v>1.3</v>
      </c>
      <c r="Q307" s="146">
        <v>0</v>
      </c>
      <c r="R307" s="154" t="s">
        <v>1384</v>
      </c>
      <c r="S307" s="154" t="s">
        <v>1899</v>
      </c>
      <c r="T307" s="155" t="s">
        <v>1899</v>
      </c>
      <c r="U307" s="155" t="s">
        <v>1899</v>
      </c>
      <c r="V307" s="154" t="s">
        <v>1562</v>
      </c>
      <c r="W307" s="154">
        <v>0</v>
      </c>
      <c r="X307" s="154" t="s">
        <v>63</v>
      </c>
      <c r="Y307" s="154" t="s">
        <v>1900</v>
      </c>
      <c r="Z307" s="154"/>
      <c r="AA307" s="154" t="s">
        <v>1387</v>
      </c>
      <c r="AB307" s="154">
        <v>0</v>
      </c>
      <c r="AC307" s="138">
        <f>IFERROR(IF(DATEDIF(#REF!,U307,"m")&lt;=1,1,IF(AND(DATEDIF(#REF!,U307,"m")&gt;1,DATEDIF(#REF!,U307,"m")&lt;12),2,IF(AND(DATEDIF(#REF!,U307,"m")&gt;=12,DATEDIF(#REF!,U307,"m")&lt;24),3,IF(DATEDIF(#REF!,U307,"m")&gt;=24,4,"")))),IF(E307="r0320 - Deposits, not covered and not preferential",1,4))</f>
        <v>4</v>
      </c>
    </row>
    <row r="308" spans="3:29" ht="36.75" thickBot="1" x14ac:dyDescent="0.3">
      <c r="C308" s="11">
        <v>999</v>
      </c>
      <c r="D308" s="154">
        <v>301</v>
      </c>
      <c r="E308" s="154" t="s">
        <v>1898</v>
      </c>
      <c r="F308" s="154" t="s">
        <v>87</v>
      </c>
      <c r="G308" s="154" t="s">
        <v>1402</v>
      </c>
      <c r="H308" s="154" t="s">
        <v>98</v>
      </c>
      <c r="I308" s="154" t="s">
        <v>99</v>
      </c>
      <c r="J308" s="154" t="s">
        <v>90</v>
      </c>
      <c r="K308" s="154" t="s">
        <v>91</v>
      </c>
      <c r="L308" s="154" t="s">
        <v>1897</v>
      </c>
      <c r="M308" s="154" t="s">
        <v>1383</v>
      </c>
      <c r="N308" s="154" t="s">
        <v>61</v>
      </c>
      <c r="O308" s="154" t="s">
        <v>62</v>
      </c>
      <c r="P308" s="146">
        <v>0.01</v>
      </c>
      <c r="Q308" s="146">
        <v>0</v>
      </c>
      <c r="R308" s="154" t="s">
        <v>1384</v>
      </c>
      <c r="S308" s="154" t="s">
        <v>1899</v>
      </c>
      <c r="T308" s="155" t="s">
        <v>1899</v>
      </c>
      <c r="U308" s="155" t="s">
        <v>1899</v>
      </c>
      <c r="V308" s="154" t="s">
        <v>1562</v>
      </c>
      <c r="W308" s="154">
        <v>0</v>
      </c>
      <c r="X308" s="154" t="s">
        <v>63</v>
      </c>
      <c r="Y308" s="154" t="s">
        <v>1900</v>
      </c>
      <c r="Z308" s="154"/>
      <c r="AA308" s="154" t="s">
        <v>1387</v>
      </c>
      <c r="AB308" s="154">
        <v>0</v>
      </c>
      <c r="AC308" s="138">
        <f>IFERROR(IF(DATEDIF(#REF!,U308,"m")&lt;=1,1,IF(AND(DATEDIF(#REF!,U308,"m")&gt;1,DATEDIF(#REF!,U308,"m")&lt;12),2,IF(AND(DATEDIF(#REF!,U308,"m")&gt;=12,DATEDIF(#REF!,U308,"m")&lt;24),3,IF(DATEDIF(#REF!,U308,"m")&gt;=24,4,"")))),IF(E308="r0320 - Deposits, not covered and not preferential",1,4))</f>
        <v>4</v>
      </c>
    </row>
    <row r="309" spans="3:29" ht="36.75" thickBot="1" x14ac:dyDescent="0.3">
      <c r="C309" s="11">
        <v>999</v>
      </c>
      <c r="D309" s="154">
        <v>302</v>
      </c>
      <c r="E309" s="154" t="s">
        <v>1898</v>
      </c>
      <c r="F309" s="154" t="s">
        <v>87</v>
      </c>
      <c r="G309" s="154" t="s">
        <v>1402</v>
      </c>
      <c r="H309" s="154" t="s">
        <v>1078</v>
      </c>
      <c r="I309" s="154" t="s">
        <v>89</v>
      </c>
      <c r="J309" s="154" t="s">
        <v>90</v>
      </c>
      <c r="K309" s="154" t="s">
        <v>91</v>
      </c>
      <c r="L309" s="154" t="s">
        <v>1901</v>
      </c>
      <c r="M309" s="154" t="s">
        <v>1383</v>
      </c>
      <c r="N309" s="154" t="s">
        <v>61</v>
      </c>
      <c r="O309" s="154" t="s">
        <v>62</v>
      </c>
      <c r="P309" s="146">
        <v>0.17</v>
      </c>
      <c r="Q309" s="146">
        <v>0</v>
      </c>
      <c r="R309" s="154" t="s">
        <v>1384</v>
      </c>
      <c r="S309" s="154" t="s">
        <v>1899</v>
      </c>
      <c r="T309" s="155" t="s">
        <v>1899</v>
      </c>
      <c r="U309" s="155" t="s">
        <v>1899</v>
      </c>
      <c r="V309" s="154" t="s">
        <v>1562</v>
      </c>
      <c r="W309" s="154">
        <v>0</v>
      </c>
      <c r="X309" s="154" t="s">
        <v>63</v>
      </c>
      <c r="Y309" s="154" t="s">
        <v>1900</v>
      </c>
      <c r="Z309" s="154"/>
      <c r="AA309" s="154" t="s">
        <v>1387</v>
      </c>
      <c r="AB309" s="154">
        <v>0</v>
      </c>
      <c r="AC309" s="138">
        <f>IFERROR(IF(DATEDIF(#REF!,U309,"m")&lt;=1,1,IF(AND(DATEDIF(#REF!,U309,"m")&gt;1,DATEDIF(#REF!,U309,"m")&lt;12),2,IF(AND(DATEDIF(#REF!,U309,"m")&gt;=12,DATEDIF(#REF!,U309,"m")&lt;24),3,IF(DATEDIF(#REF!,U309,"m")&gt;=24,4,"")))),IF(E309="r0320 - Deposits, not covered and not preferential",1,4))</f>
        <v>4</v>
      </c>
    </row>
    <row r="310" spans="3:29" ht="36.75" thickBot="1" x14ac:dyDescent="0.3">
      <c r="C310" s="11">
        <v>999</v>
      </c>
      <c r="D310" s="154">
        <v>303</v>
      </c>
      <c r="E310" s="154" t="s">
        <v>1898</v>
      </c>
      <c r="F310" s="154" t="s">
        <v>87</v>
      </c>
      <c r="G310" s="154" t="s">
        <v>1402</v>
      </c>
      <c r="H310" s="154" t="s">
        <v>249</v>
      </c>
      <c r="I310" s="154" t="s">
        <v>89</v>
      </c>
      <c r="J310" s="154" t="s">
        <v>90</v>
      </c>
      <c r="K310" s="154" t="s">
        <v>91</v>
      </c>
      <c r="L310" s="154" t="s">
        <v>1901</v>
      </c>
      <c r="M310" s="154" t="s">
        <v>1383</v>
      </c>
      <c r="N310" s="154" t="s">
        <v>61</v>
      </c>
      <c r="O310" s="154" t="s">
        <v>62</v>
      </c>
      <c r="P310" s="146">
        <v>0.5</v>
      </c>
      <c r="Q310" s="146">
        <v>0</v>
      </c>
      <c r="R310" s="154" t="s">
        <v>1384</v>
      </c>
      <c r="S310" s="154" t="s">
        <v>1899</v>
      </c>
      <c r="T310" s="155" t="s">
        <v>1899</v>
      </c>
      <c r="U310" s="155" t="s">
        <v>1899</v>
      </c>
      <c r="V310" s="154" t="s">
        <v>1562</v>
      </c>
      <c r="W310" s="154">
        <v>0</v>
      </c>
      <c r="X310" s="154" t="s">
        <v>63</v>
      </c>
      <c r="Y310" s="154" t="s">
        <v>1900</v>
      </c>
      <c r="Z310" s="154"/>
      <c r="AA310" s="154" t="s">
        <v>1387</v>
      </c>
      <c r="AB310" s="154">
        <v>0</v>
      </c>
      <c r="AC310" s="138">
        <f>IFERROR(IF(DATEDIF(#REF!,U310,"m")&lt;=1,1,IF(AND(DATEDIF(#REF!,U310,"m")&gt;1,DATEDIF(#REF!,U310,"m")&lt;12),2,IF(AND(DATEDIF(#REF!,U310,"m")&gt;=12,DATEDIF(#REF!,U310,"m")&lt;24),3,IF(DATEDIF(#REF!,U310,"m")&gt;=24,4,"")))),IF(E310="r0320 - Deposits, not covered and not preferential",1,4))</f>
        <v>4</v>
      </c>
    </row>
    <row r="311" spans="3:29" ht="36.75" thickBot="1" x14ac:dyDescent="0.3">
      <c r="C311" s="11">
        <v>999</v>
      </c>
      <c r="D311" s="154">
        <v>304</v>
      </c>
      <c r="E311" s="154" t="s">
        <v>1898</v>
      </c>
      <c r="F311" s="154" t="s">
        <v>87</v>
      </c>
      <c r="G311" s="154" t="s">
        <v>1402</v>
      </c>
      <c r="H311" s="154" t="s">
        <v>1057</v>
      </c>
      <c r="I311" s="154" t="s">
        <v>108</v>
      </c>
      <c r="J311" s="154" t="s">
        <v>90</v>
      </c>
      <c r="K311" s="154" t="s">
        <v>91</v>
      </c>
      <c r="L311" s="154" t="s">
        <v>1897</v>
      </c>
      <c r="M311" s="154" t="s">
        <v>1383</v>
      </c>
      <c r="N311" s="154" t="s">
        <v>61</v>
      </c>
      <c r="O311" s="154" t="s">
        <v>62</v>
      </c>
      <c r="P311" s="146">
        <v>0.61</v>
      </c>
      <c r="Q311" s="146">
        <v>0</v>
      </c>
      <c r="R311" s="154" t="s">
        <v>1384</v>
      </c>
      <c r="S311" s="154" t="s">
        <v>1899</v>
      </c>
      <c r="T311" s="155" t="s">
        <v>1899</v>
      </c>
      <c r="U311" s="155" t="s">
        <v>1899</v>
      </c>
      <c r="V311" s="154" t="s">
        <v>1562</v>
      </c>
      <c r="W311" s="154">
        <v>0</v>
      </c>
      <c r="X311" s="154" t="s">
        <v>63</v>
      </c>
      <c r="Y311" s="154" t="s">
        <v>1900</v>
      </c>
      <c r="Z311" s="154"/>
      <c r="AA311" s="154" t="s">
        <v>1387</v>
      </c>
      <c r="AB311" s="154">
        <v>0</v>
      </c>
      <c r="AC311" s="138">
        <f>IFERROR(IF(DATEDIF(#REF!,U311,"m")&lt;=1,1,IF(AND(DATEDIF(#REF!,U311,"m")&gt;1,DATEDIF(#REF!,U311,"m")&lt;12),2,IF(AND(DATEDIF(#REF!,U311,"m")&gt;=12,DATEDIF(#REF!,U311,"m")&lt;24),3,IF(DATEDIF(#REF!,U311,"m")&gt;=24,4,"")))),IF(E311="r0320 - Deposits, not covered and not preferential",1,4))</f>
        <v>4</v>
      </c>
    </row>
    <row r="312" spans="3:29" ht="36.75" thickBot="1" x14ac:dyDescent="0.3">
      <c r="C312" s="11">
        <v>999</v>
      </c>
      <c r="D312" s="154">
        <v>305</v>
      </c>
      <c r="E312" s="154" t="s">
        <v>1898</v>
      </c>
      <c r="F312" s="154" t="s">
        <v>56</v>
      </c>
      <c r="G312" s="154" t="s">
        <v>1402</v>
      </c>
      <c r="H312" s="154" t="s">
        <v>1064</v>
      </c>
      <c r="I312" s="154" t="s">
        <v>66</v>
      </c>
      <c r="J312" s="154" t="s">
        <v>67</v>
      </c>
      <c r="K312" s="154" t="s">
        <v>60</v>
      </c>
      <c r="L312" s="154" t="s">
        <v>1897</v>
      </c>
      <c r="M312" s="154" t="s">
        <v>1383</v>
      </c>
      <c r="N312" s="154" t="s">
        <v>61</v>
      </c>
      <c r="O312" s="154" t="s">
        <v>62</v>
      </c>
      <c r="P312" s="146">
        <v>0.11</v>
      </c>
      <c r="Q312" s="146">
        <v>0</v>
      </c>
      <c r="R312" s="154" t="s">
        <v>1384</v>
      </c>
      <c r="S312" s="154" t="s">
        <v>1899</v>
      </c>
      <c r="T312" s="155" t="s">
        <v>1899</v>
      </c>
      <c r="U312" s="155" t="s">
        <v>1899</v>
      </c>
      <c r="V312" s="154" t="s">
        <v>1562</v>
      </c>
      <c r="W312" s="154">
        <v>0</v>
      </c>
      <c r="X312" s="154" t="s">
        <v>63</v>
      </c>
      <c r="Y312" s="154" t="s">
        <v>1900</v>
      </c>
      <c r="Z312" s="154"/>
      <c r="AA312" s="154" t="s">
        <v>1387</v>
      </c>
      <c r="AB312" s="154">
        <v>0</v>
      </c>
      <c r="AC312" s="138">
        <f>IFERROR(IF(DATEDIF(#REF!,U312,"m")&lt;=1,1,IF(AND(DATEDIF(#REF!,U312,"m")&gt;1,DATEDIF(#REF!,U312,"m")&lt;12),2,IF(AND(DATEDIF(#REF!,U312,"m")&gt;=12,DATEDIF(#REF!,U312,"m")&lt;24),3,IF(DATEDIF(#REF!,U312,"m")&gt;=24,4,"")))),IF(E312="r0320 - Deposits, not covered and not preferential",1,4))</f>
        <v>4</v>
      </c>
    </row>
    <row r="313" spans="3:29" ht="48.75" thickBot="1" x14ac:dyDescent="0.3">
      <c r="C313" s="11">
        <v>999</v>
      </c>
      <c r="D313" s="154">
        <v>306</v>
      </c>
      <c r="E313" s="154" t="s">
        <v>1902</v>
      </c>
      <c r="F313" s="154" t="s">
        <v>83</v>
      </c>
      <c r="G313" s="154" t="s">
        <v>1903</v>
      </c>
      <c r="H313" s="154" t="s">
        <v>404</v>
      </c>
      <c r="I313" s="154" t="s">
        <v>114</v>
      </c>
      <c r="J313" s="154" t="s">
        <v>115</v>
      </c>
      <c r="K313" s="154" t="s">
        <v>60</v>
      </c>
      <c r="L313" s="154" t="s">
        <v>1897</v>
      </c>
      <c r="M313" s="154" t="s">
        <v>1388</v>
      </c>
      <c r="N313" s="154" t="s">
        <v>61</v>
      </c>
      <c r="O313" s="154" t="s">
        <v>62</v>
      </c>
      <c r="P313" s="146">
        <v>372985.8</v>
      </c>
      <c r="Q313" s="146">
        <v>-3.82</v>
      </c>
      <c r="R313" s="154" t="s">
        <v>1384</v>
      </c>
      <c r="S313" s="154" t="s">
        <v>1899</v>
      </c>
      <c r="T313" s="155" t="s">
        <v>768</v>
      </c>
      <c r="U313" s="155" t="s">
        <v>1899</v>
      </c>
      <c r="V313" s="154" t="s">
        <v>1904</v>
      </c>
      <c r="W313" s="154">
        <v>0</v>
      </c>
      <c r="X313" s="154" t="s">
        <v>63</v>
      </c>
      <c r="Y313" s="154" t="s">
        <v>1386</v>
      </c>
      <c r="Z313" s="154"/>
      <c r="AA313" s="154" t="s">
        <v>1387</v>
      </c>
      <c r="AB313" s="154">
        <v>0</v>
      </c>
      <c r="AC313" s="138">
        <f>IFERROR(IF(DATEDIF(#REF!,U313,"m")&lt;=1,1,IF(AND(DATEDIF(#REF!,U313,"m")&gt;1,DATEDIF(#REF!,U313,"m")&lt;12),2,IF(AND(DATEDIF(#REF!,U313,"m")&gt;=12,DATEDIF(#REF!,U313,"m")&lt;24),3,IF(DATEDIF(#REF!,U313,"m")&gt;=24,4,"")))),IF(E313="r0320 - Deposits, not covered and not preferential",1,4))</f>
        <v>4</v>
      </c>
    </row>
    <row r="314" spans="3:29" ht="36.75" thickBot="1" x14ac:dyDescent="0.3">
      <c r="C314" s="11">
        <v>999</v>
      </c>
      <c r="D314" s="154">
        <v>307</v>
      </c>
      <c r="E314" s="154" t="s">
        <v>1898</v>
      </c>
      <c r="F314" s="154" t="s">
        <v>87</v>
      </c>
      <c r="G314" s="154" t="s">
        <v>1402</v>
      </c>
      <c r="H314" s="154" t="s">
        <v>1070</v>
      </c>
      <c r="I314" s="154" t="s">
        <v>108</v>
      </c>
      <c r="J314" s="154" t="s">
        <v>90</v>
      </c>
      <c r="K314" s="154" t="s">
        <v>91</v>
      </c>
      <c r="L314" s="154" t="s">
        <v>1897</v>
      </c>
      <c r="M314" s="154" t="s">
        <v>1383</v>
      </c>
      <c r="N314" s="154" t="s">
        <v>61</v>
      </c>
      <c r="O314" s="154" t="s">
        <v>62</v>
      </c>
      <c r="P314" s="146">
        <v>0.4</v>
      </c>
      <c r="Q314" s="146">
        <v>0</v>
      </c>
      <c r="R314" s="154" t="s">
        <v>1384</v>
      </c>
      <c r="S314" s="154" t="s">
        <v>1899</v>
      </c>
      <c r="T314" s="155" t="s">
        <v>1899</v>
      </c>
      <c r="U314" s="155" t="s">
        <v>1899</v>
      </c>
      <c r="V314" s="154" t="s">
        <v>1562</v>
      </c>
      <c r="W314" s="154">
        <v>0</v>
      </c>
      <c r="X314" s="154" t="s">
        <v>63</v>
      </c>
      <c r="Y314" s="154" t="s">
        <v>1900</v>
      </c>
      <c r="Z314" s="154"/>
      <c r="AA314" s="154" t="s">
        <v>1387</v>
      </c>
      <c r="AB314" s="154">
        <v>0</v>
      </c>
      <c r="AC314" s="138">
        <f>IFERROR(IF(DATEDIF(#REF!,U314,"m")&lt;=1,1,IF(AND(DATEDIF(#REF!,U314,"m")&gt;1,DATEDIF(#REF!,U314,"m")&lt;12),2,IF(AND(DATEDIF(#REF!,U314,"m")&gt;=12,DATEDIF(#REF!,U314,"m")&lt;24),3,IF(DATEDIF(#REF!,U314,"m")&gt;=24,4,"")))),IF(E314="r0320 - Deposits, not covered and not preferential",1,4))</f>
        <v>4</v>
      </c>
    </row>
    <row r="315" spans="3:29" ht="36.75" thickBot="1" x14ac:dyDescent="0.3">
      <c r="C315" s="11">
        <v>999</v>
      </c>
      <c r="D315" s="154">
        <v>308</v>
      </c>
      <c r="E315" s="154" t="s">
        <v>1898</v>
      </c>
      <c r="F315" s="154" t="s">
        <v>87</v>
      </c>
      <c r="G315" s="154" t="s">
        <v>1402</v>
      </c>
      <c r="H315" s="154" t="s">
        <v>1068</v>
      </c>
      <c r="I315" s="154" t="s">
        <v>108</v>
      </c>
      <c r="J315" s="154" t="s">
        <v>90</v>
      </c>
      <c r="K315" s="154" t="s">
        <v>91</v>
      </c>
      <c r="L315" s="154" t="s">
        <v>1897</v>
      </c>
      <c r="M315" s="154" t="s">
        <v>1383</v>
      </c>
      <c r="N315" s="154" t="s">
        <v>61</v>
      </c>
      <c r="O315" s="154" t="s">
        <v>62</v>
      </c>
      <c r="P315" s="146">
        <v>1.1100000000000001</v>
      </c>
      <c r="Q315" s="146">
        <v>0</v>
      </c>
      <c r="R315" s="154" t="s">
        <v>1384</v>
      </c>
      <c r="S315" s="154" t="s">
        <v>1899</v>
      </c>
      <c r="T315" s="155" t="s">
        <v>1899</v>
      </c>
      <c r="U315" s="155" t="s">
        <v>1899</v>
      </c>
      <c r="V315" s="154" t="s">
        <v>1562</v>
      </c>
      <c r="W315" s="154">
        <v>0</v>
      </c>
      <c r="X315" s="154" t="s">
        <v>63</v>
      </c>
      <c r="Y315" s="154" t="s">
        <v>1900</v>
      </c>
      <c r="Z315" s="154"/>
      <c r="AA315" s="154" t="s">
        <v>1387</v>
      </c>
      <c r="AB315" s="154">
        <v>0</v>
      </c>
      <c r="AC315" s="138">
        <f>IFERROR(IF(DATEDIF(#REF!,U315,"m")&lt;=1,1,IF(AND(DATEDIF(#REF!,U315,"m")&gt;1,DATEDIF(#REF!,U315,"m")&lt;12),2,IF(AND(DATEDIF(#REF!,U315,"m")&gt;=12,DATEDIF(#REF!,U315,"m")&lt;24),3,IF(DATEDIF(#REF!,U315,"m")&gt;=24,4,"")))),IF(E315="r0320 - Deposits, not covered and not preferential",1,4))</f>
        <v>4</v>
      </c>
    </row>
    <row r="316" spans="3:29" ht="36.75" thickBot="1" x14ac:dyDescent="0.3">
      <c r="C316" s="11">
        <v>999</v>
      </c>
      <c r="D316" s="154">
        <v>309</v>
      </c>
      <c r="E316" s="154" t="s">
        <v>1898</v>
      </c>
      <c r="F316" s="154" t="s">
        <v>87</v>
      </c>
      <c r="G316" s="154" t="s">
        <v>1402</v>
      </c>
      <c r="H316" s="154" t="s">
        <v>1076</v>
      </c>
      <c r="I316" s="154" t="s">
        <v>108</v>
      </c>
      <c r="J316" s="154" t="s">
        <v>90</v>
      </c>
      <c r="K316" s="154" t="s">
        <v>91</v>
      </c>
      <c r="L316" s="154" t="s">
        <v>1897</v>
      </c>
      <c r="M316" s="154" t="s">
        <v>1383</v>
      </c>
      <c r="N316" s="154" t="s">
        <v>61</v>
      </c>
      <c r="O316" s="154" t="s">
        <v>62</v>
      </c>
      <c r="P316" s="146">
        <v>1.6</v>
      </c>
      <c r="Q316" s="146">
        <v>0</v>
      </c>
      <c r="R316" s="154" t="s">
        <v>1384</v>
      </c>
      <c r="S316" s="154" t="s">
        <v>1899</v>
      </c>
      <c r="T316" s="155" t="s">
        <v>1899</v>
      </c>
      <c r="U316" s="155" t="s">
        <v>1899</v>
      </c>
      <c r="V316" s="154" t="s">
        <v>1562</v>
      </c>
      <c r="W316" s="154">
        <v>0</v>
      </c>
      <c r="X316" s="154" t="s">
        <v>63</v>
      </c>
      <c r="Y316" s="154" t="s">
        <v>1900</v>
      </c>
      <c r="Z316" s="154"/>
      <c r="AA316" s="154" t="s">
        <v>1387</v>
      </c>
      <c r="AB316" s="154">
        <v>0</v>
      </c>
      <c r="AC316" s="138">
        <f>IFERROR(IF(DATEDIF(#REF!,U316,"m")&lt;=1,1,IF(AND(DATEDIF(#REF!,U316,"m")&gt;1,DATEDIF(#REF!,U316,"m")&lt;12),2,IF(AND(DATEDIF(#REF!,U316,"m")&gt;=12,DATEDIF(#REF!,U316,"m")&lt;24),3,IF(DATEDIF(#REF!,U316,"m")&gt;=24,4,"")))),IF(E316="r0320 - Deposits, not covered and not preferential",1,4))</f>
        <v>4</v>
      </c>
    </row>
    <row r="317" spans="3:29" ht="36.75" thickBot="1" x14ac:dyDescent="0.3">
      <c r="C317" s="11">
        <v>999</v>
      </c>
      <c r="D317" s="154">
        <v>310</v>
      </c>
      <c r="E317" s="154" t="s">
        <v>1898</v>
      </c>
      <c r="F317" s="154" t="s">
        <v>87</v>
      </c>
      <c r="G317" s="154" t="s">
        <v>1402</v>
      </c>
      <c r="H317" s="154" t="s">
        <v>1099</v>
      </c>
      <c r="I317" s="154" t="s">
        <v>89</v>
      </c>
      <c r="J317" s="154" t="s">
        <v>90</v>
      </c>
      <c r="K317" s="154" t="s">
        <v>91</v>
      </c>
      <c r="L317" s="154" t="s">
        <v>1901</v>
      </c>
      <c r="M317" s="154" t="s">
        <v>1383</v>
      </c>
      <c r="N317" s="154" t="s">
        <v>61</v>
      </c>
      <c r="O317" s="154" t="s">
        <v>62</v>
      </c>
      <c r="P317" s="146">
        <v>0.95</v>
      </c>
      <c r="Q317" s="146">
        <v>0</v>
      </c>
      <c r="R317" s="154" t="s">
        <v>1384</v>
      </c>
      <c r="S317" s="154" t="s">
        <v>1899</v>
      </c>
      <c r="T317" s="155" t="s">
        <v>1899</v>
      </c>
      <c r="U317" s="155" t="s">
        <v>1899</v>
      </c>
      <c r="V317" s="154" t="s">
        <v>1562</v>
      </c>
      <c r="W317" s="154">
        <v>0</v>
      </c>
      <c r="X317" s="154" t="s">
        <v>63</v>
      </c>
      <c r="Y317" s="154" t="s">
        <v>1900</v>
      </c>
      <c r="Z317" s="154"/>
      <c r="AA317" s="154" t="s">
        <v>1387</v>
      </c>
      <c r="AB317" s="154">
        <v>0</v>
      </c>
      <c r="AC317" s="138">
        <f>IFERROR(IF(DATEDIF(#REF!,U317,"m")&lt;=1,1,IF(AND(DATEDIF(#REF!,U317,"m")&gt;1,DATEDIF(#REF!,U317,"m")&lt;12),2,IF(AND(DATEDIF(#REF!,U317,"m")&gt;=12,DATEDIF(#REF!,U317,"m")&lt;24),3,IF(DATEDIF(#REF!,U317,"m")&gt;=24,4,"")))),IF(E317="r0320 - Deposits, not covered and not preferential",1,4))</f>
        <v>4</v>
      </c>
    </row>
    <row r="318" spans="3:29" ht="36.75" thickBot="1" x14ac:dyDescent="0.3">
      <c r="C318" s="11">
        <v>999</v>
      </c>
      <c r="D318" s="154">
        <v>311</v>
      </c>
      <c r="E318" s="154" t="s">
        <v>1898</v>
      </c>
      <c r="F318" s="154" t="s">
        <v>87</v>
      </c>
      <c r="G318" s="154" t="s">
        <v>1402</v>
      </c>
      <c r="H318" s="154" t="s">
        <v>1082</v>
      </c>
      <c r="I318" s="154" t="s">
        <v>108</v>
      </c>
      <c r="J318" s="154" t="s">
        <v>90</v>
      </c>
      <c r="K318" s="154" t="s">
        <v>91</v>
      </c>
      <c r="L318" s="154" t="s">
        <v>1897</v>
      </c>
      <c r="M318" s="154" t="s">
        <v>1383</v>
      </c>
      <c r="N318" s="154" t="s">
        <v>61</v>
      </c>
      <c r="O318" s="154" t="s">
        <v>62</v>
      </c>
      <c r="P318" s="146">
        <v>0.34</v>
      </c>
      <c r="Q318" s="146">
        <v>0</v>
      </c>
      <c r="R318" s="154" t="s">
        <v>1384</v>
      </c>
      <c r="S318" s="154" t="s">
        <v>1899</v>
      </c>
      <c r="T318" s="155" t="s">
        <v>1899</v>
      </c>
      <c r="U318" s="155" t="s">
        <v>1899</v>
      </c>
      <c r="V318" s="154" t="s">
        <v>1562</v>
      </c>
      <c r="W318" s="154">
        <v>0</v>
      </c>
      <c r="X318" s="154" t="s">
        <v>63</v>
      </c>
      <c r="Y318" s="154" t="s">
        <v>1900</v>
      </c>
      <c r="Z318" s="154"/>
      <c r="AA318" s="154" t="s">
        <v>1387</v>
      </c>
      <c r="AB318" s="154">
        <v>0</v>
      </c>
      <c r="AC318" s="138">
        <f>IFERROR(IF(DATEDIF(#REF!,U318,"m")&lt;=1,1,IF(AND(DATEDIF(#REF!,U318,"m")&gt;1,DATEDIF(#REF!,U318,"m")&lt;12),2,IF(AND(DATEDIF(#REF!,U318,"m")&gt;=12,DATEDIF(#REF!,U318,"m")&lt;24),3,IF(DATEDIF(#REF!,U318,"m")&gt;=24,4,"")))),IF(E318="r0320 - Deposits, not covered and not preferential",1,4))</f>
        <v>4</v>
      </c>
    </row>
    <row r="319" spans="3:29" ht="36.75" thickBot="1" x14ac:dyDescent="0.3">
      <c r="C319" s="11">
        <v>999</v>
      </c>
      <c r="D319" s="154">
        <v>312</v>
      </c>
      <c r="E319" s="154" t="s">
        <v>1898</v>
      </c>
      <c r="F319" s="154" t="s">
        <v>87</v>
      </c>
      <c r="G319" s="154" t="s">
        <v>1402</v>
      </c>
      <c r="H319" s="154" t="s">
        <v>1080</v>
      </c>
      <c r="I319" s="154" t="s">
        <v>108</v>
      </c>
      <c r="J319" s="154" t="s">
        <v>90</v>
      </c>
      <c r="K319" s="154" t="s">
        <v>91</v>
      </c>
      <c r="L319" s="154" t="s">
        <v>1897</v>
      </c>
      <c r="M319" s="154" t="s">
        <v>1383</v>
      </c>
      <c r="N319" s="154" t="s">
        <v>61</v>
      </c>
      <c r="O319" s="154" t="s">
        <v>62</v>
      </c>
      <c r="P319" s="146">
        <v>1.64</v>
      </c>
      <c r="Q319" s="146">
        <v>0</v>
      </c>
      <c r="R319" s="154" t="s">
        <v>1384</v>
      </c>
      <c r="S319" s="154" t="s">
        <v>1899</v>
      </c>
      <c r="T319" s="155" t="s">
        <v>1899</v>
      </c>
      <c r="U319" s="155" t="s">
        <v>1899</v>
      </c>
      <c r="V319" s="154" t="s">
        <v>1562</v>
      </c>
      <c r="W319" s="154">
        <v>0</v>
      </c>
      <c r="X319" s="154" t="s">
        <v>63</v>
      </c>
      <c r="Y319" s="154" t="s">
        <v>1900</v>
      </c>
      <c r="Z319" s="154"/>
      <c r="AA319" s="154" t="s">
        <v>1387</v>
      </c>
      <c r="AB319" s="154">
        <v>0</v>
      </c>
      <c r="AC319" s="138">
        <f>IFERROR(IF(DATEDIF(#REF!,U319,"m")&lt;=1,1,IF(AND(DATEDIF(#REF!,U319,"m")&gt;1,DATEDIF(#REF!,U319,"m")&lt;12),2,IF(AND(DATEDIF(#REF!,U319,"m")&gt;=12,DATEDIF(#REF!,U319,"m")&lt;24),3,IF(DATEDIF(#REF!,U319,"m")&gt;=24,4,"")))),IF(E319="r0320 - Deposits, not covered and not preferential",1,4))</f>
        <v>4</v>
      </c>
    </row>
    <row r="320" spans="3:29" ht="36.75" thickBot="1" x14ac:dyDescent="0.3">
      <c r="C320" s="11">
        <v>999</v>
      </c>
      <c r="D320" s="154">
        <v>313</v>
      </c>
      <c r="E320" s="154" t="s">
        <v>1898</v>
      </c>
      <c r="F320" s="154" t="s">
        <v>56</v>
      </c>
      <c r="G320" s="154" t="s">
        <v>1402</v>
      </c>
      <c r="H320" s="154" t="s">
        <v>1087</v>
      </c>
      <c r="I320" s="154" t="s">
        <v>66</v>
      </c>
      <c r="J320" s="154" t="s">
        <v>67</v>
      </c>
      <c r="K320" s="154" t="s">
        <v>60</v>
      </c>
      <c r="L320" s="154" t="s">
        <v>1897</v>
      </c>
      <c r="M320" s="154" t="s">
        <v>1383</v>
      </c>
      <c r="N320" s="154" t="s">
        <v>61</v>
      </c>
      <c r="O320" s="154" t="s">
        <v>62</v>
      </c>
      <c r="P320" s="146">
        <v>0.36</v>
      </c>
      <c r="Q320" s="146">
        <v>0</v>
      </c>
      <c r="R320" s="154" t="s">
        <v>1384</v>
      </c>
      <c r="S320" s="154" t="s">
        <v>1899</v>
      </c>
      <c r="T320" s="155" t="s">
        <v>1899</v>
      </c>
      <c r="U320" s="155" t="s">
        <v>1899</v>
      </c>
      <c r="V320" s="154" t="s">
        <v>1562</v>
      </c>
      <c r="W320" s="154">
        <v>0</v>
      </c>
      <c r="X320" s="154" t="s">
        <v>63</v>
      </c>
      <c r="Y320" s="154" t="s">
        <v>1900</v>
      </c>
      <c r="Z320" s="154"/>
      <c r="AA320" s="154" t="s">
        <v>1387</v>
      </c>
      <c r="AB320" s="154">
        <v>0</v>
      </c>
      <c r="AC320" s="138">
        <f>IFERROR(IF(DATEDIF(#REF!,U320,"m")&lt;=1,1,IF(AND(DATEDIF(#REF!,U320,"m")&gt;1,DATEDIF(#REF!,U320,"m")&lt;12),2,IF(AND(DATEDIF(#REF!,U320,"m")&gt;=12,DATEDIF(#REF!,U320,"m")&lt;24),3,IF(DATEDIF(#REF!,U320,"m")&gt;=24,4,"")))),IF(E320="r0320 - Deposits, not covered and not preferential",1,4))</f>
        <v>4</v>
      </c>
    </row>
    <row r="321" spans="3:29" ht="48.75" thickBot="1" x14ac:dyDescent="0.3">
      <c r="C321" s="11">
        <v>999</v>
      </c>
      <c r="D321" s="154">
        <v>314</v>
      </c>
      <c r="E321" s="154" t="s">
        <v>1902</v>
      </c>
      <c r="F321" s="154" t="s">
        <v>83</v>
      </c>
      <c r="G321" s="154" t="s">
        <v>1903</v>
      </c>
      <c r="H321" s="154" t="s">
        <v>433</v>
      </c>
      <c r="I321" s="154" t="s">
        <v>93</v>
      </c>
      <c r="J321" s="154" t="s">
        <v>94</v>
      </c>
      <c r="K321" s="154" t="s">
        <v>60</v>
      </c>
      <c r="L321" s="154" t="s">
        <v>1897</v>
      </c>
      <c r="M321" s="154" t="s">
        <v>1388</v>
      </c>
      <c r="N321" s="154" t="s">
        <v>61</v>
      </c>
      <c r="O321" s="154" t="s">
        <v>62</v>
      </c>
      <c r="P321" s="146">
        <v>1609011.18</v>
      </c>
      <c r="Q321" s="146">
        <v>911.59</v>
      </c>
      <c r="R321" s="154" t="s">
        <v>1384</v>
      </c>
      <c r="S321" s="154" t="s">
        <v>1899</v>
      </c>
      <c r="T321" s="155" t="s">
        <v>768</v>
      </c>
      <c r="U321" s="155" t="s">
        <v>1899</v>
      </c>
      <c r="V321" s="154" t="s">
        <v>1904</v>
      </c>
      <c r="W321" s="154">
        <v>0</v>
      </c>
      <c r="X321" s="154" t="s">
        <v>63</v>
      </c>
      <c r="Y321" s="154" t="s">
        <v>1386</v>
      </c>
      <c r="Z321" s="154"/>
      <c r="AA321" s="154" t="s">
        <v>1387</v>
      </c>
      <c r="AB321" s="154">
        <v>0</v>
      </c>
      <c r="AC321" s="138">
        <f>IFERROR(IF(DATEDIF(#REF!,U321,"m")&lt;=1,1,IF(AND(DATEDIF(#REF!,U321,"m")&gt;1,DATEDIF(#REF!,U321,"m")&lt;12),2,IF(AND(DATEDIF(#REF!,U321,"m")&gt;=12,DATEDIF(#REF!,U321,"m")&lt;24),3,IF(DATEDIF(#REF!,U321,"m")&gt;=24,4,"")))),IF(E321="r0320 - Deposits, not covered and not preferential",1,4))</f>
        <v>4</v>
      </c>
    </row>
    <row r="322" spans="3:29" ht="36.75" thickBot="1" x14ac:dyDescent="0.3">
      <c r="C322" s="11">
        <v>999</v>
      </c>
      <c r="D322" s="154">
        <v>315</v>
      </c>
      <c r="E322" s="154" t="s">
        <v>1898</v>
      </c>
      <c r="F322" s="154" t="s">
        <v>87</v>
      </c>
      <c r="G322" s="154" t="s">
        <v>1402</v>
      </c>
      <c r="H322" s="154" t="s">
        <v>1093</v>
      </c>
      <c r="I322" s="154" t="s">
        <v>108</v>
      </c>
      <c r="J322" s="154" t="s">
        <v>90</v>
      </c>
      <c r="K322" s="154" t="s">
        <v>91</v>
      </c>
      <c r="L322" s="154" t="s">
        <v>1897</v>
      </c>
      <c r="M322" s="154" t="s">
        <v>1383</v>
      </c>
      <c r="N322" s="154" t="s">
        <v>61</v>
      </c>
      <c r="O322" s="154" t="s">
        <v>62</v>
      </c>
      <c r="P322" s="146">
        <v>0.73</v>
      </c>
      <c r="Q322" s="146">
        <v>0</v>
      </c>
      <c r="R322" s="154" t="s">
        <v>1384</v>
      </c>
      <c r="S322" s="154" t="s">
        <v>1899</v>
      </c>
      <c r="T322" s="155" t="s">
        <v>1899</v>
      </c>
      <c r="U322" s="155" t="s">
        <v>1899</v>
      </c>
      <c r="V322" s="154" t="s">
        <v>1562</v>
      </c>
      <c r="W322" s="154">
        <v>0</v>
      </c>
      <c r="X322" s="154" t="s">
        <v>63</v>
      </c>
      <c r="Y322" s="154" t="s">
        <v>1900</v>
      </c>
      <c r="Z322" s="154"/>
      <c r="AA322" s="154" t="s">
        <v>1387</v>
      </c>
      <c r="AB322" s="154">
        <v>0</v>
      </c>
      <c r="AC322" s="138">
        <f>IFERROR(IF(DATEDIF(#REF!,U322,"m")&lt;=1,1,IF(AND(DATEDIF(#REF!,U322,"m")&gt;1,DATEDIF(#REF!,U322,"m")&lt;12),2,IF(AND(DATEDIF(#REF!,U322,"m")&gt;=12,DATEDIF(#REF!,U322,"m")&lt;24),3,IF(DATEDIF(#REF!,U322,"m")&gt;=24,4,"")))),IF(E322="r0320 - Deposits, not covered and not preferential",1,4))</f>
        <v>4</v>
      </c>
    </row>
    <row r="323" spans="3:29" ht="36.75" thickBot="1" x14ac:dyDescent="0.3">
      <c r="C323" s="11">
        <v>999</v>
      </c>
      <c r="D323" s="154">
        <v>316</v>
      </c>
      <c r="E323" s="154" t="s">
        <v>1898</v>
      </c>
      <c r="F323" s="154" t="s">
        <v>87</v>
      </c>
      <c r="G323" s="154" t="s">
        <v>1402</v>
      </c>
      <c r="H323" s="154" t="s">
        <v>1091</v>
      </c>
      <c r="I323" s="154" t="s">
        <v>108</v>
      </c>
      <c r="J323" s="154" t="s">
        <v>90</v>
      </c>
      <c r="K323" s="154" t="s">
        <v>91</v>
      </c>
      <c r="L323" s="154" t="s">
        <v>1897</v>
      </c>
      <c r="M323" s="154" t="s">
        <v>1383</v>
      </c>
      <c r="N323" s="154" t="s">
        <v>61</v>
      </c>
      <c r="O323" s="154" t="s">
        <v>62</v>
      </c>
      <c r="P323" s="146">
        <v>0.32</v>
      </c>
      <c r="Q323" s="146">
        <v>0</v>
      </c>
      <c r="R323" s="154" t="s">
        <v>1384</v>
      </c>
      <c r="S323" s="154" t="s">
        <v>1899</v>
      </c>
      <c r="T323" s="155" t="s">
        <v>1899</v>
      </c>
      <c r="U323" s="155" t="s">
        <v>1899</v>
      </c>
      <c r="V323" s="154" t="s">
        <v>1562</v>
      </c>
      <c r="W323" s="154">
        <v>0</v>
      </c>
      <c r="X323" s="154" t="s">
        <v>63</v>
      </c>
      <c r="Y323" s="154" t="s">
        <v>1900</v>
      </c>
      <c r="Z323" s="154"/>
      <c r="AA323" s="154" t="s">
        <v>1387</v>
      </c>
      <c r="AB323" s="154">
        <v>0</v>
      </c>
      <c r="AC323" s="138">
        <f>IFERROR(IF(DATEDIF(#REF!,U323,"m")&lt;=1,1,IF(AND(DATEDIF(#REF!,U323,"m")&gt;1,DATEDIF(#REF!,U323,"m")&lt;12),2,IF(AND(DATEDIF(#REF!,U323,"m")&gt;=12,DATEDIF(#REF!,U323,"m")&lt;24),3,IF(DATEDIF(#REF!,U323,"m")&gt;=24,4,"")))),IF(E323="r0320 - Deposits, not covered and not preferential",1,4))</f>
        <v>4</v>
      </c>
    </row>
    <row r="324" spans="3:29" ht="36.75" thickBot="1" x14ac:dyDescent="0.3">
      <c r="C324" s="11">
        <v>999</v>
      </c>
      <c r="D324" s="154">
        <v>317</v>
      </c>
      <c r="E324" s="154" t="s">
        <v>1898</v>
      </c>
      <c r="F324" s="154" t="s">
        <v>87</v>
      </c>
      <c r="G324" s="154" t="s">
        <v>1402</v>
      </c>
      <c r="H324" s="154" t="s">
        <v>253</v>
      </c>
      <c r="I324" s="154" t="s">
        <v>108</v>
      </c>
      <c r="J324" s="154" t="s">
        <v>90</v>
      </c>
      <c r="K324" s="154" t="s">
        <v>91</v>
      </c>
      <c r="L324" s="154" t="s">
        <v>1897</v>
      </c>
      <c r="M324" s="154" t="s">
        <v>1383</v>
      </c>
      <c r="N324" s="154" t="s">
        <v>61</v>
      </c>
      <c r="O324" s="154" t="s">
        <v>62</v>
      </c>
      <c r="P324" s="146">
        <v>0.54</v>
      </c>
      <c r="Q324" s="146">
        <v>0</v>
      </c>
      <c r="R324" s="154" t="s">
        <v>1384</v>
      </c>
      <c r="S324" s="154" t="s">
        <v>1899</v>
      </c>
      <c r="T324" s="155" t="s">
        <v>1899</v>
      </c>
      <c r="U324" s="155" t="s">
        <v>1899</v>
      </c>
      <c r="V324" s="154" t="s">
        <v>1562</v>
      </c>
      <c r="W324" s="154">
        <v>0</v>
      </c>
      <c r="X324" s="154" t="s">
        <v>63</v>
      </c>
      <c r="Y324" s="154" t="s">
        <v>1900</v>
      </c>
      <c r="Z324" s="154"/>
      <c r="AA324" s="154" t="s">
        <v>1387</v>
      </c>
      <c r="AB324" s="154">
        <v>0</v>
      </c>
      <c r="AC324" s="138">
        <f>IFERROR(IF(DATEDIF(#REF!,U324,"m")&lt;=1,1,IF(AND(DATEDIF(#REF!,U324,"m")&gt;1,DATEDIF(#REF!,U324,"m")&lt;12),2,IF(AND(DATEDIF(#REF!,U324,"m")&gt;=12,DATEDIF(#REF!,U324,"m")&lt;24),3,IF(DATEDIF(#REF!,U324,"m")&gt;=24,4,"")))),IF(E324="r0320 - Deposits, not covered and not preferential",1,4))</f>
        <v>4</v>
      </c>
    </row>
    <row r="325" spans="3:29" ht="36.75" thickBot="1" x14ac:dyDescent="0.3">
      <c r="C325" s="11">
        <v>999</v>
      </c>
      <c r="D325" s="154">
        <v>318</v>
      </c>
      <c r="E325" s="154" t="s">
        <v>1898</v>
      </c>
      <c r="F325" s="154" t="s">
        <v>87</v>
      </c>
      <c r="G325" s="154" t="s">
        <v>1402</v>
      </c>
      <c r="H325" s="154" t="s">
        <v>1129</v>
      </c>
      <c r="I325" s="154" t="s">
        <v>111</v>
      </c>
      <c r="J325" s="154" t="s">
        <v>90</v>
      </c>
      <c r="K325" s="154" t="s">
        <v>91</v>
      </c>
      <c r="L325" s="154" t="s">
        <v>1897</v>
      </c>
      <c r="M325" s="154" t="s">
        <v>1383</v>
      </c>
      <c r="N325" s="154" t="s">
        <v>61</v>
      </c>
      <c r="O325" s="154" t="s">
        <v>62</v>
      </c>
      <c r="P325" s="146">
        <v>1.36</v>
      </c>
      <c r="Q325" s="146">
        <v>0</v>
      </c>
      <c r="R325" s="154" t="s">
        <v>1384</v>
      </c>
      <c r="S325" s="154" t="s">
        <v>1899</v>
      </c>
      <c r="T325" s="155" t="s">
        <v>1899</v>
      </c>
      <c r="U325" s="155" t="s">
        <v>1899</v>
      </c>
      <c r="V325" s="154" t="s">
        <v>1562</v>
      </c>
      <c r="W325" s="154">
        <v>0</v>
      </c>
      <c r="X325" s="154" t="s">
        <v>63</v>
      </c>
      <c r="Y325" s="154" t="s">
        <v>1900</v>
      </c>
      <c r="Z325" s="154"/>
      <c r="AA325" s="154" t="s">
        <v>1387</v>
      </c>
      <c r="AB325" s="154">
        <v>0</v>
      </c>
      <c r="AC325" s="138">
        <f>IFERROR(IF(DATEDIF(#REF!,U325,"m")&lt;=1,1,IF(AND(DATEDIF(#REF!,U325,"m")&gt;1,DATEDIF(#REF!,U325,"m")&lt;12),2,IF(AND(DATEDIF(#REF!,U325,"m")&gt;=12,DATEDIF(#REF!,U325,"m")&lt;24),3,IF(DATEDIF(#REF!,U325,"m")&gt;=24,4,"")))),IF(E325="r0320 - Deposits, not covered and not preferential",1,4))</f>
        <v>4</v>
      </c>
    </row>
    <row r="326" spans="3:29" ht="36.75" thickBot="1" x14ac:dyDescent="0.3">
      <c r="C326" s="11">
        <v>999</v>
      </c>
      <c r="D326" s="154">
        <v>319</v>
      </c>
      <c r="E326" s="154" t="s">
        <v>1898</v>
      </c>
      <c r="F326" s="154" t="s">
        <v>87</v>
      </c>
      <c r="G326" s="154" t="s">
        <v>1402</v>
      </c>
      <c r="H326" s="154" t="s">
        <v>116</v>
      </c>
      <c r="I326" s="154" t="s">
        <v>108</v>
      </c>
      <c r="J326" s="154" t="s">
        <v>90</v>
      </c>
      <c r="K326" s="154" t="s">
        <v>91</v>
      </c>
      <c r="L326" s="154" t="s">
        <v>1897</v>
      </c>
      <c r="M326" s="154" t="s">
        <v>1383</v>
      </c>
      <c r="N326" s="154" t="s">
        <v>61</v>
      </c>
      <c r="O326" s="154" t="s">
        <v>62</v>
      </c>
      <c r="P326" s="146">
        <v>1.81</v>
      </c>
      <c r="Q326" s="146">
        <v>0</v>
      </c>
      <c r="R326" s="154" t="s">
        <v>1384</v>
      </c>
      <c r="S326" s="154" t="s">
        <v>1899</v>
      </c>
      <c r="T326" s="155" t="s">
        <v>1899</v>
      </c>
      <c r="U326" s="155" t="s">
        <v>1899</v>
      </c>
      <c r="V326" s="154" t="s">
        <v>1562</v>
      </c>
      <c r="W326" s="154">
        <v>0</v>
      </c>
      <c r="X326" s="154" t="s">
        <v>63</v>
      </c>
      <c r="Y326" s="154" t="s">
        <v>1900</v>
      </c>
      <c r="Z326" s="154"/>
      <c r="AA326" s="154" t="s">
        <v>1387</v>
      </c>
      <c r="AB326" s="154">
        <v>0</v>
      </c>
      <c r="AC326" s="138">
        <f>IFERROR(IF(DATEDIF(#REF!,U326,"m")&lt;=1,1,IF(AND(DATEDIF(#REF!,U326,"m")&gt;1,DATEDIF(#REF!,U326,"m")&lt;12),2,IF(AND(DATEDIF(#REF!,U326,"m")&gt;=12,DATEDIF(#REF!,U326,"m")&lt;24),3,IF(DATEDIF(#REF!,U326,"m")&gt;=24,4,"")))),IF(E326="r0320 - Deposits, not covered and not preferential",1,4))</f>
        <v>4</v>
      </c>
    </row>
    <row r="327" spans="3:29" ht="36.75" thickBot="1" x14ac:dyDescent="0.3">
      <c r="C327" s="11">
        <v>999</v>
      </c>
      <c r="D327" s="154">
        <v>320</v>
      </c>
      <c r="E327" s="154" t="s">
        <v>1898</v>
      </c>
      <c r="F327" s="154" t="s">
        <v>87</v>
      </c>
      <c r="G327" s="154" t="s">
        <v>1402</v>
      </c>
      <c r="H327" s="154" t="s">
        <v>1101</v>
      </c>
      <c r="I327" s="154" t="s">
        <v>108</v>
      </c>
      <c r="J327" s="154" t="s">
        <v>90</v>
      </c>
      <c r="K327" s="154" t="s">
        <v>91</v>
      </c>
      <c r="L327" s="154" t="s">
        <v>1897</v>
      </c>
      <c r="M327" s="154" t="s">
        <v>1383</v>
      </c>
      <c r="N327" s="154" t="s">
        <v>61</v>
      </c>
      <c r="O327" s="154" t="s">
        <v>62</v>
      </c>
      <c r="P327" s="146">
        <v>1.29</v>
      </c>
      <c r="Q327" s="146">
        <v>0</v>
      </c>
      <c r="R327" s="154" t="s">
        <v>1384</v>
      </c>
      <c r="S327" s="154" t="s">
        <v>1899</v>
      </c>
      <c r="T327" s="155" t="s">
        <v>1899</v>
      </c>
      <c r="U327" s="155" t="s">
        <v>1899</v>
      </c>
      <c r="V327" s="154" t="s">
        <v>1562</v>
      </c>
      <c r="W327" s="154">
        <v>0</v>
      </c>
      <c r="X327" s="154" t="s">
        <v>63</v>
      </c>
      <c r="Y327" s="154" t="s">
        <v>1900</v>
      </c>
      <c r="Z327" s="154"/>
      <c r="AA327" s="154" t="s">
        <v>1387</v>
      </c>
      <c r="AB327" s="154">
        <v>0</v>
      </c>
      <c r="AC327" s="138">
        <f>IFERROR(IF(DATEDIF(#REF!,U327,"m")&lt;=1,1,IF(AND(DATEDIF(#REF!,U327,"m")&gt;1,DATEDIF(#REF!,U327,"m")&lt;12),2,IF(AND(DATEDIF(#REF!,U327,"m")&gt;=12,DATEDIF(#REF!,U327,"m")&lt;24),3,IF(DATEDIF(#REF!,U327,"m")&gt;=24,4,"")))),IF(E327="r0320 - Deposits, not covered and not preferential",1,4))</f>
        <v>4</v>
      </c>
    </row>
    <row r="328" spans="3:29" ht="36.75" thickBot="1" x14ac:dyDescent="0.3">
      <c r="C328" s="11">
        <v>999</v>
      </c>
      <c r="D328" s="154">
        <v>321</v>
      </c>
      <c r="E328" s="154" t="s">
        <v>1898</v>
      </c>
      <c r="F328" s="154" t="s">
        <v>87</v>
      </c>
      <c r="G328" s="154" t="s">
        <v>1402</v>
      </c>
      <c r="H328" s="154" t="s">
        <v>255</v>
      </c>
      <c r="I328" s="154" t="s">
        <v>108</v>
      </c>
      <c r="J328" s="154" t="s">
        <v>90</v>
      </c>
      <c r="K328" s="154" t="s">
        <v>91</v>
      </c>
      <c r="L328" s="154" t="s">
        <v>1897</v>
      </c>
      <c r="M328" s="154" t="s">
        <v>1383</v>
      </c>
      <c r="N328" s="154" t="s">
        <v>61</v>
      </c>
      <c r="O328" s="154" t="s">
        <v>62</v>
      </c>
      <c r="P328" s="146">
        <v>2.0099999999999998</v>
      </c>
      <c r="Q328" s="146">
        <v>0</v>
      </c>
      <c r="R328" s="154" t="s">
        <v>1384</v>
      </c>
      <c r="S328" s="154" t="s">
        <v>1899</v>
      </c>
      <c r="T328" s="155" t="s">
        <v>1899</v>
      </c>
      <c r="U328" s="155" t="s">
        <v>1899</v>
      </c>
      <c r="V328" s="154" t="s">
        <v>1562</v>
      </c>
      <c r="W328" s="154">
        <v>0</v>
      </c>
      <c r="X328" s="154" t="s">
        <v>63</v>
      </c>
      <c r="Y328" s="154" t="s">
        <v>1900</v>
      </c>
      <c r="Z328" s="154"/>
      <c r="AA328" s="154" t="s">
        <v>1387</v>
      </c>
      <c r="AB328" s="154">
        <v>0</v>
      </c>
      <c r="AC328" s="138">
        <f>IFERROR(IF(DATEDIF(#REF!,U328,"m")&lt;=1,1,IF(AND(DATEDIF(#REF!,U328,"m")&gt;1,DATEDIF(#REF!,U328,"m")&lt;12),2,IF(AND(DATEDIF(#REF!,U328,"m")&gt;=12,DATEDIF(#REF!,U328,"m")&lt;24),3,IF(DATEDIF(#REF!,U328,"m")&gt;=24,4,"")))),IF(E328="r0320 - Deposits, not covered and not preferential",1,4))</f>
        <v>4</v>
      </c>
    </row>
    <row r="329" spans="3:29" ht="48.75" thickBot="1" x14ac:dyDescent="0.3">
      <c r="C329" s="11">
        <v>999</v>
      </c>
      <c r="D329" s="154">
        <v>322</v>
      </c>
      <c r="E329" s="154" t="s">
        <v>1902</v>
      </c>
      <c r="F329" s="154" t="s">
        <v>83</v>
      </c>
      <c r="G329" s="154" t="s">
        <v>1903</v>
      </c>
      <c r="H329" s="154" t="s">
        <v>420</v>
      </c>
      <c r="I329" s="154" t="s">
        <v>114</v>
      </c>
      <c r="J329" s="154" t="s">
        <v>115</v>
      </c>
      <c r="K329" s="154" t="s">
        <v>60</v>
      </c>
      <c r="L329" s="154" t="s">
        <v>1897</v>
      </c>
      <c r="M329" s="154" t="s">
        <v>1388</v>
      </c>
      <c r="N329" s="154" t="s">
        <v>61</v>
      </c>
      <c r="O329" s="154" t="s">
        <v>62</v>
      </c>
      <c r="P329" s="146">
        <v>170105.78</v>
      </c>
      <c r="Q329" s="146">
        <v>72.27</v>
      </c>
      <c r="R329" s="154" t="s">
        <v>1384</v>
      </c>
      <c r="S329" s="154" t="s">
        <v>1899</v>
      </c>
      <c r="T329" s="155" t="s">
        <v>768</v>
      </c>
      <c r="U329" s="155" t="s">
        <v>1899</v>
      </c>
      <c r="V329" s="154" t="s">
        <v>1904</v>
      </c>
      <c r="W329" s="154">
        <v>0</v>
      </c>
      <c r="X329" s="154" t="s">
        <v>63</v>
      </c>
      <c r="Y329" s="154" t="s">
        <v>1386</v>
      </c>
      <c r="Z329" s="154"/>
      <c r="AA329" s="154" t="s">
        <v>1387</v>
      </c>
      <c r="AB329" s="154">
        <v>0</v>
      </c>
      <c r="AC329" s="138">
        <f>IFERROR(IF(DATEDIF(#REF!,U329,"m")&lt;=1,1,IF(AND(DATEDIF(#REF!,U329,"m")&gt;1,DATEDIF(#REF!,U329,"m")&lt;12),2,IF(AND(DATEDIF(#REF!,U329,"m")&gt;=12,DATEDIF(#REF!,U329,"m")&lt;24),3,IF(DATEDIF(#REF!,U329,"m")&gt;=24,4,"")))),IF(E329="r0320 - Deposits, not covered and not preferential",1,4))</f>
        <v>4</v>
      </c>
    </row>
    <row r="330" spans="3:29" ht="36.75" thickBot="1" x14ac:dyDescent="0.3">
      <c r="C330" s="11">
        <v>999</v>
      </c>
      <c r="D330" s="154">
        <v>323</v>
      </c>
      <c r="E330" s="154" t="s">
        <v>1898</v>
      </c>
      <c r="F330" s="154" t="s">
        <v>87</v>
      </c>
      <c r="G330" s="154" t="s">
        <v>1402</v>
      </c>
      <c r="H330" s="154" t="s">
        <v>177</v>
      </c>
      <c r="I330" s="154" t="s">
        <v>108</v>
      </c>
      <c r="J330" s="154" t="s">
        <v>90</v>
      </c>
      <c r="K330" s="154" t="s">
        <v>91</v>
      </c>
      <c r="L330" s="154" t="s">
        <v>1897</v>
      </c>
      <c r="M330" s="154" t="s">
        <v>1383</v>
      </c>
      <c r="N330" s="154" t="s">
        <v>61</v>
      </c>
      <c r="O330" s="154" t="s">
        <v>62</v>
      </c>
      <c r="P330" s="146">
        <v>29.77</v>
      </c>
      <c r="Q330" s="146">
        <v>0</v>
      </c>
      <c r="R330" s="154" t="s">
        <v>1384</v>
      </c>
      <c r="S330" s="154" t="s">
        <v>1899</v>
      </c>
      <c r="T330" s="155" t="s">
        <v>1899</v>
      </c>
      <c r="U330" s="155" t="s">
        <v>1899</v>
      </c>
      <c r="V330" s="154" t="s">
        <v>1562</v>
      </c>
      <c r="W330" s="154">
        <v>0</v>
      </c>
      <c r="X330" s="154" t="s">
        <v>63</v>
      </c>
      <c r="Y330" s="154" t="s">
        <v>1900</v>
      </c>
      <c r="Z330" s="154"/>
      <c r="AA330" s="154" t="s">
        <v>1387</v>
      </c>
      <c r="AB330" s="154">
        <v>0</v>
      </c>
      <c r="AC330" s="138">
        <f>IFERROR(IF(DATEDIF(#REF!,U330,"m")&lt;=1,1,IF(AND(DATEDIF(#REF!,U330,"m")&gt;1,DATEDIF(#REF!,U330,"m")&lt;12),2,IF(AND(DATEDIF(#REF!,U330,"m")&gt;=12,DATEDIF(#REF!,U330,"m")&lt;24),3,IF(DATEDIF(#REF!,U330,"m")&gt;=24,4,"")))),IF(E330="r0320 - Deposits, not covered and not preferential",1,4))</f>
        <v>4</v>
      </c>
    </row>
    <row r="331" spans="3:29" ht="36.75" thickBot="1" x14ac:dyDescent="0.3">
      <c r="C331" s="11">
        <v>999</v>
      </c>
      <c r="D331" s="154">
        <v>324</v>
      </c>
      <c r="E331" s="154" t="s">
        <v>1898</v>
      </c>
      <c r="F331" s="154" t="s">
        <v>87</v>
      </c>
      <c r="G331" s="154" t="s">
        <v>1402</v>
      </c>
      <c r="H331" s="154" t="s">
        <v>1116</v>
      </c>
      <c r="I331" s="154" t="s">
        <v>108</v>
      </c>
      <c r="J331" s="154" t="s">
        <v>90</v>
      </c>
      <c r="K331" s="154" t="s">
        <v>91</v>
      </c>
      <c r="L331" s="154" t="s">
        <v>1897</v>
      </c>
      <c r="M331" s="154" t="s">
        <v>1383</v>
      </c>
      <c r="N331" s="154" t="s">
        <v>61</v>
      </c>
      <c r="O331" s="154" t="s">
        <v>62</v>
      </c>
      <c r="P331" s="146">
        <v>1.59</v>
      </c>
      <c r="Q331" s="146">
        <v>0</v>
      </c>
      <c r="R331" s="154" t="s">
        <v>1384</v>
      </c>
      <c r="S331" s="154" t="s">
        <v>1899</v>
      </c>
      <c r="T331" s="155" t="s">
        <v>1899</v>
      </c>
      <c r="U331" s="155" t="s">
        <v>1899</v>
      </c>
      <c r="V331" s="154" t="s">
        <v>1562</v>
      </c>
      <c r="W331" s="154">
        <v>0</v>
      </c>
      <c r="X331" s="154" t="s">
        <v>63</v>
      </c>
      <c r="Y331" s="154" t="s">
        <v>1900</v>
      </c>
      <c r="Z331" s="154"/>
      <c r="AA331" s="154" t="s">
        <v>1387</v>
      </c>
      <c r="AB331" s="154">
        <v>0</v>
      </c>
      <c r="AC331" s="138">
        <f>IFERROR(IF(DATEDIF(#REF!,U331,"m")&lt;=1,1,IF(AND(DATEDIF(#REF!,U331,"m")&gt;1,DATEDIF(#REF!,U331,"m")&lt;12),2,IF(AND(DATEDIF(#REF!,U331,"m")&gt;=12,DATEDIF(#REF!,U331,"m")&lt;24),3,IF(DATEDIF(#REF!,U331,"m")&gt;=24,4,"")))),IF(E331="r0320 - Deposits, not covered and not preferential",1,4))</f>
        <v>4</v>
      </c>
    </row>
    <row r="332" spans="3:29" ht="36.75" thickBot="1" x14ac:dyDescent="0.3">
      <c r="C332" s="11">
        <v>999</v>
      </c>
      <c r="D332" s="154">
        <v>325</v>
      </c>
      <c r="E332" s="154" t="s">
        <v>1898</v>
      </c>
      <c r="F332" s="154" t="s">
        <v>87</v>
      </c>
      <c r="G332" s="154" t="s">
        <v>1402</v>
      </c>
      <c r="H332" s="154" t="s">
        <v>257</v>
      </c>
      <c r="I332" s="154" t="s">
        <v>108</v>
      </c>
      <c r="J332" s="154" t="s">
        <v>90</v>
      </c>
      <c r="K332" s="154" t="s">
        <v>91</v>
      </c>
      <c r="L332" s="154" t="s">
        <v>1897</v>
      </c>
      <c r="M332" s="154" t="s">
        <v>1383</v>
      </c>
      <c r="N332" s="154" t="s">
        <v>61</v>
      </c>
      <c r="O332" s="154" t="s">
        <v>62</v>
      </c>
      <c r="P332" s="146">
        <v>0.77</v>
      </c>
      <c r="Q332" s="146">
        <v>0</v>
      </c>
      <c r="R332" s="154" t="s">
        <v>1384</v>
      </c>
      <c r="S332" s="154" t="s">
        <v>1899</v>
      </c>
      <c r="T332" s="155" t="s">
        <v>1899</v>
      </c>
      <c r="U332" s="155" t="s">
        <v>1899</v>
      </c>
      <c r="V332" s="154" t="s">
        <v>1562</v>
      </c>
      <c r="W332" s="154">
        <v>0</v>
      </c>
      <c r="X332" s="154" t="s">
        <v>63</v>
      </c>
      <c r="Y332" s="154" t="s">
        <v>1900</v>
      </c>
      <c r="Z332" s="154"/>
      <c r="AA332" s="154" t="s">
        <v>1387</v>
      </c>
      <c r="AB332" s="154">
        <v>0</v>
      </c>
      <c r="AC332" s="138">
        <f>IFERROR(IF(DATEDIF(#REF!,U332,"m")&lt;=1,1,IF(AND(DATEDIF(#REF!,U332,"m")&gt;1,DATEDIF(#REF!,U332,"m")&lt;12),2,IF(AND(DATEDIF(#REF!,U332,"m")&gt;=12,DATEDIF(#REF!,U332,"m")&lt;24),3,IF(DATEDIF(#REF!,U332,"m")&gt;=24,4,"")))),IF(E332="r0320 - Deposits, not covered and not preferential",1,4))</f>
        <v>4</v>
      </c>
    </row>
    <row r="333" spans="3:29" ht="36.75" thickBot="1" x14ac:dyDescent="0.3">
      <c r="C333" s="11">
        <v>999</v>
      </c>
      <c r="D333" s="154">
        <v>326</v>
      </c>
      <c r="E333" s="154" t="s">
        <v>1898</v>
      </c>
      <c r="F333" s="154" t="s">
        <v>87</v>
      </c>
      <c r="G333" s="154" t="s">
        <v>1402</v>
      </c>
      <c r="H333" s="154" t="s">
        <v>1157</v>
      </c>
      <c r="I333" s="154" t="s">
        <v>89</v>
      </c>
      <c r="J333" s="154" t="s">
        <v>90</v>
      </c>
      <c r="K333" s="154" t="s">
        <v>91</v>
      </c>
      <c r="L333" s="154" t="s">
        <v>1901</v>
      </c>
      <c r="M333" s="154" t="s">
        <v>1383</v>
      </c>
      <c r="N333" s="154" t="s">
        <v>61</v>
      </c>
      <c r="O333" s="154" t="s">
        <v>62</v>
      </c>
      <c r="P333" s="146">
        <v>0.2</v>
      </c>
      <c r="Q333" s="146">
        <v>0</v>
      </c>
      <c r="R333" s="154" t="s">
        <v>1384</v>
      </c>
      <c r="S333" s="154" t="s">
        <v>1899</v>
      </c>
      <c r="T333" s="155" t="s">
        <v>1899</v>
      </c>
      <c r="U333" s="155" t="s">
        <v>1899</v>
      </c>
      <c r="V333" s="154" t="s">
        <v>1562</v>
      </c>
      <c r="W333" s="154">
        <v>0</v>
      </c>
      <c r="X333" s="154" t="s">
        <v>63</v>
      </c>
      <c r="Y333" s="154" t="s">
        <v>1900</v>
      </c>
      <c r="Z333" s="154"/>
      <c r="AA333" s="154" t="s">
        <v>1387</v>
      </c>
      <c r="AB333" s="154">
        <v>0</v>
      </c>
      <c r="AC333" s="138">
        <f>IFERROR(IF(DATEDIF(#REF!,U333,"m")&lt;=1,1,IF(AND(DATEDIF(#REF!,U333,"m")&gt;1,DATEDIF(#REF!,U333,"m")&lt;12),2,IF(AND(DATEDIF(#REF!,U333,"m")&gt;=12,DATEDIF(#REF!,U333,"m")&lt;24),3,IF(DATEDIF(#REF!,U333,"m")&gt;=24,4,"")))),IF(E333="r0320 - Deposits, not covered and not preferential",1,4))</f>
        <v>4</v>
      </c>
    </row>
    <row r="334" spans="3:29" ht="36.75" thickBot="1" x14ac:dyDescent="0.3">
      <c r="C334" s="11">
        <v>999</v>
      </c>
      <c r="D334" s="154">
        <v>327</v>
      </c>
      <c r="E334" s="154" t="s">
        <v>1898</v>
      </c>
      <c r="F334" s="154" t="s">
        <v>87</v>
      </c>
      <c r="G334" s="154" t="s">
        <v>1402</v>
      </c>
      <c r="H334" s="154" t="s">
        <v>135</v>
      </c>
      <c r="I334" s="154" t="s">
        <v>108</v>
      </c>
      <c r="J334" s="154" t="s">
        <v>90</v>
      </c>
      <c r="K334" s="154" t="s">
        <v>91</v>
      </c>
      <c r="L334" s="154" t="s">
        <v>1897</v>
      </c>
      <c r="M334" s="154" t="s">
        <v>1383</v>
      </c>
      <c r="N334" s="154" t="s">
        <v>61</v>
      </c>
      <c r="O334" s="154" t="s">
        <v>62</v>
      </c>
      <c r="P334" s="146">
        <v>1.9</v>
      </c>
      <c r="Q334" s="146">
        <v>0</v>
      </c>
      <c r="R334" s="154" t="s">
        <v>1384</v>
      </c>
      <c r="S334" s="154" t="s">
        <v>1899</v>
      </c>
      <c r="T334" s="155" t="s">
        <v>1899</v>
      </c>
      <c r="U334" s="155" t="s">
        <v>1899</v>
      </c>
      <c r="V334" s="154" t="s">
        <v>1562</v>
      </c>
      <c r="W334" s="154">
        <v>0</v>
      </c>
      <c r="X334" s="154" t="s">
        <v>63</v>
      </c>
      <c r="Y334" s="154" t="s">
        <v>1900</v>
      </c>
      <c r="Z334" s="154"/>
      <c r="AA334" s="154" t="s">
        <v>1387</v>
      </c>
      <c r="AB334" s="154">
        <v>0</v>
      </c>
      <c r="AC334" s="138">
        <f>IFERROR(IF(DATEDIF(#REF!,U334,"m")&lt;=1,1,IF(AND(DATEDIF(#REF!,U334,"m")&gt;1,DATEDIF(#REF!,U334,"m")&lt;12),2,IF(AND(DATEDIF(#REF!,U334,"m")&gt;=12,DATEDIF(#REF!,U334,"m")&lt;24),3,IF(DATEDIF(#REF!,U334,"m")&gt;=24,4,"")))),IF(E334="r0320 - Deposits, not covered and not preferential",1,4))</f>
        <v>4</v>
      </c>
    </row>
    <row r="335" spans="3:29" ht="36.75" thickBot="1" x14ac:dyDescent="0.3">
      <c r="C335" s="11">
        <v>999</v>
      </c>
      <c r="D335" s="154">
        <v>328</v>
      </c>
      <c r="E335" s="154" t="s">
        <v>1898</v>
      </c>
      <c r="F335" s="154" t="s">
        <v>87</v>
      </c>
      <c r="G335" s="154" t="s">
        <v>1402</v>
      </c>
      <c r="H335" s="154" t="s">
        <v>1131</v>
      </c>
      <c r="I335" s="154" t="s">
        <v>108</v>
      </c>
      <c r="J335" s="154" t="s">
        <v>90</v>
      </c>
      <c r="K335" s="154" t="s">
        <v>91</v>
      </c>
      <c r="L335" s="154" t="s">
        <v>1897</v>
      </c>
      <c r="M335" s="154" t="s">
        <v>1383</v>
      </c>
      <c r="N335" s="154" t="s">
        <v>61</v>
      </c>
      <c r="O335" s="154" t="s">
        <v>62</v>
      </c>
      <c r="P335" s="146">
        <v>0.72</v>
      </c>
      <c r="Q335" s="146">
        <v>0</v>
      </c>
      <c r="R335" s="154" t="s">
        <v>1384</v>
      </c>
      <c r="S335" s="154" t="s">
        <v>1899</v>
      </c>
      <c r="T335" s="155" t="s">
        <v>1899</v>
      </c>
      <c r="U335" s="155" t="s">
        <v>1899</v>
      </c>
      <c r="V335" s="154" t="s">
        <v>1562</v>
      </c>
      <c r="W335" s="154">
        <v>0</v>
      </c>
      <c r="X335" s="154" t="s">
        <v>63</v>
      </c>
      <c r="Y335" s="154" t="s">
        <v>1900</v>
      </c>
      <c r="Z335" s="154"/>
      <c r="AA335" s="154" t="s">
        <v>1387</v>
      </c>
      <c r="AB335" s="154">
        <v>0</v>
      </c>
      <c r="AC335" s="138">
        <f>IFERROR(IF(DATEDIF(#REF!,U335,"m")&lt;=1,1,IF(AND(DATEDIF(#REF!,U335,"m")&gt;1,DATEDIF(#REF!,U335,"m")&lt;12),2,IF(AND(DATEDIF(#REF!,U335,"m")&gt;=12,DATEDIF(#REF!,U335,"m")&lt;24),3,IF(DATEDIF(#REF!,U335,"m")&gt;=24,4,"")))),IF(E335="r0320 - Deposits, not covered and not preferential",1,4))</f>
        <v>4</v>
      </c>
    </row>
    <row r="336" spans="3:29" ht="36.75" thickBot="1" x14ac:dyDescent="0.3">
      <c r="C336" s="11">
        <v>999</v>
      </c>
      <c r="D336" s="154">
        <v>329</v>
      </c>
      <c r="E336" s="154" t="s">
        <v>1898</v>
      </c>
      <c r="F336" s="154" t="s">
        <v>87</v>
      </c>
      <c r="G336" s="154" t="s">
        <v>1402</v>
      </c>
      <c r="H336" s="154" t="s">
        <v>1152</v>
      </c>
      <c r="I336" s="154" t="s">
        <v>89</v>
      </c>
      <c r="J336" s="154" t="s">
        <v>90</v>
      </c>
      <c r="K336" s="154" t="s">
        <v>91</v>
      </c>
      <c r="L336" s="154" t="s">
        <v>1901</v>
      </c>
      <c r="M336" s="154" t="s">
        <v>1383</v>
      </c>
      <c r="N336" s="154" t="s">
        <v>61</v>
      </c>
      <c r="O336" s="154" t="s">
        <v>62</v>
      </c>
      <c r="P336" s="146">
        <v>0.22</v>
      </c>
      <c r="Q336" s="146">
        <v>0</v>
      </c>
      <c r="R336" s="154" t="s">
        <v>1384</v>
      </c>
      <c r="S336" s="154" t="s">
        <v>1899</v>
      </c>
      <c r="T336" s="155" t="s">
        <v>1899</v>
      </c>
      <c r="U336" s="155" t="s">
        <v>1899</v>
      </c>
      <c r="V336" s="154" t="s">
        <v>1562</v>
      </c>
      <c r="W336" s="154">
        <v>0</v>
      </c>
      <c r="X336" s="154" t="s">
        <v>63</v>
      </c>
      <c r="Y336" s="154" t="s">
        <v>1900</v>
      </c>
      <c r="Z336" s="154"/>
      <c r="AA336" s="154" t="s">
        <v>1387</v>
      </c>
      <c r="AB336" s="154">
        <v>0</v>
      </c>
      <c r="AC336" s="138">
        <f>IFERROR(IF(DATEDIF(#REF!,U336,"m")&lt;=1,1,IF(AND(DATEDIF(#REF!,U336,"m")&gt;1,DATEDIF(#REF!,U336,"m")&lt;12),2,IF(AND(DATEDIF(#REF!,U336,"m")&gt;=12,DATEDIF(#REF!,U336,"m")&lt;24),3,IF(DATEDIF(#REF!,U336,"m")&gt;=24,4,"")))),IF(E336="r0320 - Deposits, not covered and not preferential",1,4))</f>
        <v>4</v>
      </c>
    </row>
    <row r="337" spans="3:29" ht="48.75" thickBot="1" x14ac:dyDescent="0.3">
      <c r="C337" s="11">
        <v>999</v>
      </c>
      <c r="D337" s="154">
        <v>330</v>
      </c>
      <c r="E337" s="154" t="s">
        <v>1902</v>
      </c>
      <c r="F337" s="154" t="s">
        <v>83</v>
      </c>
      <c r="G337" s="154" t="s">
        <v>1903</v>
      </c>
      <c r="H337" s="154" t="s">
        <v>484</v>
      </c>
      <c r="I337" s="154" t="s">
        <v>101</v>
      </c>
      <c r="J337" s="154" t="s">
        <v>102</v>
      </c>
      <c r="K337" s="154" t="s">
        <v>60</v>
      </c>
      <c r="L337" s="154" t="s">
        <v>1897</v>
      </c>
      <c r="M337" s="154" t="s">
        <v>1388</v>
      </c>
      <c r="N337" s="154" t="s">
        <v>61</v>
      </c>
      <c r="O337" s="154" t="s">
        <v>62</v>
      </c>
      <c r="P337" s="146">
        <v>198355.48</v>
      </c>
      <c r="Q337" s="146">
        <v>67.52</v>
      </c>
      <c r="R337" s="154" t="s">
        <v>1384</v>
      </c>
      <c r="S337" s="154" t="s">
        <v>1899</v>
      </c>
      <c r="T337" s="155" t="s">
        <v>768</v>
      </c>
      <c r="U337" s="155" t="s">
        <v>1899</v>
      </c>
      <c r="V337" s="154" t="s">
        <v>1904</v>
      </c>
      <c r="W337" s="154">
        <v>0</v>
      </c>
      <c r="X337" s="154" t="s">
        <v>63</v>
      </c>
      <c r="Y337" s="154" t="s">
        <v>1386</v>
      </c>
      <c r="Z337" s="154"/>
      <c r="AA337" s="154" t="s">
        <v>1387</v>
      </c>
      <c r="AB337" s="154">
        <v>0</v>
      </c>
      <c r="AC337" s="138">
        <f>IFERROR(IF(DATEDIF(#REF!,U337,"m")&lt;=1,1,IF(AND(DATEDIF(#REF!,U337,"m")&gt;1,DATEDIF(#REF!,U337,"m")&lt;12),2,IF(AND(DATEDIF(#REF!,U337,"m")&gt;=12,DATEDIF(#REF!,U337,"m")&lt;24),3,IF(DATEDIF(#REF!,U337,"m")&gt;=24,4,"")))),IF(E337="r0320 - Deposits, not covered and not preferential",1,4))</f>
        <v>4</v>
      </c>
    </row>
    <row r="338" spans="3:29" ht="36.75" thickBot="1" x14ac:dyDescent="0.3">
      <c r="C338" s="11">
        <v>999</v>
      </c>
      <c r="D338" s="154">
        <v>331</v>
      </c>
      <c r="E338" s="154" t="s">
        <v>1898</v>
      </c>
      <c r="F338" s="154" t="s">
        <v>87</v>
      </c>
      <c r="G338" s="154" t="s">
        <v>1402</v>
      </c>
      <c r="H338" s="154" t="s">
        <v>694</v>
      </c>
      <c r="I338" s="154" t="s">
        <v>89</v>
      </c>
      <c r="J338" s="154" t="s">
        <v>90</v>
      </c>
      <c r="K338" s="154" t="s">
        <v>91</v>
      </c>
      <c r="L338" s="154" t="s">
        <v>1901</v>
      </c>
      <c r="M338" s="154" t="s">
        <v>1383</v>
      </c>
      <c r="N338" s="154" t="s">
        <v>61</v>
      </c>
      <c r="O338" s="154" t="s">
        <v>62</v>
      </c>
      <c r="P338" s="146">
        <v>0.15</v>
      </c>
      <c r="Q338" s="146">
        <v>0</v>
      </c>
      <c r="R338" s="154" t="s">
        <v>1384</v>
      </c>
      <c r="S338" s="154" t="s">
        <v>1899</v>
      </c>
      <c r="T338" s="155" t="s">
        <v>1899</v>
      </c>
      <c r="U338" s="155" t="s">
        <v>1899</v>
      </c>
      <c r="V338" s="154" t="s">
        <v>1562</v>
      </c>
      <c r="W338" s="154">
        <v>0</v>
      </c>
      <c r="X338" s="154" t="s">
        <v>63</v>
      </c>
      <c r="Y338" s="154" t="s">
        <v>1900</v>
      </c>
      <c r="Z338" s="154"/>
      <c r="AA338" s="154" t="s">
        <v>1387</v>
      </c>
      <c r="AB338" s="154">
        <v>0</v>
      </c>
      <c r="AC338" s="138">
        <f>IFERROR(IF(DATEDIF(#REF!,U338,"m")&lt;=1,1,IF(AND(DATEDIF(#REF!,U338,"m")&gt;1,DATEDIF(#REF!,U338,"m")&lt;12),2,IF(AND(DATEDIF(#REF!,U338,"m")&gt;=12,DATEDIF(#REF!,U338,"m")&lt;24),3,IF(DATEDIF(#REF!,U338,"m")&gt;=24,4,"")))),IF(E338="r0320 - Deposits, not covered and not preferential",1,4))</f>
        <v>4</v>
      </c>
    </row>
    <row r="339" spans="3:29" ht="36.75" thickBot="1" x14ac:dyDescent="0.3">
      <c r="C339" s="11">
        <v>999</v>
      </c>
      <c r="D339" s="154">
        <v>332</v>
      </c>
      <c r="E339" s="154" t="s">
        <v>1898</v>
      </c>
      <c r="F339" s="154" t="s">
        <v>87</v>
      </c>
      <c r="G339" s="154" t="s">
        <v>1402</v>
      </c>
      <c r="H339" s="154" t="s">
        <v>1146</v>
      </c>
      <c r="I339" s="154" t="s">
        <v>108</v>
      </c>
      <c r="J339" s="154" t="s">
        <v>90</v>
      </c>
      <c r="K339" s="154" t="s">
        <v>91</v>
      </c>
      <c r="L339" s="154" t="s">
        <v>1897</v>
      </c>
      <c r="M339" s="154" t="s">
        <v>1383</v>
      </c>
      <c r="N339" s="154" t="s">
        <v>61</v>
      </c>
      <c r="O339" s="154" t="s">
        <v>62</v>
      </c>
      <c r="P339" s="146">
        <v>0.79</v>
      </c>
      <c r="Q339" s="146">
        <v>0</v>
      </c>
      <c r="R339" s="154" t="s">
        <v>1384</v>
      </c>
      <c r="S339" s="154" t="s">
        <v>1899</v>
      </c>
      <c r="T339" s="155" t="s">
        <v>1899</v>
      </c>
      <c r="U339" s="155" t="s">
        <v>1899</v>
      </c>
      <c r="V339" s="154" t="s">
        <v>1562</v>
      </c>
      <c r="W339" s="154">
        <v>0</v>
      </c>
      <c r="X339" s="154" t="s">
        <v>63</v>
      </c>
      <c r="Y339" s="154" t="s">
        <v>1900</v>
      </c>
      <c r="Z339" s="154"/>
      <c r="AA339" s="154" t="s">
        <v>1387</v>
      </c>
      <c r="AB339" s="154">
        <v>0</v>
      </c>
      <c r="AC339" s="138">
        <f>IFERROR(IF(DATEDIF(#REF!,U339,"m")&lt;=1,1,IF(AND(DATEDIF(#REF!,U339,"m")&gt;1,DATEDIF(#REF!,U339,"m")&lt;12),2,IF(AND(DATEDIF(#REF!,U339,"m")&gt;=12,DATEDIF(#REF!,U339,"m")&lt;24),3,IF(DATEDIF(#REF!,U339,"m")&gt;=24,4,"")))),IF(E339="r0320 - Deposits, not covered and not preferential",1,4))</f>
        <v>4</v>
      </c>
    </row>
    <row r="340" spans="3:29" ht="36.75" thickBot="1" x14ac:dyDescent="0.3">
      <c r="C340" s="11">
        <v>999</v>
      </c>
      <c r="D340" s="154">
        <v>333</v>
      </c>
      <c r="E340" s="154" t="s">
        <v>1898</v>
      </c>
      <c r="F340" s="154" t="s">
        <v>87</v>
      </c>
      <c r="G340" s="154" t="s">
        <v>1402</v>
      </c>
      <c r="H340" s="154" t="s">
        <v>697</v>
      </c>
      <c r="I340" s="154" t="s">
        <v>89</v>
      </c>
      <c r="J340" s="154" t="s">
        <v>90</v>
      </c>
      <c r="K340" s="154" t="s">
        <v>91</v>
      </c>
      <c r="L340" s="154" t="s">
        <v>1901</v>
      </c>
      <c r="M340" s="154" t="s">
        <v>1383</v>
      </c>
      <c r="N340" s="154" t="s">
        <v>61</v>
      </c>
      <c r="O340" s="154" t="s">
        <v>62</v>
      </c>
      <c r="P340" s="146">
        <v>0.12</v>
      </c>
      <c r="Q340" s="146">
        <v>0</v>
      </c>
      <c r="R340" s="154" t="s">
        <v>1384</v>
      </c>
      <c r="S340" s="154" t="s">
        <v>1899</v>
      </c>
      <c r="T340" s="155" t="s">
        <v>1899</v>
      </c>
      <c r="U340" s="155" t="s">
        <v>1899</v>
      </c>
      <c r="V340" s="154" t="s">
        <v>1562</v>
      </c>
      <c r="W340" s="154">
        <v>0</v>
      </c>
      <c r="X340" s="154" t="s">
        <v>63</v>
      </c>
      <c r="Y340" s="154" t="s">
        <v>1900</v>
      </c>
      <c r="Z340" s="154"/>
      <c r="AA340" s="154" t="s">
        <v>1387</v>
      </c>
      <c r="AB340" s="154">
        <v>0</v>
      </c>
      <c r="AC340" s="138">
        <f>IFERROR(IF(DATEDIF(#REF!,U340,"m")&lt;=1,1,IF(AND(DATEDIF(#REF!,U340,"m")&gt;1,DATEDIF(#REF!,U340,"m")&lt;12),2,IF(AND(DATEDIF(#REF!,U340,"m")&gt;=12,DATEDIF(#REF!,U340,"m")&lt;24),3,IF(DATEDIF(#REF!,U340,"m")&gt;=24,4,"")))),IF(E340="r0320 - Deposits, not covered and not preferential",1,4))</f>
        <v>4</v>
      </c>
    </row>
    <row r="341" spans="3:29" ht="36.75" thickBot="1" x14ac:dyDescent="0.3">
      <c r="C341" s="11">
        <v>999</v>
      </c>
      <c r="D341" s="154">
        <v>334</v>
      </c>
      <c r="E341" s="154" t="s">
        <v>1898</v>
      </c>
      <c r="F341" s="154" t="s">
        <v>87</v>
      </c>
      <c r="G341" s="154" t="s">
        <v>1402</v>
      </c>
      <c r="H341" s="154" t="s">
        <v>1181</v>
      </c>
      <c r="I341" s="154" t="s">
        <v>108</v>
      </c>
      <c r="J341" s="154" t="s">
        <v>90</v>
      </c>
      <c r="K341" s="154" t="s">
        <v>91</v>
      </c>
      <c r="L341" s="154" t="s">
        <v>1897</v>
      </c>
      <c r="M341" s="154" t="s">
        <v>1383</v>
      </c>
      <c r="N341" s="154" t="s">
        <v>61</v>
      </c>
      <c r="O341" s="154" t="s">
        <v>62</v>
      </c>
      <c r="P341" s="146">
        <v>14.16</v>
      </c>
      <c r="Q341" s="146">
        <v>0</v>
      </c>
      <c r="R341" s="154" t="s">
        <v>1384</v>
      </c>
      <c r="S341" s="154" t="s">
        <v>1899</v>
      </c>
      <c r="T341" s="155" t="s">
        <v>1899</v>
      </c>
      <c r="U341" s="155" t="s">
        <v>1899</v>
      </c>
      <c r="V341" s="154" t="s">
        <v>1562</v>
      </c>
      <c r="W341" s="154">
        <v>0</v>
      </c>
      <c r="X341" s="154" t="s">
        <v>63</v>
      </c>
      <c r="Y341" s="154" t="s">
        <v>1900</v>
      </c>
      <c r="Z341" s="154"/>
      <c r="AA341" s="154" t="s">
        <v>1387</v>
      </c>
      <c r="AB341" s="154">
        <v>0</v>
      </c>
      <c r="AC341" s="138">
        <f>IFERROR(IF(DATEDIF(#REF!,U341,"m")&lt;=1,1,IF(AND(DATEDIF(#REF!,U341,"m")&gt;1,DATEDIF(#REF!,U341,"m")&lt;12),2,IF(AND(DATEDIF(#REF!,U341,"m")&gt;=12,DATEDIF(#REF!,U341,"m")&lt;24),3,IF(DATEDIF(#REF!,U341,"m")&gt;=24,4,"")))),IF(E341="r0320 - Deposits, not covered and not preferential",1,4))</f>
        <v>4</v>
      </c>
    </row>
    <row r="342" spans="3:29" ht="36.75" thickBot="1" x14ac:dyDescent="0.3">
      <c r="C342" s="11">
        <v>999</v>
      </c>
      <c r="D342" s="154">
        <v>335</v>
      </c>
      <c r="E342" s="154" t="s">
        <v>1898</v>
      </c>
      <c r="F342" s="154" t="s">
        <v>87</v>
      </c>
      <c r="G342" s="154" t="s">
        <v>1402</v>
      </c>
      <c r="H342" s="154" t="s">
        <v>701</v>
      </c>
      <c r="I342" s="154" t="s">
        <v>89</v>
      </c>
      <c r="J342" s="154" t="s">
        <v>90</v>
      </c>
      <c r="K342" s="154" t="s">
        <v>91</v>
      </c>
      <c r="L342" s="154" t="s">
        <v>1901</v>
      </c>
      <c r="M342" s="154" t="s">
        <v>1383</v>
      </c>
      <c r="N342" s="154" t="s">
        <v>61</v>
      </c>
      <c r="O342" s="154" t="s">
        <v>62</v>
      </c>
      <c r="P342" s="146">
        <v>0.23</v>
      </c>
      <c r="Q342" s="146">
        <v>0</v>
      </c>
      <c r="R342" s="154" t="s">
        <v>1384</v>
      </c>
      <c r="S342" s="154" t="s">
        <v>1899</v>
      </c>
      <c r="T342" s="155" t="s">
        <v>1899</v>
      </c>
      <c r="U342" s="155" t="s">
        <v>1899</v>
      </c>
      <c r="V342" s="154" t="s">
        <v>1562</v>
      </c>
      <c r="W342" s="154">
        <v>0</v>
      </c>
      <c r="X342" s="154" t="s">
        <v>63</v>
      </c>
      <c r="Y342" s="154" t="s">
        <v>1900</v>
      </c>
      <c r="Z342" s="154"/>
      <c r="AA342" s="154" t="s">
        <v>1387</v>
      </c>
      <c r="AB342" s="154">
        <v>0</v>
      </c>
      <c r="AC342" s="138">
        <f>IFERROR(IF(DATEDIF(#REF!,U342,"m")&lt;=1,1,IF(AND(DATEDIF(#REF!,U342,"m")&gt;1,DATEDIF(#REF!,U342,"m")&lt;12),2,IF(AND(DATEDIF(#REF!,U342,"m")&gt;=12,DATEDIF(#REF!,U342,"m")&lt;24),3,IF(DATEDIF(#REF!,U342,"m")&gt;=24,4,"")))),IF(E342="r0320 - Deposits, not covered and not preferential",1,4))</f>
        <v>4</v>
      </c>
    </row>
    <row r="343" spans="3:29" ht="36.75" thickBot="1" x14ac:dyDescent="0.3">
      <c r="C343" s="11">
        <v>999</v>
      </c>
      <c r="D343" s="154">
        <v>336</v>
      </c>
      <c r="E343" s="154" t="s">
        <v>1898</v>
      </c>
      <c r="F343" s="154" t="s">
        <v>87</v>
      </c>
      <c r="G343" s="154" t="s">
        <v>1402</v>
      </c>
      <c r="H343" s="154" t="s">
        <v>1159</v>
      </c>
      <c r="I343" s="154" t="s">
        <v>108</v>
      </c>
      <c r="J343" s="154" t="s">
        <v>90</v>
      </c>
      <c r="K343" s="154" t="s">
        <v>91</v>
      </c>
      <c r="L343" s="154" t="s">
        <v>1897</v>
      </c>
      <c r="M343" s="154" t="s">
        <v>1383</v>
      </c>
      <c r="N343" s="154" t="s">
        <v>61</v>
      </c>
      <c r="O343" s="154" t="s">
        <v>62</v>
      </c>
      <c r="P343" s="146">
        <v>1.93</v>
      </c>
      <c r="Q343" s="146">
        <v>0</v>
      </c>
      <c r="R343" s="154" t="s">
        <v>1384</v>
      </c>
      <c r="S343" s="154" t="s">
        <v>1899</v>
      </c>
      <c r="T343" s="155" t="s">
        <v>1899</v>
      </c>
      <c r="U343" s="155" t="s">
        <v>1899</v>
      </c>
      <c r="V343" s="154" t="s">
        <v>1562</v>
      </c>
      <c r="W343" s="154">
        <v>0</v>
      </c>
      <c r="X343" s="154" t="s">
        <v>63</v>
      </c>
      <c r="Y343" s="154" t="s">
        <v>1900</v>
      </c>
      <c r="Z343" s="154"/>
      <c r="AA343" s="154" t="s">
        <v>1387</v>
      </c>
      <c r="AB343" s="154">
        <v>0</v>
      </c>
      <c r="AC343" s="138">
        <f>IFERROR(IF(DATEDIF(#REF!,U343,"m")&lt;=1,1,IF(AND(DATEDIF(#REF!,U343,"m")&gt;1,DATEDIF(#REF!,U343,"m")&lt;12),2,IF(AND(DATEDIF(#REF!,U343,"m")&gt;=12,DATEDIF(#REF!,U343,"m")&lt;24),3,IF(DATEDIF(#REF!,U343,"m")&gt;=24,4,"")))),IF(E343="r0320 - Deposits, not covered and not preferential",1,4))</f>
        <v>4</v>
      </c>
    </row>
    <row r="344" spans="3:29" ht="36.75" thickBot="1" x14ac:dyDescent="0.3">
      <c r="C344" s="11">
        <v>999</v>
      </c>
      <c r="D344" s="154">
        <v>337</v>
      </c>
      <c r="E344" s="154" t="s">
        <v>1898</v>
      </c>
      <c r="F344" s="154" t="s">
        <v>87</v>
      </c>
      <c r="G344" s="154" t="s">
        <v>1402</v>
      </c>
      <c r="H344" s="154" t="s">
        <v>704</v>
      </c>
      <c r="I344" s="154" t="s">
        <v>111</v>
      </c>
      <c r="J344" s="154" t="s">
        <v>90</v>
      </c>
      <c r="K344" s="154" t="s">
        <v>91</v>
      </c>
      <c r="L344" s="154" t="s">
        <v>1897</v>
      </c>
      <c r="M344" s="154" t="s">
        <v>1383</v>
      </c>
      <c r="N344" s="154" t="s">
        <v>61</v>
      </c>
      <c r="O344" s="154" t="s">
        <v>62</v>
      </c>
      <c r="P344" s="146">
        <v>0.88</v>
      </c>
      <c r="Q344" s="146">
        <v>0</v>
      </c>
      <c r="R344" s="154" t="s">
        <v>1384</v>
      </c>
      <c r="S344" s="154" t="s">
        <v>1899</v>
      </c>
      <c r="T344" s="155" t="s">
        <v>1899</v>
      </c>
      <c r="U344" s="155" t="s">
        <v>1899</v>
      </c>
      <c r="V344" s="154" t="s">
        <v>1562</v>
      </c>
      <c r="W344" s="154">
        <v>0</v>
      </c>
      <c r="X344" s="154" t="s">
        <v>63</v>
      </c>
      <c r="Y344" s="154" t="s">
        <v>1900</v>
      </c>
      <c r="Z344" s="154"/>
      <c r="AA344" s="154" t="s">
        <v>1387</v>
      </c>
      <c r="AB344" s="154">
        <v>0</v>
      </c>
      <c r="AC344" s="138">
        <f>IFERROR(IF(DATEDIF(#REF!,U344,"m")&lt;=1,1,IF(AND(DATEDIF(#REF!,U344,"m")&gt;1,DATEDIF(#REF!,U344,"m")&lt;12),2,IF(AND(DATEDIF(#REF!,U344,"m")&gt;=12,DATEDIF(#REF!,U344,"m")&lt;24),3,IF(DATEDIF(#REF!,U344,"m")&gt;=24,4,"")))),IF(E344="r0320 - Deposits, not covered and not preferential",1,4))</f>
        <v>4</v>
      </c>
    </row>
    <row r="345" spans="3:29" ht="48.75" thickBot="1" x14ac:dyDescent="0.3">
      <c r="C345" s="11">
        <v>999</v>
      </c>
      <c r="D345" s="154">
        <v>338</v>
      </c>
      <c r="E345" s="154" t="s">
        <v>1902</v>
      </c>
      <c r="F345" s="154" t="s">
        <v>83</v>
      </c>
      <c r="G345" s="154" t="s">
        <v>1903</v>
      </c>
      <c r="H345" s="154" t="s">
        <v>436</v>
      </c>
      <c r="I345" s="154" t="s">
        <v>93</v>
      </c>
      <c r="J345" s="154" t="s">
        <v>94</v>
      </c>
      <c r="K345" s="154" t="s">
        <v>60</v>
      </c>
      <c r="L345" s="154" t="s">
        <v>1897</v>
      </c>
      <c r="M345" s="154" t="s">
        <v>1388</v>
      </c>
      <c r="N345" s="154" t="s">
        <v>61</v>
      </c>
      <c r="O345" s="154" t="s">
        <v>62</v>
      </c>
      <c r="P345" s="146">
        <v>7908.95</v>
      </c>
      <c r="Q345" s="146">
        <v>-0.02</v>
      </c>
      <c r="R345" s="154" t="s">
        <v>1384</v>
      </c>
      <c r="S345" s="154" t="s">
        <v>1899</v>
      </c>
      <c r="T345" s="155" t="s">
        <v>768</v>
      </c>
      <c r="U345" s="155" t="s">
        <v>1899</v>
      </c>
      <c r="V345" s="154" t="s">
        <v>1904</v>
      </c>
      <c r="W345" s="154">
        <v>0</v>
      </c>
      <c r="X345" s="154" t="s">
        <v>63</v>
      </c>
      <c r="Y345" s="154" t="s">
        <v>1386</v>
      </c>
      <c r="Z345" s="154"/>
      <c r="AA345" s="154" t="s">
        <v>1387</v>
      </c>
      <c r="AB345" s="154">
        <v>0</v>
      </c>
      <c r="AC345" s="138">
        <f>IFERROR(IF(DATEDIF(#REF!,U345,"m")&lt;=1,1,IF(AND(DATEDIF(#REF!,U345,"m")&gt;1,DATEDIF(#REF!,U345,"m")&lt;12),2,IF(AND(DATEDIF(#REF!,U345,"m")&gt;=12,DATEDIF(#REF!,U345,"m")&lt;24),3,IF(DATEDIF(#REF!,U345,"m")&gt;=24,4,"")))),IF(E345="r0320 - Deposits, not covered and not preferential",1,4))</f>
        <v>4</v>
      </c>
    </row>
    <row r="346" spans="3:29" ht="36.75" thickBot="1" x14ac:dyDescent="0.3">
      <c r="C346" s="11">
        <v>999</v>
      </c>
      <c r="D346" s="154">
        <v>339</v>
      </c>
      <c r="E346" s="154" t="s">
        <v>1898</v>
      </c>
      <c r="F346" s="154" t="s">
        <v>87</v>
      </c>
      <c r="G346" s="154" t="s">
        <v>1402</v>
      </c>
      <c r="H346" s="154" t="s">
        <v>708</v>
      </c>
      <c r="I346" s="154" t="s">
        <v>111</v>
      </c>
      <c r="J346" s="154" t="s">
        <v>90</v>
      </c>
      <c r="K346" s="154" t="s">
        <v>91</v>
      </c>
      <c r="L346" s="154" t="s">
        <v>1897</v>
      </c>
      <c r="M346" s="154" t="s">
        <v>1383</v>
      </c>
      <c r="N346" s="154" t="s">
        <v>61</v>
      </c>
      <c r="O346" s="154" t="s">
        <v>62</v>
      </c>
      <c r="P346" s="146">
        <v>106.38</v>
      </c>
      <c r="Q346" s="146">
        <v>0</v>
      </c>
      <c r="R346" s="154" t="s">
        <v>1384</v>
      </c>
      <c r="S346" s="154" t="s">
        <v>1899</v>
      </c>
      <c r="T346" s="155" t="s">
        <v>1899</v>
      </c>
      <c r="U346" s="155" t="s">
        <v>1899</v>
      </c>
      <c r="V346" s="154" t="s">
        <v>1562</v>
      </c>
      <c r="W346" s="154">
        <v>0</v>
      </c>
      <c r="X346" s="154" t="s">
        <v>63</v>
      </c>
      <c r="Y346" s="154" t="s">
        <v>1900</v>
      </c>
      <c r="Z346" s="154"/>
      <c r="AA346" s="154" t="s">
        <v>1387</v>
      </c>
      <c r="AB346" s="154">
        <v>0</v>
      </c>
      <c r="AC346" s="138">
        <f>IFERROR(IF(DATEDIF(#REF!,U346,"m")&lt;=1,1,IF(AND(DATEDIF(#REF!,U346,"m")&gt;1,DATEDIF(#REF!,U346,"m")&lt;12),2,IF(AND(DATEDIF(#REF!,U346,"m")&gt;=12,DATEDIF(#REF!,U346,"m")&lt;24),3,IF(DATEDIF(#REF!,U346,"m")&gt;=24,4,"")))),IF(E346="r0320 - Deposits, not covered and not preferential",1,4))</f>
        <v>4</v>
      </c>
    </row>
    <row r="347" spans="3:29" ht="36.75" thickBot="1" x14ac:dyDescent="0.3">
      <c r="C347" s="11">
        <v>999</v>
      </c>
      <c r="D347" s="154">
        <v>340</v>
      </c>
      <c r="E347" s="154" t="s">
        <v>1898</v>
      </c>
      <c r="F347" s="154" t="s">
        <v>87</v>
      </c>
      <c r="G347" s="154" t="s">
        <v>1402</v>
      </c>
      <c r="H347" s="154" t="s">
        <v>1170</v>
      </c>
      <c r="I347" s="154" t="s">
        <v>108</v>
      </c>
      <c r="J347" s="154" t="s">
        <v>90</v>
      </c>
      <c r="K347" s="154" t="s">
        <v>91</v>
      </c>
      <c r="L347" s="154" t="s">
        <v>1897</v>
      </c>
      <c r="M347" s="154" t="s">
        <v>1383</v>
      </c>
      <c r="N347" s="154" t="s">
        <v>61</v>
      </c>
      <c r="O347" s="154" t="s">
        <v>62</v>
      </c>
      <c r="P347" s="146">
        <v>11.7</v>
      </c>
      <c r="Q347" s="146">
        <v>0</v>
      </c>
      <c r="R347" s="154" t="s">
        <v>1384</v>
      </c>
      <c r="S347" s="154" t="s">
        <v>1899</v>
      </c>
      <c r="T347" s="155" t="s">
        <v>1899</v>
      </c>
      <c r="U347" s="155" t="s">
        <v>1899</v>
      </c>
      <c r="V347" s="154" t="s">
        <v>1562</v>
      </c>
      <c r="W347" s="154">
        <v>0</v>
      </c>
      <c r="X347" s="154" t="s">
        <v>63</v>
      </c>
      <c r="Y347" s="154" t="s">
        <v>1900</v>
      </c>
      <c r="Z347" s="154"/>
      <c r="AA347" s="154" t="s">
        <v>1387</v>
      </c>
      <c r="AB347" s="154">
        <v>0</v>
      </c>
      <c r="AC347" s="138">
        <f>IFERROR(IF(DATEDIF(#REF!,U347,"m")&lt;=1,1,IF(AND(DATEDIF(#REF!,U347,"m")&gt;1,DATEDIF(#REF!,U347,"m")&lt;12),2,IF(AND(DATEDIF(#REF!,U347,"m")&gt;=12,DATEDIF(#REF!,U347,"m")&lt;24),3,IF(DATEDIF(#REF!,U347,"m")&gt;=24,4,"")))),IF(E347="r0320 - Deposits, not covered and not preferential",1,4))</f>
        <v>4</v>
      </c>
    </row>
    <row r="348" spans="3:29" ht="36.75" thickBot="1" x14ac:dyDescent="0.3">
      <c r="C348" s="11">
        <v>999</v>
      </c>
      <c r="D348" s="154">
        <v>341</v>
      </c>
      <c r="E348" s="154" t="s">
        <v>1898</v>
      </c>
      <c r="F348" s="154" t="s">
        <v>87</v>
      </c>
      <c r="G348" s="154" t="s">
        <v>1402</v>
      </c>
      <c r="H348" s="154" t="s">
        <v>712</v>
      </c>
      <c r="I348" s="154" t="s">
        <v>108</v>
      </c>
      <c r="J348" s="154" t="s">
        <v>90</v>
      </c>
      <c r="K348" s="154" t="s">
        <v>91</v>
      </c>
      <c r="L348" s="154" t="s">
        <v>1897</v>
      </c>
      <c r="M348" s="154" t="s">
        <v>1383</v>
      </c>
      <c r="N348" s="154" t="s">
        <v>61</v>
      </c>
      <c r="O348" s="154" t="s">
        <v>62</v>
      </c>
      <c r="P348" s="146">
        <v>2.88</v>
      </c>
      <c r="Q348" s="146">
        <v>0</v>
      </c>
      <c r="R348" s="154" t="s">
        <v>1384</v>
      </c>
      <c r="S348" s="154" t="s">
        <v>1899</v>
      </c>
      <c r="T348" s="155" t="s">
        <v>1899</v>
      </c>
      <c r="U348" s="155" t="s">
        <v>1899</v>
      </c>
      <c r="V348" s="154" t="s">
        <v>1562</v>
      </c>
      <c r="W348" s="154">
        <v>0</v>
      </c>
      <c r="X348" s="154" t="s">
        <v>63</v>
      </c>
      <c r="Y348" s="154" t="s">
        <v>1900</v>
      </c>
      <c r="Z348" s="154"/>
      <c r="AA348" s="154" t="s">
        <v>1387</v>
      </c>
      <c r="AB348" s="154">
        <v>0</v>
      </c>
      <c r="AC348" s="138">
        <f>IFERROR(IF(DATEDIF(#REF!,U348,"m")&lt;=1,1,IF(AND(DATEDIF(#REF!,U348,"m")&gt;1,DATEDIF(#REF!,U348,"m")&lt;12),2,IF(AND(DATEDIF(#REF!,U348,"m")&gt;=12,DATEDIF(#REF!,U348,"m")&lt;24),3,IF(DATEDIF(#REF!,U348,"m")&gt;=24,4,"")))),IF(E348="r0320 - Deposits, not covered and not preferential",1,4))</f>
        <v>4</v>
      </c>
    </row>
    <row r="349" spans="3:29" ht="36.75" thickBot="1" x14ac:dyDescent="0.3">
      <c r="C349" s="11">
        <v>999</v>
      </c>
      <c r="D349" s="154">
        <v>342</v>
      </c>
      <c r="E349" s="154" t="s">
        <v>1898</v>
      </c>
      <c r="F349" s="154" t="s">
        <v>87</v>
      </c>
      <c r="G349" s="154" t="s">
        <v>1402</v>
      </c>
      <c r="H349" s="154" t="s">
        <v>1204</v>
      </c>
      <c r="I349" s="154" t="s">
        <v>108</v>
      </c>
      <c r="J349" s="154" t="s">
        <v>90</v>
      </c>
      <c r="K349" s="154" t="s">
        <v>91</v>
      </c>
      <c r="L349" s="154" t="s">
        <v>1897</v>
      </c>
      <c r="M349" s="154" t="s">
        <v>1383</v>
      </c>
      <c r="N349" s="154" t="s">
        <v>61</v>
      </c>
      <c r="O349" s="154" t="s">
        <v>62</v>
      </c>
      <c r="P349" s="146">
        <v>5.68</v>
      </c>
      <c r="Q349" s="146">
        <v>0</v>
      </c>
      <c r="R349" s="154" t="s">
        <v>1384</v>
      </c>
      <c r="S349" s="154" t="s">
        <v>1899</v>
      </c>
      <c r="T349" s="155" t="s">
        <v>1899</v>
      </c>
      <c r="U349" s="155" t="s">
        <v>1899</v>
      </c>
      <c r="V349" s="154" t="s">
        <v>1562</v>
      </c>
      <c r="W349" s="154">
        <v>0</v>
      </c>
      <c r="X349" s="154" t="s">
        <v>63</v>
      </c>
      <c r="Y349" s="154" t="s">
        <v>1900</v>
      </c>
      <c r="Z349" s="154"/>
      <c r="AA349" s="154" t="s">
        <v>1387</v>
      </c>
      <c r="AB349" s="154">
        <v>0</v>
      </c>
      <c r="AC349" s="138">
        <f>IFERROR(IF(DATEDIF(#REF!,U349,"m")&lt;=1,1,IF(AND(DATEDIF(#REF!,U349,"m")&gt;1,DATEDIF(#REF!,U349,"m")&lt;12),2,IF(AND(DATEDIF(#REF!,U349,"m")&gt;=12,DATEDIF(#REF!,U349,"m")&lt;24),3,IF(DATEDIF(#REF!,U349,"m")&gt;=24,4,"")))),IF(E349="r0320 - Deposits, not covered and not preferential",1,4))</f>
        <v>4</v>
      </c>
    </row>
    <row r="350" spans="3:29" ht="36.75" thickBot="1" x14ac:dyDescent="0.3">
      <c r="C350" s="11">
        <v>999</v>
      </c>
      <c r="D350" s="154">
        <v>343</v>
      </c>
      <c r="E350" s="154" t="s">
        <v>1898</v>
      </c>
      <c r="F350" s="154" t="s">
        <v>87</v>
      </c>
      <c r="G350" s="154" t="s">
        <v>1402</v>
      </c>
      <c r="H350" s="154" t="s">
        <v>716</v>
      </c>
      <c r="I350" s="154" t="s">
        <v>108</v>
      </c>
      <c r="J350" s="154" t="s">
        <v>90</v>
      </c>
      <c r="K350" s="154" t="s">
        <v>91</v>
      </c>
      <c r="L350" s="154" t="s">
        <v>1897</v>
      </c>
      <c r="M350" s="154" t="s">
        <v>1383</v>
      </c>
      <c r="N350" s="154" t="s">
        <v>61</v>
      </c>
      <c r="O350" s="154" t="s">
        <v>62</v>
      </c>
      <c r="P350" s="146">
        <v>1.26</v>
      </c>
      <c r="Q350" s="146">
        <v>0</v>
      </c>
      <c r="R350" s="154" t="s">
        <v>1384</v>
      </c>
      <c r="S350" s="154" t="s">
        <v>1899</v>
      </c>
      <c r="T350" s="155" t="s">
        <v>1899</v>
      </c>
      <c r="U350" s="155" t="s">
        <v>1899</v>
      </c>
      <c r="V350" s="154" t="s">
        <v>1562</v>
      </c>
      <c r="W350" s="154">
        <v>0</v>
      </c>
      <c r="X350" s="154" t="s">
        <v>63</v>
      </c>
      <c r="Y350" s="154" t="s">
        <v>1900</v>
      </c>
      <c r="Z350" s="154"/>
      <c r="AA350" s="154" t="s">
        <v>1387</v>
      </c>
      <c r="AB350" s="154">
        <v>0</v>
      </c>
      <c r="AC350" s="138">
        <f>IFERROR(IF(DATEDIF(#REF!,U350,"m")&lt;=1,1,IF(AND(DATEDIF(#REF!,U350,"m")&gt;1,DATEDIF(#REF!,U350,"m")&lt;12),2,IF(AND(DATEDIF(#REF!,U350,"m")&gt;=12,DATEDIF(#REF!,U350,"m")&lt;24),3,IF(DATEDIF(#REF!,U350,"m")&gt;=24,4,"")))),IF(E350="r0320 - Deposits, not covered and not preferential",1,4))</f>
        <v>4</v>
      </c>
    </row>
    <row r="351" spans="3:29" ht="36.75" thickBot="1" x14ac:dyDescent="0.3">
      <c r="C351" s="11">
        <v>999</v>
      </c>
      <c r="D351" s="154">
        <v>344</v>
      </c>
      <c r="E351" s="154" t="s">
        <v>1898</v>
      </c>
      <c r="F351" s="154" t="s">
        <v>87</v>
      </c>
      <c r="G351" s="154" t="s">
        <v>1402</v>
      </c>
      <c r="H351" s="154" t="s">
        <v>1183</v>
      </c>
      <c r="I351" s="154" t="s">
        <v>108</v>
      </c>
      <c r="J351" s="154" t="s">
        <v>90</v>
      </c>
      <c r="K351" s="154" t="s">
        <v>91</v>
      </c>
      <c r="L351" s="154" t="s">
        <v>1897</v>
      </c>
      <c r="M351" s="154" t="s">
        <v>1383</v>
      </c>
      <c r="N351" s="154" t="s">
        <v>61</v>
      </c>
      <c r="O351" s="154" t="s">
        <v>62</v>
      </c>
      <c r="P351" s="146">
        <v>1.05</v>
      </c>
      <c r="Q351" s="146">
        <v>0</v>
      </c>
      <c r="R351" s="154" t="s">
        <v>1384</v>
      </c>
      <c r="S351" s="154" t="s">
        <v>1899</v>
      </c>
      <c r="T351" s="155" t="s">
        <v>1899</v>
      </c>
      <c r="U351" s="155" t="s">
        <v>1899</v>
      </c>
      <c r="V351" s="154" t="s">
        <v>1562</v>
      </c>
      <c r="W351" s="154">
        <v>0</v>
      </c>
      <c r="X351" s="154" t="s">
        <v>63</v>
      </c>
      <c r="Y351" s="154" t="s">
        <v>1900</v>
      </c>
      <c r="Z351" s="154"/>
      <c r="AA351" s="154" t="s">
        <v>1387</v>
      </c>
      <c r="AB351" s="154">
        <v>0</v>
      </c>
      <c r="AC351" s="138">
        <f>IFERROR(IF(DATEDIF(#REF!,U351,"m")&lt;=1,1,IF(AND(DATEDIF(#REF!,U351,"m")&gt;1,DATEDIF(#REF!,U351,"m")&lt;12),2,IF(AND(DATEDIF(#REF!,U351,"m")&gt;=12,DATEDIF(#REF!,U351,"m")&lt;24),3,IF(DATEDIF(#REF!,U351,"m")&gt;=24,4,"")))),IF(E351="r0320 - Deposits, not covered and not preferential",1,4))</f>
        <v>4</v>
      </c>
    </row>
    <row r="352" spans="3:29" ht="36.75" thickBot="1" x14ac:dyDescent="0.3">
      <c r="C352" s="11">
        <v>999</v>
      </c>
      <c r="D352" s="154">
        <v>345</v>
      </c>
      <c r="E352" s="154" t="s">
        <v>1898</v>
      </c>
      <c r="F352" s="154" t="s">
        <v>87</v>
      </c>
      <c r="G352" s="154" t="s">
        <v>1402</v>
      </c>
      <c r="H352" s="154" t="s">
        <v>1191</v>
      </c>
      <c r="I352" s="154" t="s">
        <v>108</v>
      </c>
      <c r="J352" s="154" t="s">
        <v>90</v>
      </c>
      <c r="K352" s="154" t="s">
        <v>91</v>
      </c>
      <c r="L352" s="154" t="s">
        <v>1897</v>
      </c>
      <c r="M352" s="154" t="s">
        <v>1383</v>
      </c>
      <c r="N352" s="154" t="s">
        <v>61</v>
      </c>
      <c r="O352" s="154" t="s">
        <v>62</v>
      </c>
      <c r="P352" s="146">
        <v>2.15</v>
      </c>
      <c r="Q352" s="146">
        <v>0</v>
      </c>
      <c r="R352" s="154" t="s">
        <v>1384</v>
      </c>
      <c r="S352" s="154" t="s">
        <v>1899</v>
      </c>
      <c r="T352" s="155" t="s">
        <v>1899</v>
      </c>
      <c r="U352" s="155" t="s">
        <v>1899</v>
      </c>
      <c r="V352" s="154" t="s">
        <v>1562</v>
      </c>
      <c r="W352" s="154">
        <v>0</v>
      </c>
      <c r="X352" s="154" t="s">
        <v>63</v>
      </c>
      <c r="Y352" s="154" t="s">
        <v>1900</v>
      </c>
      <c r="Z352" s="154"/>
      <c r="AA352" s="154" t="s">
        <v>1387</v>
      </c>
      <c r="AB352" s="154">
        <v>0</v>
      </c>
      <c r="AC352" s="138">
        <f>IFERROR(IF(DATEDIF(#REF!,U352,"m")&lt;=1,1,IF(AND(DATEDIF(#REF!,U352,"m")&gt;1,DATEDIF(#REF!,U352,"m")&lt;12),2,IF(AND(DATEDIF(#REF!,U352,"m")&gt;=12,DATEDIF(#REF!,U352,"m")&lt;24),3,IF(DATEDIF(#REF!,U352,"m")&gt;=24,4,"")))),IF(E352="r0320 - Deposits, not covered and not preferential",1,4))</f>
        <v>4</v>
      </c>
    </row>
    <row r="353" spans="3:29" ht="48.75" thickBot="1" x14ac:dyDescent="0.3">
      <c r="C353" s="11">
        <v>999</v>
      </c>
      <c r="D353" s="154">
        <v>346</v>
      </c>
      <c r="E353" s="154" t="s">
        <v>1902</v>
      </c>
      <c r="F353" s="154" t="s">
        <v>83</v>
      </c>
      <c r="G353" s="154" t="s">
        <v>1903</v>
      </c>
      <c r="H353" s="154" t="s">
        <v>140</v>
      </c>
      <c r="I353" s="154" t="s">
        <v>101</v>
      </c>
      <c r="J353" s="154" t="s">
        <v>102</v>
      </c>
      <c r="K353" s="154" t="s">
        <v>60</v>
      </c>
      <c r="L353" s="154" t="s">
        <v>1897</v>
      </c>
      <c r="M353" s="154" t="s">
        <v>1388</v>
      </c>
      <c r="N353" s="154" t="s">
        <v>61</v>
      </c>
      <c r="O353" s="154" t="s">
        <v>62</v>
      </c>
      <c r="P353" s="146">
        <v>52115.01</v>
      </c>
      <c r="Q353" s="146">
        <v>59.51</v>
      </c>
      <c r="R353" s="154" t="s">
        <v>1384</v>
      </c>
      <c r="S353" s="154" t="s">
        <v>1899</v>
      </c>
      <c r="T353" s="155" t="s">
        <v>768</v>
      </c>
      <c r="U353" s="155" t="s">
        <v>1899</v>
      </c>
      <c r="V353" s="154" t="s">
        <v>1904</v>
      </c>
      <c r="W353" s="154">
        <v>0</v>
      </c>
      <c r="X353" s="154" t="s">
        <v>63</v>
      </c>
      <c r="Y353" s="154" t="s">
        <v>1386</v>
      </c>
      <c r="Z353" s="154"/>
      <c r="AA353" s="154" t="s">
        <v>1387</v>
      </c>
      <c r="AB353" s="154">
        <v>0</v>
      </c>
      <c r="AC353" s="138">
        <f>IFERROR(IF(DATEDIF(#REF!,U353,"m")&lt;=1,1,IF(AND(DATEDIF(#REF!,U353,"m")&gt;1,DATEDIF(#REF!,U353,"m")&lt;12),2,IF(AND(DATEDIF(#REF!,U353,"m")&gt;=12,DATEDIF(#REF!,U353,"m")&lt;24),3,IF(DATEDIF(#REF!,U353,"m")&gt;=24,4,"")))),IF(E353="r0320 - Deposits, not covered and not preferential",1,4))</f>
        <v>4</v>
      </c>
    </row>
    <row r="354" spans="3:29" ht="36.75" thickBot="1" x14ac:dyDescent="0.3">
      <c r="C354" s="11">
        <v>999</v>
      </c>
      <c r="D354" s="154">
        <v>347</v>
      </c>
      <c r="E354" s="154" t="s">
        <v>1898</v>
      </c>
      <c r="F354" s="154" t="s">
        <v>56</v>
      </c>
      <c r="G354" s="154" t="s">
        <v>1402</v>
      </c>
      <c r="H354" s="154" t="s">
        <v>1197</v>
      </c>
      <c r="I354" s="154" t="s">
        <v>66</v>
      </c>
      <c r="J354" s="154" t="s">
        <v>67</v>
      </c>
      <c r="K354" s="154" t="s">
        <v>60</v>
      </c>
      <c r="L354" s="154" t="s">
        <v>1897</v>
      </c>
      <c r="M354" s="154" t="s">
        <v>1383</v>
      </c>
      <c r="N354" s="154" t="s">
        <v>61</v>
      </c>
      <c r="O354" s="154" t="s">
        <v>62</v>
      </c>
      <c r="P354" s="146">
        <v>0.02</v>
      </c>
      <c r="Q354" s="146">
        <v>0</v>
      </c>
      <c r="R354" s="154" t="s">
        <v>1384</v>
      </c>
      <c r="S354" s="154" t="s">
        <v>1899</v>
      </c>
      <c r="T354" s="155" t="s">
        <v>1899</v>
      </c>
      <c r="U354" s="155" t="s">
        <v>1899</v>
      </c>
      <c r="V354" s="154" t="s">
        <v>1562</v>
      </c>
      <c r="W354" s="154">
        <v>0</v>
      </c>
      <c r="X354" s="154" t="s">
        <v>63</v>
      </c>
      <c r="Y354" s="154" t="s">
        <v>1900</v>
      </c>
      <c r="Z354" s="154"/>
      <c r="AA354" s="154" t="s">
        <v>1387</v>
      </c>
      <c r="AB354" s="154">
        <v>0</v>
      </c>
      <c r="AC354" s="138">
        <f>IFERROR(IF(DATEDIF(#REF!,U354,"m")&lt;=1,1,IF(AND(DATEDIF(#REF!,U354,"m")&gt;1,DATEDIF(#REF!,U354,"m")&lt;12),2,IF(AND(DATEDIF(#REF!,U354,"m")&gt;=12,DATEDIF(#REF!,U354,"m")&lt;24),3,IF(DATEDIF(#REF!,U354,"m")&gt;=24,4,"")))),IF(E354="r0320 - Deposits, not covered and not preferential",1,4))</f>
        <v>4</v>
      </c>
    </row>
    <row r="355" spans="3:29" ht="36.75" thickBot="1" x14ac:dyDescent="0.3">
      <c r="C355" s="11">
        <v>999</v>
      </c>
      <c r="D355" s="154">
        <v>348</v>
      </c>
      <c r="E355" s="154" t="s">
        <v>1898</v>
      </c>
      <c r="F355" s="154" t="s">
        <v>87</v>
      </c>
      <c r="G355" s="154" t="s">
        <v>1402</v>
      </c>
      <c r="H355" s="154" t="s">
        <v>1195</v>
      </c>
      <c r="I355" s="154" t="s">
        <v>108</v>
      </c>
      <c r="J355" s="154" t="s">
        <v>90</v>
      </c>
      <c r="K355" s="154" t="s">
        <v>91</v>
      </c>
      <c r="L355" s="154" t="s">
        <v>1897</v>
      </c>
      <c r="M355" s="154" t="s">
        <v>1383</v>
      </c>
      <c r="N355" s="154" t="s">
        <v>61</v>
      </c>
      <c r="O355" s="154" t="s">
        <v>62</v>
      </c>
      <c r="P355" s="146">
        <v>1.72</v>
      </c>
      <c r="Q355" s="146">
        <v>0</v>
      </c>
      <c r="R355" s="154" t="s">
        <v>1384</v>
      </c>
      <c r="S355" s="154" t="s">
        <v>1899</v>
      </c>
      <c r="T355" s="155" t="s">
        <v>1899</v>
      </c>
      <c r="U355" s="155" t="s">
        <v>1899</v>
      </c>
      <c r="V355" s="154" t="s">
        <v>1562</v>
      </c>
      <c r="W355" s="154">
        <v>0</v>
      </c>
      <c r="X355" s="154" t="s">
        <v>63</v>
      </c>
      <c r="Y355" s="154" t="s">
        <v>1900</v>
      </c>
      <c r="Z355" s="154"/>
      <c r="AA355" s="154" t="s">
        <v>1387</v>
      </c>
      <c r="AB355" s="154">
        <v>0</v>
      </c>
      <c r="AC355" s="138">
        <f>IFERROR(IF(DATEDIF(#REF!,U355,"m")&lt;=1,1,IF(AND(DATEDIF(#REF!,U355,"m")&gt;1,DATEDIF(#REF!,U355,"m")&lt;12),2,IF(AND(DATEDIF(#REF!,U355,"m")&gt;=12,DATEDIF(#REF!,U355,"m")&lt;24),3,IF(DATEDIF(#REF!,U355,"m")&gt;=24,4,"")))),IF(E355="r0320 - Deposits, not covered and not preferential",1,4))</f>
        <v>4</v>
      </c>
    </row>
    <row r="356" spans="3:29" ht="36.75" thickBot="1" x14ac:dyDescent="0.3">
      <c r="C356" s="11">
        <v>999</v>
      </c>
      <c r="D356" s="154">
        <v>349</v>
      </c>
      <c r="E356" s="154" t="s">
        <v>1898</v>
      </c>
      <c r="F356" s="154" t="s">
        <v>87</v>
      </c>
      <c r="G356" s="154" t="s">
        <v>1402</v>
      </c>
      <c r="H356" s="154" t="s">
        <v>1202</v>
      </c>
      <c r="I356" s="154" t="s">
        <v>108</v>
      </c>
      <c r="J356" s="154" t="s">
        <v>90</v>
      </c>
      <c r="K356" s="154" t="s">
        <v>91</v>
      </c>
      <c r="L356" s="154" t="s">
        <v>1897</v>
      </c>
      <c r="M356" s="154" t="s">
        <v>1383</v>
      </c>
      <c r="N356" s="154" t="s">
        <v>61</v>
      </c>
      <c r="O356" s="154" t="s">
        <v>62</v>
      </c>
      <c r="P356" s="146">
        <v>1.4</v>
      </c>
      <c r="Q356" s="146">
        <v>0</v>
      </c>
      <c r="R356" s="154" t="s">
        <v>1384</v>
      </c>
      <c r="S356" s="154" t="s">
        <v>1899</v>
      </c>
      <c r="T356" s="155" t="s">
        <v>1899</v>
      </c>
      <c r="U356" s="155" t="s">
        <v>1899</v>
      </c>
      <c r="V356" s="154" t="s">
        <v>1562</v>
      </c>
      <c r="W356" s="154">
        <v>0</v>
      </c>
      <c r="X356" s="154" t="s">
        <v>63</v>
      </c>
      <c r="Y356" s="154" t="s">
        <v>1900</v>
      </c>
      <c r="Z356" s="154"/>
      <c r="AA356" s="154" t="s">
        <v>1387</v>
      </c>
      <c r="AB356" s="154">
        <v>0</v>
      </c>
      <c r="AC356" s="138">
        <f>IFERROR(IF(DATEDIF(#REF!,U356,"m")&lt;=1,1,IF(AND(DATEDIF(#REF!,U356,"m")&gt;1,DATEDIF(#REF!,U356,"m")&lt;12),2,IF(AND(DATEDIF(#REF!,U356,"m")&gt;=12,DATEDIF(#REF!,U356,"m")&lt;24),3,IF(DATEDIF(#REF!,U356,"m")&gt;=24,4,"")))),IF(E356="r0320 - Deposits, not covered and not preferential",1,4))</f>
        <v>4</v>
      </c>
    </row>
    <row r="357" spans="3:29" ht="36.75" thickBot="1" x14ac:dyDescent="0.3">
      <c r="C357" s="11">
        <v>999</v>
      </c>
      <c r="D357" s="154">
        <v>350</v>
      </c>
      <c r="E357" s="154" t="s">
        <v>1898</v>
      </c>
      <c r="F357" s="154" t="s">
        <v>87</v>
      </c>
      <c r="G357" s="154" t="s">
        <v>1402</v>
      </c>
      <c r="H357" s="154" t="s">
        <v>1173</v>
      </c>
      <c r="I357" s="154" t="s">
        <v>108</v>
      </c>
      <c r="J357" s="154" t="s">
        <v>90</v>
      </c>
      <c r="K357" s="154" t="s">
        <v>91</v>
      </c>
      <c r="L357" s="154" t="s">
        <v>1897</v>
      </c>
      <c r="M357" s="154" t="s">
        <v>1383</v>
      </c>
      <c r="N357" s="154" t="s">
        <v>61</v>
      </c>
      <c r="O357" s="154" t="s">
        <v>62</v>
      </c>
      <c r="P357" s="146">
        <v>0.21</v>
      </c>
      <c r="Q357" s="146">
        <v>0</v>
      </c>
      <c r="R357" s="154" t="s">
        <v>1384</v>
      </c>
      <c r="S357" s="154" t="s">
        <v>1899</v>
      </c>
      <c r="T357" s="155" t="s">
        <v>1899</v>
      </c>
      <c r="U357" s="155" t="s">
        <v>1899</v>
      </c>
      <c r="V357" s="154" t="s">
        <v>1562</v>
      </c>
      <c r="W357" s="154">
        <v>0</v>
      </c>
      <c r="X357" s="154" t="s">
        <v>63</v>
      </c>
      <c r="Y357" s="154" t="s">
        <v>1900</v>
      </c>
      <c r="Z357" s="154"/>
      <c r="AA357" s="154" t="s">
        <v>1387</v>
      </c>
      <c r="AB357" s="154">
        <v>0</v>
      </c>
      <c r="AC357" s="138">
        <f>IFERROR(IF(DATEDIF(#REF!,U357,"m")&lt;=1,1,IF(AND(DATEDIF(#REF!,U357,"m")&gt;1,DATEDIF(#REF!,U357,"m")&lt;12),2,IF(AND(DATEDIF(#REF!,U357,"m")&gt;=12,DATEDIF(#REF!,U357,"m")&lt;24),3,IF(DATEDIF(#REF!,U357,"m")&gt;=24,4,"")))),IF(E357="r0320 - Deposits, not covered and not preferential",1,4))</f>
        <v>4</v>
      </c>
    </row>
    <row r="358" spans="3:29" ht="36.75" thickBot="1" x14ac:dyDescent="0.3">
      <c r="C358" s="11">
        <v>999</v>
      </c>
      <c r="D358" s="154">
        <v>351</v>
      </c>
      <c r="E358" s="154" t="s">
        <v>1898</v>
      </c>
      <c r="F358" s="154" t="s">
        <v>87</v>
      </c>
      <c r="G358" s="154" t="s">
        <v>1402</v>
      </c>
      <c r="H358" s="154" t="s">
        <v>1208</v>
      </c>
      <c r="I358" s="154" t="s">
        <v>108</v>
      </c>
      <c r="J358" s="154" t="s">
        <v>90</v>
      </c>
      <c r="K358" s="154" t="s">
        <v>91</v>
      </c>
      <c r="L358" s="154" t="s">
        <v>1897</v>
      </c>
      <c r="M358" s="154" t="s">
        <v>1383</v>
      </c>
      <c r="N358" s="154" t="s">
        <v>61</v>
      </c>
      <c r="O358" s="154" t="s">
        <v>62</v>
      </c>
      <c r="P358" s="146">
        <v>0.97</v>
      </c>
      <c r="Q358" s="146">
        <v>0</v>
      </c>
      <c r="R358" s="154" t="s">
        <v>1384</v>
      </c>
      <c r="S358" s="154" t="s">
        <v>1899</v>
      </c>
      <c r="T358" s="155" t="s">
        <v>1899</v>
      </c>
      <c r="U358" s="155" t="s">
        <v>1899</v>
      </c>
      <c r="V358" s="154" t="s">
        <v>1562</v>
      </c>
      <c r="W358" s="154">
        <v>0</v>
      </c>
      <c r="X358" s="154" t="s">
        <v>63</v>
      </c>
      <c r="Y358" s="154" t="s">
        <v>1900</v>
      </c>
      <c r="Z358" s="154"/>
      <c r="AA358" s="154" t="s">
        <v>1387</v>
      </c>
      <c r="AB358" s="154">
        <v>0</v>
      </c>
      <c r="AC358" s="138">
        <f>IFERROR(IF(DATEDIF(#REF!,U358,"m")&lt;=1,1,IF(AND(DATEDIF(#REF!,U358,"m")&gt;1,DATEDIF(#REF!,U358,"m")&lt;12),2,IF(AND(DATEDIF(#REF!,U358,"m")&gt;=12,DATEDIF(#REF!,U358,"m")&lt;24),3,IF(DATEDIF(#REF!,U358,"m")&gt;=24,4,"")))),IF(E358="r0320 - Deposits, not covered and not preferential",1,4))</f>
        <v>4</v>
      </c>
    </row>
    <row r="359" spans="3:29" ht="48.75" thickBot="1" x14ac:dyDescent="0.3">
      <c r="C359" s="11">
        <v>999</v>
      </c>
      <c r="D359" s="154">
        <v>352</v>
      </c>
      <c r="E359" s="154" t="s">
        <v>1902</v>
      </c>
      <c r="F359" s="154" t="s">
        <v>83</v>
      </c>
      <c r="G359" s="154" t="s">
        <v>1903</v>
      </c>
      <c r="H359" s="154" t="s">
        <v>440</v>
      </c>
      <c r="I359" s="154" t="s">
        <v>93</v>
      </c>
      <c r="J359" s="154" t="s">
        <v>94</v>
      </c>
      <c r="K359" s="154" t="s">
        <v>60</v>
      </c>
      <c r="L359" s="154" t="s">
        <v>1897</v>
      </c>
      <c r="M359" s="154" t="s">
        <v>1388</v>
      </c>
      <c r="N359" s="154" t="s">
        <v>61</v>
      </c>
      <c r="O359" s="154" t="s">
        <v>62</v>
      </c>
      <c r="P359" s="146">
        <v>160701.38</v>
      </c>
      <c r="Q359" s="146">
        <v>20.78</v>
      </c>
      <c r="R359" s="154" t="s">
        <v>1384</v>
      </c>
      <c r="S359" s="154" t="s">
        <v>1899</v>
      </c>
      <c r="T359" s="155" t="s">
        <v>768</v>
      </c>
      <c r="U359" s="155" t="s">
        <v>1899</v>
      </c>
      <c r="V359" s="154" t="s">
        <v>1904</v>
      </c>
      <c r="W359" s="154">
        <v>0</v>
      </c>
      <c r="X359" s="154" t="s">
        <v>63</v>
      </c>
      <c r="Y359" s="154" t="s">
        <v>1386</v>
      </c>
      <c r="Z359" s="154"/>
      <c r="AA359" s="154" t="s">
        <v>1387</v>
      </c>
      <c r="AB359" s="154">
        <v>0</v>
      </c>
      <c r="AC359" s="138">
        <f>IFERROR(IF(DATEDIF(#REF!,U359,"m")&lt;=1,1,IF(AND(DATEDIF(#REF!,U359,"m")&gt;1,DATEDIF(#REF!,U359,"m")&lt;12),2,IF(AND(DATEDIF(#REF!,U359,"m")&gt;=12,DATEDIF(#REF!,U359,"m")&lt;24),3,IF(DATEDIF(#REF!,U359,"m")&gt;=24,4,"")))),IF(E359="r0320 - Deposits, not covered and not preferential",1,4))</f>
        <v>4</v>
      </c>
    </row>
    <row r="360" spans="3:29" ht="48.75" thickBot="1" x14ac:dyDescent="0.3">
      <c r="C360" s="11">
        <v>999</v>
      </c>
      <c r="D360" s="154">
        <v>353</v>
      </c>
      <c r="E360" s="154" t="s">
        <v>2638</v>
      </c>
      <c r="F360" s="154" t="s">
        <v>87</v>
      </c>
      <c r="G360" s="154" t="s">
        <v>768</v>
      </c>
      <c r="H360" s="154" t="s">
        <v>57</v>
      </c>
      <c r="I360" s="154" t="s">
        <v>111</v>
      </c>
      <c r="J360" s="154" t="s">
        <v>90</v>
      </c>
      <c r="K360" s="154" t="s">
        <v>91</v>
      </c>
      <c r="L360" s="154" t="s">
        <v>1897</v>
      </c>
      <c r="M360" s="154" t="s">
        <v>1383</v>
      </c>
      <c r="N360" s="154" t="s">
        <v>61</v>
      </c>
      <c r="O360" s="154" t="s">
        <v>62</v>
      </c>
      <c r="P360" s="146">
        <v>816862.43000000098</v>
      </c>
      <c r="Q360" s="146">
        <v>0</v>
      </c>
      <c r="R360" s="154" t="s">
        <v>1384</v>
      </c>
      <c r="S360" s="154" t="s">
        <v>1385</v>
      </c>
      <c r="T360" s="155" t="s">
        <v>1385</v>
      </c>
      <c r="U360" s="155" t="s">
        <v>1385</v>
      </c>
      <c r="V360" s="154" t="s">
        <v>1562</v>
      </c>
      <c r="W360" s="154">
        <v>0</v>
      </c>
      <c r="X360" s="154" t="s">
        <v>63</v>
      </c>
      <c r="Y360" s="154" t="s">
        <v>1900</v>
      </c>
      <c r="Z360" s="154"/>
      <c r="AA360" s="154" t="s">
        <v>1387</v>
      </c>
      <c r="AB360" s="154">
        <v>0</v>
      </c>
      <c r="AC360" s="138">
        <f>IFERROR(IF(DATEDIF(#REF!,U360,"m")&lt;=1,1,IF(AND(DATEDIF(#REF!,U360,"m")&gt;1,DATEDIF(#REF!,U360,"m")&lt;12),2,IF(AND(DATEDIF(#REF!,U360,"m")&gt;=12,DATEDIF(#REF!,U360,"m")&lt;24),3,IF(DATEDIF(#REF!,U360,"m")&gt;=24,4,"")))),IF(E360="r0320 - Deposits, not covered and not preferential",1,4))</f>
        <v>4</v>
      </c>
    </row>
    <row r="361" spans="3:29" ht="48.75" thickBot="1" x14ac:dyDescent="0.3">
      <c r="C361" s="11">
        <v>999</v>
      </c>
      <c r="D361" s="154">
        <v>354</v>
      </c>
      <c r="E361" s="154" t="s">
        <v>1902</v>
      </c>
      <c r="F361" s="154" t="s">
        <v>83</v>
      </c>
      <c r="G361" s="154" t="s">
        <v>1903</v>
      </c>
      <c r="H361" s="154" t="s">
        <v>138</v>
      </c>
      <c r="I361" s="154" t="s">
        <v>114</v>
      </c>
      <c r="J361" s="154" t="s">
        <v>115</v>
      </c>
      <c r="K361" s="154" t="s">
        <v>60</v>
      </c>
      <c r="L361" s="154" t="s">
        <v>1897</v>
      </c>
      <c r="M361" s="154" t="s">
        <v>1388</v>
      </c>
      <c r="N361" s="154" t="s">
        <v>61</v>
      </c>
      <c r="O361" s="154" t="s">
        <v>62</v>
      </c>
      <c r="P361" s="146">
        <v>229.75</v>
      </c>
      <c r="Q361" s="146">
        <v>0</v>
      </c>
      <c r="R361" s="154" t="s">
        <v>1384</v>
      </c>
      <c r="S361" s="154" t="s">
        <v>1899</v>
      </c>
      <c r="T361" s="155" t="s">
        <v>768</v>
      </c>
      <c r="U361" s="155" t="s">
        <v>1899</v>
      </c>
      <c r="V361" s="154" t="s">
        <v>1904</v>
      </c>
      <c r="W361" s="154">
        <v>0</v>
      </c>
      <c r="X361" s="154" t="s">
        <v>63</v>
      </c>
      <c r="Y361" s="154" t="s">
        <v>1386</v>
      </c>
      <c r="Z361" s="154"/>
      <c r="AA361" s="154" t="s">
        <v>1387</v>
      </c>
      <c r="AB361" s="154">
        <v>0</v>
      </c>
      <c r="AC361" s="138">
        <f>IFERROR(IF(DATEDIF(#REF!,U361,"m")&lt;=1,1,IF(AND(DATEDIF(#REF!,U361,"m")&gt;1,DATEDIF(#REF!,U361,"m")&lt;12),2,IF(AND(DATEDIF(#REF!,U361,"m")&gt;=12,DATEDIF(#REF!,U361,"m")&lt;24),3,IF(DATEDIF(#REF!,U361,"m")&gt;=24,4,"")))),IF(E361="r0320 - Deposits, not covered and not preferential",1,4))</f>
        <v>4</v>
      </c>
    </row>
    <row r="362" spans="3:29" ht="36.75" thickBot="1" x14ac:dyDescent="0.3">
      <c r="C362" s="11">
        <v>999</v>
      </c>
      <c r="D362" s="154">
        <v>355</v>
      </c>
      <c r="E362" s="154" t="s">
        <v>1898</v>
      </c>
      <c r="F362" s="154" t="s">
        <v>87</v>
      </c>
      <c r="G362" s="154" t="s">
        <v>1402</v>
      </c>
      <c r="H362" s="154" t="s">
        <v>517</v>
      </c>
      <c r="I362" s="154" t="s">
        <v>96</v>
      </c>
      <c r="J362" s="154" t="s">
        <v>97</v>
      </c>
      <c r="K362" s="154" t="s">
        <v>91</v>
      </c>
      <c r="L362" s="154" t="s">
        <v>1897</v>
      </c>
      <c r="M362" s="154" t="s">
        <v>1383</v>
      </c>
      <c r="N362" s="154" t="s">
        <v>61</v>
      </c>
      <c r="O362" s="154" t="s">
        <v>62</v>
      </c>
      <c r="P362" s="146">
        <v>1.31</v>
      </c>
      <c r="Q362" s="146">
        <v>0</v>
      </c>
      <c r="R362" s="154" t="s">
        <v>1384</v>
      </c>
      <c r="S362" s="154" t="s">
        <v>1899</v>
      </c>
      <c r="T362" s="155" t="s">
        <v>1899</v>
      </c>
      <c r="U362" s="155" t="s">
        <v>1899</v>
      </c>
      <c r="V362" s="154" t="s">
        <v>1562</v>
      </c>
      <c r="W362" s="154">
        <v>0</v>
      </c>
      <c r="X362" s="154" t="s">
        <v>63</v>
      </c>
      <c r="Y362" s="154" t="s">
        <v>1900</v>
      </c>
      <c r="Z362" s="154"/>
      <c r="AA362" s="154" t="s">
        <v>1387</v>
      </c>
      <c r="AB362" s="154">
        <v>0</v>
      </c>
      <c r="AC362" s="138">
        <f>IFERROR(IF(DATEDIF(#REF!,U362,"m")&lt;=1,1,IF(AND(DATEDIF(#REF!,U362,"m")&gt;1,DATEDIF(#REF!,U362,"m")&lt;12),2,IF(AND(DATEDIF(#REF!,U362,"m")&gt;=12,DATEDIF(#REF!,U362,"m")&lt;24),3,IF(DATEDIF(#REF!,U362,"m")&gt;=24,4,"")))),IF(E362="r0320 - Deposits, not covered and not preferential",1,4))</f>
        <v>4</v>
      </c>
    </row>
    <row r="363" spans="3:29" ht="48.75" thickBot="1" x14ac:dyDescent="0.3">
      <c r="C363" s="11">
        <v>999</v>
      </c>
      <c r="D363" s="154">
        <v>356</v>
      </c>
      <c r="E363" s="154" t="s">
        <v>1902</v>
      </c>
      <c r="F363" s="154" t="s">
        <v>83</v>
      </c>
      <c r="G363" s="154" t="s">
        <v>1903</v>
      </c>
      <c r="H363" s="154" t="s">
        <v>1214</v>
      </c>
      <c r="I363" s="154" t="s">
        <v>101</v>
      </c>
      <c r="J363" s="154" t="s">
        <v>102</v>
      </c>
      <c r="K363" s="154" t="s">
        <v>60</v>
      </c>
      <c r="L363" s="154" t="s">
        <v>1897</v>
      </c>
      <c r="M363" s="154" t="s">
        <v>1388</v>
      </c>
      <c r="N363" s="154" t="s">
        <v>61</v>
      </c>
      <c r="O363" s="154" t="s">
        <v>62</v>
      </c>
      <c r="P363" s="146">
        <v>5908.09</v>
      </c>
      <c r="Q363" s="146">
        <v>1.27</v>
      </c>
      <c r="R363" s="154" t="s">
        <v>1384</v>
      </c>
      <c r="S363" s="154" t="s">
        <v>1899</v>
      </c>
      <c r="T363" s="155" t="s">
        <v>768</v>
      </c>
      <c r="U363" s="155" t="s">
        <v>1899</v>
      </c>
      <c r="V363" s="154" t="s">
        <v>1904</v>
      </c>
      <c r="W363" s="154">
        <v>0</v>
      </c>
      <c r="X363" s="154" t="s">
        <v>63</v>
      </c>
      <c r="Y363" s="154" t="s">
        <v>1386</v>
      </c>
      <c r="Z363" s="154"/>
      <c r="AA363" s="154" t="s">
        <v>1387</v>
      </c>
      <c r="AB363" s="154">
        <v>0</v>
      </c>
      <c r="AC363" s="138">
        <f>IFERROR(IF(DATEDIF(#REF!,U363,"m")&lt;=1,1,IF(AND(DATEDIF(#REF!,U363,"m")&gt;1,DATEDIF(#REF!,U363,"m")&lt;12),2,IF(AND(DATEDIF(#REF!,U363,"m")&gt;=12,DATEDIF(#REF!,U363,"m")&lt;24),3,IF(DATEDIF(#REF!,U363,"m")&gt;=24,4,"")))),IF(E363="r0320 - Deposits, not covered and not preferential",1,4))</f>
        <v>4</v>
      </c>
    </row>
    <row r="364" spans="3:29" ht="36.75" thickBot="1" x14ac:dyDescent="0.3">
      <c r="C364" s="11">
        <v>999</v>
      </c>
      <c r="D364" s="154">
        <v>357</v>
      </c>
      <c r="E364" s="154" t="s">
        <v>1898</v>
      </c>
      <c r="F364" s="154" t="s">
        <v>87</v>
      </c>
      <c r="G364" s="154" t="s">
        <v>1402</v>
      </c>
      <c r="H364" s="154" t="s">
        <v>821</v>
      </c>
      <c r="I364" s="154" t="s">
        <v>96</v>
      </c>
      <c r="J364" s="154" t="s">
        <v>97</v>
      </c>
      <c r="K364" s="154" t="s">
        <v>91</v>
      </c>
      <c r="L364" s="154" t="s">
        <v>1897</v>
      </c>
      <c r="M364" s="154" t="s">
        <v>1383</v>
      </c>
      <c r="N364" s="154" t="s">
        <v>61</v>
      </c>
      <c r="O364" s="154" t="s">
        <v>62</v>
      </c>
      <c r="P364" s="146">
        <v>68.89</v>
      </c>
      <c r="Q364" s="146">
        <v>0</v>
      </c>
      <c r="R364" s="154" t="s">
        <v>1384</v>
      </c>
      <c r="S364" s="154" t="s">
        <v>1899</v>
      </c>
      <c r="T364" s="155" t="s">
        <v>1899</v>
      </c>
      <c r="U364" s="155" t="s">
        <v>1899</v>
      </c>
      <c r="V364" s="154" t="s">
        <v>1562</v>
      </c>
      <c r="W364" s="154">
        <v>0</v>
      </c>
      <c r="X364" s="154" t="s">
        <v>63</v>
      </c>
      <c r="Y364" s="154" t="s">
        <v>1900</v>
      </c>
      <c r="Z364" s="154"/>
      <c r="AA364" s="154" t="s">
        <v>1387</v>
      </c>
      <c r="AB364" s="154">
        <v>0</v>
      </c>
      <c r="AC364" s="138">
        <f>IFERROR(IF(DATEDIF(#REF!,U364,"m")&lt;=1,1,IF(AND(DATEDIF(#REF!,U364,"m")&gt;1,DATEDIF(#REF!,U364,"m")&lt;12),2,IF(AND(DATEDIF(#REF!,U364,"m")&gt;=12,DATEDIF(#REF!,U364,"m")&lt;24),3,IF(DATEDIF(#REF!,U364,"m")&gt;=24,4,"")))),IF(E364="r0320 - Deposits, not covered and not preferential",1,4))</f>
        <v>4</v>
      </c>
    </row>
    <row r="365" spans="3:29" ht="48.75" thickBot="1" x14ac:dyDescent="0.3">
      <c r="C365" s="11">
        <v>999</v>
      </c>
      <c r="D365" s="154">
        <v>358</v>
      </c>
      <c r="E365" s="154" t="s">
        <v>1902</v>
      </c>
      <c r="F365" s="154" t="s">
        <v>83</v>
      </c>
      <c r="G365" s="154" t="s">
        <v>1903</v>
      </c>
      <c r="H365" s="154" t="s">
        <v>448</v>
      </c>
      <c r="I365" s="154" t="s">
        <v>93</v>
      </c>
      <c r="J365" s="154" t="s">
        <v>94</v>
      </c>
      <c r="K365" s="154" t="s">
        <v>60</v>
      </c>
      <c r="L365" s="154" t="s">
        <v>1897</v>
      </c>
      <c r="M365" s="154" t="s">
        <v>1388</v>
      </c>
      <c r="N365" s="154" t="s">
        <v>61</v>
      </c>
      <c r="O365" s="154" t="s">
        <v>62</v>
      </c>
      <c r="P365" s="146">
        <v>66034.39</v>
      </c>
      <c r="Q365" s="146">
        <v>14.64</v>
      </c>
      <c r="R365" s="154" t="s">
        <v>1384</v>
      </c>
      <c r="S365" s="154" t="s">
        <v>1899</v>
      </c>
      <c r="T365" s="155" t="s">
        <v>768</v>
      </c>
      <c r="U365" s="155" t="s">
        <v>1899</v>
      </c>
      <c r="V365" s="154" t="s">
        <v>1904</v>
      </c>
      <c r="W365" s="154">
        <v>0</v>
      </c>
      <c r="X365" s="154" t="s">
        <v>63</v>
      </c>
      <c r="Y365" s="154" t="s">
        <v>1386</v>
      </c>
      <c r="Z365" s="154"/>
      <c r="AA365" s="154" t="s">
        <v>1387</v>
      </c>
      <c r="AB365" s="154">
        <v>0</v>
      </c>
      <c r="AC365" s="138">
        <f>IFERROR(IF(DATEDIF(#REF!,U365,"m")&lt;=1,1,IF(AND(DATEDIF(#REF!,U365,"m")&gt;1,DATEDIF(#REF!,U365,"m")&lt;12),2,IF(AND(DATEDIF(#REF!,U365,"m")&gt;=12,DATEDIF(#REF!,U365,"m")&lt;24),3,IF(DATEDIF(#REF!,U365,"m")&gt;=24,4,"")))),IF(E365="r0320 - Deposits, not covered and not preferential",1,4))</f>
        <v>4</v>
      </c>
    </row>
    <row r="366" spans="3:29" ht="36.75" thickBot="1" x14ac:dyDescent="0.3">
      <c r="C366" s="11">
        <v>999</v>
      </c>
      <c r="D366" s="154">
        <v>359</v>
      </c>
      <c r="E366" s="154" t="s">
        <v>1898</v>
      </c>
      <c r="F366" s="154" t="s">
        <v>87</v>
      </c>
      <c r="G366" s="154" t="s">
        <v>1402</v>
      </c>
      <c r="H366" s="154" t="s">
        <v>779</v>
      </c>
      <c r="I366" s="154" t="s">
        <v>108</v>
      </c>
      <c r="J366" s="154" t="s">
        <v>90</v>
      </c>
      <c r="K366" s="154" t="s">
        <v>91</v>
      </c>
      <c r="L366" s="154" t="s">
        <v>1897</v>
      </c>
      <c r="M366" s="154" t="s">
        <v>1383</v>
      </c>
      <c r="N366" s="154" t="s">
        <v>61</v>
      </c>
      <c r="O366" s="154" t="s">
        <v>62</v>
      </c>
      <c r="P366" s="146">
        <v>0.76</v>
      </c>
      <c r="Q366" s="146">
        <v>0</v>
      </c>
      <c r="R366" s="154" t="s">
        <v>1384</v>
      </c>
      <c r="S366" s="154" t="s">
        <v>1899</v>
      </c>
      <c r="T366" s="155" t="s">
        <v>1899</v>
      </c>
      <c r="U366" s="155" t="s">
        <v>1899</v>
      </c>
      <c r="V366" s="154" t="s">
        <v>1562</v>
      </c>
      <c r="W366" s="154">
        <v>0</v>
      </c>
      <c r="X366" s="154" t="s">
        <v>63</v>
      </c>
      <c r="Y366" s="154" t="s">
        <v>1900</v>
      </c>
      <c r="Z366" s="154"/>
      <c r="AA366" s="154" t="s">
        <v>1387</v>
      </c>
      <c r="AB366" s="154">
        <v>0</v>
      </c>
      <c r="AC366" s="138">
        <f>IFERROR(IF(DATEDIF(#REF!,U366,"m")&lt;=1,1,IF(AND(DATEDIF(#REF!,U366,"m")&gt;1,DATEDIF(#REF!,U366,"m")&lt;12),2,IF(AND(DATEDIF(#REF!,U366,"m")&gt;=12,DATEDIF(#REF!,U366,"m")&lt;24),3,IF(DATEDIF(#REF!,U366,"m")&gt;=24,4,"")))),IF(E366="r0320 - Deposits, not covered and not preferential",1,4))</f>
        <v>4</v>
      </c>
    </row>
    <row r="367" spans="3:29" ht="48.75" thickBot="1" x14ac:dyDescent="0.3">
      <c r="C367" s="11">
        <v>999</v>
      </c>
      <c r="D367" s="154">
        <v>360</v>
      </c>
      <c r="E367" s="154" t="s">
        <v>1902</v>
      </c>
      <c r="F367" s="154" t="s">
        <v>83</v>
      </c>
      <c r="G367" s="154" t="s">
        <v>1903</v>
      </c>
      <c r="H367" s="154" t="s">
        <v>735</v>
      </c>
      <c r="I367" s="154" t="s">
        <v>93</v>
      </c>
      <c r="J367" s="154" t="s">
        <v>94</v>
      </c>
      <c r="K367" s="154" t="s">
        <v>60</v>
      </c>
      <c r="L367" s="154" t="s">
        <v>1897</v>
      </c>
      <c r="M367" s="154" t="s">
        <v>1388</v>
      </c>
      <c r="N367" s="154" t="s">
        <v>61</v>
      </c>
      <c r="O367" s="154" t="s">
        <v>62</v>
      </c>
      <c r="P367" s="146">
        <v>95737.48</v>
      </c>
      <c r="Q367" s="146">
        <v>38.69</v>
      </c>
      <c r="R367" s="154" t="s">
        <v>1384</v>
      </c>
      <c r="S367" s="154" t="s">
        <v>1899</v>
      </c>
      <c r="T367" s="155" t="s">
        <v>768</v>
      </c>
      <c r="U367" s="155" t="s">
        <v>1899</v>
      </c>
      <c r="V367" s="154" t="s">
        <v>1904</v>
      </c>
      <c r="W367" s="154">
        <v>0</v>
      </c>
      <c r="X367" s="154" t="s">
        <v>63</v>
      </c>
      <c r="Y367" s="154" t="s">
        <v>1386</v>
      </c>
      <c r="Z367" s="154"/>
      <c r="AA367" s="154" t="s">
        <v>1387</v>
      </c>
      <c r="AB367" s="154">
        <v>0</v>
      </c>
      <c r="AC367" s="138">
        <f>IFERROR(IF(DATEDIF(#REF!,U367,"m")&lt;=1,1,IF(AND(DATEDIF(#REF!,U367,"m")&gt;1,DATEDIF(#REF!,U367,"m")&lt;12),2,IF(AND(DATEDIF(#REF!,U367,"m")&gt;=12,DATEDIF(#REF!,U367,"m")&lt;24),3,IF(DATEDIF(#REF!,U367,"m")&gt;=24,4,"")))),IF(E367="r0320 - Deposits, not covered and not preferential",1,4))</f>
        <v>4</v>
      </c>
    </row>
    <row r="368" spans="3:29" ht="36.75" thickBot="1" x14ac:dyDescent="0.3">
      <c r="C368" s="11">
        <v>999</v>
      </c>
      <c r="D368" s="154">
        <v>361</v>
      </c>
      <c r="E368" s="154" t="s">
        <v>1898</v>
      </c>
      <c r="F368" s="154" t="s">
        <v>87</v>
      </c>
      <c r="G368" s="154" t="s">
        <v>1402</v>
      </c>
      <c r="H368" s="154" t="s">
        <v>1280</v>
      </c>
      <c r="I368" s="154" t="s">
        <v>310</v>
      </c>
      <c r="J368" s="154" t="s">
        <v>311</v>
      </c>
      <c r="K368" s="154" t="s">
        <v>60</v>
      </c>
      <c r="L368" s="154" t="s">
        <v>1897</v>
      </c>
      <c r="M368" s="154" t="s">
        <v>1383</v>
      </c>
      <c r="N368" s="154" t="s">
        <v>61</v>
      </c>
      <c r="O368" s="154" t="s">
        <v>62</v>
      </c>
      <c r="P368" s="146">
        <v>0.42</v>
      </c>
      <c r="Q368" s="146">
        <v>0</v>
      </c>
      <c r="R368" s="154" t="s">
        <v>1384</v>
      </c>
      <c r="S368" s="154" t="s">
        <v>1899</v>
      </c>
      <c r="T368" s="155" t="s">
        <v>1899</v>
      </c>
      <c r="U368" s="155" t="s">
        <v>1899</v>
      </c>
      <c r="V368" s="154" t="s">
        <v>1562</v>
      </c>
      <c r="W368" s="154">
        <v>0</v>
      </c>
      <c r="X368" s="154" t="s">
        <v>63</v>
      </c>
      <c r="Y368" s="154" t="s">
        <v>1900</v>
      </c>
      <c r="Z368" s="154"/>
      <c r="AA368" s="154" t="s">
        <v>1387</v>
      </c>
      <c r="AB368" s="154">
        <v>0</v>
      </c>
      <c r="AC368" s="138">
        <f>IFERROR(IF(DATEDIF(#REF!,U368,"m")&lt;=1,1,IF(AND(DATEDIF(#REF!,U368,"m")&gt;1,DATEDIF(#REF!,U368,"m")&lt;12),2,IF(AND(DATEDIF(#REF!,U368,"m")&gt;=12,DATEDIF(#REF!,U368,"m")&lt;24),3,IF(DATEDIF(#REF!,U368,"m")&gt;=24,4,"")))),IF(E368="r0320 - Deposits, not covered and not preferential",1,4))</f>
        <v>4</v>
      </c>
    </row>
    <row r="369" spans="3:29" ht="48.75" thickBot="1" x14ac:dyDescent="0.3">
      <c r="C369" s="11">
        <v>999</v>
      </c>
      <c r="D369" s="154">
        <v>362</v>
      </c>
      <c r="E369" s="154" t="s">
        <v>1902</v>
      </c>
      <c r="F369" s="154" t="s">
        <v>83</v>
      </c>
      <c r="G369" s="154" t="s">
        <v>1903</v>
      </c>
      <c r="H369" s="154" t="s">
        <v>509</v>
      </c>
      <c r="I369" s="154" t="s">
        <v>93</v>
      </c>
      <c r="J369" s="154" t="s">
        <v>94</v>
      </c>
      <c r="K369" s="154" t="s">
        <v>60</v>
      </c>
      <c r="L369" s="154" t="s">
        <v>1897</v>
      </c>
      <c r="M369" s="154" t="s">
        <v>1388</v>
      </c>
      <c r="N369" s="154" t="s">
        <v>61</v>
      </c>
      <c r="O369" s="154" t="s">
        <v>62</v>
      </c>
      <c r="P369" s="146">
        <v>113601.95</v>
      </c>
      <c r="Q369" s="146">
        <v>-4.55</v>
      </c>
      <c r="R369" s="154" t="s">
        <v>1384</v>
      </c>
      <c r="S369" s="154" t="s">
        <v>1899</v>
      </c>
      <c r="T369" s="155" t="s">
        <v>768</v>
      </c>
      <c r="U369" s="155" t="s">
        <v>1899</v>
      </c>
      <c r="V369" s="154" t="s">
        <v>1904</v>
      </c>
      <c r="W369" s="154">
        <v>0</v>
      </c>
      <c r="X369" s="154" t="s">
        <v>63</v>
      </c>
      <c r="Y369" s="154" t="s">
        <v>1386</v>
      </c>
      <c r="Z369" s="154"/>
      <c r="AA369" s="154" t="s">
        <v>1387</v>
      </c>
      <c r="AB369" s="154">
        <v>0</v>
      </c>
      <c r="AC369" s="138">
        <f>IFERROR(IF(DATEDIF(#REF!,U369,"m")&lt;=1,1,IF(AND(DATEDIF(#REF!,U369,"m")&gt;1,DATEDIF(#REF!,U369,"m")&lt;12),2,IF(AND(DATEDIF(#REF!,U369,"m")&gt;=12,DATEDIF(#REF!,U369,"m")&lt;24),3,IF(DATEDIF(#REF!,U369,"m")&gt;=24,4,"")))),IF(E369="r0320 - Deposits, not covered and not preferential",1,4))</f>
        <v>4</v>
      </c>
    </row>
    <row r="370" spans="3:29" ht="36.75" thickBot="1" x14ac:dyDescent="0.3">
      <c r="C370" s="11">
        <v>999</v>
      </c>
      <c r="D370" s="154">
        <v>363</v>
      </c>
      <c r="E370" s="154" t="s">
        <v>1898</v>
      </c>
      <c r="F370" s="154" t="s">
        <v>87</v>
      </c>
      <c r="G370" s="154" t="s">
        <v>1402</v>
      </c>
      <c r="H370" s="154" t="s">
        <v>297</v>
      </c>
      <c r="I370" s="154" t="s">
        <v>96</v>
      </c>
      <c r="J370" s="154" t="s">
        <v>97</v>
      </c>
      <c r="K370" s="154" t="s">
        <v>91</v>
      </c>
      <c r="L370" s="154" t="s">
        <v>1897</v>
      </c>
      <c r="M370" s="154" t="s">
        <v>1383</v>
      </c>
      <c r="N370" s="154" t="s">
        <v>61</v>
      </c>
      <c r="O370" s="154" t="s">
        <v>62</v>
      </c>
      <c r="P370" s="146">
        <v>3.83</v>
      </c>
      <c r="Q370" s="146">
        <v>0</v>
      </c>
      <c r="R370" s="154" t="s">
        <v>1384</v>
      </c>
      <c r="S370" s="154" t="s">
        <v>1899</v>
      </c>
      <c r="T370" s="155" t="s">
        <v>1899</v>
      </c>
      <c r="U370" s="155" t="s">
        <v>1899</v>
      </c>
      <c r="V370" s="154" t="s">
        <v>1562</v>
      </c>
      <c r="W370" s="154">
        <v>0</v>
      </c>
      <c r="X370" s="154" t="s">
        <v>63</v>
      </c>
      <c r="Y370" s="154" t="s">
        <v>1900</v>
      </c>
      <c r="Z370" s="154"/>
      <c r="AA370" s="154" t="s">
        <v>1387</v>
      </c>
      <c r="AB370" s="154">
        <v>0</v>
      </c>
      <c r="AC370" s="138">
        <f>IFERROR(IF(DATEDIF(#REF!,U370,"m")&lt;=1,1,IF(AND(DATEDIF(#REF!,U370,"m")&gt;1,DATEDIF(#REF!,U370,"m")&lt;12),2,IF(AND(DATEDIF(#REF!,U370,"m")&gt;=12,DATEDIF(#REF!,U370,"m")&lt;24),3,IF(DATEDIF(#REF!,U370,"m")&gt;=24,4,"")))),IF(E370="r0320 - Deposits, not covered and not preferential",1,4))</f>
        <v>4</v>
      </c>
    </row>
    <row r="371" spans="3:29" ht="48.75" thickBot="1" x14ac:dyDescent="0.3">
      <c r="C371" s="11">
        <v>999</v>
      </c>
      <c r="D371" s="154">
        <v>364</v>
      </c>
      <c r="E371" s="154" t="s">
        <v>1902</v>
      </c>
      <c r="F371" s="154" t="s">
        <v>83</v>
      </c>
      <c r="G371" s="154" t="s">
        <v>1903</v>
      </c>
      <c r="H371" s="154" t="s">
        <v>741</v>
      </c>
      <c r="I371" s="154" t="s">
        <v>101</v>
      </c>
      <c r="J371" s="154" t="s">
        <v>102</v>
      </c>
      <c r="K371" s="154" t="s">
        <v>60</v>
      </c>
      <c r="L371" s="154" t="s">
        <v>1897</v>
      </c>
      <c r="M371" s="154" t="s">
        <v>1388</v>
      </c>
      <c r="N371" s="154" t="s">
        <v>61</v>
      </c>
      <c r="O371" s="154" t="s">
        <v>62</v>
      </c>
      <c r="P371" s="146">
        <v>24773.48</v>
      </c>
      <c r="Q371" s="146">
        <v>17.37</v>
      </c>
      <c r="R371" s="154" t="s">
        <v>1384</v>
      </c>
      <c r="S371" s="154" t="s">
        <v>1899</v>
      </c>
      <c r="T371" s="155" t="s">
        <v>768</v>
      </c>
      <c r="U371" s="155" t="s">
        <v>1899</v>
      </c>
      <c r="V371" s="154" t="s">
        <v>1904</v>
      </c>
      <c r="W371" s="154">
        <v>0</v>
      </c>
      <c r="X371" s="154" t="s">
        <v>63</v>
      </c>
      <c r="Y371" s="154" t="s">
        <v>1386</v>
      </c>
      <c r="Z371" s="154"/>
      <c r="AA371" s="154" t="s">
        <v>1387</v>
      </c>
      <c r="AB371" s="154">
        <v>0</v>
      </c>
      <c r="AC371" s="138">
        <f>IFERROR(IF(DATEDIF(#REF!,U371,"m")&lt;=1,1,IF(AND(DATEDIF(#REF!,U371,"m")&gt;1,DATEDIF(#REF!,U371,"m")&lt;12),2,IF(AND(DATEDIF(#REF!,U371,"m")&gt;=12,DATEDIF(#REF!,U371,"m")&lt;24),3,IF(DATEDIF(#REF!,U371,"m")&gt;=24,4,"")))),IF(E371="r0320 - Deposits, not covered and not preferential",1,4))</f>
        <v>4</v>
      </c>
    </row>
    <row r="372" spans="3:29" ht="36.75" thickBot="1" x14ac:dyDescent="0.3">
      <c r="C372" s="11">
        <v>999</v>
      </c>
      <c r="D372" s="154">
        <v>365</v>
      </c>
      <c r="E372" s="154" t="s">
        <v>1898</v>
      </c>
      <c r="F372" s="154" t="s">
        <v>87</v>
      </c>
      <c r="G372" s="154" t="s">
        <v>1402</v>
      </c>
      <c r="H372" s="154" t="s">
        <v>809</v>
      </c>
      <c r="I372" s="154" t="s">
        <v>96</v>
      </c>
      <c r="J372" s="154" t="s">
        <v>97</v>
      </c>
      <c r="K372" s="154" t="s">
        <v>91</v>
      </c>
      <c r="L372" s="154" t="s">
        <v>1897</v>
      </c>
      <c r="M372" s="154" t="s">
        <v>1383</v>
      </c>
      <c r="N372" s="154" t="s">
        <v>61</v>
      </c>
      <c r="O372" s="154" t="s">
        <v>62</v>
      </c>
      <c r="P372" s="146">
        <v>323.29000000000002</v>
      </c>
      <c r="Q372" s="146">
        <v>0</v>
      </c>
      <c r="R372" s="154" t="s">
        <v>1384</v>
      </c>
      <c r="S372" s="154" t="s">
        <v>1899</v>
      </c>
      <c r="T372" s="155" t="s">
        <v>1899</v>
      </c>
      <c r="U372" s="155" t="s">
        <v>1899</v>
      </c>
      <c r="V372" s="154" t="s">
        <v>1562</v>
      </c>
      <c r="W372" s="154">
        <v>0</v>
      </c>
      <c r="X372" s="154" t="s">
        <v>63</v>
      </c>
      <c r="Y372" s="154" t="s">
        <v>1900</v>
      </c>
      <c r="Z372" s="154"/>
      <c r="AA372" s="154" t="s">
        <v>1387</v>
      </c>
      <c r="AB372" s="154">
        <v>0</v>
      </c>
      <c r="AC372" s="138">
        <f>IFERROR(IF(DATEDIF(#REF!,U372,"m")&lt;=1,1,IF(AND(DATEDIF(#REF!,U372,"m")&gt;1,DATEDIF(#REF!,U372,"m")&lt;12),2,IF(AND(DATEDIF(#REF!,U372,"m")&gt;=12,DATEDIF(#REF!,U372,"m")&lt;24),3,IF(DATEDIF(#REF!,U372,"m")&gt;=24,4,"")))),IF(E372="r0320 - Deposits, not covered and not preferential",1,4))</f>
        <v>4</v>
      </c>
    </row>
    <row r="373" spans="3:29" ht="48.75" thickBot="1" x14ac:dyDescent="0.3">
      <c r="C373" s="11">
        <v>999</v>
      </c>
      <c r="D373" s="154">
        <v>366</v>
      </c>
      <c r="E373" s="154" t="s">
        <v>1902</v>
      </c>
      <c r="F373" s="154" t="s">
        <v>83</v>
      </c>
      <c r="G373" s="154" t="s">
        <v>1903</v>
      </c>
      <c r="H373" s="154" t="s">
        <v>1186</v>
      </c>
      <c r="I373" s="154" t="s">
        <v>101</v>
      </c>
      <c r="J373" s="154" t="s">
        <v>102</v>
      </c>
      <c r="K373" s="154" t="s">
        <v>60</v>
      </c>
      <c r="L373" s="154" t="s">
        <v>1897</v>
      </c>
      <c r="M373" s="154" t="s">
        <v>1388</v>
      </c>
      <c r="N373" s="154" t="s">
        <v>61</v>
      </c>
      <c r="O373" s="154" t="s">
        <v>62</v>
      </c>
      <c r="P373" s="146">
        <v>15075.09</v>
      </c>
      <c r="Q373" s="146">
        <v>14.77</v>
      </c>
      <c r="R373" s="154" t="s">
        <v>1384</v>
      </c>
      <c r="S373" s="154" t="s">
        <v>1899</v>
      </c>
      <c r="T373" s="155" t="s">
        <v>768</v>
      </c>
      <c r="U373" s="155" t="s">
        <v>1899</v>
      </c>
      <c r="V373" s="154" t="s">
        <v>1904</v>
      </c>
      <c r="W373" s="154">
        <v>0</v>
      </c>
      <c r="X373" s="154" t="s">
        <v>63</v>
      </c>
      <c r="Y373" s="154" t="s">
        <v>1386</v>
      </c>
      <c r="Z373" s="154"/>
      <c r="AA373" s="154" t="s">
        <v>1387</v>
      </c>
      <c r="AB373" s="154">
        <v>0</v>
      </c>
      <c r="AC373" s="138">
        <f>IFERROR(IF(DATEDIF(#REF!,U373,"m")&lt;=1,1,IF(AND(DATEDIF(#REF!,U373,"m")&gt;1,DATEDIF(#REF!,U373,"m")&lt;12),2,IF(AND(DATEDIF(#REF!,U373,"m")&gt;=12,DATEDIF(#REF!,U373,"m")&lt;24),3,IF(DATEDIF(#REF!,U373,"m")&gt;=24,4,"")))),IF(E373="r0320 - Deposits, not covered and not preferential",1,4))</f>
        <v>4</v>
      </c>
    </row>
    <row r="374" spans="3:29" ht="36.75" thickBot="1" x14ac:dyDescent="0.3">
      <c r="C374" s="11">
        <v>999</v>
      </c>
      <c r="D374" s="154">
        <v>367</v>
      </c>
      <c r="E374" s="154" t="s">
        <v>1898</v>
      </c>
      <c r="F374" s="154" t="s">
        <v>87</v>
      </c>
      <c r="G374" s="154" t="s">
        <v>1402</v>
      </c>
      <c r="H374" s="154" t="s">
        <v>492</v>
      </c>
      <c r="I374" s="154" t="s">
        <v>96</v>
      </c>
      <c r="J374" s="154" t="s">
        <v>97</v>
      </c>
      <c r="K374" s="154" t="s">
        <v>91</v>
      </c>
      <c r="L374" s="154" t="s">
        <v>1897</v>
      </c>
      <c r="M374" s="154" t="s">
        <v>1383</v>
      </c>
      <c r="N374" s="154" t="s">
        <v>61</v>
      </c>
      <c r="O374" s="154" t="s">
        <v>62</v>
      </c>
      <c r="P374" s="146">
        <v>2.2000000000000002</v>
      </c>
      <c r="Q374" s="146">
        <v>0</v>
      </c>
      <c r="R374" s="154" t="s">
        <v>1384</v>
      </c>
      <c r="S374" s="154" t="s">
        <v>1899</v>
      </c>
      <c r="T374" s="155" t="s">
        <v>1899</v>
      </c>
      <c r="U374" s="155" t="s">
        <v>1899</v>
      </c>
      <c r="V374" s="154" t="s">
        <v>1562</v>
      </c>
      <c r="W374" s="154">
        <v>0</v>
      </c>
      <c r="X374" s="154" t="s">
        <v>63</v>
      </c>
      <c r="Y374" s="154" t="s">
        <v>1900</v>
      </c>
      <c r="Z374" s="154"/>
      <c r="AA374" s="154" t="s">
        <v>1387</v>
      </c>
      <c r="AB374" s="154">
        <v>0</v>
      </c>
      <c r="AC374" s="138">
        <f>IFERROR(IF(DATEDIF(#REF!,U374,"m")&lt;=1,1,IF(AND(DATEDIF(#REF!,U374,"m")&gt;1,DATEDIF(#REF!,U374,"m")&lt;12),2,IF(AND(DATEDIF(#REF!,U374,"m")&gt;=12,DATEDIF(#REF!,U374,"m")&lt;24),3,IF(DATEDIF(#REF!,U374,"m")&gt;=24,4,"")))),IF(E374="r0320 - Deposits, not covered and not preferential",1,4))</f>
        <v>4</v>
      </c>
    </row>
    <row r="375" spans="3:29" ht="48.75" thickBot="1" x14ac:dyDescent="0.3">
      <c r="C375" s="11">
        <v>999</v>
      </c>
      <c r="D375" s="154">
        <v>368</v>
      </c>
      <c r="E375" s="154" t="s">
        <v>1902</v>
      </c>
      <c r="F375" s="154" t="s">
        <v>83</v>
      </c>
      <c r="G375" s="154" t="s">
        <v>1903</v>
      </c>
      <c r="H375" s="154" t="s">
        <v>556</v>
      </c>
      <c r="I375" s="154" t="s">
        <v>101</v>
      </c>
      <c r="J375" s="154" t="s">
        <v>102</v>
      </c>
      <c r="K375" s="154" t="s">
        <v>60</v>
      </c>
      <c r="L375" s="154" t="s">
        <v>1897</v>
      </c>
      <c r="M375" s="154" t="s">
        <v>1388</v>
      </c>
      <c r="N375" s="154" t="s">
        <v>61</v>
      </c>
      <c r="O375" s="154" t="s">
        <v>62</v>
      </c>
      <c r="P375" s="146">
        <v>621604.18000000005</v>
      </c>
      <c r="Q375" s="146">
        <v>34.950000000000003</v>
      </c>
      <c r="R375" s="154" t="s">
        <v>1384</v>
      </c>
      <c r="S375" s="154" t="s">
        <v>1899</v>
      </c>
      <c r="T375" s="155" t="s">
        <v>768</v>
      </c>
      <c r="U375" s="155" t="s">
        <v>1899</v>
      </c>
      <c r="V375" s="154" t="s">
        <v>1904</v>
      </c>
      <c r="W375" s="154">
        <v>0</v>
      </c>
      <c r="X375" s="154" t="s">
        <v>63</v>
      </c>
      <c r="Y375" s="154" t="s">
        <v>1386</v>
      </c>
      <c r="Z375" s="154"/>
      <c r="AA375" s="154" t="s">
        <v>1387</v>
      </c>
      <c r="AB375" s="154">
        <v>0</v>
      </c>
      <c r="AC375" s="138">
        <f>IFERROR(IF(DATEDIF(#REF!,U375,"m")&lt;=1,1,IF(AND(DATEDIF(#REF!,U375,"m")&gt;1,DATEDIF(#REF!,U375,"m")&lt;12),2,IF(AND(DATEDIF(#REF!,U375,"m")&gt;=12,DATEDIF(#REF!,U375,"m")&lt;24),3,IF(DATEDIF(#REF!,U375,"m")&gt;=24,4,"")))),IF(E375="r0320 - Deposits, not covered and not preferential",1,4))</f>
        <v>4</v>
      </c>
    </row>
    <row r="376" spans="3:29" ht="36.75" thickBot="1" x14ac:dyDescent="0.3">
      <c r="C376" s="11">
        <v>999</v>
      </c>
      <c r="D376" s="154">
        <v>369</v>
      </c>
      <c r="E376" s="154" t="s">
        <v>1898</v>
      </c>
      <c r="F376" s="154" t="s">
        <v>87</v>
      </c>
      <c r="G376" s="154" t="s">
        <v>1402</v>
      </c>
      <c r="H376" s="154" t="s">
        <v>472</v>
      </c>
      <c r="I376" s="154" t="s">
        <v>96</v>
      </c>
      <c r="J376" s="154" t="s">
        <v>97</v>
      </c>
      <c r="K376" s="154" t="s">
        <v>91</v>
      </c>
      <c r="L376" s="154" t="s">
        <v>1897</v>
      </c>
      <c r="M376" s="154" t="s">
        <v>1383</v>
      </c>
      <c r="N376" s="154" t="s">
        <v>61</v>
      </c>
      <c r="O376" s="154" t="s">
        <v>62</v>
      </c>
      <c r="P376" s="146">
        <v>4.4400000000000004</v>
      </c>
      <c r="Q376" s="146">
        <v>0</v>
      </c>
      <c r="R376" s="154" t="s">
        <v>1384</v>
      </c>
      <c r="S376" s="154" t="s">
        <v>1899</v>
      </c>
      <c r="T376" s="155" t="s">
        <v>1899</v>
      </c>
      <c r="U376" s="155" t="s">
        <v>1899</v>
      </c>
      <c r="V376" s="154" t="s">
        <v>1562</v>
      </c>
      <c r="W376" s="154">
        <v>0</v>
      </c>
      <c r="X376" s="154" t="s">
        <v>63</v>
      </c>
      <c r="Y376" s="154" t="s">
        <v>1900</v>
      </c>
      <c r="Z376" s="154"/>
      <c r="AA376" s="154" t="s">
        <v>1387</v>
      </c>
      <c r="AB376" s="154">
        <v>0</v>
      </c>
      <c r="AC376" s="138">
        <f>IFERROR(IF(DATEDIF(#REF!,U376,"m")&lt;=1,1,IF(AND(DATEDIF(#REF!,U376,"m")&gt;1,DATEDIF(#REF!,U376,"m")&lt;12),2,IF(AND(DATEDIF(#REF!,U376,"m")&gt;=12,DATEDIF(#REF!,U376,"m")&lt;24),3,IF(DATEDIF(#REF!,U376,"m")&gt;=24,4,"")))),IF(E376="r0320 - Deposits, not covered and not preferential",1,4))</f>
        <v>4</v>
      </c>
    </row>
    <row r="377" spans="3:29" ht="48.75" thickBot="1" x14ac:dyDescent="0.3">
      <c r="C377" s="11">
        <v>999</v>
      </c>
      <c r="D377" s="154">
        <v>370</v>
      </c>
      <c r="E377" s="154" t="s">
        <v>1902</v>
      </c>
      <c r="F377" s="154" t="s">
        <v>83</v>
      </c>
      <c r="G377" s="154" t="s">
        <v>1903</v>
      </c>
      <c r="H377" s="154" t="s">
        <v>265</v>
      </c>
      <c r="I377" s="154" t="s">
        <v>114</v>
      </c>
      <c r="J377" s="154" t="s">
        <v>115</v>
      </c>
      <c r="K377" s="154" t="s">
        <v>60</v>
      </c>
      <c r="L377" s="154" t="s">
        <v>1897</v>
      </c>
      <c r="M377" s="154" t="s">
        <v>1388</v>
      </c>
      <c r="N377" s="154" t="s">
        <v>61</v>
      </c>
      <c r="O377" s="154" t="s">
        <v>62</v>
      </c>
      <c r="P377" s="146">
        <v>327141.98</v>
      </c>
      <c r="Q377" s="146">
        <v>129.94</v>
      </c>
      <c r="R377" s="154" t="s">
        <v>1384</v>
      </c>
      <c r="S377" s="154" t="s">
        <v>1899</v>
      </c>
      <c r="T377" s="155" t="s">
        <v>768</v>
      </c>
      <c r="U377" s="155" t="s">
        <v>1899</v>
      </c>
      <c r="V377" s="154" t="s">
        <v>1904</v>
      </c>
      <c r="W377" s="154">
        <v>0</v>
      </c>
      <c r="X377" s="154" t="s">
        <v>63</v>
      </c>
      <c r="Y377" s="154" t="s">
        <v>1386</v>
      </c>
      <c r="Z377" s="154"/>
      <c r="AA377" s="154" t="s">
        <v>1387</v>
      </c>
      <c r="AB377" s="154">
        <v>0</v>
      </c>
      <c r="AC377" s="138">
        <f>IFERROR(IF(DATEDIF(#REF!,U377,"m")&lt;=1,1,IF(AND(DATEDIF(#REF!,U377,"m")&gt;1,DATEDIF(#REF!,U377,"m")&lt;12),2,IF(AND(DATEDIF(#REF!,U377,"m")&gt;=12,DATEDIF(#REF!,U377,"m")&lt;24),3,IF(DATEDIF(#REF!,U377,"m")&gt;=24,4,"")))),IF(E377="r0320 - Deposits, not covered and not preferential",1,4))</f>
        <v>4</v>
      </c>
    </row>
    <row r="378" spans="3:29" ht="36.75" thickBot="1" x14ac:dyDescent="0.3">
      <c r="C378" s="11">
        <v>999</v>
      </c>
      <c r="D378" s="154">
        <v>371</v>
      </c>
      <c r="E378" s="154" t="s">
        <v>1898</v>
      </c>
      <c r="F378" s="154" t="s">
        <v>87</v>
      </c>
      <c r="G378" s="154" t="s">
        <v>1402</v>
      </c>
      <c r="H378" s="154" t="s">
        <v>840</v>
      </c>
      <c r="I378" s="154" t="s">
        <v>96</v>
      </c>
      <c r="J378" s="154" t="s">
        <v>97</v>
      </c>
      <c r="K378" s="154" t="s">
        <v>91</v>
      </c>
      <c r="L378" s="154" t="s">
        <v>1897</v>
      </c>
      <c r="M378" s="154" t="s">
        <v>1383</v>
      </c>
      <c r="N378" s="154" t="s">
        <v>61</v>
      </c>
      <c r="O378" s="154" t="s">
        <v>62</v>
      </c>
      <c r="P378" s="146">
        <v>64.44</v>
      </c>
      <c r="Q378" s="146">
        <v>0</v>
      </c>
      <c r="R378" s="154" t="s">
        <v>1384</v>
      </c>
      <c r="S378" s="154" t="s">
        <v>1899</v>
      </c>
      <c r="T378" s="155" t="s">
        <v>1899</v>
      </c>
      <c r="U378" s="155" t="s">
        <v>1899</v>
      </c>
      <c r="V378" s="154" t="s">
        <v>1562</v>
      </c>
      <c r="W378" s="154">
        <v>0</v>
      </c>
      <c r="X378" s="154" t="s">
        <v>63</v>
      </c>
      <c r="Y378" s="154" t="s">
        <v>1900</v>
      </c>
      <c r="Z378" s="154"/>
      <c r="AA378" s="154" t="s">
        <v>1387</v>
      </c>
      <c r="AB378" s="154">
        <v>0</v>
      </c>
      <c r="AC378" s="138">
        <f>IFERROR(IF(DATEDIF(#REF!,U378,"m")&lt;=1,1,IF(AND(DATEDIF(#REF!,U378,"m")&gt;1,DATEDIF(#REF!,U378,"m")&lt;12),2,IF(AND(DATEDIF(#REF!,U378,"m")&gt;=12,DATEDIF(#REF!,U378,"m")&lt;24),3,IF(DATEDIF(#REF!,U378,"m")&gt;=24,4,"")))),IF(E378="r0320 - Deposits, not covered and not preferential",1,4))</f>
        <v>4</v>
      </c>
    </row>
    <row r="379" spans="3:29" ht="48.75" thickBot="1" x14ac:dyDescent="0.3">
      <c r="C379" s="11">
        <v>999</v>
      </c>
      <c r="D379" s="154">
        <v>372</v>
      </c>
      <c r="E379" s="154" t="s">
        <v>1902</v>
      </c>
      <c r="F379" s="154" t="s">
        <v>83</v>
      </c>
      <c r="G379" s="154" t="s">
        <v>1903</v>
      </c>
      <c r="H379" s="154" t="s">
        <v>750</v>
      </c>
      <c r="I379" s="154" t="s">
        <v>101</v>
      </c>
      <c r="J379" s="154" t="s">
        <v>102</v>
      </c>
      <c r="K379" s="154" t="s">
        <v>60</v>
      </c>
      <c r="L379" s="154" t="s">
        <v>1897</v>
      </c>
      <c r="M379" s="154" t="s">
        <v>1388</v>
      </c>
      <c r="N379" s="154" t="s">
        <v>61</v>
      </c>
      <c r="O379" s="154" t="s">
        <v>62</v>
      </c>
      <c r="P379" s="146">
        <v>363987.08</v>
      </c>
      <c r="Q379" s="146">
        <v>240.63</v>
      </c>
      <c r="R379" s="154" t="s">
        <v>1384</v>
      </c>
      <c r="S379" s="154" t="s">
        <v>1899</v>
      </c>
      <c r="T379" s="155" t="s">
        <v>768</v>
      </c>
      <c r="U379" s="155" t="s">
        <v>1899</v>
      </c>
      <c r="V379" s="154" t="s">
        <v>1904</v>
      </c>
      <c r="W379" s="154">
        <v>0</v>
      </c>
      <c r="X379" s="154" t="s">
        <v>63</v>
      </c>
      <c r="Y379" s="154" t="s">
        <v>1386</v>
      </c>
      <c r="Z379" s="154"/>
      <c r="AA379" s="154" t="s">
        <v>1387</v>
      </c>
      <c r="AB379" s="154">
        <v>0</v>
      </c>
      <c r="AC379" s="138">
        <f>IFERROR(IF(DATEDIF(#REF!,U379,"m")&lt;=1,1,IF(AND(DATEDIF(#REF!,U379,"m")&gt;1,DATEDIF(#REF!,U379,"m")&lt;12),2,IF(AND(DATEDIF(#REF!,U379,"m")&gt;=12,DATEDIF(#REF!,U379,"m")&lt;24),3,IF(DATEDIF(#REF!,U379,"m")&gt;=24,4,"")))),IF(E379="r0320 - Deposits, not covered and not preferential",1,4))</f>
        <v>4</v>
      </c>
    </row>
    <row r="380" spans="3:29" ht="36.75" thickBot="1" x14ac:dyDescent="0.3">
      <c r="C380" s="11">
        <v>999</v>
      </c>
      <c r="D380" s="154">
        <v>373</v>
      </c>
      <c r="E380" s="154" t="s">
        <v>1898</v>
      </c>
      <c r="F380" s="154" t="s">
        <v>87</v>
      </c>
      <c r="G380" s="154" t="s">
        <v>1402</v>
      </c>
      <c r="H380" s="154" t="s">
        <v>852</v>
      </c>
      <c r="I380" s="154" t="s">
        <v>96</v>
      </c>
      <c r="J380" s="154" t="s">
        <v>97</v>
      </c>
      <c r="K380" s="154" t="s">
        <v>91</v>
      </c>
      <c r="L380" s="154" t="s">
        <v>1897</v>
      </c>
      <c r="M380" s="154" t="s">
        <v>1383</v>
      </c>
      <c r="N380" s="154" t="s">
        <v>61</v>
      </c>
      <c r="O380" s="154" t="s">
        <v>62</v>
      </c>
      <c r="P380" s="146">
        <v>377.15</v>
      </c>
      <c r="Q380" s="146">
        <v>0</v>
      </c>
      <c r="R380" s="154" t="s">
        <v>1384</v>
      </c>
      <c r="S380" s="154" t="s">
        <v>1899</v>
      </c>
      <c r="T380" s="155" t="s">
        <v>1899</v>
      </c>
      <c r="U380" s="155" t="s">
        <v>1899</v>
      </c>
      <c r="V380" s="154" t="s">
        <v>1562</v>
      </c>
      <c r="W380" s="154">
        <v>0</v>
      </c>
      <c r="X380" s="154" t="s">
        <v>63</v>
      </c>
      <c r="Y380" s="154" t="s">
        <v>1900</v>
      </c>
      <c r="Z380" s="154"/>
      <c r="AA380" s="154" t="s">
        <v>1387</v>
      </c>
      <c r="AB380" s="154">
        <v>0</v>
      </c>
      <c r="AC380" s="138">
        <f>IFERROR(IF(DATEDIF(#REF!,U380,"m")&lt;=1,1,IF(AND(DATEDIF(#REF!,U380,"m")&gt;1,DATEDIF(#REF!,U380,"m")&lt;12),2,IF(AND(DATEDIF(#REF!,U380,"m")&gt;=12,DATEDIF(#REF!,U380,"m")&lt;24),3,IF(DATEDIF(#REF!,U380,"m")&gt;=24,4,"")))),IF(E380="r0320 - Deposits, not covered and not preferential",1,4))</f>
        <v>4</v>
      </c>
    </row>
    <row r="381" spans="3:29" ht="48.75" thickBot="1" x14ac:dyDescent="0.3">
      <c r="C381" s="11">
        <v>999</v>
      </c>
      <c r="D381" s="154">
        <v>374</v>
      </c>
      <c r="E381" s="154" t="s">
        <v>1902</v>
      </c>
      <c r="F381" s="154" t="s">
        <v>83</v>
      </c>
      <c r="G381" s="154" t="s">
        <v>1903</v>
      </c>
      <c r="H381" s="154" t="s">
        <v>792</v>
      </c>
      <c r="I381" s="154" t="s">
        <v>101</v>
      </c>
      <c r="J381" s="154" t="s">
        <v>102</v>
      </c>
      <c r="K381" s="154" t="s">
        <v>60</v>
      </c>
      <c r="L381" s="154" t="s">
        <v>1897</v>
      </c>
      <c r="M381" s="154" t="s">
        <v>1388</v>
      </c>
      <c r="N381" s="154" t="s">
        <v>61</v>
      </c>
      <c r="O381" s="154" t="s">
        <v>62</v>
      </c>
      <c r="P381" s="146">
        <v>2447304.7400000002</v>
      </c>
      <c r="Q381" s="146">
        <v>1498.15</v>
      </c>
      <c r="R381" s="154" t="s">
        <v>1384</v>
      </c>
      <c r="S381" s="154" t="s">
        <v>1899</v>
      </c>
      <c r="T381" s="155" t="s">
        <v>768</v>
      </c>
      <c r="U381" s="155" t="s">
        <v>1899</v>
      </c>
      <c r="V381" s="154" t="s">
        <v>1904</v>
      </c>
      <c r="W381" s="154">
        <v>0</v>
      </c>
      <c r="X381" s="154" t="s">
        <v>63</v>
      </c>
      <c r="Y381" s="154" t="s">
        <v>1386</v>
      </c>
      <c r="Z381" s="154"/>
      <c r="AA381" s="154" t="s">
        <v>1387</v>
      </c>
      <c r="AB381" s="154">
        <v>0</v>
      </c>
      <c r="AC381" s="138">
        <f>IFERROR(IF(DATEDIF(#REF!,U381,"m")&lt;=1,1,IF(AND(DATEDIF(#REF!,U381,"m")&gt;1,DATEDIF(#REF!,U381,"m")&lt;12),2,IF(AND(DATEDIF(#REF!,U381,"m")&gt;=12,DATEDIF(#REF!,U381,"m")&lt;24),3,IF(DATEDIF(#REF!,U381,"m")&gt;=24,4,"")))),IF(E381="r0320 - Deposits, not covered and not preferential",1,4))</f>
        <v>4</v>
      </c>
    </row>
    <row r="382" spans="3:29" ht="36.75" thickBot="1" x14ac:dyDescent="0.3">
      <c r="C382" s="11">
        <v>999</v>
      </c>
      <c r="D382" s="154">
        <v>375</v>
      </c>
      <c r="E382" s="154" t="s">
        <v>1898</v>
      </c>
      <c r="F382" s="154" t="s">
        <v>87</v>
      </c>
      <c r="G382" s="154" t="s">
        <v>1402</v>
      </c>
      <c r="H382" s="154" t="s">
        <v>860</v>
      </c>
      <c r="I382" s="154" t="s">
        <v>96</v>
      </c>
      <c r="J382" s="154" t="s">
        <v>97</v>
      </c>
      <c r="K382" s="154" t="s">
        <v>91</v>
      </c>
      <c r="L382" s="154" t="s">
        <v>1897</v>
      </c>
      <c r="M382" s="154" t="s">
        <v>1383</v>
      </c>
      <c r="N382" s="154" t="s">
        <v>61</v>
      </c>
      <c r="O382" s="154" t="s">
        <v>62</v>
      </c>
      <c r="P382" s="146">
        <v>35.56</v>
      </c>
      <c r="Q382" s="146">
        <v>0</v>
      </c>
      <c r="R382" s="154" t="s">
        <v>1384</v>
      </c>
      <c r="S382" s="154" t="s">
        <v>1899</v>
      </c>
      <c r="T382" s="155" t="s">
        <v>1899</v>
      </c>
      <c r="U382" s="155" t="s">
        <v>1899</v>
      </c>
      <c r="V382" s="154" t="s">
        <v>1562</v>
      </c>
      <c r="W382" s="154">
        <v>0</v>
      </c>
      <c r="X382" s="154" t="s">
        <v>63</v>
      </c>
      <c r="Y382" s="154" t="s">
        <v>1900</v>
      </c>
      <c r="Z382" s="154"/>
      <c r="AA382" s="154" t="s">
        <v>1387</v>
      </c>
      <c r="AB382" s="154">
        <v>0</v>
      </c>
      <c r="AC382" s="138">
        <f>IFERROR(IF(DATEDIF(#REF!,U382,"m")&lt;=1,1,IF(AND(DATEDIF(#REF!,U382,"m")&gt;1,DATEDIF(#REF!,U382,"m")&lt;12),2,IF(AND(DATEDIF(#REF!,U382,"m")&gt;=12,DATEDIF(#REF!,U382,"m")&lt;24),3,IF(DATEDIF(#REF!,U382,"m")&gt;=24,4,"")))),IF(E382="r0320 - Deposits, not covered and not preferential",1,4))</f>
        <v>4</v>
      </c>
    </row>
    <row r="383" spans="3:29" ht="48.75" thickBot="1" x14ac:dyDescent="0.3">
      <c r="C383" s="11">
        <v>999</v>
      </c>
      <c r="D383" s="154">
        <v>376</v>
      </c>
      <c r="E383" s="154" t="s">
        <v>1902</v>
      </c>
      <c r="F383" s="154" t="s">
        <v>83</v>
      </c>
      <c r="G383" s="154" t="s">
        <v>1903</v>
      </c>
      <c r="H383" s="154" t="s">
        <v>756</v>
      </c>
      <c r="I383" s="154" t="s">
        <v>93</v>
      </c>
      <c r="J383" s="154" t="s">
        <v>94</v>
      </c>
      <c r="K383" s="154" t="s">
        <v>60</v>
      </c>
      <c r="L383" s="154" t="s">
        <v>1897</v>
      </c>
      <c r="M383" s="154" t="s">
        <v>1388</v>
      </c>
      <c r="N383" s="154" t="s">
        <v>61</v>
      </c>
      <c r="O383" s="154" t="s">
        <v>62</v>
      </c>
      <c r="P383" s="146">
        <v>10396.43</v>
      </c>
      <c r="Q383" s="146">
        <v>0.06</v>
      </c>
      <c r="R383" s="154" t="s">
        <v>1384</v>
      </c>
      <c r="S383" s="154" t="s">
        <v>1899</v>
      </c>
      <c r="T383" s="155" t="s">
        <v>768</v>
      </c>
      <c r="U383" s="155" t="s">
        <v>1899</v>
      </c>
      <c r="V383" s="154" t="s">
        <v>1904</v>
      </c>
      <c r="W383" s="154">
        <v>0</v>
      </c>
      <c r="X383" s="154" t="s">
        <v>63</v>
      </c>
      <c r="Y383" s="154" t="s">
        <v>1386</v>
      </c>
      <c r="Z383" s="154"/>
      <c r="AA383" s="154" t="s">
        <v>1387</v>
      </c>
      <c r="AB383" s="154">
        <v>0</v>
      </c>
      <c r="AC383" s="138">
        <f>IFERROR(IF(DATEDIF(#REF!,U383,"m")&lt;=1,1,IF(AND(DATEDIF(#REF!,U383,"m")&gt;1,DATEDIF(#REF!,U383,"m")&lt;12),2,IF(AND(DATEDIF(#REF!,U383,"m")&gt;=12,DATEDIF(#REF!,U383,"m")&lt;24),3,IF(DATEDIF(#REF!,U383,"m")&gt;=24,4,"")))),IF(E383="r0320 - Deposits, not covered and not preferential",1,4))</f>
        <v>4</v>
      </c>
    </row>
    <row r="384" spans="3:29" ht="36.75" thickBot="1" x14ac:dyDescent="0.3">
      <c r="C384" s="11">
        <v>999</v>
      </c>
      <c r="D384" s="154">
        <v>377</v>
      </c>
      <c r="E384" s="154" t="s">
        <v>1898</v>
      </c>
      <c r="F384" s="154" t="s">
        <v>87</v>
      </c>
      <c r="G384" s="154" t="s">
        <v>1402</v>
      </c>
      <c r="H384" s="154" t="s">
        <v>518</v>
      </c>
      <c r="I384" s="154" t="s">
        <v>96</v>
      </c>
      <c r="J384" s="154" t="s">
        <v>97</v>
      </c>
      <c r="K384" s="154" t="s">
        <v>91</v>
      </c>
      <c r="L384" s="154" t="s">
        <v>1897</v>
      </c>
      <c r="M384" s="154" t="s">
        <v>1383</v>
      </c>
      <c r="N384" s="154" t="s">
        <v>61</v>
      </c>
      <c r="O384" s="154" t="s">
        <v>62</v>
      </c>
      <c r="P384" s="146">
        <v>1.18</v>
      </c>
      <c r="Q384" s="146">
        <v>0</v>
      </c>
      <c r="R384" s="154" t="s">
        <v>1384</v>
      </c>
      <c r="S384" s="154" t="s">
        <v>1899</v>
      </c>
      <c r="T384" s="155" t="s">
        <v>1899</v>
      </c>
      <c r="U384" s="155" t="s">
        <v>1899</v>
      </c>
      <c r="V384" s="154" t="s">
        <v>1562</v>
      </c>
      <c r="W384" s="154">
        <v>0</v>
      </c>
      <c r="X384" s="154" t="s">
        <v>63</v>
      </c>
      <c r="Y384" s="154" t="s">
        <v>1900</v>
      </c>
      <c r="Z384" s="154"/>
      <c r="AA384" s="154" t="s">
        <v>1387</v>
      </c>
      <c r="AB384" s="154">
        <v>0</v>
      </c>
      <c r="AC384" s="138">
        <f>IFERROR(IF(DATEDIF(#REF!,U384,"m")&lt;=1,1,IF(AND(DATEDIF(#REF!,U384,"m")&gt;1,DATEDIF(#REF!,U384,"m")&lt;12),2,IF(AND(DATEDIF(#REF!,U384,"m")&gt;=12,DATEDIF(#REF!,U384,"m")&lt;24),3,IF(DATEDIF(#REF!,U384,"m")&gt;=24,4,"")))),IF(E384="r0320 - Deposits, not covered and not preferential",1,4))</f>
        <v>4</v>
      </c>
    </row>
    <row r="385" spans="3:29" ht="48.75" thickBot="1" x14ac:dyDescent="0.3">
      <c r="C385" s="11">
        <v>999</v>
      </c>
      <c r="D385" s="154">
        <v>378</v>
      </c>
      <c r="E385" s="154" t="s">
        <v>1902</v>
      </c>
      <c r="F385" s="154" t="s">
        <v>83</v>
      </c>
      <c r="G385" s="154" t="s">
        <v>1903</v>
      </c>
      <c r="H385" s="154" t="s">
        <v>299</v>
      </c>
      <c r="I385" s="154" t="s">
        <v>114</v>
      </c>
      <c r="J385" s="154" t="s">
        <v>115</v>
      </c>
      <c r="K385" s="154" t="s">
        <v>60</v>
      </c>
      <c r="L385" s="154" t="s">
        <v>1897</v>
      </c>
      <c r="M385" s="154" t="s">
        <v>1388</v>
      </c>
      <c r="N385" s="154" t="s">
        <v>61</v>
      </c>
      <c r="O385" s="154" t="s">
        <v>62</v>
      </c>
      <c r="P385" s="146">
        <v>34483.01</v>
      </c>
      <c r="Q385" s="146">
        <v>3.57</v>
      </c>
      <c r="R385" s="154" t="s">
        <v>1384</v>
      </c>
      <c r="S385" s="154" t="s">
        <v>1899</v>
      </c>
      <c r="T385" s="155" t="s">
        <v>768</v>
      </c>
      <c r="U385" s="155" t="s">
        <v>1899</v>
      </c>
      <c r="V385" s="154" t="s">
        <v>1904</v>
      </c>
      <c r="W385" s="154">
        <v>0</v>
      </c>
      <c r="X385" s="154" t="s">
        <v>63</v>
      </c>
      <c r="Y385" s="154" t="s">
        <v>1386</v>
      </c>
      <c r="Z385" s="154"/>
      <c r="AA385" s="154" t="s">
        <v>1387</v>
      </c>
      <c r="AB385" s="154">
        <v>0</v>
      </c>
      <c r="AC385" s="138">
        <f>IFERROR(IF(DATEDIF(#REF!,U385,"m")&lt;=1,1,IF(AND(DATEDIF(#REF!,U385,"m")&gt;1,DATEDIF(#REF!,U385,"m")&lt;12),2,IF(AND(DATEDIF(#REF!,U385,"m")&gt;=12,DATEDIF(#REF!,U385,"m")&lt;24),3,IF(DATEDIF(#REF!,U385,"m")&gt;=24,4,"")))),IF(E385="r0320 - Deposits, not covered and not preferential",1,4))</f>
        <v>4</v>
      </c>
    </row>
    <row r="386" spans="3:29" ht="36.75" thickBot="1" x14ac:dyDescent="0.3">
      <c r="C386" s="11">
        <v>999</v>
      </c>
      <c r="D386" s="154">
        <v>379</v>
      </c>
      <c r="E386" s="154" t="s">
        <v>1898</v>
      </c>
      <c r="F386" s="154" t="s">
        <v>87</v>
      </c>
      <c r="G386" s="154" t="s">
        <v>1402</v>
      </c>
      <c r="H386" s="154" t="s">
        <v>449</v>
      </c>
      <c r="I386" s="154" t="s">
        <v>96</v>
      </c>
      <c r="J386" s="154" t="s">
        <v>97</v>
      </c>
      <c r="K386" s="154" t="s">
        <v>91</v>
      </c>
      <c r="L386" s="154" t="s">
        <v>1897</v>
      </c>
      <c r="M386" s="154" t="s">
        <v>1383</v>
      </c>
      <c r="N386" s="154" t="s">
        <v>61</v>
      </c>
      <c r="O386" s="154" t="s">
        <v>62</v>
      </c>
      <c r="P386" s="146">
        <v>0.56999999999999995</v>
      </c>
      <c r="Q386" s="146">
        <v>0</v>
      </c>
      <c r="R386" s="154" t="s">
        <v>1384</v>
      </c>
      <c r="S386" s="154" t="s">
        <v>1899</v>
      </c>
      <c r="T386" s="155" t="s">
        <v>1899</v>
      </c>
      <c r="U386" s="155" t="s">
        <v>1899</v>
      </c>
      <c r="V386" s="154" t="s">
        <v>1562</v>
      </c>
      <c r="W386" s="154">
        <v>0</v>
      </c>
      <c r="X386" s="154" t="s">
        <v>63</v>
      </c>
      <c r="Y386" s="154" t="s">
        <v>1900</v>
      </c>
      <c r="Z386" s="154"/>
      <c r="AA386" s="154" t="s">
        <v>1387</v>
      </c>
      <c r="AB386" s="154">
        <v>0</v>
      </c>
      <c r="AC386" s="138">
        <f>IFERROR(IF(DATEDIF(#REF!,U386,"m")&lt;=1,1,IF(AND(DATEDIF(#REF!,U386,"m")&gt;1,DATEDIF(#REF!,U386,"m")&lt;12),2,IF(AND(DATEDIF(#REF!,U386,"m")&gt;=12,DATEDIF(#REF!,U386,"m")&lt;24),3,IF(DATEDIF(#REF!,U386,"m")&gt;=24,4,"")))),IF(E386="r0320 - Deposits, not covered and not preferential",1,4))</f>
        <v>4</v>
      </c>
    </row>
    <row r="387" spans="3:29" ht="48.75" thickBot="1" x14ac:dyDescent="0.3">
      <c r="C387" s="11">
        <v>999</v>
      </c>
      <c r="D387" s="154">
        <v>380</v>
      </c>
      <c r="E387" s="154" t="s">
        <v>1902</v>
      </c>
      <c r="F387" s="154" t="s">
        <v>83</v>
      </c>
      <c r="G387" s="154" t="s">
        <v>1903</v>
      </c>
      <c r="H387" s="154" t="s">
        <v>763</v>
      </c>
      <c r="I387" s="154" t="s">
        <v>114</v>
      </c>
      <c r="J387" s="154" t="s">
        <v>115</v>
      </c>
      <c r="K387" s="154" t="s">
        <v>60</v>
      </c>
      <c r="L387" s="154" t="s">
        <v>1897</v>
      </c>
      <c r="M387" s="154" t="s">
        <v>1388</v>
      </c>
      <c r="N387" s="154" t="s">
        <v>61</v>
      </c>
      <c r="O387" s="154" t="s">
        <v>62</v>
      </c>
      <c r="P387" s="146">
        <v>139718.22</v>
      </c>
      <c r="Q387" s="146">
        <v>4.9000000000000004</v>
      </c>
      <c r="R387" s="154" t="s">
        <v>1384</v>
      </c>
      <c r="S387" s="154" t="s">
        <v>1899</v>
      </c>
      <c r="T387" s="155" t="s">
        <v>768</v>
      </c>
      <c r="U387" s="155" t="s">
        <v>1899</v>
      </c>
      <c r="V387" s="154" t="s">
        <v>1904</v>
      </c>
      <c r="W387" s="154">
        <v>0</v>
      </c>
      <c r="X387" s="154" t="s">
        <v>63</v>
      </c>
      <c r="Y387" s="154" t="s">
        <v>1386</v>
      </c>
      <c r="Z387" s="154"/>
      <c r="AA387" s="154" t="s">
        <v>1387</v>
      </c>
      <c r="AB387" s="154">
        <v>0</v>
      </c>
      <c r="AC387" s="138">
        <f>IFERROR(IF(DATEDIF(#REF!,U387,"m")&lt;=1,1,IF(AND(DATEDIF(#REF!,U387,"m")&gt;1,DATEDIF(#REF!,U387,"m")&lt;12),2,IF(AND(DATEDIF(#REF!,U387,"m")&gt;=12,DATEDIF(#REF!,U387,"m")&lt;24),3,IF(DATEDIF(#REF!,U387,"m")&gt;=24,4,"")))),IF(E387="r0320 - Deposits, not covered and not preferential",1,4))</f>
        <v>4</v>
      </c>
    </row>
    <row r="388" spans="3:29" ht="36.75" thickBot="1" x14ac:dyDescent="0.3">
      <c r="C388" s="11">
        <v>999</v>
      </c>
      <c r="D388" s="154">
        <v>381</v>
      </c>
      <c r="E388" s="154" t="s">
        <v>1898</v>
      </c>
      <c r="F388" s="154" t="s">
        <v>87</v>
      </c>
      <c r="G388" s="154" t="s">
        <v>1402</v>
      </c>
      <c r="H388" s="154" t="s">
        <v>746</v>
      </c>
      <c r="I388" s="154" t="s">
        <v>96</v>
      </c>
      <c r="J388" s="154" t="s">
        <v>97</v>
      </c>
      <c r="K388" s="154" t="s">
        <v>91</v>
      </c>
      <c r="L388" s="154" t="s">
        <v>1897</v>
      </c>
      <c r="M388" s="154" t="s">
        <v>1383</v>
      </c>
      <c r="N388" s="154" t="s">
        <v>61</v>
      </c>
      <c r="O388" s="154" t="s">
        <v>62</v>
      </c>
      <c r="P388" s="146">
        <v>5.56</v>
      </c>
      <c r="Q388" s="146">
        <v>0</v>
      </c>
      <c r="R388" s="154" t="s">
        <v>1384</v>
      </c>
      <c r="S388" s="154" t="s">
        <v>1899</v>
      </c>
      <c r="T388" s="155" t="s">
        <v>1899</v>
      </c>
      <c r="U388" s="155" t="s">
        <v>1899</v>
      </c>
      <c r="V388" s="154" t="s">
        <v>1562</v>
      </c>
      <c r="W388" s="154">
        <v>0</v>
      </c>
      <c r="X388" s="154" t="s">
        <v>63</v>
      </c>
      <c r="Y388" s="154" t="s">
        <v>1900</v>
      </c>
      <c r="Z388" s="154"/>
      <c r="AA388" s="154" t="s">
        <v>1387</v>
      </c>
      <c r="AB388" s="154">
        <v>0</v>
      </c>
      <c r="AC388" s="138">
        <f>IFERROR(IF(DATEDIF(#REF!,U388,"m")&lt;=1,1,IF(AND(DATEDIF(#REF!,U388,"m")&gt;1,DATEDIF(#REF!,U388,"m")&lt;12),2,IF(AND(DATEDIF(#REF!,U388,"m")&gt;=12,DATEDIF(#REF!,U388,"m")&lt;24),3,IF(DATEDIF(#REF!,U388,"m")&gt;=24,4,"")))),IF(E388="r0320 - Deposits, not covered and not preferential",1,4))</f>
        <v>4</v>
      </c>
    </row>
    <row r="389" spans="3:29" ht="48.75" thickBot="1" x14ac:dyDescent="0.3">
      <c r="C389" s="11">
        <v>999</v>
      </c>
      <c r="D389" s="154">
        <v>382</v>
      </c>
      <c r="E389" s="154" t="s">
        <v>1902</v>
      </c>
      <c r="F389" s="154" t="s">
        <v>83</v>
      </c>
      <c r="G389" s="154" t="s">
        <v>1903</v>
      </c>
      <c r="H389" s="154" t="s">
        <v>738</v>
      </c>
      <c r="I389" s="154" t="s">
        <v>101</v>
      </c>
      <c r="J389" s="154" t="s">
        <v>102</v>
      </c>
      <c r="K389" s="154" t="s">
        <v>60</v>
      </c>
      <c r="L389" s="154" t="s">
        <v>1897</v>
      </c>
      <c r="M389" s="154" t="s">
        <v>1388</v>
      </c>
      <c r="N389" s="154" t="s">
        <v>61</v>
      </c>
      <c r="O389" s="154" t="s">
        <v>62</v>
      </c>
      <c r="P389" s="146">
        <v>95562</v>
      </c>
      <c r="Q389" s="146">
        <v>9.39</v>
      </c>
      <c r="R389" s="154" t="s">
        <v>1384</v>
      </c>
      <c r="S389" s="154" t="s">
        <v>1899</v>
      </c>
      <c r="T389" s="155" t="s">
        <v>768</v>
      </c>
      <c r="U389" s="155" t="s">
        <v>1899</v>
      </c>
      <c r="V389" s="154" t="s">
        <v>1904</v>
      </c>
      <c r="W389" s="154">
        <v>0</v>
      </c>
      <c r="X389" s="154" t="s">
        <v>63</v>
      </c>
      <c r="Y389" s="154" t="s">
        <v>1386</v>
      </c>
      <c r="Z389" s="154"/>
      <c r="AA389" s="154" t="s">
        <v>1387</v>
      </c>
      <c r="AB389" s="154">
        <v>0</v>
      </c>
      <c r="AC389" s="138">
        <f>IFERROR(IF(DATEDIF(#REF!,U389,"m")&lt;=1,1,IF(AND(DATEDIF(#REF!,U389,"m")&gt;1,DATEDIF(#REF!,U389,"m")&lt;12),2,IF(AND(DATEDIF(#REF!,U389,"m")&gt;=12,DATEDIF(#REF!,U389,"m")&lt;24),3,IF(DATEDIF(#REF!,U389,"m")&gt;=24,4,"")))),IF(E389="r0320 - Deposits, not covered and not preferential",1,4))</f>
        <v>4</v>
      </c>
    </row>
    <row r="390" spans="3:29" ht="36.75" thickBot="1" x14ac:dyDescent="0.3">
      <c r="C390" s="11">
        <v>999</v>
      </c>
      <c r="D390" s="154">
        <v>383</v>
      </c>
      <c r="E390" s="154" t="s">
        <v>1898</v>
      </c>
      <c r="F390" s="154" t="s">
        <v>87</v>
      </c>
      <c r="G390" s="154" t="s">
        <v>1402</v>
      </c>
      <c r="H390" s="154" t="s">
        <v>1232</v>
      </c>
      <c r="I390" s="154" t="s">
        <v>96</v>
      </c>
      <c r="J390" s="154" t="s">
        <v>97</v>
      </c>
      <c r="K390" s="154" t="s">
        <v>91</v>
      </c>
      <c r="L390" s="154" t="s">
        <v>1897</v>
      </c>
      <c r="M390" s="154" t="s">
        <v>1383</v>
      </c>
      <c r="N390" s="154" t="s">
        <v>61</v>
      </c>
      <c r="O390" s="154" t="s">
        <v>62</v>
      </c>
      <c r="P390" s="146">
        <v>50</v>
      </c>
      <c r="Q390" s="146">
        <v>0</v>
      </c>
      <c r="R390" s="154" t="s">
        <v>1384</v>
      </c>
      <c r="S390" s="154" t="s">
        <v>1899</v>
      </c>
      <c r="T390" s="155" t="s">
        <v>1899</v>
      </c>
      <c r="U390" s="155" t="s">
        <v>1899</v>
      </c>
      <c r="V390" s="154" t="s">
        <v>1562</v>
      </c>
      <c r="W390" s="154">
        <v>0</v>
      </c>
      <c r="X390" s="154" t="s">
        <v>63</v>
      </c>
      <c r="Y390" s="154" t="s">
        <v>1900</v>
      </c>
      <c r="Z390" s="154"/>
      <c r="AA390" s="154" t="s">
        <v>1387</v>
      </c>
      <c r="AB390" s="154">
        <v>0</v>
      </c>
      <c r="AC390" s="138">
        <f>IFERROR(IF(DATEDIF(#REF!,U390,"m")&lt;=1,1,IF(AND(DATEDIF(#REF!,U390,"m")&gt;1,DATEDIF(#REF!,U390,"m")&lt;12),2,IF(AND(DATEDIF(#REF!,U390,"m")&gt;=12,DATEDIF(#REF!,U390,"m")&lt;24),3,IF(DATEDIF(#REF!,U390,"m")&gt;=24,4,"")))),IF(E390="r0320 - Deposits, not covered and not preferential",1,4))</f>
        <v>4</v>
      </c>
    </row>
    <row r="391" spans="3:29" ht="48.75" thickBot="1" x14ac:dyDescent="0.3">
      <c r="C391" s="11">
        <v>999</v>
      </c>
      <c r="D391" s="154">
        <v>384</v>
      </c>
      <c r="E391" s="154" t="s">
        <v>1902</v>
      </c>
      <c r="F391" s="154" t="s">
        <v>83</v>
      </c>
      <c r="G391" s="154" t="s">
        <v>1903</v>
      </c>
      <c r="H391" s="154" t="s">
        <v>770</v>
      </c>
      <c r="I391" s="154" t="s">
        <v>93</v>
      </c>
      <c r="J391" s="154" t="s">
        <v>94</v>
      </c>
      <c r="K391" s="154" t="s">
        <v>60</v>
      </c>
      <c r="L391" s="154" t="s">
        <v>1897</v>
      </c>
      <c r="M391" s="154" t="s">
        <v>1388</v>
      </c>
      <c r="N391" s="154" t="s">
        <v>61</v>
      </c>
      <c r="O391" s="154" t="s">
        <v>62</v>
      </c>
      <c r="P391" s="146">
        <v>37554.720000000001</v>
      </c>
      <c r="Q391" s="146">
        <v>-0.09</v>
      </c>
      <c r="R391" s="154" t="s">
        <v>1384</v>
      </c>
      <c r="S391" s="154" t="s">
        <v>1899</v>
      </c>
      <c r="T391" s="155" t="s">
        <v>768</v>
      </c>
      <c r="U391" s="155" t="s">
        <v>1899</v>
      </c>
      <c r="V391" s="154" t="s">
        <v>1904</v>
      </c>
      <c r="W391" s="154">
        <v>0</v>
      </c>
      <c r="X391" s="154" t="s">
        <v>63</v>
      </c>
      <c r="Y391" s="154" t="s">
        <v>1386</v>
      </c>
      <c r="Z391" s="154"/>
      <c r="AA391" s="154" t="s">
        <v>1387</v>
      </c>
      <c r="AB391" s="154">
        <v>0</v>
      </c>
      <c r="AC391" s="138">
        <f>IFERROR(IF(DATEDIF(#REF!,U391,"m")&lt;=1,1,IF(AND(DATEDIF(#REF!,U391,"m")&gt;1,DATEDIF(#REF!,U391,"m")&lt;12),2,IF(AND(DATEDIF(#REF!,U391,"m")&gt;=12,DATEDIF(#REF!,U391,"m")&lt;24),3,IF(DATEDIF(#REF!,U391,"m")&gt;=24,4,"")))),IF(E391="r0320 - Deposits, not covered and not preferential",1,4))</f>
        <v>4</v>
      </c>
    </row>
    <row r="392" spans="3:29" ht="36.75" thickBot="1" x14ac:dyDescent="0.3">
      <c r="C392" s="11">
        <v>999</v>
      </c>
      <c r="D392" s="154">
        <v>385</v>
      </c>
      <c r="E392" s="154" t="s">
        <v>1898</v>
      </c>
      <c r="F392" s="154" t="s">
        <v>87</v>
      </c>
      <c r="G392" s="154" t="s">
        <v>1402</v>
      </c>
      <c r="H392" s="154" t="s">
        <v>761</v>
      </c>
      <c r="I392" s="154" t="s">
        <v>96</v>
      </c>
      <c r="J392" s="154" t="s">
        <v>97</v>
      </c>
      <c r="K392" s="154" t="s">
        <v>91</v>
      </c>
      <c r="L392" s="154" t="s">
        <v>1897</v>
      </c>
      <c r="M392" s="154" t="s">
        <v>1383</v>
      </c>
      <c r="N392" s="154" t="s">
        <v>61</v>
      </c>
      <c r="O392" s="154" t="s">
        <v>62</v>
      </c>
      <c r="P392" s="146">
        <v>0.79</v>
      </c>
      <c r="Q392" s="146">
        <v>0</v>
      </c>
      <c r="R392" s="154" t="s">
        <v>1384</v>
      </c>
      <c r="S392" s="154" t="s">
        <v>1899</v>
      </c>
      <c r="T392" s="155" t="s">
        <v>1899</v>
      </c>
      <c r="U392" s="155" t="s">
        <v>1899</v>
      </c>
      <c r="V392" s="154" t="s">
        <v>1562</v>
      </c>
      <c r="W392" s="154">
        <v>0</v>
      </c>
      <c r="X392" s="154" t="s">
        <v>63</v>
      </c>
      <c r="Y392" s="154" t="s">
        <v>1900</v>
      </c>
      <c r="Z392" s="154"/>
      <c r="AA392" s="154" t="s">
        <v>1387</v>
      </c>
      <c r="AB392" s="154">
        <v>0</v>
      </c>
      <c r="AC392" s="138">
        <f>IFERROR(IF(DATEDIF(#REF!,U392,"m")&lt;=1,1,IF(AND(DATEDIF(#REF!,U392,"m")&gt;1,DATEDIF(#REF!,U392,"m")&lt;12),2,IF(AND(DATEDIF(#REF!,U392,"m")&gt;=12,DATEDIF(#REF!,U392,"m")&lt;24),3,IF(DATEDIF(#REF!,U392,"m")&gt;=24,4,"")))),IF(E392="r0320 - Deposits, not covered and not preferential",1,4))</f>
        <v>4</v>
      </c>
    </row>
    <row r="393" spans="3:29" ht="48.75" thickBot="1" x14ac:dyDescent="0.3">
      <c r="C393" s="11">
        <v>999</v>
      </c>
      <c r="D393" s="154">
        <v>386</v>
      </c>
      <c r="E393" s="154" t="s">
        <v>1902</v>
      </c>
      <c r="F393" s="154" t="s">
        <v>83</v>
      </c>
      <c r="G393" s="154" t="s">
        <v>1903</v>
      </c>
      <c r="H393" s="154" t="s">
        <v>465</v>
      </c>
      <c r="I393" s="154" t="s">
        <v>114</v>
      </c>
      <c r="J393" s="154" t="s">
        <v>115</v>
      </c>
      <c r="K393" s="154" t="s">
        <v>60</v>
      </c>
      <c r="L393" s="154" t="s">
        <v>1897</v>
      </c>
      <c r="M393" s="154" t="s">
        <v>1388</v>
      </c>
      <c r="N393" s="154" t="s">
        <v>61</v>
      </c>
      <c r="O393" s="154" t="s">
        <v>62</v>
      </c>
      <c r="P393" s="146">
        <v>163831.49</v>
      </c>
      <c r="Q393" s="146">
        <v>-14.51</v>
      </c>
      <c r="R393" s="154" t="s">
        <v>1384</v>
      </c>
      <c r="S393" s="154" t="s">
        <v>1899</v>
      </c>
      <c r="T393" s="155" t="s">
        <v>768</v>
      </c>
      <c r="U393" s="155" t="s">
        <v>1899</v>
      </c>
      <c r="V393" s="154" t="s">
        <v>1904</v>
      </c>
      <c r="W393" s="154">
        <v>0</v>
      </c>
      <c r="X393" s="154" t="s">
        <v>63</v>
      </c>
      <c r="Y393" s="154" t="s">
        <v>1386</v>
      </c>
      <c r="Z393" s="154"/>
      <c r="AA393" s="154" t="s">
        <v>1387</v>
      </c>
      <c r="AB393" s="154">
        <v>0</v>
      </c>
      <c r="AC393" s="138">
        <f>IFERROR(IF(DATEDIF(#REF!,U393,"m")&lt;=1,1,IF(AND(DATEDIF(#REF!,U393,"m")&gt;1,DATEDIF(#REF!,U393,"m")&lt;12),2,IF(AND(DATEDIF(#REF!,U393,"m")&gt;=12,DATEDIF(#REF!,U393,"m")&lt;24),3,IF(DATEDIF(#REF!,U393,"m")&gt;=24,4,"")))),IF(E393="r0320 - Deposits, not covered and not preferential",1,4))</f>
        <v>4</v>
      </c>
    </row>
    <row r="394" spans="3:29" ht="36.75" thickBot="1" x14ac:dyDescent="0.3">
      <c r="C394" s="11">
        <v>999</v>
      </c>
      <c r="D394" s="154">
        <v>387</v>
      </c>
      <c r="E394" s="154" t="s">
        <v>1898</v>
      </c>
      <c r="F394" s="154" t="s">
        <v>87</v>
      </c>
      <c r="G394" s="154" t="s">
        <v>1402</v>
      </c>
      <c r="H394" s="154" t="s">
        <v>1261</v>
      </c>
      <c r="I394" s="154" t="s">
        <v>104</v>
      </c>
      <c r="J394" s="154" t="s">
        <v>105</v>
      </c>
      <c r="K394" s="154" t="s">
        <v>60</v>
      </c>
      <c r="L394" s="154" t="s">
        <v>1897</v>
      </c>
      <c r="M394" s="154" t="s">
        <v>1383</v>
      </c>
      <c r="N394" s="154" t="s">
        <v>61</v>
      </c>
      <c r="O394" s="154" t="s">
        <v>62</v>
      </c>
      <c r="P394" s="146">
        <v>0.71</v>
      </c>
      <c r="Q394" s="146">
        <v>0</v>
      </c>
      <c r="R394" s="154" t="s">
        <v>1384</v>
      </c>
      <c r="S394" s="154" t="s">
        <v>1899</v>
      </c>
      <c r="T394" s="155" t="s">
        <v>1899</v>
      </c>
      <c r="U394" s="155" t="s">
        <v>1899</v>
      </c>
      <c r="V394" s="154" t="s">
        <v>1562</v>
      </c>
      <c r="W394" s="154">
        <v>0</v>
      </c>
      <c r="X394" s="154" t="s">
        <v>63</v>
      </c>
      <c r="Y394" s="154" t="s">
        <v>1900</v>
      </c>
      <c r="Z394" s="154"/>
      <c r="AA394" s="154" t="s">
        <v>1387</v>
      </c>
      <c r="AB394" s="154">
        <v>0</v>
      </c>
      <c r="AC394" s="138">
        <f>IFERROR(IF(DATEDIF(#REF!,U394,"m")&lt;=1,1,IF(AND(DATEDIF(#REF!,U394,"m")&gt;1,DATEDIF(#REF!,U394,"m")&lt;12),2,IF(AND(DATEDIF(#REF!,U394,"m")&gt;=12,DATEDIF(#REF!,U394,"m")&lt;24),3,IF(DATEDIF(#REF!,U394,"m")&gt;=24,4,"")))),IF(E394="r0320 - Deposits, not covered and not preferential",1,4))</f>
        <v>4</v>
      </c>
    </row>
    <row r="395" spans="3:29" ht="48.75" thickBot="1" x14ac:dyDescent="0.3">
      <c r="C395" s="11">
        <v>999</v>
      </c>
      <c r="D395" s="154">
        <v>388</v>
      </c>
      <c r="E395" s="154" t="s">
        <v>1902</v>
      </c>
      <c r="F395" s="154" t="s">
        <v>83</v>
      </c>
      <c r="G395" s="154" t="s">
        <v>1903</v>
      </c>
      <c r="H395" s="154" t="s">
        <v>460</v>
      </c>
      <c r="I395" s="154" t="s">
        <v>101</v>
      </c>
      <c r="J395" s="154" t="s">
        <v>102</v>
      </c>
      <c r="K395" s="154" t="s">
        <v>60</v>
      </c>
      <c r="L395" s="154" t="s">
        <v>1897</v>
      </c>
      <c r="M395" s="154" t="s">
        <v>1388</v>
      </c>
      <c r="N395" s="154" t="s">
        <v>61</v>
      </c>
      <c r="O395" s="154" t="s">
        <v>62</v>
      </c>
      <c r="P395" s="146">
        <v>488476.93</v>
      </c>
      <c r="Q395" s="146">
        <v>166.98</v>
      </c>
      <c r="R395" s="154" t="s">
        <v>1384</v>
      </c>
      <c r="S395" s="154" t="s">
        <v>1899</v>
      </c>
      <c r="T395" s="155" t="s">
        <v>768</v>
      </c>
      <c r="U395" s="155" t="s">
        <v>1899</v>
      </c>
      <c r="V395" s="154" t="s">
        <v>1904</v>
      </c>
      <c r="W395" s="154">
        <v>0</v>
      </c>
      <c r="X395" s="154" t="s">
        <v>63</v>
      </c>
      <c r="Y395" s="154" t="s">
        <v>1386</v>
      </c>
      <c r="Z395" s="154"/>
      <c r="AA395" s="154" t="s">
        <v>1387</v>
      </c>
      <c r="AB395" s="154">
        <v>0</v>
      </c>
      <c r="AC395" s="138">
        <f>IFERROR(IF(DATEDIF(#REF!,U395,"m")&lt;=1,1,IF(AND(DATEDIF(#REF!,U395,"m")&gt;1,DATEDIF(#REF!,U395,"m")&lt;12),2,IF(AND(DATEDIF(#REF!,U395,"m")&gt;=12,DATEDIF(#REF!,U395,"m")&lt;24),3,IF(DATEDIF(#REF!,U395,"m")&gt;=24,4,"")))),IF(E395="r0320 - Deposits, not covered and not preferential",1,4))</f>
        <v>4</v>
      </c>
    </row>
    <row r="396" spans="3:29" ht="36.75" thickBot="1" x14ac:dyDescent="0.3">
      <c r="C396" s="11">
        <v>999</v>
      </c>
      <c r="D396" s="154">
        <v>389</v>
      </c>
      <c r="E396" s="154" t="s">
        <v>1898</v>
      </c>
      <c r="F396" s="154" t="s">
        <v>87</v>
      </c>
      <c r="G396" s="154" t="s">
        <v>1402</v>
      </c>
      <c r="H396" s="154" t="s">
        <v>1264</v>
      </c>
      <c r="I396" s="154" t="s">
        <v>104</v>
      </c>
      <c r="J396" s="154" t="s">
        <v>105</v>
      </c>
      <c r="K396" s="154" t="s">
        <v>60</v>
      </c>
      <c r="L396" s="154" t="s">
        <v>1897</v>
      </c>
      <c r="M396" s="154" t="s">
        <v>1383</v>
      </c>
      <c r="N396" s="154" t="s">
        <v>61</v>
      </c>
      <c r="O396" s="154" t="s">
        <v>62</v>
      </c>
      <c r="P396" s="146">
        <v>0.47</v>
      </c>
      <c r="Q396" s="146">
        <v>0</v>
      </c>
      <c r="R396" s="154" t="s">
        <v>1384</v>
      </c>
      <c r="S396" s="154" t="s">
        <v>1899</v>
      </c>
      <c r="T396" s="155" t="s">
        <v>1899</v>
      </c>
      <c r="U396" s="155" t="s">
        <v>1899</v>
      </c>
      <c r="V396" s="154" t="s">
        <v>1562</v>
      </c>
      <c r="W396" s="154">
        <v>0</v>
      </c>
      <c r="X396" s="154" t="s">
        <v>63</v>
      </c>
      <c r="Y396" s="154" t="s">
        <v>1900</v>
      </c>
      <c r="Z396" s="154"/>
      <c r="AA396" s="154" t="s">
        <v>1387</v>
      </c>
      <c r="AB396" s="154">
        <v>0</v>
      </c>
      <c r="AC396" s="138">
        <f>IFERROR(IF(DATEDIF(#REF!,U396,"m")&lt;=1,1,IF(AND(DATEDIF(#REF!,U396,"m")&gt;1,DATEDIF(#REF!,U396,"m")&lt;12),2,IF(AND(DATEDIF(#REF!,U396,"m")&gt;=12,DATEDIF(#REF!,U396,"m")&lt;24),3,IF(DATEDIF(#REF!,U396,"m")&gt;=24,4,"")))),IF(E396="r0320 - Deposits, not covered and not preferential",1,4))</f>
        <v>4</v>
      </c>
    </row>
    <row r="397" spans="3:29" ht="48.75" thickBot="1" x14ac:dyDescent="0.3">
      <c r="C397" s="11">
        <v>999</v>
      </c>
      <c r="D397" s="154">
        <v>390</v>
      </c>
      <c r="E397" s="154" t="s">
        <v>1902</v>
      </c>
      <c r="F397" s="154" t="s">
        <v>83</v>
      </c>
      <c r="G397" s="154" t="s">
        <v>1903</v>
      </c>
      <c r="H397" s="154" t="s">
        <v>426</v>
      </c>
      <c r="I397" s="154" t="s">
        <v>93</v>
      </c>
      <c r="J397" s="154" t="s">
        <v>94</v>
      </c>
      <c r="K397" s="154" t="s">
        <v>60</v>
      </c>
      <c r="L397" s="154" t="s">
        <v>1897</v>
      </c>
      <c r="M397" s="154" t="s">
        <v>1388</v>
      </c>
      <c r="N397" s="154" t="s">
        <v>61</v>
      </c>
      <c r="O397" s="154" t="s">
        <v>62</v>
      </c>
      <c r="P397" s="146">
        <v>99184.639999999999</v>
      </c>
      <c r="Q397" s="146">
        <v>102.36</v>
      </c>
      <c r="R397" s="154" t="s">
        <v>1384</v>
      </c>
      <c r="S397" s="154" t="s">
        <v>1899</v>
      </c>
      <c r="T397" s="155" t="s">
        <v>768</v>
      </c>
      <c r="U397" s="155" t="s">
        <v>1899</v>
      </c>
      <c r="V397" s="154" t="s">
        <v>1904</v>
      </c>
      <c r="W397" s="154">
        <v>0</v>
      </c>
      <c r="X397" s="154" t="s">
        <v>63</v>
      </c>
      <c r="Y397" s="154" t="s">
        <v>1386</v>
      </c>
      <c r="Z397" s="154"/>
      <c r="AA397" s="154" t="s">
        <v>1387</v>
      </c>
      <c r="AB397" s="154">
        <v>0</v>
      </c>
      <c r="AC397" s="138">
        <f>IFERROR(IF(DATEDIF(#REF!,U397,"m")&lt;=1,1,IF(AND(DATEDIF(#REF!,U397,"m")&gt;1,DATEDIF(#REF!,U397,"m")&lt;12),2,IF(AND(DATEDIF(#REF!,U397,"m")&gt;=12,DATEDIF(#REF!,U397,"m")&lt;24),3,IF(DATEDIF(#REF!,U397,"m")&gt;=24,4,"")))),IF(E397="r0320 - Deposits, not covered and not preferential",1,4))</f>
        <v>4</v>
      </c>
    </row>
    <row r="398" spans="3:29" ht="36.75" thickBot="1" x14ac:dyDescent="0.3">
      <c r="C398" s="11">
        <v>999</v>
      </c>
      <c r="D398" s="154">
        <v>391</v>
      </c>
      <c r="E398" s="154" t="s">
        <v>1898</v>
      </c>
      <c r="F398" s="154" t="s">
        <v>87</v>
      </c>
      <c r="G398" s="154" t="s">
        <v>1402</v>
      </c>
      <c r="H398" s="154" t="s">
        <v>1266</v>
      </c>
      <c r="I398" s="154" t="s">
        <v>96</v>
      </c>
      <c r="J398" s="154" t="s">
        <v>97</v>
      </c>
      <c r="K398" s="154" t="s">
        <v>91</v>
      </c>
      <c r="L398" s="154" t="s">
        <v>1897</v>
      </c>
      <c r="M398" s="154" t="s">
        <v>1383</v>
      </c>
      <c r="N398" s="154" t="s">
        <v>61</v>
      </c>
      <c r="O398" s="154" t="s">
        <v>62</v>
      </c>
      <c r="P398" s="146">
        <v>45.25</v>
      </c>
      <c r="Q398" s="146">
        <v>0</v>
      </c>
      <c r="R398" s="154" t="s">
        <v>1384</v>
      </c>
      <c r="S398" s="154" t="s">
        <v>1899</v>
      </c>
      <c r="T398" s="155" t="s">
        <v>1899</v>
      </c>
      <c r="U398" s="155" t="s">
        <v>1899</v>
      </c>
      <c r="V398" s="154" t="s">
        <v>1562</v>
      </c>
      <c r="W398" s="154">
        <v>0</v>
      </c>
      <c r="X398" s="154" t="s">
        <v>63</v>
      </c>
      <c r="Y398" s="154" t="s">
        <v>1900</v>
      </c>
      <c r="Z398" s="154"/>
      <c r="AA398" s="154" t="s">
        <v>1387</v>
      </c>
      <c r="AB398" s="154">
        <v>0</v>
      </c>
      <c r="AC398" s="138">
        <f>IFERROR(IF(DATEDIF(#REF!,U398,"m")&lt;=1,1,IF(AND(DATEDIF(#REF!,U398,"m")&gt;1,DATEDIF(#REF!,U398,"m")&lt;12),2,IF(AND(DATEDIF(#REF!,U398,"m")&gt;=12,DATEDIF(#REF!,U398,"m")&lt;24),3,IF(DATEDIF(#REF!,U398,"m")&gt;=24,4,"")))),IF(E398="r0320 - Deposits, not covered and not preferential",1,4))</f>
        <v>4</v>
      </c>
    </row>
    <row r="399" spans="3:29" ht="48.75" thickBot="1" x14ac:dyDescent="0.3">
      <c r="C399" s="11">
        <v>999</v>
      </c>
      <c r="D399" s="154">
        <v>392</v>
      </c>
      <c r="E399" s="154" t="s">
        <v>1902</v>
      </c>
      <c r="F399" s="154" t="s">
        <v>83</v>
      </c>
      <c r="G399" s="154" t="s">
        <v>1903</v>
      </c>
      <c r="H399" s="154" t="s">
        <v>1284</v>
      </c>
      <c r="I399" s="154" t="s">
        <v>93</v>
      </c>
      <c r="J399" s="154" t="s">
        <v>94</v>
      </c>
      <c r="K399" s="154" t="s">
        <v>60</v>
      </c>
      <c r="L399" s="154" t="s">
        <v>1897</v>
      </c>
      <c r="M399" s="154" t="s">
        <v>1388</v>
      </c>
      <c r="N399" s="154" t="s">
        <v>61</v>
      </c>
      <c r="O399" s="154" t="s">
        <v>62</v>
      </c>
      <c r="P399" s="146">
        <v>59898.03</v>
      </c>
      <c r="Q399" s="146">
        <v>95.2</v>
      </c>
      <c r="R399" s="154" t="s">
        <v>1384</v>
      </c>
      <c r="S399" s="154" t="s">
        <v>1899</v>
      </c>
      <c r="T399" s="155" t="s">
        <v>768</v>
      </c>
      <c r="U399" s="155" t="s">
        <v>1899</v>
      </c>
      <c r="V399" s="154" t="s">
        <v>1904</v>
      </c>
      <c r="W399" s="154">
        <v>0</v>
      </c>
      <c r="X399" s="154" t="s">
        <v>63</v>
      </c>
      <c r="Y399" s="154" t="s">
        <v>1386</v>
      </c>
      <c r="Z399" s="154"/>
      <c r="AA399" s="154" t="s">
        <v>1387</v>
      </c>
      <c r="AB399" s="154">
        <v>0</v>
      </c>
      <c r="AC399" s="138">
        <f>IFERROR(IF(DATEDIF(#REF!,U399,"m")&lt;=1,1,IF(AND(DATEDIF(#REF!,U399,"m")&gt;1,DATEDIF(#REF!,U399,"m")&lt;12),2,IF(AND(DATEDIF(#REF!,U399,"m")&gt;=12,DATEDIF(#REF!,U399,"m")&lt;24),3,IF(DATEDIF(#REF!,U399,"m")&gt;=24,4,"")))),IF(E399="r0320 - Deposits, not covered and not preferential",1,4))</f>
        <v>4</v>
      </c>
    </row>
    <row r="400" spans="3:29" ht="36.75" thickBot="1" x14ac:dyDescent="0.3">
      <c r="C400" s="11">
        <v>999</v>
      </c>
      <c r="D400" s="154">
        <v>393</v>
      </c>
      <c r="E400" s="154" t="s">
        <v>1898</v>
      </c>
      <c r="F400" s="154" t="s">
        <v>87</v>
      </c>
      <c r="G400" s="154" t="s">
        <v>1402</v>
      </c>
      <c r="H400" s="154" t="s">
        <v>1269</v>
      </c>
      <c r="I400" s="154" t="s">
        <v>96</v>
      </c>
      <c r="J400" s="154" t="s">
        <v>97</v>
      </c>
      <c r="K400" s="154" t="s">
        <v>91</v>
      </c>
      <c r="L400" s="154" t="s">
        <v>1897</v>
      </c>
      <c r="M400" s="154" t="s">
        <v>1383</v>
      </c>
      <c r="N400" s="154" t="s">
        <v>61</v>
      </c>
      <c r="O400" s="154" t="s">
        <v>62</v>
      </c>
      <c r="P400" s="146">
        <v>4.8099999999999996</v>
      </c>
      <c r="Q400" s="146">
        <v>0</v>
      </c>
      <c r="R400" s="154" t="s">
        <v>1384</v>
      </c>
      <c r="S400" s="154" t="s">
        <v>1899</v>
      </c>
      <c r="T400" s="155" t="s">
        <v>1899</v>
      </c>
      <c r="U400" s="155" t="s">
        <v>1899</v>
      </c>
      <c r="V400" s="154" t="s">
        <v>1562</v>
      </c>
      <c r="W400" s="154">
        <v>0</v>
      </c>
      <c r="X400" s="154" t="s">
        <v>63</v>
      </c>
      <c r="Y400" s="154" t="s">
        <v>1900</v>
      </c>
      <c r="Z400" s="154"/>
      <c r="AA400" s="154" t="s">
        <v>1387</v>
      </c>
      <c r="AB400" s="154">
        <v>0</v>
      </c>
      <c r="AC400" s="138">
        <f>IFERROR(IF(DATEDIF(#REF!,U400,"m")&lt;=1,1,IF(AND(DATEDIF(#REF!,U400,"m")&gt;1,DATEDIF(#REF!,U400,"m")&lt;12),2,IF(AND(DATEDIF(#REF!,U400,"m")&gt;=12,DATEDIF(#REF!,U400,"m")&lt;24),3,IF(DATEDIF(#REF!,U400,"m")&gt;=24,4,"")))),IF(E400="r0320 - Deposits, not covered and not preferential",1,4))</f>
        <v>4</v>
      </c>
    </row>
    <row r="401" spans="3:29" ht="48.75" thickBot="1" x14ac:dyDescent="0.3">
      <c r="C401" s="11">
        <v>999</v>
      </c>
      <c r="D401" s="154">
        <v>394</v>
      </c>
      <c r="E401" s="154" t="s">
        <v>1902</v>
      </c>
      <c r="F401" s="154" t="s">
        <v>83</v>
      </c>
      <c r="G401" s="154" t="s">
        <v>1903</v>
      </c>
      <c r="H401" s="154" t="s">
        <v>1291</v>
      </c>
      <c r="I401" s="154" t="s">
        <v>101</v>
      </c>
      <c r="J401" s="154" t="s">
        <v>102</v>
      </c>
      <c r="K401" s="154" t="s">
        <v>60</v>
      </c>
      <c r="L401" s="154" t="s">
        <v>1897</v>
      </c>
      <c r="M401" s="154" t="s">
        <v>1388</v>
      </c>
      <c r="N401" s="154" t="s">
        <v>61</v>
      </c>
      <c r="O401" s="154" t="s">
        <v>62</v>
      </c>
      <c r="P401" s="146">
        <v>1488058.85</v>
      </c>
      <c r="Q401" s="146">
        <v>395.25</v>
      </c>
      <c r="R401" s="154" t="s">
        <v>1384</v>
      </c>
      <c r="S401" s="154" t="s">
        <v>1899</v>
      </c>
      <c r="T401" s="155" t="s">
        <v>768</v>
      </c>
      <c r="U401" s="155" t="s">
        <v>1899</v>
      </c>
      <c r="V401" s="154" t="s">
        <v>1904</v>
      </c>
      <c r="W401" s="154">
        <v>0</v>
      </c>
      <c r="X401" s="154" t="s">
        <v>63</v>
      </c>
      <c r="Y401" s="154" t="s">
        <v>1386</v>
      </c>
      <c r="Z401" s="154"/>
      <c r="AA401" s="154" t="s">
        <v>1387</v>
      </c>
      <c r="AB401" s="154">
        <v>0</v>
      </c>
      <c r="AC401" s="138">
        <f>IFERROR(IF(DATEDIF(#REF!,U401,"m")&lt;=1,1,IF(AND(DATEDIF(#REF!,U401,"m")&gt;1,DATEDIF(#REF!,U401,"m")&lt;12),2,IF(AND(DATEDIF(#REF!,U401,"m")&gt;=12,DATEDIF(#REF!,U401,"m")&lt;24),3,IF(DATEDIF(#REF!,U401,"m")&gt;=24,4,"")))),IF(E401="r0320 - Deposits, not covered and not preferential",1,4))</f>
        <v>4</v>
      </c>
    </row>
    <row r="402" spans="3:29" ht="36.75" thickBot="1" x14ac:dyDescent="0.3">
      <c r="C402" s="11">
        <v>999</v>
      </c>
      <c r="D402" s="154">
        <v>395</v>
      </c>
      <c r="E402" s="154" t="s">
        <v>1898</v>
      </c>
      <c r="F402" s="154" t="s">
        <v>83</v>
      </c>
      <c r="G402" s="154" t="s">
        <v>1402</v>
      </c>
      <c r="H402" s="154" t="s">
        <v>1272</v>
      </c>
      <c r="I402" s="154" t="s">
        <v>85</v>
      </c>
      <c r="J402" s="154" t="s">
        <v>86</v>
      </c>
      <c r="K402" s="154" t="s">
        <v>60</v>
      </c>
      <c r="L402" s="154" t="s">
        <v>1897</v>
      </c>
      <c r="M402" s="154" t="s">
        <v>1388</v>
      </c>
      <c r="N402" s="154" t="s">
        <v>61</v>
      </c>
      <c r="O402" s="154" t="s">
        <v>62</v>
      </c>
      <c r="P402" s="146">
        <v>0.39</v>
      </c>
      <c r="Q402" s="146">
        <v>0</v>
      </c>
      <c r="R402" s="154" t="s">
        <v>1384</v>
      </c>
      <c r="S402" s="154" t="s">
        <v>1899</v>
      </c>
      <c r="T402" s="155" t="s">
        <v>1899</v>
      </c>
      <c r="U402" s="155" t="s">
        <v>1899</v>
      </c>
      <c r="V402" s="154" t="s">
        <v>1562</v>
      </c>
      <c r="W402" s="154">
        <v>0</v>
      </c>
      <c r="X402" s="154" t="s">
        <v>63</v>
      </c>
      <c r="Y402" s="154" t="s">
        <v>1900</v>
      </c>
      <c r="Z402" s="154"/>
      <c r="AA402" s="154" t="s">
        <v>1387</v>
      </c>
      <c r="AB402" s="154">
        <v>0</v>
      </c>
      <c r="AC402" s="138">
        <f>IFERROR(IF(DATEDIF(#REF!,U402,"m")&lt;=1,1,IF(AND(DATEDIF(#REF!,U402,"m")&gt;1,DATEDIF(#REF!,U402,"m")&lt;12),2,IF(AND(DATEDIF(#REF!,U402,"m")&gt;=12,DATEDIF(#REF!,U402,"m")&lt;24),3,IF(DATEDIF(#REF!,U402,"m")&gt;=24,4,"")))),IF(E402="r0320 - Deposits, not covered and not preferential",1,4))</f>
        <v>4</v>
      </c>
    </row>
    <row r="403" spans="3:29" ht="48.75" thickBot="1" x14ac:dyDescent="0.3">
      <c r="C403" s="11">
        <v>999</v>
      </c>
      <c r="D403" s="154">
        <v>396</v>
      </c>
      <c r="E403" s="154" t="s">
        <v>1902</v>
      </c>
      <c r="F403" s="154" t="s">
        <v>83</v>
      </c>
      <c r="G403" s="154" t="s">
        <v>1903</v>
      </c>
      <c r="H403" s="154" t="s">
        <v>482</v>
      </c>
      <c r="I403" s="154" t="s">
        <v>101</v>
      </c>
      <c r="J403" s="154" t="s">
        <v>102</v>
      </c>
      <c r="K403" s="154" t="s">
        <v>60</v>
      </c>
      <c r="L403" s="154" t="s">
        <v>1897</v>
      </c>
      <c r="M403" s="154" t="s">
        <v>1388</v>
      </c>
      <c r="N403" s="154" t="s">
        <v>61</v>
      </c>
      <c r="O403" s="154" t="s">
        <v>62</v>
      </c>
      <c r="P403" s="146">
        <v>27496.03</v>
      </c>
      <c r="Q403" s="146">
        <v>16.97</v>
      </c>
      <c r="R403" s="154" t="s">
        <v>1384</v>
      </c>
      <c r="S403" s="154" t="s">
        <v>1899</v>
      </c>
      <c r="T403" s="155" t="s">
        <v>768</v>
      </c>
      <c r="U403" s="155" t="s">
        <v>1899</v>
      </c>
      <c r="V403" s="154" t="s">
        <v>1904</v>
      </c>
      <c r="W403" s="154">
        <v>0</v>
      </c>
      <c r="X403" s="154" t="s">
        <v>63</v>
      </c>
      <c r="Y403" s="154" t="s">
        <v>1386</v>
      </c>
      <c r="Z403" s="154"/>
      <c r="AA403" s="154" t="s">
        <v>1387</v>
      </c>
      <c r="AB403" s="154">
        <v>0</v>
      </c>
      <c r="AC403" s="138">
        <f>IFERROR(IF(DATEDIF(#REF!,U403,"m")&lt;=1,1,IF(AND(DATEDIF(#REF!,U403,"m")&gt;1,DATEDIF(#REF!,U403,"m")&lt;12),2,IF(AND(DATEDIF(#REF!,U403,"m")&gt;=12,DATEDIF(#REF!,U403,"m")&lt;24),3,IF(DATEDIF(#REF!,U403,"m")&gt;=24,4,"")))),IF(E403="r0320 - Deposits, not covered and not preferential",1,4))</f>
        <v>4</v>
      </c>
    </row>
    <row r="404" spans="3:29" ht="48.75" thickBot="1" x14ac:dyDescent="0.3">
      <c r="C404" s="11">
        <v>999</v>
      </c>
      <c r="D404" s="154">
        <v>397</v>
      </c>
      <c r="E404" s="154" t="s">
        <v>1902</v>
      </c>
      <c r="F404" s="154" t="s">
        <v>83</v>
      </c>
      <c r="G404" s="154" t="s">
        <v>1903</v>
      </c>
      <c r="H404" s="154" t="s">
        <v>799</v>
      </c>
      <c r="I404" s="154" t="s">
        <v>101</v>
      </c>
      <c r="J404" s="154" t="s">
        <v>102</v>
      </c>
      <c r="K404" s="154" t="s">
        <v>60</v>
      </c>
      <c r="L404" s="154" t="s">
        <v>1897</v>
      </c>
      <c r="M404" s="154" t="s">
        <v>1388</v>
      </c>
      <c r="N404" s="154" t="s">
        <v>61</v>
      </c>
      <c r="O404" s="154" t="s">
        <v>62</v>
      </c>
      <c r="P404" s="146">
        <v>8634.92</v>
      </c>
      <c r="Q404" s="146">
        <v>0.54</v>
      </c>
      <c r="R404" s="154" t="s">
        <v>1384</v>
      </c>
      <c r="S404" s="154" t="s">
        <v>1899</v>
      </c>
      <c r="T404" s="155" t="s">
        <v>768</v>
      </c>
      <c r="U404" s="155" t="s">
        <v>1899</v>
      </c>
      <c r="V404" s="154" t="s">
        <v>1904</v>
      </c>
      <c r="W404" s="154">
        <v>0</v>
      </c>
      <c r="X404" s="154" t="s">
        <v>63</v>
      </c>
      <c r="Y404" s="154" t="s">
        <v>1386</v>
      </c>
      <c r="Z404" s="154"/>
      <c r="AA404" s="154" t="s">
        <v>1387</v>
      </c>
      <c r="AB404" s="154">
        <v>0</v>
      </c>
      <c r="AC404" s="138">
        <f>IFERROR(IF(DATEDIF(#REF!,U404,"m")&lt;=1,1,IF(AND(DATEDIF(#REF!,U404,"m")&gt;1,DATEDIF(#REF!,U404,"m")&lt;12),2,IF(AND(DATEDIF(#REF!,U404,"m")&gt;=12,DATEDIF(#REF!,U404,"m")&lt;24),3,IF(DATEDIF(#REF!,U404,"m")&gt;=24,4,"")))),IF(E404="r0320 - Deposits, not covered and not preferential",1,4))</f>
        <v>4</v>
      </c>
    </row>
    <row r="405" spans="3:29" ht="48.75" thickBot="1" x14ac:dyDescent="0.3">
      <c r="C405" s="11">
        <v>999</v>
      </c>
      <c r="D405" s="154">
        <v>398</v>
      </c>
      <c r="E405" s="154" t="s">
        <v>1902</v>
      </c>
      <c r="F405" s="154" t="s">
        <v>83</v>
      </c>
      <c r="G405" s="154" t="s">
        <v>1903</v>
      </c>
      <c r="H405" s="154" t="s">
        <v>193</v>
      </c>
      <c r="I405" s="154" t="s">
        <v>93</v>
      </c>
      <c r="J405" s="154" t="s">
        <v>94</v>
      </c>
      <c r="K405" s="154" t="s">
        <v>60</v>
      </c>
      <c r="L405" s="154" t="s">
        <v>1897</v>
      </c>
      <c r="M405" s="154" t="s">
        <v>1388</v>
      </c>
      <c r="N405" s="154" t="s">
        <v>61</v>
      </c>
      <c r="O405" s="154" t="s">
        <v>62</v>
      </c>
      <c r="P405" s="146">
        <v>82363.19</v>
      </c>
      <c r="Q405" s="146">
        <v>0.15</v>
      </c>
      <c r="R405" s="154" t="s">
        <v>1384</v>
      </c>
      <c r="S405" s="154" t="s">
        <v>1899</v>
      </c>
      <c r="T405" s="155" t="s">
        <v>768</v>
      </c>
      <c r="U405" s="155" t="s">
        <v>1899</v>
      </c>
      <c r="V405" s="154" t="s">
        <v>1904</v>
      </c>
      <c r="W405" s="154">
        <v>0</v>
      </c>
      <c r="X405" s="154" t="s">
        <v>63</v>
      </c>
      <c r="Y405" s="154" t="s">
        <v>1386</v>
      </c>
      <c r="Z405" s="154"/>
      <c r="AA405" s="154" t="s">
        <v>1387</v>
      </c>
      <c r="AB405" s="154">
        <v>0</v>
      </c>
      <c r="AC405" s="138">
        <f>IFERROR(IF(DATEDIF(#REF!,U405,"m")&lt;=1,1,IF(AND(DATEDIF(#REF!,U405,"m")&gt;1,DATEDIF(#REF!,U405,"m")&lt;12),2,IF(AND(DATEDIF(#REF!,U405,"m")&gt;=12,DATEDIF(#REF!,U405,"m")&lt;24),3,IF(DATEDIF(#REF!,U405,"m")&gt;=24,4,"")))),IF(E405="r0320 - Deposits, not covered and not preferential",1,4))</f>
        <v>4</v>
      </c>
    </row>
    <row r="406" spans="3:29" ht="36.75" thickBot="1" x14ac:dyDescent="0.3">
      <c r="C406" s="11">
        <v>999</v>
      </c>
      <c r="D406" s="154">
        <v>399</v>
      </c>
      <c r="E406" s="154" t="s">
        <v>1898</v>
      </c>
      <c r="F406" s="154" t="s">
        <v>87</v>
      </c>
      <c r="G406" s="154" t="s">
        <v>1402</v>
      </c>
      <c r="H406" s="154" t="s">
        <v>866</v>
      </c>
      <c r="I406" s="154" t="s">
        <v>96</v>
      </c>
      <c r="J406" s="154" t="s">
        <v>97</v>
      </c>
      <c r="K406" s="154" t="s">
        <v>91</v>
      </c>
      <c r="L406" s="154" t="s">
        <v>1897</v>
      </c>
      <c r="M406" s="154" t="s">
        <v>1383</v>
      </c>
      <c r="N406" s="154" t="s">
        <v>61</v>
      </c>
      <c r="O406" s="154" t="s">
        <v>62</v>
      </c>
      <c r="P406" s="146">
        <v>1.46</v>
      </c>
      <c r="Q406" s="146">
        <v>0</v>
      </c>
      <c r="R406" s="154" t="s">
        <v>1384</v>
      </c>
      <c r="S406" s="154" t="s">
        <v>1899</v>
      </c>
      <c r="T406" s="155" t="s">
        <v>1899</v>
      </c>
      <c r="U406" s="155" t="s">
        <v>1899</v>
      </c>
      <c r="V406" s="154" t="s">
        <v>1562</v>
      </c>
      <c r="W406" s="154">
        <v>0</v>
      </c>
      <c r="X406" s="154" t="s">
        <v>63</v>
      </c>
      <c r="Y406" s="154" t="s">
        <v>1900</v>
      </c>
      <c r="Z406" s="154"/>
      <c r="AA406" s="154" t="s">
        <v>1387</v>
      </c>
      <c r="AB406" s="154">
        <v>0</v>
      </c>
      <c r="AC406" s="138">
        <f>IFERROR(IF(DATEDIF(#REF!,U406,"m")&lt;=1,1,IF(AND(DATEDIF(#REF!,U406,"m")&gt;1,DATEDIF(#REF!,U406,"m")&lt;12),2,IF(AND(DATEDIF(#REF!,U406,"m")&gt;=12,DATEDIF(#REF!,U406,"m")&lt;24),3,IF(DATEDIF(#REF!,U406,"m")&gt;=24,4,"")))),IF(E406="r0320 - Deposits, not covered and not preferential",1,4))</f>
        <v>4</v>
      </c>
    </row>
    <row r="407" spans="3:29" ht="48.75" thickBot="1" x14ac:dyDescent="0.3">
      <c r="C407" s="11">
        <v>999</v>
      </c>
      <c r="D407" s="154">
        <v>400</v>
      </c>
      <c r="E407" s="154" t="s">
        <v>1902</v>
      </c>
      <c r="F407" s="154" t="s">
        <v>83</v>
      </c>
      <c r="G407" s="154" t="s">
        <v>1903</v>
      </c>
      <c r="H407" s="154" t="s">
        <v>92</v>
      </c>
      <c r="I407" s="154" t="s">
        <v>93</v>
      </c>
      <c r="J407" s="154" t="s">
        <v>94</v>
      </c>
      <c r="K407" s="154" t="s">
        <v>60</v>
      </c>
      <c r="L407" s="154" t="s">
        <v>1897</v>
      </c>
      <c r="M407" s="154" t="s">
        <v>1388</v>
      </c>
      <c r="N407" s="154" t="s">
        <v>61</v>
      </c>
      <c r="O407" s="154" t="s">
        <v>62</v>
      </c>
      <c r="P407" s="146">
        <v>91004.81</v>
      </c>
      <c r="Q407" s="146">
        <v>57.54</v>
      </c>
      <c r="R407" s="154" t="s">
        <v>1384</v>
      </c>
      <c r="S407" s="154" t="s">
        <v>1899</v>
      </c>
      <c r="T407" s="155" t="s">
        <v>768</v>
      </c>
      <c r="U407" s="155" t="s">
        <v>1899</v>
      </c>
      <c r="V407" s="154" t="s">
        <v>1904</v>
      </c>
      <c r="W407" s="154">
        <v>0</v>
      </c>
      <c r="X407" s="154" t="s">
        <v>63</v>
      </c>
      <c r="Y407" s="154" t="s">
        <v>1386</v>
      </c>
      <c r="Z407" s="154"/>
      <c r="AA407" s="154" t="s">
        <v>1387</v>
      </c>
      <c r="AB407" s="154">
        <v>0</v>
      </c>
      <c r="AC407" s="138">
        <f>IFERROR(IF(DATEDIF(#REF!,U407,"m")&lt;=1,1,IF(AND(DATEDIF(#REF!,U407,"m")&gt;1,DATEDIF(#REF!,U407,"m")&lt;12),2,IF(AND(DATEDIF(#REF!,U407,"m")&gt;=12,DATEDIF(#REF!,U407,"m")&lt;24),3,IF(DATEDIF(#REF!,U407,"m")&gt;=24,4,"")))),IF(E407="r0320 - Deposits, not covered and not preferential",1,4))</f>
        <v>4</v>
      </c>
    </row>
    <row r="408" spans="3:29" ht="36.75" thickBot="1" x14ac:dyDescent="0.3">
      <c r="C408" s="11">
        <v>999</v>
      </c>
      <c r="D408" s="154">
        <v>401</v>
      </c>
      <c r="E408" s="154" t="s">
        <v>1898</v>
      </c>
      <c r="F408" s="154" t="s">
        <v>87</v>
      </c>
      <c r="G408" s="154" t="s">
        <v>1402</v>
      </c>
      <c r="H408" s="154" t="s">
        <v>809</v>
      </c>
      <c r="I408" s="154" t="s">
        <v>96</v>
      </c>
      <c r="J408" s="154" t="s">
        <v>97</v>
      </c>
      <c r="K408" s="154" t="s">
        <v>91</v>
      </c>
      <c r="L408" s="154" t="s">
        <v>1897</v>
      </c>
      <c r="M408" s="154" t="s">
        <v>1383</v>
      </c>
      <c r="N408" s="154" t="s">
        <v>61</v>
      </c>
      <c r="O408" s="154" t="s">
        <v>62</v>
      </c>
      <c r="P408" s="146">
        <v>13.69</v>
      </c>
      <c r="Q408" s="146">
        <v>0</v>
      </c>
      <c r="R408" s="154" t="s">
        <v>1384</v>
      </c>
      <c r="S408" s="154" t="s">
        <v>1899</v>
      </c>
      <c r="T408" s="155" t="s">
        <v>1899</v>
      </c>
      <c r="U408" s="155" t="s">
        <v>1899</v>
      </c>
      <c r="V408" s="154" t="s">
        <v>1562</v>
      </c>
      <c r="W408" s="154">
        <v>0</v>
      </c>
      <c r="X408" s="154" t="s">
        <v>63</v>
      </c>
      <c r="Y408" s="154" t="s">
        <v>1900</v>
      </c>
      <c r="Z408" s="154"/>
      <c r="AA408" s="154" t="s">
        <v>1387</v>
      </c>
      <c r="AB408" s="154">
        <v>0</v>
      </c>
      <c r="AC408" s="138">
        <f>IFERROR(IF(DATEDIF(#REF!,U408,"m")&lt;=1,1,IF(AND(DATEDIF(#REF!,U408,"m")&gt;1,DATEDIF(#REF!,U408,"m")&lt;12),2,IF(AND(DATEDIF(#REF!,U408,"m")&gt;=12,DATEDIF(#REF!,U408,"m")&lt;24),3,IF(DATEDIF(#REF!,U408,"m")&gt;=24,4,"")))),IF(E408="r0320 - Deposits, not covered and not preferential",1,4))</f>
        <v>4</v>
      </c>
    </row>
    <row r="409" spans="3:29" ht="48.75" thickBot="1" x14ac:dyDescent="0.3">
      <c r="C409" s="11">
        <v>999</v>
      </c>
      <c r="D409" s="154">
        <v>402</v>
      </c>
      <c r="E409" s="154" t="s">
        <v>1902</v>
      </c>
      <c r="F409" s="154" t="s">
        <v>83</v>
      </c>
      <c r="G409" s="154" t="s">
        <v>1903</v>
      </c>
      <c r="H409" s="154" t="s">
        <v>805</v>
      </c>
      <c r="I409" s="154" t="s">
        <v>101</v>
      </c>
      <c r="J409" s="154" t="s">
        <v>102</v>
      </c>
      <c r="K409" s="154" t="s">
        <v>60</v>
      </c>
      <c r="L409" s="154" t="s">
        <v>1897</v>
      </c>
      <c r="M409" s="154" t="s">
        <v>1388</v>
      </c>
      <c r="N409" s="154" t="s">
        <v>61</v>
      </c>
      <c r="O409" s="154" t="s">
        <v>62</v>
      </c>
      <c r="P409" s="146">
        <v>2624789.7599999998</v>
      </c>
      <c r="Q409" s="146">
        <v>1031.48</v>
      </c>
      <c r="R409" s="154" t="s">
        <v>1384</v>
      </c>
      <c r="S409" s="154" t="s">
        <v>1899</v>
      </c>
      <c r="T409" s="155" t="s">
        <v>768</v>
      </c>
      <c r="U409" s="155" t="s">
        <v>1899</v>
      </c>
      <c r="V409" s="154" t="s">
        <v>1904</v>
      </c>
      <c r="W409" s="154">
        <v>0</v>
      </c>
      <c r="X409" s="154" t="s">
        <v>63</v>
      </c>
      <c r="Y409" s="154" t="s">
        <v>1386</v>
      </c>
      <c r="Z409" s="154"/>
      <c r="AA409" s="154" t="s">
        <v>1387</v>
      </c>
      <c r="AB409" s="154">
        <v>0</v>
      </c>
      <c r="AC409" s="138">
        <f>IFERROR(IF(DATEDIF(#REF!,U409,"m")&lt;=1,1,IF(AND(DATEDIF(#REF!,U409,"m")&gt;1,DATEDIF(#REF!,U409,"m")&lt;12),2,IF(AND(DATEDIF(#REF!,U409,"m")&gt;=12,DATEDIF(#REF!,U409,"m")&lt;24),3,IF(DATEDIF(#REF!,U409,"m")&gt;=24,4,"")))),IF(E409="r0320 - Deposits, not covered and not preferential",1,4))</f>
        <v>4</v>
      </c>
    </row>
    <row r="410" spans="3:29" ht="36.75" thickBot="1" x14ac:dyDescent="0.3">
      <c r="C410" s="11">
        <v>999</v>
      </c>
      <c r="D410" s="154">
        <v>403</v>
      </c>
      <c r="E410" s="154" t="s">
        <v>1898</v>
      </c>
      <c r="F410" s="154" t="s">
        <v>87</v>
      </c>
      <c r="G410" s="154" t="s">
        <v>1402</v>
      </c>
      <c r="H410" s="154" t="s">
        <v>739</v>
      </c>
      <c r="I410" s="154" t="s">
        <v>96</v>
      </c>
      <c r="J410" s="154" t="s">
        <v>97</v>
      </c>
      <c r="K410" s="154" t="s">
        <v>91</v>
      </c>
      <c r="L410" s="154" t="s">
        <v>1897</v>
      </c>
      <c r="M410" s="154" t="s">
        <v>1383</v>
      </c>
      <c r="N410" s="154" t="s">
        <v>61</v>
      </c>
      <c r="O410" s="154" t="s">
        <v>62</v>
      </c>
      <c r="P410" s="146">
        <v>31.11</v>
      </c>
      <c r="Q410" s="146">
        <v>0</v>
      </c>
      <c r="R410" s="154" t="s">
        <v>1384</v>
      </c>
      <c r="S410" s="154" t="s">
        <v>1899</v>
      </c>
      <c r="T410" s="155" t="s">
        <v>1899</v>
      </c>
      <c r="U410" s="155" t="s">
        <v>1899</v>
      </c>
      <c r="V410" s="154" t="s">
        <v>1562</v>
      </c>
      <c r="W410" s="154">
        <v>0</v>
      </c>
      <c r="X410" s="154" t="s">
        <v>63</v>
      </c>
      <c r="Y410" s="154" t="s">
        <v>1900</v>
      </c>
      <c r="Z410" s="154"/>
      <c r="AA410" s="154" t="s">
        <v>1387</v>
      </c>
      <c r="AB410" s="154">
        <v>0</v>
      </c>
      <c r="AC410" s="138">
        <f>IFERROR(IF(DATEDIF(#REF!,U410,"m")&lt;=1,1,IF(AND(DATEDIF(#REF!,U410,"m")&gt;1,DATEDIF(#REF!,U410,"m")&lt;12),2,IF(AND(DATEDIF(#REF!,U410,"m")&gt;=12,DATEDIF(#REF!,U410,"m")&lt;24),3,IF(DATEDIF(#REF!,U410,"m")&gt;=24,4,"")))),IF(E410="r0320 - Deposits, not covered and not preferential",1,4))</f>
        <v>4</v>
      </c>
    </row>
    <row r="411" spans="3:29" ht="48.75" thickBot="1" x14ac:dyDescent="0.3">
      <c r="C411" s="11">
        <v>999</v>
      </c>
      <c r="D411" s="154">
        <v>404</v>
      </c>
      <c r="E411" s="154" t="s">
        <v>1902</v>
      </c>
      <c r="F411" s="154" t="s">
        <v>83</v>
      </c>
      <c r="G411" s="154" t="s">
        <v>1903</v>
      </c>
      <c r="H411" s="154" t="s">
        <v>300</v>
      </c>
      <c r="I411" s="154" t="s">
        <v>114</v>
      </c>
      <c r="J411" s="154" t="s">
        <v>115</v>
      </c>
      <c r="K411" s="154" t="s">
        <v>60</v>
      </c>
      <c r="L411" s="154" t="s">
        <v>1897</v>
      </c>
      <c r="M411" s="154" t="s">
        <v>1388</v>
      </c>
      <c r="N411" s="154" t="s">
        <v>61</v>
      </c>
      <c r="O411" s="154" t="s">
        <v>62</v>
      </c>
      <c r="P411" s="146">
        <v>170583.92</v>
      </c>
      <c r="Q411" s="146">
        <v>271.81</v>
      </c>
      <c r="R411" s="154" t="s">
        <v>1384</v>
      </c>
      <c r="S411" s="154" t="s">
        <v>1899</v>
      </c>
      <c r="T411" s="155" t="s">
        <v>768</v>
      </c>
      <c r="U411" s="155" t="s">
        <v>1899</v>
      </c>
      <c r="V411" s="154" t="s">
        <v>1904</v>
      </c>
      <c r="W411" s="154">
        <v>0</v>
      </c>
      <c r="X411" s="154" t="s">
        <v>63</v>
      </c>
      <c r="Y411" s="154" t="s">
        <v>1386</v>
      </c>
      <c r="Z411" s="154"/>
      <c r="AA411" s="154" t="s">
        <v>1387</v>
      </c>
      <c r="AB411" s="154">
        <v>0</v>
      </c>
      <c r="AC411" s="138">
        <f>IFERROR(IF(DATEDIF(#REF!,U411,"m")&lt;=1,1,IF(AND(DATEDIF(#REF!,U411,"m")&gt;1,DATEDIF(#REF!,U411,"m")&lt;12),2,IF(AND(DATEDIF(#REF!,U411,"m")&gt;=12,DATEDIF(#REF!,U411,"m")&lt;24),3,IF(DATEDIF(#REF!,U411,"m")&gt;=24,4,"")))),IF(E411="r0320 - Deposits, not covered and not preferential",1,4))</f>
        <v>4</v>
      </c>
    </row>
    <row r="412" spans="3:29" ht="36.75" thickBot="1" x14ac:dyDescent="0.3">
      <c r="C412" s="11">
        <v>999</v>
      </c>
      <c r="D412" s="154">
        <v>405</v>
      </c>
      <c r="E412" s="154" t="s">
        <v>1898</v>
      </c>
      <c r="F412" s="154" t="s">
        <v>87</v>
      </c>
      <c r="G412" s="154" t="s">
        <v>1402</v>
      </c>
      <c r="H412" s="154" t="s">
        <v>813</v>
      </c>
      <c r="I412" s="154" t="s">
        <v>96</v>
      </c>
      <c r="J412" s="154" t="s">
        <v>97</v>
      </c>
      <c r="K412" s="154" t="s">
        <v>91</v>
      </c>
      <c r="L412" s="154" t="s">
        <v>1897</v>
      </c>
      <c r="M412" s="154" t="s">
        <v>1383</v>
      </c>
      <c r="N412" s="154" t="s">
        <v>61</v>
      </c>
      <c r="O412" s="154" t="s">
        <v>62</v>
      </c>
      <c r="P412" s="146">
        <v>88.89</v>
      </c>
      <c r="Q412" s="146">
        <v>0</v>
      </c>
      <c r="R412" s="154" t="s">
        <v>1384</v>
      </c>
      <c r="S412" s="154" t="s">
        <v>1899</v>
      </c>
      <c r="T412" s="155" t="s">
        <v>1899</v>
      </c>
      <c r="U412" s="155" t="s">
        <v>1899</v>
      </c>
      <c r="V412" s="154" t="s">
        <v>1562</v>
      </c>
      <c r="W412" s="154">
        <v>0</v>
      </c>
      <c r="X412" s="154" t="s">
        <v>63</v>
      </c>
      <c r="Y412" s="154" t="s">
        <v>1900</v>
      </c>
      <c r="Z412" s="154"/>
      <c r="AA412" s="154" t="s">
        <v>1387</v>
      </c>
      <c r="AB412" s="154">
        <v>0</v>
      </c>
      <c r="AC412" s="138">
        <f>IFERROR(IF(DATEDIF(#REF!,U412,"m")&lt;=1,1,IF(AND(DATEDIF(#REF!,U412,"m")&gt;1,DATEDIF(#REF!,U412,"m")&lt;12),2,IF(AND(DATEDIF(#REF!,U412,"m")&gt;=12,DATEDIF(#REF!,U412,"m")&lt;24),3,IF(DATEDIF(#REF!,U412,"m")&gt;=24,4,"")))),IF(E412="r0320 - Deposits, not covered and not preferential",1,4))</f>
        <v>4</v>
      </c>
    </row>
    <row r="413" spans="3:29" ht="48.75" thickBot="1" x14ac:dyDescent="0.3">
      <c r="C413" s="11">
        <v>999</v>
      </c>
      <c r="D413" s="154">
        <v>406</v>
      </c>
      <c r="E413" s="154" t="s">
        <v>1902</v>
      </c>
      <c r="F413" s="154" t="s">
        <v>83</v>
      </c>
      <c r="G413" s="154" t="s">
        <v>1903</v>
      </c>
      <c r="H413" s="154" t="s">
        <v>281</v>
      </c>
      <c r="I413" s="154" t="s">
        <v>93</v>
      </c>
      <c r="J413" s="154" t="s">
        <v>94</v>
      </c>
      <c r="K413" s="154" t="s">
        <v>60</v>
      </c>
      <c r="L413" s="154" t="s">
        <v>1897</v>
      </c>
      <c r="M413" s="154" t="s">
        <v>1388</v>
      </c>
      <c r="N413" s="154" t="s">
        <v>61</v>
      </c>
      <c r="O413" s="154" t="s">
        <v>62</v>
      </c>
      <c r="P413" s="146">
        <v>86158.66</v>
      </c>
      <c r="Q413" s="146">
        <v>54</v>
      </c>
      <c r="R413" s="154" t="s">
        <v>1384</v>
      </c>
      <c r="S413" s="154" t="s">
        <v>1899</v>
      </c>
      <c r="T413" s="155" t="s">
        <v>768</v>
      </c>
      <c r="U413" s="155" t="s">
        <v>1899</v>
      </c>
      <c r="V413" s="154" t="s">
        <v>1904</v>
      </c>
      <c r="W413" s="154">
        <v>0</v>
      </c>
      <c r="X413" s="154" t="s">
        <v>63</v>
      </c>
      <c r="Y413" s="154" t="s">
        <v>1386</v>
      </c>
      <c r="Z413" s="154"/>
      <c r="AA413" s="154" t="s">
        <v>1387</v>
      </c>
      <c r="AB413" s="154">
        <v>0</v>
      </c>
      <c r="AC413" s="138">
        <f>IFERROR(IF(DATEDIF(#REF!,U413,"m")&lt;=1,1,IF(AND(DATEDIF(#REF!,U413,"m")&gt;1,DATEDIF(#REF!,U413,"m")&lt;12),2,IF(AND(DATEDIF(#REF!,U413,"m")&gt;=12,DATEDIF(#REF!,U413,"m")&lt;24),3,IF(DATEDIF(#REF!,U413,"m")&gt;=24,4,"")))),IF(E413="r0320 - Deposits, not covered and not preferential",1,4))</f>
        <v>4</v>
      </c>
    </row>
    <row r="414" spans="3:29" ht="36.75" thickBot="1" x14ac:dyDescent="0.3">
      <c r="C414" s="11">
        <v>999</v>
      </c>
      <c r="D414" s="154">
        <v>407</v>
      </c>
      <c r="E414" s="154" t="s">
        <v>1898</v>
      </c>
      <c r="F414" s="154" t="s">
        <v>87</v>
      </c>
      <c r="G414" s="154" t="s">
        <v>1402</v>
      </c>
      <c r="H414" s="154" t="s">
        <v>816</v>
      </c>
      <c r="I414" s="154" t="s">
        <v>310</v>
      </c>
      <c r="J414" s="154" t="s">
        <v>311</v>
      </c>
      <c r="K414" s="154" t="s">
        <v>60</v>
      </c>
      <c r="L414" s="154" t="s">
        <v>1897</v>
      </c>
      <c r="M414" s="154" t="s">
        <v>1383</v>
      </c>
      <c r="N414" s="154" t="s">
        <v>61</v>
      </c>
      <c r="O414" s="154" t="s">
        <v>62</v>
      </c>
      <c r="P414" s="146">
        <v>18.34</v>
      </c>
      <c r="Q414" s="146">
        <v>0</v>
      </c>
      <c r="R414" s="154" t="s">
        <v>1384</v>
      </c>
      <c r="S414" s="154" t="s">
        <v>1899</v>
      </c>
      <c r="T414" s="155" t="s">
        <v>1899</v>
      </c>
      <c r="U414" s="155" t="s">
        <v>1899</v>
      </c>
      <c r="V414" s="154" t="s">
        <v>1562</v>
      </c>
      <c r="W414" s="154">
        <v>0</v>
      </c>
      <c r="X414" s="154" t="s">
        <v>63</v>
      </c>
      <c r="Y414" s="154" t="s">
        <v>1900</v>
      </c>
      <c r="Z414" s="154"/>
      <c r="AA414" s="154" t="s">
        <v>1387</v>
      </c>
      <c r="AB414" s="154">
        <v>0</v>
      </c>
      <c r="AC414" s="138">
        <f>IFERROR(IF(DATEDIF(#REF!,U414,"m")&lt;=1,1,IF(AND(DATEDIF(#REF!,U414,"m")&gt;1,DATEDIF(#REF!,U414,"m")&lt;12),2,IF(AND(DATEDIF(#REF!,U414,"m")&gt;=12,DATEDIF(#REF!,U414,"m")&lt;24),3,IF(DATEDIF(#REF!,U414,"m")&gt;=24,4,"")))),IF(E414="r0320 - Deposits, not covered and not preferential",1,4))</f>
        <v>4</v>
      </c>
    </row>
    <row r="415" spans="3:29" ht="48.75" thickBot="1" x14ac:dyDescent="0.3">
      <c r="C415" s="11">
        <v>999</v>
      </c>
      <c r="D415" s="154">
        <v>408</v>
      </c>
      <c r="E415" s="154" t="s">
        <v>1902</v>
      </c>
      <c r="F415" s="154" t="s">
        <v>83</v>
      </c>
      <c r="G415" s="154" t="s">
        <v>1903</v>
      </c>
      <c r="H415" s="154" t="s">
        <v>197</v>
      </c>
      <c r="I415" s="154" t="s">
        <v>101</v>
      </c>
      <c r="J415" s="154" t="s">
        <v>102</v>
      </c>
      <c r="K415" s="154" t="s">
        <v>60</v>
      </c>
      <c r="L415" s="154" t="s">
        <v>1897</v>
      </c>
      <c r="M415" s="154" t="s">
        <v>1388</v>
      </c>
      <c r="N415" s="154" t="s">
        <v>61</v>
      </c>
      <c r="O415" s="154" t="s">
        <v>62</v>
      </c>
      <c r="P415" s="146">
        <v>121484.7</v>
      </c>
      <c r="Q415" s="146">
        <v>5.92</v>
      </c>
      <c r="R415" s="154" t="s">
        <v>1384</v>
      </c>
      <c r="S415" s="154" t="s">
        <v>1899</v>
      </c>
      <c r="T415" s="155" t="s">
        <v>768</v>
      </c>
      <c r="U415" s="155" t="s">
        <v>1899</v>
      </c>
      <c r="V415" s="154" t="s">
        <v>1904</v>
      </c>
      <c r="W415" s="154">
        <v>0</v>
      </c>
      <c r="X415" s="154" t="s">
        <v>63</v>
      </c>
      <c r="Y415" s="154" t="s">
        <v>1386</v>
      </c>
      <c r="Z415" s="154"/>
      <c r="AA415" s="154" t="s">
        <v>1387</v>
      </c>
      <c r="AB415" s="154">
        <v>0</v>
      </c>
      <c r="AC415" s="138">
        <f>IFERROR(IF(DATEDIF(#REF!,U415,"m")&lt;=1,1,IF(AND(DATEDIF(#REF!,U415,"m")&gt;1,DATEDIF(#REF!,U415,"m")&lt;12),2,IF(AND(DATEDIF(#REF!,U415,"m")&gt;=12,DATEDIF(#REF!,U415,"m")&lt;24),3,IF(DATEDIF(#REF!,U415,"m")&gt;=24,4,"")))),IF(E415="r0320 - Deposits, not covered and not preferential",1,4))</f>
        <v>4</v>
      </c>
    </row>
    <row r="416" spans="3:29" ht="36.75" thickBot="1" x14ac:dyDescent="0.3">
      <c r="C416" s="11">
        <v>999</v>
      </c>
      <c r="D416" s="154">
        <v>409</v>
      </c>
      <c r="E416" s="154" t="s">
        <v>1898</v>
      </c>
      <c r="F416" s="154" t="s">
        <v>87</v>
      </c>
      <c r="G416" s="154" t="s">
        <v>1402</v>
      </c>
      <c r="H416" s="154" t="s">
        <v>818</v>
      </c>
      <c r="I416" s="154" t="s">
        <v>96</v>
      </c>
      <c r="J416" s="154" t="s">
        <v>97</v>
      </c>
      <c r="K416" s="154" t="s">
        <v>91</v>
      </c>
      <c r="L416" s="154" t="s">
        <v>1897</v>
      </c>
      <c r="M416" s="154" t="s">
        <v>1383</v>
      </c>
      <c r="N416" s="154" t="s">
        <v>61</v>
      </c>
      <c r="O416" s="154" t="s">
        <v>62</v>
      </c>
      <c r="P416" s="146">
        <v>82.18</v>
      </c>
      <c r="Q416" s="146">
        <v>0</v>
      </c>
      <c r="R416" s="154" t="s">
        <v>1384</v>
      </c>
      <c r="S416" s="154" t="s">
        <v>1899</v>
      </c>
      <c r="T416" s="155" t="s">
        <v>1899</v>
      </c>
      <c r="U416" s="155" t="s">
        <v>1899</v>
      </c>
      <c r="V416" s="154" t="s">
        <v>1562</v>
      </c>
      <c r="W416" s="154">
        <v>0</v>
      </c>
      <c r="X416" s="154" t="s">
        <v>63</v>
      </c>
      <c r="Y416" s="154" t="s">
        <v>1900</v>
      </c>
      <c r="Z416" s="154"/>
      <c r="AA416" s="154" t="s">
        <v>1387</v>
      </c>
      <c r="AB416" s="154">
        <v>0</v>
      </c>
      <c r="AC416" s="138">
        <f>IFERROR(IF(DATEDIF(#REF!,U416,"m")&lt;=1,1,IF(AND(DATEDIF(#REF!,U416,"m")&gt;1,DATEDIF(#REF!,U416,"m")&lt;12),2,IF(AND(DATEDIF(#REF!,U416,"m")&gt;=12,DATEDIF(#REF!,U416,"m")&lt;24),3,IF(DATEDIF(#REF!,U416,"m")&gt;=24,4,"")))),IF(E416="r0320 - Deposits, not covered and not preferential",1,4))</f>
        <v>4</v>
      </c>
    </row>
    <row r="417" spans="3:29" ht="48.75" thickBot="1" x14ac:dyDescent="0.3">
      <c r="C417" s="11">
        <v>999</v>
      </c>
      <c r="D417" s="154">
        <v>410</v>
      </c>
      <c r="E417" s="154" t="s">
        <v>1902</v>
      </c>
      <c r="F417" s="154" t="s">
        <v>83</v>
      </c>
      <c r="G417" s="154" t="s">
        <v>1903</v>
      </c>
      <c r="H417" s="154" t="s">
        <v>150</v>
      </c>
      <c r="I417" s="154" t="s">
        <v>93</v>
      </c>
      <c r="J417" s="154" t="s">
        <v>94</v>
      </c>
      <c r="K417" s="154" t="s">
        <v>60</v>
      </c>
      <c r="L417" s="154" t="s">
        <v>1897</v>
      </c>
      <c r="M417" s="154" t="s">
        <v>1388</v>
      </c>
      <c r="N417" s="154" t="s">
        <v>61</v>
      </c>
      <c r="O417" s="154" t="s">
        <v>62</v>
      </c>
      <c r="P417" s="146">
        <v>86624.44</v>
      </c>
      <c r="Q417" s="146">
        <v>12.08</v>
      </c>
      <c r="R417" s="154" t="s">
        <v>1384</v>
      </c>
      <c r="S417" s="154" t="s">
        <v>1899</v>
      </c>
      <c r="T417" s="155" t="s">
        <v>768</v>
      </c>
      <c r="U417" s="155" t="s">
        <v>1899</v>
      </c>
      <c r="V417" s="154" t="s">
        <v>1904</v>
      </c>
      <c r="W417" s="154">
        <v>0</v>
      </c>
      <c r="X417" s="154" t="s">
        <v>63</v>
      </c>
      <c r="Y417" s="154" t="s">
        <v>1386</v>
      </c>
      <c r="Z417" s="154"/>
      <c r="AA417" s="154" t="s">
        <v>1387</v>
      </c>
      <c r="AB417" s="154">
        <v>0</v>
      </c>
      <c r="AC417" s="138">
        <f>IFERROR(IF(DATEDIF(#REF!,U417,"m")&lt;=1,1,IF(AND(DATEDIF(#REF!,U417,"m")&gt;1,DATEDIF(#REF!,U417,"m")&lt;12),2,IF(AND(DATEDIF(#REF!,U417,"m")&gt;=12,DATEDIF(#REF!,U417,"m")&lt;24),3,IF(DATEDIF(#REF!,U417,"m")&gt;=24,4,"")))),IF(E417="r0320 - Deposits, not covered and not preferential",1,4))</f>
        <v>4</v>
      </c>
    </row>
    <row r="418" spans="3:29" ht="36.75" thickBot="1" x14ac:dyDescent="0.3">
      <c r="C418" s="11">
        <v>999</v>
      </c>
      <c r="D418" s="154">
        <v>411</v>
      </c>
      <c r="E418" s="154" t="s">
        <v>1898</v>
      </c>
      <c r="F418" s="154" t="s">
        <v>87</v>
      </c>
      <c r="G418" s="154" t="s">
        <v>1402</v>
      </c>
      <c r="H418" s="154" t="s">
        <v>820</v>
      </c>
      <c r="I418" s="154" t="s">
        <v>310</v>
      </c>
      <c r="J418" s="154" t="s">
        <v>311</v>
      </c>
      <c r="K418" s="154" t="s">
        <v>60</v>
      </c>
      <c r="L418" s="154" t="s">
        <v>1897</v>
      </c>
      <c r="M418" s="154" t="s">
        <v>1383</v>
      </c>
      <c r="N418" s="154" t="s">
        <v>61</v>
      </c>
      <c r="O418" s="154" t="s">
        <v>62</v>
      </c>
      <c r="P418" s="146">
        <v>4.24</v>
      </c>
      <c r="Q418" s="146">
        <v>0</v>
      </c>
      <c r="R418" s="154" t="s">
        <v>1384</v>
      </c>
      <c r="S418" s="154" t="s">
        <v>1899</v>
      </c>
      <c r="T418" s="155" t="s">
        <v>1899</v>
      </c>
      <c r="U418" s="155" t="s">
        <v>1899</v>
      </c>
      <c r="V418" s="154" t="s">
        <v>1562</v>
      </c>
      <c r="W418" s="154">
        <v>0</v>
      </c>
      <c r="X418" s="154" t="s">
        <v>63</v>
      </c>
      <c r="Y418" s="154" t="s">
        <v>1900</v>
      </c>
      <c r="Z418" s="154"/>
      <c r="AA418" s="154" t="s">
        <v>1387</v>
      </c>
      <c r="AB418" s="154">
        <v>0</v>
      </c>
      <c r="AC418" s="138">
        <f>IFERROR(IF(DATEDIF(#REF!,U418,"m")&lt;=1,1,IF(AND(DATEDIF(#REF!,U418,"m")&gt;1,DATEDIF(#REF!,U418,"m")&lt;12),2,IF(AND(DATEDIF(#REF!,U418,"m")&gt;=12,DATEDIF(#REF!,U418,"m")&lt;24),3,IF(DATEDIF(#REF!,U418,"m")&gt;=24,4,"")))),IF(E418="r0320 - Deposits, not covered and not preferential",1,4))</f>
        <v>4</v>
      </c>
    </row>
    <row r="419" spans="3:29" ht="48.75" thickBot="1" x14ac:dyDescent="0.3">
      <c r="C419" s="11">
        <v>999</v>
      </c>
      <c r="D419" s="154">
        <v>412</v>
      </c>
      <c r="E419" s="154" t="s">
        <v>1902</v>
      </c>
      <c r="F419" s="154" t="s">
        <v>83</v>
      </c>
      <c r="G419" s="154" t="s">
        <v>1903</v>
      </c>
      <c r="H419" s="154" t="s">
        <v>304</v>
      </c>
      <c r="I419" s="154" t="s">
        <v>101</v>
      </c>
      <c r="J419" s="154" t="s">
        <v>102</v>
      </c>
      <c r="K419" s="154" t="s">
        <v>60</v>
      </c>
      <c r="L419" s="154" t="s">
        <v>1897</v>
      </c>
      <c r="M419" s="154" t="s">
        <v>1388</v>
      </c>
      <c r="N419" s="154" t="s">
        <v>61</v>
      </c>
      <c r="O419" s="154" t="s">
        <v>62</v>
      </c>
      <c r="P419" s="146">
        <v>102356</v>
      </c>
      <c r="Q419" s="146">
        <v>-7.72</v>
      </c>
      <c r="R419" s="154" t="s">
        <v>1384</v>
      </c>
      <c r="S419" s="154" t="s">
        <v>1899</v>
      </c>
      <c r="T419" s="155" t="s">
        <v>768</v>
      </c>
      <c r="U419" s="155" t="s">
        <v>1899</v>
      </c>
      <c r="V419" s="154" t="s">
        <v>1904</v>
      </c>
      <c r="W419" s="154">
        <v>0</v>
      </c>
      <c r="X419" s="154" t="s">
        <v>63</v>
      </c>
      <c r="Y419" s="154" t="s">
        <v>1386</v>
      </c>
      <c r="Z419" s="154"/>
      <c r="AA419" s="154" t="s">
        <v>1387</v>
      </c>
      <c r="AB419" s="154">
        <v>0</v>
      </c>
      <c r="AC419" s="138">
        <f>IFERROR(IF(DATEDIF(#REF!,U419,"m")&lt;=1,1,IF(AND(DATEDIF(#REF!,U419,"m")&gt;1,DATEDIF(#REF!,U419,"m")&lt;12),2,IF(AND(DATEDIF(#REF!,U419,"m")&gt;=12,DATEDIF(#REF!,U419,"m")&lt;24),3,IF(DATEDIF(#REF!,U419,"m")&gt;=24,4,"")))),IF(E419="r0320 - Deposits, not covered and not preferential",1,4))</f>
        <v>4</v>
      </c>
    </row>
    <row r="420" spans="3:29" ht="36.75" thickBot="1" x14ac:dyDescent="0.3">
      <c r="C420" s="11">
        <v>999</v>
      </c>
      <c r="D420" s="154">
        <v>413</v>
      </c>
      <c r="E420" s="154" t="s">
        <v>1898</v>
      </c>
      <c r="F420" s="154" t="s">
        <v>87</v>
      </c>
      <c r="G420" s="154" t="s">
        <v>1402</v>
      </c>
      <c r="H420" s="154" t="s">
        <v>823</v>
      </c>
      <c r="I420" s="154" t="s">
        <v>96</v>
      </c>
      <c r="J420" s="154" t="s">
        <v>97</v>
      </c>
      <c r="K420" s="154" t="s">
        <v>91</v>
      </c>
      <c r="L420" s="154" t="s">
        <v>1897</v>
      </c>
      <c r="M420" s="154" t="s">
        <v>1383</v>
      </c>
      <c r="N420" s="154" t="s">
        <v>61</v>
      </c>
      <c r="O420" s="154" t="s">
        <v>62</v>
      </c>
      <c r="P420" s="146">
        <v>6.67</v>
      </c>
      <c r="Q420" s="146">
        <v>0</v>
      </c>
      <c r="R420" s="154" t="s">
        <v>1384</v>
      </c>
      <c r="S420" s="154" t="s">
        <v>1899</v>
      </c>
      <c r="T420" s="155" t="s">
        <v>1899</v>
      </c>
      <c r="U420" s="155" t="s">
        <v>1899</v>
      </c>
      <c r="V420" s="154" t="s">
        <v>1562</v>
      </c>
      <c r="W420" s="154">
        <v>0</v>
      </c>
      <c r="X420" s="154" t="s">
        <v>63</v>
      </c>
      <c r="Y420" s="154" t="s">
        <v>1900</v>
      </c>
      <c r="Z420" s="154"/>
      <c r="AA420" s="154" t="s">
        <v>1387</v>
      </c>
      <c r="AB420" s="154">
        <v>0</v>
      </c>
      <c r="AC420" s="138">
        <f>IFERROR(IF(DATEDIF(#REF!,U420,"m")&lt;=1,1,IF(AND(DATEDIF(#REF!,U420,"m")&gt;1,DATEDIF(#REF!,U420,"m")&lt;12),2,IF(AND(DATEDIF(#REF!,U420,"m")&gt;=12,DATEDIF(#REF!,U420,"m")&lt;24),3,IF(DATEDIF(#REF!,U420,"m")&gt;=24,4,"")))),IF(E420="r0320 - Deposits, not covered and not preferential",1,4))</f>
        <v>4</v>
      </c>
    </row>
    <row r="421" spans="3:29" ht="48.75" thickBot="1" x14ac:dyDescent="0.3">
      <c r="C421" s="11">
        <v>999</v>
      </c>
      <c r="D421" s="154">
        <v>414</v>
      </c>
      <c r="E421" s="154" t="s">
        <v>1902</v>
      </c>
      <c r="F421" s="154" t="s">
        <v>83</v>
      </c>
      <c r="G421" s="154" t="s">
        <v>1903</v>
      </c>
      <c r="H421" s="154" t="s">
        <v>1282</v>
      </c>
      <c r="I421" s="154" t="s">
        <v>101</v>
      </c>
      <c r="J421" s="154" t="s">
        <v>102</v>
      </c>
      <c r="K421" s="154" t="s">
        <v>60</v>
      </c>
      <c r="L421" s="154" t="s">
        <v>1897</v>
      </c>
      <c r="M421" s="154" t="s">
        <v>1388</v>
      </c>
      <c r="N421" s="154" t="s">
        <v>61</v>
      </c>
      <c r="O421" s="154" t="s">
        <v>62</v>
      </c>
      <c r="P421" s="146">
        <v>36021.129999999997</v>
      </c>
      <c r="Q421" s="146">
        <v>2.17</v>
      </c>
      <c r="R421" s="154" t="s">
        <v>1384</v>
      </c>
      <c r="S421" s="154" t="s">
        <v>1899</v>
      </c>
      <c r="T421" s="155" t="s">
        <v>768</v>
      </c>
      <c r="U421" s="155" t="s">
        <v>1899</v>
      </c>
      <c r="V421" s="154" t="s">
        <v>1904</v>
      </c>
      <c r="W421" s="154">
        <v>0</v>
      </c>
      <c r="X421" s="154" t="s">
        <v>63</v>
      </c>
      <c r="Y421" s="154" t="s">
        <v>1386</v>
      </c>
      <c r="Z421" s="154"/>
      <c r="AA421" s="154" t="s">
        <v>1387</v>
      </c>
      <c r="AB421" s="154">
        <v>0</v>
      </c>
      <c r="AC421" s="138">
        <f>IFERROR(IF(DATEDIF(#REF!,U421,"m")&lt;=1,1,IF(AND(DATEDIF(#REF!,U421,"m")&gt;1,DATEDIF(#REF!,U421,"m")&lt;12),2,IF(AND(DATEDIF(#REF!,U421,"m")&gt;=12,DATEDIF(#REF!,U421,"m")&lt;24),3,IF(DATEDIF(#REF!,U421,"m")&gt;=24,4,"")))),IF(E421="r0320 - Deposits, not covered and not preferential",1,4))</f>
        <v>4</v>
      </c>
    </row>
    <row r="422" spans="3:29" ht="36.75" thickBot="1" x14ac:dyDescent="0.3">
      <c r="C422" s="11">
        <v>999</v>
      </c>
      <c r="D422" s="154">
        <v>415</v>
      </c>
      <c r="E422" s="154" t="s">
        <v>1898</v>
      </c>
      <c r="F422" s="154" t="s">
        <v>87</v>
      </c>
      <c r="G422" s="154" t="s">
        <v>1402</v>
      </c>
      <c r="H422" s="154" t="s">
        <v>826</v>
      </c>
      <c r="I422" s="154" t="s">
        <v>96</v>
      </c>
      <c r="J422" s="154" t="s">
        <v>97</v>
      </c>
      <c r="K422" s="154" t="s">
        <v>91</v>
      </c>
      <c r="L422" s="154" t="s">
        <v>1897</v>
      </c>
      <c r="M422" s="154" t="s">
        <v>1383</v>
      </c>
      <c r="N422" s="154" t="s">
        <v>61</v>
      </c>
      <c r="O422" s="154" t="s">
        <v>62</v>
      </c>
      <c r="P422" s="146">
        <v>2.93</v>
      </c>
      <c r="Q422" s="146">
        <v>0</v>
      </c>
      <c r="R422" s="154" t="s">
        <v>1384</v>
      </c>
      <c r="S422" s="154" t="s">
        <v>1899</v>
      </c>
      <c r="T422" s="155" t="s">
        <v>1899</v>
      </c>
      <c r="U422" s="155" t="s">
        <v>1899</v>
      </c>
      <c r="V422" s="154" t="s">
        <v>1562</v>
      </c>
      <c r="W422" s="154">
        <v>0</v>
      </c>
      <c r="X422" s="154" t="s">
        <v>63</v>
      </c>
      <c r="Y422" s="154" t="s">
        <v>1900</v>
      </c>
      <c r="Z422" s="154"/>
      <c r="AA422" s="154" t="s">
        <v>1387</v>
      </c>
      <c r="AB422" s="154">
        <v>0</v>
      </c>
      <c r="AC422" s="138">
        <f>IFERROR(IF(DATEDIF(#REF!,U422,"m")&lt;=1,1,IF(AND(DATEDIF(#REF!,U422,"m")&gt;1,DATEDIF(#REF!,U422,"m")&lt;12),2,IF(AND(DATEDIF(#REF!,U422,"m")&gt;=12,DATEDIF(#REF!,U422,"m")&lt;24),3,IF(DATEDIF(#REF!,U422,"m")&gt;=24,4,"")))),IF(E422="r0320 - Deposits, not covered and not preferential",1,4))</f>
        <v>4</v>
      </c>
    </row>
    <row r="423" spans="3:29" ht="48.75" thickBot="1" x14ac:dyDescent="0.3">
      <c r="C423" s="11">
        <v>999</v>
      </c>
      <c r="D423" s="154">
        <v>416</v>
      </c>
      <c r="E423" s="154" t="s">
        <v>1902</v>
      </c>
      <c r="F423" s="154" t="s">
        <v>83</v>
      </c>
      <c r="G423" s="154" t="s">
        <v>1903</v>
      </c>
      <c r="H423" s="154" t="s">
        <v>148</v>
      </c>
      <c r="I423" s="154" t="s">
        <v>114</v>
      </c>
      <c r="J423" s="154" t="s">
        <v>115</v>
      </c>
      <c r="K423" s="154" t="s">
        <v>60</v>
      </c>
      <c r="L423" s="154" t="s">
        <v>1897</v>
      </c>
      <c r="M423" s="154" t="s">
        <v>1388</v>
      </c>
      <c r="N423" s="154" t="s">
        <v>61</v>
      </c>
      <c r="O423" s="154" t="s">
        <v>62</v>
      </c>
      <c r="P423" s="146">
        <v>57495.15</v>
      </c>
      <c r="Q423" s="146">
        <v>-0.69</v>
      </c>
      <c r="R423" s="154" t="s">
        <v>1384</v>
      </c>
      <c r="S423" s="154" t="s">
        <v>1899</v>
      </c>
      <c r="T423" s="155" t="s">
        <v>768</v>
      </c>
      <c r="U423" s="155" t="s">
        <v>1899</v>
      </c>
      <c r="V423" s="154" t="s">
        <v>1904</v>
      </c>
      <c r="W423" s="154">
        <v>0</v>
      </c>
      <c r="X423" s="154" t="s">
        <v>63</v>
      </c>
      <c r="Y423" s="154" t="s">
        <v>1386</v>
      </c>
      <c r="Z423" s="154"/>
      <c r="AA423" s="154" t="s">
        <v>1387</v>
      </c>
      <c r="AB423" s="154">
        <v>0</v>
      </c>
      <c r="AC423" s="138">
        <f>IFERROR(IF(DATEDIF(#REF!,U423,"m")&lt;=1,1,IF(AND(DATEDIF(#REF!,U423,"m")&gt;1,DATEDIF(#REF!,U423,"m")&lt;12),2,IF(AND(DATEDIF(#REF!,U423,"m")&gt;=12,DATEDIF(#REF!,U423,"m")&lt;24),3,IF(DATEDIF(#REF!,U423,"m")&gt;=24,4,"")))),IF(E423="r0320 - Deposits, not covered and not preferential",1,4))</f>
        <v>4</v>
      </c>
    </row>
    <row r="424" spans="3:29" ht="36.75" thickBot="1" x14ac:dyDescent="0.3">
      <c r="C424" s="11">
        <v>999</v>
      </c>
      <c r="D424" s="154">
        <v>417</v>
      </c>
      <c r="E424" s="154" t="s">
        <v>1898</v>
      </c>
      <c r="F424" s="154" t="s">
        <v>87</v>
      </c>
      <c r="G424" s="154" t="s">
        <v>1402</v>
      </c>
      <c r="H424" s="154" t="s">
        <v>1306</v>
      </c>
      <c r="I424" s="154" t="s">
        <v>108</v>
      </c>
      <c r="J424" s="154" t="s">
        <v>90</v>
      </c>
      <c r="K424" s="154" t="s">
        <v>91</v>
      </c>
      <c r="L424" s="154" t="s">
        <v>1897</v>
      </c>
      <c r="M424" s="154" t="s">
        <v>1383</v>
      </c>
      <c r="N424" s="154" t="s">
        <v>61</v>
      </c>
      <c r="O424" s="154" t="s">
        <v>62</v>
      </c>
      <c r="P424" s="146">
        <v>3.23</v>
      </c>
      <c r="Q424" s="146">
        <v>0</v>
      </c>
      <c r="R424" s="154" t="s">
        <v>1384</v>
      </c>
      <c r="S424" s="154" t="s">
        <v>1899</v>
      </c>
      <c r="T424" s="155" t="s">
        <v>1899</v>
      </c>
      <c r="U424" s="155" t="s">
        <v>1899</v>
      </c>
      <c r="V424" s="154" t="s">
        <v>1562</v>
      </c>
      <c r="W424" s="154">
        <v>0</v>
      </c>
      <c r="X424" s="154" t="s">
        <v>63</v>
      </c>
      <c r="Y424" s="154" t="s">
        <v>1900</v>
      </c>
      <c r="Z424" s="154"/>
      <c r="AA424" s="154" t="s">
        <v>1387</v>
      </c>
      <c r="AB424" s="154">
        <v>0</v>
      </c>
      <c r="AC424" s="138">
        <f>IFERROR(IF(DATEDIF(#REF!,U424,"m")&lt;=1,1,IF(AND(DATEDIF(#REF!,U424,"m")&gt;1,DATEDIF(#REF!,U424,"m")&lt;12),2,IF(AND(DATEDIF(#REF!,U424,"m")&gt;=12,DATEDIF(#REF!,U424,"m")&lt;24),3,IF(DATEDIF(#REF!,U424,"m")&gt;=24,4,"")))),IF(E424="r0320 - Deposits, not covered and not preferential",1,4))</f>
        <v>4</v>
      </c>
    </row>
    <row r="425" spans="3:29" ht="48.75" thickBot="1" x14ac:dyDescent="0.3">
      <c r="C425" s="11">
        <v>999</v>
      </c>
      <c r="D425" s="154">
        <v>418</v>
      </c>
      <c r="E425" s="154" t="s">
        <v>1902</v>
      </c>
      <c r="F425" s="154" t="s">
        <v>83</v>
      </c>
      <c r="G425" s="154" t="s">
        <v>1903</v>
      </c>
      <c r="H425" s="154" t="s">
        <v>817</v>
      </c>
      <c r="I425" s="154" t="s">
        <v>93</v>
      </c>
      <c r="J425" s="154" t="s">
        <v>94</v>
      </c>
      <c r="K425" s="154" t="s">
        <v>60</v>
      </c>
      <c r="L425" s="154" t="s">
        <v>1897</v>
      </c>
      <c r="M425" s="154" t="s">
        <v>1388</v>
      </c>
      <c r="N425" s="154" t="s">
        <v>61</v>
      </c>
      <c r="O425" s="154" t="s">
        <v>62</v>
      </c>
      <c r="P425" s="146">
        <v>1995.27</v>
      </c>
      <c r="Q425" s="146">
        <v>0</v>
      </c>
      <c r="R425" s="154" t="s">
        <v>1384</v>
      </c>
      <c r="S425" s="154" t="s">
        <v>1899</v>
      </c>
      <c r="T425" s="155" t="s">
        <v>768</v>
      </c>
      <c r="U425" s="155" t="s">
        <v>1899</v>
      </c>
      <c r="V425" s="154" t="s">
        <v>1904</v>
      </c>
      <c r="W425" s="154">
        <v>0</v>
      </c>
      <c r="X425" s="154" t="s">
        <v>63</v>
      </c>
      <c r="Y425" s="154" t="s">
        <v>1386</v>
      </c>
      <c r="Z425" s="154"/>
      <c r="AA425" s="154" t="s">
        <v>1387</v>
      </c>
      <c r="AB425" s="154">
        <v>0</v>
      </c>
      <c r="AC425" s="138">
        <f>IFERROR(IF(DATEDIF(#REF!,U425,"m")&lt;=1,1,IF(AND(DATEDIF(#REF!,U425,"m")&gt;1,DATEDIF(#REF!,U425,"m")&lt;12),2,IF(AND(DATEDIF(#REF!,U425,"m")&gt;=12,DATEDIF(#REF!,U425,"m")&lt;24),3,IF(DATEDIF(#REF!,U425,"m")&gt;=24,4,"")))),IF(E425="r0320 - Deposits, not covered and not preferential",1,4))</f>
        <v>4</v>
      </c>
    </row>
    <row r="426" spans="3:29" ht="36.75" thickBot="1" x14ac:dyDescent="0.3">
      <c r="C426" s="11">
        <v>999</v>
      </c>
      <c r="D426" s="154">
        <v>419</v>
      </c>
      <c r="E426" s="154" t="s">
        <v>1898</v>
      </c>
      <c r="F426" s="154" t="s">
        <v>87</v>
      </c>
      <c r="G426" s="154" t="s">
        <v>1402</v>
      </c>
      <c r="H426" s="154" t="s">
        <v>1310</v>
      </c>
      <c r="I426" s="154" t="s">
        <v>108</v>
      </c>
      <c r="J426" s="154" t="s">
        <v>90</v>
      </c>
      <c r="K426" s="154" t="s">
        <v>91</v>
      </c>
      <c r="L426" s="154" t="s">
        <v>1897</v>
      </c>
      <c r="M426" s="154" t="s">
        <v>1383</v>
      </c>
      <c r="N426" s="154" t="s">
        <v>61</v>
      </c>
      <c r="O426" s="154" t="s">
        <v>62</v>
      </c>
      <c r="P426" s="146">
        <v>0.01</v>
      </c>
      <c r="Q426" s="146">
        <v>0</v>
      </c>
      <c r="R426" s="154" t="s">
        <v>1384</v>
      </c>
      <c r="S426" s="154" t="s">
        <v>1899</v>
      </c>
      <c r="T426" s="155" t="s">
        <v>1899</v>
      </c>
      <c r="U426" s="155" t="s">
        <v>1899</v>
      </c>
      <c r="V426" s="154" t="s">
        <v>1562</v>
      </c>
      <c r="W426" s="154">
        <v>0</v>
      </c>
      <c r="X426" s="154" t="s">
        <v>63</v>
      </c>
      <c r="Y426" s="154" t="s">
        <v>1900</v>
      </c>
      <c r="Z426" s="154"/>
      <c r="AA426" s="154" t="s">
        <v>1387</v>
      </c>
      <c r="AB426" s="154">
        <v>0</v>
      </c>
      <c r="AC426" s="138">
        <f>IFERROR(IF(DATEDIF(#REF!,U426,"m")&lt;=1,1,IF(AND(DATEDIF(#REF!,U426,"m")&gt;1,DATEDIF(#REF!,U426,"m")&lt;12),2,IF(AND(DATEDIF(#REF!,U426,"m")&gt;=12,DATEDIF(#REF!,U426,"m")&lt;24),3,IF(DATEDIF(#REF!,U426,"m")&gt;=24,4,"")))),IF(E426="r0320 - Deposits, not covered and not preferential",1,4))</f>
        <v>4</v>
      </c>
    </row>
    <row r="427" spans="3:29" ht="48.75" thickBot="1" x14ac:dyDescent="0.3">
      <c r="C427" s="11">
        <v>999</v>
      </c>
      <c r="D427" s="154">
        <v>420</v>
      </c>
      <c r="E427" s="154" t="s">
        <v>1902</v>
      </c>
      <c r="F427" s="154" t="s">
        <v>83</v>
      </c>
      <c r="G427" s="154" t="s">
        <v>1903</v>
      </c>
      <c r="H427" s="154" t="s">
        <v>308</v>
      </c>
      <c r="I427" s="154" t="s">
        <v>93</v>
      </c>
      <c r="J427" s="154" t="s">
        <v>94</v>
      </c>
      <c r="K427" s="154" t="s">
        <v>60</v>
      </c>
      <c r="L427" s="154" t="s">
        <v>1897</v>
      </c>
      <c r="M427" s="154" t="s">
        <v>1388</v>
      </c>
      <c r="N427" s="154" t="s">
        <v>61</v>
      </c>
      <c r="O427" s="154" t="s">
        <v>62</v>
      </c>
      <c r="P427" s="146">
        <v>100544.75</v>
      </c>
      <c r="Q427" s="146">
        <v>-7.39</v>
      </c>
      <c r="R427" s="154" t="s">
        <v>1384</v>
      </c>
      <c r="S427" s="154" t="s">
        <v>1899</v>
      </c>
      <c r="T427" s="155" t="s">
        <v>768</v>
      </c>
      <c r="U427" s="155" t="s">
        <v>1899</v>
      </c>
      <c r="V427" s="154" t="s">
        <v>1904</v>
      </c>
      <c r="W427" s="154">
        <v>0</v>
      </c>
      <c r="X427" s="154" t="s">
        <v>63</v>
      </c>
      <c r="Y427" s="154" t="s">
        <v>1386</v>
      </c>
      <c r="Z427" s="154"/>
      <c r="AA427" s="154" t="s">
        <v>1387</v>
      </c>
      <c r="AB427" s="154">
        <v>0</v>
      </c>
      <c r="AC427" s="138">
        <f>IFERROR(IF(DATEDIF(#REF!,U427,"m")&lt;=1,1,IF(AND(DATEDIF(#REF!,U427,"m")&gt;1,DATEDIF(#REF!,U427,"m")&lt;12),2,IF(AND(DATEDIF(#REF!,U427,"m")&gt;=12,DATEDIF(#REF!,U427,"m")&lt;24),3,IF(DATEDIF(#REF!,U427,"m")&gt;=24,4,"")))),IF(E427="r0320 - Deposits, not covered and not preferential",1,4))</f>
        <v>4</v>
      </c>
    </row>
    <row r="428" spans="3:29" ht="36.75" thickBot="1" x14ac:dyDescent="0.3">
      <c r="C428" s="11">
        <v>999</v>
      </c>
      <c r="D428" s="154">
        <v>421</v>
      </c>
      <c r="E428" s="154" t="s">
        <v>1898</v>
      </c>
      <c r="F428" s="154" t="s">
        <v>87</v>
      </c>
      <c r="G428" s="154" t="s">
        <v>1402</v>
      </c>
      <c r="H428" s="154" t="s">
        <v>1312</v>
      </c>
      <c r="I428" s="154" t="s">
        <v>108</v>
      </c>
      <c r="J428" s="154" t="s">
        <v>90</v>
      </c>
      <c r="K428" s="154" t="s">
        <v>91</v>
      </c>
      <c r="L428" s="154" t="s">
        <v>1897</v>
      </c>
      <c r="M428" s="154" t="s">
        <v>1383</v>
      </c>
      <c r="N428" s="154" t="s">
        <v>61</v>
      </c>
      <c r="O428" s="154" t="s">
        <v>62</v>
      </c>
      <c r="P428" s="146">
        <v>0.38</v>
      </c>
      <c r="Q428" s="146">
        <v>0</v>
      </c>
      <c r="R428" s="154" t="s">
        <v>1384</v>
      </c>
      <c r="S428" s="154" t="s">
        <v>1899</v>
      </c>
      <c r="T428" s="155" t="s">
        <v>1899</v>
      </c>
      <c r="U428" s="155" t="s">
        <v>1899</v>
      </c>
      <c r="V428" s="154" t="s">
        <v>1562</v>
      </c>
      <c r="W428" s="154">
        <v>0</v>
      </c>
      <c r="X428" s="154" t="s">
        <v>63</v>
      </c>
      <c r="Y428" s="154" t="s">
        <v>1900</v>
      </c>
      <c r="Z428" s="154"/>
      <c r="AA428" s="154" t="s">
        <v>1387</v>
      </c>
      <c r="AB428" s="154">
        <v>0</v>
      </c>
      <c r="AC428" s="138">
        <f>IFERROR(IF(DATEDIF(#REF!,U428,"m")&lt;=1,1,IF(AND(DATEDIF(#REF!,U428,"m")&gt;1,DATEDIF(#REF!,U428,"m")&lt;12),2,IF(AND(DATEDIF(#REF!,U428,"m")&gt;=12,DATEDIF(#REF!,U428,"m")&lt;24),3,IF(DATEDIF(#REF!,U428,"m")&gt;=24,4,"")))),IF(E428="r0320 - Deposits, not covered and not preferential",1,4))</f>
        <v>4</v>
      </c>
    </row>
    <row r="429" spans="3:29" ht="48.75" thickBot="1" x14ac:dyDescent="0.3">
      <c r="C429" s="11">
        <v>999</v>
      </c>
      <c r="D429" s="154">
        <v>422</v>
      </c>
      <c r="E429" s="154" t="s">
        <v>1902</v>
      </c>
      <c r="F429" s="154" t="s">
        <v>83</v>
      </c>
      <c r="G429" s="154" t="s">
        <v>1903</v>
      </c>
      <c r="H429" s="154" t="s">
        <v>314</v>
      </c>
      <c r="I429" s="154" t="s">
        <v>101</v>
      </c>
      <c r="J429" s="154" t="s">
        <v>102</v>
      </c>
      <c r="K429" s="154" t="s">
        <v>60</v>
      </c>
      <c r="L429" s="154" t="s">
        <v>1897</v>
      </c>
      <c r="M429" s="154" t="s">
        <v>1388</v>
      </c>
      <c r="N429" s="154" t="s">
        <v>61</v>
      </c>
      <c r="O429" s="154" t="s">
        <v>62</v>
      </c>
      <c r="P429" s="146">
        <v>107322.95</v>
      </c>
      <c r="Q429" s="146">
        <v>59.3</v>
      </c>
      <c r="R429" s="154" t="s">
        <v>1384</v>
      </c>
      <c r="S429" s="154" t="s">
        <v>1899</v>
      </c>
      <c r="T429" s="155" t="s">
        <v>768</v>
      </c>
      <c r="U429" s="155" t="s">
        <v>1899</v>
      </c>
      <c r="V429" s="154" t="s">
        <v>1904</v>
      </c>
      <c r="W429" s="154">
        <v>0</v>
      </c>
      <c r="X429" s="154" t="s">
        <v>63</v>
      </c>
      <c r="Y429" s="154" t="s">
        <v>1386</v>
      </c>
      <c r="Z429" s="154"/>
      <c r="AA429" s="154" t="s">
        <v>1387</v>
      </c>
      <c r="AB429" s="154">
        <v>0</v>
      </c>
      <c r="AC429" s="138">
        <f>IFERROR(IF(DATEDIF(#REF!,U429,"m")&lt;=1,1,IF(AND(DATEDIF(#REF!,U429,"m")&gt;1,DATEDIF(#REF!,U429,"m")&lt;12),2,IF(AND(DATEDIF(#REF!,U429,"m")&gt;=12,DATEDIF(#REF!,U429,"m")&lt;24),3,IF(DATEDIF(#REF!,U429,"m")&gt;=24,4,"")))),IF(E429="r0320 - Deposits, not covered and not preferential",1,4))</f>
        <v>4</v>
      </c>
    </row>
    <row r="430" spans="3:29" ht="36.75" thickBot="1" x14ac:dyDescent="0.3">
      <c r="C430" s="11">
        <v>999</v>
      </c>
      <c r="D430" s="154">
        <v>423</v>
      </c>
      <c r="E430" s="154" t="s">
        <v>1898</v>
      </c>
      <c r="F430" s="154" t="s">
        <v>87</v>
      </c>
      <c r="G430" s="154" t="s">
        <v>1402</v>
      </c>
      <c r="H430" s="154" t="s">
        <v>1257</v>
      </c>
      <c r="I430" s="154" t="s">
        <v>96</v>
      </c>
      <c r="J430" s="154" t="s">
        <v>97</v>
      </c>
      <c r="K430" s="154" t="s">
        <v>91</v>
      </c>
      <c r="L430" s="154" t="s">
        <v>1897</v>
      </c>
      <c r="M430" s="154" t="s">
        <v>1383</v>
      </c>
      <c r="N430" s="154" t="s">
        <v>61</v>
      </c>
      <c r="O430" s="154" t="s">
        <v>62</v>
      </c>
      <c r="P430" s="146">
        <v>45.56</v>
      </c>
      <c r="Q430" s="146">
        <v>0</v>
      </c>
      <c r="R430" s="154" t="s">
        <v>1384</v>
      </c>
      <c r="S430" s="154" t="s">
        <v>1899</v>
      </c>
      <c r="T430" s="155" t="s">
        <v>1899</v>
      </c>
      <c r="U430" s="155" t="s">
        <v>1899</v>
      </c>
      <c r="V430" s="154" t="s">
        <v>1562</v>
      </c>
      <c r="W430" s="154">
        <v>0</v>
      </c>
      <c r="X430" s="154" t="s">
        <v>63</v>
      </c>
      <c r="Y430" s="154" t="s">
        <v>1900</v>
      </c>
      <c r="Z430" s="154"/>
      <c r="AA430" s="154" t="s">
        <v>1387</v>
      </c>
      <c r="AB430" s="154">
        <v>0</v>
      </c>
      <c r="AC430" s="138">
        <f>IFERROR(IF(DATEDIF(#REF!,U430,"m")&lt;=1,1,IF(AND(DATEDIF(#REF!,U430,"m")&gt;1,DATEDIF(#REF!,U430,"m")&lt;12),2,IF(AND(DATEDIF(#REF!,U430,"m")&gt;=12,DATEDIF(#REF!,U430,"m")&lt;24),3,IF(DATEDIF(#REF!,U430,"m")&gt;=24,4,"")))),IF(E430="r0320 - Deposits, not covered and not preferential",1,4))</f>
        <v>4</v>
      </c>
    </row>
    <row r="431" spans="3:29" ht="48.75" thickBot="1" x14ac:dyDescent="0.3">
      <c r="C431" s="11">
        <v>999</v>
      </c>
      <c r="D431" s="154">
        <v>424</v>
      </c>
      <c r="E431" s="154" t="s">
        <v>1902</v>
      </c>
      <c r="F431" s="154" t="s">
        <v>83</v>
      </c>
      <c r="G431" s="154" t="s">
        <v>1903</v>
      </c>
      <c r="H431" s="154" t="s">
        <v>203</v>
      </c>
      <c r="I431" s="154" t="s">
        <v>101</v>
      </c>
      <c r="J431" s="154" t="s">
        <v>102</v>
      </c>
      <c r="K431" s="154" t="s">
        <v>60</v>
      </c>
      <c r="L431" s="154" t="s">
        <v>1897</v>
      </c>
      <c r="M431" s="154" t="s">
        <v>1388</v>
      </c>
      <c r="N431" s="154" t="s">
        <v>61</v>
      </c>
      <c r="O431" s="154" t="s">
        <v>62</v>
      </c>
      <c r="P431" s="146">
        <v>274956.48</v>
      </c>
      <c r="Q431" s="146">
        <v>146.97</v>
      </c>
      <c r="R431" s="154" t="s">
        <v>1384</v>
      </c>
      <c r="S431" s="154" t="s">
        <v>1899</v>
      </c>
      <c r="T431" s="155" t="s">
        <v>768</v>
      </c>
      <c r="U431" s="155" t="s">
        <v>1899</v>
      </c>
      <c r="V431" s="154" t="s">
        <v>1904</v>
      </c>
      <c r="W431" s="154">
        <v>0</v>
      </c>
      <c r="X431" s="154" t="s">
        <v>63</v>
      </c>
      <c r="Y431" s="154" t="s">
        <v>1386</v>
      </c>
      <c r="Z431" s="154"/>
      <c r="AA431" s="154" t="s">
        <v>1387</v>
      </c>
      <c r="AB431" s="154">
        <v>0</v>
      </c>
      <c r="AC431" s="138">
        <f>IFERROR(IF(DATEDIF(#REF!,U431,"m")&lt;=1,1,IF(AND(DATEDIF(#REF!,U431,"m")&gt;1,DATEDIF(#REF!,U431,"m")&lt;12),2,IF(AND(DATEDIF(#REF!,U431,"m")&gt;=12,DATEDIF(#REF!,U431,"m")&lt;24),3,IF(DATEDIF(#REF!,U431,"m")&gt;=24,4,"")))),IF(E431="r0320 - Deposits, not covered and not preferential",1,4))</f>
        <v>4</v>
      </c>
    </row>
    <row r="432" spans="3:29" ht="36.75" thickBot="1" x14ac:dyDescent="0.3">
      <c r="C432" s="11">
        <v>999</v>
      </c>
      <c r="D432" s="154">
        <v>425</v>
      </c>
      <c r="E432" s="154" t="s">
        <v>1898</v>
      </c>
      <c r="F432" s="154" t="s">
        <v>87</v>
      </c>
      <c r="G432" s="154" t="s">
        <v>1402</v>
      </c>
      <c r="H432" s="154" t="s">
        <v>786</v>
      </c>
      <c r="I432" s="154" t="s">
        <v>96</v>
      </c>
      <c r="J432" s="154" t="s">
        <v>97</v>
      </c>
      <c r="K432" s="154" t="s">
        <v>91</v>
      </c>
      <c r="L432" s="154" t="s">
        <v>1897</v>
      </c>
      <c r="M432" s="154" t="s">
        <v>1383</v>
      </c>
      <c r="N432" s="154" t="s">
        <v>61</v>
      </c>
      <c r="O432" s="154" t="s">
        <v>62</v>
      </c>
      <c r="P432" s="146">
        <v>26.67</v>
      </c>
      <c r="Q432" s="146">
        <v>0</v>
      </c>
      <c r="R432" s="154" t="s">
        <v>1384</v>
      </c>
      <c r="S432" s="154" t="s">
        <v>1899</v>
      </c>
      <c r="T432" s="155" t="s">
        <v>1899</v>
      </c>
      <c r="U432" s="155" t="s">
        <v>1899</v>
      </c>
      <c r="V432" s="154" t="s">
        <v>1562</v>
      </c>
      <c r="W432" s="154">
        <v>0</v>
      </c>
      <c r="X432" s="154" t="s">
        <v>63</v>
      </c>
      <c r="Y432" s="154" t="s">
        <v>1900</v>
      </c>
      <c r="Z432" s="154"/>
      <c r="AA432" s="154" t="s">
        <v>1387</v>
      </c>
      <c r="AB432" s="154">
        <v>0</v>
      </c>
      <c r="AC432" s="138">
        <f>IFERROR(IF(DATEDIF(#REF!,U432,"m")&lt;=1,1,IF(AND(DATEDIF(#REF!,U432,"m")&gt;1,DATEDIF(#REF!,U432,"m")&lt;12),2,IF(AND(DATEDIF(#REF!,U432,"m")&gt;=12,DATEDIF(#REF!,U432,"m")&lt;24),3,IF(DATEDIF(#REF!,U432,"m")&gt;=24,4,"")))),IF(E432="r0320 - Deposits, not covered and not preferential",1,4))</f>
        <v>4</v>
      </c>
    </row>
    <row r="433" spans="3:29" ht="36.75" thickBot="1" x14ac:dyDescent="0.3">
      <c r="C433" s="11">
        <v>999</v>
      </c>
      <c r="D433" s="154">
        <v>426</v>
      </c>
      <c r="E433" s="154" t="s">
        <v>1898</v>
      </c>
      <c r="F433" s="154" t="s">
        <v>87</v>
      </c>
      <c r="G433" s="154" t="s">
        <v>1402</v>
      </c>
      <c r="H433" s="154" t="s">
        <v>888</v>
      </c>
      <c r="I433" s="154" t="s">
        <v>96</v>
      </c>
      <c r="J433" s="154" t="s">
        <v>97</v>
      </c>
      <c r="K433" s="154" t="s">
        <v>91</v>
      </c>
      <c r="L433" s="154" t="s">
        <v>1897</v>
      </c>
      <c r="M433" s="154" t="s">
        <v>1383</v>
      </c>
      <c r="N433" s="154" t="s">
        <v>61</v>
      </c>
      <c r="O433" s="154" t="s">
        <v>62</v>
      </c>
      <c r="P433" s="146">
        <v>0.02</v>
      </c>
      <c r="Q433" s="146">
        <v>0</v>
      </c>
      <c r="R433" s="154" t="s">
        <v>1384</v>
      </c>
      <c r="S433" s="154" t="s">
        <v>1899</v>
      </c>
      <c r="T433" s="155" t="s">
        <v>1899</v>
      </c>
      <c r="U433" s="155" t="s">
        <v>1899</v>
      </c>
      <c r="V433" s="154" t="s">
        <v>1562</v>
      </c>
      <c r="W433" s="154">
        <v>0</v>
      </c>
      <c r="X433" s="154" t="s">
        <v>63</v>
      </c>
      <c r="Y433" s="154" t="s">
        <v>1900</v>
      </c>
      <c r="Z433" s="154"/>
      <c r="AA433" s="154" t="s">
        <v>1387</v>
      </c>
      <c r="AB433" s="154">
        <v>0</v>
      </c>
      <c r="AC433" s="138">
        <f>IFERROR(IF(DATEDIF(#REF!,U433,"m")&lt;=1,1,IF(AND(DATEDIF(#REF!,U433,"m")&gt;1,DATEDIF(#REF!,U433,"m")&lt;12),2,IF(AND(DATEDIF(#REF!,U433,"m")&gt;=12,DATEDIF(#REF!,U433,"m")&lt;24),3,IF(DATEDIF(#REF!,U433,"m")&gt;=24,4,"")))),IF(E433="r0320 - Deposits, not covered and not preferential",1,4))</f>
        <v>4</v>
      </c>
    </row>
    <row r="434" spans="3:29" ht="36.75" thickBot="1" x14ac:dyDescent="0.3">
      <c r="C434" s="11">
        <v>999</v>
      </c>
      <c r="D434" s="154">
        <v>427</v>
      </c>
      <c r="E434" s="154" t="s">
        <v>1898</v>
      </c>
      <c r="F434" s="154" t="s">
        <v>87</v>
      </c>
      <c r="G434" s="154" t="s">
        <v>1402</v>
      </c>
      <c r="H434" s="154" t="s">
        <v>497</v>
      </c>
      <c r="I434" s="154" t="s">
        <v>96</v>
      </c>
      <c r="J434" s="154" t="s">
        <v>97</v>
      </c>
      <c r="K434" s="154" t="s">
        <v>91</v>
      </c>
      <c r="L434" s="154" t="s">
        <v>1897</v>
      </c>
      <c r="M434" s="154" t="s">
        <v>1383</v>
      </c>
      <c r="N434" s="154" t="s">
        <v>61</v>
      </c>
      <c r="O434" s="154" t="s">
        <v>62</v>
      </c>
      <c r="P434" s="146">
        <v>86.67</v>
      </c>
      <c r="Q434" s="146">
        <v>0</v>
      </c>
      <c r="R434" s="154" t="s">
        <v>1384</v>
      </c>
      <c r="S434" s="154" t="s">
        <v>1899</v>
      </c>
      <c r="T434" s="155" t="s">
        <v>1899</v>
      </c>
      <c r="U434" s="155" t="s">
        <v>1899</v>
      </c>
      <c r="V434" s="154" t="s">
        <v>1562</v>
      </c>
      <c r="W434" s="154">
        <v>0</v>
      </c>
      <c r="X434" s="154" t="s">
        <v>63</v>
      </c>
      <c r="Y434" s="154" t="s">
        <v>1900</v>
      </c>
      <c r="Z434" s="154"/>
      <c r="AA434" s="154" t="s">
        <v>1387</v>
      </c>
      <c r="AB434" s="154">
        <v>0</v>
      </c>
      <c r="AC434" s="138">
        <f>IFERROR(IF(DATEDIF(#REF!,U434,"m")&lt;=1,1,IF(AND(DATEDIF(#REF!,U434,"m")&gt;1,DATEDIF(#REF!,U434,"m")&lt;12),2,IF(AND(DATEDIF(#REF!,U434,"m")&gt;=12,DATEDIF(#REF!,U434,"m")&lt;24),3,IF(DATEDIF(#REF!,U434,"m")&gt;=24,4,"")))),IF(E434="r0320 - Deposits, not covered and not preferential",1,4))</f>
        <v>4</v>
      </c>
    </row>
    <row r="435" spans="3:29" ht="48.75" thickBot="1" x14ac:dyDescent="0.3">
      <c r="C435" s="11">
        <v>999</v>
      </c>
      <c r="D435" s="154">
        <v>428</v>
      </c>
      <c r="E435" s="154" t="s">
        <v>1902</v>
      </c>
      <c r="F435" s="154" t="s">
        <v>83</v>
      </c>
      <c r="G435" s="154" t="s">
        <v>1903</v>
      </c>
      <c r="H435" s="154" t="s">
        <v>314</v>
      </c>
      <c r="I435" s="154" t="s">
        <v>114</v>
      </c>
      <c r="J435" s="154" t="s">
        <v>115</v>
      </c>
      <c r="K435" s="154" t="s">
        <v>60</v>
      </c>
      <c r="L435" s="154" t="s">
        <v>1897</v>
      </c>
      <c r="M435" s="154" t="s">
        <v>1388</v>
      </c>
      <c r="N435" s="154" t="s">
        <v>61</v>
      </c>
      <c r="O435" s="154" t="s">
        <v>62</v>
      </c>
      <c r="P435" s="146">
        <v>37565.269999999997</v>
      </c>
      <c r="Q435" s="146">
        <v>23.54</v>
      </c>
      <c r="R435" s="154" t="s">
        <v>1384</v>
      </c>
      <c r="S435" s="154" t="s">
        <v>1899</v>
      </c>
      <c r="T435" s="155" t="s">
        <v>768</v>
      </c>
      <c r="U435" s="155" t="s">
        <v>1899</v>
      </c>
      <c r="V435" s="154" t="s">
        <v>1904</v>
      </c>
      <c r="W435" s="154">
        <v>0</v>
      </c>
      <c r="X435" s="154" t="s">
        <v>63</v>
      </c>
      <c r="Y435" s="154" t="s">
        <v>1386</v>
      </c>
      <c r="Z435" s="154"/>
      <c r="AA435" s="154" t="s">
        <v>1387</v>
      </c>
      <c r="AB435" s="154">
        <v>0</v>
      </c>
      <c r="AC435" s="138">
        <f>IFERROR(IF(DATEDIF(#REF!,U435,"m")&lt;=1,1,IF(AND(DATEDIF(#REF!,U435,"m")&gt;1,DATEDIF(#REF!,U435,"m")&lt;12),2,IF(AND(DATEDIF(#REF!,U435,"m")&gt;=12,DATEDIF(#REF!,U435,"m")&lt;24),3,IF(DATEDIF(#REF!,U435,"m")&gt;=24,4,"")))),IF(E435="r0320 - Deposits, not covered and not preferential",1,4))</f>
        <v>4</v>
      </c>
    </row>
    <row r="436" spans="3:29" ht="36.75" thickBot="1" x14ac:dyDescent="0.3">
      <c r="C436" s="11">
        <v>999</v>
      </c>
      <c r="D436" s="154">
        <v>429</v>
      </c>
      <c r="E436" s="154" t="s">
        <v>1898</v>
      </c>
      <c r="F436" s="154" t="s">
        <v>87</v>
      </c>
      <c r="G436" s="154" t="s">
        <v>1402</v>
      </c>
      <c r="H436" s="154" t="s">
        <v>499</v>
      </c>
      <c r="I436" s="154" t="s">
        <v>96</v>
      </c>
      <c r="J436" s="154" t="s">
        <v>97</v>
      </c>
      <c r="K436" s="154" t="s">
        <v>91</v>
      </c>
      <c r="L436" s="154" t="s">
        <v>1897</v>
      </c>
      <c r="M436" s="154" t="s">
        <v>1383</v>
      </c>
      <c r="N436" s="154" t="s">
        <v>61</v>
      </c>
      <c r="O436" s="154" t="s">
        <v>62</v>
      </c>
      <c r="P436" s="146">
        <v>229.33</v>
      </c>
      <c r="Q436" s="146">
        <v>0</v>
      </c>
      <c r="R436" s="154" t="s">
        <v>1384</v>
      </c>
      <c r="S436" s="154" t="s">
        <v>1899</v>
      </c>
      <c r="T436" s="155" t="s">
        <v>1899</v>
      </c>
      <c r="U436" s="155" t="s">
        <v>1899</v>
      </c>
      <c r="V436" s="154" t="s">
        <v>1562</v>
      </c>
      <c r="W436" s="154">
        <v>0</v>
      </c>
      <c r="X436" s="154" t="s">
        <v>63</v>
      </c>
      <c r="Y436" s="154" t="s">
        <v>1900</v>
      </c>
      <c r="Z436" s="154"/>
      <c r="AA436" s="154" t="s">
        <v>1387</v>
      </c>
      <c r="AB436" s="154">
        <v>0</v>
      </c>
      <c r="AC436" s="138">
        <f>IFERROR(IF(DATEDIF(#REF!,U436,"m")&lt;=1,1,IF(AND(DATEDIF(#REF!,U436,"m")&gt;1,DATEDIF(#REF!,U436,"m")&lt;12),2,IF(AND(DATEDIF(#REF!,U436,"m")&gt;=12,DATEDIF(#REF!,U436,"m")&lt;24),3,IF(DATEDIF(#REF!,U436,"m")&gt;=24,4,"")))),IF(E436="r0320 - Deposits, not covered and not preferential",1,4))</f>
        <v>4</v>
      </c>
    </row>
    <row r="437" spans="3:29" ht="48.75" thickBot="1" x14ac:dyDescent="0.3">
      <c r="C437" s="11">
        <v>999</v>
      </c>
      <c r="D437" s="154">
        <v>430</v>
      </c>
      <c r="E437" s="154" t="s">
        <v>1902</v>
      </c>
      <c r="F437" s="154" t="s">
        <v>83</v>
      </c>
      <c r="G437" s="154" t="s">
        <v>1903</v>
      </c>
      <c r="H437" s="154" t="s">
        <v>150</v>
      </c>
      <c r="I437" s="154" t="s">
        <v>114</v>
      </c>
      <c r="J437" s="154" t="s">
        <v>115</v>
      </c>
      <c r="K437" s="154" t="s">
        <v>60</v>
      </c>
      <c r="L437" s="154" t="s">
        <v>1897</v>
      </c>
      <c r="M437" s="154" t="s">
        <v>1388</v>
      </c>
      <c r="N437" s="154" t="s">
        <v>61</v>
      </c>
      <c r="O437" s="154" t="s">
        <v>62</v>
      </c>
      <c r="P437" s="146">
        <v>40655.54</v>
      </c>
      <c r="Q437" s="146">
        <v>-5.8</v>
      </c>
      <c r="R437" s="154" t="s">
        <v>1384</v>
      </c>
      <c r="S437" s="154" t="s">
        <v>1899</v>
      </c>
      <c r="T437" s="155" t="s">
        <v>768</v>
      </c>
      <c r="U437" s="155" t="s">
        <v>1899</v>
      </c>
      <c r="V437" s="154" t="s">
        <v>1904</v>
      </c>
      <c r="W437" s="154">
        <v>0</v>
      </c>
      <c r="X437" s="154" t="s">
        <v>63</v>
      </c>
      <c r="Y437" s="154" t="s">
        <v>1386</v>
      </c>
      <c r="Z437" s="154"/>
      <c r="AA437" s="154" t="s">
        <v>1387</v>
      </c>
      <c r="AB437" s="154">
        <v>0</v>
      </c>
      <c r="AC437" s="138">
        <f>IFERROR(IF(DATEDIF(#REF!,U437,"m")&lt;=1,1,IF(AND(DATEDIF(#REF!,U437,"m")&gt;1,DATEDIF(#REF!,U437,"m")&lt;12),2,IF(AND(DATEDIF(#REF!,U437,"m")&gt;=12,DATEDIF(#REF!,U437,"m")&lt;24),3,IF(DATEDIF(#REF!,U437,"m")&gt;=24,4,"")))),IF(E437="r0320 - Deposits, not covered and not preferential",1,4))</f>
        <v>4</v>
      </c>
    </row>
    <row r="438" spans="3:29" ht="36.75" thickBot="1" x14ac:dyDescent="0.3">
      <c r="C438" s="11">
        <v>999</v>
      </c>
      <c r="D438" s="154">
        <v>431</v>
      </c>
      <c r="E438" s="154" t="s">
        <v>1898</v>
      </c>
      <c r="F438" s="154" t="s">
        <v>87</v>
      </c>
      <c r="G438" s="154" t="s">
        <v>1402</v>
      </c>
      <c r="H438" s="154" t="s">
        <v>500</v>
      </c>
      <c r="I438" s="154" t="s">
        <v>96</v>
      </c>
      <c r="J438" s="154" t="s">
        <v>97</v>
      </c>
      <c r="K438" s="154" t="s">
        <v>91</v>
      </c>
      <c r="L438" s="154" t="s">
        <v>1897</v>
      </c>
      <c r="M438" s="154" t="s">
        <v>1383</v>
      </c>
      <c r="N438" s="154" t="s">
        <v>61</v>
      </c>
      <c r="O438" s="154" t="s">
        <v>62</v>
      </c>
      <c r="P438" s="146">
        <v>40</v>
      </c>
      <c r="Q438" s="146">
        <v>0</v>
      </c>
      <c r="R438" s="154" t="s">
        <v>1384</v>
      </c>
      <c r="S438" s="154" t="s">
        <v>1899</v>
      </c>
      <c r="T438" s="155" t="s">
        <v>1899</v>
      </c>
      <c r="U438" s="155" t="s">
        <v>1899</v>
      </c>
      <c r="V438" s="154" t="s">
        <v>1562</v>
      </c>
      <c r="W438" s="154">
        <v>0</v>
      </c>
      <c r="X438" s="154" t="s">
        <v>63</v>
      </c>
      <c r="Y438" s="154" t="s">
        <v>1900</v>
      </c>
      <c r="Z438" s="154"/>
      <c r="AA438" s="154" t="s">
        <v>1387</v>
      </c>
      <c r="AB438" s="154">
        <v>0</v>
      </c>
      <c r="AC438" s="138">
        <f>IFERROR(IF(DATEDIF(#REF!,U438,"m")&lt;=1,1,IF(AND(DATEDIF(#REF!,U438,"m")&gt;1,DATEDIF(#REF!,U438,"m")&lt;12),2,IF(AND(DATEDIF(#REF!,U438,"m")&gt;=12,DATEDIF(#REF!,U438,"m")&lt;24),3,IF(DATEDIF(#REF!,U438,"m")&gt;=24,4,"")))),IF(E438="r0320 - Deposits, not covered and not preferential",1,4))</f>
        <v>4</v>
      </c>
    </row>
    <row r="439" spans="3:29" ht="48.75" thickBot="1" x14ac:dyDescent="0.3">
      <c r="C439" s="11">
        <v>999</v>
      </c>
      <c r="D439" s="154">
        <v>432</v>
      </c>
      <c r="E439" s="154" t="s">
        <v>1902</v>
      </c>
      <c r="F439" s="154" t="s">
        <v>83</v>
      </c>
      <c r="G439" s="154" t="s">
        <v>1903</v>
      </c>
      <c r="H439" s="154" t="s">
        <v>123</v>
      </c>
      <c r="I439" s="154" t="s">
        <v>114</v>
      </c>
      <c r="J439" s="154" t="s">
        <v>115</v>
      </c>
      <c r="K439" s="154" t="s">
        <v>60</v>
      </c>
      <c r="L439" s="154" t="s">
        <v>1897</v>
      </c>
      <c r="M439" s="154" t="s">
        <v>1388</v>
      </c>
      <c r="N439" s="154" t="s">
        <v>61</v>
      </c>
      <c r="O439" s="154" t="s">
        <v>62</v>
      </c>
      <c r="P439" s="146">
        <v>36169.85</v>
      </c>
      <c r="Q439" s="146">
        <v>8.1</v>
      </c>
      <c r="R439" s="154" t="s">
        <v>1384</v>
      </c>
      <c r="S439" s="154" t="s">
        <v>1899</v>
      </c>
      <c r="T439" s="155" t="s">
        <v>768</v>
      </c>
      <c r="U439" s="155" t="s">
        <v>1899</v>
      </c>
      <c r="V439" s="154" t="s">
        <v>1904</v>
      </c>
      <c r="W439" s="154">
        <v>0</v>
      </c>
      <c r="X439" s="154" t="s">
        <v>63</v>
      </c>
      <c r="Y439" s="154" t="s">
        <v>1386</v>
      </c>
      <c r="Z439" s="154"/>
      <c r="AA439" s="154" t="s">
        <v>1387</v>
      </c>
      <c r="AB439" s="154">
        <v>0</v>
      </c>
      <c r="AC439" s="138">
        <f>IFERROR(IF(DATEDIF(#REF!,U439,"m")&lt;=1,1,IF(AND(DATEDIF(#REF!,U439,"m")&gt;1,DATEDIF(#REF!,U439,"m")&lt;12),2,IF(AND(DATEDIF(#REF!,U439,"m")&gt;=12,DATEDIF(#REF!,U439,"m")&lt;24),3,IF(DATEDIF(#REF!,U439,"m")&gt;=24,4,"")))),IF(E439="r0320 - Deposits, not covered and not preferential",1,4))</f>
        <v>4</v>
      </c>
    </row>
    <row r="440" spans="3:29" ht="36.75" thickBot="1" x14ac:dyDescent="0.3">
      <c r="C440" s="11">
        <v>999</v>
      </c>
      <c r="D440" s="154">
        <v>433</v>
      </c>
      <c r="E440" s="154" t="s">
        <v>1898</v>
      </c>
      <c r="F440" s="154" t="s">
        <v>87</v>
      </c>
      <c r="G440" s="154" t="s">
        <v>1402</v>
      </c>
      <c r="H440" s="154" t="s">
        <v>502</v>
      </c>
      <c r="I440" s="154" t="s">
        <v>96</v>
      </c>
      <c r="J440" s="154" t="s">
        <v>97</v>
      </c>
      <c r="K440" s="154" t="s">
        <v>91</v>
      </c>
      <c r="L440" s="154" t="s">
        <v>1897</v>
      </c>
      <c r="M440" s="154" t="s">
        <v>1383</v>
      </c>
      <c r="N440" s="154" t="s">
        <v>61</v>
      </c>
      <c r="O440" s="154" t="s">
        <v>62</v>
      </c>
      <c r="P440" s="146">
        <v>54.44</v>
      </c>
      <c r="Q440" s="146">
        <v>0</v>
      </c>
      <c r="R440" s="154" t="s">
        <v>1384</v>
      </c>
      <c r="S440" s="154" t="s">
        <v>1899</v>
      </c>
      <c r="T440" s="155" t="s">
        <v>1899</v>
      </c>
      <c r="U440" s="155" t="s">
        <v>1899</v>
      </c>
      <c r="V440" s="154" t="s">
        <v>1562</v>
      </c>
      <c r="W440" s="154">
        <v>0</v>
      </c>
      <c r="X440" s="154" t="s">
        <v>63</v>
      </c>
      <c r="Y440" s="154" t="s">
        <v>1900</v>
      </c>
      <c r="Z440" s="154"/>
      <c r="AA440" s="154" t="s">
        <v>1387</v>
      </c>
      <c r="AB440" s="154">
        <v>0</v>
      </c>
      <c r="AC440" s="138">
        <f>IFERROR(IF(DATEDIF(#REF!,U440,"m")&lt;=1,1,IF(AND(DATEDIF(#REF!,U440,"m")&gt;1,DATEDIF(#REF!,U440,"m")&lt;12),2,IF(AND(DATEDIF(#REF!,U440,"m")&gt;=12,DATEDIF(#REF!,U440,"m")&lt;24),3,IF(DATEDIF(#REF!,U440,"m")&gt;=24,4,"")))),IF(E440="r0320 - Deposits, not covered and not preferential",1,4))</f>
        <v>4</v>
      </c>
    </row>
    <row r="441" spans="3:29" ht="48.75" thickBot="1" x14ac:dyDescent="0.3">
      <c r="C441" s="11">
        <v>999</v>
      </c>
      <c r="D441" s="154">
        <v>434</v>
      </c>
      <c r="E441" s="154" t="s">
        <v>1902</v>
      </c>
      <c r="F441" s="154" t="s">
        <v>83</v>
      </c>
      <c r="G441" s="154" t="s">
        <v>1903</v>
      </c>
      <c r="H441" s="154" t="s">
        <v>1291</v>
      </c>
      <c r="I441" s="154" t="s">
        <v>114</v>
      </c>
      <c r="J441" s="154" t="s">
        <v>115</v>
      </c>
      <c r="K441" s="154" t="s">
        <v>60</v>
      </c>
      <c r="L441" s="154" t="s">
        <v>1897</v>
      </c>
      <c r="M441" s="154" t="s">
        <v>1388</v>
      </c>
      <c r="N441" s="154" t="s">
        <v>61</v>
      </c>
      <c r="O441" s="154" t="s">
        <v>62</v>
      </c>
      <c r="P441" s="146">
        <v>172053.31</v>
      </c>
      <c r="Q441" s="146">
        <v>-9.0399999999999991</v>
      </c>
      <c r="R441" s="154" t="s">
        <v>1384</v>
      </c>
      <c r="S441" s="154" t="s">
        <v>1899</v>
      </c>
      <c r="T441" s="155" t="s">
        <v>768</v>
      </c>
      <c r="U441" s="155" t="s">
        <v>1899</v>
      </c>
      <c r="V441" s="154" t="s">
        <v>1904</v>
      </c>
      <c r="W441" s="154">
        <v>0</v>
      </c>
      <c r="X441" s="154" t="s">
        <v>63</v>
      </c>
      <c r="Y441" s="154" t="s">
        <v>1386</v>
      </c>
      <c r="Z441" s="154"/>
      <c r="AA441" s="154" t="s">
        <v>1387</v>
      </c>
      <c r="AB441" s="154">
        <v>0</v>
      </c>
      <c r="AC441" s="138">
        <f>IFERROR(IF(DATEDIF(#REF!,U441,"m")&lt;=1,1,IF(AND(DATEDIF(#REF!,U441,"m")&gt;1,DATEDIF(#REF!,U441,"m")&lt;12),2,IF(AND(DATEDIF(#REF!,U441,"m")&gt;=12,DATEDIF(#REF!,U441,"m")&lt;24),3,IF(DATEDIF(#REF!,U441,"m")&gt;=24,4,"")))),IF(E441="r0320 - Deposits, not covered and not preferential",1,4))</f>
        <v>4</v>
      </c>
    </row>
    <row r="442" spans="3:29" ht="36.75" thickBot="1" x14ac:dyDescent="0.3">
      <c r="C442" s="11">
        <v>999</v>
      </c>
      <c r="D442" s="154">
        <v>435</v>
      </c>
      <c r="E442" s="154" t="s">
        <v>1898</v>
      </c>
      <c r="F442" s="154" t="s">
        <v>87</v>
      </c>
      <c r="G442" s="154" t="s">
        <v>1402</v>
      </c>
      <c r="H442" s="154" t="s">
        <v>504</v>
      </c>
      <c r="I442" s="154" t="s">
        <v>96</v>
      </c>
      <c r="J442" s="154" t="s">
        <v>97</v>
      </c>
      <c r="K442" s="154" t="s">
        <v>91</v>
      </c>
      <c r="L442" s="154" t="s">
        <v>1897</v>
      </c>
      <c r="M442" s="154" t="s">
        <v>1383</v>
      </c>
      <c r="N442" s="154" t="s">
        <v>61</v>
      </c>
      <c r="O442" s="154" t="s">
        <v>62</v>
      </c>
      <c r="P442" s="146">
        <v>64.44</v>
      </c>
      <c r="Q442" s="146">
        <v>0</v>
      </c>
      <c r="R442" s="154" t="s">
        <v>1384</v>
      </c>
      <c r="S442" s="154" t="s">
        <v>1899</v>
      </c>
      <c r="T442" s="155" t="s">
        <v>1899</v>
      </c>
      <c r="U442" s="155" t="s">
        <v>1899</v>
      </c>
      <c r="V442" s="154" t="s">
        <v>1562</v>
      </c>
      <c r="W442" s="154">
        <v>0</v>
      </c>
      <c r="X442" s="154" t="s">
        <v>63</v>
      </c>
      <c r="Y442" s="154" t="s">
        <v>1900</v>
      </c>
      <c r="Z442" s="154"/>
      <c r="AA442" s="154" t="s">
        <v>1387</v>
      </c>
      <c r="AB442" s="154">
        <v>0</v>
      </c>
      <c r="AC442" s="138">
        <f>IFERROR(IF(DATEDIF(#REF!,U442,"m")&lt;=1,1,IF(AND(DATEDIF(#REF!,U442,"m")&gt;1,DATEDIF(#REF!,U442,"m")&lt;12),2,IF(AND(DATEDIF(#REF!,U442,"m")&gt;=12,DATEDIF(#REF!,U442,"m")&lt;24),3,IF(DATEDIF(#REF!,U442,"m")&gt;=24,4,"")))),IF(E442="r0320 - Deposits, not covered and not preferential",1,4))</f>
        <v>4</v>
      </c>
    </row>
    <row r="443" spans="3:29" ht="48.75" thickBot="1" x14ac:dyDescent="0.3">
      <c r="C443" s="11">
        <v>999</v>
      </c>
      <c r="D443" s="154">
        <v>436</v>
      </c>
      <c r="E443" s="154" t="s">
        <v>1902</v>
      </c>
      <c r="F443" s="154" t="s">
        <v>83</v>
      </c>
      <c r="G443" s="154" t="s">
        <v>1903</v>
      </c>
      <c r="H443" s="154" t="s">
        <v>318</v>
      </c>
      <c r="I443" s="154" t="s">
        <v>93</v>
      </c>
      <c r="J443" s="154" t="s">
        <v>94</v>
      </c>
      <c r="K443" s="154" t="s">
        <v>60</v>
      </c>
      <c r="L443" s="154" t="s">
        <v>1897</v>
      </c>
      <c r="M443" s="154" t="s">
        <v>1388</v>
      </c>
      <c r="N443" s="154" t="s">
        <v>61</v>
      </c>
      <c r="O443" s="154" t="s">
        <v>62</v>
      </c>
      <c r="P443" s="146">
        <v>43836.23</v>
      </c>
      <c r="Q443" s="146">
        <v>69.849999999999994</v>
      </c>
      <c r="R443" s="154" t="s">
        <v>1384</v>
      </c>
      <c r="S443" s="154" t="s">
        <v>1899</v>
      </c>
      <c r="T443" s="155" t="s">
        <v>768</v>
      </c>
      <c r="U443" s="155" t="s">
        <v>1899</v>
      </c>
      <c r="V443" s="154" t="s">
        <v>1904</v>
      </c>
      <c r="W443" s="154">
        <v>0</v>
      </c>
      <c r="X443" s="154" t="s">
        <v>63</v>
      </c>
      <c r="Y443" s="154" t="s">
        <v>1386</v>
      </c>
      <c r="Z443" s="154"/>
      <c r="AA443" s="154" t="s">
        <v>1387</v>
      </c>
      <c r="AB443" s="154">
        <v>0</v>
      </c>
      <c r="AC443" s="138">
        <f>IFERROR(IF(DATEDIF(#REF!,U443,"m")&lt;=1,1,IF(AND(DATEDIF(#REF!,U443,"m")&gt;1,DATEDIF(#REF!,U443,"m")&lt;12),2,IF(AND(DATEDIF(#REF!,U443,"m")&gt;=12,DATEDIF(#REF!,U443,"m")&lt;24),3,IF(DATEDIF(#REF!,U443,"m")&gt;=24,4,"")))),IF(E443="r0320 - Deposits, not covered and not preferential",1,4))</f>
        <v>4</v>
      </c>
    </row>
    <row r="444" spans="3:29" ht="36.75" thickBot="1" x14ac:dyDescent="0.3">
      <c r="C444" s="11">
        <v>999</v>
      </c>
      <c r="D444" s="154">
        <v>437</v>
      </c>
      <c r="E444" s="154" t="s">
        <v>1898</v>
      </c>
      <c r="F444" s="154" t="s">
        <v>87</v>
      </c>
      <c r="G444" s="154" t="s">
        <v>1402</v>
      </c>
      <c r="H444" s="154" t="s">
        <v>506</v>
      </c>
      <c r="I444" s="154" t="s">
        <v>96</v>
      </c>
      <c r="J444" s="154" t="s">
        <v>97</v>
      </c>
      <c r="K444" s="154" t="s">
        <v>91</v>
      </c>
      <c r="L444" s="154" t="s">
        <v>1897</v>
      </c>
      <c r="M444" s="154" t="s">
        <v>1383</v>
      </c>
      <c r="N444" s="154" t="s">
        <v>61</v>
      </c>
      <c r="O444" s="154" t="s">
        <v>62</v>
      </c>
      <c r="P444" s="146">
        <v>64.44</v>
      </c>
      <c r="Q444" s="146">
        <v>0</v>
      </c>
      <c r="R444" s="154" t="s">
        <v>1384</v>
      </c>
      <c r="S444" s="154" t="s">
        <v>1899</v>
      </c>
      <c r="T444" s="155" t="s">
        <v>1899</v>
      </c>
      <c r="U444" s="155" t="s">
        <v>1899</v>
      </c>
      <c r="V444" s="154" t="s">
        <v>1562</v>
      </c>
      <c r="W444" s="154">
        <v>0</v>
      </c>
      <c r="X444" s="154" t="s">
        <v>63</v>
      </c>
      <c r="Y444" s="154" t="s">
        <v>1900</v>
      </c>
      <c r="Z444" s="154"/>
      <c r="AA444" s="154" t="s">
        <v>1387</v>
      </c>
      <c r="AB444" s="154">
        <v>0</v>
      </c>
      <c r="AC444" s="138">
        <f>IFERROR(IF(DATEDIF(#REF!,U444,"m")&lt;=1,1,IF(AND(DATEDIF(#REF!,U444,"m")&gt;1,DATEDIF(#REF!,U444,"m")&lt;12),2,IF(AND(DATEDIF(#REF!,U444,"m")&gt;=12,DATEDIF(#REF!,U444,"m")&lt;24),3,IF(DATEDIF(#REF!,U444,"m")&gt;=24,4,"")))),IF(E444="r0320 - Deposits, not covered and not preferential",1,4))</f>
        <v>4</v>
      </c>
    </row>
    <row r="445" spans="3:29" ht="48.75" thickBot="1" x14ac:dyDescent="0.3">
      <c r="C445" s="11">
        <v>999</v>
      </c>
      <c r="D445" s="154">
        <v>438</v>
      </c>
      <c r="E445" s="154" t="s">
        <v>1902</v>
      </c>
      <c r="F445" s="154" t="s">
        <v>83</v>
      </c>
      <c r="G445" s="154" t="s">
        <v>1903</v>
      </c>
      <c r="H445" s="154" t="s">
        <v>121</v>
      </c>
      <c r="I445" s="154" t="s">
        <v>101</v>
      </c>
      <c r="J445" s="154" t="s">
        <v>102</v>
      </c>
      <c r="K445" s="154" t="s">
        <v>60</v>
      </c>
      <c r="L445" s="154" t="s">
        <v>1897</v>
      </c>
      <c r="M445" s="154" t="s">
        <v>1388</v>
      </c>
      <c r="N445" s="154" t="s">
        <v>61</v>
      </c>
      <c r="O445" s="154" t="s">
        <v>62</v>
      </c>
      <c r="P445" s="146">
        <v>50688.959999999999</v>
      </c>
      <c r="Q445" s="146">
        <v>11.35</v>
      </c>
      <c r="R445" s="154" t="s">
        <v>1384</v>
      </c>
      <c r="S445" s="154" t="s">
        <v>1899</v>
      </c>
      <c r="T445" s="155" t="s">
        <v>768</v>
      </c>
      <c r="U445" s="155" t="s">
        <v>1899</v>
      </c>
      <c r="V445" s="154" t="s">
        <v>1904</v>
      </c>
      <c r="W445" s="154">
        <v>0</v>
      </c>
      <c r="X445" s="154" t="s">
        <v>63</v>
      </c>
      <c r="Y445" s="154" t="s">
        <v>1386</v>
      </c>
      <c r="Z445" s="154"/>
      <c r="AA445" s="154" t="s">
        <v>1387</v>
      </c>
      <c r="AB445" s="154">
        <v>0</v>
      </c>
      <c r="AC445" s="138">
        <f>IFERROR(IF(DATEDIF(#REF!,U445,"m")&lt;=1,1,IF(AND(DATEDIF(#REF!,U445,"m")&gt;1,DATEDIF(#REF!,U445,"m")&lt;12),2,IF(AND(DATEDIF(#REF!,U445,"m")&gt;=12,DATEDIF(#REF!,U445,"m")&lt;24),3,IF(DATEDIF(#REF!,U445,"m")&gt;=24,4,"")))),IF(E445="r0320 - Deposits, not covered and not preferential",1,4))</f>
        <v>4</v>
      </c>
    </row>
    <row r="446" spans="3:29" ht="36.75" thickBot="1" x14ac:dyDescent="0.3">
      <c r="C446" s="11">
        <v>999</v>
      </c>
      <c r="D446" s="154">
        <v>439</v>
      </c>
      <c r="E446" s="154" t="s">
        <v>1898</v>
      </c>
      <c r="F446" s="154" t="s">
        <v>87</v>
      </c>
      <c r="G446" s="154" t="s">
        <v>1402</v>
      </c>
      <c r="H446" s="154" t="s">
        <v>508</v>
      </c>
      <c r="I446" s="154" t="s">
        <v>96</v>
      </c>
      <c r="J446" s="154" t="s">
        <v>97</v>
      </c>
      <c r="K446" s="154" t="s">
        <v>91</v>
      </c>
      <c r="L446" s="154" t="s">
        <v>1897</v>
      </c>
      <c r="M446" s="154" t="s">
        <v>1383</v>
      </c>
      <c r="N446" s="154" t="s">
        <v>61</v>
      </c>
      <c r="O446" s="154" t="s">
        <v>62</v>
      </c>
      <c r="P446" s="146">
        <v>1.01</v>
      </c>
      <c r="Q446" s="146">
        <v>0</v>
      </c>
      <c r="R446" s="154" t="s">
        <v>1384</v>
      </c>
      <c r="S446" s="154" t="s">
        <v>1899</v>
      </c>
      <c r="T446" s="155" t="s">
        <v>1899</v>
      </c>
      <c r="U446" s="155" t="s">
        <v>1899</v>
      </c>
      <c r="V446" s="154" t="s">
        <v>1562</v>
      </c>
      <c r="W446" s="154">
        <v>0</v>
      </c>
      <c r="X446" s="154" t="s">
        <v>63</v>
      </c>
      <c r="Y446" s="154" t="s">
        <v>1900</v>
      </c>
      <c r="Z446" s="154"/>
      <c r="AA446" s="154" t="s">
        <v>1387</v>
      </c>
      <c r="AB446" s="154">
        <v>0</v>
      </c>
      <c r="AC446" s="138">
        <f>IFERROR(IF(DATEDIF(#REF!,U446,"m")&lt;=1,1,IF(AND(DATEDIF(#REF!,U446,"m")&gt;1,DATEDIF(#REF!,U446,"m")&lt;12),2,IF(AND(DATEDIF(#REF!,U446,"m")&gt;=12,DATEDIF(#REF!,U446,"m")&lt;24),3,IF(DATEDIF(#REF!,U446,"m")&gt;=24,4,"")))),IF(E446="r0320 - Deposits, not covered and not preferential",1,4))</f>
        <v>4</v>
      </c>
    </row>
    <row r="447" spans="3:29" ht="36.75" thickBot="1" x14ac:dyDescent="0.3">
      <c r="C447" s="11">
        <v>999</v>
      </c>
      <c r="D447" s="154">
        <v>440</v>
      </c>
      <c r="E447" s="154" t="s">
        <v>1898</v>
      </c>
      <c r="F447" s="154" t="s">
        <v>87</v>
      </c>
      <c r="G447" s="154" t="s">
        <v>1402</v>
      </c>
      <c r="H447" s="154" t="s">
        <v>1346</v>
      </c>
      <c r="I447" s="154" t="s">
        <v>96</v>
      </c>
      <c r="J447" s="154" t="s">
        <v>97</v>
      </c>
      <c r="K447" s="154" t="s">
        <v>91</v>
      </c>
      <c r="L447" s="154" t="s">
        <v>1897</v>
      </c>
      <c r="M447" s="154" t="s">
        <v>1383</v>
      </c>
      <c r="N447" s="154" t="s">
        <v>61</v>
      </c>
      <c r="O447" s="154" t="s">
        <v>62</v>
      </c>
      <c r="P447" s="146">
        <v>0.38</v>
      </c>
      <c r="Q447" s="146">
        <v>0</v>
      </c>
      <c r="R447" s="154" t="s">
        <v>1384</v>
      </c>
      <c r="S447" s="154" t="s">
        <v>1899</v>
      </c>
      <c r="T447" s="155" t="s">
        <v>1899</v>
      </c>
      <c r="U447" s="155" t="s">
        <v>1899</v>
      </c>
      <c r="V447" s="154" t="s">
        <v>1562</v>
      </c>
      <c r="W447" s="154">
        <v>0</v>
      </c>
      <c r="X447" s="154" t="s">
        <v>63</v>
      </c>
      <c r="Y447" s="154" t="s">
        <v>1900</v>
      </c>
      <c r="Z447" s="154"/>
      <c r="AA447" s="154" t="s">
        <v>1387</v>
      </c>
      <c r="AB447" s="154">
        <v>0</v>
      </c>
      <c r="AC447" s="138">
        <f>IFERROR(IF(DATEDIF(#REF!,U447,"m")&lt;=1,1,IF(AND(DATEDIF(#REF!,U447,"m")&gt;1,DATEDIF(#REF!,U447,"m")&lt;12),2,IF(AND(DATEDIF(#REF!,U447,"m")&gt;=12,DATEDIF(#REF!,U447,"m")&lt;24),3,IF(DATEDIF(#REF!,U447,"m")&gt;=24,4,"")))),IF(E447="r0320 - Deposits, not covered and not preferential",1,4))</f>
        <v>4</v>
      </c>
    </row>
    <row r="448" spans="3:29" ht="36.75" thickBot="1" x14ac:dyDescent="0.3">
      <c r="C448" s="11">
        <v>999</v>
      </c>
      <c r="D448" s="154">
        <v>441</v>
      </c>
      <c r="E448" s="154" t="s">
        <v>1898</v>
      </c>
      <c r="F448" s="154" t="s">
        <v>87</v>
      </c>
      <c r="G448" s="154" t="s">
        <v>1402</v>
      </c>
      <c r="H448" s="154" t="s">
        <v>187</v>
      </c>
      <c r="I448" s="154" t="s">
        <v>96</v>
      </c>
      <c r="J448" s="154" t="s">
        <v>97</v>
      </c>
      <c r="K448" s="154" t="s">
        <v>91</v>
      </c>
      <c r="L448" s="154" t="s">
        <v>1897</v>
      </c>
      <c r="M448" s="154" t="s">
        <v>1383</v>
      </c>
      <c r="N448" s="154" t="s">
        <v>61</v>
      </c>
      <c r="O448" s="154" t="s">
        <v>62</v>
      </c>
      <c r="P448" s="146">
        <v>0.04</v>
      </c>
      <c r="Q448" s="146">
        <v>0</v>
      </c>
      <c r="R448" s="154" t="s">
        <v>1384</v>
      </c>
      <c r="S448" s="154" t="s">
        <v>1899</v>
      </c>
      <c r="T448" s="155" t="s">
        <v>1899</v>
      </c>
      <c r="U448" s="155" t="s">
        <v>1899</v>
      </c>
      <c r="V448" s="154" t="s">
        <v>1562</v>
      </c>
      <c r="W448" s="154">
        <v>0</v>
      </c>
      <c r="X448" s="154" t="s">
        <v>63</v>
      </c>
      <c r="Y448" s="154" t="s">
        <v>1900</v>
      </c>
      <c r="Z448" s="154"/>
      <c r="AA448" s="154" t="s">
        <v>1387</v>
      </c>
      <c r="AB448" s="154">
        <v>0</v>
      </c>
      <c r="AC448" s="138">
        <f>IFERROR(IF(DATEDIF(#REF!,U448,"m")&lt;=1,1,IF(AND(DATEDIF(#REF!,U448,"m")&gt;1,DATEDIF(#REF!,U448,"m")&lt;12),2,IF(AND(DATEDIF(#REF!,U448,"m")&gt;=12,DATEDIF(#REF!,U448,"m")&lt;24),3,IF(DATEDIF(#REF!,U448,"m")&gt;=24,4,"")))),IF(E448="r0320 - Deposits, not covered and not preferential",1,4))</f>
        <v>4</v>
      </c>
    </row>
    <row r="449" spans="3:29" ht="36.75" thickBot="1" x14ac:dyDescent="0.3">
      <c r="C449" s="11">
        <v>999</v>
      </c>
      <c r="D449" s="154">
        <v>442</v>
      </c>
      <c r="E449" s="154" t="s">
        <v>1898</v>
      </c>
      <c r="F449" s="154" t="s">
        <v>87</v>
      </c>
      <c r="G449" s="154" t="s">
        <v>1402</v>
      </c>
      <c r="H449" s="154" t="s">
        <v>57</v>
      </c>
      <c r="I449" s="154" t="s">
        <v>89</v>
      </c>
      <c r="J449" s="154" t="s">
        <v>90</v>
      </c>
      <c r="K449" s="154" t="s">
        <v>91</v>
      </c>
      <c r="L449" s="154" t="s">
        <v>1901</v>
      </c>
      <c r="M449" s="154" t="s">
        <v>1383</v>
      </c>
      <c r="N449" s="154" t="s">
        <v>61</v>
      </c>
      <c r="O449" s="154" t="s">
        <v>62</v>
      </c>
      <c r="P449" s="146">
        <v>182778.72</v>
      </c>
      <c r="Q449" s="146">
        <v>0</v>
      </c>
      <c r="R449" s="154" t="s">
        <v>1384</v>
      </c>
      <c r="S449" s="154" t="s">
        <v>1899</v>
      </c>
      <c r="T449" s="155" t="s">
        <v>1899</v>
      </c>
      <c r="U449" s="155" t="s">
        <v>1899</v>
      </c>
      <c r="V449" s="154" t="s">
        <v>1562</v>
      </c>
      <c r="W449" s="154">
        <v>0</v>
      </c>
      <c r="X449" s="154" t="s">
        <v>63</v>
      </c>
      <c r="Y449" s="154" t="s">
        <v>1900</v>
      </c>
      <c r="Z449" s="154"/>
      <c r="AA449" s="154" t="s">
        <v>1387</v>
      </c>
      <c r="AB449" s="154">
        <v>0</v>
      </c>
      <c r="AC449" s="138">
        <f>IFERROR(IF(DATEDIF(#REF!,U449,"m")&lt;=1,1,IF(AND(DATEDIF(#REF!,U449,"m")&gt;1,DATEDIF(#REF!,U449,"m")&lt;12),2,IF(AND(DATEDIF(#REF!,U449,"m")&gt;=12,DATEDIF(#REF!,U449,"m")&lt;24),3,IF(DATEDIF(#REF!,U449,"m")&gt;=24,4,"")))),IF(E449="r0320 - Deposits, not covered and not preferential",1,4))</f>
        <v>4</v>
      </c>
    </row>
    <row r="450" spans="3:29" ht="36.75" thickBot="1" x14ac:dyDescent="0.3">
      <c r="C450" s="11">
        <v>999</v>
      </c>
      <c r="D450" s="154">
        <v>443</v>
      </c>
      <c r="E450" s="154" t="s">
        <v>1898</v>
      </c>
      <c r="F450" s="154" t="s">
        <v>87</v>
      </c>
      <c r="G450" s="154" t="s">
        <v>1402</v>
      </c>
      <c r="H450" s="154" t="s">
        <v>511</v>
      </c>
      <c r="I450" s="154" t="s">
        <v>96</v>
      </c>
      <c r="J450" s="154" t="s">
        <v>97</v>
      </c>
      <c r="K450" s="154" t="s">
        <v>91</v>
      </c>
      <c r="L450" s="154" t="s">
        <v>1897</v>
      </c>
      <c r="M450" s="154" t="s">
        <v>1383</v>
      </c>
      <c r="N450" s="154" t="s">
        <v>61</v>
      </c>
      <c r="O450" s="154" t="s">
        <v>62</v>
      </c>
      <c r="P450" s="146">
        <v>0.68</v>
      </c>
      <c r="Q450" s="146">
        <v>0</v>
      </c>
      <c r="R450" s="154" t="s">
        <v>1384</v>
      </c>
      <c r="S450" s="154" t="s">
        <v>1899</v>
      </c>
      <c r="T450" s="155" t="s">
        <v>1899</v>
      </c>
      <c r="U450" s="155" t="s">
        <v>1899</v>
      </c>
      <c r="V450" s="154" t="s">
        <v>1562</v>
      </c>
      <c r="W450" s="154">
        <v>0</v>
      </c>
      <c r="X450" s="154" t="s">
        <v>63</v>
      </c>
      <c r="Y450" s="154" t="s">
        <v>1900</v>
      </c>
      <c r="Z450" s="154"/>
      <c r="AA450" s="154" t="s">
        <v>1387</v>
      </c>
      <c r="AB450" s="154">
        <v>0</v>
      </c>
      <c r="AC450" s="138">
        <f>IFERROR(IF(DATEDIF(#REF!,U450,"m")&lt;=1,1,IF(AND(DATEDIF(#REF!,U450,"m")&gt;1,DATEDIF(#REF!,U450,"m")&lt;12),2,IF(AND(DATEDIF(#REF!,U450,"m")&gt;=12,DATEDIF(#REF!,U450,"m")&lt;24),3,IF(DATEDIF(#REF!,U450,"m")&gt;=24,4,"")))),IF(E450="r0320 - Deposits, not covered and not preferential",1,4))</f>
        <v>4</v>
      </c>
    </row>
    <row r="451" spans="3:29" ht="36.75" thickBot="1" x14ac:dyDescent="0.3">
      <c r="C451" s="11">
        <v>999</v>
      </c>
      <c r="D451" s="154">
        <v>444</v>
      </c>
      <c r="E451" s="154" t="s">
        <v>1898</v>
      </c>
      <c r="F451" s="154" t="s">
        <v>83</v>
      </c>
      <c r="G451" s="154" t="s">
        <v>1402</v>
      </c>
      <c r="H451" s="154" t="s">
        <v>2629</v>
      </c>
      <c r="I451" s="154" t="s">
        <v>245</v>
      </c>
      <c r="J451" s="154" t="s">
        <v>246</v>
      </c>
      <c r="K451" s="154" t="s">
        <v>60</v>
      </c>
      <c r="L451" s="154" t="s">
        <v>1897</v>
      </c>
      <c r="M451" s="154" t="s">
        <v>1388</v>
      </c>
      <c r="N451" s="154" t="s">
        <v>61</v>
      </c>
      <c r="O451" s="154" t="s">
        <v>62</v>
      </c>
      <c r="P451" s="146">
        <v>81.489999999999995</v>
      </c>
      <c r="Q451" s="146">
        <v>0</v>
      </c>
      <c r="R451" s="154" t="s">
        <v>1384</v>
      </c>
      <c r="S451" s="154" t="s">
        <v>1899</v>
      </c>
      <c r="T451" s="155" t="s">
        <v>1899</v>
      </c>
      <c r="U451" s="155" t="s">
        <v>1899</v>
      </c>
      <c r="V451" s="154" t="s">
        <v>1562</v>
      </c>
      <c r="W451" s="154">
        <v>0</v>
      </c>
      <c r="X451" s="154" t="s">
        <v>63</v>
      </c>
      <c r="Y451" s="154" t="s">
        <v>1900</v>
      </c>
      <c r="Z451" s="154"/>
      <c r="AA451" s="154" t="s">
        <v>1387</v>
      </c>
      <c r="AB451" s="154">
        <v>0</v>
      </c>
      <c r="AC451" s="138">
        <f>IFERROR(IF(DATEDIF(#REF!,U451,"m")&lt;=1,1,IF(AND(DATEDIF(#REF!,U451,"m")&gt;1,DATEDIF(#REF!,U451,"m")&lt;12),2,IF(AND(DATEDIF(#REF!,U451,"m")&gt;=12,DATEDIF(#REF!,U451,"m")&lt;24),3,IF(DATEDIF(#REF!,U451,"m")&gt;=24,4,"")))),IF(E451="r0320 - Deposits, not covered and not preferential",1,4))</f>
        <v>4</v>
      </c>
    </row>
    <row r="452" spans="3:29" ht="36.75" thickBot="1" x14ac:dyDescent="0.3">
      <c r="C452" s="11">
        <v>999</v>
      </c>
      <c r="D452" s="154">
        <v>445</v>
      </c>
      <c r="E452" s="154" t="s">
        <v>1898</v>
      </c>
      <c r="F452" s="154" t="s">
        <v>87</v>
      </c>
      <c r="G452" s="154" t="s">
        <v>1402</v>
      </c>
      <c r="H452" s="154" t="s">
        <v>1192</v>
      </c>
      <c r="I452" s="154" t="s">
        <v>108</v>
      </c>
      <c r="J452" s="154" t="s">
        <v>90</v>
      </c>
      <c r="K452" s="154" t="s">
        <v>91</v>
      </c>
      <c r="L452" s="154" t="s">
        <v>1897</v>
      </c>
      <c r="M452" s="154" t="s">
        <v>1383</v>
      </c>
      <c r="N452" s="154" t="s">
        <v>61</v>
      </c>
      <c r="O452" s="154" t="s">
        <v>62</v>
      </c>
      <c r="P452" s="146">
        <v>0.31</v>
      </c>
      <c r="Q452" s="146">
        <v>0</v>
      </c>
      <c r="R452" s="154" t="s">
        <v>1384</v>
      </c>
      <c r="S452" s="154" t="s">
        <v>1899</v>
      </c>
      <c r="T452" s="155" t="s">
        <v>1899</v>
      </c>
      <c r="U452" s="155" t="s">
        <v>1899</v>
      </c>
      <c r="V452" s="154" t="s">
        <v>1562</v>
      </c>
      <c r="W452" s="154">
        <v>0</v>
      </c>
      <c r="X452" s="154" t="s">
        <v>63</v>
      </c>
      <c r="Y452" s="154" t="s">
        <v>1900</v>
      </c>
      <c r="Z452" s="154"/>
      <c r="AA452" s="154" t="s">
        <v>1387</v>
      </c>
      <c r="AB452" s="154">
        <v>0</v>
      </c>
      <c r="AC452" s="138">
        <f>IFERROR(IF(DATEDIF(#REF!,U452,"m")&lt;=1,1,IF(AND(DATEDIF(#REF!,U452,"m")&gt;1,DATEDIF(#REF!,U452,"m")&lt;12),2,IF(AND(DATEDIF(#REF!,U452,"m")&gt;=12,DATEDIF(#REF!,U452,"m")&lt;24),3,IF(DATEDIF(#REF!,U452,"m")&gt;=24,4,"")))),IF(E452="r0320 - Deposits, not covered and not preferential",1,4))</f>
        <v>4</v>
      </c>
    </row>
    <row r="453" spans="3:29" ht="36.75" thickBot="1" x14ac:dyDescent="0.3">
      <c r="C453" s="11">
        <v>999</v>
      </c>
      <c r="D453" s="154">
        <v>446</v>
      </c>
      <c r="E453" s="154" t="s">
        <v>1898</v>
      </c>
      <c r="F453" s="154" t="s">
        <v>87</v>
      </c>
      <c r="G453" s="154" t="s">
        <v>1402</v>
      </c>
      <c r="H453" s="154" t="s">
        <v>1325</v>
      </c>
      <c r="I453" s="154" t="s">
        <v>96</v>
      </c>
      <c r="J453" s="154" t="s">
        <v>97</v>
      </c>
      <c r="K453" s="154" t="s">
        <v>91</v>
      </c>
      <c r="L453" s="154" t="s">
        <v>1897</v>
      </c>
      <c r="M453" s="154" t="s">
        <v>1383</v>
      </c>
      <c r="N453" s="154" t="s">
        <v>61</v>
      </c>
      <c r="O453" s="154" t="s">
        <v>62</v>
      </c>
      <c r="P453" s="146">
        <v>2.83</v>
      </c>
      <c r="Q453" s="146">
        <v>0</v>
      </c>
      <c r="R453" s="154" t="s">
        <v>1384</v>
      </c>
      <c r="S453" s="154" t="s">
        <v>1899</v>
      </c>
      <c r="T453" s="155" t="s">
        <v>1899</v>
      </c>
      <c r="U453" s="155" t="s">
        <v>1899</v>
      </c>
      <c r="V453" s="154" t="s">
        <v>1562</v>
      </c>
      <c r="W453" s="154">
        <v>0</v>
      </c>
      <c r="X453" s="154" t="s">
        <v>63</v>
      </c>
      <c r="Y453" s="154" t="s">
        <v>1900</v>
      </c>
      <c r="Z453" s="154"/>
      <c r="AA453" s="154" t="s">
        <v>1387</v>
      </c>
      <c r="AB453" s="154">
        <v>0</v>
      </c>
      <c r="AC453" s="138">
        <f>IFERROR(IF(DATEDIF(#REF!,U453,"m")&lt;=1,1,IF(AND(DATEDIF(#REF!,U453,"m")&gt;1,DATEDIF(#REF!,U453,"m")&lt;12),2,IF(AND(DATEDIF(#REF!,U453,"m")&gt;=12,DATEDIF(#REF!,U453,"m")&lt;24),3,IF(DATEDIF(#REF!,U453,"m")&gt;=24,4,"")))),IF(E453="r0320 - Deposits, not covered and not preferential",1,4))</f>
        <v>4</v>
      </c>
    </row>
    <row r="454" spans="3:29" ht="36.75" thickBot="1" x14ac:dyDescent="0.3">
      <c r="C454" s="11">
        <v>999</v>
      </c>
      <c r="D454" s="154">
        <v>447</v>
      </c>
      <c r="E454" s="154" t="s">
        <v>1898</v>
      </c>
      <c r="F454" s="154" t="s">
        <v>87</v>
      </c>
      <c r="G454" s="154" t="s">
        <v>1402</v>
      </c>
      <c r="H454" s="154" t="s">
        <v>828</v>
      </c>
      <c r="I454" s="154" t="s">
        <v>96</v>
      </c>
      <c r="J454" s="154" t="s">
        <v>97</v>
      </c>
      <c r="K454" s="154" t="s">
        <v>91</v>
      </c>
      <c r="L454" s="154" t="s">
        <v>1897</v>
      </c>
      <c r="M454" s="154" t="s">
        <v>1383</v>
      </c>
      <c r="N454" s="154" t="s">
        <v>61</v>
      </c>
      <c r="O454" s="154" t="s">
        <v>62</v>
      </c>
      <c r="P454" s="146">
        <v>84.44</v>
      </c>
      <c r="Q454" s="146">
        <v>0</v>
      </c>
      <c r="R454" s="154" t="s">
        <v>1384</v>
      </c>
      <c r="S454" s="154" t="s">
        <v>1899</v>
      </c>
      <c r="T454" s="155" t="s">
        <v>1899</v>
      </c>
      <c r="U454" s="155" t="s">
        <v>1899</v>
      </c>
      <c r="V454" s="154" t="s">
        <v>1562</v>
      </c>
      <c r="W454" s="154">
        <v>0</v>
      </c>
      <c r="X454" s="154" t="s">
        <v>63</v>
      </c>
      <c r="Y454" s="154" t="s">
        <v>1900</v>
      </c>
      <c r="Z454" s="154"/>
      <c r="AA454" s="154" t="s">
        <v>1387</v>
      </c>
      <c r="AB454" s="154">
        <v>0</v>
      </c>
      <c r="AC454" s="138">
        <f>IFERROR(IF(DATEDIF(#REF!,U454,"m")&lt;=1,1,IF(AND(DATEDIF(#REF!,U454,"m")&gt;1,DATEDIF(#REF!,U454,"m")&lt;12),2,IF(AND(DATEDIF(#REF!,U454,"m")&gt;=12,DATEDIF(#REF!,U454,"m")&lt;24),3,IF(DATEDIF(#REF!,U454,"m")&gt;=24,4,"")))),IF(E454="r0320 - Deposits, not covered and not preferential",1,4))</f>
        <v>4</v>
      </c>
    </row>
    <row r="455" spans="3:29" ht="36.75" thickBot="1" x14ac:dyDescent="0.3">
      <c r="C455" s="11">
        <v>999</v>
      </c>
      <c r="D455" s="154">
        <v>448</v>
      </c>
      <c r="E455" s="154" t="s">
        <v>1898</v>
      </c>
      <c r="F455" s="154" t="s">
        <v>87</v>
      </c>
      <c r="G455" s="154" t="s">
        <v>1402</v>
      </c>
      <c r="H455" s="154" t="s">
        <v>522</v>
      </c>
      <c r="I455" s="154" t="s">
        <v>96</v>
      </c>
      <c r="J455" s="154" t="s">
        <v>97</v>
      </c>
      <c r="K455" s="154" t="s">
        <v>91</v>
      </c>
      <c r="L455" s="154" t="s">
        <v>1897</v>
      </c>
      <c r="M455" s="154" t="s">
        <v>1383</v>
      </c>
      <c r="N455" s="154" t="s">
        <v>61</v>
      </c>
      <c r="O455" s="154" t="s">
        <v>62</v>
      </c>
      <c r="P455" s="146">
        <v>46.67</v>
      </c>
      <c r="Q455" s="146">
        <v>0</v>
      </c>
      <c r="R455" s="154" t="s">
        <v>1384</v>
      </c>
      <c r="S455" s="154" t="s">
        <v>1899</v>
      </c>
      <c r="T455" s="155" t="s">
        <v>1899</v>
      </c>
      <c r="U455" s="155" t="s">
        <v>1899</v>
      </c>
      <c r="V455" s="154" t="s">
        <v>1562</v>
      </c>
      <c r="W455" s="154">
        <v>0</v>
      </c>
      <c r="X455" s="154" t="s">
        <v>63</v>
      </c>
      <c r="Y455" s="154" t="s">
        <v>1900</v>
      </c>
      <c r="Z455" s="154"/>
      <c r="AA455" s="154" t="s">
        <v>1387</v>
      </c>
      <c r="AB455" s="154">
        <v>0</v>
      </c>
      <c r="AC455" s="138">
        <f>IFERROR(IF(DATEDIF(#REF!,U455,"m")&lt;=1,1,IF(AND(DATEDIF(#REF!,U455,"m")&gt;1,DATEDIF(#REF!,U455,"m")&lt;12),2,IF(AND(DATEDIF(#REF!,U455,"m")&gt;=12,DATEDIF(#REF!,U455,"m")&lt;24),3,IF(DATEDIF(#REF!,U455,"m")&gt;=24,4,"")))),IF(E455="r0320 - Deposits, not covered and not preferential",1,4))</f>
        <v>4</v>
      </c>
    </row>
    <row r="456" spans="3:29" ht="36.75" thickBot="1" x14ac:dyDescent="0.3">
      <c r="C456" s="11">
        <v>999</v>
      </c>
      <c r="D456" s="154">
        <v>449</v>
      </c>
      <c r="E456" s="154" t="s">
        <v>1898</v>
      </c>
      <c r="F456" s="154" t="s">
        <v>87</v>
      </c>
      <c r="G456" s="154" t="s">
        <v>1402</v>
      </c>
      <c r="H456" s="154" t="s">
        <v>195</v>
      </c>
      <c r="I456" s="154" t="s">
        <v>96</v>
      </c>
      <c r="J456" s="154" t="s">
        <v>97</v>
      </c>
      <c r="K456" s="154" t="s">
        <v>91</v>
      </c>
      <c r="L456" s="154" t="s">
        <v>1897</v>
      </c>
      <c r="M456" s="154" t="s">
        <v>1383</v>
      </c>
      <c r="N456" s="154" t="s">
        <v>61</v>
      </c>
      <c r="O456" s="154" t="s">
        <v>62</v>
      </c>
      <c r="P456" s="146">
        <v>138.06</v>
      </c>
      <c r="Q456" s="146">
        <v>0</v>
      </c>
      <c r="R456" s="154" t="s">
        <v>1384</v>
      </c>
      <c r="S456" s="154" t="s">
        <v>1899</v>
      </c>
      <c r="T456" s="155" t="s">
        <v>1899</v>
      </c>
      <c r="U456" s="155" t="s">
        <v>1899</v>
      </c>
      <c r="V456" s="154" t="s">
        <v>1562</v>
      </c>
      <c r="W456" s="154">
        <v>0</v>
      </c>
      <c r="X456" s="154" t="s">
        <v>63</v>
      </c>
      <c r="Y456" s="154" t="s">
        <v>1900</v>
      </c>
      <c r="Z456" s="154"/>
      <c r="AA456" s="154" t="s">
        <v>1387</v>
      </c>
      <c r="AB456" s="154">
        <v>0</v>
      </c>
      <c r="AC456" s="138">
        <f>IFERROR(IF(DATEDIF(#REF!,U456,"m")&lt;=1,1,IF(AND(DATEDIF(#REF!,U456,"m")&gt;1,DATEDIF(#REF!,U456,"m")&lt;12),2,IF(AND(DATEDIF(#REF!,U456,"m")&gt;=12,DATEDIF(#REF!,U456,"m")&lt;24),3,IF(DATEDIF(#REF!,U456,"m")&gt;=24,4,"")))),IF(E456="r0320 - Deposits, not covered and not preferential",1,4))</f>
        <v>4</v>
      </c>
    </row>
    <row r="457" spans="3:29" ht="48.75" thickBot="1" x14ac:dyDescent="0.3">
      <c r="C457" s="11">
        <v>999</v>
      </c>
      <c r="D457" s="154">
        <v>450</v>
      </c>
      <c r="E457" s="154" t="s">
        <v>1902</v>
      </c>
      <c r="F457" s="154" t="s">
        <v>83</v>
      </c>
      <c r="G457" s="154" t="s">
        <v>1903</v>
      </c>
      <c r="H457" s="154" t="s">
        <v>215</v>
      </c>
      <c r="I457" s="154" t="s">
        <v>93</v>
      </c>
      <c r="J457" s="154" t="s">
        <v>94</v>
      </c>
      <c r="K457" s="154" t="s">
        <v>60</v>
      </c>
      <c r="L457" s="154" t="s">
        <v>1897</v>
      </c>
      <c r="M457" s="154" t="s">
        <v>1388</v>
      </c>
      <c r="N457" s="154" t="s">
        <v>61</v>
      </c>
      <c r="O457" s="154" t="s">
        <v>62</v>
      </c>
      <c r="P457" s="146">
        <v>80166.880000000005</v>
      </c>
      <c r="Q457" s="146">
        <v>-10.119999999999999</v>
      </c>
      <c r="R457" s="154" t="s">
        <v>1384</v>
      </c>
      <c r="S457" s="154" t="s">
        <v>1899</v>
      </c>
      <c r="T457" s="155" t="s">
        <v>768</v>
      </c>
      <c r="U457" s="155" t="s">
        <v>1899</v>
      </c>
      <c r="V457" s="154" t="s">
        <v>1904</v>
      </c>
      <c r="W457" s="154">
        <v>0</v>
      </c>
      <c r="X457" s="154" t="s">
        <v>63</v>
      </c>
      <c r="Y457" s="154" t="s">
        <v>1386</v>
      </c>
      <c r="Z457" s="154"/>
      <c r="AA457" s="154" t="s">
        <v>1387</v>
      </c>
      <c r="AB457" s="154">
        <v>0</v>
      </c>
      <c r="AC457" s="138">
        <f>IFERROR(IF(DATEDIF(#REF!,U457,"m")&lt;=1,1,IF(AND(DATEDIF(#REF!,U457,"m")&gt;1,DATEDIF(#REF!,U457,"m")&lt;12),2,IF(AND(DATEDIF(#REF!,U457,"m")&gt;=12,DATEDIF(#REF!,U457,"m")&lt;24),3,IF(DATEDIF(#REF!,U457,"m")&gt;=24,4,"")))),IF(E457="r0320 - Deposits, not covered and not preferential",1,4))</f>
        <v>4</v>
      </c>
    </row>
    <row r="458" spans="3:29" ht="36.75" thickBot="1" x14ac:dyDescent="0.3">
      <c r="C458" s="11">
        <v>999</v>
      </c>
      <c r="D458" s="154">
        <v>451</v>
      </c>
      <c r="E458" s="154" t="s">
        <v>1898</v>
      </c>
      <c r="F458" s="154" t="s">
        <v>87</v>
      </c>
      <c r="G458" s="154" t="s">
        <v>1402</v>
      </c>
      <c r="H458" s="154" t="s">
        <v>209</v>
      </c>
      <c r="I458" s="154" t="s">
        <v>96</v>
      </c>
      <c r="J458" s="154" t="s">
        <v>97</v>
      </c>
      <c r="K458" s="154" t="s">
        <v>91</v>
      </c>
      <c r="L458" s="154" t="s">
        <v>1897</v>
      </c>
      <c r="M458" s="154" t="s">
        <v>1383</v>
      </c>
      <c r="N458" s="154" t="s">
        <v>61</v>
      </c>
      <c r="O458" s="154" t="s">
        <v>62</v>
      </c>
      <c r="P458" s="146">
        <v>132.18</v>
      </c>
      <c r="Q458" s="146">
        <v>0</v>
      </c>
      <c r="R458" s="154" t="s">
        <v>1384</v>
      </c>
      <c r="S458" s="154" t="s">
        <v>1899</v>
      </c>
      <c r="T458" s="155" t="s">
        <v>1899</v>
      </c>
      <c r="U458" s="155" t="s">
        <v>1899</v>
      </c>
      <c r="V458" s="154" t="s">
        <v>1562</v>
      </c>
      <c r="W458" s="154">
        <v>0</v>
      </c>
      <c r="X458" s="154" t="s">
        <v>63</v>
      </c>
      <c r="Y458" s="154" t="s">
        <v>1900</v>
      </c>
      <c r="Z458" s="154"/>
      <c r="AA458" s="154" t="s">
        <v>1387</v>
      </c>
      <c r="AB458" s="154">
        <v>0</v>
      </c>
      <c r="AC458" s="138">
        <f>IFERROR(IF(DATEDIF(#REF!,U458,"m")&lt;=1,1,IF(AND(DATEDIF(#REF!,U458,"m")&gt;1,DATEDIF(#REF!,U458,"m")&lt;12),2,IF(AND(DATEDIF(#REF!,U458,"m")&gt;=12,DATEDIF(#REF!,U458,"m")&lt;24),3,IF(DATEDIF(#REF!,U458,"m")&gt;=24,4,"")))),IF(E458="r0320 - Deposits, not covered and not preferential",1,4))</f>
        <v>4</v>
      </c>
    </row>
    <row r="459" spans="3:29" ht="48.75" thickBot="1" x14ac:dyDescent="0.3">
      <c r="C459" s="11">
        <v>999</v>
      </c>
      <c r="D459" s="154">
        <v>452</v>
      </c>
      <c r="E459" s="154" t="s">
        <v>1902</v>
      </c>
      <c r="F459" s="154" t="s">
        <v>83</v>
      </c>
      <c r="G459" s="154" t="s">
        <v>1903</v>
      </c>
      <c r="H459" s="154" t="s">
        <v>1263</v>
      </c>
      <c r="I459" s="154" t="s">
        <v>114</v>
      </c>
      <c r="J459" s="154" t="s">
        <v>115</v>
      </c>
      <c r="K459" s="154" t="s">
        <v>60</v>
      </c>
      <c r="L459" s="154" t="s">
        <v>1897</v>
      </c>
      <c r="M459" s="154" t="s">
        <v>1388</v>
      </c>
      <c r="N459" s="154" t="s">
        <v>61</v>
      </c>
      <c r="O459" s="154" t="s">
        <v>62</v>
      </c>
      <c r="P459" s="146">
        <v>10756.61</v>
      </c>
      <c r="Q459" s="146">
        <v>2.37</v>
      </c>
      <c r="R459" s="154" t="s">
        <v>1384</v>
      </c>
      <c r="S459" s="154" t="s">
        <v>1899</v>
      </c>
      <c r="T459" s="155" t="s">
        <v>768</v>
      </c>
      <c r="U459" s="155" t="s">
        <v>1899</v>
      </c>
      <c r="V459" s="154" t="s">
        <v>1904</v>
      </c>
      <c r="W459" s="154">
        <v>0</v>
      </c>
      <c r="X459" s="154" t="s">
        <v>63</v>
      </c>
      <c r="Y459" s="154" t="s">
        <v>1386</v>
      </c>
      <c r="Z459" s="154"/>
      <c r="AA459" s="154" t="s">
        <v>1387</v>
      </c>
      <c r="AB459" s="154">
        <v>0</v>
      </c>
      <c r="AC459" s="138">
        <f>IFERROR(IF(DATEDIF(#REF!,U459,"m")&lt;=1,1,IF(AND(DATEDIF(#REF!,U459,"m")&gt;1,DATEDIF(#REF!,U459,"m")&lt;12),2,IF(AND(DATEDIF(#REF!,U459,"m")&gt;=12,DATEDIF(#REF!,U459,"m")&lt;24),3,IF(DATEDIF(#REF!,U459,"m")&gt;=24,4,"")))),IF(E459="r0320 - Deposits, not covered and not preferential",1,4))</f>
        <v>4</v>
      </c>
    </row>
    <row r="460" spans="3:29" ht="36.75" thickBot="1" x14ac:dyDescent="0.3">
      <c r="C460" s="11">
        <v>999</v>
      </c>
      <c r="D460" s="154">
        <v>453</v>
      </c>
      <c r="E460" s="154" t="s">
        <v>1898</v>
      </c>
      <c r="F460" s="154" t="s">
        <v>87</v>
      </c>
      <c r="G460" s="154" t="s">
        <v>1402</v>
      </c>
      <c r="H460" s="154" t="s">
        <v>522</v>
      </c>
      <c r="I460" s="154" t="s">
        <v>96</v>
      </c>
      <c r="J460" s="154" t="s">
        <v>97</v>
      </c>
      <c r="K460" s="154" t="s">
        <v>91</v>
      </c>
      <c r="L460" s="154" t="s">
        <v>1897</v>
      </c>
      <c r="M460" s="154" t="s">
        <v>1383</v>
      </c>
      <c r="N460" s="154" t="s">
        <v>61</v>
      </c>
      <c r="O460" s="154" t="s">
        <v>62</v>
      </c>
      <c r="P460" s="146">
        <v>0.01</v>
      </c>
      <c r="Q460" s="146">
        <v>0</v>
      </c>
      <c r="R460" s="154" t="s">
        <v>1384</v>
      </c>
      <c r="S460" s="154" t="s">
        <v>1899</v>
      </c>
      <c r="T460" s="155" t="s">
        <v>1899</v>
      </c>
      <c r="U460" s="155" t="s">
        <v>1899</v>
      </c>
      <c r="V460" s="154" t="s">
        <v>1562</v>
      </c>
      <c r="W460" s="154">
        <v>0</v>
      </c>
      <c r="X460" s="154" t="s">
        <v>63</v>
      </c>
      <c r="Y460" s="154" t="s">
        <v>1900</v>
      </c>
      <c r="Z460" s="154"/>
      <c r="AA460" s="154" t="s">
        <v>1387</v>
      </c>
      <c r="AB460" s="154">
        <v>0</v>
      </c>
      <c r="AC460" s="138">
        <f>IFERROR(IF(DATEDIF(#REF!,U460,"m")&lt;=1,1,IF(AND(DATEDIF(#REF!,U460,"m")&gt;1,DATEDIF(#REF!,U460,"m")&lt;12),2,IF(AND(DATEDIF(#REF!,U460,"m")&gt;=12,DATEDIF(#REF!,U460,"m")&lt;24),3,IF(DATEDIF(#REF!,U460,"m")&gt;=24,4,"")))),IF(E460="r0320 - Deposits, not covered and not preferential",1,4))</f>
        <v>4</v>
      </c>
    </row>
    <row r="461" spans="3:29" ht="36.75" thickBot="1" x14ac:dyDescent="0.3">
      <c r="C461" s="11">
        <v>999</v>
      </c>
      <c r="D461" s="154">
        <v>454</v>
      </c>
      <c r="E461" s="154" t="s">
        <v>1898</v>
      </c>
      <c r="F461" s="154" t="s">
        <v>83</v>
      </c>
      <c r="G461" s="154" t="s">
        <v>1402</v>
      </c>
      <c r="H461" s="154" t="s">
        <v>885</v>
      </c>
      <c r="I461" s="154" t="s">
        <v>153</v>
      </c>
      <c r="J461" s="154" t="s">
        <v>154</v>
      </c>
      <c r="K461" s="154" t="s">
        <v>60</v>
      </c>
      <c r="L461" s="154" t="s">
        <v>1897</v>
      </c>
      <c r="M461" s="154" t="s">
        <v>1388</v>
      </c>
      <c r="N461" s="154" t="s">
        <v>61</v>
      </c>
      <c r="O461" s="154" t="s">
        <v>62</v>
      </c>
      <c r="P461" s="146">
        <v>8399.7000000000007</v>
      </c>
      <c r="Q461" s="146">
        <v>0</v>
      </c>
      <c r="R461" s="154" t="s">
        <v>1384</v>
      </c>
      <c r="S461" s="154" t="s">
        <v>1899</v>
      </c>
      <c r="T461" s="155" t="s">
        <v>1899</v>
      </c>
      <c r="U461" s="155" t="s">
        <v>1899</v>
      </c>
      <c r="V461" s="154" t="s">
        <v>1562</v>
      </c>
      <c r="W461" s="154">
        <v>0</v>
      </c>
      <c r="X461" s="154" t="s">
        <v>63</v>
      </c>
      <c r="Y461" s="154" t="s">
        <v>1900</v>
      </c>
      <c r="Z461" s="154"/>
      <c r="AA461" s="154" t="s">
        <v>1387</v>
      </c>
      <c r="AB461" s="154">
        <v>0</v>
      </c>
      <c r="AC461" s="138">
        <f>IFERROR(IF(DATEDIF(#REF!,U461,"m")&lt;=1,1,IF(AND(DATEDIF(#REF!,U461,"m")&gt;1,DATEDIF(#REF!,U461,"m")&lt;12),2,IF(AND(DATEDIF(#REF!,U461,"m")&gt;=12,DATEDIF(#REF!,U461,"m")&lt;24),3,IF(DATEDIF(#REF!,U461,"m")&gt;=24,4,"")))),IF(E461="r0320 - Deposits, not covered and not preferential",1,4))</f>
        <v>4</v>
      </c>
    </row>
    <row r="462" spans="3:29" ht="36.75" thickBot="1" x14ac:dyDescent="0.3">
      <c r="C462" s="11">
        <v>999</v>
      </c>
      <c r="D462" s="154">
        <v>455</v>
      </c>
      <c r="E462" s="154" t="s">
        <v>1898</v>
      </c>
      <c r="F462" s="154" t="s">
        <v>83</v>
      </c>
      <c r="G462" s="154" t="s">
        <v>1402</v>
      </c>
      <c r="H462" s="154" t="s">
        <v>155</v>
      </c>
      <c r="I462" s="154" t="s">
        <v>156</v>
      </c>
      <c r="J462" s="154" t="s">
        <v>157</v>
      </c>
      <c r="K462" s="154" t="s">
        <v>60</v>
      </c>
      <c r="L462" s="154" t="s">
        <v>1897</v>
      </c>
      <c r="M462" s="154" t="s">
        <v>1383</v>
      </c>
      <c r="N462" s="154" t="s">
        <v>61</v>
      </c>
      <c r="O462" s="154" t="s">
        <v>62</v>
      </c>
      <c r="P462" s="146">
        <v>10.49</v>
      </c>
      <c r="Q462" s="146">
        <v>0</v>
      </c>
      <c r="R462" s="154" t="s">
        <v>1384</v>
      </c>
      <c r="S462" s="154" t="s">
        <v>1899</v>
      </c>
      <c r="T462" s="155" t="s">
        <v>1899</v>
      </c>
      <c r="U462" s="155" t="s">
        <v>1899</v>
      </c>
      <c r="V462" s="154" t="s">
        <v>1562</v>
      </c>
      <c r="W462" s="154">
        <v>0</v>
      </c>
      <c r="X462" s="154" t="s">
        <v>63</v>
      </c>
      <c r="Y462" s="154" t="s">
        <v>1900</v>
      </c>
      <c r="Z462" s="154"/>
      <c r="AA462" s="154" t="s">
        <v>1387</v>
      </c>
      <c r="AB462" s="154">
        <v>0</v>
      </c>
      <c r="AC462" s="138">
        <f>IFERROR(IF(DATEDIF(#REF!,U462,"m")&lt;=1,1,IF(AND(DATEDIF(#REF!,U462,"m")&gt;1,DATEDIF(#REF!,U462,"m")&lt;12),2,IF(AND(DATEDIF(#REF!,U462,"m")&gt;=12,DATEDIF(#REF!,U462,"m")&lt;24),3,IF(DATEDIF(#REF!,U462,"m")&gt;=24,4,"")))),IF(E462="r0320 - Deposits, not covered and not preferential",1,4))</f>
        <v>4</v>
      </c>
    </row>
    <row r="463" spans="3:29" ht="48.75" thickBot="1" x14ac:dyDescent="0.3">
      <c r="C463" s="11">
        <v>999</v>
      </c>
      <c r="D463" s="154">
        <v>456</v>
      </c>
      <c r="E463" s="154" t="s">
        <v>1902</v>
      </c>
      <c r="F463" s="154" t="s">
        <v>83</v>
      </c>
      <c r="G463" s="154" t="s">
        <v>1903</v>
      </c>
      <c r="H463" s="154" t="s">
        <v>876</v>
      </c>
      <c r="I463" s="154" t="s">
        <v>101</v>
      </c>
      <c r="J463" s="154" t="s">
        <v>102</v>
      </c>
      <c r="K463" s="154" t="s">
        <v>60</v>
      </c>
      <c r="L463" s="154" t="s">
        <v>1897</v>
      </c>
      <c r="M463" s="154" t="s">
        <v>1388</v>
      </c>
      <c r="N463" s="154" t="s">
        <v>61</v>
      </c>
      <c r="O463" s="154" t="s">
        <v>62</v>
      </c>
      <c r="P463" s="146">
        <v>194794.94</v>
      </c>
      <c r="Q463" s="146">
        <v>110.42</v>
      </c>
      <c r="R463" s="154" t="s">
        <v>1384</v>
      </c>
      <c r="S463" s="154" t="s">
        <v>1899</v>
      </c>
      <c r="T463" s="155" t="s">
        <v>768</v>
      </c>
      <c r="U463" s="155" t="s">
        <v>1899</v>
      </c>
      <c r="V463" s="154" t="s">
        <v>1904</v>
      </c>
      <c r="W463" s="154">
        <v>0</v>
      </c>
      <c r="X463" s="154" t="s">
        <v>63</v>
      </c>
      <c r="Y463" s="154" t="s">
        <v>1386</v>
      </c>
      <c r="Z463" s="154"/>
      <c r="AA463" s="154" t="s">
        <v>1387</v>
      </c>
      <c r="AB463" s="154">
        <v>0</v>
      </c>
      <c r="AC463" s="138">
        <f>IFERROR(IF(DATEDIF(#REF!,U463,"m")&lt;=1,1,IF(AND(DATEDIF(#REF!,U463,"m")&gt;1,DATEDIF(#REF!,U463,"m")&lt;12),2,IF(AND(DATEDIF(#REF!,U463,"m")&gt;=12,DATEDIF(#REF!,U463,"m")&lt;24),3,IF(DATEDIF(#REF!,U463,"m")&gt;=24,4,"")))),IF(E463="r0320 - Deposits, not covered and not preferential",1,4))</f>
        <v>4</v>
      </c>
    </row>
    <row r="464" spans="3:29" ht="48.75" thickBot="1" x14ac:dyDescent="0.3">
      <c r="C464" s="11">
        <v>999</v>
      </c>
      <c r="D464" s="154">
        <v>457</v>
      </c>
      <c r="E464" s="154" t="s">
        <v>1902</v>
      </c>
      <c r="F464" s="154" t="s">
        <v>83</v>
      </c>
      <c r="G464" s="154" t="s">
        <v>1903</v>
      </c>
      <c r="H464" s="154" t="s">
        <v>329</v>
      </c>
      <c r="I464" s="154" t="s">
        <v>101</v>
      </c>
      <c r="J464" s="154" t="s">
        <v>102</v>
      </c>
      <c r="K464" s="154" t="s">
        <v>60</v>
      </c>
      <c r="L464" s="154" t="s">
        <v>1897</v>
      </c>
      <c r="M464" s="154" t="s">
        <v>1388</v>
      </c>
      <c r="N464" s="154" t="s">
        <v>61</v>
      </c>
      <c r="O464" s="154" t="s">
        <v>62</v>
      </c>
      <c r="P464" s="146">
        <v>31490.35</v>
      </c>
      <c r="Q464" s="146">
        <v>12.3</v>
      </c>
      <c r="R464" s="154" t="s">
        <v>1384</v>
      </c>
      <c r="S464" s="154" t="s">
        <v>1899</v>
      </c>
      <c r="T464" s="155" t="s">
        <v>768</v>
      </c>
      <c r="U464" s="155" t="s">
        <v>1899</v>
      </c>
      <c r="V464" s="154" t="s">
        <v>1904</v>
      </c>
      <c r="W464" s="154">
        <v>0</v>
      </c>
      <c r="X464" s="154" t="s">
        <v>63</v>
      </c>
      <c r="Y464" s="154" t="s">
        <v>1386</v>
      </c>
      <c r="Z464" s="154"/>
      <c r="AA464" s="154" t="s">
        <v>1387</v>
      </c>
      <c r="AB464" s="154">
        <v>0</v>
      </c>
      <c r="AC464" s="138">
        <f>IFERROR(IF(DATEDIF(#REF!,U464,"m")&lt;=1,1,IF(AND(DATEDIF(#REF!,U464,"m")&gt;1,DATEDIF(#REF!,U464,"m")&lt;12),2,IF(AND(DATEDIF(#REF!,U464,"m")&gt;=12,DATEDIF(#REF!,U464,"m")&lt;24),3,IF(DATEDIF(#REF!,U464,"m")&gt;=24,4,"")))),IF(E464="r0320 - Deposits, not covered and not preferential",1,4))</f>
        <v>4</v>
      </c>
    </row>
    <row r="465" spans="3:29" ht="36.75" thickBot="1" x14ac:dyDescent="0.3">
      <c r="C465" s="11">
        <v>999</v>
      </c>
      <c r="D465" s="154">
        <v>458</v>
      </c>
      <c r="E465" s="154" t="s">
        <v>1898</v>
      </c>
      <c r="F465" s="154" t="s">
        <v>260</v>
      </c>
      <c r="G465" s="154" t="s">
        <v>1402</v>
      </c>
      <c r="H465" s="154" t="s">
        <v>57</v>
      </c>
      <c r="I465" s="154" t="s">
        <v>262</v>
      </c>
      <c r="J465" s="154" t="s">
        <v>263</v>
      </c>
      <c r="K465" s="154" t="s">
        <v>91</v>
      </c>
      <c r="L465" s="154" t="s">
        <v>1897</v>
      </c>
      <c r="M465" s="154" t="s">
        <v>1388</v>
      </c>
      <c r="N465" s="154" t="s">
        <v>61</v>
      </c>
      <c r="O465" s="154" t="s">
        <v>62</v>
      </c>
      <c r="P465" s="146">
        <v>1387907.213492</v>
      </c>
      <c r="Q465" s="146">
        <v>0</v>
      </c>
      <c r="R465" s="154" t="s">
        <v>768</v>
      </c>
      <c r="S465" s="154" t="s">
        <v>1899</v>
      </c>
      <c r="T465" s="155" t="s">
        <v>1899</v>
      </c>
      <c r="U465" s="155" t="s">
        <v>1899</v>
      </c>
      <c r="V465" s="154" t="s">
        <v>1562</v>
      </c>
      <c r="W465" s="154">
        <v>0</v>
      </c>
      <c r="X465" s="154" t="s">
        <v>63</v>
      </c>
      <c r="Y465" s="154" t="s">
        <v>1900</v>
      </c>
      <c r="Z465" s="154"/>
      <c r="AA465" s="154" t="s">
        <v>1387</v>
      </c>
      <c r="AB465" s="154">
        <v>0</v>
      </c>
      <c r="AC465" s="138">
        <f>IFERROR(IF(DATEDIF(#REF!,U465,"m")&lt;=1,1,IF(AND(DATEDIF(#REF!,U465,"m")&gt;1,DATEDIF(#REF!,U465,"m")&lt;12),2,IF(AND(DATEDIF(#REF!,U465,"m")&gt;=12,DATEDIF(#REF!,U465,"m")&lt;24),3,IF(DATEDIF(#REF!,U465,"m")&gt;=24,4,"")))),IF(E465="r0320 - Deposits, not covered and not preferential",1,4))</f>
        <v>4</v>
      </c>
    </row>
    <row r="466" spans="3:29" ht="48.75" thickBot="1" x14ac:dyDescent="0.3">
      <c r="C466" s="11">
        <v>999</v>
      </c>
      <c r="D466" s="154">
        <v>459</v>
      </c>
      <c r="E466" s="154" t="s">
        <v>1902</v>
      </c>
      <c r="F466" s="154" t="s">
        <v>83</v>
      </c>
      <c r="G466" s="154" t="s">
        <v>1903</v>
      </c>
      <c r="H466" s="154" t="s">
        <v>516</v>
      </c>
      <c r="I466" s="154" t="s">
        <v>101</v>
      </c>
      <c r="J466" s="154" t="s">
        <v>102</v>
      </c>
      <c r="K466" s="154" t="s">
        <v>60</v>
      </c>
      <c r="L466" s="154" t="s">
        <v>1897</v>
      </c>
      <c r="M466" s="154" t="s">
        <v>1388</v>
      </c>
      <c r="N466" s="154" t="s">
        <v>61</v>
      </c>
      <c r="O466" s="154" t="s">
        <v>62</v>
      </c>
      <c r="P466" s="146">
        <v>16769.689999999999</v>
      </c>
      <c r="Q466" s="146">
        <v>3.69</v>
      </c>
      <c r="R466" s="154" t="s">
        <v>1384</v>
      </c>
      <c r="S466" s="154" t="s">
        <v>1899</v>
      </c>
      <c r="T466" s="155" t="s">
        <v>768</v>
      </c>
      <c r="U466" s="155" t="s">
        <v>1899</v>
      </c>
      <c r="V466" s="154" t="s">
        <v>1904</v>
      </c>
      <c r="W466" s="154">
        <v>0</v>
      </c>
      <c r="X466" s="154" t="s">
        <v>63</v>
      </c>
      <c r="Y466" s="154" t="s">
        <v>1386</v>
      </c>
      <c r="Z466" s="154"/>
      <c r="AA466" s="154" t="s">
        <v>1387</v>
      </c>
      <c r="AB466" s="154">
        <v>0</v>
      </c>
      <c r="AC466" s="138">
        <f>IFERROR(IF(DATEDIF(#REF!,U466,"m")&lt;=1,1,IF(AND(DATEDIF(#REF!,U466,"m")&gt;1,DATEDIF(#REF!,U466,"m")&lt;12),2,IF(AND(DATEDIF(#REF!,U466,"m")&gt;=12,DATEDIF(#REF!,U466,"m")&lt;24),3,IF(DATEDIF(#REF!,U466,"m")&gt;=24,4,"")))),IF(E466="r0320 - Deposits, not covered and not preferential",1,4))</f>
        <v>4</v>
      </c>
    </row>
    <row r="467" spans="3:29" ht="48.75" thickBot="1" x14ac:dyDescent="0.3">
      <c r="C467" s="11">
        <v>999</v>
      </c>
      <c r="D467" s="154">
        <v>460</v>
      </c>
      <c r="E467" s="154" t="s">
        <v>1902</v>
      </c>
      <c r="F467" s="154" t="s">
        <v>83</v>
      </c>
      <c r="G467" s="154" t="s">
        <v>1903</v>
      </c>
      <c r="H467" s="154" t="s">
        <v>883</v>
      </c>
      <c r="I467" s="154" t="s">
        <v>93</v>
      </c>
      <c r="J467" s="154" t="s">
        <v>94</v>
      </c>
      <c r="K467" s="154" t="s">
        <v>60</v>
      </c>
      <c r="L467" s="154" t="s">
        <v>1897</v>
      </c>
      <c r="M467" s="154" t="s">
        <v>1388</v>
      </c>
      <c r="N467" s="154" t="s">
        <v>61</v>
      </c>
      <c r="O467" s="154" t="s">
        <v>62</v>
      </c>
      <c r="P467" s="146">
        <v>137485.51</v>
      </c>
      <c r="Q467" s="146">
        <v>70.28</v>
      </c>
      <c r="R467" s="154" t="s">
        <v>1384</v>
      </c>
      <c r="S467" s="154" t="s">
        <v>1899</v>
      </c>
      <c r="T467" s="155" t="s">
        <v>768</v>
      </c>
      <c r="U467" s="155" t="s">
        <v>1899</v>
      </c>
      <c r="V467" s="154" t="s">
        <v>1904</v>
      </c>
      <c r="W467" s="154">
        <v>0</v>
      </c>
      <c r="X467" s="154" t="s">
        <v>63</v>
      </c>
      <c r="Y467" s="154" t="s">
        <v>1386</v>
      </c>
      <c r="Z467" s="154"/>
      <c r="AA467" s="154" t="s">
        <v>1387</v>
      </c>
      <c r="AB467" s="154">
        <v>0</v>
      </c>
      <c r="AC467" s="138">
        <f>IFERROR(IF(DATEDIF(#REF!,U467,"m")&lt;=1,1,IF(AND(DATEDIF(#REF!,U467,"m")&gt;1,DATEDIF(#REF!,U467,"m")&lt;12),2,IF(AND(DATEDIF(#REF!,U467,"m")&gt;=12,DATEDIF(#REF!,U467,"m")&lt;24),3,IF(DATEDIF(#REF!,U467,"m")&gt;=24,4,"")))),IF(E467="r0320 - Deposits, not covered and not preferential",1,4))</f>
        <v>4</v>
      </c>
    </row>
    <row r="468" spans="3:29" ht="48.75" thickBot="1" x14ac:dyDescent="0.3">
      <c r="C468" s="11">
        <v>999</v>
      </c>
      <c r="D468" s="154">
        <v>461</v>
      </c>
      <c r="E468" s="154" t="s">
        <v>1902</v>
      </c>
      <c r="F468" s="154" t="s">
        <v>83</v>
      </c>
      <c r="G468" s="154" t="s">
        <v>1903</v>
      </c>
      <c r="H468" s="154" t="s">
        <v>330</v>
      </c>
      <c r="I468" s="154" t="s">
        <v>93</v>
      </c>
      <c r="J468" s="154" t="s">
        <v>94</v>
      </c>
      <c r="K468" s="154" t="s">
        <v>60</v>
      </c>
      <c r="L468" s="154" t="s">
        <v>1897</v>
      </c>
      <c r="M468" s="154" t="s">
        <v>1388</v>
      </c>
      <c r="N468" s="154" t="s">
        <v>61</v>
      </c>
      <c r="O468" s="154" t="s">
        <v>62</v>
      </c>
      <c r="P468" s="146">
        <v>49239.85</v>
      </c>
      <c r="Q468" s="146">
        <v>30.66</v>
      </c>
      <c r="R468" s="154" t="s">
        <v>1384</v>
      </c>
      <c r="S468" s="154" t="s">
        <v>1899</v>
      </c>
      <c r="T468" s="155" t="s">
        <v>768</v>
      </c>
      <c r="U468" s="155" t="s">
        <v>1899</v>
      </c>
      <c r="V468" s="154" t="s">
        <v>1904</v>
      </c>
      <c r="W468" s="154">
        <v>0</v>
      </c>
      <c r="X468" s="154" t="s">
        <v>63</v>
      </c>
      <c r="Y468" s="154" t="s">
        <v>1386</v>
      </c>
      <c r="Z468" s="154"/>
      <c r="AA468" s="154" t="s">
        <v>1387</v>
      </c>
      <c r="AB468" s="154">
        <v>0</v>
      </c>
      <c r="AC468" s="138">
        <f>IFERROR(IF(DATEDIF(#REF!,U468,"m")&lt;=1,1,IF(AND(DATEDIF(#REF!,U468,"m")&gt;1,DATEDIF(#REF!,U468,"m")&lt;12),2,IF(AND(DATEDIF(#REF!,U468,"m")&gt;=12,DATEDIF(#REF!,U468,"m")&lt;24),3,IF(DATEDIF(#REF!,U468,"m")&gt;=24,4,"")))),IF(E468="r0320 - Deposits, not covered and not preferential",1,4))</f>
        <v>4</v>
      </c>
    </row>
    <row r="469" spans="3:29" ht="36.75" thickBot="1" x14ac:dyDescent="0.3">
      <c r="C469" s="11">
        <v>999</v>
      </c>
      <c r="D469" s="154">
        <v>462</v>
      </c>
      <c r="E469" s="154" t="s">
        <v>1898</v>
      </c>
      <c r="F469" s="154" t="s">
        <v>87</v>
      </c>
      <c r="G469" s="154" t="s">
        <v>1402</v>
      </c>
      <c r="H469" s="154" t="s">
        <v>892</v>
      </c>
      <c r="I469" s="154" t="s">
        <v>96</v>
      </c>
      <c r="J469" s="154" t="s">
        <v>97</v>
      </c>
      <c r="K469" s="154" t="s">
        <v>91</v>
      </c>
      <c r="L469" s="154" t="s">
        <v>1897</v>
      </c>
      <c r="M469" s="154" t="s">
        <v>1383</v>
      </c>
      <c r="N469" s="154" t="s">
        <v>61</v>
      </c>
      <c r="O469" s="154" t="s">
        <v>62</v>
      </c>
      <c r="P469" s="146">
        <v>22.67</v>
      </c>
      <c r="Q469" s="146">
        <v>0</v>
      </c>
      <c r="R469" s="154" t="s">
        <v>1384</v>
      </c>
      <c r="S469" s="154" t="s">
        <v>1899</v>
      </c>
      <c r="T469" s="155" t="s">
        <v>1899</v>
      </c>
      <c r="U469" s="155" t="s">
        <v>1899</v>
      </c>
      <c r="V469" s="154" t="s">
        <v>1562</v>
      </c>
      <c r="W469" s="154">
        <v>0</v>
      </c>
      <c r="X469" s="154" t="s">
        <v>63</v>
      </c>
      <c r="Y469" s="154" t="s">
        <v>1900</v>
      </c>
      <c r="Z469" s="154"/>
      <c r="AA469" s="154" t="s">
        <v>1387</v>
      </c>
      <c r="AB469" s="154">
        <v>0</v>
      </c>
      <c r="AC469" s="138">
        <f>IFERROR(IF(DATEDIF(#REF!,U469,"m")&lt;=1,1,IF(AND(DATEDIF(#REF!,U469,"m")&gt;1,DATEDIF(#REF!,U469,"m")&lt;12),2,IF(AND(DATEDIF(#REF!,U469,"m")&gt;=12,DATEDIF(#REF!,U469,"m")&lt;24),3,IF(DATEDIF(#REF!,U469,"m")&gt;=24,4,"")))),IF(E469="r0320 - Deposits, not covered and not preferential",1,4))</f>
        <v>4</v>
      </c>
    </row>
    <row r="470" spans="3:29" ht="48.75" thickBot="1" x14ac:dyDescent="0.3">
      <c r="C470" s="11">
        <v>999</v>
      </c>
      <c r="D470" s="154">
        <v>463</v>
      </c>
      <c r="E470" s="154" t="s">
        <v>1902</v>
      </c>
      <c r="F470" s="154" t="s">
        <v>83</v>
      </c>
      <c r="G470" s="154" t="s">
        <v>1903</v>
      </c>
      <c r="H470" s="154" t="s">
        <v>528</v>
      </c>
      <c r="I470" s="154" t="s">
        <v>101</v>
      </c>
      <c r="J470" s="154" t="s">
        <v>102</v>
      </c>
      <c r="K470" s="154" t="s">
        <v>60</v>
      </c>
      <c r="L470" s="154" t="s">
        <v>1897</v>
      </c>
      <c r="M470" s="154" t="s">
        <v>1388</v>
      </c>
      <c r="N470" s="154" t="s">
        <v>61</v>
      </c>
      <c r="O470" s="154" t="s">
        <v>62</v>
      </c>
      <c r="P470" s="146">
        <v>5828.66</v>
      </c>
      <c r="Q470" s="146">
        <v>3.65</v>
      </c>
      <c r="R470" s="154" t="s">
        <v>1384</v>
      </c>
      <c r="S470" s="154" t="s">
        <v>1899</v>
      </c>
      <c r="T470" s="155" t="s">
        <v>768</v>
      </c>
      <c r="U470" s="155" t="s">
        <v>1899</v>
      </c>
      <c r="V470" s="154" t="s">
        <v>1904</v>
      </c>
      <c r="W470" s="154">
        <v>0</v>
      </c>
      <c r="X470" s="154" t="s">
        <v>63</v>
      </c>
      <c r="Y470" s="154" t="s">
        <v>1386</v>
      </c>
      <c r="Z470" s="154"/>
      <c r="AA470" s="154" t="s">
        <v>1387</v>
      </c>
      <c r="AB470" s="154">
        <v>0</v>
      </c>
      <c r="AC470" s="138">
        <f>IFERROR(IF(DATEDIF(#REF!,U470,"m")&lt;=1,1,IF(AND(DATEDIF(#REF!,U470,"m")&gt;1,DATEDIF(#REF!,U470,"m")&lt;12),2,IF(AND(DATEDIF(#REF!,U470,"m")&gt;=12,DATEDIF(#REF!,U470,"m")&lt;24),3,IF(DATEDIF(#REF!,U470,"m")&gt;=24,4,"")))),IF(E470="r0320 - Deposits, not covered and not preferential",1,4))</f>
        <v>4</v>
      </c>
    </row>
    <row r="471" spans="3:29" ht="48.75" thickBot="1" x14ac:dyDescent="0.3">
      <c r="C471" s="11">
        <v>999</v>
      </c>
      <c r="D471" s="154">
        <v>464</v>
      </c>
      <c r="E471" s="154" t="s">
        <v>1902</v>
      </c>
      <c r="F471" s="154" t="s">
        <v>83</v>
      </c>
      <c r="G471" s="154" t="s">
        <v>1903</v>
      </c>
      <c r="H471" s="154" t="s">
        <v>886</v>
      </c>
      <c r="I471" s="154" t="s">
        <v>101</v>
      </c>
      <c r="J471" s="154" t="s">
        <v>102</v>
      </c>
      <c r="K471" s="154" t="s">
        <v>60</v>
      </c>
      <c r="L471" s="154" t="s">
        <v>1897</v>
      </c>
      <c r="M471" s="154" t="s">
        <v>1388</v>
      </c>
      <c r="N471" s="154" t="s">
        <v>61</v>
      </c>
      <c r="O471" s="154" t="s">
        <v>62</v>
      </c>
      <c r="P471" s="146">
        <v>12759.08</v>
      </c>
      <c r="Q471" s="146">
        <v>20.21</v>
      </c>
      <c r="R471" s="154" t="s">
        <v>1384</v>
      </c>
      <c r="S471" s="154" t="s">
        <v>1899</v>
      </c>
      <c r="T471" s="155" t="s">
        <v>768</v>
      </c>
      <c r="U471" s="155" t="s">
        <v>1899</v>
      </c>
      <c r="V471" s="154" t="s">
        <v>1904</v>
      </c>
      <c r="W471" s="154">
        <v>0</v>
      </c>
      <c r="X471" s="154" t="s">
        <v>63</v>
      </c>
      <c r="Y471" s="154" t="s">
        <v>1386</v>
      </c>
      <c r="Z471" s="154"/>
      <c r="AA471" s="154" t="s">
        <v>1387</v>
      </c>
      <c r="AB471" s="154">
        <v>0</v>
      </c>
      <c r="AC471" s="138">
        <f>IFERROR(IF(DATEDIF(#REF!,U471,"m")&lt;=1,1,IF(AND(DATEDIF(#REF!,U471,"m")&gt;1,DATEDIF(#REF!,U471,"m")&lt;12),2,IF(AND(DATEDIF(#REF!,U471,"m")&gt;=12,DATEDIF(#REF!,U471,"m")&lt;24),3,IF(DATEDIF(#REF!,U471,"m")&gt;=24,4,"")))),IF(E471="r0320 - Deposits, not covered and not preferential",1,4))</f>
        <v>4</v>
      </c>
    </row>
    <row r="472" spans="3:29" ht="48.75" thickBot="1" x14ac:dyDescent="0.3">
      <c r="C472" s="11">
        <v>999</v>
      </c>
      <c r="D472" s="154">
        <v>465</v>
      </c>
      <c r="E472" s="154" t="s">
        <v>1902</v>
      </c>
      <c r="F472" s="154" t="s">
        <v>83</v>
      </c>
      <c r="G472" s="154" t="s">
        <v>1903</v>
      </c>
      <c r="H472" s="154" t="s">
        <v>890</v>
      </c>
      <c r="I472" s="154" t="s">
        <v>93</v>
      </c>
      <c r="J472" s="154" t="s">
        <v>94</v>
      </c>
      <c r="K472" s="154" t="s">
        <v>60</v>
      </c>
      <c r="L472" s="154" t="s">
        <v>1897</v>
      </c>
      <c r="M472" s="154" t="s">
        <v>1388</v>
      </c>
      <c r="N472" s="154" t="s">
        <v>61</v>
      </c>
      <c r="O472" s="154" t="s">
        <v>62</v>
      </c>
      <c r="P472" s="146">
        <v>104771.01</v>
      </c>
      <c r="Q472" s="146">
        <v>22.06</v>
      </c>
      <c r="R472" s="154" t="s">
        <v>1384</v>
      </c>
      <c r="S472" s="154" t="s">
        <v>1899</v>
      </c>
      <c r="T472" s="155" t="s">
        <v>768</v>
      </c>
      <c r="U472" s="155" t="s">
        <v>1899</v>
      </c>
      <c r="V472" s="154" t="s">
        <v>1904</v>
      </c>
      <c r="W472" s="154">
        <v>0</v>
      </c>
      <c r="X472" s="154" t="s">
        <v>63</v>
      </c>
      <c r="Y472" s="154" t="s">
        <v>1386</v>
      </c>
      <c r="Z472" s="154"/>
      <c r="AA472" s="154" t="s">
        <v>1387</v>
      </c>
      <c r="AB472" s="154">
        <v>0</v>
      </c>
      <c r="AC472" s="138">
        <f>IFERROR(IF(DATEDIF(#REF!,U472,"m")&lt;=1,1,IF(AND(DATEDIF(#REF!,U472,"m")&gt;1,DATEDIF(#REF!,U472,"m")&lt;12),2,IF(AND(DATEDIF(#REF!,U472,"m")&gt;=12,DATEDIF(#REF!,U472,"m")&lt;24),3,IF(DATEDIF(#REF!,U472,"m")&gt;=24,4,"")))),IF(E472="r0320 - Deposits, not covered and not preferential",1,4))</f>
        <v>4</v>
      </c>
    </row>
    <row r="473" spans="3:29" ht="36.75" thickBot="1" x14ac:dyDescent="0.3">
      <c r="C473" s="11">
        <v>999</v>
      </c>
      <c r="D473" s="154">
        <v>466</v>
      </c>
      <c r="E473" s="154" t="s">
        <v>1898</v>
      </c>
      <c r="F473" s="154" t="s">
        <v>87</v>
      </c>
      <c r="G473" s="154" t="s">
        <v>1402</v>
      </c>
      <c r="H473" s="154" t="s">
        <v>221</v>
      </c>
      <c r="I473" s="154" t="s">
        <v>111</v>
      </c>
      <c r="J473" s="154" t="s">
        <v>90</v>
      </c>
      <c r="K473" s="154" t="s">
        <v>91</v>
      </c>
      <c r="L473" s="154" t="s">
        <v>1897</v>
      </c>
      <c r="M473" s="154" t="s">
        <v>1383</v>
      </c>
      <c r="N473" s="154" t="s">
        <v>61</v>
      </c>
      <c r="O473" s="154" t="s">
        <v>62</v>
      </c>
      <c r="P473" s="146">
        <v>0.03</v>
      </c>
      <c r="Q473" s="146">
        <v>0</v>
      </c>
      <c r="R473" s="154" t="s">
        <v>1384</v>
      </c>
      <c r="S473" s="154" t="s">
        <v>1899</v>
      </c>
      <c r="T473" s="155" t="s">
        <v>1899</v>
      </c>
      <c r="U473" s="155" t="s">
        <v>1899</v>
      </c>
      <c r="V473" s="154" t="s">
        <v>1562</v>
      </c>
      <c r="W473" s="154">
        <v>0</v>
      </c>
      <c r="X473" s="154" t="s">
        <v>63</v>
      </c>
      <c r="Y473" s="154" t="s">
        <v>1900</v>
      </c>
      <c r="Z473" s="154"/>
      <c r="AA473" s="154" t="s">
        <v>1387</v>
      </c>
      <c r="AB473" s="154">
        <v>0</v>
      </c>
      <c r="AC473" s="138">
        <f>IFERROR(IF(DATEDIF(#REF!,U473,"m")&lt;=1,1,IF(AND(DATEDIF(#REF!,U473,"m")&gt;1,DATEDIF(#REF!,U473,"m")&lt;12),2,IF(AND(DATEDIF(#REF!,U473,"m")&gt;=12,DATEDIF(#REF!,U473,"m")&lt;24),3,IF(DATEDIF(#REF!,U473,"m")&gt;=24,4,"")))),IF(E473="r0320 - Deposits, not covered and not preferential",1,4))</f>
        <v>4</v>
      </c>
    </row>
    <row r="474" spans="3:29" ht="48.75" thickBot="1" x14ac:dyDescent="0.3">
      <c r="C474" s="11">
        <v>999</v>
      </c>
      <c r="D474" s="154">
        <v>467</v>
      </c>
      <c r="E474" s="154" t="s">
        <v>1902</v>
      </c>
      <c r="F474" s="154" t="s">
        <v>83</v>
      </c>
      <c r="G474" s="154" t="s">
        <v>1903</v>
      </c>
      <c r="H474" s="154" t="s">
        <v>530</v>
      </c>
      <c r="I474" s="154" t="s">
        <v>93</v>
      </c>
      <c r="J474" s="154" t="s">
        <v>94</v>
      </c>
      <c r="K474" s="154" t="s">
        <v>60</v>
      </c>
      <c r="L474" s="154" t="s">
        <v>1897</v>
      </c>
      <c r="M474" s="154" t="s">
        <v>1388</v>
      </c>
      <c r="N474" s="154" t="s">
        <v>61</v>
      </c>
      <c r="O474" s="154" t="s">
        <v>62</v>
      </c>
      <c r="P474" s="146">
        <v>150854.04999999999</v>
      </c>
      <c r="Q474" s="146">
        <v>95.23</v>
      </c>
      <c r="R474" s="154" t="s">
        <v>1384</v>
      </c>
      <c r="S474" s="154" t="s">
        <v>1899</v>
      </c>
      <c r="T474" s="155" t="s">
        <v>768</v>
      </c>
      <c r="U474" s="155" t="s">
        <v>1899</v>
      </c>
      <c r="V474" s="154" t="s">
        <v>1904</v>
      </c>
      <c r="W474" s="154">
        <v>0</v>
      </c>
      <c r="X474" s="154" t="s">
        <v>63</v>
      </c>
      <c r="Y474" s="154" t="s">
        <v>1386</v>
      </c>
      <c r="Z474" s="154"/>
      <c r="AA474" s="154" t="s">
        <v>1387</v>
      </c>
      <c r="AB474" s="154">
        <v>0</v>
      </c>
      <c r="AC474" s="138">
        <f>IFERROR(IF(DATEDIF(#REF!,U474,"m")&lt;=1,1,IF(AND(DATEDIF(#REF!,U474,"m")&gt;1,DATEDIF(#REF!,U474,"m")&lt;12),2,IF(AND(DATEDIF(#REF!,U474,"m")&gt;=12,DATEDIF(#REF!,U474,"m")&lt;24),3,IF(DATEDIF(#REF!,U474,"m")&gt;=24,4,"")))),IF(E474="r0320 - Deposits, not covered and not preferential",1,4))</f>
        <v>4</v>
      </c>
    </row>
    <row r="475" spans="3:29" ht="48.75" thickBot="1" x14ac:dyDescent="0.3">
      <c r="C475" s="11">
        <v>999</v>
      </c>
      <c r="D475" s="154">
        <v>468</v>
      </c>
      <c r="E475" s="154" t="s">
        <v>1902</v>
      </c>
      <c r="F475" s="154" t="s">
        <v>83</v>
      </c>
      <c r="G475" s="154" t="s">
        <v>1903</v>
      </c>
      <c r="H475" s="154" t="s">
        <v>891</v>
      </c>
      <c r="I475" s="154" t="s">
        <v>101</v>
      </c>
      <c r="J475" s="154" t="s">
        <v>102</v>
      </c>
      <c r="K475" s="154" t="s">
        <v>60</v>
      </c>
      <c r="L475" s="154" t="s">
        <v>1897</v>
      </c>
      <c r="M475" s="154" t="s">
        <v>1388</v>
      </c>
      <c r="N475" s="154" t="s">
        <v>61</v>
      </c>
      <c r="O475" s="154" t="s">
        <v>62</v>
      </c>
      <c r="P475" s="146">
        <v>16841.59</v>
      </c>
      <c r="Q475" s="146">
        <v>33.71</v>
      </c>
      <c r="R475" s="154" t="s">
        <v>1384</v>
      </c>
      <c r="S475" s="154" t="s">
        <v>1899</v>
      </c>
      <c r="T475" s="155" t="s">
        <v>768</v>
      </c>
      <c r="U475" s="155" t="s">
        <v>1899</v>
      </c>
      <c r="V475" s="154" t="s">
        <v>1904</v>
      </c>
      <c r="W475" s="154">
        <v>0</v>
      </c>
      <c r="X475" s="154" t="s">
        <v>63</v>
      </c>
      <c r="Y475" s="154" t="s">
        <v>1386</v>
      </c>
      <c r="Z475" s="154"/>
      <c r="AA475" s="154" t="s">
        <v>1387</v>
      </c>
      <c r="AB475" s="154">
        <v>0</v>
      </c>
      <c r="AC475" s="138">
        <f>IFERROR(IF(DATEDIF(#REF!,U475,"m")&lt;=1,1,IF(AND(DATEDIF(#REF!,U475,"m")&gt;1,DATEDIF(#REF!,U475,"m")&lt;12),2,IF(AND(DATEDIF(#REF!,U475,"m")&gt;=12,DATEDIF(#REF!,U475,"m")&lt;24),3,IF(DATEDIF(#REF!,U475,"m")&gt;=24,4,"")))),IF(E475="r0320 - Deposits, not covered and not preferential",1,4))</f>
        <v>4</v>
      </c>
    </row>
    <row r="476" spans="3:29" ht="48.75" thickBot="1" x14ac:dyDescent="0.3">
      <c r="C476" s="11">
        <v>999</v>
      </c>
      <c r="D476" s="154">
        <v>469</v>
      </c>
      <c r="E476" s="154" t="s">
        <v>1902</v>
      </c>
      <c r="F476" s="154" t="s">
        <v>83</v>
      </c>
      <c r="G476" s="154" t="s">
        <v>1903</v>
      </c>
      <c r="H476" s="154" t="s">
        <v>894</v>
      </c>
      <c r="I476" s="154" t="s">
        <v>101</v>
      </c>
      <c r="J476" s="154" t="s">
        <v>102</v>
      </c>
      <c r="K476" s="154" t="s">
        <v>60</v>
      </c>
      <c r="L476" s="154" t="s">
        <v>1897</v>
      </c>
      <c r="M476" s="154" t="s">
        <v>1388</v>
      </c>
      <c r="N476" s="154" t="s">
        <v>61</v>
      </c>
      <c r="O476" s="154" t="s">
        <v>62</v>
      </c>
      <c r="P476" s="146">
        <v>11886.36</v>
      </c>
      <c r="Q476" s="146">
        <v>2.4700000000000002</v>
      </c>
      <c r="R476" s="154" t="s">
        <v>1384</v>
      </c>
      <c r="S476" s="154" t="s">
        <v>1899</v>
      </c>
      <c r="T476" s="155" t="s">
        <v>768</v>
      </c>
      <c r="U476" s="155" t="s">
        <v>1899</v>
      </c>
      <c r="V476" s="154" t="s">
        <v>1904</v>
      </c>
      <c r="W476" s="154">
        <v>0</v>
      </c>
      <c r="X476" s="154" t="s">
        <v>63</v>
      </c>
      <c r="Y476" s="154" t="s">
        <v>1386</v>
      </c>
      <c r="Z476" s="154"/>
      <c r="AA476" s="154" t="s">
        <v>1387</v>
      </c>
      <c r="AB476" s="154">
        <v>0</v>
      </c>
      <c r="AC476" s="138">
        <f>IFERROR(IF(DATEDIF(#REF!,U476,"m")&lt;=1,1,IF(AND(DATEDIF(#REF!,U476,"m")&gt;1,DATEDIF(#REF!,U476,"m")&lt;12),2,IF(AND(DATEDIF(#REF!,U476,"m")&gt;=12,DATEDIF(#REF!,U476,"m")&lt;24),3,IF(DATEDIF(#REF!,U476,"m")&gt;=24,4,"")))),IF(E476="r0320 - Deposits, not covered and not preferential",1,4))</f>
        <v>4</v>
      </c>
    </row>
    <row r="477" spans="3:29" ht="36.75" thickBot="1" x14ac:dyDescent="0.3">
      <c r="C477" s="11">
        <v>999</v>
      </c>
      <c r="D477" s="154">
        <v>470</v>
      </c>
      <c r="E477" s="154" t="s">
        <v>1898</v>
      </c>
      <c r="F477" s="154" t="s">
        <v>87</v>
      </c>
      <c r="G477" s="154" t="s">
        <v>1402</v>
      </c>
      <c r="H477" s="154" t="s">
        <v>541</v>
      </c>
      <c r="I477" s="154" t="s">
        <v>96</v>
      </c>
      <c r="J477" s="154" t="s">
        <v>97</v>
      </c>
      <c r="K477" s="154" t="s">
        <v>91</v>
      </c>
      <c r="L477" s="154" t="s">
        <v>1897</v>
      </c>
      <c r="M477" s="154" t="s">
        <v>1383</v>
      </c>
      <c r="N477" s="154" t="s">
        <v>61</v>
      </c>
      <c r="O477" s="154" t="s">
        <v>62</v>
      </c>
      <c r="P477" s="146">
        <v>0.3</v>
      </c>
      <c r="Q477" s="146">
        <v>0</v>
      </c>
      <c r="R477" s="154" t="s">
        <v>1384</v>
      </c>
      <c r="S477" s="154" t="s">
        <v>1899</v>
      </c>
      <c r="T477" s="155" t="s">
        <v>1899</v>
      </c>
      <c r="U477" s="155" t="s">
        <v>1899</v>
      </c>
      <c r="V477" s="154" t="s">
        <v>1562</v>
      </c>
      <c r="W477" s="154">
        <v>0</v>
      </c>
      <c r="X477" s="154" t="s">
        <v>63</v>
      </c>
      <c r="Y477" s="154" t="s">
        <v>1900</v>
      </c>
      <c r="Z477" s="154"/>
      <c r="AA477" s="154" t="s">
        <v>1387</v>
      </c>
      <c r="AB477" s="154">
        <v>0</v>
      </c>
      <c r="AC477" s="138">
        <f>IFERROR(IF(DATEDIF(#REF!,U477,"m")&lt;=1,1,IF(AND(DATEDIF(#REF!,U477,"m")&gt;1,DATEDIF(#REF!,U477,"m")&lt;12),2,IF(AND(DATEDIF(#REF!,U477,"m")&gt;=12,DATEDIF(#REF!,U477,"m")&lt;24),3,IF(DATEDIF(#REF!,U477,"m")&gt;=24,4,"")))),IF(E477="r0320 - Deposits, not covered and not preferential",1,4))</f>
        <v>4</v>
      </c>
    </row>
    <row r="478" spans="3:29" ht="48.75" thickBot="1" x14ac:dyDescent="0.3">
      <c r="C478" s="11">
        <v>999</v>
      </c>
      <c r="D478" s="154">
        <v>471</v>
      </c>
      <c r="E478" s="154" t="s">
        <v>1902</v>
      </c>
      <c r="F478" s="154" t="s">
        <v>83</v>
      </c>
      <c r="G478" s="154" t="s">
        <v>1903</v>
      </c>
      <c r="H478" s="154" t="s">
        <v>896</v>
      </c>
      <c r="I478" s="154" t="s">
        <v>101</v>
      </c>
      <c r="J478" s="154" t="s">
        <v>102</v>
      </c>
      <c r="K478" s="154" t="s">
        <v>60</v>
      </c>
      <c r="L478" s="154" t="s">
        <v>1897</v>
      </c>
      <c r="M478" s="154" t="s">
        <v>1388</v>
      </c>
      <c r="N478" s="154" t="s">
        <v>61</v>
      </c>
      <c r="O478" s="154" t="s">
        <v>62</v>
      </c>
      <c r="P478" s="146">
        <v>110463.8</v>
      </c>
      <c r="Q478" s="146">
        <v>109.98</v>
      </c>
      <c r="R478" s="154" t="s">
        <v>1384</v>
      </c>
      <c r="S478" s="154" t="s">
        <v>1899</v>
      </c>
      <c r="T478" s="155" t="s">
        <v>768</v>
      </c>
      <c r="U478" s="155" t="s">
        <v>1899</v>
      </c>
      <c r="V478" s="154" t="s">
        <v>1904</v>
      </c>
      <c r="W478" s="154">
        <v>0</v>
      </c>
      <c r="X478" s="154" t="s">
        <v>63</v>
      </c>
      <c r="Y478" s="154" t="s">
        <v>1386</v>
      </c>
      <c r="Z478" s="154"/>
      <c r="AA478" s="154" t="s">
        <v>1387</v>
      </c>
      <c r="AB478" s="154">
        <v>0</v>
      </c>
      <c r="AC478" s="138">
        <f>IFERROR(IF(DATEDIF(#REF!,U478,"m")&lt;=1,1,IF(AND(DATEDIF(#REF!,U478,"m")&gt;1,DATEDIF(#REF!,U478,"m")&lt;12),2,IF(AND(DATEDIF(#REF!,U478,"m")&gt;=12,DATEDIF(#REF!,U478,"m")&lt;24),3,IF(DATEDIF(#REF!,U478,"m")&gt;=24,4,"")))),IF(E478="r0320 - Deposits, not covered and not preferential",1,4))</f>
        <v>4</v>
      </c>
    </row>
    <row r="479" spans="3:29" ht="48.75" thickBot="1" x14ac:dyDescent="0.3">
      <c r="C479" s="11">
        <v>999</v>
      </c>
      <c r="D479" s="154">
        <v>472</v>
      </c>
      <c r="E479" s="154" t="s">
        <v>1902</v>
      </c>
      <c r="F479" s="154" t="s">
        <v>83</v>
      </c>
      <c r="G479" s="154" t="s">
        <v>1903</v>
      </c>
      <c r="H479" s="154" t="s">
        <v>895</v>
      </c>
      <c r="I479" s="154" t="s">
        <v>101</v>
      </c>
      <c r="J479" s="154" t="s">
        <v>102</v>
      </c>
      <c r="K479" s="154" t="s">
        <v>60</v>
      </c>
      <c r="L479" s="154" t="s">
        <v>1897</v>
      </c>
      <c r="M479" s="154" t="s">
        <v>1388</v>
      </c>
      <c r="N479" s="154" t="s">
        <v>61</v>
      </c>
      <c r="O479" s="154" t="s">
        <v>62</v>
      </c>
      <c r="P479" s="146">
        <v>4134.8100000000004</v>
      </c>
      <c r="Q479" s="146">
        <v>2.57</v>
      </c>
      <c r="R479" s="154" t="s">
        <v>1384</v>
      </c>
      <c r="S479" s="154" t="s">
        <v>1899</v>
      </c>
      <c r="T479" s="155" t="s">
        <v>768</v>
      </c>
      <c r="U479" s="155" t="s">
        <v>1899</v>
      </c>
      <c r="V479" s="154" t="s">
        <v>1904</v>
      </c>
      <c r="W479" s="154">
        <v>0</v>
      </c>
      <c r="X479" s="154" t="s">
        <v>63</v>
      </c>
      <c r="Y479" s="154" t="s">
        <v>1386</v>
      </c>
      <c r="Z479" s="154"/>
      <c r="AA479" s="154" t="s">
        <v>1387</v>
      </c>
      <c r="AB479" s="154">
        <v>0</v>
      </c>
      <c r="AC479" s="138">
        <f>IFERROR(IF(DATEDIF(#REF!,U479,"m")&lt;=1,1,IF(AND(DATEDIF(#REF!,U479,"m")&gt;1,DATEDIF(#REF!,U479,"m")&lt;12),2,IF(AND(DATEDIF(#REF!,U479,"m")&gt;=12,DATEDIF(#REF!,U479,"m")&lt;24),3,IF(DATEDIF(#REF!,U479,"m")&gt;=24,4,"")))),IF(E479="r0320 - Deposits, not covered and not preferential",1,4))</f>
        <v>4</v>
      </c>
    </row>
    <row r="480" spans="3:29" ht="48.75" thickBot="1" x14ac:dyDescent="0.3">
      <c r="C480" s="11">
        <v>999</v>
      </c>
      <c r="D480" s="154">
        <v>473</v>
      </c>
      <c r="E480" s="154" t="s">
        <v>1902</v>
      </c>
      <c r="F480" s="154" t="s">
        <v>83</v>
      </c>
      <c r="G480" s="154" t="s">
        <v>1903</v>
      </c>
      <c r="H480" s="154" t="s">
        <v>891</v>
      </c>
      <c r="I480" s="154" t="s">
        <v>114</v>
      </c>
      <c r="J480" s="154" t="s">
        <v>115</v>
      </c>
      <c r="K480" s="154" t="s">
        <v>60</v>
      </c>
      <c r="L480" s="154" t="s">
        <v>1897</v>
      </c>
      <c r="M480" s="154" t="s">
        <v>1388</v>
      </c>
      <c r="N480" s="154" t="s">
        <v>61</v>
      </c>
      <c r="O480" s="154" t="s">
        <v>62</v>
      </c>
      <c r="P480" s="146">
        <v>51122.61</v>
      </c>
      <c r="Q480" s="146">
        <v>81.25</v>
      </c>
      <c r="R480" s="154" t="s">
        <v>1384</v>
      </c>
      <c r="S480" s="154" t="s">
        <v>1899</v>
      </c>
      <c r="T480" s="155" t="s">
        <v>768</v>
      </c>
      <c r="U480" s="155" t="s">
        <v>1899</v>
      </c>
      <c r="V480" s="154" t="s">
        <v>1904</v>
      </c>
      <c r="W480" s="154">
        <v>0</v>
      </c>
      <c r="X480" s="154" t="s">
        <v>63</v>
      </c>
      <c r="Y480" s="154" t="s">
        <v>1386</v>
      </c>
      <c r="Z480" s="154"/>
      <c r="AA480" s="154" t="s">
        <v>1387</v>
      </c>
      <c r="AB480" s="154">
        <v>0</v>
      </c>
      <c r="AC480" s="138">
        <f>IFERROR(IF(DATEDIF(#REF!,U480,"m")&lt;=1,1,IF(AND(DATEDIF(#REF!,U480,"m")&gt;1,DATEDIF(#REF!,U480,"m")&lt;12),2,IF(AND(DATEDIF(#REF!,U480,"m")&gt;=12,DATEDIF(#REF!,U480,"m")&lt;24),3,IF(DATEDIF(#REF!,U480,"m")&gt;=24,4,"")))),IF(E480="r0320 - Deposits, not covered and not preferential",1,4))</f>
        <v>4</v>
      </c>
    </row>
    <row r="481" spans="3:29" ht="48.75" thickBot="1" x14ac:dyDescent="0.3">
      <c r="C481" s="11">
        <v>999</v>
      </c>
      <c r="D481" s="154">
        <v>474</v>
      </c>
      <c r="E481" s="154" t="s">
        <v>1902</v>
      </c>
      <c r="F481" s="154" t="s">
        <v>83</v>
      </c>
      <c r="G481" s="154" t="s">
        <v>1903</v>
      </c>
      <c r="H481" s="154" t="s">
        <v>174</v>
      </c>
      <c r="I481" s="154" t="s">
        <v>101</v>
      </c>
      <c r="J481" s="154" t="s">
        <v>102</v>
      </c>
      <c r="K481" s="154" t="s">
        <v>60</v>
      </c>
      <c r="L481" s="154" t="s">
        <v>1897</v>
      </c>
      <c r="M481" s="154" t="s">
        <v>1388</v>
      </c>
      <c r="N481" s="154" t="s">
        <v>61</v>
      </c>
      <c r="O481" s="154" t="s">
        <v>62</v>
      </c>
      <c r="P481" s="146">
        <v>735526.42</v>
      </c>
      <c r="Q481" s="146">
        <v>155.88</v>
      </c>
      <c r="R481" s="154" t="s">
        <v>1384</v>
      </c>
      <c r="S481" s="154" t="s">
        <v>1899</v>
      </c>
      <c r="T481" s="155" t="s">
        <v>768</v>
      </c>
      <c r="U481" s="155" t="s">
        <v>1899</v>
      </c>
      <c r="V481" s="154" t="s">
        <v>1904</v>
      </c>
      <c r="W481" s="154">
        <v>0</v>
      </c>
      <c r="X481" s="154" t="s">
        <v>63</v>
      </c>
      <c r="Y481" s="154" t="s">
        <v>1386</v>
      </c>
      <c r="Z481" s="154"/>
      <c r="AA481" s="154" t="s">
        <v>1387</v>
      </c>
      <c r="AB481" s="154">
        <v>0</v>
      </c>
      <c r="AC481" s="138">
        <f>IFERROR(IF(DATEDIF(#REF!,U481,"m")&lt;=1,1,IF(AND(DATEDIF(#REF!,U481,"m")&gt;1,DATEDIF(#REF!,U481,"m")&lt;12),2,IF(AND(DATEDIF(#REF!,U481,"m")&gt;=12,DATEDIF(#REF!,U481,"m")&lt;24),3,IF(DATEDIF(#REF!,U481,"m")&gt;=24,4,"")))),IF(E481="r0320 - Deposits, not covered and not preferential",1,4))</f>
        <v>4</v>
      </c>
    </row>
    <row r="482" spans="3:29" ht="48.75" thickBot="1" x14ac:dyDescent="0.3">
      <c r="C482" s="11">
        <v>999</v>
      </c>
      <c r="D482" s="154">
        <v>475</v>
      </c>
      <c r="E482" s="154" t="s">
        <v>1902</v>
      </c>
      <c r="F482" s="154" t="s">
        <v>83</v>
      </c>
      <c r="G482" s="154" t="s">
        <v>1903</v>
      </c>
      <c r="H482" s="154" t="s">
        <v>536</v>
      </c>
      <c r="I482" s="154" t="s">
        <v>93</v>
      </c>
      <c r="J482" s="154" t="s">
        <v>94</v>
      </c>
      <c r="K482" s="154" t="s">
        <v>60</v>
      </c>
      <c r="L482" s="154" t="s">
        <v>1897</v>
      </c>
      <c r="M482" s="154" t="s">
        <v>1388</v>
      </c>
      <c r="N482" s="154" t="s">
        <v>61</v>
      </c>
      <c r="O482" s="154" t="s">
        <v>62</v>
      </c>
      <c r="P482" s="146">
        <v>70781.61</v>
      </c>
      <c r="Q482" s="146">
        <v>-9.4499999999999993</v>
      </c>
      <c r="R482" s="154" t="s">
        <v>1384</v>
      </c>
      <c r="S482" s="154" t="s">
        <v>1899</v>
      </c>
      <c r="T482" s="155" t="s">
        <v>768</v>
      </c>
      <c r="U482" s="155" t="s">
        <v>1899</v>
      </c>
      <c r="V482" s="154" t="s">
        <v>1904</v>
      </c>
      <c r="W482" s="154">
        <v>0</v>
      </c>
      <c r="X482" s="154" t="s">
        <v>63</v>
      </c>
      <c r="Y482" s="154" t="s">
        <v>1386</v>
      </c>
      <c r="Z482" s="154"/>
      <c r="AA482" s="154" t="s">
        <v>1387</v>
      </c>
      <c r="AB482" s="154">
        <v>0</v>
      </c>
      <c r="AC482" s="138">
        <f>IFERROR(IF(DATEDIF(#REF!,U482,"m")&lt;=1,1,IF(AND(DATEDIF(#REF!,U482,"m")&gt;1,DATEDIF(#REF!,U482,"m")&lt;12),2,IF(AND(DATEDIF(#REF!,U482,"m")&gt;=12,DATEDIF(#REF!,U482,"m")&lt;24),3,IF(DATEDIF(#REF!,U482,"m")&gt;=24,4,"")))),IF(E482="r0320 - Deposits, not covered and not preferential",1,4))</f>
        <v>4</v>
      </c>
    </row>
    <row r="483" spans="3:29" ht="48.75" thickBot="1" x14ac:dyDescent="0.3">
      <c r="C483" s="11">
        <v>999</v>
      </c>
      <c r="D483" s="154">
        <v>476</v>
      </c>
      <c r="E483" s="154" t="s">
        <v>1902</v>
      </c>
      <c r="F483" s="154" t="s">
        <v>83</v>
      </c>
      <c r="G483" s="154" t="s">
        <v>1903</v>
      </c>
      <c r="H483" s="154" t="s">
        <v>898</v>
      </c>
      <c r="I483" s="154" t="s">
        <v>101</v>
      </c>
      <c r="J483" s="154" t="s">
        <v>102</v>
      </c>
      <c r="K483" s="154" t="s">
        <v>60</v>
      </c>
      <c r="L483" s="154" t="s">
        <v>1897</v>
      </c>
      <c r="M483" s="154" t="s">
        <v>1388</v>
      </c>
      <c r="N483" s="154" t="s">
        <v>61</v>
      </c>
      <c r="O483" s="154" t="s">
        <v>62</v>
      </c>
      <c r="P483" s="146">
        <v>24158.34</v>
      </c>
      <c r="Q483" s="146">
        <v>9.1999999999999993</v>
      </c>
      <c r="R483" s="154" t="s">
        <v>1384</v>
      </c>
      <c r="S483" s="154" t="s">
        <v>1899</v>
      </c>
      <c r="T483" s="155" t="s">
        <v>768</v>
      </c>
      <c r="U483" s="155" t="s">
        <v>1899</v>
      </c>
      <c r="V483" s="154" t="s">
        <v>1904</v>
      </c>
      <c r="W483" s="154">
        <v>0</v>
      </c>
      <c r="X483" s="154" t="s">
        <v>63</v>
      </c>
      <c r="Y483" s="154" t="s">
        <v>1386</v>
      </c>
      <c r="Z483" s="154"/>
      <c r="AA483" s="154" t="s">
        <v>1387</v>
      </c>
      <c r="AB483" s="154">
        <v>0</v>
      </c>
      <c r="AC483" s="138">
        <f>IFERROR(IF(DATEDIF(#REF!,U483,"m")&lt;=1,1,IF(AND(DATEDIF(#REF!,U483,"m")&gt;1,DATEDIF(#REF!,U483,"m")&lt;12),2,IF(AND(DATEDIF(#REF!,U483,"m")&gt;=12,DATEDIF(#REF!,U483,"m")&lt;24),3,IF(DATEDIF(#REF!,U483,"m")&gt;=24,4,"")))),IF(E483="r0320 - Deposits, not covered and not preferential",1,4))</f>
        <v>4</v>
      </c>
    </row>
    <row r="484" spans="3:29" ht="48.75" thickBot="1" x14ac:dyDescent="0.3">
      <c r="C484" s="11">
        <v>999</v>
      </c>
      <c r="D484" s="154">
        <v>477</v>
      </c>
      <c r="E484" s="154" t="s">
        <v>1902</v>
      </c>
      <c r="F484" s="154" t="s">
        <v>83</v>
      </c>
      <c r="G484" s="154" t="s">
        <v>1903</v>
      </c>
      <c r="H484" s="154" t="s">
        <v>895</v>
      </c>
      <c r="I484" s="154" t="s">
        <v>114</v>
      </c>
      <c r="J484" s="154" t="s">
        <v>115</v>
      </c>
      <c r="K484" s="154" t="s">
        <v>60</v>
      </c>
      <c r="L484" s="154" t="s">
        <v>1897</v>
      </c>
      <c r="M484" s="154" t="s">
        <v>1388</v>
      </c>
      <c r="N484" s="154" t="s">
        <v>61</v>
      </c>
      <c r="O484" s="154" t="s">
        <v>62</v>
      </c>
      <c r="P484" s="146">
        <v>56019.22</v>
      </c>
      <c r="Q484" s="146">
        <v>25.86</v>
      </c>
      <c r="R484" s="154" t="s">
        <v>1384</v>
      </c>
      <c r="S484" s="154" t="s">
        <v>1899</v>
      </c>
      <c r="T484" s="155" t="s">
        <v>768</v>
      </c>
      <c r="U484" s="155" t="s">
        <v>1899</v>
      </c>
      <c r="V484" s="154" t="s">
        <v>1904</v>
      </c>
      <c r="W484" s="154">
        <v>0</v>
      </c>
      <c r="X484" s="154" t="s">
        <v>63</v>
      </c>
      <c r="Y484" s="154" t="s">
        <v>1386</v>
      </c>
      <c r="Z484" s="154"/>
      <c r="AA484" s="154" t="s">
        <v>1387</v>
      </c>
      <c r="AB484" s="154">
        <v>0</v>
      </c>
      <c r="AC484" s="138">
        <f>IFERROR(IF(DATEDIF(#REF!,U484,"m")&lt;=1,1,IF(AND(DATEDIF(#REF!,U484,"m")&gt;1,DATEDIF(#REF!,U484,"m")&lt;12),2,IF(AND(DATEDIF(#REF!,U484,"m")&gt;=12,DATEDIF(#REF!,U484,"m")&lt;24),3,IF(DATEDIF(#REF!,U484,"m")&gt;=24,4,"")))),IF(E484="r0320 - Deposits, not covered and not preferential",1,4))</f>
        <v>4</v>
      </c>
    </row>
    <row r="485" spans="3:29" ht="36.75" thickBot="1" x14ac:dyDescent="0.3">
      <c r="C485" s="11">
        <v>999</v>
      </c>
      <c r="D485" s="154">
        <v>478</v>
      </c>
      <c r="E485" s="154" t="s">
        <v>1898</v>
      </c>
      <c r="F485" s="154" t="s">
        <v>87</v>
      </c>
      <c r="G485" s="154" t="s">
        <v>1402</v>
      </c>
      <c r="H485" s="154" t="s">
        <v>909</v>
      </c>
      <c r="I485" s="154" t="s">
        <v>96</v>
      </c>
      <c r="J485" s="154" t="s">
        <v>97</v>
      </c>
      <c r="K485" s="154" t="s">
        <v>91</v>
      </c>
      <c r="L485" s="154" t="s">
        <v>1897</v>
      </c>
      <c r="M485" s="154" t="s">
        <v>1383</v>
      </c>
      <c r="N485" s="154" t="s">
        <v>61</v>
      </c>
      <c r="O485" s="154" t="s">
        <v>62</v>
      </c>
      <c r="P485" s="146">
        <v>12.89</v>
      </c>
      <c r="Q485" s="146">
        <v>0</v>
      </c>
      <c r="R485" s="154" t="s">
        <v>1384</v>
      </c>
      <c r="S485" s="154" t="s">
        <v>1899</v>
      </c>
      <c r="T485" s="155" t="s">
        <v>1899</v>
      </c>
      <c r="U485" s="155" t="s">
        <v>1899</v>
      </c>
      <c r="V485" s="154" t="s">
        <v>1562</v>
      </c>
      <c r="W485" s="154">
        <v>0</v>
      </c>
      <c r="X485" s="154" t="s">
        <v>63</v>
      </c>
      <c r="Y485" s="154" t="s">
        <v>1900</v>
      </c>
      <c r="Z485" s="154"/>
      <c r="AA485" s="154" t="s">
        <v>1387</v>
      </c>
      <c r="AB485" s="154">
        <v>0</v>
      </c>
      <c r="AC485" s="138">
        <f>IFERROR(IF(DATEDIF(#REF!,U485,"m")&lt;=1,1,IF(AND(DATEDIF(#REF!,U485,"m")&gt;1,DATEDIF(#REF!,U485,"m")&lt;12),2,IF(AND(DATEDIF(#REF!,U485,"m")&gt;=12,DATEDIF(#REF!,U485,"m")&lt;24),3,IF(DATEDIF(#REF!,U485,"m")&gt;=24,4,"")))),IF(E485="r0320 - Deposits, not covered and not preferential",1,4))</f>
        <v>4</v>
      </c>
    </row>
    <row r="486" spans="3:29" ht="48.75" thickBot="1" x14ac:dyDescent="0.3">
      <c r="C486" s="11">
        <v>999</v>
      </c>
      <c r="D486" s="154">
        <v>479</v>
      </c>
      <c r="E486" s="154" t="s">
        <v>1902</v>
      </c>
      <c r="F486" s="154" t="s">
        <v>83</v>
      </c>
      <c r="G486" s="154" t="s">
        <v>1903</v>
      </c>
      <c r="H486" s="154" t="s">
        <v>158</v>
      </c>
      <c r="I486" s="154" t="s">
        <v>114</v>
      </c>
      <c r="J486" s="154" t="s">
        <v>115</v>
      </c>
      <c r="K486" s="154" t="s">
        <v>60</v>
      </c>
      <c r="L486" s="154" t="s">
        <v>1897</v>
      </c>
      <c r="M486" s="154" t="s">
        <v>1388</v>
      </c>
      <c r="N486" s="154" t="s">
        <v>61</v>
      </c>
      <c r="O486" s="154" t="s">
        <v>62</v>
      </c>
      <c r="P486" s="146">
        <v>157727.75</v>
      </c>
      <c r="Q486" s="146">
        <v>-22.49</v>
      </c>
      <c r="R486" s="154" t="s">
        <v>1384</v>
      </c>
      <c r="S486" s="154" t="s">
        <v>1899</v>
      </c>
      <c r="T486" s="155" t="s">
        <v>768</v>
      </c>
      <c r="U486" s="155" t="s">
        <v>1899</v>
      </c>
      <c r="V486" s="154" t="s">
        <v>1904</v>
      </c>
      <c r="W486" s="154">
        <v>0</v>
      </c>
      <c r="X486" s="154" t="s">
        <v>63</v>
      </c>
      <c r="Y486" s="154" t="s">
        <v>1386</v>
      </c>
      <c r="Z486" s="154"/>
      <c r="AA486" s="154" t="s">
        <v>1387</v>
      </c>
      <c r="AB486" s="154">
        <v>0</v>
      </c>
      <c r="AC486" s="138">
        <f>IFERROR(IF(DATEDIF(#REF!,U486,"m")&lt;=1,1,IF(AND(DATEDIF(#REF!,U486,"m")&gt;1,DATEDIF(#REF!,U486,"m")&lt;12),2,IF(AND(DATEDIF(#REF!,U486,"m")&gt;=12,DATEDIF(#REF!,U486,"m")&lt;24),3,IF(DATEDIF(#REF!,U486,"m")&gt;=24,4,"")))),IF(E486="r0320 - Deposits, not covered and not preferential",1,4))</f>
        <v>4</v>
      </c>
    </row>
    <row r="487" spans="3:29" ht="36.75" thickBot="1" x14ac:dyDescent="0.3">
      <c r="C487" s="11">
        <v>999</v>
      </c>
      <c r="D487" s="154">
        <v>480</v>
      </c>
      <c r="E487" s="154" t="s">
        <v>1898</v>
      </c>
      <c r="F487" s="154" t="s">
        <v>87</v>
      </c>
      <c r="G487" s="154" t="s">
        <v>1402</v>
      </c>
      <c r="H487" s="154" t="s">
        <v>904</v>
      </c>
      <c r="I487" s="154" t="s">
        <v>111</v>
      </c>
      <c r="J487" s="154" t="s">
        <v>90</v>
      </c>
      <c r="K487" s="154" t="s">
        <v>91</v>
      </c>
      <c r="L487" s="154" t="s">
        <v>1897</v>
      </c>
      <c r="M487" s="154" t="s">
        <v>1383</v>
      </c>
      <c r="N487" s="154" t="s">
        <v>61</v>
      </c>
      <c r="O487" s="154" t="s">
        <v>62</v>
      </c>
      <c r="P487" s="146">
        <v>0.42</v>
      </c>
      <c r="Q487" s="146">
        <v>0</v>
      </c>
      <c r="R487" s="154" t="s">
        <v>1384</v>
      </c>
      <c r="S487" s="154" t="s">
        <v>1899</v>
      </c>
      <c r="T487" s="155" t="s">
        <v>1899</v>
      </c>
      <c r="U487" s="155" t="s">
        <v>1899</v>
      </c>
      <c r="V487" s="154" t="s">
        <v>1562</v>
      </c>
      <c r="W487" s="154">
        <v>0</v>
      </c>
      <c r="X487" s="154" t="s">
        <v>63</v>
      </c>
      <c r="Y487" s="154" t="s">
        <v>1900</v>
      </c>
      <c r="Z487" s="154"/>
      <c r="AA487" s="154" t="s">
        <v>1387</v>
      </c>
      <c r="AB487" s="154">
        <v>0</v>
      </c>
      <c r="AC487" s="138">
        <f>IFERROR(IF(DATEDIF(#REF!,U487,"m")&lt;=1,1,IF(AND(DATEDIF(#REF!,U487,"m")&gt;1,DATEDIF(#REF!,U487,"m")&lt;12),2,IF(AND(DATEDIF(#REF!,U487,"m")&gt;=12,DATEDIF(#REF!,U487,"m")&lt;24),3,IF(DATEDIF(#REF!,U487,"m")&gt;=24,4,"")))),IF(E487="r0320 - Deposits, not covered and not preferential",1,4))</f>
        <v>4</v>
      </c>
    </row>
    <row r="488" spans="3:29" ht="48.75" thickBot="1" x14ac:dyDescent="0.3">
      <c r="C488" s="11">
        <v>999</v>
      </c>
      <c r="D488" s="154">
        <v>481</v>
      </c>
      <c r="E488" s="154" t="s">
        <v>1902</v>
      </c>
      <c r="F488" s="154" t="s">
        <v>83</v>
      </c>
      <c r="G488" s="154" t="s">
        <v>1903</v>
      </c>
      <c r="H488" s="154" t="s">
        <v>908</v>
      </c>
      <c r="I488" s="154" t="s">
        <v>101</v>
      </c>
      <c r="J488" s="154" t="s">
        <v>102</v>
      </c>
      <c r="K488" s="154" t="s">
        <v>60</v>
      </c>
      <c r="L488" s="154" t="s">
        <v>1897</v>
      </c>
      <c r="M488" s="154" t="s">
        <v>1388</v>
      </c>
      <c r="N488" s="154" t="s">
        <v>61</v>
      </c>
      <c r="O488" s="154" t="s">
        <v>62</v>
      </c>
      <c r="P488" s="146">
        <v>60092.15</v>
      </c>
      <c r="Q488" s="146">
        <v>56.44</v>
      </c>
      <c r="R488" s="154" t="s">
        <v>1384</v>
      </c>
      <c r="S488" s="154" t="s">
        <v>1899</v>
      </c>
      <c r="T488" s="155" t="s">
        <v>768</v>
      </c>
      <c r="U488" s="155" t="s">
        <v>1899</v>
      </c>
      <c r="V488" s="154" t="s">
        <v>1904</v>
      </c>
      <c r="W488" s="154">
        <v>0</v>
      </c>
      <c r="X488" s="154" t="s">
        <v>63</v>
      </c>
      <c r="Y488" s="154" t="s">
        <v>1386</v>
      </c>
      <c r="Z488" s="154"/>
      <c r="AA488" s="154" t="s">
        <v>1387</v>
      </c>
      <c r="AB488" s="154">
        <v>0</v>
      </c>
      <c r="AC488" s="138">
        <f>IFERROR(IF(DATEDIF(#REF!,U488,"m")&lt;=1,1,IF(AND(DATEDIF(#REF!,U488,"m")&gt;1,DATEDIF(#REF!,U488,"m")&lt;12),2,IF(AND(DATEDIF(#REF!,U488,"m")&gt;=12,DATEDIF(#REF!,U488,"m")&lt;24),3,IF(DATEDIF(#REF!,U488,"m")&gt;=24,4,"")))),IF(E488="r0320 - Deposits, not covered and not preferential",1,4))</f>
        <v>4</v>
      </c>
    </row>
    <row r="489" spans="3:29" ht="36.75" thickBot="1" x14ac:dyDescent="0.3">
      <c r="C489" s="11">
        <v>999</v>
      </c>
      <c r="D489" s="154">
        <v>482</v>
      </c>
      <c r="E489" s="154" t="s">
        <v>1898</v>
      </c>
      <c r="F489" s="154" t="s">
        <v>87</v>
      </c>
      <c r="G489" s="154" t="s">
        <v>1402</v>
      </c>
      <c r="H489" s="154" t="s">
        <v>225</v>
      </c>
      <c r="I489" s="154" t="s">
        <v>89</v>
      </c>
      <c r="J489" s="154" t="s">
        <v>90</v>
      </c>
      <c r="K489" s="154" t="s">
        <v>91</v>
      </c>
      <c r="L489" s="154" t="s">
        <v>1901</v>
      </c>
      <c r="M489" s="154" t="s">
        <v>1383</v>
      </c>
      <c r="N489" s="154" t="s">
        <v>61</v>
      </c>
      <c r="O489" s="154" t="s">
        <v>62</v>
      </c>
      <c r="P489" s="146">
        <v>0.14000000000000001</v>
      </c>
      <c r="Q489" s="146">
        <v>0</v>
      </c>
      <c r="R489" s="154" t="s">
        <v>1384</v>
      </c>
      <c r="S489" s="154" t="s">
        <v>1899</v>
      </c>
      <c r="T489" s="155" t="s">
        <v>1899</v>
      </c>
      <c r="U489" s="155" t="s">
        <v>1899</v>
      </c>
      <c r="V489" s="154" t="s">
        <v>1562</v>
      </c>
      <c r="W489" s="154">
        <v>0</v>
      </c>
      <c r="X489" s="154" t="s">
        <v>63</v>
      </c>
      <c r="Y489" s="154" t="s">
        <v>1900</v>
      </c>
      <c r="Z489" s="154"/>
      <c r="AA489" s="154" t="s">
        <v>1387</v>
      </c>
      <c r="AB489" s="154">
        <v>0</v>
      </c>
      <c r="AC489" s="138">
        <f>IFERROR(IF(DATEDIF(#REF!,U489,"m")&lt;=1,1,IF(AND(DATEDIF(#REF!,U489,"m")&gt;1,DATEDIF(#REF!,U489,"m")&lt;12),2,IF(AND(DATEDIF(#REF!,U489,"m")&gt;=12,DATEDIF(#REF!,U489,"m")&lt;24),3,IF(DATEDIF(#REF!,U489,"m")&gt;=24,4,"")))),IF(E489="r0320 - Deposits, not covered and not preferential",1,4))</f>
        <v>4</v>
      </c>
    </row>
    <row r="490" spans="3:29" ht="36.75" thickBot="1" x14ac:dyDescent="0.3">
      <c r="C490" s="11">
        <v>999</v>
      </c>
      <c r="D490" s="154">
        <v>483</v>
      </c>
      <c r="E490" s="154" t="s">
        <v>1898</v>
      </c>
      <c r="F490" s="154" t="s">
        <v>87</v>
      </c>
      <c r="G490" s="154" t="s">
        <v>1402</v>
      </c>
      <c r="H490" s="154" t="s">
        <v>220</v>
      </c>
      <c r="I490" s="154" t="s">
        <v>111</v>
      </c>
      <c r="J490" s="154" t="s">
        <v>90</v>
      </c>
      <c r="K490" s="154" t="s">
        <v>91</v>
      </c>
      <c r="L490" s="154" t="s">
        <v>1897</v>
      </c>
      <c r="M490" s="154" t="s">
        <v>1383</v>
      </c>
      <c r="N490" s="154" t="s">
        <v>61</v>
      </c>
      <c r="O490" s="154" t="s">
        <v>62</v>
      </c>
      <c r="P490" s="146">
        <v>1.6</v>
      </c>
      <c r="Q490" s="146">
        <v>0</v>
      </c>
      <c r="R490" s="154" t="s">
        <v>1384</v>
      </c>
      <c r="S490" s="154" t="s">
        <v>1899</v>
      </c>
      <c r="T490" s="155" t="s">
        <v>1899</v>
      </c>
      <c r="U490" s="155" t="s">
        <v>1899</v>
      </c>
      <c r="V490" s="154" t="s">
        <v>1562</v>
      </c>
      <c r="W490" s="154">
        <v>0</v>
      </c>
      <c r="X490" s="154" t="s">
        <v>63</v>
      </c>
      <c r="Y490" s="154" t="s">
        <v>1900</v>
      </c>
      <c r="Z490" s="154"/>
      <c r="AA490" s="154" t="s">
        <v>1387</v>
      </c>
      <c r="AB490" s="154">
        <v>0</v>
      </c>
      <c r="AC490" s="138">
        <f>IFERROR(IF(DATEDIF(#REF!,U490,"m")&lt;=1,1,IF(AND(DATEDIF(#REF!,U490,"m")&gt;1,DATEDIF(#REF!,U490,"m")&lt;12),2,IF(AND(DATEDIF(#REF!,U490,"m")&gt;=12,DATEDIF(#REF!,U490,"m")&lt;24),3,IF(DATEDIF(#REF!,U490,"m")&gt;=24,4,"")))),IF(E490="r0320 - Deposits, not covered and not preferential",1,4))</f>
        <v>4</v>
      </c>
    </row>
    <row r="491" spans="3:29" ht="36.75" thickBot="1" x14ac:dyDescent="0.3">
      <c r="C491" s="11">
        <v>999</v>
      </c>
      <c r="D491" s="154">
        <v>484</v>
      </c>
      <c r="E491" s="154" t="s">
        <v>1898</v>
      </c>
      <c r="F491" s="154" t="s">
        <v>87</v>
      </c>
      <c r="G491" s="154" t="s">
        <v>1402</v>
      </c>
      <c r="H491" s="154" t="s">
        <v>907</v>
      </c>
      <c r="I491" s="154" t="s">
        <v>111</v>
      </c>
      <c r="J491" s="154" t="s">
        <v>90</v>
      </c>
      <c r="K491" s="154" t="s">
        <v>91</v>
      </c>
      <c r="L491" s="154" t="s">
        <v>1897</v>
      </c>
      <c r="M491" s="154" t="s">
        <v>1383</v>
      </c>
      <c r="N491" s="154" t="s">
        <v>61</v>
      </c>
      <c r="O491" s="154" t="s">
        <v>62</v>
      </c>
      <c r="P491" s="146">
        <v>0.06</v>
      </c>
      <c r="Q491" s="146">
        <v>0</v>
      </c>
      <c r="R491" s="154" t="s">
        <v>1384</v>
      </c>
      <c r="S491" s="154" t="s">
        <v>1899</v>
      </c>
      <c r="T491" s="155" t="s">
        <v>1899</v>
      </c>
      <c r="U491" s="155" t="s">
        <v>1899</v>
      </c>
      <c r="V491" s="154" t="s">
        <v>1562</v>
      </c>
      <c r="W491" s="154">
        <v>0</v>
      </c>
      <c r="X491" s="154" t="s">
        <v>63</v>
      </c>
      <c r="Y491" s="154" t="s">
        <v>1900</v>
      </c>
      <c r="Z491" s="154"/>
      <c r="AA491" s="154" t="s">
        <v>1387</v>
      </c>
      <c r="AB491" s="154">
        <v>0</v>
      </c>
      <c r="AC491" s="138">
        <f>IFERROR(IF(DATEDIF(#REF!,U491,"m")&lt;=1,1,IF(AND(DATEDIF(#REF!,U491,"m")&gt;1,DATEDIF(#REF!,U491,"m")&lt;12),2,IF(AND(DATEDIF(#REF!,U491,"m")&gt;=12,DATEDIF(#REF!,U491,"m")&lt;24),3,IF(DATEDIF(#REF!,U491,"m")&gt;=24,4,"")))),IF(E491="r0320 - Deposits, not covered and not preferential",1,4))</f>
        <v>4</v>
      </c>
    </row>
    <row r="492" spans="3:29" ht="36.75" thickBot="1" x14ac:dyDescent="0.3">
      <c r="C492" s="11">
        <v>999</v>
      </c>
      <c r="D492" s="154">
        <v>485</v>
      </c>
      <c r="E492" s="154" t="s">
        <v>1898</v>
      </c>
      <c r="F492" s="154" t="s">
        <v>87</v>
      </c>
      <c r="G492" s="154" t="s">
        <v>1402</v>
      </c>
      <c r="H492" s="154" t="s">
        <v>343</v>
      </c>
      <c r="I492" s="154" t="s">
        <v>111</v>
      </c>
      <c r="J492" s="154" t="s">
        <v>90</v>
      </c>
      <c r="K492" s="154" t="s">
        <v>91</v>
      </c>
      <c r="L492" s="154" t="s">
        <v>1897</v>
      </c>
      <c r="M492" s="154" t="s">
        <v>1383</v>
      </c>
      <c r="N492" s="154" t="s">
        <v>61</v>
      </c>
      <c r="O492" s="154" t="s">
        <v>62</v>
      </c>
      <c r="P492" s="146">
        <v>0.04</v>
      </c>
      <c r="Q492" s="146">
        <v>0</v>
      </c>
      <c r="R492" s="154" t="s">
        <v>1384</v>
      </c>
      <c r="S492" s="154" t="s">
        <v>1899</v>
      </c>
      <c r="T492" s="155" t="s">
        <v>1899</v>
      </c>
      <c r="U492" s="155" t="s">
        <v>1899</v>
      </c>
      <c r="V492" s="154" t="s">
        <v>1562</v>
      </c>
      <c r="W492" s="154">
        <v>0</v>
      </c>
      <c r="X492" s="154" t="s">
        <v>63</v>
      </c>
      <c r="Y492" s="154" t="s">
        <v>1900</v>
      </c>
      <c r="Z492" s="154"/>
      <c r="AA492" s="154" t="s">
        <v>1387</v>
      </c>
      <c r="AB492" s="154">
        <v>0</v>
      </c>
      <c r="AC492" s="138">
        <f>IFERROR(IF(DATEDIF(#REF!,U492,"m")&lt;=1,1,IF(AND(DATEDIF(#REF!,U492,"m")&gt;1,DATEDIF(#REF!,U492,"m")&lt;12),2,IF(AND(DATEDIF(#REF!,U492,"m")&gt;=12,DATEDIF(#REF!,U492,"m")&lt;24),3,IF(DATEDIF(#REF!,U492,"m")&gt;=24,4,"")))),IF(E492="r0320 - Deposits, not covered and not preferential",1,4))</f>
        <v>4</v>
      </c>
    </row>
    <row r="493" spans="3:29" ht="36.75" thickBot="1" x14ac:dyDescent="0.3">
      <c r="C493" s="11">
        <v>999</v>
      </c>
      <c r="D493" s="154">
        <v>486</v>
      </c>
      <c r="E493" s="154" t="s">
        <v>1898</v>
      </c>
      <c r="F493" s="154" t="s">
        <v>87</v>
      </c>
      <c r="G493" s="154" t="s">
        <v>1402</v>
      </c>
      <c r="H493" s="154" t="s">
        <v>919</v>
      </c>
      <c r="I493" s="154" t="s">
        <v>96</v>
      </c>
      <c r="J493" s="154" t="s">
        <v>97</v>
      </c>
      <c r="K493" s="154" t="s">
        <v>91</v>
      </c>
      <c r="L493" s="154" t="s">
        <v>1897</v>
      </c>
      <c r="M493" s="154" t="s">
        <v>1383</v>
      </c>
      <c r="N493" s="154" t="s">
        <v>61</v>
      </c>
      <c r="O493" s="154" t="s">
        <v>62</v>
      </c>
      <c r="P493" s="146">
        <v>13.15</v>
      </c>
      <c r="Q493" s="146">
        <v>0</v>
      </c>
      <c r="R493" s="154" t="s">
        <v>1384</v>
      </c>
      <c r="S493" s="154" t="s">
        <v>1899</v>
      </c>
      <c r="T493" s="155" t="s">
        <v>1899</v>
      </c>
      <c r="U493" s="155" t="s">
        <v>1899</v>
      </c>
      <c r="V493" s="154" t="s">
        <v>1562</v>
      </c>
      <c r="W493" s="154">
        <v>0</v>
      </c>
      <c r="X493" s="154" t="s">
        <v>63</v>
      </c>
      <c r="Y493" s="154" t="s">
        <v>1900</v>
      </c>
      <c r="Z493" s="154"/>
      <c r="AA493" s="154" t="s">
        <v>1387</v>
      </c>
      <c r="AB493" s="154">
        <v>0</v>
      </c>
      <c r="AC493" s="138">
        <f>IFERROR(IF(DATEDIF(#REF!,U493,"m")&lt;=1,1,IF(AND(DATEDIF(#REF!,U493,"m")&gt;1,DATEDIF(#REF!,U493,"m")&lt;12),2,IF(AND(DATEDIF(#REF!,U493,"m")&gt;=12,DATEDIF(#REF!,U493,"m")&lt;24),3,IF(DATEDIF(#REF!,U493,"m")&gt;=24,4,"")))),IF(E493="r0320 - Deposits, not covered and not preferential",1,4))</f>
        <v>4</v>
      </c>
    </row>
    <row r="494" spans="3:29" ht="48.75" thickBot="1" x14ac:dyDescent="0.3">
      <c r="C494" s="11">
        <v>999</v>
      </c>
      <c r="D494" s="154">
        <v>487</v>
      </c>
      <c r="E494" s="154" t="s">
        <v>1902</v>
      </c>
      <c r="F494" s="154" t="s">
        <v>83</v>
      </c>
      <c r="G494" s="154" t="s">
        <v>1903</v>
      </c>
      <c r="H494" s="154" t="s">
        <v>535</v>
      </c>
      <c r="I494" s="154" t="s">
        <v>101</v>
      </c>
      <c r="J494" s="154" t="s">
        <v>102</v>
      </c>
      <c r="K494" s="154" t="s">
        <v>60</v>
      </c>
      <c r="L494" s="154" t="s">
        <v>1897</v>
      </c>
      <c r="M494" s="154" t="s">
        <v>1388</v>
      </c>
      <c r="N494" s="154" t="s">
        <v>61</v>
      </c>
      <c r="O494" s="154" t="s">
        <v>62</v>
      </c>
      <c r="P494" s="146">
        <v>641012.76</v>
      </c>
      <c r="Q494" s="146">
        <v>372.97</v>
      </c>
      <c r="R494" s="154" t="s">
        <v>1384</v>
      </c>
      <c r="S494" s="154" t="s">
        <v>1899</v>
      </c>
      <c r="T494" s="155" t="s">
        <v>768</v>
      </c>
      <c r="U494" s="155" t="s">
        <v>1899</v>
      </c>
      <c r="V494" s="154" t="s">
        <v>1904</v>
      </c>
      <c r="W494" s="154">
        <v>0</v>
      </c>
      <c r="X494" s="154" t="s">
        <v>63</v>
      </c>
      <c r="Y494" s="154" t="s">
        <v>1386</v>
      </c>
      <c r="Z494" s="154"/>
      <c r="AA494" s="154" t="s">
        <v>1387</v>
      </c>
      <c r="AB494" s="154">
        <v>0</v>
      </c>
      <c r="AC494" s="138">
        <f>IFERROR(IF(DATEDIF(#REF!,U494,"m")&lt;=1,1,IF(AND(DATEDIF(#REF!,U494,"m")&gt;1,DATEDIF(#REF!,U494,"m")&lt;12),2,IF(AND(DATEDIF(#REF!,U494,"m")&gt;=12,DATEDIF(#REF!,U494,"m")&lt;24),3,IF(DATEDIF(#REF!,U494,"m")&gt;=24,4,"")))),IF(E494="r0320 - Deposits, not covered and not preferential",1,4))</f>
        <v>4</v>
      </c>
    </row>
    <row r="495" spans="3:29" ht="36.75" thickBot="1" x14ac:dyDescent="0.3">
      <c r="C495" s="11">
        <v>999</v>
      </c>
      <c r="D495" s="154">
        <v>488</v>
      </c>
      <c r="E495" s="154" t="s">
        <v>1898</v>
      </c>
      <c r="F495" s="154" t="s">
        <v>87</v>
      </c>
      <c r="G495" s="154" t="s">
        <v>1402</v>
      </c>
      <c r="H495" s="154" t="s">
        <v>913</v>
      </c>
      <c r="I495" s="154" t="s">
        <v>111</v>
      </c>
      <c r="J495" s="154" t="s">
        <v>90</v>
      </c>
      <c r="K495" s="154" t="s">
        <v>91</v>
      </c>
      <c r="L495" s="154" t="s">
        <v>1897</v>
      </c>
      <c r="M495" s="154" t="s">
        <v>1383</v>
      </c>
      <c r="N495" s="154" t="s">
        <v>61</v>
      </c>
      <c r="O495" s="154" t="s">
        <v>62</v>
      </c>
      <c r="P495" s="146">
        <v>0.38</v>
      </c>
      <c r="Q495" s="146">
        <v>0</v>
      </c>
      <c r="R495" s="154" t="s">
        <v>1384</v>
      </c>
      <c r="S495" s="154" t="s">
        <v>1899</v>
      </c>
      <c r="T495" s="155" t="s">
        <v>1899</v>
      </c>
      <c r="U495" s="155" t="s">
        <v>1899</v>
      </c>
      <c r="V495" s="154" t="s">
        <v>1562</v>
      </c>
      <c r="W495" s="154">
        <v>0</v>
      </c>
      <c r="X495" s="154" t="s">
        <v>63</v>
      </c>
      <c r="Y495" s="154" t="s">
        <v>1900</v>
      </c>
      <c r="Z495" s="154"/>
      <c r="AA495" s="154" t="s">
        <v>1387</v>
      </c>
      <c r="AB495" s="154">
        <v>0</v>
      </c>
      <c r="AC495" s="138">
        <f>IFERROR(IF(DATEDIF(#REF!,U495,"m")&lt;=1,1,IF(AND(DATEDIF(#REF!,U495,"m")&gt;1,DATEDIF(#REF!,U495,"m")&lt;12),2,IF(AND(DATEDIF(#REF!,U495,"m")&gt;=12,DATEDIF(#REF!,U495,"m")&lt;24),3,IF(DATEDIF(#REF!,U495,"m")&gt;=24,4,"")))),IF(E495="r0320 - Deposits, not covered and not preferential",1,4))</f>
        <v>4</v>
      </c>
    </row>
    <row r="496" spans="3:29" ht="48.75" thickBot="1" x14ac:dyDescent="0.3">
      <c r="C496" s="11">
        <v>999</v>
      </c>
      <c r="D496" s="154">
        <v>489</v>
      </c>
      <c r="E496" s="154" t="s">
        <v>1902</v>
      </c>
      <c r="F496" s="154" t="s">
        <v>83</v>
      </c>
      <c r="G496" s="154" t="s">
        <v>1903</v>
      </c>
      <c r="H496" s="154" t="s">
        <v>862</v>
      </c>
      <c r="I496" s="154" t="s">
        <v>114</v>
      </c>
      <c r="J496" s="154" t="s">
        <v>115</v>
      </c>
      <c r="K496" s="154" t="s">
        <v>60</v>
      </c>
      <c r="L496" s="154" t="s">
        <v>1897</v>
      </c>
      <c r="M496" s="154" t="s">
        <v>1388</v>
      </c>
      <c r="N496" s="154" t="s">
        <v>61</v>
      </c>
      <c r="O496" s="154" t="s">
        <v>62</v>
      </c>
      <c r="P496" s="146">
        <v>384491.02</v>
      </c>
      <c r="Q496" s="146">
        <v>-63.24</v>
      </c>
      <c r="R496" s="154" t="s">
        <v>1384</v>
      </c>
      <c r="S496" s="154" t="s">
        <v>1899</v>
      </c>
      <c r="T496" s="155" t="s">
        <v>768</v>
      </c>
      <c r="U496" s="155" t="s">
        <v>1899</v>
      </c>
      <c r="V496" s="154" t="s">
        <v>1904</v>
      </c>
      <c r="W496" s="154">
        <v>0</v>
      </c>
      <c r="X496" s="154" t="s">
        <v>63</v>
      </c>
      <c r="Y496" s="154" t="s">
        <v>1386</v>
      </c>
      <c r="Z496" s="154"/>
      <c r="AA496" s="154" t="s">
        <v>1387</v>
      </c>
      <c r="AB496" s="154">
        <v>0</v>
      </c>
      <c r="AC496" s="138">
        <f>IFERROR(IF(DATEDIF(#REF!,U496,"m")&lt;=1,1,IF(AND(DATEDIF(#REF!,U496,"m")&gt;1,DATEDIF(#REF!,U496,"m")&lt;12),2,IF(AND(DATEDIF(#REF!,U496,"m")&gt;=12,DATEDIF(#REF!,U496,"m")&lt;24),3,IF(DATEDIF(#REF!,U496,"m")&gt;=24,4,"")))),IF(E496="r0320 - Deposits, not covered and not preferential",1,4))</f>
        <v>4</v>
      </c>
    </row>
    <row r="497" spans="3:29" ht="48.75" thickBot="1" x14ac:dyDescent="0.3">
      <c r="C497" s="11">
        <v>999</v>
      </c>
      <c r="D497" s="154">
        <v>490</v>
      </c>
      <c r="E497" s="154" t="s">
        <v>1902</v>
      </c>
      <c r="F497" s="154" t="s">
        <v>83</v>
      </c>
      <c r="G497" s="154" t="s">
        <v>1903</v>
      </c>
      <c r="H497" s="154" t="s">
        <v>471</v>
      </c>
      <c r="I497" s="154" t="s">
        <v>114</v>
      </c>
      <c r="J497" s="154" t="s">
        <v>115</v>
      </c>
      <c r="K497" s="154" t="s">
        <v>60</v>
      </c>
      <c r="L497" s="154" t="s">
        <v>1897</v>
      </c>
      <c r="M497" s="154" t="s">
        <v>1388</v>
      </c>
      <c r="N497" s="154" t="s">
        <v>61</v>
      </c>
      <c r="O497" s="154" t="s">
        <v>62</v>
      </c>
      <c r="P497" s="146">
        <v>45414.47</v>
      </c>
      <c r="Q497" s="146">
        <v>6.35</v>
      </c>
      <c r="R497" s="154" t="s">
        <v>1384</v>
      </c>
      <c r="S497" s="154" t="s">
        <v>1899</v>
      </c>
      <c r="T497" s="155" t="s">
        <v>768</v>
      </c>
      <c r="U497" s="155" t="s">
        <v>1899</v>
      </c>
      <c r="V497" s="154" t="s">
        <v>1904</v>
      </c>
      <c r="W497" s="154">
        <v>0</v>
      </c>
      <c r="X497" s="154" t="s">
        <v>63</v>
      </c>
      <c r="Y497" s="154" t="s">
        <v>1386</v>
      </c>
      <c r="Z497" s="154"/>
      <c r="AA497" s="154" t="s">
        <v>1387</v>
      </c>
      <c r="AB497" s="154">
        <v>0</v>
      </c>
      <c r="AC497" s="138">
        <f>IFERROR(IF(DATEDIF(#REF!,U497,"m")&lt;=1,1,IF(AND(DATEDIF(#REF!,U497,"m")&gt;1,DATEDIF(#REF!,U497,"m")&lt;12),2,IF(AND(DATEDIF(#REF!,U497,"m")&gt;=12,DATEDIF(#REF!,U497,"m")&lt;24),3,IF(DATEDIF(#REF!,U497,"m")&gt;=24,4,"")))),IF(E497="r0320 - Deposits, not covered and not preferential",1,4))</f>
        <v>4</v>
      </c>
    </row>
    <row r="498" spans="3:29" ht="48.75" thickBot="1" x14ac:dyDescent="0.3">
      <c r="C498" s="11">
        <v>999</v>
      </c>
      <c r="D498" s="154">
        <v>491</v>
      </c>
      <c r="E498" s="154" t="s">
        <v>1902</v>
      </c>
      <c r="F498" s="154" t="s">
        <v>83</v>
      </c>
      <c r="G498" s="154" t="s">
        <v>1903</v>
      </c>
      <c r="H498" s="154" t="s">
        <v>339</v>
      </c>
      <c r="I498" s="154" t="s">
        <v>101</v>
      </c>
      <c r="J498" s="154" t="s">
        <v>102</v>
      </c>
      <c r="K498" s="154" t="s">
        <v>60</v>
      </c>
      <c r="L498" s="154" t="s">
        <v>1897</v>
      </c>
      <c r="M498" s="154" t="s">
        <v>1388</v>
      </c>
      <c r="N498" s="154" t="s">
        <v>61</v>
      </c>
      <c r="O498" s="154" t="s">
        <v>62</v>
      </c>
      <c r="P498" s="146">
        <v>512300.4</v>
      </c>
      <c r="Q498" s="146">
        <v>116.86</v>
      </c>
      <c r="R498" s="154" t="s">
        <v>1384</v>
      </c>
      <c r="S498" s="154" t="s">
        <v>1899</v>
      </c>
      <c r="T498" s="155" t="s">
        <v>768</v>
      </c>
      <c r="U498" s="155" t="s">
        <v>1899</v>
      </c>
      <c r="V498" s="154" t="s">
        <v>1904</v>
      </c>
      <c r="W498" s="154">
        <v>0</v>
      </c>
      <c r="X498" s="154" t="s">
        <v>63</v>
      </c>
      <c r="Y498" s="154" t="s">
        <v>1386</v>
      </c>
      <c r="Z498" s="154"/>
      <c r="AA498" s="154" t="s">
        <v>1387</v>
      </c>
      <c r="AB498" s="154">
        <v>0</v>
      </c>
      <c r="AC498" s="138">
        <f>IFERROR(IF(DATEDIF(#REF!,U498,"m")&lt;=1,1,IF(AND(DATEDIF(#REF!,U498,"m")&gt;1,DATEDIF(#REF!,U498,"m")&lt;12),2,IF(AND(DATEDIF(#REF!,U498,"m")&gt;=12,DATEDIF(#REF!,U498,"m")&lt;24),3,IF(DATEDIF(#REF!,U498,"m")&gt;=24,4,"")))),IF(E498="r0320 - Deposits, not covered and not preferential",1,4))</f>
        <v>4</v>
      </c>
    </row>
    <row r="499" spans="3:29" ht="36.75" thickBot="1" x14ac:dyDescent="0.3">
      <c r="C499" s="11">
        <v>999</v>
      </c>
      <c r="D499" s="154">
        <v>492</v>
      </c>
      <c r="E499" s="154" t="s">
        <v>1898</v>
      </c>
      <c r="F499" s="154" t="s">
        <v>56</v>
      </c>
      <c r="G499" s="154" t="s">
        <v>1402</v>
      </c>
      <c r="H499" s="154" t="s">
        <v>557</v>
      </c>
      <c r="I499" s="154" t="s">
        <v>72</v>
      </c>
      <c r="J499" s="154" t="s">
        <v>73</v>
      </c>
      <c r="K499" s="154" t="s">
        <v>60</v>
      </c>
      <c r="L499" s="154" t="s">
        <v>1897</v>
      </c>
      <c r="M499" s="154" t="s">
        <v>1388</v>
      </c>
      <c r="N499" s="154" t="s">
        <v>61</v>
      </c>
      <c r="O499" s="154" t="s">
        <v>62</v>
      </c>
      <c r="P499" s="146">
        <v>5.32</v>
      </c>
      <c r="Q499" s="146">
        <v>0</v>
      </c>
      <c r="R499" s="154" t="s">
        <v>1384</v>
      </c>
      <c r="S499" s="154" t="s">
        <v>1899</v>
      </c>
      <c r="T499" s="155" t="s">
        <v>1899</v>
      </c>
      <c r="U499" s="155" t="s">
        <v>1899</v>
      </c>
      <c r="V499" s="154" t="s">
        <v>1562</v>
      </c>
      <c r="W499" s="154">
        <v>0</v>
      </c>
      <c r="X499" s="154" t="s">
        <v>63</v>
      </c>
      <c r="Y499" s="154" t="s">
        <v>1900</v>
      </c>
      <c r="Z499" s="154"/>
      <c r="AA499" s="154" t="s">
        <v>1387</v>
      </c>
      <c r="AB499" s="154">
        <v>0</v>
      </c>
      <c r="AC499" s="138">
        <f>IFERROR(IF(DATEDIF(#REF!,U499,"m")&lt;=1,1,IF(AND(DATEDIF(#REF!,U499,"m")&gt;1,DATEDIF(#REF!,U499,"m")&lt;12),2,IF(AND(DATEDIF(#REF!,U499,"m")&gt;=12,DATEDIF(#REF!,U499,"m")&lt;24),3,IF(DATEDIF(#REF!,U499,"m")&gt;=24,4,"")))),IF(E499="r0320 - Deposits, not covered and not preferential",1,4))</f>
        <v>4</v>
      </c>
    </row>
    <row r="500" spans="3:29" ht="36.75" thickBot="1" x14ac:dyDescent="0.3">
      <c r="C500" s="11">
        <v>999</v>
      </c>
      <c r="D500" s="154">
        <v>493</v>
      </c>
      <c r="E500" s="154" t="s">
        <v>1898</v>
      </c>
      <c r="F500" s="154" t="s">
        <v>87</v>
      </c>
      <c r="G500" s="154" t="s">
        <v>1402</v>
      </c>
      <c r="H500" s="154" t="s">
        <v>953</v>
      </c>
      <c r="I500" s="154" t="s">
        <v>89</v>
      </c>
      <c r="J500" s="154" t="s">
        <v>90</v>
      </c>
      <c r="K500" s="154" t="s">
        <v>91</v>
      </c>
      <c r="L500" s="154" t="s">
        <v>1901</v>
      </c>
      <c r="M500" s="154" t="s">
        <v>1383</v>
      </c>
      <c r="N500" s="154" t="s">
        <v>61</v>
      </c>
      <c r="O500" s="154" t="s">
        <v>62</v>
      </c>
      <c r="P500" s="146">
        <v>0.1</v>
      </c>
      <c r="Q500" s="146">
        <v>0</v>
      </c>
      <c r="R500" s="154" t="s">
        <v>1384</v>
      </c>
      <c r="S500" s="154" t="s">
        <v>1899</v>
      </c>
      <c r="T500" s="155" t="s">
        <v>1899</v>
      </c>
      <c r="U500" s="155" t="s">
        <v>1899</v>
      </c>
      <c r="V500" s="154" t="s">
        <v>1562</v>
      </c>
      <c r="W500" s="154">
        <v>0</v>
      </c>
      <c r="X500" s="154" t="s">
        <v>63</v>
      </c>
      <c r="Y500" s="154" t="s">
        <v>1900</v>
      </c>
      <c r="Z500" s="154"/>
      <c r="AA500" s="154" t="s">
        <v>1387</v>
      </c>
      <c r="AB500" s="154">
        <v>0</v>
      </c>
      <c r="AC500" s="138">
        <f>IFERROR(IF(DATEDIF(#REF!,U500,"m")&lt;=1,1,IF(AND(DATEDIF(#REF!,U500,"m")&gt;1,DATEDIF(#REF!,U500,"m")&lt;12),2,IF(AND(DATEDIF(#REF!,U500,"m")&gt;=12,DATEDIF(#REF!,U500,"m")&lt;24),3,IF(DATEDIF(#REF!,U500,"m")&gt;=24,4,"")))),IF(E500="r0320 - Deposits, not covered and not preferential",1,4))</f>
        <v>4</v>
      </c>
    </row>
    <row r="501" spans="3:29" ht="36.75" thickBot="1" x14ac:dyDescent="0.3">
      <c r="C501" s="11">
        <v>999</v>
      </c>
      <c r="D501" s="154">
        <v>494</v>
      </c>
      <c r="E501" s="154" t="s">
        <v>1898</v>
      </c>
      <c r="F501" s="154" t="s">
        <v>87</v>
      </c>
      <c r="G501" s="154" t="s">
        <v>1402</v>
      </c>
      <c r="H501" s="154" t="s">
        <v>928</v>
      </c>
      <c r="I501" s="154" t="s">
        <v>96</v>
      </c>
      <c r="J501" s="154" t="s">
        <v>97</v>
      </c>
      <c r="K501" s="154" t="s">
        <v>91</v>
      </c>
      <c r="L501" s="154" t="s">
        <v>1897</v>
      </c>
      <c r="M501" s="154" t="s">
        <v>1383</v>
      </c>
      <c r="N501" s="154" t="s">
        <v>61</v>
      </c>
      <c r="O501" s="154" t="s">
        <v>62</v>
      </c>
      <c r="P501" s="146">
        <v>0.71</v>
      </c>
      <c r="Q501" s="146">
        <v>0</v>
      </c>
      <c r="R501" s="154" t="s">
        <v>1384</v>
      </c>
      <c r="S501" s="154" t="s">
        <v>1899</v>
      </c>
      <c r="T501" s="155" t="s">
        <v>1899</v>
      </c>
      <c r="U501" s="155" t="s">
        <v>1899</v>
      </c>
      <c r="V501" s="154" t="s">
        <v>1562</v>
      </c>
      <c r="W501" s="154">
        <v>0</v>
      </c>
      <c r="X501" s="154" t="s">
        <v>63</v>
      </c>
      <c r="Y501" s="154" t="s">
        <v>1900</v>
      </c>
      <c r="Z501" s="154"/>
      <c r="AA501" s="154" t="s">
        <v>1387</v>
      </c>
      <c r="AB501" s="154">
        <v>0</v>
      </c>
      <c r="AC501" s="138">
        <f>IFERROR(IF(DATEDIF(#REF!,U501,"m")&lt;=1,1,IF(AND(DATEDIF(#REF!,U501,"m")&gt;1,DATEDIF(#REF!,U501,"m")&lt;12),2,IF(AND(DATEDIF(#REF!,U501,"m")&gt;=12,DATEDIF(#REF!,U501,"m")&lt;24),3,IF(DATEDIF(#REF!,U501,"m")&gt;=24,4,"")))),IF(E501="r0320 - Deposits, not covered and not preferential",1,4))</f>
        <v>4</v>
      </c>
    </row>
    <row r="502" spans="3:29" ht="48.75" thickBot="1" x14ac:dyDescent="0.3">
      <c r="C502" s="11">
        <v>999</v>
      </c>
      <c r="D502" s="154">
        <v>495</v>
      </c>
      <c r="E502" s="154" t="s">
        <v>1902</v>
      </c>
      <c r="F502" s="154" t="s">
        <v>83</v>
      </c>
      <c r="G502" s="154" t="s">
        <v>1903</v>
      </c>
      <c r="H502" s="154" t="s">
        <v>341</v>
      </c>
      <c r="I502" s="154" t="s">
        <v>114</v>
      </c>
      <c r="J502" s="154" t="s">
        <v>115</v>
      </c>
      <c r="K502" s="154" t="s">
        <v>60</v>
      </c>
      <c r="L502" s="154" t="s">
        <v>1897</v>
      </c>
      <c r="M502" s="154" t="s">
        <v>1388</v>
      </c>
      <c r="N502" s="154" t="s">
        <v>61</v>
      </c>
      <c r="O502" s="154" t="s">
        <v>62</v>
      </c>
      <c r="P502" s="146">
        <v>16687.240000000002</v>
      </c>
      <c r="Q502" s="146">
        <v>10.82</v>
      </c>
      <c r="R502" s="154" t="s">
        <v>1384</v>
      </c>
      <c r="S502" s="154" t="s">
        <v>1899</v>
      </c>
      <c r="T502" s="155" t="s">
        <v>768</v>
      </c>
      <c r="U502" s="155" t="s">
        <v>1899</v>
      </c>
      <c r="V502" s="154" t="s">
        <v>1904</v>
      </c>
      <c r="W502" s="154">
        <v>0</v>
      </c>
      <c r="X502" s="154" t="s">
        <v>63</v>
      </c>
      <c r="Y502" s="154" t="s">
        <v>1386</v>
      </c>
      <c r="Z502" s="154"/>
      <c r="AA502" s="154" t="s">
        <v>1387</v>
      </c>
      <c r="AB502" s="154">
        <v>0</v>
      </c>
      <c r="AC502" s="138">
        <f>IFERROR(IF(DATEDIF(#REF!,U502,"m")&lt;=1,1,IF(AND(DATEDIF(#REF!,U502,"m")&gt;1,DATEDIF(#REF!,U502,"m")&lt;12),2,IF(AND(DATEDIF(#REF!,U502,"m")&gt;=12,DATEDIF(#REF!,U502,"m")&lt;24),3,IF(DATEDIF(#REF!,U502,"m")&gt;=24,4,"")))),IF(E502="r0320 - Deposits, not covered and not preferential",1,4))</f>
        <v>4</v>
      </c>
    </row>
    <row r="503" spans="3:29" ht="36.75" thickBot="1" x14ac:dyDescent="0.3">
      <c r="C503" s="11">
        <v>999</v>
      </c>
      <c r="D503" s="154">
        <v>496</v>
      </c>
      <c r="E503" s="154" t="s">
        <v>1898</v>
      </c>
      <c r="F503" s="154" t="s">
        <v>87</v>
      </c>
      <c r="G503" s="154" t="s">
        <v>1402</v>
      </c>
      <c r="H503" s="154" t="s">
        <v>923</v>
      </c>
      <c r="I503" s="154" t="s">
        <v>111</v>
      </c>
      <c r="J503" s="154" t="s">
        <v>90</v>
      </c>
      <c r="K503" s="154" t="s">
        <v>91</v>
      </c>
      <c r="L503" s="154" t="s">
        <v>1897</v>
      </c>
      <c r="M503" s="154" t="s">
        <v>1383</v>
      </c>
      <c r="N503" s="154" t="s">
        <v>61</v>
      </c>
      <c r="O503" s="154" t="s">
        <v>62</v>
      </c>
      <c r="P503" s="146">
        <v>3.06</v>
      </c>
      <c r="Q503" s="146">
        <v>0</v>
      </c>
      <c r="R503" s="154" t="s">
        <v>1384</v>
      </c>
      <c r="S503" s="154" t="s">
        <v>1899</v>
      </c>
      <c r="T503" s="155" t="s">
        <v>1899</v>
      </c>
      <c r="U503" s="155" t="s">
        <v>1899</v>
      </c>
      <c r="V503" s="154" t="s">
        <v>1562</v>
      </c>
      <c r="W503" s="154">
        <v>0</v>
      </c>
      <c r="X503" s="154" t="s">
        <v>63</v>
      </c>
      <c r="Y503" s="154" t="s">
        <v>1900</v>
      </c>
      <c r="Z503" s="154"/>
      <c r="AA503" s="154" t="s">
        <v>1387</v>
      </c>
      <c r="AB503" s="154">
        <v>0</v>
      </c>
      <c r="AC503" s="138">
        <f>IFERROR(IF(DATEDIF(#REF!,U503,"m")&lt;=1,1,IF(AND(DATEDIF(#REF!,U503,"m")&gt;1,DATEDIF(#REF!,U503,"m")&lt;12),2,IF(AND(DATEDIF(#REF!,U503,"m")&gt;=12,DATEDIF(#REF!,U503,"m")&lt;24),3,IF(DATEDIF(#REF!,U503,"m")&gt;=24,4,"")))),IF(E503="r0320 - Deposits, not covered and not preferential",1,4))</f>
        <v>4</v>
      </c>
    </row>
    <row r="504" spans="3:29" ht="48.75" thickBot="1" x14ac:dyDescent="0.3">
      <c r="C504" s="11">
        <v>999</v>
      </c>
      <c r="D504" s="154">
        <v>497</v>
      </c>
      <c r="E504" s="154" t="s">
        <v>1902</v>
      </c>
      <c r="F504" s="154" t="s">
        <v>83</v>
      </c>
      <c r="G504" s="154" t="s">
        <v>1903</v>
      </c>
      <c r="H504" s="154" t="s">
        <v>505</v>
      </c>
      <c r="I504" s="154" t="s">
        <v>101</v>
      </c>
      <c r="J504" s="154" t="s">
        <v>102</v>
      </c>
      <c r="K504" s="154" t="s">
        <v>60</v>
      </c>
      <c r="L504" s="154" t="s">
        <v>1897</v>
      </c>
      <c r="M504" s="154" t="s">
        <v>1388</v>
      </c>
      <c r="N504" s="154" t="s">
        <v>61</v>
      </c>
      <c r="O504" s="154" t="s">
        <v>62</v>
      </c>
      <c r="P504" s="146">
        <v>2025707.11</v>
      </c>
      <c r="Q504" s="146">
        <v>352.54</v>
      </c>
      <c r="R504" s="154" t="s">
        <v>1384</v>
      </c>
      <c r="S504" s="154" t="s">
        <v>1899</v>
      </c>
      <c r="T504" s="155" t="s">
        <v>768</v>
      </c>
      <c r="U504" s="155" t="s">
        <v>1899</v>
      </c>
      <c r="V504" s="154" t="s">
        <v>1904</v>
      </c>
      <c r="W504" s="154">
        <v>0</v>
      </c>
      <c r="X504" s="154" t="s">
        <v>63</v>
      </c>
      <c r="Y504" s="154" t="s">
        <v>1386</v>
      </c>
      <c r="Z504" s="154"/>
      <c r="AA504" s="154" t="s">
        <v>1387</v>
      </c>
      <c r="AB504" s="154">
        <v>0</v>
      </c>
      <c r="AC504" s="138">
        <f>IFERROR(IF(DATEDIF(#REF!,U504,"m")&lt;=1,1,IF(AND(DATEDIF(#REF!,U504,"m")&gt;1,DATEDIF(#REF!,U504,"m")&lt;12),2,IF(AND(DATEDIF(#REF!,U504,"m")&gt;=12,DATEDIF(#REF!,U504,"m")&lt;24),3,IF(DATEDIF(#REF!,U504,"m")&gt;=24,4,"")))),IF(E504="r0320 - Deposits, not covered and not preferential",1,4))</f>
        <v>4</v>
      </c>
    </row>
    <row r="505" spans="3:29" ht="48.75" thickBot="1" x14ac:dyDescent="0.3">
      <c r="C505" s="11">
        <v>999</v>
      </c>
      <c r="D505" s="154">
        <v>498</v>
      </c>
      <c r="E505" s="154" t="s">
        <v>1902</v>
      </c>
      <c r="F505" s="154" t="s">
        <v>83</v>
      </c>
      <c r="G505" s="154" t="s">
        <v>1903</v>
      </c>
      <c r="H505" s="154" t="s">
        <v>380</v>
      </c>
      <c r="I505" s="154" t="s">
        <v>93</v>
      </c>
      <c r="J505" s="154" t="s">
        <v>94</v>
      </c>
      <c r="K505" s="154" t="s">
        <v>60</v>
      </c>
      <c r="L505" s="154" t="s">
        <v>1897</v>
      </c>
      <c r="M505" s="154" t="s">
        <v>1388</v>
      </c>
      <c r="N505" s="154" t="s">
        <v>61</v>
      </c>
      <c r="O505" s="154" t="s">
        <v>62</v>
      </c>
      <c r="P505" s="146">
        <v>111945.16</v>
      </c>
      <c r="Q505" s="146">
        <v>1.23</v>
      </c>
      <c r="R505" s="154" t="s">
        <v>1384</v>
      </c>
      <c r="S505" s="154" t="s">
        <v>1899</v>
      </c>
      <c r="T505" s="155" t="s">
        <v>768</v>
      </c>
      <c r="U505" s="155" t="s">
        <v>1899</v>
      </c>
      <c r="V505" s="154" t="s">
        <v>1904</v>
      </c>
      <c r="W505" s="154">
        <v>0</v>
      </c>
      <c r="X505" s="154" t="s">
        <v>63</v>
      </c>
      <c r="Y505" s="154" t="s">
        <v>1386</v>
      </c>
      <c r="Z505" s="154"/>
      <c r="AA505" s="154" t="s">
        <v>1387</v>
      </c>
      <c r="AB505" s="154">
        <v>0</v>
      </c>
      <c r="AC505" s="138">
        <f>IFERROR(IF(DATEDIF(#REF!,U505,"m")&lt;=1,1,IF(AND(DATEDIF(#REF!,U505,"m")&gt;1,DATEDIF(#REF!,U505,"m")&lt;12),2,IF(AND(DATEDIF(#REF!,U505,"m")&gt;=12,DATEDIF(#REF!,U505,"m")&lt;24),3,IF(DATEDIF(#REF!,U505,"m")&gt;=24,4,"")))),IF(E505="r0320 - Deposits, not covered and not preferential",1,4))</f>
        <v>4</v>
      </c>
    </row>
    <row r="506" spans="3:29" ht="48.75" thickBot="1" x14ac:dyDescent="0.3">
      <c r="C506" s="11">
        <v>999</v>
      </c>
      <c r="D506" s="154">
        <v>499</v>
      </c>
      <c r="E506" s="154" t="s">
        <v>1902</v>
      </c>
      <c r="F506" s="154" t="s">
        <v>83</v>
      </c>
      <c r="G506" s="154" t="s">
        <v>1903</v>
      </c>
      <c r="H506" s="154" t="s">
        <v>912</v>
      </c>
      <c r="I506" s="154" t="s">
        <v>101</v>
      </c>
      <c r="J506" s="154" t="s">
        <v>102</v>
      </c>
      <c r="K506" s="154" t="s">
        <v>60</v>
      </c>
      <c r="L506" s="154" t="s">
        <v>1897</v>
      </c>
      <c r="M506" s="154" t="s">
        <v>1388</v>
      </c>
      <c r="N506" s="154" t="s">
        <v>61</v>
      </c>
      <c r="O506" s="154" t="s">
        <v>62</v>
      </c>
      <c r="P506" s="146">
        <v>1009654.42</v>
      </c>
      <c r="Q506" s="146">
        <v>226.79</v>
      </c>
      <c r="R506" s="154" t="s">
        <v>1384</v>
      </c>
      <c r="S506" s="154" t="s">
        <v>1899</v>
      </c>
      <c r="T506" s="155" t="s">
        <v>768</v>
      </c>
      <c r="U506" s="155" t="s">
        <v>1899</v>
      </c>
      <c r="V506" s="154" t="s">
        <v>1904</v>
      </c>
      <c r="W506" s="154">
        <v>0</v>
      </c>
      <c r="X506" s="154" t="s">
        <v>63</v>
      </c>
      <c r="Y506" s="154" t="s">
        <v>1386</v>
      </c>
      <c r="Z506" s="154"/>
      <c r="AA506" s="154" t="s">
        <v>1387</v>
      </c>
      <c r="AB506" s="154">
        <v>0</v>
      </c>
      <c r="AC506" s="138">
        <f>IFERROR(IF(DATEDIF(#REF!,U506,"m")&lt;=1,1,IF(AND(DATEDIF(#REF!,U506,"m")&gt;1,DATEDIF(#REF!,U506,"m")&lt;12),2,IF(AND(DATEDIF(#REF!,U506,"m")&gt;=12,DATEDIF(#REF!,U506,"m")&lt;24),3,IF(DATEDIF(#REF!,U506,"m")&gt;=24,4,"")))),IF(E506="r0320 - Deposits, not covered and not preferential",1,4))</f>
        <v>4</v>
      </c>
    </row>
    <row r="507" spans="3:29" ht="36.75" thickBot="1" x14ac:dyDescent="0.3">
      <c r="C507" s="11">
        <v>999</v>
      </c>
      <c r="D507" s="154">
        <v>500</v>
      </c>
      <c r="E507" s="154" t="s">
        <v>1898</v>
      </c>
      <c r="F507" s="154" t="s">
        <v>87</v>
      </c>
      <c r="G507" s="154" t="s">
        <v>1402</v>
      </c>
      <c r="H507" s="154" t="s">
        <v>927</v>
      </c>
      <c r="I507" s="154" t="s">
        <v>89</v>
      </c>
      <c r="J507" s="154" t="s">
        <v>90</v>
      </c>
      <c r="K507" s="154" t="s">
        <v>91</v>
      </c>
      <c r="L507" s="154" t="s">
        <v>1901</v>
      </c>
      <c r="M507" s="154" t="s">
        <v>1383</v>
      </c>
      <c r="N507" s="154" t="s">
        <v>61</v>
      </c>
      <c r="O507" s="154" t="s">
        <v>62</v>
      </c>
      <c r="P507" s="146">
        <v>0.09</v>
      </c>
      <c r="Q507" s="146">
        <v>0</v>
      </c>
      <c r="R507" s="154" t="s">
        <v>1384</v>
      </c>
      <c r="S507" s="154" t="s">
        <v>1899</v>
      </c>
      <c r="T507" s="155" t="s">
        <v>1899</v>
      </c>
      <c r="U507" s="155" t="s">
        <v>1899</v>
      </c>
      <c r="V507" s="154" t="s">
        <v>1562</v>
      </c>
      <c r="W507" s="154">
        <v>0</v>
      </c>
      <c r="X507" s="154" t="s">
        <v>63</v>
      </c>
      <c r="Y507" s="154" t="s">
        <v>1900</v>
      </c>
      <c r="Z507" s="154"/>
      <c r="AA507" s="154" t="s">
        <v>1387</v>
      </c>
      <c r="AB507" s="154">
        <v>0</v>
      </c>
      <c r="AC507" s="138">
        <f>IFERROR(IF(DATEDIF(#REF!,U507,"m")&lt;=1,1,IF(AND(DATEDIF(#REF!,U507,"m")&gt;1,DATEDIF(#REF!,U507,"m")&lt;12),2,IF(AND(DATEDIF(#REF!,U507,"m")&gt;=12,DATEDIF(#REF!,U507,"m")&lt;24),3,IF(DATEDIF(#REF!,U507,"m")&gt;=24,4,"")))),IF(E507="r0320 - Deposits, not covered and not preferential",1,4))</f>
        <v>4</v>
      </c>
    </row>
    <row r="508" spans="3:29" ht="36.75" thickBot="1" x14ac:dyDescent="0.3">
      <c r="C508" s="11">
        <v>999</v>
      </c>
      <c r="D508" s="154">
        <v>501</v>
      </c>
      <c r="E508" s="154" t="s">
        <v>1898</v>
      </c>
      <c r="F508" s="154" t="s">
        <v>87</v>
      </c>
      <c r="G508" s="154" t="s">
        <v>1402</v>
      </c>
      <c r="H508" s="154" t="s">
        <v>227</v>
      </c>
      <c r="I508" s="154" t="s">
        <v>96</v>
      </c>
      <c r="J508" s="154" t="s">
        <v>97</v>
      </c>
      <c r="K508" s="154" t="s">
        <v>91</v>
      </c>
      <c r="L508" s="154" t="s">
        <v>1897</v>
      </c>
      <c r="M508" s="154" t="s">
        <v>1383</v>
      </c>
      <c r="N508" s="154" t="s">
        <v>61</v>
      </c>
      <c r="O508" s="154" t="s">
        <v>62</v>
      </c>
      <c r="P508" s="146">
        <v>1.33</v>
      </c>
      <c r="Q508" s="146">
        <v>0</v>
      </c>
      <c r="R508" s="154" t="s">
        <v>1384</v>
      </c>
      <c r="S508" s="154" t="s">
        <v>1899</v>
      </c>
      <c r="T508" s="155" t="s">
        <v>1899</v>
      </c>
      <c r="U508" s="155" t="s">
        <v>1899</v>
      </c>
      <c r="V508" s="154" t="s">
        <v>1562</v>
      </c>
      <c r="W508" s="154">
        <v>0</v>
      </c>
      <c r="X508" s="154" t="s">
        <v>63</v>
      </c>
      <c r="Y508" s="154" t="s">
        <v>1900</v>
      </c>
      <c r="Z508" s="154"/>
      <c r="AA508" s="154" t="s">
        <v>1387</v>
      </c>
      <c r="AB508" s="154">
        <v>0</v>
      </c>
      <c r="AC508" s="138">
        <f>IFERROR(IF(DATEDIF(#REF!,U508,"m")&lt;=1,1,IF(AND(DATEDIF(#REF!,U508,"m")&gt;1,DATEDIF(#REF!,U508,"m")&lt;12),2,IF(AND(DATEDIF(#REF!,U508,"m")&gt;=12,DATEDIF(#REF!,U508,"m")&lt;24),3,IF(DATEDIF(#REF!,U508,"m")&gt;=24,4,"")))),IF(E508="r0320 - Deposits, not covered and not preferential",1,4))</f>
        <v>4</v>
      </c>
    </row>
    <row r="509" spans="3:29" ht="36.75" thickBot="1" x14ac:dyDescent="0.3">
      <c r="C509" s="11">
        <v>999</v>
      </c>
      <c r="D509" s="154">
        <v>502</v>
      </c>
      <c r="E509" s="154" t="s">
        <v>1898</v>
      </c>
      <c r="F509" s="154" t="s">
        <v>87</v>
      </c>
      <c r="G509" s="154" t="s">
        <v>1402</v>
      </c>
      <c r="H509" s="154" t="s">
        <v>936</v>
      </c>
      <c r="I509" s="154" t="s">
        <v>96</v>
      </c>
      <c r="J509" s="154" t="s">
        <v>97</v>
      </c>
      <c r="K509" s="154" t="s">
        <v>91</v>
      </c>
      <c r="L509" s="154" t="s">
        <v>1897</v>
      </c>
      <c r="M509" s="154" t="s">
        <v>1383</v>
      </c>
      <c r="N509" s="154" t="s">
        <v>61</v>
      </c>
      <c r="O509" s="154" t="s">
        <v>62</v>
      </c>
      <c r="P509" s="146">
        <v>3.11</v>
      </c>
      <c r="Q509" s="146">
        <v>0</v>
      </c>
      <c r="R509" s="154" t="s">
        <v>1384</v>
      </c>
      <c r="S509" s="154" t="s">
        <v>1899</v>
      </c>
      <c r="T509" s="155" t="s">
        <v>1899</v>
      </c>
      <c r="U509" s="155" t="s">
        <v>1899</v>
      </c>
      <c r="V509" s="154" t="s">
        <v>1562</v>
      </c>
      <c r="W509" s="154">
        <v>0</v>
      </c>
      <c r="X509" s="154" t="s">
        <v>63</v>
      </c>
      <c r="Y509" s="154" t="s">
        <v>1900</v>
      </c>
      <c r="Z509" s="154"/>
      <c r="AA509" s="154" t="s">
        <v>1387</v>
      </c>
      <c r="AB509" s="154">
        <v>0</v>
      </c>
      <c r="AC509" s="138">
        <f>IFERROR(IF(DATEDIF(#REF!,U509,"m")&lt;=1,1,IF(AND(DATEDIF(#REF!,U509,"m")&gt;1,DATEDIF(#REF!,U509,"m")&lt;12),2,IF(AND(DATEDIF(#REF!,U509,"m")&gt;=12,DATEDIF(#REF!,U509,"m")&lt;24),3,IF(DATEDIF(#REF!,U509,"m")&gt;=24,4,"")))),IF(E509="r0320 - Deposits, not covered and not preferential",1,4))</f>
        <v>4</v>
      </c>
    </row>
    <row r="510" spans="3:29" ht="36.75" thickBot="1" x14ac:dyDescent="0.3">
      <c r="C510" s="11">
        <v>999</v>
      </c>
      <c r="D510" s="154">
        <v>503</v>
      </c>
      <c r="E510" s="154" t="s">
        <v>1898</v>
      </c>
      <c r="F510" s="154" t="s">
        <v>87</v>
      </c>
      <c r="G510" s="154" t="s">
        <v>1402</v>
      </c>
      <c r="H510" s="154" t="s">
        <v>162</v>
      </c>
      <c r="I510" s="154" t="s">
        <v>89</v>
      </c>
      <c r="J510" s="154" t="s">
        <v>90</v>
      </c>
      <c r="K510" s="154" t="s">
        <v>91</v>
      </c>
      <c r="L510" s="154" t="s">
        <v>1901</v>
      </c>
      <c r="M510" s="154" t="s">
        <v>1383</v>
      </c>
      <c r="N510" s="154" t="s">
        <v>61</v>
      </c>
      <c r="O510" s="154" t="s">
        <v>62</v>
      </c>
      <c r="P510" s="146">
        <v>0.1</v>
      </c>
      <c r="Q510" s="146">
        <v>0</v>
      </c>
      <c r="R510" s="154" t="s">
        <v>1384</v>
      </c>
      <c r="S510" s="154" t="s">
        <v>1899</v>
      </c>
      <c r="T510" s="155" t="s">
        <v>1899</v>
      </c>
      <c r="U510" s="155" t="s">
        <v>1899</v>
      </c>
      <c r="V510" s="154" t="s">
        <v>1562</v>
      </c>
      <c r="W510" s="154">
        <v>0</v>
      </c>
      <c r="X510" s="154" t="s">
        <v>63</v>
      </c>
      <c r="Y510" s="154" t="s">
        <v>1900</v>
      </c>
      <c r="Z510" s="154"/>
      <c r="AA510" s="154" t="s">
        <v>1387</v>
      </c>
      <c r="AB510" s="154">
        <v>0</v>
      </c>
      <c r="AC510" s="138">
        <f>IFERROR(IF(DATEDIF(#REF!,U510,"m")&lt;=1,1,IF(AND(DATEDIF(#REF!,U510,"m")&gt;1,DATEDIF(#REF!,U510,"m")&lt;12),2,IF(AND(DATEDIF(#REF!,U510,"m")&gt;=12,DATEDIF(#REF!,U510,"m")&lt;24),3,IF(DATEDIF(#REF!,U510,"m")&gt;=24,4,"")))),IF(E510="r0320 - Deposits, not covered and not preferential",1,4))</f>
        <v>4</v>
      </c>
    </row>
    <row r="511" spans="3:29" ht="36.75" thickBot="1" x14ac:dyDescent="0.3">
      <c r="C511" s="11">
        <v>999</v>
      </c>
      <c r="D511" s="154">
        <v>504</v>
      </c>
      <c r="E511" s="154" t="s">
        <v>1898</v>
      </c>
      <c r="F511" s="154" t="s">
        <v>87</v>
      </c>
      <c r="G511" s="154" t="s">
        <v>1402</v>
      </c>
      <c r="H511" s="154" t="s">
        <v>931</v>
      </c>
      <c r="I511" s="154" t="s">
        <v>99</v>
      </c>
      <c r="J511" s="154" t="s">
        <v>90</v>
      </c>
      <c r="K511" s="154" t="s">
        <v>91</v>
      </c>
      <c r="L511" s="154" t="s">
        <v>1897</v>
      </c>
      <c r="M511" s="154" t="s">
        <v>1383</v>
      </c>
      <c r="N511" s="154" t="s">
        <v>61</v>
      </c>
      <c r="O511" s="154" t="s">
        <v>62</v>
      </c>
      <c r="P511" s="146">
        <v>0.01</v>
      </c>
      <c r="Q511" s="146">
        <v>0</v>
      </c>
      <c r="R511" s="154" t="s">
        <v>1384</v>
      </c>
      <c r="S511" s="154" t="s">
        <v>1899</v>
      </c>
      <c r="T511" s="155" t="s">
        <v>1899</v>
      </c>
      <c r="U511" s="155" t="s">
        <v>1899</v>
      </c>
      <c r="V511" s="154" t="s">
        <v>1562</v>
      </c>
      <c r="W511" s="154">
        <v>0</v>
      </c>
      <c r="X511" s="154" t="s">
        <v>63</v>
      </c>
      <c r="Y511" s="154" t="s">
        <v>1900</v>
      </c>
      <c r="Z511" s="154"/>
      <c r="AA511" s="154" t="s">
        <v>1387</v>
      </c>
      <c r="AB511" s="154">
        <v>0</v>
      </c>
      <c r="AC511" s="138">
        <f>IFERROR(IF(DATEDIF(#REF!,U511,"m")&lt;=1,1,IF(AND(DATEDIF(#REF!,U511,"m")&gt;1,DATEDIF(#REF!,U511,"m")&lt;12),2,IF(AND(DATEDIF(#REF!,U511,"m")&gt;=12,DATEDIF(#REF!,U511,"m")&lt;24),3,IF(DATEDIF(#REF!,U511,"m")&gt;=24,4,"")))),IF(E511="r0320 - Deposits, not covered and not preferential",1,4))</f>
        <v>4</v>
      </c>
    </row>
    <row r="512" spans="3:29" ht="36.75" thickBot="1" x14ac:dyDescent="0.3">
      <c r="C512" s="11">
        <v>999</v>
      </c>
      <c r="D512" s="154">
        <v>505</v>
      </c>
      <c r="E512" s="154" t="s">
        <v>1898</v>
      </c>
      <c r="F512" s="154" t="s">
        <v>87</v>
      </c>
      <c r="G512" s="154" t="s">
        <v>1402</v>
      </c>
      <c r="H512" s="154" t="s">
        <v>353</v>
      </c>
      <c r="I512" s="154" t="s">
        <v>89</v>
      </c>
      <c r="J512" s="154" t="s">
        <v>90</v>
      </c>
      <c r="K512" s="154" t="s">
        <v>91</v>
      </c>
      <c r="L512" s="154" t="s">
        <v>1901</v>
      </c>
      <c r="M512" s="154" t="s">
        <v>1383</v>
      </c>
      <c r="N512" s="154" t="s">
        <v>61</v>
      </c>
      <c r="O512" s="154" t="s">
        <v>62</v>
      </c>
      <c r="P512" s="146">
        <v>0.24</v>
      </c>
      <c r="Q512" s="146">
        <v>0</v>
      </c>
      <c r="R512" s="154" t="s">
        <v>1384</v>
      </c>
      <c r="S512" s="154" t="s">
        <v>1899</v>
      </c>
      <c r="T512" s="155" t="s">
        <v>1899</v>
      </c>
      <c r="U512" s="155" t="s">
        <v>1899</v>
      </c>
      <c r="V512" s="154" t="s">
        <v>1562</v>
      </c>
      <c r="W512" s="154">
        <v>0</v>
      </c>
      <c r="X512" s="154" t="s">
        <v>63</v>
      </c>
      <c r="Y512" s="154" t="s">
        <v>1900</v>
      </c>
      <c r="Z512" s="154"/>
      <c r="AA512" s="154" t="s">
        <v>1387</v>
      </c>
      <c r="AB512" s="154">
        <v>0</v>
      </c>
      <c r="AC512" s="138">
        <f>IFERROR(IF(DATEDIF(#REF!,U512,"m")&lt;=1,1,IF(AND(DATEDIF(#REF!,U512,"m")&gt;1,DATEDIF(#REF!,U512,"m")&lt;12),2,IF(AND(DATEDIF(#REF!,U512,"m")&gt;=12,DATEDIF(#REF!,U512,"m")&lt;24),3,IF(DATEDIF(#REF!,U512,"m")&gt;=24,4,"")))),IF(E512="r0320 - Deposits, not covered and not preferential",1,4))</f>
        <v>4</v>
      </c>
    </row>
    <row r="513" spans="3:29" ht="36.75" thickBot="1" x14ac:dyDescent="0.3">
      <c r="C513" s="11">
        <v>999</v>
      </c>
      <c r="D513" s="154">
        <v>506</v>
      </c>
      <c r="E513" s="154" t="s">
        <v>1898</v>
      </c>
      <c r="F513" s="154" t="s">
        <v>87</v>
      </c>
      <c r="G513" s="154" t="s">
        <v>1402</v>
      </c>
      <c r="H513" s="154" t="s">
        <v>1110</v>
      </c>
      <c r="I513" s="154" t="s">
        <v>89</v>
      </c>
      <c r="J513" s="154" t="s">
        <v>90</v>
      </c>
      <c r="K513" s="154" t="s">
        <v>91</v>
      </c>
      <c r="L513" s="154" t="s">
        <v>1901</v>
      </c>
      <c r="M513" s="154" t="s">
        <v>1383</v>
      </c>
      <c r="N513" s="154" t="s">
        <v>61</v>
      </c>
      <c r="O513" s="154" t="s">
        <v>62</v>
      </c>
      <c r="P513" s="146">
        <v>0.17</v>
      </c>
      <c r="Q513" s="146">
        <v>0</v>
      </c>
      <c r="R513" s="154" t="s">
        <v>1384</v>
      </c>
      <c r="S513" s="154" t="s">
        <v>1899</v>
      </c>
      <c r="T513" s="155" t="s">
        <v>1899</v>
      </c>
      <c r="U513" s="155" t="s">
        <v>1899</v>
      </c>
      <c r="V513" s="154" t="s">
        <v>1562</v>
      </c>
      <c r="W513" s="154">
        <v>0</v>
      </c>
      <c r="X513" s="154" t="s">
        <v>63</v>
      </c>
      <c r="Y513" s="154" t="s">
        <v>1900</v>
      </c>
      <c r="Z513" s="154"/>
      <c r="AA513" s="154" t="s">
        <v>1387</v>
      </c>
      <c r="AB513" s="154">
        <v>0</v>
      </c>
      <c r="AC513" s="138">
        <f>IFERROR(IF(DATEDIF(#REF!,U513,"m")&lt;=1,1,IF(AND(DATEDIF(#REF!,U513,"m")&gt;1,DATEDIF(#REF!,U513,"m")&lt;12),2,IF(AND(DATEDIF(#REF!,U513,"m")&gt;=12,DATEDIF(#REF!,U513,"m")&lt;24),3,IF(DATEDIF(#REF!,U513,"m")&gt;=24,4,"")))),IF(E513="r0320 - Deposits, not covered and not preferential",1,4))</f>
        <v>4</v>
      </c>
    </row>
    <row r="514" spans="3:29" ht="36.75" thickBot="1" x14ac:dyDescent="0.3">
      <c r="C514" s="11">
        <v>999</v>
      </c>
      <c r="D514" s="154">
        <v>507</v>
      </c>
      <c r="E514" s="154" t="s">
        <v>1898</v>
      </c>
      <c r="F514" s="154" t="s">
        <v>87</v>
      </c>
      <c r="G514" s="154" t="s">
        <v>1402</v>
      </c>
      <c r="H514" s="154" t="s">
        <v>226</v>
      </c>
      <c r="I514" s="154" t="s">
        <v>89</v>
      </c>
      <c r="J514" s="154" t="s">
        <v>90</v>
      </c>
      <c r="K514" s="154" t="s">
        <v>91</v>
      </c>
      <c r="L514" s="154" t="s">
        <v>1901</v>
      </c>
      <c r="M514" s="154" t="s">
        <v>1383</v>
      </c>
      <c r="N514" s="154" t="s">
        <v>61</v>
      </c>
      <c r="O514" s="154" t="s">
        <v>62</v>
      </c>
      <c r="P514" s="146">
        <v>0.1</v>
      </c>
      <c r="Q514" s="146">
        <v>0</v>
      </c>
      <c r="R514" s="154" t="s">
        <v>1384</v>
      </c>
      <c r="S514" s="154" t="s">
        <v>1899</v>
      </c>
      <c r="T514" s="155" t="s">
        <v>1899</v>
      </c>
      <c r="U514" s="155" t="s">
        <v>1899</v>
      </c>
      <c r="V514" s="154" t="s">
        <v>1562</v>
      </c>
      <c r="W514" s="154">
        <v>0</v>
      </c>
      <c r="X514" s="154" t="s">
        <v>63</v>
      </c>
      <c r="Y514" s="154" t="s">
        <v>1900</v>
      </c>
      <c r="Z514" s="154"/>
      <c r="AA514" s="154" t="s">
        <v>1387</v>
      </c>
      <c r="AB514" s="154">
        <v>0</v>
      </c>
      <c r="AC514" s="138">
        <f>IFERROR(IF(DATEDIF(#REF!,U514,"m")&lt;=1,1,IF(AND(DATEDIF(#REF!,U514,"m")&gt;1,DATEDIF(#REF!,U514,"m")&lt;12),2,IF(AND(DATEDIF(#REF!,U514,"m")&gt;=12,DATEDIF(#REF!,U514,"m")&lt;24),3,IF(DATEDIF(#REF!,U514,"m")&gt;=24,4,"")))),IF(E514="r0320 - Deposits, not covered and not preferential",1,4))</f>
        <v>4</v>
      </c>
    </row>
    <row r="515" spans="3:29" ht="36.75" thickBot="1" x14ac:dyDescent="0.3">
      <c r="C515" s="11">
        <v>999</v>
      </c>
      <c r="D515" s="154">
        <v>508</v>
      </c>
      <c r="E515" s="154" t="s">
        <v>1898</v>
      </c>
      <c r="F515" s="154" t="s">
        <v>87</v>
      </c>
      <c r="G515" s="154" t="s">
        <v>1402</v>
      </c>
      <c r="H515" s="154" t="s">
        <v>935</v>
      </c>
      <c r="I515" s="154" t="s">
        <v>99</v>
      </c>
      <c r="J515" s="154" t="s">
        <v>90</v>
      </c>
      <c r="K515" s="154" t="s">
        <v>91</v>
      </c>
      <c r="L515" s="154" t="s">
        <v>1897</v>
      </c>
      <c r="M515" s="154" t="s">
        <v>1383</v>
      </c>
      <c r="N515" s="154" t="s">
        <v>61</v>
      </c>
      <c r="O515" s="154" t="s">
        <v>62</v>
      </c>
      <c r="P515" s="146">
        <v>0.01</v>
      </c>
      <c r="Q515" s="146">
        <v>0</v>
      </c>
      <c r="R515" s="154" t="s">
        <v>1384</v>
      </c>
      <c r="S515" s="154" t="s">
        <v>1899</v>
      </c>
      <c r="T515" s="155" t="s">
        <v>1899</v>
      </c>
      <c r="U515" s="155" t="s">
        <v>1899</v>
      </c>
      <c r="V515" s="154" t="s">
        <v>1562</v>
      </c>
      <c r="W515" s="154">
        <v>0</v>
      </c>
      <c r="X515" s="154" t="s">
        <v>63</v>
      </c>
      <c r="Y515" s="154" t="s">
        <v>1900</v>
      </c>
      <c r="Z515" s="154"/>
      <c r="AA515" s="154" t="s">
        <v>1387</v>
      </c>
      <c r="AB515" s="154">
        <v>0</v>
      </c>
      <c r="AC515" s="138">
        <f>IFERROR(IF(DATEDIF(#REF!,U515,"m")&lt;=1,1,IF(AND(DATEDIF(#REF!,U515,"m")&gt;1,DATEDIF(#REF!,U515,"m")&lt;12),2,IF(AND(DATEDIF(#REF!,U515,"m")&gt;=12,DATEDIF(#REF!,U515,"m")&lt;24),3,IF(DATEDIF(#REF!,U515,"m")&gt;=24,4,"")))),IF(E515="r0320 - Deposits, not covered and not preferential",1,4))</f>
        <v>4</v>
      </c>
    </row>
    <row r="516" spans="3:29" ht="36.75" thickBot="1" x14ac:dyDescent="0.3">
      <c r="C516" s="11">
        <v>999</v>
      </c>
      <c r="D516" s="154">
        <v>509</v>
      </c>
      <c r="E516" s="154" t="s">
        <v>1898</v>
      </c>
      <c r="F516" s="154" t="s">
        <v>87</v>
      </c>
      <c r="G516" s="154" t="s">
        <v>1402</v>
      </c>
      <c r="H516" s="154" t="s">
        <v>355</v>
      </c>
      <c r="I516" s="154" t="s">
        <v>99</v>
      </c>
      <c r="J516" s="154" t="s">
        <v>90</v>
      </c>
      <c r="K516" s="154" t="s">
        <v>91</v>
      </c>
      <c r="L516" s="154" t="s">
        <v>1897</v>
      </c>
      <c r="M516" s="154" t="s">
        <v>1383</v>
      </c>
      <c r="N516" s="154" t="s">
        <v>61</v>
      </c>
      <c r="O516" s="154" t="s">
        <v>62</v>
      </c>
      <c r="P516" s="146">
        <v>0.01</v>
      </c>
      <c r="Q516" s="146">
        <v>0</v>
      </c>
      <c r="R516" s="154" t="s">
        <v>1384</v>
      </c>
      <c r="S516" s="154" t="s">
        <v>1899</v>
      </c>
      <c r="T516" s="155" t="s">
        <v>1899</v>
      </c>
      <c r="U516" s="155" t="s">
        <v>1899</v>
      </c>
      <c r="V516" s="154" t="s">
        <v>1562</v>
      </c>
      <c r="W516" s="154">
        <v>0</v>
      </c>
      <c r="X516" s="154" t="s">
        <v>63</v>
      </c>
      <c r="Y516" s="154" t="s">
        <v>1900</v>
      </c>
      <c r="Z516" s="154"/>
      <c r="AA516" s="154" t="s">
        <v>1387</v>
      </c>
      <c r="AB516" s="154">
        <v>0</v>
      </c>
      <c r="AC516" s="138">
        <f>IFERROR(IF(DATEDIF(#REF!,U516,"m")&lt;=1,1,IF(AND(DATEDIF(#REF!,U516,"m")&gt;1,DATEDIF(#REF!,U516,"m")&lt;12),2,IF(AND(DATEDIF(#REF!,U516,"m")&gt;=12,DATEDIF(#REF!,U516,"m")&lt;24),3,IF(DATEDIF(#REF!,U516,"m")&gt;=24,4,"")))),IF(E516="r0320 - Deposits, not covered and not preferential",1,4))</f>
        <v>4</v>
      </c>
    </row>
    <row r="517" spans="3:29" ht="36.75" thickBot="1" x14ac:dyDescent="0.3">
      <c r="C517" s="11">
        <v>999</v>
      </c>
      <c r="D517" s="154">
        <v>510</v>
      </c>
      <c r="E517" s="154" t="s">
        <v>1898</v>
      </c>
      <c r="F517" s="154" t="s">
        <v>56</v>
      </c>
      <c r="G517" s="154" t="s">
        <v>1402</v>
      </c>
      <c r="H517" s="154" t="s">
        <v>597</v>
      </c>
      <c r="I517" s="154" t="s">
        <v>66</v>
      </c>
      <c r="J517" s="154" t="s">
        <v>67</v>
      </c>
      <c r="K517" s="154" t="s">
        <v>60</v>
      </c>
      <c r="L517" s="154" t="s">
        <v>1897</v>
      </c>
      <c r="M517" s="154" t="s">
        <v>1383</v>
      </c>
      <c r="N517" s="154" t="s">
        <v>61</v>
      </c>
      <c r="O517" s="154" t="s">
        <v>62</v>
      </c>
      <c r="P517" s="146">
        <v>5.74</v>
      </c>
      <c r="Q517" s="146">
        <v>0</v>
      </c>
      <c r="R517" s="154" t="s">
        <v>1384</v>
      </c>
      <c r="S517" s="154" t="s">
        <v>1899</v>
      </c>
      <c r="T517" s="155" t="s">
        <v>1899</v>
      </c>
      <c r="U517" s="155" t="s">
        <v>1899</v>
      </c>
      <c r="V517" s="154" t="s">
        <v>1562</v>
      </c>
      <c r="W517" s="154">
        <v>0</v>
      </c>
      <c r="X517" s="154" t="s">
        <v>63</v>
      </c>
      <c r="Y517" s="154" t="s">
        <v>1900</v>
      </c>
      <c r="Z517" s="154"/>
      <c r="AA517" s="154" t="s">
        <v>1387</v>
      </c>
      <c r="AB517" s="154">
        <v>0</v>
      </c>
      <c r="AC517" s="138">
        <f>IFERROR(IF(DATEDIF(#REF!,U517,"m")&lt;=1,1,IF(AND(DATEDIF(#REF!,U517,"m")&gt;1,DATEDIF(#REF!,U517,"m")&lt;12),2,IF(AND(DATEDIF(#REF!,U517,"m")&gt;=12,DATEDIF(#REF!,U517,"m")&lt;24),3,IF(DATEDIF(#REF!,U517,"m")&gt;=24,4,"")))),IF(E517="r0320 - Deposits, not covered and not preferential",1,4))</f>
        <v>4</v>
      </c>
    </row>
    <row r="518" spans="3:29" ht="48.75" thickBot="1" x14ac:dyDescent="0.3">
      <c r="C518" s="11">
        <v>999</v>
      </c>
      <c r="D518" s="154">
        <v>511</v>
      </c>
      <c r="E518" s="154" t="s">
        <v>1902</v>
      </c>
      <c r="F518" s="154" t="s">
        <v>83</v>
      </c>
      <c r="G518" s="154" t="s">
        <v>1903</v>
      </c>
      <c r="H518" s="154" t="s">
        <v>922</v>
      </c>
      <c r="I518" s="154" t="s">
        <v>114</v>
      </c>
      <c r="J518" s="154" t="s">
        <v>115</v>
      </c>
      <c r="K518" s="154" t="s">
        <v>60</v>
      </c>
      <c r="L518" s="154" t="s">
        <v>1897</v>
      </c>
      <c r="M518" s="154" t="s">
        <v>1388</v>
      </c>
      <c r="N518" s="154" t="s">
        <v>61</v>
      </c>
      <c r="O518" s="154" t="s">
        <v>62</v>
      </c>
      <c r="P518" s="146">
        <v>33243.17</v>
      </c>
      <c r="Q518" s="146">
        <v>59.11</v>
      </c>
      <c r="R518" s="154" t="s">
        <v>1384</v>
      </c>
      <c r="S518" s="154" t="s">
        <v>1899</v>
      </c>
      <c r="T518" s="155" t="s">
        <v>768</v>
      </c>
      <c r="U518" s="155" t="s">
        <v>1899</v>
      </c>
      <c r="V518" s="154" t="s">
        <v>1904</v>
      </c>
      <c r="W518" s="154">
        <v>0</v>
      </c>
      <c r="X518" s="154" t="s">
        <v>63</v>
      </c>
      <c r="Y518" s="154" t="s">
        <v>1386</v>
      </c>
      <c r="Z518" s="154"/>
      <c r="AA518" s="154" t="s">
        <v>1387</v>
      </c>
      <c r="AB518" s="154">
        <v>0</v>
      </c>
      <c r="AC518" s="138">
        <f>IFERROR(IF(DATEDIF(#REF!,U518,"m")&lt;=1,1,IF(AND(DATEDIF(#REF!,U518,"m")&gt;1,DATEDIF(#REF!,U518,"m")&lt;12),2,IF(AND(DATEDIF(#REF!,U518,"m")&gt;=12,DATEDIF(#REF!,U518,"m")&lt;24),3,IF(DATEDIF(#REF!,U518,"m")&gt;=24,4,"")))),IF(E518="r0320 - Deposits, not covered and not preferential",1,4))</f>
        <v>4</v>
      </c>
    </row>
    <row r="519" spans="3:29" ht="36.75" thickBot="1" x14ac:dyDescent="0.3">
      <c r="C519" s="11">
        <v>999</v>
      </c>
      <c r="D519" s="154">
        <v>512</v>
      </c>
      <c r="E519" s="154" t="s">
        <v>1898</v>
      </c>
      <c r="F519" s="154" t="s">
        <v>87</v>
      </c>
      <c r="G519" s="154" t="s">
        <v>1402</v>
      </c>
      <c r="H519" s="154" t="s">
        <v>939</v>
      </c>
      <c r="I519" s="154" t="s">
        <v>89</v>
      </c>
      <c r="J519" s="154" t="s">
        <v>90</v>
      </c>
      <c r="K519" s="154" t="s">
        <v>91</v>
      </c>
      <c r="L519" s="154" t="s">
        <v>1901</v>
      </c>
      <c r="M519" s="154" t="s">
        <v>1383</v>
      </c>
      <c r="N519" s="154" t="s">
        <v>61</v>
      </c>
      <c r="O519" s="154" t="s">
        <v>62</v>
      </c>
      <c r="P519" s="146">
        <v>0.25</v>
      </c>
      <c r="Q519" s="146">
        <v>0</v>
      </c>
      <c r="R519" s="154" t="s">
        <v>1384</v>
      </c>
      <c r="S519" s="154" t="s">
        <v>1899</v>
      </c>
      <c r="T519" s="155" t="s">
        <v>1899</v>
      </c>
      <c r="U519" s="155" t="s">
        <v>1899</v>
      </c>
      <c r="V519" s="154" t="s">
        <v>1562</v>
      </c>
      <c r="W519" s="154">
        <v>0</v>
      </c>
      <c r="X519" s="154" t="s">
        <v>63</v>
      </c>
      <c r="Y519" s="154" t="s">
        <v>1900</v>
      </c>
      <c r="Z519" s="154"/>
      <c r="AA519" s="154" t="s">
        <v>1387</v>
      </c>
      <c r="AB519" s="154">
        <v>0</v>
      </c>
      <c r="AC519" s="138">
        <f>IFERROR(IF(DATEDIF(#REF!,U519,"m")&lt;=1,1,IF(AND(DATEDIF(#REF!,U519,"m")&gt;1,DATEDIF(#REF!,U519,"m")&lt;12),2,IF(AND(DATEDIF(#REF!,U519,"m")&gt;=12,DATEDIF(#REF!,U519,"m")&lt;24),3,IF(DATEDIF(#REF!,U519,"m")&gt;=24,4,"")))),IF(E519="r0320 - Deposits, not covered and not preferential",1,4))</f>
        <v>4</v>
      </c>
    </row>
    <row r="520" spans="3:29" ht="48.75" thickBot="1" x14ac:dyDescent="0.3">
      <c r="C520" s="11">
        <v>999</v>
      </c>
      <c r="D520" s="154">
        <v>513</v>
      </c>
      <c r="E520" s="154" t="s">
        <v>1902</v>
      </c>
      <c r="F520" s="154" t="s">
        <v>83</v>
      </c>
      <c r="G520" s="154" t="s">
        <v>1903</v>
      </c>
      <c r="H520" s="154" t="s">
        <v>126</v>
      </c>
      <c r="I520" s="154" t="s">
        <v>101</v>
      </c>
      <c r="J520" s="154" t="s">
        <v>102</v>
      </c>
      <c r="K520" s="154" t="s">
        <v>60</v>
      </c>
      <c r="L520" s="154" t="s">
        <v>1897</v>
      </c>
      <c r="M520" s="154" t="s">
        <v>1388</v>
      </c>
      <c r="N520" s="154" t="s">
        <v>61</v>
      </c>
      <c r="O520" s="154" t="s">
        <v>62</v>
      </c>
      <c r="P520" s="146">
        <v>80307.37</v>
      </c>
      <c r="Q520" s="146">
        <v>86.04</v>
      </c>
      <c r="R520" s="154" t="s">
        <v>1384</v>
      </c>
      <c r="S520" s="154" t="s">
        <v>1899</v>
      </c>
      <c r="T520" s="155" t="s">
        <v>768</v>
      </c>
      <c r="U520" s="155" t="s">
        <v>1899</v>
      </c>
      <c r="V520" s="154" t="s">
        <v>1904</v>
      </c>
      <c r="W520" s="154">
        <v>0</v>
      </c>
      <c r="X520" s="154" t="s">
        <v>63</v>
      </c>
      <c r="Y520" s="154" t="s">
        <v>1386</v>
      </c>
      <c r="Z520" s="154"/>
      <c r="AA520" s="154" t="s">
        <v>1387</v>
      </c>
      <c r="AB520" s="154">
        <v>0</v>
      </c>
      <c r="AC520" s="138">
        <f>IFERROR(IF(DATEDIF(#REF!,U520,"m")&lt;=1,1,IF(AND(DATEDIF(#REF!,U520,"m")&gt;1,DATEDIF(#REF!,U520,"m")&lt;12),2,IF(AND(DATEDIF(#REF!,U520,"m")&gt;=12,DATEDIF(#REF!,U520,"m")&lt;24),3,IF(DATEDIF(#REF!,U520,"m")&gt;=24,4,"")))),IF(E520="r0320 - Deposits, not covered and not preferential",1,4))</f>
        <v>4</v>
      </c>
    </row>
    <row r="521" spans="3:29" ht="36.75" thickBot="1" x14ac:dyDescent="0.3">
      <c r="C521" s="11">
        <v>999</v>
      </c>
      <c r="D521" s="154">
        <v>514</v>
      </c>
      <c r="E521" s="154" t="s">
        <v>1898</v>
      </c>
      <c r="F521" s="154" t="s">
        <v>56</v>
      </c>
      <c r="G521" s="154" t="s">
        <v>1402</v>
      </c>
      <c r="H521" s="154" t="s">
        <v>611</v>
      </c>
      <c r="I521" s="154" t="s">
        <v>66</v>
      </c>
      <c r="J521" s="154" t="s">
        <v>67</v>
      </c>
      <c r="K521" s="154" t="s">
        <v>60</v>
      </c>
      <c r="L521" s="154" t="s">
        <v>1897</v>
      </c>
      <c r="M521" s="154" t="s">
        <v>1383</v>
      </c>
      <c r="N521" s="154" t="s">
        <v>61</v>
      </c>
      <c r="O521" s="154" t="s">
        <v>62</v>
      </c>
      <c r="P521" s="146">
        <v>4.59</v>
      </c>
      <c r="Q521" s="146">
        <v>0</v>
      </c>
      <c r="R521" s="154" t="s">
        <v>1384</v>
      </c>
      <c r="S521" s="154" t="s">
        <v>1899</v>
      </c>
      <c r="T521" s="155" t="s">
        <v>1899</v>
      </c>
      <c r="U521" s="155" t="s">
        <v>1899</v>
      </c>
      <c r="V521" s="154" t="s">
        <v>1562</v>
      </c>
      <c r="W521" s="154">
        <v>0</v>
      </c>
      <c r="X521" s="154" t="s">
        <v>63</v>
      </c>
      <c r="Y521" s="154" t="s">
        <v>1900</v>
      </c>
      <c r="Z521" s="154"/>
      <c r="AA521" s="154" t="s">
        <v>1387</v>
      </c>
      <c r="AB521" s="154">
        <v>0</v>
      </c>
      <c r="AC521" s="138">
        <f>IFERROR(IF(DATEDIF(#REF!,U521,"m")&lt;=1,1,IF(AND(DATEDIF(#REF!,U521,"m")&gt;1,DATEDIF(#REF!,U521,"m")&lt;12),2,IF(AND(DATEDIF(#REF!,U521,"m")&gt;=12,DATEDIF(#REF!,U521,"m")&lt;24),3,IF(DATEDIF(#REF!,U521,"m")&gt;=24,4,"")))),IF(E521="r0320 - Deposits, not covered and not preferential",1,4))</f>
        <v>4</v>
      </c>
    </row>
    <row r="522" spans="3:29" ht="48.75" thickBot="1" x14ac:dyDescent="0.3">
      <c r="C522" s="11">
        <v>999</v>
      </c>
      <c r="D522" s="154">
        <v>515</v>
      </c>
      <c r="E522" s="154" t="s">
        <v>1902</v>
      </c>
      <c r="F522" s="154" t="s">
        <v>83</v>
      </c>
      <c r="G522" s="154" t="s">
        <v>1903</v>
      </c>
      <c r="H522" s="154" t="s">
        <v>930</v>
      </c>
      <c r="I522" s="154" t="s">
        <v>101</v>
      </c>
      <c r="J522" s="154" t="s">
        <v>102</v>
      </c>
      <c r="K522" s="154" t="s">
        <v>60</v>
      </c>
      <c r="L522" s="154" t="s">
        <v>1897</v>
      </c>
      <c r="M522" s="154" t="s">
        <v>1388</v>
      </c>
      <c r="N522" s="154" t="s">
        <v>61</v>
      </c>
      <c r="O522" s="154" t="s">
        <v>62</v>
      </c>
      <c r="P522" s="146">
        <v>191225.14</v>
      </c>
      <c r="Q522" s="146">
        <v>26.28</v>
      </c>
      <c r="R522" s="154" t="s">
        <v>1384</v>
      </c>
      <c r="S522" s="154" t="s">
        <v>1899</v>
      </c>
      <c r="T522" s="155" t="s">
        <v>768</v>
      </c>
      <c r="U522" s="155" t="s">
        <v>1899</v>
      </c>
      <c r="V522" s="154" t="s">
        <v>1904</v>
      </c>
      <c r="W522" s="154">
        <v>0</v>
      </c>
      <c r="X522" s="154" t="s">
        <v>63</v>
      </c>
      <c r="Y522" s="154" t="s">
        <v>1386</v>
      </c>
      <c r="Z522" s="154"/>
      <c r="AA522" s="154" t="s">
        <v>1387</v>
      </c>
      <c r="AB522" s="154">
        <v>0</v>
      </c>
      <c r="AC522" s="138">
        <f>IFERROR(IF(DATEDIF(#REF!,U522,"m")&lt;=1,1,IF(AND(DATEDIF(#REF!,U522,"m")&gt;1,DATEDIF(#REF!,U522,"m")&lt;12),2,IF(AND(DATEDIF(#REF!,U522,"m")&gt;=12,DATEDIF(#REF!,U522,"m")&lt;24),3,IF(DATEDIF(#REF!,U522,"m")&gt;=24,4,"")))),IF(E522="r0320 - Deposits, not covered and not preferential",1,4))</f>
        <v>4</v>
      </c>
    </row>
    <row r="523" spans="3:29" ht="36.75" thickBot="1" x14ac:dyDescent="0.3">
      <c r="C523" s="11">
        <v>999</v>
      </c>
      <c r="D523" s="154">
        <v>516</v>
      </c>
      <c r="E523" s="154" t="s">
        <v>1898</v>
      </c>
      <c r="F523" s="154" t="s">
        <v>87</v>
      </c>
      <c r="G523" s="154" t="s">
        <v>1402</v>
      </c>
      <c r="H523" s="154" t="s">
        <v>963</v>
      </c>
      <c r="I523" s="154" t="s">
        <v>99</v>
      </c>
      <c r="J523" s="154" t="s">
        <v>90</v>
      </c>
      <c r="K523" s="154" t="s">
        <v>91</v>
      </c>
      <c r="L523" s="154" t="s">
        <v>1897</v>
      </c>
      <c r="M523" s="154" t="s">
        <v>1383</v>
      </c>
      <c r="N523" s="154" t="s">
        <v>61</v>
      </c>
      <c r="O523" s="154" t="s">
        <v>62</v>
      </c>
      <c r="P523" s="146">
        <v>0.06</v>
      </c>
      <c r="Q523" s="146">
        <v>0</v>
      </c>
      <c r="R523" s="154" t="s">
        <v>1384</v>
      </c>
      <c r="S523" s="154" t="s">
        <v>1899</v>
      </c>
      <c r="T523" s="155" t="s">
        <v>1899</v>
      </c>
      <c r="U523" s="155" t="s">
        <v>1899</v>
      </c>
      <c r="V523" s="154" t="s">
        <v>1562</v>
      </c>
      <c r="W523" s="154">
        <v>0</v>
      </c>
      <c r="X523" s="154" t="s">
        <v>63</v>
      </c>
      <c r="Y523" s="154" t="s">
        <v>1900</v>
      </c>
      <c r="Z523" s="154"/>
      <c r="AA523" s="154" t="s">
        <v>1387</v>
      </c>
      <c r="AB523" s="154">
        <v>0</v>
      </c>
      <c r="AC523" s="138">
        <f>IFERROR(IF(DATEDIF(#REF!,U523,"m")&lt;=1,1,IF(AND(DATEDIF(#REF!,U523,"m")&gt;1,DATEDIF(#REF!,U523,"m")&lt;12),2,IF(AND(DATEDIF(#REF!,U523,"m")&gt;=12,DATEDIF(#REF!,U523,"m")&lt;24),3,IF(DATEDIF(#REF!,U523,"m")&gt;=24,4,"")))),IF(E523="r0320 - Deposits, not covered and not preferential",1,4))</f>
        <v>4</v>
      </c>
    </row>
    <row r="524" spans="3:29" ht="36.75" thickBot="1" x14ac:dyDescent="0.3">
      <c r="C524" s="11">
        <v>999</v>
      </c>
      <c r="D524" s="154">
        <v>517</v>
      </c>
      <c r="E524" s="154" t="s">
        <v>1898</v>
      </c>
      <c r="F524" s="154" t="s">
        <v>87</v>
      </c>
      <c r="G524" s="154" t="s">
        <v>1402</v>
      </c>
      <c r="H524" s="154" t="s">
        <v>1226</v>
      </c>
      <c r="I524" s="154" t="s">
        <v>89</v>
      </c>
      <c r="J524" s="154" t="s">
        <v>90</v>
      </c>
      <c r="K524" s="154" t="s">
        <v>91</v>
      </c>
      <c r="L524" s="154" t="s">
        <v>1901</v>
      </c>
      <c r="M524" s="154" t="s">
        <v>1383</v>
      </c>
      <c r="N524" s="154" t="s">
        <v>61</v>
      </c>
      <c r="O524" s="154" t="s">
        <v>62</v>
      </c>
      <c r="P524" s="146">
        <v>0.56999999999999995</v>
      </c>
      <c r="Q524" s="146">
        <v>0</v>
      </c>
      <c r="R524" s="154" t="s">
        <v>1384</v>
      </c>
      <c r="S524" s="154" t="s">
        <v>1899</v>
      </c>
      <c r="T524" s="155" t="s">
        <v>1899</v>
      </c>
      <c r="U524" s="155" t="s">
        <v>1899</v>
      </c>
      <c r="V524" s="154" t="s">
        <v>1562</v>
      </c>
      <c r="W524" s="154">
        <v>0</v>
      </c>
      <c r="X524" s="154" t="s">
        <v>63</v>
      </c>
      <c r="Y524" s="154" t="s">
        <v>1900</v>
      </c>
      <c r="Z524" s="154"/>
      <c r="AA524" s="154" t="s">
        <v>1387</v>
      </c>
      <c r="AB524" s="154">
        <v>0</v>
      </c>
      <c r="AC524" s="138">
        <f>IFERROR(IF(DATEDIF(#REF!,U524,"m")&lt;=1,1,IF(AND(DATEDIF(#REF!,U524,"m")&gt;1,DATEDIF(#REF!,U524,"m")&lt;12),2,IF(AND(DATEDIF(#REF!,U524,"m")&gt;=12,DATEDIF(#REF!,U524,"m")&lt;24),3,IF(DATEDIF(#REF!,U524,"m")&gt;=24,4,"")))),IF(E524="r0320 - Deposits, not covered and not preferential",1,4))</f>
        <v>4</v>
      </c>
    </row>
    <row r="525" spans="3:29" ht="36.75" thickBot="1" x14ac:dyDescent="0.3">
      <c r="C525" s="11">
        <v>999</v>
      </c>
      <c r="D525" s="154">
        <v>518</v>
      </c>
      <c r="E525" s="154" t="s">
        <v>1898</v>
      </c>
      <c r="F525" s="154" t="s">
        <v>56</v>
      </c>
      <c r="G525" s="154" t="s">
        <v>1402</v>
      </c>
      <c r="H525" s="154" t="s">
        <v>978</v>
      </c>
      <c r="I525" s="154" t="s">
        <v>72</v>
      </c>
      <c r="J525" s="154" t="s">
        <v>73</v>
      </c>
      <c r="K525" s="154" t="s">
        <v>60</v>
      </c>
      <c r="L525" s="154" t="s">
        <v>1897</v>
      </c>
      <c r="M525" s="154" t="s">
        <v>1388</v>
      </c>
      <c r="N525" s="154" t="s">
        <v>61</v>
      </c>
      <c r="O525" s="154" t="s">
        <v>62</v>
      </c>
      <c r="P525" s="146">
        <v>5.67</v>
      </c>
      <c r="Q525" s="146">
        <v>0</v>
      </c>
      <c r="R525" s="154" t="s">
        <v>1384</v>
      </c>
      <c r="S525" s="154" t="s">
        <v>1899</v>
      </c>
      <c r="T525" s="155" t="s">
        <v>1899</v>
      </c>
      <c r="U525" s="155" t="s">
        <v>1899</v>
      </c>
      <c r="V525" s="154" t="s">
        <v>1562</v>
      </c>
      <c r="W525" s="154">
        <v>0</v>
      </c>
      <c r="X525" s="154" t="s">
        <v>63</v>
      </c>
      <c r="Y525" s="154" t="s">
        <v>1900</v>
      </c>
      <c r="Z525" s="154"/>
      <c r="AA525" s="154" t="s">
        <v>1387</v>
      </c>
      <c r="AB525" s="154">
        <v>0</v>
      </c>
      <c r="AC525" s="138">
        <f>IFERROR(IF(DATEDIF(#REF!,U525,"m")&lt;=1,1,IF(AND(DATEDIF(#REF!,U525,"m")&gt;1,DATEDIF(#REF!,U525,"m")&lt;12),2,IF(AND(DATEDIF(#REF!,U525,"m")&gt;=12,DATEDIF(#REF!,U525,"m")&lt;24),3,IF(DATEDIF(#REF!,U525,"m")&gt;=24,4,"")))),IF(E525="r0320 - Deposits, not covered and not preferential",1,4))</f>
        <v>4</v>
      </c>
    </row>
    <row r="526" spans="3:29" ht="36.75" thickBot="1" x14ac:dyDescent="0.3">
      <c r="C526" s="11">
        <v>999</v>
      </c>
      <c r="D526" s="154">
        <v>519</v>
      </c>
      <c r="E526" s="154" t="s">
        <v>1898</v>
      </c>
      <c r="F526" s="154" t="s">
        <v>87</v>
      </c>
      <c r="G526" s="154" t="s">
        <v>1402</v>
      </c>
      <c r="H526" s="154" t="s">
        <v>942</v>
      </c>
      <c r="I526" s="154" t="s">
        <v>89</v>
      </c>
      <c r="J526" s="154" t="s">
        <v>90</v>
      </c>
      <c r="K526" s="154" t="s">
        <v>91</v>
      </c>
      <c r="L526" s="154" t="s">
        <v>1901</v>
      </c>
      <c r="M526" s="154" t="s">
        <v>1383</v>
      </c>
      <c r="N526" s="154" t="s">
        <v>61</v>
      </c>
      <c r="O526" s="154" t="s">
        <v>62</v>
      </c>
      <c r="P526" s="146">
        <v>0.1</v>
      </c>
      <c r="Q526" s="146">
        <v>0</v>
      </c>
      <c r="R526" s="154" t="s">
        <v>1384</v>
      </c>
      <c r="S526" s="154" t="s">
        <v>1899</v>
      </c>
      <c r="T526" s="155" t="s">
        <v>1899</v>
      </c>
      <c r="U526" s="155" t="s">
        <v>1899</v>
      </c>
      <c r="V526" s="154" t="s">
        <v>1562</v>
      </c>
      <c r="W526" s="154">
        <v>0</v>
      </c>
      <c r="X526" s="154" t="s">
        <v>63</v>
      </c>
      <c r="Y526" s="154" t="s">
        <v>1900</v>
      </c>
      <c r="Z526" s="154"/>
      <c r="AA526" s="154" t="s">
        <v>1387</v>
      </c>
      <c r="AB526" s="154">
        <v>0</v>
      </c>
      <c r="AC526" s="138">
        <f>IFERROR(IF(DATEDIF(#REF!,U526,"m")&lt;=1,1,IF(AND(DATEDIF(#REF!,U526,"m")&gt;1,DATEDIF(#REF!,U526,"m")&lt;12),2,IF(AND(DATEDIF(#REF!,U526,"m")&gt;=12,DATEDIF(#REF!,U526,"m")&lt;24),3,IF(DATEDIF(#REF!,U526,"m")&gt;=24,4,"")))),IF(E526="r0320 - Deposits, not covered and not preferential",1,4))</f>
        <v>4</v>
      </c>
    </row>
    <row r="527" spans="3:29" ht="36.75" thickBot="1" x14ac:dyDescent="0.3">
      <c r="C527" s="11">
        <v>999</v>
      </c>
      <c r="D527" s="154">
        <v>520</v>
      </c>
      <c r="E527" s="154" t="s">
        <v>1898</v>
      </c>
      <c r="F527" s="154" t="s">
        <v>87</v>
      </c>
      <c r="G527" s="154" t="s">
        <v>1402</v>
      </c>
      <c r="H527" s="154" t="s">
        <v>531</v>
      </c>
      <c r="I527" s="154" t="s">
        <v>99</v>
      </c>
      <c r="J527" s="154" t="s">
        <v>90</v>
      </c>
      <c r="K527" s="154" t="s">
        <v>91</v>
      </c>
      <c r="L527" s="154" t="s">
        <v>1897</v>
      </c>
      <c r="M527" s="154" t="s">
        <v>1383</v>
      </c>
      <c r="N527" s="154" t="s">
        <v>61</v>
      </c>
      <c r="O527" s="154" t="s">
        <v>62</v>
      </c>
      <c r="P527" s="146">
        <v>1.21</v>
      </c>
      <c r="Q527" s="146">
        <v>0</v>
      </c>
      <c r="R527" s="154" t="s">
        <v>1384</v>
      </c>
      <c r="S527" s="154" t="s">
        <v>1899</v>
      </c>
      <c r="T527" s="155" t="s">
        <v>1899</v>
      </c>
      <c r="U527" s="155" t="s">
        <v>1899</v>
      </c>
      <c r="V527" s="154" t="s">
        <v>1562</v>
      </c>
      <c r="W527" s="154">
        <v>0</v>
      </c>
      <c r="X527" s="154" t="s">
        <v>63</v>
      </c>
      <c r="Y527" s="154" t="s">
        <v>1900</v>
      </c>
      <c r="Z527" s="154"/>
      <c r="AA527" s="154" t="s">
        <v>1387</v>
      </c>
      <c r="AB527" s="154">
        <v>0</v>
      </c>
      <c r="AC527" s="138">
        <f>IFERROR(IF(DATEDIF(#REF!,U527,"m")&lt;=1,1,IF(AND(DATEDIF(#REF!,U527,"m")&gt;1,DATEDIF(#REF!,U527,"m")&lt;12),2,IF(AND(DATEDIF(#REF!,U527,"m")&gt;=12,DATEDIF(#REF!,U527,"m")&lt;24),3,IF(DATEDIF(#REF!,U527,"m")&gt;=24,4,"")))),IF(E527="r0320 - Deposits, not covered and not preferential",1,4))</f>
        <v>4</v>
      </c>
    </row>
    <row r="528" spans="3:29" ht="36.75" thickBot="1" x14ac:dyDescent="0.3">
      <c r="C528" s="11">
        <v>999</v>
      </c>
      <c r="D528" s="154">
        <v>521</v>
      </c>
      <c r="E528" s="154" t="s">
        <v>1898</v>
      </c>
      <c r="F528" s="154" t="s">
        <v>87</v>
      </c>
      <c r="G528" s="154" t="s">
        <v>1402</v>
      </c>
      <c r="H528" s="154" t="s">
        <v>582</v>
      </c>
      <c r="I528" s="154" t="s">
        <v>89</v>
      </c>
      <c r="J528" s="154" t="s">
        <v>90</v>
      </c>
      <c r="K528" s="154" t="s">
        <v>91</v>
      </c>
      <c r="L528" s="154" t="s">
        <v>1901</v>
      </c>
      <c r="M528" s="154" t="s">
        <v>1383</v>
      </c>
      <c r="N528" s="154" t="s">
        <v>61</v>
      </c>
      <c r="O528" s="154" t="s">
        <v>62</v>
      </c>
      <c r="P528" s="146">
        <v>0.28000000000000003</v>
      </c>
      <c r="Q528" s="146">
        <v>0</v>
      </c>
      <c r="R528" s="154" t="s">
        <v>1384</v>
      </c>
      <c r="S528" s="154" t="s">
        <v>1899</v>
      </c>
      <c r="T528" s="155" t="s">
        <v>1899</v>
      </c>
      <c r="U528" s="155" t="s">
        <v>1899</v>
      </c>
      <c r="V528" s="154" t="s">
        <v>1562</v>
      </c>
      <c r="W528" s="154">
        <v>0</v>
      </c>
      <c r="X528" s="154" t="s">
        <v>63</v>
      </c>
      <c r="Y528" s="154" t="s">
        <v>1900</v>
      </c>
      <c r="Z528" s="154"/>
      <c r="AA528" s="154" t="s">
        <v>1387</v>
      </c>
      <c r="AB528" s="154">
        <v>0</v>
      </c>
      <c r="AC528" s="138">
        <f>IFERROR(IF(DATEDIF(#REF!,U528,"m")&lt;=1,1,IF(AND(DATEDIF(#REF!,U528,"m")&gt;1,DATEDIF(#REF!,U528,"m")&lt;12),2,IF(AND(DATEDIF(#REF!,U528,"m")&gt;=12,DATEDIF(#REF!,U528,"m")&lt;24),3,IF(DATEDIF(#REF!,U528,"m")&gt;=24,4,"")))),IF(E528="r0320 - Deposits, not covered and not preferential",1,4))</f>
        <v>4</v>
      </c>
    </row>
    <row r="529" spans="3:29" ht="36.75" thickBot="1" x14ac:dyDescent="0.3">
      <c r="C529" s="11">
        <v>999</v>
      </c>
      <c r="D529" s="154">
        <v>522</v>
      </c>
      <c r="E529" s="154" t="s">
        <v>1898</v>
      </c>
      <c r="F529" s="154" t="s">
        <v>87</v>
      </c>
      <c r="G529" s="154" t="s">
        <v>1402</v>
      </c>
      <c r="H529" s="154" t="s">
        <v>1002</v>
      </c>
      <c r="I529" s="154" t="s">
        <v>89</v>
      </c>
      <c r="J529" s="154" t="s">
        <v>90</v>
      </c>
      <c r="K529" s="154" t="s">
        <v>91</v>
      </c>
      <c r="L529" s="154" t="s">
        <v>1901</v>
      </c>
      <c r="M529" s="154" t="s">
        <v>1383</v>
      </c>
      <c r="N529" s="154" t="s">
        <v>61</v>
      </c>
      <c r="O529" s="154" t="s">
        <v>62</v>
      </c>
      <c r="P529" s="146">
        <v>0.11</v>
      </c>
      <c r="Q529" s="146">
        <v>0</v>
      </c>
      <c r="R529" s="154" t="s">
        <v>1384</v>
      </c>
      <c r="S529" s="154" t="s">
        <v>1899</v>
      </c>
      <c r="T529" s="155" t="s">
        <v>1899</v>
      </c>
      <c r="U529" s="155" t="s">
        <v>1899</v>
      </c>
      <c r="V529" s="154" t="s">
        <v>1562</v>
      </c>
      <c r="W529" s="154">
        <v>0</v>
      </c>
      <c r="X529" s="154" t="s">
        <v>63</v>
      </c>
      <c r="Y529" s="154" t="s">
        <v>1900</v>
      </c>
      <c r="Z529" s="154"/>
      <c r="AA529" s="154" t="s">
        <v>1387</v>
      </c>
      <c r="AB529" s="154">
        <v>0</v>
      </c>
      <c r="AC529" s="138">
        <f>IFERROR(IF(DATEDIF(#REF!,U529,"m")&lt;=1,1,IF(AND(DATEDIF(#REF!,U529,"m")&gt;1,DATEDIF(#REF!,U529,"m")&lt;12),2,IF(AND(DATEDIF(#REF!,U529,"m")&gt;=12,DATEDIF(#REF!,U529,"m")&lt;24),3,IF(DATEDIF(#REF!,U529,"m")&gt;=24,4,"")))),IF(E529="r0320 - Deposits, not covered and not preferential",1,4))</f>
        <v>4</v>
      </c>
    </row>
    <row r="530" spans="3:29" ht="48.75" thickBot="1" x14ac:dyDescent="0.3">
      <c r="C530" s="11">
        <v>999</v>
      </c>
      <c r="D530" s="154">
        <v>523</v>
      </c>
      <c r="E530" s="154" t="s">
        <v>1902</v>
      </c>
      <c r="F530" s="154" t="s">
        <v>83</v>
      </c>
      <c r="G530" s="154" t="s">
        <v>1903</v>
      </c>
      <c r="H530" s="154" t="s">
        <v>567</v>
      </c>
      <c r="I530" s="154" t="s">
        <v>93</v>
      </c>
      <c r="J530" s="154" t="s">
        <v>94</v>
      </c>
      <c r="K530" s="154" t="s">
        <v>60</v>
      </c>
      <c r="L530" s="154" t="s">
        <v>1897</v>
      </c>
      <c r="M530" s="154" t="s">
        <v>1388</v>
      </c>
      <c r="N530" s="154" t="s">
        <v>61</v>
      </c>
      <c r="O530" s="154" t="s">
        <v>62</v>
      </c>
      <c r="P530" s="146">
        <v>152815.19</v>
      </c>
      <c r="Q530" s="146">
        <v>125.54</v>
      </c>
      <c r="R530" s="154" t="s">
        <v>1384</v>
      </c>
      <c r="S530" s="154" t="s">
        <v>1899</v>
      </c>
      <c r="T530" s="155" t="s">
        <v>768</v>
      </c>
      <c r="U530" s="155" t="s">
        <v>1899</v>
      </c>
      <c r="V530" s="154" t="s">
        <v>1904</v>
      </c>
      <c r="W530" s="154">
        <v>0</v>
      </c>
      <c r="X530" s="154" t="s">
        <v>63</v>
      </c>
      <c r="Y530" s="154" t="s">
        <v>1386</v>
      </c>
      <c r="Z530" s="154"/>
      <c r="AA530" s="154" t="s">
        <v>1387</v>
      </c>
      <c r="AB530" s="154">
        <v>0</v>
      </c>
      <c r="AC530" s="138">
        <f>IFERROR(IF(DATEDIF(#REF!,U530,"m")&lt;=1,1,IF(AND(DATEDIF(#REF!,U530,"m")&gt;1,DATEDIF(#REF!,U530,"m")&lt;12),2,IF(AND(DATEDIF(#REF!,U530,"m")&gt;=12,DATEDIF(#REF!,U530,"m")&lt;24),3,IF(DATEDIF(#REF!,U530,"m")&gt;=24,4,"")))),IF(E530="r0320 - Deposits, not covered and not preferential",1,4))</f>
        <v>4</v>
      </c>
    </row>
    <row r="531" spans="3:29" ht="36.75" thickBot="1" x14ac:dyDescent="0.3">
      <c r="C531" s="11">
        <v>999</v>
      </c>
      <c r="D531" s="154">
        <v>524</v>
      </c>
      <c r="E531" s="154" t="s">
        <v>1898</v>
      </c>
      <c r="F531" s="154" t="s">
        <v>87</v>
      </c>
      <c r="G531" s="154" t="s">
        <v>1402</v>
      </c>
      <c r="H531" s="154" t="s">
        <v>956</v>
      </c>
      <c r="I531" s="154" t="s">
        <v>99</v>
      </c>
      <c r="J531" s="154" t="s">
        <v>90</v>
      </c>
      <c r="K531" s="154" t="s">
        <v>91</v>
      </c>
      <c r="L531" s="154" t="s">
        <v>1897</v>
      </c>
      <c r="M531" s="154" t="s">
        <v>1383</v>
      </c>
      <c r="N531" s="154" t="s">
        <v>61</v>
      </c>
      <c r="O531" s="154" t="s">
        <v>62</v>
      </c>
      <c r="P531" s="146">
        <v>0.96</v>
      </c>
      <c r="Q531" s="146">
        <v>0</v>
      </c>
      <c r="R531" s="154" t="s">
        <v>1384</v>
      </c>
      <c r="S531" s="154" t="s">
        <v>1899</v>
      </c>
      <c r="T531" s="155" t="s">
        <v>1899</v>
      </c>
      <c r="U531" s="155" t="s">
        <v>1899</v>
      </c>
      <c r="V531" s="154" t="s">
        <v>1562</v>
      </c>
      <c r="W531" s="154">
        <v>0</v>
      </c>
      <c r="X531" s="154" t="s">
        <v>63</v>
      </c>
      <c r="Y531" s="154" t="s">
        <v>1900</v>
      </c>
      <c r="Z531" s="154"/>
      <c r="AA531" s="154" t="s">
        <v>1387</v>
      </c>
      <c r="AB531" s="154">
        <v>0</v>
      </c>
      <c r="AC531" s="138">
        <f>IFERROR(IF(DATEDIF(#REF!,U531,"m")&lt;=1,1,IF(AND(DATEDIF(#REF!,U531,"m")&gt;1,DATEDIF(#REF!,U531,"m")&lt;12),2,IF(AND(DATEDIF(#REF!,U531,"m")&gt;=12,DATEDIF(#REF!,U531,"m")&lt;24),3,IF(DATEDIF(#REF!,U531,"m")&gt;=24,4,"")))),IF(E531="r0320 - Deposits, not covered and not preferential",1,4))</f>
        <v>4</v>
      </c>
    </row>
    <row r="532" spans="3:29" ht="36.75" thickBot="1" x14ac:dyDescent="0.3">
      <c r="C532" s="11">
        <v>999</v>
      </c>
      <c r="D532" s="154">
        <v>525</v>
      </c>
      <c r="E532" s="154" t="s">
        <v>1898</v>
      </c>
      <c r="F532" s="154" t="s">
        <v>87</v>
      </c>
      <c r="G532" s="154" t="s">
        <v>1402</v>
      </c>
      <c r="H532" s="154" t="s">
        <v>975</v>
      </c>
      <c r="I532" s="154" t="s">
        <v>99</v>
      </c>
      <c r="J532" s="154" t="s">
        <v>90</v>
      </c>
      <c r="K532" s="154" t="s">
        <v>91</v>
      </c>
      <c r="L532" s="154" t="s">
        <v>1897</v>
      </c>
      <c r="M532" s="154" t="s">
        <v>1383</v>
      </c>
      <c r="N532" s="154" t="s">
        <v>61</v>
      </c>
      <c r="O532" s="154" t="s">
        <v>62</v>
      </c>
      <c r="P532" s="146">
        <v>0.05</v>
      </c>
      <c r="Q532" s="146">
        <v>0</v>
      </c>
      <c r="R532" s="154" t="s">
        <v>1384</v>
      </c>
      <c r="S532" s="154" t="s">
        <v>1899</v>
      </c>
      <c r="T532" s="155" t="s">
        <v>1899</v>
      </c>
      <c r="U532" s="155" t="s">
        <v>1899</v>
      </c>
      <c r="V532" s="154" t="s">
        <v>1562</v>
      </c>
      <c r="W532" s="154">
        <v>0</v>
      </c>
      <c r="X532" s="154" t="s">
        <v>63</v>
      </c>
      <c r="Y532" s="154" t="s">
        <v>1900</v>
      </c>
      <c r="Z532" s="154"/>
      <c r="AA532" s="154" t="s">
        <v>1387</v>
      </c>
      <c r="AB532" s="154">
        <v>0</v>
      </c>
      <c r="AC532" s="138">
        <f>IFERROR(IF(DATEDIF(#REF!,U532,"m")&lt;=1,1,IF(AND(DATEDIF(#REF!,U532,"m")&gt;1,DATEDIF(#REF!,U532,"m")&lt;12),2,IF(AND(DATEDIF(#REF!,U532,"m")&gt;=12,DATEDIF(#REF!,U532,"m")&lt;24),3,IF(DATEDIF(#REF!,U532,"m")&gt;=24,4,"")))),IF(E532="r0320 - Deposits, not covered and not preferential",1,4))</f>
        <v>4</v>
      </c>
    </row>
    <row r="533" spans="3:29" ht="36.75" thickBot="1" x14ac:dyDescent="0.3">
      <c r="C533" s="11">
        <v>999</v>
      </c>
      <c r="D533" s="154">
        <v>526</v>
      </c>
      <c r="E533" s="154" t="s">
        <v>1898</v>
      </c>
      <c r="F533" s="154" t="s">
        <v>87</v>
      </c>
      <c r="G533" s="154" t="s">
        <v>1402</v>
      </c>
      <c r="H533" s="154" t="s">
        <v>959</v>
      </c>
      <c r="I533" s="154" t="s">
        <v>99</v>
      </c>
      <c r="J533" s="154" t="s">
        <v>90</v>
      </c>
      <c r="K533" s="154" t="s">
        <v>91</v>
      </c>
      <c r="L533" s="154" t="s">
        <v>1897</v>
      </c>
      <c r="M533" s="154" t="s">
        <v>1383</v>
      </c>
      <c r="N533" s="154" t="s">
        <v>61</v>
      </c>
      <c r="O533" s="154" t="s">
        <v>62</v>
      </c>
      <c r="P533" s="146">
        <v>0.05</v>
      </c>
      <c r="Q533" s="146">
        <v>0</v>
      </c>
      <c r="R533" s="154" t="s">
        <v>1384</v>
      </c>
      <c r="S533" s="154" t="s">
        <v>1899</v>
      </c>
      <c r="T533" s="155" t="s">
        <v>1899</v>
      </c>
      <c r="U533" s="155" t="s">
        <v>1899</v>
      </c>
      <c r="V533" s="154" t="s">
        <v>1562</v>
      </c>
      <c r="W533" s="154">
        <v>0</v>
      </c>
      <c r="X533" s="154" t="s">
        <v>63</v>
      </c>
      <c r="Y533" s="154" t="s">
        <v>1900</v>
      </c>
      <c r="Z533" s="154"/>
      <c r="AA533" s="154" t="s">
        <v>1387</v>
      </c>
      <c r="AB533" s="154">
        <v>0</v>
      </c>
      <c r="AC533" s="138">
        <f>IFERROR(IF(DATEDIF(#REF!,U533,"m")&lt;=1,1,IF(AND(DATEDIF(#REF!,U533,"m")&gt;1,DATEDIF(#REF!,U533,"m")&lt;12),2,IF(AND(DATEDIF(#REF!,U533,"m")&gt;=12,DATEDIF(#REF!,U533,"m")&lt;24),3,IF(DATEDIF(#REF!,U533,"m")&gt;=24,4,"")))),IF(E533="r0320 - Deposits, not covered and not preferential",1,4))</f>
        <v>4</v>
      </c>
    </row>
    <row r="534" spans="3:29" ht="36.75" thickBot="1" x14ac:dyDescent="0.3">
      <c r="C534" s="11">
        <v>999</v>
      </c>
      <c r="D534" s="154">
        <v>527</v>
      </c>
      <c r="E534" s="154" t="s">
        <v>1898</v>
      </c>
      <c r="F534" s="154" t="s">
        <v>87</v>
      </c>
      <c r="G534" s="154" t="s">
        <v>1402</v>
      </c>
      <c r="H534" s="154" t="s">
        <v>57</v>
      </c>
      <c r="I534" s="154" t="s">
        <v>99</v>
      </c>
      <c r="J534" s="154" t="s">
        <v>90</v>
      </c>
      <c r="K534" s="154" t="s">
        <v>91</v>
      </c>
      <c r="L534" s="154" t="s">
        <v>1897</v>
      </c>
      <c r="M534" s="154" t="s">
        <v>1383</v>
      </c>
      <c r="N534" s="154" t="s">
        <v>61</v>
      </c>
      <c r="O534" s="154" t="s">
        <v>62</v>
      </c>
      <c r="P534" s="146">
        <v>1151699.06</v>
      </c>
      <c r="Q534" s="146">
        <v>0</v>
      </c>
      <c r="R534" s="154" t="s">
        <v>1384</v>
      </c>
      <c r="S534" s="154" t="s">
        <v>1899</v>
      </c>
      <c r="T534" s="155" t="s">
        <v>1899</v>
      </c>
      <c r="U534" s="155" t="s">
        <v>1899</v>
      </c>
      <c r="V534" s="154" t="s">
        <v>1562</v>
      </c>
      <c r="W534" s="154">
        <v>0</v>
      </c>
      <c r="X534" s="154" t="s">
        <v>63</v>
      </c>
      <c r="Y534" s="154" t="s">
        <v>1900</v>
      </c>
      <c r="Z534" s="154"/>
      <c r="AA534" s="154" t="s">
        <v>1387</v>
      </c>
      <c r="AB534" s="154">
        <v>0</v>
      </c>
      <c r="AC534" s="138">
        <f>IFERROR(IF(DATEDIF(#REF!,U534,"m")&lt;=1,1,IF(AND(DATEDIF(#REF!,U534,"m")&gt;1,DATEDIF(#REF!,U534,"m")&lt;12),2,IF(AND(DATEDIF(#REF!,U534,"m")&gt;=12,DATEDIF(#REF!,U534,"m")&lt;24),3,IF(DATEDIF(#REF!,U534,"m")&gt;=24,4,"")))),IF(E534="r0320 - Deposits, not covered and not preferential",1,4))</f>
        <v>4</v>
      </c>
    </row>
    <row r="535" spans="3:29" ht="36.75" thickBot="1" x14ac:dyDescent="0.3">
      <c r="C535" s="11">
        <v>999</v>
      </c>
      <c r="D535" s="154">
        <v>528</v>
      </c>
      <c r="E535" s="154" t="s">
        <v>1898</v>
      </c>
      <c r="F535" s="154" t="s">
        <v>87</v>
      </c>
      <c r="G535" s="154" t="s">
        <v>1402</v>
      </c>
      <c r="H535" s="154" t="s">
        <v>962</v>
      </c>
      <c r="I535" s="154" t="s">
        <v>99</v>
      </c>
      <c r="J535" s="154" t="s">
        <v>90</v>
      </c>
      <c r="K535" s="154" t="s">
        <v>91</v>
      </c>
      <c r="L535" s="154" t="s">
        <v>1897</v>
      </c>
      <c r="M535" s="154" t="s">
        <v>1383</v>
      </c>
      <c r="N535" s="154" t="s">
        <v>61</v>
      </c>
      <c r="O535" s="154" t="s">
        <v>62</v>
      </c>
      <c r="P535" s="146">
        <v>0.06</v>
      </c>
      <c r="Q535" s="146">
        <v>0</v>
      </c>
      <c r="R535" s="154" t="s">
        <v>1384</v>
      </c>
      <c r="S535" s="154" t="s">
        <v>1899</v>
      </c>
      <c r="T535" s="155" t="s">
        <v>1899</v>
      </c>
      <c r="U535" s="155" t="s">
        <v>1899</v>
      </c>
      <c r="V535" s="154" t="s">
        <v>1562</v>
      </c>
      <c r="W535" s="154">
        <v>0</v>
      </c>
      <c r="X535" s="154" t="s">
        <v>63</v>
      </c>
      <c r="Y535" s="154" t="s">
        <v>1900</v>
      </c>
      <c r="Z535" s="154"/>
      <c r="AA535" s="154" t="s">
        <v>1387</v>
      </c>
      <c r="AB535" s="154">
        <v>0</v>
      </c>
      <c r="AC535" s="138">
        <f>IFERROR(IF(DATEDIF(#REF!,U535,"m")&lt;=1,1,IF(AND(DATEDIF(#REF!,U535,"m")&gt;1,DATEDIF(#REF!,U535,"m")&lt;12),2,IF(AND(DATEDIF(#REF!,U535,"m")&gt;=12,DATEDIF(#REF!,U535,"m")&lt;24),3,IF(DATEDIF(#REF!,U535,"m")&gt;=24,4,"")))),IF(E535="r0320 - Deposits, not covered and not preferential",1,4))</f>
        <v>4</v>
      </c>
    </row>
    <row r="536" spans="3:29" ht="36.75" thickBot="1" x14ac:dyDescent="0.3">
      <c r="C536" s="11">
        <v>999</v>
      </c>
      <c r="D536" s="154">
        <v>529</v>
      </c>
      <c r="E536" s="154" t="s">
        <v>1898</v>
      </c>
      <c r="F536" s="154" t="s">
        <v>56</v>
      </c>
      <c r="G536" s="154" t="s">
        <v>1402</v>
      </c>
      <c r="H536" s="154" t="s">
        <v>604</v>
      </c>
      <c r="I536" s="154" t="s">
        <v>66</v>
      </c>
      <c r="J536" s="154" t="s">
        <v>67</v>
      </c>
      <c r="K536" s="154" t="s">
        <v>60</v>
      </c>
      <c r="L536" s="154" t="s">
        <v>1897</v>
      </c>
      <c r="M536" s="154" t="s">
        <v>1383</v>
      </c>
      <c r="N536" s="154" t="s">
        <v>61</v>
      </c>
      <c r="O536" s="154" t="s">
        <v>62</v>
      </c>
      <c r="P536" s="146">
        <v>0.93</v>
      </c>
      <c r="Q536" s="146">
        <v>0</v>
      </c>
      <c r="R536" s="154" t="s">
        <v>1384</v>
      </c>
      <c r="S536" s="154" t="s">
        <v>1899</v>
      </c>
      <c r="T536" s="155" t="s">
        <v>1899</v>
      </c>
      <c r="U536" s="155" t="s">
        <v>1899</v>
      </c>
      <c r="V536" s="154" t="s">
        <v>1562</v>
      </c>
      <c r="W536" s="154">
        <v>0</v>
      </c>
      <c r="X536" s="154" t="s">
        <v>63</v>
      </c>
      <c r="Y536" s="154" t="s">
        <v>1900</v>
      </c>
      <c r="Z536" s="154"/>
      <c r="AA536" s="154" t="s">
        <v>1387</v>
      </c>
      <c r="AB536" s="154">
        <v>0</v>
      </c>
      <c r="AC536" s="138">
        <f>IFERROR(IF(DATEDIF(#REF!,U536,"m")&lt;=1,1,IF(AND(DATEDIF(#REF!,U536,"m")&gt;1,DATEDIF(#REF!,U536,"m")&lt;12),2,IF(AND(DATEDIF(#REF!,U536,"m")&gt;=12,DATEDIF(#REF!,U536,"m")&lt;24),3,IF(DATEDIF(#REF!,U536,"m")&gt;=24,4,"")))),IF(E536="r0320 - Deposits, not covered and not preferential",1,4))</f>
        <v>4</v>
      </c>
    </row>
    <row r="537" spans="3:29" ht="36.75" thickBot="1" x14ac:dyDescent="0.3">
      <c r="C537" s="11">
        <v>999</v>
      </c>
      <c r="D537" s="154">
        <v>530</v>
      </c>
      <c r="E537" s="154" t="s">
        <v>1898</v>
      </c>
      <c r="F537" s="154" t="s">
        <v>87</v>
      </c>
      <c r="G537" s="154" t="s">
        <v>1402</v>
      </c>
      <c r="H537" s="154" t="s">
        <v>966</v>
      </c>
      <c r="I537" s="154" t="s">
        <v>99</v>
      </c>
      <c r="J537" s="154" t="s">
        <v>90</v>
      </c>
      <c r="K537" s="154" t="s">
        <v>91</v>
      </c>
      <c r="L537" s="154" t="s">
        <v>1897</v>
      </c>
      <c r="M537" s="154" t="s">
        <v>1383</v>
      </c>
      <c r="N537" s="154" t="s">
        <v>61</v>
      </c>
      <c r="O537" s="154" t="s">
        <v>62</v>
      </c>
      <c r="P537" s="146">
        <v>0.14000000000000001</v>
      </c>
      <c r="Q537" s="146">
        <v>0</v>
      </c>
      <c r="R537" s="154" t="s">
        <v>1384</v>
      </c>
      <c r="S537" s="154" t="s">
        <v>1899</v>
      </c>
      <c r="T537" s="155" t="s">
        <v>1899</v>
      </c>
      <c r="U537" s="155" t="s">
        <v>1899</v>
      </c>
      <c r="V537" s="154" t="s">
        <v>1562</v>
      </c>
      <c r="W537" s="154">
        <v>0</v>
      </c>
      <c r="X537" s="154" t="s">
        <v>63</v>
      </c>
      <c r="Y537" s="154" t="s">
        <v>1900</v>
      </c>
      <c r="Z537" s="154"/>
      <c r="AA537" s="154" t="s">
        <v>1387</v>
      </c>
      <c r="AB537" s="154">
        <v>0</v>
      </c>
      <c r="AC537" s="138">
        <f>IFERROR(IF(DATEDIF(#REF!,U537,"m")&lt;=1,1,IF(AND(DATEDIF(#REF!,U537,"m")&gt;1,DATEDIF(#REF!,U537,"m")&lt;12),2,IF(AND(DATEDIF(#REF!,U537,"m")&gt;=12,DATEDIF(#REF!,U537,"m")&lt;24),3,IF(DATEDIF(#REF!,U537,"m")&gt;=24,4,"")))),IF(E537="r0320 - Deposits, not covered and not preferential",1,4))</f>
        <v>4</v>
      </c>
    </row>
    <row r="538" spans="3:29" ht="48.75" thickBot="1" x14ac:dyDescent="0.3">
      <c r="C538" s="11">
        <v>999</v>
      </c>
      <c r="D538" s="154">
        <v>531</v>
      </c>
      <c r="E538" s="154" t="s">
        <v>1902</v>
      </c>
      <c r="F538" s="154" t="s">
        <v>83</v>
      </c>
      <c r="G538" s="154" t="s">
        <v>1903</v>
      </c>
      <c r="H538" s="154" t="s">
        <v>584</v>
      </c>
      <c r="I538" s="154" t="s">
        <v>101</v>
      </c>
      <c r="J538" s="154" t="s">
        <v>102</v>
      </c>
      <c r="K538" s="154" t="s">
        <v>60</v>
      </c>
      <c r="L538" s="154" t="s">
        <v>1897</v>
      </c>
      <c r="M538" s="154" t="s">
        <v>1388</v>
      </c>
      <c r="N538" s="154" t="s">
        <v>61</v>
      </c>
      <c r="O538" s="154" t="s">
        <v>62</v>
      </c>
      <c r="P538" s="146">
        <v>1953113.64</v>
      </c>
      <c r="Q538" s="146">
        <v>1116.53</v>
      </c>
      <c r="R538" s="154" t="s">
        <v>1384</v>
      </c>
      <c r="S538" s="154" t="s">
        <v>1899</v>
      </c>
      <c r="T538" s="155" t="s">
        <v>768</v>
      </c>
      <c r="U538" s="155" t="s">
        <v>1899</v>
      </c>
      <c r="V538" s="154" t="s">
        <v>1904</v>
      </c>
      <c r="W538" s="154">
        <v>0</v>
      </c>
      <c r="X538" s="154" t="s">
        <v>63</v>
      </c>
      <c r="Y538" s="154" t="s">
        <v>1386</v>
      </c>
      <c r="Z538" s="154"/>
      <c r="AA538" s="154" t="s">
        <v>1387</v>
      </c>
      <c r="AB538" s="154">
        <v>0</v>
      </c>
      <c r="AC538" s="138">
        <f>IFERROR(IF(DATEDIF(#REF!,U538,"m")&lt;=1,1,IF(AND(DATEDIF(#REF!,U538,"m")&gt;1,DATEDIF(#REF!,U538,"m")&lt;12),2,IF(AND(DATEDIF(#REF!,U538,"m")&gt;=12,DATEDIF(#REF!,U538,"m")&lt;24),3,IF(DATEDIF(#REF!,U538,"m")&gt;=24,4,"")))),IF(E538="r0320 - Deposits, not covered and not preferential",1,4))</f>
        <v>4</v>
      </c>
    </row>
    <row r="539" spans="3:29" ht="36.75" thickBot="1" x14ac:dyDescent="0.3">
      <c r="C539" s="11">
        <v>999</v>
      </c>
      <c r="D539" s="154">
        <v>532</v>
      </c>
      <c r="E539" s="154" t="s">
        <v>1898</v>
      </c>
      <c r="F539" s="154" t="s">
        <v>87</v>
      </c>
      <c r="G539" s="154" t="s">
        <v>1402</v>
      </c>
      <c r="H539" s="154" t="s">
        <v>970</v>
      </c>
      <c r="I539" s="154" t="s">
        <v>99</v>
      </c>
      <c r="J539" s="154" t="s">
        <v>90</v>
      </c>
      <c r="K539" s="154" t="s">
        <v>91</v>
      </c>
      <c r="L539" s="154" t="s">
        <v>1897</v>
      </c>
      <c r="M539" s="154" t="s">
        <v>1383</v>
      </c>
      <c r="N539" s="154" t="s">
        <v>61</v>
      </c>
      <c r="O539" s="154" t="s">
        <v>62</v>
      </c>
      <c r="P539" s="146">
        <v>0.01</v>
      </c>
      <c r="Q539" s="146">
        <v>0</v>
      </c>
      <c r="R539" s="154" t="s">
        <v>1384</v>
      </c>
      <c r="S539" s="154" t="s">
        <v>1899</v>
      </c>
      <c r="T539" s="155" t="s">
        <v>1899</v>
      </c>
      <c r="U539" s="155" t="s">
        <v>1899</v>
      </c>
      <c r="V539" s="154" t="s">
        <v>1562</v>
      </c>
      <c r="W539" s="154">
        <v>0</v>
      </c>
      <c r="X539" s="154" t="s">
        <v>63</v>
      </c>
      <c r="Y539" s="154" t="s">
        <v>1900</v>
      </c>
      <c r="Z539" s="154"/>
      <c r="AA539" s="154" t="s">
        <v>1387</v>
      </c>
      <c r="AB539" s="154">
        <v>0</v>
      </c>
      <c r="AC539" s="138">
        <f>IFERROR(IF(DATEDIF(#REF!,U539,"m")&lt;=1,1,IF(AND(DATEDIF(#REF!,U539,"m")&gt;1,DATEDIF(#REF!,U539,"m")&lt;12),2,IF(AND(DATEDIF(#REF!,U539,"m")&gt;=12,DATEDIF(#REF!,U539,"m")&lt;24),3,IF(DATEDIF(#REF!,U539,"m")&gt;=24,4,"")))),IF(E539="r0320 - Deposits, not covered and not preferential",1,4))</f>
        <v>4</v>
      </c>
    </row>
    <row r="540" spans="3:29" ht="36.75" thickBot="1" x14ac:dyDescent="0.3">
      <c r="C540" s="11">
        <v>999</v>
      </c>
      <c r="D540" s="154">
        <v>533</v>
      </c>
      <c r="E540" s="154" t="s">
        <v>1898</v>
      </c>
      <c r="F540" s="154" t="s">
        <v>56</v>
      </c>
      <c r="G540" s="154" t="s">
        <v>1402</v>
      </c>
      <c r="H540" s="154" t="s">
        <v>601</v>
      </c>
      <c r="I540" s="154" t="s">
        <v>72</v>
      </c>
      <c r="J540" s="154" t="s">
        <v>73</v>
      </c>
      <c r="K540" s="154" t="s">
        <v>60</v>
      </c>
      <c r="L540" s="154" t="s">
        <v>1897</v>
      </c>
      <c r="M540" s="154" t="s">
        <v>1388</v>
      </c>
      <c r="N540" s="154" t="s">
        <v>61</v>
      </c>
      <c r="O540" s="154" t="s">
        <v>62</v>
      </c>
      <c r="P540" s="146">
        <v>221.69</v>
      </c>
      <c r="Q540" s="146">
        <v>0</v>
      </c>
      <c r="R540" s="154" t="s">
        <v>1384</v>
      </c>
      <c r="S540" s="154" t="s">
        <v>1899</v>
      </c>
      <c r="T540" s="155" t="s">
        <v>1899</v>
      </c>
      <c r="U540" s="155" t="s">
        <v>1899</v>
      </c>
      <c r="V540" s="154" t="s">
        <v>1562</v>
      </c>
      <c r="W540" s="154">
        <v>0</v>
      </c>
      <c r="X540" s="154" t="s">
        <v>63</v>
      </c>
      <c r="Y540" s="154" t="s">
        <v>1900</v>
      </c>
      <c r="Z540" s="154"/>
      <c r="AA540" s="154" t="s">
        <v>1387</v>
      </c>
      <c r="AB540" s="154">
        <v>0</v>
      </c>
      <c r="AC540" s="138">
        <f>IFERROR(IF(DATEDIF(#REF!,U540,"m")&lt;=1,1,IF(AND(DATEDIF(#REF!,U540,"m")&gt;1,DATEDIF(#REF!,U540,"m")&lt;12),2,IF(AND(DATEDIF(#REF!,U540,"m")&gt;=12,DATEDIF(#REF!,U540,"m")&lt;24),3,IF(DATEDIF(#REF!,U540,"m")&gt;=24,4,"")))),IF(E540="r0320 - Deposits, not covered and not preferential",1,4))</f>
        <v>4</v>
      </c>
    </row>
    <row r="541" spans="3:29" ht="36.75" thickBot="1" x14ac:dyDescent="0.3">
      <c r="C541" s="11">
        <v>999</v>
      </c>
      <c r="D541" s="154">
        <v>534</v>
      </c>
      <c r="E541" s="154" t="s">
        <v>1898</v>
      </c>
      <c r="F541" s="154" t="s">
        <v>87</v>
      </c>
      <c r="G541" s="154" t="s">
        <v>1402</v>
      </c>
      <c r="H541" s="154" t="s">
        <v>974</v>
      </c>
      <c r="I541" s="154" t="s">
        <v>99</v>
      </c>
      <c r="J541" s="154" t="s">
        <v>90</v>
      </c>
      <c r="K541" s="154" t="s">
        <v>91</v>
      </c>
      <c r="L541" s="154" t="s">
        <v>1897</v>
      </c>
      <c r="M541" s="154" t="s">
        <v>1383</v>
      </c>
      <c r="N541" s="154" t="s">
        <v>61</v>
      </c>
      <c r="O541" s="154" t="s">
        <v>62</v>
      </c>
      <c r="P541" s="146">
        <v>0.03</v>
      </c>
      <c r="Q541" s="146">
        <v>0</v>
      </c>
      <c r="R541" s="154" t="s">
        <v>1384</v>
      </c>
      <c r="S541" s="154" t="s">
        <v>1899</v>
      </c>
      <c r="T541" s="155" t="s">
        <v>1899</v>
      </c>
      <c r="U541" s="155" t="s">
        <v>1899</v>
      </c>
      <c r="V541" s="154" t="s">
        <v>1562</v>
      </c>
      <c r="W541" s="154">
        <v>0</v>
      </c>
      <c r="X541" s="154" t="s">
        <v>63</v>
      </c>
      <c r="Y541" s="154" t="s">
        <v>1900</v>
      </c>
      <c r="Z541" s="154"/>
      <c r="AA541" s="154" t="s">
        <v>1387</v>
      </c>
      <c r="AB541" s="154">
        <v>0</v>
      </c>
      <c r="AC541" s="138">
        <f>IFERROR(IF(DATEDIF(#REF!,U541,"m")&lt;=1,1,IF(AND(DATEDIF(#REF!,U541,"m")&gt;1,DATEDIF(#REF!,U541,"m")&lt;12),2,IF(AND(DATEDIF(#REF!,U541,"m")&gt;=12,DATEDIF(#REF!,U541,"m")&lt;24),3,IF(DATEDIF(#REF!,U541,"m")&gt;=24,4,"")))),IF(E541="r0320 - Deposits, not covered and not preferential",1,4))</f>
        <v>4</v>
      </c>
    </row>
    <row r="542" spans="3:29" ht="48.75" thickBot="1" x14ac:dyDescent="0.3">
      <c r="C542" s="11">
        <v>999</v>
      </c>
      <c r="D542" s="154">
        <v>535</v>
      </c>
      <c r="E542" s="154" t="s">
        <v>1902</v>
      </c>
      <c r="F542" s="154" t="s">
        <v>83</v>
      </c>
      <c r="G542" s="154" t="s">
        <v>1903</v>
      </c>
      <c r="H542" s="154" t="s">
        <v>559</v>
      </c>
      <c r="I542" s="154" t="s">
        <v>93</v>
      </c>
      <c r="J542" s="154" t="s">
        <v>94</v>
      </c>
      <c r="K542" s="154" t="s">
        <v>60</v>
      </c>
      <c r="L542" s="154" t="s">
        <v>1897</v>
      </c>
      <c r="M542" s="154" t="s">
        <v>1388</v>
      </c>
      <c r="N542" s="154" t="s">
        <v>61</v>
      </c>
      <c r="O542" s="154" t="s">
        <v>62</v>
      </c>
      <c r="P542" s="146">
        <v>117772.99</v>
      </c>
      <c r="Q542" s="146">
        <v>-0.42</v>
      </c>
      <c r="R542" s="154" t="s">
        <v>1384</v>
      </c>
      <c r="S542" s="154" t="s">
        <v>1899</v>
      </c>
      <c r="T542" s="155" t="s">
        <v>768</v>
      </c>
      <c r="U542" s="155" t="s">
        <v>1899</v>
      </c>
      <c r="V542" s="154" t="s">
        <v>1904</v>
      </c>
      <c r="W542" s="154">
        <v>0</v>
      </c>
      <c r="X542" s="154" t="s">
        <v>63</v>
      </c>
      <c r="Y542" s="154" t="s">
        <v>1386</v>
      </c>
      <c r="Z542" s="154"/>
      <c r="AA542" s="154" t="s">
        <v>1387</v>
      </c>
      <c r="AB542" s="154">
        <v>0</v>
      </c>
      <c r="AC542" s="138">
        <f>IFERROR(IF(DATEDIF(#REF!,U542,"m")&lt;=1,1,IF(AND(DATEDIF(#REF!,U542,"m")&gt;1,DATEDIF(#REF!,U542,"m")&lt;12),2,IF(AND(DATEDIF(#REF!,U542,"m")&gt;=12,DATEDIF(#REF!,U542,"m")&lt;24),3,IF(DATEDIF(#REF!,U542,"m")&gt;=24,4,"")))),IF(E542="r0320 - Deposits, not covered and not preferential",1,4))</f>
        <v>4</v>
      </c>
    </row>
    <row r="543" spans="3:29" ht="36.75" thickBot="1" x14ac:dyDescent="0.3">
      <c r="C543" s="11">
        <v>999</v>
      </c>
      <c r="D543" s="154">
        <v>536</v>
      </c>
      <c r="E543" s="154" t="s">
        <v>1898</v>
      </c>
      <c r="F543" s="154" t="s">
        <v>87</v>
      </c>
      <c r="G543" s="154" t="s">
        <v>1402</v>
      </c>
      <c r="H543" s="154" t="s">
        <v>977</v>
      </c>
      <c r="I543" s="154" t="s">
        <v>99</v>
      </c>
      <c r="J543" s="154" t="s">
        <v>90</v>
      </c>
      <c r="K543" s="154" t="s">
        <v>91</v>
      </c>
      <c r="L543" s="154" t="s">
        <v>1897</v>
      </c>
      <c r="M543" s="154" t="s">
        <v>1383</v>
      </c>
      <c r="N543" s="154" t="s">
        <v>61</v>
      </c>
      <c r="O543" s="154" t="s">
        <v>62</v>
      </c>
      <c r="P543" s="146">
        <v>0.01</v>
      </c>
      <c r="Q543" s="146">
        <v>0</v>
      </c>
      <c r="R543" s="154" t="s">
        <v>1384</v>
      </c>
      <c r="S543" s="154" t="s">
        <v>1899</v>
      </c>
      <c r="T543" s="155" t="s">
        <v>1899</v>
      </c>
      <c r="U543" s="155" t="s">
        <v>1899</v>
      </c>
      <c r="V543" s="154" t="s">
        <v>1562</v>
      </c>
      <c r="W543" s="154">
        <v>0</v>
      </c>
      <c r="X543" s="154" t="s">
        <v>63</v>
      </c>
      <c r="Y543" s="154" t="s">
        <v>1900</v>
      </c>
      <c r="Z543" s="154"/>
      <c r="AA543" s="154" t="s">
        <v>1387</v>
      </c>
      <c r="AB543" s="154">
        <v>0</v>
      </c>
      <c r="AC543" s="138">
        <f>IFERROR(IF(DATEDIF(#REF!,U543,"m")&lt;=1,1,IF(AND(DATEDIF(#REF!,U543,"m")&gt;1,DATEDIF(#REF!,U543,"m")&lt;12),2,IF(AND(DATEDIF(#REF!,U543,"m")&gt;=12,DATEDIF(#REF!,U543,"m")&lt;24),3,IF(DATEDIF(#REF!,U543,"m")&gt;=24,4,"")))),IF(E543="r0320 - Deposits, not covered and not preferential",1,4))</f>
        <v>4</v>
      </c>
    </row>
    <row r="544" spans="3:29" ht="36.75" thickBot="1" x14ac:dyDescent="0.3">
      <c r="C544" s="11">
        <v>999</v>
      </c>
      <c r="D544" s="154">
        <v>537</v>
      </c>
      <c r="E544" s="154" t="s">
        <v>1898</v>
      </c>
      <c r="F544" s="154" t="s">
        <v>87</v>
      </c>
      <c r="G544" s="154" t="s">
        <v>1402</v>
      </c>
      <c r="H544" s="154" t="s">
        <v>1052</v>
      </c>
      <c r="I544" s="154" t="s">
        <v>99</v>
      </c>
      <c r="J544" s="154" t="s">
        <v>90</v>
      </c>
      <c r="K544" s="154" t="s">
        <v>91</v>
      </c>
      <c r="L544" s="154" t="s">
        <v>1897</v>
      </c>
      <c r="M544" s="154" t="s">
        <v>1383</v>
      </c>
      <c r="N544" s="154" t="s">
        <v>61</v>
      </c>
      <c r="O544" s="154" t="s">
        <v>62</v>
      </c>
      <c r="P544" s="146">
        <v>0.01</v>
      </c>
      <c r="Q544" s="146">
        <v>0</v>
      </c>
      <c r="R544" s="154" t="s">
        <v>1384</v>
      </c>
      <c r="S544" s="154" t="s">
        <v>1899</v>
      </c>
      <c r="T544" s="155" t="s">
        <v>1899</v>
      </c>
      <c r="U544" s="155" t="s">
        <v>1899</v>
      </c>
      <c r="V544" s="154" t="s">
        <v>1562</v>
      </c>
      <c r="W544" s="154">
        <v>0</v>
      </c>
      <c r="X544" s="154" t="s">
        <v>63</v>
      </c>
      <c r="Y544" s="154" t="s">
        <v>1900</v>
      </c>
      <c r="Z544" s="154"/>
      <c r="AA544" s="154" t="s">
        <v>1387</v>
      </c>
      <c r="AB544" s="154">
        <v>0</v>
      </c>
      <c r="AC544" s="138">
        <f>IFERROR(IF(DATEDIF(#REF!,U544,"m")&lt;=1,1,IF(AND(DATEDIF(#REF!,U544,"m")&gt;1,DATEDIF(#REF!,U544,"m")&lt;12),2,IF(AND(DATEDIF(#REF!,U544,"m")&gt;=12,DATEDIF(#REF!,U544,"m")&lt;24),3,IF(DATEDIF(#REF!,U544,"m")&gt;=24,4,"")))),IF(E544="r0320 - Deposits, not covered and not preferential",1,4))</f>
        <v>4</v>
      </c>
    </row>
    <row r="545" spans="3:29" ht="36.75" thickBot="1" x14ac:dyDescent="0.3">
      <c r="C545" s="11">
        <v>999</v>
      </c>
      <c r="D545" s="154">
        <v>538</v>
      </c>
      <c r="E545" s="154" t="s">
        <v>1898</v>
      </c>
      <c r="F545" s="154" t="s">
        <v>56</v>
      </c>
      <c r="G545" s="154" t="s">
        <v>1402</v>
      </c>
      <c r="H545" s="154" t="s">
        <v>981</v>
      </c>
      <c r="I545" s="154" t="s">
        <v>72</v>
      </c>
      <c r="J545" s="154" t="s">
        <v>73</v>
      </c>
      <c r="K545" s="154" t="s">
        <v>60</v>
      </c>
      <c r="L545" s="154" t="s">
        <v>1897</v>
      </c>
      <c r="M545" s="154" t="s">
        <v>1388</v>
      </c>
      <c r="N545" s="154" t="s">
        <v>61</v>
      </c>
      <c r="O545" s="154" t="s">
        <v>62</v>
      </c>
      <c r="P545" s="146">
        <v>5.1100000000000003</v>
      </c>
      <c r="Q545" s="146">
        <v>0</v>
      </c>
      <c r="R545" s="154" t="s">
        <v>1384</v>
      </c>
      <c r="S545" s="154" t="s">
        <v>1899</v>
      </c>
      <c r="T545" s="155" t="s">
        <v>1899</v>
      </c>
      <c r="U545" s="155" t="s">
        <v>1899</v>
      </c>
      <c r="V545" s="154" t="s">
        <v>1562</v>
      </c>
      <c r="W545" s="154">
        <v>0</v>
      </c>
      <c r="X545" s="154" t="s">
        <v>63</v>
      </c>
      <c r="Y545" s="154" t="s">
        <v>1900</v>
      </c>
      <c r="Z545" s="154"/>
      <c r="AA545" s="154" t="s">
        <v>1387</v>
      </c>
      <c r="AB545" s="154">
        <v>0</v>
      </c>
      <c r="AC545" s="138">
        <f>IFERROR(IF(DATEDIF(#REF!,U545,"m")&lt;=1,1,IF(AND(DATEDIF(#REF!,U545,"m")&gt;1,DATEDIF(#REF!,U545,"m")&lt;12),2,IF(AND(DATEDIF(#REF!,U545,"m")&gt;=12,DATEDIF(#REF!,U545,"m")&lt;24),3,IF(DATEDIF(#REF!,U545,"m")&gt;=24,4,"")))),IF(E545="r0320 - Deposits, not covered and not preferential",1,4))</f>
        <v>4</v>
      </c>
    </row>
    <row r="546" spans="3:29" ht="48.75" thickBot="1" x14ac:dyDescent="0.3">
      <c r="C546" s="11">
        <v>999</v>
      </c>
      <c r="D546" s="154">
        <v>539</v>
      </c>
      <c r="E546" s="154" t="s">
        <v>1902</v>
      </c>
      <c r="F546" s="154" t="s">
        <v>83</v>
      </c>
      <c r="G546" s="154" t="s">
        <v>1903</v>
      </c>
      <c r="H546" s="154" t="s">
        <v>537</v>
      </c>
      <c r="I546" s="154" t="s">
        <v>114</v>
      </c>
      <c r="J546" s="154" t="s">
        <v>115</v>
      </c>
      <c r="K546" s="154" t="s">
        <v>60</v>
      </c>
      <c r="L546" s="154" t="s">
        <v>1897</v>
      </c>
      <c r="M546" s="154" t="s">
        <v>1388</v>
      </c>
      <c r="N546" s="154" t="s">
        <v>61</v>
      </c>
      <c r="O546" s="154" t="s">
        <v>62</v>
      </c>
      <c r="P546" s="146">
        <v>106890.09</v>
      </c>
      <c r="Q546" s="146">
        <v>124.56</v>
      </c>
      <c r="R546" s="154" t="s">
        <v>1384</v>
      </c>
      <c r="S546" s="154" t="s">
        <v>1899</v>
      </c>
      <c r="T546" s="155" t="s">
        <v>768</v>
      </c>
      <c r="U546" s="155" t="s">
        <v>1899</v>
      </c>
      <c r="V546" s="154" t="s">
        <v>1904</v>
      </c>
      <c r="W546" s="154">
        <v>0</v>
      </c>
      <c r="X546" s="154" t="s">
        <v>63</v>
      </c>
      <c r="Y546" s="154" t="s">
        <v>1386</v>
      </c>
      <c r="Z546" s="154"/>
      <c r="AA546" s="154" t="s">
        <v>1387</v>
      </c>
      <c r="AB546" s="154">
        <v>0</v>
      </c>
      <c r="AC546" s="138">
        <f>IFERROR(IF(DATEDIF(#REF!,U546,"m")&lt;=1,1,IF(AND(DATEDIF(#REF!,U546,"m")&gt;1,DATEDIF(#REF!,U546,"m")&lt;12),2,IF(AND(DATEDIF(#REF!,U546,"m")&gt;=12,DATEDIF(#REF!,U546,"m")&lt;24),3,IF(DATEDIF(#REF!,U546,"m")&gt;=24,4,"")))),IF(E546="r0320 - Deposits, not covered and not preferential",1,4))</f>
        <v>4</v>
      </c>
    </row>
    <row r="547" spans="3:29" ht="36.75" thickBot="1" x14ac:dyDescent="0.3">
      <c r="C547" s="11">
        <v>999</v>
      </c>
      <c r="D547" s="154">
        <v>540</v>
      </c>
      <c r="E547" s="154" t="s">
        <v>1898</v>
      </c>
      <c r="F547" s="154" t="s">
        <v>56</v>
      </c>
      <c r="G547" s="154" t="s">
        <v>1402</v>
      </c>
      <c r="H547" s="154" t="s">
        <v>984</v>
      </c>
      <c r="I547" s="154" t="s">
        <v>72</v>
      </c>
      <c r="J547" s="154" t="s">
        <v>73</v>
      </c>
      <c r="K547" s="154" t="s">
        <v>60</v>
      </c>
      <c r="L547" s="154" t="s">
        <v>1897</v>
      </c>
      <c r="M547" s="154" t="s">
        <v>1388</v>
      </c>
      <c r="N547" s="154" t="s">
        <v>61</v>
      </c>
      <c r="O547" s="154" t="s">
        <v>62</v>
      </c>
      <c r="P547" s="146">
        <v>4.6500000000000004</v>
      </c>
      <c r="Q547" s="146">
        <v>0</v>
      </c>
      <c r="R547" s="154" t="s">
        <v>1384</v>
      </c>
      <c r="S547" s="154" t="s">
        <v>1899</v>
      </c>
      <c r="T547" s="155" t="s">
        <v>1899</v>
      </c>
      <c r="U547" s="155" t="s">
        <v>1899</v>
      </c>
      <c r="V547" s="154" t="s">
        <v>1562</v>
      </c>
      <c r="W547" s="154">
        <v>0</v>
      </c>
      <c r="X547" s="154" t="s">
        <v>63</v>
      </c>
      <c r="Y547" s="154" t="s">
        <v>1900</v>
      </c>
      <c r="Z547" s="154"/>
      <c r="AA547" s="154" t="s">
        <v>1387</v>
      </c>
      <c r="AB547" s="154">
        <v>0</v>
      </c>
      <c r="AC547" s="138">
        <f>IFERROR(IF(DATEDIF(#REF!,U547,"m")&lt;=1,1,IF(AND(DATEDIF(#REF!,U547,"m")&gt;1,DATEDIF(#REF!,U547,"m")&lt;12),2,IF(AND(DATEDIF(#REF!,U547,"m")&gt;=12,DATEDIF(#REF!,U547,"m")&lt;24),3,IF(DATEDIF(#REF!,U547,"m")&gt;=24,4,"")))),IF(E547="r0320 - Deposits, not covered and not preferential",1,4))</f>
        <v>4</v>
      </c>
    </row>
    <row r="548" spans="3:29" ht="36.75" thickBot="1" x14ac:dyDescent="0.3">
      <c r="C548" s="11">
        <v>999</v>
      </c>
      <c r="D548" s="154">
        <v>541</v>
      </c>
      <c r="E548" s="154" t="s">
        <v>1898</v>
      </c>
      <c r="F548" s="154" t="s">
        <v>87</v>
      </c>
      <c r="G548" s="154" t="s">
        <v>1402</v>
      </c>
      <c r="H548" s="154" t="s">
        <v>999</v>
      </c>
      <c r="I548" s="154" t="s">
        <v>99</v>
      </c>
      <c r="J548" s="154" t="s">
        <v>90</v>
      </c>
      <c r="K548" s="154" t="s">
        <v>91</v>
      </c>
      <c r="L548" s="154" t="s">
        <v>1897</v>
      </c>
      <c r="M548" s="154" t="s">
        <v>1383</v>
      </c>
      <c r="N548" s="154" t="s">
        <v>61</v>
      </c>
      <c r="O548" s="154" t="s">
        <v>62</v>
      </c>
      <c r="P548" s="146">
        <v>0.01</v>
      </c>
      <c r="Q548" s="146">
        <v>0</v>
      </c>
      <c r="R548" s="154" t="s">
        <v>1384</v>
      </c>
      <c r="S548" s="154" t="s">
        <v>1899</v>
      </c>
      <c r="T548" s="155" t="s">
        <v>1899</v>
      </c>
      <c r="U548" s="155" t="s">
        <v>1899</v>
      </c>
      <c r="V548" s="154" t="s">
        <v>1562</v>
      </c>
      <c r="W548" s="154">
        <v>0</v>
      </c>
      <c r="X548" s="154" t="s">
        <v>63</v>
      </c>
      <c r="Y548" s="154" t="s">
        <v>1900</v>
      </c>
      <c r="Z548" s="154"/>
      <c r="AA548" s="154" t="s">
        <v>1387</v>
      </c>
      <c r="AB548" s="154">
        <v>0</v>
      </c>
      <c r="AC548" s="138">
        <f>IFERROR(IF(DATEDIF(#REF!,U548,"m")&lt;=1,1,IF(AND(DATEDIF(#REF!,U548,"m")&gt;1,DATEDIF(#REF!,U548,"m")&lt;12),2,IF(AND(DATEDIF(#REF!,U548,"m")&gt;=12,DATEDIF(#REF!,U548,"m")&lt;24),3,IF(DATEDIF(#REF!,U548,"m")&gt;=24,4,"")))),IF(E548="r0320 - Deposits, not covered and not preferential",1,4))</f>
        <v>4</v>
      </c>
    </row>
    <row r="549" spans="3:29" ht="36.75" thickBot="1" x14ac:dyDescent="0.3">
      <c r="C549" s="11">
        <v>999</v>
      </c>
      <c r="D549" s="154">
        <v>542</v>
      </c>
      <c r="E549" s="154" t="s">
        <v>1898</v>
      </c>
      <c r="F549" s="154" t="s">
        <v>56</v>
      </c>
      <c r="G549" s="154" t="s">
        <v>1402</v>
      </c>
      <c r="H549" s="154" t="s">
        <v>988</v>
      </c>
      <c r="I549" s="154" t="s">
        <v>72</v>
      </c>
      <c r="J549" s="154" t="s">
        <v>73</v>
      </c>
      <c r="K549" s="154" t="s">
        <v>60</v>
      </c>
      <c r="L549" s="154" t="s">
        <v>1897</v>
      </c>
      <c r="M549" s="154" t="s">
        <v>1388</v>
      </c>
      <c r="N549" s="154" t="s">
        <v>61</v>
      </c>
      <c r="O549" s="154" t="s">
        <v>62</v>
      </c>
      <c r="P549" s="146">
        <v>7.15</v>
      </c>
      <c r="Q549" s="146">
        <v>0</v>
      </c>
      <c r="R549" s="154" t="s">
        <v>1384</v>
      </c>
      <c r="S549" s="154" t="s">
        <v>1899</v>
      </c>
      <c r="T549" s="155" t="s">
        <v>1899</v>
      </c>
      <c r="U549" s="155" t="s">
        <v>1899</v>
      </c>
      <c r="V549" s="154" t="s">
        <v>1562</v>
      </c>
      <c r="W549" s="154">
        <v>0</v>
      </c>
      <c r="X549" s="154" t="s">
        <v>63</v>
      </c>
      <c r="Y549" s="154" t="s">
        <v>1900</v>
      </c>
      <c r="Z549" s="154"/>
      <c r="AA549" s="154" t="s">
        <v>1387</v>
      </c>
      <c r="AB549" s="154">
        <v>0</v>
      </c>
      <c r="AC549" s="138">
        <f>IFERROR(IF(DATEDIF(#REF!,U549,"m")&lt;=1,1,IF(AND(DATEDIF(#REF!,U549,"m")&gt;1,DATEDIF(#REF!,U549,"m")&lt;12),2,IF(AND(DATEDIF(#REF!,U549,"m")&gt;=12,DATEDIF(#REF!,U549,"m")&lt;24),3,IF(DATEDIF(#REF!,U549,"m")&gt;=24,4,"")))),IF(E549="r0320 - Deposits, not covered and not preferential",1,4))</f>
        <v>4</v>
      </c>
    </row>
    <row r="550" spans="3:29" ht="36.75" thickBot="1" x14ac:dyDescent="0.3">
      <c r="C550" s="11">
        <v>999</v>
      </c>
      <c r="D550" s="154">
        <v>543</v>
      </c>
      <c r="E550" s="154" t="s">
        <v>1898</v>
      </c>
      <c r="F550" s="154" t="s">
        <v>83</v>
      </c>
      <c r="G550" s="154" t="s">
        <v>1402</v>
      </c>
      <c r="H550" s="154" t="s">
        <v>57</v>
      </c>
      <c r="I550" s="154" t="s">
        <v>901</v>
      </c>
      <c r="J550" s="154" t="s">
        <v>902</v>
      </c>
      <c r="K550" s="154" t="s">
        <v>60</v>
      </c>
      <c r="L550" s="154" t="s">
        <v>1897</v>
      </c>
      <c r="M550" s="154" t="s">
        <v>1383</v>
      </c>
      <c r="N550" s="154" t="s">
        <v>61</v>
      </c>
      <c r="O550" s="154" t="s">
        <v>62</v>
      </c>
      <c r="P550" s="146">
        <v>145.66</v>
      </c>
      <c r="Q550" s="146">
        <v>0</v>
      </c>
      <c r="R550" s="154" t="s">
        <v>1384</v>
      </c>
      <c r="S550" s="154" t="s">
        <v>1899</v>
      </c>
      <c r="T550" s="155" t="s">
        <v>1899</v>
      </c>
      <c r="U550" s="155" t="s">
        <v>1899</v>
      </c>
      <c r="V550" s="154" t="s">
        <v>1562</v>
      </c>
      <c r="W550" s="154">
        <v>0</v>
      </c>
      <c r="X550" s="154" t="s">
        <v>63</v>
      </c>
      <c r="Y550" s="154" t="s">
        <v>1900</v>
      </c>
      <c r="Z550" s="154"/>
      <c r="AA550" s="154" t="s">
        <v>1387</v>
      </c>
      <c r="AB550" s="154">
        <v>0</v>
      </c>
      <c r="AC550" s="138">
        <f>IFERROR(IF(DATEDIF(#REF!,U550,"m")&lt;=1,1,IF(AND(DATEDIF(#REF!,U550,"m")&gt;1,DATEDIF(#REF!,U550,"m")&lt;12),2,IF(AND(DATEDIF(#REF!,U550,"m")&gt;=12,DATEDIF(#REF!,U550,"m")&lt;24),3,IF(DATEDIF(#REF!,U550,"m")&gt;=24,4,"")))),IF(E550="r0320 - Deposits, not covered and not preferential",1,4))</f>
        <v>4</v>
      </c>
    </row>
    <row r="551" spans="3:29" ht="36.75" thickBot="1" x14ac:dyDescent="0.3">
      <c r="C551" s="11">
        <v>999</v>
      </c>
      <c r="D551" s="154">
        <v>544</v>
      </c>
      <c r="E551" s="154" t="s">
        <v>1898</v>
      </c>
      <c r="F551" s="154" t="s">
        <v>56</v>
      </c>
      <c r="G551" s="154" t="s">
        <v>1402</v>
      </c>
      <c r="H551" s="154" t="s">
        <v>990</v>
      </c>
      <c r="I551" s="154" t="s">
        <v>72</v>
      </c>
      <c r="J551" s="154" t="s">
        <v>73</v>
      </c>
      <c r="K551" s="154" t="s">
        <v>60</v>
      </c>
      <c r="L551" s="154" t="s">
        <v>1897</v>
      </c>
      <c r="M551" s="154" t="s">
        <v>1388</v>
      </c>
      <c r="N551" s="154" t="s">
        <v>61</v>
      </c>
      <c r="O551" s="154" t="s">
        <v>62</v>
      </c>
      <c r="P551" s="146">
        <v>4.95</v>
      </c>
      <c r="Q551" s="146">
        <v>0</v>
      </c>
      <c r="R551" s="154" t="s">
        <v>1384</v>
      </c>
      <c r="S551" s="154" t="s">
        <v>1899</v>
      </c>
      <c r="T551" s="155" t="s">
        <v>1899</v>
      </c>
      <c r="U551" s="155" t="s">
        <v>1899</v>
      </c>
      <c r="V551" s="154" t="s">
        <v>1562</v>
      </c>
      <c r="W551" s="154">
        <v>0</v>
      </c>
      <c r="X551" s="154" t="s">
        <v>63</v>
      </c>
      <c r="Y551" s="154" t="s">
        <v>1900</v>
      </c>
      <c r="Z551" s="154"/>
      <c r="AA551" s="154" t="s">
        <v>1387</v>
      </c>
      <c r="AB551" s="154">
        <v>0</v>
      </c>
      <c r="AC551" s="138">
        <f>IFERROR(IF(DATEDIF(#REF!,U551,"m")&lt;=1,1,IF(AND(DATEDIF(#REF!,U551,"m")&gt;1,DATEDIF(#REF!,U551,"m")&lt;12),2,IF(AND(DATEDIF(#REF!,U551,"m")&gt;=12,DATEDIF(#REF!,U551,"m")&lt;24),3,IF(DATEDIF(#REF!,U551,"m")&gt;=24,4,"")))),IF(E551="r0320 - Deposits, not covered and not preferential",1,4))</f>
        <v>4</v>
      </c>
    </row>
    <row r="552" spans="3:29" ht="36.75" thickBot="1" x14ac:dyDescent="0.3">
      <c r="C552" s="11">
        <v>999</v>
      </c>
      <c r="D552" s="154">
        <v>545</v>
      </c>
      <c r="E552" s="154" t="s">
        <v>1898</v>
      </c>
      <c r="F552" s="154" t="s">
        <v>87</v>
      </c>
      <c r="G552" s="154" t="s">
        <v>1402</v>
      </c>
      <c r="H552" s="154" t="s">
        <v>619</v>
      </c>
      <c r="I552" s="154" t="s">
        <v>108</v>
      </c>
      <c r="J552" s="154" t="s">
        <v>90</v>
      </c>
      <c r="K552" s="154" t="s">
        <v>91</v>
      </c>
      <c r="L552" s="154" t="s">
        <v>1897</v>
      </c>
      <c r="M552" s="154" t="s">
        <v>1383</v>
      </c>
      <c r="N552" s="154" t="s">
        <v>61</v>
      </c>
      <c r="O552" s="154" t="s">
        <v>62</v>
      </c>
      <c r="P552" s="146">
        <v>1.4</v>
      </c>
      <c r="Q552" s="146">
        <v>0</v>
      </c>
      <c r="R552" s="154" t="s">
        <v>1384</v>
      </c>
      <c r="S552" s="154" t="s">
        <v>1899</v>
      </c>
      <c r="T552" s="155" t="s">
        <v>1899</v>
      </c>
      <c r="U552" s="155" t="s">
        <v>1899</v>
      </c>
      <c r="V552" s="154" t="s">
        <v>1562</v>
      </c>
      <c r="W552" s="154">
        <v>0</v>
      </c>
      <c r="X552" s="154" t="s">
        <v>63</v>
      </c>
      <c r="Y552" s="154" t="s">
        <v>1900</v>
      </c>
      <c r="Z552" s="154"/>
      <c r="AA552" s="154" t="s">
        <v>1387</v>
      </c>
      <c r="AB552" s="154">
        <v>0</v>
      </c>
      <c r="AC552" s="138">
        <f>IFERROR(IF(DATEDIF(#REF!,U552,"m")&lt;=1,1,IF(AND(DATEDIF(#REF!,U552,"m")&gt;1,DATEDIF(#REF!,U552,"m")&lt;12),2,IF(AND(DATEDIF(#REF!,U552,"m")&gt;=12,DATEDIF(#REF!,U552,"m")&lt;24),3,IF(DATEDIF(#REF!,U552,"m")&gt;=24,4,"")))),IF(E552="r0320 - Deposits, not covered and not preferential",1,4))</f>
        <v>4</v>
      </c>
    </row>
    <row r="553" spans="3:29" ht="36.75" thickBot="1" x14ac:dyDescent="0.3">
      <c r="C553" s="11">
        <v>999</v>
      </c>
      <c r="D553" s="154">
        <v>546</v>
      </c>
      <c r="E553" s="154" t="s">
        <v>1898</v>
      </c>
      <c r="F553" s="154" t="s">
        <v>87</v>
      </c>
      <c r="G553" s="154" t="s">
        <v>1402</v>
      </c>
      <c r="H553" s="154" t="s">
        <v>236</v>
      </c>
      <c r="I553" s="154" t="s">
        <v>99</v>
      </c>
      <c r="J553" s="154" t="s">
        <v>90</v>
      </c>
      <c r="K553" s="154" t="s">
        <v>91</v>
      </c>
      <c r="L553" s="154" t="s">
        <v>1897</v>
      </c>
      <c r="M553" s="154" t="s">
        <v>1383</v>
      </c>
      <c r="N553" s="154" t="s">
        <v>61</v>
      </c>
      <c r="O553" s="154" t="s">
        <v>62</v>
      </c>
      <c r="P553" s="146">
        <v>0.09</v>
      </c>
      <c r="Q553" s="146">
        <v>0</v>
      </c>
      <c r="R553" s="154" t="s">
        <v>1384</v>
      </c>
      <c r="S553" s="154" t="s">
        <v>1899</v>
      </c>
      <c r="T553" s="155" t="s">
        <v>1899</v>
      </c>
      <c r="U553" s="155" t="s">
        <v>1899</v>
      </c>
      <c r="V553" s="154" t="s">
        <v>1562</v>
      </c>
      <c r="W553" s="154">
        <v>0</v>
      </c>
      <c r="X553" s="154" t="s">
        <v>63</v>
      </c>
      <c r="Y553" s="154" t="s">
        <v>1900</v>
      </c>
      <c r="Z553" s="154"/>
      <c r="AA553" s="154" t="s">
        <v>1387</v>
      </c>
      <c r="AB553" s="154">
        <v>0</v>
      </c>
      <c r="AC553" s="138">
        <f>IFERROR(IF(DATEDIF(#REF!,U553,"m")&lt;=1,1,IF(AND(DATEDIF(#REF!,U553,"m")&gt;1,DATEDIF(#REF!,U553,"m")&lt;12),2,IF(AND(DATEDIF(#REF!,U553,"m")&gt;=12,DATEDIF(#REF!,U553,"m")&lt;24),3,IF(DATEDIF(#REF!,U553,"m")&gt;=24,4,"")))),IF(E553="r0320 - Deposits, not covered and not preferential",1,4))</f>
        <v>4</v>
      </c>
    </row>
    <row r="554" spans="3:29" ht="48.75" thickBot="1" x14ac:dyDescent="0.3">
      <c r="C554" s="11">
        <v>999</v>
      </c>
      <c r="D554" s="154">
        <v>547</v>
      </c>
      <c r="E554" s="154" t="s">
        <v>1902</v>
      </c>
      <c r="F554" s="154" t="s">
        <v>83</v>
      </c>
      <c r="G554" s="154" t="s">
        <v>1903</v>
      </c>
      <c r="H554" s="154" t="s">
        <v>583</v>
      </c>
      <c r="I554" s="154" t="s">
        <v>101</v>
      </c>
      <c r="J554" s="154" t="s">
        <v>102</v>
      </c>
      <c r="K554" s="154" t="s">
        <v>60</v>
      </c>
      <c r="L554" s="154" t="s">
        <v>1897</v>
      </c>
      <c r="M554" s="154" t="s">
        <v>1388</v>
      </c>
      <c r="N554" s="154" t="s">
        <v>61</v>
      </c>
      <c r="O554" s="154" t="s">
        <v>62</v>
      </c>
      <c r="P554" s="146">
        <v>1063226.8</v>
      </c>
      <c r="Q554" s="146">
        <v>593.91</v>
      </c>
      <c r="R554" s="154" t="s">
        <v>1384</v>
      </c>
      <c r="S554" s="154" t="s">
        <v>1899</v>
      </c>
      <c r="T554" s="155" t="s">
        <v>768</v>
      </c>
      <c r="U554" s="155" t="s">
        <v>1899</v>
      </c>
      <c r="V554" s="154" t="s">
        <v>1904</v>
      </c>
      <c r="W554" s="154">
        <v>0</v>
      </c>
      <c r="X554" s="154" t="s">
        <v>63</v>
      </c>
      <c r="Y554" s="154" t="s">
        <v>1386</v>
      </c>
      <c r="Z554" s="154"/>
      <c r="AA554" s="154" t="s">
        <v>1387</v>
      </c>
      <c r="AB554" s="154">
        <v>0</v>
      </c>
      <c r="AC554" s="138">
        <f>IFERROR(IF(DATEDIF(#REF!,U554,"m")&lt;=1,1,IF(AND(DATEDIF(#REF!,U554,"m")&gt;1,DATEDIF(#REF!,U554,"m")&lt;12),2,IF(AND(DATEDIF(#REF!,U554,"m")&gt;=12,DATEDIF(#REF!,U554,"m")&lt;24),3,IF(DATEDIF(#REF!,U554,"m")&gt;=24,4,"")))),IF(E554="r0320 - Deposits, not covered and not preferential",1,4))</f>
        <v>4</v>
      </c>
    </row>
    <row r="555" spans="3:29" ht="36.75" thickBot="1" x14ac:dyDescent="0.3">
      <c r="C555" s="11">
        <v>999</v>
      </c>
      <c r="D555" s="154">
        <v>548</v>
      </c>
      <c r="E555" s="154" t="s">
        <v>1898</v>
      </c>
      <c r="F555" s="154" t="s">
        <v>87</v>
      </c>
      <c r="G555" s="154" t="s">
        <v>1402</v>
      </c>
      <c r="H555" s="154" t="s">
        <v>373</v>
      </c>
      <c r="I555" s="154" t="s">
        <v>99</v>
      </c>
      <c r="J555" s="154" t="s">
        <v>90</v>
      </c>
      <c r="K555" s="154" t="s">
        <v>91</v>
      </c>
      <c r="L555" s="154" t="s">
        <v>1897</v>
      </c>
      <c r="M555" s="154" t="s">
        <v>1383</v>
      </c>
      <c r="N555" s="154" t="s">
        <v>61</v>
      </c>
      <c r="O555" s="154" t="s">
        <v>62</v>
      </c>
      <c r="P555" s="146">
        <v>0.02</v>
      </c>
      <c r="Q555" s="146">
        <v>0</v>
      </c>
      <c r="R555" s="154" t="s">
        <v>1384</v>
      </c>
      <c r="S555" s="154" t="s">
        <v>1899</v>
      </c>
      <c r="T555" s="155" t="s">
        <v>1899</v>
      </c>
      <c r="U555" s="155" t="s">
        <v>1899</v>
      </c>
      <c r="V555" s="154" t="s">
        <v>1562</v>
      </c>
      <c r="W555" s="154">
        <v>0</v>
      </c>
      <c r="X555" s="154" t="s">
        <v>63</v>
      </c>
      <c r="Y555" s="154" t="s">
        <v>1900</v>
      </c>
      <c r="Z555" s="154"/>
      <c r="AA555" s="154" t="s">
        <v>1387</v>
      </c>
      <c r="AB555" s="154">
        <v>0</v>
      </c>
      <c r="AC555" s="138">
        <f>IFERROR(IF(DATEDIF(#REF!,U555,"m")&lt;=1,1,IF(AND(DATEDIF(#REF!,U555,"m")&gt;1,DATEDIF(#REF!,U555,"m")&lt;12),2,IF(AND(DATEDIF(#REF!,U555,"m")&gt;=12,DATEDIF(#REF!,U555,"m")&lt;24),3,IF(DATEDIF(#REF!,U555,"m")&gt;=24,4,"")))),IF(E555="r0320 - Deposits, not covered and not preferential",1,4))</f>
        <v>4</v>
      </c>
    </row>
    <row r="556" spans="3:29" ht="36.75" thickBot="1" x14ac:dyDescent="0.3">
      <c r="C556" s="11">
        <v>999</v>
      </c>
      <c r="D556" s="154">
        <v>549</v>
      </c>
      <c r="E556" s="154" t="s">
        <v>1898</v>
      </c>
      <c r="F556" s="154" t="s">
        <v>87</v>
      </c>
      <c r="G556" s="154" t="s">
        <v>1402</v>
      </c>
      <c r="H556" s="154" t="s">
        <v>1011</v>
      </c>
      <c r="I556" s="154" t="s">
        <v>89</v>
      </c>
      <c r="J556" s="154" t="s">
        <v>90</v>
      </c>
      <c r="K556" s="154" t="s">
        <v>91</v>
      </c>
      <c r="L556" s="154" t="s">
        <v>1901</v>
      </c>
      <c r="M556" s="154" t="s">
        <v>1383</v>
      </c>
      <c r="N556" s="154" t="s">
        <v>61</v>
      </c>
      <c r="O556" s="154" t="s">
        <v>62</v>
      </c>
      <c r="P556" s="146">
        <v>0.08</v>
      </c>
      <c r="Q556" s="146">
        <v>0</v>
      </c>
      <c r="R556" s="154" t="s">
        <v>1384</v>
      </c>
      <c r="S556" s="154" t="s">
        <v>1899</v>
      </c>
      <c r="T556" s="155" t="s">
        <v>1899</v>
      </c>
      <c r="U556" s="155" t="s">
        <v>1899</v>
      </c>
      <c r="V556" s="154" t="s">
        <v>1562</v>
      </c>
      <c r="W556" s="154">
        <v>0</v>
      </c>
      <c r="X556" s="154" t="s">
        <v>63</v>
      </c>
      <c r="Y556" s="154" t="s">
        <v>1900</v>
      </c>
      <c r="Z556" s="154"/>
      <c r="AA556" s="154" t="s">
        <v>1387</v>
      </c>
      <c r="AB556" s="154">
        <v>0</v>
      </c>
      <c r="AC556" s="138">
        <f>IFERROR(IF(DATEDIF(#REF!,U556,"m")&lt;=1,1,IF(AND(DATEDIF(#REF!,U556,"m")&gt;1,DATEDIF(#REF!,U556,"m")&lt;12),2,IF(AND(DATEDIF(#REF!,U556,"m")&gt;=12,DATEDIF(#REF!,U556,"m")&lt;24),3,IF(DATEDIF(#REF!,U556,"m")&gt;=24,4,"")))),IF(E556="r0320 - Deposits, not covered and not preferential",1,4))</f>
        <v>4</v>
      </c>
    </row>
    <row r="557" spans="3:29" ht="36.75" thickBot="1" x14ac:dyDescent="0.3">
      <c r="C557" s="11">
        <v>999</v>
      </c>
      <c r="D557" s="154">
        <v>550</v>
      </c>
      <c r="E557" s="154" t="s">
        <v>1898</v>
      </c>
      <c r="F557" s="154" t="s">
        <v>87</v>
      </c>
      <c r="G557" s="154" t="s">
        <v>1402</v>
      </c>
      <c r="H557" s="154" t="s">
        <v>167</v>
      </c>
      <c r="I557" s="154" t="s">
        <v>99</v>
      </c>
      <c r="J557" s="154" t="s">
        <v>90</v>
      </c>
      <c r="K557" s="154" t="s">
        <v>91</v>
      </c>
      <c r="L557" s="154" t="s">
        <v>1897</v>
      </c>
      <c r="M557" s="154" t="s">
        <v>1383</v>
      </c>
      <c r="N557" s="154" t="s">
        <v>61</v>
      </c>
      <c r="O557" s="154" t="s">
        <v>62</v>
      </c>
      <c r="P557" s="146">
        <v>0.03</v>
      </c>
      <c r="Q557" s="146">
        <v>0</v>
      </c>
      <c r="R557" s="154" t="s">
        <v>1384</v>
      </c>
      <c r="S557" s="154" t="s">
        <v>1899</v>
      </c>
      <c r="T557" s="155" t="s">
        <v>1899</v>
      </c>
      <c r="U557" s="155" t="s">
        <v>1899</v>
      </c>
      <c r="V557" s="154" t="s">
        <v>1562</v>
      </c>
      <c r="W557" s="154">
        <v>0</v>
      </c>
      <c r="X557" s="154" t="s">
        <v>63</v>
      </c>
      <c r="Y557" s="154" t="s">
        <v>1900</v>
      </c>
      <c r="Z557" s="154"/>
      <c r="AA557" s="154" t="s">
        <v>1387</v>
      </c>
      <c r="AB557" s="154">
        <v>0</v>
      </c>
      <c r="AC557" s="138">
        <f>IFERROR(IF(DATEDIF(#REF!,U557,"m")&lt;=1,1,IF(AND(DATEDIF(#REF!,U557,"m")&gt;1,DATEDIF(#REF!,U557,"m")&lt;12),2,IF(AND(DATEDIF(#REF!,U557,"m")&gt;=12,DATEDIF(#REF!,U557,"m")&lt;24),3,IF(DATEDIF(#REF!,U557,"m")&gt;=24,4,"")))),IF(E557="r0320 - Deposits, not covered and not preferential",1,4))</f>
        <v>4</v>
      </c>
    </row>
    <row r="558" spans="3:29" ht="48.75" thickBot="1" x14ac:dyDescent="0.3">
      <c r="C558" s="11">
        <v>999</v>
      </c>
      <c r="D558" s="154">
        <v>551</v>
      </c>
      <c r="E558" s="154" t="s">
        <v>1902</v>
      </c>
      <c r="F558" s="154" t="s">
        <v>83</v>
      </c>
      <c r="G558" s="154" t="s">
        <v>1903</v>
      </c>
      <c r="H558" s="154" t="s">
        <v>585</v>
      </c>
      <c r="I558" s="154" t="s">
        <v>101</v>
      </c>
      <c r="J558" s="154" t="s">
        <v>102</v>
      </c>
      <c r="K558" s="154" t="s">
        <v>60</v>
      </c>
      <c r="L558" s="154" t="s">
        <v>1897</v>
      </c>
      <c r="M558" s="154" t="s">
        <v>1388</v>
      </c>
      <c r="N558" s="154" t="s">
        <v>61</v>
      </c>
      <c r="O558" s="154" t="s">
        <v>62</v>
      </c>
      <c r="P558" s="146">
        <v>950918.4</v>
      </c>
      <c r="Q558" s="146">
        <v>145.97</v>
      </c>
      <c r="R558" s="154" t="s">
        <v>1384</v>
      </c>
      <c r="S558" s="154" t="s">
        <v>1899</v>
      </c>
      <c r="T558" s="155" t="s">
        <v>768</v>
      </c>
      <c r="U558" s="155" t="s">
        <v>1899</v>
      </c>
      <c r="V558" s="154" t="s">
        <v>1904</v>
      </c>
      <c r="W558" s="154">
        <v>0</v>
      </c>
      <c r="X558" s="154" t="s">
        <v>63</v>
      </c>
      <c r="Y558" s="154" t="s">
        <v>1386</v>
      </c>
      <c r="Z558" s="154"/>
      <c r="AA558" s="154" t="s">
        <v>1387</v>
      </c>
      <c r="AB558" s="154">
        <v>0</v>
      </c>
      <c r="AC558" s="138">
        <f>IFERROR(IF(DATEDIF(#REF!,U558,"m")&lt;=1,1,IF(AND(DATEDIF(#REF!,U558,"m")&gt;1,DATEDIF(#REF!,U558,"m")&lt;12),2,IF(AND(DATEDIF(#REF!,U558,"m")&gt;=12,DATEDIF(#REF!,U558,"m")&lt;24),3,IF(DATEDIF(#REF!,U558,"m")&gt;=24,4,"")))),IF(E558="r0320 - Deposits, not covered and not preferential",1,4))</f>
        <v>4</v>
      </c>
    </row>
    <row r="559" spans="3:29" ht="36.75" thickBot="1" x14ac:dyDescent="0.3">
      <c r="C559" s="11">
        <v>999</v>
      </c>
      <c r="D559" s="154">
        <v>552</v>
      </c>
      <c r="E559" s="154" t="s">
        <v>1898</v>
      </c>
      <c r="F559" s="154" t="s">
        <v>87</v>
      </c>
      <c r="G559" s="154" t="s">
        <v>1402</v>
      </c>
      <c r="H559" s="154" t="s">
        <v>375</v>
      </c>
      <c r="I559" s="154" t="s">
        <v>99</v>
      </c>
      <c r="J559" s="154" t="s">
        <v>90</v>
      </c>
      <c r="K559" s="154" t="s">
        <v>91</v>
      </c>
      <c r="L559" s="154" t="s">
        <v>1897</v>
      </c>
      <c r="M559" s="154" t="s">
        <v>1383</v>
      </c>
      <c r="N559" s="154" t="s">
        <v>61</v>
      </c>
      <c r="O559" s="154" t="s">
        <v>62</v>
      </c>
      <c r="P559" s="146">
        <v>0.01</v>
      </c>
      <c r="Q559" s="146">
        <v>0</v>
      </c>
      <c r="R559" s="154" t="s">
        <v>1384</v>
      </c>
      <c r="S559" s="154" t="s">
        <v>1899</v>
      </c>
      <c r="T559" s="155" t="s">
        <v>1899</v>
      </c>
      <c r="U559" s="155" t="s">
        <v>1899</v>
      </c>
      <c r="V559" s="154" t="s">
        <v>1562</v>
      </c>
      <c r="W559" s="154">
        <v>0</v>
      </c>
      <c r="X559" s="154" t="s">
        <v>63</v>
      </c>
      <c r="Y559" s="154" t="s">
        <v>1900</v>
      </c>
      <c r="Z559" s="154"/>
      <c r="AA559" s="154" t="s">
        <v>1387</v>
      </c>
      <c r="AB559" s="154">
        <v>0</v>
      </c>
      <c r="AC559" s="138">
        <f>IFERROR(IF(DATEDIF(#REF!,U559,"m")&lt;=1,1,IF(AND(DATEDIF(#REF!,U559,"m")&gt;1,DATEDIF(#REF!,U559,"m")&lt;12),2,IF(AND(DATEDIF(#REF!,U559,"m")&gt;=12,DATEDIF(#REF!,U559,"m")&lt;24),3,IF(DATEDIF(#REF!,U559,"m")&gt;=24,4,"")))),IF(E559="r0320 - Deposits, not covered and not preferential",1,4))</f>
        <v>4</v>
      </c>
    </row>
    <row r="560" spans="3:29" ht="36.75" thickBot="1" x14ac:dyDescent="0.3">
      <c r="C560" s="11">
        <v>999</v>
      </c>
      <c r="D560" s="154">
        <v>553</v>
      </c>
      <c r="E560" s="154" t="s">
        <v>1898</v>
      </c>
      <c r="F560" s="154" t="s">
        <v>87</v>
      </c>
      <c r="G560" s="154" t="s">
        <v>1402</v>
      </c>
      <c r="H560" s="154" t="s">
        <v>1190</v>
      </c>
      <c r="I560" s="154" t="s">
        <v>108</v>
      </c>
      <c r="J560" s="154" t="s">
        <v>90</v>
      </c>
      <c r="K560" s="154" t="s">
        <v>91</v>
      </c>
      <c r="L560" s="154" t="s">
        <v>1897</v>
      </c>
      <c r="M560" s="154" t="s">
        <v>1383</v>
      </c>
      <c r="N560" s="154" t="s">
        <v>61</v>
      </c>
      <c r="O560" s="154" t="s">
        <v>62</v>
      </c>
      <c r="P560" s="146">
        <v>5.23</v>
      </c>
      <c r="Q560" s="146">
        <v>0</v>
      </c>
      <c r="R560" s="154" t="s">
        <v>1384</v>
      </c>
      <c r="S560" s="154" t="s">
        <v>1899</v>
      </c>
      <c r="T560" s="155" t="s">
        <v>1899</v>
      </c>
      <c r="U560" s="155" t="s">
        <v>1899</v>
      </c>
      <c r="V560" s="154" t="s">
        <v>1562</v>
      </c>
      <c r="W560" s="154">
        <v>0</v>
      </c>
      <c r="X560" s="154" t="s">
        <v>63</v>
      </c>
      <c r="Y560" s="154" t="s">
        <v>1900</v>
      </c>
      <c r="Z560" s="154"/>
      <c r="AA560" s="154" t="s">
        <v>1387</v>
      </c>
      <c r="AB560" s="154">
        <v>0</v>
      </c>
      <c r="AC560" s="138">
        <f>IFERROR(IF(DATEDIF(#REF!,U560,"m")&lt;=1,1,IF(AND(DATEDIF(#REF!,U560,"m")&gt;1,DATEDIF(#REF!,U560,"m")&lt;12),2,IF(AND(DATEDIF(#REF!,U560,"m")&gt;=12,DATEDIF(#REF!,U560,"m")&lt;24),3,IF(DATEDIF(#REF!,U560,"m")&gt;=24,4,"")))),IF(E560="r0320 - Deposits, not covered and not preferential",1,4))</f>
        <v>4</v>
      </c>
    </row>
    <row r="561" spans="3:29" ht="36.75" thickBot="1" x14ac:dyDescent="0.3">
      <c r="C561" s="11">
        <v>999</v>
      </c>
      <c r="D561" s="154">
        <v>554</v>
      </c>
      <c r="E561" s="154" t="s">
        <v>1898</v>
      </c>
      <c r="F561" s="154" t="s">
        <v>87</v>
      </c>
      <c r="G561" s="154" t="s">
        <v>1402</v>
      </c>
      <c r="H561" s="154" t="s">
        <v>239</v>
      </c>
      <c r="I561" s="154" t="s">
        <v>99</v>
      </c>
      <c r="J561" s="154" t="s">
        <v>90</v>
      </c>
      <c r="K561" s="154" t="s">
        <v>91</v>
      </c>
      <c r="L561" s="154" t="s">
        <v>1897</v>
      </c>
      <c r="M561" s="154" t="s">
        <v>1383</v>
      </c>
      <c r="N561" s="154" t="s">
        <v>61</v>
      </c>
      <c r="O561" s="154" t="s">
        <v>62</v>
      </c>
      <c r="P561" s="146">
        <v>0.02</v>
      </c>
      <c r="Q561" s="146">
        <v>0</v>
      </c>
      <c r="R561" s="154" t="s">
        <v>1384</v>
      </c>
      <c r="S561" s="154" t="s">
        <v>1899</v>
      </c>
      <c r="T561" s="155" t="s">
        <v>1899</v>
      </c>
      <c r="U561" s="155" t="s">
        <v>1899</v>
      </c>
      <c r="V561" s="154" t="s">
        <v>1562</v>
      </c>
      <c r="W561" s="154">
        <v>0</v>
      </c>
      <c r="X561" s="154" t="s">
        <v>63</v>
      </c>
      <c r="Y561" s="154" t="s">
        <v>1900</v>
      </c>
      <c r="Z561" s="154"/>
      <c r="AA561" s="154" t="s">
        <v>1387</v>
      </c>
      <c r="AB561" s="154">
        <v>0</v>
      </c>
      <c r="AC561" s="138">
        <f>IFERROR(IF(DATEDIF(#REF!,U561,"m")&lt;=1,1,IF(AND(DATEDIF(#REF!,U561,"m")&gt;1,DATEDIF(#REF!,U561,"m")&lt;12),2,IF(AND(DATEDIF(#REF!,U561,"m")&gt;=12,DATEDIF(#REF!,U561,"m")&lt;24),3,IF(DATEDIF(#REF!,U561,"m")&gt;=24,4,"")))),IF(E561="r0320 - Deposits, not covered and not preferential",1,4))</f>
        <v>4</v>
      </c>
    </row>
    <row r="562" spans="3:29" ht="48.75" thickBot="1" x14ac:dyDescent="0.3">
      <c r="C562" s="11">
        <v>999</v>
      </c>
      <c r="D562" s="154">
        <v>555</v>
      </c>
      <c r="E562" s="154" t="s">
        <v>1902</v>
      </c>
      <c r="F562" s="154" t="s">
        <v>83</v>
      </c>
      <c r="G562" s="154" t="s">
        <v>1903</v>
      </c>
      <c r="H562" s="154" t="s">
        <v>368</v>
      </c>
      <c r="I562" s="154" t="s">
        <v>114</v>
      </c>
      <c r="J562" s="154" t="s">
        <v>115</v>
      </c>
      <c r="K562" s="154" t="s">
        <v>60</v>
      </c>
      <c r="L562" s="154" t="s">
        <v>1897</v>
      </c>
      <c r="M562" s="154" t="s">
        <v>1388</v>
      </c>
      <c r="N562" s="154" t="s">
        <v>61</v>
      </c>
      <c r="O562" s="154" t="s">
        <v>62</v>
      </c>
      <c r="P562" s="146">
        <v>204885.81</v>
      </c>
      <c r="Q562" s="146">
        <v>14.04</v>
      </c>
      <c r="R562" s="154" t="s">
        <v>1384</v>
      </c>
      <c r="S562" s="154" t="s">
        <v>1899</v>
      </c>
      <c r="T562" s="155" t="s">
        <v>768</v>
      </c>
      <c r="U562" s="155" t="s">
        <v>1899</v>
      </c>
      <c r="V562" s="154" t="s">
        <v>1904</v>
      </c>
      <c r="W562" s="154">
        <v>0</v>
      </c>
      <c r="X562" s="154" t="s">
        <v>63</v>
      </c>
      <c r="Y562" s="154" t="s">
        <v>1386</v>
      </c>
      <c r="Z562" s="154"/>
      <c r="AA562" s="154" t="s">
        <v>1387</v>
      </c>
      <c r="AB562" s="154">
        <v>0</v>
      </c>
      <c r="AC562" s="138">
        <f>IFERROR(IF(DATEDIF(#REF!,U562,"m")&lt;=1,1,IF(AND(DATEDIF(#REF!,U562,"m")&gt;1,DATEDIF(#REF!,U562,"m")&lt;12),2,IF(AND(DATEDIF(#REF!,U562,"m")&gt;=12,DATEDIF(#REF!,U562,"m")&lt;24),3,IF(DATEDIF(#REF!,U562,"m")&gt;=24,4,"")))),IF(E562="r0320 - Deposits, not covered and not preferential",1,4))</f>
        <v>4</v>
      </c>
    </row>
    <row r="563" spans="3:29" ht="36.75" thickBot="1" x14ac:dyDescent="0.3">
      <c r="C563" s="11">
        <v>999</v>
      </c>
      <c r="D563" s="154">
        <v>556</v>
      </c>
      <c r="E563" s="154" t="s">
        <v>1898</v>
      </c>
      <c r="F563" s="154" t="s">
        <v>87</v>
      </c>
      <c r="G563" s="154" t="s">
        <v>1402</v>
      </c>
      <c r="H563" s="154" t="s">
        <v>377</v>
      </c>
      <c r="I563" s="154" t="s">
        <v>99</v>
      </c>
      <c r="J563" s="154" t="s">
        <v>90</v>
      </c>
      <c r="K563" s="154" t="s">
        <v>91</v>
      </c>
      <c r="L563" s="154" t="s">
        <v>1897</v>
      </c>
      <c r="M563" s="154" t="s">
        <v>1383</v>
      </c>
      <c r="N563" s="154" t="s">
        <v>61</v>
      </c>
      <c r="O563" s="154" t="s">
        <v>62</v>
      </c>
      <c r="P563" s="146">
        <v>7.0000000000000007E-2</v>
      </c>
      <c r="Q563" s="146">
        <v>0</v>
      </c>
      <c r="R563" s="154" t="s">
        <v>1384</v>
      </c>
      <c r="S563" s="154" t="s">
        <v>1899</v>
      </c>
      <c r="T563" s="155" t="s">
        <v>1899</v>
      </c>
      <c r="U563" s="155" t="s">
        <v>1899</v>
      </c>
      <c r="V563" s="154" t="s">
        <v>1562</v>
      </c>
      <c r="W563" s="154">
        <v>0</v>
      </c>
      <c r="X563" s="154" t="s">
        <v>63</v>
      </c>
      <c r="Y563" s="154" t="s">
        <v>1900</v>
      </c>
      <c r="Z563" s="154"/>
      <c r="AA563" s="154" t="s">
        <v>1387</v>
      </c>
      <c r="AB563" s="154">
        <v>0</v>
      </c>
      <c r="AC563" s="138">
        <f>IFERROR(IF(DATEDIF(#REF!,U563,"m")&lt;=1,1,IF(AND(DATEDIF(#REF!,U563,"m")&gt;1,DATEDIF(#REF!,U563,"m")&lt;12),2,IF(AND(DATEDIF(#REF!,U563,"m")&gt;=12,DATEDIF(#REF!,U563,"m")&lt;24),3,IF(DATEDIF(#REF!,U563,"m")&gt;=24,4,"")))),IF(E563="r0320 - Deposits, not covered and not preferential",1,4))</f>
        <v>4</v>
      </c>
    </row>
    <row r="564" spans="3:29" ht="36.75" thickBot="1" x14ac:dyDescent="0.3">
      <c r="C564" s="11">
        <v>999</v>
      </c>
      <c r="D564" s="154">
        <v>557</v>
      </c>
      <c r="E564" s="154" t="s">
        <v>1898</v>
      </c>
      <c r="F564" s="154" t="s">
        <v>87</v>
      </c>
      <c r="G564" s="154" t="s">
        <v>1402</v>
      </c>
      <c r="H564" s="154" t="s">
        <v>1022</v>
      </c>
      <c r="I564" s="154" t="s">
        <v>89</v>
      </c>
      <c r="J564" s="154" t="s">
        <v>90</v>
      </c>
      <c r="K564" s="154" t="s">
        <v>91</v>
      </c>
      <c r="L564" s="154" t="s">
        <v>1901</v>
      </c>
      <c r="M564" s="154" t="s">
        <v>1383</v>
      </c>
      <c r="N564" s="154" t="s">
        <v>61</v>
      </c>
      <c r="O564" s="154" t="s">
        <v>62</v>
      </c>
      <c r="P564" s="146">
        <v>0.63</v>
      </c>
      <c r="Q564" s="146">
        <v>0</v>
      </c>
      <c r="R564" s="154" t="s">
        <v>1384</v>
      </c>
      <c r="S564" s="154" t="s">
        <v>1899</v>
      </c>
      <c r="T564" s="155" t="s">
        <v>1899</v>
      </c>
      <c r="U564" s="155" t="s">
        <v>1899</v>
      </c>
      <c r="V564" s="154" t="s">
        <v>1562</v>
      </c>
      <c r="W564" s="154">
        <v>0</v>
      </c>
      <c r="X564" s="154" t="s">
        <v>63</v>
      </c>
      <c r="Y564" s="154" t="s">
        <v>1900</v>
      </c>
      <c r="Z564" s="154"/>
      <c r="AA564" s="154" t="s">
        <v>1387</v>
      </c>
      <c r="AB564" s="154">
        <v>0</v>
      </c>
      <c r="AC564" s="138">
        <f>IFERROR(IF(DATEDIF(#REF!,U564,"m")&lt;=1,1,IF(AND(DATEDIF(#REF!,U564,"m")&gt;1,DATEDIF(#REF!,U564,"m")&lt;12),2,IF(AND(DATEDIF(#REF!,U564,"m")&gt;=12,DATEDIF(#REF!,U564,"m")&lt;24),3,IF(DATEDIF(#REF!,U564,"m")&gt;=24,4,"")))),IF(E564="r0320 - Deposits, not covered and not preferential",1,4))</f>
        <v>4</v>
      </c>
    </row>
    <row r="565" spans="3:29" ht="36.75" thickBot="1" x14ac:dyDescent="0.3">
      <c r="C565" s="11">
        <v>999</v>
      </c>
      <c r="D565" s="154">
        <v>558</v>
      </c>
      <c r="E565" s="154" t="s">
        <v>1898</v>
      </c>
      <c r="F565" s="154" t="s">
        <v>87</v>
      </c>
      <c r="G565" s="154" t="s">
        <v>1402</v>
      </c>
      <c r="H565" s="154" t="s">
        <v>112</v>
      </c>
      <c r="I565" s="154" t="s">
        <v>99</v>
      </c>
      <c r="J565" s="154" t="s">
        <v>90</v>
      </c>
      <c r="K565" s="154" t="s">
        <v>91</v>
      </c>
      <c r="L565" s="154" t="s">
        <v>1897</v>
      </c>
      <c r="M565" s="154" t="s">
        <v>1383</v>
      </c>
      <c r="N565" s="154" t="s">
        <v>61</v>
      </c>
      <c r="O565" s="154" t="s">
        <v>62</v>
      </c>
      <c r="P565" s="146">
        <v>0.01</v>
      </c>
      <c r="Q565" s="146">
        <v>0</v>
      </c>
      <c r="R565" s="154" t="s">
        <v>1384</v>
      </c>
      <c r="S565" s="154" t="s">
        <v>1899</v>
      </c>
      <c r="T565" s="155" t="s">
        <v>1899</v>
      </c>
      <c r="U565" s="155" t="s">
        <v>1899</v>
      </c>
      <c r="V565" s="154" t="s">
        <v>1562</v>
      </c>
      <c r="W565" s="154">
        <v>0</v>
      </c>
      <c r="X565" s="154" t="s">
        <v>63</v>
      </c>
      <c r="Y565" s="154" t="s">
        <v>1900</v>
      </c>
      <c r="Z565" s="154"/>
      <c r="AA565" s="154" t="s">
        <v>1387</v>
      </c>
      <c r="AB565" s="154">
        <v>0</v>
      </c>
      <c r="AC565" s="138">
        <f>IFERROR(IF(DATEDIF(#REF!,U565,"m")&lt;=1,1,IF(AND(DATEDIF(#REF!,U565,"m")&gt;1,DATEDIF(#REF!,U565,"m")&lt;12),2,IF(AND(DATEDIF(#REF!,U565,"m")&gt;=12,DATEDIF(#REF!,U565,"m")&lt;24),3,IF(DATEDIF(#REF!,U565,"m")&gt;=24,4,"")))),IF(E565="r0320 - Deposits, not covered and not preferential",1,4))</f>
        <v>4</v>
      </c>
    </row>
    <row r="566" spans="3:29" ht="36.75" thickBot="1" x14ac:dyDescent="0.3">
      <c r="C566" s="11">
        <v>999</v>
      </c>
      <c r="D566" s="154">
        <v>559</v>
      </c>
      <c r="E566" s="154" t="s">
        <v>1898</v>
      </c>
      <c r="F566" s="154" t="s">
        <v>87</v>
      </c>
      <c r="G566" s="154" t="s">
        <v>1402</v>
      </c>
      <c r="H566" s="154" t="s">
        <v>57</v>
      </c>
      <c r="I566" s="154" t="s">
        <v>96</v>
      </c>
      <c r="J566" s="154" t="s">
        <v>97</v>
      </c>
      <c r="K566" s="154" t="s">
        <v>91</v>
      </c>
      <c r="L566" s="154" t="s">
        <v>1897</v>
      </c>
      <c r="M566" s="154" t="s">
        <v>1383</v>
      </c>
      <c r="N566" s="154" t="s">
        <v>61</v>
      </c>
      <c r="O566" s="154" t="s">
        <v>62</v>
      </c>
      <c r="P566" s="146">
        <v>1560.17</v>
      </c>
      <c r="Q566" s="146">
        <v>0</v>
      </c>
      <c r="R566" s="154" t="s">
        <v>1384</v>
      </c>
      <c r="S566" s="154" t="s">
        <v>1899</v>
      </c>
      <c r="T566" s="155" t="s">
        <v>1899</v>
      </c>
      <c r="U566" s="155" t="s">
        <v>1899</v>
      </c>
      <c r="V566" s="154" t="s">
        <v>1562</v>
      </c>
      <c r="W566" s="154">
        <v>0</v>
      </c>
      <c r="X566" s="154" t="s">
        <v>63</v>
      </c>
      <c r="Y566" s="154" t="s">
        <v>1900</v>
      </c>
      <c r="Z566" s="154"/>
      <c r="AA566" s="154" t="s">
        <v>1387</v>
      </c>
      <c r="AB566" s="154">
        <v>0</v>
      </c>
      <c r="AC566" s="138">
        <f>IFERROR(IF(DATEDIF(#REF!,U566,"m")&lt;=1,1,IF(AND(DATEDIF(#REF!,U566,"m")&gt;1,DATEDIF(#REF!,U566,"m")&lt;12),2,IF(AND(DATEDIF(#REF!,U566,"m")&gt;=12,DATEDIF(#REF!,U566,"m")&lt;24),3,IF(DATEDIF(#REF!,U566,"m")&gt;=24,4,"")))),IF(E566="r0320 - Deposits, not covered and not preferential",1,4))</f>
        <v>4</v>
      </c>
    </row>
    <row r="567" spans="3:29" ht="36.75" thickBot="1" x14ac:dyDescent="0.3">
      <c r="C567" s="11">
        <v>999</v>
      </c>
      <c r="D567" s="154">
        <v>560</v>
      </c>
      <c r="E567" s="154" t="s">
        <v>1898</v>
      </c>
      <c r="F567" s="154" t="s">
        <v>87</v>
      </c>
      <c r="G567" s="154" t="s">
        <v>1402</v>
      </c>
      <c r="H567" s="154" t="s">
        <v>379</v>
      </c>
      <c r="I567" s="154" t="s">
        <v>99</v>
      </c>
      <c r="J567" s="154" t="s">
        <v>90</v>
      </c>
      <c r="K567" s="154" t="s">
        <v>91</v>
      </c>
      <c r="L567" s="154" t="s">
        <v>1897</v>
      </c>
      <c r="M567" s="154" t="s">
        <v>1383</v>
      </c>
      <c r="N567" s="154" t="s">
        <v>61</v>
      </c>
      <c r="O567" s="154" t="s">
        <v>62</v>
      </c>
      <c r="P567" s="146">
        <v>0.2</v>
      </c>
      <c r="Q567" s="146">
        <v>0</v>
      </c>
      <c r="R567" s="154" t="s">
        <v>1384</v>
      </c>
      <c r="S567" s="154" t="s">
        <v>1899</v>
      </c>
      <c r="T567" s="155" t="s">
        <v>1899</v>
      </c>
      <c r="U567" s="155" t="s">
        <v>1899</v>
      </c>
      <c r="V567" s="154" t="s">
        <v>1562</v>
      </c>
      <c r="W567" s="154">
        <v>0</v>
      </c>
      <c r="X567" s="154" t="s">
        <v>63</v>
      </c>
      <c r="Y567" s="154" t="s">
        <v>1900</v>
      </c>
      <c r="Z567" s="154"/>
      <c r="AA567" s="154" t="s">
        <v>1387</v>
      </c>
      <c r="AB567" s="154">
        <v>0</v>
      </c>
      <c r="AC567" s="138">
        <f>IFERROR(IF(DATEDIF(#REF!,U567,"m")&lt;=1,1,IF(AND(DATEDIF(#REF!,U567,"m")&gt;1,DATEDIF(#REF!,U567,"m")&lt;12),2,IF(AND(DATEDIF(#REF!,U567,"m")&gt;=12,DATEDIF(#REF!,U567,"m")&lt;24),3,IF(DATEDIF(#REF!,U567,"m")&gt;=24,4,"")))),IF(E567="r0320 - Deposits, not covered and not preferential",1,4))</f>
        <v>4</v>
      </c>
    </row>
    <row r="568" spans="3:29" ht="36.75" thickBot="1" x14ac:dyDescent="0.3">
      <c r="C568" s="11">
        <v>999</v>
      </c>
      <c r="D568" s="154">
        <v>561</v>
      </c>
      <c r="E568" s="154" t="s">
        <v>1898</v>
      </c>
      <c r="F568" s="154" t="s">
        <v>56</v>
      </c>
      <c r="G568" s="154" t="s">
        <v>1402</v>
      </c>
      <c r="H568" s="154" t="s">
        <v>634</v>
      </c>
      <c r="I568" s="154" t="s">
        <v>66</v>
      </c>
      <c r="J568" s="154" t="s">
        <v>67</v>
      </c>
      <c r="K568" s="154" t="s">
        <v>60</v>
      </c>
      <c r="L568" s="154" t="s">
        <v>1897</v>
      </c>
      <c r="M568" s="154" t="s">
        <v>1383</v>
      </c>
      <c r="N568" s="154" t="s">
        <v>61</v>
      </c>
      <c r="O568" s="154" t="s">
        <v>62</v>
      </c>
      <c r="P568" s="146">
        <v>0.69</v>
      </c>
      <c r="Q568" s="146">
        <v>0</v>
      </c>
      <c r="R568" s="154" t="s">
        <v>1384</v>
      </c>
      <c r="S568" s="154" t="s">
        <v>1899</v>
      </c>
      <c r="T568" s="155" t="s">
        <v>1899</v>
      </c>
      <c r="U568" s="155" t="s">
        <v>1899</v>
      </c>
      <c r="V568" s="154" t="s">
        <v>1562</v>
      </c>
      <c r="W568" s="154">
        <v>0</v>
      </c>
      <c r="X568" s="154" t="s">
        <v>63</v>
      </c>
      <c r="Y568" s="154" t="s">
        <v>1900</v>
      </c>
      <c r="Z568" s="154"/>
      <c r="AA568" s="154" t="s">
        <v>1387</v>
      </c>
      <c r="AB568" s="154">
        <v>0</v>
      </c>
      <c r="AC568" s="138">
        <f>IFERROR(IF(DATEDIF(#REF!,U568,"m")&lt;=1,1,IF(AND(DATEDIF(#REF!,U568,"m")&gt;1,DATEDIF(#REF!,U568,"m")&lt;12),2,IF(AND(DATEDIF(#REF!,U568,"m")&gt;=12,DATEDIF(#REF!,U568,"m")&lt;24),3,IF(DATEDIF(#REF!,U568,"m")&gt;=24,4,"")))),IF(E568="r0320 - Deposits, not covered and not preferential",1,4))</f>
        <v>4</v>
      </c>
    </row>
    <row r="569" spans="3:29" ht="36.75" thickBot="1" x14ac:dyDescent="0.3">
      <c r="C569" s="11">
        <v>999</v>
      </c>
      <c r="D569" s="154">
        <v>562</v>
      </c>
      <c r="E569" s="154" t="s">
        <v>1898</v>
      </c>
      <c r="F569" s="154" t="s">
        <v>87</v>
      </c>
      <c r="G569" s="154" t="s">
        <v>1402</v>
      </c>
      <c r="H569" s="154" t="s">
        <v>241</v>
      </c>
      <c r="I569" s="154" t="s">
        <v>89</v>
      </c>
      <c r="J569" s="154" t="s">
        <v>90</v>
      </c>
      <c r="K569" s="154" t="s">
        <v>91</v>
      </c>
      <c r="L569" s="154" t="s">
        <v>1901</v>
      </c>
      <c r="M569" s="154" t="s">
        <v>1383</v>
      </c>
      <c r="N569" s="154" t="s">
        <v>61</v>
      </c>
      <c r="O569" s="154" t="s">
        <v>62</v>
      </c>
      <c r="P569" s="146">
        <v>7.0000000000000007E-2</v>
      </c>
      <c r="Q569" s="146">
        <v>0</v>
      </c>
      <c r="R569" s="154" t="s">
        <v>1384</v>
      </c>
      <c r="S569" s="154" t="s">
        <v>1899</v>
      </c>
      <c r="T569" s="155" t="s">
        <v>1899</v>
      </c>
      <c r="U569" s="155" t="s">
        <v>1899</v>
      </c>
      <c r="V569" s="154" t="s">
        <v>1562</v>
      </c>
      <c r="W569" s="154">
        <v>0</v>
      </c>
      <c r="X569" s="154" t="s">
        <v>63</v>
      </c>
      <c r="Y569" s="154" t="s">
        <v>1900</v>
      </c>
      <c r="Z569" s="154"/>
      <c r="AA569" s="154" t="s">
        <v>1387</v>
      </c>
      <c r="AB569" s="154">
        <v>0</v>
      </c>
      <c r="AC569" s="138">
        <f>IFERROR(IF(DATEDIF(#REF!,U569,"m")&lt;=1,1,IF(AND(DATEDIF(#REF!,U569,"m")&gt;1,DATEDIF(#REF!,U569,"m")&lt;12),2,IF(AND(DATEDIF(#REF!,U569,"m")&gt;=12,DATEDIF(#REF!,U569,"m")&lt;24),3,IF(DATEDIF(#REF!,U569,"m")&gt;=24,4,"")))),IF(E569="r0320 - Deposits, not covered and not preferential",1,4))</f>
        <v>4</v>
      </c>
    </row>
    <row r="570" spans="3:29" ht="48.75" thickBot="1" x14ac:dyDescent="0.3">
      <c r="C570" s="11">
        <v>999</v>
      </c>
      <c r="D570" s="154">
        <v>563</v>
      </c>
      <c r="E570" s="154" t="s">
        <v>1902</v>
      </c>
      <c r="F570" s="154" t="s">
        <v>83</v>
      </c>
      <c r="G570" s="154" t="s">
        <v>1903</v>
      </c>
      <c r="H570" s="154" t="s">
        <v>376</v>
      </c>
      <c r="I570" s="154" t="s">
        <v>93</v>
      </c>
      <c r="J570" s="154" t="s">
        <v>94</v>
      </c>
      <c r="K570" s="154" t="s">
        <v>60</v>
      </c>
      <c r="L570" s="154" t="s">
        <v>1897</v>
      </c>
      <c r="M570" s="154" t="s">
        <v>1388</v>
      </c>
      <c r="N570" s="154" t="s">
        <v>61</v>
      </c>
      <c r="O570" s="154" t="s">
        <v>62</v>
      </c>
      <c r="P570" s="146">
        <v>5732.23</v>
      </c>
      <c r="Q570" s="146">
        <v>0.28000000000000003</v>
      </c>
      <c r="R570" s="154" t="s">
        <v>1384</v>
      </c>
      <c r="S570" s="154" t="s">
        <v>1899</v>
      </c>
      <c r="T570" s="155" t="s">
        <v>768</v>
      </c>
      <c r="U570" s="155" t="s">
        <v>1899</v>
      </c>
      <c r="V570" s="154" t="s">
        <v>1904</v>
      </c>
      <c r="W570" s="154">
        <v>0</v>
      </c>
      <c r="X570" s="154" t="s">
        <v>63</v>
      </c>
      <c r="Y570" s="154" t="s">
        <v>1386</v>
      </c>
      <c r="Z570" s="154"/>
      <c r="AA570" s="154" t="s">
        <v>1387</v>
      </c>
      <c r="AB570" s="154">
        <v>0</v>
      </c>
      <c r="AC570" s="138">
        <f>IFERROR(IF(DATEDIF(#REF!,U570,"m")&lt;=1,1,IF(AND(DATEDIF(#REF!,U570,"m")&gt;1,DATEDIF(#REF!,U570,"m")&lt;12),2,IF(AND(DATEDIF(#REF!,U570,"m")&gt;=12,DATEDIF(#REF!,U570,"m")&lt;24),3,IF(DATEDIF(#REF!,U570,"m")&gt;=24,4,"")))),IF(E570="r0320 - Deposits, not covered and not preferential",1,4))</f>
        <v>4</v>
      </c>
    </row>
    <row r="571" spans="3:29" ht="36.75" thickBot="1" x14ac:dyDescent="0.3">
      <c r="C571" s="11">
        <v>999</v>
      </c>
      <c r="D571" s="154">
        <v>564</v>
      </c>
      <c r="E571" s="154" t="s">
        <v>1898</v>
      </c>
      <c r="F571" s="154" t="s">
        <v>87</v>
      </c>
      <c r="G571" s="154" t="s">
        <v>1402</v>
      </c>
      <c r="H571" s="154" t="s">
        <v>381</v>
      </c>
      <c r="I571" s="154" t="s">
        <v>89</v>
      </c>
      <c r="J571" s="154" t="s">
        <v>90</v>
      </c>
      <c r="K571" s="154" t="s">
        <v>91</v>
      </c>
      <c r="L571" s="154" t="s">
        <v>1901</v>
      </c>
      <c r="M571" s="154" t="s">
        <v>1383</v>
      </c>
      <c r="N571" s="154" t="s">
        <v>61</v>
      </c>
      <c r="O571" s="154" t="s">
        <v>62</v>
      </c>
      <c r="P571" s="146">
        <v>0.03</v>
      </c>
      <c r="Q571" s="146">
        <v>0</v>
      </c>
      <c r="R571" s="154" t="s">
        <v>1384</v>
      </c>
      <c r="S571" s="154" t="s">
        <v>1899</v>
      </c>
      <c r="T571" s="155" t="s">
        <v>1899</v>
      </c>
      <c r="U571" s="155" t="s">
        <v>1899</v>
      </c>
      <c r="V571" s="154" t="s">
        <v>1562</v>
      </c>
      <c r="W571" s="154">
        <v>0</v>
      </c>
      <c r="X571" s="154" t="s">
        <v>63</v>
      </c>
      <c r="Y571" s="154" t="s">
        <v>1900</v>
      </c>
      <c r="Z571" s="154"/>
      <c r="AA571" s="154" t="s">
        <v>1387</v>
      </c>
      <c r="AB571" s="154">
        <v>0</v>
      </c>
      <c r="AC571" s="138">
        <f>IFERROR(IF(DATEDIF(#REF!,U571,"m")&lt;=1,1,IF(AND(DATEDIF(#REF!,U571,"m")&gt;1,DATEDIF(#REF!,U571,"m")&lt;12),2,IF(AND(DATEDIF(#REF!,U571,"m")&gt;=12,DATEDIF(#REF!,U571,"m")&lt;24),3,IF(DATEDIF(#REF!,U571,"m")&gt;=24,4,"")))),IF(E571="r0320 - Deposits, not covered and not preferential",1,4))</f>
        <v>4</v>
      </c>
    </row>
    <row r="572" spans="3:29" ht="36.75" thickBot="1" x14ac:dyDescent="0.3">
      <c r="C572" s="11">
        <v>999</v>
      </c>
      <c r="D572" s="154">
        <v>565</v>
      </c>
      <c r="E572" s="154" t="s">
        <v>1898</v>
      </c>
      <c r="F572" s="154" t="s">
        <v>87</v>
      </c>
      <c r="G572" s="154" t="s">
        <v>1402</v>
      </c>
      <c r="H572" s="154" t="s">
        <v>1036</v>
      </c>
      <c r="I572" s="154" t="s">
        <v>89</v>
      </c>
      <c r="J572" s="154" t="s">
        <v>90</v>
      </c>
      <c r="K572" s="154" t="s">
        <v>91</v>
      </c>
      <c r="L572" s="154" t="s">
        <v>1901</v>
      </c>
      <c r="M572" s="154" t="s">
        <v>1383</v>
      </c>
      <c r="N572" s="154" t="s">
        <v>61</v>
      </c>
      <c r="O572" s="154" t="s">
        <v>62</v>
      </c>
      <c r="P572" s="146">
        <v>0.13</v>
      </c>
      <c r="Q572" s="146">
        <v>0</v>
      </c>
      <c r="R572" s="154" t="s">
        <v>1384</v>
      </c>
      <c r="S572" s="154" t="s">
        <v>1899</v>
      </c>
      <c r="T572" s="155" t="s">
        <v>1899</v>
      </c>
      <c r="U572" s="155" t="s">
        <v>1899</v>
      </c>
      <c r="V572" s="154" t="s">
        <v>1562</v>
      </c>
      <c r="W572" s="154">
        <v>0</v>
      </c>
      <c r="X572" s="154" t="s">
        <v>63</v>
      </c>
      <c r="Y572" s="154" t="s">
        <v>1900</v>
      </c>
      <c r="Z572" s="154"/>
      <c r="AA572" s="154" t="s">
        <v>1387</v>
      </c>
      <c r="AB572" s="154">
        <v>0</v>
      </c>
      <c r="AC572" s="138">
        <f>IFERROR(IF(DATEDIF(#REF!,U572,"m")&lt;=1,1,IF(AND(DATEDIF(#REF!,U572,"m")&gt;1,DATEDIF(#REF!,U572,"m")&lt;12),2,IF(AND(DATEDIF(#REF!,U572,"m")&gt;=12,DATEDIF(#REF!,U572,"m")&lt;24),3,IF(DATEDIF(#REF!,U572,"m")&gt;=24,4,"")))),IF(E572="r0320 - Deposits, not covered and not preferential",1,4))</f>
        <v>4</v>
      </c>
    </row>
    <row r="573" spans="3:29" ht="36.75" thickBot="1" x14ac:dyDescent="0.3">
      <c r="C573" s="11">
        <v>999</v>
      </c>
      <c r="D573" s="154">
        <v>566</v>
      </c>
      <c r="E573" s="154" t="s">
        <v>1898</v>
      </c>
      <c r="F573" s="154" t="s">
        <v>87</v>
      </c>
      <c r="G573" s="154" t="s">
        <v>1402</v>
      </c>
      <c r="H573" s="154" t="s">
        <v>169</v>
      </c>
      <c r="I573" s="154" t="s">
        <v>89</v>
      </c>
      <c r="J573" s="154" t="s">
        <v>90</v>
      </c>
      <c r="K573" s="154" t="s">
        <v>91</v>
      </c>
      <c r="L573" s="154" t="s">
        <v>1901</v>
      </c>
      <c r="M573" s="154" t="s">
        <v>1383</v>
      </c>
      <c r="N573" s="154" t="s">
        <v>61</v>
      </c>
      <c r="O573" s="154" t="s">
        <v>62</v>
      </c>
      <c r="P573" s="146">
        <v>0.06</v>
      </c>
      <c r="Q573" s="146">
        <v>0</v>
      </c>
      <c r="R573" s="154" t="s">
        <v>1384</v>
      </c>
      <c r="S573" s="154" t="s">
        <v>1899</v>
      </c>
      <c r="T573" s="155" t="s">
        <v>1899</v>
      </c>
      <c r="U573" s="155" t="s">
        <v>1899</v>
      </c>
      <c r="V573" s="154" t="s">
        <v>1562</v>
      </c>
      <c r="W573" s="154">
        <v>0</v>
      </c>
      <c r="X573" s="154" t="s">
        <v>63</v>
      </c>
      <c r="Y573" s="154" t="s">
        <v>1900</v>
      </c>
      <c r="Z573" s="154"/>
      <c r="AA573" s="154" t="s">
        <v>1387</v>
      </c>
      <c r="AB573" s="154">
        <v>0</v>
      </c>
      <c r="AC573" s="138">
        <f>IFERROR(IF(DATEDIF(#REF!,U573,"m")&lt;=1,1,IF(AND(DATEDIF(#REF!,U573,"m")&gt;1,DATEDIF(#REF!,U573,"m")&lt;12),2,IF(AND(DATEDIF(#REF!,U573,"m")&gt;=12,DATEDIF(#REF!,U573,"m")&lt;24),3,IF(DATEDIF(#REF!,U573,"m")&gt;=24,4,"")))),IF(E573="r0320 - Deposits, not covered and not preferential",1,4))</f>
        <v>4</v>
      </c>
    </row>
    <row r="574" spans="3:29" ht="48.75" thickBot="1" x14ac:dyDescent="0.3">
      <c r="C574" s="11">
        <v>999</v>
      </c>
      <c r="D574" s="154">
        <v>567</v>
      </c>
      <c r="E574" s="154" t="s">
        <v>1902</v>
      </c>
      <c r="F574" s="154" t="s">
        <v>83</v>
      </c>
      <c r="G574" s="154" t="s">
        <v>1903</v>
      </c>
      <c r="H574" s="154" t="s">
        <v>598</v>
      </c>
      <c r="I574" s="154" t="s">
        <v>101</v>
      </c>
      <c r="J574" s="154" t="s">
        <v>102</v>
      </c>
      <c r="K574" s="154" t="s">
        <v>60</v>
      </c>
      <c r="L574" s="154" t="s">
        <v>1897</v>
      </c>
      <c r="M574" s="154" t="s">
        <v>1388</v>
      </c>
      <c r="N574" s="154" t="s">
        <v>61</v>
      </c>
      <c r="O574" s="154" t="s">
        <v>62</v>
      </c>
      <c r="P574" s="146">
        <v>515288.24</v>
      </c>
      <c r="Q574" s="146">
        <v>209.38</v>
      </c>
      <c r="R574" s="154" t="s">
        <v>1384</v>
      </c>
      <c r="S574" s="154" t="s">
        <v>1899</v>
      </c>
      <c r="T574" s="155" t="s">
        <v>768</v>
      </c>
      <c r="U574" s="155" t="s">
        <v>1899</v>
      </c>
      <c r="V574" s="154" t="s">
        <v>1904</v>
      </c>
      <c r="W574" s="154">
        <v>0</v>
      </c>
      <c r="X574" s="154" t="s">
        <v>63</v>
      </c>
      <c r="Y574" s="154" t="s">
        <v>1386</v>
      </c>
      <c r="Z574" s="154"/>
      <c r="AA574" s="154" t="s">
        <v>1387</v>
      </c>
      <c r="AB574" s="154">
        <v>0</v>
      </c>
      <c r="AC574" s="138">
        <f>IFERROR(IF(DATEDIF(#REF!,U574,"m")&lt;=1,1,IF(AND(DATEDIF(#REF!,U574,"m")&gt;1,DATEDIF(#REF!,U574,"m")&lt;12),2,IF(AND(DATEDIF(#REF!,U574,"m")&gt;=12,DATEDIF(#REF!,U574,"m")&lt;24),3,IF(DATEDIF(#REF!,U574,"m")&gt;=24,4,"")))),IF(E574="r0320 - Deposits, not covered and not preferential",1,4))</f>
        <v>4</v>
      </c>
    </row>
    <row r="575" spans="3:29" ht="36.75" thickBot="1" x14ac:dyDescent="0.3">
      <c r="C575" s="11">
        <v>999</v>
      </c>
      <c r="D575" s="154">
        <v>568</v>
      </c>
      <c r="E575" s="154" t="s">
        <v>1898</v>
      </c>
      <c r="F575" s="154" t="s">
        <v>87</v>
      </c>
      <c r="G575" s="154" t="s">
        <v>1402</v>
      </c>
      <c r="H575" s="154" t="s">
        <v>383</v>
      </c>
      <c r="I575" s="154" t="s">
        <v>89</v>
      </c>
      <c r="J575" s="154" t="s">
        <v>90</v>
      </c>
      <c r="K575" s="154" t="s">
        <v>91</v>
      </c>
      <c r="L575" s="154" t="s">
        <v>1901</v>
      </c>
      <c r="M575" s="154" t="s">
        <v>1383</v>
      </c>
      <c r="N575" s="154" t="s">
        <v>61</v>
      </c>
      <c r="O575" s="154" t="s">
        <v>62</v>
      </c>
      <c r="P575" s="146">
        <v>0.17</v>
      </c>
      <c r="Q575" s="146">
        <v>0</v>
      </c>
      <c r="R575" s="154" t="s">
        <v>1384</v>
      </c>
      <c r="S575" s="154" t="s">
        <v>1899</v>
      </c>
      <c r="T575" s="155" t="s">
        <v>1899</v>
      </c>
      <c r="U575" s="155" t="s">
        <v>1899</v>
      </c>
      <c r="V575" s="154" t="s">
        <v>1562</v>
      </c>
      <c r="W575" s="154">
        <v>0</v>
      </c>
      <c r="X575" s="154" t="s">
        <v>63</v>
      </c>
      <c r="Y575" s="154" t="s">
        <v>1900</v>
      </c>
      <c r="Z575" s="154"/>
      <c r="AA575" s="154" t="s">
        <v>1387</v>
      </c>
      <c r="AB575" s="154">
        <v>0</v>
      </c>
      <c r="AC575" s="138">
        <f>IFERROR(IF(DATEDIF(#REF!,U575,"m")&lt;=1,1,IF(AND(DATEDIF(#REF!,U575,"m")&gt;1,DATEDIF(#REF!,U575,"m")&lt;12),2,IF(AND(DATEDIF(#REF!,U575,"m")&gt;=12,DATEDIF(#REF!,U575,"m")&lt;24),3,IF(DATEDIF(#REF!,U575,"m")&gt;=24,4,"")))),IF(E575="r0320 - Deposits, not covered and not preferential",1,4))</f>
        <v>4</v>
      </c>
    </row>
    <row r="576" spans="3:29" ht="36.75" thickBot="1" x14ac:dyDescent="0.3">
      <c r="C576" s="11">
        <v>999</v>
      </c>
      <c r="D576" s="154">
        <v>569</v>
      </c>
      <c r="E576" s="154" t="s">
        <v>1898</v>
      </c>
      <c r="F576" s="154" t="s">
        <v>87</v>
      </c>
      <c r="G576" s="154" t="s">
        <v>1402</v>
      </c>
      <c r="H576" s="154" t="s">
        <v>1096</v>
      </c>
      <c r="I576" s="154" t="s">
        <v>89</v>
      </c>
      <c r="J576" s="154" t="s">
        <v>90</v>
      </c>
      <c r="K576" s="154" t="s">
        <v>91</v>
      </c>
      <c r="L576" s="154" t="s">
        <v>1901</v>
      </c>
      <c r="M576" s="154" t="s">
        <v>1383</v>
      </c>
      <c r="N576" s="154" t="s">
        <v>61</v>
      </c>
      <c r="O576" s="154" t="s">
        <v>62</v>
      </c>
      <c r="P576" s="146">
        <v>0.1</v>
      </c>
      <c r="Q576" s="146">
        <v>0</v>
      </c>
      <c r="R576" s="154" t="s">
        <v>1384</v>
      </c>
      <c r="S576" s="154" t="s">
        <v>1899</v>
      </c>
      <c r="T576" s="155" t="s">
        <v>1899</v>
      </c>
      <c r="U576" s="155" t="s">
        <v>1899</v>
      </c>
      <c r="V576" s="154" t="s">
        <v>1562</v>
      </c>
      <c r="W576" s="154">
        <v>0</v>
      </c>
      <c r="X576" s="154" t="s">
        <v>63</v>
      </c>
      <c r="Y576" s="154" t="s">
        <v>1900</v>
      </c>
      <c r="Z576" s="154"/>
      <c r="AA576" s="154" t="s">
        <v>1387</v>
      </c>
      <c r="AB576" s="154">
        <v>0</v>
      </c>
      <c r="AC576" s="138">
        <f>IFERROR(IF(DATEDIF(#REF!,U576,"m")&lt;=1,1,IF(AND(DATEDIF(#REF!,U576,"m")&gt;1,DATEDIF(#REF!,U576,"m")&lt;12),2,IF(AND(DATEDIF(#REF!,U576,"m")&gt;=12,DATEDIF(#REF!,U576,"m")&lt;24),3,IF(DATEDIF(#REF!,U576,"m")&gt;=24,4,"")))),IF(E576="r0320 - Deposits, not covered and not preferential",1,4))</f>
        <v>4</v>
      </c>
    </row>
    <row r="577" spans="3:29" ht="36.75" thickBot="1" x14ac:dyDescent="0.3">
      <c r="C577" s="11">
        <v>999</v>
      </c>
      <c r="D577" s="154">
        <v>570</v>
      </c>
      <c r="E577" s="154" t="s">
        <v>1898</v>
      </c>
      <c r="F577" s="154" t="s">
        <v>87</v>
      </c>
      <c r="G577" s="154" t="s">
        <v>1402</v>
      </c>
      <c r="H577" s="154" t="s">
        <v>242</v>
      </c>
      <c r="I577" s="154" t="s">
        <v>89</v>
      </c>
      <c r="J577" s="154" t="s">
        <v>90</v>
      </c>
      <c r="K577" s="154" t="s">
        <v>91</v>
      </c>
      <c r="L577" s="154" t="s">
        <v>1901</v>
      </c>
      <c r="M577" s="154" t="s">
        <v>1383</v>
      </c>
      <c r="N577" s="154" t="s">
        <v>61</v>
      </c>
      <c r="O577" s="154" t="s">
        <v>62</v>
      </c>
      <c r="P577" s="146">
        <v>0.14000000000000001</v>
      </c>
      <c r="Q577" s="146">
        <v>0</v>
      </c>
      <c r="R577" s="154" t="s">
        <v>1384</v>
      </c>
      <c r="S577" s="154" t="s">
        <v>1899</v>
      </c>
      <c r="T577" s="155" t="s">
        <v>1899</v>
      </c>
      <c r="U577" s="155" t="s">
        <v>1899</v>
      </c>
      <c r="V577" s="154" t="s">
        <v>1562</v>
      </c>
      <c r="W577" s="154">
        <v>0</v>
      </c>
      <c r="X577" s="154" t="s">
        <v>63</v>
      </c>
      <c r="Y577" s="154" t="s">
        <v>1900</v>
      </c>
      <c r="Z577" s="154"/>
      <c r="AA577" s="154" t="s">
        <v>1387</v>
      </c>
      <c r="AB577" s="154">
        <v>0</v>
      </c>
      <c r="AC577" s="138">
        <f>IFERROR(IF(DATEDIF(#REF!,U577,"m")&lt;=1,1,IF(AND(DATEDIF(#REF!,U577,"m")&gt;1,DATEDIF(#REF!,U577,"m")&lt;12),2,IF(AND(DATEDIF(#REF!,U577,"m")&gt;=12,DATEDIF(#REF!,U577,"m")&lt;24),3,IF(DATEDIF(#REF!,U577,"m")&gt;=24,4,"")))),IF(E577="r0320 - Deposits, not covered and not preferential",1,4))</f>
        <v>4</v>
      </c>
    </row>
    <row r="578" spans="3:29" ht="48.75" thickBot="1" x14ac:dyDescent="0.3">
      <c r="C578" s="11">
        <v>999</v>
      </c>
      <c r="D578" s="154">
        <v>571</v>
      </c>
      <c r="E578" s="154" t="s">
        <v>1902</v>
      </c>
      <c r="F578" s="154" t="s">
        <v>83</v>
      </c>
      <c r="G578" s="154" t="s">
        <v>1903</v>
      </c>
      <c r="H578" s="154" t="s">
        <v>1001</v>
      </c>
      <c r="I578" s="154" t="s">
        <v>101</v>
      </c>
      <c r="J578" s="154" t="s">
        <v>102</v>
      </c>
      <c r="K578" s="154" t="s">
        <v>60</v>
      </c>
      <c r="L578" s="154" t="s">
        <v>1897</v>
      </c>
      <c r="M578" s="154" t="s">
        <v>1388</v>
      </c>
      <c r="N578" s="154" t="s">
        <v>61</v>
      </c>
      <c r="O578" s="154" t="s">
        <v>62</v>
      </c>
      <c r="P578" s="146">
        <v>903259.95</v>
      </c>
      <c r="Q578" s="146">
        <v>299.13</v>
      </c>
      <c r="R578" s="154" t="s">
        <v>1384</v>
      </c>
      <c r="S578" s="154" t="s">
        <v>1899</v>
      </c>
      <c r="T578" s="155" t="s">
        <v>768</v>
      </c>
      <c r="U578" s="155" t="s">
        <v>1899</v>
      </c>
      <c r="V578" s="154" t="s">
        <v>1904</v>
      </c>
      <c r="W578" s="154">
        <v>0</v>
      </c>
      <c r="X578" s="154" t="s">
        <v>63</v>
      </c>
      <c r="Y578" s="154" t="s">
        <v>1386</v>
      </c>
      <c r="Z578" s="154"/>
      <c r="AA578" s="154" t="s">
        <v>1387</v>
      </c>
      <c r="AB578" s="154">
        <v>0</v>
      </c>
      <c r="AC578" s="138">
        <f>IFERROR(IF(DATEDIF(#REF!,U578,"m")&lt;=1,1,IF(AND(DATEDIF(#REF!,U578,"m")&gt;1,DATEDIF(#REF!,U578,"m")&lt;12),2,IF(AND(DATEDIF(#REF!,U578,"m")&gt;=12,DATEDIF(#REF!,U578,"m")&lt;24),3,IF(DATEDIF(#REF!,U578,"m")&gt;=24,4,"")))),IF(E578="r0320 - Deposits, not covered and not preferential",1,4))</f>
        <v>4</v>
      </c>
    </row>
    <row r="579" spans="3:29" ht="36.75" thickBot="1" x14ac:dyDescent="0.3">
      <c r="C579" s="11">
        <v>999</v>
      </c>
      <c r="D579" s="154">
        <v>572</v>
      </c>
      <c r="E579" s="154" t="s">
        <v>1898</v>
      </c>
      <c r="F579" s="154" t="s">
        <v>87</v>
      </c>
      <c r="G579" s="154" t="s">
        <v>1402</v>
      </c>
      <c r="H579" s="154" t="s">
        <v>385</v>
      </c>
      <c r="I579" s="154" t="s">
        <v>89</v>
      </c>
      <c r="J579" s="154" t="s">
        <v>90</v>
      </c>
      <c r="K579" s="154" t="s">
        <v>91</v>
      </c>
      <c r="L579" s="154" t="s">
        <v>1901</v>
      </c>
      <c r="M579" s="154" t="s">
        <v>1383</v>
      </c>
      <c r="N579" s="154" t="s">
        <v>61</v>
      </c>
      <c r="O579" s="154" t="s">
        <v>62</v>
      </c>
      <c r="P579" s="146">
        <v>0.35</v>
      </c>
      <c r="Q579" s="146">
        <v>0</v>
      </c>
      <c r="R579" s="154" t="s">
        <v>1384</v>
      </c>
      <c r="S579" s="154" t="s">
        <v>1899</v>
      </c>
      <c r="T579" s="155" t="s">
        <v>1899</v>
      </c>
      <c r="U579" s="155" t="s">
        <v>1899</v>
      </c>
      <c r="V579" s="154" t="s">
        <v>1562</v>
      </c>
      <c r="W579" s="154">
        <v>0</v>
      </c>
      <c r="X579" s="154" t="s">
        <v>63</v>
      </c>
      <c r="Y579" s="154" t="s">
        <v>1900</v>
      </c>
      <c r="Z579" s="154"/>
      <c r="AA579" s="154" t="s">
        <v>1387</v>
      </c>
      <c r="AB579" s="154">
        <v>0</v>
      </c>
      <c r="AC579" s="138">
        <f>IFERROR(IF(DATEDIF(#REF!,U579,"m")&lt;=1,1,IF(AND(DATEDIF(#REF!,U579,"m")&gt;1,DATEDIF(#REF!,U579,"m")&lt;12),2,IF(AND(DATEDIF(#REF!,U579,"m")&gt;=12,DATEDIF(#REF!,U579,"m")&lt;24),3,IF(DATEDIF(#REF!,U579,"m")&gt;=24,4,"")))),IF(E579="r0320 - Deposits, not covered and not preferential",1,4))</f>
        <v>4</v>
      </c>
    </row>
    <row r="580" spans="3:29" ht="36.75" thickBot="1" x14ac:dyDescent="0.3">
      <c r="C580" s="11">
        <v>999</v>
      </c>
      <c r="D580" s="154">
        <v>573</v>
      </c>
      <c r="E580" s="154" t="s">
        <v>1898</v>
      </c>
      <c r="F580" s="154" t="s">
        <v>87</v>
      </c>
      <c r="G580" s="154" t="s">
        <v>1402</v>
      </c>
      <c r="H580" s="154" t="s">
        <v>1049</v>
      </c>
      <c r="I580" s="154" t="s">
        <v>99</v>
      </c>
      <c r="J580" s="154" t="s">
        <v>90</v>
      </c>
      <c r="K580" s="154" t="s">
        <v>91</v>
      </c>
      <c r="L580" s="154" t="s">
        <v>1897</v>
      </c>
      <c r="M580" s="154" t="s">
        <v>1383</v>
      </c>
      <c r="N580" s="154" t="s">
        <v>61</v>
      </c>
      <c r="O580" s="154" t="s">
        <v>62</v>
      </c>
      <c r="P580" s="146">
        <v>0.03</v>
      </c>
      <c r="Q580" s="146">
        <v>0</v>
      </c>
      <c r="R580" s="154" t="s">
        <v>1384</v>
      </c>
      <c r="S580" s="154" t="s">
        <v>1899</v>
      </c>
      <c r="T580" s="155" t="s">
        <v>1899</v>
      </c>
      <c r="U580" s="155" t="s">
        <v>1899</v>
      </c>
      <c r="V580" s="154" t="s">
        <v>1562</v>
      </c>
      <c r="W580" s="154">
        <v>0</v>
      </c>
      <c r="X580" s="154" t="s">
        <v>63</v>
      </c>
      <c r="Y580" s="154" t="s">
        <v>1900</v>
      </c>
      <c r="Z580" s="154"/>
      <c r="AA580" s="154" t="s">
        <v>1387</v>
      </c>
      <c r="AB580" s="154">
        <v>0</v>
      </c>
      <c r="AC580" s="138">
        <f>IFERROR(IF(DATEDIF(#REF!,U580,"m")&lt;=1,1,IF(AND(DATEDIF(#REF!,U580,"m")&gt;1,DATEDIF(#REF!,U580,"m")&lt;12),2,IF(AND(DATEDIF(#REF!,U580,"m")&gt;=12,DATEDIF(#REF!,U580,"m")&lt;24),3,IF(DATEDIF(#REF!,U580,"m")&gt;=24,4,"")))),IF(E580="r0320 - Deposits, not covered and not preferential",1,4))</f>
        <v>4</v>
      </c>
    </row>
    <row r="581" spans="3:29" ht="36.75" thickBot="1" x14ac:dyDescent="0.3">
      <c r="C581" s="11">
        <v>999</v>
      </c>
      <c r="D581" s="154">
        <v>574</v>
      </c>
      <c r="E581" s="154" t="s">
        <v>1898</v>
      </c>
      <c r="F581" s="154" t="s">
        <v>87</v>
      </c>
      <c r="G581" s="154" t="s">
        <v>1402</v>
      </c>
      <c r="H581" s="154" t="s">
        <v>131</v>
      </c>
      <c r="I581" s="154" t="s">
        <v>89</v>
      </c>
      <c r="J581" s="154" t="s">
        <v>90</v>
      </c>
      <c r="K581" s="154" t="s">
        <v>91</v>
      </c>
      <c r="L581" s="154" t="s">
        <v>1901</v>
      </c>
      <c r="M581" s="154" t="s">
        <v>1383</v>
      </c>
      <c r="N581" s="154" t="s">
        <v>61</v>
      </c>
      <c r="O581" s="154" t="s">
        <v>62</v>
      </c>
      <c r="P581" s="146">
        <v>0.11</v>
      </c>
      <c r="Q581" s="146">
        <v>0</v>
      </c>
      <c r="R581" s="154" t="s">
        <v>1384</v>
      </c>
      <c r="S581" s="154" t="s">
        <v>1899</v>
      </c>
      <c r="T581" s="155" t="s">
        <v>1899</v>
      </c>
      <c r="U581" s="155" t="s">
        <v>1899</v>
      </c>
      <c r="V581" s="154" t="s">
        <v>1562</v>
      </c>
      <c r="W581" s="154">
        <v>0</v>
      </c>
      <c r="X581" s="154" t="s">
        <v>63</v>
      </c>
      <c r="Y581" s="154" t="s">
        <v>1900</v>
      </c>
      <c r="Z581" s="154"/>
      <c r="AA581" s="154" t="s">
        <v>1387</v>
      </c>
      <c r="AB581" s="154">
        <v>0</v>
      </c>
      <c r="AC581" s="138">
        <f>IFERROR(IF(DATEDIF(#REF!,U581,"m")&lt;=1,1,IF(AND(DATEDIF(#REF!,U581,"m")&gt;1,DATEDIF(#REF!,U581,"m")&lt;12),2,IF(AND(DATEDIF(#REF!,U581,"m")&gt;=12,DATEDIF(#REF!,U581,"m")&lt;24),3,IF(DATEDIF(#REF!,U581,"m")&gt;=24,4,"")))),IF(E581="r0320 - Deposits, not covered and not preferential",1,4))</f>
        <v>4</v>
      </c>
    </row>
    <row r="582" spans="3:29" ht="36.75" thickBot="1" x14ac:dyDescent="0.3">
      <c r="C582" s="11">
        <v>999</v>
      </c>
      <c r="D582" s="154">
        <v>575</v>
      </c>
      <c r="E582" s="154" t="s">
        <v>1898</v>
      </c>
      <c r="F582" s="154" t="s">
        <v>260</v>
      </c>
      <c r="G582" s="154" t="s">
        <v>1402</v>
      </c>
      <c r="H582" s="154" t="s">
        <v>881</v>
      </c>
      <c r="I582" s="154" t="s">
        <v>262</v>
      </c>
      <c r="J582" s="154" t="s">
        <v>263</v>
      </c>
      <c r="K582" s="154" t="s">
        <v>91</v>
      </c>
      <c r="L582" s="154" t="s">
        <v>1897</v>
      </c>
      <c r="M582" s="154" t="s">
        <v>1388</v>
      </c>
      <c r="N582" s="154" t="s">
        <v>61</v>
      </c>
      <c r="O582" s="154" t="s">
        <v>62</v>
      </c>
      <c r="P582" s="146">
        <v>0.04</v>
      </c>
      <c r="Q582" s="146">
        <v>0</v>
      </c>
      <c r="R582" s="154" t="s">
        <v>1384</v>
      </c>
      <c r="S582" s="154" t="s">
        <v>1899</v>
      </c>
      <c r="T582" s="155" t="s">
        <v>1899</v>
      </c>
      <c r="U582" s="155" t="s">
        <v>1899</v>
      </c>
      <c r="V582" s="154" t="s">
        <v>1562</v>
      </c>
      <c r="W582" s="154">
        <v>0</v>
      </c>
      <c r="X582" s="154" t="s">
        <v>63</v>
      </c>
      <c r="Y582" s="154" t="s">
        <v>1900</v>
      </c>
      <c r="Z582" s="154"/>
      <c r="AA582" s="154" t="s">
        <v>1387</v>
      </c>
      <c r="AB582" s="154">
        <v>0</v>
      </c>
      <c r="AC582" s="138">
        <f>IFERROR(IF(DATEDIF(#REF!,U582,"m")&lt;=1,1,IF(AND(DATEDIF(#REF!,U582,"m")&gt;1,DATEDIF(#REF!,U582,"m")&lt;12),2,IF(AND(DATEDIF(#REF!,U582,"m")&gt;=12,DATEDIF(#REF!,U582,"m")&lt;24),3,IF(DATEDIF(#REF!,U582,"m")&gt;=24,4,"")))),IF(E582="r0320 - Deposits, not covered and not preferential",1,4))</f>
        <v>4</v>
      </c>
    </row>
    <row r="583" spans="3:29" ht="36.75" thickBot="1" x14ac:dyDescent="0.3">
      <c r="C583" s="11">
        <v>999</v>
      </c>
      <c r="D583" s="154">
        <v>576</v>
      </c>
      <c r="E583" s="154" t="s">
        <v>1898</v>
      </c>
      <c r="F583" s="154" t="s">
        <v>87</v>
      </c>
      <c r="G583" s="154" t="s">
        <v>1402</v>
      </c>
      <c r="H583" s="154" t="s">
        <v>387</v>
      </c>
      <c r="I583" s="154" t="s">
        <v>89</v>
      </c>
      <c r="J583" s="154" t="s">
        <v>90</v>
      </c>
      <c r="K583" s="154" t="s">
        <v>91</v>
      </c>
      <c r="L583" s="154" t="s">
        <v>1901</v>
      </c>
      <c r="M583" s="154" t="s">
        <v>1383</v>
      </c>
      <c r="N583" s="154" t="s">
        <v>61</v>
      </c>
      <c r="O583" s="154" t="s">
        <v>62</v>
      </c>
      <c r="P583" s="146">
        <v>0.22</v>
      </c>
      <c r="Q583" s="146">
        <v>0</v>
      </c>
      <c r="R583" s="154" t="s">
        <v>1384</v>
      </c>
      <c r="S583" s="154" t="s">
        <v>1899</v>
      </c>
      <c r="T583" s="155" t="s">
        <v>1899</v>
      </c>
      <c r="U583" s="155" t="s">
        <v>1899</v>
      </c>
      <c r="V583" s="154" t="s">
        <v>1562</v>
      </c>
      <c r="W583" s="154">
        <v>0</v>
      </c>
      <c r="X583" s="154" t="s">
        <v>63</v>
      </c>
      <c r="Y583" s="154" t="s">
        <v>1900</v>
      </c>
      <c r="Z583" s="154"/>
      <c r="AA583" s="154" t="s">
        <v>1387</v>
      </c>
      <c r="AB583" s="154">
        <v>0</v>
      </c>
      <c r="AC583" s="138">
        <f>IFERROR(IF(DATEDIF(#REF!,U583,"m")&lt;=1,1,IF(AND(DATEDIF(#REF!,U583,"m")&gt;1,DATEDIF(#REF!,U583,"m")&lt;12),2,IF(AND(DATEDIF(#REF!,U583,"m")&gt;=12,DATEDIF(#REF!,U583,"m")&lt;24),3,IF(DATEDIF(#REF!,U583,"m")&gt;=24,4,"")))),IF(E583="r0320 - Deposits, not covered and not preferential",1,4))</f>
        <v>4</v>
      </c>
    </row>
    <row r="584" spans="3:29" ht="36.75" thickBot="1" x14ac:dyDescent="0.3">
      <c r="C584" s="11">
        <v>999</v>
      </c>
      <c r="D584" s="154">
        <v>577</v>
      </c>
      <c r="E584" s="154" t="s">
        <v>1898</v>
      </c>
      <c r="F584" s="154" t="s">
        <v>56</v>
      </c>
      <c r="G584" s="154" t="s">
        <v>1402</v>
      </c>
      <c r="H584" s="154" t="s">
        <v>649</v>
      </c>
      <c r="I584" s="154" t="s">
        <v>66</v>
      </c>
      <c r="J584" s="154" t="s">
        <v>67</v>
      </c>
      <c r="K584" s="154" t="s">
        <v>60</v>
      </c>
      <c r="L584" s="154" t="s">
        <v>1897</v>
      </c>
      <c r="M584" s="154" t="s">
        <v>1383</v>
      </c>
      <c r="N584" s="154" t="s">
        <v>61</v>
      </c>
      <c r="O584" s="154" t="s">
        <v>62</v>
      </c>
      <c r="P584" s="146">
        <v>6.07</v>
      </c>
      <c r="Q584" s="146">
        <v>0</v>
      </c>
      <c r="R584" s="154" t="s">
        <v>1384</v>
      </c>
      <c r="S584" s="154" t="s">
        <v>1899</v>
      </c>
      <c r="T584" s="155" t="s">
        <v>1899</v>
      </c>
      <c r="U584" s="155" t="s">
        <v>1899</v>
      </c>
      <c r="V584" s="154" t="s">
        <v>1562</v>
      </c>
      <c r="W584" s="154">
        <v>0</v>
      </c>
      <c r="X584" s="154" t="s">
        <v>63</v>
      </c>
      <c r="Y584" s="154" t="s">
        <v>1900</v>
      </c>
      <c r="Z584" s="154"/>
      <c r="AA584" s="154" t="s">
        <v>1387</v>
      </c>
      <c r="AB584" s="154">
        <v>0</v>
      </c>
      <c r="AC584" s="138">
        <f>IFERROR(IF(DATEDIF(#REF!,U584,"m")&lt;=1,1,IF(AND(DATEDIF(#REF!,U584,"m")&gt;1,DATEDIF(#REF!,U584,"m")&lt;12),2,IF(AND(DATEDIF(#REF!,U584,"m")&gt;=12,DATEDIF(#REF!,U584,"m")&lt;24),3,IF(DATEDIF(#REF!,U584,"m")&gt;=24,4,"")))),IF(E584="r0320 - Deposits, not covered and not preferential",1,4))</f>
        <v>4</v>
      </c>
    </row>
    <row r="585" spans="3:29" ht="36.75" thickBot="1" x14ac:dyDescent="0.3">
      <c r="C585" s="11">
        <v>999</v>
      </c>
      <c r="D585" s="154">
        <v>578</v>
      </c>
      <c r="E585" s="154" t="s">
        <v>1898</v>
      </c>
      <c r="F585" s="154" t="s">
        <v>87</v>
      </c>
      <c r="G585" s="154" t="s">
        <v>1402</v>
      </c>
      <c r="H585" s="154" t="s">
        <v>244</v>
      </c>
      <c r="I585" s="154" t="s">
        <v>89</v>
      </c>
      <c r="J585" s="154" t="s">
        <v>90</v>
      </c>
      <c r="K585" s="154" t="s">
        <v>91</v>
      </c>
      <c r="L585" s="154" t="s">
        <v>1901</v>
      </c>
      <c r="M585" s="154" t="s">
        <v>1383</v>
      </c>
      <c r="N585" s="154" t="s">
        <v>61</v>
      </c>
      <c r="O585" s="154" t="s">
        <v>62</v>
      </c>
      <c r="P585" s="146">
        <v>0.15</v>
      </c>
      <c r="Q585" s="146">
        <v>0</v>
      </c>
      <c r="R585" s="154" t="s">
        <v>1384</v>
      </c>
      <c r="S585" s="154" t="s">
        <v>1899</v>
      </c>
      <c r="T585" s="155" t="s">
        <v>1899</v>
      </c>
      <c r="U585" s="155" t="s">
        <v>1899</v>
      </c>
      <c r="V585" s="154" t="s">
        <v>1562</v>
      </c>
      <c r="W585" s="154">
        <v>0</v>
      </c>
      <c r="X585" s="154" t="s">
        <v>63</v>
      </c>
      <c r="Y585" s="154" t="s">
        <v>1900</v>
      </c>
      <c r="Z585" s="154"/>
      <c r="AA585" s="154" t="s">
        <v>1387</v>
      </c>
      <c r="AB585" s="154">
        <v>0</v>
      </c>
      <c r="AC585" s="138">
        <f>IFERROR(IF(DATEDIF(#REF!,U585,"m")&lt;=1,1,IF(AND(DATEDIF(#REF!,U585,"m")&gt;1,DATEDIF(#REF!,U585,"m")&lt;12),2,IF(AND(DATEDIF(#REF!,U585,"m")&gt;=12,DATEDIF(#REF!,U585,"m")&lt;24),3,IF(DATEDIF(#REF!,U585,"m")&gt;=24,4,"")))),IF(E585="r0320 - Deposits, not covered and not preferential",1,4))</f>
        <v>4</v>
      </c>
    </row>
    <row r="586" spans="3:29" ht="48.75" thickBot="1" x14ac:dyDescent="0.3">
      <c r="C586" s="11">
        <v>999</v>
      </c>
      <c r="D586" s="154">
        <v>579</v>
      </c>
      <c r="E586" s="154" t="s">
        <v>1902</v>
      </c>
      <c r="F586" s="154" t="s">
        <v>83</v>
      </c>
      <c r="G586" s="154" t="s">
        <v>1903</v>
      </c>
      <c r="H586" s="154" t="s">
        <v>380</v>
      </c>
      <c r="I586" s="154" t="s">
        <v>114</v>
      </c>
      <c r="J586" s="154" t="s">
        <v>115</v>
      </c>
      <c r="K586" s="154" t="s">
        <v>60</v>
      </c>
      <c r="L586" s="154" t="s">
        <v>1897</v>
      </c>
      <c r="M586" s="154" t="s">
        <v>1388</v>
      </c>
      <c r="N586" s="154" t="s">
        <v>61</v>
      </c>
      <c r="O586" s="154" t="s">
        <v>62</v>
      </c>
      <c r="P586" s="146">
        <v>66017.11</v>
      </c>
      <c r="Q586" s="146">
        <v>35.18</v>
      </c>
      <c r="R586" s="154" t="s">
        <v>1384</v>
      </c>
      <c r="S586" s="154" t="s">
        <v>1899</v>
      </c>
      <c r="T586" s="155" t="s">
        <v>768</v>
      </c>
      <c r="U586" s="155" t="s">
        <v>1899</v>
      </c>
      <c r="V586" s="154" t="s">
        <v>1904</v>
      </c>
      <c r="W586" s="154">
        <v>0</v>
      </c>
      <c r="X586" s="154" t="s">
        <v>63</v>
      </c>
      <c r="Y586" s="154" t="s">
        <v>1386</v>
      </c>
      <c r="Z586" s="154"/>
      <c r="AA586" s="154" t="s">
        <v>1387</v>
      </c>
      <c r="AB586" s="154">
        <v>0</v>
      </c>
      <c r="AC586" s="138">
        <f>IFERROR(IF(DATEDIF(#REF!,U586,"m")&lt;=1,1,IF(AND(DATEDIF(#REF!,U586,"m")&gt;1,DATEDIF(#REF!,U586,"m")&lt;12),2,IF(AND(DATEDIF(#REF!,U586,"m")&gt;=12,DATEDIF(#REF!,U586,"m")&lt;24),3,IF(DATEDIF(#REF!,U586,"m")&gt;=24,4,"")))),IF(E586="r0320 - Deposits, not covered and not preferential",1,4))</f>
        <v>4</v>
      </c>
    </row>
    <row r="587" spans="3:29" ht="36.75" thickBot="1" x14ac:dyDescent="0.3">
      <c r="C587" s="11">
        <v>999</v>
      </c>
      <c r="D587" s="154">
        <v>580</v>
      </c>
      <c r="E587" s="154" t="s">
        <v>1898</v>
      </c>
      <c r="F587" s="154" t="s">
        <v>87</v>
      </c>
      <c r="G587" s="154" t="s">
        <v>1402</v>
      </c>
      <c r="H587" s="154" t="s">
        <v>929</v>
      </c>
      <c r="I587" s="154" t="s">
        <v>96</v>
      </c>
      <c r="J587" s="154" t="s">
        <v>97</v>
      </c>
      <c r="K587" s="154" t="s">
        <v>91</v>
      </c>
      <c r="L587" s="154" t="s">
        <v>1897</v>
      </c>
      <c r="M587" s="154" t="s">
        <v>1383</v>
      </c>
      <c r="N587" s="154" t="s">
        <v>61</v>
      </c>
      <c r="O587" s="154" t="s">
        <v>62</v>
      </c>
      <c r="P587" s="146">
        <v>0.11</v>
      </c>
      <c r="Q587" s="146">
        <v>0</v>
      </c>
      <c r="R587" s="154" t="s">
        <v>1384</v>
      </c>
      <c r="S587" s="154" t="s">
        <v>1899</v>
      </c>
      <c r="T587" s="155" t="s">
        <v>1899</v>
      </c>
      <c r="U587" s="155" t="s">
        <v>1899</v>
      </c>
      <c r="V587" s="154" t="s">
        <v>1562</v>
      </c>
      <c r="W587" s="154">
        <v>0</v>
      </c>
      <c r="X587" s="154" t="s">
        <v>63</v>
      </c>
      <c r="Y587" s="154" t="s">
        <v>1900</v>
      </c>
      <c r="Z587" s="154"/>
      <c r="AA587" s="154" t="s">
        <v>1387</v>
      </c>
      <c r="AB587" s="154">
        <v>0</v>
      </c>
      <c r="AC587" s="138">
        <f>IFERROR(IF(DATEDIF(#REF!,U587,"m")&lt;=1,1,IF(AND(DATEDIF(#REF!,U587,"m")&gt;1,DATEDIF(#REF!,U587,"m")&lt;12),2,IF(AND(DATEDIF(#REF!,U587,"m")&gt;=12,DATEDIF(#REF!,U587,"m")&lt;24),3,IF(DATEDIF(#REF!,U587,"m")&gt;=24,4,"")))),IF(E587="r0320 - Deposits, not covered and not preferential",1,4))</f>
        <v>4</v>
      </c>
    </row>
    <row r="588" spans="3:29" ht="36.75" thickBot="1" x14ac:dyDescent="0.3">
      <c r="C588" s="11">
        <v>999</v>
      </c>
      <c r="D588" s="154">
        <v>581</v>
      </c>
      <c r="E588" s="154" t="s">
        <v>1898</v>
      </c>
      <c r="F588" s="154" t="s">
        <v>87</v>
      </c>
      <c r="G588" s="154" t="s">
        <v>1402</v>
      </c>
      <c r="H588" s="154" t="s">
        <v>1060</v>
      </c>
      <c r="I588" s="154" t="s">
        <v>89</v>
      </c>
      <c r="J588" s="154" t="s">
        <v>90</v>
      </c>
      <c r="K588" s="154" t="s">
        <v>91</v>
      </c>
      <c r="L588" s="154" t="s">
        <v>1901</v>
      </c>
      <c r="M588" s="154" t="s">
        <v>1383</v>
      </c>
      <c r="N588" s="154" t="s">
        <v>61</v>
      </c>
      <c r="O588" s="154" t="s">
        <v>62</v>
      </c>
      <c r="P588" s="146">
        <v>0.12</v>
      </c>
      <c r="Q588" s="146">
        <v>0</v>
      </c>
      <c r="R588" s="154" t="s">
        <v>1384</v>
      </c>
      <c r="S588" s="154" t="s">
        <v>1899</v>
      </c>
      <c r="T588" s="155" t="s">
        <v>1899</v>
      </c>
      <c r="U588" s="155" t="s">
        <v>1899</v>
      </c>
      <c r="V588" s="154" t="s">
        <v>1562</v>
      </c>
      <c r="W588" s="154">
        <v>0</v>
      </c>
      <c r="X588" s="154" t="s">
        <v>63</v>
      </c>
      <c r="Y588" s="154" t="s">
        <v>1900</v>
      </c>
      <c r="Z588" s="154"/>
      <c r="AA588" s="154" t="s">
        <v>1387</v>
      </c>
      <c r="AB588" s="154">
        <v>0</v>
      </c>
      <c r="AC588" s="138">
        <f>IFERROR(IF(DATEDIF(#REF!,U588,"m")&lt;=1,1,IF(AND(DATEDIF(#REF!,U588,"m")&gt;1,DATEDIF(#REF!,U588,"m")&lt;12),2,IF(AND(DATEDIF(#REF!,U588,"m")&gt;=12,DATEDIF(#REF!,U588,"m")&lt;24),3,IF(DATEDIF(#REF!,U588,"m")&gt;=24,4,"")))),IF(E588="r0320 - Deposits, not covered and not preferential",1,4))</f>
        <v>4</v>
      </c>
    </row>
    <row r="589" spans="3:29" ht="36.75" thickBot="1" x14ac:dyDescent="0.3">
      <c r="C589" s="11">
        <v>999</v>
      </c>
      <c r="D589" s="154">
        <v>582</v>
      </c>
      <c r="E589" s="154" t="s">
        <v>1898</v>
      </c>
      <c r="F589" s="154" t="s">
        <v>87</v>
      </c>
      <c r="G589" s="154" t="s">
        <v>1402</v>
      </c>
      <c r="H589" s="154" t="s">
        <v>635</v>
      </c>
      <c r="I589" s="154" t="s">
        <v>89</v>
      </c>
      <c r="J589" s="154" t="s">
        <v>90</v>
      </c>
      <c r="K589" s="154" t="s">
        <v>91</v>
      </c>
      <c r="L589" s="154" t="s">
        <v>1901</v>
      </c>
      <c r="M589" s="154" t="s">
        <v>1383</v>
      </c>
      <c r="N589" s="154" t="s">
        <v>61</v>
      </c>
      <c r="O589" s="154" t="s">
        <v>62</v>
      </c>
      <c r="P589" s="146">
        <v>0.13</v>
      </c>
      <c r="Q589" s="146">
        <v>0</v>
      </c>
      <c r="R589" s="154" t="s">
        <v>1384</v>
      </c>
      <c r="S589" s="154" t="s">
        <v>1899</v>
      </c>
      <c r="T589" s="155" t="s">
        <v>1899</v>
      </c>
      <c r="U589" s="155" t="s">
        <v>1899</v>
      </c>
      <c r="V589" s="154" t="s">
        <v>1562</v>
      </c>
      <c r="W589" s="154">
        <v>0</v>
      </c>
      <c r="X589" s="154" t="s">
        <v>63</v>
      </c>
      <c r="Y589" s="154" t="s">
        <v>1900</v>
      </c>
      <c r="Z589" s="154"/>
      <c r="AA589" s="154" t="s">
        <v>1387</v>
      </c>
      <c r="AB589" s="154">
        <v>0</v>
      </c>
      <c r="AC589" s="138">
        <f>IFERROR(IF(DATEDIF(#REF!,U589,"m")&lt;=1,1,IF(AND(DATEDIF(#REF!,U589,"m")&gt;1,DATEDIF(#REF!,U589,"m")&lt;12),2,IF(AND(DATEDIF(#REF!,U589,"m")&gt;=12,DATEDIF(#REF!,U589,"m")&lt;24),3,IF(DATEDIF(#REF!,U589,"m")&gt;=24,4,"")))),IF(E589="r0320 - Deposits, not covered and not preferential",1,4))</f>
        <v>4</v>
      </c>
    </row>
    <row r="590" spans="3:29" ht="48.75" thickBot="1" x14ac:dyDescent="0.3">
      <c r="C590" s="11">
        <v>999</v>
      </c>
      <c r="D590" s="154">
        <v>583</v>
      </c>
      <c r="E590" s="154" t="s">
        <v>1902</v>
      </c>
      <c r="F590" s="154" t="s">
        <v>83</v>
      </c>
      <c r="G590" s="154" t="s">
        <v>1903</v>
      </c>
      <c r="H590" s="154" t="s">
        <v>592</v>
      </c>
      <c r="I590" s="154" t="s">
        <v>101</v>
      </c>
      <c r="J590" s="154" t="s">
        <v>102</v>
      </c>
      <c r="K590" s="154" t="s">
        <v>60</v>
      </c>
      <c r="L590" s="154" t="s">
        <v>1897</v>
      </c>
      <c r="M590" s="154" t="s">
        <v>1388</v>
      </c>
      <c r="N590" s="154" t="s">
        <v>61</v>
      </c>
      <c r="O590" s="154" t="s">
        <v>62</v>
      </c>
      <c r="P590" s="146">
        <v>2780324.3</v>
      </c>
      <c r="Q590" s="146">
        <v>371.03</v>
      </c>
      <c r="R590" s="154" t="s">
        <v>1384</v>
      </c>
      <c r="S590" s="154" t="s">
        <v>1899</v>
      </c>
      <c r="T590" s="155" t="s">
        <v>768</v>
      </c>
      <c r="U590" s="155" t="s">
        <v>1899</v>
      </c>
      <c r="V590" s="154" t="s">
        <v>1904</v>
      </c>
      <c r="W590" s="154">
        <v>0</v>
      </c>
      <c r="X590" s="154" t="s">
        <v>63</v>
      </c>
      <c r="Y590" s="154" t="s">
        <v>1386</v>
      </c>
      <c r="Z590" s="154"/>
      <c r="AA590" s="154" t="s">
        <v>1387</v>
      </c>
      <c r="AB590" s="154">
        <v>0</v>
      </c>
      <c r="AC590" s="138">
        <f>IFERROR(IF(DATEDIF(#REF!,U590,"m")&lt;=1,1,IF(AND(DATEDIF(#REF!,U590,"m")&gt;1,DATEDIF(#REF!,U590,"m")&lt;12),2,IF(AND(DATEDIF(#REF!,U590,"m")&gt;=12,DATEDIF(#REF!,U590,"m")&lt;24),3,IF(DATEDIF(#REF!,U590,"m")&gt;=24,4,"")))),IF(E590="r0320 - Deposits, not covered and not preferential",1,4))</f>
        <v>4</v>
      </c>
    </row>
    <row r="591" spans="3:29" ht="36.75" thickBot="1" x14ac:dyDescent="0.3">
      <c r="C591" s="11">
        <v>999</v>
      </c>
      <c r="D591" s="154">
        <v>584</v>
      </c>
      <c r="E591" s="154" t="s">
        <v>1898</v>
      </c>
      <c r="F591" s="154" t="s">
        <v>87</v>
      </c>
      <c r="G591" s="154" t="s">
        <v>1402</v>
      </c>
      <c r="H591" s="154" t="s">
        <v>637</v>
      </c>
      <c r="I591" s="154" t="s">
        <v>99</v>
      </c>
      <c r="J591" s="154" t="s">
        <v>90</v>
      </c>
      <c r="K591" s="154" t="s">
        <v>91</v>
      </c>
      <c r="L591" s="154" t="s">
        <v>1897</v>
      </c>
      <c r="M591" s="154" t="s">
        <v>1383</v>
      </c>
      <c r="N591" s="154" t="s">
        <v>61</v>
      </c>
      <c r="O591" s="154" t="s">
        <v>62</v>
      </c>
      <c r="P591" s="146">
        <v>0.01</v>
      </c>
      <c r="Q591" s="146">
        <v>0</v>
      </c>
      <c r="R591" s="154" t="s">
        <v>1384</v>
      </c>
      <c r="S591" s="154" t="s">
        <v>1899</v>
      </c>
      <c r="T591" s="155" t="s">
        <v>1899</v>
      </c>
      <c r="U591" s="155" t="s">
        <v>1899</v>
      </c>
      <c r="V591" s="154" t="s">
        <v>1562</v>
      </c>
      <c r="W591" s="154">
        <v>0</v>
      </c>
      <c r="X591" s="154" t="s">
        <v>63</v>
      </c>
      <c r="Y591" s="154" t="s">
        <v>1900</v>
      </c>
      <c r="Z591" s="154"/>
      <c r="AA591" s="154" t="s">
        <v>1387</v>
      </c>
      <c r="AB591" s="154">
        <v>0</v>
      </c>
      <c r="AC591" s="138">
        <f>IFERROR(IF(DATEDIF(#REF!,U591,"m")&lt;=1,1,IF(AND(DATEDIF(#REF!,U591,"m")&gt;1,DATEDIF(#REF!,U591,"m")&lt;12),2,IF(AND(DATEDIF(#REF!,U591,"m")&gt;=12,DATEDIF(#REF!,U591,"m")&lt;24),3,IF(DATEDIF(#REF!,U591,"m")&gt;=24,4,"")))),IF(E591="r0320 - Deposits, not covered and not preferential",1,4))</f>
        <v>4</v>
      </c>
    </row>
    <row r="592" spans="3:29" ht="36.75" thickBot="1" x14ac:dyDescent="0.3">
      <c r="C592" s="11">
        <v>999</v>
      </c>
      <c r="D592" s="154">
        <v>585</v>
      </c>
      <c r="E592" s="154" t="s">
        <v>1898</v>
      </c>
      <c r="F592" s="154" t="s">
        <v>87</v>
      </c>
      <c r="G592" s="154" t="s">
        <v>1402</v>
      </c>
      <c r="H592" s="154" t="s">
        <v>326</v>
      </c>
      <c r="I592" s="154" t="s">
        <v>111</v>
      </c>
      <c r="J592" s="154" t="s">
        <v>90</v>
      </c>
      <c r="K592" s="154" t="s">
        <v>91</v>
      </c>
      <c r="L592" s="154" t="s">
        <v>1897</v>
      </c>
      <c r="M592" s="154" t="s">
        <v>1383</v>
      </c>
      <c r="N592" s="154" t="s">
        <v>61</v>
      </c>
      <c r="O592" s="154" t="s">
        <v>62</v>
      </c>
      <c r="P592" s="146">
        <v>0.28999999999999998</v>
      </c>
      <c r="Q592" s="146">
        <v>0</v>
      </c>
      <c r="R592" s="154" t="s">
        <v>1384</v>
      </c>
      <c r="S592" s="154" t="s">
        <v>1899</v>
      </c>
      <c r="T592" s="155" t="s">
        <v>1899</v>
      </c>
      <c r="U592" s="155" t="s">
        <v>1899</v>
      </c>
      <c r="V592" s="154" t="s">
        <v>1562</v>
      </c>
      <c r="W592" s="154">
        <v>0</v>
      </c>
      <c r="X592" s="154" t="s">
        <v>63</v>
      </c>
      <c r="Y592" s="154" t="s">
        <v>1900</v>
      </c>
      <c r="Z592" s="154"/>
      <c r="AA592" s="154" t="s">
        <v>1387</v>
      </c>
      <c r="AB592" s="154">
        <v>0</v>
      </c>
      <c r="AC592" s="138">
        <f>IFERROR(IF(DATEDIF(#REF!,U592,"m")&lt;=1,1,IF(AND(DATEDIF(#REF!,U592,"m")&gt;1,DATEDIF(#REF!,U592,"m")&lt;12),2,IF(AND(DATEDIF(#REF!,U592,"m")&gt;=12,DATEDIF(#REF!,U592,"m")&lt;24),3,IF(DATEDIF(#REF!,U592,"m")&gt;=24,4,"")))),IF(E592="r0320 - Deposits, not covered and not preferential",1,4))</f>
        <v>4</v>
      </c>
    </row>
    <row r="593" spans="3:29" ht="36.75" thickBot="1" x14ac:dyDescent="0.3">
      <c r="C593" s="11">
        <v>999</v>
      </c>
      <c r="D593" s="154">
        <v>586</v>
      </c>
      <c r="E593" s="154" t="s">
        <v>1898</v>
      </c>
      <c r="F593" s="154" t="s">
        <v>87</v>
      </c>
      <c r="G593" s="154" t="s">
        <v>1402</v>
      </c>
      <c r="H593" s="154" t="s">
        <v>639</v>
      </c>
      <c r="I593" s="154" t="s">
        <v>99</v>
      </c>
      <c r="J593" s="154" t="s">
        <v>90</v>
      </c>
      <c r="K593" s="154" t="s">
        <v>91</v>
      </c>
      <c r="L593" s="154" t="s">
        <v>1897</v>
      </c>
      <c r="M593" s="154" t="s">
        <v>1383</v>
      </c>
      <c r="N593" s="154" t="s">
        <v>61</v>
      </c>
      <c r="O593" s="154" t="s">
        <v>62</v>
      </c>
      <c r="P593" s="146">
        <v>0.03</v>
      </c>
      <c r="Q593" s="146">
        <v>0</v>
      </c>
      <c r="R593" s="154" t="s">
        <v>1384</v>
      </c>
      <c r="S593" s="154" t="s">
        <v>1899</v>
      </c>
      <c r="T593" s="155" t="s">
        <v>1899</v>
      </c>
      <c r="U593" s="155" t="s">
        <v>1899</v>
      </c>
      <c r="V593" s="154" t="s">
        <v>1562</v>
      </c>
      <c r="W593" s="154">
        <v>0</v>
      </c>
      <c r="X593" s="154" t="s">
        <v>63</v>
      </c>
      <c r="Y593" s="154" t="s">
        <v>1900</v>
      </c>
      <c r="Z593" s="154"/>
      <c r="AA593" s="154" t="s">
        <v>1387</v>
      </c>
      <c r="AB593" s="154">
        <v>0</v>
      </c>
      <c r="AC593" s="138">
        <f>IFERROR(IF(DATEDIF(#REF!,U593,"m")&lt;=1,1,IF(AND(DATEDIF(#REF!,U593,"m")&gt;1,DATEDIF(#REF!,U593,"m")&lt;12),2,IF(AND(DATEDIF(#REF!,U593,"m")&gt;=12,DATEDIF(#REF!,U593,"m")&lt;24),3,IF(DATEDIF(#REF!,U593,"m")&gt;=24,4,"")))),IF(E593="r0320 - Deposits, not covered and not preferential",1,4))</f>
        <v>4</v>
      </c>
    </row>
    <row r="594" spans="3:29" ht="48.75" thickBot="1" x14ac:dyDescent="0.3">
      <c r="C594" s="11">
        <v>999</v>
      </c>
      <c r="D594" s="154">
        <v>587</v>
      </c>
      <c r="E594" s="154" t="s">
        <v>1902</v>
      </c>
      <c r="F594" s="154" t="s">
        <v>83</v>
      </c>
      <c r="G594" s="154" t="s">
        <v>1903</v>
      </c>
      <c r="H594" s="154" t="s">
        <v>1024</v>
      </c>
      <c r="I594" s="154" t="s">
        <v>93</v>
      </c>
      <c r="J594" s="154" t="s">
        <v>94</v>
      </c>
      <c r="K594" s="154" t="s">
        <v>60</v>
      </c>
      <c r="L594" s="154" t="s">
        <v>1897</v>
      </c>
      <c r="M594" s="154" t="s">
        <v>1388</v>
      </c>
      <c r="N594" s="154" t="s">
        <v>61</v>
      </c>
      <c r="O594" s="154" t="s">
        <v>62</v>
      </c>
      <c r="P594" s="146">
        <v>164528.09</v>
      </c>
      <c r="Q594" s="146">
        <v>60.32</v>
      </c>
      <c r="R594" s="154" t="s">
        <v>1384</v>
      </c>
      <c r="S594" s="154" t="s">
        <v>1899</v>
      </c>
      <c r="T594" s="155" t="s">
        <v>768</v>
      </c>
      <c r="U594" s="155" t="s">
        <v>1899</v>
      </c>
      <c r="V594" s="154" t="s">
        <v>1904</v>
      </c>
      <c r="W594" s="154">
        <v>0</v>
      </c>
      <c r="X594" s="154" t="s">
        <v>63</v>
      </c>
      <c r="Y594" s="154" t="s">
        <v>1386</v>
      </c>
      <c r="Z594" s="154"/>
      <c r="AA594" s="154" t="s">
        <v>1387</v>
      </c>
      <c r="AB594" s="154">
        <v>0</v>
      </c>
      <c r="AC594" s="138">
        <f>IFERROR(IF(DATEDIF(#REF!,U594,"m")&lt;=1,1,IF(AND(DATEDIF(#REF!,U594,"m")&gt;1,DATEDIF(#REF!,U594,"m")&lt;12),2,IF(AND(DATEDIF(#REF!,U594,"m")&gt;=12,DATEDIF(#REF!,U594,"m")&lt;24),3,IF(DATEDIF(#REF!,U594,"m")&gt;=24,4,"")))),IF(E594="r0320 - Deposits, not covered and not preferential",1,4))</f>
        <v>4</v>
      </c>
    </row>
    <row r="595" spans="3:29" ht="36.75" thickBot="1" x14ac:dyDescent="0.3">
      <c r="C595" s="11">
        <v>999</v>
      </c>
      <c r="D595" s="154">
        <v>588</v>
      </c>
      <c r="E595" s="154" t="s">
        <v>1898</v>
      </c>
      <c r="F595" s="154" t="s">
        <v>87</v>
      </c>
      <c r="G595" s="154" t="s">
        <v>1402</v>
      </c>
      <c r="H595" s="154" t="s">
        <v>641</v>
      </c>
      <c r="I595" s="154" t="s">
        <v>99</v>
      </c>
      <c r="J595" s="154" t="s">
        <v>90</v>
      </c>
      <c r="K595" s="154" t="s">
        <v>91</v>
      </c>
      <c r="L595" s="154" t="s">
        <v>1897</v>
      </c>
      <c r="M595" s="154" t="s">
        <v>1383</v>
      </c>
      <c r="N595" s="154" t="s">
        <v>61</v>
      </c>
      <c r="O595" s="154" t="s">
        <v>62</v>
      </c>
      <c r="P595" s="146">
        <v>0.02</v>
      </c>
      <c r="Q595" s="146">
        <v>0</v>
      </c>
      <c r="R595" s="154" t="s">
        <v>1384</v>
      </c>
      <c r="S595" s="154" t="s">
        <v>1899</v>
      </c>
      <c r="T595" s="155" t="s">
        <v>1899</v>
      </c>
      <c r="U595" s="155" t="s">
        <v>1899</v>
      </c>
      <c r="V595" s="154" t="s">
        <v>1562</v>
      </c>
      <c r="W595" s="154">
        <v>0</v>
      </c>
      <c r="X595" s="154" t="s">
        <v>63</v>
      </c>
      <c r="Y595" s="154" t="s">
        <v>1900</v>
      </c>
      <c r="Z595" s="154"/>
      <c r="AA595" s="154" t="s">
        <v>1387</v>
      </c>
      <c r="AB595" s="154">
        <v>0</v>
      </c>
      <c r="AC595" s="138">
        <f>IFERROR(IF(DATEDIF(#REF!,U595,"m")&lt;=1,1,IF(AND(DATEDIF(#REF!,U595,"m")&gt;1,DATEDIF(#REF!,U595,"m")&lt;12),2,IF(AND(DATEDIF(#REF!,U595,"m")&gt;=12,DATEDIF(#REF!,U595,"m")&lt;24),3,IF(DATEDIF(#REF!,U595,"m")&gt;=24,4,"")))),IF(E595="r0320 - Deposits, not covered and not preferential",1,4))</f>
        <v>4</v>
      </c>
    </row>
    <row r="596" spans="3:29" ht="36.75" thickBot="1" x14ac:dyDescent="0.3">
      <c r="C596" s="11">
        <v>999</v>
      </c>
      <c r="D596" s="154">
        <v>589</v>
      </c>
      <c r="E596" s="154" t="s">
        <v>1898</v>
      </c>
      <c r="F596" s="154" t="s">
        <v>87</v>
      </c>
      <c r="G596" s="154" t="s">
        <v>1402</v>
      </c>
      <c r="H596" s="154" t="s">
        <v>1073</v>
      </c>
      <c r="I596" s="154" t="s">
        <v>89</v>
      </c>
      <c r="J596" s="154" t="s">
        <v>90</v>
      </c>
      <c r="K596" s="154" t="s">
        <v>91</v>
      </c>
      <c r="L596" s="154" t="s">
        <v>1901</v>
      </c>
      <c r="M596" s="154" t="s">
        <v>1383</v>
      </c>
      <c r="N596" s="154" t="s">
        <v>61</v>
      </c>
      <c r="O596" s="154" t="s">
        <v>62</v>
      </c>
      <c r="P596" s="146">
        <v>0.19</v>
      </c>
      <c r="Q596" s="146">
        <v>0</v>
      </c>
      <c r="R596" s="154" t="s">
        <v>1384</v>
      </c>
      <c r="S596" s="154" t="s">
        <v>1899</v>
      </c>
      <c r="T596" s="155" t="s">
        <v>1899</v>
      </c>
      <c r="U596" s="155" t="s">
        <v>1899</v>
      </c>
      <c r="V596" s="154" t="s">
        <v>1562</v>
      </c>
      <c r="W596" s="154">
        <v>0</v>
      </c>
      <c r="X596" s="154" t="s">
        <v>63</v>
      </c>
      <c r="Y596" s="154" t="s">
        <v>1900</v>
      </c>
      <c r="Z596" s="154"/>
      <c r="AA596" s="154" t="s">
        <v>1387</v>
      </c>
      <c r="AB596" s="154">
        <v>0</v>
      </c>
      <c r="AC596" s="138">
        <f>IFERROR(IF(DATEDIF(#REF!,U596,"m")&lt;=1,1,IF(AND(DATEDIF(#REF!,U596,"m")&gt;1,DATEDIF(#REF!,U596,"m")&lt;12),2,IF(AND(DATEDIF(#REF!,U596,"m")&gt;=12,DATEDIF(#REF!,U596,"m")&lt;24),3,IF(DATEDIF(#REF!,U596,"m")&gt;=24,4,"")))),IF(E596="r0320 - Deposits, not covered and not preferential",1,4))</f>
        <v>4</v>
      </c>
    </row>
    <row r="597" spans="3:29" ht="36.75" thickBot="1" x14ac:dyDescent="0.3">
      <c r="C597" s="11">
        <v>999</v>
      </c>
      <c r="D597" s="154">
        <v>590</v>
      </c>
      <c r="E597" s="154" t="s">
        <v>1898</v>
      </c>
      <c r="F597" s="154" t="s">
        <v>87</v>
      </c>
      <c r="G597" s="154" t="s">
        <v>1402</v>
      </c>
      <c r="H597" s="154" t="s">
        <v>643</v>
      </c>
      <c r="I597" s="154" t="s">
        <v>99</v>
      </c>
      <c r="J597" s="154" t="s">
        <v>90</v>
      </c>
      <c r="K597" s="154" t="s">
        <v>91</v>
      </c>
      <c r="L597" s="154" t="s">
        <v>1897</v>
      </c>
      <c r="M597" s="154" t="s">
        <v>1383</v>
      </c>
      <c r="N597" s="154" t="s">
        <v>61</v>
      </c>
      <c r="O597" s="154" t="s">
        <v>62</v>
      </c>
      <c r="P597" s="146">
        <v>0.01</v>
      </c>
      <c r="Q597" s="146">
        <v>0</v>
      </c>
      <c r="R597" s="154" t="s">
        <v>1384</v>
      </c>
      <c r="S597" s="154" t="s">
        <v>1899</v>
      </c>
      <c r="T597" s="155" t="s">
        <v>1899</v>
      </c>
      <c r="U597" s="155" t="s">
        <v>1899</v>
      </c>
      <c r="V597" s="154" t="s">
        <v>1562</v>
      </c>
      <c r="W597" s="154">
        <v>0</v>
      </c>
      <c r="X597" s="154" t="s">
        <v>63</v>
      </c>
      <c r="Y597" s="154" t="s">
        <v>1900</v>
      </c>
      <c r="Z597" s="154"/>
      <c r="AA597" s="154" t="s">
        <v>1387</v>
      </c>
      <c r="AB597" s="154">
        <v>0</v>
      </c>
      <c r="AC597" s="138">
        <f>IFERROR(IF(DATEDIF(#REF!,U597,"m")&lt;=1,1,IF(AND(DATEDIF(#REF!,U597,"m")&gt;1,DATEDIF(#REF!,U597,"m")&lt;12),2,IF(AND(DATEDIF(#REF!,U597,"m")&gt;=12,DATEDIF(#REF!,U597,"m")&lt;24),3,IF(DATEDIF(#REF!,U597,"m")&gt;=24,4,"")))),IF(E597="r0320 - Deposits, not covered and not preferential",1,4))</f>
        <v>4</v>
      </c>
    </row>
    <row r="598" spans="3:29" ht="36.75" thickBot="1" x14ac:dyDescent="0.3">
      <c r="C598" s="11">
        <v>999</v>
      </c>
      <c r="D598" s="154">
        <v>591</v>
      </c>
      <c r="E598" s="154" t="s">
        <v>1898</v>
      </c>
      <c r="F598" s="154" t="s">
        <v>87</v>
      </c>
      <c r="G598" s="154" t="s">
        <v>1402</v>
      </c>
      <c r="H598" s="154" t="s">
        <v>397</v>
      </c>
      <c r="I598" s="154" t="s">
        <v>89</v>
      </c>
      <c r="J598" s="154" t="s">
        <v>90</v>
      </c>
      <c r="K598" s="154" t="s">
        <v>91</v>
      </c>
      <c r="L598" s="154" t="s">
        <v>1901</v>
      </c>
      <c r="M598" s="154" t="s">
        <v>1383</v>
      </c>
      <c r="N598" s="154" t="s">
        <v>61</v>
      </c>
      <c r="O598" s="154" t="s">
        <v>62</v>
      </c>
      <c r="P598" s="146">
        <v>0.1</v>
      </c>
      <c r="Q598" s="146">
        <v>0</v>
      </c>
      <c r="R598" s="154" t="s">
        <v>1384</v>
      </c>
      <c r="S598" s="154" t="s">
        <v>1899</v>
      </c>
      <c r="T598" s="155" t="s">
        <v>1899</v>
      </c>
      <c r="U598" s="155" t="s">
        <v>1899</v>
      </c>
      <c r="V598" s="154" t="s">
        <v>1562</v>
      </c>
      <c r="W598" s="154">
        <v>0</v>
      </c>
      <c r="X598" s="154" t="s">
        <v>63</v>
      </c>
      <c r="Y598" s="154" t="s">
        <v>1900</v>
      </c>
      <c r="Z598" s="154"/>
      <c r="AA598" s="154" t="s">
        <v>1387</v>
      </c>
      <c r="AB598" s="154">
        <v>0</v>
      </c>
      <c r="AC598" s="138">
        <f>IFERROR(IF(DATEDIF(#REF!,U598,"m")&lt;=1,1,IF(AND(DATEDIF(#REF!,U598,"m")&gt;1,DATEDIF(#REF!,U598,"m")&lt;12),2,IF(AND(DATEDIF(#REF!,U598,"m")&gt;=12,DATEDIF(#REF!,U598,"m")&lt;24),3,IF(DATEDIF(#REF!,U598,"m")&gt;=24,4,"")))),IF(E598="r0320 - Deposits, not covered and not preferential",1,4))</f>
        <v>4</v>
      </c>
    </row>
    <row r="599" spans="3:29" ht="36.75" thickBot="1" x14ac:dyDescent="0.3">
      <c r="C599" s="11">
        <v>999</v>
      </c>
      <c r="D599" s="154">
        <v>592</v>
      </c>
      <c r="E599" s="154" t="s">
        <v>1898</v>
      </c>
      <c r="F599" s="154" t="s">
        <v>87</v>
      </c>
      <c r="G599" s="154" t="s">
        <v>1402</v>
      </c>
      <c r="H599" s="154" t="s">
        <v>644</v>
      </c>
      <c r="I599" s="154" t="s">
        <v>99</v>
      </c>
      <c r="J599" s="154" t="s">
        <v>90</v>
      </c>
      <c r="K599" s="154" t="s">
        <v>91</v>
      </c>
      <c r="L599" s="154" t="s">
        <v>1897</v>
      </c>
      <c r="M599" s="154" t="s">
        <v>1383</v>
      </c>
      <c r="N599" s="154" t="s">
        <v>61</v>
      </c>
      <c r="O599" s="154" t="s">
        <v>62</v>
      </c>
      <c r="P599" s="146">
        <v>0.01</v>
      </c>
      <c r="Q599" s="146">
        <v>0</v>
      </c>
      <c r="R599" s="154" t="s">
        <v>1384</v>
      </c>
      <c r="S599" s="154" t="s">
        <v>1899</v>
      </c>
      <c r="T599" s="155" t="s">
        <v>1899</v>
      </c>
      <c r="U599" s="155" t="s">
        <v>1899</v>
      </c>
      <c r="V599" s="154" t="s">
        <v>1562</v>
      </c>
      <c r="W599" s="154">
        <v>0</v>
      </c>
      <c r="X599" s="154" t="s">
        <v>63</v>
      </c>
      <c r="Y599" s="154" t="s">
        <v>1900</v>
      </c>
      <c r="Z599" s="154"/>
      <c r="AA599" s="154" t="s">
        <v>1387</v>
      </c>
      <c r="AB599" s="154">
        <v>0</v>
      </c>
      <c r="AC599" s="138">
        <f>IFERROR(IF(DATEDIF(#REF!,U599,"m")&lt;=1,1,IF(AND(DATEDIF(#REF!,U599,"m")&gt;1,DATEDIF(#REF!,U599,"m")&lt;12),2,IF(AND(DATEDIF(#REF!,U599,"m")&gt;=12,DATEDIF(#REF!,U599,"m")&lt;24),3,IF(DATEDIF(#REF!,U599,"m")&gt;=24,4,"")))),IF(E599="r0320 - Deposits, not covered and not preferential",1,4))</f>
        <v>4</v>
      </c>
    </row>
    <row r="600" spans="3:29" ht="36.75" thickBot="1" x14ac:dyDescent="0.3">
      <c r="C600" s="11">
        <v>999</v>
      </c>
      <c r="D600" s="154">
        <v>593</v>
      </c>
      <c r="E600" s="154" t="s">
        <v>1898</v>
      </c>
      <c r="F600" s="154" t="s">
        <v>87</v>
      </c>
      <c r="G600" s="154" t="s">
        <v>1402</v>
      </c>
      <c r="H600" s="154" t="s">
        <v>664</v>
      </c>
      <c r="I600" s="154" t="s">
        <v>108</v>
      </c>
      <c r="J600" s="154" t="s">
        <v>90</v>
      </c>
      <c r="K600" s="154" t="s">
        <v>91</v>
      </c>
      <c r="L600" s="154" t="s">
        <v>1897</v>
      </c>
      <c r="M600" s="154" t="s">
        <v>1383</v>
      </c>
      <c r="N600" s="154" t="s">
        <v>61</v>
      </c>
      <c r="O600" s="154" t="s">
        <v>62</v>
      </c>
      <c r="P600" s="146">
        <v>0.35</v>
      </c>
      <c r="Q600" s="146">
        <v>0</v>
      </c>
      <c r="R600" s="154" t="s">
        <v>1384</v>
      </c>
      <c r="S600" s="154" t="s">
        <v>1899</v>
      </c>
      <c r="T600" s="155" t="s">
        <v>1899</v>
      </c>
      <c r="U600" s="155" t="s">
        <v>1899</v>
      </c>
      <c r="V600" s="154" t="s">
        <v>1562</v>
      </c>
      <c r="W600" s="154">
        <v>0</v>
      </c>
      <c r="X600" s="154" t="s">
        <v>63</v>
      </c>
      <c r="Y600" s="154" t="s">
        <v>1900</v>
      </c>
      <c r="Z600" s="154"/>
      <c r="AA600" s="154" t="s">
        <v>1387</v>
      </c>
      <c r="AB600" s="154">
        <v>0</v>
      </c>
      <c r="AC600" s="138">
        <f>IFERROR(IF(DATEDIF(#REF!,U600,"m")&lt;=1,1,IF(AND(DATEDIF(#REF!,U600,"m")&gt;1,DATEDIF(#REF!,U600,"m")&lt;12),2,IF(AND(DATEDIF(#REF!,U600,"m")&gt;=12,DATEDIF(#REF!,U600,"m")&lt;24),3,IF(DATEDIF(#REF!,U600,"m")&gt;=24,4,"")))),IF(E600="r0320 - Deposits, not covered and not preferential",1,4))</f>
        <v>4</v>
      </c>
    </row>
    <row r="601" spans="3:29" ht="36.75" thickBot="1" x14ac:dyDescent="0.3">
      <c r="C601" s="11">
        <v>999</v>
      </c>
      <c r="D601" s="154">
        <v>594</v>
      </c>
      <c r="E601" s="154" t="s">
        <v>1898</v>
      </c>
      <c r="F601" s="154" t="s">
        <v>87</v>
      </c>
      <c r="G601" s="154" t="s">
        <v>1402</v>
      </c>
      <c r="H601" s="154" t="s">
        <v>646</v>
      </c>
      <c r="I601" s="154" t="s">
        <v>99</v>
      </c>
      <c r="J601" s="154" t="s">
        <v>90</v>
      </c>
      <c r="K601" s="154" t="s">
        <v>91</v>
      </c>
      <c r="L601" s="154" t="s">
        <v>1897</v>
      </c>
      <c r="M601" s="154" t="s">
        <v>1383</v>
      </c>
      <c r="N601" s="154" t="s">
        <v>61</v>
      </c>
      <c r="O601" s="154" t="s">
        <v>62</v>
      </c>
      <c r="P601" s="146">
        <v>1.03</v>
      </c>
      <c r="Q601" s="146">
        <v>0</v>
      </c>
      <c r="R601" s="154" t="s">
        <v>1384</v>
      </c>
      <c r="S601" s="154" t="s">
        <v>1899</v>
      </c>
      <c r="T601" s="155" t="s">
        <v>1899</v>
      </c>
      <c r="U601" s="155" t="s">
        <v>1899</v>
      </c>
      <c r="V601" s="154" t="s">
        <v>1562</v>
      </c>
      <c r="W601" s="154">
        <v>0</v>
      </c>
      <c r="X601" s="154" t="s">
        <v>63</v>
      </c>
      <c r="Y601" s="154" t="s">
        <v>1900</v>
      </c>
      <c r="Z601" s="154"/>
      <c r="AA601" s="154" t="s">
        <v>1387</v>
      </c>
      <c r="AB601" s="154">
        <v>0</v>
      </c>
      <c r="AC601" s="138">
        <f>IFERROR(IF(DATEDIF(#REF!,U601,"m")&lt;=1,1,IF(AND(DATEDIF(#REF!,U601,"m")&gt;1,DATEDIF(#REF!,U601,"m")&lt;12),2,IF(AND(DATEDIF(#REF!,U601,"m")&gt;=12,DATEDIF(#REF!,U601,"m")&lt;24),3,IF(DATEDIF(#REF!,U601,"m")&gt;=24,4,"")))),IF(E601="r0320 - Deposits, not covered and not preferential",1,4))</f>
        <v>4</v>
      </c>
    </row>
    <row r="602" spans="3:29" ht="48.75" thickBot="1" x14ac:dyDescent="0.3">
      <c r="C602" s="11">
        <v>999</v>
      </c>
      <c r="D602" s="154">
        <v>595</v>
      </c>
      <c r="E602" s="154" t="s">
        <v>1902</v>
      </c>
      <c r="F602" s="154" t="s">
        <v>83</v>
      </c>
      <c r="G602" s="154" t="s">
        <v>1903</v>
      </c>
      <c r="H602" s="154" t="s">
        <v>388</v>
      </c>
      <c r="I602" s="154" t="s">
        <v>114</v>
      </c>
      <c r="J602" s="154" t="s">
        <v>115</v>
      </c>
      <c r="K602" s="154" t="s">
        <v>60</v>
      </c>
      <c r="L602" s="154" t="s">
        <v>1897</v>
      </c>
      <c r="M602" s="154" t="s">
        <v>1388</v>
      </c>
      <c r="N602" s="154" t="s">
        <v>61</v>
      </c>
      <c r="O602" s="154" t="s">
        <v>62</v>
      </c>
      <c r="P602" s="146">
        <v>42667.65</v>
      </c>
      <c r="Q602" s="146">
        <v>0.01</v>
      </c>
      <c r="R602" s="154" t="s">
        <v>1384</v>
      </c>
      <c r="S602" s="154" t="s">
        <v>1899</v>
      </c>
      <c r="T602" s="155" t="s">
        <v>768</v>
      </c>
      <c r="U602" s="155" t="s">
        <v>1899</v>
      </c>
      <c r="V602" s="154" t="s">
        <v>1904</v>
      </c>
      <c r="W602" s="154">
        <v>0</v>
      </c>
      <c r="X602" s="154" t="s">
        <v>63</v>
      </c>
      <c r="Y602" s="154" t="s">
        <v>1386</v>
      </c>
      <c r="Z602" s="154"/>
      <c r="AA602" s="154" t="s">
        <v>1387</v>
      </c>
      <c r="AB602" s="154">
        <v>0</v>
      </c>
      <c r="AC602" s="138">
        <f>IFERROR(IF(DATEDIF(#REF!,U602,"m")&lt;=1,1,IF(AND(DATEDIF(#REF!,U602,"m")&gt;1,DATEDIF(#REF!,U602,"m")&lt;12),2,IF(AND(DATEDIF(#REF!,U602,"m")&gt;=12,DATEDIF(#REF!,U602,"m")&lt;24),3,IF(DATEDIF(#REF!,U602,"m")&gt;=24,4,"")))),IF(E602="r0320 - Deposits, not covered and not preferential",1,4))</f>
        <v>4</v>
      </c>
    </row>
    <row r="603" spans="3:29" ht="36.75" thickBot="1" x14ac:dyDescent="0.3">
      <c r="C603" s="11">
        <v>999</v>
      </c>
      <c r="D603" s="154">
        <v>596</v>
      </c>
      <c r="E603" s="154" t="s">
        <v>1898</v>
      </c>
      <c r="F603" s="154" t="s">
        <v>87</v>
      </c>
      <c r="G603" s="154" t="s">
        <v>1402</v>
      </c>
      <c r="H603" s="154" t="s">
        <v>648</v>
      </c>
      <c r="I603" s="154" t="s">
        <v>89</v>
      </c>
      <c r="J603" s="154" t="s">
        <v>90</v>
      </c>
      <c r="K603" s="154" t="s">
        <v>91</v>
      </c>
      <c r="L603" s="154" t="s">
        <v>1901</v>
      </c>
      <c r="M603" s="154" t="s">
        <v>1383</v>
      </c>
      <c r="N603" s="154" t="s">
        <v>61</v>
      </c>
      <c r="O603" s="154" t="s">
        <v>62</v>
      </c>
      <c r="P603" s="146">
        <v>0.12</v>
      </c>
      <c r="Q603" s="146">
        <v>0</v>
      </c>
      <c r="R603" s="154" t="s">
        <v>1384</v>
      </c>
      <c r="S603" s="154" t="s">
        <v>1899</v>
      </c>
      <c r="T603" s="155" t="s">
        <v>1899</v>
      </c>
      <c r="U603" s="155" t="s">
        <v>1899</v>
      </c>
      <c r="V603" s="154" t="s">
        <v>1562</v>
      </c>
      <c r="W603" s="154">
        <v>0</v>
      </c>
      <c r="X603" s="154" t="s">
        <v>63</v>
      </c>
      <c r="Y603" s="154" t="s">
        <v>1900</v>
      </c>
      <c r="Z603" s="154"/>
      <c r="AA603" s="154" t="s">
        <v>1387</v>
      </c>
      <c r="AB603" s="154">
        <v>0</v>
      </c>
      <c r="AC603" s="138">
        <f>IFERROR(IF(DATEDIF(#REF!,U603,"m")&lt;=1,1,IF(AND(DATEDIF(#REF!,U603,"m")&gt;1,DATEDIF(#REF!,U603,"m")&lt;12),2,IF(AND(DATEDIF(#REF!,U603,"m")&gt;=12,DATEDIF(#REF!,U603,"m")&lt;24),3,IF(DATEDIF(#REF!,U603,"m")&gt;=24,4,"")))),IF(E603="r0320 - Deposits, not covered and not preferential",1,4))</f>
        <v>4</v>
      </c>
    </row>
    <row r="604" spans="3:29" ht="36.75" thickBot="1" x14ac:dyDescent="0.3">
      <c r="C604" s="11">
        <v>999</v>
      </c>
      <c r="D604" s="154">
        <v>597</v>
      </c>
      <c r="E604" s="154" t="s">
        <v>1898</v>
      </c>
      <c r="F604" s="154" t="s">
        <v>87</v>
      </c>
      <c r="G604" s="154" t="s">
        <v>1402</v>
      </c>
      <c r="H604" s="154" t="s">
        <v>1083</v>
      </c>
      <c r="I604" s="154" t="s">
        <v>89</v>
      </c>
      <c r="J604" s="154" t="s">
        <v>90</v>
      </c>
      <c r="K604" s="154" t="s">
        <v>91</v>
      </c>
      <c r="L604" s="154" t="s">
        <v>1901</v>
      </c>
      <c r="M604" s="154" t="s">
        <v>1383</v>
      </c>
      <c r="N604" s="154" t="s">
        <v>61</v>
      </c>
      <c r="O604" s="154" t="s">
        <v>62</v>
      </c>
      <c r="P604" s="146">
        <v>0.33</v>
      </c>
      <c r="Q604" s="146">
        <v>0</v>
      </c>
      <c r="R604" s="154" t="s">
        <v>1384</v>
      </c>
      <c r="S604" s="154" t="s">
        <v>1899</v>
      </c>
      <c r="T604" s="155" t="s">
        <v>1899</v>
      </c>
      <c r="U604" s="155" t="s">
        <v>1899</v>
      </c>
      <c r="V604" s="154" t="s">
        <v>1562</v>
      </c>
      <c r="W604" s="154">
        <v>0</v>
      </c>
      <c r="X604" s="154" t="s">
        <v>63</v>
      </c>
      <c r="Y604" s="154" t="s">
        <v>1900</v>
      </c>
      <c r="Z604" s="154"/>
      <c r="AA604" s="154" t="s">
        <v>1387</v>
      </c>
      <c r="AB604" s="154">
        <v>0</v>
      </c>
      <c r="AC604" s="138">
        <f>IFERROR(IF(DATEDIF(#REF!,U604,"m")&lt;=1,1,IF(AND(DATEDIF(#REF!,U604,"m")&gt;1,DATEDIF(#REF!,U604,"m")&lt;12),2,IF(AND(DATEDIF(#REF!,U604,"m")&gt;=12,DATEDIF(#REF!,U604,"m")&lt;24),3,IF(DATEDIF(#REF!,U604,"m")&gt;=24,4,"")))),IF(E604="r0320 - Deposits, not covered and not preferential",1,4))</f>
        <v>4</v>
      </c>
    </row>
    <row r="605" spans="3:29" ht="48.75" thickBot="1" x14ac:dyDescent="0.3">
      <c r="C605" s="11">
        <v>999</v>
      </c>
      <c r="D605" s="154">
        <v>598</v>
      </c>
      <c r="E605" s="154" t="s">
        <v>1902</v>
      </c>
      <c r="F605" s="154" t="s">
        <v>83</v>
      </c>
      <c r="G605" s="154" t="s">
        <v>1903</v>
      </c>
      <c r="H605" s="154" t="s">
        <v>388</v>
      </c>
      <c r="I605" s="154" t="s">
        <v>101</v>
      </c>
      <c r="J605" s="154" t="s">
        <v>102</v>
      </c>
      <c r="K605" s="154" t="s">
        <v>60</v>
      </c>
      <c r="L605" s="154" t="s">
        <v>1897</v>
      </c>
      <c r="M605" s="154" t="s">
        <v>1388</v>
      </c>
      <c r="N605" s="154" t="s">
        <v>61</v>
      </c>
      <c r="O605" s="154" t="s">
        <v>62</v>
      </c>
      <c r="P605" s="146">
        <v>1204536.6000000001</v>
      </c>
      <c r="Q605" s="146">
        <v>395.05</v>
      </c>
      <c r="R605" s="154" t="s">
        <v>1384</v>
      </c>
      <c r="S605" s="154" t="s">
        <v>1899</v>
      </c>
      <c r="T605" s="155" t="s">
        <v>768</v>
      </c>
      <c r="U605" s="155" t="s">
        <v>1899</v>
      </c>
      <c r="V605" s="154" t="s">
        <v>1904</v>
      </c>
      <c r="W605" s="154">
        <v>0</v>
      </c>
      <c r="X605" s="154" t="s">
        <v>63</v>
      </c>
      <c r="Y605" s="154" t="s">
        <v>1386</v>
      </c>
      <c r="Z605" s="154"/>
      <c r="AA605" s="154" t="s">
        <v>1387</v>
      </c>
      <c r="AB605" s="154">
        <v>0</v>
      </c>
      <c r="AC605" s="138">
        <f>IFERROR(IF(DATEDIF(#REF!,U605,"m")&lt;=1,1,IF(AND(DATEDIF(#REF!,U605,"m")&gt;1,DATEDIF(#REF!,U605,"m")&lt;12),2,IF(AND(DATEDIF(#REF!,U605,"m")&gt;=12,DATEDIF(#REF!,U605,"m")&lt;24),3,IF(DATEDIF(#REF!,U605,"m")&gt;=24,4,"")))),IF(E605="r0320 - Deposits, not covered and not preferential",1,4))</f>
        <v>4</v>
      </c>
    </row>
    <row r="606" spans="3:29" ht="48.75" thickBot="1" x14ac:dyDescent="0.3">
      <c r="C606" s="11">
        <v>999</v>
      </c>
      <c r="D606" s="154">
        <v>599</v>
      </c>
      <c r="E606" s="154" t="s">
        <v>1902</v>
      </c>
      <c r="F606" s="154" t="s">
        <v>83</v>
      </c>
      <c r="G606" s="154" t="s">
        <v>1903</v>
      </c>
      <c r="H606" s="154" t="s">
        <v>130</v>
      </c>
      <c r="I606" s="154" t="s">
        <v>114</v>
      </c>
      <c r="J606" s="154" t="s">
        <v>115</v>
      </c>
      <c r="K606" s="154" t="s">
        <v>60</v>
      </c>
      <c r="L606" s="154" t="s">
        <v>1897</v>
      </c>
      <c r="M606" s="154" t="s">
        <v>1388</v>
      </c>
      <c r="N606" s="154" t="s">
        <v>61</v>
      </c>
      <c r="O606" s="154" t="s">
        <v>62</v>
      </c>
      <c r="P606" s="146">
        <v>24332.799999999999</v>
      </c>
      <c r="Q606" s="146">
        <v>1.17</v>
      </c>
      <c r="R606" s="154" t="s">
        <v>1384</v>
      </c>
      <c r="S606" s="154" t="s">
        <v>1899</v>
      </c>
      <c r="T606" s="155" t="s">
        <v>768</v>
      </c>
      <c r="U606" s="155" t="s">
        <v>1899</v>
      </c>
      <c r="V606" s="154" t="s">
        <v>1904</v>
      </c>
      <c r="W606" s="154">
        <v>0</v>
      </c>
      <c r="X606" s="154" t="s">
        <v>63</v>
      </c>
      <c r="Y606" s="154" t="s">
        <v>1386</v>
      </c>
      <c r="Z606" s="154"/>
      <c r="AA606" s="154" t="s">
        <v>1387</v>
      </c>
      <c r="AB606" s="154">
        <v>0</v>
      </c>
      <c r="AC606" s="138">
        <f>IFERROR(IF(DATEDIF(#REF!,U606,"m")&lt;=1,1,IF(AND(DATEDIF(#REF!,U606,"m")&gt;1,DATEDIF(#REF!,U606,"m")&lt;12),2,IF(AND(DATEDIF(#REF!,U606,"m")&gt;=12,DATEDIF(#REF!,U606,"m")&lt;24),3,IF(DATEDIF(#REF!,U606,"m")&gt;=24,4,"")))),IF(E606="r0320 - Deposits, not covered and not preferential",1,4))</f>
        <v>4</v>
      </c>
    </row>
    <row r="607" spans="3:29" ht="48.75" thickBot="1" x14ac:dyDescent="0.3">
      <c r="C607" s="11">
        <v>999</v>
      </c>
      <c r="D607" s="154">
        <v>600</v>
      </c>
      <c r="E607" s="154" t="s">
        <v>1902</v>
      </c>
      <c r="F607" s="154" t="s">
        <v>83</v>
      </c>
      <c r="G607" s="154" t="s">
        <v>1903</v>
      </c>
      <c r="H607" s="154" t="s">
        <v>130</v>
      </c>
      <c r="I607" s="154" t="s">
        <v>101</v>
      </c>
      <c r="J607" s="154" t="s">
        <v>102</v>
      </c>
      <c r="K607" s="154" t="s">
        <v>60</v>
      </c>
      <c r="L607" s="154" t="s">
        <v>1897</v>
      </c>
      <c r="M607" s="154" t="s">
        <v>1388</v>
      </c>
      <c r="N607" s="154" t="s">
        <v>61</v>
      </c>
      <c r="O607" s="154" t="s">
        <v>62</v>
      </c>
      <c r="P607" s="146">
        <v>984628.51</v>
      </c>
      <c r="Q607" s="146">
        <v>274.43</v>
      </c>
      <c r="R607" s="154" t="s">
        <v>1384</v>
      </c>
      <c r="S607" s="154" t="s">
        <v>1899</v>
      </c>
      <c r="T607" s="155" t="s">
        <v>768</v>
      </c>
      <c r="U607" s="155" t="s">
        <v>1899</v>
      </c>
      <c r="V607" s="154" t="s">
        <v>1904</v>
      </c>
      <c r="W607" s="154">
        <v>0</v>
      </c>
      <c r="X607" s="154" t="s">
        <v>63</v>
      </c>
      <c r="Y607" s="154" t="s">
        <v>1386</v>
      </c>
      <c r="Z607" s="154"/>
      <c r="AA607" s="154" t="s">
        <v>1387</v>
      </c>
      <c r="AB607" s="154">
        <v>0</v>
      </c>
      <c r="AC607" s="138">
        <f>IFERROR(IF(DATEDIF(#REF!,U607,"m")&lt;=1,1,IF(AND(DATEDIF(#REF!,U607,"m")&gt;1,DATEDIF(#REF!,U607,"m")&lt;12),2,IF(AND(DATEDIF(#REF!,U607,"m")&gt;=12,DATEDIF(#REF!,U607,"m")&lt;24),3,IF(DATEDIF(#REF!,U607,"m")&gt;=24,4,"")))),IF(E607="r0320 - Deposits, not covered and not preferential",1,4))</f>
        <v>4</v>
      </c>
    </row>
    <row r="608" spans="3:29" ht="36.75" thickBot="1" x14ac:dyDescent="0.3">
      <c r="C608" s="11">
        <v>999</v>
      </c>
      <c r="D608" s="154">
        <v>601</v>
      </c>
      <c r="E608" s="154" t="s">
        <v>1898</v>
      </c>
      <c r="F608" s="154" t="s">
        <v>87</v>
      </c>
      <c r="G608" s="154" t="s">
        <v>1402</v>
      </c>
      <c r="H608" s="154" t="s">
        <v>1155</v>
      </c>
      <c r="I608" s="154" t="s">
        <v>89</v>
      </c>
      <c r="J608" s="154" t="s">
        <v>90</v>
      </c>
      <c r="K608" s="154" t="s">
        <v>91</v>
      </c>
      <c r="L608" s="154" t="s">
        <v>1901</v>
      </c>
      <c r="M608" s="154" t="s">
        <v>1383</v>
      </c>
      <c r="N608" s="154" t="s">
        <v>61</v>
      </c>
      <c r="O608" s="154" t="s">
        <v>62</v>
      </c>
      <c r="P608" s="146">
        <v>0.09</v>
      </c>
      <c r="Q608" s="146">
        <v>0</v>
      </c>
      <c r="R608" s="154" t="s">
        <v>1384</v>
      </c>
      <c r="S608" s="154" t="s">
        <v>1899</v>
      </c>
      <c r="T608" s="155" t="s">
        <v>1899</v>
      </c>
      <c r="U608" s="155" t="s">
        <v>1899</v>
      </c>
      <c r="V608" s="154" t="s">
        <v>1562</v>
      </c>
      <c r="W608" s="154">
        <v>0</v>
      </c>
      <c r="X608" s="154" t="s">
        <v>63</v>
      </c>
      <c r="Y608" s="154" t="s">
        <v>1900</v>
      </c>
      <c r="Z608" s="154"/>
      <c r="AA608" s="154" t="s">
        <v>1387</v>
      </c>
      <c r="AB608" s="154">
        <v>0</v>
      </c>
      <c r="AC608" s="138">
        <f>IFERROR(IF(DATEDIF(#REF!,U608,"m")&lt;=1,1,IF(AND(DATEDIF(#REF!,U608,"m")&gt;1,DATEDIF(#REF!,U608,"m")&lt;12),2,IF(AND(DATEDIF(#REF!,U608,"m")&gt;=12,DATEDIF(#REF!,U608,"m")&lt;24),3,IF(DATEDIF(#REF!,U608,"m")&gt;=24,4,"")))),IF(E608="r0320 - Deposits, not covered and not preferential",1,4))</f>
        <v>4</v>
      </c>
    </row>
    <row r="609" spans="3:29" ht="48.75" thickBot="1" x14ac:dyDescent="0.3">
      <c r="C609" s="11">
        <v>999</v>
      </c>
      <c r="D609" s="154">
        <v>602</v>
      </c>
      <c r="E609" s="154" t="s">
        <v>1902</v>
      </c>
      <c r="F609" s="154" t="s">
        <v>83</v>
      </c>
      <c r="G609" s="154" t="s">
        <v>1903</v>
      </c>
      <c r="H609" s="154" t="s">
        <v>392</v>
      </c>
      <c r="I609" s="154" t="s">
        <v>93</v>
      </c>
      <c r="J609" s="154" t="s">
        <v>94</v>
      </c>
      <c r="K609" s="154" t="s">
        <v>60</v>
      </c>
      <c r="L609" s="154" t="s">
        <v>1897</v>
      </c>
      <c r="M609" s="154" t="s">
        <v>1388</v>
      </c>
      <c r="N609" s="154" t="s">
        <v>61</v>
      </c>
      <c r="O609" s="154" t="s">
        <v>62</v>
      </c>
      <c r="P609" s="146">
        <v>68477.17</v>
      </c>
      <c r="Q609" s="146">
        <v>28.57</v>
      </c>
      <c r="R609" s="154" t="s">
        <v>1384</v>
      </c>
      <c r="S609" s="154" t="s">
        <v>1899</v>
      </c>
      <c r="T609" s="155" t="s">
        <v>768</v>
      </c>
      <c r="U609" s="155" t="s">
        <v>1899</v>
      </c>
      <c r="V609" s="154" t="s">
        <v>1904</v>
      </c>
      <c r="W609" s="154">
        <v>0</v>
      </c>
      <c r="X609" s="154" t="s">
        <v>63</v>
      </c>
      <c r="Y609" s="154" t="s">
        <v>1386</v>
      </c>
      <c r="Z609" s="154"/>
      <c r="AA609" s="154" t="s">
        <v>1387</v>
      </c>
      <c r="AB609" s="154">
        <v>0</v>
      </c>
      <c r="AC609" s="138">
        <f>IFERROR(IF(DATEDIF(#REF!,U609,"m")&lt;=1,1,IF(AND(DATEDIF(#REF!,U609,"m")&gt;1,DATEDIF(#REF!,U609,"m")&lt;12),2,IF(AND(DATEDIF(#REF!,U609,"m")&gt;=12,DATEDIF(#REF!,U609,"m")&lt;24),3,IF(DATEDIF(#REF!,U609,"m")&gt;=24,4,"")))),IF(E609="r0320 - Deposits, not covered and not preferential",1,4))</f>
        <v>4</v>
      </c>
    </row>
    <row r="610" spans="3:29" ht="48.75" thickBot="1" x14ac:dyDescent="0.3">
      <c r="C610" s="11">
        <v>999</v>
      </c>
      <c r="D610" s="154">
        <v>603</v>
      </c>
      <c r="E610" s="154" t="s">
        <v>1902</v>
      </c>
      <c r="F610" s="154" t="s">
        <v>83</v>
      </c>
      <c r="G610" s="154" t="s">
        <v>1903</v>
      </c>
      <c r="H610" s="154" t="s">
        <v>396</v>
      </c>
      <c r="I610" s="154" t="s">
        <v>93</v>
      </c>
      <c r="J610" s="154" t="s">
        <v>94</v>
      </c>
      <c r="K610" s="154" t="s">
        <v>60</v>
      </c>
      <c r="L610" s="154" t="s">
        <v>1897</v>
      </c>
      <c r="M610" s="154" t="s">
        <v>1388</v>
      </c>
      <c r="N610" s="154" t="s">
        <v>61</v>
      </c>
      <c r="O610" s="154" t="s">
        <v>62</v>
      </c>
      <c r="P610" s="146">
        <v>282158.48</v>
      </c>
      <c r="Q610" s="146">
        <v>-2.91</v>
      </c>
      <c r="R610" s="154" t="s">
        <v>1384</v>
      </c>
      <c r="S610" s="154" t="s">
        <v>1899</v>
      </c>
      <c r="T610" s="155" t="s">
        <v>768</v>
      </c>
      <c r="U610" s="155" t="s">
        <v>1899</v>
      </c>
      <c r="V610" s="154" t="s">
        <v>1904</v>
      </c>
      <c r="W610" s="154">
        <v>0</v>
      </c>
      <c r="X610" s="154" t="s">
        <v>63</v>
      </c>
      <c r="Y610" s="154" t="s">
        <v>1386</v>
      </c>
      <c r="Z610" s="154"/>
      <c r="AA610" s="154" t="s">
        <v>1387</v>
      </c>
      <c r="AB610" s="154">
        <v>0</v>
      </c>
      <c r="AC610" s="138">
        <f>IFERROR(IF(DATEDIF(#REF!,U610,"m")&lt;=1,1,IF(AND(DATEDIF(#REF!,U610,"m")&gt;1,DATEDIF(#REF!,U610,"m")&lt;12),2,IF(AND(DATEDIF(#REF!,U610,"m")&gt;=12,DATEDIF(#REF!,U610,"m")&lt;24),3,IF(DATEDIF(#REF!,U610,"m")&gt;=24,4,"")))),IF(E610="r0320 - Deposits, not covered and not preferential",1,4))</f>
        <v>4</v>
      </c>
    </row>
    <row r="611" spans="3:29" ht="48.75" thickBot="1" x14ac:dyDescent="0.3">
      <c r="C611" s="11">
        <v>999</v>
      </c>
      <c r="D611" s="154">
        <v>604</v>
      </c>
      <c r="E611" s="154" t="s">
        <v>2638</v>
      </c>
      <c r="F611" s="154" t="s">
        <v>83</v>
      </c>
      <c r="G611" s="154" t="s">
        <v>768</v>
      </c>
      <c r="H611" s="154" t="s">
        <v>57</v>
      </c>
      <c r="I611" s="154" t="s">
        <v>153</v>
      </c>
      <c r="J611" s="154" t="s">
        <v>154</v>
      </c>
      <c r="K611" s="154" t="s">
        <v>60</v>
      </c>
      <c r="L611" s="154" t="s">
        <v>1897</v>
      </c>
      <c r="M611" s="154" t="s">
        <v>1388</v>
      </c>
      <c r="N611" s="154" t="s">
        <v>61</v>
      </c>
      <c r="O611" s="154" t="s">
        <v>62</v>
      </c>
      <c r="P611" s="146">
        <v>47.139049</v>
      </c>
      <c r="Q611" s="146">
        <v>0</v>
      </c>
      <c r="R611" s="154" t="s">
        <v>1905</v>
      </c>
      <c r="S611" s="154" t="s">
        <v>1385</v>
      </c>
      <c r="T611" s="155" t="s">
        <v>1385</v>
      </c>
      <c r="U611" s="155" t="s">
        <v>1385</v>
      </c>
      <c r="V611" s="154" t="s">
        <v>1562</v>
      </c>
      <c r="W611" s="154">
        <v>0</v>
      </c>
      <c r="X611" s="154" t="s">
        <v>63</v>
      </c>
      <c r="Y611" s="154" t="s">
        <v>1900</v>
      </c>
      <c r="Z611" s="154"/>
      <c r="AA611" s="154" t="s">
        <v>1387</v>
      </c>
      <c r="AB611" s="154">
        <v>0</v>
      </c>
      <c r="AC611" s="138">
        <f>IFERROR(IF(DATEDIF(#REF!,U611,"m")&lt;=1,1,IF(AND(DATEDIF(#REF!,U611,"m")&gt;1,DATEDIF(#REF!,U611,"m")&lt;12),2,IF(AND(DATEDIF(#REF!,U611,"m")&gt;=12,DATEDIF(#REF!,U611,"m")&lt;24),3,IF(DATEDIF(#REF!,U611,"m")&gt;=24,4,"")))),IF(E611="r0320 - Deposits, not covered and not preferential",1,4))</f>
        <v>4</v>
      </c>
    </row>
    <row r="612" spans="3:29" ht="36.75" thickBot="1" x14ac:dyDescent="0.3">
      <c r="C612" s="11">
        <v>999</v>
      </c>
      <c r="D612" s="154">
        <v>605</v>
      </c>
      <c r="E612" s="154" t="s">
        <v>1898</v>
      </c>
      <c r="F612" s="154" t="s">
        <v>87</v>
      </c>
      <c r="G612" s="154" t="s">
        <v>1402</v>
      </c>
      <c r="H612" s="154" t="s">
        <v>1094</v>
      </c>
      <c r="I612" s="154" t="s">
        <v>89</v>
      </c>
      <c r="J612" s="154" t="s">
        <v>90</v>
      </c>
      <c r="K612" s="154" t="s">
        <v>91</v>
      </c>
      <c r="L612" s="154" t="s">
        <v>1901</v>
      </c>
      <c r="M612" s="154" t="s">
        <v>1383</v>
      </c>
      <c r="N612" s="154" t="s">
        <v>61</v>
      </c>
      <c r="O612" s="154" t="s">
        <v>62</v>
      </c>
      <c r="P612" s="146">
        <v>0.14000000000000001</v>
      </c>
      <c r="Q612" s="146">
        <v>0</v>
      </c>
      <c r="R612" s="154" t="s">
        <v>1384</v>
      </c>
      <c r="S612" s="154" t="s">
        <v>1899</v>
      </c>
      <c r="T612" s="155" t="s">
        <v>1899</v>
      </c>
      <c r="U612" s="155" t="s">
        <v>1899</v>
      </c>
      <c r="V612" s="154" t="s">
        <v>1562</v>
      </c>
      <c r="W612" s="154">
        <v>0</v>
      </c>
      <c r="X612" s="154" t="s">
        <v>63</v>
      </c>
      <c r="Y612" s="154" t="s">
        <v>1900</v>
      </c>
      <c r="Z612" s="154"/>
      <c r="AA612" s="154" t="s">
        <v>1387</v>
      </c>
      <c r="AB612" s="154">
        <v>0</v>
      </c>
      <c r="AC612" s="138">
        <f>IFERROR(IF(DATEDIF(#REF!,U612,"m")&lt;=1,1,IF(AND(DATEDIF(#REF!,U612,"m")&gt;1,DATEDIF(#REF!,U612,"m")&lt;12),2,IF(AND(DATEDIF(#REF!,U612,"m")&gt;=12,DATEDIF(#REF!,U612,"m")&lt;24),3,IF(DATEDIF(#REF!,U612,"m")&gt;=24,4,"")))),IF(E612="r0320 - Deposits, not covered and not preferential",1,4))</f>
        <v>4</v>
      </c>
    </row>
    <row r="613" spans="3:29" ht="48.75" thickBot="1" x14ac:dyDescent="0.3">
      <c r="C613" s="11">
        <v>999</v>
      </c>
      <c r="D613" s="154">
        <v>606</v>
      </c>
      <c r="E613" s="154" t="s">
        <v>1902</v>
      </c>
      <c r="F613" s="154" t="s">
        <v>83</v>
      </c>
      <c r="G613" s="154" t="s">
        <v>1903</v>
      </c>
      <c r="H613" s="154" t="s">
        <v>392</v>
      </c>
      <c r="I613" s="154" t="s">
        <v>114</v>
      </c>
      <c r="J613" s="154" t="s">
        <v>115</v>
      </c>
      <c r="K613" s="154" t="s">
        <v>60</v>
      </c>
      <c r="L613" s="154" t="s">
        <v>1897</v>
      </c>
      <c r="M613" s="154" t="s">
        <v>1388</v>
      </c>
      <c r="N613" s="154" t="s">
        <v>61</v>
      </c>
      <c r="O613" s="154" t="s">
        <v>62</v>
      </c>
      <c r="P613" s="146">
        <v>140677.44</v>
      </c>
      <c r="Q613" s="146">
        <v>148.57</v>
      </c>
      <c r="R613" s="154" t="s">
        <v>1384</v>
      </c>
      <c r="S613" s="154" t="s">
        <v>1899</v>
      </c>
      <c r="T613" s="155" t="s">
        <v>768</v>
      </c>
      <c r="U613" s="155" t="s">
        <v>1899</v>
      </c>
      <c r="V613" s="154" t="s">
        <v>1904</v>
      </c>
      <c r="W613" s="154">
        <v>0</v>
      </c>
      <c r="X613" s="154" t="s">
        <v>63</v>
      </c>
      <c r="Y613" s="154" t="s">
        <v>1386</v>
      </c>
      <c r="Z613" s="154"/>
      <c r="AA613" s="154" t="s">
        <v>1387</v>
      </c>
      <c r="AB613" s="154">
        <v>0</v>
      </c>
      <c r="AC613" s="138">
        <f>IFERROR(IF(DATEDIF(#REF!,U613,"m")&lt;=1,1,IF(AND(DATEDIF(#REF!,U613,"m")&gt;1,DATEDIF(#REF!,U613,"m")&lt;12),2,IF(AND(DATEDIF(#REF!,U613,"m")&gt;=12,DATEDIF(#REF!,U613,"m")&lt;24),3,IF(DATEDIF(#REF!,U613,"m")&gt;=24,4,"")))),IF(E613="r0320 - Deposits, not covered and not preferential",1,4))</f>
        <v>4</v>
      </c>
    </row>
    <row r="614" spans="3:29" ht="36.75" thickBot="1" x14ac:dyDescent="0.3">
      <c r="C614" s="11">
        <v>999</v>
      </c>
      <c r="D614" s="154">
        <v>607</v>
      </c>
      <c r="E614" s="154" t="s">
        <v>1898</v>
      </c>
      <c r="F614" s="154" t="s">
        <v>83</v>
      </c>
      <c r="G614" s="154" t="s">
        <v>1402</v>
      </c>
      <c r="H614" s="154" t="s">
        <v>57</v>
      </c>
      <c r="I614" s="154" t="s">
        <v>108</v>
      </c>
      <c r="J614" s="154" t="s">
        <v>90</v>
      </c>
      <c r="K614" s="154" t="s">
        <v>91</v>
      </c>
      <c r="L614" s="154" t="s">
        <v>1897</v>
      </c>
      <c r="M614" s="154" t="s">
        <v>1383</v>
      </c>
      <c r="N614" s="154" t="s">
        <v>61</v>
      </c>
      <c r="O614" s="154" t="s">
        <v>62</v>
      </c>
      <c r="P614" s="146">
        <v>358560.31</v>
      </c>
      <c r="Q614" s="146">
        <v>0</v>
      </c>
      <c r="R614" s="154" t="s">
        <v>1384</v>
      </c>
      <c r="S614" s="154" t="s">
        <v>1899</v>
      </c>
      <c r="T614" s="155" t="s">
        <v>1899</v>
      </c>
      <c r="U614" s="155" t="s">
        <v>1899</v>
      </c>
      <c r="V614" s="154" t="s">
        <v>1562</v>
      </c>
      <c r="W614" s="154">
        <v>0</v>
      </c>
      <c r="X614" s="154" t="s">
        <v>63</v>
      </c>
      <c r="Y614" s="154" t="s">
        <v>1900</v>
      </c>
      <c r="Z614" s="154"/>
      <c r="AA614" s="154" t="s">
        <v>1387</v>
      </c>
      <c r="AB614" s="154">
        <v>0</v>
      </c>
      <c r="AC614" s="138">
        <f>IFERROR(IF(DATEDIF(#REF!,U614,"m")&lt;=1,1,IF(AND(DATEDIF(#REF!,U614,"m")&gt;1,DATEDIF(#REF!,U614,"m")&lt;12),2,IF(AND(DATEDIF(#REF!,U614,"m")&gt;=12,DATEDIF(#REF!,U614,"m")&lt;24),3,IF(DATEDIF(#REF!,U614,"m")&gt;=24,4,"")))),IF(E614="r0320 - Deposits, not covered and not preferential",1,4))</f>
        <v>4</v>
      </c>
    </row>
    <row r="615" spans="3:29" ht="48.75" thickBot="1" x14ac:dyDescent="0.3">
      <c r="C615" s="11">
        <v>999</v>
      </c>
      <c r="D615" s="154">
        <v>608</v>
      </c>
      <c r="E615" s="154" t="s">
        <v>1902</v>
      </c>
      <c r="F615" s="154" t="s">
        <v>83</v>
      </c>
      <c r="G615" s="154" t="s">
        <v>1903</v>
      </c>
      <c r="H615" s="154" t="s">
        <v>170</v>
      </c>
      <c r="I615" s="154" t="s">
        <v>93</v>
      </c>
      <c r="J615" s="154" t="s">
        <v>94</v>
      </c>
      <c r="K615" s="154" t="s">
        <v>60</v>
      </c>
      <c r="L615" s="154" t="s">
        <v>1897</v>
      </c>
      <c r="M615" s="154" t="s">
        <v>1388</v>
      </c>
      <c r="N615" s="154" t="s">
        <v>61</v>
      </c>
      <c r="O615" s="154" t="s">
        <v>62</v>
      </c>
      <c r="P615" s="146">
        <v>8193.35</v>
      </c>
      <c r="Q615" s="146">
        <v>-0.96</v>
      </c>
      <c r="R615" s="154" t="s">
        <v>1384</v>
      </c>
      <c r="S615" s="154" t="s">
        <v>1899</v>
      </c>
      <c r="T615" s="155" t="s">
        <v>768</v>
      </c>
      <c r="U615" s="155" t="s">
        <v>1899</v>
      </c>
      <c r="V615" s="154" t="s">
        <v>1904</v>
      </c>
      <c r="W615" s="154">
        <v>0</v>
      </c>
      <c r="X615" s="154" t="s">
        <v>63</v>
      </c>
      <c r="Y615" s="154" t="s">
        <v>1386</v>
      </c>
      <c r="Z615" s="154"/>
      <c r="AA615" s="154" t="s">
        <v>1387</v>
      </c>
      <c r="AB615" s="154">
        <v>0</v>
      </c>
      <c r="AC615" s="138">
        <f>IFERROR(IF(DATEDIF(#REF!,U615,"m")&lt;=1,1,IF(AND(DATEDIF(#REF!,U615,"m")&gt;1,DATEDIF(#REF!,U615,"m")&lt;12),2,IF(AND(DATEDIF(#REF!,U615,"m")&gt;=12,DATEDIF(#REF!,U615,"m")&lt;24),3,IF(DATEDIF(#REF!,U615,"m")&gt;=24,4,"")))),IF(E615="r0320 - Deposits, not covered and not preferential",1,4))</f>
        <v>4</v>
      </c>
    </row>
    <row r="616" spans="3:29" ht="36.75" thickBot="1" x14ac:dyDescent="0.3">
      <c r="C616" s="11">
        <v>999</v>
      </c>
      <c r="D616" s="154">
        <v>609</v>
      </c>
      <c r="E616" s="154" t="s">
        <v>1898</v>
      </c>
      <c r="F616" s="154" t="s">
        <v>87</v>
      </c>
      <c r="G616" s="154" t="s">
        <v>1402</v>
      </c>
      <c r="H616" s="154" t="s">
        <v>677</v>
      </c>
      <c r="I616" s="154" t="s">
        <v>108</v>
      </c>
      <c r="J616" s="154" t="s">
        <v>90</v>
      </c>
      <c r="K616" s="154" t="s">
        <v>91</v>
      </c>
      <c r="L616" s="154" t="s">
        <v>1897</v>
      </c>
      <c r="M616" s="154" t="s">
        <v>1383</v>
      </c>
      <c r="N616" s="154" t="s">
        <v>61</v>
      </c>
      <c r="O616" s="154" t="s">
        <v>62</v>
      </c>
      <c r="P616" s="146">
        <v>0.37</v>
      </c>
      <c r="Q616" s="146">
        <v>0</v>
      </c>
      <c r="R616" s="154" t="s">
        <v>1384</v>
      </c>
      <c r="S616" s="154" t="s">
        <v>1899</v>
      </c>
      <c r="T616" s="155" t="s">
        <v>1899</v>
      </c>
      <c r="U616" s="155" t="s">
        <v>1899</v>
      </c>
      <c r="V616" s="154" t="s">
        <v>1562</v>
      </c>
      <c r="W616" s="154">
        <v>0</v>
      </c>
      <c r="X616" s="154" t="s">
        <v>63</v>
      </c>
      <c r="Y616" s="154" t="s">
        <v>1900</v>
      </c>
      <c r="Z616" s="154"/>
      <c r="AA616" s="154" t="s">
        <v>1387</v>
      </c>
      <c r="AB616" s="154">
        <v>0</v>
      </c>
      <c r="AC616" s="138">
        <f>IFERROR(IF(DATEDIF(#REF!,U616,"m")&lt;=1,1,IF(AND(DATEDIF(#REF!,U616,"m")&gt;1,DATEDIF(#REF!,U616,"m")&lt;12),2,IF(AND(DATEDIF(#REF!,U616,"m")&gt;=12,DATEDIF(#REF!,U616,"m")&lt;24),3,IF(DATEDIF(#REF!,U616,"m")&gt;=24,4,"")))),IF(E616="r0320 - Deposits, not covered and not preferential",1,4))</f>
        <v>4</v>
      </c>
    </row>
    <row r="617" spans="3:29" ht="48.75" thickBot="1" x14ac:dyDescent="0.3">
      <c r="C617" s="11">
        <v>999</v>
      </c>
      <c r="D617" s="154">
        <v>610</v>
      </c>
      <c r="E617" s="154" t="s">
        <v>1902</v>
      </c>
      <c r="F617" s="154" t="s">
        <v>83</v>
      </c>
      <c r="G617" s="154" t="s">
        <v>1903</v>
      </c>
      <c r="H617" s="154" t="s">
        <v>396</v>
      </c>
      <c r="I617" s="154" t="s">
        <v>101</v>
      </c>
      <c r="J617" s="154" t="s">
        <v>102</v>
      </c>
      <c r="K617" s="154" t="s">
        <v>60</v>
      </c>
      <c r="L617" s="154" t="s">
        <v>1897</v>
      </c>
      <c r="M617" s="154" t="s">
        <v>1388</v>
      </c>
      <c r="N617" s="154" t="s">
        <v>61</v>
      </c>
      <c r="O617" s="154" t="s">
        <v>62</v>
      </c>
      <c r="P617" s="146">
        <v>1734975.45</v>
      </c>
      <c r="Q617" s="146">
        <v>507.05</v>
      </c>
      <c r="R617" s="154" t="s">
        <v>1384</v>
      </c>
      <c r="S617" s="154" t="s">
        <v>1899</v>
      </c>
      <c r="T617" s="155" t="s">
        <v>768</v>
      </c>
      <c r="U617" s="155" t="s">
        <v>1899</v>
      </c>
      <c r="V617" s="154" t="s">
        <v>1904</v>
      </c>
      <c r="W617" s="154">
        <v>0</v>
      </c>
      <c r="X617" s="154" t="s">
        <v>63</v>
      </c>
      <c r="Y617" s="154" t="s">
        <v>1386</v>
      </c>
      <c r="Z617" s="154"/>
      <c r="AA617" s="154" t="s">
        <v>1387</v>
      </c>
      <c r="AB617" s="154">
        <v>0</v>
      </c>
      <c r="AC617" s="138">
        <f>IFERROR(IF(DATEDIF(#REF!,U617,"m")&lt;=1,1,IF(AND(DATEDIF(#REF!,U617,"m")&gt;1,DATEDIF(#REF!,U617,"m")&lt;12),2,IF(AND(DATEDIF(#REF!,U617,"m")&gt;=12,DATEDIF(#REF!,U617,"m")&lt;24),3,IF(DATEDIF(#REF!,U617,"m")&gt;=24,4,"")))),IF(E617="r0320 - Deposits, not covered and not preferential",1,4))</f>
        <v>4</v>
      </c>
    </row>
    <row r="618" spans="3:29" ht="48.75" thickBot="1" x14ac:dyDescent="0.3">
      <c r="C618" s="11">
        <v>999</v>
      </c>
      <c r="D618" s="154">
        <v>611</v>
      </c>
      <c r="E618" s="154" t="s">
        <v>1902</v>
      </c>
      <c r="F618" s="154" t="s">
        <v>83</v>
      </c>
      <c r="G618" s="154" t="s">
        <v>1903</v>
      </c>
      <c r="H618" s="154" t="s">
        <v>636</v>
      </c>
      <c r="I618" s="154" t="s">
        <v>101</v>
      </c>
      <c r="J618" s="154" t="s">
        <v>102</v>
      </c>
      <c r="K618" s="154" t="s">
        <v>60</v>
      </c>
      <c r="L618" s="154" t="s">
        <v>1897</v>
      </c>
      <c r="M618" s="154" t="s">
        <v>1388</v>
      </c>
      <c r="N618" s="154" t="s">
        <v>61</v>
      </c>
      <c r="O618" s="154" t="s">
        <v>62</v>
      </c>
      <c r="P618" s="146">
        <v>71573.240000000005</v>
      </c>
      <c r="Q618" s="146">
        <v>45.78</v>
      </c>
      <c r="R618" s="154" t="s">
        <v>1384</v>
      </c>
      <c r="S618" s="154" t="s">
        <v>1899</v>
      </c>
      <c r="T618" s="155" t="s">
        <v>768</v>
      </c>
      <c r="U618" s="155" t="s">
        <v>1899</v>
      </c>
      <c r="V618" s="154" t="s">
        <v>1904</v>
      </c>
      <c r="W618" s="154">
        <v>0</v>
      </c>
      <c r="X618" s="154" t="s">
        <v>63</v>
      </c>
      <c r="Y618" s="154" t="s">
        <v>1386</v>
      </c>
      <c r="Z618" s="154"/>
      <c r="AA618" s="154" t="s">
        <v>1387</v>
      </c>
      <c r="AB618" s="154">
        <v>0</v>
      </c>
      <c r="AC618" s="138">
        <f>IFERROR(IF(DATEDIF(#REF!,U618,"m")&lt;=1,1,IF(AND(DATEDIF(#REF!,U618,"m")&gt;1,DATEDIF(#REF!,U618,"m")&lt;12),2,IF(AND(DATEDIF(#REF!,U618,"m")&gt;=12,DATEDIF(#REF!,U618,"m")&lt;24),3,IF(DATEDIF(#REF!,U618,"m")&gt;=24,4,"")))),IF(E618="r0320 - Deposits, not covered and not preferential",1,4))</f>
        <v>4</v>
      </c>
    </row>
    <row r="619" spans="3:29" ht="36.75" thickBot="1" x14ac:dyDescent="0.3">
      <c r="C619" s="11">
        <v>999</v>
      </c>
      <c r="D619" s="154">
        <v>612</v>
      </c>
      <c r="E619" s="154" t="s">
        <v>1898</v>
      </c>
      <c r="F619" s="154" t="s">
        <v>260</v>
      </c>
      <c r="G619" s="154" t="s">
        <v>1402</v>
      </c>
      <c r="H619" s="154" t="s">
        <v>881</v>
      </c>
      <c r="I619" s="154" t="s">
        <v>262</v>
      </c>
      <c r="J619" s="154" t="s">
        <v>263</v>
      </c>
      <c r="K619" s="154" t="s">
        <v>91</v>
      </c>
      <c r="L619" s="154" t="s">
        <v>1897</v>
      </c>
      <c r="M619" s="154" t="s">
        <v>1388</v>
      </c>
      <c r="N619" s="154" t="s">
        <v>61</v>
      </c>
      <c r="O619" s="154" t="s">
        <v>62</v>
      </c>
      <c r="P619" s="146">
        <v>1.83</v>
      </c>
      <c r="Q619" s="146">
        <v>0</v>
      </c>
      <c r="R619" s="154" t="s">
        <v>1384</v>
      </c>
      <c r="S619" s="154" t="s">
        <v>1899</v>
      </c>
      <c r="T619" s="155" t="s">
        <v>1899</v>
      </c>
      <c r="U619" s="155" t="s">
        <v>1899</v>
      </c>
      <c r="V619" s="154" t="s">
        <v>1562</v>
      </c>
      <c r="W619" s="154">
        <v>0</v>
      </c>
      <c r="X619" s="154" t="s">
        <v>63</v>
      </c>
      <c r="Y619" s="154" t="s">
        <v>1900</v>
      </c>
      <c r="Z619" s="154"/>
      <c r="AA619" s="154" t="s">
        <v>1387</v>
      </c>
      <c r="AB619" s="154">
        <v>0</v>
      </c>
      <c r="AC619" s="138">
        <f>IFERROR(IF(DATEDIF(#REF!,U619,"m")&lt;=1,1,IF(AND(DATEDIF(#REF!,U619,"m")&gt;1,DATEDIF(#REF!,U619,"m")&lt;12),2,IF(AND(DATEDIF(#REF!,U619,"m")&gt;=12,DATEDIF(#REF!,U619,"m")&lt;24),3,IF(DATEDIF(#REF!,U619,"m")&gt;=24,4,"")))),IF(E619="r0320 - Deposits, not covered and not preferential",1,4))</f>
        <v>4</v>
      </c>
    </row>
    <row r="620" spans="3:29" ht="36.75" thickBot="1" x14ac:dyDescent="0.3">
      <c r="C620" s="11">
        <v>999</v>
      </c>
      <c r="D620" s="154">
        <v>613</v>
      </c>
      <c r="E620" s="154" t="s">
        <v>1898</v>
      </c>
      <c r="F620" s="154" t="s">
        <v>87</v>
      </c>
      <c r="G620" s="154" t="s">
        <v>1402</v>
      </c>
      <c r="H620" s="154" t="s">
        <v>1107</v>
      </c>
      <c r="I620" s="154" t="s">
        <v>89</v>
      </c>
      <c r="J620" s="154" t="s">
        <v>90</v>
      </c>
      <c r="K620" s="154" t="s">
        <v>91</v>
      </c>
      <c r="L620" s="154" t="s">
        <v>1901</v>
      </c>
      <c r="M620" s="154" t="s">
        <v>1383</v>
      </c>
      <c r="N620" s="154" t="s">
        <v>61</v>
      </c>
      <c r="O620" s="154" t="s">
        <v>62</v>
      </c>
      <c r="P620" s="146">
        <v>0.09</v>
      </c>
      <c r="Q620" s="146">
        <v>0</v>
      </c>
      <c r="R620" s="154" t="s">
        <v>1384</v>
      </c>
      <c r="S620" s="154" t="s">
        <v>1899</v>
      </c>
      <c r="T620" s="155" t="s">
        <v>1899</v>
      </c>
      <c r="U620" s="155" t="s">
        <v>1899</v>
      </c>
      <c r="V620" s="154" t="s">
        <v>1562</v>
      </c>
      <c r="W620" s="154">
        <v>0</v>
      </c>
      <c r="X620" s="154" t="s">
        <v>63</v>
      </c>
      <c r="Y620" s="154" t="s">
        <v>1900</v>
      </c>
      <c r="Z620" s="154"/>
      <c r="AA620" s="154" t="s">
        <v>1387</v>
      </c>
      <c r="AB620" s="154">
        <v>0</v>
      </c>
      <c r="AC620" s="138">
        <f>IFERROR(IF(DATEDIF(#REF!,U620,"m")&lt;=1,1,IF(AND(DATEDIF(#REF!,U620,"m")&gt;1,DATEDIF(#REF!,U620,"m")&lt;12),2,IF(AND(DATEDIF(#REF!,U620,"m")&gt;=12,DATEDIF(#REF!,U620,"m")&lt;24),3,IF(DATEDIF(#REF!,U620,"m")&gt;=24,4,"")))),IF(E620="r0320 - Deposits, not covered and not preferential",1,4))</f>
        <v>4</v>
      </c>
    </row>
    <row r="621" spans="3:29" ht="48.75" thickBot="1" x14ac:dyDescent="0.3">
      <c r="C621" s="11">
        <v>999</v>
      </c>
      <c r="D621" s="154">
        <v>614</v>
      </c>
      <c r="E621" s="154" t="s">
        <v>1902</v>
      </c>
      <c r="F621" s="154" t="s">
        <v>83</v>
      </c>
      <c r="G621" s="154" t="s">
        <v>1903</v>
      </c>
      <c r="H621" s="154" t="s">
        <v>1072</v>
      </c>
      <c r="I621" s="154" t="s">
        <v>101</v>
      </c>
      <c r="J621" s="154" t="s">
        <v>102</v>
      </c>
      <c r="K621" s="154" t="s">
        <v>60</v>
      </c>
      <c r="L621" s="154" t="s">
        <v>1897</v>
      </c>
      <c r="M621" s="154" t="s">
        <v>1388</v>
      </c>
      <c r="N621" s="154" t="s">
        <v>61</v>
      </c>
      <c r="O621" s="154" t="s">
        <v>62</v>
      </c>
      <c r="P621" s="146">
        <v>997036.75</v>
      </c>
      <c r="Q621" s="146">
        <v>508.49</v>
      </c>
      <c r="R621" s="154" t="s">
        <v>1384</v>
      </c>
      <c r="S621" s="154" t="s">
        <v>1899</v>
      </c>
      <c r="T621" s="155" t="s">
        <v>768</v>
      </c>
      <c r="U621" s="155" t="s">
        <v>1899</v>
      </c>
      <c r="V621" s="154" t="s">
        <v>1904</v>
      </c>
      <c r="W621" s="154">
        <v>0</v>
      </c>
      <c r="X621" s="154" t="s">
        <v>63</v>
      </c>
      <c r="Y621" s="154" t="s">
        <v>1386</v>
      </c>
      <c r="Z621" s="154"/>
      <c r="AA621" s="154" t="s">
        <v>1387</v>
      </c>
      <c r="AB621" s="154">
        <v>0</v>
      </c>
      <c r="AC621" s="138">
        <f>IFERROR(IF(DATEDIF(#REF!,U621,"m")&lt;=1,1,IF(AND(DATEDIF(#REF!,U621,"m")&gt;1,DATEDIF(#REF!,U621,"m")&lt;12),2,IF(AND(DATEDIF(#REF!,U621,"m")&gt;=12,DATEDIF(#REF!,U621,"m")&lt;24),3,IF(DATEDIF(#REF!,U621,"m")&gt;=24,4,"")))),IF(E621="r0320 - Deposits, not covered and not preferential",1,4))</f>
        <v>4</v>
      </c>
    </row>
    <row r="622" spans="3:29" ht="48.75" thickBot="1" x14ac:dyDescent="0.3">
      <c r="C622" s="11">
        <v>999</v>
      </c>
      <c r="D622" s="154">
        <v>615</v>
      </c>
      <c r="E622" s="154" t="s">
        <v>1902</v>
      </c>
      <c r="F622" s="154" t="s">
        <v>83</v>
      </c>
      <c r="G622" s="154" t="s">
        <v>1903</v>
      </c>
      <c r="H622" s="154" t="s">
        <v>113</v>
      </c>
      <c r="I622" s="154" t="s">
        <v>93</v>
      </c>
      <c r="J622" s="154" t="s">
        <v>94</v>
      </c>
      <c r="K622" s="154" t="s">
        <v>60</v>
      </c>
      <c r="L622" s="154" t="s">
        <v>1897</v>
      </c>
      <c r="M622" s="154" t="s">
        <v>1388</v>
      </c>
      <c r="N622" s="154" t="s">
        <v>61</v>
      </c>
      <c r="O622" s="154" t="s">
        <v>62</v>
      </c>
      <c r="P622" s="146">
        <v>27285.69</v>
      </c>
      <c r="Q622" s="146">
        <v>0</v>
      </c>
      <c r="R622" s="154" t="s">
        <v>1384</v>
      </c>
      <c r="S622" s="154" t="s">
        <v>1899</v>
      </c>
      <c r="T622" s="155" t="s">
        <v>768</v>
      </c>
      <c r="U622" s="155" t="s">
        <v>1899</v>
      </c>
      <c r="V622" s="154" t="s">
        <v>1904</v>
      </c>
      <c r="W622" s="154">
        <v>0</v>
      </c>
      <c r="X622" s="154" t="s">
        <v>63</v>
      </c>
      <c r="Y622" s="154" t="s">
        <v>1386</v>
      </c>
      <c r="Z622" s="154"/>
      <c r="AA622" s="154" t="s">
        <v>1387</v>
      </c>
      <c r="AB622" s="154">
        <v>0</v>
      </c>
      <c r="AC622" s="138">
        <f>IFERROR(IF(DATEDIF(#REF!,U622,"m")&lt;=1,1,IF(AND(DATEDIF(#REF!,U622,"m")&gt;1,DATEDIF(#REF!,U622,"m")&lt;12),2,IF(AND(DATEDIF(#REF!,U622,"m")&gt;=12,DATEDIF(#REF!,U622,"m")&lt;24),3,IF(DATEDIF(#REF!,U622,"m")&gt;=24,4,"")))),IF(E622="r0320 - Deposits, not covered and not preferential",1,4))</f>
        <v>4</v>
      </c>
    </row>
    <row r="623" spans="3:29" ht="48.75" thickBot="1" x14ac:dyDescent="0.3">
      <c r="C623" s="11">
        <v>999</v>
      </c>
      <c r="D623" s="154">
        <v>616</v>
      </c>
      <c r="E623" s="154" t="s">
        <v>1902</v>
      </c>
      <c r="F623" s="154" t="s">
        <v>83</v>
      </c>
      <c r="G623" s="154" t="s">
        <v>1903</v>
      </c>
      <c r="H623" s="154" t="s">
        <v>170</v>
      </c>
      <c r="I623" s="154" t="s">
        <v>114</v>
      </c>
      <c r="J623" s="154" t="s">
        <v>115</v>
      </c>
      <c r="K623" s="154" t="s">
        <v>60</v>
      </c>
      <c r="L623" s="154" t="s">
        <v>1897</v>
      </c>
      <c r="M623" s="154" t="s">
        <v>1388</v>
      </c>
      <c r="N623" s="154" t="s">
        <v>61</v>
      </c>
      <c r="O623" s="154" t="s">
        <v>62</v>
      </c>
      <c r="P623" s="146">
        <v>94300</v>
      </c>
      <c r="Q623" s="146">
        <v>12.14</v>
      </c>
      <c r="R623" s="154" t="s">
        <v>1384</v>
      </c>
      <c r="S623" s="154" t="s">
        <v>1899</v>
      </c>
      <c r="T623" s="155" t="s">
        <v>768</v>
      </c>
      <c r="U623" s="155" t="s">
        <v>1899</v>
      </c>
      <c r="V623" s="154" t="s">
        <v>1904</v>
      </c>
      <c r="W623" s="154">
        <v>0</v>
      </c>
      <c r="X623" s="154" t="s">
        <v>63</v>
      </c>
      <c r="Y623" s="154" t="s">
        <v>1386</v>
      </c>
      <c r="Z623" s="154"/>
      <c r="AA623" s="154" t="s">
        <v>1387</v>
      </c>
      <c r="AB623" s="154">
        <v>0</v>
      </c>
      <c r="AC623" s="138">
        <f>IFERROR(IF(DATEDIF(#REF!,U623,"m")&lt;=1,1,IF(AND(DATEDIF(#REF!,U623,"m")&gt;1,DATEDIF(#REF!,U623,"m")&lt;12),2,IF(AND(DATEDIF(#REF!,U623,"m")&gt;=12,DATEDIF(#REF!,U623,"m")&lt;24),3,IF(DATEDIF(#REF!,U623,"m")&gt;=24,4,"")))),IF(E623="r0320 - Deposits, not covered and not preferential",1,4))</f>
        <v>4</v>
      </c>
    </row>
    <row r="624" spans="3:29" ht="48.75" thickBot="1" x14ac:dyDescent="0.3">
      <c r="C624" s="11">
        <v>999</v>
      </c>
      <c r="D624" s="154">
        <v>617</v>
      </c>
      <c r="E624" s="154" t="s">
        <v>1902</v>
      </c>
      <c r="F624" s="154" t="s">
        <v>83</v>
      </c>
      <c r="G624" s="154" t="s">
        <v>1903</v>
      </c>
      <c r="H624" s="154" t="s">
        <v>495</v>
      </c>
      <c r="I624" s="154" t="s">
        <v>101</v>
      </c>
      <c r="J624" s="154" t="s">
        <v>102</v>
      </c>
      <c r="K624" s="154" t="s">
        <v>60</v>
      </c>
      <c r="L624" s="154" t="s">
        <v>1897</v>
      </c>
      <c r="M624" s="154" t="s">
        <v>1388</v>
      </c>
      <c r="N624" s="154" t="s">
        <v>61</v>
      </c>
      <c r="O624" s="154" t="s">
        <v>62</v>
      </c>
      <c r="P624" s="146">
        <v>252807.7</v>
      </c>
      <c r="Q624" s="146">
        <v>169.28</v>
      </c>
      <c r="R624" s="154" t="s">
        <v>1384</v>
      </c>
      <c r="S624" s="154" t="s">
        <v>1899</v>
      </c>
      <c r="T624" s="155" t="s">
        <v>768</v>
      </c>
      <c r="U624" s="155" t="s">
        <v>1899</v>
      </c>
      <c r="V624" s="154" t="s">
        <v>1904</v>
      </c>
      <c r="W624" s="154">
        <v>0</v>
      </c>
      <c r="X624" s="154" t="s">
        <v>63</v>
      </c>
      <c r="Y624" s="154" t="s">
        <v>1386</v>
      </c>
      <c r="Z624" s="154"/>
      <c r="AA624" s="154" t="s">
        <v>1387</v>
      </c>
      <c r="AB624" s="154">
        <v>0</v>
      </c>
      <c r="AC624" s="138">
        <f>IFERROR(IF(DATEDIF(#REF!,U624,"m")&lt;=1,1,IF(AND(DATEDIF(#REF!,U624,"m")&gt;1,DATEDIF(#REF!,U624,"m")&lt;12),2,IF(AND(DATEDIF(#REF!,U624,"m")&gt;=12,DATEDIF(#REF!,U624,"m")&lt;24),3,IF(DATEDIF(#REF!,U624,"m")&gt;=24,4,"")))),IF(E624="r0320 - Deposits, not covered and not preferential",1,4))</f>
        <v>4</v>
      </c>
    </row>
    <row r="625" spans="3:29" ht="48.75" thickBot="1" x14ac:dyDescent="0.3">
      <c r="C625" s="11">
        <v>999</v>
      </c>
      <c r="D625" s="154">
        <v>618</v>
      </c>
      <c r="E625" s="154" t="s">
        <v>1902</v>
      </c>
      <c r="F625" s="154" t="s">
        <v>83</v>
      </c>
      <c r="G625" s="154" t="s">
        <v>1903</v>
      </c>
      <c r="H625" s="154" t="s">
        <v>636</v>
      </c>
      <c r="I625" s="154" t="s">
        <v>114</v>
      </c>
      <c r="J625" s="154" t="s">
        <v>115</v>
      </c>
      <c r="K625" s="154" t="s">
        <v>60</v>
      </c>
      <c r="L625" s="154" t="s">
        <v>1897</v>
      </c>
      <c r="M625" s="154" t="s">
        <v>1388</v>
      </c>
      <c r="N625" s="154" t="s">
        <v>61</v>
      </c>
      <c r="O625" s="154" t="s">
        <v>62</v>
      </c>
      <c r="P625" s="146">
        <v>32134.82</v>
      </c>
      <c r="Q625" s="146">
        <v>0.15</v>
      </c>
      <c r="R625" s="154" t="s">
        <v>1384</v>
      </c>
      <c r="S625" s="154" t="s">
        <v>1899</v>
      </c>
      <c r="T625" s="155" t="s">
        <v>768</v>
      </c>
      <c r="U625" s="155" t="s">
        <v>1899</v>
      </c>
      <c r="V625" s="154" t="s">
        <v>1904</v>
      </c>
      <c r="W625" s="154">
        <v>0</v>
      </c>
      <c r="X625" s="154" t="s">
        <v>63</v>
      </c>
      <c r="Y625" s="154" t="s">
        <v>1386</v>
      </c>
      <c r="Z625" s="154"/>
      <c r="AA625" s="154" t="s">
        <v>1387</v>
      </c>
      <c r="AB625" s="154">
        <v>0</v>
      </c>
      <c r="AC625" s="138">
        <f>IFERROR(IF(DATEDIF(#REF!,U625,"m")&lt;=1,1,IF(AND(DATEDIF(#REF!,U625,"m")&gt;1,DATEDIF(#REF!,U625,"m")&lt;12),2,IF(AND(DATEDIF(#REF!,U625,"m")&gt;=12,DATEDIF(#REF!,U625,"m")&lt;24),3,IF(DATEDIF(#REF!,U625,"m")&gt;=24,4,"")))),IF(E625="r0320 - Deposits, not covered and not preferential",1,4))</f>
        <v>4</v>
      </c>
    </row>
    <row r="626" spans="3:29" ht="48.75" thickBot="1" x14ac:dyDescent="0.3">
      <c r="C626" s="11">
        <v>999</v>
      </c>
      <c r="D626" s="154">
        <v>619</v>
      </c>
      <c r="E626" s="154" t="s">
        <v>1902</v>
      </c>
      <c r="F626" s="154" t="s">
        <v>83</v>
      </c>
      <c r="G626" s="154" t="s">
        <v>1903</v>
      </c>
      <c r="H626" s="154" t="s">
        <v>400</v>
      </c>
      <c r="I626" s="154" t="s">
        <v>114</v>
      </c>
      <c r="J626" s="154" t="s">
        <v>115</v>
      </c>
      <c r="K626" s="154" t="s">
        <v>60</v>
      </c>
      <c r="L626" s="154" t="s">
        <v>1897</v>
      </c>
      <c r="M626" s="154" t="s">
        <v>1388</v>
      </c>
      <c r="N626" s="154" t="s">
        <v>61</v>
      </c>
      <c r="O626" s="154" t="s">
        <v>62</v>
      </c>
      <c r="P626" s="146">
        <v>100063.05</v>
      </c>
      <c r="Q626" s="146">
        <v>25.53</v>
      </c>
      <c r="R626" s="154" t="s">
        <v>1384</v>
      </c>
      <c r="S626" s="154" t="s">
        <v>1899</v>
      </c>
      <c r="T626" s="155" t="s">
        <v>768</v>
      </c>
      <c r="U626" s="155" t="s">
        <v>1899</v>
      </c>
      <c r="V626" s="154" t="s">
        <v>1904</v>
      </c>
      <c r="W626" s="154">
        <v>0</v>
      </c>
      <c r="X626" s="154" t="s">
        <v>63</v>
      </c>
      <c r="Y626" s="154" t="s">
        <v>1386</v>
      </c>
      <c r="Z626" s="154"/>
      <c r="AA626" s="154" t="s">
        <v>1387</v>
      </c>
      <c r="AB626" s="154">
        <v>0</v>
      </c>
      <c r="AC626" s="138">
        <f>IFERROR(IF(DATEDIF(#REF!,U626,"m")&lt;=1,1,IF(AND(DATEDIF(#REF!,U626,"m")&gt;1,DATEDIF(#REF!,U626,"m")&lt;12),2,IF(AND(DATEDIF(#REF!,U626,"m")&gt;=12,DATEDIF(#REF!,U626,"m")&lt;24),3,IF(DATEDIF(#REF!,U626,"m")&gt;=24,4,"")))),IF(E626="r0320 - Deposits, not covered and not preferential",1,4))</f>
        <v>4</v>
      </c>
    </row>
    <row r="627" spans="3:29" ht="36.75" thickBot="1" x14ac:dyDescent="0.3">
      <c r="C627" s="11">
        <v>999</v>
      </c>
      <c r="D627" s="154">
        <v>620</v>
      </c>
      <c r="E627" s="154" t="s">
        <v>1898</v>
      </c>
      <c r="F627" s="154" t="s">
        <v>87</v>
      </c>
      <c r="G627" s="154" t="s">
        <v>1402</v>
      </c>
      <c r="H627" s="154" t="s">
        <v>1122</v>
      </c>
      <c r="I627" s="154" t="s">
        <v>89</v>
      </c>
      <c r="J627" s="154" t="s">
        <v>90</v>
      </c>
      <c r="K627" s="154" t="s">
        <v>91</v>
      </c>
      <c r="L627" s="154" t="s">
        <v>1901</v>
      </c>
      <c r="M627" s="154" t="s">
        <v>1383</v>
      </c>
      <c r="N627" s="154" t="s">
        <v>61</v>
      </c>
      <c r="O627" s="154" t="s">
        <v>62</v>
      </c>
      <c r="P627" s="146">
        <v>0.66</v>
      </c>
      <c r="Q627" s="146">
        <v>0</v>
      </c>
      <c r="R627" s="154" t="s">
        <v>1384</v>
      </c>
      <c r="S627" s="154" t="s">
        <v>1899</v>
      </c>
      <c r="T627" s="155" t="s">
        <v>1899</v>
      </c>
      <c r="U627" s="155" t="s">
        <v>1899</v>
      </c>
      <c r="V627" s="154" t="s">
        <v>1562</v>
      </c>
      <c r="W627" s="154">
        <v>0</v>
      </c>
      <c r="X627" s="154" t="s">
        <v>63</v>
      </c>
      <c r="Y627" s="154" t="s">
        <v>1900</v>
      </c>
      <c r="Z627" s="154"/>
      <c r="AA627" s="154" t="s">
        <v>1387</v>
      </c>
      <c r="AB627" s="154">
        <v>0</v>
      </c>
      <c r="AC627" s="138">
        <f>IFERROR(IF(DATEDIF(#REF!,U627,"m")&lt;=1,1,IF(AND(DATEDIF(#REF!,U627,"m")&gt;1,DATEDIF(#REF!,U627,"m")&lt;12),2,IF(AND(DATEDIF(#REF!,U627,"m")&gt;=12,DATEDIF(#REF!,U627,"m")&lt;24),3,IF(DATEDIF(#REF!,U627,"m")&gt;=24,4,"")))),IF(E627="r0320 - Deposits, not covered and not preferential",1,4))</f>
        <v>4</v>
      </c>
    </row>
    <row r="628" spans="3:29" ht="48.75" thickBot="1" x14ac:dyDescent="0.3">
      <c r="C628" s="11">
        <v>999</v>
      </c>
      <c r="D628" s="154">
        <v>621</v>
      </c>
      <c r="E628" s="154" t="s">
        <v>1902</v>
      </c>
      <c r="F628" s="154" t="s">
        <v>83</v>
      </c>
      <c r="G628" s="154" t="s">
        <v>1903</v>
      </c>
      <c r="H628" s="154" t="s">
        <v>400</v>
      </c>
      <c r="I628" s="154" t="s">
        <v>101</v>
      </c>
      <c r="J628" s="154" t="s">
        <v>102</v>
      </c>
      <c r="K628" s="154" t="s">
        <v>60</v>
      </c>
      <c r="L628" s="154" t="s">
        <v>1897</v>
      </c>
      <c r="M628" s="154" t="s">
        <v>1388</v>
      </c>
      <c r="N628" s="154" t="s">
        <v>61</v>
      </c>
      <c r="O628" s="154" t="s">
        <v>62</v>
      </c>
      <c r="P628" s="146">
        <v>4296597.21</v>
      </c>
      <c r="Q628" s="146">
        <v>1748.58</v>
      </c>
      <c r="R628" s="154" t="s">
        <v>1384</v>
      </c>
      <c r="S628" s="154" t="s">
        <v>1899</v>
      </c>
      <c r="T628" s="155" t="s">
        <v>768</v>
      </c>
      <c r="U628" s="155" t="s">
        <v>1899</v>
      </c>
      <c r="V628" s="154" t="s">
        <v>1904</v>
      </c>
      <c r="W628" s="154">
        <v>0</v>
      </c>
      <c r="X628" s="154" t="s">
        <v>63</v>
      </c>
      <c r="Y628" s="154" t="s">
        <v>1386</v>
      </c>
      <c r="Z628" s="154"/>
      <c r="AA628" s="154" t="s">
        <v>1387</v>
      </c>
      <c r="AB628" s="154">
        <v>0</v>
      </c>
      <c r="AC628" s="138">
        <f>IFERROR(IF(DATEDIF(#REF!,U628,"m")&lt;=1,1,IF(AND(DATEDIF(#REF!,U628,"m")&gt;1,DATEDIF(#REF!,U628,"m")&lt;12),2,IF(AND(DATEDIF(#REF!,U628,"m")&gt;=12,DATEDIF(#REF!,U628,"m")&lt;24),3,IF(DATEDIF(#REF!,U628,"m")&gt;=24,4,"")))),IF(E628="r0320 - Deposits, not covered and not preferential",1,4))</f>
        <v>4</v>
      </c>
    </row>
    <row r="629" spans="3:29" ht="48.75" thickBot="1" x14ac:dyDescent="0.3">
      <c r="C629" s="11">
        <v>999</v>
      </c>
      <c r="D629" s="154">
        <v>622</v>
      </c>
      <c r="E629" s="154" t="s">
        <v>2638</v>
      </c>
      <c r="F629" s="154" t="s">
        <v>83</v>
      </c>
      <c r="G629" s="154" t="s">
        <v>768</v>
      </c>
      <c r="H629" s="154" t="s">
        <v>57</v>
      </c>
      <c r="I629" s="154" t="s">
        <v>1025</v>
      </c>
      <c r="J629" s="154" t="s">
        <v>1026</v>
      </c>
      <c r="K629" s="154" t="s">
        <v>60</v>
      </c>
      <c r="L629" s="154" t="s">
        <v>1901</v>
      </c>
      <c r="M629" s="154" t="s">
        <v>1388</v>
      </c>
      <c r="N629" s="154" t="s">
        <v>61</v>
      </c>
      <c r="O629" s="154" t="s">
        <v>62</v>
      </c>
      <c r="P629" s="146">
        <v>312799171.74000001</v>
      </c>
      <c r="Q629" s="146">
        <v>0</v>
      </c>
      <c r="R629" s="154" t="s">
        <v>1384</v>
      </c>
      <c r="S629" s="154" t="s">
        <v>1385</v>
      </c>
      <c r="T629" s="155" t="s">
        <v>1385</v>
      </c>
      <c r="U629" s="155" t="s">
        <v>1385</v>
      </c>
      <c r="V629" s="154" t="s">
        <v>1562</v>
      </c>
      <c r="W629" s="154">
        <v>0</v>
      </c>
      <c r="X629" s="154" t="s">
        <v>63</v>
      </c>
      <c r="Y629" s="154" t="s">
        <v>1900</v>
      </c>
      <c r="Z629" s="154"/>
      <c r="AA629" s="154" t="s">
        <v>1387</v>
      </c>
      <c r="AB629" s="154">
        <v>0</v>
      </c>
      <c r="AC629" s="138">
        <f>IFERROR(IF(DATEDIF(#REF!,U629,"m")&lt;=1,1,IF(AND(DATEDIF(#REF!,U629,"m")&gt;1,DATEDIF(#REF!,U629,"m")&lt;12),2,IF(AND(DATEDIF(#REF!,U629,"m")&gt;=12,DATEDIF(#REF!,U629,"m")&lt;24),3,IF(DATEDIF(#REF!,U629,"m")&gt;=24,4,"")))),IF(E629="r0320 - Deposits, not covered and not preferential",1,4))</f>
        <v>4</v>
      </c>
    </row>
    <row r="630" spans="3:29" ht="48.75" thickBot="1" x14ac:dyDescent="0.3">
      <c r="C630" s="11">
        <v>999</v>
      </c>
      <c r="D630" s="154">
        <v>623</v>
      </c>
      <c r="E630" s="154" t="s">
        <v>1902</v>
      </c>
      <c r="F630" s="154" t="s">
        <v>83</v>
      </c>
      <c r="G630" s="154" t="s">
        <v>1903</v>
      </c>
      <c r="H630" s="154" t="s">
        <v>113</v>
      </c>
      <c r="I630" s="154" t="s">
        <v>101</v>
      </c>
      <c r="J630" s="154" t="s">
        <v>102</v>
      </c>
      <c r="K630" s="154" t="s">
        <v>60</v>
      </c>
      <c r="L630" s="154" t="s">
        <v>1897</v>
      </c>
      <c r="M630" s="154" t="s">
        <v>1388</v>
      </c>
      <c r="N630" s="154" t="s">
        <v>61</v>
      </c>
      <c r="O630" s="154" t="s">
        <v>62</v>
      </c>
      <c r="P630" s="146">
        <v>542859.80000000005</v>
      </c>
      <c r="Q630" s="146">
        <v>88.15</v>
      </c>
      <c r="R630" s="154" t="s">
        <v>1384</v>
      </c>
      <c r="S630" s="154" t="s">
        <v>1899</v>
      </c>
      <c r="T630" s="155" t="s">
        <v>768</v>
      </c>
      <c r="U630" s="155" t="s">
        <v>1899</v>
      </c>
      <c r="V630" s="154" t="s">
        <v>1904</v>
      </c>
      <c r="W630" s="154">
        <v>0</v>
      </c>
      <c r="X630" s="154" t="s">
        <v>63</v>
      </c>
      <c r="Y630" s="154" t="s">
        <v>1386</v>
      </c>
      <c r="Z630" s="154"/>
      <c r="AA630" s="154" t="s">
        <v>1387</v>
      </c>
      <c r="AB630" s="154">
        <v>0</v>
      </c>
      <c r="AC630" s="138">
        <f>IFERROR(IF(DATEDIF(#REF!,U630,"m")&lt;=1,1,IF(AND(DATEDIF(#REF!,U630,"m")&gt;1,DATEDIF(#REF!,U630,"m")&lt;12),2,IF(AND(DATEDIF(#REF!,U630,"m")&gt;=12,DATEDIF(#REF!,U630,"m")&lt;24),3,IF(DATEDIF(#REF!,U630,"m")&gt;=24,4,"")))),IF(E630="r0320 - Deposits, not covered and not preferential",1,4))</f>
        <v>4</v>
      </c>
    </row>
    <row r="631" spans="3:29" ht="36.75" thickBot="1" x14ac:dyDescent="0.3">
      <c r="C631" s="11">
        <v>999</v>
      </c>
      <c r="D631" s="154">
        <v>624</v>
      </c>
      <c r="E631" s="154" t="s">
        <v>1898</v>
      </c>
      <c r="F631" s="154" t="s">
        <v>87</v>
      </c>
      <c r="G631" s="154" t="s">
        <v>1402</v>
      </c>
      <c r="H631" s="154" t="s">
        <v>688</v>
      </c>
      <c r="I631" s="154" t="s">
        <v>108</v>
      </c>
      <c r="J631" s="154" t="s">
        <v>90</v>
      </c>
      <c r="K631" s="154" t="s">
        <v>91</v>
      </c>
      <c r="L631" s="154" t="s">
        <v>1897</v>
      </c>
      <c r="M631" s="154" t="s">
        <v>1383</v>
      </c>
      <c r="N631" s="154" t="s">
        <v>61</v>
      </c>
      <c r="O631" s="154" t="s">
        <v>62</v>
      </c>
      <c r="P631" s="146">
        <v>1.03</v>
      </c>
      <c r="Q631" s="146">
        <v>0</v>
      </c>
      <c r="R631" s="154" t="s">
        <v>1384</v>
      </c>
      <c r="S631" s="154" t="s">
        <v>1899</v>
      </c>
      <c r="T631" s="155" t="s">
        <v>1899</v>
      </c>
      <c r="U631" s="155" t="s">
        <v>1899</v>
      </c>
      <c r="V631" s="154" t="s">
        <v>1562</v>
      </c>
      <c r="W631" s="154">
        <v>0</v>
      </c>
      <c r="X631" s="154" t="s">
        <v>63</v>
      </c>
      <c r="Y631" s="154" t="s">
        <v>1900</v>
      </c>
      <c r="Z631" s="154"/>
      <c r="AA631" s="154" t="s">
        <v>1387</v>
      </c>
      <c r="AB631" s="154">
        <v>0</v>
      </c>
      <c r="AC631" s="138">
        <f>IFERROR(IF(DATEDIF(#REF!,U631,"m")&lt;=1,1,IF(AND(DATEDIF(#REF!,U631,"m")&gt;1,DATEDIF(#REF!,U631,"m")&lt;12),2,IF(AND(DATEDIF(#REF!,U631,"m")&gt;=12,DATEDIF(#REF!,U631,"m")&lt;24),3,IF(DATEDIF(#REF!,U631,"m")&gt;=24,4,"")))),IF(E631="r0320 - Deposits, not covered and not preferential",1,4))</f>
        <v>4</v>
      </c>
    </row>
    <row r="632" spans="3:29" ht="48.75" thickBot="1" x14ac:dyDescent="0.3">
      <c r="C632" s="11">
        <v>999</v>
      </c>
      <c r="D632" s="154">
        <v>625</v>
      </c>
      <c r="E632" s="154" t="s">
        <v>1902</v>
      </c>
      <c r="F632" s="154" t="s">
        <v>83</v>
      </c>
      <c r="G632" s="154" t="s">
        <v>1903</v>
      </c>
      <c r="H632" s="154" t="s">
        <v>404</v>
      </c>
      <c r="I632" s="154" t="s">
        <v>101</v>
      </c>
      <c r="J632" s="154" t="s">
        <v>102</v>
      </c>
      <c r="K632" s="154" t="s">
        <v>60</v>
      </c>
      <c r="L632" s="154" t="s">
        <v>1897</v>
      </c>
      <c r="M632" s="154" t="s">
        <v>1388</v>
      </c>
      <c r="N632" s="154" t="s">
        <v>61</v>
      </c>
      <c r="O632" s="154" t="s">
        <v>62</v>
      </c>
      <c r="P632" s="146">
        <v>870069.65</v>
      </c>
      <c r="Q632" s="146">
        <v>350.05</v>
      </c>
      <c r="R632" s="154" t="s">
        <v>1384</v>
      </c>
      <c r="S632" s="154" t="s">
        <v>1899</v>
      </c>
      <c r="T632" s="155" t="s">
        <v>768</v>
      </c>
      <c r="U632" s="155" t="s">
        <v>1899</v>
      </c>
      <c r="V632" s="154" t="s">
        <v>1904</v>
      </c>
      <c r="W632" s="154">
        <v>0</v>
      </c>
      <c r="X632" s="154" t="s">
        <v>63</v>
      </c>
      <c r="Y632" s="154" t="s">
        <v>1386</v>
      </c>
      <c r="Z632" s="154"/>
      <c r="AA632" s="154" t="s">
        <v>1387</v>
      </c>
      <c r="AB632" s="154">
        <v>0</v>
      </c>
      <c r="AC632" s="138">
        <f>IFERROR(IF(DATEDIF(#REF!,U632,"m")&lt;=1,1,IF(AND(DATEDIF(#REF!,U632,"m")&gt;1,DATEDIF(#REF!,U632,"m")&lt;12),2,IF(AND(DATEDIF(#REF!,U632,"m")&gt;=12,DATEDIF(#REF!,U632,"m")&lt;24),3,IF(DATEDIF(#REF!,U632,"m")&gt;=24,4,"")))),IF(E632="r0320 - Deposits, not covered and not preferential",1,4))</f>
        <v>4</v>
      </c>
    </row>
    <row r="633" spans="3:29" ht="48.75" thickBot="1" x14ac:dyDescent="0.3">
      <c r="C633" s="11">
        <v>999</v>
      </c>
      <c r="D633" s="154">
        <v>626</v>
      </c>
      <c r="E633" s="154" t="s">
        <v>1902</v>
      </c>
      <c r="F633" s="154" t="s">
        <v>83</v>
      </c>
      <c r="G633" s="154" t="s">
        <v>1903</v>
      </c>
      <c r="H633" s="154" t="s">
        <v>1048</v>
      </c>
      <c r="I633" s="154" t="s">
        <v>114</v>
      </c>
      <c r="J633" s="154" t="s">
        <v>115</v>
      </c>
      <c r="K633" s="154" t="s">
        <v>60</v>
      </c>
      <c r="L633" s="154" t="s">
        <v>1897</v>
      </c>
      <c r="M633" s="154" t="s">
        <v>1388</v>
      </c>
      <c r="N633" s="154" t="s">
        <v>61</v>
      </c>
      <c r="O633" s="154" t="s">
        <v>62</v>
      </c>
      <c r="P633" s="146">
        <v>47871.63</v>
      </c>
      <c r="Q633" s="146">
        <v>30.33</v>
      </c>
      <c r="R633" s="154" t="s">
        <v>1384</v>
      </c>
      <c r="S633" s="154" t="s">
        <v>1899</v>
      </c>
      <c r="T633" s="155" t="s">
        <v>768</v>
      </c>
      <c r="U633" s="155" t="s">
        <v>1899</v>
      </c>
      <c r="V633" s="154" t="s">
        <v>1904</v>
      </c>
      <c r="W633" s="154">
        <v>0</v>
      </c>
      <c r="X633" s="154" t="s">
        <v>63</v>
      </c>
      <c r="Y633" s="154" t="s">
        <v>1386</v>
      </c>
      <c r="Z633" s="154"/>
      <c r="AA633" s="154" t="s">
        <v>1387</v>
      </c>
      <c r="AB633" s="154">
        <v>0</v>
      </c>
      <c r="AC633" s="138">
        <f>IFERROR(IF(DATEDIF(#REF!,U633,"m")&lt;=1,1,IF(AND(DATEDIF(#REF!,U633,"m")&gt;1,DATEDIF(#REF!,U633,"m")&lt;12),2,IF(AND(DATEDIF(#REF!,U633,"m")&gt;=12,DATEDIF(#REF!,U633,"m")&lt;24),3,IF(DATEDIF(#REF!,U633,"m")&gt;=24,4,"")))),IF(E633="r0320 - Deposits, not covered and not preferential",1,4))</f>
        <v>4</v>
      </c>
    </row>
    <row r="634" spans="3:29" ht="48.75" thickBot="1" x14ac:dyDescent="0.3">
      <c r="C634" s="11">
        <v>999</v>
      </c>
      <c r="D634" s="154">
        <v>627</v>
      </c>
      <c r="E634" s="154" t="s">
        <v>2638</v>
      </c>
      <c r="F634" s="154" t="s">
        <v>83</v>
      </c>
      <c r="G634" s="154" t="s">
        <v>768</v>
      </c>
      <c r="H634" s="154" t="s">
        <v>57</v>
      </c>
      <c r="I634" s="154" t="s">
        <v>245</v>
      </c>
      <c r="J634" s="154" t="s">
        <v>246</v>
      </c>
      <c r="K634" s="154" t="s">
        <v>60</v>
      </c>
      <c r="L634" s="154" t="s">
        <v>1897</v>
      </c>
      <c r="M634" s="154" t="s">
        <v>1388</v>
      </c>
      <c r="N634" s="154" t="s">
        <v>61</v>
      </c>
      <c r="O634" s="154" t="s">
        <v>62</v>
      </c>
      <c r="P634" s="146">
        <v>914.21</v>
      </c>
      <c r="Q634" s="146">
        <v>0</v>
      </c>
      <c r="R634" s="154" t="s">
        <v>1384</v>
      </c>
      <c r="S634" s="154" t="s">
        <v>1385</v>
      </c>
      <c r="T634" s="155" t="s">
        <v>1385</v>
      </c>
      <c r="U634" s="155" t="s">
        <v>1385</v>
      </c>
      <c r="V634" s="154" t="s">
        <v>1562</v>
      </c>
      <c r="W634" s="154">
        <v>0</v>
      </c>
      <c r="X634" s="154" t="s">
        <v>63</v>
      </c>
      <c r="Y634" s="154" t="s">
        <v>1900</v>
      </c>
      <c r="Z634" s="154"/>
      <c r="AA634" s="154" t="s">
        <v>1387</v>
      </c>
      <c r="AB634" s="154">
        <v>0</v>
      </c>
      <c r="AC634" s="138">
        <f>IFERROR(IF(DATEDIF(#REF!,U634,"m")&lt;=1,1,IF(AND(DATEDIF(#REF!,U634,"m")&gt;1,DATEDIF(#REF!,U634,"m")&lt;12),2,IF(AND(DATEDIF(#REF!,U634,"m")&gt;=12,DATEDIF(#REF!,U634,"m")&lt;24),3,IF(DATEDIF(#REF!,U634,"m")&gt;=24,4,"")))),IF(E634="r0320 - Deposits, not covered and not preferential",1,4))</f>
        <v>4</v>
      </c>
    </row>
    <row r="635" spans="3:29" ht="36.75" thickBot="1" x14ac:dyDescent="0.3">
      <c r="C635" s="11">
        <v>999</v>
      </c>
      <c r="D635" s="154">
        <v>628</v>
      </c>
      <c r="E635" s="154" t="s">
        <v>1898</v>
      </c>
      <c r="F635" s="154" t="s">
        <v>87</v>
      </c>
      <c r="G635" s="154" t="s">
        <v>1402</v>
      </c>
      <c r="H635" s="154" t="s">
        <v>1137</v>
      </c>
      <c r="I635" s="154" t="s">
        <v>89</v>
      </c>
      <c r="J635" s="154" t="s">
        <v>90</v>
      </c>
      <c r="K635" s="154" t="s">
        <v>91</v>
      </c>
      <c r="L635" s="154" t="s">
        <v>1901</v>
      </c>
      <c r="M635" s="154" t="s">
        <v>1383</v>
      </c>
      <c r="N635" s="154" t="s">
        <v>61</v>
      </c>
      <c r="O635" s="154" t="s">
        <v>62</v>
      </c>
      <c r="P635" s="146">
        <v>0.1</v>
      </c>
      <c r="Q635" s="146">
        <v>0</v>
      </c>
      <c r="R635" s="154" t="s">
        <v>1384</v>
      </c>
      <c r="S635" s="154" t="s">
        <v>1899</v>
      </c>
      <c r="T635" s="155" t="s">
        <v>1899</v>
      </c>
      <c r="U635" s="155" t="s">
        <v>1899</v>
      </c>
      <c r="V635" s="154" t="s">
        <v>1562</v>
      </c>
      <c r="W635" s="154">
        <v>0</v>
      </c>
      <c r="X635" s="154" t="s">
        <v>63</v>
      </c>
      <c r="Y635" s="154" t="s">
        <v>1900</v>
      </c>
      <c r="Z635" s="154"/>
      <c r="AA635" s="154" t="s">
        <v>1387</v>
      </c>
      <c r="AB635" s="154">
        <v>0</v>
      </c>
      <c r="AC635" s="138">
        <f>IFERROR(IF(DATEDIF(#REF!,U635,"m")&lt;=1,1,IF(AND(DATEDIF(#REF!,U635,"m")&gt;1,DATEDIF(#REF!,U635,"m")&lt;12),2,IF(AND(DATEDIF(#REF!,U635,"m")&gt;=12,DATEDIF(#REF!,U635,"m")&lt;24),3,IF(DATEDIF(#REF!,U635,"m")&gt;=24,4,"")))),IF(E635="r0320 - Deposits, not covered and not preferential",1,4))</f>
        <v>4</v>
      </c>
    </row>
    <row r="636" spans="3:29" ht="48.75" thickBot="1" x14ac:dyDescent="0.3">
      <c r="C636" s="11">
        <v>999</v>
      </c>
      <c r="D636" s="154">
        <v>629</v>
      </c>
      <c r="E636" s="154" t="s">
        <v>1902</v>
      </c>
      <c r="F636" s="154" t="s">
        <v>83</v>
      </c>
      <c r="G636" s="154" t="s">
        <v>1903</v>
      </c>
      <c r="H636" s="154" t="s">
        <v>1048</v>
      </c>
      <c r="I636" s="154" t="s">
        <v>101</v>
      </c>
      <c r="J636" s="154" t="s">
        <v>102</v>
      </c>
      <c r="K636" s="154" t="s">
        <v>60</v>
      </c>
      <c r="L636" s="154" t="s">
        <v>1897</v>
      </c>
      <c r="M636" s="154" t="s">
        <v>1388</v>
      </c>
      <c r="N636" s="154" t="s">
        <v>61</v>
      </c>
      <c r="O636" s="154" t="s">
        <v>62</v>
      </c>
      <c r="P636" s="146">
        <v>713141.83</v>
      </c>
      <c r="Q636" s="146">
        <v>366.2</v>
      </c>
      <c r="R636" s="154" t="s">
        <v>1384</v>
      </c>
      <c r="S636" s="154" t="s">
        <v>1899</v>
      </c>
      <c r="T636" s="155" t="s">
        <v>768</v>
      </c>
      <c r="U636" s="155" t="s">
        <v>1899</v>
      </c>
      <c r="V636" s="154" t="s">
        <v>1904</v>
      </c>
      <c r="W636" s="154">
        <v>0</v>
      </c>
      <c r="X636" s="154" t="s">
        <v>63</v>
      </c>
      <c r="Y636" s="154" t="s">
        <v>1386</v>
      </c>
      <c r="Z636" s="154"/>
      <c r="AA636" s="154" t="s">
        <v>1387</v>
      </c>
      <c r="AB636" s="154">
        <v>0</v>
      </c>
      <c r="AC636" s="138">
        <f>IFERROR(IF(DATEDIF(#REF!,U636,"m")&lt;=1,1,IF(AND(DATEDIF(#REF!,U636,"m")&gt;1,DATEDIF(#REF!,U636,"m")&lt;12),2,IF(AND(DATEDIF(#REF!,U636,"m")&gt;=12,DATEDIF(#REF!,U636,"m")&lt;24),3,IF(DATEDIF(#REF!,U636,"m")&gt;=24,4,"")))),IF(E636="r0320 - Deposits, not covered and not preferential",1,4))</f>
        <v>4</v>
      </c>
    </row>
    <row r="637" spans="3:29" ht="48.75" thickBot="1" x14ac:dyDescent="0.3">
      <c r="C637" s="11">
        <v>999</v>
      </c>
      <c r="D637" s="154">
        <v>630</v>
      </c>
      <c r="E637" s="154" t="s">
        <v>1902</v>
      </c>
      <c r="F637" s="154" t="s">
        <v>83</v>
      </c>
      <c r="G637" s="154" t="s">
        <v>1903</v>
      </c>
      <c r="H637" s="154" t="s">
        <v>1062</v>
      </c>
      <c r="I637" s="154" t="s">
        <v>114</v>
      </c>
      <c r="J637" s="154" t="s">
        <v>115</v>
      </c>
      <c r="K637" s="154" t="s">
        <v>60</v>
      </c>
      <c r="L637" s="154" t="s">
        <v>1897</v>
      </c>
      <c r="M637" s="154" t="s">
        <v>1388</v>
      </c>
      <c r="N637" s="154" t="s">
        <v>61</v>
      </c>
      <c r="O637" s="154" t="s">
        <v>62</v>
      </c>
      <c r="P637" s="146">
        <v>42791.77</v>
      </c>
      <c r="Q637" s="146">
        <v>0.46</v>
      </c>
      <c r="R637" s="154" t="s">
        <v>1384</v>
      </c>
      <c r="S637" s="154" t="s">
        <v>1899</v>
      </c>
      <c r="T637" s="155" t="s">
        <v>768</v>
      </c>
      <c r="U637" s="155" t="s">
        <v>1899</v>
      </c>
      <c r="V637" s="154" t="s">
        <v>1904</v>
      </c>
      <c r="W637" s="154">
        <v>0</v>
      </c>
      <c r="X637" s="154" t="s">
        <v>63</v>
      </c>
      <c r="Y637" s="154" t="s">
        <v>1386</v>
      </c>
      <c r="Z637" s="154"/>
      <c r="AA637" s="154" t="s">
        <v>1387</v>
      </c>
      <c r="AB637" s="154">
        <v>0</v>
      </c>
      <c r="AC637" s="138">
        <f>IFERROR(IF(DATEDIF(#REF!,U637,"m")&lt;=1,1,IF(AND(DATEDIF(#REF!,U637,"m")&gt;1,DATEDIF(#REF!,U637,"m")&lt;12),2,IF(AND(DATEDIF(#REF!,U637,"m")&gt;=12,DATEDIF(#REF!,U637,"m")&lt;24),3,IF(DATEDIF(#REF!,U637,"m")&gt;=24,4,"")))),IF(E637="r0320 - Deposits, not covered and not preferential",1,4))</f>
        <v>4</v>
      </c>
    </row>
    <row r="638" spans="3:29" ht="48.75" thickBot="1" x14ac:dyDescent="0.3">
      <c r="C638" s="11">
        <v>999</v>
      </c>
      <c r="D638" s="154">
        <v>631</v>
      </c>
      <c r="E638" s="154" t="s">
        <v>1902</v>
      </c>
      <c r="F638" s="154" t="s">
        <v>83</v>
      </c>
      <c r="G638" s="154" t="s">
        <v>1903</v>
      </c>
      <c r="H638" s="154" t="s">
        <v>1062</v>
      </c>
      <c r="I638" s="154" t="s">
        <v>101</v>
      </c>
      <c r="J638" s="154" t="s">
        <v>102</v>
      </c>
      <c r="K638" s="154" t="s">
        <v>60</v>
      </c>
      <c r="L638" s="154" t="s">
        <v>1897</v>
      </c>
      <c r="M638" s="154" t="s">
        <v>1388</v>
      </c>
      <c r="N638" s="154" t="s">
        <v>61</v>
      </c>
      <c r="O638" s="154" t="s">
        <v>62</v>
      </c>
      <c r="P638" s="146">
        <v>560975.06999999995</v>
      </c>
      <c r="Q638" s="146">
        <v>65.41</v>
      </c>
      <c r="R638" s="154" t="s">
        <v>1384</v>
      </c>
      <c r="S638" s="154" t="s">
        <v>1899</v>
      </c>
      <c r="T638" s="155" t="s">
        <v>768</v>
      </c>
      <c r="U638" s="155" t="s">
        <v>1899</v>
      </c>
      <c r="V638" s="154" t="s">
        <v>1904</v>
      </c>
      <c r="W638" s="154">
        <v>0</v>
      </c>
      <c r="X638" s="154" t="s">
        <v>63</v>
      </c>
      <c r="Y638" s="154" t="s">
        <v>1386</v>
      </c>
      <c r="Z638" s="154"/>
      <c r="AA638" s="154" t="s">
        <v>1387</v>
      </c>
      <c r="AB638" s="154">
        <v>0</v>
      </c>
      <c r="AC638" s="138">
        <f>IFERROR(IF(DATEDIF(#REF!,U638,"m")&lt;=1,1,IF(AND(DATEDIF(#REF!,U638,"m")&gt;1,DATEDIF(#REF!,U638,"m")&lt;12),2,IF(AND(DATEDIF(#REF!,U638,"m")&gt;=12,DATEDIF(#REF!,U638,"m")&lt;24),3,IF(DATEDIF(#REF!,U638,"m")&gt;=24,4,"")))),IF(E638="r0320 - Deposits, not covered and not preferential",1,4))</f>
        <v>4</v>
      </c>
    </row>
    <row r="639" spans="3:29" ht="36.75" thickBot="1" x14ac:dyDescent="0.3">
      <c r="C639" s="11">
        <v>999</v>
      </c>
      <c r="D639" s="154">
        <v>632</v>
      </c>
      <c r="E639" s="154" t="s">
        <v>1898</v>
      </c>
      <c r="F639" s="154" t="s">
        <v>87</v>
      </c>
      <c r="G639" s="154" t="s">
        <v>1402</v>
      </c>
      <c r="H639" s="154" t="s">
        <v>1201</v>
      </c>
      <c r="I639" s="154" t="s">
        <v>108</v>
      </c>
      <c r="J639" s="154" t="s">
        <v>90</v>
      </c>
      <c r="K639" s="154" t="s">
        <v>91</v>
      </c>
      <c r="L639" s="154" t="s">
        <v>1897</v>
      </c>
      <c r="M639" s="154" t="s">
        <v>1383</v>
      </c>
      <c r="N639" s="154" t="s">
        <v>61</v>
      </c>
      <c r="O639" s="154" t="s">
        <v>62</v>
      </c>
      <c r="P639" s="146">
        <v>1.33</v>
      </c>
      <c r="Q639" s="146">
        <v>0</v>
      </c>
      <c r="R639" s="154" t="s">
        <v>1384</v>
      </c>
      <c r="S639" s="154" t="s">
        <v>1899</v>
      </c>
      <c r="T639" s="155" t="s">
        <v>1899</v>
      </c>
      <c r="U639" s="155" t="s">
        <v>1899</v>
      </c>
      <c r="V639" s="154" t="s">
        <v>1562</v>
      </c>
      <c r="W639" s="154">
        <v>0</v>
      </c>
      <c r="X639" s="154" t="s">
        <v>63</v>
      </c>
      <c r="Y639" s="154" t="s">
        <v>1900</v>
      </c>
      <c r="Z639" s="154"/>
      <c r="AA639" s="154" t="s">
        <v>1387</v>
      </c>
      <c r="AB639" s="154">
        <v>0</v>
      </c>
      <c r="AC639" s="138">
        <f>IFERROR(IF(DATEDIF(#REF!,U639,"m")&lt;=1,1,IF(AND(DATEDIF(#REF!,U639,"m")&gt;1,DATEDIF(#REF!,U639,"m")&lt;12),2,IF(AND(DATEDIF(#REF!,U639,"m")&gt;=12,DATEDIF(#REF!,U639,"m")&lt;24),3,IF(DATEDIF(#REF!,U639,"m")&gt;=24,4,"")))),IF(E639="r0320 - Deposits, not covered and not preferential",1,4))</f>
        <v>4</v>
      </c>
    </row>
    <row r="640" spans="3:29" ht="48.75" thickBot="1" x14ac:dyDescent="0.3">
      <c r="C640" s="11">
        <v>999</v>
      </c>
      <c r="D640" s="154">
        <v>633</v>
      </c>
      <c r="E640" s="154" t="s">
        <v>1902</v>
      </c>
      <c r="F640" s="154" t="s">
        <v>83</v>
      </c>
      <c r="G640" s="154" t="s">
        <v>1903</v>
      </c>
      <c r="H640" s="154" t="s">
        <v>408</v>
      </c>
      <c r="I640" s="154" t="s">
        <v>93</v>
      </c>
      <c r="J640" s="154" t="s">
        <v>94</v>
      </c>
      <c r="K640" s="154" t="s">
        <v>60</v>
      </c>
      <c r="L640" s="154" t="s">
        <v>1897</v>
      </c>
      <c r="M640" s="154" t="s">
        <v>1388</v>
      </c>
      <c r="N640" s="154" t="s">
        <v>61</v>
      </c>
      <c r="O640" s="154" t="s">
        <v>62</v>
      </c>
      <c r="P640" s="146">
        <v>238077.66</v>
      </c>
      <c r="Q640" s="146">
        <v>11.91</v>
      </c>
      <c r="R640" s="154" t="s">
        <v>1384</v>
      </c>
      <c r="S640" s="154" t="s">
        <v>1899</v>
      </c>
      <c r="T640" s="155" t="s">
        <v>768</v>
      </c>
      <c r="U640" s="155" t="s">
        <v>1899</v>
      </c>
      <c r="V640" s="154" t="s">
        <v>1904</v>
      </c>
      <c r="W640" s="154">
        <v>0</v>
      </c>
      <c r="X640" s="154" t="s">
        <v>63</v>
      </c>
      <c r="Y640" s="154" t="s">
        <v>1386</v>
      </c>
      <c r="Z640" s="154"/>
      <c r="AA640" s="154" t="s">
        <v>1387</v>
      </c>
      <c r="AB640" s="154">
        <v>0</v>
      </c>
      <c r="AC640" s="138">
        <f>IFERROR(IF(DATEDIF(#REF!,U640,"m")&lt;=1,1,IF(AND(DATEDIF(#REF!,U640,"m")&gt;1,DATEDIF(#REF!,U640,"m")&lt;12),2,IF(AND(DATEDIF(#REF!,U640,"m")&gt;=12,DATEDIF(#REF!,U640,"m")&lt;24),3,IF(DATEDIF(#REF!,U640,"m")&gt;=24,4,"")))),IF(E640="r0320 - Deposits, not covered and not preferential",1,4))</f>
        <v>4</v>
      </c>
    </row>
    <row r="641" spans="3:29" ht="48.75" thickBot="1" x14ac:dyDescent="0.3">
      <c r="C641" s="11">
        <v>999</v>
      </c>
      <c r="D641" s="154">
        <v>634</v>
      </c>
      <c r="E641" s="154" t="s">
        <v>1902</v>
      </c>
      <c r="F641" s="154" t="s">
        <v>83</v>
      </c>
      <c r="G641" s="154" t="s">
        <v>1903</v>
      </c>
      <c r="H641" s="154" t="s">
        <v>412</v>
      </c>
      <c r="I641" s="154" t="s">
        <v>93</v>
      </c>
      <c r="J641" s="154" t="s">
        <v>94</v>
      </c>
      <c r="K641" s="154" t="s">
        <v>60</v>
      </c>
      <c r="L641" s="154" t="s">
        <v>1897</v>
      </c>
      <c r="M641" s="154" t="s">
        <v>1388</v>
      </c>
      <c r="N641" s="154" t="s">
        <v>61</v>
      </c>
      <c r="O641" s="154" t="s">
        <v>62</v>
      </c>
      <c r="P641" s="146">
        <v>106207.46</v>
      </c>
      <c r="Q641" s="146">
        <v>-1.3</v>
      </c>
      <c r="R641" s="154" t="s">
        <v>1384</v>
      </c>
      <c r="S641" s="154" t="s">
        <v>1899</v>
      </c>
      <c r="T641" s="155" t="s">
        <v>768</v>
      </c>
      <c r="U641" s="155" t="s">
        <v>1899</v>
      </c>
      <c r="V641" s="154" t="s">
        <v>1904</v>
      </c>
      <c r="W641" s="154">
        <v>0</v>
      </c>
      <c r="X641" s="154" t="s">
        <v>63</v>
      </c>
      <c r="Y641" s="154" t="s">
        <v>1386</v>
      </c>
      <c r="Z641" s="154"/>
      <c r="AA641" s="154" t="s">
        <v>1387</v>
      </c>
      <c r="AB641" s="154">
        <v>0</v>
      </c>
      <c r="AC641" s="138">
        <f>IFERROR(IF(DATEDIF(#REF!,U641,"m")&lt;=1,1,IF(AND(DATEDIF(#REF!,U641,"m")&gt;1,DATEDIF(#REF!,U641,"m")&lt;12),2,IF(AND(DATEDIF(#REF!,U641,"m")&gt;=12,DATEDIF(#REF!,U641,"m")&lt;24),3,IF(DATEDIF(#REF!,U641,"m")&gt;=24,4,"")))),IF(E641="r0320 - Deposits, not covered and not preferential",1,4))</f>
        <v>4</v>
      </c>
    </row>
    <row r="642" spans="3:29" ht="48.75" thickBot="1" x14ac:dyDescent="0.3">
      <c r="C642" s="11">
        <v>999</v>
      </c>
      <c r="D642" s="154">
        <v>635</v>
      </c>
      <c r="E642" s="154" t="s">
        <v>2638</v>
      </c>
      <c r="F642" s="154" t="s">
        <v>260</v>
      </c>
      <c r="G642" s="154" t="s">
        <v>768</v>
      </c>
      <c r="H642" s="154" t="s">
        <v>1051</v>
      </c>
      <c r="I642" s="154" t="s">
        <v>262</v>
      </c>
      <c r="J642" s="154" t="s">
        <v>263</v>
      </c>
      <c r="K642" s="154" t="s">
        <v>91</v>
      </c>
      <c r="L642" s="154" t="s">
        <v>1897</v>
      </c>
      <c r="M642" s="154" t="s">
        <v>1388</v>
      </c>
      <c r="N642" s="154" t="s">
        <v>61</v>
      </c>
      <c r="O642" s="154" t="s">
        <v>62</v>
      </c>
      <c r="P642" s="146">
        <v>20876000</v>
      </c>
      <c r="Q642" s="146">
        <v>357515.62</v>
      </c>
      <c r="R642" s="154" t="s">
        <v>1384</v>
      </c>
      <c r="S642" s="154" t="s">
        <v>1385</v>
      </c>
      <c r="T642" s="155" t="s">
        <v>1385</v>
      </c>
      <c r="U642" s="155" t="s">
        <v>1385</v>
      </c>
      <c r="V642" s="154" t="s">
        <v>1562</v>
      </c>
      <c r="W642" s="154">
        <v>0</v>
      </c>
      <c r="X642" s="154" t="s">
        <v>63</v>
      </c>
      <c r="Y642" s="154" t="s">
        <v>1900</v>
      </c>
      <c r="Z642" s="154"/>
      <c r="AA642" s="154" t="s">
        <v>1387</v>
      </c>
      <c r="AB642" s="154">
        <v>0</v>
      </c>
      <c r="AC642" s="138">
        <f>IFERROR(IF(DATEDIF(#REF!,U642,"m")&lt;=1,1,IF(AND(DATEDIF(#REF!,U642,"m")&gt;1,DATEDIF(#REF!,U642,"m")&lt;12),2,IF(AND(DATEDIF(#REF!,U642,"m")&gt;=12,DATEDIF(#REF!,U642,"m")&lt;24),3,IF(DATEDIF(#REF!,U642,"m")&gt;=24,4,"")))),IF(E642="r0320 - Deposits, not covered and not preferential",1,4))</f>
        <v>4</v>
      </c>
    </row>
    <row r="643" spans="3:29" ht="36.75" thickBot="1" x14ac:dyDescent="0.3">
      <c r="C643" s="11">
        <v>999</v>
      </c>
      <c r="D643" s="154">
        <v>636</v>
      </c>
      <c r="E643" s="154" t="s">
        <v>1898</v>
      </c>
      <c r="F643" s="154" t="s">
        <v>87</v>
      </c>
      <c r="G643" s="154" t="s">
        <v>1402</v>
      </c>
      <c r="H643" s="154" t="s">
        <v>1151</v>
      </c>
      <c r="I643" s="154" t="s">
        <v>89</v>
      </c>
      <c r="J643" s="154" t="s">
        <v>90</v>
      </c>
      <c r="K643" s="154" t="s">
        <v>91</v>
      </c>
      <c r="L643" s="154" t="s">
        <v>1901</v>
      </c>
      <c r="M643" s="154" t="s">
        <v>1383</v>
      </c>
      <c r="N643" s="154" t="s">
        <v>61</v>
      </c>
      <c r="O643" s="154" t="s">
        <v>62</v>
      </c>
      <c r="P643" s="146">
        <v>0.3</v>
      </c>
      <c r="Q643" s="146">
        <v>0</v>
      </c>
      <c r="R643" s="154" t="s">
        <v>1384</v>
      </c>
      <c r="S643" s="154" t="s">
        <v>1899</v>
      </c>
      <c r="T643" s="155" t="s">
        <v>1899</v>
      </c>
      <c r="U643" s="155" t="s">
        <v>1899</v>
      </c>
      <c r="V643" s="154" t="s">
        <v>1562</v>
      </c>
      <c r="W643" s="154">
        <v>0</v>
      </c>
      <c r="X643" s="154" t="s">
        <v>63</v>
      </c>
      <c r="Y643" s="154" t="s">
        <v>1900</v>
      </c>
      <c r="Z643" s="154"/>
      <c r="AA643" s="154" t="s">
        <v>1387</v>
      </c>
      <c r="AB643" s="154">
        <v>0</v>
      </c>
      <c r="AC643" s="138">
        <f>IFERROR(IF(DATEDIF(#REF!,U643,"m")&lt;=1,1,IF(AND(DATEDIF(#REF!,U643,"m")&gt;1,DATEDIF(#REF!,U643,"m")&lt;12),2,IF(AND(DATEDIF(#REF!,U643,"m")&gt;=12,DATEDIF(#REF!,U643,"m")&lt;24),3,IF(DATEDIF(#REF!,U643,"m")&gt;=24,4,"")))),IF(E643="r0320 - Deposits, not covered and not preferential",1,4))</f>
        <v>4</v>
      </c>
    </row>
    <row r="644" spans="3:29" ht="48.75" thickBot="1" x14ac:dyDescent="0.3">
      <c r="C644" s="11">
        <v>999</v>
      </c>
      <c r="D644" s="154">
        <v>637</v>
      </c>
      <c r="E644" s="154" t="s">
        <v>1902</v>
      </c>
      <c r="F644" s="154" t="s">
        <v>83</v>
      </c>
      <c r="G644" s="154" t="s">
        <v>1903</v>
      </c>
      <c r="H644" s="154" t="s">
        <v>408</v>
      </c>
      <c r="I644" s="154" t="s">
        <v>114</v>
      </c>
      <c r="J644" s="154" t="s">
        <v>115</v>
      </c>
      <c r="K644" s="154" t="s">
        <v>60</v>
      </c>
      <c r="L644" s="154" t="s">
        <v>1897</v>
      </c>
      <c r="M644" s="154" t="s">
        <v>1388</v>
      </c>
      <c r="N644" s="154" t="s">
        <v>61</v>
      </c>
      <c r="O644" s="154" t="s">
        <v>62</v>
      </c>
      <c r="P644" s="146">
        <v>205026.65</v>
      </c>
      <c r="Q644" s="146">
        <v>12.16</v>
      </c>
      <c r="R644" s="154" t="s">
        <v>1384</v>
      </c>
      <c r="S644" s="154" t="s">
        <v>1899</v>
      </c>
      <c r="T644" s="155" t="s">
        <v>768</v>
      </c>
      <c r="U644" s="155" t="s">
        <v>1899</v>
      </c>
      <c r="V644" s="154" t="s">
        <v>1904</v>
      </c>
      <c r="W644" s="154">
        <v>0</v>
      </c>
      <c r="X644" s="154" t="s">
        <v>63</v>
      </c>
      <c r="Y644" s="154" t="s">
        <v>1386</v>
      </c>
      <c r="Z644" s="154"/>
      <c r="AA644" s="154" t="s">
        <v>1387</v>
      </c>
      <c r="AB644" s="154">
        <v>0</v>
      </c>
      <c r="AC644" s="138">
        <f>IFERROR(IF(DATEDIF(#REF!,U644,"m")&lt;=1,1,IF(AND(DATEDIF(#REF!,U644,"m")&gt;1,DATEDIF(#REF!,U644,"m")&lt;12),2,IF(AND(DATEDIF(#REF!,U644,"m")&gt;=12,DATEDIF(#REF!,U644,"m")&lt;24),3,IF(DATEDIF(#REF!,U644,"m")&gt;=24,4,"")))),IF(E644="r0320 - Deposits, not covered and not preferential",1,4))</f>
        <v>4</v>
      </c>
    </row>
    <row r="645" spans="3:29" ht="48.75" thickBot="1" x14ac:dyDescent="0.3">
      <c r="C645" s="11">
        <v>999</v>
      </c>
      <c r="D645" s="154">
        <v>638</v>
      </c>
      <c r="E645" s="154" t="s">
        <v>2638</v>
      </c>
      <c r="F645" s="154" t="s">
        <v>260</v>
      </c>
      <c r="G645" s="154" t="s">
        <v>768</v>
      </c>
      <c r="H645" s="154" t="s">
        <v>57</v>
      </c>
      <c r="I645" s="154" t="s">
        <v>262</v>
      </c>
      <c r="J645" s="154" t="s">
        <v>263</v>
      </c>
      <c r="K645" s="154" t="s">
        <v>91</v>
      </c>
      <c r="L645" s="154" t="s">
        <v>1897</v>
      </c>
      <c r="M645" s="154" t="s">
        <v>1388</v>
      </c>
      <c r="N645" s="154" t="s">
        <v>61</v>
      </c>
      <c r="O645" s="154" t="s">
        <v>62</v>
      </c>
      <c r="P645" s="146">
        <v>22358.106822000002</v>
      </c>
      <c r="Q645" s="146">
        <v>2.2135479999999998</v>
      </c>
      <c r="R645" s="154" t="s">
        <v>1905</v>
      </c>
      <c r="S645" s="154" t="s">
        <v>1385</v>
      </c>
      <c r="T645" s="155" t="s">
        <v>1385</v>
      </c>
      <c r="U645" s="155" t="s">
        <v>1385</v>
      </c>
      <c r="V645" s="154" t="s">
        <v>1562</v>
      </c>
      <c r="W645" s="154">
        <v>0</v>
      </c>
      <c r="X645" s="154" t="s">
        <v>63</v>
      </c>
      <c r="Y645" s="154" t="s">
        <v>1900</v>
      </c>
      <c r="Z645" s="154"/>
      <c r="AA645" s="154" t="s">
        <v>1387</v>
      </c>
      <c r="AB645" s="154">
        <v>0</v>
      </c>
      <c r="AC645" s="138">
        <f>IFERROR(IF(DATEDIF(#REF!,U645,"m")&lt;=1,1,IF(AND(DATEDIF(#REF!,U645,"m")&gt;1,DATEDIF(#REF!,U645,"m")&lt;12),2,IF(AND(DATEDIF(#REF!,U645,"m")&gt;=12,DATEDIF(#REF!,U645,"m")&lt;24),3,IF(DATEDIF(#REF!,U645,"m")&gt;=24,4,"")))),IF(E645="r0320 - Deposits, not covered and not preferential",1,4))</f>
        <v>4</v>
      </c>
    </row>
    <row r="646" spans="3:29" ht="48.75" thickBot="1" x14ac:dyDescent="0.3">
      <c r="C646" s="11">
        <v>999</v>
      </c>
      <c r="D646" s="154">
        <v>639</v>
      </c>
      <c r="E646" s="154" t="s">
        <v>1902</v>
      </c>
      <c r="F646" s="154" t="s">
        <v>83</v>
      </c>
      <c r="G646" s="154" t="s">
        <v>1903</v>
      </c>
      <c r="H646" s="154" t="s">
        <v>174</v>
      </c>
      <c r="I646" s="154" t="s">
        <v>93</v>
      </c>
      <c r="J646" s="154" t="s">
        <v>94</v>
      </c>
      <c r="K646" s="154" t="s">
        <v>60</v>
      </c>
      <c r="L646" s="154" t="s">
        <v>1897</v>
      </c>
      <c r="M646" s="154" t="s">
        <v>1388</v>
      </c>
      <c r="N646" s="154" t="s">
        <v>61</v>
      </c>
      <c r="O646" s="154" t="s">
        <v>62</v>
      </c>
      <c r="P646" s="146">
        <v>2768.11</v>
      </c>
      <c r="Q646" s="146">
        <v>0.04</v>
      </c>
      <c r="R646" s="154" t="s">
        <v>1384</v>
      </c>
      <c r="S646" s="154" t="s">
        <v>1899</v>
      </c>
      <c r="T646" s="155" t="s">
        <v>768</v>
      </c>
      <c r="U646" s="155" t="s">
        <v>1899</v>
      </c>
      <c r="V646" s="154" t="s">
        <v>1904</v>
      </c>
      <c r="W646" s="154">
        <v>0</v>
      </c>
      <c r="X646" s="154" t="s">
        <v>63</v>
      </c>
      <c r="Y646" s="154" t="s">
        <v>1386</v>
      </c>
      <c r="Z646" s="154"/>
      <c r="AA646" s="154" t="s">
        <v>1387</v>
      </c>
      <c r="AB646" s="154">
        <v>0</v>
      </c>
      <c r="AC646" s="138">
        <f>IFERROR(IF(DATEDIF(#REF!,U646,"m")&lt;=1,1,IF(AND(DATEDIF(#REF!,U646,"m")&gt;1,DATEDIF(#REF!,U646,"m")&lt;12),2,IF(AND(DATEDIF(#REF!,U646,"m")&gt;=12,DATEDIF(#REF!,U646,"m")&lt;24),3,IF(DATEDIF(#REF!,U646,"m")&gt;=24,4,"")))),IF(E646="r0320 - Deposits, not covered and not preferential",1,4))</f>
        <v>4</v>
      </c>
    </row>
    <row r="647" spans="3:29" ht="36.75" thickBot="1" x14ac:dyDescent="0.3">
      <c r="C647" s="11">
        <v>999</v>
      </c>
      <c r="D647" s="154">
        <v>640</v>
      </c>
      <c r="E647" s="154" t="s">
        <v>1898</v>
      </c>
      <c r="F647" s="154" t="s">
        <v>87</v>
      </c>
      <c r="G647" s="154" t="s">
        <v>1402</v>
      </c>
      <c r="H647" s="154" t="s">
        <v>702</v>
      </c>
      <c r="I647" s="154" t="s">
        <v>108</v>
      </c>
      <c r="J647" s="154" t="s">
        <v>90</v>
      </c>
      <c r="K647" s="154" t="s">
        <v>91</v>
      </c>
      <c r="L647" s="154" t="s">
        <v>1897</v>
      </c>
      <c r="M647" s="154" t="s">
        <v>1383</v>
      </c>
      <c r="N647" s="154" t="s">
        <v>61</v>
      </c>
      <c r="O647" s="154" t="s">
        <v>62</v>
      </c>
      <c r="P647" s="146">
        <v>0.3</v>
      </c>
      <c r="Q647" s="146">
        <v>0</v>
      </c>
      <c r="R647" s="154" t="s">
        <v>1384</v>
      </c>
      <c r="S647" s="154" t="s">
        <v>1899</v>
      </c>
      <c r="T647" s="155" t="s">
        <v>1899</v>
      </c>
      <c r="U647" s="155" t="s">
        <v>1899</v>
      </c>
      <c r="V647" s="154" t="s">
        <v>1562</v>
      </c>
      <c r="W647" s="154">
        <v>0</v>
      </c>
      <c r="X647" s="154" t="s">
        <v>63</v>
      </c>
      <c r="Y647" s="154" t="s">
        <v>1900</v>
      </c>
      <c r="Z647" s="154"/>
      <c r="AA647" s="154" t="s">
        <v>1387</v>
      </c>
      <c r="AB647" s="154">
        <v>0</v>
      </c>
      <c r="AC647" s="138">
        <f>IFERROR(IF(DATEDIF(#REF!,U647,"m")&lt;=1,1,IF(AND(DATEDIF(#REF!,U647,"m")&gt;1,DATEDIF(#REF!,U647,"m")&lt;12),2,IF(AND(DATEDIF(#REF!,U647,"m")&gt;=12,DATEDIF(#REF!,U647,"m")&lt;24),3,IF(DATEDIF(#REF!,U647,"m")&gt;=24,4,"")))),IF(E647="r0320 - Deposits, not covered and not preferential",1,4))</f>
        <v>4</v>
      </c>
    </row>
    <row r="648" spans="3:29" ht="48.75" thickBot="1" x14ac:dyDescent="0.3">
      <c r="C648" s="11">
        <v>999</v>
      </c>
      <c r="D648" s="154">
        <v>641</v>
      </c>
      <c r="E648" s="154" t="s">
        <v>1902</v>
      </c>
      <c r="F648" s="154" t="s">
        <v>83</v>
      </c>
      <c r="G648" s="154" t="s">
        <v>1903</v>
      </c>
      <c r="H648" s="154" t="s">
        <v>412</v>
      </c>
      <c r="I648" s="154" t="s">
        <v>101</v>
      </c>
      <c r="J648" s="154" t="s">
        <v>102</v>
      </c>
      <c r="K648" s="154" t="s">
        <v>60</v>
      </c>
      <c r="L648" s="154" t="s">
        <v>1897</v>
      </c>
      <c r="M648" s="154" t="s">
        <v>1388</v>
      </c>
      <c r="N648" s="154" t="s">
        <v>61</v>
      </c>
      <c r="O648" s="154" t="s">
        <v>62</v>
      </c>
      <c r="P648" s="146">
        <v>1406107.34</v>
      </c>
      <c r="Q648" s="146">
        <v>694.15</v>
      </c>
      <c r="R648" s="154" t="s">
        <v>1384</v>
      </c>
      <c r="S648" s="154" t="s">
        <v>1899</v>
      </c>
      <c r="T648" s="155" t="s">
        <v>768</v>
      </c>
      <c r="U648" s="155" t="s">
        <v>1899</v>
      </c>
      <c r="V648" s="154" t="s">
        <v>1904</v>
      </c>
      <c r="W648" s="154">
        <v>0</v>
      </c>
      <c r="X648" s="154" t="s">
        <v>63</v>
      </c>
      <c r="Y648" s="154" t="s">
        <v>1386</v>
      </c>
      <c r="Z648" s="154"/>
      <c r="AA648" s="154" t="s">
        <v>1387</v>
      </c>
      <c r="AB648" s="154">
        <v>0</v>
      </c>
      <c r="AC648" s="138">
        <f>IFERROR(IF(DATEDIF(#REF!,U648,"m")&lt;=1,1,IF(AND(DATEDIF(#REF!,U648,"m")&gt;1,DATEDIF(#REF!,U648,"m")&lt;12),2,IF(AND(DATEDIF(#REF!,U648,"m")&gt;=12,DATEDIF(#REF!,U648,"m")&lt;24),3,IF(DATEDIF(#REF!,U648,"m")&gt;=24,4,"")))),IF(E648="r0320 - Deposits, not covered and not preferential",1,4))</f>
        <v>4</v>
      </c>
    </row>
    <row r="649" spans="3:29" ht="48.75" thickBot="1" x14ac:dyDescent="0.3">
      <c r="C649" s="11">
        <v>999</v>
      </c>
      <c r="D649" s="154">
        <v>642</v>
      </c>
      <c r="E649" s="154" t="s">
        <v>1902</v>
      </c>
      <c r="F649" s="154" t="s">
        <v>83</v>
      </c>
      <c r="G649" s="154" t="s">
        <v>1903</v>
      </c>
      <c r="H649" s="154" t="s">
        <v>666</v>
      </c>
      <c r="I649" s="154" t="s">
        <v>101</v>
      </c>
      <c r="J649" s="154" t="s">
        <v>102</v>
      </c>
      <c r="K649" s="154" t="s">
        <v>60</v>
      </c>
      <c r="L649" s="154" t="s">
        <v>1897</v>
      </c>
      <c r="M649" s="154" t="s">
        <v>1388</v>
      </c>
      <c r="N649" s="154" t="s">
        <v>61</v>
      </c>
      <c r="O649" s="154" t="s">
        <v>62</v>
      </c>
      <c r="P649" s="146">
        <v>694307.58</v>
      </c>
      <c r="Q649" s="146">
        <v>76.790000000000006</v>
      </c>
      <c r="R649" s="154" t="s">
        <v>1384</v>
      </c>
      <c r="S649" s="154" t="s">
        <v>1899</v>
      </c>
      <c r="T649" s="155" t="s">
        <v>768</v>
      </c>
      <c r="U649" s="155" t="s">
        <v>1899</v>
      </c>
      <c r="V649" s="154" t="s">
        <v>1904</v>
      </c>
      <c r="W649" s="154">
        <v>0</v>
      </c>
      <c r="X649" s="154" t="s">
        <v>63</v>
      </c>
      <c r="Y649" s="154" t="s">
        <v>1386</v>
      </c>
      <c r="Z649" s="154"/>
      <c r="AA649" s="154" t="s">
        <v>1387</v>
      </c>
      <c r="AB649" s="154">
        <v>0</v>
      </c>
      <c r="AC649" s="138">
        <f>IFERROR(IF(DATEDIF(#REF!,U649,"m")&lt;=1,1,IF(AND(DATEDIF(#REF!,U649,"m")&gt;1,DATEDIF(#REF!,U649,"m")&lt;12),2,IF(AND(DATEDIF(#REF!,U649,"m")&gt;=12,DATEDIF(#REF!,U649,"m")&lt;24),3,IF(DATEDIF(#REF!,U649,"m")&gt;=24,4,"")))),IF(E649="r0320 - Deposits, not covered and not preferential",1,4))</f>
        <v>4</v>
      </c>
    </row>
    <row r="650" spans="3:29" ht="36.75" thickBot="1" x14ac:dyDescent="0.3">
      <c r="C650" s="11">
        <v>999</v>
      </c>
      <c r="D650" s="154">
        <v>643</v>
      </c>
      <c r="E650" s="154" t="s">
        <v>1898</v>
      </c>
      <c r="F650" s="154" t="s">
        <v>87</v>
      </c>
      <c r="G650" s="154" t="s">
        <v>1402</v>
      </c>
      <c r="H650" s="154" t="s">
        <v>1147</v>
      </c>
      <c r="I650" s="154" t="s">
        <v>89</v>
      </c>
      <c r="J650" s="154" t="s">
        <v>90</v>
      </c>
      <c r="K650" s="154" t="s">
        <v>91</v>
      </c>
      <c r="L650" s="154" t="s">
        <v>1901</v>
      </c>
      <c r="M650" s="154" t="s">
        <v>1383</v>
      </c>
      <c r="N650" s="154" t="s">
        <v>61</v>
      </c>
      <c r="O650" s="154" t="s">
        <v>62</v>
      </c>
      <c r="P650" s="146">
        <v>0.3</v>
      </c>
      <c r="Q650" s="146">
        <v>0</v>
      </c>
      <c r="R650" s="154" t="s">
        <v>1384</v>
      </c>
      <c r="S650" s="154" t="s">
        <v>1899</v>
      </c>
      <c r="T650" s="155" t="s">
        <v>1899</v>
      </c>
      <c r="U650" s="155" t="s">
        <v>1899</v>
      </c>
      <c r="V650" s="154" t="s">
        <v>1562</v>
      </c>
      <c r="W650" s="154">
        <v>0</v>
      </c>
      <c r="X650" s="154" t="s">
        <v>63</v>
      </c>
      <c r="Y650" s="154" t="s">
        <v>1900</v>
      </c>
      <c r="Z650" s="154"/>
      <c r="AA650" s="154" t="s">
        <v>1387</v>
      </c>
      <c r="AB650" s="154">
        <v>0</v>
      </c>
      <c r="AC650" s="138">
        <f>IFERROR(IF(DATEDIF(#REF!,U650,"m")&lt;=1,1,IF(AND(DATEDIF(#REF!,U650,"m")&gt;1,DATEDIF(#REF!,U650,"m")&lt;12),2,IF(AND(DATEDIF(#REF!,U650,"m")&gt;=12,DATEDIF(#REF!,U650,"m")&lt;24),3,IF(DATEDIF(#REF!,U650,"m")&gt;=24,4,"")))),IF(E650="r0320 - Deposits, not covered and not preferential",1,4))</f>
        <v>4</v>
      </c>
    </row>
    <row r="651" spans="3:29" ht="36.75" thickBot="1" x14ac:dyDescent="0.3">
      <c r="C651" s="11">
        <v>999</v>
      </c>
      <c r="D651" s="154">
        <v>644</v>
      </c>
      <c r="E651" s="154" t="s">
        <v>1898</v>
      </c>
      <c r="F651" s="154" t="s">
        <v>87</v>
      </c>
      <c r="G651" s="154" t="s">
        <v>1402</v>
      </c>
      <c r="H651" s="154" t="s">
        <v>1163</v>
      </c>
      <c r="I651" s="154" t="s">
        <v>89</v>
      </c>
      <c r="J651" s="154" t="s">
        <v>90</v>
      </c>
      <c r="K651" s="154" t="s">
        <v>91</v>
      </c>
      <c r="L651" s="154" t="s">
        <v>1901</v>
      </c>
      <c r="M651" s="154" t="s">
        <v>1383</v>
      </c>
      <c r="N651" s="154" t="s">
        <v>61</v>
      </c>
      <c r="O651" s="154" t="s">
        <v>62</v>
      </c>
      <c r="P651" s="146">
        <v>0.14000000000000001</v>
      </c>
      <c r="Q651" s="146">
        <v>0</v>
      </c>
      <c r="R651" s="154" t="s">
        <v>1384</v>
      </c>
      <c r="S651" s="154" t="s">
        <v>1899</v>
      </c>
      <c r="T651" s="155" t="s">
        <v>1899</v>
      </c>
      <c r="U651" s="155" t="s">
        <v>1899</v>
      </c>
      <c r="V651" s="154" t="s">
        <v>1562</v>
      </c>
      <c r="W651" s="154">
        <v>0</v>
      </c>
      <c r="X651" s="154" t="s">
        <v>63</v>
      </c>
      <c r="Y651" s="154" t="s">
        <v>1900</v>
      </c>
      <c r="Z651" s="154"/>
      <c r="AA651" s="154" t="s">
        <v>1387</v>
      </c>
      <c r="AB651" s="154">
        <v>0</v>
      </c>
      <c r="AC651" s="138">
        <f>IFERROR(IF(DATEDIF(#REF!,U651,"m")&lt;=1,1,IF(AND(DATEDIF(#REF!,U651,"m")&gt;1,DATEDIF(#REF!,U651,"m")&lt;12),2,IF(AND(DATEDIF(#REF!,U651,"m")&gt;=12,DATEDIF(#REF!,U651,"m")&lt;24),3,IF(DATEDIF(#REF!,U651,"m")&gt;=24,4,"")))),IF(E651="r0320 - Deposits, not covered and not preferential",1,4))</f>
        <v>4</v>
      </c>
    </row>
    <row r="652" spans="3:29" ht="36.75" thickBot="1" x14ac:dyDescent="0.3">
      <c r="C652" s="11">
        <v>999</v>
      </c>
      <c r="D652" s="154">
        <v>645</v>
      </c>
      <c r="E652" s="154" t="s">
        <v>1898</v>
      </c>
      <c r="F652" s="154" t="s">
        <v>87</v>
      </c>
      <c r="G652" s="154" t="s">
        <v>1402</v>
      </c>
      <c r="H652" s="154" t="s">
        <v>1150</v>
      </c>
      <c r="I652" s="154" t="s">
        <v>89</v>
      </c>
      <c r="J652" s="154" t="s">
        <v>90</v>
      </c>
      <c r="K652" s="154" t="s">
        <v>91</v>
      </c>
      <c r="L652" s="154" t="s">
        <v>1901</v>
      </c>
      <c r="M652" s="154" t="s">
        <v>1383</v>
      </c>
      <c r="N652" s="154" t="s">
        <v>61</v>
      </c>
      <c r="O652" s="154" t="s">
        <v>62</v>
      </c>
      <c r="P652" s="146">
        <v>0.1</v>
      </c>
      <c r="Q652" s="146">
        <v>0</v>
      </c>
      <c r="R652" s="154" t="s">
        <v>1384</v>
      </c>
      <c r="S652" s="154" t="s">
        <v>1899</v>
      </c>
      <c r="T652" s="155" t="s">
        <v>1899</v>
      </c>
      <c r="U652" s="155" t="s">
        <v>1899</v>
      </c>
      <c r="V652" s="154" t="s">
        <v>1562</v>
      </c>
      <c r="W652" s="154">
        <v>0</v>
      </c>
      <c r="X652" s="154" t="s">
        <v>63</v>
      </c>
      <c r="Y652" s="154" t="s">
        <v>1900</v>
      </c>
      <c r="Z652" s="154"/>
      <c r="AA652" s="154" t="s">
        <v>1387</v>
      </c>
      <c r="AB652" s="154">
        <v>0</v>
      </c>
      <c r="AC652" s="138">
        <f>IFERROR(IF(DATEDIF(#REF!,U652,"m")&lt;=1,1,IF(AND(DATEDIF(#REF!,U652,"m")&gt;1,DATEDIF(#REF!,U652,"m")&lt;12),2,IF(AND(DATEDIF(#REF!,U652,"m")&gt;=12,DATEDIF(#REF!,U652,"m")&lt;24),3,IF(DATEDIF(#REF!,U652,"m")&gt;=24,4,"")))),IF(E652="r0320 - Deposits, not covered and not preferential",1,4))</f>
        <v>4</v>
      </c>
    </row>
    <row r="653" spans="3:29" ht="48.75" thickBot="1" x14ac:dyDescent="0.3">
      <c r="C653" s="11">
        <v>999</v>
      </c>
      <c r="D653" s="154">
        <v>646</v>
      </c>
      <c r="E653" s="154" t="s">
        <v>1902</v>
      </c>
      <c r="F653" s="154" t="s">
        <v>83</v>
      </c>
      <c r="G653" s="154" t="s">
        <v>1903</v>
      </c>
      <c r="H653" s="154" t="s">
        <v>134</v>
      </c>
      <c r="I653" s="154" t="s">
        <v>93</v>
      </c>
      <c r="J653" s="154" t="s">
        <v>94</v>
      </c>
      <c r="K653" s="154" t="s">
        <v>60</v>
      </c>
      <c r="L653" s="154" t="s">
        <v>1897</v>
      </c>
      <c r="M653" s="154" t="s">
        <v>1388</v>
      </c>
      <c r="N653" s="154" t="s">
        <v>61</v>
      </c>
      <c r="O653" s="154" t="s">
        <v>62</v>
      </c>
      <c r="P653" s="146">
        <v>412908.14</v>
      </c>
      <c r="Q653" s="146">
        <v>254.08</v>
      </c>
      <c r="R653" s="154" t="s">
        <v>1384</v>
      </c>
      <c r="S653" s="154" t="s">
        <v>1899</v>
      </c>
      <c r="T653" s="155" t="s">
        <v>768</v>
      </c>
      <c r="U653" s="155" t="s">
        <v>1899</v>
      </c>
      <c r="V653" s="154" t="s">
        <v>1904</v>
      </c>
      <c r="W653" s="154">
        <v>0</v>
      </c>
      <c r="X653" s="154" t="s">
        <v>63</v>
      </c>
      <c r="Y653" s="154" t="s">
        <v>1386</v>
      </c>
      <c r="Z653" s="154"/>
      <c r="AA653" s="154" t="s">
        <v>1387</v>
      </c>
      <c r="AB653" s="154">
        <v>0</v>
      </c>
      <c r="AC653" s="138">
        <f>IFERROR(IF(DATEDIF(#REF!,U653,"m")&lt;=1,1,IF(AND(DATEDIF(#REF!,U653,"m")&gt;1,DATEDIF(#REF!,U653,"m")&lt;12),2,IF(AND(DATEDIF(#REF!,U653,"m")&gt;=12,DATEDIF(#REF!,U653,"m")&lt;24),3,IF(DATEDIF(#REF!,U653,"m")&gt;=24,4,"")))),IF(E653="r0320 - Deposits, not covered and not preferential",1,4))</f>
        <v>4</v>
      </c>
    </row>
    <row r="654" spans="3:29" ht="36.75" thickBot="1" x14ac:dyDescent="0.3">
      <c r="C654" s="11">
        <v>999</v>
      </c>
      <c r="D654" s="154">
        <v>647</v>
      </c>
      <c r="E654" s="154" t="s">
        <v>1898</v>
      </c>
      <c r="F654" s="154" t="s">
        <v>87</v>
      </c>
      <c r="G654" s="154" t="s">
        <v>1402</v>
      </c>
      <c r="H654" s="154" t="s">
        <v>1154</v>
      </c>
      <c r="I654" s="154" t="s">
        <v>89</v>
      </c>
      <c r="J654" s="154" t="s">
        <v>90</v>
      </c>
      <c r="K654" s="154" t="s">
        <v>91</v>
      </c>
      <c r="L654" s="154" t="s">
        <v>1901</v>
      </c>
      <c r="M654" s="154" t="s">
        <v>1383</v>
      </c>
      <c r="N654" s="154" t="s">
        <v>61</v>
      </c>
      <c r="O654" s="154" t="s">
        <v>62</v>
      </c>
      <c r="P654" s="146">
        <v>0.09</v>
      </c>
      <c r="Q654" s="146">
        <v>0</v>
      </c>
      <c r="R654" s="154" t="s">
        <v>1384</v>
      </c>
      <c r="S654" s="154" t="s">
        <v>1899</v>
      </c>
      <c r="T654" s="155" t="s">
        <v>1899</v>
      </c>
      <c r="U654" s="155" t="s">
        <v>1899</v>
      </c>
      <c r="V654" s="154" t="s">
        <v>1562</v>
      </c>
      <c r="W654" s="154">
        <v>0</v>
      </c>
      <c r="X654" s="154" t="s">
        <v>63</v>
      </c>
      <c r="Y654" s="154" t="s">
        <v>1900</v>
      </c>
      <c r="Z654" s="154"/>
      <c r="AA654" s="154" t="s">
        <v>1387</v>
      </c>
      <c r="AB654" s="154">
        <v>0</v>
      </c>
      <c r="AC654" s="138">
        <f>IFERROR(IF(DATEDIF(#REF!,U654,"m")&lt;=1,1,IF(AND(DATEDIF(#REF!,U654,"m")&gt;1,DATEDIF(#REF!,U654,"m")&lt;12),2,IF(AND(DATEDIF(#REF!,U654,"m")&gt;=12,DATEDIF(#REF!,U654,"m")&lt;24),3,IF(DATEDIF(#REF!,U654,"m")&gt;=24,4,"")))),IF(E654="r0320 - Deposits, not covered and not preferential",1,4))</f>
        <v>4</v>
      </c>
    </row>
    <row r="655" spans="3:29" ht="36.75" thickBot="1" x14ac:dyDescent="0.3">
      <c r="C655" s="11">
        <v>999</v>
      </c>
      <c r="D655" s="154">
        <v>648</v>
      </c>
      <c r="E655" s="154" t="s">
        <v>1895</v>
      </c>
      <c r="F655" s="154" t="s">
        <v>83</v>
      </c>
      <c r="G655" s="154" t="s">
        <v>1896</v>
      </c>
      <c r="H655" s="154" t="s">
        <v>768</v>
      </c>
      <c r="I655" s="154" t="s">
        <v>768</v>
      </c>
      <c r="J655" s="154" t="s">
        <v>768</v>
      </c>
      <c r="K655" s="154" t="s">
        <v>768</v>
      </c>
      <c r="L655" s="154" t="s">
        <v>1897</v>
      </c>
      <c r="M655" s="154" t="s">
        <v>1383</v>
      </c>
      <c r="N655" s="154" t="s">
        <v>61</v>
      </c>
      <c r="O655" s="154" t="s">
        <v>62</v>
      </c>
      <c r="P655" s="146" t="s">
        <v>768</v>
      </c>
      <c r="Q655" s="146">
        <v>23061.78</v>
      </c>
      <c r="R655" s="154" t="s">
        <v>768</v>
      </c>
      <c r="S655" s="154" t="s">
        <v>1899</v>
      </c>
      <c r="T655" s="155" t="s">
        <v>768</v>
      </c>
      <c r="U655" s="155" t="s">
        <v>1899</v>
      </c>
      <c r="V655" s="154" t="s">
        <v>1562</v>
      </c>
      <c r="W655" s="154">
        <v>0</v>
      </c>
      <c r="X655" s="154" t="s">
        <v>63</v>
      </c>
      <c r="Y655" s="154" t="s">
        <v>1386</v>
      </c>
      <c r="Z655" s="154"/>
      <c r="AA655" s="154" t="s">
        <v>1387</v>
      </c>
      <c r="AB655" s="154">
        <v>0</v>
      </c>
      <c r="AC655" s="138">
        <f>IFERROR(IF(DATEDIF(#REF!,U655,"m")&lt;=1,1,IF(AND(DATEDIF(#REF!,U655,"m")&gt;1,DATEDIF(#REF!,U655,"m")&lt;12),2,IF(AND(DATEDIF(#REF!,U655,"m")&gt;=12,DATEDIF(#REF!,U655,"m")&lt;24),3,IF(DATEDIF(#REF!,U655,"m")&gt;=24,4,"")))),IF(E655="r0320 - Deposits, not covered and not preferential",1,4))</f>
        <v>1</v>
      </c>
    </row>
    <row r="656" spans="3:29" ht="36.75" thickBot="1" x14ac:dyDescent="0.3">
      <c r="C656" s="11">
        <v>999</v>
      </c>
      <c r="D656" s="154">
        <v>649</v>
      </c>
      <c r="E656" s="154" t="s">
        <v>1898</v>
      </c>
      <c r="F656" s="154" t="s">
        <v>87</v>
      </c>
      <c r="G656" s="154" t="s">
        <v>1402</v>
      </c>
      <c r="H656" s="154" t="s">
        <v>264</v>
      </c>
      <c r="I656" s="154" t="s">
        <v>89</v>
      </c>
      <c r="J656" s="154" t="s">
        <v>90</v>
      </c>
      <c r="K656" s="154" t="s">
        <v>91</v>
      </c>
      <c r="L656" s="154" t="s">
        <v>1901</v>
      </c>
      <c r="M656" s="154" t="s">
        <v>1383</v>
      </c>
      <c r="N656" s="154" t="s">
        <v>61</v>
      </c>
      <c r="O656" s="154" t="s">
        <v>62</v>
      </c>
      <c r="P656" s="146">
        <v>0.36</v>
      </c>
      <c r="Q656" s="146">
        <v>0</v>
      </c>
      <c r="R656" s="154" t="s">
        <v>1384</v>
      </c>
      <c r="S656" s="154" t="s">
        <v>1899</v>
      </c>
      <c r="T656" s="155" t="s">
        <v>1899</v>
      </c>
      <c r="U656" s="155" t="s">
        <v>1899</v>
      </c>
      <c r="V656" s="154" t="s">
        <v>1562</v>
      </c>
      <c r="W656" s="154">
        <v>0</v>
      </c>
      <c r="X656" s="154" t="s">
        <v>63</v>
      </c>
      <c r="Y656" s="154" t="s">
        <v>1900</v>
      </c>
      <c r="Z656" s="154"/>
      <c r="AA656" s="154" t="s">
        <v>1387</v>
      </c>
      <c r="AB656" s="154">
        <v>0</v>
      </c>
      <c r="AC656" s="138">
        <f>IFERROR(IF(DATEDIF(#REF!,U656,"m")&lt;=1,1,IF(AND(DATEDIF(#REF!,U656,"m")&gt;1,DATEDIF(#REF!,U656,"m")&lt;12),2,IF(AND(DATEDIF(#REF!,U656,"m")&gt;=12,DATEDIF(#REF!,U656,"m")&lt;24),3,IF(DATEDIF(#REF!,U656,"m")&gt;=24,4,"")))),IF(E656="r0320 - Deposits, not covered and not preferential",1,4))</f>
        <v>4</v>
      </c>
    </row>
    <row r="657" spans="3:29" ht="48.75" thickBot="1" x14ac:dyDescent="0.3">
      <c r="C657" s="11">
        <v>999</v>
      </c>
      <c r="D657" s="154">
        <v>650</v>
      </c>
      <c r="E657" s="154" t="s">
        <v>1902</v>
      </c>
      <c r="F657" s="154" t="s">
        <v>83</v>
      </c>
      <c r="G657" s="154" t="s">
        <v>1903</v>
      </c>
      <c r="H657" s="154" t="s">
        <v>420</v>
      </c>
      <c r="I657" s="154" t="s">
        <v>93</v>
      </c>
      <c r="J657" s="154" t="s">
        <v>94</v>
      </c>
      <c r="K657" s="154" t="s">
        <v>60</v>
      </c>
      <c r="L657" s="154" t="s">
        <v>1897</v>
      </c>
      <c r="M657" s="154" t="s">
        <v>1388</v>
      </c>
      <c r="N657" s="154" t="s">
        <v>61</v>
      </c>
      <c r="O657" s="154" t="s">
        <v>62</v>
      </c>
      <c r="P657" s="146">
        <v>14309.01</v>
      </c>
      <c r="Q657" s="146">
        <v>3.46</v>
      </c>
      <c r="R657" s="154" t="s">
        <v>1384</v>
      </c>
      <c r="S657" s="154" t="s">
        <v>1899</v>
      </c>
      <c r="T657" s="155" t="s">
        <v>768</v>
      </c>
      <c r="U657" s="155" t="s">
        <v>1899</v>
      </c>
      <c r="V657" s="154" t="s">
        <v>1904</v>
      </c>
      <c r="W657" s="154">
        <v>0</v>
      </c>
      <c r="X657" s="154" t="s">
        <v>63</v>
      </c>
      <c r="Y657" s="154" t="s">
        <v>1386</v>
      </c>
      <c r="Z657" s="154"/>
      <c r="AA657" s="154" t="s">
        <v>1387</v>
      </c>
      <c r="AB657" s="154">
        <v>0</v>
      </c>
      <c r="AC657" s="138">
        <f>IFERROR(IF(DATEDIF(#REF!,U657,"m")&lt;=1,1,IF(AND(DATEDIF(#REF!,U657,"m")&gt;1,DATEDIF(#REF!,U657,"m")&lt;12),2,IF(AND(DATEDIF(#REF!,U657,"m")&gt;=12,DATEDIF(#REF!,U657,"m")&lt;24),3,IF(DATEDIF(#REF!,U657,"m")&gt;=24,4,"")))),IF(E657="r0320 - Deposits, not covered and not preferential",1,4))</f>
        <v>4</v>
      </c>
    </row>
    <row r="658" spans="3:29" ht="36.75" thickBot="1" x14ac:dyDescent="0.3">
      <c r="C658" s="11">
        <v>999</v>
      </c>
      <c r="D658" s="154">
        <v>651</v>
      </c>
      <c r="E658" s="154" t="s">
        <v>1898</v>
      </c>
      <c r="F658" s="154" t="s">
        <v>87</v>
      </c>
      <c r="G658" s="154" t="s">
        <v>1402</v>
      </c>
      <c r="H658" s="154" t="s">
        <v>425</v>
      </c>
      <c r="I658" s="154" t="s">
        <v>89</v>
      </c>
      <c r="J658" s="154" t="s">
        <v>90</v>
      </c>
      <c r="K658" s="154" t="s">
        <v>91</v>
      </c>
      <c r="L658" s="154" t="s">
        <v>1901</v>
      </c>
      <c r="M658" s="154" t="s">
        <v>1383</v>
      </c>
      <c r="N658" s="154" t="s">
        <v>61</v>
      </c>
      <c r="O658" s="154" t="s">
        <v>62</v>
      </c>
      <c r="P658" s="146">
        <v>0.12</v>
      </c>
      <c r="Q658" s="146">
        <v>0</v>
      </c>
      <c r="R658" s="154" t="s">
        <v>1384</v>
      </c>
      <c r="S658" s="154" t="s">
        <v>1899</v>
      </c>
      <c r="T658" s="155" t="s">
        <v>1899</v>
      </c>
      <c r="U658" s="155" t="s">
        <v>1899</v>
      </c>
      <c r="V658" s="154" t="s">
        <v>1562</v>
      </c>
      <c r="W658" s="154">
        <v>0</v>
      </c>
      <c r="X658" s="154" t="s">
        <v>63</v>
      </c>
      <c r="Y658" s="154" t="s">
        <v>1900</v>
      </c>
      <c r="Z658" s="154"/>
      <c r="AA658" s="154" t="s">
        <v>1387</v>
      </c>
      <c r="AB658" s="154">
        <v>0</v>
      </c>
      <c r="AC658" s="138">
        <f>IFERROR(IF(DATEDIF(#REF!,U658,"m")&lt;=1,1,IF(AND(DATEDIF(#REF!,U658,"m")&gt;1,DATEDIF(#REF!,U658,"m")&lt;12),2,IF(AND(DATEDIF(#REF!,U658,"m")&gt;=12,DATEDIF(#REF!,U658,"m")&lt;24),3,IF(DATEDIF(#REF!,U658,"m")&gt;=24,4,"")))),IF(E658="r0320 - Deposits, not covered and not preferential",1,4))</f>
        <v>4</v>
      </c>
    </row>
    <row r="659" spans="3:29" ht="36.75" thickBot="1" x14ac:dyDescent="0.3">
      <c r="C659" s="11">
        <v>999</v>
      </c>
      <c r="D659" s="154">
        <v>652</v>
      </c>
      <c r="E659" s="154" t="s">
        <v>1898</v>
      </c>
      <c r="F659" s="154" t="s">
        <v>87</v>
      </c>
      <c r="G659" s="154" t="s">
        <v>1402</v>
      </c>
      <c r="H659" s="154" t="s">
        <v>1174</v>
      </c>
      <c r="I659" s="154" t="s">
        <v>111</v>
      </c>
      <c r="J659" s="154" t="s">
        <v>90</v>
      </c>
      <c r="K659" s="154" t="s">
        <v>91</v>
      </c>
      <c r="L659" s="154" t="s">
        <v>1897</v>
      </c>
      <c r="M659" s="154" t="s">
        <v>1383</v>
      </c>
      <c r="N659" s="154" t="s">
        <v>61</v>
      </c>
      <c r="O659" s="154" t="s">
        <v>62</v>
      </c>
      <c r="P659" s="146">
        <v>2.35</v>
      </c>
      <c r="Q659" s="146">
        <v>0</v>
      </c>
      <c r="R659" s="154" t="s">
        <v>1384</v>
      </c>
      <c r="S659" s="154" t="s">
        <v>1899</v>
      </c>
      <c r="T659" s="155" t="s">
        <v>1899</v>
      </c>
      <c r="U659" s="155" t="s">
        <v>1899</v>
      </c>
      <c r="V659" s="154" t="s">
        <v>1562</v>
      </c>
      <c r="W659" s="154">
        <v>0</v>
      </c>
      <c r="X659" s="154" t="s">
        <v>63</v>
      </c>
      <c r="Y659" s="154" t="s">
        <v>1900</v>
      </c>
      <c r="Z659" s="154"/>
      <c r="AA659" s="154" t="s">
        <v>1387</v>
      </c>
      <c r="AB659" s="154">
        <v>0</v>
      </c>
      <c r="AC659" s="138">
        <f>IFERROR(IF(DATEDIF(#REF!,U659,"m")&lt;=1,1,IF(AND(DATEDIF(#REF!,U659,"m")&gt;1,DATEDIF(#REF!,U659,"m")&lt;12),2,IF(AND(DATEDIF(#REF!,U659,"m")&gt;=12,DATEDIF(#REF!,U659,"m")&lt;24),3,IF(DATEDIF(#REF!,U659,"m")&gt;=24,4,"")))),IF(E659="r0320 - Deposits, not covered and not preferential",1,4))</f>
        <v>4</v>
      </c>
    </row>
    <row r="660" spans="3:29" ht="36.75" thickBot="1" x14ac:dyDescent="0.3">
      <c r="C660" s="11">
        <v>999</v>
      </c>
      <c r="D660" s="154">
        <v>653</v>
      </c>
      <c r="E660" s="154" t="s">
        <v>1898</v>
      </c>
      <c r="F660" s="154" t="s">
        <v>87</v>
      </c>
      <c r="G660" s="154" t="s">
        <v>1402</v>
      </c>
      <c r="H660" s="154" t="s">
        <v>88</v>
      </c>
      <c r="I660" s="154" t="s">
        <v>89</v>
      </c>
      <c r="J660" s="154" t="s">
        <v>90</v>
      </c>
      <c r="K660" s="154" t="s">
        <v>91</v>
      </c>
      <c r="L660" s="154" t="s">
        <v>1901</v>
      </c>
      <c r="M660" s="154" t="s">
        <v>1383</v>
      </c>
      <c r="N660" s="154" t="s">
        <v>61</v>
      </c>
      <c r="O660" s="154" t="s">
        <v>62</v>
      </c>
      <c r="P660" s="146">
        <v>0.32</v>
      </c>
      <c r="Q660" s="146">
        <v>0</v>
      </c>
      <c r="R660" s="154" t="s">
        <v>1384</v>
      </c>
      <c r="S660" s="154" t="s">
        <v>1899</v>
      </c>
      <c r="T660" s="155" t="s">
        <v>1899</v>
      </c>
      <c r="U660" s="155" t="s">
        <v>1899</v>
      </c>
      <c r="V660" s="154" t="s">
        <v>1562</v>
      </c>
      <c r="W660" s="154">
        <v>0</v>
      </c>
      <c r="X660" s="154" t="s">
        <v>63</v>
      </c>
      <c r="Y660" s="154" t="s">
        <v>1900</v>
      </c>
      <c r="Z660" s="154"/>
      <c r="AA660" s="154" t="s">
        <v>1387</v>
      </c>
      <c r="AB660" s="154">
        <v>0</v>
      </c>
      <c r="AC660" s="138">
        <f>IFERROR(IF(DATEDIF(#REF!,U660,"m")&lt;=1,1,IF(AND(DATEDIF(#REF!,U660,"m")&gt;1,DATEDIF(#REF!,U660,"m")&lt;12),2,IF(AND(DATEDIF(#REF!,U660,"m")&gt;=12,DATEDIF(#REF!,U660,"m")&lt;24),3,IF(DATEDIF(#REF!,U660,"m")&gt;=24,4,"")))),IF(E660="r0320 - Deposits, not covered and not preferential",1,4))</f>
        <v>4</v>
      </c>
    </row>
    <row r="661" spans="3:29" ht="36.75" thickBot="1" x14ac:dyDescent="0.3">
      <c r="C661" s="11">
        <v>999</v>
      </c>
      <c r="D661" s="154">
        <v>654</v>
      </c>
      <c r="E661" s="154" t="s">
        <v>1898</v>
      </c>
      <c r="F661" s="154" t="s">
        <v>83</v>
      </c>
      <c r="G661" s="154" t="s">
        <v>1402</v>
      </c>
      <c r="H661" s="154" t="s">
        <v>57</v>
      </c>
      <c r="I661" s="154" t="s">
        <v>111</v>
      </c>
      <c r="J661" s="154" t="s">
        <v>90</v>
      </c>
      <c r="K661" s="154" t="s">
        <v>91</v>
      </c>
      <c r="L661" s="154" t="s">
        <v>1897</v>
      </c>
      <c r="M661" s="154" t="s">
        <v>1383</v>
      </c>
      <c r="N661" s="154" t="s">
        <v>61</v>
      </c>
      <c r="O661" s="154" t="s">
        <v>62</v>
      </c>
      <c r="P661" s="146">
        <v>3953346.19</v>
      </c>
      <c r="Q661" s="146">
        <v>0</v>
      </c>
      <c r="R661" s="154" t="s">
        <v>1384</v>
      </c>
      <c r="S661" s="154" t="s">
        <v>1899</v>
      </c>
      <c r="T661" s="155" t="s">
        <v>1899</v>
      </c>
      <c r="U661" s="155" t="s">
        <v>1899</v>
      </c>
      <c r="V661" s="154" t="s">
        <v>1562</v>
      </c>
      <c r="W661" s="154">
        <v>0</v>
      </c>
      <c r="X661" s="154" t="s">
        <v>63</v>
      </c>
      <c r="Y661" s="154" t="s">
        <v>1900</v>
      </c>
      <c r="Z661" s="154"/>
      <c r="AA661" s="154" t="s">
        <v>1387</v>
      </c>
      <c r="AB661" s="154">
        <v>0</v>
      </c>
      <c r="AC661" s="138">
        <f>IFERROR(IF(DATEDIF(#REF!,U661,"m")&lt;=1,1,IF(AND(DATEDIF(#REF!,U661,"m")&gt;1,DATEDIF(#REF!,U661,"m")&lt;12),2,IF(AND(DATEDIF(#REF!,U661,"m")&gt;=12,DATEDIF(#REF!,U661,"m")&lt;24),3,IF(DATEDIF(#REF!,U661,"m")&gt;=24,4,"")))),IF(E661="r0320 - Deposits, not covered and not preferential",1,4))</f>
        <v>4</v>
      </c>
    </row>
    <row r="662" spans="3:29" ht="36.75" thickBot="1" x14ac:dyDescent="0.3">
      <c r="C662" s="11">
        <v>999</v>
      </c>
      <c r="D662" s="154">
        <v>655</v>
      </c>
      <c r="E662" s="154" t="s">
        <v>1898</v>
      </c>
      <c r="F662" s="154" t="s">
        <v>87</v>
      </c>
      <c r="G662" s="154" t="s">
        <v>1402</v>
      </c>
      <c r="H662" s="154" t="s">
        <v>427</v>
      </c>
      <c r="I662" s="154" t="s">
        <v>89</v>
      </c>
      <c r="J662" s="154" t="s">
        <v>90</v>
      </c>
      <c r="K662" s="154" t="s">
        <v>91</v>
      </c>
      <c r="L662" s="154" t="s">
        <v>1901</v>
      </c>
      <c r="M662" s="154" t="s">
        <v>1383</v>
      </c>
      <c r="N662" s="154" t="s">
        <v>61</v>
      </c>
      <c r="O662" s="154" t="s">
        <v>62</v>
      </c>
      <c r="P662" s="146">
        <v>0.23</v>
      </c>
      <c r="Q662" s="146">
        <v>0</v>
      </c>
      <c r="R662" s="154" t="s">
        <v>1384</v>
      </c>
      <c r="S662" s="154" t="s">
        <v>1899</v>
      </c>
      <c r="T662" s="155" t="s">
        <v>1899</v>
      </c>
      <c r="U662" s="155" t="s">
        <v>1899</v>
      </c>
      <c r="V662" s="154" t="s">
        <v>1562</v>
      </c>
      <c r="W662" s="154">
        <v>0</v>
      </c>
      <c r="X662" s="154" t="s">
        <v>63</v>
      </c>
      <c r="Y662" s="154" t="s">
        <v>1900</v>
      </c>
      <c r="Z662" s="154"/>
      <c r="AA662" s="154" t="s">
        <v>1387</v>
      </c>
      <c r="AB662" s="154">
        <v>0</v>
      </c>
      <c r="AC662" s="138">
        <f>IFERROR(IF(DATEDIF(#REF!,U662,"m")&lt;=1,1,IF(AND(DATEDIF(#REF!,U662,"m")&gt;1,DATEDIF(#REF!,U662,"m")&lt;12),2,IF(AND(DATEDIF(#REF!,U662,"m")&gt;=12,DATEDIF(#REF!,U662,"m")&lt;24),3,IF(DATEDIF(#REF!,U662,"m")&gt;=24,4,"")))),IF(E662="r0320 - Deposits, not covered and not preferential",1,4))</f>
        <v>4</v>
      </c>
    </row>
    <row r="663" spans="3:29" ht="36.75" thickBot="1" x14ac:dyDescent="0.3">
      <c r="C663" s="11">
        <v>999</v>
      </c>
      <c r="D663" s="154">
        <v>656</v>
      </c>
      <c r="E663" s="154" t="s">
        <v>1898</v>
      </c>
      <c r="F663" s="154" t="s">
        <v>87</v>
      </c>
      <c r="G663" s="154" t="s">
        <v>1402</v>
      </c>
      <c r="H663" s="154" t="s">
        <v>717</v>
      </c>
      <c r="I663" s="154" t="s">
        <v>108</v>
      </c>
      <c r="J663" s="154" t="s">
        <v>90</v>
      </c>
      <c r="K663" s="154" t="s">
        <v>91</v>
      </c>
      <c r="L663" s="154" t="s">
        <v>1897</v>
      </c>
      <c r="M663" s="154" t="s">
        <v>1383</v>
      </c>
      <c r="N663" s="154" t="s">
        <v>61</v>
      </c>
      <c r="O663" s="154" t="s">
        <v>62</v>
      </c>
      <c r="P663" s="146">
        <v>0.61</v>
      </c>
      <c r="Q663" s="146">
        <v>0</v>
      </c>
      <c r="R663" s="154" t="s">
        <v>1384</v>
      </c>
      <c r="S663" s="154" t="s">
        <v>1899</v>
      </c>
      <c r="T663" s="155" t="s">
        <v>1899</v>
      </c>
      <c r="U663" s="155" t="s">
        <v>1899</v>
      </c>
      <c r="V663" s="154" t="s">
        <v>1562</v>
      </c>
      <c r="W663" s="154">
        <v>0</v>
      </c>
      <c r="X663" s="154" t="s">
        <v>63</v>
      </c>
      <c r="Y663" s="154" t="s">
        <v>1900</v>
      </c>
      <c r="Z663" s="154"/>
      <c r="AA663" s="154" t="s">
        <v>1387</v>
      </c>
      <c r="AB663" s="154">
        <v>0</v>
      </c>
      <c r="AC663" s="138">
        <f>IFERROR(IF(DATEDIF(#REF!,U663,"m")&lt;=1,1,IF(AND(DATEDIF(#REF!,U663,"m")&gt;1,DATEDIF(#REF!,U663,"m")&lt;12),2,IF(AND(DATEDIF(#REF!,U663,"m")&gt;=12,DATEDIF(#REF!,U663,"m")&lt;24),3,IF(DATEDIF(#REF!,U663,"m")&gt;=24,4,"")))),IF(E663="r0320 - Deposits, not covered and not preferential",1,4))</f>
        <v>4</v>
      </c>
    </row>
    <row r="664" spans="3:29" ht="36.75" thickBot="1" x14ac:dyDescent="0.3">
      <c r="C664" s="11">
        <v>999</v>
      </c>
      <c r="D664" s="154">
        <v>657</v>
      </c>
      <c r="E664" s="154" t="s">
        <v>1898</v>
      </c>
      <c r="F664" s="154" t="s">
        <v>87</v>
      </c>
      <c r="G664" s="154" t="s">
        <v>1402</v>
      </c>
      <c r="H664" s="154" t="s">
        <v>266</v>
      </c>
      <c r="I664" s="154" t="s">
        <v>89</v>
      </c>
      <c r="J664" s="154" t="s">
        <v>90</v>
      </c>
      <c r="K664" s="154" t="s">
        <v>91</v>
      </c>
      <c r="L664" s="154" t="s">
        <v>1901</v>
      </c>
      <c r="M664" s="154" t="s">
        <v>1383</v>
      </c>
      <c r="N664" s="154" t="s">
        <v>61</v>
      </c>
      <c r="O664" s="154" t="s">
        <v>62</v>
      </c>
      <c r="P664" s="146">
        <v>0.11</v>
      </c>
      <c r="Q664" s="146">
        <v>0</v>
      </c>
      <c r="R664" s="154" t="s">
        <v>1384</v>
      </c>
      <c r="S664" s="154" t="s">
        <v>1899</v>
      </c>
      <c r="T664" s="155" t="s">
        <v>1899</v>
      </c>
      <c r="U664" s="155" t="s">
        <v>1899</v>
      </c>
      <c r="V664" s="154" t="s">
        <v>1562</v>
      </c>
      <c r="W664" s="154">
        <v>0</v>
      </c>
      <c r="X664" s="154" t="s">
        <v>63</v>
      </c>
      <c r="Y664" s="154" t="s">
        <v>1900</v>
      </c>
      <c r="Z664" s="154"/>
      <c r="AA664" s="154" t="s">
        <v>1387</v>
      </c>
      <c r="AB664" s="154">
        <v>0</v>
      </c>
      <c r="AC664" s="138">
        <f>IFERROR(IF(DATEDIF(#REF!,U664,"m")&lt;=1,1,IF(AND(DATEDIF(#REF!,U664,"m")&gt;1,DATEDIF(#REF!,U664,"m")&lt;12),2,IF(AND(DATEDIF(#REF!,U664,"m")&gt;=12,DATEDIF(#REF!,U664,"m")&lt;24),3,IF(DATEDIF(#REF!,U664,"m")&gt;=24,4,"")))),IF(E664="r0320 - Deposits, not covered and not preferential",1,4))</f>
        <v>4</v>
      </c>
    </row>
    <row r="665" spans="3:29" ht="48.75" thickBot="1" x14ac:dyDescent="0.3">
      <c r="C665" s="11">
        <v>999</v>
      </c>
      <c r="D665" s="154">
        <v>658</v>
      </c>
      <c r="E665" s="154" t="s">
        <v>1902</v>
      </c>
      <c r="F665" s="154" t="s">
        <v>83</v>
      </c>
      <c r="G665" s="154" t="s">
        <v>1903</v>
      </c>
      <c r="H665" s="154" t="s">
        <v>987</v>
      </c>
      <c r="I665" s="154" t="s">
        <v>101</v>
      </c>
      <c r="J665" s="154" t="s">
        <v>102</v>
      </c>
      <c r="K665" s="154" t="s">
        <v>60</v>
      </c>
      <c r="L665" s="154" t="s">
        <v>1897</v>
      </c>
      <c r="M665" s="154" t="s">
        <v>1388</v>
      </c>
      <c r="N665" s="154" t="s">
        <v>61</v>
      </c>
      <c r="O665" s="154" t="s">
        <v>62</v>
      </c>
      <c r="P665" s="146">
        <v>355939.37</v>
      </c>
      <c r="Q665" s="146">
        <v>286.48</v>
      </c>
      <c r="R665" s="154" t="s">
        <v>1384</v>
      </c>
      <c r="S665" s="154" t="s">
        <v>1899</v>
      </c>
      <c r="T665" s="155" t="s">
        <v>768</v>
      </c>
      <c r="U665" s="155" t="s">
        <v>1899</v>
      </c>
      <c r="V665" s="154" t="s">
        <v>1904</v>
      </c>
      <c r="W665" s="154">
        <v>0</v>
      </c>
      <c r="X665" s="154" t="s">
        <v>63</v>
      </c>
      <c r="Y665" s="154" t="s">
        <v>1386</v>
      </c>
      <c r="Z665" s="154"/>
      <c r="AA665" s="154" t="s">
        <v>1387</v>
      </c>
      <c r="AB665" s="154">
        <v>0</v>
      </c>
      <c r="AC665" s="138">
        <f>IFERROR(IF(DATEDIF(#REF!,U665,"m")&lt;=1,1,IF(AND(DATEDIF(#REF!,U665,"m")&gt;1,DATEDIF(#REF!,U665,"m")&lt;12),2,IF(AND(DATEDIF(#REF!,U665,"m")&gt;=12,DATEDIF(#REF!,U665,"m")&lt;24),3,IF(DATEDIF(#REF!,U665,"m")&gt;=24,4,"")))),IF(E665="r0320 - Deposits, not covered and not preferential",1,4))</f>
        <v>4</v>
      </c>
    </row>
    <row r="666" spans="3:29" ht="36.75" thickBot="1" x14ac:dyDescent="0.3">
      <c r="C666" s="11">
        <v>999</v>
      </c>
      <c r="D666" s="154">
        <v>659</v>
      </c>
      <c r="E666" s="154" t="s">
        <v>1898</v>
      </c>
      <c r="F666" s="154" t="s">
        <v>87</v>
      </c>
      <c r="G666" s="154" t="s">
        <v>1402</v>
      </c>
      <c r="H666" s="154" t="s">
        <v>429</v>
      </c>
      <c r="I666" s="154" t="s">
        <v>89</v>
      </c>
      <c r="J666" s="154" t="s">
        <v>90</v>
      </c>
      <c r="K666" s="154" t="s">
        <v>91</v>
      </c>
      <c r="L666" s="154" t="s">
        <v>1901</v>
      </c>
      <c r="M666" s="154" t="s">
        <v>1383</v>
      </c>
      <c r="N666" s="154" t="s">
        <v>61</v>
      </c>
      <c r="O666" s="154" t="s">
        <v>62</v>
      </c>
      <c r="P666" s="146">
        <v>0.11</v>
      </c>
      <c r="Q666" s="146">
        <v>0</v>
      </c>
      <c r="R666" s="154" t="s">
        <v>1384</v>
      </c>
      <c r="S666" s="154" t="s">
        <v>1899</v>
      </c>
      <c r="T666" s="155" t="s">
        <v>1899</v>
      </c>
      <c r="U666" s="155" t="s">
        <v>1899</v>
      </c>
      <c r="V666" s="154" t="s">
        <v>1562</v>
      </c>
      <c r="W666" s="154">
        <v>0</v>
      </c>
      <c r="X666" s="154" t="s">
        <v>63</v>
      </c>
      <c r="Y666" s="154" t="s">
        <v>1900</v>
      </c>
      <c r="Z666" s="154"/>
      <c r="AA666" s="154" t="s">
        <v>1387</v>
      </c>
      <c r="AB666" s="154">
        <v>0</v>
      </c>
      <c r="AC666" s="138">
        <f>IFERROR(IF(DATEDIF(#REF!,U666,"m")&lt;=1,1,IF(AND(DATEDIF(#REF!,U666,"m")&gt;1,DATEDIF(#REF!,U666,"m")&lt;12),2,IF(AND(DATEDIF(#REF!,U666,"m")&gt;=12,DATEDIF(#REF!,U666,"m")&lt;24),3,IF(DATEDIF(#REF!,U666,"m")&gt;=24,4,"")))),IF(E666="r0320 - Deposits, not covered and not preferential",1,4))</f>
        <v>4</v>
      </c>
    </row>
    <row r="667" spans="3:29" ht="36.75" thickBot="1" x14ac:dyDescent="0.3">
      <c r="C667" s="11">
        <v>999</v>
      </c>
      <c r="D667" s="154">
        <v>660</v>
      </c>
      <c r="E667" s="154" t="s">
        <v>1898</v>
      </c>
      <c r="F667" s="154" t="s">
        <v>87</v>
      </c>
      <c r="G667" s="154" t="s">
        <v>1402</v>
      </c>
      <c r="H667" s="154" t="s">
        <v>1187</v>
      </c>
      <c r="I667" s="154" t="s">
        <v>108</v>
      </c>
      <c r="J667" s="154" t="s">
        <v>90</v>
      </c>
      <c r="K667" s="154" t="s">
        <v>91</v>
      </c>
      <c r="L667" s="154" t="s">
        <v>1897</v>
      </c>
      <c r="M667" s="154" t="s">
        <v>1383</v>
      </c>
      <c r="N667" s="154" t="s">
        <v>61</v>
      </c>
      <c r="O667" s="154" t="s">
        <v>62</v>
      </c>
      <c r="P667" s="146">
        <v>1.6</v>
      </c>
      <c r="Q667" s="146">
        <v>0</v>
      </c>
      <c r="R667" s="154" t="s">
        <v>1384</v>
      </c>
      <c r="S667" s="154" t="s">
        <v>1899</v>
      </c>
      <c r="T667" s="155" t="s">
        <v>1899</v>
      </c>
      <c r="U667" s="155" t="s">
        <v>1899</v>
      </c>
      <c r="V667" s="154" t="s">
        <v>1562</v>
      </c>
      <c r="W667" s="154">
        <v>0</v>
      </c>
      <c r="X667" s="154" t="s">
        <v>63</v>
      </c>
      <c r="Y667" s="154" t="s">
        <v>1900</v>
      </c>
      <c r="Z667" s="154"/>
      <c r="AA667" s="154" t="s">
        <v>1387</v>
      </c>
      <c r="AB667" s="154">
        <v>0</v>
      </c>
      <c r="AC667" s="138">
        <f>IFERROR(IF(DATEDIF(#REF!,U667,"m")&lt;=1,1,IF(AND(DATEDIF(#REF!,U667,"m")&gt;1,DATEDIF(#REF!,U667,"m")&lt;12),2,IF(AND(DATEDIF(#REF!,U667,"m")&gt;=12,DATEDIF(#REF!,U667,"m")&lt;24),3,IF(DATEDIF(#REF!,U667,"m")&gt;=24,4,"")))),IF(E667="r0320 - Deposits, not covered and not preferential",1,4))</f>
        <v>4</v>
      </c>
    </row>
    <row r="668" spans="3:29" ht="36.75" thickBot="1" x14ac:dyDescent="0.3">
      <c r="C668" s="11">
        <v>999</v>
      </c>
      <c r="D668" s="154">
        <v>661</v>
      </c>
      <c r="E668" s="154" t="s">
        <v>1898</v>
      </c>
      <c r="F668" s="154" t="s">
        <v>56</v>
      </c>
      <c r="G668" s="154" t="s">
        <v>1402</v>
      </c>
      <c r="H668" s="154" t="s">
        <v>181</v>
      </c>
      <c r="I668" s="154" t="s">
        <v>72</v>
      </c>
      <c r="J668" s="154" t="s">
        <v>73</v>
      </c>
      <c r="K668" s="154" t="s">
        <v>60</v>
      </c>
      <c r="L668" s="154" t="s">
        <v>1897</v>
      </c>
      <c r="M668" s="154" t="s">
        <v>1388</v>
      </c>
      <c r="N668" s="154" t="s">
        <v>61</v>
      </c>
      <c r="O668" s="154" t="s">
        <v>62</v>
      </c>
      <c r="P668" s="146">
        <v>157.02000000000001</v>
      </c>
      <c r="Q668" s="146">
        <v>0</v>
      </c>
      <c r="R668" s="154" t="s">
        <v>1384</v>
      </c>
      <c r="S668" s="154" t="s">
        <v>1899</v>
      </c>
      <c r="T668" s="155" t="s">
        <v>1899</v>
      </c>
      <c r="U668" s="155" t="s">
        <v>1899</v>
      </c>
      <c r="V668" s="154" t="s">
        <v>1562</v>
      </c>
      <c r="W668" s="154">
        <v>0</v>
      </c>
      <c r="X668" s="154" t="s">
        <v>63</v>
      </c>
      <c r="Y668" s="154" t="s">
        <v>1900</v>
      </c>
      <c r="Z668" s="154"/>
      <c r="AA668" s="154" t="s">
        <v>1387</v>
      </c>
      <c r="AB668" s="154">
        <v>0</v>
      </c>
      <c r="AC668" s="138">
        <f>IFERROR(IF(DATEDIF(#REF!,U668,"m")&lt;=1,1,IF(AND(DATEDIF(#REF!,U668,"m")&gt;1,DATEDIF(#REF!,U668,"m")&lt;12),2,IF(AND(DATEDIF(#REF!,U668,"m")&gt;=12,DATEDIF(#REF!,U668,"m")&lt;24),3,IF(DATEDIF(#REF!,U668,"m")&gt;=24,4,"")))),IF(E668="r0320 - Deposits, not covered and not preferential",1,4))</f>
        <v>4</v>
      </c>
    </row>
    <row r="669" spans="3:29" ht="48.75" thickBot="1" x14ac:dyDescent="0.3">
      <c r="C669" s="11">
        <v>999</v>
      </c>
      <c r="D669" s="154">
        <v>662</v>
      </c>
      <c r="E669" s="154" t="s">
        <v>1902</v>
      </c>
      <c r="F669" s="154" t="s">
        <v>83</v>
      </c>
      <c r="G669" s="154" t="s">
        <v>1903</v>
      </c>
      <c r="H669" s="154" t="s">
        <v>678</v>
      </c>
      <c r="I669" s="154" t="s">
        <v>101</v>
      </c>
      <c r="J669" s="154" t="s">
        <v>102</v>
      </c>
      <c r="K669" s="154" t="s">
        <v>60</v>
      </c>
      <c r="L669" s="154" t="s">
        <v>1897</v>
      </c>
      <c r="M669" s="154" t="s">
        <v>1388</v>
      </c>
      <c r="N669" s="154" t="s">
        <v>61</v>
      </c>
      <c r="O669" s="154" t="s">
        <v>62</v>
      </c>
      <c r="P669" s="146">
        <v>1582564.9</v>
      </c>
      <c r="Q669" s="146">
        <v>765.8</v>
      </c>
      <c r="R669" s="154" t="s">
        <v>1384</v>
      </c>
      <c r="S669" s="154" t="s">
        <v>1899</v>
      </c>
      <c r="T669" s="155" t="s">
        <v>768</v>
      </c>
      <c r="U669" s="155" t="s">
        <v>1899</v>
      </c>
      <c r="V669" s="154" t="s">
        <v>1904</v>
      </c>
      <c r="W669" s="154">
        <v>0</v>
      </c>
      <c r="X669" s="154" t="s">
        <v>63</v>
      </c>
      <c r="Y669" s="154" t="s">
        <v>1386</v>
      </c>
      <c r="Z669" s="154"/>
      <c r="AA669" s="154" t="s">
        <v>1387</v>
      </c>
      <c r="AB669" s="154">
        <v>0</v>
      </c>
      <c r="AC669" s="138">
        <f>IFERROR(IF(DATEDIF(#REF!,U669,"m")&lt;=1,1,IF(AND(DATEDIF(#REF!,U669,"m")&gt;1,DATEDIF(#REF!,U669,"m")&lt;12),2,IF(AND(DATEDIF(#REF!,U669,"m")&gt;=12,DATEDIF(#REF!,U669,"m")&lt;24),3,IF(DATEDIF(#REF!,U669,"m")&gt;=24,4,"")))),IF(E669="r0320 - Deposits, not covered and not preferential",1,4))</f>
        <v>4</v>
      </c>
    </row>
    <row r="670" spans="3:29" ht="36.75" thickBot="1" x14ac:dyDescent="0.3">
      <c r="C670" s="11">
        <v>999</v>
      </c>
      <c r="D670" s="154">
        <v>663</v>
      </c>
      <c r="E670" s="154" t="s">
        <v>1898</v>
      </c>
      <c r="F670" s="154" t="s">
        <v>87</v>
      </c>
      <c r="G670" s="154" t="s">
        <v>1402</v>
      </c>
      <c r="H670" s="154" t="s">
        <v>431</v>
      </c>
      <c r="I670" s="154" t="s">
        <v>111</v>
      </c>
      <c r="J670" s="154" t="s">
        <v>90</v>
      </c>
      <c r="K670" s="154" t="s">
        <v>91</v>
      </c>
      <c r="L670" s="154" t="s">
        <v>1897</v>
      </c>
      <c r="M670" s="154" t="s">
        <v>1383</v>
      </c>
      <c r="N670" s="154" t="s">
        <v>61</v>
      </c>
      <c r="O670" s="154" t="s">
        <v>62</v>
      </c>
      <c r="P670" s="146">
        <v>0.18</v>
      </c>
      <c r="Q670" s="146">
        <v>0</v>
      </c>
      <c r="R670" s="154" t="s">
        <v>1384</v>
      </c>
      <c r="S670" s="154" t="s">
        <v>1899</v>
      </c>
      <c r="T670" s="155" t="s">
        <v>1899</v>
      </c>
      <c r="U670" s="155" t="s">
        <v>1899</v>
      </c>
      <c r="V670" s="154" t="s">
        <v>1562</v>
      </c>
      <c r="W670" s="154">
        <v>0</v>
      </c>
      <c r="X670" s="154" t="s">
        <v>63</v>
      </c>
      <c r="Y670" s="154" t="s">
        <v>1900</v>
      </c>
      <c r="Z670" s="154"/>
      <c r="AA670" s="154" t="s">
        <v>1387</v>
      </c>
      <c r="AB670" s="154">
        <v>0</v>
      </c>
      <c r="AC670" s="138">
        <f>IFERROR(IF(DATEDIF(#REF!,U670,"m")&lt;=1,1,IF(AND(DATEDIF(#REF!,U670,"m")&gt;1,DATEDIF(#REF!,U670,"m")&lt;12),2,IF(AND(DATEDIF(#REF!,U670,"m")&gt;=12,DATEDIF(#REF!,U670,"m")&lt;24),3,IF(DATEDIF(#REF!,U670,"m")&gt;=24,4,"")))),IF(E670="r0320 - Deposits, not covered and not preferential",1,4))</f>
        <v>4</v>
      </c>
    </row>
    <row r="671" spans="3:29" ht="48.75" thickBot="1" x14ac:dyDescent="0.3">
      <c r="C671" s="11">
        <v>999</v>
      </c>
      <c r="D671" s="154">
        <v>664</v>
      </c>
      <c r="E671" s="154" t="s">
        <v>1902</v>
      </c>
      <c r="F671" s="154" t="s">
        <v>83</v>
      </c>
      <c r="G671" s="154" t="s">
        <v>1903</v>
      </c>
      <c r="H671" s="154" t="s">
        <v>277</v>
      </c>
      <c r="I671" s="154" t="s">
        <v>101</v>
      </c>
      <c r="J671" s="154" t="s">
        <v>102</v>
      </c>
      <c r="K671" s="154" t="s">
        <v>60</v>
      </c>
      <c r="L671" s="154" t="s">
        <v>1897</v>
      </c>
      <c r="M671" s="154" t="s">
        <v>1388</v>
      </c>
      <c r="N671" s="154" t="s">
        <v>61</v>
      </c>
      <c r="O671" s="154" t="s">
        <v>62</v>
      </c>
      <c r="P671" s="146">
        <v>75168.27</v>
      </c>
      <c r="Q671" s="146">
        <v>58.14</v>
      </c>
      <c r="R671" s="154" t="s">
        <v>1384</v>
      </c>
      <c r="S671" s="154" t="s">
        <v>1899</v>
      </c>
      <c r="T671" s="155" t="s">
        <v>768</v>
      </c>
      <c r="U671" s="155" t="s">
        <v>1899</v>
      </c>
      <c r="V671" s="154" t="s">
        <v>1904</v>
      </c>
      <c r="W671" s="154">
        <v>0</v>
      </c>
      <c r="X671" s="154" t="s">
        <v>63</v>
      </c>
      <c r="Y671" s="154" t="s">
        <v>1386</v>
      </c>
      <c r="Z671" s="154"/>
      <c r="AA671" s="154" t="s">
        <v>1387</v>
      </c>
      <c r="AB671" s="154">
        <v>0</v>
      </c>
      <c r="AC671" s="138">
        <f>IFERROR(IF(DATEDIF(#REF!,U671,"m")&lt;=1,1,IF(AND(DATEDIF(#REF!,U671,"m")&gt;1,DATEDIF(#REF!,U671,"m")&lt;12),2,IF(AND(DATEDIF(#REF!,U671,"m")&gt;=12,DATEDIF(#REF!,U671,"m")&lt;24),3,IF(DATEDIF(#REF!,U671,"m")&gt;=24,4,"")))),IF(E671="r0320 - Deposits, not covered and not preferential",1,4))</f>
        <v>4</v>
      </c>
    </row>
    <row r="672" spans="3:29" ht="36.75" thickBot="1" x14ac:dyDescent="0.3">
      <c r="C672" s="11">
        <v>999</v>
      </c>
      <c r="D672" s="154">
        <v>665</v>
      </c>
      <c r="E672" s="154" t="s">
        <v>1898</v>
      </c>
      <c r="F672" s="154" t="s">
        <v>87</v>
      </c>
      <c r="G672" s="154" t="s">
        <v>1402</v>
      </c>
      <c r="H672" s="154" t="s">
        <v>268</v>
      </c>
      <c r="I672" s="154" t="s">
        <v>111</v>
      </c>
      <c r="J672" s="154" t="s">
        <v>90</v>
      </c>
      <c r="K672" s="154" t="s">
        <v>91</v>
      </c>
      <c r="L672" s="154" t="s">
        <v>1897</v>
      </c>
      <c r="M672" s="154" t="s">
        <v>1383</v>
      </c>
      <c r="N672" s="154" t="s">
        <v>61</v>
      </c>
      <c r="O672" s="154" t="s">
        <v>62</v>
      </c>
      <c r="P672" s="146">
        <v>0.96</v>
      </c>
      <c r="Q672" s="146">
        <v>0</v>
      </c>
      <c r="R672" s="154" t="s">
        <v>1384</v>
      </c>
      <c r="S672" s="154" t="s">
        <v>1899</v>
      </c>
      <c r="T672" s="155" t="s">
        <v>1899</v>
      </c>
      <c r="U672" s="155" t="s">
        <v>1899</v>
      </c>
      <c r="V672" s="154" t="s">
        <v>1562</v>
      </c>
      <c r="W672" s="154">
        <v>0</v>
      </c>
      <c r="X672" s="154" t="s">
        <v>63</v>
      </c>
      <c r="Y672" s="154" t="s">
        <v>1900</v>
      </c>
      <c r="Z672" s="154"/>
      <c r="AA672" s="154" t="s">
        <v>1387</v>
      </c>
      <c r="AB672" s="154">
        <v>0</v>
      </c>
      <c r="AC672" s="138">
        <f>IFERROR(IF(DATEDIF(#REF!,U672,"m")&lt;=1,1,IF(AND(DATEDIF(#REF!,U672,"m")&gt;1,DATEDIF(#REF!,U672,"m")&lt;12),2,IF(AND(DATEDIF(#REF!,U672,"m")&gt;=12,DATEDIF(#REF!,U672,"m")&lt;24),3,IF(DATEDIF(#REF!,U672,"m")&gt;=24,4,"")))),IF(E672="r0320 - Deposits, not covered and not preferential",1,4))</f>
        <v>4</v>
      </c>
    </row>
    <row r="673" spans="3:29" ht="48.75" thickBot="1" x14ac:dyDescent="0.3">
      <c r="C673" s="11">
        <v>999</v>
      </c>
      <c r="D673" s="154">
        <v>666</v>
      </c>
      <c r="E673" s="154" t="s">
        <v>1902</v>
      </c>
      <c r="F673" s="154" t="s">
        <v>83</v>
      </c>
      <c r="G673" s="154" t="s">
        <v>1903</v>
      </c>
      <c r="H673" s="154" t="s">
        <v>1153</v>
      </c>
      <c r="I673" s="154" t="s">
        <v>101</v>
      </c>
      <c r="J673" s="154" t="s">
        <v>102</v>
      </c>
      <c r="K673" s="154" t="s">
        <v>60</v>
      </c>
      <c r="L673" s="154" t="s">
        <v>1897</v>
      </c>
      <c r="M673" s="154" t="s">
        <v>1388</v>
      </c>
      <c r="N673" s="154" t="s">
        <v>61</v>
      </c>
      <c r="O673" s="154" t="s">
        <v>62</v>
      </c>
      <c r="P673" s="146">
        <v>1104942.46</v>
      </c>
      <c r="Q673" s="146">
        <v>494.75</v>
      </c>
      <c r="R673" s="154" t="s">
        <v>1384</v>
      </c>
      <c r="S673" s="154" t="s">
        <v>1899</v>
      </c>
      <c r="T673" s="155" t="s">
        <v>768</v>
      </c>
      <c r="U673" s="155" t="s">
        <v>1899</v>
      </c>
      <c r="V673" s="154" t="s">
        <v>1904</v>
      </c>
      <c r="W673" s="154">
        <v>0</v>
      </c>
      <c r="X673" s="154" t="s">
        <v>63</v>
      </c>
      <c r="Y673" s="154" t="s">
        <v>1386</v>
      </c>
      <c r="Z673" s="154"/>
      <c r="AA673" s="154" t="s">
        <v>1387</v>
      </c>
      <c r="AB673" s="154">
        <v>0</v>
      </c>
      <c r="AC673" s="138">
        <f>IFERROR(IF(DATEDIF(#REF!,U673,"m")&lt;=1,1,IF(AND(DATEDIF(#REF!,U673,"m")&gt;1,DATEDIF(#REF!,U673,"m")&lt;12),2,IF(AND(DATEDIF(#REF!,U673,"m")&gt;=12,DATEDIF(#REF!,U673,"m")&lt;24),3,IF(DATEDIF(#REF!,U673,"m")&gt;=24,4,"")))),IF(E673="r0320 - Deposits, not covered and not preferential",1,4))</f>
        <v>4</v>
      </c>
    </row>
    <row r="674" spans="3:29" ht="48.75" thickBot="1" x14ac:dyDescent="0.3">
      <c r="C674" s="11">
        <v>999</v>
      </c>
      <c r="D674" s="154">
        <v>667</v>
      </c>
      <c r="E674" s="154" t="s">
        <v>1902</v>
      </c>
      <c r="F674" s="154" t="s">
        <v>83</v>
      </c>
      <c r="G674" s="154" t="s">
        <v>1903</v>
      </c>
      <c r="H674" s="154" t="s">
        <v>433</v>
      </c>
      <c r="I674" s="154" t="s">
        <v>101</v>
      </c>
      <c r="J674" s="154" t="s">
        <v>102</v>
      </c>
      <c r="K674" s="154" t="s">
        <v>60</v>
      </c>
      <c r="L674" s="154" t="s">
        <v>1897</v>
      </c>
      <c r="M674" s="154" t="s">
        <v>1388</v>
      </c>
      <c r="N674" s="154" t="s">
        <v>61</v>
      </c>
      <c r="O674" s="154" t="s">
        <v>62</v>
      </c>
      <c r="P674" s="146">
        <v>1656393.64</v>
      </c>
      <c r="Q674" s="146">
        <v>897.11</v>
      </c>
      <c r="R674" s="154" t="s">
        <v>1384</v>
      </c>
      <c r="S674" s="154" t="s">
        <v>1899</v>
      </c>
      <c r="T674" s="155" t="s">
        <v>768</v>
      </c>
      <c r="U674" s="155" t="s">
        <v>1899</v>
      </c>
      <c r="V674" s="154" t="s">
        <v>1904</v>
      </c>
      <c r="W674" s="154">
        <v>0</v>
      </c>
      <c r="X674" s="154" t="s">
        <v>63</v>
      </c>
      <c r="Y674" s="154" t="s">
        <v>1386</v>
      </c>
      <c r="Z674" s="154"/>
      <c r="AA674" s="154" t="s">
        <v>1387</v>
      </c>
      <c r="AB674" s="154">
        <v>0</v>
      </c>
      <c r="AC674" s="138">
        <f>IFERROR(IF(DATEDIF(#REF!,U674,"m")&lt;=1,1,IF(AND(DATEDIF(#REF!,U674,"m")&gt;1,DATEDIF(#REF!,U674,"m")&lt;12),2,IF(AND(DATEDIF(#REF!,U674,"m")&gt;=12,DATEDIF(#REF!,U674,"m")&lt;24),3,IF(DATEDIF(#REF!,U674,"m")&gt;=24,4,"")))),IF(E674="r0320 - Deposits, not covered and not preferential",1,4))</f>
        <v>4</v>
      </c>
    </row>
    <row r="675" spans="3:29" ht="36.75" thickBot="1" x14ac:dyDescent="0.3">
      <c r="C675" s="11">
        <v>999</v>
      </c>
      <c r="D675" s="154">
        <v>668</v>
      </c>
      <c r="E675" s="154" t="s">
        <v>1898</v>
      </c>
      <c r="F675" s="154" t="s">
        <v>87</v>
      </c>
      <c r="G675" s="154" t="s">
        <v>1402</v>
      </c>
      <c r="H675" s="154" t="s">
        <v>1199</v>
      </c>
      <c r="I675" s="154" t="s">
        <v>108</v>
      </c>
      <c r="J675" s="154" t="s">
        <v>90</v>
      </c>
      <c r="K675" s="154" t="s">
        <v>91</v>
      </c>
      <c r="L675" s="154" t="s">
        <v>1897</v>
      </c>
      <c r="M675" s="154" t="s">
        <v>1383</v>
      </c>
      <c r="N675" s="154" t="s">
        <v>61</v>
      </c>
      <c r="O675" s="154" t="s">
        <v>62</v>
      </c>
      <c r="P675" s="146">
        <v>2.69</v>
      </c>
      <c r="Q675" s="146">
        <v>0</v>
      </c>
      <c r="R675" s="154" t="s">
        <v>1384</v>
      </c>
      <c r="S675" s="154" t="s">
        <v>1899</v>
      </c>
      <c r="T675" s="155" t="s">
        <v>1899</v>
      </c>
      <c r="U675" s="155" t="s">
        <v>1899</v>
      </c>
      <c r="V675" s="154" t="s">
        <v>1562</v>
      </c>
      <c r="W675" s="154">
        <v>0</v>
      </c>
      <c r="X675" s="154" t="s">
        <v>63</v>
      </c>
      <c r="Y675" s="154" t="s">
        <v>1900</v>
      </c>
      <c r="Z675" s="154"/>
      <c r="AA675" s="154" t="s">
        <v>1387</v>
      </c>
      <c r="AB675" s="154">
        <v>0</v>
      </c>
      <c r="AC675" s="138">
        <f>IFERROR(IF(DATEDIF(#REF!,U675,"m")&lt;=1,1,IF(AND(DATEDIF(#REF!,U675,"m")&gt;1,DATEDIF(#REF!,U675,"m")&lt;12),2,IF(AND(DATEDIF(#REF!,U675,"m")&gt;=12,DATEDIF(#REF!,U675,"m")&lt;24),3,IF(DATEDIF(#REF!,U675,"m")&gt;=24,4,"")))),IF(E675="r0320 - Deposits, not covered and not preferential",1,4))</f>
        <v>4</v>
      </c>
    </row>
    <row r="676" spans="3:29" ht="36.75" thickBot="1" x14ac:dyDescent="0.3">
      <c r="C676" s="11">
        <v>999</v>
      </c>
      <c r="D676" s="154">
        <v>669</v>
      </c>
      <c r="E676" s="154" t="s">
        <v>1898</v>
      </c>
      <c r="F676" s="154" t="s">
        <v>87</v>
      </c>
      <c r="G676" s="154" t="s">
        <v>1402</v>
      </c>
      <c r="H676" s="154" t="s">
        <v>137</v>
      </c>
      <c r="I676" s="154" t="s">
        <v>108</v>
      </c>
      <c r="J676" s="154" t="s">
        <v>90</v>
      </c>
      <c r="K676" s="154" t="s">
        <v>91</v>
      </c>
      <c r="L676" s="154" t="s">
        <v>1897</v>
      </c>
      <c r="M676" s="154" t="s">
        <v>1383</v>
      </c>
      <c r="N676" s="154" t="s">
        <v>61</v>
      </c>
      <c r="O676" s="154" t="s">
        <v>62</v>
      </c>
      <c r="P676" s="146">
        <v>1.05</v>
      </c>
      <c r="Q676" s="146">
        <v>0</v>
      </c>
      <c r="R676" s="154" t="s">
        <v>1384</v>
      </c>
      <c r="S676" s="154" t="s">
        <v>1899</v>
      </c>
      <c r="T676" s="155" t="s">
        <v>1899</v>
      </c>
      <c r="U676" s="155" t="s">
        <v>1899</v>
      </c>
      <c r="V676" s="154" t="s">
        <v>1562</v>
      </c>
      <c r="W676" s="154">
        <v>0</v>
      </c>
      <c r="X676" s="154" t="s">
        <v>63</v>
      </c>
      <c r="Y676" s="154" t="s">
        <v>1900</v>
      </c>
      <c r="Z676" s="154"/>
      <c r="AA676" s="154" t="s">
        <v>1387</v>
      </c>
      <c r="AB676" s="154">
        <v>0</v>
      </c>
      <c r="AC676" s="138">
        <f>IFERROR(IF(DATEDIF(#REF!,U676,"m")&lt;=1,1,IF(AND(DATEDIF(#REF!,U676,"m")&gt;1,DATEDIF(#REF!,U676,"m")&lt;12),2,IF(AND(DATEDIF(#REF!,U676,"m")&gt;=12,DATEDIF(#REF!,U676,"m")&lt;24),3,IF(DATEDIF(#REF!,U676,"m")&gt;=24,4,"")))),IF(E676="r0320 - Deposits, not covered and not preferential",1,4))</f>
        <v>4</v>
      </c>
    </row>
    <row r="677" spans="3:29" ht="36.75" thickBot="1" x14ac:dyDescent="0.3">
      <c r="C677" s="11">
        <v>999</v>
      </c>
      <c r="D677" s="154">
        <v>670</v>
      </c>
      <c r="E677" s="154" t="s">
        <v>1898</v>
      </c>
      <c r="F677" s="154" t="s">
        <v>87</v>
      </c>
      <c r="G677" s="154" t="s">
        <v>1402</v>
      </c>
      <c r="H677" s="154" t="s">
        <v>435</v>
      </c>
      <c r="I677" s="154" t="s">
        <v>108</v>
      </c>
      <c r="J677" s="154" t="s">
        <v>90</v>
      </c>
      <c r="K677" s="154" t="s">
        <v>91</v>
      </c>
      <c r="L677" s="154" t="s">
        <v>1897</v>
      </c>
      <c r="M677" s="154" t="s">
        <v>1383</v>
      </c>
      <c r="N677" s="154" t="s">
        <v>61</v>
      </c>
      <c r="O677" s="154" t="s">
        <v>62</v>
      </c>
      <c r="P677" s="146">
        <v>25.64</v>
      </c>
      <c r="Q677" s="146">
        <v>0</v>
      </c>
      <c r="R677" s="154" t="s">
        <v>1384</v>
      </c>
      <c r="S677" s="154" t="s">
        <v>1899</v>
      </c>
      <c r="T677" s="155" t="s">
        <v>1899</v>
      </c>
      <c r="U677" s="155" t="s">
        <v>1899</v>
      </c>
      <c r="V677" s="154" t="s">
        <v>1562</v>
      </c>
      <c r="W677" s="154">
        <v>0</v>
      </c>
      <c r="X677" s="154" t="s">
        <v>63</v>
      </c>
      <c r="Y677" s="154" t="s">
        <v>1900</v>
      </c>
      <c r="Z677" s="154"/>
      <c r="AA677" s="154" t="s">
        <v>1387</v>
      </c>
      <c r="AB677" s="154">
        <v>0</v>
      </c>
      <c r="AC677" s="138">
        <f>IFERROR(IF(DATEDIF(#REF!,U677,"m")&lt;=1,1,IF(AND(DATEDIF(#REF!,U677,"m")&gt;1,DATEDIF(#REF!,U677,"m")&lt;12),2,IF(AND(DATEDIF(#REF!,U677,"m")&gt;=12,DATEDIF(#REF!,U677,"m")&lt;24),3,IF(DATEDIF(#REF!,U677,"m")&gt;=24,4,"")))),IF(E677="r0320 - Deposits, not covered and not preferential",1,4))</f>
        <v>4</v>
      </c>
    </row>
    <row r="678" spans="3:29" ht="48.75" thickBot="1" x14ac:dyDescent="0.3">
      <c r="C678" s="11">
        <v>999</v>
      </c>
      <c r="D678" s="154">
        <v>671</v>
      </c>
      <c r="E678" s="154" t="s">
        <v>1902</v>
      </c>
      <c r="F678" s="154" t="s">
        <v>83</v>
      </c>
      <c r="G678" s="154" t="s">
        <v>1903</v>
      </c>
      <c r="H678" s="154" t="s">
        <v>440</v>
      </c>
      <c r="I678" s="154" t="s">
        <v>101</v>
      </c>
      <c r="J678" s="154" t="s">
        <v>102</v>
      </c>
      <c r="K678" s="154" t="s">
        <v>60</v>
      </c>
      <c r="L678" s="154" t="s">
        <v>1897</v>
      </c>
      <c r="M678" s="154" t="s">
        <v>1388</v>
      </c>
      <c r="N678" s="154" t="s">
        <v>61</v>
      </c>
      <c r="O678" s="154" t="s">
        <v>62</v>
      </c>
      <c r="P678" s="146">
        <v>997552.81</v>
      </c>
      <c r="Q678" s="146">
        <v>583.09</v>
      </c>
      <c r="R678" s="154" t="s">
        <v>1384</v>
      </c>
      <c r="S678" s="154" t="s">
        <v>1899</v>
      </c>
      <c r="T678" s="155" t="s">
        <v>768</v>
      </c>
      <c r="U678" s="155" t="s">
        <v>1899</v>
      </c>
      <c r="V678" s="154" t="s">
        <v>1904</v>
      </c>
      <c r="W678" s="154">
        <v>0</v>
      </c>
      <c r="X678" s="154" t="s">
        <v>63</v>
      </c>
      <c r="Y678" s="154" t="s">
        <v>1386</v>
      </c>
      <c r="Z678" s="154"/>
      <c r="AA678" s="154" t="s">
        <v>1387</v>
      </c>
      <c r="AB678" s="154">
        <v>0</v>
      </c>
      <c r="AC678" s="138">
        <f>IFERROR(IF(DATEDIF(#REF!,U678,"m")&lt;=1,1,IF(AND(DATEDIF(#REF!,U678,"m")&gt;1,DATEDIF(#REF!,U678,"m")&lt;12),2,IF(AND(DATEDIF(#REF!,U678,"m")&gt;=12,DATEDIF(#REF!,U678,"m")&lt;24),3,IF(DATEDIF(#REF!,U678,"m")&gt;=24,4,"")))),IF(E678="r0320 - Deposits, not covered and not preferential",1,4))</f>
        <v>4</v>
      </c>
    </row>
    <row r="679" spans="3:29" ht="36.75" thickBot="1" x14ac:dyDescent="0.3">
      <c r="C679" s="11">
        <v>999</v>
      </c>
      <c r="D679" s="154">
        <v>672</v>
      </c>
      <c r="E679" s="154" t="s">
        <v>1898</v>
      </c>
      <c r="F679" s="154" t="s">
        <v>87</v>
      </c>
      <c r="G679" s="154" t="s">
        <v>1402</v>
      </c>
      <c r="H679" s="154" t="s">
        <v>270</v>
      </c>
      <c r="I679" s="154" t="s">
        <v>108</v>
      </c>
      <c r="J679" s="154" t="s">
        <v>90</v>
      </c>
      <c r="K679" s="154" t="s">
        <v>91</v>
      </c>
      <c r="L679" s="154" t="s">
        <v>1897</v>
      </c>
      <c r="M679" s="154" t="s">
        <v>1383</v>
      </c>
      <c r="N679" s="154" t="s">
        <v>61</v>
      </c>
      <c r="O679" s="154" t="s">
        <v>62</v>
      </c>
      <c r="P679" s="146">
        <v>57.17</v>
      </c>
      <c r="Q679" s="146">
        <v>0</v>
      </c>
      <c r="R679" s="154" t="s">
        <v>1384</v>
      </c>
      <c r="S679" s="154" t="s">
        <v>1899</v>
      </c>
      <c r="T679" s="155" t="s">
        <v>1899</v>
      </c>
      <c r="U679" s="155" t="s">
        <v>1899</v>
      </c>
      <c r="V679" s="154" t="s">
        <v>1562</v>
      </c>
      <c r="W679" s="154">
        <v>0</v>
      </c>
      <c r="X679" s="154" t="s">
        <v>63</v>
      </c>
      <c r="Y679" s="154" t="s">
        <v>1900</v>
      </c>
      <c r="Z679" s="154"/>
      <c r="AA679" s="154" t="s">
        <v>1387</v>
      </c>
      <c r="AB679" s="154">
        <v>0</v>
      </c>
      <c r="AC679" s="138">
        <f>IFERROR(IF(DATEDIF(#REF!,U679,"m")&lt;=1,1,IF(AND(DATEDIF(#REF!,U679,"m")&gt;1,DATEDIF(#REF!,U679,"m")&lt;12),2,IF(AND(DATEDIF(#REF!,U679,"m")&gt;=12,DATEDIF(#REF!,U679,"m")&lt;24),3,IF(DATEDIF(#REF!,U679,"m")&gt;=24,4,"")))),IF(E679="r0320 - Deposits, not covered and not preferential",1,4))</f>
        <v>4</v>
      </c>
    </row>
    <row r="680" spans="3:29" ht="48.75" thickBot="1" x14ac:dyDescent="0.3">
      <c r="C680" s="11">
        <v>999</v>
      </c>
      <c r="D680" s="154">
        <v>673</v>
      </c>
      <c r="E680" s="154" t="s">
        <v>1902</v>
      </c>
      <c r="F680" s="154" t="s">
        <v>83</v>
      </c>
      <c r="G680" s="154" t="s">
        <v>1903</v>
      </c>
      <c r="H680" s="154" t="s">
        <v>689</v>
      </c>
      <c r="I680" s="154" t="s">
        <v>101</v>
      </c>
      <c r="J680" s="154" t="s">
        <v>102</v>
      </c>
      <c r="K680" s="154" t="s">
        <v>60</v>
      </c>
      <c r="L680" s="154" t="s">
        <v>1897</v>
      </c>
      <c r="M680" s="154" t="s">
        <v>1388</v>
      </c>
      <c r="N680" s="154" t="s">
        <v>61</v>
      </c>
      <c r="O680" s="154" t="s">
        <v>62</v>
      </c>
      <c r="P680" s="146">
        <v>708836.39</v>
      </c>
      <c r="Q680" s="146">
        <v>300.85000000000002</v>
      </c>
      <c r="R680" s="154" t="s">
        <v>1384</v>
      </c>
      <c r="S680" s="154" t="s">
        <v>1899</v>
      </c>
      <c r="T680" s="155" t="s">
        <v>768</v>
      </c>
      <c r="U680" s="155" t="s">
        <v>1899</v>
      </c>
      <c r="V680" s="154" t="s">
        <v>1904</v>
      </c>
      <c r="W680" s="154">
        <v>0</v>
      </c>
      <c r="X680" s="154" t="s">
        <v>63</v>
      </c>
      <c r="Y680" s="154" t="s">
        <v>1386</v>
      </c>
      <c r="Z680" s="154"/>
      <c r="AA680" s="154" t="s">
        <v>1387</v>
      </c>
      <c r="AB680" s="154">
        <v>0</v>
      </c>
      <c r="AC680" s="138">
        <f>IFERROR(IF(DATEDIF(#REF!,U680,"m")&lt;=1,1,IF(AND(DATEDIF(#REF!,U680,"m")&gt;1,DATEDIF(#REF!,U680,"m")&lt;12),2,IF(AND(DATEDIF(#REF!,U680,"m")&gt;=12,DATEDIF(#REF!,U680,"m")&lt;24),3,IF(DATEDIF(#REF!,U680,"m")&gt;=24,4,"")))),IF(E680="r0320 - Deposits, not covered and not preferential",1,4))</f>
        <v>4</v>
      </c>
    </row>
    <row r="681" spans="3:29" ht="36.75" thickBot="1" x14ac:dyDescent="0.3">
      <c r="C681" s="11">
        <v>999</v>
      </c>
      <c r="D681" s="154">
        <v>674</v>
      </c>
      <c r="E681" s="154" t="s">
        <v>1898</v>
      </c>
      <c r="F681" s="154" t="s">
        <v>87</v>
      </c>
      <c r="G681" s="154" t="s">
        <v>1402</v>
      </c>
      <c r="H681" s="154" t="s">
        <v>940</v>
      </c>
      <c r="I681" s="154" t="s">
        <v>96</v>
      </c>
      <c r="J681" s="154" t="s">
        <v>97</v>
      </c>
      <c r="K681" s="154" t="s">
        <v>91</v>
      </c>
      <c r="L681" s="154" t="s">
        <v>1897</v>
      </c>
      <c r="M681" s="154" t="s">
        <v>1383</v>
      </c>
      <c r="N681" s="154" t="s">
        <v>61</v>
      </c>
      <c r="O681" s="154" t="s">
        <v>62</v>
      </c>
      <c r="P681" s="146">
        <v>8.93</v>
      </c>
      <c r="Q681" s="146">
        <v>0</v>
      </c>
      <c r="R681" s="154" t="s">
        <v>1384</v>
      </c>
      <c r="S681" s="154" t="s">
        <v>1899</v>
      </c>
      <c r="T681" s="155" t="s">
        <v>1899</v>
      </c>
      <c r="U681" s="155" t="s">
        <v>1899</v>
      </c>
      <c r="V681" s="154" t="s">
        <v>1562</v>
      </c>
      <c r="W681" s="154">
        <v>0</v>
      </c>
      <c r="X681" s="154" t="s">
        <v>63</v>
      </c>
      <c r="Y681" s="154" t="s">
        <v>1900</v>
      </c>
      <c r="Z681" s="154"/>
      <c r="AA681" s="154" t="s">
        <v>1387</v>
      </c>
      <c r="AB681" s="154">
        <v>0</v>
      </c>
      <c r="AC681" s="138">
        <f>IFERROR(IF(DATEDIF(#REF!,U681,"m")&lt;=1,1,IF(AND(DATEDIF(#REF!,U681,"m")&gt;1,DATEDIF(#REF!,U681,"m")&lt;12),2,IF(AND(DATEDIF(#REF!,U681,"m")&gt;=12,DATEDIF(#REF!,U681,"m")&lt;24),3,IF(DATEDIF(#REF!,U681,"m")&gt;=24,4,"")))),IF(E681="r0320 - Deposits, not covered and not preferential",1,4))</f>
        <v>4</v>
      </c>
    </row>
    <row r="682" spans="3:29" ht="36.75" thickBot="1" x14ac:dyDescent="0.3">
      <c r="C682" s="11">
        <v>999</v>
      </c>
      <c r="D682" s="154">
        <v>675</v>
      </c>
      <c r="E682" s="154" t="s">
        <v>1898</v>
      </c>
      <c r="F682" s="154" t="s">
        <v>87</v>
      </c>
      <c r="G682" s="154" t="s">
        <v>1402</v>
      </c>
      <c r="H682" s="154" t="s">
        <v>1209</v>
      </c>
      <c r="I682" s="154" t="s">
        <v>108</v>
      </c>
      <c r="J682" s="154" t="s">
        <v>90</v>
      </c>
      <c r="K682" s="154" t="s">
        <v>91</v>
      </c>
      <c r="L682" s="154" t="s">
        <v>1897</v>
      </c>
      <c r="M682" s="154" t="s">
        <v>1383</v>
      </c>
      <c r="N682" s="154" t="s">
        <v>61</v>
      </c>
      <c r="O682" s="154" t="s">
        <v>62</v>
      </c>
      <c r="P682" s="146">
        <v>1.41</v>
      </c>
      <c r="Q682" s="146">
        <v>0</v>
      </c>
      <c r="R682" s="154" t="s">
        <v>1384</v>
      </c>
      <c r="S682" s="154" t="s">
        <v>1899</v>
      </c>
      <c r="T682" s="155" t="s">
        <v>1899</v>
      </c>
      <c r="U682" s="155" t="s">
        <v>1899</v>
      </c>
      <c r="V682" s="154" t="s">
        <v>1562</v>
      </c>
      <c r="W682" s="154">
        <v>0</v>
      </c>
      <c r="X682" s="154" t="s">
        <v>63</v>
      </c>
      <c r="Y682" s="154" t="s">
        <v>1900</v>
      </c>
      <c r="Z682" s="154"/>
      <c r="AA682" s="154" t="s">
        <v>1387</v>
      </c>
      <c r="AB682" s="154">
        <v>0</v>
      </c>
      <c r="AC682" s="138">
        <f>IFERROR(IF(DATEDIF(#REF!,U682,"m")&lt;=1,1,IF(AND(DATEDIF(#REF!,U682,"m")&gt;1,DATEDIF(#REF!,U682,"m")&lt;12),2,IF(AND(DATEDIF(#REF!,U682,"m")&gt;=12,DATEDIF(#REF!,U682,"m")&lt;24),3,IF(DATEDIF(#REF!,U682,"m")&gt;=24,4,"")))),IF(E682="r0320 - Deposits, not covered and not preferential",1,4))</f>
        <v>4</v>
      </c>
    </row>
    <row r="683" spans="3:29" ht="48.75" thickBot="1" x14ac:dyDescent="0.3">
      <c r="C683" s="11">
        <v>999</v>
      </c>
      <c r="D683" s="154">
        <v>676</v>
      </c>
      <c r="E683" s="154" t="s">
        <v>1902</v>
      </c>
      <c r="F683" s="154" t="s">
        <v>83</v>
      </c>
      <c r="G683" s="154" t="s">
        <v>1903</v>
      </c>
      <c r="H683" s="154" t="s">
        <v>428</v>
      </c>
      <c r="I683" s="154" t="s">
        <v>114</v>
      </c>
      <c r="J683" s="154" t="s">
        <v>115</v>
      </c>
      <c r="K683" s="154" t="s">
        <v>60</v>
      </c>
      <c r="L683" s="154" t="s">
        <v>1897</v>
      </c>
      <c r="M683" s="154" t="s">
        <v>1388</v>
      </c>
      <c r="N683" s="154" t="s">
        <v>61</v>
      </c>
      <c r="O683" s="154" t="s">
        <v>62</v>
      </c>
      <c r="P683" s="146">
        <v>138092.66</v>
      </c>
      <c r="Q683" s="146">
        <v>32.78</v>
      </c>
      <c r="R683" s="154" t="s">
        <v>1384</v>
      </c>
      <c r="S683" s="154" t="s">
        <v>1899</v>
      </c>
      <c r="T683" s="155" t="s">
        <v>768</v>
      </c>
      <c r="U683" s="155" t="s">
        <v>1899</v>
      </c>
      <c r="V683" s="154" t="s">
        <v>1904</v>
      </c>
      <c r="W683" s="154">
        <v>0</v>
      </c>
      <c r="X683" s="154" t="s">
        <v>63</v>
      </c>
      <c r="Y683" s="154" t="s">
        <v>1386</v>
      </c>
      <c r="Z683" s="154"/>
      <c r="AA683" s="154" t="s">
        <v>1387</v>
      </c>
      <c r="AB683" s="154">
        <v>0</v>
      </c>
      <c r="AC683" s="138">
        <f>IFERROR(IF(DATEDIF(#REF!,U683,"m")&lt;=1,1,IF(AND(DATEDIF(#REF!,U683,"m")&gt;1,DATEDIF(#REF!,U683,"m")&lt;12),2,IF(AND(DATEDIF(#REF!,U683,"m")&gt;=12,DATEDIF(#REF!,U683,"m")&lt;24),3,IF(DATEDIF(#REF!,U683,"m")&gt;=24,4,"")))),IF(E683="r0320 - Deposits, not covered and not preferential",1,4))</f>
        <v>4</v>
      </c>
    </row>
    <row r="684" spans="3:29" ht="48.75" thickBot="1" x14ac:dyDescent="0.3">
      <c r="C684" s="11">
        <v>999</v>
      </c>
      <c r="D684" s="154">
        <v>677</v>
      </c>
      <c r="E684" s="154" t="s">
        <v>1902</v>
      </c>
      <c r="F684" s="154" t="s">
        <v>83</v>
      </c>
      <c r="G684" s="154" t="s">
        <v>1903</v>
      </c>
      <c r="H684" s="154" t="s">
        <v>394</v>
      </c>
      <c r="I684" s="154" t="s">
        <v>114</v>
      </c>
      <c r="J684" s="154" t="s">
        <v>115</v>
      </c>
      <c r="K684" s="154" t="s">
        <v>60</v>
      </c>
      <c r="L684" s="154" t="s">
        <v>1897</v>
      </c>
      <c r="M684" s="154" t="s">
        <v>1388</v>
      </c>
      <c r="N684" s="154" t="s">
        <v>61</v>
      </c>
      <c r="O684" s="154" t="s">
        <v>62</v>
      </c>
      <c r="P684" s="146">
        <v>15460.25</v>
      </c>
      <c r="Q684" s="146">
        <v>6.09</v>
      </c>
      <c r="R684" s="154" t="s">
        <v>1384</v>
      </c>
      <c r="S684" s="154" t="s">
        <v>1899</v>
      </c>
      <c r="T684" s="155" t="s">
        <v>768</v>
      </c>
      <c r="U684" s="155" t="s">
        <v>1899</v>
      </c>
      <c r="V684" s="154" t="s">
        <v>1904</v>
      </c>
      <c r="W684" s="154">
        <v>0</v>
      </c>
      <c r="X684" s="154" t="s">
        <v>63</v>
      </c>
      <c r="Y684" s="154" t="s">
        <v>1386</v>
      </c>
      <c r="Z684" s="154"/>
      <c r="AA684" s="154" t="s">
        <v>1387</v>
      </c>
      <c r="AB684" s="154">
        <v>0</v>
      </c>
      <c r="AC684" s="138">
        <f>IFERROR(IF(DATEDIF(#REF!,U684,"m")&lt;=1,1,IF(AND(DATEDIF(#REF!,U684,"m")&gt;1,DATEDIF(#REF!,U684,"m")&lt;12),2,IF(AND(DATEDIF(#REF!,U684,"m")&gt;=12,DATEDIF(#REF!,U684,"m")&lt;24),3,IF(DATEDIF(#REF!,U684,"m")&gt;=24,4,"")))),IF(E684="r0320 - Deposits, not covered and not preferential",1,4))</f>
        <v>4</v>
      </c>
    </row>
    <row r="685" spans="3:29" ht="48.75" thickBot="1" x14ac:dyDescent="0.3">
      <c r="C685" s="11">
        <v>999</v>
      </c>
      <c r="D685" s="154">
        <v>678</v>
      </c>
      <c r="E685" s="154" t="s">
        <v>1902</v>
      </c>
      <c r="F685" s="154" t="s">
        <v>83</v>
      </c>
      <c r="G685" s="154" t="s">
        <v>1903</v>
      </c>
      <c r="H685" s="154" t="s">
        <v>394</v>
      </c>
      <c r="I685" s="154" t="s">
        <v>101</v>
      </c>
      <c r="J685" s="154" t="s">
        <v>102</v>
      </c>
      <c r="K685" s="154" t="s">
        <v>60</v>
      </c>
      <c r="L685" s="154" t="s">
        <v>1897</v>
      </c>
      <c r="M685" s="154" t="s">
        <v>1388</v>
      </c>
      <c r="N685" s="154" t="s">
        <v>61</v>
      </c>
      <c r="O685" s="154" t="s">
        <v>62</v>
      </c>
      <c r="P685" s="146">
        <v>470030.11</v>
      </c>
      <c r="Q685" s="146">
        <v>140.34</v>
      </c>
      <c r="R685" s="154" t="s">
        <v>1384</v>
      </c>
      <c r="S685" s="154" t="s">
        <v>1899</v>
      </c>
      <c r="T685" s="155" t="s">
        <v>768</v>
      </c>
      <c r="U685" s="155" t="s">
        <v>1899</v>
      </c>
      <c r="V685" s="154" t="s">
        <v>1904</v>
      </c>
      <c r="W685" s="154">
        <v>0</v>
      </c>
      <c r="X685" s="154" t="s">
        <v>63</v>
      </c>
      <c r="Y685" s="154" t="s">
        <v>1386</v>
      </c>
      <c r="Z685" s="154"/>
      <c r="AA685" s="154" t="s">
        <v>1387</v>
      </c>
      <c r="AB685" s="154">
        <v>0</v>
      </c>
      <c r="AC685" s="138">
        <f>IFERROR(IF(DATEDIF(#REF!,U685,"m")&lt;=1,1,IF(AND(DATEDIF(#REF!,U685,"m")&gt;1,DATEDIF(#REF!,U685,"m")&lt;12),2,IF(AND(DATEDIF(#REF!,U685,"m")&gt;=12,DATEDIF(#REF!,U685,"m")&lt;24),3,IF(DATEDIF(#REF!,U685,"m")&gt;=24,4,"")))),IF(E685="r0320 - Deposits, not covered and not preferential",1,4))</f>
        <v>4</v>
      </c>
    </row>
    <row r="686" spans="3:29" ht="48.75" thickBot="1" x14ac:dyDescent="0.3">
      <c r="C686" s="11">
        <v>999</v>
      </c>
      <c r="D686" s="154">
        <v>679</v>
      </c>
      <c r="E686" s="154" t="s">
        <v>1902</v>
      </c>
      <c r="F686" s="154" t="s">
        <v>83</v>
      </c>
      <c r="G686" s="154" t="s">
        <v>1903</v>
      </c>
      <c r="H686" s="154" t="s">
        <v>689</v>
      </c>
      <c r="I686" s="154" t="s">
        <v>114</v>
      </c>
      <c r="J686" s="154" t="s">
        <v>115</v>
      </c>
      <c r="K686" s="154" t="s">
        <v>60</v>
      </c>
      <c r="L686" s="154" t="s">
        <v>1897</v>
      </c>
      <c r="M686" s="154" t="s">
        <v>1388</v>
      </c>
      <c r="N686" s="154" t="s">
        <v>61</v>
      </c>
      <c r="O686" s="154" t="s">
        <v>62</v>
      </c>
      <c r="P686" s="146">
        <v>75395.460000000006</v>
      </c>
      <c r="Q686" s="146">
        <v>34.01</v>
      </c>
      <c r="R686" s="154" t="s">
        <v>1384</v>
      </c>
      <c r="S686" s="154" t="s">
        <v>1899</v>
      </c>
      <c r="T686" s="155" t="s">
        <v>768</v>
      </c>
      <c r="U686" s="155" t="s">
        <v>1899</v>
      </c>
      <c r="V686" s="154" t="s">
        <v>1904</v>
      </c>
      <c r="W686" s="154">
        <v>0</v>
      </c>
      <c r="X686" s="154" t="s">
        <v>63</v>
      </c>
      <c r="Y686" s="154" t="s">
        <v>1386</v>
      </c>
      <c r="Z686" s="154"/>
      <c r="AA686" s="154" t="s">
        <v>1387</v>
      </c>
      <c r="AB686" s="154">
        <v>0</v>
      </c>
      <c r="AC686" s="138">
        <f>IFERROR(IF(DATEDIF(#REF!,U686,"m")&lt;=1,1,IF(AND(DATEDIF(#REF!,U686,"m")&gt;1,DATEDIF(#REF!,U686,"m")&lt;12),2,IF(AND(DATEDIF(#REF!,U686,"m")&gt;=12,DATEDIF(#REF!,U686,"m")&lt;24),3,IF(DATEDIF(#REF!,U686,"m")&gt;=24,4,"")))),IF(E686="r0320 - Deposits, not covered and not preferential",1,4))</f>
        <v>4</v>
      </c>
    </row>
    <row r="687" spans="3:29" ht="48.75" thickBot="1" x14ac:dyDescent="0.3">
      <c r="C687" s="11">
        <v>999</v>
      </c>
      <c r="D687" s="154">
        <v>680</v>
      </c>
      <c r="E687" s="154" t="s">
        <v>1902</v>
      </c>
      <c r="F687" s="154" t="s">
        <v>83</v>
      </c>
      <c r="G687" s="154" t="s">
        <v>1903</v>
      </c>
      <c r="H687" s="154" t="s">
        <v>1176</v>
      </c>
      <c r="I687" s="154" t="s">
        <v>101</v>
      </c>
      <c r="J687" s="154" t="s">
        <v>102</v>
      </c>
      <c r="K687" s="154" t="s">
        <v>60</v>
      </c>
      <c r="L687" s="154" t="s">
        <v>1897</v>
      </c>
      <c r="M687" s="154" t="s">
        <v>1388</v>
      </c>
      <c r="N687" s="154" t="s">
        <v>61</v>
      </c>
      <c r="O687" s="154" t="s">
        <v>62</v>
      </c>
      <c r="P687" s="146">
        <v>351254.46</v>
      </c>
      <c r="Q687" s="146">
        <v>285.27999999999997</v>
      </c>
      <c r="R687" s="154" t="s">
        <v>1384</v>
      </c>
      <c r="S687" s="154" t="s">
        <v>1899</v>
      </c>
      <c r="T687" s="155" t="s">
        <v>768</v>
      </c>
      <c r="U687" s="155" t="s">
        <v>1899</v>
      </c>
      <c r="V687" s="154" t="s">
        <v>1904</v>
      </c>
      <c r="W687" s="154">
        <v>0</v>
      </c>
      <c r="X687" s="154" t="s">
        <v>63</v>
      </c>
      <c r="Y687" s="154" t="s">
        <v>1386</v>
      </c>
      <c r="Z687" s="154"/>
      <c r="AA687" s="154" t="s">
        <v>1387</v>
      </c>
      <c r="AB687" s="154">
        <v>0</v>
      </c>
      <c r="AC687" s="138">
        <f>IFERROR(IF(DATEDIF(#REF!,U687,"m")&lt;=1,1,IF(AND(DATEDIF(#REF!,U687,"m")&gt;1,DATEDIF(#REF!,U687,"m")&lt;12),2,IF(AND(DATEDIF(#REF!,U687,"m")&gt;=12,DATEDIF(#REF!,U687,"m")&lt;24),3,IF(DATEDIF(#REF!,U687,"m")&gt;=24,4,"")))),IF(E687="r0320 - Deposits, not covered and not preferential",1,4))</f>
        <v>4</v>
      </c>
    </row>
    <row r="688" spans="3:29" ht="36.75" thickBot="1" x14ac:dyDescent="0.3">
      <c r="C688" s="11">
        <v>999</v>
      </c>
      <c r="D688" s="154">
        <v>681</v>
      </c>
      <c r="E688" s="154" t="s">
        <v>1898</v>
      </c>
      <c r="F688" s="154" t="s">
        <v>87</v>
      </c>
      <c r="G688" s="154" t="s">
        <v>1402</v>
      </c>
      <c r="H688" s="154" t="s">
        <v>1206</v>
      </c>
      <c r="I688" s="154" t="s">
        <v>108</v>
      </c>
      <c r="J688" s="154" t="s">
        <v>90</v>
      </c>
      <c r="K688" s="154" t="s">
        <v>91</v>
      </c>
      <c r="L688" s="154" t="s">
        <v>1897</v>
      </c>
      <c r="M688" s="154" t="s">
        <v>1383</v>
      </c>
      <c r="N688" s="154" t="s">
        <v>61</v>
      </c>
      <c r="O688" s="154" t="s">
        <v>62</v>
      </c>
      <c r="P688" s="146">
        <v>9.17</v>
      </c>
      <c r="Q688" s="146">
        <v>0</v>
      </c>
      <c r="R688" s="154" t="s">
        <v>1384</v>
      </c>
      <c r="S688" s="154" t="s">
        <v>1899</v>
      </c>
      <c r="T688" s="155" t="s">
        <v>1899</v>
      </c>
      <c r="U688" s="155" t="s">
        <v>1899</v>
      </c>
      <c r="V688" s="154" t="s">
        <v>1562</v>
      </c>
      <c r="W688" s="154">
        <v>0</v>
      </c>
      <c r="X688" s="154" t="s">
        <v>63</v>
      </c>
      <c r="Y688" s="154" t="s">
        <v>1900</v>
      </c>
      <c r="Z688" s="154"/>
      <c r="AA688" s="154" t="s">
        <v>1387</v>
      </c>
      <c r="AB688" s="154">
        <v>0</v>
      </c>
      <c r="AC688" s="138">
        <f>IFERROR(IF(DATEDIF(#REF!,U688,"m")&lt;=1,1,IF(AND(DATEDIF(#REF!,U688,"m")&gt;1,DATEDIF(#REF!,U688,"m")&lt;12),2,IF(AND(DATEDIF(#REF!,U688,"m")&gt;=12,DATEDIF(#REF!,U688,"m")&lt;24),3,IF(DATEDIF(#REF!,U688,"m")&gt;=24,4,"")))),IF(E688="r0320 - Deposits, not covered and not preferential",1,4))</f>
        <v>4</v>
      </c>
    </row>
    <row r="689" spans="3:29" ht="48.75" thickBot="1" x14ac:dyDescent="0.3">
      <c r="C689" s="11">
        <v>999</v>
      </c>
      <c r="D689" s="154">
        <v>682</v>
      </c>
      <c r="E689" s="154" t="s">
        <v>1902</v>
      </c>
      <c r="F689" s="154" t="s">
        <v>83</v>
      </c>
      <c r="G689" s="154" t="s">
        <v>1903</v>
      </c>
      <c r="H689" s="154" t="s">
        <v>432</v>
      </c>
      <c r="I689" s="154" t="s">
        <v>114</v>
      </c>
      <c r="J689" s="154" t="s">
        <v>115</v>
      </c>
      <c r="K689" s="154" t="s">
        <v>60</v>
      </c>
      <c r="L689" s="154" t="s">
        <v>1897</v>
      </c>
      <c r="M689" s="154" t="s">
        <v>1388</v>
      </c>
      <c r="N689" s="154" t="s">
        <v>61</v>
      </c>
      <c r="O689" s="154" t="s">
        <v>62</v>
      </c>
      <c r="P689" s="146">
        <v>84357.29</v>
      </c>
      <c r="Q689" s="146">
        <v>18.95</v>
      </c>
      <c r="R689" s="154" t="s">
        <v>1384</v>
      </c>
      <c r="S689" s="154" t="s">
        <v>1899</v>
      </c>
      <c r="T689" s="155" t="s">
        <v>768</v>
      </c>
      <c r="U689" s="155" t="s">
        <v>1899</v>
      </c>
      <c r="V689" s="154" t="s">
        <v>1904</v>
      </c>
      <c r="W689" s="154">
        <v>0</v>
      </c>
      <c r="X689" s="154" t="s">
        <v>63</v>
      </c>
      <c r="Y689" s="154" t="s">
        <v>1386</v>
      </c>
      <c r="Z689" s="154"/>
      <c r="AA689" s="154" t="s">
        <v>1387</v>
      </c>
      <c r="AB689" s="154">
        <v>0</v>
      </c>
      <c r="AC689" s="138">
        <f>IFERROR(IF(DATEDIF(#REF!,U689,"m")&lt;=1,1,IF(AND(DATEDIF(#REF!,U689,"m")&gt;1,DATEDIF(#REF!,U689,"m")&lt;12),2,IF(AND(DATEDIF(#REF!,U689,"m")&gt;=12,DATEDIF(#REF!,U689,"m")&lt;24),3,IF(DATEDIF(#REF!,U689,"m")&gt;=24,4,"")))),IF(E689="r0320 - Deposits, not covered and not preferential",1,4))</f>
        <v>4</v>
      </c>
    </row>
    <row r="690" spans="3:29" ht="48.75" thickBot="1" x14ac:dyDescent="0.3">
      <c r="C690" s="11">
        <v>999</v>
      </c>
      <c r="D690" s="154">
        <v>683</v>
      </c>
      <c r="E690" s="154" t="s">
        <v>1902</v>
      </c>
      <c r="F690" s="154" t="s">
        <v>83</v>
      </c>
      <c r="G690" s="154" t="s">
        <v>1903</v>
      </c>
      <c r="H690" s="154" t="s">
        <v>256</v>
      </c>
      <c r="I690" s="154" t="s">
        <v>93</v>
      </c>
      <c r="J690" s="154" t="s">
        <v>94</v>
      </c>
      <c r="K690" s="154" t="s">
        <v>60</v>
      </c>
      <c r="L690" s="154" t="s">
        <v>1897</v>
      </c>
      <c r="M690" s="154" t="s">
        <v>1388</v>
      </c>
      <c r="N690" s="154" t="s">
        <v>61</v>
      </c>
      <c r="O690" s="154" t="s">
        <v>62</v>
      </c>
      <c r="P690" s="146">
        <v>21065.18</v>
      </c>
      <c r="Q690" s="146">
        <v>0</v>
      </c>
      <c r="R690" s="154" t="s">
        <v>1384</v>
      </c>
      <c r="S690" s="154" t="s">
        <v>1899</v>
      </c>
      <c r="T690" s="155" t="s">
        <v>768</v>
      </c>
      <c r="U690" s="155" t="s">
        <v>1899</v>
      </c>
      <c r="V690" s="154" t="s">
        <v>1904</v>
      </c>
      <c r="W690" s="154">
        <v>0</v>
      </c>
      <c r="X690" s="154" t="s">
        <v>63</v>
      </c>
      <c r="Y690" s="154" t="s">
        <v>1386</v>
      </c>
      <c r="Z690" s="154"/>
      <c r="AA690" s="154" t="s">
        <v>1387</v>
      </c>
      <c r="AB690" s="154">
        <v>0</v>
      </c>
      <c r="AC690" s="138">
        <f>IFERROR(IF(DATEDIF(#REF!,U690,"m")&lt;=1,1,IF(AND(DATEDIF(#REF!,U690,"m")&gt;1,DATEDIF(#REF!,U690,"m")&lt;12),2,IF(AND(DATEDIF(#REF!,U690,"m")&gt;=12,DATEDIF(#REF!,U690,"m")&lt;24),3,IF(DATEDIF(#REF!,U690,"m")&gt;=24,4,"")))),IF(E690="r0320 - Deposits, not covered and not preferential",1,4))</f>
        <v>4</v>
      </c>
    </row>
    <row r="691" spans="3:29" ht="48.75" thickBot="1" x14ac:dyDescent="0.3">
      <c r="C691" s="11">
        <v>999</v>
      </c>
      <c r="D691" s="154">
        <v>684</v>
      </c>
      <c r="E691" s="154" t="s">
        <v>1902</v>
      </c>
      <c r="F691" s="154" t="s">
        <v>83</v>
      </c>
      <c r="G691" s="154" t="s">
        <v>1903</v>
      </c>
      <c r="H691" s="154" t="s">
        <v>100</v>
      </c>
      <c r="I691" s="154" t="s">
        <v>93</v>
      </c>
      <c r="J691" s="154" t="s">
        <v>94</v>
      </c>
      <c r="K691" s="154" t="s">
        <v>60</v>
      </c>
      <c r="L691" s="154" t="s">
        <v>1897</v>
      </c>
      <c r="M691" s="154" t="s">
        <v>1388</v>
      </c>
      <c r="N691" s="154" t="s">
        <v>61</v>
      </c>
      <c r="O691" s="154" t="s">
        <v>62</v>
      </c>
      <c r="P691" s="146">
        <v>86493.32</v>
      </c>
      <c r="Q691" s="146">
        <v>-1.17</v>
      </c>
      <c r="R691" s="154" t="s">
        <v>1384</v>
      </c>
      <c r="S691" s="154" t="s">
        <v>1899</v>
      </c>
      <c r="T691" s="155" t="s">
        <v>768</v>
      </c>
      <c r="U691" s="155" t="s">
        <v>1899</v>
      </c>
      <c r="V691" s="154" t="s">
        <v>1904</v>
      </c>
      <c r="W691" s="154">
        <v>0</v>
      </c>
      <c r="X691" s="154" t="s">
        <v>63</v>
      </c>
      <c r="Y691" s="154" t="s">
        <v>1386</v>
      </c>
      <c r="Z691" s="154"/>
      <c r="AA691" s="154" t="s">
        <v>1387</v>
      </c>
      <c r="AB691" s="154">
        <v>0</v>
      </c>
      <c r="AC691" s="138">
        <f>IFERROR(IF(DATEDIF(#REF!,U691,"m")&lt;=1,1,IF(AND(DATEDIF(#REF!,U691,"m")&gt;1,DATEDIF(#REF!,U691,"m")&lt;12),2,IF(AND(DATEDIF(#REF!,U691,"m")&gt;=12,DATEDIF(#REF!,U691,"m")&lt;24),3,IF(DATEDIF(#REF!,U691,"m")&gt;=24,4,"")))),IF(E691="r0320 - Deposits, not covered and not preferential",1,4))</f>
        <v>4</v>
      </c>
    </row>
    <row r="692" spans="3:29" ht="48.75" thickBot="1" x14ac:dyDescent="0.3">
      <c r="C692" s="11">
        <v>999</v>
      </c>
      <c r="D692" s="154">
        <v>685</v>
      </c>
      <c r="E692" s="154" t="s">
        <v>1902</v>
      </c>
      <c r="F692" s="154" t="s">
        <v>83</v>
      </c>
      <c r="G692" s="154" t="s">
        <v>1903</v>
      </c>
      <c r="H692" s="154" t="s">
        <v>735</v>
      </c>
      <c r="I692" s="154" t="s">
        <v>101</v>
      </c>
      <c r="J692" s="154" t="s">
        <v>102</v>
      </c>
      <c r="K692" s="154" t="s">
        <v>60</v>
      </c>
      <c r="L692" s="154" t="s">
        <v>1897</v>
      </c>
      <c r="M692" s="154" t="s">
        <v>1388</v>
      </c>
      <c r="N692" s="154" t="s">
        <v>61</v>
      </c>
      <c r="O692" s="154" t="s">
        <v>62</v>
      </c>
      <c r="P692" s="146">
        <v>920475.16</v>
      </c>
      <c r="Q692" s="146">
        <v>79.400000000000006</v>
      </c>
      <c r="R692" s="154" t="s">
        <v>1384</v>
      </c>
      <c r="S692" s="154" t="s">
        <v>1899</v>
      </c>
      <c r="T692" s="155" t="s">
        <v>768</v>
      </c>
      <c r="U692" s="155" t="s">
        <v>1899</v>
      </c>
      <c r="V692" s="154" t="s">
        <v>1904</v>
      </c>
      <c r="W692" s="154">
        <v>0</v>
      </c>
      <c r="X692" s="154" t="s">
        <v>63</v>
      </c>
      <c r="Y692" s="154" t="s">
        <v>1386</v>
      </c>
      <c r="Z692" s="154"/>
      <c r="AA692" s="154" t="s">
        <v>1387</v>
      </c>
      <c r="AB692" s="154">
        <v>0</v>
      </c>
      <c r="AC692" s="138">
        <f>IFERROR(IF(DATEDIF(#REF!,U692,"m")&lt;=1,1,IF(AND(DATEDIF(#REF!,U692,"m")&gt;1,DATEDIF(#REF!,U692,"m")&lt;12),2,IF(AND(DATEDIF(#REF!,U692,"m")&gt;=12,DATEDIF(#REF!,U692,"m")&lt;24),3,IF(DATEDIF(#REF!,U692,"m")&gt;=24,4,"")))),IF(E692="r0320 - Deposits, not covered and not preferential",1,4))</f>
        <v>4</v>
      </c>
    </row>
    <row r="693" spans="3:29" ht="48.75" thickBot="1" x14ac:dyDescent="0.3">
      <c r="C693" s="11">
        <v>999</v>
      </c>
      <c r="D693" s="154">
        <v>686</v>
      </c>
      <c r="E693" s="154" t="s">
        <v>1902</v>
      </c>
      <c r="F693" s="154" t="s">
        <v>83</v>
      </c>
      <c r="G693" s="154" t="s">
        <v>1903</v>
      </c>
      <c r="H693" s="154" t="s">
        <v>1176</v>
      </c>
      <c r="I693" s="154" t="s">
        <v>114</v>
      </c>
      <c r="J693" s="154" t="s">
        <v>115</v>
      </c>
      <c r="K693" s="154" t="s">
        <v>60</v>
      </c>
      <c r="L693" s="154" t="s">
        <v>1897</v>
      </c>
      <c r="M693" s="154" t="s">
        <v>1388</v>
      </c>
      <c r="N693" s="154" t="s">
        <v>61</v>
      </c>
      <c r="O693" s="154" t="s">
        <v>62</v>
      </c>
      <c r="P693" s="146">
        <v>147333.59</v>
      </c>
      <c r="Q693" s="146">
        <v>1.6</v>
      </c>
      <c r="R693" s="154" t="s">
        <v>1384</v>
      </c>
      <c r="S693" s="154" t="s">
        <v>1899</v>
      </c>
      <c r="T693" s="155" t="s">
        <v>768</v>
      </c>
      <c r="U693" s="155" t="s">
        <v>1899</v>
      </c>
      <c r="V693" s="154" t="s">
        <v>1904</v>
      </c>
      <c r="W693" s="154">
        <v>0</v>
      </c>
      <c r="X693" s="154" t="s">
        <v>63</v>
      </c>
      <c r="Y693" s="154" t="s">
        <v>1386</v>
      </c>
      <c r="Z693" s="154"/>
      <c r="AA693" s="154" t="s">
        <v>1387</v>
      </c>
      <c r="AB693" s="154">
        <v>0</v>
      </c>
      <c r="AC693" s="138">
        <f>IFERROR(IF(DATEDIF(#REF!,U693,"m")&lt;=1,1,IF(AND(DATEDIF(#REF!,U693,"m")&gt;1,DATEDIF(#REF!,U693,"m")&lt;12),2,IF(AND(DATEDIF(#REF!,U693,"m")&gt;=12,DATEDIF(#REF!,U693,"m")&lt;24),3,IF(DATEDIF(#REF!,U693,"m")&gt;=24,4,"")))),IF(E693="r0320 - Deposits, not covered and not preferential",1,4))</f>
        <v>4</v>
      </c>
    </row>
    <row r="694" spans="3:29" ht="48.75" thickBot="1" x14ac:dyDescent="0.3">
      <c r="C694" s="11">
        <v>999</v>
      </c>
      <c r="D694" s="154">
        <v>687</v>
      </c>
      <c r="E694" s="154" t="s">
        <v>1902</v>
      </c>
      <c r="F694" s="154" t="s">
        <v>83</v>
      </c>
      <c r="G694" s="154" t="s">
        <v>1903</v>
      </c>
      <c r="H694" s="154" t="s">
        <v>100</v>
      </c>
      <c r="I694" s="154" t="s">
        <v>114</v>
      </c>
      <c r="J694" s="154" t="s">
        <v>115</v>
      </c>
      <c r="K694" s="154" t="s">
        <v>60</v>
      </c>
      <c r="L694" s="154" t="s">
        <v>1897</v>
      </c>
      <c r="M694" s="154" t="s">
        <v>1388</v>
      </c>
      <c r="N694" s="154" t="s">
        <v>61</v>
      </c>
      <c r="O694" s="154" t="s">
        <v>62</v>
      </c>
      <c r="P694" s="146">
        <v>77770.94</v>
      </c>
      <c r="Q694" s="146">
        <v>11.21</v>
      </c>
      <c r="R694" s="154" t="s">
        <v>1384</v>
      </c>
      <c r="S694" s="154" t="s">
        <v>1899</v>
      </c>
      <c r="T694" s="155" t="s">
        <v>768</v>
      </c>
      <c r="U694" s="155" t="s">
        <v>1899</v>
      </c>
      <c r="V694" s="154" t="s">
        <v>1904</v>
      </c>
      <c r="W694" s="154">
        <v>0</v>
      </c>
      <c r="X694" s="154" t="s">
        <v>63</v>
      </c>
      <c r="Y694" s="154" t="s">
        <v>1386</v>
      </c>
      <c r="Z694" s="154"/>
      <c r="AA694" s="154" t="s">
        <v>1387</v>
      </c>
      <c r="AB694" s="154">
        <v>0</v>
      </c>
      <c r="AC694" s="138">
        <f>IFERROR(IF(DATEDIF(#REF!,U694,"m")&lt;=1,1,IF(AND(DATEDIF(#REF!,U694,"m")&gt;1,DATEDIF(#REF!,U694,"m")&lt;12),2,IF(AND(DATEDIF(#REF!,U694,"m")&gt;=12,DATEDIF(#REF!,U694,"m")&lt;24),3,IF(DATEDIF(#REF!,U694,"m")&gt;=24,4,"")))),IF(E694="r0320 - Deposits, not covered and not preferential",1,4))</f>
        <v>4</v>
      </c>
    </row>
    <row r="695" spans="3:29" ht="48.75" thickBot="1" x14ac:dyDescent="0.3">
      <c r="C695" s="11">
        <v>999</v>
      </c>
      <c r="D695" s="154">
        <v>688</v>
      </c>
      <c r="E695" s="154" t="s">
        <v>1902</v>
      </c>
      <c r="F695" s="154" t="s">
        <v>83</v>
      </c>
      <c r="G695" s="154" t="s">
        <v>1903</v>
      </c>
      <c r="H695" s="154" t="s">
        <v>1203</v>
      </c>
      <c r="I695" s="154" t="s">
        <v>93</v>
      </c>
      <c r="J695" s="154" t="s">
        <v>94</v>
      </c>
      <c r="K695" s="154" t="s">
        <v>60</v>
      </c>
      <c r="L695" s="154" t="s">
        <v>1897</v>
      </c>
      <c r="M695" s="154" t="s">
        <v>1388</v>
      </c>
      <c r="N695" s="154" t="s">
        <v>61</v>
      </c>
      <c r="O695" s="154" t="s">
        <v>62</v>
      </c>
      <c r="P695" s="146">
        <v>-22484170.620000001</v>
      </c>
      <c r="Q695" s="146">
        <v>0</v>
      </c>
      <c r="R695" s="154" t="s">
        <v>1384</v>
      </c>
      <c r="S695" s="154" t="s">
        <v>1899</v>
      </c>
      <c r="T695" s="155" t="s">
        <v>768</v>
      </c>
      <c r="U695" s="155" t="s">
        <v>1899</v>
      </c>
      <c r="V695" s="154" t="s">
        <v>1904</v>
      </c>
      <c r="W695" s="154">
        <v>0</v>
      </c>
      <c r="X695" s="154" t="s">
        <v>63</v>
      </c>
      <c r="Y695" s="154" t="s">
        <v>1386</v>
      </c>
      <c r="Z695" s="154"/>
      <c r="AA695" s="154" t="s">
        <v>1387</v>
      </c>
      <c r="AB695" s="154">
        <v>0</v>
      </c>
      <c r="AC695" s="138">
        <f>IFERROR(IF(DATEDIF(#REF!,U695,"m")&lt;=1,1,IF(AND(DATEDIF(#REF!,U695,"m")&gt;1,DATEDIF(#REF!,U695,"m")&lt;12),2,IF(AND(DATEDIF(#REF!,U695,"m")&gt;=12,DATEDIF(#REF!,U695,"m")&lt;24),3,IF(DATEDIF(#REF!,U695,"m")&gt;=24,4,"")))),IF(E695="r0320 - Deposits, not covered and not preferential",1,4))</f>
        <v>4</v>
      </c>
    </row>
    <row r="696" spans="3:29" ht="48.75" thickBot="1" x14ac:dyDescent="0.3">
      <c r="C696" s="11">
        <v>999</v>
      </c>
      <c r="D696" s="154">
        <v>689</v>
      </c>
      <c r="E696" s="154" t="s">
        <v>1902</v>
      </c>
      <c r="F696" s="154" t="s">
        <v>83</v>
      </c>
      <c r="G696" s="154" t="s">
        <v>1903</v>
      </c>
      <c r="H696" s="154" t="s">
        <v>256</v>
      </c>
      <c r="I696" s="154" t="s">
        <v>101</v>
      </c>
      <c r="J696" s="154" t="s">
        <v>102</v>
      </c>
      <c r="K696" s="154" t="s">
        <v>60</v>
      </c>
      <c r="L696" s="154" t="s">
        <v>1897</v>
      </c>
      <c r="M696" s="154" t="s">
        <v>1388</v>
      </c>
      <c r="N696" s="154" t="s">
        <v>61</v>
      </c>
      <c r="O696" s="154" t="s">
        <v>62</v>
      </c>
      <c r="P696" s="146">
        <v>13868.47</v>
      </c>
      <c r="Q696" s="146">
        <v>0</v>
      </c>
      <c r="R696" s="154" t="s">
        <v>1384</v>
      </c>
      <c r="S696" s="154" t="s">
        <v>1899</v>
      </c>
      <c r="T696" s="155" t="s">
        <v>768</v>
      </c>
      <c r="U696" s="155" t="s">
        <v>1899</v>
      </c>
      <c r="V696" s="154" t="s">
        <v>1904</v>
      </c>
      <c r="W696" s="154">
        <v>0</v>
      </c>
      <c r="X696" s="154" t="s">
        <v>63</v>
      </c>
      <c r="Y696" s="154" t="s">
        <v>1386</v>
      </c>
      <c r="Z696" s="154"/>
      <c r="AA696" s="154" t="s">
        <v>1387</v>
      </c>
      <c r="AB696" s="154">
        <v>0</v>
      </c>
      <c r="AC696" s="138">
        <f>IFERROR(IF(DATEDIF(#REF!,U696,"m")&lt;=1,1,IF(AND(DATEDIF(#REF!,U696,"m")&gt;1,DATEDIF(#REF!,U696,"m")&lt;12),2,IF(AND(DATEDIF(#REF!,U696,"m")&gt;=12,DATEDIF(#REF!,U696,"m")&lt;24),3,IF(DATEDIF(#REF!,U696,"m")&gt;=24,4,"")))),IF(E696="r0320 - Deposits, not covered and not preferential",1,4))</f>
        <v>4</v>
      </c>
    </row>
    <row r="697" spans="3:29" ht="48.75" thickBot="1" x14ac:dyDescent="0.3">
      <c r="C697" s="11">
        <v>999</v>
      </c>
      <c r="D697" s="154">
        <v>690</v>
      </c>
      <c r="E697" s="154" t="s">
        <v>1902</v>
      </c>
      <c r="F697" s="154" t="s">
        <v>83</v>
      </c>
      <c r="G697" s="154" t="s">
        <v>1903</v>
      </c>
      <c r="H697" s="154" t="s">
        <v>900</v>
      </c>
      <c r="I697" s="154" t="s">
        <v>93</v>
      </c>
      <c r="J697" s="154" t="s">
        <v>94</v>
      </c>
      <c r="K697" s="154" t="s">
        <v>60</v>
      </c>
      <c r="L697" s="154" t="s">
        <v>1897</v>
      </c>
      <c r="M697" s="154" t="s">
        <v>1388</v>
      </c>
      <c r="N697" s="154" t="s">
        <v>61</v>
      </c>
      <c r="O697" s="154" t="s">
        <v>62</v>
      </c>
      <c r="P697" s="146">
        <v>141177.01</v>
      </c>
      <c r="Q697" s="146">
        <v>9.41</v>
      </c>
      <c r="R697" s="154" t="s">
        <v>1384</v>
      </c>
      <c r="S697" s="154" t="s">
        <v>1899</v>
      </c>
      <c r="T697" s="155" t="s">
        <v>768</v>
      </c>
      <c r="U697" s="155" t="s">
        <v>1899</v>
      </c>
      <c r="V697" s="154" t="s">
        <v>1904</v>
      </c>
      <c r="W697" s="154">
        <v>0</v>
      </c>
      <c r="X697" s="154" t="s">
        <v>63</v>
      </c>
      <c r="Y697" s="154" t="s">
        <v>1386</v>
      </c>
      <c r="Z697" s="154"/>
      <c r="AA697" s="154" t="s">
        <v>1387</v>
      </c>
      <c r="AB697" s="154">
        <v>0</v>
      </c>
      <c r="AC697" s="138">
        <f>IFERROR(IF(DATEDIF(#REF!,U697,"m")&lt;=1,1,IF(AND(DATEDIF(#REF!,U697,"m")&gt;1,DATEDIF(#REF!,U697,"m")&lt;12),2,IF(AND(DATEDIF(#REF!,U697,"m")&gt;=12,DATEDIF(#REF!,U697,"m")&lt;24),3,IF(DATEDIF(#REF!,U697,"m")&gt;=24,4,"")))),IF(E697="r0320 - Deposits, not covered and not preferential",1,4))</f>
        <v>4</v>
      </c>
    </row>
    <row r="698" spans="3:29" ht="48.75" thickBot="1" x14ac:dyDescent="0.3">
      <c r="C698" s="11">
        <v>999</v>
      </c>
      <c r="D698" s="154">
        <v>691</v>
      </c>
      <c r="E698" s="154" t="s">
        <v>1902</v>
      </c>
      <c r="F698" s="154" t="s">
        <v>83</v>
      </c>
      <c r="G698" s="154" t="s">
        <v>1903</v>
      </c>
      <c r="H698" s="154" t="s">
        <v>478</v>
      </c>
      <c r="I698" s="154" t="s">
        <v>114</v>
      </c>
      <c r="J698" s="154" t="s">
        <v>115</v>
      </c>
      <c r="K698" s="154" t="s">
        <v>60</v>
      </c>
      <c r="L698" s="154" t="s">
        <v>1897</v>
      </c>
      <c r="M698" s="154" t="s">
        <v>1388</v>
      </c>
      <c r="N698" s="154" t="s">
        <v>61</v>
      </c>
      <c r="O698" s="154" t="s">
        <v>62</v>
      </c>
      <c r="P698" s="146">
        <v>38998.89</v>
      </c>
      <c r="Q698" s="146">
        <v>0</v>
      </c>
      <c r="R698" s="154" t="s">
        <v>1384</v>
      </c>
      <c r="S698" s="154" t="s">
        <v>1899</v>
      </c>
      <c r="T698" s="155" t="s">
        <v>768</v>
      </c>
      <c r="U698" s="155" t="s">
        <v>1899</v>
      </c>
      <c r="V698" s="154" t="s">
        <v>1904</v>
      </c>
      <c r="W698" s="154">
        <v>0</v>
      </c>
      <c r="X698" s="154" t="s">
        <v>63</v>
      </c>
      <c r="Y698" s="154" t="s">
        <v>1386</v>
      </c>
      <c r="Z698" s="154"/>
      <c r="AA698" s="154" t="s">
        <v>1387</v>
      </c>
      <c r="AB698" s="154">
        <v>0</v>
      </c>
      <c r="AC698" s="138">
        <f>IFERROR(IF(DATEDIF(#REF!,U698,"m")&lt;=1,1,IF(AND(DATEDIF(#REF!,U698,"m")&gt;1,DATEDIF(#REF!,U698,"m")&lt;12),2,IF(AND(DATEDIF(#REF!,U698,"m")&gt;=12,DATEDIF(#REF!,U698,"m")&lt;24),3,IF(DATEDIF(#REF!,U698,"m")&gt;=24,4,"")))),IF(E698="r0320 - Deposits, not covered and not preferential",1,4))</f>
        <v>4</v>
      </c>
    </row>
    <row r="699" spans="3:29" ht="36.75" thickBot="1" x14ac:dyDescent="0.3">
      <c r="C699" s="11">
        <v>999</v>
      </c>
      <c r="D699" s="154">
        <v>692</v>
      </c>
      <c r="E699" s="154" t="s">
        <v>1898</v>
      </c>
      <c r="F699" s="154" t="s">
        <v>87</v>
      </c>
      <c r="G699" s="154" t="s">
        <v>1402</v>
      </c>
      <c r="H699" s="154" t="s">
        <v>807</v>
      </c>
      <c r="I699" s="154" t="s">
        <v>96</v>
      </c>
      <c r="J699" s="154" t="s">
        <v>97</v>
      </c>
      <c r="K699" s="154" t="s">
        <v>91</v>
      </c>
      <c r="L699" s="154" t="s">
        <v>1897</v>
      </c>
      <c r="M699" s="154" t="s">
        <v>1383</v>
      </c>
      <c r="N699" s="154" t="s">
        <v>61</v>
      </c>
      <c r="O699" s="154" t="s">
        <v>62</v>
      </c>
      <c r="P699" s="146">
        <v>33.33</v>
      </c>
      <c r="Q699" s="146">
        <v>0</v>
      </c>
      <c r="R699" s="154" t="s">
        <v>1384</v>
      </c>
      <c r="S699" s="154" t="s">
        <v>1899</v>
      </c>
      <c r="T699" s="155" t="s">
        <v>1899</v>
      </c>
      <c r="U699" s="155" t="s">
        <v>1899</v>
      </c>
      <c r="V699" s="154" t="s">
        <v>1562</v>
      </c>
      <c r="W699" s="154">
        <v>0</v>
      </c>
      <c r="X699" s="154" t="s">
        <v>63</v>
      </c>
      <c r="Y699" s="154" t="s">
        <v>1900</v>
      </c>
      <c r="Z699" s="154"/>
      <c r="AA699" s="154" t="s">
        <v>1387</v>
      </c>
      <c r="AB699" s="154">
        <v>0</v>
      </c>
      <c r="AC699" s="138">
        <f>IFERROR(IF(DATEDIF(#REF!,U699,"m")&lt;=1,1,IF(AND(DATEDIF(#REF!,U699,"m")&gt;1,DATEDIF(#REF!,U699,"m")&lt;12),2,IF(AND(DATEDIF(#REF!,U699,"m")&gt;=12,DATEDIF(#REF!,U699,"m")&lt;24),3,IF(DATEDIF(#REF!,U699,"m")&gt;=24,4,"")))),IF(E699="r0320 - Deposits, not covered and not preferential",1,4))</f>
        <v>4</v>
      </c>
    </row>
    <row r="700" spans="3:29" ht="48.75" thickBot="1" x14ac:dyDescent="0.3">
      <c r="C700" s="11">
        <v>999</v>
      </c>
      <c r="D700" s="154">
        <v>693</v>
      </c>
      <c r="E700" s="154" t="s">
        <v>1902</v>
      </c>
      <c r="F700" s="154" t="s">
        <v>83</v>
      </c>
      <c r="G700" s="154" t="s">
        <v>1903</v>
      </c>
      <c r="H700" s="154" t="s">
        <v>182</v>
      </c>
      <c r="I700" s="154" t="s">
        <v>93</v>
      </c>
      <c r="J700" s="154" t="s">
        <v>94</v>
      </c>
      <c r="K700" s="154" t="s">
        <v>60</v>
      </c>
      <c r="L700" s="154" t="s">
        <v>1897</v>
      </c>
      <c r="M700" s="154" t="s">
        <v>1388</v>
      </c>
      <c r="N700" s="154" t="s">
        <v>61</v>
      </c>
      <c r="O700" s="154" t="s">
        <v>62</v>
      </c>
      <c r="P700" s="146">
        <v>59459.65</v>
      </c>
      <c r="Q700" s="146">
        <v>2.23</v>
      </c>
      <c r="R700" s="154" t="s">
        <v>1384</v>
      </c>
      <c r="S700" s="154" t="s">
        <v>1899</v>
      </c>
      <c r="T700" s="155" t="s">
        <v>768</v>
      </c>
      <c r="U700" s="155" t="s">
        <v>1899</v>
      </c>
      <c r="V700" s="154" t="s">
        <v>1904</v>
      </c>
      <c r="W700" s="154">
        <v>0</v>
      </c>
      <c r="X700" s="154" t="s">
        <v>63</v>
      </c>
      <c r="Y700" s="154" t="s">
        <v>1386</v>
      </c>
      <c r="Z700" s="154"/>
      <c r="AA700" s="154" t="s">
        <v>1387</v>
      </c>
      <c r="AB700" s="154">
        <v>0</v>
      </c>
      <c r="AC700" s="138">
        <f>IFERROR(IF(DATEDIF(#REF!,U700,"m")&lt;=1,1,IF(AND(DATEDIF(#REF!,U700,"m")&gt;1,DATEDIF(#REF!,U700,"m")&lt;12),2,IF(AND(DATEDIF(#REF!,U700,"m")&gt;=12,DATEDIF(#REF!,U700,"m")&lt;24),3,IF(DATEDIF(#REF!,U700,"m")&gt;=24,4,"")))),IF(E700="r0320 - Deposits, not covered and not preferential",1,4))</f>
        <v>4</v>
      </c>
    </row>
    <row r="701" spans="3:29" ht="36.75" thickBot="1" x14ac:dyDescent="0.3">
      <c r="C701" s="11">
        <v>999</v>
      </c>
      <c r="D701" s="154">
        <v>694</v>
      </c>
      <c r="E701" s="154" t="s">
        <v>1898</v>
      </c>
      <c r="F701" s="154" t="s">
        <v>87</v>
      </c>
      <c r="G701" s="154" t="s">
        <v>1402</v>
      </c>
      <c r="H701" s="154" t="s">
        <v>475</v>
      </c>
      <c r="I701" s="154" t="s">
        <v>96</v>
      </c>
      <c r="J701" s="154" t="s">
        <v>97</v>
      </c>
      <c r="K701" s="154" t="s">
        <v>91</v>
      </c>
      <c r="L701" s="154" t="s">
        <v>1897</v>
      </c>
      <c r="M701" s="154" t="s">
        <v>1383</v>
      </c>
      <c r="N701" s="154" t="s">
        <v>61</v>
      </c>
      <c r="O701" s="154" t="s">
        <v>62</v>
      </c>
      <c r="P701" s="146">
        <v>0.5</v>
      </c>
      <c r="Q701" s="146">
        <v>0</v>
      </c>
      <c r="R701" s="154" t="s">
        <v>1384</v>
      </c>
      <c r="S701" s="154" t="s">
        <v>1899</v>
      </c>
      <c r="T701" s="155" t="s">
        <v>1899</v>
      </c>
      <c r="U701" s="155" t="s">
        <v>1899</v>
      </c>
      <c r="V701" s="154" t="s">
        <v>1562</v>
      </c>
      <c r="W701" s="154">
        <v>0</v>
      </c>
      <c r="X701" s="154" t="s">
        <v>63</v>
      </c>
      <c r="Y701" s="154" t="s">
        <v>1900</v>
      </c>
      <c r="Z701" s="154"/>
      <c r="AA701" s="154" t="s">
        <v>1387</v>
      </c>
      <c r="AB701" s="154">
        <v>0</v>
      </c>
      <c r="AC701" s="138">
        <f>IFERROR(IF(DATEDIF(#REF!,U701,"m")&lt;=1,1,IF(AND(DATEDIF(#REF!,U701,"m")&gt;1,DATEDIF(#REF!,U701,"m")&lt;12),2,IF(AND(DATEDIF(#REF!,U701,"m")&gt;=12,DATEDIF(#REF!,U701,"m")&lt;24),3,IF(DATEDIF(#REF!,U701,"m")&gt;=24,4,"")))),IF(E701="r0320 - Deposits, not covered and not preferential",1,4))</f>
        <v>4</v>
      </c>
    </row>
    <row r="702" spans="3:29" ht="48.75" thickBot="1" x14ac:dyDescent="0.3">
      <c r="C702" s="11">
        <v>999</v>
      </c>
      <c r="D702" s="154">
        <v>695</v>
      </c>
      <c r="E702" s="154" t="s">
        <v>1902</v>
      </c>
      <c r="F702" s="154" t="s">
        <v>83</v>
      </c>
      <c r="G702" s="154" t="s">
        <v>1903</v>
      </c>
      <c r="H702" s="154" t="s">
        <v>442</v>
      </c>
      <c r="I702" s="154" t="s">
        <v>114</v>
      </c>
      <c r="J702" s="154" t="s">
        <v>115</v>
      </c>
      <c r="K702" s="154" t="s">
        <v>60</v>
      </c>
      <c r="L702" s="154" t="s">
        <v>1897</v>
      </c>
      <c r="M702" s="154" t="s">
        <v>1388</v>
      </c>
      <c r="N702" s="154" t="s">
        <v>61</v>
      </c>
      <c r="O702" s="154" t="s">
        <v>62</v>
      </c>
      <c r="P702" s="146">
        <v>19844.95</v>
      </c>
      <c r="Q702" s="146">
        <v>55.6</v>
      </c>
      <c r="R702" s="154" t="s">
        <v>1384</v>
      </c>
      <c r="S702" s="154" t="s">
        <v>1899</v>
      </c>
      <c r="T702" s="155" t="s">
        <v>768</v>
      </c>
      <c r="U702" s="155" t="s">
        <v>1899</v>
      </c>
      <c r="V702" s="154" t="s">
        <v>1904</v>
      </c>
      <c r="W702" s="154">
        <v>0</v>
      </c>
      <c r="X702" s="154" t="s">
        <v>63</v>
      </c>
      <c r="Y702" s="154" t="s">
        <v>1386</v>
      </c>
      <c r="Z702" s="154"/>
      <c r="AA702" s="154" t="s">
        <v>1387</v>
      </c>
      <c r="AB702" s="154">
        <v>0</v>
      </c>
      <c r="AC702" s="138">
        <f>IFERROR(IF(DATEDIF(#REF!,U702,"m")&lt;=1,1,IF(AND(DATEDIF(#REF!,U702,"m")&gt;1,DATEDIF(#REF!,U702,"m")&lt;12),2,IF(AND(DATEDIF(#REF!,U702,"m")&gt;=12,DATEDIF(#REF!,U702,"m")&lt;24),3,IF(DATEDIF(#REF!,U702,"m")&gt;=24,4,"")))),IF(E702="r0320 - Deposits, not covered and not preferential",1,4))</f>
        <v>4</v>
      </c>
    </row>
    <row r="703" spans="3:29" ht="36.75" thickBot="1" x14ac:dyDescent="0.3">
      <c r="C703" s="11">
        <v>999</v>
      </c>
      <c r="D703" s="154">
        <v>696</v>
      </c>
      <c r="E703" s="154" t="s">
        <v>1898</v>
      </c>
      <c r="F703" s="154" t="s">
        <v>87</v>
      </c>
      <c r="G703" s="154" t="s">
        <v>1402</v>
      </c>
      <c r="H703" s="154" t="s">
        <v>147</v>
      </c>
      <c r="I703" s="154" t="s">
        <v>96</v>
      </c>
      <c r="J703" s="154" t="s">
        <v>97</v>
      </c>
      <c r="K703" s="154" t="s">
        <v>91</v>
      </c>
      <c r="L703" s="154" t="s">
        <v>1897</v>
      </c>
      <c r="M703" s="154" t="s">
        <v>1383</v>
      </c>
      <c r="N703" s="154" t="s">
        <v>61</v>
      </c>
      <c r="O703" s="154" t="s">
        <v>62</v>
      </c>
      <c r="P703" s="146">
        <v>1.89</v>
      </c>
      <c r="Q703" s="146">
        <v>0</v>
      </c>
      <c r="R703" s="154" t="s">
        <v>1384</v>
      </c>
      <c r="S703" s="154" t="s">
        <v>1899</v>
      </c>
      <c r="T703" s="155" t="s">
        <v>1899</v>
      </c>
      <c r="U703" s="155" t="s">
        <v>1899</v>
      </c>
      <c r="V703" s="154" t="s">
        <v>1562</v>
      </c>
      <c r="W703" s="154">
        <v>0</v>
      </c>
      <c r="X703" s="154" t="s">
        <v>63</v>
      </c>
      <c r="Y703" s="154" t="s">
        <v>1900</v>
      </c>
      <c r="Z703" s="154"/>
      <c r="AA703" s="154" t="s">
        <v>1387</v>
      </c>
      <c r="AB703" s="154">
        <v>0</v>
      </c>
      <c r="AC703" s="138">
        <f>IFERROR(IF(DATEDIF(#REF!,U703,"m")&lt;=1,1,IF(AND(DATEDIF(#REF!,U703,"m")&gt;1,DATEDIF(#REF!,U703,"m")&lt;12),2,IF(AND(DATEDIF(#REF!,U703,"m")&gt;=12,DATEDIF(#REF!,U703,"m")&lt;24),3,IF(DATEDIF(#REF!,U703,"m")&gt;=24,4,"")))),IF(E703="r0320 - Deposits, not covered and not preferential",1,4))</f>
        <v>4</v>
      </c>
    </row>
    <row r="704" spans="3:29" ht="36.75" thickBot="1" x14ac:dyDescent="0.3">
      <c r="C704" s="11">
        <v>999</v>
      </c>
      <c r="D704" s="154">
        <v>697</v>
      </c>
      <c r="E704" s="154" t="s">
        <v>1898</v>
      </c>
      <c r="F704" s="154" t="s">
        <v>260</v>
      </c>
      <c r="G704" s="154" t="s">
        <v>1402</v>
      </c>
      <c r="H704" s="154" t="s">
        <v>57</v>
      </c>
      <c r="I704" s="154" t="s">
        <v>262</v>
      </c>
      <c r="J704" s="154" t="s">
        <v>263</v>
      </c>
      <c r="K704" s="154" t="s">
        <v>91</v>
      </c>
      <c r="L704" s="154" t="s">
        <v>1897</v>
      </c>
      <c r="M704" s="154" t="s">
        <v>1388</v>
      </c>
      <c r="N704" s="154" t="s">
        <v>61</v>
      </c>
      <c r="O704" s="154" t="s">
        <v>62</v>
      </c>
      <c r="P704" s="146">
        <v>3109589.39</v>
      </c>
      <c r="Q704" s="146">
        <v>0</v>
      </c>
      <c r="R704" s="154" t="s">
        <v>1384</v>
      </c>
      <c r="S704" s="154" t="s">
        <v>1899</v>
      </c>
      <c r="T704" s="155" t="s">
        <v>1899</v>
      </c>
      <c r="U704" s="155" t="s">
        <v>1899</v>
      </c>
      <c r="V704" s="154" t="s">
        <v>1562</v>
      </c>
      <c r="W704" s="154">
        <v>0</v>
      </c>
      <c r="X704" s="154" t="s">
        <v>63</v>
      </c>
      <c r="Y704" s="154" t="s">
        <v>1900</v>
      </c>
      <c r="Z704" s="154"/>
      <c r="AA704" s="154" t="s">
        <v>1387</v>
      </c>
      <c r="AB704" s="154">
        <v>0</v>
      </c>
      <c r="AC704" s="138">
        <f>IFERROR(IF(DATEDIF(#REF!,U704,"m")&lt;=1,1,IF(AND(DATEDIF(#REF!,U704,"m")&gt;1,DATEDIF(#REF!,U704,"m")&lt;12),2,IF(AND(DATEDIF(#REF!,U704,"m")&gt;=12,DATEDIF(#REF!,U704,"m")&lt;24),3,IF(DATEDIF(#REF!,U704,"m")&gt;=24,4,"")))),IF(E704="r0320 - Deposits, not covered and not preferential",1,4))</f>
        <v>4</v>
      </c>
    </row>
    <row r="705" spans="3:29" ht="36.75" thickBot="1" x14ac:dyDescent="0.3">
      <c r="C705" s="11">
        <v>999</v>
      </c>
      <c r="D705" s="154">
        <v>698</v>
      </c>
      <c r="E705" s="154" t="s">
        <v>1898</v>
      </c>
      <c r="F705" s="154" t="s">
        <v>87</v>
      </c>
      <c r="G705" s="154" t="s">
        <v>1402</v>
      </c>
      <c r="H705" s="154" t="s">
        <v>838</v>
      </c>
      <c r="I705" s="154" t="s">
        <v>96</v>
      </c>
      <c r="J705" s="154" t="s">
        <v>97</v>
      </c>
      <c r="K705" s="154" t="s">
        <v>91</v>
      </c>
      <c r="L705" s="154" t="s">
        <v>1897</v>
      </c>
      <c r="M705" s="154" t="s">
        <v>1383</v>
      </c>
      <c r="N705" s="154" t="s">
        <v>61</v>
      </c>
      <c r="O705" s="154" t="s">
        <v>62</v>
      </c>
      <c r="P705" s="146">
        <v>3.33</v>
      </c>
      <c r="Q705" s="146">
        <v>0</v>
      </c>
      <c r="R705" s="154" t="s">
        <v>1384</v>
      </c>
      <c r="S705" s="154" t="s">
        <v>1899</v>
      </c>
      <c r="T705" s="155" t="s">
        <v>1899</v>
      </c>
      <c r="U705" s="155" t="s">
        <v>1899</v>
      </c>
      <c r="V705" s="154" t="s">
        <v>1562</v>
      </c>
      <c r="W705" s="154">
        <v>0</v>
      </c>
      <c r="X705" s="154" t="s">
        <v>63</v>
      </c>
      <c r="Y705" s="154" t="s">
        <v>1900</v>
      </c>
      <c r="Z705" s="154"/>
      <c r="AA705" s="154" t="s">
        <v>1387</v>
      </c>
      <c r="AB705" s="154">
        <v>0</v>
      </c>
      <c r="AC705" s="138">
        <f>IFERROR(IF(DATEDIF(#REF!,U705,"m")&lt;=1,1,IF(AND(DATEDIF(#REF!,U705,"m")&gt;1,DATEDIF(#REF!,U705,"m")&lt;12),2,IF(AND(DATEDIF(#REF!,U705,"m")&gt;=12,DATEDIF(#REF!,U705,"m")&lt;24),3,IF(DATEDIF(#REF!,U705,"m")&gt;=24,4,"")))),IF(E705="r0320 - Deposits, not covered and not preferential",1,4))</f>
        <v>4</v>
      </c>
    </row>
    <row r="706" spans="3:29" ht="48.75" thickBot="1" x14ac:dyDescent="0.3">
      <c r="C706" s="11">
        <v>999</v>
      </c>
      <c r="D706" s="154">
        <v>699</v>
      </c>
      <c r="E706" s="154" t="s">
        <v>1902</v>
      </c>
      <c r="F706" s="154" t="s">
        <v>83</v>
      </c>
      <c r="G706" s="154" t="s">
        <v>1903</v>
      </c>
      <c r="H706" s="154" t="s">
        <v>767</v>
      </c>
      <c r="I706" s="154" t="s">
        <v>93</v>
      </c>
      <c r="J706" s="154" t="s">
        <v>94</v>
      </c>
      <c r="K706" s="154" t="s">
        <v>60</v>
      </c>
      <c r="L706" s="154" t="s">
        <v>1897</v>
      </c>
      <c r="M706" s="154" t="s">
        <v>1388</v>
      </c>
      <c r="N706" s="154" t="s">
        <v>61</v>
      </c>
      <c r="O706" s="154" t="s">
        <v>62</v>
      </c>
      <c r="P706" s="146">
        <v>18097.060000000001</v>
      </c>
      <c r="Q706" s="146">
        <v>0.96</v>
      </c>
      <c r="R706" s="154" t="s">
        <v>1384</v>
      </c>
      <c r="S706" s="154" t="s">
        <v>1899</v>
      </c>
      <c r="T706" s="155" t="s">
        <v>768</v>
      </c>
      <c r="U706" s="155" t="s">
        <v>1899</v>
      </c>
      <c r="V706" s="154" t="s">
        <v>1904</v>
      </c>
      <c r="W706" s="154">
        <v>0</v>
      </c>
      <c r="X706" s="154" t="s">
        <v>63</v>
      </c>
      <c r="Y706" s="154" t="s">
        <v>1386</v>
      </c>
      <c r="Z706" s="154"/>
      <c r="AA706" s="154" t="s">
        <v>1387</v>
      </c>
      <c r="AB706" s="154">
        <v>0</v>
      </c>
      <c r="AC706" s="138">
        <f>IFERROR(IF(DATEDIF(#REF!,U706,"m")&lt;=1,1,IF(AND(DATEDIF(#REF!,U706,"m")&gt;1,DATEDIF(#REF!,U706,"m")&lt;12),2,IF(AND(DATEDIF(#REF!,U706,"m")&gt;=12,DATEDIF(#REF!,U706,"m")&lt;24),3,IF(DATEDIF(#REF!,U706,"m")&gt;=24,4,"")))),IF(E706="r0320 - Deposits, not covered and not preferential",1,4))</f>
        <v>4</v>
      </c>
    </row>
    <row r="707" spans="3:29" ht="36.75" thickBot="1" x14ac:dyDescent="0.3">
      <c r="C707" s="11">
        <v>999</v>
      </c>
      <c r="D707" s="154">
        <v>700</v>
      </c>
      <c r="E707" s="154" t="s">
        <v>1898</v>
      </c>
      <c r="F707" s="154" t="s">
        <v>87</v>
      </c>
      <c r="G707" s="154" t="s">
        <v>1402</v>
      </c>
      <c r="H707" s="154" t="s">
        <v>857</v>
      </c>
      <c r="I707" s="154" t="s">
        <v>96</v>
      </c>
      <c r="J707" s="154" t="s">
        <v>97</v>
      </c>
      <c r="K707" s="154" t="s">
        <v>91</v>
      </c>
      <c r="L707" s="154" t="s">
        <v>1897</v>
      </c>
      <c r="M707" s="154" t="s">
        <v>1383</v>
      </c>
      <c r="N707" s="154" t="s">
        <v>61</v>
      </c>
      <c r="O707" s="154" t="s">
        <v>62</v>
      </c>
      <c r="P707" s="146">
        <v>94.44</v>
      </c>
      <c r="Q707" s="146">
        <v>0</v>
      </c>
      <c r="R707" s="154" t="s">
        <v>1384</v>
      </c>
      <c r="S707" s="154" t="s">
        <v>1899</v>
      </c>
      <c r="T707" s="155" t="s">
        <v>1899</v>
      </c>
      <c r="U707" s="155" t="s">
        <v>1899</v>
      </c>
      <c r="V707" s="154" t="s">
        <v>1562</v>
      </c>
      <c r="W707" s="154">
        <v>0</v>
      </c>
      <c r="X707" s="154" t="s">
        <v>63</v>
      </c>
      <c r="Y707" s="154" t="s">
        <v>1900</v>
      </c>
      <c r="Z707" s="154"/>
      <c r="AA707" s="154" t="s">
        <v>1387</v>
      </c>
      <c r="AB707" s="154">
        <v>0</v>
      </c>
      <c r="AC707" s="138">
        <f>IFERROR(IF(DATEDIF(#REF!,U707,"m")&lt;=1,1,IF(AND(DATEDIF(#REF!,U707,"m")&gt;1,DATEDIF(#REF!,U707,"m")&lt;12),2,IF(AND(DATEDIF(#REF!,U707,"m")&gt;=12,DATEDIF(#REF!,U707,"m")&lt;24),3,IF(DATEDIF(#REF!,U707,"m")&gt;=24,4,"")))),IF(E707="r0320 - Deposits, not covered and not preferential",1,4))</f>
        <v>4</v>
      </c>
    </row>
    <row r="708" spans="3:29" ht="48.75" thickBot="1" x14ac:dyDescent="0.3">
      <c r="C708" s="11">
        <v>999</v>
      </c>
      <c r="D708" s="154">
        <v>701</v>
      </c>
      <c r="E708" s="154" t="s">
        <v>1902</v>
      </c>
      <c r="F708" s="154" t="s">
        <v>83</v>
      </c>
      <c r="G708" s="154" t="s">
        <v>1903</v>
      </c>
      <c r="H708" s="154" t="s">
        <v>182</v>
      </c>
      <c r="I708" s="154" t="s">
        <v>114</v>
      </c>
      <c r="J708" s="154" t="s">
        <v>115</v>
      </c>
      <c r="K708" s="154" t="s">
        <v>60</v>
      </c>
      <c r="L708" s="154" t="s">
        <v>1897</v>
      </c>
      <c r="M708" s="154" t="s">
        <v>1388</v>
      </c>
      <c r="N708" s="154" t="s">
        <v>61</v>
      </c>
      <c r="O708" s="154" t="s">
        <v>62</v>
      </c>
      <c r="P708" s="146">
        <v>69222.600000000006</v>
      </c>
      <c r="Q708" s="146">
        <v>0.27</v>
      </c>
      <c r="R708" s="154" t="s">
        <v>1384</v>
      </c>
      <c r="S708" s="154" t="s">
        <v>1899</v>
      </c>
      <c r="T708" s="155" t="s">
        <v>768</v>
      </c>
      <c r="U708" s="155" t="s">
        <v>1899</v>
      </c>
      <c r="V708" s="154" t="s">
        <v>1904</v>
      </c>
      <c r="W708" s="154">
        <v>0</v>
      </c>
      <c r="X708" s="154" t="s">
        <v>63</v>
      </c>
      <c r="Y708" s="154" t="s">
        <v>1386</v>
      </c>
      <c r="Z708" s="154"/>
      <c r="AA708" s="154" t="s">
        <v>1387</v>
      </c>
      <c r="AB708" s="154">
        <v>0</v>
      </c>
      <c r="AC708" s="138">
        <f>IFERROR(IF(DATEDIF(#REF!,U708,"m")&lt;=1,1,IF(AND(DATEDIF(#REF!,U708,"m")&gt;1,DATEDIF(#REF!,U708,"m")&lt;12),2,IF(AND(DATEDIF(#REF!,U708,"m")&gt;=12,DATEDIF(#REF!,U708,"m")&lt;24),3,IF(DATEDIF(#REF!,U708,"m")&gt;=24,4,"")))),IF(E708="r0320 - Deposits, not covered and not preferential",1,4))</f>
        <v>4</v>
      </c>
    </row>
    <row r="709" spans="3:29" ht="36.75" thickBot="1" x14ac:dyDescent="0.3">
      <c r="C709" s="11">
        <v>999</v>
      </c>
      <c r="D709" s="154">
        <v>702</v>
      </c>
      <c r="E709" s="154" t="s">
        <v>1898</v>
      </c>
      <c r="F709" s="154" t="s">
        <v>87</v>
      </c>
      <c r="G709" s="154" t="s">
        <v>1402</v>
      </c>
      <c r="H709" s="154" t="s">
        <v>287</v>
      </c>
      <c r="I709" s="154" t="s">
        <v>96</v>
      </c>
      <c r="J709" s="154" t="s">
        <v>97</v>
      </c>
      <c r="K709" s="154" t="s">
        <v>91</v>
      </c>
      <c r="L709" s="154" t="s">
        <v>1897</v>
      </c>
      <c r="M709" s="154" t="s">
        <v>1383</v>
      </c>
      <c r="N709" s="154" t="s">
        <v>61</v>
      </c>
      <c r="O709" s="154" t="s">
        <v>62</v>
      </c>
      <c r="P709" s="146">
        <v>0.28999999999999998</v>
      </c>
      <c r="Q709" s="146">
        <v>0</v>
      </c>
      <c r="R709" s="154" t="s">
        <v>1384</v>
      </c>
      <c r="S709" s="154" t="s">
        <v>1899</v>
      </c>
      <c r="T709" s="155" t="s">
        <v>1899</v>
      </c>
      <c r="U709" s="155" t="s">
        <v>1899</v>
      </c>
      <c r="V709" s="154" t="s">
        <v>1562</v>
      </c>
      <c r="W709" s="154">
        <v>0</v>
      </c>
      <c r="X709" s="154" t="s">
        <v>63</v>
      </c>
      <c r="Y709" s="154" t="s">
        <v>1900</v>
      </c>
      <c r="Z709" s="154"/>
      <c r="AA709" s="154" t="s">
        <v>1387</v>
      </c>
      <c r="AB709" s="154">
        <v>0</v>
      </c>
      <c r="AC709" s="138">
        <f>IFERROR(IF(DATEDIF(#REF!,U709,"m")&lt;=1,1,IF(AND(DATEDIF(#REF!,U709,"m")&gt;1,DATEDIF(#REF!,U709,"m")&lt;12),2,IF(AND(DATEDIF(#REF!,U709,"m")&gt;=12,DATEDIF(#REF!,U709,"m")&lt;24),3,IF(DATEDIF(#REF!,U709,"m")&gt;=24,4,"")))),IF(E709="r0320 - Deposits, not covered and not preferential",1,4))</f>
        <v>4</v>
      </c>
    </row>
    <row r="710" spans="3:29" ht="48.75" thickBot="1" x14ac:dyDescent="0.3">
      <c r="C710" s="11">
        <v>999</v>
      </c>
      <c r="D710" s="154">
        <v>703</v>
      </c>
      <c r="E710" s="154" t="s">
        <v>1902</v>
      </c>
      <c r="F710" s="154" t="s">
        <v>83</v>
      </c>
      <c r="G710" s="154" t="s">
        <v>1903</v>
      </c>
      <c r="H710" s="154" t="s">
        <v>737</v>
      </c>
      <c r="I710" s="154" t="s">
        <v>93</v>
      </c>
      <c r="J710" s="154" t="s">
        <v>94</v>
      </c>
      <c r="K710" s="154" t="s">
        <v>60</v>
      </c>
      <c r="L710" s="154" t="s">
        <v>1897</v>
      </c>
      <c r="M710" s="154" t="s">
        <v>1388</v>
      </c>
      <c r="N710" s="154" t="s">
        <v>61</v>
      </c>
      <c r="O710" s="154" t="s">
        <v>62</v>
      </c>
      <c r="P710" s="146">
        <v>41522.379999999997</v>
      </c>
      <c r="Q710" s="146">
        <v>22.36</v>
      </c>
      <c r="R710" s="154" t="s">
        <v>1384</v>
      </c>
      <c r="S710" s="154" t="s">
        <v>1899</v>
      </c>
      <c r="T710" s="155" t="s">
        <v>768</v>
      </c>
      <c r="U710" s="155" t="s">
        <v>1899</v>
      </c>
      <c r="V710" s="154" t="s">
        <v>1904</v>
      </c>
      <c r="W710" s="154">
        <v>0</v>
      </c>
      <c r="X710" s="154" t="s">
        <v>63</v>
      </c>
      <c r="Y710" s="154" t="s">
        <v>1386</v>
      </c>
      <c r="Z710" s="154"/>
      <c r="AA710" s="154" t="s">
        <v>1387</v>
      </c>
      <c r="AB710" s="154">
        <v>0</v>
      </c>
      <c r="AC710" s="138">
        <f>IFERROR(IF(DATEDIF(#REF!,U710,"m")&lt;=1,1,IF(AND(DATEDIF(#REF!,U710,"m")&gt;1,DATEDIF(#REF!,U710,"m")&lt;12),2,IF(AND(DATEDIF(#REF!,U710,"m")&gt;=12,DATEDIF(#REF!,U710,"m")&lt;24),3,IF(DATEDIF(#REF!,U710,"m")&gt;=24,4,"")))),IF(E710="r0320 - Deposits, not covered and not preferential",1,4))</f>
        <v>4</v>
      </c>
    </row>
    <row r="711" spans="3:29" ht="36.75" thickBot="1" x14ac:dyDescent="0.3">
      <c r="C711" s="11">
        <v>999</v>
      </c>
      <c r="D711" s="154">
        <v>704</v>
      </c>
      <c r="E711" s="154" t="s">
        <v>1898</v>
      </c>
      <c r="F711" s="154" t="s">
        <v>87</v>
      </c>
      <c r="G711" s="154" t="s">
        <v>1402</v>
      </c>
      <c r="H711" s="154" t="s">
        <v>289</v>
      </c>
      <c r="I711" s="154" t="s">
        <v>96</v>
      </c>
      <c r="J711" s="154" t="s">
        <v>97</v>
      </c>
      <c r="K711" s="154" t="s">
        <v>91</v>
      </c>
      <c r="L711" s="154" t="s">
        <v>1897</v>
      </c>
      <c r="M711" s="154" t="s">
        <v>1383</v>
      </c>
      <c r="N711" s="154" t="s">
        <v>61</v>
      </c>
      <c r="O711" s="154" t="s">
        <v>62</v>
      </c>
      <c r="P711" s="146">
        <v>297.77999999999997</v>
      </c>
      <c r="Q711" s="146">
        <v>0</v>
      </c>
      <c r="R711" s="154" t="s">
        <v>1384</v>
      </c>
      <c r="S711" s="154" t="s">
        <v>1899</v>
      </c>
      <c r="T711" s="155" t="s">
        <v>1899</v>
      </c>
      <c r="U711" s="155" t="s">
        <v>1899</v>
      </c>
      <c r="V711" s="154" t="s">
        <v>1562</v>
      </c>
      <c r="W711" s="154">
        <v>0</v>
      </c>
      <c r="X711" s="154" t="s">
        <v>63</v>
      </c>
      <c r="Y711" s="154" t="s">
        <v>1900</v>
      </c>
      <c r="Z711" s="154"/>
      <c r="AA711" s="154" t="s">
        <v>1387</v>
      </c>
      <c r="AB711" s="154">
        <v>0</v>
      </c>
      <c r="AC711" s="138">
        <f>IFERROR(IF(DATEDIF(#REF!,U711,"m")&lt;=1,1,IF(AND(DATEDIF(#REF!,U711,"m")&gt;1,DATEDIF(#REF!,U711,"m")&lt;12),2,IF(AND(DATEDIF(#REF!,U711,"m")&gt;=12,DATEDIF(#REF!,U711,"m")&lt;24),3,IF(DATEDIF(#REF!,U711,"m")&gt;=24,4,"")))),IF(E711="r0320 - Deposits, not covered and not preferential",1,4))</f>
        <v>4</v>
      </c>
    </row>
    <row r="712" spans="3:29" ht="36.75" thickBot="1" x14ac:dyDescent="0.3">
      <c r="C712" s="11">
        <v>999</v>
      </c>
      <c r="D712" s="154">
        <v>705</v>
      </c>
      <c r="E712" s="154" t="s">
        <v>1898</v>
      </c>
      <c r="F712" s="154" t="s">
        <v>87</v>
      </c>
      <c r="G712" s="154" t="s">
        <v>1402</v>
      </c>
      <c r="H712" s="154" t="s">
        <v>145</v>
      </c>
      <c r="I712" s="154" t="s">
        <v>104</v>
      </c>
      <c r="J712" s="154" t="s">
        <v>105</v>
      </c>
      <c r="K712" s="154" t="s">
        <v>60</v>
      </c>
      <c r="L712" s="154" t="s">
        <v>1897</v>
      </c>
      <c r="M712" s="154" t="s">
        <v>1383</v>
      </c>
      <c r="N712" s="154" t="s">
        <v>61</v>
      </c>
      <c r="O712" s="154" t="s">
        <v>62</v>
      </c>
      <c r="P712" s="146">
        <v>1.17</v>
      </c>
      <c r="Q712" s="146">
        <v>0</v>
      </c>
      <c r="R712" s="154" t="s">
        <v>1384</v>
      </c>
      <c r="S712" s="154" t="s">
        <v>1899</v>
      </c>
      <c r="T712" s="155" t="s">
        <v>1899</v>
      </c>
      <c r="U712" s="155" t="s">
        <v>1899</v>
      </c>
      <c r="V712" s="154" t="s">
        <v>1562</v>
      </c>
      <c r="W712" s="154">
        <v>0</v>
      </c>
      <c r="X712" s="154" t="s">
        <v>63</v>
      </c>
      <c r="Y712" s="154" t="s">
        <v>1900</v>
      </c>
      <c r="Z712" s="154"/>
      <c r="AA712" s="154" t="s">
        <v>1387</v>
      </c>
      <c r="AB712" s="154">
        <v>0</v>
      </c>
      <c r="AC712" s="138">
        <f>IFERROR(IF(DATEDIF(#REF!,U712,"m")&lt;=1,1,IF(AND(DATEDIF(#REF!,U712,"m")&gt;1,DATEDIF(#REF!,U712,"m")&lt;12),2,IF(AND(DATEDIF(#REF!,U712,"m")&gt;=12,DATEDIF(#REF!,U712,"m")&lt;24),3,IF(DATEDIF(#REF!,U712,"m")&gt;=24,4,"")))),IF(E712="r0320 - Deposits, not covered and not preferential",1,4))</f>
        <v>4</v>
      </c>
    </row>
    <row r="713" spans="3:29" ht="36.75" thickBot="1" x14ac:dyDescent="0.3">
      <c r="C713" s="11">
        <v>999</v>
      </c>
      <c r="D713" s="154">
        <v>706</v>
      </c>
      <c r="E713" s="154" t="s">
        <v>1898</v>
      </c>
      <c r="F713" s="154" t="s">
        <v>87</v>
      </c>
      <c r="G713" s="154" t="s">
        <v>1402</v>
      </c>
      <c r="H713" s="154" t="s">
        <v>194</v>
      </c>
      <c r="I713" s="154" t="s">
        <v>142</v>
      </c>
      <c r="J713" s="154" t="s">
        <v>143</v>
      </c>
      <c r="K713" s="154" t="s">
        <v>60</v>
      </c>
      <c r="L713" s="154" t="s">
        <v>1897</v>
      </c>
      <c r="M713" s="154" t="s">
        <v>1383</v>
      </c>
      <c r="N713" s="154" t="s">
        <v>61</v>
      </c>
      <c r="O713" s="154" t="s">
        <v>62</v>
      </c>
      <c r="P713" s="146">
        <v>30.91</v>
      </c>
      <c r="Q713" s="146">
        <v>0</v>
      </c>
      <c r="R713" s="154" t="s">
        <v>1384</v>
      </c>
      <c r="S713" s="154" t="s">
        <v>1899</v>
      </c>
      <c r="T713" s="155" t="s">
        <v>1899</v>
      </c>
      <c r="U713" s="155" t="s">
        <v>1899</v>
      </c>
      <c r="V713" s="154" t="s">
        <v>1562</v>
      </c>
      <c r="W713" s="154">
        <v>0</v>
      </c>
      <c r="X713" s="154" t="s">
        <v>63</v>
      </c>
      <c r="Y713" s="154" t="s">
        <v>1900</v>
      </c>
      <c r="Z713" s="154"/>
      <c r="AA713" s="154" t="s">
        <v>1387</v>
      </c>
      <c r="AB713" s="154">
        <v>0</v>
      </c>
      <c r="AC713" s="138">
        <f>IFERROR(IF(DATEDIF(#REF!,U713,"m")&lt;=1,1,IF(AND(DATEDIF(#REF!,U713,"m")&gt;1,DATEDIF(#REF!,U713,"m")&lt;12),2,IF(AND(DATEDIF(#REF!,U713,"m")&gt;=12,DATEDIF(#REF!,U713,"m")&lt;24),3,IF(DATEDIF(#REF!,U713,"m")&gt;=24,4,"")))),IF(E713="r0320 - Deposits, not covered and not preferential",1,4))</f>
        <v>4</v>
      </c>
    </row>
    <row r="714" spans="3:29" ht="48.75" thickBot="1" x14ac:dyDescent="0.3">
      <c r="C714" s="11">
        <v>999</v>
      </c>
      <c r="D714" s="154">
        <v>707</v>
      </c>
      <c r="E714" s="154" t="s">
        <v>1902</v>
      </c>
      <c r="F714" s="154" t="s">
        <v>83</v>
      </c>
      <c r="G714" s="154" t="s">
        <v>1903</v>
      </c>
      <c r="H714" s="154" t="s">
        <v>138</v>
      </c>
      <c r="I714" s="154" t="s">
        <v>101</v>
      </c>
      <c r="J714" s="154" t="s">
        <v>102</v>
      </c>
      <c r="K714" s="154" t="s">
        <v>60</v>
      </c>
      <c r="L714" s="154" t="s">
        <v>1897</v>
      </c>
      <c r="M714" s="154" t="s">
        <v>1388</v>
      </c>
      <c r="N714" s="154" t="s">
        <v>61</v>
      </c>
      <c r="O714" s="154" t="s">
        <v>62</v>
      </c>
      <c r="P714" s="146">
        <v>1633093.6</v>
      </c>
      <c r="Q714" s="146">
        <v>320.37</v>
      </c>
      <c r="R714" s="154" t="s">
        <v>1384</v>
      </c>
      <c r="S714" s="154" t="s">
        <v>1899</v>
      </c>
      <c r="T714" s="155" t="s">
        <v>768</v>
      </c>
      <c r="U714" s="155" t="s">
        <v>1899</v>
      </c>
      <c r="V714" s="154" t="s">
        <v>1904</v>
      </c>
      <c r="W714" s="154">
        <v>0</v>
      </c>
      <c r="X714" s="154" t="s">
        <v>63</v>
      </c>
      <c r="Y714" s="154" t="s">
        <v>1386</v>
      </c>
      <c r="Z714" s="154"/>
      <c r="AA714" s="154" t="s">
        <v>1387</v>
      </c>
      <c r="AB714" s="154">
        <v>0</v>
      </c>
      <c r="AC714" s="138">
        <f>IFERROR(IF(DATEDIF(#REF!,U714,"m")&lt;=1,1,IF(AND(DATEDIF(#REF!,U714,"m")&gt;1,DATEDIF(#REF!,U714,"m")&lt;12),2,IF(AND(DATEDIF(#REF!,U714,"m")&gt;=12,DATEDIF(#REF!,U714,"m")&lt;24),3,IF(DATEDIF(#REF!,U714,"m")&gt;=24,4,"")))),IF(E714="r0320 - Deposits, not covered and not preferential",1,4))</f>
        <v>4</v>
      </c>
    </row>
    <row r="715" spans="3:29" ht="36.75" thickBot="1" x14ac:dyDescent="0.3">
      <c r="C715" s="11">
        <v>999</v>
      </c>
      <c r="D715" s="154">
        <v>708</v>
      </c>
      <c r="E715" s="154" t="s">
        <v>1898</v>
      </c>
      <c r="F715" s="154" t="s">
        <v>83</v>
      </c>
      <c r="G715" s="154" t="s">
        <v>1402</v>
      </c>
      <c r="H715" s="154" t="s">
        <v>84</v>
      </c>
      <c r="I715" s="154" t="s">
        <v>85</v>
      </c>
      <c r="J715" s="154" t="s">
        <v>86</v>
      </c>
      <c r="K715" s="154" t="s">
        <v>60</v>
      </c>
      <c r="L715" s="154" t="s">
        <v>1897</v>
      </c>
      <c r="M715" s="154" t="s">
        <v>1388</v>
      </c>
      <c r="N715" s="154" t="s">
        <v>61</v>
      </c>
      <c r="O715" s="154" t="s">
        <v>62</v>
      </c>
      <c r="P715" s="146">
        <v>0.14000000000000001</v>
      </c>
      <c r="Q715" s="146">
        <v>0</v>
      </c>
      <c r="R715" s="154" t="s">
        <v>1384</v>
      </c>
      <c r="S715" s="154" t="s">
        <v>1899</v>
      </c>
      <c r="T715" s="155" t="s">
        <v>1899</v>
      </c>
      <c r="U715" s="155" t="s">
        <v>1899</v>
      </c>
      <c r="V715" s="154" t="s">
        <v>1562</v>
      </c>
      <c r="W715" s="154">
        <v>0</v>
      </c>
      <c r="X715" s="154" t="s">
        <v>63</v>
      </c>
      <c r="Y715" s="154" t="s">
        <v>1900</v>
      </c>
      <c r="Z715" s="154"/>
      <c r="AA715" s="154" t="s">
        <v>1387</v>
      </c>
      <c r="AB715" s="154">
        <v>0</v>
      </c>
      <c r="AC715" s="138">
        <f>IFERROR(IF(DATEDIF(#REF!,U715,"m")&lt;=1,1,IF(AND(DATEDIF(#REF!,U715,"m")&gt;1,DATEDIF(#REF!,U715,"m")&lt;12),2,IF(AND(DATEDIF(#REF!,U715,"m")&gt;=12,DATEDIF(#REF!,U715,"m")&lt;24),3,IF(DATEDIF(#REF!,U715,"m")&gt;=24,4,"")))),IF(E715="r0320 - Deposits, not covered and not preferential",1,4))</f>
        <v>4</v>
      </c>
    </row>
    <row r="716" spans="3:29" ht="48.75" thickBot="1" x14ac:dyDescent="0.3">
      <c r="C716" s="11">
        <v>999</v>
      </c>
      <c r="D716" s="154">
        <v>709</v>
      </c>
      <c r="E716" s="154" t="s">
        <v>1902</v>
      </c>
      <c r="F716" s="154" t="s">
        <v>83</v>
      </c>
      <c r="G716" s="154" t="s">
        <v>1903</v>
      </c>
      <c r="H716" s="154" t="s">
        <v>760</v>
      </c>
      <c r="I716" s="154" t="s">
        <v>101</v>
      </c>
      <c r="J716" s="154" t="s">
        <v>102</v>
      </c>
      <c r="K716" s="154" t="s">
        <v>60</v>
      </c>
      <c r="L716" s="154" t="s">
        <v>1897</v>
      </c>
      <c r="M716" s="154" t="s">
        <v>1388</v>
      </c>
      <c r="N716" s="154" t="s">
        <v>61</v>
      </c>
      <c r="O716" s="154" t="s">
        <v>62</v>
      </c>
      <c r="P716" s="146">
        <v>461771.5</v>
      </c>
      <c r="Q716" s="146">
        <v>267.39999999999998</v>
      </c>
      <c r="R716" s="154" t="s">
        <v>1384</v>
      </c>
      <c r="S716" s="154" t="s">
        <v>1899</v>
      </c>
      <c r="T716" s="155" t="s">
        <v>768</v>
      </c>
      <c r="U716" s="155" t="s">
        <v>1899</v>
      </c>
      <c r="V716" s="154" t="s">
        <v>1904</v>
      </c>
      <c r="W716" s="154">
        <v>0</v>
      </c>
      <c r="X716" s="154" t="s">
        <v>63</v>
      </c>
      <c r="Y716" s="154" t="s">
        <v>1386</v>
      </c>
      <c r="Z716" s="154"/>
      <c r="AA716" s="154" t="s">
        <v>1387</v>
      </c>
      <c r="AB716" s="154">
        <v>0</v>
      </c>
      <c r="AC716" s="138">
        <f>IFERROR(IF(DATEDIF(#REF!,U716,"m")&lt;=1,1,IF(AND(DATEDIF(#REF!,U716,"m")&gt;1,DATEDIF(#REF!,U716,"m")&lt;12),2,IF(AND(DATEDIF(#REF!,U716,"m")&gt;=12,DATEDIF(#REF!,U716,"m")&lt;24),3,IF(DATEDIF(#REF!,U716,"m")&gt;=24,4,"")))),IF(E716="r0320 - Deposits, not covered and not preferential",1,4))</f>
        <v>4</v>
      </c>
    </row>
    <row r="717" spans="3:29" ht="36.75" thickBot="1" x14ac:dyDescent="0.3">
      <c r="C717" s="11">
        <v>999</v>
      </c>
      <c r="D717" s="154">
        <v>710</v>
      </c>
      <c r="E717" s="154" t="s">
        <v>1898</v>
      </c>
      <c r="F717" s="154" t="s">
        <v>87</v>
      </c>
      <c r="G717" s="154" t="s">
        <v>1402</v>
      </c>
      <c r="H717" s="154" t="s">
        <v>866</v>
      </c>
      <c r="I717" s="154" t="s">
        <v>96</v>
      </c>
      <c r="J717" s="154" t="s">
        <v>97</v>
      </c>
      <c r="K717" s="154" t="s">
        <v>91</v>
      </c>
      <c r="L717" s="154" t="s">
        <v>1897</v>
      </c>
      <c r="M717" s="154" t="s">
        <v>1383</v>
      </c>
      <c r="N717" s="154" t="s">
        <v>61</v>
      </c>
      <c r="O717" s="154" t="s">
        <v>62</v>
      </c>
      <c r="P717" s="146">
        <v>18.63</v>
      </c>
      <c r="Q717" s="146">
        <v>0</v>
      </c>
      <c r="R717" s="154" t="s">
        <v>1384</v>
      </c>
      <c r="S717" s="154" t="s">
        <v>1899</v>
      </c>
      <c r="T717" s="155" t="s">
        <v>1899</v>
      </c>
      <c r="U717" s="155" t="s">
        <v>1899</v>
      </c>
      <c r="V717" s="154" t="s">
        <v>1562</v>
      </c>
      <c r="W717" s="154">
        <v>0</v>
      </c>
      <c r="X717" s="154" t="s">
        <v>63</v>
      </c>
      <c r="Y717" s="154" t="s">
        <v>1900</v>
      </c>
      <c r="Z717" s="154"/>
      <c r="AA717" s="154" t="s">
        <v>1387</v>
      </c>
      <c r="AB717" s="154">
        <v>0</v>
      </c>
      <c r="AC717" s="138">
        <f>IFERROR(IF(DATEDIF(#REF!,U717,"m")&lt;=1,1,IF(AND(DATEDIF(#REF!,U717,"m")&gt;1,DATEDIF(#REF!,U717,"m")&lt;12),2,IF(AND(DATEDIF(#REF!,U717,"m")&gt;=12,DATEDIF(#REF!,U717,"m")&lt;24),3,IF(DATEDIF(#REF!,U717,"m")&gt;=24,4,"")))),IF(E717="r0320 - Deposits, not covered and not preferential",1,4))</f>
        <v>4</v>
      </c>
    </row>
    <row r="718" spans="3:29" ht="36.75" thickBot="1" x14ac:dyDescent="0.3">
      <c r="C718" s="11">
        <v>999</v>
      </c>
      <c r="D718" s="154">
        <v>711</v>
      </c>
      <c r="E718" s="154" t="s">
        <v>1898</v>
      </c>
      <c r="F718" s="154" t="s">
        <v>87</v>
      </c>
      <c r="G718" s="154" t="s">
        <v>1402</v>
      </c>
      <c r="H718" s="154" t="s">
        <v>486</v>
      </c>
      <c r="I718" s="154" t="s">
        <v>96</v>
      </c>
      <c r="J718" s="154" t="s">
        <v>97</v>
      </c>
      <c r="K718" s="154" t="s">
        <v>91</v>
      </c>
      <c r="L718" s="154" t="s">
        <v>1897</v>
      </c>
      <c r="M718" s="154" t="s">
        <v>1383</v>
      </c>
      <c r="N718" s="154" t="s">
        <v>61</v>
      </c>
      <c r="O718" s="154" t="s">
        <v>62</v>
      </c>
      <c r="P718" s="146">
        <v>69.63</v>
      </c>
      <c r="Q718" s="146">
        <v>0</v>
      </c>
      <c r="R718" s="154" t="s">
        <v>1384</v>
      </c>
      <c r="S718" s="154" t="s">
        <v>1899</v>
      </c>
      <c r="T718" s="155" t="s">
        <v>1899</v>
      </c>
      <c r="U718" s="155" t="s">
        <v>1899</v>
      </c>
      <c r="V718" s="154" t="s">
        <v>1562</v>
      </c>
      <c r="W718" s="154">
        <v>0</v>
      </c>
      <c r="X718" s="154" t="s">
        <v>63</v>
      </c>
      <c r="Y718" s="154" t="s">
        <v>1900</v>
      </c>
      <c r="Z718" s="154"/>
      <c r="AA718" s="154" t="s">
        <v>1387</v>
      </c>
      <c r="AB718" s="154">
        <v>0</v>
      </c>
      <c r="AC718" s="138">
        <f>IFERROR(IF(DATEDIF(#REF!,U718,"m")&lt;=1,1,IF(AND(DATEDIF(#REF!,U718,"m")&gt;1,DATEDIF(#REF!,U718,"m")&lt;12),2,IF(AND(DATEDIF(#REF!,U718,"m")&gt;=12,DATEDIF(#REF!,U718,"m")&lt;24),3,IF(DATEDIF(#REF!,U718,"m")&gt;=24,4,"")))),IF(E718="r0320 - Deposits, not covered and not preferential",1,4))</f>
        <v>4</v>
      </c>
    </row>
    <row r="719" spans="3:29" ht="48.75" thickBot="1" x14ac:dyDescent="0.3">
      <c r="C719" s="11">
        <v>999</v>
      </c>
      <c r="D719" s="154">
        <v>712</v>
      </c>
      <c r="E719" s="154" t="s">
        <v>1902</v>
      </c>
      <c r="F719" s="154" t="s">
        <v>83</v>
      </c>
      <c r="G719" s="154" t="s">
        <v>1903</v>
      </c>
      <c r="H719" s="154" t="s">
        <v>756</v>
      </c>
      <c r="I719" s="154" t="s">
        <v>101</v>
      </c>
      <c r="J719" s="154" t="s">
        <v>102</v>
      </c>
      <c r="K719" s="154" t="s">
        <v>60</v>
      </c>
      <c r="L719" s="154" t="s">
        <v>1897</v>
      </c>
      <c r="M719" s="154" t="s">
        <v>1388</v>
      </c>
      <c r="N719" s="154" t="s">
        <v>61</v>
      </c>
      <c r="O719" s="154" t="s">
        <v>62</v>
      </c>
      <c r="P719" s="146">
        <v>546736.92000000004</v>
      </c>
      <c r="Q719" s="146">
        <v>256.3</v>
      </c>
      <c r="R719" s="154" t="s">
        <v>1384</v>
      </c>
      <c r="S719" s="154" t="s">
        <v>1899</v>
      </c>
      <c r="T719" s="155" t="s">
        <v>768</v>
      </c>
      <c r="U719" s="155" t="s">
        <v>1899</v>
      </c>
      <c r="V719" s="154" t="s">
        <v>1904</v>
      </c>
      <c r="W719" s="154">
        <v>0</v>
      </c>
      <c r="X719" s="154" t="s">
        <v>63</v>
      </c>
      <c r="Y719" s="154" t="s">
        <v>1386</v>
      </c>
      <c r="Z719" s="154"/>
      <c r="AA719" s="154" t="s">
        <v>1387</v>
      </c>
      <c r="AB719" s="154">
        <v>0</v>
      </c>
      <c r="AC719" s="138">
        <f>IFERROR(IF(DATEDIF(#REF!,U719,"m")&lt;=1,1,IF(AND(DATEDIF(#REF!,U719,"m")&gt;1,DATEDIF(#REF!,U719,"m")&lt;12),2,IF(AND(DATEDIF(#REF!,U719,"m")&gt;=12,DATEDIF(#REF!,U719,"m")&lt;24),3,IF(DATEDIF(#REF!,U719,"m")&gt;=24,4,"")))),IF(E719="r0320 - Deposits, not covered and not preferential",1,4))</f>
        <v>4</v>
      </c>
    </row>
    <row r="720" spans="3:29" ht="36.75" thickBot="1" x14ac:dyDescent="0.3">
      <c r="C720" s="11">
        <v>999</v>
      </c>
      <c r="D720" s="154">
        <v>713</v>
      </c>
      <c r="E720" s="154" t="s">
        <v>1898</v>
      </c>
      <c r="F720" s="154" t="s">
        <v>87</v>
      </c>
      <c r="G720" s="154" t="s">
        <v>1402</v>
      </c>
      <c r="H720" s="154" t="s">
        <v>1276</v>
      </c>
      <c r="I720" s="154" t="s">
        <v>237</v>
      </c>
      <c r="J720" s="154" t="s">
        <v>238</v>
      </c>
      <c r="K720" s="154" t="s">
        <v>60</v>
      </c>
      <c r="L720" s="154" t="s">
        <v>1897</v>
      </c>
      <c r="M720" s="154" t="s">
        <v>1383</v>
      </c>
      <c r="N720" s="154" t="s">
        <v>61</v>
      </c>
      <c r="O720" s="154" t="s">
        <v>62</v>
      </c>
      <c r="P720" s="146">
        <v>5746.96</v>
      </c>
      <c r="Q720" s="146">
        <v>0</v>
      </c>
      <c r="R720" s="154" t="s">
        <v>1384</v>
      </c>
      <c r="S720" s="154" t="s">
        <v>1899</v>
      </c>
      <c r="T720" s="155" t="s">
        <v>1899</v>
      </c>
      <c r="U720" s="155" t="s">
        <v>1899</v>
      </c>
      <c r="V720" s="154" t="s">
        <v>1562</v>
      </c>
      <c r="W720" s="154">
        <v>0</v>
      </c>
      <c r="X720" s="154" t="s">
        <v>63</v>
      </c>
      <c r="Y720" s="154" t="s">
        <v>1900</v>
      </c>
      <c r="Z720" s="154"/>
      <c r="AA720" s="154" t="s">
        <v>1387</v>
      </c>
      <c r="AB720" s="154">
        <v>0</v>
      </c>
      <c r="AC720" s="138">
        <f>IFERROR(IF(DATEDIF(#REF!,U720,"m")&lt;=1,1,IF(AND(DATEDIF(#REF!,U720,"m")&gt;1,DATEDIF(#REF!,U720,"m")&lt;12),2,IF(AND(DATEDIF(#REF!,U720,"m")&gt;=12,DATEDIF(#REF!,U720,"m")&lt;24),3,IF(DATEDIF(#REF!,U720,"m")&gt;=24,4,"")))),IF(E720="r0320 - Deposits, not covered and not preferential",1,4))</f>
        <v>4</v>
      </c>
    </row>
    <row r="721" spans="3:29" ht="48.75" thickBot="1" x14ac:dyDescent="0.3">
      <c r="C721" s="11">
        <v>999</v>
      </c>
      <c r="D721" s="154">
        <v>714</v>
      </c>
      <c r="E721" s="154" t="s">
        <v>1902</v>
      </c>
      <c r="F721" s="154" t="s">
        <v>83</v>
      </c>
      <c r="G721" s="154" t="s">
        <v>1903</v>
      </c>
      <c r="H721" s="154" t="s">
        <v>1211</v>
      </c>
      <c r="I721" s="154" t="s">
        <v>101</v>
      </c>
      <c r="J721" s="154" t="s">
        <v>102</v>
      </c>
      <c r="K721" s="154" t="s">
        <v>60</v>
      </c>
      <c r="L721" s="154" t="s">
        <v>1897</v>
      </c>
      <c r="M721" s="154" t="s">
        <v>1388</v>
      </c>
      <c r="N721" s="154" t="s">
        <v>61</v>
      </c>
      <c r="O721" s="154" t="s">
        <v>62</v>
      </c>
      <c r="P721" s="146">
        <v>585563</v>
      </c>
      <c r="Q721" s="146">
        <v>121.13</v>
      </c>
      <c r="R721" s="154" t="s">
        <v>1384</v>
      </c>
      <c r="S721" s="154" t="s">
        <v>1899</v>
      </c>
      <c r="T721" s="155" t="s">
        <v>768</v>
      </c>
      <c r="U721" s="155" t="s">
        <v>1899</v>
      </c>
      <c r="V721" s="154" t="s">
        <v>1904</v>
      </c>
      <c r="W721" s="154">
        <v>0</v>
      </c>
      <c r="X721" s="154" t="s">
        <v>63</v>
      </c>
      <c r="Y721" s="154" t="s">
        <v>1386</v>
      </c>
      <c r="Z721" s="154"/>
      <c r="AA721" s="154" t="s">
        <v>1387</v>
      </c>
      <c r="AB721" s="154">
        <v>0</v>
      </c>
      <c r="AC721" s="138">
        <f>IFERROR(IF(DATEDIF(#REF!,U721,"m")&lt;=1,1,IF(AND(DATEDIF(#REF!,U721,"m")&gt;1,DATEDIF(#REF!,U721,"m")&lt;12),2,IF(AND(DATEDIF(#REF!,U721,"m")&gt;=12,DATEDIF(#REF!,U721,"m")&lt;24),3,IF(DATEDIF(#REF!,U721,"m")&gt;=24,4,"")))),IF(E721="r0320 - Deposits, not covered and not preferential",1,4))</f>
        <v>4</v>
      </c>
    </row>
    <row r="722" spans="3:29" ht="36.75" thickBot="1" x14ac:dyDescent="0.3">
      <c r="C722" s="11">
        <v>999</v>
      </c>
      <c r="D722" s="154">
        <v>715</v>
      </c>
      <c r="E722" s="154" t="s">
        <v>1898</v>
      </c>
      <c r="F722" s="154" t="s">
        <v>87</v>
      </c>
      <c r="G722" s="154" t="s">
        <v>1402</v>
      </c>
      <c r="H722" s="154" t="s">
        <v>1279</v>
      </c>
      <c r="I722" s="154" t="s">
        <v>310</v>
      </c>
      <c r="J722" s="154" t="s">
        <v>311</v>
      </c>
      <c r="K722" s="154" t="s">
        <v>60</v>
      </c>
      <c r="L722" s="154" t="s">
        <v>1897</v>
      </c>
      <c r="M722" s="154" t="s">
        <v>1383</v>
      </c>
      <c r="N722" s="154" t="s">
        <v>61</v>
      </c>
      <c r="O722" s="154" t="s">
        <v>62</v>
      </c>
      <c r="P722" s="146">
        <v>0.57999999999999996</v>
      </c>
      <c r="Q722" s="146">
        <v>0</v>
      </c>
      <c r="R722" s="154" t="s">
        <v>1384</v>
      </c>
      <c r="S722" s="154" t="s">
        <v>1899</v>
      </c>
      <c r="T722" s="155" t="s">
        <v>1899</v>
      </c>
      <c r="U722" s="155" t="s">
        <v>1899</v>
      </c>
      <c r="V722" s="154" t="s">
        <v>1562</v>
      </c>
      <c r="W722" s="154">
        <v>0</v>
      </c>
      <c r="X722" s="154" t="s">
        <v>63</v>
      </c>
      <c r="Y722" s="154" t="s">
        <v>1900</v>
      </c>
      <c r="Z722" s="154"/>
      <c r="AA722" s="154" t="s">
        <v>1387</v>
      </c>
      <c r="AB722" s="154">
        <v>0</v>
      </c>
      <c r="AC722" s="138">
        <f>IFERROR(IF(DATEDIF(#REF!,U722,"m")&lt;=1,1,IF(AND(DATEDIF(#REF!,U722,"m")&gt;1,DATEDIF(#REF!,U722,"m")&lt;12),2,IF(AND(DATEDIF(#REF!,U722,"m")&gt;=12,DATEDIF(#REF!,U722,"m")&lt;24),3,IF(DATEDIF(#REF!,U722,"m")&gt;=24,4,"")))),IF(E722="r0320 - Deposits, not covered and not preferential",1,4))</f>
        <v>4</v>
      </c>
    </row>
    <row r="723" spans="3:29" ht="48.75" thickBot="1" x14ac:dyDescent="0.3">
      <c r="C723" s="11">
        <v>999</v>
      </c>
      <c r="D723" s="154">
        <v>716</v>
      </c>
      <c r="E723" s="154" t="s">
        <v>1902</v>
      </c>
      <c r="F723" s="154" t="s">
        <v>83</v>
      </c>
      <c r="G723" s="154" t="s">
        <v>1903</v>
      </c>
      <c r="H723" s="154" t="s">
        <v>1238</v>
      </c>
      <c r="I723" s="154" t="s">
        <v>114</v>
      </c>
      <c r="J723" s="154" t="s">
        <v>115</v>
      </c>
      <c r="K723" s="154" t="s">
        <v>60</v>
      </c>
      <c r="L723" s="154" t="s">
        <v>1897</v>
      </c>
      <c r="M723" s="154" t="s">
        <v>1388</v>
      </c>
      <c r="N723" s="154" t="s">
        <v>61</v>
      </c>
      <c r="O723" s="154" t="s">
        <v>62</v>
      </c>
      <c r="P723" s="146">
        <v>60481.86</v>
      </c>
      <c r="Q723" s="146">
        <v>8.43</v>
      </c>
      <c r="R723" s="154" t="s">
        <v>1384</v>
      </c>
      <c r="S723" s="154" t="s">
        <v>1899</v>
      </c>
      <c r="T723" s="155" t="s">
        <v>768</v>
      </c>
      <c r="U723" s="155" t="s">
        <v>1899</v>
      </c>
      <c r="V723" s="154" t="s">
        <v>1904</v>
      </c>
      <c r="W723" s="154">
        <v>0</v>
      </c>
      <c r="X723" s="154" t="s">
        <v>63</v>
      </c>
      <c r="Y723" s="154" t="s">
        <v>1386</v>
      </c>
      <c r="Z723" s="154"/>
      <c r="AA723" s="154" t="s">
        <v>1387</v>
      </c>
      <c r="AB723" s="154">
        <v>0</v>
      </c>
      <c r="AC723" s="138">
        <f>IFERROR(IF(DATEDIF(#REF!,U723,"m")&lt;=1,1,IF(AND(DATEDIF(#REF!,U723,"m")&gt;1,DATEDIF(#REF!,U723,"m")&lt;12),2,IF(AND(DATEDIF(#REF!,U723,"m")&gt;=12,DATEDIF(#REF!,U723,"m")&lt;24),3,IF(DATEDIF(#REF!,U723,"m")&gt;=24,4,"")))),IF(E723="r0320 - Deposits, not covered and not preferential",1,4))</f>
        <v>4</v>
      </c>
    </row>
    <row r="724" spans="3:29" ht="36.75" thickBot="1" x14ac:dyDescent="0.3">
      <c r="C724" s="11">
        <v>999</v>
      </c>
      <c r="D724" s="154">
        <v>717</v>
      </c>
      <c r="E724" s="154" t="s">
        <v>1898</v>
      </c>
      <c r="F724" s="154" t="s">
        <v>87</v>
      </c>
      <c r="G724" s="154" t="s">
        <v>1402</v>
      </c>
      <c r="H724" s="154" t="s">
        <v>826</v>
      </c>
      <c r="I724" s="154" t="s">
        <v>96</v>
      </c>
      <c r="J724" s="154" t="s">
        <v>97</v>
      </c>
      <c r="K724" s="154" t="s">
        <v>91</v>
      </c>
      <c r="L724" s="154" t="s">
        <v>1897</v>
      </c>
      <c r="M724" s="154" t="s">
        <v>1383</v>
      </c>
      <c r="N724" s="154" t="s">
        <v>61</v>
      </c>
      <c r="O724" s="154" t="s">
        <v>62</v>
      </c>
      <c r="P724" s="146">
        <v>64.44</v>
      </c>
      <c r="Q724" s="146">
        <v>0</v>
      </c>
      <c r="R724" s="154" t="s">
        <v>1384</v>
      </c>
      <c r="S724" s="154" t="s">
        <v>1899</v>
      </c>
      <c r="T724" s="155" t="s">
        <v>1899</v>
      </c>
      <c r="U724" s="155" t="s">
        <v>1899</v>
      </c>
      <c r="V724" s="154" t="s">
        <v>1562</v>
      </c>
      <c r="W724" s="154">
        <v>0</v>
      </c>
      <c r="X724" s="154" t="s">
        <v>63</v>
      </c>
      <c r="Y724" s="154" t="s">
        <v>1900</v>
      </c>
      <c r="Z724" s="154"/>
      <c r="AA724" s="154" t="s">
        <v>1387</v>
      </c>
      <c r="AB724" s="154">
        <v>0</v>
      </c>
      <c r="AC724" s="138">
        <f>IFERROR(IF(DATEDIF(#REF!,U724,"m")&lt;=1,1,IF(AND(DATEDIF(#REF!,U724,"m")&gt;1,DATEDIF(#REF!,U724,"m")&lt;12),2,IF(AND(DATEDIF(#REF!,U724,"m")&gt;=12,DATEDIF(#REF!,U724,"m")&lt;24),3,IF(DATEDIF(#REF!,U724,"m")&gt;=24,4,"")))),IF(E724="r0320 - Deposits, not covered and not preferential",1,4))</f>
        <v>4</v>
      </c>
    </row>
    <row r="725" spans="3:29" ht="48.75" thickBot="1" x14ac:dyDescent="0.3">
      <c r="C725" s="11">
        <v>999</v>
      </c>
      <c r="D725" s="154">
        <v>718</v>
      </c>
      <c r="E725" s="154" t="s">
        <v>1902</v>
      </c>
      <c r="F725" s="154" t="s">
        <v>83</v>
      </c>
      <c r="G725" s="154" t="s">
        <v>1903</v>
      </c>
      <c r="H725" s="154" t="s">
        <v>1189</v>
      </c>
      <c r="I725" s="154" t="s">
        <v>93</v>
      </c>
      <c r="J725" s="154" t="s">
        <v>94</v>
      </c>
      <c r="K725" s="154" t="s">
        <v>60</v>
      </c>
      <c r="L725" s="154" t="s">
        <v>1897</v>
      </c>
      <c r="M725" s="154" t="s">
        <v>1388</v>
      </c>
      <c r="N725" s="154" t="s">
        <v>61</v>
      </c>
      <c r="O725" s="154" t="s">
        <v>62</v>
      </c>
      <c r="P725" s="146">
        <v>1267501847.46999</v>
      </c>
      <c r="Q725" s="146">
        <v>756640.11999999301</v>
      </c>
      <c r="R725" s="154" t="s">
        <v>1384</v>
      </c>
      <c r="S725" s="154" t="s">
        <v>1899</v>
      </c>
      <c r="T725" s="155" t="s">
        <v>768</v>
      </c>
      <c r="U725" s="155" t="s">
        <v>1899</v>
      </c>
      <c r="V725" s="154" t="s">
        <v>1904</v>
      </c>
      <c r="W725" s="154">
        <v>0</v>
      </c>
      <c r="X725" s="154" t="s">
        <v>63</v>
      </c>
      <c r="Y725" s="154" t="s">
        <v>1386</v>
      </c>
      <c r="Z725" s="154"/>
      <c r="AA725" s="154" t="s">
        <v>1387</v>
      </c>
      <c r="AB725" s="154">
        <v>0</v>
      </c>
      <c r="AC725" s="138">
        <f>IFERROR(IF(DATEDIF(#REF!,U725,"m")&lt;=1,1,IF(AND(DATEDIF(#REF!,U725,"m")&gt;1,DATEDIF(#REF!,U725,"m")&lt;12),2,IF(AND(DATEDIF(#REF!,U725,"m")&gt;=12,DATEDIF(#REF!,U725,"m")&lt;24),3,IF(DATEDIF(#REF!,U725,"m")&gt;=24,4,"")))),IF(E725="r0320 - Deposits, not covered and not preferential",1,4))</f>
        <v>4</v>
      </c>
    </row>
    <row r="726" spans="3:29" ht="36.75" thickBot="1" x14ac:dyDescent="0.3">
      <c r="C726" s="11">
        <v>999</v>
      </c>
      <c r="D726" s="154">
        <v>719</v>
      </c>
      <c r="E726" s="154" t="s">
        <v>1898</v>
      </c>
      <c r="F726" s="154" t="s">
        <v>87</v>
      </c>
      <c r="G726" s="154" t="s">
        <v>1402</v>
      </c>
      <c r="H726" s="154" t="s">
        <v>781</v>
      </c>
      <c r="I726" s="154" t="s">
        <v>108</v>
      </c>
      <c r="J726" s="154" t="s">
        <v>90</v>
      </c>
      <c r="K726" s="154" t="s">
        <v>91</v>
      </c>
      <c r="L726" s="154" t="s">
        <v>1897</v>
      </c>
      <c r="M726" s="154" t="s">
        <v>1383</v>
      </c>
      <c r="N726" s="154" t="s">
        <v>61</v>
      </c>
      <c r="O726" s="154" t="s">
        <v>62</v>
      </c>
      <c r="P726" s="146">
        <v>2.48</v>
      </c>
      <c r="Q726" s="146">
        <v>0</v>
      </c>
      <c r="R726" s="154" t="s">
        <v>1384</v>
      </c>
      <c r="S726" s="154" t="s">
        <v>1899</v>
      </c>
      <c r="T726" s="155" t="s">
        <v>1899</v>
      </c>
      <c r="U726" s="155" t="s">
        <v>1899</v>
      </c>
      <c r="V726" s="154" t="s">
        <v>1562</v>
      </c>
      <c r="W726" s="154">
        <v>0</v>
      </c>
      <c r="X726" s="154" t="s">
        <v>63</v>
      </c>
      <c r="Y726" s="154" t="s">
        <v>1900</v>
      </c>
      <c r="Z726" s="154"/>
      <c r="AA726" s="154" t="s">
        <v>1387</v>
      </c>
      <c r="AB726" s="154">
        <v>0</v>
      </c>
      <c r="AC726" s="138">
        <f>IFERROR(IF(DATEDIF(#REF!,U726,"m")&lt;=1,1,IF(AND(DATEDIF(#REF!,U726,"m")&gt;1,DATEDIF(#REF!,U726,"m")&lt;12),2,IF(AND(DATEDIF(#REF!,U726,"m")&gt;=12,DATEDIF(#REF!,U726,"m")&lt;24),3,IF(DATEDIF(#REF!,U726,"m")&gt;=24,4,"")))),IF(E726="r0320 - Deposits, not covered and not preferential",1,4))</f>
        <v>4</v>
      </c>
    </row>
    <row r="727" spans="3:29" ht="48.75" thickBot="1" x14ac:dyDescent="0.3">
      <c r="C727" s="11">
        <v>999</v>
      </c>
      <c r="D727" s="154">
        <v>720</v>
      </c>
      <c r="E727" s="154" t="s">
        <v>1902</v>
      </c>
      <c r="F727" s="154" t="s">
        <v>83</v>
      </c>
      <c r="G727" s="154" t="s">
        <v>1903</v>
      </c>
      <c r="H727" s="154" t="s">
        <v>293</v>
      </c>
      <c r="I727" s="154" t="s">
        <v>93</v>
      </c>
      <c r="J727" s="154" t="s">
        <v>94</v>
      </c>
      <c r="K727" s="154" t="s">
        <v>60</v>
      </c>
      <c r="L727" s="154" t="s">
        <v>1897</v>
      </c>
      <c r="M727" s="154" t="s">
        <v>1388</v>
      </c>
      <c r="N727" s="154" t="s">
        <v>61</v>
      </c>
      <c r="O727" s="154" t="s">
        <v>62</v>
      </c>
      <c r="P727" s="146">
        <v>75414.77</v>
      </c>
      <c r="Q727" s="146">
        <v>-7.56</v>
      </c>
      <c r="R727" s="154" t="s">
        <v>1384</v>
      </c>
      <c r="S727" s="154" t="s">
        <v>1899</v>
      </c>
      <c r="T727" s="155" t="s">
        <v>768</v>
      </c>
      <c r="U727" s="155" t="s">
        <v>1899</v>
      </c>
      <c r="V727" s="154" t="s">
        <v>1904</v>
      </c>
      <c r="W727" s="154">
        <v>0</v>
      </c>
      <c r="X727" s="154" t="s">
        <v>63</v>
      </c>
      <c r="Y727" s="154" t="s">
        <v>1386</v>
      </c>
      <c r="Z727" s="154"/>
      <c r="AA727" s="154" t="s">
        <v>1387</v>
      </c>
      <c r="AB727" s="154">
        <v>0</v>
      </c>
      <c r="AC727" s="138">
        <f>IFERROR(IF(DATEDIF(#REF!,U727,"m")&lt;=1,1,IF(AND(DATEDIF(#REF!,U727,"m")&gt;1,DATEDIF(#REF!,U727,"m")&lt;12),2,IF(AND(DATEDIF(#REF!,U727,"m")&gt;=12,DATEDIF(#REF!,U727,"m")&lt;24),3,IF(DATEDIF(#REF!,U727,"m")&gt;=24,4,"")))),IF(E727="r0320 - Deposits, not covered and not preferential",1,4))</f>
        <v>4</v>
      </c>
    </row>
    <row r="728" spans="3:29" ht="36.75" thickBot="1" x14ac:dyDescent="0.3">
      <c r="C728" s="11">
        <v>999</v>
      </c>
      <c r="D728" s="154">
        <v>721</v>
      </c>
      <c r="E728" s="154" t="s">
        <v>1898</v>
      </c>
      <c r="F728" s="154" t="s">
        <v>87</v>
      </c>
      <c r="G728" s="154" t="s">
        <v>1402</v>
      </c>
      <c r="H728" s="154" t="s">
        <v>776</v>
      </c>
      <c r="I728" s="154" t="s">
        <v>108</v>
      </c>
      <c r="J728" s="154" t="s">
        <v>90</v>
      </c>
      <c r="K728" s="154" t="s">
        <v>91</v>
      </c>
      <c r="L728" s="154" t="s">
        <v>1897</v>
      </c>
      <c r="M728" s="154" t="s">
        <v>1383</v>
      </c>
      <c r="N728" s="154" t="s">
        <v>61</v>
      </c>
      <c r="O728" s="154" t="s">
        <v>62</v>
      </c>
      <c r="P728" s="146">
        <v>6.93</v>
      </c>
      <c r="Q728" s="146">
        <v>0</v>
      </c>
      <c r="R728" s="154" t="s">
        <v>1384</v>
      </c>
      <c r="S728" s="154" t="s">
        <v>1899</v>
      </c>
      <c r="T728" s="155" t="s">
        <v>1899</v>
      </c>
      <c r="U728" s="155" t="s">
        <v>1899</v>
      </c>
      <c r="V728" s="154" t="s">
        <v>1562</v>
      </c>
      <c r="W728" s="154">
        <v>0</v>
      </c>
      <c r="X728" s="154" t="s">
        <v>63</v>
      </c>
      <c r="Y728" s="154" t="s">
        <v>1900</v>
      </c>
      <c r="Z728" s="154"/>
      <c r="AA728" s="154" t="s">
        <v>1387</v>
      </c>
      <c r="AB728" s="154">
        <v>0</v>
      </c>
      <c r="AC728" s="138">
        <f>IFERROR(IF(DATEDIF(#REF!,U728,"m")&lt;=1,1,IF(AND(DATEDIF(#REF!,U728,"m")&gt;1,DATEDIF(#REF!,U728,"m")&lt;12),2,IF(AND(DATEDIF(#REF!,U728,"m")&gt;=12,DATEDIF(#REF!,U728,"m")&lt;24),3,IF(DATEDIF(#REF!,U728,"m")&gt;=24,4,"")))),IF(E728="r0320 - Deposits, not covered and not preferential",1,4))</f>
        <v>4</v>
      </c>
    </row>
    <row r="729" spans="3:29" ht="48.75" thickBot="1" x14ac:dyDescent="0.3">
      <c r="C729" s="11">
        <v>999</v>
      </c>
      <c r="D729" s="154">
        <v>722</v>
      </c>
      <c r="E729" s="154" t="s">
        <v>1902</v>
      </c>
      <c r="F729" s="154" t="s">
        <v>83</v>
      </c>
      <c r="G729" s="154" t="s">
        <v>1903</v>
      </c>
      <c r="H729" s="154" t="s">
        <v>278</v>
      </c>
      <c r="I729" s="154" t="s">
        <v>93</v>
      </c>
      <c r="J729" s="154" t="s">
        <v>94</v>
      </c>
      <c r="K729" s="154" t="s">
        <v>60</v>
      </c>
      <c r="L729" s="154" t="s">
        <v>1897</v>
      </c>
      <c r="M729" s="154" t="s">
        <v>1388</v>
      </c>
      <c r="N729" s="154" t="s">
        <v>61</v>
      </c>
      <c r="O729" s="154" t="s">
        <v>62</v>
      </c>
      <c r="P729" s="146">
        <v>94478.59</v>
      </c>
      <c r="Q729" s="146">
        <v>11.35</v>
      </c>
      <c r="R729" s="154" t="s">
        <v>1384</v>
      </c>
      <c r="S729" s="154" t="s">
        <v>1899</v>
      </c>
      <c r="T729" s="155" t="s">
        <v>768</v>
      </c>
      <c r="U729" s="155" t="s">
        <v>1899</v>
      </c>
      <c r="V729" s="154" t="s">
        <v>1904</v>
      </c>
      <c r="W729" s="154">
        <v>0</v>
      </c>
      <c r="X729" s="154" t="s">
        <v>63</v>
      </c>
      <c r="Y729" s="154" t="s">
        <v>1386</v>
      </c>
      <c r="Z729" s="154"/>
      <c r="AA729" s="154" t="s">
        <v>1387</v>
      </c>
      <c r="AB729" s="154">
        <v>0</v>
      </c>
      <c r="AC729" s="138">
        <f>IFERROR(IF(DATEDIF(#REF!,U729,"m")&lt;=1,1,IF(AND(DATEDIF(#REF!,U729,"m")&gt;1,DATEDIF(#REF!,U729,"m")&lt;12),2,IF(AND(DATEDIF(#REF!,U729,"m")&gt;=12,DATEDIF(#REF!,U729,"m")&lt;24),3,IF(DATEDIF(#REF!,U729,"m")&gt;=24,4,"")))),IF(E729="r0320 - Deposits, not covered and not preferential",1,4))</f>
        <v>4</v>
      </c>
    </row>
    <row r="730" spans="3:29" ht="36.75" thickBot="1" x14ac:dyDescent="0.3">
      <c r="C730" s="11">
        <v>999</v>
      </c>
      <c r="D730" s="154">
        <v>723</v>
      </c>
      <c r="E730" s="154" t="s">
        <v>1898</v>
      </c>
      <c r="F730" s="154" t="s">
        <v>87</v>
      </c>
      <c r="G730" s="154" t="s">
        <v>1402</v>
      </c>
      <c r="H730" s="154" t="s">
        <v>499</v>
      </c>
      <c r="I730" s="154" t="s">
        <v>96</v>
      </c>
      <c r="J730" s="154" t="s">
        <v>97</v>
      </c>
      <c r="K730" s="154" t="s">
        <v>91</v>
      </c>
      <c r="L730" s="154" t="s">
        <v>1897</v>
      </c>
      <c r="M730" s="154" t="s">
        <v>1383</v>
      </c>
      <c r="N730" s="154" t="s">
        <v>61</v>
      </c>
      <c r="O730" s="154" t="s">
        <v>62</v>
      </c>
      <c r="P730" s="146">
        <v>11.33</v>
      </c>
      <c r="Q730" s="146">
        <v>0</v>
      </c>
      <c r="R730" s="154" t="s">
        <v>1384</v>
      </c>
      <c r="S730" s="154" t="s">
        <v>1899</v>
      </c>
      <c r="T730" s="155" t="s">
        <v>1899</v>
      </c>
      <c r="U730" s="155" t="s">
        <v>1899</v>
      </c>
      <c r="V730" s="154" t="s">
        <v>1562</v>
      </c>
      <c r="W730" s="154">
        <v>0</v>
      </c>
      <c r="X730" s="154" t="s">
        <v>63</v>
      </c>
      <c r="Y730" s="154" t="s">
        <v>1900</v>
      </c>
      <c r="Z730" s="154"/>
      <c r="AA730" s="154" t="s">
        <v>1387</v>
      </c>
      <c r="AB730" s="154">
        <v>0</v>
      </c>
      <c r="AC730" s="138">
        <f>IFERROR(IF(DATEDIF(#REF!,U730,"m")&lt;=1,1,IF(AND(DATEDIF(#REF!,U730,"m")&gt;1,DATEDIF(#REF!,U730,"m")&lt;12),2,IF(AND(DATEDIF(#REF!,U730,"m")&gt;=12,DATEDIF(#REF!,U730,"m")&lt;24),3,IF(DATEDIF(#REF!,U730,"m")&gt;=24,4,"")))),IF(E730="r0320 - Deposits, not covered and not preferential",1,4))</f>
        <v>4</v>
      </c>
    </row>
    <row r="731" spans="3:29" ht="48.75" thickBot="1" x14ac:dyDescent="0.3">
      <c r="C731" s="11">
        <v>999</v>
      </c>
      <c r="D731" s="154">
        <v>724</v>
      </c>
      <c r="E731" s="154" t="s">
        <v>1902</v>
      </c>
      <c r="F731" s="154" t="s">
        <v>83</v>
      </c>
      <c r="G731" s="154" t="s">
        <v>1903</v>
      </c>
      <c r="H731" s="154" t="s">
        <v>752</v>
      </c>
      <c r="I731" s="154" t="s">
        <v>101</v>
      </c>
      <c r="J731" s="154" t="s">
        <v>102</v>
      </c>
      <c r="K731" s="154" t="s">
        <v>60</v>
      </c>
      <c r="L731" s="154" t="s">
        <v>1897</v>
      </c>
      <c r="M731" s="154" t="s">
        <v>1388</v>
      </c>
      <c r="N731" s="154" t="s">
        <v>61</v>
      </c>
      <c r="O731" s="154" t="s">
        <v>62</v>
      </c>
      <c r="P731" s="146">
        <v>28141.45</v>
      </c>
      <c r="Q731" s="146">
        <v>45.87</v>
      </c>
      <c r="R731" s="154" t="s">
        <v>1384</v>
      </c>
      <c r="S731" s="154" t="s">
        <v>1899</v>
      </c>
      <c r="T731" s="155" t="s">
        <v>768</v>
      </c>
      <c r="U731" s="155" t="s">
        <v>1899</v>
      </c>
      <c r="V731" s="154" t="s">
        <v>1904</v>
      </c>
      <c r="W731" s="154">
        <v>0</v>
      </c>
      <c r="X731" s="154" t="s">
        <v>63</v>
      </c>
      <c r="Y731" s="154" t="s">
        <v>1386</v>
      </c>
      <c r="Z731" s="154"/>
      <c r="AA731" s="154" t="s">
        <v>1387</v>
      </c>
      <c r="AB731" s="154">
        <v>0</v>
      </c>
      <c r="AC731" s="138">
        <f>IFERROR(IF(DATEDIF(#REF!,U731,"m")&lt;=1,1,IF(AND(DATEDIF(#REF!,U731,"m")&gt;1,DATEDIF(#REF!,U731,"m")&lt;12),2,IF(AND(DATEDIF(#REF!,U731,"m")&gt;=12,DATEDIF(#REF!,U731,"m")&lt;24),3,IF(DATEDIF(#REF!,U731,"m")&gt;=24,4,"")))),IF(E731="r0320 - Deposits, not covered and not preferential",1,4))</f>
        <v>4</v>
      </c>
    </row>
    <row r="732" spans="3:29" ht="36.75" thickBot="1" x14ac:dyDescent="0.3">
      <c r="C732" s="11">
        <v>999</v>
      </c>
      <c r="D732" s="154">
        <v>725</v>
      </c>
      <c r="E732" s="154" t="s">
        <v>1898</v>
      </c>
      <c r="F732" s="154" t="s">
        <v>87</v>
      </c>
      <c r="G732" s="154" t="s">
        <v>1402</v>
      </c>
      <c r="H732" s="154" t="s">
        <v>1288</v>
      </c>
      <c r="I732" s="154" t="s">
        <v>108</v>
      </c>
      <c r="J732" s="154" t="s">
        <v>90</v>
      </c>
      <c r="K732" s="154" t="s">
        <v>91</v>
      </c>
      <c r="L732" s="154" t="s">
        <v>1897</v>
      </c>
      <c r="M732" s="154" t="s">
        <v>1383</v>
      </c>
      <c r="N732" s="154" t="s">
        <v>61</v>
      </c>
      <c r="O732" s="154" t="s">
        <v>62</v>
      </c>
      <c r="P732" s="146">
        <v>7.6</v>
      </c>
      <c r="Q732" s="146">
        <v>0</v>
      </c>
      <c r="R732" s="154" t="s">
        <v>1384</v>
      </c>
      <c r="S732" s="154" t="s">
        <v>1899</v>
      </c>
      <c r="T732" s="155" t="s">
        <v>1899</v>
      </c>
      <c r="U732" s="155" t="s">
        <v>1899</v>
      </c>
      <c r="V732" s="154" t="s">
        <v>1562</v>
      </c>
      <c r="W732" s="154">
        <v>0</v>
      </c>
      <c r="X732" s="154" t="s">
        <v>63</v>
      </c>
      <c r="Y732" s="154" t="s">
        <v>1900</v>
      </c>
      <c r="Z732" s="154"/>
      <c r="AA732" s="154" t="s">
        <v>1387</v>
      </c>
      <c r="AB732" s="154">
        <v>0</v>
      </c>
      <c r="AC732" s="138">
        <f>IFERROR(IF(DATEDIF(#REF!,U732,"m")&lt;=1,1,IF(AND(DATEDIF(#REF!,U732,"m")&gt;1,DATEDIF(#REF!,U732,"m")&lt;12),2,IF(AND(DATEDIF(#REF!,U732,"m")&gt;=12,DATEDIF(#REF!,U732,"m")&lt;24),3,IF(DATEDIF(#REF!,U732,"m")&gt;=24,4,"")))),IF(E732="r0320 - Deposits, not covered and not preferential",1,4))</f>
        <v>4</v>
      </c>
    </row>
    <row r="733" spans="3:29" ht="36.75" thickBot="1" x14ac:dyDescent="0.3">
      <c r="C733" s="11">
        <v>999</v>
      </c>
      <c r="D733" s="154">
        <v>726</v>
      </c>
      <c r="E733" s="154" t="s">
        <v>1898</v>
      </c>
      <c r="F733" s="154" t="s">
        <v>83</v>
      </c>
      <c r="G733" s="154" t="s">
        <v>1402</v>
      </c>
      <c r="H733" s="154" t="s">
        <v>57</v>
      </c>
      <c r="I733" s="154" t="s">
        <v>245</v>
      </c>
      <c r="J733" s="154" t="s">
        <v>246</v>
      </c>
      <c r="K733" s="154" t="s">
        <v>60</v>
      </c>
      <c r="L733" s="154" t="s">
        <v>1897</v>
      </c>
      <c r="M733" s="154" t="s">
        <v>1388</v>
      </c>
      <c r="N733" s="154" t="s">
        <v>61</v>
      </c>
      <c r="O733" s="154" t="s">
        <v>62</v>
      </c>
      <c r="P733" s="146">
        <v>52.46</v>
      </c>
      <c r="Q733" s="146">
        <v>0</v>
      </c>
      <c r="R733" s="154" t="s">
        <v>1384</v>
      </c>
      <c r="S733" s="154" t="s">
        <v>1899</v>
      </c>
      <c r="T733" s="155" t="s">
        <v>1899</v>
      </c>
      <c r="U733" s="155" t="s">
        <v>1899</v>
      </c>
      <c r="V733" s="154" t="s">
        <v>1562</v>
      </c>
      <c r="W733" s="154">
        <v>0</v>
      </c>
      <c r="X733" s="154" t="s">
        <v>63</v>
      </c>
      <c r="Y733" s="154" t="s">
        <v>1900</v>
      </c>
      <c r="Z733" s="154"/>
      <c r="AA733" s="154" t="s">
        <v>1387</v>
      </c>
      <c r="AB733" s="154">
        <v>0</v>
      </c>
      <c r="AC733" s="138">
        <f>IFERROR(IF(DATEDIF(#REF!,U733,"m")&lt;=1,1,IF(AND(DATEDIF(#REF!,U733,"m")&gt;1,DATEDIF(#REF!,U733,"m")&lt;12),2,IF(AND(DATEDIF(#REF!,U733,"m")&gt;=12,DATEDIF(#REF!,U733,"m")&lt;24),3,IF(DATEDIF(#REF!,U733,"m")&gt;=24,4,"")))),IF(E733="r0320 - Deposits, not covered and not preferential",1,4))</f>
        <v>4</v>
      </c>
    </row>
    <row r="734" spans="3:29" ht="36.75" thickBot="1" x14ac:dyDescent="0.3">
      <c r="C734" s="11">
        <v>999</v>
      </c>
      <c r="D734" s="154">
        <v>727</v>
      </c>
      <c r="E734" s="154" t="s">
        <v>1898</v>
      </c>
      <c r="F734" s="154" t="s">
        <v>87</v>
      </c>
      <c r="G734" s="154" t="s">
        <v>1402</v>
      </c>
      <c r="H734" s="154" t="s">
        <v>506</v>
      </c>
      <c r="I734" s="154" t="s">
        <v>96</v>
      </c>
      <c r="J734" s="154" t="s">
        <v>97</v>
      </c>
      <c r="K734" s="154" t="s">
        <v>91</v>
      </c>
      <c r="L734" s="154" t="s">
        <v>1897</v>
      </c>
      <c r="M734" s="154" t="s">
        <v>1383</v>
      </c>
      <c r="N734" s="154" t="s">
        <v>61</v>
      </c>
      <c r="O734" s="154" t="s">
        <v>62</v>
      </c>
      <c r="P734" s="146">
        <v>3.47</v>
      </c>
      <c r="Q734" s="146">
        <v>0</v>
      </c>
      <c r="R734" s="154" t="s">
        <v>1384</v>
      </c>
      <c r="S734" s="154" t="s">
        <v>1899</v>
      </c>
      <c r="T734" s="155" t="s">
        <v>1899</v>
      </c>
      <c r="U734" s="155" t="s">
        <v>1899</v>
      </c>
      <c r="V734" s="154" t="s">
        <v>1562</v>
      </c>
      <c r="W734" s="154">
        <v>0</v>
      </c>
      <c r="X734" s="154" t="s">
        <v>63</v>
      </c>
      <c r="Y734" s="154" t="s">
        <v>1900</v>
      </c>
      <c r="Z734" s="154"/>
      <c r="AA734" s="154" t="s">
        <v>1387</v>
      </c>
      <c r="AB734" s="154">
        <v>0</v>
      </c>
      <c r="AC734" s="138">
        <f>IFERROR(IF(DATEDIF(#REF!,U734,"m")&lt;=1,1,IF(AND(DATEDIF(#REF!,U734,"m")&gt;1,DATEDIF(#REF!,U734,"m")&lt;12),2,IF(AND(DATEDIF(#REF!,U734,"m")&gt;=12,DATEDIF(#REF!,U734,"m")&lt;24),3,IF(DATEDIF(#REF!,U734,"m")&gt;=24,4,"")))),IF(E734="r0320 - Deposits, not covered and not preferential",1,4))</f>
        <v>4</v>
      </c>
    </row>
    <row r="735" spans="3:29" ht="36.75" thickBot="1" x14ac:dyDescent="0.3">
      <c r="C735" s="11">
        <v>999</v>
      </c>
      <c r="D735" s="154">
        <v>728</v>
      </c>
      <c r="E735" s="154" t="s">
        <v>1898</v>
      </c>
      <c r="F735" s="154" t="s">
        <v>83</v>
      </c>
      <c r="G735" s="154" t="s">
        <v>1402</v>
      </c>
      <c r="H735" s="154" t="s">
        <v>57</v>
      </c>
      <c r="I735" s="154" t="s">
        <v>99</v>
      </c>
      <c r="J735" s="154" t="s">
        <v>90</v>
      </c>
      <c r="K735" s="154" t="s">
        <v>91</v>
      </c>
      <c r="L735" s="154" t="s">
        <v>1897</v>
      </c>
      <c r="M735" s="154" t="s">
        <v>1383</v>
      </c>
      <c r="N735" s="154" t="s">
        <v>61</v>
      </c>
      <c r="O735" s="154" t="s">
        <v>62</v>
      </c>
      <c r="P735" s="146">
        <v>13231.422859</v>
      </c>
      <c r="Q735" s="146">
        <v>0</v>
      </c>
      <c r="R735" s="154" t="s">
        <v>1905</v>
      </c>
      <c r="S735" s="154" t="s">
        <v>1899</v>
      </c>
      <c r="T735" s="155" t="s">
        <v>1899</v>
      </c>
      <c r="U735" s="155" t="s">
        <v>1899</v>
      </c>
      <c r="V735" s="154" t="s">
        <v>1562</v>
      </c>
      <c r="W735" s="154">
        <v>0</v>
      </c>
      <c r="X735" s="154" t="s">
        <v>63</v>
      </c>
      <c r="Y735" s="154" t="s">
        <v>1900</v>
      </c>
      <c r="Z735" s="154"/>
      <c r="AA735" s="154" t="s">
        <v>1387</v>
      </c>
      <c r="AB735" s="154">
        <v>0</v>
      </c>
      <c r="AC735" s="138">
        <f>IFERROR(IF(DATEDIF(#REF!,U735,"m")&lt;=1,1,IF(AND(DATEDIF(#REF!,U735,"m")&gt;1,DATEDIF(#REF!,U735,"m")&lt;12),2,IF(AND(DATEDIF(#REF!,U735,"m")&gt;=12,DATEDIF(#REF!,U735,"m")&lt;24),3,IF(DATEDIF(#REF!,U735,"m")&gt;=24,4,"")))),IF(E735="r0320 - Deposits, not covered and not preferential",1,4))</f>
        <v>4</v>
      </c>
    </row>
    <row r="736" spans="3:29" ht="36.75" thickBot="1" x14ac:dyDescent="0.3">
      <c r="C736" s="11">
        <v>999</v>
      </c>
      <c r="D736" s="154">
        <v>729</v>
      </c>
      <c r="E736" s="154" t="s">
        <v>1898</v>
      </c>
      <c r="F736" s="154" t="s">
        <v>87</v>
      </c>
      <c r="G736" s="154" t="s">
        <v>1402</v>
      </c>
      <c r="H736" s="154" t="s">
        <v>1283</v>
      </c>
      <c r="I736" s="154" t="s">
        <v>108</v>
      </c>
      <c r="J736" s="154" t="s">
        <v>90</v>
      </c>
      <c r="K736" s="154" t="s">
        <v>91</v>
      </c>
      <c r="L736" s="154" t="s">
        <v>1897</v>
      </c>
      <c r="M736" s="154" t="s">
        <v>1383</v>
      </c>
      <c r="N736" s="154" t="s">
        <v>61</v>
      </c>
      <c r="O736" s="154" t="s">
        <v>62</v>
      </c>
      <c r="P736" s="146">
        <v>0.7</v>
      </c>
      <c r="Q736" s="146">
        <v>0</v>
      </c>
      <c r="R736" s="154" t="s">
        <v>1384</v>
      </c>
      <c r="S736" s="154" t="s">
        <v>1899</v>
      </c>
      <c r="T736" s="155" t="s">
        <v>1899</v>
      </c>
      <c r="U736" s="155" t="s">
        <v>1899</v>
      </c>
      <c r="V736" s="154" t="s">
        <v>1562</v>
      </c>
      <c r="W736" s="154">
        <v>0</v>
      </c>
      <c r="X736" s="154" t="s">
        <v>63</v>
      </c>
      <c r="Y736" s="154" t="s">
        <v>1900</v>
      </c>
      <c r="Z736" s="154"/>
      <c r="AA736" s="154" t="s">
        <v>1387</v>
      </c>
      <c r="AB736" s="154">
        <v>0</v>
      </c>
      <c r="AC736" s="138">
        <f>IFERROR(IF(DATEDIF(#REF!,U736,"m")&lt;=1,1,IF(AND(DATEDIF(#REF!,U736,"m")&gt;1,DATEDIF(#REF!,U736,"m")&lt;12),2,IF(AND(DATEDIF(#REF!,U736,"m")&gt;=12,DATEDIF(#REF!,U736,"m")&lt;24),3,IF(DATEDIF(#REF!,U736,"m")&gt;=24,4,"")))),IF(E736="r0320 - Deposits, not covered and not preferential",1,4))</f>
        <v>4</v>
      </c>
    </row>
    <row r="737" spans="3:29" ht="48.75" thickBot="1" x14ac:dyDescent="0.3">
      <c r="C737" s="11">
        <v>999</v>
      </c>
      <c r="D737" s="154">
        <v>730</v>
      </c>
      <c r="E737" s="154" t="s">
        <v>1902</v>
      </c>
      <c r="F737" s="154" t="s">
        <v>83</v>
      </c>
      <c r="G737" s="154" t="s">
        <v>1903</v>
      </c>
      <c r="H737" s="154" t="s">
        <v>763</v>
      </c>
      <c r="I737" s="154" t="s">
        <v>101</v>
      </c>
      <c r="J737" s="154" t="s">
        <v>102</v>
      </c>
      <c r="K737" s="154" t="s">
        <v>60</v>
      </c>
      <c r="L737" s="154" t="s">
        <v>1897</v>
      </c>
      <c r="M737" s="154" t="s">
        <v>1388</v>
      </c>
      <c r="N737" s="154" t="s">
        <v>61</v>
      </c>
      <c r="O737" s="154" t="s">
        <v>62</v>
      </c>
      <c r="P737" s="146">
        <v>1180232.3700000001</v>
      </c>
      <c r="Q737" s="146">
        <v>701.53</v>
      </c>
      <c r="R737" s="154" t="s">
        <v>1384</v>
      </c>
      <c r="S737" s="154" t="s">
        <v>1899</v>
      </c>
      <c r="T737" s="155" t="s">
        <v>768</v>
      </c>
      <c r="U737" s="155" t="s">
        <v>1899</v>
      </c>
      <c r="V737" s="154" t="s">
        <v>1904</v>
      </c>
      <c r="W737" s="154">
        <v>0</v>
      </c>
      <c r="X737" s="154" t="s">
        <v>63</v>
      </c>
      <c r="Y737" s="154" t="s">
        <v>1386</v>
      </c>
      <c r="Z737" s="154"/>
      <c r="AA737" s="154" t="s">
        <v>1387</v>
      </c>
      <c r="AB737" s="154">
        <v>0</v>
      </c>
      <c r="AC737" s="138">
        <f>IFERROR(IF(DATEDIF(#REF!,U737,"m")&lt;=1,1,IF(AND(DATEDIF(#REF!,U737,"m")&gt;1,DATEDIF(#REF!,U737,"m")&lt;12),2,IF(AND(DATEDIF(#REF!,U737,"m")&gt;=12,DATEDIF(#REF!,U737,"m")&lt;24),3,IF(DATEDIF(#REF!,U737,"m")&gt;=24,4,"")))),IF(E737="r0320 - Deposits, not covered and not preferential",1,4))</f>
        <v>4</v>
      </c>
    </row>
    <row r="738" spans="3:29" ht="36.75" thickBot="1" x14ac:dyDescent="0.3">
      <c r="C738" s="11">
        <v>999</v>
      </c>
      <c r="D738" s="154">
        <v>731</v>
      </c>
      <c r="E738" s="154" t="s">
        <v>1898</v>
      </c>
      <c r="F738" s="154" t="s">
        <v>87</v>
      </c>
      <c r="G738" s="154" t="s">
        <v>1402</v>
      </c>
      <c r="H738" s="154" t="s">
        <v>511</v>
      </c>
      <c r="I738" s="154" t="s">
        <v>96</v>
      </c>
      <c r="J738" s="154" t="s">
        <v>97</v>
      </c>
      <c r="K738" s="154" t="s">
        <v>91</v>
      </c>
      <c r="L738" s="154" t="s">
        <v>1897</v>
      </c>
      <c r="M738" s="154" t="s">
        <v>1383</v>
      </c>
      <c r="N738" s="154" t="s">
        <v>61</v>
      </c>
      <c r="O738" s="154" t="s">
        <v>62</v>
      </c>
      <c r="P738" s="146">
        <v>17.78</v>
      </c>
      <c r="Q738" s="146">
        <v>0</v>
      </c>
      <c r="R738" s="154" t="s">
        <v>1384</v>
      </c>
      <c r="S738" s="154" t="s">
        <v>1899</v>
      </c>
      <c r="T738" s="155" t="s">
        <v>1899</v>
      </c>
      <c r="U738" s="155" t="s">
        <v>1899</v>
      </c>
      <c r="V738" s="154" t="s">
        <v>1562</v>
      </c>
      <c r="W738" s="154">
        <v>0</v>
      </c>
      <c r="X738" s="154" t="s">
        <v>63</v>
      </c>
      <c r="Y738" s="154" t="s">
        <v>1900</v>
      </c>
      <c r="Z738" s="154"/>
      <c r="AA738" s="154" t="s">
        <v>1387</v>
      </c>
      <c r="AB738" s="154">
        <v>0</v>
      </c>
      <c r="AC738" s="138">
        <f>IFERROR(IF(DATEDIF(#REF!,U738,"m")&lt;=1,1,IF(AND(DATEDIF(#REF!,U738,"m")&gt;1,DATEDIF(#REF!,U738,"m")&lt;12),2,IF(AND(DATEDIF(#REF!,U738,"m")&gt;=12,DATEDIF(#REF!,U738,"m")&lt;24),3,IF(DATEDIF(#REF!,U738,"m")&gt;=24,4,"")))),IF(E738="r0320 - Deposits, not covered and not preferential",1,4))</f>
        <v>4</v>
      </c>
    </row>
    <row r="739" spans="3:29" ht="48.75" thickBot="1" x14ac:dyDescent="0.3">
      <c r="C739" s="11">
        <v>999</v>
      </c>
      <c r="D739" s="154">
        <v>732</v>
      </c>
      <c r="E739" s="154" t="s">
        <v>1902</v>
      </c>
      <c r="F739" s="154" t="s">
        <v>83</v>
      </c>
      <c r="G739" s="154" t="s">
        <v>1903</v>
      </c>
      <c r="H739" s="154" t="s">
        <v>1258</v>
      </c>
      <c r="I739" s="154" t="s">
        <v>101</v>
      </c>
      <c r="J739" s="154" t="s">
        <v>102</v>
      </c>
      <c r="K739" s="154" t="s">
        <v>60</v>
      </c>
      <c r="L739" s="154" t="s">
        <v>1897</v>
      </c>
      <c r="M739" s="154" t="s">
        <v>1388</v>
      </c>
      <c r="N739" s="154" t="s">
        <v>61</v>
      </c>
      <c r="O739" s="154" t="s">
        <v>62</v>
      </c>
      <c r="P739" s="146">
        <v>4945.51</v>
      </c>
      <c r="Q739" s="146">
        <v>13.82</v>
      </c>
      <c r="R739" s="154" t="s">
        <v>1384</v>
      </c>
      <c r="S739" s="154" t="s">
        <v>1899</v>
      </c>
      <c r="T739" s="155" t="s">
        <v>768</v>
      </c>
      <c r="U739" s="155" t="s">
        <v>1899</v>
      </c>
      <c r="V739" s="154" t="s">
        <v>1904</v>
      </c>
      <c r="W739" s="154">
        <v>0</v>
      </c>
      <c r="X739" s="154" t="s">
        <v>63</v>
      </c>
      <c r="Y739" s="154" t="s">
        <v>1386</v>
      </c>
      <c r="Z739" s="154"/>
      <c r="AA739" s="154" t="s">
        <v>1387</v>
      </c>
      <c r="AB739" s="154">
        <v>0</v>
      </c>
      <c r="AC739" s="138">
        <f>IFERROR(IF(DATEDIF(#REF!,U739,"m")&lt;=1,1,IF(AND(DATEDIF(#REF!,U739,"m")&gt;1,DATEDIF(#REF!,U739,"m")&lt;12),2,IF(AND(DATEDIF(#REF!,U739,"m")&gt;=12,DATEDIF(#REF!,U739,"m")&lt;24),3,IF(DATEDIF(#REF!,U739,"m")&gt;=24,4,"")))),IF(E739="r0320 - Deposits, not covered and not preferential",1,4))</f>
        <v>4</v>
      </c>
    </row>
    <row r="740" spans="3:29" ht="36.75" thickBot="1" x14ac:dyDescent="0.3">
      <c r="C740" s="11">
        <v>999</v>
      </c>
      <c r="D740" s="154">
        <v>733</v>
      </c>
      <c r="E740" s="154" t="s">
        <v>1898</v>
      </c>
      <c r="F740" s="154" t="s">
        <v>87</v>
      </c>
      <c r="G740" s="154" t="s">
        <v>1402</v>
      </c>
      <c r="H740" s="154" t="s">
        <v>734</v>
      </c>
      <c r="I740" s="154" t="s">
        <v>108</v>
      </c>
      <c r="J740" s="154" t="s">
        <v>90</v>
      </c>
      <c r="K740" s="154" t="s">
        <v>91</v>
      </c>
      <c r="L740" s="154" t="s">
        <v>1897</v>
      </c>
      <c r="M740" s="154" t="s">
        <v>1383</v>
      </c>
      <c r="N740" s="154" t="s">
        <v>61</v>
      </c>
      <c r="O740" s="154" t="s">
        <v>62</v>
      </c>
      <c r="P740" s="146">
        <v>0.61</v>
      </c>
      <c r="Q740" s="146">
        <v>0</v>
      </c>
      <c r="R740" s="154" t="s">
        <v>1384</v>
      </c>
      <c r="S740" s="154" t="s">
        <v>1899</v>
      </c>
      <c r="T740" s="155" t="s">
        <v>1899</v>
      </c>
      <c r="U740" s="155" t="s">
        <v>1899</v>
      </c>
      <c r="V740" s="154" t="s">
        <v>1562</v>
      </c>
      <c r="W740" s="154">
        <v>0</v>
      </c>
      <c r="X740" s="154" t="s">
        <v>63</v>
      </c>
      <c r="Y740" s="154" t="s">
        <v>1900</v>
      </c>
      <c r="Z740" s="154"/>
      <c r="AA740" s="154" t="s">
        <v>1387</v>
      </c>
      <c r="AB740" s="154">
        <v>0</v>
      </c>
      <c r="AC740" s="138">
        <f>IFERROR(IF(DATEDIF(#REF!,U740,"m")&lt;=1,1,IF(AND(DATEDIF(#REF!,U740,"m")&gt;1,DATEDIF(#REF!,U740,"m")&lt;12),2,IF(AND(DATEDIF(#REF!,U740,"m")&gt;=12,DATEDIF(#REF!,U740,"m")&lt;24),3,IF(DATEDIF(#REF!,U740,"m")&gt;=24,4,"")))),IF(E740="r0320 - Deposits, not covered and not preferential",1,4))</f>
        <v>4</v>
      </c>
    </row>
    <row r="741" spans="3:29" ht="48.75" thickBot="1" x14ac:dyDescent="0.3">
      <c r="C741" s="11">
        <v>999</v>
      </c>
      <c r="D741" s="154">
        <v>734</v>
      </c>
      <c r="E741" s="154" t="s">
        <v>1902</v>
      </c>
      <c r="F741" s="154" t="s">
        <v>83</v>
      </c>
      <c r="G741" s="154" t="s">
        <v>1903</v>
      </c>
      <c r="H741" s="154" t="s">
        <v>1189</v>
      </c>
      <c r="I741" s="154" t="s">
        <v>114</v>
      </c>
      <c r="J741" s="154" t="s">
        <v>115</v>
      </c>
      <c r="K741" s="154" t="s">
        <v>60</v>
      </c>
      <c r="L741" s="154" t="s">
        <v>1897</v>
      </c>
      <c r="M741" s="154" t="s">
        <v>1388</v>
      </c>
      <c r="N741" s="154" t="s">
        <v>61</v>
      </c>
      <c r="O741" s="154" t="s">
        <v>62</v>
      </c>
      <c r="P741" s="146">
        <v>433568359.97000003</v>
      </c>
      <c r="Q741" s="146">
        <v>96652.229999999894</v>
      </c>
      <c r="R741" s="154" t="s">
        <v>1384</v>
      </c>
      <c r="S741" s="154" t="s">
        <v>1899</v>
      </c>
      <c r="T741" s="155" t="s">
        <v>768</v>
      </c>
      <c r="U741" s="155" t="s">
        <v>1899</v>
      </c>
      <c r="V741" s="154" t="s">
        <v>1904</v>
      </c>
      <c r="W741" s="154">
        <v>0</v>
      </c>
      <c r="X741" s="154" t="s">
        <v>63</v>
      </c>
      <c r="Y741" s="154" t="s">
        <v>1386</v>
      </c>
      <c r="Z741" s="154"/>
      <c r="AA741" s="154" t="s">
        <v>1387</v>
      </c>
      <c r="AB741" s="154">
        <v>0</v>
      </c>
      <c r="AC741" s="138">
        <f>IFERROR(IF(DATEDIF(#REF!,U741,"m")&lt;=1,1,IF(AND(DATEDIF(#REF!,U741,"m")&gt;1,DATEDIF(#REF!,U741,"m")&lt;12),2,IF(AND(DATEDIF(#REF!,U741,"m")&gt;=12,DATEDIF(#REF!,U741,"m")&lt;24),3,IF(DATEDIF(#REF!,U741,"m")&gt;=24,4,"")))),IF(E741="r0320 - Deposits, not covered and not preferential",1,4))</f>
        <v>4</v>
      </c>
    </row>
    <row r="742" spans="3:29" ht="36.75" thickBot="1" x14ac:dyDescent="0.3">
      <c r="C742" s="11">
        <v>999</v>
      </c>
      <c r="D742" s="154">
        <v>735</v>
      </c>
      <c r="E742" s="154" t="s">
        <v>1898</v>
      </c>
      <c r="F742" s="154" t="s">
        <v>87</v>
      </c>
      <c r="G742" s="154" t="s">
        <v>1402</v>
      </c>
      <c r="H742" s="154" t="s">
        <v>1244</v>
      </c>
      <c r="I742" s="154" t="s">
        <v>108</v>
      </c>
      <c r="J742" s="154" t="s">
        <v>90</v>
      </c>
      <c r="K742" s="154" t="s">
        <v>91</v>
      </c>
      <c r="L742" s="154" t="s">
        <v>1897</v>
      </c>
      <c r="M742" s="154" t="s">
        <v>1383</v>
      </c>
      <c r="N742" s="154" t="s">
        <v>61</v>
      </c>
      <c r="O742" s="154" t="s">
        <v>62</v>
      </c>
      <c r="P742" s="146">
        <v>4.59</v>
      </c>
      <c r="Q742" s="146">
        <v>0</v>
      </c>
      <c r="R742" s="154" t="s">
        <v>1384</v>
      </c>
      <c r="S742" s="154" t="s">
        <v>1899</v>
      </c>
      <c r="T742" s="155" t="s">
        <v>1899</v>
      </c>
      <c r="U742" s="155" t="s">
        <v>1899</v>
      </c>
      <c r="V742" s="154" t="s">
        <v>1562</v>
      </c>
      <c r="W742" s="154">
        <v>0</v>
      </c>
      <c r="X742" s="154" t="s">
        <v>63</v>
      </c>
      <c r="Y742" s="154" t="s">
        <v>1900</v>
      </c>
      <c r="Z742" s="154"/>
      <c r="AA742" s="154" t="s">
        <v>1387</v>
      </c>
      <c r="AB742" s="154">
        <v>0</v>
      </c>
      <c r="AC742" s="138">
        <f>IFERROR(IF(DATEDIF(#REF!,U742,"m")&lt;=1,1,IF(AND(DATEDIF(#REF!,U742,"m")&gt;1,DATEDIF(#REF!,U742,"m")&lt;12),2,IF(AND(DATEDIF(#REF!,U742,"m")&gt;=12,DATEDIF(#REF!,U742,"m")&lt;24),3,IF(DATEDIF(#REF!,U742,"m")&gt;=24,4,"")))),IF(E742="r0320 - Deposits, not covered and not preferential",1,4))</f>
        <v>4</v>
      </c>
    </row>
    <row r="743" spans="3:29" ht="48.75" thickBot="1" x14ac:dyDescent="0.3">
      <c r="C743" s="11">
        <v>999</v>
      </c>
      <c r="D743" s="154">
        <v>736</v>
      </c>
      <c r="E743" s="154" t="s">
        <v>1902</v>
      </c>
      <c r="F743" s="154" t="s">
        <v>83</v>
      </c>
      <c r="G743" s="154" t="s">
        <v>1903</v>
      </c>
      <c r="H743" s="154" t="s">
        <v>797</v>
      </c>
      <c r="I743" s="154" t="s">
        <v>114</v>
      </c>
      <c r="J743" s="154" t="s">
        <v>115</v>
      </c>
      <c r="K743" s="154" t="s">
        <v>60</v>
      </c>
      <c r="L743" s="154" t="s">
        <v>1897</v>
      </c>
      <c r="M743" s="154" t="s">
        <v>1388</v>
      </c>
      <c r="N743" s="154" t="s">
        <v>61</v>
      </c>
      <c r="O743" s="154" t="s">
        <v>62</v>
      </c>
      <c r="P743" s="146">
        <v>80357.09</v>
      </c>
      <c r="Q743" s="146">
        <v>14.18</v>
      </c>
      <c r="R743" s="154" t="s">
        <v>1384</v>
      </c>
      <c r="S743" s="154" t="s">
        <v>1899</v>
      </c>
      <c r="T743" s="155" t="s">
        <v>768</v>
      </c>
      <c r="U743" s="155" t="s">
        <v>1899</v>
      </c>
      <c r="V743" s="154" t="s">
        <v>1904</v>
      </c>
      <c r="W743" s="154">
        <v>0</v>
      </c>
      <c r="X743" s="154" t="s">
        <v>63</v>
      </c>
      <c r="Y743" s="154" t="s">
        <v>1386</v>
      </c>
      <c r="Z743" s="154"/>
      <c r="AA743" s="154" t="s">
        <v>1387</v>
      </c>
      <c r="AB743" s="154">
        <v>0</v>
      </c>
      <c r="AC743" s="138">
        <f>IFERROR(IF(DATEDIF(#REF!,U743,"m")&lt;=1,1,IF(AND(DATEDIF(#REF!,U743,"m")&gt;1,DATEDIF(#REF!,U743,"m")&lt;12),2,IF(AND(DATEDIF(#REF!,U743,"m")&gt;=12,DATEDIF(#REF!,U743,"m")&lt;24),3,IF(DATEDIF(#REF!,U743,"m")&gt;=24,4,"")))),IF(E743="r0320 - Deposits, not covered and not preferential",1,4))</f>
        <v>4</v>
      </c>
    </row>
    <row r="744" spans="3:29" ht="36.75" thickBot="1" x14ac:dyDescent="0.3">
      <c r="C744" s="11">
        <v>999</v>
      </c>
      <c r="D744" s="154">
        <v>737</v>
      </c>
      <c r="E744" s="154" t="s">
        <v>1898</v>
      </c>
      <c r="F744" s="154" t="s">
        <v>87</v>
      </c>
      <c r="G744" s="154" t="s">
        <v>1402</v>
      </c>
      <c r="H744" s="154" t="s">
        <v>1162</v>
      </c>
      <c r="I744" s="154" t="s">
        <v>108</v>
      </c>
      <c r="J744" s="154" t="s">
        <v>90</v>
      </c>
      <c r="K744" s="154" t="s">
        <v>91</v>
      </c>
      <c r="L744" s="154" t="s">
        <v>1897</v>
      </c>
      <c r="M744" s="154" t="s">
        <v>1383</v>
      </c>
      <c r="N744" s="154" t="s">
        <v>61</v>
      </c>
      <c r="O744" s="154" t="s">
        <v>62</v>
      </c>
      <c r="P744" s="146">
        <v>5.34</v>
      </c>
      <c r="Q744" s="146">
        <v>0</v>
      </c>
      <c r="R744" s="154" t="s">
        <v>1384</v>
      </c>
      <c r="S744" s="154" t="s">
        <v>1899</v>
      </c>
      <c r="T744" s="155" t="s">
        <v>1899</v>
      </c>
      <c r="U744" s="155" t="s">
        <v>1899</v>
      </c>
      <c r="V744" s="154" t="s">
        <v>1562</v>
      </c>
      <c r="W744" s="154">
        <v>0</v>
      </c>
      <c r="X744" s="154" t="s">
        <v>63</v>
      </c>
      <c r="Y744" s="154" t="s">
        <v>1900</v>
      </c>
      <c r="Z744" s="154"/>
      <c r="AA744" s="154" t="s">
        <v>1387</v>
      </c>
      <c r="AB744" s="154">
        <v>0</v>
      </c>
      <c r="AC744" s="138">
        <f>IFERROR(IF(DATEDIF(#REF!,U744,"m")&lt;=1,1,IF(AND(DATEDIF(#REF!,U744,"m")&gt;1,DATEDIF(#REF!,U744,"m")&lt;12),2,IF(AND(DATEDIF(#REF!,U744,"m")&gt;=12,DATEDIF(#REF!,U744,"m")&lt;24),3,IF(DATEDIF(#REF!,U744,"m")&gt;=24,4,"")))),IF(E744="r0320 - Deposits, not covered and not preferential",1,4))</f>
        <v>4</v>
      </c>
    </row>
    <row r="745" spans="3:29" ht="48.75" thickBot="1" x14ac:dyDescent="0.3">
      <c r="C745" s="11">
        <v>999</v>
      </c>
      <c r="D745" s="154">
        <v>738</v>
      </c>
      <c r="E745" s="154" t="s">
        <v>1902</v>
      </c>
      <c r="F745" s="154" t="s">
        <v>83</v>
      </c>
      <c r="G745" s="154" t="s">
        <v>1903</v>
      </c>
      <c r="H745" s="154" t="s">
        <v>265</v>
      </c>
      <c r="I745" s="154" t="s">
        <v>101</v>
      </c>
      <c r="J745" s="154" t="s">
        <v>102</v>
      </c>
      <c r="K745" s="154" t="s">
        <v>60</v>
      </c>
      <c r="L745" s="154" t="s">
        <v>1897</v>
      </c>
      <c r="M745" s="154" t="s">
        <v>1388</v>
      </c>
      <c r="N745" s="154" t="s">
        <v>61</v>
      </c>
      <c r="O745" s="154" t="s">
        <v>62</v>
      </c>
      <c r="P745" s="146">
        <v>2037205.94</v>
      </c>
      <c r="Q745" s="146">
        <v>811.25</v>
      </c>
      <c r="R745" s="154" t="s">
        <v>1384</v>
      </c>
      <c r="S745" s="154" t="s">
        <v>1899</v>
      </c>
      <c r="T745" s="155" t="s">
        <v>768</v>
      </c>
      <c r="U745" s="155" t="s">
        <v>1899</v>
      </c>
      <c r="V745" s="154" t="s">
        <v>1904</v>
      </c>
      <c r="W745" s="154">
        <v>0</v>
      </c>
      <c r="X745" s="154" t="s">
        <v>63</v>
      </c>
      <c r="Y745" s="154" t="s">
        <v>1386</v>
      </c>
      <c r="Z745" s="154"/>
      <c r="AA745" s="154" t="s">
        <v>1387</v>
      </c>
      <c r="AB745" s="154">
        <v>0</v>
      </c>
      <c r="AC745" s="138">
        <f>IFERROR(IF(DATEDIF(#REF!,U745,"m")&lt;=1,1,IF(AND(DATEDIF(#REF!,U745,"m")&gt;1,DATEDIF(#REF!,U745,"m")&lt;12),2,IF(AND(DATEDIF(#REF!,U745,"m")&gt;=12,DATEDIF(#REF!,U745,"m")&lt;24),3,IF(DATEDIF(#REF!,U745,"m")&gt;=24,4,"")))),IF(E745="r0320 - Deposits, not covered and not preferential",1,4))</f>
        <v>4</v>
      </c>
    </row>
    <row r="746" spans="3:29" ht="36.75" thickBot="1" x14ac:dyDescent="0.3">
      <c r="C746" s="11">
        <v>999</v>
      </c>
      <c r="D746" s="154">
        <v>739</v>
      </c>
      <c r="E746" s="154" t="s">
        <v>1898</v>
      </c>
      <c r="F746" s="154" t="s">
        <v>87</v>
      </c>
      <c r="G746" s="154" t="s">
        <v>1402</v>
      </c>
      <c r="H746" s="154" t="s">
        <v>769</v>
      </c>
      <c r="I746" s="154" t="s">
        <v>108</v>
      </c>
      <c r="J746" s="154" t="s">
        <v>90</v>
      </c>
      <c r="K746" s="154" t="s">
        <v>91</v>
      </c>
      <c r="L746" s="154" t="s">
        <v>1897</v>
      </c>
      <c r="M746" s="154" t="s">
        <v>1383</v>
      </c>
      <c r="N746" s="154" t="s">
        <v>61</v>
      </c>
      <c r="O746" s="154" t="s">
        <v>62</v>
      </c>
      <c r="P746" s="146">
        <v>0.41</v>
      </c>
      <c r="Q746" s="146">
        <v>0</v>
      </c>
      <c r="R746" s="154" t="s">
        <v>1384</v>
      </c>
      <c r="S746" s="154" t="s">
        <v>1899</v>
      </c>
      <c r="T746" s="155" t="s">
        <v>1899</v>
      </c>
      <c r="U746" s="155" t="s">
        <v>1899</v>
      </c>
      <c r="V746" s="154" t="s">
        <v>1562</v>
      </c>
      <c r="W746" s="154">
        <v>0</v>
      </c>
      <c r="X746" s="154" t="s">
        <v>63</v>
      </c>
      <c r="Y746" s="154" t="s">
        <v>1900</v>
      </c>
      <c r="Z746" s="154"/>
      <c r="AA746" s="154" t="s">
        <v>1387</v>
      </c>
      <c r="AB746" s="154">
        <v>0</v>
      </c>
      <c r="AC746" s="138">
        <f>IFERROR(IF(DATEDIF(#REF!,U746,"m")&lt;=1,1,IF(AND(DATEDIF(#REF!,U746,"m")&gt;1,DATEDIF(#REF!,U746,"m")&lt;12),2,IF(AND(DATEDIF(#REF!,U746,"m")&gt;=12,DATEDIF(#REF!,U746,"m")&lt;24),3,IF(DATEDIF(#REF!,U746,"m")&gt;=24,4,"")))),IF(E746="r0320 - Deposits, not covered and not preferential",1,4))</f>
        <v>4</v>
      </c>
    </row>
    <row r="747" spans="3:29" ht="48.75" thickBot="1" x14ac:dyDescent="0.3">
      <c r="C747" s="11">
        <v>999</v>
      </c>
      <c r="D747" s="154">
        <v>740</v>
      </c>
      <c r="E747" s="154" t="s">
        <v>1902</v>
      </c>
      <c r="F747" s="154" t="s">
        <v>83</v>
      </c>
      <c r="G747" s="154" t="s">
        <v>1903</v>
      </c>
      <c r="H747" s="154" t="s">
        <v>1271</v>
      </c>
      <c r="I747" s="154" t="s">
        <v>93</v>
      </c>
      <c r="J747" s="154" t="s">
        <v>94</v>
      </c>
      <c r="K747" s="154" t="s">
        <v>60</v>
      </c>
      <c r="L747" s="154" t="s">
        <v>1897</v>
      </c>
      <c r="M747" s="154" t="s">
        <v>1388</v>
      </c>
      <c r="N747" s="154" t="s">
        <v>61</v>
      </c>
      <c r="O747" s="154" t="s">
        <v>62</v>
      </c>
      <c r="P747" s="146">
        <v>43312.3</v>
      </c>
      <c r="Q747" s="146">
        <v>1.22</v>
      </c>
      <c r="R747" s="154" t="s">
        <v>1384</v>
      </c>
      <c r="S747" s="154" t="s">
        <v>1899</v>
      </c>
      <c r="T747" s="155" t="s">
        <v>768</v>
      </c>
      <c r="U747" s="155" t="s">
        <v>1899</v>
      </c>
      <c r="V747" s="154" t="s">
        <v>1904</v>
      </c>
      <c r="W747" s="154">
        <v>0</v>
      </c>
      <c r="X747" s="154" t="s">
        <v>63</v>
      </c>
      <c r="Y747" s="154" t="s">
        <v>1386</v>
      </c>
      <c r="Z747" s="154"/>
      <c r="AA747" s="154" t="s">
        <v>1387</v>
      </c>
      <c r="AB747" s="154">
        <v>0</v>
      </c>
      <c r="AC747" s="138">
        <f>IFERROR(IF(DATEDIF(#REF!,U747,"m")&lt;=1,1,IF(AND(DATEDIF(#REF!,U747,"m")&gt;1,DATEDIF(#REF!,U747,"m")&lt;12),2,IF(AND(DATEDIF(#REF!,U747,"m")&gt;=12,DATEDIF(#REF!,U747,"m")&lt;24),3,IF(DATEDIF(#REF!,U747,"m")&gt;=24,4,"")))),IF(E747="r0320 - Deposits, not covered and not preferential",1,4))</f>
        <v>4</v>
      </c>
    </row>
    <row r="748" spans="3:29" ht="36.75" thickBot="1" x14ac:dyDescent="0.3">
      <c r="C748" s="11">
        <v>999</v>
      </c>
      <c r="D748" s="154">
        <v>741</v>
      </c>
      <c r="E748" s="154" t="s">
        <v>1898</v>
      </c>
      <c r="F748" s="154" t="s">
        <v>87</v>
      </c>
      <c r="G748" s="154" t="s">
        <v>1402</v>
      </c>
      <c r="H748" s="154" t="s">
        <v>146</v>
      </c>
      <c r="I748" s="154" t="s">
        <v>108</v>
      </c>
      <c r="J748" s="154" t="s">
        <v>90</v>
      </c>
      <c r="K748" s="154" t="s">
        <v>91</v>
      </c>
      <c r="L748" s="154" t="s">
        <v>1897</v>
      </c>
      <c r="M748" s="154" t="s">
        <v>1383</v>
      </c>
      <c r="N748" s="154" t="s">
        <v>61</v>
      </c>
      <c r="O748" s="154" t="s">
        <v>62</v>
      </c>
      <c r="P748" s="146">
        <v>0.15</v>
      </c>
      <c r="Q748" s="146">
        <v>0</v>
      </c>
      <c r="R748" s="154" t="s">
        <v>1384</v>
      </c>
      <c r="S748" s="154" t="s">
        <v>1899</v>
      </c>
      <c r="T748" s="155" t="s">
        <v>1899</v>
      </c>
      <c r="U748" s="155" t="s">
        <v>1899</v>
      </c>
      <c r="V748" s="154" t="s">
        <v>1562</v>
      </c>
      <c r="W748" s="154">
        <v>0</v>
      </c>
      <c r="X748" s="154" t="s">
        <v>63</v>
      </c>
      <c r="Y748" s="154" t="s">
        <v>1900</v>
      </c>
      <c r="Z748" s="154"/>
      <c r="AA748" s="154" t="s">
        <v>1387</v>
      </c>
      <c r="AB748" s="154">
        <v>0</v>
      </c>
      <c r="AC748" s="138">
        <f>IFERROR(IF(DATEDIF(#REF!,U748,"m")&lt;=1,1,IF(AND(DATEDIF(#REF!,U748,"m")&gt;1,DATEDIF(#REF!,U748,"m")&lt;12),2,IF(AND(DATEDIF(#REF!,U748,"m")&gt;=12,DATEDIF(#REF!,U748,"m")&lt;24),3,IF(DATEDIF(#REF!,U748,"m")&gt;=24,4,"")))),IF(E748="r0320 - Deposits, not covered and not preferential",1,4))</f>
        <v>4</v>
      </c>
    </row>
    <row r="749" spans="3:29" ht="36.75" thickBot="1" x14ac:dyDescent="0.3">
      <c r="C749" s="11">
        <v>999</v>
      </c>
      <c r="D749" s="154">
        <v>742</v>
      </c>
      <c r="E749" s="154" t="s">
        <v>1898</v>
      </c>
      <c r="F749" s="154" t="s">
        <v>87</v>
      </c>
      <c r="G749" s="154" t="s">
        <v>1402</v>
      </c>
      <c r="H749" s="154" t="s">
        <v>1231</v>
      </c>
      <c r="I749" s="154" t="s">
        <v>108</v>
      </c>
      <c r="J749" s="154" t="s">
        <v>90</v>
      </c>
      <c r="K749" s="154" t="s">
        <v>91</v>
      </c>
      <c r="L749" s="154" t="s">
        <v>1897</v>
      </c>
      <c r="M749" s="154" t="s">
        <v>1383</v>
      </c>
      <c r="N749" s="154" t="s">
        <v>61</v>
      </c>
      <c r="O749" s="154" t="s">
        <v>62</v>
      </c>
      <c r="P749" s="146">
        <v>0.77</v>
      </c>
      <c r="Q749" s="146">
        <v>0</v>
      </c>
      <c r="R749" s="154" t="s">
        <v>1384</v>
      </c>
      <c r="S749" s="154" t="s">
        <v>1899</v>
      </c>
      <c r="T749" s="155" t="s">
        <v>1899</v>
      </c>
      <c r="U749" s="155" t="s">
        <v>1899</v>
      </c>
      <c r="V749" s="154" t="s">
        <v>1562</v>
      </c>
      <c r="W749" s="154">
        <v>0</v>
      </c>
      <c r="X749" s="154" t="s">
        <v>63</v>
      </c>
      <c r="Y749" s="154" t="s">
        <v>1900</v>
      </c>
      <c r="Z749" s="154"/>
      <c r="AA749" s="154" t="s">
        <v>1387</v>
      </c>
      <c r="AB749" s="154">
        <v>0</v>
      </c>
      <c r="AC749" s="138">
        <f>IFERROR(IF(DATEDIF(#REF!,U749,"m")&lt;=1,1,IF(AND(DATEDIF(#REF!,U749,"m")&gt;1,DATEDIF(#REF!,U749,"m")&lt;12),2,IF(AND(DATEDIF(#REF!,U749,"m")&gt;=12,DATEDIF(#REF!,U749,"m")&lt;24),3,IF(DATEDIF(#REF!,U749,"m")&gt;=24,4,"")))),IF(E749="r0320 - Deposits, not covered and not preferential",1,4))</f>
        <v>4</v>
      </c>
    </row>
    <row r="750" spans="3:29" ht="48.75" thickBot="1" x14ac:dyDescent="0.3">
      <c r="C750" s="11">
        <v>999</v>
      </c>
      <c r="D750" s="154">
        <v>743</v>
      </c>
      <c r="E750" s="154" t="s">
        <v>1902</v>
      </c>
      <c r="F750" s="154" t="s">
        <v>83</v>
      </c>
      <c r="G750" s="154" t="s">
        <v>1903</v>
      </c>
      <c r="H750" s="154" t="s">
        <v>288</v>
      </c>
      <c r="I750" s="154" t="s">
        <v>93</v>
      </c>
      <c r="J750" s="154" t="s">
        <v>94</v>
      </c>
      <c r="K750" s="154" t="s">
        <v>60</v>
      </c>
      <c r="L750" s="154" t="s">
        <v>1897</v>
      </c>
      <c r="M750" s="154" t="s">
        <v>1388</v>
      </c>
      <c r="N750" s="154" t="s">
        <v>61</v>
      </c>
      <c r="O750" s="154" t="s">
        <v>62</v>
      </c>
      <c r="P750" s="146">
        <v>87516.37</v>
      </c>
      <c r="Q750" s="146">
        <v>-1.26</v>
      </c>
      <c r="R750" s="154" t="s">
        <v>1384</v>
      </c>
      <c r="S750" s="154" t="s">
        <v>1899</v>
      </c>
      <c r="T750" s="155" t="s">
        <v>768</v>
      </c>
      <c r="U750" s="155" t="s">
        <v>1899</v>
      </c>
      <c r="V750" s="154" t="s">
        <v>1904</v>
      </c>
      <c r="W750" s="154">
        <v>0</v>
      </c>
      <c r="X750" s="154" t="s">
        <v>63</v>
      </c>
      <c r="Y750" s="154" t="s">
        <v>1386</v>
      </c>
      <c r="Z750" s="154"/>
      <c r="AA750" s="154" t="s">
        <v>1387</v>
      </c>
      <c r="AB750" s="154">
        <v>0</v>
      </c>
      <c r="AC750" s="138">
        <f>IFERROR(IF(DATEDIF(#REF!,U750,"m")&lt;=1,1,IF(AND(DATEDIF(#REF!,U750,"m")&gt;1,DATEDIF(#REF!,U750,"m")&lt;12),2,IF(AND(DATEDIF(#REF!,U750,"m")&gt;=12,DATEDIF(#REF!,U750,"m")&lt;24),3,IF(DATEDIF(#REF!,U750,"m")&gt;=24,4,"")))),IF(E750="r0320 - Deposits, not covered and not preferential",1,4))</f>
        <v>4</v>
      </c>
    </row>
    <row r="751" spans="3:29" ht="36.75" thickBot="1" x14ac:dyDescent="0.3">
      <c r="C751" s="11">
        <v>999</v>
      </c>
      <c r="D751" s="154">
        <v>744</v>
      </c>
      <c r="E751" s="154" t="s">
        <v>1898</v>
      </c>
      <c r="F751" s="154" t="s">
        <v>87</v>
      </c>
      <c r="G751" s="154" t="s">
        <v>1402</v>
      </c>
      <c r="H751" s="154" t="s">
        <v>766</v>
      </c>
      <c r="I751" s="154" t="s">
        <v>108</v>
      </c>
      <c r="J751" s="154" t="s">
        <v>90</v>
      </c>
      <c r="K751" s="154" t="s">
        <v>91</v>
      </c>
      <c r="L751" s="154" t="s">
        <v>1897</v>
      </c>
      <c r="M751" s="154" t="s">
        <v>1383</v>
      </c>
      <c r="N751" s="154" t="s">
        <v>61</v>
      </c>
      <c r="O751" s="154" t="s">
        <v>62</v>
      </c>
      <c r="P751" s="146">
        <v>50.9</v>
      </c>
      <c r="Q751" s="146">
        <v>0</v>
      </c>
      <c r="R751" s="154" t="s">
        <v>1384</v>
      </c>
      <c r="S751" s="154" t="s">
        <v>1899</v>
      </c>
      <c r="T751" s="155" t="s">
        <v>1899</v>
      </c>
      <c r="U751" s="155" t="s">
        <v>1899</v>
      </c>
      <c r="V751" s="154" t="s">
        <v>1562</v>
      </c>
      <c r="W751" s="154">
        <v>0</v>
      </c>
      <c r="X751" s="154" t="s">
        <v>63</v>
      </c>
      <c r="Y751" s="154" t="s">
        <v>1900</v>
      </c>
      <c r="Z751" s="154"/>
      <c r="AA751" s="154" t="s">
        <v>1387</v>
      </c>
      <c r="AB751" s="154">
        <v>0</v>
      </c>
      <c r="AC751" s="138">
        <f>IFERROR(IF(DATEDIF(#REF!,U751,"m")&lt;=1,1,IF(AND(DATEDIF(#REF!,U751,"m")&gt;1,DATEDIF(#REF!,U751,"m")&lt;12),2,IF(AND(DATEDIF(#REF!,U751,"m")&gt;=12,DATEDIF(#REF!,U751,"m")&lt;24),3,IF(DATEDIF(#REF!,U751,"m")&gt;=24,4,"")))),IF(E751="r0320 - Deposits, not covered and not preferential",1,4))</f>
        <v>4</v>
      </c>
    </row>
    <row r="752" spans="3:29" ht="48.75" thickBot="1" x14ac:dyDescent="0.3">
      <c r="C752" s="11">
        <v>999</v>
      </c>
      <c r="D752" s="154">
        <v>745</v>
      </c>
      <c r="E752" s="154" t="s">
        <v>1902</v>
      </c>
      <c r="F752" s="154" t="s">
        <v>83</v>
      </c>
      <c r="G752" s="154" t="s">
        <v>1903</v>
      </c>
      <c r="H752" s="154" t="s">
        <v>282</v>
      </c>
      <c r="I752" s="154" t="s">
        <v>93</v>
      </c>
      <c r="J752" s="154" t="s">
        <v>94</v>
      </c>
      <c r="K752" s="154" t="s">
        <v>60</v>
      </c>
      <c r="L752" s="154" t="s">
        <v>1897</v>
      </c>
      <c r="M752" s="154" t="s">
        <v>1388</v>
      </c>
      <c r="N752" s="154" t="s">
        <v>61</v>
      </c>
      <c r="O752" s="154" t="s">
        <v>62</v>
      </c>
      <c r="P752" s="146">
        <v>45859.35</v>
      </c>
      <c r="Q752" s="146">
        <v>2.5099999999999998</v>
      </c>
      <c r="R752" s="154" t="s">
        <v>1384</v>
      </c>
      <c r="S752" s="154" t="s">
        <v>1899</v>
      </c>
      <c r="T752" s="155" t="s">
        <v>768</v>
      </c>
      <c r="U752" s="155" t="s">
        <v>1899</v>
      </c>
      <c r="V752" s="154" t="s">
        <v>1904</v>
      </c>
      <c r="W752" s="154">
        <v>0</v>
      </c>
      <c r="X752" s="154" t="s">
        <v>63</v>
      </c>
      <c r="Y752" s="154" t="s">
        <v>1386</v>
      </c>
      <c r="Z752" s="154"/>
      <c r="AA752" s="154" t="s">
        <v>1387</v>
      </c>
      <c r="AB752" s="154">
        <v>0</v>
      </c>
      <c r="AC752" s="138">
        <f>IFERROR(IF(DATEDIF(#REF!,U752,"m")&lt;=1,1,IF(AND(DATEDIF(#REF!,U752,"m")&gt;1,DATEDIF(#REF!,U752,"m")&lt;12),2,IF(AND(DATEDIF(#REF!,U752,"m")&gt;=12,DATEDIF(#REF!,U752,"m")&lt;24),3,IF(DATEDIF(#REF!,U752,"m")&gt;=24,4,"")))),IF(E752="r0320 - Deposits, not covered and not preferential",1,4))</f>
        <v>4</v>
      </c>
    </row>
    <row r="753" spans="3:29" ht="36.75" thickBot="1" x14ac:dyDescent="0.3">
      <c r="C753" s="11">
        <v>999</v>
      </c>
      <c r="D753" s="154">
        <v>746</v>
      </c>
      <c r="E753" s="154" t="s">
        <v>1898</v>
      </c>
      <c r="F753" s="154" t="s">
        <v>87</v>
      </c>
      <c r="G753" s="154" t="s">
        <v>1402</v>
      </c>
      <c r="H753" s="154" t="s">
        <v>1250</v>
      </c>
      <c r="I753" s="154" t="s">
        <v>108</v>
      </c>
      <c r="J753" s="154" t="s">
        <v>90</v>
      </c>
      <c r="K753" s="154" t="s">
        <v>91</v>
      </c>
      <c r="L753" s="154" t="s">
        <v>1897</v>
      </c>
      <c r="M753" s="154" t="s">
        <v>1383</v>
      </c>
      <c r="N753" s="154" t="s">
        <v>61</v>
      </c>
      <c r="O753" s="154" t="s">
        <v>62</v>
      </c>
      <c r="P753" s="146">
        <v>0.22</v>
      </c>
      <c r="Q753" s="146">
        <v>0</v>
      </c>
      <c r="R753" s="154" t="s">
        <v>1384</v>
      </c>
      <c r="S753" s="154" t="s">
        <v>1899</v>
      </c>
      <c r="T753" s="155" t="s">
        <v>1899</v>
      </c>
      <c r="U753" s="155" t="s">
        <v>1899</v>
      </c>
      <c r="V753" s="154" t="s">
        <v>1562</v>
      </c>
      <c r="W753" s="154">
        <v>0</v>
      </c>
      <c r="X753" s="154" t="s">
        <v>63</v>
      </c>
      <c r="Y753" s="154" t="s">
        <v>1900</v>
      </c>
      <c r="Z753" s="154"/>
      <c r="AA753" s="154" t="s">
        <v>1387</v>
      </c>
      <c r="AB753" s="154">
        <v>0</v>
      </c>
      <c r="AC753" s="138">
        <f>IFERROR(IF(DATEDIF(#REF!,U753,"m")&lt;=1,1,IF(AND(DATEDIF(#REF!,U753,"m")&gt;1,DATEDIF(#REF!,U753,"m")&lt;12),2,IF(AND(DATEDIF(#REF!,U753,"m")&gt;=12,DATEDIF(#REF!,U753,"m")&lt;24),3,IF(DATEDIF(#REF!,U753,"m")&gt;=24,4,"")))),IF(E753="r0320 - Deposits, not covered and not preferential",1,4))</f>
        <v>4</v>
      </c>
    </row>
    <row r="754" spans="3:29" ht="48.75" thickBot="1" x14ac:dyDescent="0.3">
      <c r="C754" s="11">
        <v>999</v>
      </c>
      <c r="D754" s="154">
        <v>747</v>
      </c>
      <c r="E754" s="154" t="s">
        <v>1902</v>
      </c>
      <c r="F754" s="154" t="s">
        <v>83</v>
      </c>
      <c r="G754" s="154" t="s">
        <v>1903</v>
      </c>
      <c r="H754" s="154" t="s">
        <v>471</v>
      </c>
      <c r="I754" s="154" t="s">
        <v>93</v>
      </c>
      <c r="J754" s="154" t="s">
        <v>94</v>
      </c>
      <c r="K754" s="154" t="s">
        <v>60</v>
      </c>
      <c r="L754" s="154" t="s">
        <v>1897</v>
      </c>
      <c r="M754" s="154" t="s">
        <v>1388</v>
      </c>
      <c r="N754" s="154" t="s">
        <v>61</v>
      </c>
      <c r="O754" s="154" t="s">
        <v>62</v>
      </c>
      <c r="P754" s="146">
        <v>122162.58</v>
      </c>
      <c r="Q754" s="146">
        <v>47.04</v>
      </c>
      <c r="R754" s="154" t="s">
        <v>1384</v>
      </c>
      <c r="S754" s="154" t="s">
        <v>1899</v>
      </c>
      <c r="T754" s="155" t="s">
        <v>768</v>
      </c>
      <c r="U754" s="155" t="s">
        <v>1899</v>
      </c>
      <c r="V754" s="154" t="s">
        <v>1904</v>
      </c>
      <c r="W754" s="154">
        <v>0</v>
      </c>
      <c r="X754" s="154" t="s">
        <v>63</v>
      </c>
      <c r="Y754" s="154" t="s">
        <v>1386</v>
      </c>
      <c r="Z754" s="154"/>
      <c r="AA754" s="154" t="s">
        <v>1387</v>
      </c>
      <c r="AB754" s="154">
        <v>0</v>
      </c>
      <c r="AC754" s="138">
        <f>IFERROR(IF(DATEDIF(#REF!,U754,"m")&lt;=1,1,IF(AND(DATEDIF(#REF!,U754,"m")&gt;1,DATEDIF(#REF!,U754,"m")&lt;12),2,IF(AND(DATEDIF(#REF!,U754,"m")&gt;=12,DATEDIF(#REF!,U754,"m")&lt;24),3,IF(DATEDIF(#REF!,U754,"m")&gt;=24,4,"")))),IF(E754="r0320 - Deposits, not covered and not preferential",1,4))</f>
        <v>4</v>
      </c>
    </row>
    <row r="755" spans="3:29" ht="36.75" thickBot="1" x14ac:dyDescent="0.3">
      <c r="C755" s="11">
        <v>999</v>
      </c>
      <c r="D755" s="154">
        <v>748</v>
      </c>
      <c r="E755" s="154" t="s">
        <v>1898</v>
      </c>
      <c r="F755" s="154" t="s">
        <v>87</v>
      </c>
      <c r="G755" s="154" t="s">
        <v>1402</v>
      </c>
      <c r="H755" s="154" t="s">
        <v>1239</v>
      </c>
      <c r="I755" s="154" t="s">
        <v>142</v>
      </c>
      <c r="J755" s="154" t="s">
        <v>143</v>
      </c>
      <c r="K755" s="154" t="s">
        <v>60</v>
      </c>
      <c r="L755" s="154" t="s">
        <v>1897</v>
      </c>
      <c r="M755" s="154" t="s">
        <v>1383</v>
      </c>
      <c r="N755" s="154" t="s">
        <v>61</v>
      </c>
      <c r="O755" s="154" t="s">
        <v>62</v>
      </c>
      <c r="P755" s="146">
        <v>48.25</v>
      </c>
      <c r="Q755" s="146">
        <v>0</v>
      </c>
      <c r="R755" s="154" t="s">
        <v>1384</v>
      </c>
      <c r="S755" s="154" t="s">
        <v>1899</v>
      </c>
      <c r="T755" s="155" t="s">
        <v>1899</v>
      </c>
      <c r="U755" s="155" t="s">
        <v>1899</v>
      </c>
      <c r="V755" s="154" t="s">
        <v>1562</v>
      </c>
      <c r="W755" s="154">
        <v>0</v>
      </c>
      <c r="X755" s="154" t="s">
        <v>63</v>
      </c>
      <c r="Y755" s="154" t="s">
        <v>1900</v>
      </c>
      <c r="Z755" s="154"/>
      <c r="AA755" s="154" t="s">
        <v>1387</v>
      </c>
      <c r="AB755" s="154">
        <v>0</v>
      </c>
      <c r="AC755" s="138">
        <f>IFERROR(IF(DATEDIF(#REF!,U755,"m")&lt;=1,1,IF(AND(DATEDIF(#REF!,U755,"m")&gt;1,DATEDIF(#REF!,U755,"m")&lt;12),2,IF(AND(DATEDIF(#REF!,U755,"m")&gt;=12,DATEDIF(#REF!,U755,"m")&lt;24),3,IF(DATEDIF(#REF!,U755,"m")&gt;=24,4,"")))),IF(E755="r0320 - Deposits, not covered and not preferential",1,4))</f>
        <v>4</v>
      </c>
    </row>
    <row r="756" spans="3:29" ht="36.75" thickBot="1" x14ac:dyDescent="0.3">
      <c r="C756" s="11">
        <v>999</v>
      </c>
      <c r="D756" s="154">
        <v>749</v>
      </c>
      <c r="E756" s="154" t="s">
        <v>1898</v>
      </c>
      <c r="F756" s="154" t="s">
        <v>83</v>
      </c>
      <c r="G756" s="154" t="s">
        <v>1402</v>
      </c>
      <c r="H756" s="154" t="s">
        <v>2630</v>
      </c>
      <c r="I756" s="154" t="s">
        <v>917</v>
      </c>
      <c r="J756" s="154" t="s">
        <v>918</v>
      </c>
      <c r="K756" s="154" t="s">
        <v>60</v>
      </c>
      <c r="L756" s="154" t="s">
        <v>1897</v>
      </c>
      <c r="M756" s="154" t="s">
        <v>1383</v>
      </c>
      <c r="N756" s="154" t="s">
        <v>61</v>
      </c>
      <c r="O756" s="154" t="s">
        <v>62</v>
      </c>
      <c r="P756" s="146">
        <v>74.73</v>
      </c>
      <c r="Q756" s="146">
        <v>0</v>
      </c>
      <c r="R756" s="154" t="s">
        <v>1384</v>
      </c>
      <c r="S756" s="154" t="s">
        <v>1899</v>
      </c>
      <c r="T756" s="155" t="s">
        <v>1899</v>
      </c>
      <c r="U756" s="155" t="s">
        <v>1899</v>
      </c>
      <c r="V756" s="154" t="s">
        <v>1562</v>
      </c>
      <c r="W756" s="154">
        <v>0</v>
      </c>
      <c r="X756" s="154" t="s">
        <v>63</v>
      </c>
      <c r="Y756" s="154" t="s">
        <v>1900</v>
      </c>
      <c r="Z756" s="154"/>
      <c r="AA756" s="154" t="s">
        <v>1387</v>
      </c>
      <c r="AB756" s="154">
        <v>0</v>
      </c>
      <c r="AC756" s="138">
        <f>IFERROR(IF(DATEDIF(#REF!,U756,"m")&lt;=1,1,IF(AND(DATEDIF(#REF!,U756,"m")&gt;1,DATEDIF(#REF!,U756,"m")&lt;12),2,IF(AND(DATEDIF(#REF!,U756,"m")&gt;=12,DATEDIF(#REF!,U756,"m")&lt;24),3,IF(DATEDIF(#REF!,U756,"m")&gt;=24,4,"")))),IF(E756="r0320 - Deposits, not covered and not preferential",1,4))</f>
        <v>4</v>
      </c>
    </row>
    <row r="757" spans="3:29" ht="36.75" thickBot="1" x14ac:dyDescent="0.3">
      <c r="C757" s="11">
        <v>999</v>
      </c>
      <c r="D757" s="154">
        <v>750</v>
      </c>
      <c r="E757" s="154" t="s">
        <v>1898</v>
      </c>
      <c r="F757" s="154" t="s">
        <v>87</v>
      </c>
      <c r="G757" s="154" t="s">
        <v>1402</v>
      </c>
      <c r="H757" s="154" t="s">
        <v>1274</v>
      </c>
      <c r="I757" s="154" t="s">
        <v>96</v>
      </c>
      <c r="J757" s="154" t="s">
        <v>97</v>
      </c>
      <c r="K757" s="154" t="s">
        <v>91</v>
      </c>
      <c r="L757" s="154" t="s">
        <v>1897</v>
      </c>
      <c r="M757" s="154" t="s">
        <v>1383</v>
      </c>
      <c r="N757" s="154" t="s">
        <v>61</v>
      </c>
      <c r="O757" s="154" t="s">
        <v>62</v>
      </c>
      <c r="P757" s="146">
        <v>0.42</v>
      </c>
      <c r="Q757" s="146">
        <v>0</v>
      </c>
      <c r="R757" s="154" t="s">
        <v>1384</v>
      </c>
      <c r="S757" s="154" t="s">
        <v>1899</v>
      </c>
      <c r="T757" s="155" t="s">
        <v>1899</v>
      </c>
      <c r="U757" s="155" t="s">
        <v>1899</v>
      </c>
      <c r="V757" s="154" t="s">
        <v>1562</v>
      </c>
      <c r="W757" s="154">
        <v>0</v>
      </c>
      <c r="X757" s="154" t="s">
        <v>63</v>
      </c>
      <c r="Y757" s="154" t="s">
        <v>1900</v>
      </c>
      <c r="Z757" s="154"/>
      <c r="AA757" s="154" t="s">
        <v>1387</v>
      </c>
      <c r="AB757" s="154">
        <v>0</v>
      </c>
      <c r="AC757" s="138">
        <f>IFERROR(IF(DATEDIF(#REF!,U757,"m")&lt;=1,1,IF(AND(DATEDIF(#REF!,U757,"m")&gt;1,DATEDIF(#REF!,U757,"m")&lt;12),2,IF(AND(DATEDIF(#REF!,U757,"m")&gt;=12,DATEDIF(#REF!,U757,"m")&lt;24),3,IF(DATEDIF(#REF!,U757,"m")&gt;=24,4,"")))),IF(E757="r0320 - Deposits, not covered and not preferential",1,4))</f>
        <v>4</v>
      </c>
    </row>
    <row r="758" spans="3:29" ht="48.75" thickBot="1" x14ac:dyDescent="0.3">
      <c r="C758" s="11">
        <v>999</v>
      </c>
      <c r="D758" s="154">
        <v>751</v>
      </c>
      <c r="E758" s="154" t="s">
        <v>1902</v>
      </c>
      <c r="F758" s="154" t="s">
        <v>83</v>
      </c>
      <c r="G758" s="154" t="s">
        <v>1903</v>
      </c>
      <c r="H758" s="154" t="s">
        <v>302</v>
      </c>
      <c r="I758" s="154" t="s">
        <v>101</v>
      </c>
      <c r="J758" s="154" t="s">
        <v>102</v>
      </c>
      <c r="K758" s="154" t="s">
        <v>60</v>
      </c>
      <c r="L758" s="154" t="s">
        <v>1897</v>
      </c>
      <c r="M758" s="154" t="s">
        <v>1388</v>
      </c>
      <c r="N758" s="154" t="s">
        <v>61</v>
      </c>
      <c r="O758" s="154" t="s">
        <v>62</v>
      </c>
      <c r="P758" s="146">
        <v>27137.45</v>
      </c>
      <c r="Q758" s="146">
        <v>6.16</v>
      </c>
      <c r="R758" s="154" t="s">
        <v>1384</v>
      </c>
      <c r="S758" s="154" t="s">
        <v>1899</v>
      </c>
      <c r="T758" s="155" t="s">
        <v>768</v>
      </c>
      <c r="U758" s="155" t="s">
        <v>1899</v>
      </c>
      <c r="V758" s="154" t="s">
        <v>1904</v>
      </c>
      <c r="W758" s="154">
        <v>0</v>
      </c>
      <c r="X758" s="154" t="s">
        <v>63</v>
      </c>
      <c r="Y758" s="154" t="s">
        <v>1386</v>
      </c>
      <c r="Z758" s="154"/>
      <c r="AA758" s="154" t="s">
        <v>1387</v>
      </c>
      <c r="AB758" s="154">
        <v>0</v>
      </c>
      <c r="AC758" s="138">
        <f>IFERROR(IF(DATEDIF(#REF!,U758,"m")&lt;=1,1,IF(AND(DATEDIF(#REF!,U758,"m")&gt;1,DATEDIF(#REF!,U758,"m")&lt;12),2,IF(AND(DATEDIF(#REF!,U758,"m")&gt;=12,DATEDIF(#REF!,U758,"m")&lt;24),3,IF(DATEDIF(#REF!,U758,"m")&gt;=24,4,"")))),IF(E758="r0320 - Deposits, not covered and not preferential",1,4))</f>
        <v>4</v>
      </c>
    </row>
    <row r="759" spans="3:29" ht="36.75" thickBot="1" x14ac:dyDescent="0.3">
      <c r="C759" s="11">
        <v>999</v>
      </c>
      <c r="D759" s="154">
        <v>752</v>
      </c>
      <c r="E759" s="154" t="s">
        <v>1898</v>
      </c>
      <c r="F759" s="154" t="s">
        <v>87</v>
      </c>
      <c r="G759" s="154" t="s">
        <v>1402</v>
      </c>
      <c r="H759" s="154" t="s">
        <v>453</v>
      </c>
      <c r="I759" s="154" t="s">
        <v>104</v>
      </c>
      <c r="J759" s="154" t="s">
        <v>105</v>
      </c>
      <c r="K759" s="154" t="s">
        <v>60</v>
      </c>
      <c r="L759" s="154" t="s">
        <v>1897</v>
      </c>
      <c r="M759" s="154" t="s">
        <v>1383</v>
      </c>
      <c r="N759" s="154" t="s">
        <v>61</v>
      </c>
      <c r="O759" s="154" t="s">
        <v>62</v>
      </c>
      <c r="P759" s="146">
        <v>2.1800000000000002</v>
      </c>
      <c r="Q759" s="146">
        <v>0</v>
      </c>
      <c r="R759" s="154" t="s">
        <v>1384</v>
      </c>
      <c r="S759" s="154" t="s">
        <v>1899</v>
      </c>
      <c r="T759" s="155" t="s">
        <v>1899</v>
      </c>
      <c r="U759" s="155" t="s">
        <v>1899</v>
      </c>
      <c r="V759" s="154" t="s">
        <v>1562</v>
      </c>
      <c r="W759" s="154">
        <v>0</v>
      </c>
      <c r="X759" s="154" t="s">
        <v>63</v>
      </c>
      <c r="Y759" s="154" t="s">
        <v>1900</v>
      </c>
      <c r="Z759" s="154"/>
      <c r="AA759" s="154" t="s">
        <v>1387</v>
      </c>
      <c r="AB759" s="154">
        <v>0</v>
      </c>
      <c r="AC759" s="138">
        <f>IFERROR(IF(DATEDIF(#REF!,U759,"m")&lt;=1,1,IF(AND(DATEDIF(#REF!,U759,"m")&gt;1,DATEDIF(#REF!,U759,"m")&lt;12),2,IF(AND(DATEDIF(#REF!,U759,"m")&gt;=12,DATEDIF(#REF!,U759,"m")&lt;24),3,IF(DATEDIF(#REF!,U759,"m")&gt;=24,4,"")))),IF(E759="r0320 - Deposits, not covered and not preferential",1,4))</f>
        <v>4</v>
      </c>
    </row>
    <row r="760" spans="3:29" ht="48.75" thickBot="1" x14ac:dyDescent="0.3">
      <c r="C760" s="11">
        <v>999</v>
      </c>
      <c r="D760" s="154">
        <v>753</v>
      </c>
      <c r="E760" s="154" t="s">
        <v>1902</v>
      </c>
      <c r="F760" s="154" t="s">
        <v>83</v>
      </c>
      <c r="G760" s="154" t="s">
        <v>1903</v>
      </c>
      <c r="H760" s="154" t="s">
        <v>282</v>
      </c>
      <c r="I760" s="154" t="s">
        <v>114</v>
      </c>
      <c r="J760" s="154" t="s">
        <v>115</v>
      </c>
      <c r="K760" s="154" t="s">
        <v>60</v>
      </c>
      <c r="L760" s="154" t="s">
        <v>1897</v>
      </c>
      <c r="M760" s="154" t="s">
        <v>1388</v>
      </c>
      <c r="N760" s="154" t="s">
        <v>61</v>
      </c>
      <c r="O760" s="154" t="s">
        <v>62</v>
      </c>
      <c r="P760" s="146">
        <v>4724.7</v>
      </c>
      <c r="Q760" s="146">
        <v>0.72</v>
      </c>
      <c r="R760" s="154" t="s">
        <v>1384</v>
      </c>
      <c r="S760" s="154" t="s">
        <v>1899</v>
      </c>
      <c r="T760" s="155" t="s">
        <v>768</v>
      </c>
      <c r="U760" s="155" t="s">
        <v>1899</v>
      </c>
      <c r="V760" s="154" t="s">
        <v>1904</v>
      </c>
      <c r="W760" s="154">
        <v>0</v>
      </c>
      <c r="X760" s="154" t="s">
        <v>63</v>
      </c>
      <c r="Y760" s="154" t="s">
        <v>1386</v>
      </c>
      <c r="Z760" s="154"/>
      <c r="AA760" s="154" t="s">
        <v>1387</v>
      </c>
      <c r="AB760" s="154">
        <v>0</v>
      </c>
      <c r="AC760" s="138">
        <f>IFERROR(IF(DATEDIF(#REF!,U760,"m")&lt;=1,1,IF(AND(DATEDIF(#REF!,U760,"m")&gt;1,DATEDIF(#REF!,U760,"m")&lt;12),2,IF(AND(DATEDIF(#REF!,U760,"m")&gt;=12,DATEDIF(#REF!,U760,"m")&lt;24),3,IF(DATEDIF(#REF!,U760,"m")&gt;=24,4,"")))),IF(E760="r0320 - Deposits, not covered and not preferential",1,4))</f>
        <v>4</v>
      </c>
    </row>
    <row r="761" spans="3:29" ht="36.75" thickBot="1" x14ac:dyDescent="0.3">
      <c r="C761" s="11">
        <v>999</v>
      </c>
      <c r="D761" s="154">
        <v>754</v>
      </c>
      <c r="E761" s="154" t="s">
        <v>1898</v>
      </c>
      <c r="F761" s="154" t="s">
        <v>87</v>
      </c>
      <c r="G761" s="154" t="s">
        <v>1402</v>
      </c>
      <c r="H761" s="154" t="s">
        <v>1233</v>
      </c>
      <c r="I761" s="154" t="s">
        <v>104</v>
      </c>
      <c r="J761" s="154" t="s">
        <v>105</v>
      </c>
      <c r="K761" s="154" t="s">
        <v>60</v>
      </c>
      <c r="L761" s="154" t="s">
        <v>1897</v>
      </c>
      <c r="M761" s="154" t="s">
        <v>1383</v>
      </c>
      <c r="N761" s="154" t="s">
        <v>61</v>
      </c>
      <c r="O761" s="154" t="s">
        <v>62</v>
      </c>
      <c r="P761" s="146">
        <v>2.88</v>
      </c>
      <c r="Q761" s="146">
        <v>0</v>
      </c>
      <c r="R761" s="154" t="s">
        <v>1384</v>
      </c>
      <c r="S761" s="154" t="s">
        <v>1899</v>
      </c>
      <c r="T761" s="155" t="s">
        <v>1899</v>
      </c>
      <c r="U761" s="155" t="s">
        <v>1899</v>
      </c>
      <c r="V761" s="154" t="s">
        <v>1562</v>
      </c>
      <c r="W761" s="154">
        <v>0</v>
      </c>
      <c r="X761" s="154" t="s">
        <v>63</v>
      </c>
      <c r="Y761" s="154" t="s">
        <v>1900</v>
      </c>
      <c r="Z761" s="154"/>
      <c r="AA761" s="154" t="s">
        <v>1387</v>
      </c>
      <c r="AB761" s="154">
        <v>0</v>
      </c>
      <c r="AC761" s="138">
        <f>IFERROR(IF(DATEDIF(#REF!,U761,"m")&lt;=1,1,IF(AND(DATEDIF(#REF!,U761,"m")&gt;1,DATEDIF(#REF!,U761,"m")&lt;12),2,IF(AND(DATEDIF(#REF!,U761,"m")&gt;=12,DATEDIF(#REF!,U761,"m")&lt;24),3,IF(DATEDIF(#REF!,U761,"m")&gt;=24,4,"")))),IF(E761="r0320 - Deposits, not covered and not preferential",1,4))</f>
        <v>4</v>
      </c>
    </row>
    <row r="762" spans="3:29" ht="48.75" thickBot="1" x14ac:dyDescent="0.3">
      <c r="C762" s="11">
        <v>999</v>
      </c>
      <c r="D762" s="154">
        <v>755</v>
      </c>
      <c r="E762" s="154" t="s">
        <v>1902</v>
      </c>
      <c r="F762" s="154" t="s">
        <v>83</v>
      </c>
      <c r="G762" s="154" t="s">
        <v>1903</v>
      </c>
      <c r="H762" s="154" t="s">
        <v>1278</v>
      </c>
      <c r="I762" s="154" t="s">
        <v>101</v>
      </c>
      <c r="J762" s="154" t="s">
        <v>102</v>
      </c>
      <c r="K762" s="154" t="s">
        <v>60</v>
      </c>
      <c r="L762" s="154" t="s">
        <v>1897</v>
      </c>
      <c r="M762" s="154" t="s">
        <v>1388</v>
      </c>
      <c r="N762" s="154" t="s">
        <v>61</v>
      </c>
      <c r="O762" s="154" t="s">
        <v>62</v>
      </c>
      <c r="P762" s="146">
        <v>32173.71</v>
      </c>
      <c r="Q762" s="146">
        <v>30.02</v>
      </c>
      <c r="R762" s="154" t="s">
        <v>1384</v>
      </c>
      <c r="S762" s="154" t="s">
        <v>1899</v>
      </c>
      <c r="T762" s="155" t="s">
        <v>768</v>
      </c>
      <c r="U762" s="155" t="s">
        <v>1899</v>
      </c>
      <c r="V762" s="154" t="s">
        <v>1904</v>
      </c>
      <c r="W762" s="154">
        <v>0</v>
      </c>
      <c r="X762" s="154" t="s">
        <v>63</v>
      </c>
      <c r="Y762" s="154" t="s">
        <v>1386</v>
      </c>
      <c r="Z762" s="154"/>
      <c r="AA762" s="154" t="s">
        <v>1387</v>
      </c>
      <c r="AB762" s="154">
        <v>0</v>
      </c>
      <c r="AC762" s="138">
        <f>IFERROR(IF(DATEDIF(#REF!,U762,"m")&lt;=1,1,IF(AND(DATEDIF(#REF!,U762,"m")&gt;1,DATEDIF(#REF!,U762,"m")&lt;12),2,IF(AND(DATEDIF(#REF!,U762,"m")&gt;=12,DATEDIF(#REF!,U762,"m")&lt;24),3,IF(DATEDIF(#REF!,U762,"m")&gt;=24,4,"")))),IF(E762="r0320 - Deposits, not covered and not preferential",1,4))</f>
        <v>4</v>
      </c>
    </row>
    <row r="763" spans="3:29" ht="36.75" thickBot="1" x14ac:dyDescent="0.3">
      <c r="C763" s="11">
        <v>999</v>
      </c>
      <c r="D763" s="154">
        <v>756</v>
      </c>
      <c r="E763" s="154" t="s">
        <v>1898</v>
      </c>
      <c r="F763" s="154" t="s">
        <v>87</v>
      </c>
      <c r="G763" s="154" t="s">
        <v>1402</v>
      </c>
      <c r="H763" s="154" t="s">
        <v>748</v>
      </c>
      <c r="I763" s="154" t="s">
        <v>142</v>
      </c>
      <c r="J763" s="154" t="s">
        <v>143</v>
      </c>
      <c r="K763" s="154" t="s">
        <v>60</v>
      </c>
      <c r="L763" s="154" t="s">
        <v>1897</v>
      </c>
      <c r="M763" s="154" t="s">
        <v>1383</v>
      </c>
      <c r="N763" s="154" t="s">
        <v>61</v>
      </c>
      <c r="O763" s="154" t="s">
        <v>62</v>
      </c>
      <c r="P763" s="146">
        <v>82.38</v>
      </c>
      <c r="Q763" s="146">
        <v>0</v>
      </c>
      <c r="R763" s="154" t="s">
        <v>1384</v>
      </c>
      <c r="S763" s="154" t="s">
        <v>1899</v>
      </c>
      <c r="T763" s="155" t="s">
        <v>1899</v>
      </c>
      <c r="U763" s="155" t="s">
        <v>1899</v>
      </c>
      <c r="V763" s="154" t="s">
        <v>1562</v>
      </c>
      <c r="W763" s="154">
        <v>0</v>
      </c>
      <c r="X763" s="154" t="s">
        <v>63</v>
      </c>
      <c r="Y763" s="154" t="s">
        <v>1900</v>
      </c>
      <c r="Z763" s="154"/>
      <c r="AA763" s="154" t="s">
        <v>1387</v>
      </c>
      <c r="AB763" s="154">
        <v>0</v>
      </c>
      <c r="AC763" s="138">
        <f>IFERROR(IF(DATEDIF(#REF!,U763,"m")&lt;=1,1,IF(AND(DATEDIF(#REF!,U763,"m")&gt;1,DATEDIF(#REF!,U763,"m")&lt;12),2,IF(AND(DATEDIF(#REF!,U763,"m")&gt;=12,DATEDIF(#REF!,U763,"m")&lt;24),3,IF(DATEDIF(#REF!,U763,"m")&gt;=24,4,"")))),IF(E763="r0320 - Deposits, not covered and not preferential",1,4))</f>
        <v>4</v>
      </c>
    </row>
    <row r="764" spans="3:29" ht="48.75" thickBot="1" x14ac:dyDescent="0.3">
      <c r="C764" s="11">
        <v>999</v>
      </c>
      <c r="D764" s="154">
        <v>757</v>
      </c>
      <c r="E764" s="154" t="s">
        <v>1902</v>
      </c>
      <c r="F764" s="154" t="s">
        <v>83</v>
      </c>
      <c r="G764" s="154" t="s">
        <v>1903</v>
      </c>
      <c r="H764" s="154" t="s">
        <v>900</v>
      </c>
      <c r="I764" s="154" t="s">
        <v>114</v>
      </c>
      <c r="J764" s="154" t="s">
        <v>115</v>
      </c>
      <c r="K764" s="154" t="s">
        <v>60</v>
      </c>
      <c r="L764" s="154" t="s">
        <v>1897</v>
      </c>
      <c r="M764" s="154" t="s">
        <v>1388</v>
      </c>
      <c r="N764" s="154" t="s">
        <v>61</v>
      </c>
      <c r="O764" s="154" t="s">
        <v>62</v>
      </c>
      <c r="P764" s="146">
        <v>123576.27</v>
      </c>
      <c r="Q764" s="146">
        <v>-1.89</v>
      </c>
      <c r="R764" s="154" t="s">
        <v>1384</v>
      </c>
      <c r="S764" s="154" t="s">
        <v>1899</v>
      </c>
      <c r="T764" s="155" t="s">
        <v>768</v>
      </c>
      <c r="U764" s="155" t="s">
        <v>1899</v>
      </c>
      <c r="V764" s="154" t="s">
        <v>1904</v>
      </c>
      <c r="W764" s="154">
        <v>0</v>
      </c>
      <c r="X764" s="154" t="s">
        <v>63</v>
      </c>
      <c r="Y764" s="154" t="s">
        <v>1386</v>
      </c>
      <c r="Z764" s="154"/>
      <c r="AA764" s="154" t="s">
        <v>1387</v>
      </c>
      <c r="AB764" s="154">
        <v>0</v>
      </c>
      <c r="AC764" s="138">
        <f>IFERROR(IF(DATEDIF(#REF!,U764,"m")&lt;=1,1,IF(AND(DATEDIF(#REF!,U764,"m")&gt;1,DATEDIF(#REF!,U764,"m")&lt;12),2,IF(AND(DATEDIF(#REF!,U764,"m")&gt;=12,DATEDIF(#REF!,U764,"m")&lt;24),3,IF(DATEDIF(#REF!,U764,"m")&gt;=24,4,"")))),IF(E764="r0320 - Deposits, not covered and not preferential",1,4))</f>
        <v>4</v>
      </c>
    </row>
    <row r="765" spans="3:29" ht="36.75" thickBot="1" x14ac:dyDescent="0.3">
      <c r="C765" s="11">
        <v>999</v>
      </c>
      <c r="D765" s="154">
        <v>758</v>
      </c>
      <c r="E765" s="154" t="s">
        <v>1898</v>
      </c>
      <c r="F765" s="154" t="s">
        <v>87</v>
      </c>
      <c r="G765" s="154" t="s">
        <v>1402</v>
      </c>
      <c r="H765" s="154" t="s">
        <v>740</v>
      </c>
      <c r="I765" s="154" t="s">
        <v>96</v>
      </c>
      <c r="J765" s="154" t="s">
        <v>97</v>
      </c>
      <c r="K765" s="154" t="s">
        <v>91</v>
      </c>
      <c r="L765" s="154" t="s">
        <v>1897</v>
      </c>
      <c r="M765" s="154" t="s">
        <v>1383</v>
      </c>
      <c r="N765" s="154" t="s">
        <v>61</v>
      </c>
      <c r="O765" s="154" t="s">
        <v>62</v>
      </c>
      <c r="P765" s="146">
        <v>1.1599999999999999</v>
      </c>
      <c r="Q765" s="146">
        <v>0</v>
      </c>
      <c r="R765" s="154" t="s">
        <v>1384</v>
      </c>
      <c r="S765" s="154" t="s">
        <v>1899</v>
      </c>
      <c r="T765" s="155" t="s">
        <v>1899</v>
      </c>
      <c r="U765" s="155" t="s">
        <v>1899</v>
      </c>
      <c r="V765" s="154" t="s">
        <v>1562</v>
      </c>
      <c r="W765" s="154">
        <v>0</v>
      </c>
      <c r="X765" s="154" t="s">
        <v>63</v>
      </c>
      <c r="Y765" s="154" t="s">
        <v>1900</v>
      </c>
      <c r="Z765" s="154"/>
      <c r="AA765" s="154" t="s">
        <v>1387</v>
      </c>
      <c r="AB765" s="154">
        <v>0</v>
      </c>
      <c r="AC765" s="138">
        <f>IFERROR(IF(DATEDIF(#REF!,U765,"m")&lt;=1,1,IF(AND(DATEDIF(#REF!,U765,"m")&gt;1,DATEDIF(#REF!,U765,"m")&lt;12),2,IF(AND(DATEDIF(#REF!,U765,"m")&gt;=12,DATEDIF(#REF!,U765,"m")&lt;24),3,IF(DATEDIF(#REF!,U765,"m")&gt;=24,4,"")))),IF(E765="r0320 - Deposits, not covered and not preferential",1,4))</f>
        <v>4</v>
      </c>
    </row>
    <row r="766" spans="3:29" ht="48.75" thickBot="1" x14ac:dyDescent="0.3">
      <c r="C766" s="11">
        <v>999</v>
      </c>
      <c r="D766" s="154">
        <v>759</v>
      </c>
      <c r="E766" s="154" t="s">
        <v>1902</v>
      </c>
      <c r="F766" s="154" t="s">
        <v>83</v>
      </c>
      <c r="G766" s="154" t="s">
        <v>1903</v>
      </c>
      <c r="H766" s="154" t="s">
        <v>474</v>
      </c>
      <c r="I766" s="154" t="s">
        <v>93</v>
      </c>
      <c r="J766" s="154" t="s">
        <v>94</v>
      </c>
      <c r="K766" s="154" t="s">
        <v>60</v>
      </c>
      <c r="L766" s="154" t="s">
        <v>1897</v>
      </c>
      <c r="M766" s="154" t="s">
        <v>1388</v>
      </c>
      <c r="N766" s="154" t="s">
        <v>61</v>
      </c>
      <c r="O766" s="154" t="s">
        <v>62</v>
      </c>
      <c r="P766" s="146">
        <v>219107.24</v>
      </c>
      <c r="Q766" s="146">
        <v>152.66999999999999</v>
      </c>
      <c r="R766" s="154" t="s">
        <v>1384</v>
      </c>
      <c r="S766" s="154" t="s">
        <v>1899</v>
      </c>
      <c r="T766" s="155" t="s">
        <v>768</v>
      </c>
      <c r="U766" s="155" t="s">
        <v>1899</v>
      </c>
      <c r="V766" s="154" t="s">
        <v>1904</v>
      </c>
      <c r="W766" s="154">
        <v>0</v>
      </c>
      <c r="X766" s="154" t="s">
        <v>63</v>
      </c>
      <c r="Y766" s="154" t="s">
        <v>1386</v>
      </c>
      <c r="Z766" s="154"/>
      <c r="AA766" s="154" t="s">
        <v>1387</v>
      </c>
      <c r="AB766" s="154">
        <v>0</v>
      </c>
      <c r="AC766" s="138">
        <f>IFERROR(IF(DATEDIF(#REF!,U766,"m")&lt;=1,1,IF(AND(DATEDIF(#REF!,U766,"m")&gt;1,DATEDIF(#REF!,U766,"m")&lt;12),2,IF(AND(DATEDIF(#REF!,U766,"m")&gt;=12,DATEDIF(#REF!,U766,"m")&lt;24),3,IF(DATEDIF(#REF!,U766,"m")&gt;=24,4,"")))),IF(E766="r0320 - Deposits, not covered and not preferential",1,4))</f>
        <v>4</v>
      </c>
    </row>
    <row r="767" spans="3:29" ht="36.75" thickBot="1" x14ac:dyDescent="0.3">
      <c r="C767" s="11">
        <v>999</v>
      </c>
      <c r="D767" s="154">
        <v>760</v>
      </c>
      <c r="E767" s="154" t="s">
        <v>1898</v>
      </c>
      <c r="F767" s="154" t="s">
        <v>87</v>
      </c>
      <c r="G767" s="154" t="s">
        <v>1402</v>
      </c>
      <c r="H767" s="154" t="s">
        <v>103</v>
      </c>
      <c r="I767" s="154" t="s">
        <v>104</v>
      </c>
      <c r="J767" s="154" t="s">
        <v>105</v>
      </c>
      <c r="K767" s="154" t="s">
        <v>60</v>
      </c>
      <c r="L767" s="154" t="s">
        <v>1897</v>
      </c>
      <c r="M767" s="154" t="s">
        <v>1383</v>
      </c>
      <c r="N767" s="154" t="s">
        <v>61</v>
      </c>
      <c r="O767" s="154" t="s">
        <v>62</v>
      </c>
      <c r="P767" s="146">
        <v>3.68</v>
      </c>
      <c r="Q767" s="146">
        <v>0</v>
      </c>
      <c r="R767" s="154" t="s">
        <v>1384</v>
      </c>
      <c r="S767" s="154" t="s">
        <v>1899</v>
      </c>
      <c r="T767" s="155" t="s">
        <v>1899</v>
      </c>
      <c r="U767" s="155" t="s">
        <v>1899</v>
      </c>
      <c r="V767" s="154" t="s">
        <v>1562</v>
      </c>
      <c r="W767" s="154">
        <v>0</v>
      </c>
      <c r="X767" s="154" t="s">
        <v>63</v>
      </c>
      <c r="Y767" s="154" t="s">
        <v>1900</v>
      </c>
      <c r="Z767" s="154"/>
      <c r="AA767" s="154" t="s">
        <v>1387</v>
      </c>
      <c r="AB767" s="154">
        <v>0</v>
      </c>
      <c r="AC767" s="138">
        <f>IFERROR(IF(DATEDIF(#REF!,U767,"m")&lt;=1,1,IF(AND(DATEDIF(#REF!,U767,"m")&gt;1,DATEDIF(#REF!,U767,"m")&lt;12),2,IF(AND(DATEDIF(#REF!,U767,"m")&gt;=12,DATEDIF(#REF!,U767,"m")&lt;24),3,IF(DATEDIF(#REF!,U767,"m")&gt;=24,4,"")))),IF(E767="r0320 - Deposits, not covered and not preferential",1,4))</f>
        <v>4</v>
      </c>
    </row>
    <row r="768" spans="3:29" ht="36.75" thickBot="1" x14ac:dyDescent="0.3">
      <c r="C768" s="11">
        <v>999</v>
      </c>
      <c r="D768" s="154">
        <v>761</v>
      </c>
      <c r="E768" s="154" t="s">
        <v>1898</v>
      </c>
      <c r="F768" s="154" t="s">
        <v>87</v>
      </c>
      <c r="G768" s="154" t="s">
        <v>1402</v>
      </c>
      <c r="H768" s="154" t="s">
        <v>1234</v>
      </c>
      <c r="I768" s="154" t="s">
        <v>96</v>
      </c>
      <c r="J768" s="154" t="s">
        <v>97</v>
      </c>
      <c r="K768" s="154" t="s">
        <v>91</v>
      </c>
      <c r="L768" s="154" t="s">
        <v>1897</v>
      </c>
      <c r="M768" s="154" t="s">
        <v>1383</v>
      </c>
      <c r="N768" s="154" t="s">
        <v>61</v>
      </c>
      <c r="O768" s="154" t="s">
        <v>62</v>
      </c>
      <c r="P768" s="146">
        <v>1.38</v>
      </c>
      <c r="Q768" s="146">
        <v>0</v>
      </c>
      <c r="R768" s="154" t="s">
        <v>1384</v>
      </c>
      <c r="S768" s="154" t="s">
        <v>1899</v>
      </c>
      <c r="T768" s="155" t="s">
        <v>1899</v>
      </c>
      <c r="U768" s="155" t="s">
        <v>1899</v>
      </c>
      <c r="V768" s="154" t="s">
        <v>1562</v>
      </c>
      <c r="W768" s="154">
        <v>0</v>
      </c>
      <c r="X768" s="154" t="s">
        <v>63</v>
      </c>
      <c r="Y768" s="154" t="s">
        <v>1900</v>
      </c>
      <c r="Z768" s="154"/>
      <c r="AA768" s="154" t="s">
        <v>1387</v>
      </c>
      <c r="AB768" s="154">
        <v>0</v>
      </c>
      <c r="AC768" s="138">
        <f>IFERROR(IF(DATEDIF(#REF!,U768,"m")&lt;=1,1,IF(AND(DATEDIF(#REF!,U768,"m")&gt;1,DATEDIF(#REF!,U768,"m")&lt;12),2,IF(AND(DATEDIF(#REF!,U768,"m")&gt;=12,DATEDIF(#REF!,U768,"m")&lt;24),3,IF(DATEDIF(#REF!,U768,"m")&gt;=24,4,"")))),IF(E768="r0320 - Deposits, not covered and not preferential",1,4))</f>
        <v>4</v>
      </c>
    </row>
    <row r="769" spans="3:29" ht="48.75" thickBot="1" x14ac:dyDescent="0.3">
      <c r="C769" s="11">
        <v>999</v>
      </c>
      <c r="D769" s="154">
        <v>762</v>
      </c>
      <c r="E769" s="154" t="s">
        <v>1902</v>
      </c>
      <c r="F769" s="154" t="s">
        <v>83</v>
      </c>
      <c r="G769" s="154" t="s">
        <v>1903</v>
      </c>
      <c r="H769" s="154" t="s">
        <v>478</v>
      </c>
      <c r="I769" s="154" t="s">
        <v>93</v>
      </c>
      <c r="J769" s="154" t="s">
        <v>94</v>
      </c>
      <c r="K769" s="154" t="s">
        <v>60</v>
      </c>
      <c r="L769" s="154" t="s">
        <v>1897</v>
      </c>
      <c r="M769" s="154" t="s">
        <v>1388</v>
      </c>
      <c r="N769" s="154" t="s">
        <v>61</v>
      </c>
      <c r="O769" s="154" t="s">
        <v>62</v>
      </c>
      <c r="P769" s="146">
        <v>175531.14</v>
      </c>
      <c r="Q769" s="146">
        <v>66.25</v>
      </c>
      <c r="R769" s="154" t="s">
        <v>1384</v>
      </c>
      <c r="S769" s="154" t="s">
        <v>1899</v>
      </c>
      <c r="T769" s="155" t="s">
        <v>768</v>
      </c>
      <c r="U769" s="155" t="s">
        <v>1899</v>
      </c>
      <c r="V769" s="154" t="s">
        <v>1904</v>
      </c>
      <c r="W769" s="154">
        <v>0</v>
      </c>
      <c r="X769" s="154" t="s">
        <v>63</v>
      </c>
      <c r="Y769" s="154" t="s">
        <v>1386</v>
      </c>
      <c r="Z769" s="154"/>
      <c r="AA769" s="154" t="s">
        <v>1387</v>
      </c>
      <c r="AB769" s="154">
        <v>0</v>
      </c>
      <c r="AC769" s="138">
        <f>IFERROR(IF(DATEDIF(#REF!,U769,"m")&lt;=1,1,IF(AND(DATEDIF(#REF!,U769,"m")&gt;1,DATEDIF(#REF!,U769,"m")&lt;12),2,IF(AND(DATEDIF(#REF!,U769,"m")&gt;=12,DATEDIF(#REF!,U769,"m")&lt;24),3,IF(DATEDIF(#REF!,U769,"m")&gt;=24,4,"")))),IF(E769="r0320 - Deposits, not covered and not preferential",1,4))</f>
        <v>4</v>
      </c>
    </row>
    <row r="770" spans="3:29" ht="36.75" thickBot="1" x14ac:dyDescent="0.3">
      <c r="C770" s="11">
        <v>999</v>
      </c>
      <c r="D770" s="154">
        <v>763</v>
      </c>
      <c r="E770" s="154" t="s">
        <v>1898</v>
      </c>
      <c r="F770" s="154" t="s">
        <v>87</v>
      </c>
      <c r="G770" s="154" t="s">
        <v>1402</v>
      </c>
      <c r="H770" s="154" t="s">
        <v>749</v>
      </c>
      <c r="I770" s="154" t="s">
        <v>96</v>
      </c>
      <c r="J770" s="154" t="s">
        <v>97</v>
      </c>
      <c r="K770" s="154" t="s">
        <v>91</v>
      </c>
      <c r="L770" s="154" t="s">
        <v>1897</v>
      </c>
      <c r="M770" s="154" t="s">
        <v>1383</v>
      </c>
      <c r="N770" s="154" t="s">
        <v>61</v>
      </c>
      <c r="O770" s="154" t="s">
        <v>62</v>
      </c>
      <c r="P770" s="146">
        <v>4.68</v>
      </c>
      <c r="Q770" s="146">
        <v>0</v>
      </c>
      <c r="R770" s="154" t="s">
        <v>1384</v>
      </c>
      <c r="S770" s="154" t="s">
        <v>1899</v>
      </c>
      <c r="T770" s="155" t="s">
        <v>1899</v>
      </c>
      <c r="U770" s="155" t="s">
        <v>1899</v>
      </c>
      <c r="V770" s="154" t="s">
        <v>1562</v>
      </c>
      <c r="W770" s="154">
        <v>0</v>
      </c>
      <c r="X770" s="154" t="s">
        <v>63</v>
      </c>
      <c r="Y770" s="154" t="s">
        <v>1900</v>
      </c>
      <c r="Z770" s="154"/>
      <c r="AA770" s="154" t="s">
        <v>1387</v>
      </c>
      <c r="AB770" s="154">
        <v>0</v>
      </c>
      <c r="AC770" s="138">
        <f>IFERROR(IF(DATEDIF(#REF!,U770,"m")&lt;=1,1,IF(AND(DATEDIF(#REF!,U770,"m")&gt;1,DATEDIF(#REF!,U770,"m")&lt;12),2,IF(AND(DATEDIF(#REF!,U770,"m")&gt;=12,DATEDIF(#REF!,U770,"m")&lt;24),3,IF(DATEDIF(#REF!,U770,"m")&gt;=24,4,"")))),IF(E770="r0320 - Deposits, not covered and not preferential",1,4))</f>
        <v>4</v>
      </c>
    </row>
    <row r="771" spans="3:29" ht="48.75" thickBot="1" x14ac:dyDescent="0.3">
      <c r="C771" s="11">
        <v>999</v>
      </c>
      <c r="D771" s="154">
        <v>764</v>
      </c>
      <c r="E771" s="154" t="s">
        <v>1902</v>
      </c>
      <c r="F771" s="154" t="s">
        <v>83</v>
      </c>
      <c r="G771" s="154" t="s">
        <v>1903</v>
      </c>
      <c r="H771" s="154" t="s">
        <v>1278</v>
      </c>
      <c r="I771" s="154" t="s">
        <v>93</v>
      </c>
      <c r="J771" s="154" t="s">
        <v>94</v>
      </c>
      <c r="K771" s="154" t="s">
        <v>60</v>
      </c>
      <c r="L771" s="154" t="s">
        <v>1897</v>
      </c>
      <c r="M771" s="154" t="s">
        <v>1388</v>
      </c>
      <c r="N771" s="154" t="s">
        <v>61</v>
      </c>
      <c r="O771" s="154" t="s">
        <v>62</v>
      </c>
      <c r="P771" s="146">
        <v>73408.460000000006</v>
      </c>
      <c r="Q771" s="146">
        <v>0</v>
      </c>
      <c r="R771" s="154" t="s">
        <v>1384</v>
      </c>
      <c r="S771" s="154" t="s">
        <v>1899</v>
      </c>
      <c r="T771" s="155" t="s">
        <v>768</v>
      </c>
      <c r="U771" s="155" t="s">
        <v>1899</v>
      </c>
      <c r="V771" s="154" t="s">
        <v>1904</v>
      </c>
      <c r="W771" s="154">
        <v>0</v>
      </c>
      <c r="X771" s="154" t="s">
        <v>63</v>
      </c>
      <c r="Y771" s="154" t="s">
        <v>1386</v>
      </c>
      <c r="Z771" s="154"/>
      <c r="AA771" s="154" t="s">
        <v>1387</v>
      </c>
      <c r="AB771" s="154">
        <v>0</v>
      </c>
      <c r="AC771" s="138">
        <f>IFERROR(IF(DATEDIF(#REF!,U771,"m")&lt;=1,1,IF(AND(DATEDIF(#REF!,U771,"m")&gt;1,DATEDIF(#REF!,U771,"m")&lt;12),2,IF(AND(DATEDIF(#REF!,U771,"m")&gt;=12,DATEDIF(#REF!,U771,"m")&lt;24),3,IF(DATEDIF(#REF!,U771,"m")&gt;=24,4,"")))),IF(E771="r0320 - Deposits, not covered and not preferential",1,4))</f>
        <v>4</v>
      </c>
    </row>
    <row r="772" spans="3:29" ht="36.75" thickBot="1" x14ac:dyDescent="0.3">
      <c r="C772" s="11">
        <v>999</v>
      </c>
      <c r="D772" s="154">
        <v>765</v>
      </c>
      <c r="E772" s="154" t="s">
        <v>1898</v>
      </c>
      <c r="F772" s="154" t="s">
        <v>87</v>
      </c>
      <c r="G772" s="154" t="s">
        <v>1402</v>
      </c>
      <c r="H772" s="154" t="s">
        <v>1228</v>
      </c>
      <c r="I772" s="154" t="s">
        <v>96</v>
      </c>
      <c r="J772" s="154" t="s">
        <v>97</v>
      </c>
      <c r="K772" s="154" t="s">
        <v>91</v>
      </c>
      <c r="L772" s="154" t="s">
        <v>1897</v>
      </c>
      <c r="M772" s="154" t="s">
        <v>1383</v>
      </c>
      <c r="N772" s="154" t="s">
        <v>61</v>
      </c>
      <c r="O772" s="154" t="s">
        <v>62</v>
      </c>
      <c r="P772" s="146">
        <v>7.54</v>
      </c>
      <c r="Q772" s="146">
        <v>0</v>
      </c>
      <c r="R772" s="154" t="s">
        <v>1384</v>
      </c>
      <c r="S772" s="154" t="s">
        <v>1899</v>
      </c>
      <c r="T772" s="155" t="s">
        <v>1899</v>
      </c>
      <c r="U772" s="155" t="s">
        <v>1899</v>
      </c>
      <c r="V772" s="154" t="s">
        <v>1562</v>
      </c>
      <c r="W772" s="154">
        <v>0</v>
      </c>
      <c r="X772" s="154" t="s">
        <v>63</v>
      </c>
      <c r="Y772" s="154" t="s">
        <v>1900</v>
      </c>
      <c r="Z772" s="154"/>
      <c r="AA772" s="154" t="s">
        <v>1387</v>
      </c>
      <c r="AB772" s="154">
        <v>0</v>
      </c>
      <c r="AC772" s="138">
        <f>IFERROR(IF(DATEDIF(#REF!,U772,"m")&lt;=1,1,IF(AND(DATEDIF(#REF!,U772,"m")&gt;1,DATEDIF(#REF!,U772,"m")&lt;12),2,IF(AND(DATEDIF(#REF!,U772,"m")&gt;=12,DATEDIF(#REF!,U772,"m")&lt;24),3,IF(DATEDIF(#REF!,U772,"m")&gt;=24,4,"")))),IF(E772="r0320 - Deposits, not covered and not preferential",1,4))</f>
        <v>4</v>
      </c>
    </row>
    <row r="773" spans="3:29" ht="36.75" thickBot="1" x14ac:dyDescent="0.3">
      <c r="C773" s="11">
        <v>999</v>
      </c>
      <c r="D773" s="154">
        <v>766</v>
      </c>
      <c r="E773" s="154" t="s">
        <v>1898</v>
      </c>
      <c r="F773" s="154" t="s">
        <v>83</v>
      </c>
      <c r="G773" s="154" t="s">
        <v>1402</v>
      </c>
      <c r="H773" s="154" t="s">
        <v>454</v>
      </c>
      <c r="I773" s="154" t="s">
        <v>85</v>
      </c>
      <c r="J773" s="154" t="s">
        <v>86</v>
      </c>
      <c r="K773" s="154" t="s">
        <v>60</v>
      </c>
      <c r="L773" s="154" t="s">
        <v>1897</v>
      </c>
      <c r="M773" s="154" t="s">
        <v>1388</v>
      </c>
      <c r="N773" s="154" t="s">
        <v>61</v>
      </c>
      <c r="O773" s="154" t="s">
        <v>62</v>
      </c>
      <c r="P773" s="146">
        <v>1.35</v>
      </c>
      <c r="Q773" s="146">
        <v>0</v>
      </c>
      <c r="R773" s="154" t="s">
        <v>1384</v>
      </c>
      <c r="S773" s="154" t="s">
        <v>1899</v>
      </c>
      <c r="T773" s="155" t="s">
        <v>1899</v>
      </c>
      <c r="U773" s="155" t="s">
        <v>1899</v>
      </c>
      <c r="V773" s="154" t="s">
        <v>1562</v>
      </c>
      <c r="W773" s="154">
        <v>0</v>
      </c>
      <c r="X773" s="154" t="s">
        <v>63</v>
      </c>
      <c r="Y773" s="154" t="s">
        <v>1900</v>
      </c>
      <c r="Z773" s="154"/>
      <c r="AA773" s="154" t="s">
        <v>1387</v>
      </c>
      <c r="AB773" s="154">
        <v>0</v>
      </c>
      <c r="AC773" s="138">
        <f>IFERROR(IF(DATEDIF(#REF!,U773,"m")&lt;=1,1,IF(AND(DATEDIF(#REF!,U773,"m")&gt;1,DATEDIF(#REF!,U773,"m")&lt;12),2,IF(AND(DATEDIF(#REF!,U773,"m")&gt;=12,DATEDIF(#REF!,U773,"m")&lt;24),3,IF(DATEDIF(#REF!,U773,"m")&gt;=24,4,"")))),IF(E773="r0320 - Deposits, not covered and not preferential",1,4))</f>
        <v>4</v>
      </c>
    </row>
    <row r="774" spans="3:29" ht="48.75" thickBot="1" x14ac:dyDescent="0.3">
      <c r="C774" s="11">
        <v>999</v>
      </c>
      <c r="D774" s="154">
        <v>767</v>
      </c>
      <c r="E774" s="154" t="s">
        <v>1902</v>
      </c>
      <c r="F774" s="154" t="s">
        <v>83</v>
      </c>
      <c r="G774" s="154" t="s">
        <v>1903</v>
      </c>
      <c r="H774" s="154" t="s">
        <v>293</v>
      </c>
      <c r="I774" s="154" t="s">
        <v>101</v>
      </c>
      <c r="J774" s="154" t="s">
        <v>102</v>
      </c>
      <c r="K774" s="154" t="s">
        <v>60</v>
      </c>
      <c r="L774" s="154" t="s">
        <v>1897</v>
      </c>
      <c r="M774" s="154" t="s">
        <v>1388</v>
      </c>
      <c r="N774" s="154" t="s">
        <v>61</v>
      </c>
      <c r="O774" s="154" t="s">
        <v>62</v>
      </c>
      <c r="P774" s="146">
        <v>5067.8999999999996</v>
      </c>
      <c r="Q774" s="146">
        <v>5.7</v>
      </c>
      <c r="R774" s="154" t="s">
        <v>1384</v>
      </c>
      <c r="S774" s="154" t="s">
        <v>1899</v>
      </c>
      <c r="T774" s="155" t="s">
        <v>768</v>
      </c>
      <c r="U774" s="155" t="s">
        <v>1899</v>
      </c>
      <c r="V774" s="154" t="s">
        <v>1904</v>
      </c>
      <c r="W774" s="154">
        <v>0</v>
      </c>
      <c r="X774" s="154" t="s">
        <v>63</v>
      </c>
      <c r="Y774" s="154" t="s">
        <v>1386</v>
      </c>
      <c r="Z774" s="154"/>
      <c r="AA774" s="154" t="s">
        <v>1387</v>
      </c>
      <c r="AB774" s="154">
        <v>0</v>
      </c>
      <c r="AC774" s="138">
        <f>IFERROR(IF(DATEDIF(#REF!,U774,"m")&lt;=1,1,IF(AND(DATEDIF(#REF!,U774,"m")&gt;1,DATEDIF(#REF!,U774,"m")&lt;12),2,IF(AND(DATEDIF(#REF!,U774,"m")&gt;=12,DATEDIF(#REF!,U774,"m")&lt;24),3,IF(DATEDIF(#REF!,U774,"m")&gt;=24,4,"")))),IF(E774="r0320 - Deposits, not covered and not preferential",1,4))</f>
        <v>4</v>
      </c>
    </row>
    <row r="775" spans="3:29" ht="36.75" thickBot="1" x14ac:dyDescent="0.3">
      <c r="C775" s="11">
        <v>999</v>
      </c>
      <c r="D775" s="154">
        <v>768</v>
      </c>
      <c r="E775" s="154" t="s">
        <v>1898</v>
      </c>
      <c r="F775" s="154" t="s">
        <v>87</v>
      </c>
      <c r="G775" s="154" t="s">
        <v>1402</v>
      </c>
      <c r="H775" s="154" t="s">
        <v>1235</v>
      </c>
      <c r="I775" s="154" t="s">
        <v>89</v>
      </c>
      <c r="J775" s="154" t="s">
        <v>90</v>
      </c>
      <c r="K775" s="154" t="s">
        <v>91</v>
      </c>
      <c r="L775" s="154" t="s">
        <v>1901</v>
      </c>
      <c r="M775" s="154" t="s">
        <v>1383</v>
      </c>
      <c r="N775" s="154" t="s">
        <v>61</v>
      </c>
      <c r="O775" s="154" t="s">
        <v>62</v>
      </c>
      <c r="P775" s="146">
        <v>1268.22</v>
      </c>
      <c r="Q775" s="146">
        <v>0</v>
      </c>
      <c r="R775" s="154" t="s">
        <v>1384</v>
      </c>
      <c r="S775" s="154" t="s">
        <v>1899</v>
      </c>
      <c r="T775" s="155" t="s">
        <v>1899</v>
      </c>
      <c r="U775" s="155" t="s">
        <v>1899</v>
      </c>
      <c r="V775" s="154" t="s">
        <v>1562</v>
      </c>
      <c r="W775" s="154">
        <v>0</v>
      </c>
      <c r="X775" s="154" t="s">
        <v>63</v>
      </c>
      <c r="Y775" s="154" t="s">
        <v>1900</v>
      </c>
      <c r="Z775" s="154"/>
      <c r="AA775" s="154" t="s">
        <v>1387</v>
      </c>
      <c r="AB775" s="154">
        <v>0</v>
      </c>
      <c r="AC775" s="138">
        <f>IFERROR(IF(DATEDIF(#REF!,U775,"m")&lt;=1,1,IF(AND(DATEDIF(#REF!,U775,"m")&gt;1,DATEDIF(#REF!,U775,"m")&lt;12),2,IF(AND(DATEDIF(#REF!,U775,"m")&gt;=12,DATEDIF(#REF!,U775,"m")&lt;24),3,IF(DATEDIF(#REF!,U775,"m")&gt;=24,4,"")))),IF(E775="r0320 - Deposits, not covered and not preferential",1,4))</f>
        <v>4</v>
      </c>
    </row>
    <row r="776" spans="3:29" ht="48.75" thickBot="1" x14ac:dyDescent="0.3">
      <c r="C776" s="11">
        <v>999</v>
      </c>
      <c r="D776" s="154">
        <v>769</v>
      </c>
      <c r="E776" s="154" t="s">
        <v>1902</v>
      </c>
      <c r="F776" s="154" t="s">
        <v>83</v>
      </c>
      <c r="G776" s="154" t="s">
        <v>1903</v>
      </c>
      <c r="H776" s="154" t="s">
        <v>199</v>
      </c>
      <c r="I776" s="154" t="s">
        <v>101</v>
      </c>
      <c r="J776" s="154" t="s">
        <v>102</v>
      </c>
      <c r="K776" s="154" t="s">
        <v>60</v>
      </c>
      <c r="L776" s="154" t="s">
        <v>1897</v>
      </c>
      <c r="M776" s="154" t="s">
        <v>1388</v>
      </c>
      <c r="N776" s="154" t="s">
        <v>61</v>
      </c>
      <c r="O776" s="154" t="s">
        <v>62</v>
      </c>
      <c r="P776" s="146">
        <v>80055.98</v>
      </c>
      <c r="Q776" s="146">
        <v>-14.64</v>
      </c>
      <c r="R776" s="154" t="s">
        <v>1384</v>
      </c>
      <c r="S776" s="154" t="s">
        <v>1899</v>
      </c>
      <c r="T776" s="155" t="s">
        <v>768</v>
      </c>
      <c r="U776" s="155" t="s">
        <v>1899</v>
      </c>
      <c r="V776" s="154" t="s">
        <v>1904</v>
      </c>
      <c r="W776" s="154">
        <v>0</v>
      </c>
      <c r="X776" s="154" t="s">
        <v>63</v>
      </c>
      <c r="Y776" s="154" t="s">
        <v>1386</v>
      </c>
      <c r="Z776" s="154"/>
      <c r="AA776" s="154" t="s">
        <v>1387</v>
      </c>
      <c r="AB776" s="154">
        <v>0</v>
      </c>
      <c r="AC776" s="138">
        <f>IFERROR(IF(DATEDIF(#REF!,U776,"m")&lt;=1,1,IF(AND(DATEDIF(#REF!,U776,"m")&gt;1,DATEDIF(#REF!,U776,"m")&lt;12),2,IF(AND(DATEDIF(#REF!,U776,"m")&gt;=12,DATEDIF(#REF!,U776,"m")&lt;24),3,IF(DATEDIF(#REF!,U776,"m")&gt;=24,4,"")))),IF(E776="r0320 - Deposits, not covered and not preferential",1,4))</f>
        <v>4</v>
      </c>
    </row>
    <row r="777" spans="3:29" ht="48.75" thickBot="1" x14ac:dyDescent="0.3">
      <c r="C777" s="11">
        <v>999</v>
      </c>
      <c r="D777" s="154">
        <v>770</v>
      </c>
      <c r="E777" s="154" t="s">
        <v>1902</v>
      </c>
      <c r="F777" s="154" t="s">
        <v>83</v>
      </c>
      <c r="G777" s="154" t="s">
        <v>1903</v>
      </c>
      <c r="H777" s="154" t="s">
        <v>465</v>
      </c>
      <c r="I777" s="154" t="s">
        <v>101</v>
      </c>
      <c r="J777" s="154" t="s">
        <v>102</v>
      </c>
      <c r="K777" s="154" t="s">
        <v>60</v>
      </c>
      <c r="L777" s="154" t="s">
        <v>1897</v>
      </c>
      <c r="M777" s="154" t="s">
        <v>1388</v>
      </c>
      <c r="N777" s="154" t="s">
        <v>61</v>
      </c>
      <c r="O777" s="154" t="s">
        <v>62</v>
      </c>
      <c r="P777" s="146">
        <v>1179358.04</v>
      </c>
      <c r="Q777" s="146">
        <v>435.15</v>
      </c>
      <c r="R777" s="154" t="s">
        <v>1384</v>
      </c>
      <c r="S777" s="154" t="s">
        <v>1899</v>
      </c>
      <c r="T777" s="155" t="s">
        <v>768</v>
      </c>
      <c r="U777" s="155" t="s">
        <v>1899</v>
      </c>
      <c r="V777" s="154" t="s">
        <v>1904</v>
      </c>
      <c r="W777" s="154">
        <v>0</v>
      </c>
      <c r="X777" s="154" t="s">
        <v>63</v>
      </c>
      <c r="Y777" s="154" t="s">
        <v>1386</v>
      </c>
      <c r="Z777" s="154"/>
      <c r="AA777" s="154" t="s">
        <v>1387</v>
      </c>
      <c r="AB777" s="154">
        <v>0</v>
      </c>
      <c r="AC777" s="138">
        <f>IFERROR(IF(DATEDIF(#REF!,U777,"m")&lt;=1,1,IF(AND(DATEDIF(#REF!,U777,"m")&gt;1,DATEDIF(#REF!,U777,"m")&lt;12),2,IF(AND(DATEDIF(#REF!,U777,"m")&gt;=12,DATEDIF(#REF!,U777,"m")&lt;24),3,IF(DATEDIF(#REF!,U777,"m")&gt;=24,4,"")))),IF(E777="r0320 - Deposits, not covered and not preferential",1,4))</f>
        <v>4</v>
      </c>
    </row>
    <row r="778" spans="3:29" ht="48.75" thickBot="1" x14ac:dyDescent="0.3">
      <c r="C778" s="11">
        <v>999</v>
      </c>
      <c r="D778" s="154">
        <v>771</v>
      </c>
      <c r="E778" s="154" t="s">
        <v>1902</v>
      </c>
      <c r="F778" s="154" t="s">
        <v>83</v>
      </c>
      <c r="G778" s="154" t="s">
        <v>1903</v>
      </c>
      <c r="H778" s="154" t="s">
        <v>469</v>
      </c>
      <c r="I778" s="154" t="s">
        <v>101</v>
      </c>
      <c r="J778" s="154" t="s">
        <v>102</v>
      </c>
      <c r="K778" s="154" t="s">
        <v>60</v>
      </c>
      <c r="L778" s="154" t="s">
        <v>1897</v>
      </c>
      <c r="M778" s="154" t="s">
        <v>1388</v>
      </c>
      <c r="N778" s="154" t="s">
        <v>61</v>
      </c>
      <c r="O778" s="154" t="s">
        <v>62</v>
      </c>
      <c r="P778" s="146">
        <v>875706.58</v>
      </c>
      <c r="Q778" s="146">
        <v>418.55</v>
      </c>
      <c r="R778" s="154" t="s">
        <v>1384</v>
      </c>
      <c r="S778" s="154" t="s">
        <v>1899</v>
      </c>
      <c r="T778" s="155" t="s">
        <v>768</v>
      </c>
      <c r="U778" s="155" t="s">
        <v>1899</v>
      </c>
      <c r="V778" s="154" t="s">
        <v>1904</v>
      </c>
      <c r="W778" s="154">
        <v>0</v>
      </c>
      <c r="X778" s="154" t="s">
        <v>63</v>
      </c>
      <c r="Y778" s="154" t="s">
        <v>1386</v>
      </c>
      <c r="Z778" s="154"/>
      <c r="AA778" s="154" t="s">
        <v>1387</v>
      </c>
      <c r="AB778" s="154">
        <v>0</v>
      </c>
      <c r="AC778" s="138">
        <f>IFERROR(IF(DATEDIF(#REF!,U778,"m")&lt;=1,1,IF(AND(DATEDIF(#REF!,U778,"m")&gt;1,DATEDIF(#REF!,U778,"m")&lt;12),2,IF(AND(DATEDIF(#REF!,U778,"m")&gt;=12,DATEDIF(#REF!,U778,"m")&lt;24),3,IF(DATEDIF(#REF!,U778,"m")&gt;=24,4,"")))),IF(E778="r0320 - Deposits, not covered and not preferential",1,4))</f>
        <v>4</v>
      </c>
    </row>
    <row r="779" spans="3:29" ht="48.75" thickBot="1" x14ac:dyDescent="0.3">
      <c r="C779" s="11">
        <v>999</v>
      </c>
      <c r="D779" s="154">
        <v>772</v>
      </c>
      <c r="E779" s="154" t="s">
        <v>1902</v>
      </c>
      <c r="F779" s="154" t="s">
        <v>83</v>
      </c>
      <c r="G779" s="154" t="s">
        <v>1903</v>
      </c>
      <c r="H779" s="154" t="s">
        <v>792</v>
      </c>
      <c r="I779" s="154" t="s">
        <v>93</v>
      </c>
      <c r="J779" s="154" t="s">
        <v>94</v>
      </c>
      <c r="K779" s="154" t="s">
        <v>60</v>
      </c>
      <c r="L779" s="154" t="s">
        <v>1897</v>
      </c>
      <c r="M779" s="154" t="s">
        <v>1388</v>
      </c>
      <c r="N779" s="154" t="s">
        <v>61</v>
      </c>
      <c r="O779" s="154" t="s">
        <v>62</v>
      </c>
      <c r="P779" s="146">
        <v>56112.6</v>
      </c>
      <c r="Q779" s="146">
        <v>91.93</v>
      </c>
      <c r="R779" s="154" t="s">
        <v>1384</v>
      </c>
      <c r="S779" s="154" t="s">
        <v>1899</v>
      </c>
      <c r="T779" s="155" t="s">
        <v>768</v>
      </c>
      <c r="U779" s="155" t="s">
        <v>1899</v>
      </c>
      <c r="V779" s="154" t="s">
        <v>1904</v>
      </c>
      <c r="W779" s="154">
        <v>0</v>
      </c>
      <c r="X779" s="154" t="s">
        <v>63</v>
      </c>
      <c r="Y779" s="154" t="s">
        <v>1386</v>
      </c>
      <c r="Z779" s="154"/>
      <c r="AA779" s="154" t="s">
        <v>1387</v>
      </c>
      <c r="AB779" s="154">
        <v>0</v>
      </c>
      <c r="AC779" s="138">
        <f>IFERROR(IF(DATEDIF(#REF!,U779,"m")&lt;=1,1,IF(AND(DATEDIF(#REF!,U779,"m")&gt;1,DATEDIF(#REF!,U779,"m")&lt;12),2,IF(AND(DATEDIF(#REF!,U779,"m")&gt;=12,DATEDIF(#REF!,U779,"m")&lt;24),3,IF(DATEDIF(#REF!,U779,"m")&gt;=24,4,"")))),IF(E779="r0320 - Deposits, not covered and not preferential",1,4))</f>
        <v>4</v>
      </c>
    </row>
    <row r="780" spans="3:29" ht="36.75" thickBot="1" x14ac:dyDescent="0.3">
      <c r="C780" s="11">
        <v>999</v>
      </c>
      <c r="D780" s="154">
        <v>773</v>
      </c>
      <c r="E780" s="154" t="s">
        <v>1898</v>
      </c>
      <c r="F780" s="154" t="s">
        <v>83</v>
      </c>
      <c r="G780" s="154" t="s">
        <v>1402</v>
      </c>
      <c r="H780" s="154" t="s">
        <v>57</v>
      </c>
      <c r="I780" s="154" t="s">
        <v>99</v>
      </c>
      <c r="J780" s="154" t="s">
        <v>90</v>
      </c>
      <c r="K780" s="154" t="s">
        <v>91</v>
      </c>
      <c r="L780" s="154" t="s">
        <v>1897</v>
      </c>
      <c r="M780" s="154" t="s">
        <v>1383</v>
      </c>
      <c r="N780" s="154" t="s">
        <v>61</v>
      </c>
      <c r="O780" s="154" t="s">
        <v>62</v>
      </c>
      <c r="P780" s="146">
        <v>6847.9260750000003</v>
      </c>
      <c r="Q780" s="146">
        <v>0</v>
      </c>
      <c r="R780" s="154" t="s">
        <v>768</v>
      </c>
      <c r="S780" s="154" t="s">
        <v>1899</v>
      </c>
      <c r="T780" s="155" t="s">
        <v>1899</v>
      </c>
      <c r="U780" s="155" t="s">
        <v>1899</v>
      </c>
      <c r="V780" s="154" t="s">
        <v>1562</v>
      </c>
      <c r="W780" s="154">
        <v>0</v>
      </c>
      <c r="X780" s="154" t="s">
        <v>63</v>
      </c>
      <c r="Y780" s="154" t="s">
        <v>1900</v>
      </c>
      <c r="Z780" s="154"/>
      <c r="AA780" s="154" t="s">
        <v>1387</v>
      </c>
      <c r="AB780" s="154">
        <v>0</v>
      </c>
      <c r="AC780" s="138">
        <f>IFERROR(IF(DATEDIF(#REF!,U780,"m")&lt;=1,1,IF(AND(DATEDIF(#REF!,U780,"m")&gt;1,DATEDIF(#REF!,U780,"m")&lt;12),2,IF(AND(DATEDIF(#REF!,U780,"m")&gt;=12,DATEDIF(#REF!,U780,"m")&lt;24),3,IF(DATEDIF(#REF!,U780,"m")&gt;=24,4,"")))),IF(E780="r0320 - Deposits, not covered and not preferential",1,4))</f>
        <v>4</v>
      </c>
    </row>
    <row r="781" spans="3:29" ht="48.75" thickBot="1" x14ac:dyDescent="0.3">
      <c r="C781" s="11">
        <v>999</v>
      </c>
      <c r="D781" s="154">
        <v>774</v>
      </c>
      <c r="E781" s="154" t="s">
        <v>1902</v>
      </c>
      <c r="F781" s="154" t="s">
        <v>83</v>
      </c>
      <c r="G781" s="154" t="s">
        <v>1903</v>
      </c>
      <c r="H781" s="154" t="s">
        <v>467</v>
      </c>
      <c r="I781" s="154" t="s">
        <v>93</v>
      </c>
      <c r="J781" s="154" t="s">
        <v>94</v>
      </c>
      <c r="K781" s="154" t="s">
        <v>60</v>
      </c>
      <c r="L781" s="154" t="s">
        <v>1897</v>
      </c>
      <c r="M781" s="154" t="s">
        <v>1388</v>
      </c>
      <c r="N781" s="154" t="s">
        <v>61</v>
      </c>
      <c r="O781" s="154" t="s">
        <v>62</v>
      </c>
      <c r="P781" s="146">
        <v>56040.2</v>
      </c>
      <c r="Q781" s="146">
        <v>-8.69</v>
      </c>
      <c r="R781" s="154" t="s">
        <v>1384</v>
      </c>
      <c r="S781" s="154" t="s">
        <v>1899</v>
      </c>
      <c r="T781" s="155" t="s">
        <v>768</v>
      </c>
      <c r="U781" s="155" t="s">
        <v>1899</v>
      </c>
      <c r="V781" s="154" t="s">
        <v>1904</v>
      </c>
      <c r="W781" s="154">
        <v>0</v>
      </c>
      <c r="X781" s="154" t="s">
        <v>63</v>
      </c>
      <c r="Y781" s="154" t="s">
        <v>1386</v>
      </c>
      <c r="Z781" s="154"/>
      <c r="AA781" s="154" t="s">
        <v>1387</v>
      </c>
      <c r="AB781" s="154">
        <v>0</v>
      </c>
      <c r="AC781" s="138">
        <f>IFERROR(IF(DATEDIF(#REF!,U781,"m")&lt;=1,1,IF(AND(DATEDIF(#REF!,U781,"m")&gt;1,DATEDIF(#REF!,U781,"m")&lt;12),2,IF(AND(DATEDIF(#REF!,U781,"m")&gt;=12,DATEDIF(#REF!,U781,"m")&lt;24),3,IF(DATEDIF(#REF!,U781,"m")&gt;=24,4,"")))),IF(E781="r0320 - Deposits, not covered and not preferential",1,4))</f>
        <v>4</v>
      </c>
    </row>
    <row r="782" spans="3:29" ht="36.75" thickBot="1" x14ac:dyDescent="0.3">
      <c r="C782" s="11">
        <v>999</v>
      </c>
      <c r="D782" s="154">
        <v>775</v>
      </c>
      <c r="E782" s="154" t="s">
        <v>1898</v>
      </c>
      <c r="F782" s="154" t="s">
        <v>87</v>
      </c>
      <c r="G782" s="154" t="s">
        <v>1402</v>
      </c>
      <c r="H782" s="154" t="s">
        <v>464</v>
      </c>
      <c r="I782" s="154" t="s">
        <v>96</v>
      </c>
      <c r="J782" s="154" t="s">
        <v>97</v>
      </c>
      <c r="K782" s="154" t="s">
        <v>91</v>
      </c>
      <c r="L782" s="154" t="s">
        <v>1897</v>
      </c>
      <c r="M782" s="154" t="s">
        <v>1383</v>
      </c>
      <c r="N782" s="154" t="s">
        <v>61</v>
      </c>
      <c r="O782" s="154" t="s">
        <v>62</v>
      </c>
      <c r="P782" s="146">
        <v>0.69</v>
      </c>
      <c r="Q782" s="146">
        <v>0</v>
      </c>
      <c r="R782" s="154" t="s">
        <v>1384</v>
      </c>
      <c r="S782" s="154" t="s">
        <v>1899</v>
      </c>
      <c r="T782" s="155" t="s">
        <v>1899</v>
      </c>
      <c r="U782" s="155" t="s">
        <v>1899</v>
      </c>
      <c r="V782" s="154" t="s">
        <v>1562</v>
      </c>
      <c r="W782" s="154">
        <v>0</v>
      </c>
      <c r="X782" s="154" t="s">
        <v>63</v>
      </c>
      <c r="Y782" s="154" t="s">
        <v>1900</v>
      </c>
      <c r="Z782" s="154"/>
      <c r="AA782" s="154" t="s">
        <v>1387</v>
      </c>
      <c r="AB782" s="154">
        <v>0</v>
      </c>
      <c r="AC782" s="138">
        <f>IFERROR(IF(DATEDIF(#REF!,U782,"m")&lt;=1,1,IF(AND(DATEDIF(#REF!,U782,"m")&gt;1,DATEDIF(#REF!,U782,"m")&lt;12),2,IF(AND(DATEDIF(#REF!,U782,"m")&gt;=12,DATEDIF(#REF!,U782,"m")&lt;24),3,IF(DATEDIF(#REF!,U782,"m")&gt;=24,4,"")))),IF(E782="r0320 - Deposits, not covered and not preferential",1,4))</f>
        <v>4</v>
      </c>
    </row>
    <row r="783" spans="3:29" ht="48.75" thickBot="1" x14ac:dyDescent="0.3">
      <c r="C783" s="11">
        <v>999</v>
      </c>
      <c r="D783" s="154">
        <v>776</v>
      </c>
      <c r="E783" s="154" t="s">
        <v>1902</v>
      </c>
      <c r="F783" s="154" t="s">
        <v>83</v>
      </c>
      <c r="G783" s="154" t="s">
        <v>1903</v>
      </c>
      <c r="H783" s="154" t="s">
        <v>810</v>
      </c>
      <c r="I783" s="154" t="s">
        <v>101</v>
      </c>
      <c r="J783" s="154" t="s">
        <v>102</v>
      </c>
      <c r="K783" s="154" t="s">
        <v>60</v>
      </c>
      <c r="L783" s="154" t="s">
        <v>1897</v>
      </c>
      <c r="M783" s="154" t="s">
        <v>1388</v>
      </c>
      <c r="N783" s="154" t="s">
        <v>61</v>
      </c>
      <c r="O783" s="154" t="s">
        <v>62</v>
      </c>
      <c r="P783" s="146">
        <v>2974.61</v>
      </c>
      <c r="Q783" s="146">
        <v>4.76</v>
      </c>
      <c r="R783" s="154" t="s">
        <v>1384</v>
      </c>
      <c r="S783" s="154" t="s">
        <v>1899</v>
      </c>
      <c r="T783" s="155" t="s">
        <v>768</v>
      </c>
      <c r="U783" s="155" t="s">
        <v>1899</v>
      </c>
      <c r="V783" s="154" t="s">
        <v>1904</v>
      </c>
      <c r="W783" s="154">
        <v>0</v>
      </c>
      <c r="X783" s="154" t="s">
        <v>63</v>
      </c>
      <c r="Y783" s="154" t="s">
        <v>1386</v>
      </c>
      <c r="Z783" s="154"/>
      <c r="AA783" s="154" t="s">
        <v>1387</v>
      </c>
      <c r="AB783" s="154">
        <v>0</v>
      </c>
      <c r="AC783" s="138">
        <f>IFERROR(IF(DATEDIF(#REF!,U783,"m")&lt;=1,1,IF(AND(DATEDIF(#REF!,U783,"m")&gt;1,DATEDIF(#REF!,U783,"m")&lt;12),2,IF(AND(DATEDIF(#REF!,U783,"m")&gt;=12,DATEDIF(#REF!,U783,"m")&lt;24),3,IF(DATEDIF(#REF!,U783,"m")&gt;=24,4,"")))),IF(E783="r0320 - Deposits, not covered and not preferential",1,4))</f>
        <v>4</v>
      </c>
    </row>
    <row r="784" spans="3:29" ht="36.75" thickBot="1" x14ac:dyDescent="0.3">
      <c r="C784" s="11">
        <v>999</v>
      </c>
      <c r="D784" s="154">
        <v>777</v>
      </c>
      <c r="E784" s="154" t="s">
        <v>1898</v>
      </c>
      <c r="F784" s="154" t="s">
        <v>87</v>
      </c>
      <c r="G784" s="154" t="s">
        <v>1402</v>
      </c>
      <c r="H784" s="154" t="s">
        <v>196</v>
      </c>
      <c r="I784" s="154" t="s">
        <v>96</v>
      </c>
      <c r="J784" s="154" t="s">
        <v>97</v>
      </c>
      <c r="K784" s="154" t="s">
        <v>91</v>
      </c>
      <c r="L784" s="154" t="s">
        <v>1897</v>
      </c>
      <c r="M784" s="154" t="s">
        <v>1383</v>
      </c>
      <c r="N784" s="154" t="s">
        <v>61</v>
      </c>
      <c r="O784" s="154" t="s">
        <v>62</v>
      </c>
      <c r="P784" s="146">
        <v>0.03</v>
      </c>
      <c r="Q784" s="146">
        <v>0</v>
      </c>
      <c r="R784" s="154" t="s">
        <v>1384</v>
      </c>
      <c r="S784" s="154" t="s">
        <v>1899</v>
      </c>
      <c r="T784" s="155" t="s">
        <v>1899</v>
      </c>
      <c r="U784" s="155" t="s">
        <v>1899</v>
      </c>
      <c r="V784" s="154" t="s">
        <v>1562</v>
      </c>
      <c r="W784" s="154">
        <v>0</v>
      </c>
      <c r="X784" s="154" t="s">
        <v>63</v>
      </c>
      <c r="Y784" s="154" t="s">
        <v>1900</v>
      </c>
      <c r="Z784" s="154"/>
      <c r="AA784" s="154" t="s">
        <v>1387</v>
      </c>
      <c r="AB784" s="154">
        <v>0</v>
      </c>
      <c r="AC784" s="138">
        <f>IFERROR(IF(DATEDIF(#REF!,U784,"m")&lt;=1,1,IF(AND(DATEDIF(#REF!,U784,"m")&gt;1,DATEDIF(#REF!,U784,"m")&lt;12),2,IF(AND(DATEDIF(#REF!,U784,"m")&gt;=12,DATEDIF(#REF!,U784,"m")&lt;24),3,IF(DATEDIF(#REF!,U784,"m")&gt;=24,4,"")))),IF(E784="r0320 - Deposits, not covered and not preferential",1,4))</f>
        <v>4</v>
      </c>
    </row>
    <row r="785" spans="3:29" ht="48.75" thickBot="1" x14ac:dyDescent="0.3">
      <c r="C785" s="11">
        <v>999</v>
      </c>
      <c r="D785" s="154">
        <v>778</v>
      </c>
      <c r="E785" s="154" t="s">
        <v>1902</v>
      </c>
      <c r="F785" s="154" t="s">
        <v>83</v>
      </c>
      <c r="G785" s="154" t="s">
        <v>1903</v>
      </c>
      <c r="H785" s="154" t="s">
        <v>482</v>
      </c>
      <c r="I785" s="154" t="s">
        <v>93</v>
      </c>
      <c r="J785" s="154" t="s">
        <v>94</v>
      </c>
      <c r="K785" s="154" t="s">
        <v>60</v>
      </c>
      <c r="L785" s="154" t="s">
        <v>1897</v>
      </c>
      <c r="M785" s="154" t="s">
        <v>1388</v>
      </c>
      <c r="N785" s="154" t="s">
        <v>61</v>
      </c>
      <c r="O785" s="154" t="s">
        <v>62</v>
      </c>
      <c r="P785" s="146">
        <v>62423.09</v>
      </c>
      <c r="Q785" s="146">
        <v>19.36</v>
      </c>
      <c r="R785" s="154" t="s">
        <v>1384</v>
      </c>
      <c r="S785" s="154" t="s">
        <v>1899</v>
      </c>
      <c r="T785" s="155" t="s">
        <v>768</v>
      </c>
      <c r="U785" s="155" t="s">
        <v>1899</v>
      </c>
      <c r="V785" s="154" t="s">
        <v>1904</v>
      </c>
      <c r="W785" s="154">
        <v>0</v>
      </c>
      <c r="X785" s="154" t="s">
        <v>63</v>
      </c>
      <c r="Y785" s="154" t="s">
        <v>1386</v>
      </c>
      <c r="Z785" s="154"/>
      <c r="AA785" s="154" t="s">
        <v>1387</v>
      </c>
      <c r="AB785" s="154">
        <v>0</v>
      </c>
      <c r="AC785" s="138">
        <f>IFERROR(IF(DATEDIF(#REF!,U785,"m")&lt;=1,1,IF(AND(DATEDIF(#REF!,U785,"m")&gt;1,DATEDIF(#REF!,U785,"m")&lt;12),2,IF(AND(DATEDIF(#REF!,U785,"m")&gt;=12,DATEDIF(#REF!,U785,"m")&lt;24),3,IF(DATEDIF(#REF!,U785,"m")&gt;=24,4,"")))),IF(E785="r0320 - Deposits, not covered and not preferential",1,4))</f>
        <v>4</v>
      </c>
    </row>
    <row r="786" spans="3:29" ht="36.75" thickBot="1" x14ac:dyDescent="0.3">
      <c r="C786" s="11">
        <v>999</v>
      </c>
      <c r="D786" s="154">
        <v>779</v>
      </c>
      <c r="E786" s="154" t="s">
        <v>1898</v>
      </c>
      <c r="F786" s="154" t="s">
        <v>87</v>
      </c>
      <c r="G786" s="154" t="s">
        <v>1402</v>
      </c>
      <c r="H786" s="154" t="s">
        <v>485</v>
      </c>
      <c r="I786" s="154" t="s">
        <v>96</v>
      </c>
      <c r="J786" s="154" t="s">
        <v>97</v>
      </c>
      <c r="K786" s="154" t="s">
        <v>91</v>
      </c>
      <c r="L786" s="154" t="s">
        <v>1897</v>
      </c>
      <c r="M786" s="154" t="s">
        <v>1383</v>
      </c>
      <c r="N786" s="154" t="s">
        <v>61</v>
      </c>
      <c r="O786" s="154" t="s">
        <v>62</v>
      </c>
      <c r="P786" s="146">
        <v>3.28</v>
      </c>
      <c r="Q786" s="146">
        <v>0</v>
      </c>
      <c r="R786" s="154" t="s">
        <v>1384</v>
      </c>
      <c r="S786" s="154" t="s">
        <v>1899</v>
      </c>
      <c r="T786" s="155" t="s">
        <v>1899</v>
      </c>
      <c r="U786" s="155" t="s">
        <v>1899</v>
      </c>
      <c r="V786" s="154" t="s">
        <v>1562</v>
      </c>
      <c r="W786" s="154">
        <v>0</v>
      </c>
      <c r="X786" s="154" t="s">
        <v>63</v>
      </c>
      <c r="Y786" s="154" t="s">
        <v>1900</v>
      </c>
      <c r="Z786" s="154"/>
      <c r="AA786" s="154" t="s">
        <v>1387</v>
      </c>
      <c r="AB786" s="154">
        <v>0</v>
      </c>
      <c r="AC786" s="138">
        <f>IFERROR(IF(DATEDIF(#REF!,U786,"m")&lt;=1,1,IF(AND(DATEDIF(#REF!,U786,"m")&gt;1,DATEDIF(#REF!,U786,"m")&lt;12),2,IF(AND(DATEDIF(#REF!,U786,"m")&gt;=12,DATEDIF(#REF!,U786,"m")&lt;24),3,IF(DATEDIF(#REF!,U786,"m")&gt;=24,4,"")))),IF(E786="r0320 - Deposits, not covered and not preferential",1,4))</f>
        <v>4</v>
      </c>
    </row>
    <row r="787" spans="3:29" ht="48.75" thickBot="1" x14ac:dyDescent="0.3">
      <c r="C787" s="11">
        <v>999</v>
      </c>
      <c r="D787" s="154">
        <v>780</v>
      </c>
      <c r="E787" s="154" t="s">
        <v>1902</v>
      </c>
      <c r="F787" s="154" t="s">
        <v>83</v>
      </c>
      <c r="G787" s="154" t="s">
        <v>1903</v>
      </c>
      <c r="H787" s="154" t="s">
        <v>312</v>
      </c>
      <c r="I787" s="154" t="s">
        <v>114</v>
      </c>
      <c r="J787" s="154" t="s">
        <v>115</v>
      </c>
      <c r="K787" s="154" t="s">
        <v>60</v>
      </c>
      <c r="L787" s="154" t="s">
        <v>1897</v>
      </c>
      <c r="M787" s="154" t="s">
        <v>1388</v>
      </c>
      <c r="N787" s="154" t="s">
        <v>61</v>
      </c>
      <c r="O787" s="154" t="s">
        <v>62</v>
      </c>
      <c r="P787" s="146">
        <v>26628.12</v>
      </c>
      <c r="Q787" s="146">
        <v>3.71</v>
      </c>
      <c r="R787" s="154" t="s">
        <v>1384</v>
      </c>
      <c r="S787" s="154" t="s">
        <v>1899</v>
      </c>
      <c r="T787" s="155" t="s">
        <v>768</v>
      </c>
      <c r="U787" s="155" t="s">
        <v>1899</v>
      </c>
      <c r="V787" s="154" t="s">
        <v>1904</v>
      </c>
      <c r="W787" s="154">
        <v>0</v>
      </c>
      <c r="X787" s="154" t="s">
        <v>63</v>
      </c>
      <c r="Y787" s="154" t="s">
        <v>1386</v>
      </c>
      <c r="Z787" s="154"/>
      <c r="AA787" s="154" t="s">
        <v>1387</v>
      </c>
      <c r="AB787" s="154">
        <v>0</v>
      </c>
      <c r="AC787" s="138">
        <f>IFERROR(IF(DATEDIF(#REF!,U787,"m")&lt;=1,1,IF(AND(DATEDIF(#REF!,U787,"m")&gt;1,DATEDIF(#REF!,U787,"m")&lt;12),2,IF(AND(DATEDIF(#REF!,U787,"m")&gt;=12,DATEDIF(#REF!,U787,"m")&lt;24),3,IF(DATEDIF(#REF!,U787,"m")&gt;=24,4,"")))),IF(E787="r0320 - Deposits, not covered and not preferential",1,4))</f>
        <v>4</v>
      </c>
    </row>
    <row r="788" spans="3:29" ht="36.75" thickBot="1" x14ac:dyDescent="0.3">
      <c r="C788" s="11">
        <v>999</v>
      </c>
      <c r="D788" s="154">
        <v>781</v>
      </c>
      <c r="E788" s="154" t="s">
        <v>1898</v>
      </c>
      <c r="F788" s="154" t="s">
        <v>87</v>
      </c>
      <c r="G788" s="154" t="s">
        <v>1402</v>
      </c>
      <c r="H788" s="154" t="s">
        <v>301</v>
      </c>
      <c r="I788" s="154" t="s">
        <v>96</v>
      </c>
      <c r="J788" s="154" t="s">
        <v>97</v>
      </c>
      <c r="K788" s="154" t="s">
        <v>91</v>
      </c>
      <c r="L788" s="154" t="s">
        <v>1897</v>
      </c>
      <c r="M788" s="154" t="s">
        <v>1383</v>
      </c>
      <c r="N788" s="154" t="s">
        <v>61</v>
      </c>
      <c r="O788" s="154" t="s">
        <v>62</v>
      </c>
      <c r="P788" s="146">
        <v>36.67</v>
      </c>
      <c r="Q788" s="146">
        <v>0</v>
      </c>
      <c r="R788" s="154" t="s">
        <v>1384</v>
      </c>
      <c r="S788" s="154" t="s">
        <v>1899</v>
      </c>
      <c r="T788" s="155" t="s">
        <v>1899</v>
      </c>
      <c r="U788" s="155" t="s">
        <v>1899</v>
      </c>
      <c r="V788" s="154" t="s">
        <v>1562</v>
      </c>
      <c r="W788" s="154">
        <v>0</v>
      </c>
      <c r="X788" s="154" t="s">
        <v>63</v>
      </c>
      <c r="Y788" s="154" t="s">
        <v>1900</v>
      </c>
      <c r="Z788" s="154"/>
      <c r="AA788" s="154" t="s">
        <v>1387</v>
      </c>
      <c r="AB788" s="154">
        <v>0</v>
      </c>
      <c r="AC788" s="138">
        <f>IFERROR(IF(DATEDIF(#REF!,U788,"m")&lt;=1,1,IF(AND(DATEDIF(#REF!,U788,"m")&gt;1,DATEDIF(#REF!,U788,"m")&lt;12),2,IF(AND(DATEDIF(#REF!,U788,"m")&gt;=12,DATEDIF(#REF!,U788,"m")&lt;24),3,IF(DATEDIF(#REF!,U788,"m")&gt;=24,4,"")))),IF(E788="r0320 - Deposits, not covered and not preferential",1,4))</f>
        <v>4</v>
      </c>
    </row>
    <row r="789" spans="3:29" ht="48.75" thickBot="1" x14ac:dyDescent="0.3">
      <c r="C789" s="11">
        <v>999</v>
      </c>
      <c r="D789" s="154">
        <v>782</v>
      </c>
      <c r="E789" s="154" t="s">
        <v>1902</v>
      </c>
      <c r="F789" s="154" t="s">
        <v>83</v>
      </c>
      <c r="G789" s="154" t="s">
        <v>1903</v>
      </c>
      <c r="H789" s="154" t="s">
        <v>300</v>
      </c>
      <c r="I789" s="154" t="s">
        <v>93</v>
      </c>
      <c r="J789" s="154" t="s">
        <v>94</v>
      </c>
      <c r="K789" s="154" t="s">
        <v>60</v>
      </c>
      <c r="L789" s="154" t="s">
        <v>1897</v>
      </c>
      <c r="M789" s="154" t="s">
        <v>1388</v>
      </c>
      <c r="N789" s="154" t="s">
        <v>61</v>
      </c>
      <c r="O789" s="154" t="s">
        <v>62</v>
      </c>
      <c r="P789" s="146">
        <v>87653.37</v>
      </c>
      <c r="Q789" s="146">
        <v>13.06</v>
      </c>
      <c r="R789" s="154" t="s">
        <v>1384</v>
      </c>
      <c r="S789" s="154" t="s">
        <v>1899</v>
      </c>
      <c r="T789" s="155" t="s">
        <v>768</v>
      </c>
      <c r="U789" s="155" t="s">
        <v>1899</v>
      </c>
      <c r="V789" s="154" t="s">
        <v>1904</v>
      </c>
      <c r="W789" s="154">
        <v>0</v>
      </c>
      <c r="X789" s="154" t="s">
        <v>63</v>
      </c>
      <c r="Y789" s="154" t="s">
        <v>1386</v>
      </c>
      <c r="Z789" s="154"/>
      <c r="AA789" s="154" t="s">
        <v>1387</v>
      </c>
      <c r="AB789" s="154">
        <v>0</v>
      </c>
      <c r="AC789" s="138">
        <f>IFERROR(IF(DATEDIF(#REF!,U789,"m")&lt;=1,1,IF(AND(DATEDIF(#REF!,U789,"m")&gt;1,DATEDIF(#REF!,U789,"m")&lt;12),2,IF(AND(DATEDIF(#REF!,U789,"m")&gt;=12,DATEDIF(#REF!,U789,"m")&lt;24),3,IF(DATEDIF(#REF!,U789,"m")&gt;=24,4,"")))),IF(E789="r0320 - Deposits, not covered and not preferential",1,4))</f>
        <v>4</v>
      </c>
    </row>
    <row r="790" spans="3:29" ht="36.75" thickBot="1" x14ac:dyDescent="0.3">
      <c r="C790" s="11">
        <v>999</v>
      </c>
      <c r="D790" s="154">
        <v>783</v>
      </c>
      <c r="E790" s="154" t="s">
        <v>1898</v>
      </c>
      <c r="F790" s="154" t="s">
        <v>87</v>
      </c>
      <c r="G790" s="154" t="s">
        <v>1402</v>
      </c>
      <c r="H790" s="154" t="s">
        <v>486</v>
      </c>
      <c r="I790" s="154" t="s">
        <v>96</v>
      </c>
      <c r="J790" s="154" t="s">
        <v>97</v>
      </c>
      <c r="K790" s="154" t="s">
        <v>91</v>
      </c>
      <c r="L790" s="154" t="s">
        <v>1897</v>
      </c>
      <c r="M790" s="154" t="s">
        <v>1383</v>
      </c>
      <c r="N790" s="154" t="s">
        <v>61</v>
      </c>
      <c r="O790" s="154" t="s">
        <v>62</v>
      </c>
      <c r="P790" s="146">
        <v>866.19</v>
      </c>
      <c r="Q790" s="146">
        <v>0</v>
      </c>
      <c r="R790" s="154" t="s">
        <v>1384</v>
      </c>
      <c r="S790" s="154" t="s">
        <v>1899</v>
      </c>
      <c r="T790" s="155" t="s">
        <v>1899</v>
      </c>
      <c r="U790" s="155" t="s">
        <v>1899</v>
      </c>
      <c r="V790" s="154" t="s">
        <v>1562</v>
      </c>
      <c r="W790" s="154">
        <v>0</v>
      </c>
      <c r="X790" s="154" t="s">
        <v>63</v>
      </c>
      <c r="Y790" s="154" t="s">
        <v>1900</v>
      </c>
      <c r="Z790" s="154"/>
      <c r="AA790" s="154" t="s">
        <v>1387</v>
      </c>
      <c r="AB790" s="154">
        <v>0</v>
      </c>
      <c r="AC790" s="138">
        <f>IFERROR(IF(DATEDIF(#REF!,U790,"m")&lt;=1,1,IF(AND(DATEDIF(#REF!,U790,"m")&gt;1,DATEDIF(#REF!,U790,"m")&lt;12),2,IF(AND(DATEDIF(#REF!,U790,"m")&gt;=12,DATEDIF(#REF!,U790,"m")&lt;24),3,IF(DATEDIF(#REF!,U790,"m")&gt;=24,4,"")))),IF(E790="r0320 - Deposits, not covered and not preferential",1,4))</f>
        <v>4</v>
      </c>
    </row>
    <row r="791" spans="3:29" ht="48.75" thickBot="1" x14ac:dyDescent="0.3">
      <c r="C791" s="11">
        <v>999</v>
      </c>
      <c r="D791" s="154">
        <v>784</v>
      </c>
      <c r="E791" s="154" t="s">
        <v>1902</v>
      </c>
      <c r="F791" s="154" t="s">
        <v>83</v>
      </c>
      <c r="G791" s="154" t="s">
        <v>1903</v>
      </c>
      <c r="H791" s="154" t="s">
        <v>814</v>
      </c>
      <c r="I791" s="154" t="s">
        <v>101</v>
      </c>
      <c r="J791" s="154" t="s">
        <v>102</v>
      </c>
      <c r="K791" s="154" t="s">
        <v>60</v>
      </c>
      <c r="L791" s="154" t="s">
        <v>1897</v>
      </c>
      <c r="M791" s="154" t="s">
        <v>1388</v>
      </c>
      <c r="N791" s="154" t="s">
        <v>61</v>
      </c>
      <c r="O791" s="154" t="s">
        <v>62</v>
      </c>
      <c r="P791" s="146">
        <v>63966.21</v>
      </c>
      <c r="Q791" s="146">
        <v>-5.26</v>
      </c>
      <c r="R791" s="154" t="s">
        <v>1384</v>
      </c>
      <c r="S791" s="154" t="s">
        <v>1899</v>
      </c>
      <c r="T791" s="155" t="s">
        <v>768</v>
      </c>
      <c r="U791" s="155" t="s">
        <v>1899</v>
      </c>
      <c r="V791" s="154" t="s">
        <v>1904</v>
      </c>
      <c r="W791" s="154">
        <v>0</v>
      </c>
      <c r="X791" s="154" t="s">
        <v>63</v>
      </c>
      <c r="Y791" s="154" t="s">
        <v>1386</v>
      </c>
      <c r="Z791" s="154"/>
      <c r="AA791" s="154" t="s">
        <v>1387</v>
      </c>
      <c r="AB791" s="154">
        <v>0</v>
      </c>
      <c r="AC791" s="138">
        <f>IFERROR(IF(DATEDIF(#REF!,U791,"m")&lt;=1,1,IF(AND(DATEDIF(#REF!,U791,"m")&gt;1,DATEDIF(#REF!,U791,"m")&lt;12),2,IF(AND(DATEDIF(#REF!,U791,"m")&gt;=12,DATEDIF(#REF!,U791,"m")&lt;24),3,IF(DATEDIF(#REF!,U791,"m")&gt;=24,4,"")))),IF(E791="r0320 - Deposits, not covered and not preferential",1,4))</f>
        <v>4</v>
      </c>
    </row>
    <row r="792" spans="3:29" ht="36.75" thickBot="1" x14ac:dyDescent="0.3">
      <c r="C792" s="11">
        <v>999</v>
      </c>
      <c r="D792" s="154">
        <v>785</v>
      </c>
      <c r="E792" s="154" t="s">
        <v>1898</v>
      </c>
      <c r="F792" s="154" t="s">
        <v>87</v>
      </c>
      <c r="G792" s="154" t="s">
        <v>1402</v>
      </c>
      <c r="H792" s="154" t="s">
        <v>147</v>
      </c>
      <c r="I792" s="154" t="s">
        <v>96</v>
      </c>
      <c r="J792" s="154" t="s">
        <v>97</v>
      </c>
      <c r="K792" s="154" t="s">
        <v>91</v>
      </c>
      <c r="L792" s="154" t="s">
        <v>1897</v>
      </c>
      <c r="M792" s="154" t="s">
        <v>1383</v>
      </c>
      <c r="N792" s="154" t="s">
        <v>61</v>
      </c>
      <c r="O792" s="154" t="s">
        <v>62</v>
      </c>
      <c r="P792" s="146">
        <v>71.11</v>
      </c>
      <c r="Q792" s="146">
        <v>0</v>
      </c>
      <c r="R792" s="154" t="s">
        <v>1384</v>
      </c>
      <c r="S792" s="154" t="s">
        <v>1899</v>
      </c>
      <c r="T792" s="155" t="s">
        <v>1899</v>
      </c>
      <c r="U792" s="155" t="s">
        <v>1899</v>
      </c>
      <c r="V792" s="154" t="s">
        <v>1562</v>
      </c>
      <c r="W792" s="154">
        <v>0</v>
      </c>
      <c r="X792" s="154" t="s">
        <v>63</v>
      </c>
      <c r="Y792" s="154" t="s">
        <v>1900</v>
      </c>
      <c r="Z792" s="154"/>
      <c r="AA792" s="154" t="s">
        <v>1387</v>
      </c>
      <c r="AB792" s="154">
        <v>0</v>
      </c>
      <c r="AC792" s="138">
        <f>IFERROR(IF(DATEDIF(#REF!,U792,"m")&lt;=1,1,IF(AND(DATEDIF(#REF!,U792,"m")&gt;1,DATEDIF(#REF!,U792,"m")&lt;12),2,IF(AND(DATEDIF(#REF!,U792,"m")&gt;=12,DATEDIF(#REF!,U792,"m")&lt;24),3,IF(DATEDIF(#REF!,U792,"m")&gt;=24,4,"")))),IF(E792="r0320 - Deposits, not covered and not preferential",1,4))</f>
        <v>4</v>
      </c>
    </row>
    <row r="793" spans="3:29" ht="48.75" thickBot="1" x14ac:dyDescent="0.3">
      <c r="C793" s="11">
        <v>999</v>
      </c>
      <c r="D793" s="154">
        <v>786</v>
      </c>
      <c r="E793" s="154" t="s">
        <v>1902</v>
      </c>
      <c r="F793" s="154" t="s">
        <v>83</v>
      </c>
      <c r="G793" s="154" t="s">
        <v>1903</v>
      </c>
      <c r="H793" s="154" t="s">
        <v>810</v>
      </c>
      <c r="I793" s="154" t="s">
        <v>93</v>
      </c>
      <c r="J793" s="154" t="s">
        <v>94</v>
      </c>
      <c r="K793" s="154" t="s">
        <v>60</v>
      </c>
      <c r="L793" s="154" t="s">
        <v>1897</v>
      </c>
      <c r="M793" s="154" t="s">
        <v>1388</v>
      </c>
      <c r="N793" s="154" t="s">
        <v>61</v>
      </c>
      <c r="O793" s="154" t="s">
        <v>62</v>
      </c>
      <c r="P793" s="146">
        <v>159213.46</v>
      </c>
      <c r="Q793" s="146">
        <v>100.02</v>
      </c>
      <c r="R793" s="154" t="s">
        <v>1384</v>
      </c>
      <c r="S793" s="154" t="s">
        <v>1899</v>
      </c>
      <c r="T793" s="155" t="s">
        <v>768</v>
      </c>
      <c r="U793" s="155" t="s">
        <v>1899</v>
      </c>
      <c r="V793" s="154" t="s">
        <v>1904</v>
      </c>
      <c r="W793" s="154">
        <v>0</v>
      </c>
      <c r="X793" s="154" t="s">
        <v>63</v>
      </c>
      <c r="Y793" s="154" t="s">
        <v>1386</v>
      </c>
      <c r="Z793" s="154"/>
      <c r="AA793" s="154" t="s">
        <v>1387</v>
      </c>
      <c r="AB793" s="154">
        <v>0</v>
      </c>
      <c r="AC793" s="138">
        <f>IFERROR(IF(DATEDIF(#REF!,U793,"m")&lt;=1,1,IF(AND(DATEDIF(#REF!,U793,"m")&gt;1,DATEDIF(#REF!,U793,"m")&lt;12),2,IF(AND(DATEDIF(#REF!,U793,"m")&gt;=12,DATEDIF(#REF!,U793,"m")&lt;24),3,IF(DATEDIF(#REF!,U793,"m")&gt;=24,4,"")))),IF(E793="r0320 - Deposits, not covered and not preferential",1,4))</f>
        <v>4</v>
      </c>
    </row>
    <row r="794" spans="3:29" ht="36.75" thickBot="1" x14ac:dyDescent="0.3">
      <c r="C794" s="11">
        <v>999</v>
      </c>
      <c r="D794" s="154">
        <v>787</v>
      </c>
      <c r="E794" s="154" t="s">
        <v>1898</v>
      </c>
      <c r="F794" s="154" t="s">
        <v>87</v>
      </c>
      <c r="G794" s="154" t="s">
        <v>1402</v>
      </c>
      <c r="H794" s="154" t="s">
        <v>488</v>
      </c>
      <c r="I794" s="154" t="s">
        <v>96</v>
      </c>
      <c r="J794" s="154" t="s">
        <v>97</v>
      </c>
      <c r="K794" s="154" t="s">
        <v>91</v>
      </c>
      <c r="L794" s="154" t="s">
        <v>1897</v>
      </c>
      <c r="M794" s="154" t="s">
        <v>1383</v>
      </c>
      <c r="N794" s="154" t="s">
        <v>61</v>
      </c>
      <c r="O794" s="154" t="s">
        <v>62</v>
      </c>
      <c r="P794" s="146">
        <v>14.44</v>
      </c>
      <c r="Q794" s="146">
        <v>0</v>
      </c>
      <c r="R794" s="154" t="s">
        <v>1384</v>
      </c>
      <c r="S794" s="154" t="s">
        <v>1899</v>
      </c>
      <c r="T794" s="155" t="s">
        <v>1899</v>
      </c>
      <c r="U794" s="155" t="s">
        <v>1899</v>
      </c>
      <c r="V794" s="154" t="s">
        <v>1562</v>
      </c>
      <c r="W794" s="154">
        <v>0</v>
      </c>
      <c r="X794" s="154" t="s">
        <v>63</v>
      </c>
      <c r="Y794" s="154" t="s">
        <v>1900</v>
      </c>
      <c r="Z794" s="154"/>
      <c r="AA794" s="154" t="s">
        <v>1387</v>
      </c>
      <c r="AB794" s="154">
        <v>0</v>
      </c>
      <c r="AC794" s="138">
        <f>IFERROR(IF(DATEDIF(#REF!,U794,"m")&lt;=1,1,IF(AND(DATEDIF(#REF!,U794,"m")&gt;1,DATEDIF(#REF!,U794,"m")&lt;12),2,IF(AND(DATEDIF(#REF!,U794,"m")&gt;=12,DATEDIF(#REF!,U794,"m")&lt;24),3,IF(DATEDIF(#REF!,U794,"m")&gt;=24,4,"")))),IF(E794="r0320 - Deposits, not covered and not preferential",1,4))</f>
        <v>4</v>
      </c>
    </row>
    <row r="795" spans="3:29" ht="48.75" thickBot="1" x14ac:dyDescent="0.3">
      <c r="C795" s="11">
        <v>999</v>
      </c>
      <c r="D795" s="154">
        <v>788</v>
      </c>
      <c r="E795" s="154" t="s">
        <v>1902</v>
      </c>
      <c r="F795" s="154" t="s">
        <v>83</v>
      </c>
      <c r="G795" s="154" t="s">
        <v>1903</v>
      </c>
      <c r="H795" s="154" t="s">
        <v>1302</v>
      </c>
      <c r="I795" s="154" t="s">
        <v>101</v>
      </c>
      <c r="J795" s="154" t="s">
        <v>102</v>
      </c>
      <c r="K795" s="154" t="s">
        <v>60</v>
      </c>
      <c r="L795" s="154" t="s">
        <v>1897</v>
      </c>
      <c r="M795" s="154" t="s">
        <v>1388</v>
      </c>
      <c r="N795" s="154" t="s">
        <v>61</v>
      </c>
      <c r="O795" s="154" t="s">
        <v>62</v>
      </c>
      <c r="P795" s="146">
        <v>4894335.5999999996</v>
      </c>
      <c r="Q795" s="146">
        <v>2926.85</v>
      </c>
      <c r="R795" s="154" t="s">
        <v>1384</v>
      </c>
      <c r="S795" s="154" t="s">
        <v>1899</v>
      </c>
      <c r="T795" s="155" t="s">
        <v>768</v>
      </c>
      <c r="U795" s="155" t="s">
        <v>1899</v>
      </c>
      <c r="V795" s="154" t="s">
        <v>1904</v>
      </c>
      <c r="W795" s="154">
        <v>0</v>
      </c>
      <c r="X795" s="154" t="s">
        <v>63</v>
      </c>
      <c r="Y795" s="154" t="s">
        <v>1386</v>
      </c>
      <c r="Z795" s="154"/>
      <c r="AA795" s="154" t="s">
        <v>1387</v>
      </c>
      <c r="AB795" s="154">
        <v>0</v>
      </c>
      <c r="AC795" s="138">
        <f>IFERROR(IF(DATEDIF(#REF!,U795,"m")&lt;=1,1,IF(AND(DATEDIF(#REF!,U795,"m")&gt;1,DATEDIF(#REF!,U795,"m")&lt;12),2,IF(AND(DATEDIF(#REF!,U795,"m")&gt;=12,DATEDIF(#REF!,U795,"m")&lt;24),3,IF(DATEDIF(#REF!,U795,"m")&gt;=24,4,"")))),IF(E795="r0320 - Deposits, not covered and not preferential",1,4))</f>
        <v>4</v>
      </c>
    </row>
    <row r="796" spans="3:29" ht="36.75" thickBot="1" x14ac:dyDescent="0.3">
      <c r="C796" s="11">
        <v>999</v>
      </c>
      <c r="D796" s="154">
        <v>789</v>
      </c>
      <c r="E796" s="154" t="s">
        <v>1898</v>
      </c>
      <c r="F796" s="154" t="s">
        <v>87</v>
      </c>
      <c r="G796" s="154" t="s">
        <v>1402</v>
      </c>
      <c r="H796" s="154" t="s">
        <v>303</v>
      </c>
      <c r="I796" s="154" t="s">
        <v>96</v>
      </c>
      <c r="J796" s="154" t="s">
        <v>97</v>
      </c>
      <c r="K796" s="154" t="s">
        <v>91</v>
      </c>
      <c r="L796" s="154" t="s">
        <v>1897</v>
      </c>
      <c r="M796" s="154" t="s">
        <v>1383</v>
      </c>
      <c r="N796" s="154" t="s">
        <v>61</v>
      </c>
      <c r="O796" s="154" t="s">
        <v>62</v>
      </c>
      <c r="P796" s="146">
        <v>30</v>
      </c>
      <c r="Q796" s="146">
        <v>0</v>
      </c>
      <c r="R796" s="154" t="s">
        <v>1384</v>
      </c>
      <c r="S796" s="154" t="s">
        <v>1899</v>
      </c>
      <c r="T796" s="155" t="s">
        <v>1899</v>
      </c>
      <c r="U796" s="155" t="s">
        <v>1899</v>
      </c>
      <c r="V796" s="154" t="s">
        <v>1562</v>
      </c>
      <c r="W796" s="154">
        <v>0</v>
      </c>
      <c r="X796" s="154" t="s">
        <v>63</v>
      </c>
      <c r="Y796" s="154" t="s">
        <v>1900</v>
      </c>
      <c r="Z796" s="154"/>
      <c r="AA796" s="154" t="s">
        <v>1387</v>
      </c>
      <c r="AB796" s="154">
        <v>0</v>
      </c>
      <c r="AC796" s="138">
        <f>IFERROR(IF(DATEDIF(#REF!,U796,"m")&lt;=1,1,IF(AND(DATEDIF(#REF!,U796,"m")&gt;1,DATEDIF(#REF!,U796,"m")&lt;12),2,IF(AND(DATEDIF(#REF!,U796,"m")&gt;=12,DATEDIF(#REF!,U796,"m")&lt;24),3,IF(DATEDIF(#REF!,U796,"m")&gt;=24,4,"")))),IF(E796="r0320 - Deposits, not covered and not preferential",1,4))</f>
        <v>4</v>
      </c>
    </row>
    <row r="797" spans="3:29" ht="48.75" thickBot="1" x14ac:dyDescent="0.3">
      <c r="C797" s="11">
        <v>999</v>
      </c>
      <c r="D797" s="154">
        <v>790</v>
      </c>
      <c r="E797" s="154" t="s">
        <v>1902</v>
      </c>
      <c r="F797" s="154" t="s">
        <v>83</v>
      </c>
      <c r="G797" s="154" t="s">
        <v>1903</v>
      </c>
      <c r="H797" s="154" t="s">
        <v>790</v>
      </c>
      <c r="I797" s="154" t="s">
        <v>93</v>
      </c>
      <c r="J797" s="154" t="s">
        <v>94</v>
      </c>
      <c r="K797" s="154" t="s">
        <v>60</v>
      </c>
      <c r="L797" s="154" t="s">
        <v>1897</v>
      </c>
      <c r="M797" s="154" t="s">
        <v>1388</v>
      </c>
      <c r="N797" s="154" t="s">
        <v>61</v>
      </c>
      <c r="O797" s="154" t="s">
        <v>62</v>
      </c>
      <c r="P797" s="146">
        <v>55732.5</v>
      </c>
      <c r="Q797" s="146">
        <v>45.32</v>
      </c>
      <c r="R797" s="154" t="s">
        <v>1384</v>
      </c>
      <c r="S797" s="154" t="s">
        <v>1899</v>
      </c>
      <c r="T797" s="155" t="s">
        <v>768</v>
      </c>
      <c r="U797" s="155" t="s">
        <v>1899</v>
      </c>
      <c r="V797" s="154" t="s">
        <v>1904</v>
      </c>
      <c r="W797" s="154">
        <v>0</v>
      </c>
      <c r="X797" s="154" t="s">
        <v>63</v>
      </c>
      <c r="Y797" s="154" t="s">
        <v>1386</v>
      </c>
      <c r="Z797" s="154"/>
      <c r="AA797" s="154" t="s">
        <v>1387</v>
      </c>
      <c r="AB797" s="154">
        <v>0</v>
      </c>
      <c r="AC797" s="138">
        <f>IFERROR(IF(DATEDIF(#REF!,U797,"m")&lt;=1,1,IF(AND(DATEDIF(#REF!,U797,"m")&gt;1,DATEDIF(#REF!,U797,"m")&lt;12),2,IF(AND(DATEDIF(#REF!,U797,"m")&gt;=12,DATEDIF(#REF!,U797,"m")&lt;24),3,IF(DATEDIF(#REF!,U797,"m")&gt;=24,4,"")))),IF(E797="r0320 - Deposits, not covered and not preferential",1,4))</f>
        <v>4</v>
      </c>
    </row>
    <row r="798" spans="3:29" ht="36.75" thickBot="1" x14ac:dyDescent="0.3">
      <c r="C798" s="11">
        <v>999</v>
      </c>
      <c r="D798" s="154">
        <v>791</v>
      </c>
      <c r="E798" s="154" t="s">
        <v>1898</v>
      </c>
      <c r="F798" s="154" t="s">
        <v>87</v>
      </c>
      <c r="G798" s="154" t="s">
        <v>1402</v>
      </c>
      <c r="H798" s="154" t="s">
        <v>490</v>
      </c>
      <c r="I798" s="154" t="s">
        <v>237</v>
      </c>
      <c r="J798" s="154" t="s">
        <v>238</v>
      </c>
      <c r="K798" s="154" t="s">
        <v>60</v>
      </c>
      <c r="L798" s="154" t="s">
        <v>1897</v>
      </c>
      <c r="M798" s="154" t="s">
        <v>1383</v>
      </c>
      <c r="N798" s="154" t="s">
        <v>61</v>
      </c>
      <c r="O798" s="154" t="s">
        <v>62</v>
      </c>
      <c r="P798" s="146">
        <v>11687.81</v>
      </c>
      <c r="Q798" s="146">
        <v>0</v>
      </c>
      <c r="R798" s="154" t="s">
        <v>1384</v>
      </c>
      <c r="S798" s="154" t="s">
        <v>1899</v>
      </c>
      <c r="T798" s="155" t="s">
        <v>1899</v>
      </c>
      <c r="U798" s="155" t="s">
        <v>1899</v>
      </c>
      <c r="V798" s="154" t="s">
        <v>1562</v>
      </c>
      <c r="W798" s="154">
        <v>0</v>
      </c>
      <c r="X798" s="154" t="s">
        <v>63</v>
      </c>
      <c r="Y798" s="154" t="s">
        <v>1900</v>
      </c>
      <c r="Z798" s="154"/>
      <c r="AA798" s="154" t="s">
        <v>1387</v>
      </c>
      <c r="AB798" s="154">
        <v>0</v>
      </c>
      <c r="AC798" s="138">
        <f>IFERROR(IF(DATEDIF(#REF!,U798,"m")&lt;=1,1,IF(AND(DATEDIF(#REF!,U798,"m")&gt;1,DATEDIF(#REF!,U798,"m")&lt;12),2,IF(AND(DATEDIF(#REF!,U798,"m")&gt;=12,DATEDIF(#REF!,U798,"m")&lt;24),3,IF(DATEDIF(#REF!,U798,"m")&gt;=24,4,"")))),IF(E798="r0320 - Deposits, not covered and not preferential",1,4))</f>
        <v>4</v>
      </c>
    </row>
    <row r="799" spans="3:29" ht="48.75" thickBot="1" x14ac:dyDescent="0.3">
      <c r="C799" s="11">
        <v>999</v>
      </c>
      <c r="D799" s="154">
        <v>792</v>
      </c>
      <c r="E799" s="154" t="s">
        <v>1902</v>
      </c>
      <c r="F799" s="154" t="s">
        <v>83</v>
      </c>
      <c r="G799" s="154" t="s">
        <v>1903</v>
      </c>
      <c r="H799" s="154" t="s">
        <v>493</v>
      </c>
      <c r="I799" s="154" t="s">
        <v>93</v>
      </c>
      <c r="J799" s="154" t="s">
        <v>94</v>
      </c>
      <c r="K799" s="154" t="s">
        <v>60</v>
      </c>
      <c r="L799" s="154" t="s">
        <v>1897</v>
      </c>
      <c r="M799" s="154" t="s">
        <v>1388</v>
      </c>
      <c r="N799" s="154" t="s">
        <v>61</v>
      </c>
      <c r="O799" s="154" t="s">
        <v>62</v>
      </c>
      <c r="P799" s="146">
        <v>173737.79</v>
      </c>
      <c r="Q799" s="146">
        <v>89.32</v>
      </c>
      <c r="R799" s="154" t="s">
        <v>1384</v>
      </c>
      <c r="S799" s="154" t="s">
        <v>1899</v>
      </c>
      <c r="T799" s="155" t="s">
        <v>768</v>
      </c>
      <c r="U799" s="155" t="s">
        <v>1899</v>
      </c>
      <c r="V799" s="154" t="s">
        <v>1904</v>
      </c>
      <c r="W799" s="154">
        <v>0</v>
      </c>
      <c r="X799" s="154" t="s">
        <v>63</v>
      </c>
      <c r="Y799" s="154" t="s">
        <v>1386</v>
      </c>
      <c r="Z799" s="154"/>
      <c r="AA799" s="154" t="s">
        <v>1387</v>
      </c>
      <c r="AB799" s="154">
        <v>0</v>
      </c>
      <c r="AC799" s="138">
        <f>IFERROR(IF(DATEDIF(#REF!,U799,"m")&lt;=1,1,IF(AND(DATEDIF(#REF!,U799,"m")&gt;1,DATEDIF(#REF!,U799,"m")&lt;12),2,IF(AND(DATEDIF(#REF!,U799,"m")&gt;=12,DATEDIF(#REF!,U799,"m")&lt;24),3,IF(DATEDIF(#REF!,U799,"m")&gt;=24,4,"")))),IF(E799="r0320 - Deposits, not covered and not preferential",1,4))</f>
        <v>4</v>
      </c>
    </row>
    <row r="800" spans="3:29" ht="36.75" thickBot="1" x14ac:dyDescent="0.3">
      <c r="C800" s="11">
        <v>999</v>
      </c>
      <c r="D800" s="154">
        <v>793</v>
      </c>
      <c r="E800" s="154" t="s">
        <v>1898</v>
      </c>
      <c r="F800" s="154" t="s">
        <v>87</v>
      </c>
      <c r="G800" s="154" t="s">
        <v>1402</v>
      </c>
      <c r="H800" s="154" t="s">
        <v>198</v>
      </c>
      <c r="I800" s="154" t="s">
        <v>96</v>
      </c>
      <c r="J800" s="154" t="s">
        <v>97</v>
      </c>
      <c r="K800" s="154" t="s">
        <v>91</v>
      </c>
      <c r="L800" s="154" t="s">
        <v>1897</v>
      </c>
      <c r="M800" s="154" t="s">
        <v>1383</v>
      </c>
      <c r="N800" s="154" t="s">
        <v>61</v>
      </c>
      <c r="O800" s="154" t="s">
        <v>62</v>
      </c>
      <c r="P800" s="146">
        <v>62.22</v>
      </c>
      <c r="Q800" s="146">
        <v>0</v>
      </c>
      <c r="R800" s="154" t="s">
        <v>1384</v>
      </c>
      <c r="S800" s="154" t="s">
        <v>1899</v>
      </c>
      <c r="T800" s="155" t="s">
        <v>1899</v>
      </c>
      <c r="U800" s="155" t="s">
        <v>1899</v>
      </c>
      <c r="V800" s="154" t="s">
        <v>1562</v>
      </c>
      <c r="W800" s="154">
        <v>0</v>
      </c>
      <c r="X800" s="154" t="s">
        <v>63</v>
      </c>
      <c r="Y800" s="154" t="s">
        <v>1900</v>
      </c>
      <c r="Z800" s="154"/>
      <c r="AA800" s="154" t="s">
        <v>1387</v>
      </c>
      <c r="AB800" s="154">
        <v>0</v>
      </c>
      <c r="AC800" s="138">
        <f>IFERROR(IF(DATEDIF(#REF!,U800,"m")&lt;=1,1,IF(AND(DATEDIF(#REF!,U800,"m")&gt;1,DATEDIF(#REF!,U800,"m")&lt;12),2,IF(AND(DATEDIF(#REF!,U800,"m")&gt;=12,DATEDIF(#REF!,U800,"m")&lt;24),3,IF(DATEDIF(#REF!,U800,"m")&gt;=24,4,"")))),IF(E800="r0320 - Deposits, not covered and not preferential",1,4))</f>
        <v>4</v>
      </c>
    </row>
    <row r="801" spans="3:29" ht="48.75" thickBot="1" x14ac:dyDescent="0.3">
      <c r="C801" s="11">
        <v>999</v>
      </c>
      <c r="D801" s="154">
        <v>794</v>
      </c>
      <c r="E801" s="154" t="s">
        <v>1902</v>
      </c>
      <c r="F801" s="154" t="s">
        <v>83</v>
      </c>
      <c r="G801" s="154" t="s">
        <v>1903</v>
      </c>
      <c r="H801" s="154" t="s">
        <v>814</v>
      </c>
      <c r="I801" s="154" t="s">
        <v>93</v>
      </c>
      <c r="J801" s="154" t="s">
        <v>94</v>
      </c>
      <c r="K801" s="154" t="s">
        <v>60</v>
      </c>
      <c r="L801" s="154" t="s">
        <v>1897</v>
      </c>
      <c r="M801" s="154" t="s">
        <v>1388</v>
      </c>
      <c r="N801" s="154" t="s">
        <v>61</v>
      </c>
      <c r="O801" s="154" t="s">
        <v>62</v>
      </c>
      <c r="P801" s="146">
        <v>112168.04</v>
      </c>
      <c r="Q801" s="146">
        <v>10.37</v>
      </c>
      <c r="R801" s="154" t="s">
        <v>1384</v>
      </c>
      <c r="S801" s="154" t="s">
        <v>1899</v>
      </c>
      <c r="T801" s="155" t="s">
        <v>768</v>
      </c>
      <c r="U801" s="155" t="s">
        <v>1899</v>
      </c>
      <c r="V801" s="154" t="s">
        <v>1904</v>
      </c>
      <c r="W801" s="154">
        <v>0</v>
      </c>
      <c r="X801" s="154" t="s">
        <v>63</v>
      </c>
      <c r="Y801" s="154" t="s">
        <v>1386</v>
      </c>
      <c r="Z801" s="154"/>
      <c r="AA801" s="154" t="s">
        <v>1387</v>
      </c>
      <c r="AB801" s="154">
        <v>0</v>
      </c>
      <c r="AC801" s="138">
        <f>IFERROR(IF(DATEDIF(#REF!,U801,"m")&lt;=1,1,IF(AND(DATEDIF(#REF!,U801,"m")&gt;1,DATEDIF(#REF!,U801,"m")&lt;12),2,IF(AND(DATEDIF(#REF!,U801,"m")&gt;=12,DATEDIF(#REF!,U801,"m")&lt;24),3,IF(DATEDIF(#REF!,U801,"m")&gt;=24,4,"")))),IF(E801="r0320 - Deposits, not covered and not preferential",1,4))</f>
        <v>4</v>
      </c>
    </row>
    <row r="802" spans="3:29" ht="36.75" thickBot="1" x14ac:dyDescent="0.3">
      <c r="C802" s="11">
        <v>999</v>
      </c>
      <c r="D802" s="154">
        <v>795</v>
      </c>
      <c r="E802" s="154" t="s">
        <v>1898</v>
      </c>
      <c r="F802" s="154" t="s">
        <v>87</v>
      </c>
      <c r="G802" s="154" t="s">
        <v>1402</v>
      </c>
      <c r="H802" s="154" t="s">
        <v>492</v>
      </c>
      <c r="I802" s="154" t="s">
        <v>96</v>
      </c>
      <c r="J802" s="154" t="s">
        <v>97</v>
      </c>
      <c r="K802" s="154" t="s">
        <v>91</v>
      </c>
      <c r="L802" s="154" t="s">
        <v>1897</v>
      </c>
      <c r="M802" s="154" t="s">
        <v>1383</v>
      </c>
      <c r="N802" s="154" t="s">
        <v>61</v>
      </c>
      <c r="O802" s="154" t="s">
        <v>62</v>
      </c>
      <c r="P802" s="146">
        <v>64.44</v>
      </c>
      <c r="Q802" s="146">
        <v>0</v>
      </c>
      <c r="R802" s="154" t="s">
        <v>1384</v>
      </c>
      <c r="S802" s="154" t="s">
        <v>1899</v>
      </c>
      <c r="T802" s="155" t="s">
        <v>1899</v>
      </c>
      <c r="U802" s="155" t="s">
        <v>1899</v>
      </c>
      <c r="V802" s="154" t="s">
        <v>1562</v>
      </c>
      <c r="W802" s="154">
        <v>0</v>
      </c>
      <c r="X802" s="154" t="s">
        <v>63</v>
      </c>
      <c r="Y802" s="154" t="s">
        <v>1900</v>
      </c>
      <c r="Z802" s="154"/>
      <c r="AA802" s="154" t="s">
        <v>1387</v>
      </c>
      <c r="AB802" s="154">
        <v>0</v>
      </c>
      <c r="AC802" s="138">
        <f>IFERROR(IF(DATEDIF(#REF!,U802,"m")&lt;=1,1,IF(AND(DATEDIF(#REF!,U802,"m")&gt;1,DATEDIF(#REF!,U802,"m")&lt;12),2,IF(AND(DATEDIF(#REF!,U802,"m")&gt;=12,DATEDIF(#REF!,U802,"m")&lt;24),3,IF(DATEDIF(#REF!,U802,"m")&gt;=24,4,"")))),IF(E802="r0320 - Deposits, not covered and not preferential",1,4))</f>
        <v>4</v>
      </c>
    </row>
    <row r="803" spans="3:29" ht="48.75" thickBot="1" x14ac:dyDescent="0.3">
      <c r="C803" s="11">
        <v>999</v>
      </c>
      <c r="D803" s="154">
        <v>796</v>
      </c>
      <c r="E803" s="154" t="s">
        <v>1902</v>
      </c>
      <c r="F803" s="154" t="s">
        <v>83</v>
      </c>
      <c r="G803" s="154" t="s">
        <v>1903</v>
      </c>
      <c r="H803" s="154" t="s">
        <v>808</v>
      </c>
      <c r="I803" s="154" t="s">
        <v>114</v>
      </c>
      <c r="J803" s="154" t="s">
        <v>115</v>
      </c>
      <c r="K803" s="154" t="s">
        <v>60</v>
      </c>
      <c r="L803" s="154" t="s">
        <v>1897</v>
      </c>
      <c r="M803" s="154" t="s">
        <v>1388</v>
      </c>
      <c r="N803" s="154" t="s">
        <v>61</v>
      </c>
      <c r="O803" s="154" t="s">
        <v>62</v>
      </c>
      <c r="P803" s="146">
        <v>410005.95</v>
      </c>
      <c r="Q803" s="146">
        <v>80.7</v>
      </c>
      <c r="R803" s="154" t="s">
        <v>1384</v>
      </c>
      <c r="S803" s="154" t="s">
        <v>1899</v>
      </c>
      <c r="T803" s="155" t="s">
        <v>768</v>
      </c>
      <c r="U803" s="155" t="s">
        <v>1899</v>
      </c>
      <c r="V803" s="154" t="s">
        <v>1904</v>
      </c>
      <c r="W803" s="154">
        <v>0</v>
      </c>
      <c r="X803" s="154" t="s">
        <v>63</v>
      </c>
      <c r="Y803" s="154" t="s">
        <v>1386</v>
      </c>
      <c r="Z803" s="154"/>
      <c r="AA803" s="154" t="s">
        <v>1387</v>
      </c>
      <c r="AB803" s="154">
        <v>0</v>
      </c>
      <c r="AC803" s="138">
        <f>IFERROR(IF(DATEDIF(#REF!,U803,"m")&lt;=1,1,IF(AND(DATEDIF(#REF!,U803,"m")&gt;1,DATEDIF(#REF!,U803,"m")&lt;12),2,IF(AND(DATEDIF(#REF!,U803,"m")&gt;=12,DATEDIF(#REF!,U803,"m")&lt;24),3,IF(DATEDIF(#REF!,U803,"m")&gt;=24,4,"")))),IF(E803="r0320 - Deposits, not covered and not preferential",1,4))</f>
        <v>4</v>
      </c>
    </row>
    <row r="804" spans="3:29" ht="36.75" thickBot="1" x14ac:dyDescent="0.3">
      <c r="C804" s="11">
        <v>999</v>
      </c>
      <c r="D804" s="154">
        <v>797</v>
      </c>
      <c r="E804" s="154" t="s">
        <v>1898</v>
      </c>
      <c r="F804" s="154" t="s">
        <v>87</v>
      </c>
      <c r="G804" s="154" t="s">
        <v>1402</v>
      </c>
      <c r="H804" s="154" t="s">
        <v>305</v>
      </c>
      <c r="I804" s="154" t="s">
        <v>96</v>
      </c>
      <c r="J804" s="154" t="s">
        <v>97</v>
      </c>
      <c r="K804" s="154" t="s">
        <v>91</v>
      </c>
      <c r="L804" s="154" t="s">
        <v>1897</v>
      </c>
      <c r="M804" s="154" t="s">
        <v>1383</v>
      </c>
      <c r="N804" s="154" t="s">
        <v>61</v>
      </c>
      <c r="O804" s="154" t="s">
        <v>62</v>
      </c>
      <c r="P804" s="146">
        <v>64.44</v>
      </c>
      <c r="Q804" s="146">
        <v>0</v>
      </c>
      <c r="R804" s="154" t="s">
        <v>1384</v>
      </c>
      <c r="S804" s="154" t="s">
        <v>1899</v>
      </c>
      <c r="T804" s="155" t="s">
        <v>1899</v>
      </c>
      <c r="U804" s="155" t="s">
        <v>1899</v>
      </c>
      <c r="V804" s="154" t="s">
        <v>1562</v>
      </c>
      <c r="W804" s="154">
        <v>0</v>
      </c>
      <c r="X804" s="154" t="s">
        <v>63</v>
      </c>
      <c r="Y804" s="154" t="s">
        <v>1900</v>
      </c>
      <c r="Z804" s="154"/>
      <c r="AA804" s="154" t="s">
        <v>1387</v>
      </c>
      <c r="AB804" s="154">
        <v>0</v>
      </c>
      <c r="AC804" s="138">
        <f>IFERROR(IF(DATEDIF(#REF!,U804,"m")&lt;=1,1,IF(AND(DATEDIF(#REF!,U804,"m")&gt;1,DATEDIF(#REF!,U804,"m")&lt;12),2,IF(AND(DATEDIF(#REF!,U804,"m")&gt;=12,DATEDIF(#REF!,U804,"m")&lt;24),3,IF(DATEDIF(#REF!,U804,"m")&gt;=24,4,"")))),IF(E804="r0320 - Deposits, not covered and not preferential",1,4))</f>
        <v>4</v>
      </c>
    </row>
    <row r="805" spans="3:29" ht="41.25" customHeight="1" thickBot="1" x14ac:dyDescent="0.3">
      <c r="C805" s="11">
        <v>999</v>
      </c>
      <c r="D805" s="154">
        <v>798</v>
      </c>
      <c r="E805" s="154" t="s">
        <v>1902</v>
      </c>
      <c r="F805" s="154" t="s">
        <v>83</v>
      </c>
      <c r="G805" s="154" t="s">
        <v>1903</v>
      </c>
      <c r="H805" s="154" t="s">
        <v>302</v>
      </c>
      <c r="I805" s="154" t="s">
        <v>114</v>
      </c>
      <c r="J805" s="154" t="s">
        <v>115</v>
      </c>
      <c r="K805" s="154" t="s">
        <v>60</v>
      </c>
      <c r="L805" s="154" t="s">
        <v>1897</v>
      </c>
      <c r="M805" s="154" t="s">
        <v>1388</v>
      </c>
      <c r="N805" s="154" t="s">
        <v>61</v>
      </c>
      <c r="O805" s="154" t="s">
        <v>62</v>
      </c>
      <c r="P805" s="146">
        <v>35609.01</v>
      </c>
      <c r="Q805" s="146">
        <v>2.31</v>
      </c>
      <c r="R805" s="154" t="s">
        <v>1384</v>
      </c>
      <c r="S805" s="154" t="s">
        <v>1899</v>
      </c>
      <c r="T805" s="155" t="s">
        <v>768</v>
      </c>
      <c r="U805" s="155" t="s">
        <v>1899</v>
      </c>
      <c r="V805" s="154" t="s">
        <v>1904</v>
      </c>
      <c r="W805" s="154">
        <v>0</v>
      </c>
      <c r="X805" s="154" t="s">
        <v>63</v>
      </c>
      <c r="Y805" s="154" t="s">
        <v>1386</v>
      </c>
      <c r="Z805" s="154"/>
      <c r="AA805" s="154" t="s">
        <v>1387</v>
      </c>
      <c r="AB805" s="154">
        <v>0</v>
      </c>
      <c r="AC805" s="138">
        <f>IFERROR(IF(DATEDIF(#REF!,U805,"m")&lt;=1,1,IF(AND(DATEDIF(#REF!,U805,"m")&gt;1,DATEDIF(#REF!,U805,"m")&lt;12),2,IF(AND(DATEDIF(#REF!,U805,"m")&gt;=12,DATEDIF(#REF!,U805,"m")&lt;24),3,IF(DATEDIF(#REF!,U805,"m")&gt;=24,4,"")))),IF(E805="r0320 - Deposits, not covered and not preferential",1,4))</f>
        <v>4</v>
      </c>
    </row>
    <row r="806" spans="3:29" ht="36.75" thickBot="1" x14ac:dyDescent="0.3">
      <c r="C806" s="11">
        <v>999</v>
      </c>
      <c r="D806" s="154">
        <v>799</v>
      </c>
      <c r="E806" s="154" t="s">
        <v>1898</v>
      </c>
      <c r="F806" s="154" t="s">
        <v>87</v>
      </c>
      <c r="G806" s="154" t="s">
        <v>1402</v>
      </c>
      <c r="H806" s="154" t="s">
        <v>458</v>
      </c>
      <c r="I806" s="154" t="s">
        <v>96</v>
      </c>
      <c r="J806" s="154" t="s">
        <v>97</v>
      </c>
      <c r="K806" s="154" t="s">
        <v>91</v>
      </c>
      <c r="L806" s="154" t="s">
        <v>1897</v>
      </c>
      <c r="M806" s="154" t="s">
        <v>1383</v>
      </c>
      <c r="N806" s="154" t="s">
        <v>61</v>
      </c>
      <c r="O806" s="154" t="s">
        <v>62</v>
      </c>
      <c r="P806" s="146">
        <v>3.13</v>
      </c>
      <c r="Q806" s="146">
        <v>0</v>
      </c>
      <c r="R806" s="154" t="s">
        <v>1384</v>
      </c>
      <c r="S806" s="154" t="s">
        <v>1899</v>
      </c>
      <c r="T806" s="155" t="s">
        <v>1899</v>
      </c>
      <c r="U806" s="155" t="s">
        <v>1899</v>
      </c>
      <c r="V806" s="154" t="s">
        <v>1562</v>
      </c>
      <c r="W806" s="154">
        <v>0</v>
      </c>
      <c r="X806" s="154" t="s">
        <v>63</v>
      </c>
      <c r="Y806" s="154" t="s">
        <v>1900</v>
      </c>
      <c r="Z806" s="154"/>
      <c r="AA806" s="154" t="s">
        <v>1387</v>
      </c>
      <c r="AB806" s="154">
        <v>0</v>
      </c>
      <c r="AC806" s="138">
        <f>IFERROR(IF(DATEDIF(#REF!,U806,"m")&lt;=1,1,IF(AND(DATEDIF(#REF!,U806,"m")&gt;1,DATEDIF(#REF!,U806,"m")&lt;12),2,IF(AND(DATEDIF(#REF!,U806,"m")&gt;=12,DATEDIF(#REF!,U806,"m")&lt;24),3,IF(DATEDIF(#REF!,U806,"m")&gt;=24,4,"")))),IF(E806="r0320 - Deposits, not covered and not preferential",1,4))</f>
        <v>4</v>
      </c>
    </row>
    <row r="807" spans="3:29" ht="48.75" thickBot="1" x14ac:dyDescent="0.3">
      <c r="C807" s="11">
        <v>999</v>
      </c>
      <c r="D807" s="154">
        <v>800</v>
      </c>
      <c r="E807" s="154" t="s">
        <v>1902</v>
      </c>
      <c r="F807" s="154" t="s">
        <v>83</v>
      </c>
      <c r="G807" s="154" t="s">
        <v>1903</v>
      </c>
      <c r="H807" s="154" t="s">
        <v>824</v>
      </c>
      <c r="I807" s="154" t="s">
        <v>101</v>
      </c>
      <c r="J807" s="154" t="s">
        <v>102</v>
      </c>
      <c r="K807" s="154" t="s">
        <v>60</v>
      </c>
      <c r="L807" s="154" t="s">
        <v>1897</v>
      </c>
      <c r="M807" s="154" t="s">
        <v>1388</v>
      </c>
      <c r="N807" s="154" t="s">
        <v>61</v>
      </c>
      <c r="O807" s="154" t="s">
        <v>62</v>
      </c>
      <c r="P807" s="146">
        <v>102688.42</v>
      </c>
      <c r="Q807" s="146">
        <v>48.86</v>
      </c>
      <c r="R807" s="154" t="s">
        <v>1384</v>
      </c>
      <c r="S807" s="154" t="s">
        <v>1899</v>
      </c>
      <c r="T807" s="155" t="s">
        <v>768</v>
      </c>
      <c r="U807" s="155" t="s">
        <v>1899</v>
      </c>
      <c r="V807" s="154" t="s">
        <v>1904</v>
      </c>
      <c r="W807" s="154">
        <v>0</v>
      </c>
      <c r="X807" s="154" t="s">
        <v>63</v>
      </c>
      <c r="Y807" s="154" t="s">
        <v>1386</v>
      </c>
      <c r="Z807" s="154"/>
      <c r="AA807" s="154" t="s">
        <v>1387</v>
      </c>
      <c r="AB807" s="154">
        <v>0</v>
      </c>
      <c r="AC807" s="138">
        <f>IFERROR(IF(DATEDIF(#REF!,U807,"m")&lt;=1,1,IF(AND(DATEDIF(#REF!,U807,"m")&gt;1,DATEDIF(#REF!,U807,"m")&lt;12),2,IF(AND(DATEDIF(#REF!,U807,"m")&gt;=12,DATEDIF(#REF!,U807,"m")&lt;24),3,IF(DATEDIF(#REF!,U807,"m")&gt;=24,4,"")))),IF(E807="r0320 - Deposits, not covered and not preferential",1,4))</f>
        <v>4</v>
      </c>
    </row>
    <row r="808" spans="3:29" ht="36.75" thickBot="1" x14ac:dyDescent="0.3">
      <c r="C808" s="11">
        <v>999</v>
      </c>
      <c r="D808" s="154">
        <v>801</v>
      </c>
      <c r="E808" s="154" t="s">
        <v>1898</v>
      </c>
      <c r="F808" s="154" t="s">
        <v>87</v>
      </c>
      <c r="G808" s="154" t="s">
        <v>1402</v>
      </c>
      <c r="H808" s="154" t="s">
        <v>122</v>
      </c>
      <c r="I808" s="154" t="s">
        <v>99</v>
      </c>
      <c r="J808" s="154" t="s">
        <v>90</v>
      </c>
      <c r="K808" s="154" t="s">
        <v>91</v>
      </c>
      <c r="L808" s="154" t="s">
        <v>1897</v>
      </c>
      <c r="M808" s="154" t="s">
        <v>1383</v>
      </c>
      <c r="N808" s="154" t="s">
        <v>61</v>
      </c>
      <c r="O808" s="154" t="s">
        <v>62</v>
      </c>
      <c r="P808" s="146">
        <v>32.71</v>
      </c>
      <c r="Q808" s="146">
        <v>0</v>
      </c>
      <c r="R808" s="154" t="s">
        <v>1384</v>
      </c>
      <c r="S808" s="154" t="s">
        <v>1899</v>
      </c>
      <c r="T808" s="155" t="s">
        <v>1899</v>
      </c>
      <c r="U808" s="155" t="s">
        <v>1899</v>
      </c>
      <c r="V808" s="154" t="s">
        <v>1562</v>
      </c>
      <c r="W808" s="154">
        <v>0</v>
      </c>
      <c r="X808" s="154" t="s">
        <v>63</v>
      </c>
      <c r="Y808" s="154" t="s">
        <v>1900</v>
      </c>
      <c r="Z808" s="154"/>
      <c r="AA808" s="154" t="s">
        <v>1387</v>
      </c>
      <c r="AB808" s="154">
        <v>0</v>
      </c>
      <c r="AC808" s="138">
        <f>IFERROR(IF(DATEDIF(#REF!,U808,"m")&lt;=1,1,IF(AND(DATEDIF(#REF!,U808,"m")&gt;1,DATEDIF(#REF!,U808,"m")&lt;12),2,IF(AND(DATEDIF(#REF!,U808,"m")&gt;=12,DATEDIF(#REF!,U808,"m")&lt;24),3,IF(DATEDIF(#REF!,U808,"m")&gt;=24,4,"")))),IF(E808="r0320 - Deposits, not covered and not preferential",1,4))</f>
        <v>4</v>
      </c>
    </row>
    <row r="809" spans="3:29" ht="48.75" thickBot="1" x14ac:dyDescent="0.3">
      <c r="C809" s="11">
        <v>999</v>
      </c>
      <c r="D809" s="154">
        <v>802</v>
      </c>
      <c r="E809" s="154" t="s">
        <v>1902</v>
      </c>
      <c r="F809" s="154" t="s">
        <v>83</v>
      </c>
      <c r="G809" s="154" t="s">
        <v>1903</v>
      </c>
      <c r="H809" s="154" t="s">
        <v>815</v>
      </c>
      <c r="I809" s="154" t="s">
        <v>114</v>
      </c>
      <c r="J809" s="154" t="s">
        <v>115</v>
      </c>
      <c r="K809" s="154" t="s">
        <v>60</v>
      </c>
      <c r="L809" s="154" t="s">
        <v>1897</v>
      </c>
      <c r="M809" s="154" t="s">
        <v>1388</v>
      </c>
      <c r="N809" s="154" t="s">
        <v>61</v>
      </c>
      <c r="O809" s="154" t="s">
        <v>62</v>
      </c>
      <c r="P809" s="146">
        <v>7253.65</v>
      </c>
      <c r="Q809" s="146">
        <v>11.53</v>
      </c>
      <c r="R809" s="154" t="s">
        <v>1384</v>
      </c>
      <c r="S809" s="154" t="s">
        <v>1899</v>
      </c>
      <c r="T809" s="155" t="s">
        <v>768</v>
      </c>
      <c r="U809" s="155" t="s">
        <v>1899</v>
      </c>
      <c r="V809" s="154" t="s">
        <v>1904</v>
      </c>
      <c r="W809" s="154">
        <v>0</v>
      </c>
      <c r="X809" s="154" t="s">
        <v>63</v>
      </c>
      <c r="Y809" s="154" t="s">
        <v>1386</v>
      </c>
      <c r="Z809" s="154"/>
      <c r="AA809" s="154" t="s">
        <v>1387</v>
      </c>
      <c r="AB809" s="154">
        <v>0</v>
      </c>
      <c r="AC809" s="138">
        <f>IFERROR(IF(DATEDIF(#REF!,U809,"m")&lt;=1,1,IF(AND(DATEDIF(#REF!,U809,"m")&gt;1,DATEDIF(#REF!,U809,"m")&lt;12),2,IF(AND(DATEDIF(#REF!,U809,"m")&gt;=12,DATEDIF(#REF!,U809,"m")&lt;24),3,IF(DATEDIF(#REF!,U809,"m")&gt;=24,4,"")))),IF(E809="r0320 - Deposits, not covered and not preferential",1,4))</f>
        <v>4</v>
      </c>
    </row>
    <row r="810" spans="3:29" ht="36.75" thickBot="1" x14ac:dyDescent="0.3">
      <c r="C810" s="11">
        <v>999</v>
      </c>
      <c r="D810" s="154">
        <v>803</v>
      </c>
      <c r="E810" s="154" t="s">
        <v>1898</v>
      </c>
      <c r="F810" s="154" t="s">
        <v>87</v>
      </c>
      <c r="G810" s="154" t="s">
        <v>1402</v>
      </c>
      <c r="H810" s="154" t="s">
        <v>494</v>
      </c>
      <c r="I810" s="154" t="s">
        <v>96</v>
      </c>
      <c r="J810" s="154" t="s">
        <v>97</v>
      </c>
      <c r="K810" s="154" t="s">
        <v>91</v>
      </c>
      <c r="L810" s="154" t="s">
        <v>1897</v>
      </c>
      <c r="M810" s="154" t="s">
        <v>1383</v>
      </c>
      <c r="N810" s="154" t="s">
        <v>61</v>
      </c>
      <c r="O810" s="154" t="s">
        <v>62</v>
      </c>
      <c r="P810" s="146">
        <v>16.670000000000002</v>
      </c>
      <c r="Q810" s="146">
        <v>0</v>
      </c>
      <c r="R810" s="154" t="s">
        <v>1384</v>
      </c>
      <c r="S810" s="154" t="s">
        <v>1899</v>
      </c>
      <c r="T810" s="155" t="s">
        <v>1899</v>
      </c>
      <c r="U810" s="155" t="s">
        <v>1899</v>
      </c>
      <c r="V810" s="154" t="s">
        <v>1562</v>
      </c>
      <c r="W810" s="154">
        <v>0</v>
      </c>
      <c r="X810" s="154" t="s">
        <v>63</v>
      </c>
      <c r="Y810" s="154" t="s">
        <v>1900</v>
      </c>
      <c r="Z810" s="154"/>
      <c r="AA810" s="154" t="s">
        <v>1387</v>
      </c>
      <c r="AB810" s="154">
        <v>0</v>
      </c>
      <c r="AC810" s="138">
        <f>IFERROR(IF(DATEDIF(#REF!,U810,"m")&lt;=1,1,IF(AND(DATEDIF(#REF!,U810,"m")&gt;1,DATEDIF(#REF!,U810,"m")&lt;12),2,IF(AND(DATEDIF(#REF!,U810,"m")&gt;=12,DATEDIF(#REF!,U810,"m")&lt;24),3,IF(DATEDIF(#REF!,U810,"m")&gt;=24,4,"")))),IF(E810="r0320 - Deposits, not covered and not preferential",1,4))</f>
        <v>4</v>
      </c>
    </row>
    <row r="811" spans="3:29" ht="36.75" thickBot="1" x14ac:dyDescent="0.3">
      <c r="C811" s="11">
        <v>999</v>
      </c>
      <c r="D811" s="154">
        <v>804</v>
      </c>
      <c r="E811" s="154" t="s">
        <v>1898</v>
      </c>
      <c r="F811" s="154" t="s">
        <v>87</v>
      </c>
      <c r="G811" s="154" t="s">
        <v>1402</v>
      </c>
      <c r="H811" s="154" t="s">
        <v>1314</v>
      </c>
      <c r="I811" s="154" t="s">
        <v>96</v>
      </c>
      <c r="J811" s="154" t="s">
        <v>97</v>
      </c>
      <c r="K811" s="154" t="s">
        <v>91</v>
      </c>
      <c r="L811" s="154" t="s">
        <v>1897</v>
      </c>
      <c r="M811" s="154" t="s">
        <v>1383</v>
      </c>
      <c r="N811" s="154" t="s">
        <v>61</v>
      </c>
      <c r="O811" s="154" t="s">
        <v>62</v>
      </c>
      <c r="P811" s="146">
        <v>40.83</v>
      </c>
      <c r="Q811" s="146">
        <v>0</v>
      </c>
      <c r="R811" s="154" t="s">
        <v>1384</v>
      </c>
      <c r="S811" s="154" t="s">
        <v>1899</v>
      </c>
      <c r="T811" s="155" t="s">
        <v>1899</v>
      </c>
      <c r="U811" s="155" t="s">
        <v>1899</v>
      </c>
      <c r="V811" s="154" t="s">
        <v>1562</v>
      </c>
      <c r="W811" s="154">
        <v>0</v>
      </c>
      <c r="X811" s="154" t="s">
        <v>63</v>
      </c>
      <c r="Y811" s="154" t="s">
        <v>1900</v>
      </c>
      <c r="Z811" s="154"/>
      <c r="AA811" s="154" t="s">
        <v>1387</v>
      </c>
      <c r="AB811" s="154">
        <v>0</v>
      </c>
      <c r="AC811" s="138">
        <f>IFERROR(IF(DATEDIF(#REF!,U811,"m")&lt;=1,1,IF(AND(DATEDIF(#REF!,U811,"m")&gt;1,DATEDIF(#REF!,U811,"m")&lt;12),2,IF(AND(DATEDIF(#REF!,U811,"m")&gt;=12,DATEDIF(#REF!,U811,"m")&lt;24),3,IF(DATEDIF(#REF!,U811,"m")&gt;=24,4,"")))),IF(E811="r0320 - Deposits, not covered and not preferential",1,4))</f>
        <v>4</v>
      </c>
    </row>
    <row r="812" spans="3:29" ht="36.75" thickBot="1" x14ac:dyDescent="0.3">
      <c r="C812" s="11">
        <v>999</v>
      </c>
      <c r="D812" s="154">
        <v>805</v>
      </c>
      <c r="E812" s="154" t="s">
        <v>1898</v>
      </c>
      <c r="F812" s="154" t="s">
        <v>87</v>
      </c>
      <c r="G812" s="154" t="s">
        <v>1402</v>
      </c>
      <c r="H812" s="154" t="s">
        <v>307</v>
      </c>
      <c r="I812" s="154" t="s">
        <v>96</v>
      </c>
      <c r="J812" s="154" t="s">
        <v>97</v>
      </c>
      <c r="K812" s="154" t="s">
        <v>91</v>
      </c>
      <c r="L812" s="154" t="s">
        <v>1897</v>
      </c>
      <c r="M812" s="154" t="s">
        <v>1383</v>
      </c>
      <c r="N812" s="154" t="s">
        <v>61</v>
      </c>
      <c r="O812" s="154" t="s">
        <v>62</v>
      </c>
      <c r="P812" s="146">
        <v>0.49</v>
      </c>
      <c r="Q812" s="146">
        <v>0</v>
      </c>
      <c r="R812" s="154" t="s">
        <v>1384</v>
      </c>
      <c r="S812" s="154" t="s">
        <v>1899</v>
      </c>
      <c r="T812" s="155" t="s">
        <v>1899</v>
      </c>
      <c r="U812" s="155" t="s">
        <v>1899</v>
      </c>
      <c r="V812" s="154" t="s">
        <v>1562</v>
      </c>
      <c r="W812" s="154">
        <v>0</v>
      </c>
      <c r="X812" s="154" t="s">
        <v>63</v>
      </c>
      <c r="Y812" s="154" t="s">
        <v>1900</v>
      </c>
      <c r="Z812" s="154"/>
      <c r="AA812" s="154" t="s">
        <v>1387</v>
      </c>
      <c r="AB812" s="154">
        <v>0</v>
      </c>
      <c r="AC812" s="138">
        <f>IFERROR(IF(DATEDIF(#REF!,U812,"m")&lt;=1,1,IF(AND(DATEDIF(#REF!,U812,"m")&gt;1,DATEDIF(#REF!,U812,"m")&lt;12),2,IF(AND(DATEDIF(#REF!,U812,"m")&gt;=12,DATEDIF(#REF!,U812,"m")&lt;24),3,IF(DATEDIF(#REF!,U812,"m")&gt;=24,4,"")))),IF(E812="r0320 - Deposits, not covered and not preferential",1,4))</f>
        <v>4</v>
      </c>
    </row>
    <row r="813" spans="3:29" ht="48.75" thickBot="1" x14ac:dyDescent="0.3">
      <c r="C813" s="11">
        <v>999</v>
      </c>
      <c r="D813" s="154">
        <v>806</v>
      </c>
      <c r="E813" s="154" t="s">
        <v>1902</v>
      </c>
      <c r="F813" s="154" t="s">
        <v>83</v>
      </c>
      <c r="G813" s="154" t="s">
        <v>1903</v>
      </c>
      <c r="H813" s="154" t="s">
        <v>148</v>
      </c>
      <c r="I813" s="154" t="s">
        <v>93</v>
      </c>
      <c r="J813" s="154" t="s">
        <v>94</v>
      </c>
      <c r="K813" s="154" t="s">
        <v>60</v>
      </c>
      <c r="L813" s="154" t="s">
        <v>1897</v>
      </c>
      <c r="M813" s="154" t="s">
        <v>1388</v>
      </c>
      <c r="N813" s="154" t="s">
        <v>61</v>
      </c>
      <c r="O813" s="154" t="s">
        <v>62</v>
      </c>
      <c r="P813" s="146">
        <v>240918.1</v>
      </c>
      <c r="Q813" s="146">
        <v>67.12</v>
      </c>
      <c r="R813" s="154" t="s">
        <v>1384</v>
      </c>
      <c r="S813" s="154" t="s">
        <v>1899</v>
      </c>
      <c r="T813" s="155" t="s">
        <v>768</v>
      </c>
      <c r="U813" s="155" t="s">
        <v>1899</v>
      </c>
      <c r="V813" s="154" t="s">
        <v>1904</v>
      </c>
      <c r="W813" s="154">
        <v>0</v>
      </c>
      <c r="X813" s="154" t="s">
        <v>63</v>
      </c>
      <c r="Y813" s="154" t="s">
        <v>1386</v>
      </c>
      <c r="Z813" s="154"/>
      <c r="AA813" s="154" t="s">
        <v>1387</v>
      </c>
      <c r="AB813" s="154">
        <v>0</v>
      </c>
      <c r="AC813" s="138">
        <f>IFERROR(IF(DATEDIF(#REF!,U813,"m")&lt;=1,1,IF(AND(DATEDIF(#REF!,U813,"m")&gt;1,DATEDIF(#REF!,U813,"m")&lt;12),2,IF(AND(DATEDIF(#REF!,U813,"m")&gt;=12,DATEDIF(#REF!,U813,"m")&lt;24),3,IF(DATEDIF(#REF!,U813,"m")&gt;=24,4,"")))),IF(E813="r0320 - Deposits, not covered and not preferential",1,4))</f>
        <v>4</v>
      </c>
    </row>
    <row r="814" spans="3:29" ht="36.75" thickBot="1" x14ac:dyDescent="0.3">
      <c r="C814" s="11">
        <v>999</v>
      </c>
      <c r="D814" s="154">
        <v>807</v>
      </c>
      <c r="E814" s="154" t="s">
        <v>1898</v>
      </c>
      <c r="F814" s="154" t="s">
        <v>87</v>
      </c>
      <c r="G814" s="154" t="s">
        <v>1402</v>
      </c>
      <c r="H814" s="154" t="s">
        <v>283</v>
      </c>
      <c r="I814" s="154" t="s">
        <v>96</v>
      </c>
      <c r="J814" s="154" t="s">
        <v>97</v>
      </c>
      <c r="K814" s="154" t="s">
        <v>91</v>
      </c>
      <c r="L814" s="154" t="s">
        <v>1897</v>
      </c>
      <c r="M814" s="154" t="s">
        <v>1383</v>
      </c>
      <c r="N814" s="154" t="s">
        <v>61</v>
      </c>
      <c r="O814" s="154" t="s">
        <v>62</v>
      </c>
      <c r="P814" s="146">
        <v>9.6300000000000008</v>
      </c>
      <c r="Q814" s="146">
        <v>0</v>
      </c>
      <c r="R814" s="154" t="s">
        <v>1384</v>
      </c>
      <c r="S814" s="154" t="s">
        <v>1899</v>
      </c>
      <c r="T814" s="155" t="s">
        <v>1899</v>
      </c>
      <c r="U814" s="155" t="s">
        <v>1899</v>
      </c>
      <c r="V814" s="154" t="s">
        <v>1562</v>
      </c>
      <c r="W814" s="154">
        <v>0</v>
      </c>
      <c r="X814" s="154" t="s">
        <v>63</v>
      </c>
      <c r="Y814" s="154" t="s">
        <v>1900</v>
      </c>
      <c r="Z814" s="154"/>
      <c r="AA814" s="154" t="s">
        <v>1387</v>
      </c>
      <c r="AB814" s="154">
        <v>0</v>
      </c>
      <c r="AC814" s="138">
        <f>IFERROR(IF(DATEDIF(#REF!,U814,"m")&lt;=1,1,IF(AND(DATEDIF(#REF!,U814,"m")&gt;1,DATEDIF(#REF!,U814,"m")&lt;12),2,IF(AND(DATEDIF(#REF!,U814,"m")&gt;=12,DATEDIF(#REF!,U814,"m")&lt;24),3,IF(DATEDIF(#REF!,U814,"m")&gt;=24,4,"")))),IF(E814="r0320 - Deposits, not covered and not preferential",1,4))</f>
        <v>4</v>
      </c>
    </row>
    <row r="815" spans="3:29" ht="48.75" thickBot="1" x14ac:dyDescent="0.3">
      <c r="C815" s="11">
        <v>999</v>
      </c>
      <c r="D815" s="154">
        <v>808</v>
      </c>
      <c r="E815" s="154" t="s">
        <v>1902</v>
      </c>
      <c r="F815" s="154" t="s">
        <v>83</v>
      </c>
      <c r="G815" s="154" t="s">
        <v>1903</v>
      </c>
      <c r="H815" s="154" t="s">
        <v>1307</v>
      </c>
      <c r="I815" s="154" t="s">
        <v>101</v>
      </c>
      <c r="J815" s="154" t="s">
        <v>102</v>
      </c>
      <c r="K815" s="154" t="s">
        <v>60</v>
      </c>
      <c r="L815" s="154" t="s">
        <v>1897</v>
      </c>
      <c r="M815" s="154" t="s">
        <v>1388</v>
      </c>
      <c r="N815" s="154" t="s">
        <v>61</v>
      </c>
      <c r="O815" s="154" t="s">
        <v>62</v>
      </c>
      <c r="P815" s="146">
        <v>23338.41</v>
      </c>
      <c r="Q815" s="146">
        <v>1.24</v>
      </c>
      <c r="R815" s="154" t="s">
        <v>1384</v>
      </c>
      <c r="S815" s="154" t="s">
        <v>1899</v>
      </c>
      <c r="T815" s="155" t="s">
        <v>768</v>
      </c>
      <c r="U815" s="155" t="s">
        <v>1899</v>
      </c>
      <c r="V815" s="154" t="s">
        <v>1904</v>
      </c>
      <c r="W815" s="154">
        <v>0</v>
      </c>
      <c r="X815" s="154" t="s">
        <v>63</v>
      </c>
      <c r="Y815" s="154" t="s">
        <v>1386</v>
      </c>
      <c r="Z815" s="154"/>
      <c r="AA815" s="154" t="s">
        <v>1387</v>
      </c>
      <c r="AB815" s="154">
        <v>0</v>
      </c>
      <c r="AC815" s="138">
        <f>IFERROR(IF(DATEDIF(#REF!,U815,"m")&lt;=1,1,IF(AND(DATEDIF(#REF!,U815,"m")&gt;1,DATEDIF(#REF!,U815,"m")&lt;12),2,IF(AND(DATEDIF(#REF!,U815,"m")&gt;=12,DATEDIF(#REF!,U815,"m")&lt;24),3,IF(DATEDIF(#REF!,U815,"m")&gt;=24,4,"")))),IF(E815="r0320 - Deposits, not covered and not preferential",1,4))</f>
        <v>4</v>
      </c>
    </row>
    <row r="816" spans="3:29" ht="36.75" thickBot="1" x14ac:dyDescent="0.3">
      <c r="C816" s="11">
        <v>999</v>
      </c>
      <c r="D816" s="154">
        <v>809</v>
      </c>
      <c r="E816" s="154" t="s">
        <v>1898</v>
      </c>
      <c r="F816" s="154" t="s">
        <v>87</v>
      </c>
      <c r="G816" s="154" t="s">
        <v>1402</v>
      </c>
      <c r="H816" s="154" t="s">
        <v>747</v>
      </c>
      <c r="I816" s="154" t="s">
        <v>96</v>
      </c>
      <c r="J816" s="154" t="s">
        <v>97</v>
      </c>
      <c r="K816" s="154" t="s">
        <v>91</v>
      </c>
      <c r="L816" s="154" t="s">
        <v>1897</v>
      </c>
      <c r="M816" s="154" t="s">
        <v>1383</v>
      </c>
      <c r="N816" s="154" t="s">
        <v>61</v>
      </c>
      <c r="O816" s="154" t="s">
        <v>62</v>
      </c>
      <c r="P816" s="146">
        <v>0.28000000000000003</v>
      </c>
      <c r="Q816" s="146">
        <v>0</v>
      </c>
      <c r="R816" s="154" t="s">
        <v>1384</v>
      </c>
      <c r="S816" s="154" t="s">
        <v>1899</v>
      </c>
      <c r="T816" s="155" t="s">
        <v>1899</v>
      </c>
      <c r="U816" s="155" t="s">
        <v>1899</v>
      </c>
      <c r="V816" s="154" t="s">
        <v>1562</v>
      </c>
      <c r="W816" s="154">
        <v>0</v>
      </c>
      <c r="X816" s="154" t="s">
        <v>63</v>
      </c>
      <c r="Y816" s="154" t="s">
        <v>1900</v>
      </c>
      <c r="Z816" s="154"/>
      <c r="AA816" s="154" t="s">
        <v>1387</v>
      </c>
      <c r="AB816" s="154">
        <v>0</v>
      </c>
      <c r="AC816" s="138">
        <f>IFERROR(IF(DATEDIF(#REF!,U816,"m")&lt;=1,1,IF(AND(DATEDIF(#REF!,U816,"m")&gt;1,DATEDIF(#REF!,U816,"m")&lt;12),2,IF(AND(DATEDIF(#REF!,U816,"m")&gt;=12,DATEDIF(#REF!,U816,"m")&lt;24),3,IF(DATEDIF(#REF!,U816,"m")&gt;=24,4,"")))),IF(E816="r0320 - Deposits, not covered and not preferential",1,4))</f>
        <v>4</v>
      </c>
    </row>
    <row r="817" spans="3:29" ht="48.75" thickBot="1" x14ac:dyDescent="0.3">
      <c r="C817" s="11">
        <v>999</v>
      </c>
      <c r="D817" s="154">
        <v>810</v>
      </c>
      <c r="E817" s="154" t="s">
        <v>1902</v>
      </c>
      <c r="F817" s="154" t="s">
        <v>83</v>
      </c>
      <c r="G817" s="154" t="s">
        <v>1903</v>
      </c>
      <c r="H817" s="154" t="s">
        <v>824</v>
      </c>
      <c r="I817" s="154" t="s">
        <v>93</v>
      </c>
      <c r="J817" s="154" t="s">
        <v>94</v>
      </c>
      <c r="K817" s="154" t="s">
        <v>60</v>
      </c>
      <c r="L817" s="154" t="s">
        <v>1897</v>
      </c>
      <c r="M817" s="154" t="s">
        <v>1388</v>
      </c>
      <c r="N817" s="154" t="s">
        <v>61</v>
      </c>
      <c r="O817" s="154" t="s">
        <v>62</v>
      </c>
      <c r="P817" s="146">
        <v>55288.19</v>
      </c>
      <c r="Q817" s="146">
        <v>21.29</v>
      </c>
      <c r="R817" s="154" t="s">
        <v>1384</v>
      </c>
      <c r="S817" s="154" t="s">
        <v>1899</v>
      </c>
      <c r="T817" s="155" t="s">
        <v>768</v>
      </c>
      <c r="U817" s="155" t="s">
        <v>1899</v>
      </c>
      <c r="V817" s="154" t="s">
        <v>1904</v>
      </c>
      <c r="W817" s="154">
        <v>0</v>
      </c>
      <c r="X817" s="154" t="s">
        <v>63</v>
      </c>
      <c r="Y817" s="154" t="s">
        <v>1386</v>
      </c>
      <c r="Z817" s="154"/>
      <c r="AA817" s="154" t="s">
        <v>1387</v>
      </c>
      <c r="AB817" s="154">
        <v>0</v>
      </c>
      <c r="AC817" s="138">
        <f>IFERROR(IF(DATEDIF(#REF!,U817,"m")&lt;=1,1,IF(AND(DATEDIF(#REF!,U817,"m")&gt;1,DATEDIF(#REF!,U817,"m")&lt;12),2,IF(AND(DATEDIF(#REF!,U817,"m")&gt;=12,DATEDIF(#REF!,U817,"m")&lt;24),3,IF(DATEDIF(#REF!,U817,"m")&gt;=24,4,"")))),IF(E817="r0320 - Deposits, not covered and not preferential",1,4))</f>
        <v>4</v>
      </c>
    </row>
    <row r="818" spans="3:29" ht="36.75" thickBot="1" x14ac:dyDescent="0.3">
      <c r="C818" s="11">
        <v>999</v>
      </c>
      <c r="D818" s="154">
        <v>811</v>
      </c>
      <c r="E818" s="154" t="s">
        <v>1898</v>
      </c>
      <c r="F818" s="154" t="s">
        <v>87</v>
      </c>
      <c r="G818" s="154" t="s">
        <v>1402</v>
      </c>
      <c r="H818" s="154" t="s">
        <v>472</v>
      </c>
      <c r="I818" s="154" t="s">
        <v>96</v>
      </c>
      <c r="J818" s="154" t="s">
        <v>97</v>
      </c>
      <c r="K818" s="154" t="s">
        <v>91</v>
      </c>
      <c r="L818" s="154" t="s">
        <v>1897</v>
      </c>
      <c r="M818" s="154" t="s">
        <v>1383</v>
      </c>
      <c r="N818" s="154" t="s">
        <v>61</v>
      </c>
      <c r="O818" s="154" t="s">
        <v>62</v>
      </c>
      <c r="P818" s="146">
        <v>0.04</v>
      </c>
      <c r="Q818" s="146">
        <v>0</v>
      </c>
      <c r="R818" s="154" t="s">
        <v>1384</v>
      </c>
      <c r="S818" s="154" t="s">
        <v>1899</v>
      </c>
      <c r="T818" s="155" t="s">
        <v>1899</v>
      </c>
      <c r="U818" s="155" t="s">
        <v>1899</v>
      </c>
      <c r="V818" s="154" t="s">
        <v>1562</v>
      </c>
      <c r="W818" s="154">
        <v>0</v>
      </c>
      <c r="X818" s="154" t="s">
        <v>63</v>
      </c>
      <c r="Y818" s="154" t="s">
        <v>1900</v>
      </c>
      <c r="Z818" s="154"/>
      <c r="AA818" s="154" t="s">
        <v>1387</v>
      </c>
      <c r="AB818" s="154">
        <v>0</v>
      </c>
      <c r="AC818" s="138">
        <f>IFERROR(IF(DATEDIF(#REF!,U818,"m")&lt;=1,1,IF(AND(DATEDIF(#REF!,U818,"m")&gt;1,DATEDIF(#REF!,U818,"m")&lt;12),2,IF(AND(DATEDIF(#REF!,U818,"m")&gt;=12,DATEDIF(#REF!,U818,"m")&lt;24),3,IF(DATEDIF(#REF!,U818,"m")&gt;=24,4,"")))),IF(E818="r0320 - Deposits, not covered and not preferential",1,4))</f>
        <v>4</v>
      </c>
    </row>
    <row r="819" spans="3:29" ht="48.75" thickBot="1" x14ac:dyDescent="0.3">
      <c r="C819" s="11">
        <v>999</v>
      </c>
      <c r="D819" s="154">
        <v>812</v>
      </c>
      <c r="E819" s="154" t="s">
        <v>1902</v>
      </c>
      <c r="F819" s="154" t="s">
        <v>83</v>
      </c>
      <c r="G819" s="154" t="s">
        <v>1903</v>
      </c>
      <c r="H819" s="154" t="s">
        <v>320</v>
      </c>
      <c r="I819" s="154" t="s">
        <v>93</v>
      </c>
      <c r="J819" s="154" t="s">
        <v>94</v>
      </c>
      <c r="K819" s="154" t="s">
        <v>60</v>
      </c>
      <c r="L819" s="154" t="s">
        <v>1897</v>
      </c>
      <c r="M819" s="154" t="s">
        <v>1388</v>
      </c>
      <c r="N819" s="154" t="s">
        <v>61</v>
      </c>
      <c r="O819" s="154" t="s">
        <v>62</v>
      </c>
      <c r="P819" s="146">
        <v>57398.31</v>
      </c>
      <c r="Q819" s="146">
        <v>12.3</v>
      </c>
      <c r="R819" s="154" t="s">
        <v>1384</v>
      </c>
      <c r="S819" s="154" t="s">
        <v>1899</v>
      </c>
      <c r="T819" s="155" t="s">
        <v>768</v>
      </c>
      <c r="U819" s="155" t="s">
        <v>1899</v>
      </c>
      <c r="V819" s="154" t="s">
        <v>1904</v>
      </c>
      <c r="W819" s="154">
        <v>0</v>
      </c>
      <c r="X819" s="154" t="s">
        <v>63</v>
      </c>
      <c r="Y819" s="154" t="s">
        <v>1386</v>
      </c>
      <c r="Z819" s="154"/>
      <c r="AA819" s="154" t="s">
        <v>1387</v>
      </c>
      <c r="AB819" s="154">
        <v>0</v>
      </c>
      <c r="AC819" s="138">
        <f>IFERROR(IF(DATEDIF(#REF!,U819,"m")&lt;=1,1,IF(AND(DATEDIF(#REF!,U819,"m")&gt;1,DATEDIF(#REF!,U819,"m")&lt;12),2,IF(AND(DATEDIF(#REF!,U819,"m")&gt;=12,DATEDIF(#REF!,U819,"m")&lt;24),3,IF(DATEDIF(#REF!,U819,"m")&gt;=24,4,"")))),IF(E819="r0320 - Deposits, not covered and not preferential",1,4))</f>
        <v>4</v>
      </c>
    </row>
    <row r="820" spans="3:29" ht="36.75" thickBot="1" x14ac:dyDescent="0.3">
      <c r="C820" s="11">
        <v>999</v>
      </c>
      <c r="D820" s="154">
        <v>813</v>
      </c>
      <c r="E820" s="154" t="s">
        <v>1898</v>
      </c>
      <c r="F820" s="154" t="s">
        <v>87</v>
      </c>
      <c r="G820" s="154" t="s">
        <v>1402</v>
      </c>
      <c r="H820" s="154" t="s">
        <v>1259</v>
      </c>
      <c r="I820" s="154" t="s">
        <v>96</v>
      </c>
      <c r="J820" s="154" t="s">
        <v>97</v>
      </c>
      <c r="K820" s="154" t="s">
        <v>91</v>
      </c>
      <c r="L820" s="154" t="s">
        <v>1897</v>
      </c>
      <c r="M820" s="154" t="s">
        <v>1383</v>
      </c>
      <c r="N820" s="154" t="s">
        <v>61</v>
      </c>
      <c r="O820" s="154" t="s">
        <v>62</v>
      </c>
      <c r="P820" s="146">
        <v>0.43</v>
      </c>
      <c r="Q820" s="146">
        <v>0</v>
      </c>
      <c r="R820" s="154" t="s">
        <v>1384</v>
      </c>
      <c r="S820" s="154" t="s">
        <v>1899</v>
      </c>
      <c r="T820" s="155" t="s">
        <v>1899</v>
      </c>
      <c r="U820" s="155" t="s">
        <v>1899</v>
      </c>
      <c r="V820" s="154" t="s">
        <v>1562</v>
      </c>
      <c r="W820" s="154">
        <v>0</v>
      </c>
      <c r="X820" s="154" t="s">
        <v>63</v>
      </c>
      <c r="Y820" s="154" t="s">
        <v>1900</v>
      </c>
      <c r="Z820" s="154"/>
      <c r="AA820" s="154" t="s">
        <v>1387</v>
      </c>
      <c r="AB820" s="154">
        <v>0</v>
      </c>
      <c r="AC820" s="138">
        <f>IFERROR(IF(DATEDIF(#REF!,U820,"m")&lt;=1,1,IF(AND(DATEDIF(#REF!,U820,"m")&gt;1,DATEDIF(#REF!,U820,"m")&lt;12),2,IF(AND(DATEDIF(#REF!,U820,"m")&gt;=12,DATEDIF(#REF!,U820,"m")&lt;24),3,IF(DATEDIF(#REF!,U820,"m")&gt;=24,4,"")))),IF(E820="r0320 - Deposits, not covered and not preferential",1,4))</f>
        <v>4</v>
      </c>
    </row>
    <row r="821" spans="3:29" ht="48.75" thickBot="1" x14ac:dyDescent="0.3">
      <c r="C821" s="11">
        <v>999</v>
      </c>
      <c r="D821" s="154">
        <v>814</v>
      </c>
      <c r="E821" s="154" t="s">
        <v>1902</v>
      </c>
      <c r="F821" s="154" t="s">
        <v>83</v>
      </c>
      <c r="G821" s="154" t="s">
        <v>1903</v>
      </c>
      <c r="H821" s="154" t="s">
        <v>827</v>
      </c>
      <c r="I821" s="154" t="s">
        <v>101</v>
      </c>
      <c r="J821" s="154" t="s">
        <v>102</v>
      </c>
      <c r="K821" s="154" t="s">
        <v>60</v>
      </c>
      <c r="L821" s="154" t="s">
        <v>1897</v>
      </c>
      <c r="M821" s="154" t="s">
        <v>1388</v>
      </c>
      <c r="N821" s="154" t="s">
        <v>61</v>
      </c>
      <c r="O821" s="154" t="s">
        <v>62</v>
      </c>
      <c r="P821" s="146">
        <v>77766.39</v>
      </c>
      <c r="Q821" s="146">
        <v>48.42</v>
      </c>
      <c r="R821" s="154" t="s">
        <v>1384</v>
      </c>
      <c r="S821" s="154" t="s">
        <v>1899</v>
      </c>
      <c r="T821" s="155" t="s">
        <v>768</v>
      </c>
      <c r="U821" s="155" t="s">
        <v>1899</v>
      </c>
      <c r="V821" s="154" t="s">
        <v>1904</v>
      </c>
      <c r="W821" s="154">
        <v>0</v>
      </c>
      <c r="X821" s="154" t="s">
        <v>63</v>
      </c>
      <c r="Y821" s="154" t="s">
        <v>1386</v>
      </c>
      <c r="Z821" s="154"/>
      <c r="AA821" s="154" t="s">
        <v>1387</v>
      </c>
      <c r="AB821" s="154">
        <v>0</v>
      </c>
      <c r="AC821" s="138">
        <f>IFERROR(IF(DATEDIF(#REF!,U821,"m")&lt;=1,1,IF(AND(DATEDIF(#REF!,U821,"m")&gt;1,DATEDIF(#REF!,U821,"m")&lt;12),2,IF(AND(DATEDIF(#REF!,U821,"m")&gt;=12,DATEDIF(#REF!,U821,"m")&lt;24),3,IF(DATEDIF(#REF!,U821,"m")&gt;=24,4,"")))),IF(E821="r0320 - Deposits, not covered and not preferential",1,4))</f>
        <v>4</v>
      </c>
    </row>
    <row r="822" spans="3:29" ht="36.75" thickBot="1" x14ac:dyDescent="0.3">
      <c r="C822" s="11">
        <v>999</v>
      </c>
      <c r="D822" s="154">
        <v>815</v>
      </c>
      <c r="E822" s="154" t="s">
        <v>1898</v>
      </c>
      <c r="F822" s="154" t="s">
        <v>87</v>
      </c>
      <c r="G822" s="154" t="s">
        <v>1402</v>
      </c>
      <c r="H822" s="154" t="s">
        <v>292</v>
      </c>
      <c r="I822" s="154" t="s">
        <v>96</v>
      </c>
      <c r="J822" s="154" t="s">
        <v>97</v>
      </c>
      <c r="K822" s="154" t="s">
        <v>91</v>
      </c>
      <c r="L822" s="154" t="s">
        <v>1897</v>
      </c>
      <c r="M822" s="154" t="s">
        <v>1383</v>
      </c>
      <c r="N822" s="154" t="s">
        <v>61</v>
      </c>
      <c r="O822" s="154" t="s">
        <v>62</v>
      </c>
      <c r="P822" s="146">
        <v>0.05</v>
      </c>
      <c r="Q822" s="146">
        <v>0</v>
      </c>
      <c r="R822" s="154" t="s">
        <v>1384</v>
      </c>
      <c r="S822" s="154" t="s">
        <v>1899</v>
      </c>
      <c r="T822" s="155" t="s">
        <v>1899</v>
      </c>
      <c r="U822" s="155" t="s">
        <v>1899</v>
      </c>
      <c r="V822" s="154" t="s">
        <v>1562</v>
      </c>
      <c r="W822" s="154">
        <v>0</v>
      </c>
      <c r="X822" s="154" t="s">
        <v>63</v>
      </c>
      <c r="Y822" s="154" t="s">
        <v>1900</v>
      </c>
      <c r="Z822" s="154"/>
      <c r="AA822" s="154" t="s">
        <v>1387</v>
      </c>
      <c r="AB822" s="154">
        <v>0</v>
      </c>
      <c r="AC822" s="138">
        <f>IFERROR(IF(DATEDIF(#REF!,U822,"m")&lt;=1,1,IF(AND(DATEDIF(#REF!,U822,"m")&gt;1,DATEDIF(#REF!,U822,"m")&lt;12),2,IF(AND(DATEDIF(#REF!,U822,"m")&gt;=12,DATEDIF(#REF!,U822,"m")&lt;24),3,IF(DATEDIF(#REF!,U822,"m")&gt;=24,4,"")))),IF(E822="r0320 - Deposits, not covered and not preferential",1,4))</f>
        <v>4</v>
      </c>
    </row>
    <row r="823" spans="3:29" ht="48.75" thickBot="1" x14ac:dyDescent="0.3">
      <c r="C823" s="11">
        <v>999</v>
      </c>
      <c r="D823" s="154">
        <v>816</v>
      </c>
      <c r="E823" s="154" t="s">
        <v>1902</v>
      </c>
      <c r="F823" s="154" t="s">
        <v>83</v>
      </c>
      <c r="G823" s="154" t="s">
        <v>1903</v>
      </c>
      <c r="H823" s="154" t="s">
        <v>837</v>
      </c>
      <c r="I823" s="154" t="s">
        <v>101</v>
      </c>
      <c r="J823" s="154" t="s">
        <v>102</v>
      </c>
      <c r="K823" s="154" t="s">
        <v>60</v>
      </c>
      <c r="L823" s="154" t="s">
        <v>1897</v>
      </c>
      <c r="M823" s="154" t="s">
        <v>1388</v>
      </c>
      <c r="N823" s="154" t="s">
        <v>61</v>
      </c>
      <c r="O823" s="154" t="s">
        <v>62</v>
      </c>
      <c r="P823" s="146">
        <v>4832.3599999999997</v>
      </c>
      <c r="Q823" s="146">
        <v>0</v>
      </c>
      <c r="R823" s="154" t="s">
        <v>1384</v>
      </c>
      <c r="S823" s="154" t="s">
        <v>1899</v>
      </c>
      <c r="T823" s="155" t="s">
        <v>768</v>
      </c>
      <c r="U823" s="155" t="s">
        <v>1899</v>
      </c>
      <c r="V823" s="154" t="s">
        <v>1904</v>
      </c>
      <c r="W823" s="154">
        <v>0</v>
      </c>
      <c r="X823" s="154" t="s">
        <v>63</v>
      </c>
      <c r="Y823" s="154" t="s">
        <v>1386</v>
      </c>
      <c r="Z823" s="154"/>
      <c r="AA823" s="154" t="s">
        <v>1387</v>
      </c>
      <c r="AB823" s="154">
        <v>0</v>
      </c>
      <c r="AC823" s="138">
        <f>IFERROR(IF(DATEDIF(#REF!,U823,"m")&lt;=1,1,IF(AND(DATEDIF(#REF!,U823,"m")&gt;1,DATEDIF(#REF!,U823,"m")&lt;12),2,IF(AND(DATEDIF(#REF!,U823,"m")&gt;=12,DATEDIF(#REF!,U823,"m")&lt;24),3,IF(DATEDIF(#REF!,U823,"m")&gt;=24,4,"")))),IF(E823="r0320 - Deposits, not covered and not preferential",1,4))</f>
        <v>4</v>
      </c>
    </row>
    <row r="824" spans="3:29" ht="36.75" thickBot="1" x14ac:dyDescent="0.3">
      <c r="C824" s="11">
        <v>999</v>
      </c>
      <c r="D824" s="154">
        <v>817</v>
      </c>
      <c r="E824" s="154" t="s">
        <v>1898</v>
      </c>
      <c r="F824" s="154" t="s">
        <v>87</v>
      </c>
      <c r="G824" s="154" t="s">
        <v>1402</v>
      </c>
      <c r="H824" s="154" t="s">
        <v>325</v>
      </c>
      <c r="I824" s="154" t="s">
        <v>96</v>
      </c>
      <c r="J824" s="154" t="s">
        <v>97</v>
      </c>
      <c r="K824" s="154" t="s">
        <v>91</v>
      </c>
      <c r="L824" s="154" t="s">
        <v>1897</v>
      </c>
      <c r="M824" s="154" t="s">
        <v>1383</v>
      </c>
      <c r="N824" s="154" t="s">
        <v>61</v>
      </c>
      <c r="O824" s="154" t="s">
        <v>62</v>
      </c>
      <c r="P824" s="146">
        <v>0.16</v>
      </c>
      <c r="Q824" s="146">
        <v>0</v>
      </c>
      <c r="R824" s="154" t="s">
        <v>1384</v>
      </c>
      <c r="S824" s="154" t="s">
        <v>1899</v>
      </c>
      <c r="T824" s="155" t="s">
        <v>1899</v>
      </c>
      <c r="U824" s="155" t="s">
        <v>1899</v>
      </c>
      <c r="V824" s="154" t="s">
        <v>1562</v>
      </c>
      <c r="W824" s="154">
        <v>0</v>
      </c>
      <c r="X824" s="154" t="s">
        <v>63</v>
      </c>
      <c r="Y824" s="154" t="s">
        <v>1900</v>
      </c>
      <c r="Z824" s="154"/>
      <c r="AA824" s="154" t="s">
        <v>1387</v>
      </c>
      <c r="AB824" s="154">
        <v>0</v>
      </c>
      <c r="AC824" s="138">
        <f>IFERROR(IF(DATEDIF(#REF!,U824,"m")&lt;=1,1,IF(AND(DATEDIF(#REF!,U824,"m")&gt;1,DATEDIF(#REF!,U824,"m")&lt;12),2,IF(AND(DATEDIF(#REF!,U824,"m")&gt;=12,DATEDIF(#REF!,U824,"m")&lt;24),3,IF(DATEDIF(#REF!,U824,"m")&gt;=24,4,"")))),IF(E824="r0320 - Deposits, not covered and not preferential",1,4))</f>
        <v>4</v>
      </c>
    </row>
    <row r="825" spans="3:29" ht="48.75" thickBot="1" x14ac:dyDescent="0.3">
      <c r="C825" s="11">
        <v>999</v>
      </c>
      <c r="D825" s="154">
        <v>818</v>
      </c>
      <c r="E825" s="154" t="s">
        <v>1902</v>
      </c>
      <c r="F825" s="154" t="s">
        <v>83</v>
      </c>
      <c r="G825" s="154" t="s">
        <v>1903</v>
      </c>
      <c r="H825" s="154" t="s">
        <v>308</v>
      </c>
      <c r="I825" s="154" t="s">
        <v>114</v>
      </c>
      <c r="J825" s="154" t="s">
        <v>115</v>
      </c>
      <c r="K825" s="154" t="s">
        <v>60</v>
      </c>
      <c r="L825" s="154" t="s">
        <v>1897</v>
      </c>
      <c r="M825" s="154" t="s">
        <v>1388</v>
      </c>
      <c r="N825" s="154" t="s">
        <v>61</v>
      </c>
      <c r="O825" s="154" t="s">
        <v>62</v>
      </c>
      <c r="P825" s="146">
        <v>19236.64</v>
      </c>
      <c r="Q825" s="146">
        <v>15.26</v>
      </c>
      <c r="R825" s="154" t="s">
        <v>1384</v>
      </c>
      <c r="S825" s="154" t="s">
        <v>1899</v>
      </c>
      <c r="T825" s="155" t="s">
        <v>768</v>
      </c>
      <c r="U825" s="155" t="s">
        <v>1899</v>
      </c>
      <c r="V825" s="154" t="s">
        <v>1904</v>
      </c>
      <c r="W825" s="154">
        <v>0</v>
      </c>
      <c r="X825" s="154" t="s">
        <v>63</v>
      </c>
      <c r="Y825" s="154" t="s">
        <v>1386</v>
      </c>
      <c r="Z825" s="154"/>
      <c r="AA825" s="154" t="s">
        <v>1387</v>
      </c>
      <c r="AB825" s="154">
        <v>0</v>
      </c>
      <c r="AC825" s="138">
        <f>IFERROR(IF(DATEDIF(#REF!,U825,"m")&lt;=1,1,IF(AND(DATEDIF(#REF!,U825,"m")&gt;1,DATEDIF(#REF!,U825,"m")&lt;12),2,IF(AND(DATEDIF(#REF!,U825,"m")&gt;=12,DATEDIF(#REF!,U825,"m")&lt;24),3,IF(DATEDIF(#REF!,U825,"m")&gt;=24,4,"")))),IF(E825="r0320 - Deposits, not covered and not preferential",1,4))</f>
        <v>4</v>
      </c>
    </row>
    <row r="826" spans="3:29" ht="36.75" thickBot="1" x14ac:dyDescent="0.3">
      <c r="C826" s="11">
        <v>999</v>
      </c>
      <c r="D826" s="154">
        <v>819</v>
      </c>
      <c r="E826" s="154" t="s">
        <v>1898</v>
      </c>
      <c r="F826" s="154" t="s">
        <v>87</v>
      </c>
      <c r="G826" s="154" t="s">
        <v>1402</v>
      </c>
      <c r="H826" s="154" t="s">
        <v>833</v>
      </c>
      <c r="I826" s="154" t="s">
        <v>96</v>
      </c>
      <c r="J826" s="154" t="s">
        <v>97</v>
      </c>
      <c r="K826" s="154" t="s">
        <v>91</v>
      </c>
      <c r="L826" s="154" t="s">
        <v>1897</v>
      </c>
      <c r="M826" s="154" t="s">
        <v>1383</v>
      </c>
      <c r="N826" s="154" t="s">
        <v>61</v>
      </c>
      <c r="O826" s="154" t="s">
        <v>62</v>
      </c>
      <c r="P826" s="146">
        <v>0.59</v>
      </c>
      <c r="Q826" s="146">
        <v>0</v>
      </c>
      <c r="R826" s="154" t="s">
        <v>1384</v>
      </c>
      <c r="S826" s="154" t="s">
        <v>1899</v>
      </c>
      <c r="T826" s="155" t="s">
        <v>1899</v>
      </c>
      <c r="U826" s="155" t="s">
        <v>1899</v>
      </c>
      <c r="V826" s="154" t="s">
        <v>1562</v>
      </c>
      <c r="W826" s="154">
        <v>0</v>
      </c>
      <c r="X826" s="154" t="s">
        <v>63</v>
      </c>
      <c r="Y826" s="154" t="s">
        <v>1900</v>
      </c>
      <c r="Z826" s="154"/>
      <c r="AA826" s="154" t="s">
        <v>1387</v>
      </c>
      <c r="AB826" s="154">
        <v>0</v>
      </c>
      <c r="AC826" s="138">
        <f>IFERROR(IF(DATEDIF(#REF!,U826,"m")&lt;=1,1,IF(AND(DATEDIF(#REF!,U826,"m")&gt;1,DATEDIF(#REF!,U826,"m")&lt;12),2,IF(AND(DATEDIF(#REF!,U826,"m")&gt;=12,DATEDIF(#REF!,U826,"m")&lt;24),3,IF(DATEDIF(#REF!,U826,"m")&gt;=24,4,"")))),IF(E826="r0320 - Deposits, not covered and not preferential",1,4))</f>
        <v>4</v>
      </c>
    </row>
    <row r="827" spans="3:29" ht="36.75" thickBot="1" x14ac:dyDescent="0.3">
      <c r="C827" s="11">
        <v>999</v>
      </c>
      <c r="D827" s="154">
        <v>820</v>
      </c>
      <c r="E827" s="154" t="s">
        <v>1898</v>
      </c>
      <c r="F827" s="154" t="s">
        <v>87</v>
      </c>
      <c r="G827" s="154" t="s">
        <v>1402</v>
      </c>
      <c r="H827" s="154" t="s">
        <v>1331</v>
      </c>
      <c r="I827" s="154" t="s">
        <v>96</v>
      </c>
      <c r="J827" s="154" t="s">
        <v>97</v>
      </c>
      <c r="K827" s="154" t="s">
        <v>91</v>
      </c>
      <c r="L827" s="154" t="s">
        <v>1897</v>
      </c>
      <c r="M827" s="154" t="s">
        <v>1383</v>
      </c>
      <c r="N827" s="154" t="s">
        <v>61</v>
      </c>
      <c r="O827" s="154" t="s">
        <v>62</v>
      </c>
      <c r="P827" s="146">
        <v>3.06</v>
      </c>
      <c r="Q827" s="146">
        <v>0</v>
      </c>
      <c r="R827" s="154" t="s">
        <v>1384</v>
      </c>
      <c r="S827" s="154" t="s">
        <v>1899</v>
      </c>
      <c r="T827" s="155" t="s">
        <v>1899</v>
      </c>
      <c r="U827" s="155" t="s">
        <v>1899</v>
      </c>
      <c r="V827" s="154" t="s">
        <v>1562</v>
      </c>
      <c r="W827" s="154">
        <v>0</v>
      </c>
      <c r="X827" s="154" t="s">
        <v>63</v>
      </c>
      <c r="Y827" s="154" t="s">
        <v>1900</v>
      </c>
      <c r="Z827" s="154"/>
      <c r="AA827" s="154" t="s">
        <v>1387</v>
      </c>
      <c r="AB827" s="154">
        <v>0</v>
      </c>
      <c r="AC827" s="138">
        <f>IFERROR(IF(DATEDIF(#REF!,U827,"m")&lt;=1,1,IF(AND(DATEDIF(#REF!,U827,"m")&gt;1,DATEDIF(#REF!,U827,"m")&lt;12),2,IF(AND(DATEDIF(#REF!,U827,"m")&gt;=12,DATEDIF(#REF!,U827,"m")&lt;24),3,IF(DATEDIF(#REF!,U827,"m")&gt;=24,4,"")))),IF(E827="r0320 - Deposits, not covered and not preferential",1,4))</f>
        <v>4</v>
      </c>
    </row>
    <row r="828" spans="3:29" ht="36.75" thickBot="1" x14ac:dyDescent="0.3">
      <c r="C828" s="11">
        <v>999</v>
      </c>
      <c r="D828" s="154">
        <v>821</v>
      </c>
      <c r="E828" s="154" t="s">
        <v>1898</v>
      </c>
      <c r="F828" s="154" t="s">
        <v>87</v>
      </c>
      <c r="G828" s="154" t="s">
        <v>1402</v>
      </c>
      <c r="H828" s="154" t="s">
        <v>459</v>
      </c>
      <c r="I828" s="154" t="s">
        <v>96</v>
      </c>
      <c r="J828" s="154" t="s">
        <v>97</v>
      </c>
      <c r="K828" s="154" t="s">
        <v>91</v>
      </c>
      <c r="L828" s="154" t="s">
        <v>1897</v>
      </c>
      <c r="M828" s="154" t="s">
        <v>1383</v>
      </c>
      <c r="N828" s="154" t="s">
        <v>61</v>
      </c>
      <c r="O828" s="154" t="s">
        <v>62</v>
      </c>
      <c r="P828" s="146">
        <v>0.06</v>
      </c>
      <c r="Q828" s="146">
        <v>0</v>
      </c>
      <c r="R828" s="154" t="s">
        <v>1384</v>
      </c>
      <c r="S828" s="154" t="s">
        <v>1899</v>
      </c>
      <c r="T828" s="155" t="s">
        <v>1899</v>
      </c>
      <c r="U828" s="155" t="s">
        <v>1899</v>
      </c>
      <c r="V828" s="154" t="s">
        <v>1562</v>
      </c>
      <c r="W828" s="154">
        <v>0</v>
      </c>
      <c r="X828" s="154" t="s">
        <v>63</v>
      </c>
      <c r="Y828" s="154" t="s">
        <v>1900</v>
      </c>
      <c r="Z828" s="154"/>
      <c r="AA828" s="154" t="s">
        <v>1387</v>
      </c>
      <c r="AB828" s="154">
        <v>0</v>
      </c>
      <c r="AC828" s="138">
        <f>IFERROR(IF(DATEDIF(#REF!,U828,"m")&lt;=1,1,IF(AND(DATEDIF(#REF!,U828,"m")&gt;1,DATEDIF(#REF!,U828,"m")&lt;12),2,IF(AND(DATEDIF(#REF!,U828,"m")&gt;=12,DATEDIF(#REF!,U828,"m")&lt;24),3,IF(DATEDIF(#REF!,U828,"m")&gt;=24,4,"")))),IF(E828="r0320 - Deposits, not covered and not preferential",1,4))</f>
        <v>4</v>
      </c>
    </row>
    <row r="829" spans="3:29" ht="48.75" thickBot="1" x14ac:dyDescent="0.3">
      <c r="C829" s="11">
        <v>999</v>
      </c>
      <c r="D829" s="154">
        <v>822</v>
      </c>
      <c r="E829" s="154" t="s">
        <v>1902</v>
      </c>
      <c r="F829" s="154" t="s">
        <v>83</v>
      </c>
      <c r="G829" s="154" t="s">
        <v>1903</v>
      </c>
      <c r="H829" s="154" t="s">
        <v>834</v>
      </c>
      <c r="I829" s="154" t="s">
        <v>101</v>
      </c>
      <c r="J829" s="154" t="s">
        <v>102</v>
      </c>
      <c r="K829" s="154" t="s">
        <v>60</v>
      </c>
      <c r="L829" s="154" t="s">
        <v>1897</v>
      </c>
      <c r="M829" s="154" t="s">
        <v>1388</v>
      </c>
      <c r="N829" s="154" t="s">
        <v>61</v>
      </c>
      <c r="O829" s="154" t="s">
        <v>62</v>
      </c>
      <c r="P829" s="146">
        <v>135016.56</v>
      </c>
      <c r="Q829" s="146">
        <v>-2.08</v>
      </c>
      <c r="R829" s="154" t="s">
        <v>1384</v>
      </c>
      <c r="S829" s="154" t="s">
        <v>1899</v>
      </c>
      <c r="T829" s="155" t="s">
        <v>768</v>
      </c>
      <c r="U829" s="155" t="s">
        <v>1899</v>
      </c>
      <c r="V829" s="154" t="s">
        <v>1904</v>
      </c>
      <c r="W829" s="154">
        <v>0</v>
      </c>
      <c r="X829" s="154" t="s">
        <v>63</v>
      </c>
      <c r="Y829" s="154" t="s">
        <v>1386</v>
      </c>
      <c r="Z829" s="154"/>
      <c r="AA829" s="154" t="s">
        <v>1387</v>
      </c>
      <c r="AB829" s="154">
        <v>0</v>
      </c>
      <c r="AC829" s="138">
        <f>IFERROR(IF(DATEDIF(#REF!,U829,"m")&lt;=1,1,IF(AND(DATEDIF(#REF!,U829,"m")&gt;1,DATEDIF(#REF!,U829,"m")&lt;12),2,IF(AND(DATEDIF(#REF!,U829,"m")&gt;=12,DATEDIF(#REF!,U829,"m")&lt;24),3,IF(DATEDIF(#REF!,U829,"m")&gt;=24,4,"")))),IF(E829="r0320 - Deposits, not covered and not preferential",1,4))</f>
        <v>4</v>
      </c>
    </row>
    <row r="830" spans="3:29" ht="36.75" thickBot="1" x14ac:dyDescent="0.3">
      <c r="C830" s="11">
        <v>999</v>
      </c>
      <c r="D830" s="154">
        <v>823</v>
      </c>
      <c r="E830" s="154" t="s">
        <v>1898</v>
      </c>
      <c r="F830" s="154" t="s">
        <v>87</v>
      </c>
      <c r="G830" s="154" t="s">
        <v>1402</v>
      </c>
      <c r="H830" s="154" t="s">
        <v>836</v>
      </c>
      <c r="I830" s="154" t="s">
        <v>310</v>
      </c>
      <c r="J830" s="154" t="s">
        <v>311</v>
      </c>
      <c r="K830" s="154" t="s">
        <v>60</v>
      </c>
      <c r="L830" s="154" t="s">
        <v>1897</v>
      </c>
      <c r="M830" s="154" t="s">
        <v>1383</v>
      </c>
      <c r="N830" s="154" t="s">
        <v>61</v>
      </c>
      <c r="O830" s="154" t="s">
        <v>62</v>
      </c>
      <c r="P830" s="146">
        <v>85.59</v>
      </c>
      <c r="Q830" s="146">
        <v>0</v>
      </c>
      <c r="R830" s="154" t="s">
        <v>1384</v>
      </c>
      <c r="S830" s="154" t="s">
        <v>1899</v>
      </c>
      <c r="T830" s="155" t="s">
        <v>1899</v>
      </c>
      <c r="U830" s="155" t="s">
        <v>1899</v>
      </c>
      <c r="V830" s="154" t="s">
        <v>1562</v>
      </c>
      <c r="W830" s="154">
        <v>0</v>
      </c>
      <c r="X830" s="154" t="s">
        <v>63</v>
      </c>
      <c r="Y830" s="154" t="s">
        <v>1900</v>
      </c>
      <c r="Z830" s="154"/>
      <c r="AA830" s="154" t="s">
        <v>1387</v>
      </c>
      <c r="AB830" s="154">
        <v>0</v>
      </c>
      <c r="AC830" s="138">
        <f>IFERROR(IF(DATEDIF(#REF!,U830,"m")&lt;=1,1,IF(AND(DATEDIF(#REF!,U830,"m")&gt;1,DATEDIF(#REF!,U830,"m")&lt;12),2,IF(AND(DATEDIF(#REF!,U830,"m")&gt;=12,DATEDIF(#REF!,U830,"m")&lt;24),3,IF(DATEDIF(#REF!,U830,"m")&gt;=24,4,"")))),IF(E830="r0320 - Deposits, not covered and not preferential",1,4))</f>
        <v>4</v>
      </c>
    </row>
    <row r="831" spans="3:29" ht="48.75" thickBot="1" x14ac:dyDescent="0.3">
      <c r="C831" s="11">
        <v>999</v>
      </c>
      <c r="D831" s="154">
        <v>824</v>
      </c>
      <c r="E831" s="154" t="s">
        <v>1902</v>
      </c>
      <c r="F831" s="154" t="s">
        <v>83</v>
      </c>
      <c r="G831" s="154" t="s">
        <v>1903</v>
      </c>
      <c r="H831" s="154" t="s">
        <v>1320</v>
      </c>
      <c r="I831" s="154" t="s">
        <v>93</v>
      </c>
      <c r="J831" s="154" t="s">
        <v>94</v>
      </c>
      <c r="K831" s="154" t="s">
        <v>60</v>
      </c>
      <c r="L831" s="154" t="s">
        <v>1897</v>
      </c>
      <c r="M831" s="154" t="s">
        <v>1388</v>
      </c>
      <c r="N831" s="154" t="s">
        <v>61</v>
      </c>
      <c r="O831" s="154" t="s">
        <v>62</v>
      </c>
      <c r="P831" s="146">
        <v>68900.7</v>
      </c>
      <c r="Q831" s="146">
        <v>-4.29</v>
      </c>
      <c r="R831" s="154" t="s">
        <v>1384</v>
      </c>
      <c r="S831" s="154" t="s">
        <v>1899</v>
      </c>
      <c r="T831" s="155" t="s">
        <v>768</v>
      </c>
      <c r="U831" s="155" t="s">
        <v>1899</v>
      </c>
      <c r="V831" s="154" t="s">
        <v>1904</v>
      </c>
      <c r="W831" s="154">
        <v>0</v>
      </c>
      <c r="X831" s="154" t="s">
        <v>63</v>
      </c>
      <c r="Y831" s="154" t="s">
        <v>1386</v>
      </c>
      <c r="Z831" s="154"/>
      <c r="AA831" s="154" t="s">
        <v>1387</v>
      </c>
      <c r="AB831" s="154">
        <v>0</v>
      </c>
      <c r="AC831" s="138">
        <f>IFERROR(IF(DATEDIF(#REF!,U831,"m")&lt;=1,1,IF(AND(DATEDIF(#REF!,U831,"m")&gt;1,DATEDIF(#REF!,U831,"m")&lt;12),2,IF(AND(DATEDIF(#REF!,U831,"m")&gt;=12,DATEDIF(#REF!,U831,"m")&lt;24),3,IF(DATEDIF(#REF!,U831,"m")&gt;=24,4,"")))),IF(E831="r0320 - Deposits, not covered and not preferential",1,4))</f>
        <v>4</v>
      </c>
    </row>
    <row r="832" spans="3:29" ht="36.75" thickBot="1" x14ac:dyDescent="0.3">
      <c r="C832" s="11">
        <v>999</v>
      </c>
      <c r="D832" s="154">
        <v>825</v>
      </c>
      <c r="E832" s="154" t="s">
        <v>1898</v>
      </c>
      <c r="F832" s="154" t="s">
        <v>87</v>
      </c>
      <c r="G832" s="154" t="s">
        <v>1402</v>
      </c>
      <c r="H832" s="154" t="s">
        <v>838</v>
      </c>
      <c r="I832" s="154" t="s">
        <v>96</v>
      </c>
      <c r="J832" s="154" t="s">
        <v>97</v>
      </c>
      <c r="K832" s="154" t="s">
        <v>91</v>
      </c>
      <c r="L832" s="154" t="s">
        <v>1897</v>
      </c>
      <c r="M832" s="154" t="s">
        <v>1383</v>
      </c>
      <c r="N832" s="154" t="s">
        <v>61</v>
      </c>
      <c r="O832" s="154" t="s">
        <v>62</v>
      </c>
      <c r="P832" s="146">
        <v>56.67</v>
      </c>
      <c r="Q832" s="146">
        <v>0</v>
      </c>
      <c r="R832" s="154" t="s">
        <v>1384</v>
      </c>
      <c r="S832" s="154" t="s">
        <v>1899</v>
      </c>
      <c r="T832" s="155" t="s">
        <v>1899</v>
      </c>
      <c r="U832" s="155" t="s">
        <v>1899</v>
      </c>
      <c r="V832" s="154" t="s">
        <v>1562</v>
      </c>
      <c r="W832" s="154">
        <v>0</v>
      </c>
      <c r="X832" s="154" t="s">
        <v>63</v>
      </c>
      <c r="Y832" s="154" t="s">
        <v>1900</v>
      </c>
      <c r="Z832" s="154"/>
      <c r="AA832" s="154" t="s">
        <v>1387</v>
      </c>
      <c r="AB832" s="154">
        <v>0</v>
      </c>
      <c r="AC832" s="138">
        <f>IFERROR(IF(DATEDIF(#REF!,U832,"m")&lt;=1,1,IF(AND(DATEDIF(#REF!,U832,"m")&gt;1,DATEDIF(#REF!,U832,"m")&lt;12),2,IF(AND(DATEDIF(#REF!,U832,"m")&gt;=12,DATEDIF(#REF!,U832,"m")&lt;24),3,IF(DATEDIF(#REF!,U832,"m")&gt;=24,4,"")))),IF(E832="r0320 - Deposits, not covered and not preferential",1,4))</f>
        <v>4</v>
      </c>
    </row>
    <row r="833" spans="3:29" ht="48.75" thickBot="1" x14ac:dyDescent="0.3">
      <c r="C833" s="11">
        <v>999</v>
      </c>
      <c r="D833" s="154">
        <v>826</v>
      </c>
      <c r="E833" s="154" t="s">
        <v>1902</v>
      </c>
      <c r="F833" s="154" t="s">
        <v>83</v>
      </c>
      <c r="G833" s="154" t="s">
        <v>1903</v>
      </c>
      <c r="H833" s="154" t="s">
        <v>837</v>
      </c>
      <c r="I833" s="154" t="s">
        <v>93</v>
      </c>
      <c r="J833" s="154" t="s">
        <v>94</v>
      </c>
      <c r="K833" s="154" t="s">
        <v>60</v>
      </c>
      <c r="L833" s="154" t="s">
        <v>1897</v>
      </c>
      <c r="M833" s="154" t="s">
        <v>1388</v>
      </c>
      <c r="N833" s="154" t="s">
        <v>61</v>
      </c>
      <c r="O833" s="154" t="s">
        <v>62</v>
      </c>
      <c r="P833" s="146">
        <v>203876.25</v>
      </c>
      <c r="Q833" s="146">
        <v>71.680000000000007</v>
      </c>
      <c r="R833" s="154" t="s">
        <v>1384</v>
      </c>
      <c r="S833" s="154" t="s">
        <v>1899</v>
      </c>
      <c r="T833" s="155" t="s">
        <v>768</v>
      </c>
      <c r="U833" s="155" t="s">
        <v>1899</v>
      </c>
      <c r="V833" s="154" t="s">
        <v>1904</v>
      </c>
      <c r="W833" s="154">
        <v>0</v>
      </c>
      <c r="X833" s="154" t="s">
        <v>63</v>
      </c>
      <c r="Y833" s="154" t="s">
        <v>1386</v>
      </c>
      <c r="Z833" s="154"/>
      <c r="AA833" s="154" t="s">
        <v>1387</v>
      </c>
      <c r="AB833" s="154">
        <v>0</v>
      </c>
      <c r="AC833" s="138">
        <f>IFERROR(IF(DATEDIF(#REF!,U833,"m")&lt;=1,1,IF(AND(DATEDIF(#REF!,U833,"m")&gt;1,DATEDIF(#REF!,U833,"m")&lt;12),2,IF(AND(DATEDIF(#REF!,U833,"m")&gt;=12,DATEDIF(#REF!,U833,"m")&lt;24),3,IF(DATEDIF(#REF!,U833,"m")&gt;=24,4,"")))),IF(E833="r0320 - Deposits, not covered and not preferential",1,4))</f>
        <v>4</v>
      </c>
    </row>
    <row r="834" spans="3:29" ht="36.75" thickBot="1" x14ac:dyDescent="0.3">
      <c r="C834" s="11">
        <v>999</v>
      </c>
      <c r="D834" s="154">
        <v>827</v>
      </c>
      <c r="E834" s="154" t="s">
        <v>1898</v>
      </c>
      <c r="F834" s="154" t="s">
        <v>87</v>
      </c>
      <c r="G834" s="154" t="s">
        <v>1402</v>
      </c>
      <c r="H834" s="154" t="s">
        <v>840</v>
      </c>
      <c r="I834" s="154" t="s">
        <v>96</v>
      </c>
      <c r="J834" s="154" t="s">
        <v>97</v>
      </c>
      <c r="K834" s="154" t="s">
        <v>91</v>
      </c>
      <c r="L834" s="154" t="s">
        <v>1897</v>
      </c>
      <c r="M834" s="154" t="s">
        <v>1383</v>
      </c>
      <c r="N834" s="154" t="s">
        <v>61</v>
      </c>
      <c r="O834" s="154" t="s">
        <v>62</v>
      </c>
      <c r="P834" s="146">
        <v>0.35</v>
      </c>
      <c r="Q834" s="146">
        <v>0</v>
      </c>
      <c r="R834" s="154" t="s">
        <v>1384</v>
      </c>
      <c r="S834" s="154" t="s">
        <v>1899</v>
      </c>
      <c r="T834" s="155" t="s">
        <v>1899</v>
      </c>
      <c r="U834" s="155" t="s">
        <v>1899</v>
      </c>
      <c r="V834" s="154" t="s">
        <v>1562</v>
      </c>
      <c r="W834" s="154">
        <v>0</v>
      </c>
      <c r="X834" s="154" t="s">
        <v>63</v>
      </c>
      <c r="Y834" s="154" t="s">
        <v>1900</v>
      </c>
      <c r="Z834" s="154"/>
      <c r="AA834" s="154" t="s">
        <v>1387</v>
      </c>
      <c r="AB834" s="154">
        <v>0</v>
      </c>
      <c r="AC834" s="138">
        <f>IFERROR(IF(DATEDIF(#REF!,U834,"m")&lt;=1,1,IF(AND(DATEDIF(#REF!,U834,"m")&gt;1,DATEDIF(#REF!,U834,"m")&lt;12),2,IF(AND(DATEDIF(#REF!,U834,"m")&gt;=12,DATEDIF(#REF!,U834,"m")&lt;24),3,IF(DATEDIF(#REF!,U834,"m")&gt;=24,4,"")))),IF(E834="r0320 - Deposits, not covered and not preferential",1,4))</f>
        <v>4</v>
      </c>
    </row>
    <row r="835" spans="3:29" ht="48.75" thickBot="1" x14ac:dyDescent="0.3">
      <c r="C835" s="11">
        <v>999</v>
      </c>
      <c r="D835" s="154">
        <v>828</v>
      </c>
      <c r="E835" s="154" t="s">
        <v>1902</v>
      </c>
      <c r="F835" s="154" t="s">
        <v>83</v>
      </c>
      <c r="G835" s="154" t="s">
        <v>1903</v>
      </c>
      <c r="H835" s="154" t="s">
        <v>526</v>
      </c>
      <c r="I835" s="154" t="s">
        <v>114</v>
      </c>
      <c r="J835" s="154" t="s">
        <v>115</v>
      </c>
      <c r="K835" s="154" t="s">
        <v>60</v>
      </c>
      <c r="L835" s="154" t="s">
        <v>1897</v>
      </c>
      <c r="M835" s="154" t="s">
        <v>1388</v>
      </c>
      <c r="N835" s="154" t="s">
        <v>61</v>
      </c>
      <c r="O835" s="154" t="s">
        <v>62</v>
      </c>
      <c r="P835" s="146">
        <v>25787.45</v>
      </c>
      <c r="Q835" s="146">
        <v>10.27</v>
      </c>
      <c r="R835" s="154" t="s">
        <v>1384</v>
      </c>
      <c r="S835" s="154" t="s">
        <v>1899</v>
      </c>
      <c r="T835" s="155" t="s">
        <v>768</v>
      </c>
      <c r="U835" s="155" t="s">
        <v>1899</v>
      </c>
      <c r="V835" s="154" t="s">
        <v>1904</v>
      </c>
      <c r="W835" s="154">
        <v>0</v>
      </c>
      <c r="X835" s="154" t="s">
        <v>63</v>
      </c>
      <c r="Y835" s="154" t="s">
        <v>1386</v>
      </c>
      <c r="Z835" s="154"/>
      <c r="AA835" s="154" t="s">
        <v>1387</v>
      </c>
      <c r="AB835" s="154">
        <v>0</v>
      </c>
      <c r="AC835" s="138">
        <f>IFERROR(IF(DATEDIF(#REF!,U835,"m")&lt;=1,1,IF(AND(DATEDIF(#REF!,U835,"m")&gt;1,DATEDIF(#REF!,U835,"m")&lt;12),2,IF(AND(DATEDIF(#REF!,U835,"m")&gt;=12,DATEDIF(#REF!,U835,"m")&lt;24),3,IF(DATEDIF(#REF!,U835,"m")&gt;=24,4,"")))),IF(E835="r0320 - Deposits, not covered and not preferential",1,4))</f>
        <v>4</v>
      </c>
    </row>
    <row r="836" spans="3:29" ht="36.75" thickBot="1" x14ac:dyDescent="0.3">
      <c r="C836" s="11">
        <v>999</v>
      </c>
      <c r="D836" s="154">
        <v>829</v>
      </c>
      <c r="E836" s="154" t="s">
        <v>1898</v>
      </c>
      <c r="F836" s="154" t="s">
        <v>87</v>
      </c>
      <c r="G836" s="154" t="s">
        <v>1402</v>
      </c>
      <c r="H836" s="154" t="s">
        <v>842</v>
      </c>
      <c r="I836" s="154" t="s">
        <v>843</v>
      </c>
      <c r="J836" s="154" t="s">
        <v>844</v>
      </c>
      <c r="K836" s="154" t="s">
        <v>60</v>
      </c>
      <c r="L836" s="154" t="s">
        <v>1897</v>
      </c>
      <c r="M836" s="154" t="s">
        <v>1383</v>
      </c>
      <c r="N836" s="154" t="s">
        <v>61</v>
      </c>
      <c r="O836" s="154" t="s">
        <v>62</v>
      </c>
      <c r="P836" s="146">
        <v>74.03</v>
      </c>
      <c r="Q836" s="146">
        <v>0</v>
      </c>
      <c r="R836" s="154" t="s">
        <v>1384</v>
      </c>
      <c r="S836" s="154" t="s">
        <v>1899</v>
      </c>
      <c r="T836" s="155" t="s">
        <v>1899</v>
      </c>
      <c r="U836" s="155" t="s">
        <v>1899</v>
      </c>
      <c r="V836" s="154" t="s">
        <v>1562</v>
      </c>
      <c r="W836" s="154">
        <v>0</v>
      </c>
      <c r="X836" s="154" t="s">
        <v>63</v>
      </c>
      <c r="Y836" s="154" t="s">
        <v>1900</v>
      </c>
      <c r="Z836" s="154"/>
      <c r="AA836" s="154" t="s">
        <v>1387</v>
      </c>
      <c r="AB836" s="154">
        <v>0</v>
      </c>
      <c r="AC836" s="138">
        <f>IFERROR(IF(DATEDIF(#REF!,U836,"m")&lt;=1,1,IF(AND(DATEDIF(#REF!,U836,"m")&gt;1,DATEDIF(#REF!,U836,"m")&lt;12),2,IF(AND(DATEDIF(#REF!,U836,"m")&gt;=12,DATEDIF(#REF!,U836,"m")&lt;24),3,IF(DATEDIF(#REF!,U836,"m")&gt;=24,4,"")))),IF(E836="r0320 - Deposits, not covered and not preferential",1,4))</f>
        <v>4</v>
      </c>
    </row>
    <row r="837" spans="3:29" ht="48.75" thickBot="1" x14ac:dyDescent="0.3">
      <c r="C837" s="11">
        <v>999</v>
      </c>
      <c r="D837" s="154">
        <v>830</v>
      </c>
      <c r="E837" s="154" t="s">
        <v>1902</v>
      </c>
      <c r="F837" s="154" t="s">
        <v>83</v>
      </c>
      <c r="G837" s="154" t="s">
        <v>1903</v>
      </c>
      <c r="H837" s="154" t="s">
        <v>841</v>
      </c>
      <c r="I837" s="154" t="s">
        <v>93</v>
      </c>
      <c r="J837" s="154" t="s">
        <v>94</v>
      </c>
      <c r="K837" s="154" t="s">
        <v>60</v>
      </c>
      <c r="L837" s="154" t="s">
        <v>1897</v>
      </c>
      <c r="M837" s="154" t="s">
        <v>1388</v>
      </c>
      <c r="N837" s="154" t="s">
        <v>61</v>
      </c>
      <c r="O837" s="154" t="s">
        <v>62</v>
      </c>
      <c r="P837" s="146">
        <v>88483.77</v>
      </c>
      <c r="Q837" s="146">
        <v>18.96</v>
      </c>
      <c r="R837" s="154" t="s">
        <v>1384</v>
      </c>
      <c r="S837" s="154" t="s">
        <v>1899</v>
      </c>
      <c r="T837" s="155" t="s">
        <v>768</v>
      </c>
      <c r="U837" s="155" t="s">
        <v>1899</v>
      </c>
      <c r="V837" s="154" t="s">
        <v>1904</v>
      </c>
      <c r="W837" s="154">
        <v>0</v>
      </c>
      <c r="X837" s="154" t="s">
        <v>63</v>
      </c>
      <c r="Y837" s="154" t="s">
        <v>1386</v>
      </c>
      <c r="Z837" s="154"/>
      <c r="AA837" s="154" t="s">
        <v>1387</v>
      </c>
      <c r="AB837" s="154">
        <v>0</v>
      </c>
      <c r="AC837" s="138">
        <f>IFERROR(IF(DATEDIF(#REF!,U837,"m")&lt;=1,1,IF(AND(DATEDIF(#REF!,U837,"m")&gt;1,DATEDIF(#REF!,U837,"m")&lt;12),2,IF(AND(DATEDIF(#REF!,U837,"m")&gt;=12,DATEDIF(#REF!,U837,"m")&lt;24),3,IF(DATEDIF(#REF!,U837,"m")&gt;=24,4,"")))),IF(E837="r0320 - Deposits, not covered and not preferential",1,4))</f>
        <v>4</v>
      </c>
    </row>
    <row r="838" spans="3:29" ht="36.75" thickBot="1" x14ac:dyDescent="0.3">
      <c r="C838" s="11">
        <v>999</v>
      </c>
      <c r="D838" s="154">
        <v>831</v>
      </c>
      <c r="E838" s="154" t="s">
        <v>1898</v>
      </c>
      <c r="F838" s="154" t="s">
        <v>87</v>
      </c>
      <c r="G838" s="154" t="s">
        <v>1402</v>
      </c>
      <c r="H838" s="154" t="s">
        <v>846</v>
      </c>
      <c r="I838" s="154" t="s">
        <v>96</v>
      </c>
      <c r="J838" s="154" t="s">
        <v>97</v>
      </c>
      <c r="K838" s="154" t="s">
        <v>91</v>
      </c>
      <c r="L838" s="154" t="s">
        <v>1897</v>
      </c>
      <c r="M838" s="154" t="s">
        <v>1383</v>
      </c>
      <c r="N838" s="154" t="s">
        <v>61</v>
      </c>
      <c r="O838" s="154" t="s">
        <v>62</v>
      </c>
      <c r="P838" s="146">
        <v>0.11</v>
      </c>
      <c r="Q838" s="146">
        <v>0</v>
      </c>
      <c r="R838" s="154" t="s">
        <v>1384</v>
      </c>
      <c r="S838" s="154" t="s">
        <v>1899</v>
      </c>
      <c r="T838" s="155" t="s">
        <v>1899</v>
      </c>
      <c r="U838" s="155" t="s">
        <v>1899</v>
      </c>
      <c r="V838" s="154" t="s">
        <v>1562</v>
      </c>
      <c r="W838" s="154">
        <v>0</v>
      </c>
      <c r="X838" s="154" t="s">
        <v>63</v>
      </c>
      <c r="Y838" s="154" t="s">
        <v>1900</v>
      </c>
      <c r="Z838" s="154"/>
      <c r="AA838" s="154" t="s">
        <v>1387</v>
      </c>
      <c r="AB838" s="154">
        <v>0</v>
      </c>
      <c r="AC838" s="138">
        <f>IFERROR(IF(DATEDIF(#REF!,U838,"m")&lt;=1,1,IF(AND(DATEDIF(#REF!,U838,"m")&gt;1,DATEDIF(#REF!,U838,"m")&lt;12),2,IF(AND(DATEDIF(#REF!,U838,"m")&gt;=12,DATEDIF(#REF!,U838,"m")&lt;24),3,IF(DATEDIF(#REF!,U838,"m")&gt;=24,4,"")))),IF(E838="r0320 - Deposits, not covered and not preferential",1,4))</f>
        <v>4</v>
      </c>
    </row>
    <row r="839" spans="3:29" ht="48.75" thickBot="1" x14ac:dyDescent="0.3">
      <c r="C839" s="11">
        <v>999</v>
      </c>
      <c r="D839" s="154">
        <v>832</v>
      </c>
      <c r="E839" s="154" t="s">
        <v>1902</v>
      </c>
      <c r="F839" s="154" t="s">
        <v>83</v>
      </c>
      <c r="G839" s="154" t="s">
        <v>1903</v>
      </c>
      <c r="H839" s="154" t="s">
        <v>507</v>
      </c>
      <c r="I839" s="154" t="s">
        <v>93</v>
      </c>
      <c r="J839" s="154" t="s">
        <v>94</v>
      </c>
      <c r="K839" s="154" t="s">
        <v>60</v>
      </c>
      <c r="L839" s="154" t="s">
        <v>1897</v>
      </c>
      <c r="M839" s="154" t="s">
        <v>1388</v>
      </c>
      <c r="N839" s="154" t="s">
        <v>61</v>
      </c>
      <c r="O839" s="154" t="s">
        <v>62</v>
      </c>
      <c r="P839" s="146">
        <v>113472.04</v>
      </c>
      <c r="Q839" s="146">
        <v>36.840000000000003</v>
      </c>
      <c r="R839" s="154" t="s">
        <v>1384</v>
      </c>
      <c r="S839" s="154" t="s">
        <v>1899</v>
      </c>
      <c r="T839" s="155" t="s">
        <v>768</v>
      </c>
      <c r="U839" s="155" t="s">
        <v>1899</v>
      </c>
      <c r="V839" s="154" t="s">
        <v>1904</v>
      </c>
      <c r="W839" s="154">
        <v>0</v>
      </c>
      <c r="X839" s="154" t="s">
        <v>63</v>
      </c>
      <c r="Y839" s="154" t="s">
        <v>1386</v>
      </c>
      <c r="Z839" s="154"/>
      <c r="AA839" s="154" t="s">
        <v>1387</v>
      </c>
      <c r="AB839" s="154">
        <v>0</v>
      </c>
      <c r="AC839" s="138">
        <f>IFERROR(IF(DATEDIF(#REF!,U839,"m")&lt;=1,1,IF(AND(DATEDIF(#REF!,U839,"m")&gt;1,DATEDIF(#REF!,U839,"m")&lt;12),2,IF(AND(DATEDIF(#REF!,U839,"m")&gt;=12,DATEDIF(#REF!,U839,"m")&lt;24),3,IF(DATEDIF(#REF!,U839,"m")&gt;=24,4,"")))),IF(E839="r0320 - Deposits, not covered and not preferential",1,4))</f>
        <v>4</v>
      </c>
    </row>
    <row r="840" spans="3:29" ht="36.75" thickBot="1" x14ac:dyDescent="0.3">
      <c r="C840" s="11">
        <v>999</v>
      </c>
      <c r="D840" s="154">
        <v>833</v>
      </c>
      <c r="E840" s="154" t="s">
        <v>1898</v>
      </c>
      <c r="F840" s="154" t="s">
        <v>87</v>
      </c>
      <c r="G840" s="154" t="s">
        <v>1402</v>
      </c>
      <c r="H840" s="154" t="s">
        <v>744</v>
      </c>
      <c r="I840" s="154" t="s">
        <v>96</v>
      </c>
      <c r="J840" s="154" t="s">
        <v>97</v>
      </c>
      <c r="K840" s="154" t="s">
        <v>91</v>
      </c>
      <c r="L840" s="154" t="s">
        <v>1897</v>
      </c>
      <c r="M840" s="154" t="s">
        <v>1383</v>
      </c>
      <c r="N840" s="154" t="s">
        <v>61</v>
      </c>
      <c r="O840" s="154" t="s">
        <v>62</v>
      </c>
      <c r="P840" s="146">
        <v>0.74</v>
      </c>
      <c r="Q840" s="146">
        <v>0</v>
      </c>
      <c r="R840" s="154" t="s">
        <v>1384</v>
      </c>
      <c r="S840" s="154" t="s">
        <v>1899</v>
      </c>
      <c r="T840" s="155" t="s">
        <v>1899</v>
      </c>
      <c r="U840" s="155" t="s">
        <v>1899</v>
      </c>
      <c r="V840" s="154" t="s">
        <v>1562</v>
      </c>
      <c r="W840" s="154">
        <v>0</v>
      </c>
      <c r="X840" s="154" t="s">
        <v>63</v>
      </c>
      <c r="Y840" s="154" t="s">
        <v>1900</v>
      </c>
      <c r="Z840" s="154"/>
      <c r="AA840" s="154" t="s">
        <v>1387</v>
      </c>
      <c r="AB840" s="154">
        <v>0</v>
      </c>
      <c r="AC840" s="138">
        <f>IFERROR(IF(DATEDIF(#REF!,U840,"m")&lt;=1,1,IF(AND(DATEDIF(#REF!,U840,"m")&gt;1,DATEDIF(#REF!,U840,"m")&lt;12),2,IF(AND(DATEDIF(#REF!,U840,"m")&gt;=12,DATEDIF(#REF!,U840,"m")&lt;24),3,IF(DATEDIF(#REF!,U840,"m")&gt;=24,4,"")))),IF(E840="r0320 - Deposits, not covered and not preferential",1,4))</f>
        <v>4</v>
      </c>
    </row>
    <row r="841" spans="3:29" ht="48.75" thickBot="1" x14ac:dyDescent="0.3">
      <c r="C841" s="11">
        <v>999</v>
      </c>
      <c r="D841" s="154">
        <v>834</v>
      </c>
      <c r="E841" s="154" t="s">
        <v>1902</v>
      </c>
      <c r="F841" s="154" t="s">
        <v>83</v>
      </c>
      <c r="G841" s="154" t="s">
        <v>1903</v>
      </c>
      <c r="H841" s="154" t="s">
        <v>839</v>
      </c>
      <c r="I841" s="154" t="s">
        <v>114</v>
      </c>
      <c r="J841" s="154" t="s">
        <v>115</v>
      </c>
      <c r="K841" s="154" t="s">
        <v>60</v>
      </c>
      <c r="L841" s="154" t="s">
        <v>1897</v>
      </c>
      <c r="M841" s="154" t="s">
        <v>1388</v>
      </c>
      <c r="N841" s="154" t="s">
        <v>61</v>
      </c>
      <c r="O841" s="154" t="s">
        <v>62</v>
      </c>
      <c r="P841" s="146">
        <v>24330.720000000001</v>
      </c>
      <c r="Q841" s="146">
        <v>5.45</v>
      </c>
      <c r="R841" s="154" t="s">
        <v>1384</v>
      </c>
      <c r="S841" s="154" t="s">
        <v>1899</v>
      </c>
      <c r="T841" s="155" t="s">
        <v>768</v>
      </c>
      <c r="U841" s="155" t="s">
        <v>1899</v>
      </c>
      <c r="V841" s="154" t="s">
        <v>1904</v>
      </c>
      <c r="W841" s="154">
        <v>0</v>
      </c>
      <c r="X841" s="154" t="s">
        <v>63</v>
      </c>
      <c r="Y841" s="154" t="s">
        <v>1386</v>
      </c>
      <c r="Z841" s="154"/>
      <c r="AA841" s="154" t="s">
        <v>1387</v>
      </c>
      <c r="AB841" s="154">
        <v>0</v>
      </c>
      <c r="AC841" s="138">
        <f>IFERROR(IF(DATEDIF(#REF!,U841,"m")&lt;=1,1,IF(AND(DATEDIF(#REF!,U841,"m")&gt;1,DATEDIF(#REF!,U841,"m")&lt;12),2,IF(AND(DATEDIF(#REF!,U841,"m")&gt;=12,DATEDIF(#REF!,U841,"m")&lt;24),3,IF(DATEDIF(#REF!,U841,"m")&gt;=24,4,"")))),IF(E841="r0320 - Deposits, not covered and not preferential",1,4))</f>
        <v>4</v>
      </c>
    </row>
    <row r="842" spans="3:29" ht="36.75" thickBot="1" x14ac:dyDescent="0.3">
      <c r="C842" s="11">
        <v>999</v>
      </c>
      <c r="D842" s="154">
        <v>835</v>
      </c>
      <c r="E842" s="154" t="s">
        <v>1898</v>
      </c>
      <c r="F842" s="154" t="s">
        <v>87</v>
      </c>
      <c r="G842" s="154" t="s">
        <v>1402</v>
      </c>
      <c r="H842" s="154" t="s">
        <v>848</v>
      </c>
      <c r="I842" s="154" t="s">
        <v>96</v>
      </c>
      <c r="J842" s="154" t="s">
        <v>97</v>
      </c>
      <c r="K842" s="154" t="s">
        <v>91</v>
      </c>
      <c r="L842" s="154" t="s">
        <v>1897</v>
      </c>
      <c r="M842" s="154" t="s">
        <v>1383</v>
      </c>
      <c r="N842" s="154" t="s">
        <v>61</v>
      </c>
      <c r="O842" s="154" t="s">
        <v>62</v>
      </c>
      <c r="P842" s="146">
        <v>0.71</v>
      </c>
      <c r="Q842" s="146">
        <v>0</v>
      </c>
      <c r="R842" s="154" t="s">
        <v>1384</v>
      </c>
      <c r="S842" s="154" t="s">
        <v>1899</v>
      </c>
      <c r="T842" s="155" t="s">
        <v>1899</v>
      </c>
      <c r="U842" s="155" t="s">
        <v>1899</v>
      </c>
      <c r="V842" s="154" t="s">
        <v>1562</v>
      </c>
      <c r="W842" s="154">
        <v>0</v>
      </c>
      <c r="X842" s="154" t="s">
        <v>63</v>
      </c>
      <c r="Y842" s="154" t="s">
        <v>1900</v>
      </c>
      <c r="Z842" s="154"/>
      <c r="AA842" s="154" t="s">
        <v>1387</v>
      </c>
      <c r="AB842" s="154">
        <v>0</v>
      </c>
      <c r="AC842" s="138">
        <f>IFERROR(IF(DATEDIF(#REF!,U842,"m")&lt;=1,1,IF(AND(DATEDIF(#REF!,U842,"m")&gt;1,DATEDIF(#REF!,U842,"m")&lt;12),2,IF(AND(DATEDIF(#REF!,U842,"m")&gt;=12,DATEDIF(#REF!,U842,"m")&lt;24),3,IF(DATEDIF(#REF!,U842,"m")&gt;=24,4,"")))),IF(E842="r0320 - Deposits, not covered and not preferential",1,4))</f>
        <v>4</v>
      </c>
    </row>
    <row r="843" spans="3:29" ht="36.75" thickBot="1" x14ac:dyDescent="0.3">
      <c r="C843" s="11">
        <v>999</v>
      </c>
      <c r="D843" s="154">
        <v>836</v>
      </c>
      <c r="E843" s="154" t="s">
        <v>1898</v>
      </c>
      <c r="F843" s="154" t="s">
        <v>87</v>
      </c>
      <c r="G843" s="154" t="s">
        <v>1402</v>
      </c>
      <c r="H843" s="154" t="s">
        <v>1342</v>
      </c>
      <c r="I843" s="154" t="s">
        <v>96</v>
      </c>
      <c r="J843" s="154" t="s">
        <v>97</v>
      </c>
      <c r="K843" s="154" t="s">
        <v>91</v>
      </c>
      <c r="L843" s="154" t="s">
        <v>1897</v>
      </c>
      <c r="M843" s="154" t="s">
        <v>1383</v>
      </c>
      <c r="N843" s="154" t="s">
        <v>61</v>
      </c>
      <c r="O843" s="154" t="s">
        <v>62</v>
      </c>
      <c r="P843" s="146">
        <v>0.01</v>
      </c>
      <c r="Q843" s="146">
        <v>0</v>
      </c>
      <c r="R843" s="154" t="s">
        <v>1384</v>
      </c>
      <c r="S843" s="154" t="s">
        <v>1899</v>
      </c>
      <c r="T843" s="155" t="s">
        <v>1899</v>
      </c>
      <c r="U843" s="155" t="s">
        <v>1899</v>
      </c>
      <c r="V843" s="154" t="s">
        <v>1562</v>
      </c>
      <c r="W843" s="154">
        <v>0</v>
      </c>
      <c r="X843" s="154" t="s">
        <v>63</v>
      </c>
      <c r="Y843" s="154" t="s">
        <v>1900</v>
      </c>
      <c r="Z843" s="154"/>
      <c r="AA843" s="154" t="s">
        <v>1387</v>
      </c>
      <c r="AB843" s="154">
        <v>0</v>
      </c>
      <c r="AC843" s="138">
        <f>IFERROR(IF(DATEDIF(#REF!,U843,"m")&lt;=1,1,IF(AND(DATEDIF(#REF!,U843,"m")&gt;1,DATEDIF(#REF!,U843,"m")&lt;12),2,IF(AND(DATEDIF(#REF!,U843,"m")&gt;=12,DATEDIF(#REF!,U843,"m")&lt;24),3,IF(DATEDIF(#REF!,U843,"m")&gt;=24,4,"")))),IF(E843="r0320 - Deposits, not covered and not preferential",1,4))</f>
        <v>4</v>
      </c>
    </row>
    <row r="844" spans="3:29" ht="36.75" thickBot="1" x14ac:dyDescent="0.3">
      <c r="C844" s="11">
        <v>999</v>
      </c>
      <c r="D844" s="154">
        <v>837</v>
      </c>
      <c r="E844" s="154" t="s">
        <v>1898</v>
      </c>
      <c r="F844" s="154" t="s">
        <v>87</v>
      </c>
      <c r="G844" s="154" t="s">
        <v>1402</v>
      </c>
      <c r="H844" s="154" t="s">
        <v>461</v>
      </c>
      <c r="I844" s="154" t="s">
        <v>96</v>
      </c>
      <c r="J844" s="154" t="s">
        <v>97</v>
      </c>
      <c r="K844" s="154" t="s">
        <v>91</v>
      </c>
      <c r="L844" s="154" t="s">
        <v>1897</v>
      </c>
      <c r="M844" s="154" t="s">
        <v>1383</v>
      </c>
      <c r="N844" s="154" t="s">
        <v>61</v>
      </c>
      <c r="O844" s="154" t="s">
        <v>62</v>
      </c>
      <c r="P844" s="146">
        <v>0.63</v>
      </c>
      <c r="Q844" s="146">
        <v>0</v>
      </c>
      <c r="R844" s="154" t="s">
        <v>1384</v>
      </c>
      <c r="S844" s="154" t="s">
        <v>1899</v>
      </c>
      <c r="T844" s="155" t="s">
        <v>1899</v>
      </c>
      <c r="U844" s="155" t="s">
        <v>1899</v>
      </c>
      <c r="V844" s="154" t="s">
        <v>1562</v>
      </c>
      <c r="W844" s="154">
        <v>0</v>
      </c>
      <c r="X844" s="154" t="s">
        <v>63</v>
      </c>
      <c r="Y844" s="154" t="s">
        <v>1900</v>
      </c>
      <c r="Z844" s="154"/>
      <c r="AA844" s="154" t="s">
        <v>1387</v>
      </c>
      <c r="AB844" s="154">
        <v>0</v>
      </c>
      <c r="AC844" s="138">
        <f>IFERROR(IF(DATEDIF(#REF!,U844,"m")&lt;=1,1,IF(AND(DATEDIF(#REF!,U844,"m")&gt;1,DATEDIF(#REF!,U844,"m")&lt;12),2,IF(AND(DATEDIF(#REF!,U844,"m")&gt;=12,DATEDIF(#REF!,U844,"m")&lt;24),3,IF(DATEDIF(#REF!,U844,"m")&gt;=24,4,"")))),IF(E844="r0320 - Deposits, not covered and not preferential",1,4))</f>
        <v>4</v>
      </c>
    </row>
    <row r="845" spans="3:29" ht="48.75" thickBot="1" x14ac:dyDescent="0.3">
      <c r="C845" s="11">
        <v>999</v>
      </c>
      <c r="D845" s="154">
        <v>838</v>
      </c>
      <c r="E845" s="154" t="s">
        <v>1902</v>
      </c>
      <c r="F845" s="154" t="s">
        <v>83</v>
      </c>
      <c r="G845" s="154" t="s">
        <v>1903</v>
      </c>
      <c r="H845" s="154" t="s">
        <v>501</v>
      </c>
      <c r="I845" s="154" t="s">
        <v>114</v>
      </c>
      <c r="J845" s="154" t="s">
        <v>115</v>
      </c>
      <c r="K845" s="154" t="s">
        <v>60</v>
      </c>
      <c r="L845" s="154" t="s">
        <v>1897</v>
      </c>
      <c r="M845" s="154" t="s">
        <v>1388</v>
      </c>
      <c r="N845" s="154" t="s">
        <v>61</v>
      </c>
      <c r="O845" s="154" t="s">
        <v>62</v>
      </c>
      <c r="P845" s="146">
        <v>64512.23</v>
      </c>
      <c r="Q845" s="146">
        <v>12.16</v>
      </c>
      <c r="R845" s="154" t="s">
        <v>1384</v>
      </c>
      <c r="S845" s="154" t="s">
        <v>1899</v>
      </c>
      <c r="T845" s="155" t="s">
        <v>768</v>
      </c>
      <c r="U845" s="155" t="s">
        <v>1899</v>
      </c>
      <c r="V845" s="154" t="s">
        <v>1904</v>
      </c>
      <c r="W845" s="154">
        <v>0</v>
      </c>
      <c r="X845" s="154" t="s">
        <v>63</v>
      </c>
      <c r="Y845" s="154" t="s">
        <v>1386</v>
      </c>
      <c r="Z845" s="154"/>
      <c r="AA845" s="154" t="s">
        <v>1387</v>
      </c>
      <c r="AB845" s="154">
        <v>0</v>
      </c>
      <c r="AC845" s="138">
        <f>IFERROR(IF(DATEDIF(#REF!,U845,"m")&lt;=1,1,IF(AND(DATEDIF(#REF!,U845,"m")&gt;1,DATEDIF(#REF!,U845,"m")&lt;12),2,IF(AND(DATEDIF(#REF!,U845,"m")&gt;=12,DATEDIF(#REF!,U845,"m")&lt;24),3,IF(DATEDIF(#REF!,U845,"m")&gt;=24,4,"")))),IF(E845="r0320 - Deposits, not covered and not preferential",1,4))</f>
        <v>4</v>
      </c>
    </row>
    <row r="846" spans="3:29" ht="36.75" thickBot="1" x14ac:dyDescent="0.3">
      <c r="C846" s="11">
        <v>999</v>
      </c>
      <c r="D846" s="154">
        <v>839</v>
      </c>
      <c r="E846" s="154" t="s">
        <v>1898</v>
      </c>
      <c r="F846" s="154" t="s">
        <v>87</v>
      </c>
      <c r="G846" s="154" t="s">
        <v>1402</v>
      </c>
      <c r="H846" s="154" t="s">
        <v>849</v>
      </c>
      <c r="I846" s="154" t="s">
        <v>96</v>
      </c>
      <c r="J846" s="154" t="s">
        <v>97</v>
      </c>
      <c r="K846" s="154" t="s">
        <v>91</v>
      </c>
      <c r="L846" s="154" t="s">
        <v>1897</v>
      </c>
      <c r="M846" s="154" t="s">
        <v>1383</v>
      </c>
      <c r="N846" s="154" t="s">
        <v>61</v>
      </c>
      <c r="O846" s="154" t="s">
        <v>62</v>
      </c>
      <c r="P846" s="146">
        <v>0.27</v>
      </c>
      <c r="Q846" s="146">
        <v>0</v>
      </c>
      <c r="R846" s="154" t="s">
        <v>1384</v>
      </c>
      <c r="S846" s="154" t="s">
        <v>1899</v>
      </c>
      <c r="T846" s="155" t="s">
        <v>1899</v>
      </c>
      <c r="U846" s="155" t="s">
        <v>1899</v>
      </c>
      <c r="V846" s="154" t="s">
        <v>1562</v>
      </c>
      <c r="W846" s="154">
        <v>0</v>
      </c>
      <c r="X846" s="154" t="s">
        <v>63</v>
      </c>
      <c r="Y846" s="154" t="s">
        <v>1900</v>
      </c>
      <c r="Z846" s="154"/>
      <c r="AA846" s="154" t="s">
        <v>1387</v>
      </c>
      <c r="AB846" s="154">
        <v>0</v>
      </c>
      <c r="AC846" s="138">
        <f>IFERROR(IF(DATEDIF(#REF!,U846,"m")&lt;=1,1,IF(AND(DATEDIF(#REF!,U846,"m")&gt;1,DATEDIF(#REF!,U846,"m")&lt;12),2,IF(AND(DATEDIF(#REF!,U846,"m")&gt;=12,DATEDIF(#REF!,U846,"m")&lt;24),3,IF(DATEDIF(#REF!,U846,"m")&gt;=24,4,"")))),IF(E846="r0320 - Deposits, not covered and not preferential",1,4))</f>
        <v>4</v>
      </c>
    </row>
    <row r="847" spans="3:29" ht="48.75" thickBot="1" x14ac:dyDescent="0.3">
      <c r="C847" s="11">
        <v>999</v>
      </c>
      <c r="D847" s="154">
        <v>840</v>
      </c>
      <c r="E847" s="154" t="s">
        <v>1902</v>
      </c>
      <c r="F847" s="154" t="s">
        <v>83</v>
      </c>
      <c r="G847" s="154" t="s">
        <v>1903</v>
      </c>
      <c r="H847" s="154" t="s">
        <v>510</v>
      </c>
      <c r="I847" s="154" t="s">
        <v>93</v>
      </c>
      <c r="J847" s="154" t="s">
        <v>94</v>
      </c>
      <c r="K847" s="154" t="s">
        <v>60</v>
      </c>
      <c r="L847" s="154" t="s">
        <v>1897</v>
      </c>
      <c r="M847" s="154" t="s">
        <v>1388</v>
      </c>
      <c r="N847" s="154" t="s">
        <v>61</v>
      </c>
      <c r="O847" s="154" t="s">
        <v>62</v>
      </c>
      <c r="P847" s="146">
        <v>119479.73</v>
      </c>
      <c r="Q847" s="146">
        <v>6.36</v>
      </c>
      <c r="R847" s="154" t="s">
        <v>1384</v>
      </c>
      <c r="S847" s="154" t="s">
        <v>1899</v>
      </c>
      <c r="T847" s="155" t="s">
        <v>768</v>
      </c>
      <c r="U847" s="155" t="s">
        <v>1899</v>
      </c>
      <c r="V847" s="154" t="s">
        <v>1904</v>
      </c>
      <c r="W847" s="154">
        <v>0</v>
      </c>
      <c r="X847" s="154" t="s">
        <v>63</v>
      </c>
      <c r="Y847" s="154" t="s">
        <v>1386</v>
      </c>
      <c r="Z847" s="154"/>
      <c r="AA847" s="154" t="s">
        <v>1387</v>
      </c>
      <c r="AB847" s="154">
        <v>0</v>
      </c>
      <c r="AC847" s="138">
        <f>IFERROR(IF(DATEDIF(#REF!,U847,"m")&lt;=1,1,IF(AND(DATEDIF(#REF!,U847,"m")&gt;1,DATEDIF(#REF!,U847,"m")&lt;12),2,IF(AND(DATEDIF(#REF!,U847,"m")&gt;=12,DATEDIF(#REF!,U847,"m")&lt;24),3,IF(DATEDIF(#REF!,U847,"m")&gt;=24,4,"")))),IF(E847="r0320 - Deposits, not covered and not preferential",1,4))</f>
        <v>4</v>
      </c>
    </row>
    <row r="848" spans="3:29" ht="36.75" thickBot="1" x14ac:dyDescent="0.3">
      <c r="C848" s="11">
        <v>999</v>
      </c>
      <c r="D848" s="154">
        <v>841</v>
      </c>
      <c r="E848" s="154" t="s">
        <v>1898</v>
      </c>
      <c r="F848" s="154" t="s">
        <v>87</v>
      </c>
      <c r="G848" s="154" t="s">
        <v>1402</v>
      </c>
      <c r="H848" s="154" t="s">
        <v>851</v>
      </c>
      <c r="I848" s="154" t="s">
        <v>96</v>
      </c>
      <c r="J848" s="154" t="s">
        <v>97</v>
      </c>
      <c r="K848" s="154" t="s">
        <v>91</v>
      </c>
      <c r="L848" s="154" t="s">
        <v>1897</v>
      </c>
      <c r="M848" s="154" t="s">
        <v>1383</v>
      </c>
      <c r="N848" s="154" t="s">
        <v>61</v>
      </c>
      <c r="O848" s="154" t="s">
        <v>62</v>
      </c>
      <c r="P848" s="146">
        <v>10.15</v>
      </c>
      <c r="Q848" s="146">
        <v>0</v>
      </c>
      <c r="R848" s="154" t="s">
        <v>1384</v>
      </c>
      <c r="S848" s="154" t="s">
        <v>1899</v>
      </c>
      <c r="T848" s="155" t="s">
        <v>1899</v>
      </c>
      <c r="U848" s="155" t="s">
        <v>1899</v>
      </c>
      <c r="V848" s="154" t="s">
        <v>1562</v>
      </c>
      <c r="W848" s="154">
        <v>0</v>
      </c>
      <c r="X848" s="154" t="s">
        <v>63</v>
      </c>
      <c r="Y848" s="154" t="s">
        <v>1900</v>
      </c>
      <c r="Z848" s="154"/>
      <c r="AA848" s="154" t="s">
        <v>1387</v>
      </c>
      <c r="AB848" s="154">
        <v>0</v>
      </c>
      <c r="AC848" s="138">
        <f>IFERROR(IF(DATEDIF(#REF!,U848,"m")&lt;=1,1,IF(AND(DATEDIF(#REF!,U848,"m")&gt;1,DATEDIF(#REF!,U848,"m")&lt;12),2,IF(AND(DATEDIF(#REF!,U848,"m")&gt;=12,DATEDIF(#REF!,U848,"m")&lt;24),3,IF(DATEDIF(#REF!,U848,"m")&gt;=24,4,"")))),IF(E848="r0320 - Deposits, not covered and not preferential",1,4))</f>
        <v>4</v>
      </c>
    </row>
    <row r="849" spans="3:29" ht="48.75" thickBot="1" x14ac:dyDescent="0.3">
      <c r="C849" s="11">
        <v>999</v>
      </c>
      <c r="D849" s="154">
        <v>842</v>
      </c>
      <c r="E849" s="154" t="s">
        <v>1902</v>
      </c>
      <c r="F849" s="154" t="s">
        <v>83</v>
      </c>
      <c r="G849" s="154" t="s">
        <v>1903</v>
      </c>
      <c r="H849" s="154" t="s">
        <v>850</v>
      </c>
      <c r="I849" s="154" t="s">
        <v>93</v>
      </c>
      <c r="J849" s="154" t="s">
        <v>94</v>
      </c>
      <c r="K849" s="154" t="s">
        <v>60</v>
      </c>
      <c r="L849" s="154" t="s">
        <v>1897</v>
      </c>
      <c r="M849" s="154" t="s">
        <v>1388</v>
      </c>
      <c r="N849" s="154" t="s">
        <v>61</v>
      </c>
      <c r="O849" s="154" t="s">
        <v>62</v>
      </c>
      <c r="P849" s="146">
        <v>105650.16</v>
      </c>
      <c r="Q849" s="146">
        <v>41.27</v>
      </c>
      <c r="R849" s="154" t="s">
        <v>1384</v>
      </c>
      <c r="S849" s="154" t="s">
        <v>1899</v>
      </c>
      <c r="T849" s="155" t="s">
        <v>768</v>
      </c>
      <c r="U849" s="155" t="s">
        <v>1899</v>
      </c>
      <c r="V849" s="154" t="s">
        <v>1904</v>
      </c>
      <c r="W849" s="154">
        <v>0</v>
      </c>
      <c r="X849" s="154" t="s">
        <v>63</v>
      </c>
      <c r="Y849" s="154" t="s">
        <v>1386</v>
      </c>
      <c r="Z849" s="154"/>
      <c r="AA849" s="154" t="s">
        <v>1387</v>
      </c>
      <c r="AB849" s="154">
        <v>0</v>
      </c>
      <c r="AC849" s="138">
        <f>IFERROR(IF(DATEDIF(#REF!,U849,"m")&lt;=1,1,IF(AND(DATEDIF(#REF!,U849,"m")&gt;1,DATEDIF(#REF!,U849,"m")&lt;12),2,IF(AND(DATEDIF(#REF!,U849,"m")&gt;=12,DATEDIF(#REF!,U849,"m")&lt;24),3,IF(DATEDIF(#REF!,U849,"m")&gt;=24,4,"")))),IF(E849="r0320 - Deposits, not covered and not preferential",1,4))</f>
        <v>4</v>
      </c>
    </row>
    <row r="850" spans="3:29" ht="36.75" thickBot="1" x14ac:dyDescent="0.3">
      <c r="C850" s="11">
        <v>999</v>
      </c>
      <c r="D850" s="154">
        <v>843</v>
      </c>
      <c r="E850" s="154" t="s">
        <v>1898</v>
      </c>
      <c r="F850" s="154" t="s">
        <v>87</v>
      </c>
      <c r="G850" s="154" t="s">
        <v>1402</v>
      </c>
      <c r="H850" s="154" t="s">
        <v>852</v>
      </c>
      <c r="I850" s="154" t="s">
        <v>96</v>
      </c>
      <c r="J850" s="154" t="s">
        <v>97</v>
      </c>
      <c r="K850" s="154" t="s">
        <v>91</v>
      </c>
      <c r="L850" s="154" t="s">
        <v>1897</v>
      </c>
      <c r="M850" s="154" t="s">
        <v>1383</v>
      </c>
      <c r="N850" s="154" t="s">
        <v>61</v>
      </c>
      <c r="O850" s="154" t="s">
        <v>62</v>
      </c>
      <c r="P850" s="146">
        <v>8.14</v>
      </c>
      <c r="Q850" s="146">
        <v>0</v>
      </c>
      <c r="R850" s="154" t="s">
        <v>1384</v>
      </c>
      <c r="S850" s="154" t="s">
        <v>1899</v>
      </c>
      <c r="T850" s="155" t="s">
        <v>1899</v>
      </c>
      <c r="U850" s="155" t="s">
        <v>1899</v>
      </c>
      <c r="V850" s="154" t="s">
        <v>1562</v>
      </c>
      <c r="W850" s="154">
        <v>0</v>
      </c>
      <c r="X850" s="154" t="s">
        <v>63</v>
      </c>
      <c r="Y850" s="154" t="s">
        <v>1900</v>
      </c>
      <c r="Z850" s="154"/>
      <c r="AA850" s="154" t="s">
        <v>1387</v>
      </c>
      <c r="AB850" s="154">
        <v>0</v>
      </c>
      <c r="AC850" s="138">
        <f>IFERROR(IF(DATEDIF(#REF!,U850,"m")&lt;=1,1,IF(AND(DATEDIF(#REF!,U850,"m")&gt;1,DATEDIF(#REF!,U850,"m")&lt;12),2,IF(AND(DATEDIF(#REF!,U850,"m")&gt;=12,DATEDIF(#REF!,U850,"m")&lt;24),3,IF(DATEDIF(#REF!,U850,"m")&gt;=24,4,"")))),IF(E850="r0320 - Deposits, not covered and not preferential",1,4))</f>
        <v>4</v>
      </c>
    </row>
    <row r="851" spans="3:29" ht="48.75" thickBot="1" x14ac:dyDescent="0.3">
      <c r="C851" s="11">
        <v>999</v>
      </c>
      <c r="D851" s="154">
        <v>844</v>
      </c>
      <c r="E851" s="154" t="s">
        <v>1902</v>
      </c>
      <c r="F851" s="154" t="s">
        <v>83</v>
      </c>
      <c r="G851" s="154" t="s">
        <v>1903</v>
      </c>
      <c r="H851" s="154" t="s">
        <v>211</v>
      </c>
      <c r="I851" s="154" t="s">
        <v>93</v>
      </c>
      <c r="J851" s="154" t="s">
        <v>94</v>
      </c>
      <c r="K851" s="154" t="s">
        <v>60</v>
      </c>
      <c r="L851" s="154" t="s">
        <v>1897</v>
      </c>
      <c r="M851" s="154" t="s">
        <v>1388</v>
      </c>
      <c r="N851" s="154" t="s">
        <v>61</v>
      </c>
      <c r="O851" s="154" t="s">
        <v>62</v>
      </c>
      <c r="P851" s="146">
        <v>76586.34</v>
      </c>
      <c r="Q851" s="146">
        <v>48</v>
      </c>
      <c r="R851" s="154" t="s">
        <v>1384</v>
      </c>
      <c r="S851" s="154" t="s">
        <v>1899</v>
      </c>
      <c r="T851" s="155" t="s">
        <v>768</v>
      </c>
      <c r="U851" s="155" t="s">
        <v>1899</v>
      </c>
      <c r="V851" s="154" t="s">
        <v>1904</v>
      </c>
      <c r="W851" s="154">
        <v>0</v>
      </c>
      <c r="X851" s="154" t="s">
        <v>63</v>
      </c>
      <c r="Y851" s="154" t="s">
        <v>1386</v>
      </c>
      <c r="Z851" s="154"/>
      <c r="AA851" s="154" t="s">
        <v>1387</v>
      </c>
      <c r="AB851" s="154">
        <v>0</v>
      </c>
      <c r="AC851" s="138">
        <f>IFERROR(IF(DATEDIF(#REF!,U851,"m")&lt;=1,1,IF(AND(DATEDIF(#REF!,U851,"m")&gt;1,DATEDIF(#REF!,U851,"m")&lt;12),2,IF(AND(DATEDIF(#REF!,U851,"m")&gt;=12,DATEDIF(#REF!,U851,"m")&lt;24),3,IF(DATEDIF(#REF!,U851,"m")&gt;=24,4,"")))),IF(E851="r0320 - Deposits, not covered and not preferential",1,4))</f>
        <v>4</v>
      </c>
    </row>
    <row r="852" spans="3:29" ht="36.75" thickBot="1" x14ac:dyDescent="0.3">
      <c r="C852" s="11">
        <v>999</v>
      </c>
      <c r="D852" s="154">
        <v>845</v>
      </c>
      <c r="E852" s="154" t="s">
        <v>1898</v>
      </c>
      <c r="F852" s="154" t="s">
        <v>87</v>
      </c>
      <c r="G852" s="154" t="s">
        <v>1402</v>
      </c>
      <c r="H852" s="154" t="s">
        <v>285</v>
      </c>
      <c r="I852" s="154" t="s">
        <v>96</v>
      </c>
      <c r="J852" s="154" t="s">
        <v>97</v>
      </c>
      <c r="K852" s="154" t="s">
        <v>91</v>
      </c>
      <c r="L852" s="154" t="s">
        <v>1897</v>
      </c>
      <c r="M852" s="154" t="s">
        <v>1383</v>
      </c>
      <c r="N852" s="154" t="s">
        <v>61</v>
      </c>
      <c r="O852" s="154" t="s">
        <v>62</v>
      </c>
      <c r="P852" s="146">
        <v>3.55</v>
      </c>
      <c r="Q852" s="146">
        <v>0</v>
      </c>
      <c r="R852" s="154" t="s">
        <v>1384</v>
      </c>
      <c r="S852" s="154" t="s">
        <v>1899</v>
      </c>
      <c r="T852" s="155" t="s">
        <v>1899</v>
      </c>
      <c r="U852" s="155" t="s">
        <v>1899</v>
      </c>
      <c r="V852" s="154" t="s">
        <v>1562</v>
      </c>
      <c r="W852" s="154">
        <v>0</v>
      </c>
      <c r="X852" s="154" t="s">
        <v>63</v>
      </c>
      <c r="Y852" s="154" t="s">
        <v>1900</v>
      </c>
      <c r="Z852" s="154"/>
      <c r="AA852" s="154" t="s">
        <v>1387</v>
      </c>
      <c r="AB852" s="154">
        <v>0</v>
      </c>
      <c r="AC852" s="138">
        <f>IFERROR(IF(DATEDIF(#REF!,U852,"m")&lt;=1,1,IF(AND(DATEDIF(#REF!,U852,"m")&gt;1,DATEDIF(#REF!,U852,"m")&lt;12),2,IF(AND(DATEDIF(#REF!,U852,"m")&gt;=12,DATEDIF(#REF!,U852,"m")&lt;24),3,IF(DATEDIF(#REF!,U852,"m")&gt;=24,4,"")))),IF(E852="r0320 - Deposits, not covered and not preferential",1,4))</f>
        <v>4</v>
      </c>
    </row>
    <row r="853" spans="3:29" ht="48.75" thickBot="1" x14ac:dyDescent="0.3">
      <c r="C853" s="11">
        <v>999</v>
      </c>
      <c r="D853" s="154">
        <v>846</v>
      </c>
      <c r="E853" s="154" t="s">
        <v>1902</v>
      </c>
      <c r="F853" s="154" t="s">
        <v>83</v>
      </c>
      <c r="G853" s="154" t="s">
        <v>1903</v>
      </c>
      <c r="H853" s="154" t="s">
        <v>150</v>
      </c>
      <c r="I853" s="154" t="s">
        <v>101</v>
      </c>
      <c r="J853" s="154" t="s">
        <v>102</v>
      </c>
      <c r="K853" s="154" t="s">
        <v>60</v>
      </c>
      <c r="L853" s="154" t="s">
        <v>1897</v>
      </c>
      <c r="M853" s="154" t="s">
        <v>1388</v>
      </c>
      <c r="N853" s="154" t="s">
        <v>61</v>
      </c>
      <c r="O853" s="154" t="s">
        <v>62</v>
      </c>
      <c r="P853" s="146">
        <v>96991.91</v>
      </c>
      <c r="Q853" s="146">
        <v>23.08</v>
      </c>
      <c r="R853" s="154" t="s">
        <v>1384</v>
      </c>
      <c r="S853" s="154" t="s">
        <v>1899</v>
      </c>
      <c r="T853" s="155" t="s">
        <v>768</v>
      </c>
      <c r="U853" s="155" t="s">
        <v>1899</v>
      </c>
      <c r="V853" s="154" t="s">
        <v>1904</v>
      </c>
      <c r="W853" s="154">
        <v>0</v>
      </c>
      <c r="X853" s="154" t="s">
        <v>63</v>
      </c>
      <c r="Y853" s="154" t="s">
        <v>1386</v>
      </c>
      <c r="Z853" s="154"/>
      <c r="AA853" s="154" t="s">
        <v>1387</v>
      </c>
      <c r="AB853" s="154">
        <v>0</v>
      </c>
      <c r="AC853" s="138">
        <f>IFERROR(IF(DATEDIF(#REF!,U853,"m")&lt;=1,1,IF(AND(DATEDIF(#REF!,U853,"m")&gt;1,DATEDIF(#REF!,U853,"m")&lt;12),2,IF(AND(DATEDIF(#REF!,U853,"m")&gt;=12,DATEDIF(#REF!,U853,"m")&lt;24),3,IF(DATEDIF(#REF!,U853,"m")&gt;=24,4,"")))),IF(E853="r0320 - Deposits, not covered and not preferential",1,4))</f>
        <v>4</v>
      </c>
    </row>
    <row r="854" spans="3:29" ht="36.75" thickBot="1" x14ac:dyDescent="0.3">
      <c r="C854" s="11">
        <v>999</v>
      </c>
      <c r="D854" s="154">
        <v>847</v>
      </c>
      <c r="E854" s="154" t="s">
        <v>1898</v>
      </c>
      <c r="F854" s="154" t="s">
        <v>87</v>
      </c>
      <c r="G854" s="154" t="s">
        <v>1402</v>
      </c>
      <c r="H854" s="154" t="s">
        <v>854</v>
      </c>
      <c r="I854" s="154" t="s">
        <v>96</v>
      </c>
      <c r="J854" s="154" t="s">
        <v>97</v>
      </c>
      <c r="K854" s="154" t="s">
        <v>91</v>
      </c>
      <c r="L854" s="154" t="s">
        <v>1897</v>
      </c>
      <c r="M854" s="154" t="s">
        <v>1383</v>
      </c>
      <c r="N854" s="154" t="s">
        <v>61</v>
      </c>
      <c r="O854" s="154" t="s">
        <v>62</v>
      </c>
      <c r="P854" s="146">
        <v>1.75</v>
      </c>
      <c r="Q854" s="146">
        <v>0</v>
      </c>
      <c r="R854" s="154" t="s">
        <v>1384</v>
      </c>
      <c r="S854" s="154" t="s">
        <v>1899</v>
      </c>
      <c r="T854" s="155" t="s">
        <v>1899</v>
      </c>
      <c r="U854" s="155" t="s">
        <v>1899</v>
      </c>
      <c r="V854" s="154" t="s">
        <v>1562</v>
      </c>
      <c r="W854" s="154">
        <v>0</v>
      </c>
      <c r="X854" s="154" t="s">
        <v>63</v>
      </c>
      <c r="Y854" s="154" t="s">
        <v>1900</v>
      </c>
      <c r="Z854" s="154"/>
      <c r="AA854" s="154" t="s">
        <v>1387</v>
      </c>
      <c r="AB854" s="154">
        <v>0</v>
      </c>
      <c r="AC854" s="138">
        <f>IFERROR(IF(DATEDIF(#REF!,U854,"m")&lt;=1,1,IF(AND(DATEDIF(#REF!,U854,"m")&gt;1,DATEDIF(#REF!,U854,"m")&lt;12),2,IF(AND(DATEDIF(#REF!,U854,"m")&gt;=12,DATEDIF(#REF!,U854,"m")&lt;24),3,IF(DATEDIF(#REF!,U854,"m")&gt;=24,4,"")))),IF(E854="r0320 - Deposits, not covered and not preferential",1,4))</f>
        <v>4</v>
      </c>
    </row>
    <row r="855" spans="3:29" ht="48.75" thickBot="1" x14ac:dyDescent="0.3">
      <c r="C855" s="11">
        <v>999</v>
      </c>
      <c r="D855" s="154">
        <v>848</v>
      </c>
      <c r="E855" s="154" t="s">
        <v>1902</v>
      </c>
      <c r="F855" s="154" t="s">
        <v>83</v>
      </c>
      <c r="G855" s="154" t="s">
        <v>1903</v>
      </c>
      <c r="H855" s="154" t="s">
        <v>514</v>
      </c>
      <c r="I855" s="154" t="s">
        <v>101</v>
      </c>
      <c r="J855" s="154" t="s">
        <v>102</v>
      </c>
      <c r="K855" s="154" t="s">
        <v>60</v>
      </c>
      <c r="L855" s="154" t="s">
        <v>1897</v>
      </c>
      <c r="M855" s="154" t="s">
        <v>1388</v>
      </c>
      <c r="N855" s="154" t="s">
        <v>61</v>
      </c>
      <c r="O855" s="154" t="s">
        <v>62</v>
      </c>
      <c r="P855" s="146">
        <v>32173.99</v>
      </c>
      <c r="Q855" s="146">
        <v>52.98</v>
      </c>
      <c r="R855" s="154" t="s">
        <v>1384</v>
      </c>
      <c r="S855" s="154" t="s">
        <v>1899</v>
      </c>
      <c r="T855" s="155" t="s">
        <v>768</v>
      </c>
      <c r="U855" s="155" t="s">
        <v>1899</v>
      </c>
      <c r="V855" s="154" t="s">
        <v>1904</v>
      </c>
      <c r="W855" s="154">
        <v>0</v>
      </c>
      <c r="X855" s="154" t="s">
        <v>63</v>
      </c>
      <c r="Y855" s="154" t="s">
        <v>1386</v>
      </c>
      <c r="Z855" s="154"/>
      <c r="AA855" s="154" t="s">
        <v>1387</v>
      </c>
      <c r="AB855" s="154">
        <v>0</v>
      </c>
      <c r="AC855" s="138">
        <f>IFERROR(IF(DATEDIF(#REF!,U855,"m")&lt;=1,1,IF(AND(DATEDIF(#REF!,U855,"m")&gt;1,DATEDIF(#REF!,U855,"m")&lt;12),2,IF(AND(DATEDIF(#REF!,U855,"m")&gt;=12,DATEDIF(#REF!,U855,"m")&lt;24),3,IF(DATEDIF(#REF!,U855,"m")&gt;=24,4,"")))),IF(E855="r0320 - Deposits, not covered and not preferential",1,4))</f>
        <v>4</v>
      </c>
    </row>
    <row r="856" spans="3:29" ht="36.75" thickBot="1" x14ac:dyDescent="0.3">
      <c r="C856" s="11">
        <v>999</v>
      </c>
      <c r="D856" s="154">
        <v>849</v>
      </c>
      <c r="E856" s="154" t="s">
        <v>1898</v>
      </c>
      <c r="F856" s="154" t="s">
        <v>87</v>
      </c>
      <c r="G856" s="154" t="s">
        <v>1402</v>
      </c>
      <c r="H856" s="154" t="s">
        <v>855</v>
      </c>
      <c r="I856" s="154" t="s">
        <v>96</v>
      </c>
      <c r="J856" s="154" t="s">
        <v>97</v>
      </c>
      <c r="K856" s="154" t="s">
        <v>91</v>
      </c>
      <c r="L856" s="154" t="s">
        <v>1897</v>
      </c>
      <c r="M856" s="154" t="s">
        <v>1383</v>
      </c>
      <c r="N856" s="154" t="s">
        <v>61</v>
      </c>
      <c r="O856" s="154" t="s">
        <v>62</v>
      </c>
      <c r="P856" s="146">
        <v>1.29</v>
      </c>
      <c r="Q856" s="146">
        <v>0</v>
      </c>
      <c r="R856" s="154" t="s">
        <v>1384</v>
      </c>
      <c r="S856" s="154" t="s">
        <v>1899</v>
      </c>
      <c r="T856" s="155" t="s">
        <v>1899</v>
      </c>
      <c r="U856" s="155" t="s">
        <v>1899</v>
      </c>
      <c r="V856" s="154" t="s">
        <v>1562</v>
      </c>
      <c r="W856" s="154">
        <v>0</v>
      </c>
      <c r="X856" s="154" t="s">
        <v>63</v>
      </c>
      <c r="Y856" s="154" t="s">
        <v>1900</v>
      </c>
      <c r="Z856" s="154"/>
      <c r="AA856" s="154" t="s">
        <v>1387</v>
      </c>
      <c r="AB856" s="154">
        <v>0</v>
      </c>
      <c r="AC856" s="138">
        <f>IFERROR(IF(DATEDIF(#REF!,U856,"m")&lt;=1,1,IF(AND(DATEDIF(#REF!,U856,"m")&gt;1,DATEDIF(#REF!,U856,"m")&lt;12),2,IF(AND(DATEDIF(#REF!,U856,"m")&gt;=12,DATEDIF(#REF!,U856,"m")&lt;24),3,IF(DATEDIF(#REF!,U856,"m")&gt;=24,4,"")))),IF(E856="r0320 - Deposits, not covered and not preferential",1,4))</f>
        <v>4</v>
      </c>
    </row>
    <row r="857" spans="3:29" ht="48.75" thickBot="1" x14ac:dyDescent="0.3">
      <c r="C857" s="11">
        <v>999</v>
      </c>
      <c r="D857" s="154">
        <v>850</v>
      </c>
      <c r="E857" s="154" t="s">
        <v>1902</v>
      </c>
      <c r="F857" s="154" t="s">
        <v>83</v>
      </c>
      <c r="G857" s="154" t="s">
        <v>1903</v>
      </c>
      <c r="H857" s="154" t="s">
        <v>318</v>
      </c>
      <c r="I857" s="154" t="s">
        <v>114</v>
      </c>
      <c r="J857" s="154" t="s">
        <v>115</v>
      </c>
      <c r="K857" s="154" t="s">
        <v>60</v>
      </c>
      <c r="L857" s="154" t="s">
        <v>1897</v>
      </c>
      <c r="M857" s="154" t="s">
        <v>1388</v>
      </c>
      <c r="N857" s="154" t="s">
        <v>61</v>
      </c>
      <c r="O857" s="154" t="s">
        <v>62</v>
      </c>
      <c r="P857" s="146">
        <v>52078.04</v>
      </c>
      <c r="Q857" s="146">
        <v>82.98</v>
      </c>
      <c r="R857" s="154" t="s">
        <v>1384</v>
      </c>
      <c r="S857" s="154" t="s">
        <v>1899</v>
      </c>
      <c r="T857" s="155" t="s">
        <v>768</v>
      </c>
      <c r="U857" s="155" t="s">
        <v>1899</v>
      </c>
      <c r="V857" s="154" t="s">
        <v>1904</v>
      </c>
      <c r="W857" s="154">
        <v>0</v>
      </c>
      <c r="X857" s="154" t="s">
        <v>63</v>
      </c>
      <c r="Y857" s="154" t="s">
        <v>1386</v>
      </c>
      <c r="Z857" s="154"/>
      <c r="AA857" s="154" t="s">
        <v>1387</v>
      </c>
      <c r="AB857" s="154">
        <v>0</v>
      </c>
      <c r="AC857" s="138">
        <f>IFERROR(IF(DATEDIF(#REF!,U857,"m")&lt;=1,1,IF(AND(DATEDIF(#REF!,U857,"m")&gt;1,DATEDIF(#REF!,U857,"m")&lt;12),2,IF(AND(DATEDIF(#REF!,U857,"m")&gt;=12,DATEDIF(#REF!,U857,"m")&lt;24),3,IF(DATEDIF(#REF!,U857,"m")&gt;=24,4,"")))),IF(E857="r0320 - Deposits, not covered and not preferential",1,4))</f>
        <v>4</v>
      </c>
    </row>
    <row r="858" spans="3:29" ht="36.75" thickBot="1" x14ac:dyDescent="0.3">
      <c r="C858" s="11">
        <v>999</v>
      </c>
      <c r="D858" s="154">
        <v>851</v>
      </c>
      <c r="E858" s="154" t="s">
        <v>1898</v>
      </c>
      <c r="F858" s="154" t="s">
        <v>87</v>
      </c>
      <c r="G858" s="154" t="s">
        <v>1402</v>
      </c>
      <c r="H858" s="154" t="s">
        <v>856</v>
      </c>
      <c r="I858" s="154" t="s">
        <v>96</v>
      </c>
      <c r="J858" s="154" t="s">
        <v>97</v>
      </c>
      <c r="K858" s="154" t="s">
        <v>91</v>
      </c>
      <c r="L858" s="154" t="s">
        <v>1897</v>
      </c>
      <c r="M858" s="154" t="s">
        <v>1383</v>
      </c>
      <c r="N858" s="154" t="s">
        <v>61</v>
      </c>
      <c r="O858" s="154" t="s">
        <v>62</v>
      </c>
      <c r="P858" s="146">
        <v>0.59</v>
      </c>
      <c r="Q858" s="146">
        <v>0</v>
      </c>
      <c r="R858" s="154" t="s">
        <v>1384</v>
      </c>
      <c r="S858" s="154" t="s">
        <v>1899</v>
      </c>
      <c r="T858" s="155" t="s">
        <v>1899</v>
      </c>
      <c r="U858" s="155" t="s">
        <v>1899</v>
      </c>
      <c r="V858" s="154" t="s">
        <v>1562</v>
      </c>
      <c r="W858" s="154">
        <v>0</v>
      </c>
      <c r="X858" s="154" t="s">
        <v>63</v>
      </c>
      <c r="Y858" s="154" t="s">
        <v>1900</v>
      </c>
      <c r="Z858" s="154"/>
      <c r="AA858" s="154" t="s">
        <v>1387</v>
      </c>
      <c r="AB858" s="154">
        <v>0</v>
      </c>
      <c r="AC858" s="138">
        <f>IFERROR(IF(DATEDIF(#REF!,U858,"m")&lt;=1,1,IF(AND(DATEDIF(#REF!,U858,"m")&gt;1,DATEDIF(#REF!,U858,"m")&lt;12),2,IF(AND(DATEDIF(#REF!,U858,"m")&gt;=12,DATEDIF(#REF!,U858,"m")&lt;24),3,IF(DATEDIF(#REF!,U858,"m")&gt;=24,4,"")))),IF(E858="r0320 - Deposits, not covered and not preferential",1,4))</f>
        <v>4</v>
      </c>
    </row>
    <row r="859" spans="3:29" ht="48.75" thickBot="1" x14ac:dyDescent="0.3">
      <c r="C859" s="11">
        <v>999</v>
      </c>
      <c r="D859" s="154">
        <v>852</v>
      </c>
      <c r="E859" s="154" t="s">
        <v>1902</v>
      </c>
      <c r="F859" s="154" t="s">
        <v>83</v>
      </c>
      <c r="G859" s="154" t="s">
        <v>1903</v>
      </c>
      <c r="H859" s="154" t="s">
        <v>338</v>
      </c>
      <c r="I859" s="154" t="s">
        <v>93</v>
      </c>
      <c r="J859" s="154" t="s">
        <v>94</v>
      </c>
      <c r="K859" s="154" t="s">
        <v>60</v>
      </c>
      <c r="L859" s="154" t="s">
        <v>1897</v>
      </c>
      <c r="M859" s="154" t="s">
        <v>1388</v>
      </c>
      <c r="N859" s="154" t="s">
        <v>61</v>
      </c>
      <c r="O859" s="154" t="s">
        <v>62</v>
      </c>
      <c r="P859" s="146">
        <v>135326.79999999999</v>
      </c>
      <c r="Q859" s="146">
        <v>24.22</v>
      </c>
      <c r="R859" s="154" t="s">
        <v>1384</v>
      </c>
      <c r="S859" s="154" t="s">
        <v>1899</v>
      </c>
      <c r="T859" s="155" t="s">
        <v>768</v>
      </c>
      <c r="U859" s="155" t="s">
        <v>1899</v>
      </c>
      <c r="V859" s="154" t="s">
        <v>1904</v>
      </c>
      <c r="W859" s="154">
        <v>0</v>
      </c>
      <c r="X859" s="154" t="s">
        <v>63</v>
      </c>
      <c r="Y859" s="154" t="s">
        <v>1386</v>
      </c>
      <c r="Z859" s="154"/>
      <c r="AA859" s="154" t="s">
        <v>1387</v>
      </c>
      <c r="AB859" s="154">
        <v>0</v>
      </c>
      <c r="AC859" s="138">
        <f>IFERROR(IF(DATEDIF(#REF!,U859,"m")&lt;=1,1,IF(AND(DATEDIF(#REF!,U859,"m")&gt;1,DATEDIF(#REF!,U859,"m")&lt;12),2,IF(AND(DATEDIF(#REF!,U859,"m")&gt;=12,DATEDIF(#REF!,U859,"m")&lt;24),3,IF(DATEDIF(#REF!,U859,"m")&gt;=24,4,"")))),IF(E859="r0320 - Deposits, not covered and not preferential",1,4))</f>
        <v>4</v>
      </c>
    </row>
    <row r="860" spans="3:29" ht="36.75" thickBot="1" x14ac:dyDescent="0.3">
      <c r="C860" s="11">
        <v>999</v>
      </c>
      <c r="D860" s="154">
        <v>853</v>
      </c>
      <c r="E860" s="154" t="s">
        <v>1898</v>
      </c>
      <c r="F860" s="154" t="s">
        <v>87</v>
      </c>
      <c r="G860" s="154" t="s">
        <v>1402</v>
      </c>
      <c r="H860" s="154" t="s">
        <v>463</v>
      </c>
      <c r="I860" s="154" t="s">
        <v>96</v>
      </c>
      <c r="J860" s="154" t="s">
        <v>97</v>
      </c>
      <c r="K860" s="154" t="s">
        <v>91</v>
      </c>
      <c r="L860" s="154" t="s">
        <v>1897</v>
      </c>
      <c r="M860" s="154" t="s">
        <v>1383</v>
      </c>
      <c r="N860" s="154" t="s">
        <v>61</v>
      </c>
      <c r="O860" s="154" t="s">
        <v>62</v>
      </c>
      <c r="P860" s="146">
        <v>0.87</v>
      </c>
      <c r="Q860" s="146">
        <v>0</v>
      </c>
      <c r="R860" s="154" t="s">
        <v>1384</v>
      </c>
      <c r="S860" s="154" t="s">
        <v>1899</v>
      </c>
      <c r="T860" s="155" t="s">
        <v>1899</v>
      </c>
      <c r="U860" s="155" t="s">
        <v>1899</v>
      </c>
      <c r="V860" s="154" t="s">
        <v>1562</v>
      </c>
      <c r="W860" s="154">
        <v>0</v>
      </c>
      <c r="X860" s="154" t="s">
        <v>63</v>
      </c>
      <c r="Y860" s="154" t="s">
        <v>1900</v>
      </c>
      <c r="Z860" s="154"/>
      <c r="AA860" s="154" t="s">
        <v>1387</v>
      </c>
      <c r="AB860" s="154">
        <v>0</v>
      </c>
      <c r="AC860" s="138">
        <f>IFERROR(IF(DATEDIF(#REF!,U860,"m")&lt;=1,1,IF(AND(DATEDIF(#REF!,U860,"m")&gt;1,DATEDIF(#REF!,U860,"m")&lt;12),2,IF(AND(DATEDIF(#REF!,U860,"m")&gt;=12,DATEDIF(#REF!,U860,"m")&lt;24),3,IF(DATEDIF(#REF!,U860,"m")&gt;=24,4,"")))),IF(E860="r0320 - Deposits, not covered and not preferential",1,4))</f>
        <v>4</v>
      </c>
    </row>
    <row r="861" spans="3:29" ht="36.75" thickBot="1" x14ac:dyDescent="0.3">
      <c r="C861" s="11">
        <v>999</v>
      </c>
      <c r="D861" s="154">
        <v>854</v>
      </c>
      <c r="E861" s="154" t="s">
        <v>1898</v>
      </c>
      <c r="F861" s="154" t="s">
        <v>87</v>
      </c>
      <c r="G861" s="154" t="s">
        <v>1402</v>
      </c>
      <c r="H861" s="154" t="s">
        <v>205</v>
      </c>
      <c r="I861" s="154" t="s">
        <v>96</v>
      </c>
      <c r="J861" s="154" t="s">
        <v>97</v>
      </c>
      <c r="K861" s="154" t="s">
        <v>91</v>
      </c>
      <c r="L861" s="154" t="s">
        <v>1897</v>
      </c>
      <c r="M861" s="154" t="s">
        <v>1383</v>
      </c>
      <c r="N861" s="154" t="s">
        <v>61</v>
      </c>
      <c r="O861" s="154" t="s">
        <v>62</v>
      </c>
      <c r="P861" s="146">
        <v>0.03</v>
      </c>
      <c r="Q861" s="146">
        <v>0</v>
      </c>
      <c r="R861" s="154" t="s">
        <v>1384</v>
      </c>
      <c r="S861" s="154" t="s">
        <v>1899</v>
      </c>
      <c r="T861" s="155" t="s">
        <v>1899</v>
      </c>
      <c r="U861" s="155" t="s">
        <v>1899</v>
      </c>
      <c r="V861" s="154" t="s">
        <v>1562</v>
      </c>
      <c r="W861" s="154">
        <v>0</v>
      </c>
      <c r="X861" s="154" t="s">
        <v>63</v>
      </c>
      <c r="Y861" s="154" t="s">
        <v>1900</v>
      </c>
      <c r="Z861" s="154"/>
      <c r="AA861" s="154" t="s">
        <v>1387</v>
      </c>
      <c r="AB861" s="154">
        <v>0</v>
      </c>
      <c r="AC861" s="138">
        <f>IFERROR(IF(DATEDIF(#REF!,U861,"m")&lt;=1,1,IF(AND(DATEDIF(#REF!,U861,"m")&gt;1,DATEDIF(#REF!,U861,"m")&lt;12),2,IF(AND(DATEDIF(#REF!,U861,"m")&gt;=12,DATEDIF(#REF!,U861,"m")&lt;24),3,IF(DATEDIF(#REF!,U861,"m")&gt;=24,4,"")))),IF(E861="r0320 - Deposits, not covered and not preferential",1,4))</f>
        <v>4</v>
      </c>
    </row>
    <row r="862" spans="3:29" ht="36.75" thickBot="1" x14ac:dyDescent="0.3">
      <c r="C862" s="11">
        <v>999</v>
      </c>
      <c r="D862" s="154">
        <v>855</v>
      </c>
      <c r="E862" s="154" t="s">
        <v>1898</v>
      </c>
      <c r="F862" s="154" t="s">
        <v>87</v>
      </c>
      <c r="G862" s="154" t="s">
        <v>1402</v>
      </c>
      <c r="H862" s="154" t="s">
        <v>857</v>
      </c>
      <c r="I862" s="154" t="s">
        <v>96</v>
      </c>
      <c r="J862" s="154" t="s">
        <v>97</v>
      </c>
      <c r="K862" s="154" t="s">
        <v>91</v>
      </c>
      <c r="L862" s="154" t="s">
        <v>1897</v>
      </c>
      <c r="M862" s="154" t="s">
        <v>1383</v>
      </c>
      <c r="N862" s="154" t="s">
        <v>61</v>
      </c>
      <c r="O862" s="154" t="s">
        <v>62</v>
      </c>
      <c r="P862" s="146">
        <v>0.52</v>
      </c>
      <c r="Q862" s="146">
        <v>0</v>
      </c>
      <c r="R862" s="154" t="s">
        <v>1384</v>
      </c>
      <c r="S862" s="154" t="s">
        <v>1899</v>
      </c>
      <c r="T862" s="155" t="s">
        <v>1899</v>
      </c>
      <c r="U862" s="155" t="s">
        <v>1899</v>
      </c>
      <c r="V862" s="154" t="s">
        <v>1562</v>
      </c>
      <c r="W862" s="154">
        <v>0</v>
      </c>
      <c r="X862" s="154" t="s">
        <v>63</v>
      </c>
      <c r="Y862" s="154" t="s">
        <v>1900</v>
      </c>
      <c r="Z862" s="154"/>
      <c r="AA862" s="154" t="s">
        <v>1387</v>
      </c>
      <c r="AB862" s="154">
        <v>0</v>
      </c>
      <c r="AC862" s="138">
        <f>IFERROR(IF(DATEDIF(#REF!,U862,"m")&lt;=1,1,IF(AND(DATEDIF(#REF!,U862,"m")&gt;1,DATEDIF(#REF!,U862,"m")&lt;12),2,IF(AND(DATEDIF(#REF!,U862,"m")&gt;=12,DATEDIF(#REF!,U862,"m")&lt;24),3,IF(DATEDIF(#REF!,U862,"m")&gt;=24,4,"")))),IF(E862="r0320 - Deposits, not covered and not preferential",1,4))</f>
        <v>4</v>
      </c>
    </row>
    <row r="863" spans="3:29" ht="36.75" thickBot="1" x14ac:dyDescent="0.3">
      <c r="C863" s="11">
        <v>999</v>
      </c>
      <c r="D863" s="154">
        <v>856</v>
      </c>
      <c r="E863" s="154" t="s">
        <v>1898</v>
      </c>
      <c r="F863" s="154" t="s">
        <v>87</v>
      </c>
      <c r="G863" s="154" t="s">
        <v>1402</v>
      </c>
      <c r="H863" s="154" t="s">
        <v>350</v>
      </c>
      <c r="I863" s="154" t="s">
        <v>99</v>
      </c>
      <c r="J863" s="154" t="s">
        <v>90</v>
      </c>
      <c r="K863" s="154" t="s">
        <v>91</v>
      </c>
      <c r="L863" s="154" t="s">
        <v>1897</v>
      </c>
      <c r="M863" s="154" t="s">
        <v>1383</v>
      </c>
      <c r="N863" s="154" t="s">
        <v>61</v>
      </c>
      <c r="O863" s="154" t="s">
        <v>62</v>
      </c>
      <c r="P863" s="146">
        <v>0.44</v>
      </c>
      <c r="Q863" s="146">
        <v>0</v>
      </c>
      <c r="R863" s="154" t="s">
        <v>1384</v>
      </c>
      <c r="S863" s="154" t="s">
        <v>1899</v>
      </c>
      <c r="T863" s="155" t="s">
        <v>1899</v>
      </c>
      <c r="U863" s="155" t="s">
        <v>1899</v>
      </c>
      <c r="V863" s="154" t="s">
        <v>1562</v>
      </c>
      <c r="W863" s="154">
        <v>0</v>
      </c>
      <c r="X863" s="154" t="s">
        <v>63</v>
      </c>
      <c r="Y863" s="154" t="s">
        <v>1900</v>
      </c>
      <c r="Z863" s="154"/>
      <c r="AA863" s="154" t="s">
        <v>1387</v>
      </c>
      <c r="AB863" s="154">
        <v>0</v>
      </c>
      <c r="AC863" s="138">
        <f>IFERROR(IF(DATEDIF(#REF!,U863,"m")&lt;=1,1,IF(AND(DATEDIF(#REF!,U863,"m")&gt;1,DATEDIF(#REF!,U863,"m")&lt;12),2,IF(AND(DATEDIF(#REF!,U863,"m")&gt;=12,DATEDIF(#REF!,U863,"m")&lt;24),3,IF(DATEDIF(#REF!,U863,"m")&gt;=24,4,"")))),IF(E863="r0320 - Deposits, not covered and not preferential",1,4))</f>
        <v>4</v>
      </c>
    </row>
    <row r="864" spans="3:29" ht="36.75" thickBot="1" x14ac:dyDescent="0.3">
      <c r="C864" s="11">
        <v>999</v>
      </c>
      <c r="D864" s="154">
        <v>857</v>
      </c>
      <c r="E864" s="154" t="s">
        <v>1898</v>
      </c>
      <c r="F864" s="154" t="s">
        <v>87</v>
      </c>
      <c r="G864" s="154" t="s">
        <v>1402</v>
      </c>
      <c r="H864" s="154" t="s">
        <v>858</v>
      </c>
      <c r="I864" s="154" t="s">
        <v>96</v>
      </c>
      <c r="J864" s="154" t="s">
        <v>97</v>
      </c>
      <c r="K864" s="154" t="s">
        <v>91</v>
      </c>
      <c r="L864" s="154" t="s">
        <v>1897</v>
      </c>
      <c r="M864" s="154" t="s">
        <v>1383</v>
      </c>
      <c r="N864" s="154" t="s">
        <v>61</v>
      </c>
      <c r="O864" s="154" t="s">
        <v>62</v>
      </c>
      <c r="P864" s="146">
        <v>0.04</v>
      </c>
      <c r="Q864" s="146">
        <v>0</v>
      </c>
      <c r="R864" s="154" t="s">
        <v>1384</v>
      </c>
      <c r="S864" s="154" t="s">
        <v>1899</v>
      </c>
      <c r="T864" s="155" t="s">
        <v>1899</v>
      </c>
      <c r="U864" s="155" t="s">
        <v>1899</v>
      </c>
      <c r="V864" s="154" t="s">
        <v>1562</v>
      </c>
      <c r="W864" s="154">
        <v>0</v>
      </c>
      <c r="X864" s="154" t="s">
        <v>63</v>
      </c>
      <c r="Y864" s="154" t="s">
        <v>1900</v>
      </c>
      <c r="Z864" s="154"/>
      <c r="AA864" s="154" t="s">
        <v>1387</v>
      </c>
      <c r="AB864" s="154">
        <v>0</v>
      </c>
      <c r="AC864" s="138">
        <f>IFERROR(IF(DATEDIF(#REF!,U864,"m")&lt;=1,1,IF(AND(DATEDIF(#REF!,U864,"m")&gt;1,DATEDIF(#REF!,U864,"m")&lt;12),2,IF(AND(DATEDIF(#REF!,U864,"m")&gt;=12,DATEDIF(#REF!,U864,"m")&lt;24),3,IF(DATEDIF(#REF!,U864,"m")&gt;=24,4,"")))),IF(E864="r0320 - Deposits, not covered and not preferential",1,4))</f>
        <v>4</v>
      </c>
    </row>
    <row r="865" spans="3:29" ht="48.75" thickBot="1" x14ac:dyDescent="0.3">
      <c r="C865" s="11">
        <v>999</v>
      </c>
      <c r="D865" s="154">
        <v>858</v>
      </c>
      <c r="E865" s="154" t="s">
        <v>1902</v>
      </c>
      <c r="F865" s="154" t="s">
        <v>83</v>
      </c>
      <c r="G865" s="154" t="s">
        <v>1903</v>
      </c>
      <c r="H865" s="154" t="s">
        <v>808</v>
      </c>
      <c r="I865" s="154" t="s">
        <v>93</v>
      </c>
      <c r="J865" s="154" t="s">
        <v>94</v>
      </c>
      <c r="K865" s="154" t="s">
        <v>60</v>
      </c>
      <c r="L865" s="154" t="s">
        <v>1897</v>
      </c>
      <c r="M865" s="154" t="s">
        <v>1388</v>
      </c>
      <c r="N865" s="154" t="s">
        <v>61</v>
      </c>
      <c r="O865" s="154" t="s">
        <v>62</v>
      </c>
      <c r="P865" s="146">
        <v>86706.06</v>
      </c>
      <c r="Q865" s="146">
        <v>17.100000000000001</v>
      </c>
      <c r="R865" s="154" t="s">
        <v>1384</v>
      </c>
      <c r="S865" s="154" t="s">
        <v>1899</v>
      </c>
      <c r="T865" s="155" t="s">
        <v>768</v>
      </c>
      <c r="U865" s="155" t="s">
        <v>1899</v>
      </c>
      <c r="V865" s="154" t="s">
        <v>1904</v>
      </c>
      <c r="W865" s="154">
        <v>0</v>
      </c>
      <c r="X865" s="154" t="s">
        <v>63</v>
      </c>
      <c r="Y865" s="154" t="s">
        <v>1386</v>
      </c>
      <c r="Z865" s="154"/>
      <c r="AA865" s="154" t="s">
        <v>1387</v>
      </c>
      <c r="AB865" s="154">
        <v>0</v>
      </c>
      <c r="AC865" s="138">
        <f>IFERROR(IF(DATEDIF(#REF!,U865,"m")&lt;=1,1,IF(AND(DATEDIF(#REF!,U865,"m")&gt;1,DATEDIF(#REF!,U865,"m")&lt;12),2,IF(AND(DATEDIF(#REF!,U865,"m")&gt;=12,DATEDIF(#REF!,U865,"m")&lt;24),3,IF(DATEDIF(#REF!,U865,"m")&gt;=24,4,"")))),IF(E865="r0320 - Deposits, not covered and not preferential",1,4))</f>
        <v>4</v>
      </c>
    </row>
    <row r="866" spans="3:29" ht="36.75" thickBot="1" x14ac:dyDescent="0.3">
      <c r="C866" s="11">
        <v>999</v>
      </c>
      <c r="D866" s="154">
        <v>859</v>
      </c>
      <c r="E866" s="154" t="s">
        <v>1898</v>
      </c>
      <c r="F866" s="154" t="s">
        <v>87</v>
      </c>
      <c r="G866" s="154" t="s">
        <v>1402</v>
      </c>
      <c r="H866" s="154" t="s">
        <v>860</v>
      </c>
      <c r="I866" s="154" t="s">
        <v>96</v>
      </c>
      <c r="J866" s="154" t="s">
        <v>97</v>
      </c>
      <c r="K866" s="154" t="s">
        <v>91</v>
      </c>
      <c r="L866" s="154" t="s">
        <v>1897</v>
      </c>
      <c r="M866" s="154" t="s">
        <v>1383</v>
      </c>
      <c r="N866" s="154" t="s">
        <v>61</v>
      </c>
      <c r="O866" s="154" t="s">
        <v>62</v>
      </c>
      <c r="P866" s="146">
        <v>0.98</v>
      </c>
      <c r="Q866" s="146">
        <v>0</v>
      </c>
      <c r="R866" s="154" t="s">
        <v>1384</v>
      </c>
      <c r="S866" s="154" t="s">
        <v>1899</v>
      </c>
      <c r="T866" s="155" t="s">
        <v>1899</v>
      </c>
      <c r="U866" s="155" t="s">
        <v>1899</v>
      </c>
      <c r="V866" s="154" t="s">
        <v>1562</v>
      </c>
      <c r="W866" s="154">
        <v>0</v>
      </c>
      <c r="X866" s="154" t="s">
        <v>63</v>
      </c>
      <c r="Y866" s="154" t="s">
        <v>1900</v>
      </c>
      <c r="Z866" s="154"/>
      <c r="AA866" s="154" t="s">
        <v>1387</v>
      </c>
      <c r="AB866" s="154">
        <v>0</v>
      </c>
      <c r="AC866" s="138">
        <f>IFERROR(IF(DATEDIF(#REF!,U866,"m")&lt;=1,1,IF(AND(DATEDIF(#REF!,U866,"m")&gt;1,DATEDIF(#REF!,U866,"m")&lt;12),2,IF(AND(DATEDIF(#REF!,U866,"m")&gt;=12,DATEDIF(#REF!,U866,"m")&lt;24),3,IF(DATEDIF(#REF!,U866,"m")&gt;=24,4,"")))),IF(E866="r0320 - Deposits, not covered and not preferential",1,4))</f>
        <v>4</v>
      </c>
    </row>
    <row r="867" spans="3:29" ht="48.75" thickBot="1" x14ac:dyDescent="0.3">
      <c r="C867" s="11">
        <v>999</v>
      </c>
      <c r="D867" s="154">
        <v>860</v>
      </c>
      <c r="E867" s="154" t="s">
        <v>1902</v>
      </c>
      <c r="F867" s="154" t="s">
        <v>83</v>
      </c>
      <c r="G867" s="154" t="s">
        <v>1903</v>
      </c>
      <c r="H867" s="154" t="s">
        <v>514</v>
      </c>
      <c r="I867" s="154" t="s">
        <v>114</v>
      </c>
      <c r="J867" s="154" t="s">
        <v>115</v>
      </c>
      <c r="K867" s="154" t="s">
        <v>60</v>
      </c>
      <c r="L867" s="154" t="s">
        <v>1897</v>
      </c>
      <c r="M867" s="154" t="s">
        <v>1388</v>
      </c>
      <c r="N867" s="154" t="s">
        <v>61</v>
      </c>
      <c r="O867" s="154" t="s">
        <v>62</v>
      </c>
      <c r="P867" s="146">
        <v>51608.32</v>
      </c>
      <c r="Q867" s="146">
        <v>-5.28</v>
      </c>
      <c r="R867" s="154" t="s">
        <v>1384</v>
      </c>
      <c r="S867" s="154" t="s">
        <v>1899</v>
      </c>
      <c r="T867" s="155" t="s">
        <v>768</v>
      </c>
      <c r="U867" s="155" t="s">
        <v>1899</v>
      </c>
      <c r="V867" s="154" t="s">
        <v>1904</v>
      </c>
      <c r="W867" s="154">
        <v>0</v>
      </c>
      <c r="X867" s="154" t="s">
        <v>63</v>
      </c>
      <c r="Y867" s="154" t="s">
        <v>1386</v>
      </c>
      <c r="Z867" s="154"/>
      <c r="AA867" s="154" t="s">
        <v>1387</v>
      </c>
      <c r="AB867" s="154">
        <v>0</v>
      </c>
      <c r="AC867" s="138">
        <f>IFERROR(IF(DATEDIF(#REF!,U867,"m")&lt;=1,1,IF(AND(DATEDIF(#REF!,U867,"m")&gt;1,DATEDIF(#REF!,U867,"m")&lt;12),2,IF(AND(DATEDIF(#REF!,U867,"m")&gt;=12,DATEDIF(#REF!,U867,"m")&lt;24),3,IF(DATEDIF(#REF!,U867,"m")&gt;=24,4,"")))),IF(E867="r0320 - Deposits, not covered and not preferential",1,4))</f>
        <v>4</v>
      </c>
    </row>
    <row r="868" spans="3:29" ht="36.75" thickBot="1" x14ac:dyDescent="0.3">
      <c r="C868" s="11">
        <v>999</v>
      </c>
      <c r="D868" s="154">
        <v>861</v>
      </c>
      <c r="E868" s="154" t="s">
        <v>1898</v>
      </c>
      <c r="F868" s="154" t="s">
        <v>87</v>
      </c>
      <c r="G868" s="154" t="s">
        <v>1402</v>
      </c>
      <c r="H868" s="154" t="s">
        <v>190</v>
      </c>
      <c r="I868" s="154" t="s">
        <v>96</v>
      </c>
      <c r="J868" s="154" t="s">
        <v>97</v>
      </c>
      <c r="K868" s="154" t="s">
        <v>91</v>
      </c>
      <c r="L868" s="154" t="s">
        <v>1897</v>
      </c>
      <c r="M868" s="154" t="s">
        <v>1383</v>
      </c>
      <c r="N868" s="154" t="s">
        <v>61</v>
      </c>
      <c r="O868" s="154" t="s">
        <v>62</v>
      </c>
      <c r="P868" s="146">
        <v>22.42</v>
      </c>
      <c r="Q868" s="146">
        <v>0</v>
      </c>
      <c r="R868" s="154" t="s">
        <v>1384</v>
      </c>
      <c r="S868" s="154" t="s">
        <v>1899</v>
      </c>
      <c r="T868" s="155" t="s">
        <v>1899</v>
      </c>
      <c r="U868" s="155" t="s">
        <v>1899</v>
      </c>
      <c r="V868" s="154" t="s">
        <v>1562</v>
      </c>
      <c r="W868" s="154">
        <v>0</v>
      </c>
      <c r="X868" s="154" t="s">
        <v>63</v>
      </c>
      <c r="Y868" s="154" t="s">
        <v>1900</v>
      </c>
      <c r="Z868" s="154"/>
      <c r="AA868" s="154" t="s">
        <v>1387</v>
      </c>
      <c r="AB868" s="154">
        <v>0</v>
      </c>
      <c r="AC868" s="138">
        <f>IFERROR(IF(DATEDIF(#REF!,U868,"m")&lt;=1,1,IF(AND(DATEDIF(#REF!,U868,"m")&gt;1,DATEDIF(#REF!,U868,"m")&lt;12),2,IF(AND(DATEDIF(#REF!,U868,"m")&gt;=12,DATEDIF(#REF!,U868,"m")&lt;24),3,IF(DATEDIF(#REF!,U868,"m")&gt;=24,4,"")))),IF(E868="r0320 - Deposits, not covered and not preferential",1,4))</f>
        <v>4</v>
      </c>
    </row>
    <row r="869" spans="3:29" ht="36.75" thickBot="1" x14ac:dyDescent="0.3">
      <c r="C869" s="11">
        <v>999</v>
      </c>
      <c r="D869" s="154">
        <v>862</v>
      </c>
      <c r="E869" s="154" t="s">
        <v>1898</v>
      </c>
      <c r="F869" s="154" t="s">
        <v>87</v>
      </c>
      <c r="G869" s="154" t="s">
        <v>1402</v>
      </c>
      <c r="H869" s="154" t="s">
        <v>822</v>
      </c>
      <c r="I869" s="154" t="s">
        <v>96</v>
      </c>
      <c r="J869" s="154" t="s">
        <v>97</v>
      </c>
      <c r="K869" s="154" t="s">
        <v>91</v>
      </c>
      <c r="L869" s="154" t="s">
        <v>1897</v>
      </c>
      <c r="M869" s="154" t="s">
        <v>1383</v>
      </c>
      <c r="N869" s="154" t="s">
        <v>61</v>
      </c>
      <c r="O869" s="154" t="s">
        <v>62</v>
      </c>
      <c r="P869" s="146">
        <v>0.01</v>
      </c>
      <c r="Q869" s="146">
        <v>0</v>
      </c>
      <c r="R869" s="154" t="s">
        <v>1384</v>
      </c>
      <c r="S869" s="154" t="s">
        <v>1899</v>
      </c>
      <c r="T869" s="155" t="s">
        <v>1899</v>
      </c>
      <c r="U869" s="155" t="s">
        <v>1899</v>
      </c>
      <c r="V869" s="154" t="s">
        <v>1562</v>
      </c>
      <c r="W869" s="154">
        <v>0</v>
      </c>
      <c r="X869" s="154" t="s">
        <v>63</v>
      </c>
      <c r="Y869" s="154" t="s">
        <v>1900</v>
      </c>
      <c r="Z869" s="154"/>
      <c r="AA869" s="154" t="s">
        <v>1387</v>
      </c>
      <c r="AB869" s="154">
        <v>0</v>
      </c>
      <c r="AC869" s="138">
        <f>IFERROR(IF(DATEDIF(#REF!,U869,"m")&lt;=1,1,IF(AND(DATEDIF(#REF!,U869,"m")&gt;1,DATEDIF(#REF!,U869,"m")&lt;12),2,IF(AND(DATEDIF(#REF!,U869,"m")&gt;=12,DATEDIF(#REF!,U869,"m")&lt;24),3,IF(DATEDIF(#REF!,U869,"m")&gt;=24,4,"")))),IF(E869="r0320 - Deposits, not covered and not preferential",1,4))</f>
        <v>4</v>
      </c>
    </row>
    <row r="870" spans="3:29" ht="36.75" thickBot="1" x14ac:dyDescent="0.3">
      <c r="C870" s="11">
        <v>999</v>
      </c>
      <c r="D870" s="154">
        <v>863</v>
      </c>
      <c r="E870" s="154" t="s">
        <v>1898</v>
      </c>
      <c r="F870" s="154" t="s">
        <v>87</v>
      </c>
      <c r="G870" s="154" t="s">
        <v>1402</v>
      </c>
      <c r="H870" s="154" t="s">
        <v>863</v>
      </c>
      <c r="I870" s="154" t="s">
        <v>96</v>
      </c>
      <c r="J870" s="154" t="s">
        <v>97</v>
      </c>
      <c r="K870" s="154" t="s">
        <v>91</v>
      </c>
      <c r="L870" s="154" t="s">
        <v>1897</v>
      </c>
      <c r="M870" s="154" t="s">
        <v>1383</v>
      </c>
      <c r="N870" s="154" t="s">
        <v>61</v>
      </c>
      <c r="O870" s="154" t="s">
        <v>62</v>
      </c>
      <c r="P870" s="146">
        <v>5.72</v>
      </c>
      <c r="Q870" s="146">
        <v>0</v>
      </c>
      <c r="R870" s="154" t="s">
        <v>1384</v>
      </c>
      <c r="S870" s="154" t="s">
        <v>1899</v>
      </c>
      <c r="T870" s="155" t="s">
        <v>1899</v>
      </c>
      <c r="U870" s="155" t="s">
        <v>1899</v>
      </c>
      <c r="V870" s="154" t="s">
        <v>1562</v>
      </c>
      <c r="W870" s="154">
        <v>0</v>
      </c>
      <c r="X870" s="154" t="s">
        <v>63</v>
      </c>
      <c r="Y870" s="154" t="s">
        <v>1900</v>
      </c>
      <c r="Z870" s="154"/>
      <c r="AA870" s="154" t="s">
        <v>1387</v>
      </c>
      <c r="AB870" s="154">
        <v>0</v>
      </c>
      <c r="AC870" s="138">
        <f>IFERROR(IF(DATEDIF(#REF!,U870,"m")&lt;=1,1,IF(AND(DATEDIF(#REF!,U870,"m")&gt;1,DATEDIF(#REF!,U870,"m")&lt;12),2,IF(AND(DATEDIF(#REF!,U870,"m")&gt;=12,DATEDIF(#REF!,U870,"m")&lt;24),3,IF(DATEDIF(#REF!,U870,"m")&gt;=24,4,"")))),IF(E870="r0320 - Deposits, not covered and not preferential",1,4))</f>
        <v>4</v>
      </c>
    </row>
    <row r="871" spans="3:29" ht="48.75" thickBot="1" x14ac:dyDescent="0.3">
      <c r="C871" s="11">
        <v>999</v>
      </c>
      <c r="D871" s="154">
        <v>864</v>
      </c>
      <c r="E871" s="154" t="s">
        <v>1902</v>
      </c>
      <c r="F871" s="154" t="s">
        <v>83</v>
      </c>
      <c r="G871" s="154" t="s">
        <v>1903</v>
      </c>
      <c r="H871" s="154" t="s">
        <v>804</v>
      </c>
      <c r="I871" s="154" t="s">
        <v>114</v>
      </c>
      <c r="J871" s="154" t="s">
        <v>115</v>
      </c>
      <c r="K871" s="154" t="s">
        <v>60</v>
      </c>
      <c r="L871" s="154" t="s">
        <v>1897</v>
      </c>
      <c r="M871" s="154" t="s">
        <v>1388</v>
      </c>
      <c r="N871" s="154" t="s">
        <v>61</v>
      </c>
      <c r="O871" s="154" t="s">
        <v>62</v>
      </c>
      <c r="P871" s="146">
        <v>336618.46</v>
      </c>
      <c r="Q871" s="146">
        <v>14.28</v>
      </c>
      <c r="R871" s="154" t="s">
        <v>1384</v>
      </c>
      <c r="S871" s="154" t="s">
        <v>1899</v>
      </c>
      <c r="T871" s="155" t="s">
        <v>768</v>
      </c>
      <c r="U871" s="155" t="s">
        <v>1899</v>
      </c>
      <c r="V871" s="154" t="s">
        <v>1904</v>
      </c>
      <c r="W871" s="154">
        <v>0</v>
      </c>
      <c r="X871" s="154" t="s">
        <v>63</v>
      </c>
      <c r="Y871" s="154" t="s">
        <v>1386</v>
      </c>
      <c r="Z871" s="154"/>
      <c r="AA871" s="154" t="s">
        <v>1387</v>
      </c>
      <c r="AB871" s="154">
        <v>0</v>
      </c>
      <c r="AC871" s="138">
        <f>IFERROR(IF(DATEDIF(#REF!,U871,"m")&lt;=1,1,IF(AND(DATEDIF(#REF!,U871,"m")&gt;1,DATEDIF(#REF!,U871,"m")&lt;12),2,IF(AND(DATEDIF(#REF!,U871,"m")&gt;=12,DATEDIF(#REF!,U871,"m")&lt;24),3,IF(DATEDIF(#REF!,U871,"m")&gt;=24,4,"")))),IF(E871="r0320 - Deposits, not covered and not preferential",1,4))</f>
        <v>4</v>
      </c>
    </row>
    <row r="872" spans="3:29" ht="36.75" thickBot="1" x14ac:dyDescent="0.3">
      <c r="C872" s="11">
        <v>999</v>
      </c>
      <c r="D872" s="154">
        <v>865</v>
      </c>
      <c r="E872" s="154" t="s">
        <v>1898</v>
      </c>
      <c r="F872" s="154" t="s">
        <v>87</v>
      </c>
      <c r="G872" s="154" t="s">
        <v>1402</v>
      </c>
      <c r="H872" s="154" t="s">
        <v>865</v>
      </c>
      <c r="I872" s="154" t="s">
        <v>237</v>
      </c>
      <c r="J872" s="154" t="s">
        <v>238</v>
      </c>
      <c r="K872" s="154" t="s">
        <v>60</v>
      </c>
      <c r="L872" s="154" t="s">
        <v>1897</v>
      </c>
      <c r="M872" s="154" t="s">
        <v>1383</v>
      </c>
      <c r="N872" s="154" t="s">
        <v>61</v>
      </c>
      <c r="O872" s="154" t="s">
        <v>62</v>
      </c>
      <c r="P872" s="146">
        <v>10040.08</v>
      </c>
      <c r="Q872" s="146">
        <v>0</v>
      </c>
      <c r="R872" s="154" t="s">
        <v>1384</v>
      </c>
      <c r="S872" s="154" t="s">
        <v>1899</v>
      </c>
      <c r="T872" s="155" t="s">
        <v>1899</v>
      </c>
      <c r="U872" s="155" t="s">
        <v>1899</v>
      </c>
      <c r="V872" s="154" t="s">
        <v>1562</v>
      </c>
      <c r="W872" s="154">
        <v>0</v>
      </c>
      <c r="X872" s="154" t="s">
        <v>63</v>
      </c>
      <c r="Y872" s="154" t="s">
        <v>1900</v>
      </c>
      <c r="Z872" s="154"/>
      <c r="AA872" s="154" t="s">
        <v>1387</v>
      </c>
      <c r="AB872" s="154">
        <v>0</v>
      </c>
      <c r="AC872" s="138">
        <f>IFERROR(IF(DATEDIF(#REF!,U872,"m")&lt;=1,1,IF(AND(DATEDIF(#REF!,U872,"m")&gt;1,DATEDIF(#REF!,U872,"m")&lt;12),2,IF(AND(DATEDIF(#REF!,U872,"m")&gt;=12,DATEDIF(#REF!,U872,"m")&lt;24),3,IF(DATEDIF(#REF!,U872,"m")&gt;=24,4,"")))),IF(E872="r0320 - Deposits, not covered and not preferential",1,4))</f>
        <v>4</v>
      </c>
    </row>
    <row r="873" spans="3:29" ht="36.75" thickBot="1" x14ac:dyDescent="0.3">
      <c r="C873" s="11">
        <v>999</v>
      </c>
      <c r="D873" s="154">
        <v>866</v>
      </c>
      <c r="E873" s="154" t="s">
        <v>1898</v>
      </c>
      <c r="F873" s="154" t="s">
        <v>87</v>
      </c>
      <c r="G873" s="154" t="s">
        <v>1402</v>
      </c>
      <c r="H873" s="154" t="s">
        <v>1289</v>
      </c>
      <c r="I873" s="154" t="s">
        <v>96</v>
      </c>
      <c r="J873" s="154" t="s">
        <v>97</v>
      </c>
      <c r="K873" s="154" t="s">
        <v>91</v>
      </c>
      <c r="L873" s="154" t="s">
        <v>1897</v>
      </c>
      <c r="M873" s="154" t="s">
        <v>1383</v>
      </c>
      <c r="N873" s="154" t="s">
        <v>61</v>
      </c>
      <c r="O873" s="154" t="s">
        <v>62</v>
      </c>
      <c r="P873" s="146">
        <v>52.5</v>
      </c>
      <c r="Q873" s="146">
        <v>0</v>
      </c>
      <c r="R873" s="154" t="s">
        <v>1384</v>
      </c>
      <c r="S873" s="154" t="s">
        <v>1899</v>
      </c>
      <c r="T873" s="155" t="s">
        <v>1899</v>
      </c>
      <c r="U873" s="155" t="s">
        <v>1899</v>
      </c>
      <c r="V873" s="154" t="s">
        <v>1562</v>
      </c>
      <c r="W873" s="154">
        <v>0</v>
      </c>
      <c r="X873" s="154" t="s">
        <v>63</v>
      </c>
      <c r="Y873" s="154" t="s">
        <v>1900</v>
      </c>
      <c r="Z873" s="154"/>
      <c r="AA873" s="154" t="s">
        <v>1387</v>
      </c>
      <c r="AB873" s="154">
        <v>0</v>
      </c>
      <c r="AC873" s="138">
        <f>IFERROR(IF(DATEDIF(#REF!,U873,"m")&lt;=1,1,IF(AND(DATEDIF(#REF!,U873,"m")&gt;1,DATEDIF(#REF!,U873,"m")&lt;12),2,IF(AND(DATEDIF(#REF!,U873,"m")&gt;=12,DATEDIF(#REF!,U873,"m")&lt;24),3,IF(DATEDIF(#REF!,U873,"m")&gt;=24,4,"")))),IF(E873="r0320 - Deposits, not covered and not preferential",1,4))</f>
        <v>4</v>
      </c>
    </row>
    <row r="874" spans="3:29" ht="36.75" thickBot="1" x14ac:dyDescent="0.3">
      <c r="C874" s="11">
        <v>999</v>
      </c>
      <c r="D874" s="154">
        <v>867</v>
      </c>
      <c r="E874" s="154" t="s">
        <v>1898</v>
      </c>
      <c r="F874" s="154" t="s">
        <v>87</v>
      </c>
      <c r="G874" s="154" t="s">
        <v>1402</v>
      </c>
      <c r="H874" s="154" t="s">
        <v>185</v>
      </c>
      <c r="I874" s="154" t="s">
        <v>108</v>
      </c>
      <c r="J874" s="154" t="s">
        <v>90</v>
      </c>
      <c r="K874" s="154" t="s">
        <v>91</v>
      </c>
      <c r="L874" s="154" t="s">
        <v>1897</v>
      </c>
      <c r="M874" s="154" t="s">
        <v>1383</v>
      </c>
      <c r="N874" s="154" t="s">
        <v>61</v>
      </c>
      <c r="O874" s="154" t="s">
        <v>62</v>
      </c>
      <c r="P874" s="146">
        <v>3.07</v>
      </c>
      <c r="Q874" s="146">
        <v>0</v>
      </c>
      <c r="R874" s="154" t="s">
        <v>1384</v>
      </c>
      <c r="S874" s="154" t="s">
        <v>1899</v>
      </c>
      <c r="T874" s="155" t="s">
        <v>1899</v>
      </c>
      <c r="U874" s="155" t="s">
        <v>1899</v>
      </c>
      <c r="V874" s="154" t="s">
        <v>1562</v>
      </c>
      <c r="W874" s="154">
        <v>0</v>
      </c>
      <c r="X874" s="154" t="s">
        <v>63</v>
      </c>
      <c r="Y874" s="154" t="s">
        <v>1900</v>
      </c>
      <c r="Z874" s="154"/>
      <c r="AA874" s="154" t="s">
        <v>1387</v>
      </c>
      <c r="AB874" s="154">
        <v>0</v>
      </c>
      <c r="AC874" s="138">
        <f>IFERROR(IF(DATEDIF(#REF!,U874,"m")&lt;=1,1,IF(AND(DATEDIF(#REF!,U874,"m")&gt;1,DATEDIF(#REF!,U874,"m")&lt;12),2,IF(AND(DATEDIF(#REF!,U874,"m")&gt;=12,DATEDIF(#REF!,U874,"m")&lt;24),3,IF(DATEDIF(#REF!,U874,"m")&gt;=24,4,"")))),IF(E874="r0320 - Deposits, not covered and not preferential",1,4))</f>
        <v>4</v>
      </c>
    </row>
    <row r="875" spans="3:29" ht="36.75" thickBot="1" x14ac:dyDescent="0.3">
      <c r="C875" s="11">
        <v>999</v>
      </c>
      <c r="D875" s="154">
        <v>868</v>
      </c>
      <c r="E875" s="154" t="s">
        <v>1898</v>
      </c>
      <c r="F875" s="154" t="s">
        <v>83</v>
      </c>
      <c r="G875" s="154" t="s">
        <v>1402</v>
      </c>
      <c r="H875" s="154" t="s">
        <v>871</v>
      </c>
      <c r="I875" s="154" t="s">
        <v>153</v>
      </c>
      <c r="J875" s="154" t="s">
        <v>154</v>
      </c>
      <c r="K875" s="154" t="s">
        <v>60</v>
      </c>
      <c r="L875" s="154" t="s">
        <v>1897</v>
      </c>
      <c r="M875" s="154" t="s">
        <v>1388</v>
      </c>
      <c r="N875" s="154" t="s">
        <v>61</v>
      </c>
      <c r="O875" s="154" t="s">
        <v>62</v>
      </c>
      <c r="P875" s="146">
        <v>20955.810000000001</v>
      </c>
      <c r="Q875" s="146">
        <v>0</v>
      </c>
      <c r="R875" s="154" t="s">
        <v>1384</v>
      </c>
      <c r="S875" s="154" t="s">
        <v>1899</v>
      </c>
      <c r="T875" s="155" t="s">
        <v>1899</v>
      </c>
      <c r="U875" s="155" t="s">
        <v>1899</v>
      </c>
      <c r="V875" s="154" t="s">
        <v>1562</v>
      </c>
      <c r="W875" s="154">
        <v>0</v>
      </c>
      <c r="X875" s="154" t="s">
        <v>63</v>
      </c>
      <c r="Y875" s="154" t="s">
        <v>1900</v>
      </c>
      <c r="Z875" s="154"/>
      <c r="AA875" s="154" t="s">
        <v>1387</v>
      </c>
      <c r="AB875" s="154">
        <v>0</v>
      </c>
      <c r="AC875" s="138">
        <f>IFERROR(IF(DATEDIF(#REF!,U875,"m")&lt;=1,1,IF(AND(DATEDIF(#REF!,U875,"m")&gt;1,DATEDIF(#REF!,U875,"m")&lt;12),2,IF(AND(DATEDIF(#REF!,U875,"m")&gt;=12,DATEDIF(#REF!,U875,"m")&lt;24),3,IF(DATEDIF(#REF!,U875,"m")&gt;=24,4,"")))),IF(E875="r0320 - Deposits, not covered and not preferential",1,4))</f>
        <v>4</v>
      </c>
    </row>
    <row r="876" spans="3:29" ht="36.75" thickBot="1" x14ac:dyDescent="0.3">
      <c r="C876" s="11">
        <v>999</v>
      </c>
      <c r="D876" s="154">
        <v>869</v>
      </c>
      <c r="E876" s="154" t="s">
        <v>1898</v>
      </c>
      <c r="F876" s="154" t="s">
        <v>87</v>
      </c>
      <c r="G876" s="154" t="s">
        <v>1402</v>
      </c>
      <c r="H876" s="154" t="s">
        <v>777</v>
      </c>
      <c r="I876" s="154" t="s">
        <v>108</v>
      </c>
      <c r="J876" s="154" t="s">
        <v>90</v>
      </c>
      <c r="K876" s="154" t="s">
        <v>91</v>
      </c>
      <c r="L876" s="154" t="s">
        <v>1897</v>
      </c>
      <c r="M876" s="154" t="s">
        <v>1383</v>
      </c>
      <c r="N876" s="154" t="s">
        <v>61</v>
      </c>
      <c r="O876" s="154" t="s">
        <v>62</v>
      </c>
      <c r="P876" s="146">
        <v>0.33</v>
      </c>
      <c r="Q876" s="146">
        <v>0</v>
      </c>
      <c r="R876" s="154" t="s">
        <v>1384</v>
      </c>
      <c r="S876" s="154" t="s">
        <v>1899</v>
      </c>
      <c r="T876" s="155" t="s">
        <v>1899</v>
      </c>
      <c r="U876" s="155" t="s">
        <v>1899</v>
      </c>
      <c r="V876" s="154" t="s">
        <v>1562</v>
      </c>
      <c r="W876" s="154">
        <v>0</v>
      </c>
      <c r="X876" s="154" t="s">
        <v>63</v>
      </c>
      <c r="Y876" s="154" t="s">
        <v>1900</v>
      </c>
      <c r="Z876" s="154"/>
      <c r="AA876" s="154" t="s">
        <v>1387</v>
      </c>
      <c r="AB876" s="154">
        <v>0</v>
      </c>
      <c r="AC876" s="138">
        <f>IFERROR(IF(DATEDIF(#REF!,U876,"m")&lt;=1,1,IF(AND(DATEDIF(#REF!,U876,"m")&gt;1,DATEDIF(#REF!,U876,"m")&lt;12),2,IF(AND(DATEDIF(#REF!,U876,"m")&gt;=12,DATEDIF(#REF!,U876,"m")&lt;24),3,IF(DATEDIF(#REF!,U876,"m")&gt;=24,4,"")))),IF(E876="r0320 - Deposits, not covered and not preferential",1,4))</f>
        <v>4</v>
      </c>
    </row>
    <row r="877" spans="3:29" ht="36.75" thickBot="1" x14ac:dyDescent="0.3">
      <c r="C877" s="11">
        <v>999</v>
      </c>
      <c r="D877" s="154">
        <v>870</v>
      </c>
      <c r="E877" s="154" t="s">
        <v>1898</v>
      </c>
      <c r="F877" s="154" t="s">
        <v>87</v>
      </c>
      <c r="G877" s="154" t="s">
        <v>1402</v>
      </c>
      <c r="H877" s="154" t="s">
        <v>322</v>
      </c>
      <c r="I877" s="154" t="s">
        <v>96</v>
      </c>
      <c r="J877" s="154" t="s">
        <v>97</v>
      </c>
      <c r="K877" s="154" t="s">
        <v>91</v>
      </c>
      <c r="L877" s="154" t="s">
        <v>1897</v>
      </c>
      <c r="M877" s="154" t="s">
        <v>1383</v>
      </c>
      <c r="N877" s="154" t="s">
        <v>61</v>
      </c>
      <c r="O877" s="154" t="s">
        <v>62</v>
      </c>
      <c r="P877" s="146">
        <v>93.33</v>
      </c>
      <c r="Q877" s="146">
        <v>0</v>
      </c>
      <c r="R877" s="154" t="s">
        <v>1384</v>
      </c>
      <c r="S877" s="154" t="s">
        <v>1899</v>
      </c>
      <c r="T877" s="155" t="s">
        <v>1899</v>
      </c>
      <c r="U877" s="155" t="s">
        <v>1899</v>
      </c>
      <c r="V877" s="154" t="s">
        <v>1562</v>
      </c>
      <c r="W877" s="154">
        <v>0</v>
      </c>
      <c r="X877" s="154" t="s">
        <v>63</v>
      </c>
      <c r="Y877" s="154" t="s">
        <v>1900</v>
      </c>
      <c r="Z877" s="154"/>
      <c r="AA877" s="154" t="s">
        <v>1387</v>
      </c>
      <c r="AB877" s="154">
        <v>0</v>
      </c>
      <c r="AC877" s="138">
        <f>IFERROR(IF(DATEDIF(#REF!,U877,"m")&lt;=1,1,IF(AND(DATEDIF(#REF!,U877,"m")&gt;1,DATEDIF(#REF!,U877,"m")&lt;12),2,IF(AND(DATEDIF(#REF!,U877,"m")&gt;=12,DATEDIF(#REF!,U877,"m")&lt;24),3,IF(DATEDIF(#REF!,U877,"m")&gt;=24,4,"")))),IF(E877="r0320 - Deposits, not covered and not preferential",1,4))</f>
        <v>4</v>
      </c>
    </row>
    <row r="878" spans="3:29" ht="36.75" thickBot="1" x14ac:dyDescent="0.3">
      <c r="C878" s="11">
        <v>999</v>
      </c>
      <c r="D878" s="154">
        <v>871</v>
      </c>
      <c r="E878" s="154" t="s">
        <v>1898</v>
      </c>
      <c r="F878" s="154" t="s">
        <v>87</v>
      </c>
      <c r="G878" s="154" t="s">
        <v>1402</v>
      </c>
      <c r="H878" s="154" t="s">
        <v>1347</v>
      </c>
      <c r="I878" s="154" t="s">
        <v>96</v>
      </c>
      <c r="J878" s="154" t="s">
        <v>97</v>
      </c>
      <c r="K878" s="154" t="s">
        <v>91</v>
      </c>
      <c r="L878" s="154" t="s">
        <v>1897</v>
      </c>
      <c r="M878" s="154" t="s">
        <v>1383</v>
      </c>
      <c r="N878" s="154" t="s">
        <v>61</v>
      </c>
      <c r="O878" s="154" t="s">
        <v>62</v>
      </c>
      <c r="P878" s="146">
        <v>21.88</v>
      </c>
      <c r="Q878" s="146">
        <v>0</v>
      </c>
      <c r="R878" s="154" t="s">
        <v>1384</v>
      </c>
      <c r="S878" s="154" t="s">
        <v>1899</v>
      </c>
      <c r="T878" s="155" t="s">
        <v>1899</v>
      </c>
      <c r="U878" s="155" t="s">
        <v>1899</v>
      </c>
      <c r="V878" s="154" t="s">
        <v>1562</v>
      </c>
      <c r="W878" s="154">
        <v>0</v>
      </c>
      <c r="X878" s="154" t="s">
        <v>63</v>
      </c>
      <c r="Y878" s="154" t="s">
        <v>1900</v>
      </c>
      <c r="Z878" s="154"/>
      <c r="AA878" s="154" t="s">
        <v>1387</v>
      </c>
      <c r="AB878" s="154">
        <v>0</v>
      </c>
      <c r="AC878" s="138">
        <f>IFERROR(IF(DATEDIF(#REF!,U878,"m")&lt;=1,1,IF(AND(DATEDIF(#REF!,U878,"m")&gt;1,DATEDIF(#REF!,U878,"m")&lt;12),2,IF(AND(DATEDIF(#REF!,U878,"m")&gt;=12,DATEDIF(#REF!,U878,"m")&lt;24),3,IF(DATEDIF(#REF!,U878,"m")&gt;=24,4,"")))),IF(E878="r0320 - Deposits, not covered and not preferential",1,4))</f>
        <v>4</v>
      </c>
    </row>
    <row r="879" spans="3:29" ht="48.75" thickBot="1" x14ac:dyDescent="0.3">
      <c r="C879" s="11">
        <v>999</v>
      </c>
      <c r="D879" s="154">
        <v>872</v>
      </c>
      <c r="E879" s="154" t="s">
        <v>1902</v>
      </c>
      <c r="F879" s="154" t="s">
        <v>83</v>
      </c>
      <c r="G879" s="154" t="s">
        <v>1903</v>
      </c>
      <c r="H879" s="154" t="s">
        <v>516</v>
      </c>
      <c r="I879" s="154" t="s">
        <v>114</v>
      </c>
      <c r="J879" s="154" t="s">
        <v>115</v>
      </c>
      <c r="K879" s="154" t="s">
        <v>60</v>
      </c>
      <c r="L879" s="154" t="s">
        <v>1897</v>
      </c>
      <c r="M879" s="154" t="s">
        <v>1388</v>
      </c>
      <c r="N879" s="154" t="s">
        <v>61</v>
      </c>
      <c r="O879" s="154" t="s">
        <v>62</v>
      </c>
      <c r="P879" s="146">
        <v>108596.58</v>
      </c>
      <c r="Q879" s="146">
        <v>72.31</v>
      </c>
      <c r="R879" s="154" t="s">
        <v>1384</v>
      </c>
      <c r="S879" s="154" t="s">
        <v>1899</v>
      </c>
      <c r="T879" s="155" t="s">
        <v>768</v>
      </c>
      <c r="U879" s="155" t="s">
        <v>1899</v>
      </c>
      <c r="V879" s="154" t="s">
        <v>1904</v>
      </c>
      <c r="W879" s="154">
        <v>0</v>
      </c>
      <c r="X879" s="154" t="s">
        <v>63</v>
      </c>
      <c r="Y879" s="154" t="s">
        <v>1386</v>
      </c>
      <c r="Z879" s="154"/>
      <c r="AA879" s="154" t="s">
        <v>1387</v>
      </c>
      <c r="AB879" s="154">
        <v>0</v>
      </c>
      <c r="AC879" s="138">
        <f>IFERROR(IF(DATEDIF(#REF!,U879,"m")&lt;=1,1,IF(AND(DATEDIF(#REF!,U879,"m")&gt;1,DATEDIF(#REF!,U879,"m")&lt;12),2,IF(AND(DATEDIF(#REF!,U879,"m")&gt;=12,DATEDIF(#REF!,U879,"m")&lt;24),3,IF(DATEDIF(#REF!,U879,"m")&gt;=24,4,"")))),IF(E879="r0320 - Deposits, not covered and not preferential",1,4))</f>
        <v>4</v>
      </c>
    </row>
    <row r="880" spans="3:29" ht="48.75" thickBot="1" x14ac:dyDescent="0.3">
      <c r="C880" s="11">
        <v>999</v>
      </c>
      <c r="D880" s="154">
        <v>873</v>
      </c>
      <c r="E880" s="154" t="s">
        <v>1902</v>
      </c>
      <c r="F880" s="154" t="s">
        <v>83</v>
      </c>
      <c r="G880" s="154" t="s">
        <v>1903</v>
      </c>
      <c r="H880" s="154" t="s">
        <v>845</v>
      </c>
      <c r="I880" s="154" t="s">
        <v>93</v>
      </c>
      <c r="J880" s="154" t="s">
        <v>94</v>
      </c>
      <c r="K880" s="154" t="s">
        <v>60</v>
      </c>
      <c r="L880" s="154" t="s">
        <v>1897</v>
      </c>
      <c r="M880" s="154" t="s">
        <v>1388</v>
      </c>
      <c r="N880" s="154" t="s">
        <v>61</v>
      </c>
      <c r="O880" s="154" t="s">
        <v>62</v>
      </c>
      <c r="P880" s="146">
        <v>29384.41</v>
      </c>
      <c r="Q880" s="146">
        <v>25.11</v>
      </c>
      <c r="R880" s="154" t="s">
        <v>1384</v>
      </c>
      <c r="S880" s="154" t="s">
        <v>1899</v>
      </c>
      <c r="T880" s="155" t="s">
        <v>768</v>
      </c>
      <c r="U880" s="155" t="s">
        <v>1899</v>
      </c>
      <c r="V880" s="154" t="s">
        <v>1904</v>
      </c>
      <c r="W880" s="154">
        <v>0</v>
      </c>
      <c r="X880" s="154" t="s">
        <v>63</v>
      </c>
      <c r="Y880" s="154" t="s">
        <v>1386</v>
      </c>
      <c r="Z880" s="154"/>
      <c r="AA880" s="154" t="s">
        <v>1387</v>
      </c>
      <c r="AB880" s="154">
        <v>0</v>
      </c>
      <c r="AC880" s="138">
        <f>IFERROR(IF(DATEDIF(#REF!,U880,"m")&lt;=1,1,IF(AND(DATEDIF(#REF!,U880,"m")&gt;1,DATEDIF(#REF!,U880,"m")&lt;12),2,IF(AND(DATEDIF(#REF!,U880,"m")&gt;=12,DATEDIF(#REF!,U880,"m")&lt;24),3,IF(DATEDIF(#REF!,U880,"m")&gt;=24,4,"")))),IF(E880="r0320 - Deposits, not covered and not preferential",1,4))</f>
        <v>4</v>
      </c>
    </row>
    <row r="881" spans="3:29" ht="36.75" thickBot="1" x14ac:dyDescent="0.3">
      <c r="C881" s="11">
        <v>999</v>
      </c>
      <c r="D881" s="154">
        <v>874</v>
      </c>
      <c r="E881" s="154" t="s">
        <v>1898</v>
      </c>
      <c r="F881" s="154" t="s">
        <v>87</v>
      </c>
      <c r="G881" s="154" t="s">
        <v>1402</v>
      </c>
      <c r="H881" s="154" t="s">
        <v>822</v>
      </c>
      <c r="I881" s="154" t="s">
        <v>96</v>
      </c>
      <c r="J881" s="154" t="s">
        <v>97</v>
      </c>
      <c r="K881" s="154" t="s">
        <v>91</v>
      </c>
      <c r="L881" s="154" t="s">
        <v>1897</v>
      </c>
      <c r="M881" s="154" t="s">
        <v>1383</v>
      </c>
      <c r="N881" s="154" t="s">
        <v>61</v>
      </c>
      <c r="O881" s="154" t="s">
        <v>62</v>
      </c>
      <c r="P881" s="146">
        <v>1.64</v>
      </c>
      <c r="Q881" s="146">
        <v>0</v>
      </c>
      <c r="R881" s="154" t="s">
        <v>1384</v>
      </c>
      <c r="S881" s="154" t="s">
        <v>1899</v>
      </c>
      <c r="T881" s="155" t="s">
        <v>1899</v>
      </c>
      <c r="U881" s="155" t="s">
        <v>1899</v>
      </c>
      <c r="V881" s="154" t="s">
        <v>1562</v>
      </c>
      <c r="W881" s="154">
        <v>0</v>
      </c>
      <c r="X881" s="154" t="s">
        <v>63</v>
      </c>
      <c r="Y881" s="154" t="s">
        <v>1900</v>
      </c>
      <c r="Z881" s="154"/>
      <c r="AA881" s="154" t="s">
        <v>1387</v>
      </c>
      <c r="AB881" s="154">
        <v>0</v>
      </c>
      <c r="AC881" s="138">
        <f>IFERROR(IF(DATEDIF(#REF!,U881,"m")&lt;=1,1,IF(AND(DATEDIF(#REF!,U881,"m")&gt;1,DATEDIF(#REF!,U881,"m")&lt;12),2,IF(AND(DATEDIF(#REF!,U881,"m")&gt;=12,DATEDIF(#REF!,U881,"m")&lt;24),3,IF(DATEDIF(#REF!,U881,"m")&gt;=24,4,"")))),IF(E881="r0320 - Deposits, not covered and not preferential",1,4))</f>
        <v>4</v>
      </c>
    </row>
    <row r="882" spans="3:29" ht="36.75" thickBot="1" x14ac:dyDescent="0.3">
      <c r="C882" s="11">
        <v>999</v>
      </c>
      <c r="D882" s="154">
        <v>875</v>
      </c>
      <c r="E882" s="154" t="s">
        <v>1898</v>
      </c>
      <c r="F882" s="154" t="s">
        <v>87</v>
      </c>
      <c r="G882" s="154" t="s">
        <v>1402</v>
      </c>
      <c r="H882" s="154" t="s">
        <v>346</v>
      </c>
      <c r="I882" s="154" t="s">
        <v>111</v>
      </c>
      <c r="J882" s="154" t="s">
        <v>90</v>
      </c>
      <c r="K882" s="154" t="s">
        <v>91</v>
      </c>
      <c r="L882" s="154" t="s">
        <v>1897</v>
      </c>
      <c r="M882" s="154" t="s">
        <v>1383</v>
      </c>
      <c r="N882" s="154" t="s">
        <v>61</v>
      </c>
      <c r="O882" s="154" t="s">
        <v>62</v>
      </c>
      <c r="P882" s="146">
        <v>0.04</v>
      </c>
      <c r="Q882" s="146">
        <v>0</v>
      </c>
      <c r="R882" s="154" t="s">
        <v>1384</v>
      </c>
      <c r="S882" s="154" t="s">
        <v>1899</v>
      </c>
      <c r="T882" s="155" t="s">
        <v>1899</v>
      </c>
      <c r="U882" s="155" t="s">
        <v>1899</v>
      </c>
      <c r="V882" s="154" t="s">
        <v>1562</v>
      </c>
      <c r="W882" s="154">
        <v>0</v>
      </c>
      <c r="X882" s="154" t="s">
        <v>63</v>
      </c>
      <c r="Y882" s="154" t="s">
        <v>1900</v>
      </c>
      <c r="Z882" s="154"/>
      <c r="AA882" s="154" t="s">
        <v>1387</v>
      </c>
      <c r="AB882" s="154">
        <v>0</v>
      </c>
      <c r="AC882" s="138">
        <f>IFERROR(IF(DATEDIF(#REF!,U882,"m")&lt;=1,1,IF(AND(DATEDIF(#REF!,U882,"m")&gt;1,DATEDIF(#REF!,U882,"m")&lt;12),2,IF(AND(DATEDIF(#REF!,U882,"m")&gt;=12,DATEDIF(#REF!,U882,"m")&lt;24),3,IF(DATEDIF(#REF!,U882,"m")&gt;=24,4,"")))),IF(E882="r0320 - Deposits, not covered and not preferential",1,4))</f>
        <v>4</v>
      </c>
    </row>
    <row r="883" spans="3:29" ht="48.75" thickBot="1" x14ac:dyDescent="0.3">
      <c r="C883" s="11">
        <v>999</v>
      </c>
      <c r="D883" s="154">
        <v>876</v>
      </c>
      <c r="E883" s="154" t="s">
        <v>1902</v>
      </c>
      <c r="F883" s="154" t="s">
        <v>83</v>
      </c>
      <c r="G883" s="154" t="s">
        <v>1903</v>
      </c>
      <c r="H883" s="154" t="s">
        <v>808</v>
      </c>
      <c r="I883" s="154" t="s">
        <v>101</v>
      </c>
      <c r="J883" s="154" t="s">
        <v>102</v>
      </c>
      <c r="K883" s="154" t="s">
        <v>60</v>
      </c>
      <c r="L883" s="154" t="s">
        <v>1897</v>
      </c>
      <c r="M883" s="154" t="s">
        <v>1388</v>
      </c>
      <c r="N883" s="154" t="s">
        <v>61</v>
      </c>
      <c r="O883" s="154" t="s">
        <v>62</v>
      </c>
      <c r="P883" s="146">
        <v>963338.93</v>
      </c>
      <c r="Q883" s="146">
        <v>304.22000000000003</v>
      </c>
      <c r="R883" s="154" t="s">
        <v>1384</v>
      </c>
      <c r="S883" s="154" t="s">
        <v>1899</v>
      </c>
      <c r="T883" s="155" t="s">
        <v>768</v>
      </c>
      <c r="U883" s="155" t="s">
        <v>1899</v>
      </c>
      <c r="V883" s="154" t="s">
        <v>1904</v>
      </c>
      <c r="W883" s="154">
        <v>0</v>
      </c>
      <c r="X883" s="154" t="s">
        <v>63</v>
      </c>
      <c r="Y883" s="154" t="s">
        <v>1386</v>
      </c>
      <c r="Z883" s="154"/>
      <c r="AA883" s="154" t="s">
        <v>1387</v>
      </c>
      <c r="AB883" s="154">
        <v>0</v>
      </c>
      <c r="AC883" s="138">
        <f>IFERROR(IF(DATEDIF(#REF!,U883,"m")&lt;=1,1,IF(AND(DATEDIF(#REF!,U883,"m")&gt;1,DATEDIF(#REF!,U883,"m")&lt;12),2,IF(AND(DATEDIF(#REF!,U883,"m")&gt;=12,DATEDIF(#REF!,U883,"m")&lt;24),3,IF(DATEDIF(#REF!,U883,"m")&gt;=24,4,"")))),IF(E883="r0320 - Deposits, not covered and not preferential",1,4))</f>
        <v>4</v>
      </c>
    </row>
    <row r="884" spans="3:29" ht="36.75" thickBot="1" x14ac:dyDescent="0.3">
      <c r="C884" s="11">
        <v>999</v>
      </c>
      <c r="D884" s="154">
        <v>877</v>
      </c>
      <c r="E884" s="154" t="s">
        <v>1898</v>
      </c>
      <c r="F884" s="154" t="s">
        <v>83</v>
      </c>
      <c r="G884" s="154" t="s">
        <v>1402</v>
      </c>
      <c r="H884" s="154" t="s">
        <v>1345</v>
      </c>
      <c r="I884" s="154" t="s">
        <v>153</v>
      </c>
      <c r="J884" s="154" t="s">
        <v>154</v>
      </c>
      <c r="K884" s="154" t="s">
        <v>60</v>
      </c>
      <c r="L884" s="154" t="s">
        <v>1897</v>
      </c>
      <c r="M884" s="154" t="s">
        <v>1388</v>
      </c>
      <c r="N884" s="154" t="s">
        <v>61</v>
      </c>
      <c r="O884" s="154" t="s">
        <v>62</v>
      </c>
      <c r="P884" s="146">
        <v>433795.92</v>
      </c>
      <c r="Q884" s="146">
        <v>0</v>
      </c>
      <c r="R884" s="154" t="s">
        <v>1384</v>
      </c>
      <c r="S884" s="154" t="s">
        <v>1899</v>
      </c>
      <c r="T884" s="155" t="s">
        <v>1899</v>
      </c>
      <c r="U884" s="155" t="s">
        <v>1899</v>
      </c>
      <c r="V884" s="154" t="s">
        <v>1562</v>
      </c>
      <c r="W884" s="154">
        <v>0</v>
      </c>
      <c r="X884" s="154" t="s">
        <v>63</v>
      </c>
      <c r="Y884" s="154" t="s">
        <v>1900</v>
      </c>
      <c r="Z884" s="154"/>
      <c r="AA884" s="154" t="s">
        <v>1387</v>
      </c>
      <c r="AB884" s="154">
        <v>0</v>
      </c>
      <c r="AC884" s="138">
        <f>IFERROR(IF(DATEDIF(#REF!,U884,"m")&lt;=1,1,IF(AND(DATEDIF(#REF!,U884,"m")&gt;1,DATEDIF(#REF!,U884,"m")&lt;12),2,IF(AND(DATEDIF(#REF!,U884,"m")&gt;=12,DATEDIF(#REF!,U884,"m")&lt;24),3,IF(DATEDIF(#REF!,U884,"m")&gt;=24,4,"")))),IF(E884="r0320 - Deposits, not covered and not preferential",1,4))</f>
        <v>4</v>
      </c>
    </row>
    <row r="885" spans="3:29" ht="36.75" thickBot="1" x14ac:dyDescent="0.3">
      <c r="C885" s="11">
        <v>999</v>
      </c>
      <c r="D885" s="154">
        <v>878</v>
      </c>
      <c r="E885" s="154" t="s">
        <v>1898</v>
      </c>
      <c r="F885" s="154" t="s">
        <v>83</v>
      </c>
      <c r="G885" s="154" t="s">
        <v>1402</v>
      </c>
      <c r="H885" s="154" t="s">
        <v>1354</v>
      </c>
      <c r="I885" s="154" t="s">
        <v>153</v>
      </c>
      <c r="J885" s="154" t="s">
        <v>154</v>
      </c>
      <c r="K885" s="154" t="s">
        <v>60</v>
      </c>
      <c r="L885" s="154" t="s">
        <v>1897</v>
      </c>
      <c r="M885" s="154" t="s">
        <v>1388</v>
      </c>
      <c r="N885" s="154" t="s">
        <v>61</v>
      </c>
      <c r="O885" s="154" t="s">
        <v>62</v>
      </c>
      <c r="P885" s="146">
        <v>13629.48</v>
      </c>
      <c r="Q885" s="146">
        <v>0</v>
      </c>
      <c r="R885" s="154" t="s">
        <v>1384</v>
      </c>
      <c r="S885" s="154" t="s">
        <v>1899</v>
      </c>
      <c r="T885" s="155" t="s">
        <v>1899</v>
      </c>
      <c r="U885" s="155" t="s">
        <v>1899</v>
      </c>
      <c r="V885" s="154" t="s">
        <v>1562</v>
      </c>
      <c r="W885" s="154">
        <v>0</v>
      </c>
      <c r="X885" s="154" t="s">
        <v>63</v>
      </c>
      <c r="Y885" s="154" t="s">
        <v>1900</v>
      </c>
      <c r="Z885" s="154"/>
      <c r="AA885" s="154" t="s">
        <v>1387</v>
      </c>
      <c r="AB885" s="154">
        <v>0</v>
      </c>
      <c r="AC885" s="138">
        <f>IFERROR(IF(DATEDIF(#REF!,U885,"m")&lt;=1,1,IF(AND(DATEDIF(#REF!,U885,"m")&gt;1,DATEDIF(#REF!,U885,"m")&lt;12),2,IF(AND(DATEDIF(#REF!,U885,"m")&gt;=12,DATEDIF(#REF!,U885,"m")&lt;24),3,IF(DATEDIF(#REF!,U885,"m")&gt;=24,4,"")))),IF(E885="r0320 - Deposits, not covered and not preferential",1,4))</f>
        <v>4</v>
      </c>
    </row>
    <row r="886" spans="3:29" ht="48.75" thickBot="1" x14ac:dyDescent="0.3">
      <c r="C886" s="11">
        <v>999</v>
      </c>
      <c r="D886" s="154">
        <v>879</v>
      </c>
      <c r="E886" s="154" t="s">
        <v>1902</v>
      </c>
      <c r="F886" s="154" t="s">
        <v>83</v>
      </c>
      <c r="G886" s="154" t="s">
        <v>1903</v>
      </c>
      <c r="H886" s="154" t="s">
        <v>528</v>
      </c>
      <c r="I886" s="154" t="s">
        <v>114</v>
      </c>
      <c r="J886" s="154" t="s">
        <v>115</v>
      </c>
      <c r="K886" s="154" t="s">
        <v>60</v>
      </c>
      <c r="L886" s="154" t="s">
        <v>1897</v>
      </c>
      <c r="M886" s="154" t="s">
        <v>1388</v>
      </c>
      <c r="N886" s="154" t="s">
        <v>61</v>
      </c>
      <c r="O886" s="154" t="s">
        <v>62</v>
      </c>
      <c r="P886" s="146">
        <v>93395.04</v>
      </c>
      <c r="Q886" s="146">
        <v>20.010000000000002</v>
      </c>
      <c r="R886" s="154" t="s">
        <v>1384</v>
      </c>
      <c r="S886" s="154" t="s">
        <v>1899</v>
      </c>
      <c r="T886" s="155" t="s">
        <v>768</v>
      </c>
      <c r="U886" s="155" t="s">
        <v>1899</v>
      </c>
      <c r="V886" s="154" t="s">
        <v>1904</v>
      </c>
      <c r="W886" s="154">
        <v>0</v>
      </c>
      <c r="X886" s="154" t="s">
        <v>63</v>
      </c>
      <c r="Y886" s="154" t="s">
        <v>1386</v>
      </c>
      <c r="Z886" s="154"/>
      <c r="AA886" s="154" t="s">
        <v>1387</v>
      </c>
      <c r="AB886" s="154">
        <v>0</v>
      </c>
      <c r="AC886" s="138">
        <f>IFERROR(IF(DATEDIF(#REF!,U886,"m")&lt;=1,1,IF(AND(DATEDIF(#REF!,U886,"m")&gt;1,DATEDIF(#REF!,U886,"m")&lt;12),2,IF(AND(DATEDIF(#REF!,U886,"m")&gt;=12,DATEDIF(#REF!,U886,"m")&lt;24),3,IF(DATEDIF(#REF!,U886,"m")&gt;=24,4,"")))),IF(E886="r0320 - Deposits, not covered and not preferential",1,4))</f>
        <v>4</v>
      </c>
    </row>
    <row r="887" spans="3:29" ht="48.75" thickBot="1" x14ac:dyDescent="0.3">
      <c r="C887" s="11">
        <v>999</v>
      </c>
      <c r="D887" s="154">
        <v>880</v>
      </c>
      <c r="E887" s="154" t="s">
        <v>1902</v>
      </c>
      <c r="F887" s="154" t="s">
        <v>83</v>
      </c>
      <c r="G887" s="154" t="s">
        <v>1903</v>
      </c>
      <c r="H887" s="154" t="s">
        <v>845</v>
      </c>
      <c r="I887" s="154" t="s">
        <v>114</v>
      </c>
      <c r="J887" s="154" t="s">
        <v>115</v>
      </c>
      <c r="K887" s="154" t="s">
        <v>60</v>
      </c>
      <c r="L887" s="154" t="s">
        <v>1897</v>
      </c>
      <c r="M887" s="154" t="s">
        <v>1388</v>
      </c>
      <c r="N887" s="154" t="s">
        <v>61</v>
      </c>
      <c r="O887" s="154" t="s">
        <v>62</v>
      </c>
      <c r="P887" s="146">
        <v>215248.57</v>
      </c>
      <c r="Q887" s="146">
        <v>14.59</v>
      </c>
      <c r="R887" s="154" t="s">
        <v>1384</v>
      </c>
      <c r="S887" s="154" t="s">
        <v>1899</v>
      </c>
      <c r="T887" s="155" t="s">
        <v>768</v>
      </c>
      <c r="U887" s="155" t="s">
        <v>1899</v>
      </c>
      <c r="V887" s="154" t="s">
        <v>1904</v>
      </c>
      <c r="W887" s="154">
        <v>0</v>
      </c>
      <c r="X887" s="154" t="s">
        <v>63</v>
      </c>
      <c r="Y887" s="154" t="s">
        <v>1386</v>
      </c>
      <c r="Z887" s="154"/>
      <c r="AA887" s="154" t="s">
        <v>1387</v>
      </c>
      <c r="AB887" s="154">
        <v>0</v>
      </c>
      <c r="AC887" s="138">
        <f>IFERROR(IF(DATEDIF(#REF!,U887,"m")&lt;=1,1,IF(AND(DATEDIF(#REF!,U887,"m")&gt;1,DATEDIF(#REF!,U887,"m")&lt;12),2,IF(AND(DATEDIF(#REF!,U887,"m")&gt;=12,DATEDIF(#REF!,U887,"m")&lt;24),3,IF(DATEDIF(#REF!,U887,"m")&gt;=24,4,"")))),IF(E887="r0320 - Deposits, not covered and not preferential",1,4))</f>
        <v>4</v>
      </c>
    </row>
    <row r="888" spans="3:29" ht="48.75" thickBot="1" x14ac:dyDescent="0.3">
      <c r="C888" s="11">
        <v>999</v>
      </c>
      <c r="D888" s="154">
        <v>881</v>
      </c>
      <c r="E888" s="154" t="s">
        <v>1902</v>
      </c>
      <c r="F888" s="154" t="s">
        <v>83</v>
      </c>
      <c r="G888" s="154" t="s">
        <v>1903</v>
      </c>
      <c r="H888" s="154" t="s">
        <v>1333</v>
      </c>
      <c r="I888" s="154" t="s">
        <v>114</v>
      </c>
      <c r="J888" s="154" t="s">
        <v>115</v>
      </c>
      <c r="K888" s="154" t="s">
        <v>60</v>
      </c>
      <c r="L888" s="154" t="s">
        <v>1897</v>
      </c>
      <c r="M888" s="154" t="s">
        <v>1388</v>
      </c>
      <c r="N888" s="154" t="s">
        <v>61</v>
      </c>
      <c r="O888" s="154" t="s">
        <v>62</v>
      </c>
      <c r="P888" s="146">
        <v>9275.7999999999993</v>
      </c>
      <c r="Q888" s="146">
        <v>0.22</v>
      </c>
      <c r="R888" s="154" t="s">
        <v>1384</v>
      </c>
      <c r="S888" s="154" t="s">
        <v>1899</v>
      </c>
      <c r="T888" s="155" t="s">
        <v>768</v>
      </c>
      <c r="U888" s="155" t="s">
        <v>1899</v>
      </c>
      <c r="V888" s="154" t="s">
        <v>1904</v>
      </c>
      <c r="W888" s="154">
        <v>0</v>
      </c>
      <c r="X888" s="154" t="s">
        <v>63</v>
      </c>
      <c r="Y888" s="154" t="s">
        <v>1386</v>
      </c>
      <c r="Z888" s="154"/>
      <c r="AA888" s="154" t="s">
        <v>1387</v>
      </c>
      <c r="AB888" s="154">
        <v>0</v>
      </c>
      <c r="AC888" s="138">
        <f>IFERROR(IF(DATEDIF(#REF!,U888,"m")&lt;=1,1,IF(AND(DATEDIF(#REF!,U888,"m")&gt;1,DATEDIF(#REF!,U888,"m")&lt;12),2,IF(AND(DATEDIF(#REF!,U888,"m")&gt;=12,DATEDIF(#REF!,U888,"m")&lt;24),3,IF(DATEDIF(#REF!,U888,"m")&gt;=24,4,"")))),IF(E888="r0320 - Deposits, not covered and not preferential",1,4))</f>
        <v>4</v>
      </c>
    </row>
    <row r="889" spans="3:29" ht="36.75" thickBot="1" x14ac:dyDescent="0.3">
      <c r="C889" s="11">
        <v>999</v>
      </c>
      <c r="D889" s="154">
        <v>882</v>
      </c>
      <c r="E889" s="154" t="s">
        <v>1898</v>
      </c>
      <c r="F889" s="154" t="s">
        <v>83</v>
      </c>
      <c r="G889" s="154" t="s">
        <v>1402</v>
      </c>
      <c r="H889" s="154" t="s">
        <v>152</v>
      </c>
      <c r="I889" s="154" t="s">
        <v>153</v>
      </c>
      <c r="J889" s="154" t="s">
        <v>154</v>
      </c>
      <c r="K889" s="154" t="s">
        <v>60</v>
      </c>
      <c r="L889" s="154" t="s">
        <v>1897</v>
      </c>
      <c r="M889" s="154" t="s">
        <v>1388</v>
      </c>
      <c r="N889" s="154" t="s">
        <v>61</v>
      </c>
      <c r="O889" s="154" t="s">
        <v>62</v>
      </c>
      <c r="P889" s="146">
        <v>62849.02</v>
      </c>
      <c r="Q889" s="146">
        <v>0</v>
      </c>
      <c r="R889" s="154" t="s">
        <v>1384</v>
      </c>
      <c r="S889" s="154" t="s">
        <v>1899</v>
      </c>
      <c r="T889" s="155" t="s">
        <v>1899</v>
      </c>
      <c r="U889" s="155" t="s">
        <v>1899</v>
      </c>
      <c r="V889" s="154" t="s">
        <v>1562</v>
      </c>
      <c r="W889" s="154">
        <v>0</v>
      </c>
      <c r="X889" s="154" t="s">
        <v>63</v>
      </c>
      <c r="Y889" s="154" t="s">
        <v>1900</v>
      </c>
      <c r="Z889" s="154"/>
      <c r="AA889" s="154" t="s">
        <v>1387</v>
      </c>
      <c r="AB889" s="154">
        <v>0</v>
      </c>
      <c r="AC889" s="138">
        <f>IFERROR(IF(DATEDIF(#REF!,U889,"m")&lt;=1,1,IF(AND(DATEDIF(#REF!,U889,"m")&gt;1,DATEDIF(#REF!,U889,"m")&lt;12),2,IF(AND(DATEDIF(#REF!,U889,"m")&gt;=12,DATEDIF(#REF!,U889,"m")&lt;24),3,IF(DATEDIF(#REF!,U889,"m")&gt;=24,4,"")))),IF(E889="r0320 - Deposits, not covered and not preferential",1,4))</f>
        <v>4</v>
      </c>
    </row>
    <row r="890" spans="3:29" ht="36.75" thickBot="1" x14ac:dyDescent="0.3">
      <c r="C890" s="11">
        <v>999</v>
      </c>
      <c r="D890" s="154">
        <v>883</v>
      </c>
      <c r="E890" s="154" t="s">
        <v>1898</v>
      </c>
      <c r="F890" s="154" t="s">
        <v>87</v>
      </c>
      <c r="G890" s="154" t="s">
        <v>1402</v>
      </c>
      <c r="H890" s="154" t="s">
        <v>337</v>
      </c>
      <c r="I890" s="154" t="s">
        <v>96</v>
      </c>
      <c r="J890" s="154" t="s">
        <v>97</v>
      </c>
      <c r="K890" s="154" t="s">
        <v>91</v>
      </c>
      <c r="L890" s="154" t="s">
        <v>1897</v>
      </c>
      <c r="M890" s="154" t="s">
        <v>1383</v>
      </c>
      <c r="N890" s="154" t="s">
        <v>61</v>
      </c>
      <c r="O890" s="154" t="s">
        <v>62</v>
      </c>
      <c r="P890" s="146">
        <v>7.0000000000000007E-2</v>
      </c>
      <c r="Q890" s="146">
        <v>0</v>
      </c>
      <c r="R890" s="154" t="s">
        <v>1384</v>
      </c>
      <c r="S890" s="154" t="s">
        <v>1899</v>
      </c>
      <c r="T890" s="155" t="s">
        <v>1899</v>
      </c>
      <c r="U890" s="155" t="s">
        <v>1899</v>
      </c>
      <c r="V890" s="154" t="s">
        <v>1562</v>
      </c>
      <c r="W890" s="154">
        <v>0</v>
      </c>
      <c r="X890" s="154" t="s">
        <v>63</v>
      </c>
      <c r="Y890" s="154" t="s">
        <v>1900</v>
      </c>
      <c r="Z890" s="154"/>
      <c r="AA890" s="154" t="s">
        <v>1387</v>
      </c>
      <c r="AB890" s="154">
        <v>0</v>
      </c>
      <c r="AC890" s="138">
        <f>IFERROR(IF(DATEDIF(#REF!,U890,"m")&lt;=1,1,IF(AND(DATEDIF(#REF!,U890,"m")&gt;1,DATEDIF(#REF!,U890,"m")&lt;12),2,IF(AND(DATEDIF(#REF!,U890,"m")&gt;=12,DATEDIF(#REF!,U890,"m")&lt;24),3,IF(DATEDIF(#REF!,U890,"m")&gt;=24,4,"")))),IF(E890="r0320 - Deposits, not covered and not preferential",1,4))</f>
        <v>4</v>
      </c>
    </row>
    <row r="891" spans="3:29" ht="36.75" thickBot="1" x14ac:dyDescent="0.3">
      <c r="C891" s="11">
        <v>999</v>
      </c>
      <c r="D891" s="154">
        <v>884</v>
      </c>
      <c r="E891" s="154" t="s">
        <v>1898</v>
      </c>
      <c r="F891" s="154" t="s">
        <v>83</v>
      </c>
      <c r="G891" s="154" t="s">
        <v>1402</v>
      </c>
      <c r="H891" s="154" t="s">
        <v>521</v>
      </c>
      <c r="I891" s="154" t="s">
        <v>153</v>
      </c>
      <c r="J891" s="154" t="s">
        <v>154</v>
      </c>
      <c r="K891" s="154" t="s">
        <v>60</v>
      </c>
      <c r="L891" s="154" t="s">
        <v>1897</v>
      </c>
      <c r="M891" s="154" t="s">
        <v>1388</v>
      </c>
      <c r="N891" s="154" t="s">
        <v>61</v>
      </c>
      <c r="O891" s="154" t="s">
        <v>62</v>
      </c>
      <c r="P891" s="146">
        <v>49712.26</v>
      </c>
      <c r="Q891" s="146">
        <v>0</v>
      </c>
      <c r="R891" s="154" t="s">
        <v>1384</v>
      </c>
      <c r="S891" s="154" t="s">
        <v>1899</v>
      </c>
      <c r="T891" s="155" t="s">
        <v>1899</v>
      </c>
      <c r="U891" s="155" t="s">
        <v>1899</v>
      </c>
      <c r="V891" s="154" t="s">
        <v>1562</v>
      </c>
      <c r="W891" s="154">
        <v>0</v>
      </c>
      <c r="X891" s="154" t="s">
        <v>63</v>
      </c>
      <c r="Y891" s="154" t="s">
        <v>1900</v>
      </c>
      <c r="Z891" s="154"/>
      <c r="AA891" s="154" t="s">
        <v>1387</v>
      </c>
      <c r="AB891" s="154">
        <v>0</v>
      </c>
      <c r="AC891" s="138">
        <f>IFERROR(IF(DATEDIF(#REF!,U891,"m")&lt;=1,1,IF(AND(DATEDIF(#REF!,U891,"m")&gt;1,DATEDIF(#REF!,U891,"m")&lt;12),2,IF(AND(DATEDIF(#REF!,U891,"m")&gt;=12,DATEDIF(#REF!,U891,"m")&lt;24),3,IF(DATEDIF(#REF!,U891,"m")&gt;=24,4,"")))),IF(E891="r0320 - Deposits, not covered and not preferential",1,4))</f>
        <v>4</v>
      </c>
    </row>
    <row r="892" spans="3:29" ht="36.75" thickBot="1" x14ac:dyDescent="0.3">
      <c r="C892" s="11">
        <v>999</v>
      </c>
      <c r="D892" s="154">
        <v>885</v>
      </c>
      <c r="E892" s="154" t="s">
        <v>1898</v>
      </c>
      <c r="F892" s="154" t="s">
        <v>83</v>
      </c>
      <c r="G892" s="154" t="s">
        <v>1402</v>
      </c>
      <c r="H892" s="154" t="s">
        <v>324</v>
      </c>
      <c r="I892" s="154" t="s">
        <v>153</v>
      </c>
      <c r="J892" s="154" t="s">
        <v>154</v>
      </c>
      <c r="K892" s="154" t="s">
        <v>60</v>
      </c>
      <c r="L892" s="154" t="s">
        <v>1897</v>
      </c>
      <c r="M892" s="154" t="s">
        <v>1388</v>
      </c>
      <c r="N892" s="154" t="s">
        <v>61</v>
      </c>
      <c r="O892" s="154" t="s">
        <v>62</v>
      </c>
      <c r="P892" s="146">
        <v>49950.1</v>
      </c>
      <c r="Q892" s="146">
        <v>0</v>
      </c>
      <c r="R892" s="154" t="s">
        <v>1384</v>
      </c>
      <c r="S892" s="154" t="s">
        <v>1899</v>
      </c>
      <c r="T892" s="155" t="s">
        <v>1899</v>
      </c>
      <c r="U892" s="155" t="s">
        <v>1899</v>
      </c>
      <c r="V892" s="154" t="s">
        <v>1562</v>
      </c>
      <c r="W892" s="154">
        <v>0</v>
      </c>
      <c r="X892" s="154" t="s">
        <v>63</v>
      </c>
      <c r="Y892" s="154" t="s">
        <v>1900</v>
      </c>
      <c r="Z892" s="154"/>
      <c r="AA892" s="154" t="s">
        <v>1387</v>
      </c>
      <c r="AB892" s="154">
        <v>0</v>
      </c>
      <c r="AC892" s="138">
        <f>IFERROR(IF(DATEDIF(#REF!,U892,"m")&lt;=1,1,IF(AND(DATEDIF(#REF!,U892,"m")&gt;1,DATEDIF(#REF!,U892,"m")&lt;12),2,IF(AND(DATEDIF(#REF!,U892,"m")&gt;=12,DATEDIF(#REF!,U892,"m")&lt;24),3,IF(DATEDIF(#REF!,U892,"m")&gt;=24,4,"")))),IF(E892="r0320 - Deposits, not covered and not preferential",1,4))</f>
        <v>4</v>
      </c>
    </row>
    <row r="893" spans="3:29" ht="48.75" thickBot="1" x14ac:dyDescent="0.3">
      <c r="C893" s="11">
        <v>999</v>
      </c>
      <c r="D893" s="154">
        <v>886</v>
      </c>
      <c r="E893" s="154" t="s">
        <v>1902</v>
      </c>
      <c r="F893" s="154" t="s">
        <v>83</v>
      </c>
      <c r="G893" s="154" t="s">
        <v>1903</v>
      </c>
      <c r="H893" s="154" t="s">
        <v>1333</v>
      </c>
      <c r="I893" s="154" t="s">
        <v>101</v>
      </c>
      <c r="J893" s="154" t="s">
        <v>102</v>
      </c>
      <c r="K893" s="154" t="s">
        <v>60</v>
      </c>
      <c r="L893" s="154" t="s">
        <v>1897</v>
      </c>
      <c r="M893" s="154" t="s">
        <v>1388</v>
      </c>
      <c r="N893" s="154" t="s">
        <v>61</v>
      </c>
      <c r="O893" s="154" t="s">
        <v>62</v>
      </c>
      <c r="P893" s="146">
        <v>831131.02</v>
      </c>
      <c r="Q893" s="146">
        <v>72.42</v>
      </c>
      <c r="R893" s="154" t="s">
        <v>1384</v>
      </c>
      <c r="S893" s="154" t="s">
        <v>1899</v>
      </c>
      <c r="T893" s="155" t="s">
        <v>768</v>
      </c>
      <c r="U893" s="155" t="s">
        <v>1899</v>
      </c>
      <c r="V893" s="154" t="s">
        <v>1904</v>
      </c>
      <c r="W893" s="154">
        <v>0</v>
      </c>
      <c r="X893" s="154" t="s">
        <v>63</v>
      </c>
      <c r="Y893" s="154" t="s">
        <v>1386</v>
      </c>
      <c r="Z893" s="154"/>
      <c r="AA893" s="154" t="s">
        <v>1387</v>
      </c>
      <c r="AB893" s="154">
        <v>0</v>
      </c>
      <c r="AC893" s="138">
        <f>IFERROR(IF(DATEDIF(#REF!,U893,"m")&lt;=1,1,IF(AND(DATEDIF(#REF!,U893,"m")&gt;1,DATEDIF(#REF!,U893,"m")&lt;12),2,IF(AND(DATEDIF(#REF!,U893,"m")&gt;=12,DATEDIF(#REF!,U893,"m")&lt;24),3,IF(DATEDIF(#REF!,U893,"m")&gt;=24,4,"")))),IF(E893="r0320 - Deposits, not covered and not preferential",1,4))</f>
        <v>4</v>
      </c>
    </row>
    <row r="894" spans="3:29" ht="48.75" thickBot="1" x14ac:dyDescent="0.3">
      <c r="C894" s="11">
        <v>999</v>
      </c>
      <c r="D894" s="154">
        <v>887</v>
      </c>
      <c r="E894" s="154" t="s">
        <v>1902</v>
      </c>
      <c r="F894" s="154" t="s">
        <v>83</v>
      </c>
      <c r="G894" s="154" t="s">
        <v>1903</v>
      </c>
      <c r="H894" s="154" t="s">
        <v>530</v>
      </c>
      <c r="I894" s="154" t="s">
        <v>101</v>
      </c>
      <c r="J894" s="154" t="s">
        <v>102</v>
      </c>
      <c r="K894" s="154" t="s">
        <v>60</v>
      </c>
      <c r="L894" s="154" t="s">
        <v>1897</v>
      </c>
      <c r="M894" s="154" t="s">
        <v>1388</v>
      </c>
      <c r="N894" s="154" t="s">
        <v>61</v>
      </c>
      <c r="O894" s="154" t="s">
        <v>62</v>
      </c>
      <c r="P894" s="146">
        <v>151851.35999999999</v>
      </c>
      <c r="Q894" s="146">
        <v>40.44</v>
      </c>
      <c r="R894" s="154" t="s">
        <v>1384</v>
      </c>
      <c r="S894" s="154" t="s">
        <v>1899</v>
      </c>
      <c r="T894" s="155" t="s">
        <v>768</v>
      </c>
      <c r="U894" s="155" t="s">
        <v>1899</v>
      </c>
      <c r="V894" s="154" t="s">
        <v>1904</v>
      </c>
      <c r="W894" s="154">
        <v>0</v>
      </c>
      <c r="X894" s="154" t="s">
        <v>63</v>
      </c>
      <c r="Y894" s="154" t="s">
        <v>1386</v>
      </c>
      <c r="Z894" s="154"/>
      <c r="AA894" s="154" t="s">
        <v>1387</v>
      </c>
      <c r="AB894" s="154">
        <v>0</v>
      </c>
      <c r="AC894" s="138">
        <f>IFERROR(IF(DATEDIF(#REF!,U894,"m")&lt;=1,1,IF(AND(DATEDIF(#REF!,U894,"m")&gt;1,DATEDIF(#REF!,U894,"m")&lt;12),2,IF(AND(DATEDIF(#REF!,U894,"m")&gt;=12,DATEDIF(#REF!,U894,"m")&lt;24),3,IF(DATEDIF(#REF!,U894,"m")&gt;=24,4,"")))),IF(E894="r0320 - Deposits, not covered and not preferential",1,4))</f>
        <v>4</v>
      </c>
    </row>
    <row r="895" spans="3:29" ht="36.75" thickBot="1" x14ac:dyDescent="0.3">
      <c r="C895" s="11">
        <v>999</v>
      </c>
      <c r="D895" s="154">
        <v>888</v>
      </c>
      <c r="E895" s="154" t="s">
        <v>1898</v>
      </c>
      <c r="F895" s="154" t="s">
        <v>83</v>
      </c>
      <c r="G895" s="154" t="s">
        <v>1402</v>
      </c>
      <c r="H895" s="154" t="s">
        <v>874</v>
      </c>
      <c r="I895" s="154" t="s">
        <v>153</v>
      </c>
      <c r="J895" s="154" t="s">
        <v>154</v>
      </c>
      <c r="K895" s="154" t="s">
        <v>60</v>
      </c>
      <c r="L895" s="154" t="s">
        <v>1897</v>
      </c>
      <c r="M895" s="154" t="s">
        <v>1388</v>
      </c>
      <c r="N895" s="154" t="s">
        <v>61</v>
      </c>
      <c r="O895" s="154" t="s">
        <v>62</v>
      </c>
      <c r="P895" s="146">
        <v>42510.02</v>
      </c>
      <c r="Q895" s="146">
        <v>0</v>
      </c>
      <c r="R895" s="154" t="s">
        <v>1384</v>
      </c>
      <c r="S895" s="154" t="s">
        <v>1899</v>
      </c>
      <c r="T895" s="155" t="s">
        <v>1899</v>
      </c>
      <c r="U895" s="155" t="s">
        <v>1899</v>
      </c>
      <c r="V895" s="154" t="s">
        <v>1562</v>
      </c>
      <c r="W895" s="154">
        <v>0</v>
      </c>
      <c r="X895" s="154" t="s">
        <v>63</v>
      </c>
      <c r="Y895" s="154" t="s">
        <v>1900</v>
      </c>
      <c r="Z895" s="154"/>
      <c r="AA895" s="154" t="s">
        <v>1387</v>
      </c>
      <c r="AB895" s="154">
        <v>0</v>
      </c>
      <c r="AC895" s="138">
        <f>IFERROR(IF(DATEDIF(#REF!,U895,"m")&lt;=1,1,IF(AND(DATEDIF(#REF!,U895,"m")&gt;1,DATEDIF(#REF!,U895,"m")&lt;12),2,IF(AND(DATEDIF(#REF!,U895,"m")&gt;=12,DATEDIF(#REF!,U895,"m")&lt;24),3,IF(DATEDIF(#REF!,U895,"m")&gt;=24,4,"")))),IF(E895="r0320 - Deposits, not covered and not preferential",1,4))</f>
        <v>4</v>
      </c>
    </row>
    <row r="896" spans="3:29" ht="48.75" thickBot="1" x14ac:dyDescent="0.3">
      <c r="C896" s="11">
        <v>999</v>
      </c>
      <c r="D896" s="154">
        <v>889</v>
      </c>
      <c r="E896" s="154" t="s">
        <v>1902</v>
      </c>
      <c r="F896" s="154" t="s">
        <v>83</v>
      </c>
      <c r="G896" s="154" t="s">
        <v>1903</v>
      </c>
      <c r="H896" s="154" t="s">
        <v>1304</v>
      </c>
      <c r="I896" s="154" t="s">
        <v>101</v>
      </c>
      <c r="J896" s="154" t="s">
        <v>102</v>
      </c>
      <c r="K896" s="154" t="s">
        <v>60</v>
      </c>
      <c r="L896" s="154" t="s">
        <v>1897</v>
      </c>
      <c r="M896" s="154" t="s">
        <v>1388</v>
      </c>
      <c r="N896" s="154" t="s">
        <v>61</v>
      </c>
      <c r="O896" s="154" t="s">
        <v>62</v>
      </c>
      <c r="P896" s="146">
        <v>1428508.78</v>
      </c>
      <c r="Q896" s="146">
        <v>428.25</v>
      </c>
      <c r="R896" s="154" t="s">
        <v>1384</v>
      </c>
      <c r="S896" s="154" t="s">
        <v>1899</v>
      </c>
      <c r="T896" s="155" t="s">
        <v>768</v>
      </c>
      <c r="U896" s="155" t="s">
        <v>1899</v>
      </c>
      <c r="V896" s="154" t="s">
        <v>1904</v>
      </c>
      <c r="W896" s="154">
        <v>0</v>
      </c>
      <c r="X896" s="154" t="s">
        <v>63</v>
      </c>
      <c r="Y896" s="154" t="s">
        <v>1386</v>
      </c>
      <c r="Z896" s="154"/>
      <c r="AA896" s="154" t="s">
        <v>1387</v>
      </c>
      <c r="AB896" s="154">
        <v>0</v>
      </c>
      <c r="AC896" s="138">
        <f>IFERROR(IF(DATEDIF(#REF!,U896,"m")&lt;=1,1,IF(AND(DATEDIF(#REF!,U896,"m")&gt;1,DATEDIF(#REF!,U896,"m")&lt;12),2,IF(AND(DATEDIF(#REF!,U896,"m")&gt;=12,DATEDIF(#REF!,U896,"m")&lt;24),3,IF(DATEDIF(#REF!,U896,"m")&gt;=24,4,"")))),IF(E896="r0320 - Deposits, not covered and not preferential",1,4))</f>
        <v>4</v>
      </c>
    </row>
    <row r="897" spans="3:29" ht="48.75" thickBot="1" x14ac:dyDescent="0.3">
      <c r="C897" s="11">
        <v>999</v>
      </c>
      <c r="D897" s="154">
        <v>890</v>
      </c>
      <c r="E897" s="154" t="s">
        <v>1902</v>
      </c>
      <c r="F897" s="154" t="s">
        <v>83</v>
      </c>
      <c r="G897" s="154" t="s">
        <v>1903</v>
      </c>
      <c r="H897" s="154" t="s">
        <v>1304</v>
      </c>
      <c r="I897" s="154" t="s">
        <v>93</v>
      </c>
      <c r="J897" s="154" t="s">
        <v>94</v>
      </c>
      <c r="K897" s="154" t="s">
        <v>60</v>
      </c>
      <c r="L897" s="154" t="s">
        <v>1897</v>
      </c>
      <c r="M897" s="154" t="s">
        <v>1388</v>
      </c>
      <c r="N897" s="154" t="s">
        <v>61</v>
      </c>
      <c r="O897" s="154" t="s">
        <v>62</v>
      </c>
      <c r="P897" s="146">
        <v>85759.54</v>
      </c>
      <c r="Q897" s="146">
        <v>-0.17</v>
      </c>
      <c r="R897" s="154" t="s">
        <v>1384</v>
      </c>
      <c r="S897" s="154" t="s">
        <v>1899</v>
      </c>
      <c r="T897" s="155" t="s">
        <v>768</v>
      </c>
      <c r="U897" s="155" t="s">
        <v>1899</v>
      </c>
      <c r="V897" s="154" t="s">
        <v>1904</v>
      </c>
      <c r="W897" s="154">
        <v>0</v>
      </c>
      <c r="X897" s="154" t="s">
        <v>63</v>
      </c>
      <c r="Y897" s="154" t="s">
        <v>1386</v>
      </c>
      <c r="Z897" s="154"/>
      <c r="AA897" s="154" t="s">
        <v>1387</v>
      </c>
      <c r="AB897" s="154">
        <v>0</v>
      </c>
      <c r="AC897" s="138">
        <f>IFERROR(IF(DATEDIF(#REF!,U897,"m")&lt;=1,1,IF(AND(DATEDIF(#REF!,U897,"m")&gt;1,DATEDIF(#REF!,U897,"m")&lt;12),2,IF(AND(DATEDIF(#REF!,U897,"m")&gt;=12,DATEDIF(#REF!,U897,"m")&lt;24),3,IF(DATEDIF(#REF!,U897,"m")&gt;=24,4,"")))),IF(E897="r0320 - Deposits, not covered and not preferential",1,4))</f>
        <v>4</v>
      </c>
    </row>
    <row r="898" spans="3:29" ht="36.75" thickBot="1" x14ac:dyDescent="0.3">
      <c r="C898" s="11">
        <v>999</v>
      </c>
      <c r="D898" s="154">
        <v>891</v>
      </c>
      <c r="E898" s="154" t="s">
        <v>1898</v>
      </c>
      <c r="F898" s="154" t="s">
        <v>83</v>
      </c>
      <c r="G898" s="154" t="s">
        <v>1402</v>
      </c>
      <c r="H898" s="154" t="s">
        <v>57</v>
      </c>
      <c r="I898" s="154" t="s">
        <v>99</v>
      </c>
      <c r="J898" s="154" t="s">
        <v>90</v>
      </c>
      <c r="K898" s="154" t="s">
        <v>91</v>
      </c>
      <c r="L898" s="154" t="s">
        <v>1897</v>
      </c>
      <c r="M898" s="154" t="s">
        <v>1383</v>
      </c>
      <c r="N898" s="154" t="s">
        <v>61</v>
      </c>
      <c r="O898" s="154" t="s">
        <v>62</v>
      </c>
      <c r="P898" s="146">
        <v>1191.6646639999999</v>
      </c>
      <c r="Q898" s="146">
        <v>0</v>
      </c>
      <c r="R898" s="154" t="s">
        <v>768</v>
      </c>
      <c r="S898" s="154" t="s">
        <v>1899</v>
      </c>
      <c r="T898" s="155" t="s">
        <v>1899</v>
      </c>
      <c r="U898" s="155" t="s">
        <v>1899</v>
      </c>
      <c r="V898" s="154" t="s">
        <v>1562</v>
      </c>
      <c r="W898" s="154">
        <v>0</v>
      </c>
      <c r="X898" s="154" t="s">
        <v>63</v>
      </c>
      <c r="Y898" s="154" t="s">
        <v>1900</v>
      </c>
      <c r="Z898" s="154"/>
      <c r="AA898" s="154" t="s">
        <v>1387</v>
      </c>
      <c r="AB898" s="154">
        <v>0</v>
      </c>
      <c r="AC898" s="138">
        <f>IFERROR(IF(DATEDIF(#REF!,U898,"m")&lt;=1,1,IF(AND(DATEDIF(#REF!,U898,"m")&gt;1,DATEDIF(#REF!,U898,"m")&lt;12),2,IF(AND(DATEDIF(#REF!,U898,"m")&gt;=12,DATEDIF(#REF!,U898,"m")&lt;24),3,IF(DATEDIF(#REF!,U898,"m")&gt;=24,4,"")))),IF(E898="r0320 - Deposits, not covered and not preferential",1,4))</f>
        <v>4</v>
      </c>
    </row>
    <row r="899" spans="3:29" ht="36.75" thickBot="1" x14ac:dyDescent="0.3">
      <c r="C899" s="11">
        <v>999</v>
      </c>
      <c r="D899" s="154">
        <v>892</v>
      </c>
      <c r="E899" s="154" t="s">
        <v>1898</v>
      </c>
      <c r="F899" s="154" t="s">
        <v>83</v>
      </c>
      <c r="G899" s="154" t="s">
        <v>1402</v>
      </c>
      <c r="H899" s="154" t="s">
        <v>877</v>
      </c>
      <c r="I899" s="154" t="s">
        <v>153</v>
      </c>
      <c r="J899" s="154" t="s">
        <v>154</v>
      </c>
      <c r="K899" s="154" t="s">
        <v>60</v>
      </c>
      <c r="L899" s="154" t="s">
        <v>1897</v>
      </c>
      <c r="M899" s="154" t="s">
        <v>1388</v>
      </c>
      <c r="N899" s="154" t="s">
        <v>61</v>
      </c>
      <c r="O899" s="154" t="s">
        <v>62</v>
      </c>
      <c r="P899" s="146">
        <v>26462.73</v>
      </c>
      <c r="Q899" s="146">
        <v>0</v>
      </c>
      <c r="R899" s="154" t="s">
        <v>1384</v>
      </c>
      <c r="S899" s="154" t="s">
        <v>1899</v>
      </c>
      <c r="T899" s="155" t="s">
        <v>1899</v>
      </c>
      <c r="U899" s="155" t="s">
        <v>1899</v>
      </c>
      <c r="V899" s="154" t="s">
        <v>1562</v>
      </c>
      <c r="W899" s="154">
        <v>0</v>
      </c>
      <c r="X899" s="154" t="s">
        <v>63</v>
      </c>
      <c r="Y899" s="154" t="s">
        <v>1900</v>
      </c>
      <c r="Z899" s="154"/>
      <c r="AA899" s="154" t="s">
        <v>1387</v>
      </c>
      <c r="AB899" s="154">
        <v>0</v>
      </c>
      <c r="AC899" s="138">
        <f>IFERROR(IF(DATEDIF(#REF!,U899,"m")&lt;=1,1,IF(AND(DATEDIF(#REF!,U899,"m")&gt;1,DATEDIF(#REF!,U899,"m")&lt;12),2,IF(AND(DATEDIF(#REF!,U899,"m")&gt;=12,DATEDIF(#REF!,U899,"m")&lt;24),3,IF(DATEDIF(#REF!,U899,"m")&gt;=24,4,"")))),IF(E899="r0320 - Deposits, not covered and not preferential",1,4))</f>
        <v>4</v>
      </c>
    </row>
    <row r="900" spans="3:29" ht="36.75" thickBot="1" x14ac:dyDescent="0.3">
      <c r="C900" s="11">
        <v>999</v>
      </c>
      <c r="D900" s="154">
        <v>893</v>
      </c>
      <c r="E900" s="154" t="s">
        <v>1898</v>
      </c>
      <c r="F900" s="154" t="s">
        <v>83</v>
      </c>
      <c r="G900" s="154" t="s">
        <v>1402</v>
      </c>
      <c r="H900" s="154" t="s">
        <v>926</v>
      </c>
      <c r="I900" s="154" t="s">
        <v>153</v>
      </c>
      <c r="J900" s="154" t="s">
        <v>154</v>
      </c>
      <c r="K900" s="154" t="s">
        <v>60</v>
      </c>
      <c r="L900" s="154" t="s">
        <v>1897</v>
      </c>
      <c r="M900" s="154" t="s">
        <v>1388</v>
      </c>
      <c r="N900" s="154" t="s">
        <v>61</v>
      </c>
      <c r="O900" s="154" t="s">
        <v>62</v>
      </c>
      <c r="P900" s="146">
        <v>83266.320000000007</v>
      </c>
      <c r="Q900" s="146">
        <v>0</v>
      </c>
      <c r="R900" s="154" t="s">
        <v>1384</v>
      </c>
      <c r="S900" s="154" t="s">
        <v>1899</v>
      </c>
      <c r="T900" s="155" t="s">
        <v>1899</v>
      </c>
      <c r="U900" s="155" t="s">
        <v>1899</v>
      </c>
      <c r="V900" s="154" t="s">
        <v>1562</v>
      </c>
      <c r="W900" s="154">
        <v>0</v>
      </c>
      <c r="X900" s="154" t="s">
        <v>63</v>
      </c>
      <c r="Y900" s="154" t="s">
        <v>1900</v>
      </c>
      <c r="Z900" s="154"/>
      <c r="AA900" s="154" t="s">
        <v>1387</v>
      </c>
      <c r="AB900" s="154">
        <v>0</v>
      </c>
      <c r="AC900" s="138">
        <f>IFERROR(IF(DATEDIF(#REF!,U900,"m")&lt;=1,1,IF(AND(DATEDIF(#REF!,U900,"m")&gt;1,DATEDIF(#REF!,U900,"m")&lt;12),2,IF(AND(DATEDIF(#REF!,U900,"m")&gt;=12,DATEDIF(#REF!,U900,"m")&lt;24),3,IF(DATEDIF(#REF!,U900,"m")&gt;=24,4,"")))),IF(E900="r0320 - Deposits, not covered and not preferential",1,4))</f>
        <v>4</v>
      </c>
    </row>
    <row r="901" spans="3:29" ht="48.75" thickBot="1" x14ac:dyDescent="0.3">
      <c r="C901" s="11">
        <v>999</v>
      </c>
      <c r="D901" s="154">
        <v>894</v>
      </c>
      <c r="E901" s="154" t="s">
        <v>1902</v>
      </c>
      <c r="F901" s="154" t="s">
        <v>83</v>
      </c>
      <c r="G901" s="154" t="s">
        <v>1903</v>
      </c>
      <c r="H901" s="154" t="s">
        <v>864</v>
      </c>
      <c r="I901" s="154" t="s">
        <v>93</v>
      </c>
      <c r="J901" s="154" t="s">
        <v>94</v>
      </c>
      <c r="K901" s="154" t="s">
        <v>60</v>
      </c>
      <c r="L901" s="154" t="s">
        <v>1897</v>
      </c>
      <c r="M901" s="154" t="s">
        <v>1388</v>
      </c>
      <c r="N901" s="154" t="s">
        <v>61</v>
      </c>
      <c r="O901" s="154" t="s">
        <v>62</v>
      </c>
      <c r="P901" s="146">
        <v>30182.66</v>
      </c>
      <c r="Q901" s="146">
        <v>1.41</v>
      </c>
      <c r="R901" s="154" t="s">
        <v>1384</v>
      </c>
      <c r="S901" s="154" t="s">
        <v>1899</v>
      </c>
      <c r="T901" s="155" t="s">
        <v>768</v>
      </c>
      <c r="U901" s="155" t="s">
        <v>1899</v>
      </c>
      <c r="V901" s="154" t="s">
        <v>1904</v>
      </c>
      <c r="W901" s="154">
        <v>0</v>
      </c>
      <c r="X901" s="154" t="s">
        <v>63</v>
      </c>
      <c r="Y901" s="154" t="s">
        <v>1386</v>
      </c>
      <c r="Z901" s="154"/>
      <c r="AA901" s="154" t="s">
        <v>1387</v>
      </c>
      <c r="AB901" s="154">
        <v>0</v>
      </c>
      <c r="AC901" s="138">
        <f>IFERROR(IF(DATEDIF(#REF!,U901,"m")&lt;=1,1,IF(AND(DATEDIF(#REF!,U901,"m")&gt;1,DATEDIF(#REF!,U901,"m")&lt;12),2,IF(AND(DATEDIF(#REF!,U901,"m")&gt;=12,DATEDIF(#REF!,U901,"m")&lt;24),3,IF(DATEDIF(#REF!,U901,"m")&gt;=24,4,"")))),IF(E901="r0320 - Deposits, not covered and not preferential",1,4))</f>
        <v>4</v>
      </c>
    </row>
    <row r="902" spans="3:29" ht="48.75" thickBot="1" x14ac:dyDescent="0.3">
      <c r="C902" s="11">
        <v>999</v>
      </c>
      <c r="D902" s="154">
        <v>895</v>
      </c>
      <c r="E902" s="154" t="s">
        <v>1902</v>
      </c>
      <c r="F902" s="154" t="s">
        <v>83</v>
      </c>
      <c r="G902" s="154" t="s">
        <v>1903</v>
      </c>
      <c r="H902" s="154" t="s">
        <v>533</v>
      </c>
      <c r="I902" s="154" t="s">
        <v>93</v>
      </c>
      <c r="J902" s="154" t="s">
        <v>94</v>
      </c>
      <c r="K902" s="154" t="s">
        <v>60</v>
      </c>
      <c r="L902" s="154" t="s">
        <v>1897</v>
      </c>
      <c r="M902" s="154" t="s">
        <v>1388</v>
      </c>
      <c r="N902" s="154" t="s">
        <v>61</v>
      </c>
      <c r="O902" s="154" t="s">
        <v>62</v>
      </c>
      <c r="P902" s="146">
        <v>84690.36</v>
      </c>
      <c r="Q902" s="146">
        <v>41.13</v>
      </c>
      <c r="R902" s="154" t="s">
        <v>1384</v>
      </c>
      <c r="S902" s="154" t="s">
        <v>1899</v>
      </c>
      <c r="T902" s="155" t="s">
        <v>768</v>
      </c>
      <c r="U902" s="155" t="s">
        <v>1899</v>
      </c>
      <c r="V902" s="154" t="s">
        <v>1904</v>
      </c>
      <c r="W902" s="154">
        <v>0</v>
      </c>
      <c r="X902" s="154" t="s">
        <v>63</v>
      </c>
      <c r="Y902" s="154" t="s">
        <v>1386</v>
      </c>
      <c r="Z902" s="154"/>
      <c r="AA902" s="154" t="s">
        <v>1387</v>
      </c>
      <c r="AB902" s="154">
        <v>0</v>
      </c>
      <c r="AC902" s="138">
        <f>IFERROR(IF(DATEDIF(#REF!,U902,"m")&lt;=1,1,IF(AND(DATEDIF(#REF!,U902,"m")&gt;1,DATEDIF(#REF!,U902,"m")&lt;12),2,IF(AND(DATEDIF(#REF!,U902,"m")&gt;=12,DATEDIF(#REF!,U902,"m")&lt;24),3,IF(DATEDIF(#REF!,U902,"m")&gt;=24,4,"")))),IF(E902="r0320 - Deposits, not covered and not preferential",1,4))</f>
        <v>4</v>
      </c>
    </row>
    <row r="903" spans="3:29" ht="36.75" thickBot="1" x14ac:dyDescent="0.3">
      <c r="C903" s="11">
        <v>999</v>
      </c>
      <c r="D903" s="154">
        <v>896</v>
      </c>
      <c r="E903" s="154" t="s">
        <v>1898</v>
      </c>
      <c r="F903" s="154" t="s">
        <v>83</v>
      </c>
      <c r="G903" s="154" t="s">
        <v>1402</v>
      </c>
      <c r="H903" s="154" t="s">
        <v>880</v>
      </c>
      <c r="I903" s="154" t="s">
        <v>153</v>
      </c>
      <c r="J903" s="154" t="s">
        <v>154</v>
      </c>
      <c r="K903" s="154" t="s">
        <v>60</v>
      </c>
      <c r="L903" s="154" t="s">
        <v>1897</v>
      </c>
      <c r="M903" s="154" t="s">
        <v>1388</v>
      </c>
      <c r="N903" s="154" t="s">
        <v>61</v>
      </c>
      <c r="O903" s="154" t="s">
        <v>62</v>
      </c>
      <c r="P903" s="146">
        <v>40000.49</v>
      </c>
      <c r="Q903" s="146">
        <v>0</v>
      </c>
      <c r="R903" s="154" t="s">
        <v>1384</v>
      </c>
      <c r="S903" s="154" t="s">
        <v>1899</v>
      </c>
      <c r="T903" s="155" t="s">
        <v>1899</v>
      </c>
      <c r="U903" s="155" t="s">
        <v>1899</v>
      </c>
      <c r="V903" s="154" t="s">
        <v>1562</v>
      </c>
      <c r="W903" s="154">
        <v>0</v>
      </c>
      <c r="X903" s="154" t="s">
        <v>63</v>
      </c>
      <c r="Y903" s="154" t="s">
        <v>1900</v>
      </c>
      <c r="Z903" s="154"/>
      <c r="AA903" s="154" t="s">
        <v>1387</v>
      </c>
      <c r="AB903" s="154">
        <v>0</v>
      </c>
      <c r="AC903" s="138">
        <f>IFERROR(IF(DATEDIF(#REF!,U903,"m")&lt;=1,1,IF(AND(DATEDIF(#REF!,U903,"m")&gt;1,DATEDIF(#REF!,U903,"m")&lt;12),2,IF(AND(DATEDIF(#REF!,U903,"m")&gt;=12,DATEDIF(#REF!,U903,"m")&lt;24),3,IF(DATEDIF(#REF!,U903,"m")&gt;=24,4,"")))),IF(E903="r0320 - Deposits, not covered and not preferential",1,4))</f>
        <v>4</v>
      </c>
    </row>
    <row r="904" spans="3:29" ht="48.75" thickBot="1" x14ac:dyDescent="0.3">
      <c r="C904" s="11">
        <v>999</v>
      </c>
      <c r="D904" s="154">
        <v>897</v>
      </c>
      <c r="E904" s="154" t="s">
        <v>1902</v>
      </c>
      <c r="F904" s="154" t="s">
        <v>83</v>
      </c>
      <c r="G904" s="154" t="s">
        <v>1903</v>
      </c>
      <c r="H904" s="154" t="s">
        <v>875</v>
      </c>
      <c r="I904" s="154" t="s">
        <v>93</v>
      </c>
      <c r="J904" s="154" t="s">
        <v>94</v>
      </c>
      <c r="K904" s="154" t="s">
        <v>60</v>
      </c>
      <c r="L904" s="154" t="s">
        <v>1897</v>
      </c>
      <c r="M904" s="154" t="s">
        <v>1388</v>
      </c>
      <c r="N904" s="154" t="s">
        <v>61</v>
      </c>
      <c r="O904" s="154" t="s">
        <v>62</v>
      </c>
      <c r="P904" s="146">
        <v>705.8</v>
      </c>
      <c r="Q904" s="146">
        <v>0.02</v>
      </c>
      <c r="R904" s="154" t="s">
        <v>1384</v>
      </c>
      <c r="S904" s="154" t="s">
        <v>1899</v>
      </c>
      <c r="T904" s="155" t="s">
        <v>768</v>
      </c>
      <c r="U904" s="155" t="s">
        <v>1899</v>
      </c>
      <c r="V904" s="154" t="s">
        <v>1904</v>
      </c>
      <c r="W904" s="154">
        <v>0</v>
      </c>
      <c r="X904" s="154" t="s">
        <v>63</v>
      </c>
      <c r="Y904" s="154" t="s">
        <v>1386</v>
      </c>
      <c r="Z904" s="154"/>
      <c r="AA904" s="154" t="s">
        <v>1387</v>
      </c>
      <c r="AB904" s="154">
        <v>0</v>
      </c>
      <c r="AC904" s="138">
        <f>IFERROR(IF(DATEDIF(#REF!,U904,"m")&lt;=1,1,IF(AND(DATEDIF(#REF!,U904,"m")&gt;1,DATEDIF(#REF!,U904,"m")&lt;12),2,IF(AND(DATEDIF(#REF!,U904,"m")&gt;=12,DATEDIF(#REF!,U904,"m")&lt;24),3,IF(DATEDIF(#REF!,U904,"m")&gt;=24,4,"")))),IF(E904="r0320 - Deposits, not covered and not preferential",1,4))</f>
        <v>4</v>
      </c>
    </row>
    <row r="905" spans="3:29" ht="48.75" thickBot="1" x14ac:dyDescent="0.3">
      <c r="C905" s="11">
        <v>999</v>
      </c>
      <c r="D905" s="154">
        <v>898</v>
      </c>
      <c r="E905" s="154" t="s">
        <v>1895</v>
      </c>
      <c r="F905" s="154" t="s">
        <v>83</v>
      </c>
      <c r="G905" s="154" t="s">
        <v>1896</v>
      </c>
      <c r="H905" s="154" t="s">
        <v>57</v>
      </c>
      <c r="I905" s="154" t="s">
        <v>587</v>
      </c>
      <c r="J905" s="154" t="s">
        <v>588</v>
      </c>
      <c r="K905" s="154" t="s">
        <v>60</v>
      </c>
      <c r="L905" s="154" t="s">
        <v>1897</v>
      </c>
      <c r="M905" s="154" t="s">
        <v>1383</v>
      </c>
      <c r="N905" s="154" t="s">
        <v>61</v>
      </c>
      <c r="O905" s="154" t="s">
        <v>62</v>
      </c>
      <c r="P905" s="146">
        <v>5429.91</v>
      </c>
      <c r="Q905" s="146">
        <v>0</v>
      </c>
      <c r="R905" s="154" t="s">
        <v>1384</v>
      </c>
      <c r="S905" s="154" t="s">
        <v>1385</v>
      </c>
      <c r="T905" s="155">
        <v>44564</v>
      </c>
      <c r="U905" s="155">
        <v>44564</v>
      </c>
      <c r="V905" s="154" t="s">
        <v>1562</v>
      </c>
      <c r="W905" s="154">
        <v>0</v>
      </c>
      <c r="X905" s="154" t="s">
        <v>63</v>
      </c>
      <c r="Y905" s="154" t="s">
        <v>1386</v>
      </c>
      <c r="Z905" s="154"/>
      <c r="AA905" s="154" t="s">
        <v>1387</v>
      </c>
      <c r="AB905" s="154">
        <v>0</v>
      </c>
      <c r="AC905" s="138">
        <f>IFERROR(IF(DATEDIF(#REF!,U905,"m")&lt;=1,1,IF(AND(DATEDIF(#REF!,U905,"m")&gt;1,DATEDIF(#REF!,U905,"m")&lt;12),2,IF(AND(DATEDIF(#REF!,U905,"m")&gt;=12,DATEDIF(#REF!,U905,"m")&lt;24),3,IF(DATEDIF(#REF!,U905,"m")&gt;=24,4,"")))),IF(E905="r0320 - Deposits, not covered and not preferential",1,4))</f>
        <v>1</v>
      </c>
    </row>
    <row r="906" spans="3:29" ht="48.75" thickBot="1" x14ac:dyDescent="0.3">
      <c r="C906" s="11">
        <v>999</v>
      </c>
      <c r="D906" s="154">
        <v>899</v>
      </c>
      <c r="E906" s="154" t="s">
        <v>1902</v>
      </c>
      <c r="F906" s="154" t="s">
        <v>83</v>
      </c>
      <c r="G906" s="154" t="s">
        <v>1903</v>
      </c>
      <c r="H906" s="154" t="s">
        <v>862</v>
      </c>
      <c r="I906" s="154" t="s">
        <v>101</v>
      </c>
      <c r="J906" s="154" t="s">
        <v>102</v>
      </c>
      <c r="K906" s="154" t="s">
        <v>60</v>
      </c>
      <c r="L906" s="154" t="s">
        <v>1897</v>
      </c>
      <c r="M906" s="154" t="s">
        <v>1388</v>
      </c>
      <c r="N906" s="154" t="s">
        <v>61</v>
      </c>
      <c r="O906" s="154" t="s">
        <v>62</v>
      </c>
      <c r="P906" s="146">
        <v>511694.83</v>
      </c>
      <c r="Q906" s="146">
        <v>60.95</v>
      </c>
      <c r="R906" s="154" t="s">
        <v>1384</v>
      </c>
      <c r="S906" s="154" t="s">
        <v>1899</v>
      </c>
      <c r="T906" s="155" t="s">
        <v>768</v>
      </c>
      <c r="U906" s="155" t="s">
        <v>1899</v>
      </c>
      <c r="V906" s="154" t="s">
        <v>1904</v>
      </c>
      <c r="W906" s="154">
        <v>0</v>
      </c>
      <c r="X906" s="154" t="s">
        <v>63</v>
      </c>
      <c r="Y906" s="154" t="s">
        <v>1386</v>
      </c>
      <c r="Z906" s="154"/>
      <c r="AA906" s="154" t="s">
        <v>1387</v>
      </c>
      <c r="AB906" s="154">
        <v>0</v>
      </c>
      <c r="AC906" s="138">
        <f>IFERROR(IF(DATEDIF(#REF!,U906,"m")&lt;=1,1,IF(AND(DATEDIF(#REF!,U906,"m")&gt;1,DATEDIF(#REF!,U906,"m")&lt;12),2,IF(AND(DATEDIF(#REF!,U906,"m")&gt;=12,DATEDIF(#REF!,U906,"m")&lt;24),3,IF(DATEDIF(#REF!,U906,"m")&gt;=24,4,"")))),IF(E906="r0320 - Deposits, not covered and not preferential",1,4))</f>
        <v>4</v>
      </c>
    </row>
    <row r="907" spans="3:29" ht="36.75" thickBot="1" x14ac:dyDescent="0.3">
      <c r="C907" s="11">
        <v>999</v>
      </c>
      <c r="D907" s="154">
        <v>900</v>
      </c>
      <c r="E907" s="154" t="s">
        <v>1898</v>
      </c>
      <c r="F907" s="154" t="s">
        <v>83</v>
      </c>
      <c r="G907" s="154" t="s">
        <v>1402</v>
      </c>
      <c r="H907" s="154" t="s">
        <v>884</v>
      </c>
      <c r="I907" s="154" t="s">
        <v>153</v>
      </c>
      <c r="J907" s="154" t="s">
        <v>154</v>
      </c>
      <c r="K907" s="154" t="s">
        <v>60</v>
      </c>
      <c r="L907" s="154" t="s">
        <v>1897</v>
      </c>
      <c r="M907" s="154" t="s">
        <v>1388</v>
      </c>
      <c r="N907" s="154" t="s">
        <v>61</v>
      </c>
      <c r="O907" s="154" t="s">
        <v>62</v>
      </c>
      <c r="P907" s="146">
        <v>95646.29</v>
      </c>
      <c r="Q907" s="146">
        <v>0</v>
      </c>
      <c r="R907" s="154" t="s">
        <v>1384</v>
      </c>
      <c r="S907" s="154" t="s">
        <v>1899</v>
      </c>
      <c r="T907" s="155" t="s">
        <v>1899</v>
      </c>
      <c r="U907" s="155" t="s">
        <v>1899</v>
      </c>
      <c r="V907" s="154" t="s">
        <v>1562</v>
      </c>
      <c r="W907" s="154">
        <v>0</v>
      </c>
      <c r="X907" s="154" t="s">
        <v>63</v>
      </c>
      <c r="Y907" s="154" t="s">
        <v>1900</v>
      </c>
      <c r="Z907" s="154"/>
      <c r="AA907" s="154" t="s">
        <v>1387</v>
      </c>
      <c r="AB907" s="154">
        <v>0</v>
      </c>
      <c r="AC907" s="138">
        <f>IFERROR(IF(DATEDIF(#REF!,U907,"m")&lt;=1,1,IF(AND(DATEDIF(#REF!,U907,"m")&gt;1,DATEDIF(#REF!,U907,"m")&lt;12),2,IF(AND(DATEDIF(#REF!,U907,"m")&gt;=12,DATEDIF(#REF!,U907,"m")&lt;24),3,IF(DATEDIF(#REF!,U907,"m")&gt;=24,4,"")))),IF(E907="r0320 - Deposits, not covered and not preferential",1,4))</f>
        <v>4</v>
      </c>
    </row>
    <row r="908" spans="3:29" ht="36.75" thickBot="1" x14ac:dyDescent="0.3">
      <c r="C908" s="11">
        <v>999</v>
      </c>
      <c r="D908" s="154">
        <v>901</v>
      </c>
      <c r="E908" s="154" t="s">
        <v>1898</v>
      </c>
      <c r="F908" s="154" t="s">
        <v>83</v>
      </c>
      <c r="G908" s="154" t="s">
        <v>1402</v>
      </c>
      <c r="H908" s="154" t="s">
        <v>328</v>
      </c>
      <c r="I908" s="154" t="s">
        <v>153</v>
      </c>
      <c r="J908" s="154" t="s">
        <v>154</v>
      </c>
      <c r="K908" s="154" t="s">
        <v>60</v>
      </c>
      <c r="L908" s="154" t="s">
        <v>1897</v>
      </c>
      <c r="M908" s="154" t="s">
        <v>1388</v>
      </c>
      <c r="N908" s="154" t="s">
        <v>61</v>
      </c>
      <c r="O908" s="154" t="s">
        <v>62</v>
      </c>
      <c r="P908" s="146">
        <v>1229.04</v>
      </c>
      <c r="Q908" s="146">
        <v>0</v>
      </c>
      <c r="R908" s="154" t="s">
        <v>1384</v>
      </c>
      <c r="S908" s="154" t="s">
        <v>1899</v>
      </c>
      <c r="T908" s="155" t="s">
        <v>1899</v>
      </c>
      <c r="U908" s="155" t="s">
        <v>1899</v>
      </c>
      <c r="V908" s="154" t="s">
        <v>1562</v>
      </c>
      <c r="W908" s="154">
        <v>0</v>
      </c>
      <c r="X908" s="154" t="s">
        <v>63</v>
      </c>
      <c r="Y908" s="154" t="s">
        <v>1900</v>
      </c>
      <c r="Z908" s="154"/>
      <c r="AA908" s="154" t="s">
        <v>1387</v>
      </c>
      <c r="AB908" s="154">
        <v>0</v>
      </c>
      <c r="AC908" s="138">
        <f>IFERROR(IF(DATEDIF(#REF!,U908,"m")&lt;=1,1,IF(AND(DATEDIF(#REF!,U908,"m")&gt;1,DATEDIF(#REF!,U908,"m")&lt;12),2,IF(AND(DATEDIF(#REF!,U908,"m")&gt;=12,DATEDIF(#REF!,U908,"m")&lt;24),3,IF(DATEDIF(#REF!,U908,"m")&gt;=24,4,"")))),IF(E908="r0320 - Deposits, not covered and not preferential",1,4))</f>
        <v>4</v>
      </c>
    </row>
    <row r="909" spans="3:29" ht="48.75" thickBot="1" x14ac:dyDescent="0.3">
      <c r="C909" s="11">
        <v>999</v>
      </c>
      <c r="D909" s="154">
        <v>902</v>
      </c>
      <c r="E909" s="154" t="s">
        <v>1902</v>
      </c>
      <c r="F909" s="154" t="s">
        <v>83</v>
      </c>
      <c r="G909" s="154" t="s">
        <v>1903</v>
      </c>
      <c r="H909" s="154" t="s">
        <v>864</v>
      </c>
      <c r="I909" s="154" t="s">
        <v>114</v>
      </c>
      <c r="J909" s="154" t="s">
        <v>115</v>
      </c>
      <c r="K909" s="154" t="s">
        <v>60</v>
      </c>
      <c r="L909" s="154" t="s">
        <v>1897</v>
      </c>
      <c r="M909" s="154" t="s">
        <v>1388</v>
      </c>
      <c r="N909" s="154" t="s">
        <v>61</v>
      </c>
      <c r="O909" s="154" t="s">
        <v>62</v>
      </c>
      <c r="P909" s="146">
        <v>73848.31</v>
      </c>
      <c r="Q909" s="146">
        <v>45.41</v>
      </c>
      <c r="R909" s="154" t="s">
        <v>1384</v>
      </c>
      <c r="S909" s="154" t="s">
        <v>1899</v>
      </c>
      <c r="T909" s="155" t="s">
        <v>768</v>
      </c>
      <c r="U909" s="155" t="s">
        <v>1899</v>
      </c>
      <c r="V909" s="154" t="s">
        <v>1904</v>
      </c>
      <c r="W909" s="154">
        <v>0</v>
      </c>
      <c r="X909" s="154" t="s">
        <v>63</v>
      </c>
      <c r="Y909" s="154" t="s">
        <v>1386</v>
      </c>
      <c r="Z909" s="154"/>
      <c r="AA909" s="154" t="s">
        <v>1387</v>
      </c>
      <c r="AB909" s="154">
        <v>0</v>
      </c>
      <c r="AC909" s="138">
        <f>IFERROR(IF(DATEDIF(#REF!,U909,"m")&lt;=1,1,IF(AND(DATEDIF(#REF!,U909,"m")&gt;1,DATEDIF(#REF!,U909,"m")&lt;12),2,IF(AND(DATEDIF(#REF!,U909,"m")&gt;=12,DATEDIF(#REF!,U909,"m")&lt;24),3,IF(DATEDIF(#REF!,U909,"m")&gt;=24,4,"")))),IF(E909="r0320 - Deposits, not covered and not preferential",1,4))</f>
        <v>4</v>
      </c>
    </row>
    <row r="910" spans="3:29" ht="48.75" thickBot="1" x14ac:dyDescent="0.3">
      <c r="C910" s="11">
        <v>999</v>
      </c>
      <c r="D910" s="154">
        <v>903</v>
      </c>
      <c r="E910" s="154" t="s">
        <v>1902</v>
      </c>
      <c r="F910" s="154" t="s">
        <v>83</v>
      </c>
      <c r="G910" s="154" t="s">
        <v>1903</v>
      </c>
      <c r="H910" s="154" t="s">
        <v>536</v>
      </c>
      <c r="I910" s="154" t="s">
        <v>101</v>
      </c>
      <c r="J910" s="154" t="s">
        <v>102</v>
      </c>
      <c r="K910" s="154" t="s">
        <v>60</v>
      </c>
      <c r="L910" s="154" t="s">
        <v>1897</v>
      </c>
      <c r="M910" s="154" t="s">
        <v>1388</v>
      </c>
      <c r="N910" s="154" t="s">
        <v>61</v>
      </c>
      <c r="O910" s="154" t="s">
        <v>62</v>
      </c>
      <c r="P910" s="146">
        <v>49989.74</v>
      </c>
      <c r="Q910" s="146">
        <v>79.930000000000007</v>
      </c>
      <c r="R910" s="154" t="s">
        <v>1384</v>
      </c>
      <c r="S910" s="154" t="s">
        <v>1899</v>
      </c>
      <c r="T910" s="155" t="s">
        <v>768</v>
      </c>
      <c r="U910" s="155" t="s">
        <v>1899</v>
      </c>
      <c r="V910" s="154" t="s">
        <v>1904</v>
      </c>
      <c r="W910" s="154">
        <v>0</v>
      </c>
      <c r="X910" s="154" t="s">
        <v>63</v>
      </c>
      <c r="Y910" s="154" t="s">
        <v>1386</v>
      </c>
      <c r="Z910" s="154"/>
      <c r="AA910" s="154" t="s">
        <v>1387</v>
      </c>
      <c r="AB910" s="154">
        <v>0</v>
      </c>
      <c r="AC910" s="138">
        <f>IFERROR(IF(DATEDIF(#REF!,U910,"m")&lt;=1,1,IF(AND(DATEDIF(#REF!,U910,"m")&gt;1,DATEDIF(#REF!,U910,"m")&lt;12),2,IF(AND(DATEDIF(#REF!,U910,"m")&gt;=12,DATEDIF(#REF!,U910,"m")&lt;24),3,IF(DATEDIF(#REF!,U910,"m")&gt;=24,4,"")))),IF(E910="r0320 - Deposits, not covered and not preferential",1,4))</f>
        <v>4</v>
      </c>
    </row>
    <row r="911" spans="3:29" ht="36.75" thickBot="1" x14ac:dyDescent="0.3">
      <c r="C911" s="11">
        <v>999</v>
      </c>
      <c r="D911" s="154">
        <v>904</v>
      </c>
      <c r="E911" s="154" t="s">
        <v>1898</v>
      </c>
      <c r="F911" s="154" t="s">
        <v>83</v>
      </c>
      <c r="G911" s="154" t="s">
        <v>1402</v>
      </c>
      <c r="H911" s="154" t="s">
        <v>212</v>
      </c>
      <c r="I911" s="154" t="s">
        <v>153</v>
      </c>
      <c r="J911" s="154" t="s">
        <v>154</v>
      </c>
      <c r="K911" s="154" t="s">
        <v>60</v>
      </c>
      <c r="L911" s="154" t="s">
        <v>1897</v>
      </c>
      <c r="M911" s="154" t="s">
        <v>1388</v>
      </c>
      <c r="N911" s="154" t="s">
        <v>61</v>
      </c>
      <c r="O911" s="154" t="s">
        <v>62</v>
      </c>
      <c r="P911" s="146">
        <v>579.33000000000004</v>
      </c>
      <c r="Q911" s="146">
        <v>0</v>
      </c>
      <c r="R911" s="154" t="s">
        <v>1384</v>
      </c>
      <c r="S911" s="154" t="s">
        <v>1899</v>
      </c>
      <c r="T911" s="155" t="s">
        <v>1899</v>
      </c>
      <c r="U911" s="155" t="s">
        <v>1899</v>
      </c>
      <c r="V911" s="154" t="s">
        <v>1562</v>
      </c>
      <c r="W911" s="154">
        <v>0</v>
      </c>
      <c r="X911" s="154" t="s">
        <v>63</v>
      </c>
      <c r="Y911" s="154" t="s">
        <v>1900</v>
      </c>
      <c r="Z911" s="154"/>
      <c r="AA911" s="154" t="s">
        <v>1387</v>
      </c>
      <c r="AB911" s="154">
        <v>0</v>
      </c>
      <c r="AC911" s="138">
        <f>IFERROR(IF(DATEDIF(#REF!,U911,"m")&lt;=1,1,IF(AND(DATEDIF(#REF!,U911,"m")&gt;1,DATEDIF(#REF!,U911,"m")&lt;12),2,IF(AND(DATEDIF(#REF!,U911,"m")&gt;=12,DATEDIF(#REF!,U911,"m")&lt;24),3,IF(DATEDIF(#REF!,U911,"m")&gt;=24,4,"")))),IF(E911="r0320 - Deposits, not covered and not preferential",1,4))</f>
        <v>4</v>
      </c>
    </row>
    <row r="912" spans="3:29" ht="36.75" thickBot="1" x14ac:dyDescent="0.3">
      <c r="C912" s="11">
        <v>999</v>
      </c>
      <c r="D912" s="154">
        <v>905</v>
      </c>
      <c r="E912" s="154" t="s">
        <v>1895</v>
      </c>
      <c r="F912" s="154" t="s">
        <v>87</v>
      </c>
      <c r="G912" s="154" t="s">
        <v>1896</v>
      </c>
      <c r="H912" s="154" t="s">
        <v>57</v>
      </c>
      <c r="I912" s="154" t="s">
        <v>237</v>
      </c>
      <c r="J912" s="154" t="s">
        <v>238</v>
      </c>
      <c r="K912" s="154" t="s">
        <v>60</v>
      </c>
      <c r="L912" s="154" t="s">
        <v>1897</v>
      </c>
      <c r="M912" s="154" t="s">
        <v>1383</v>
      </c>
      <c r="N912" s="154" t="s">
        <v>61</v>
      </c>
      <c r="O912" s="154" t="s">
        <v>62</v>
      </c>
      <c r="P912" s="146">
        <v>150316.13</v>
      </c>
      <c r="Q912" s="146">
        <v>0</v>
      </c>
      <c r="R912" s="154" t="s">
        <v>1384</v>
      </c>
      <c r="S912" s="154" t="s">
        <v>1385</v>
      </c>
      <c r="T912" s="155">
        <v>44564</v>
      </c>
      <c r="U912" s="155">
        <v>44564</v>
      </c>
      <c r="V912" s="154" t="s">
        <v>1562</v>
      </c>
      <c r="W912" s="154">
        <v>0</v>
      </c>
      <c r="X912" s="154" t="s">
        <v>63</v>
      </c>
      <c r="Y912" s="154" t="s">
        <v>1386</v>
      </c>
      <c r="Z912" s="154"/>
      <c r="AA912" s="154" t="s">
        <v>1387</v>
      </c>
      <c r="AB912" s="154">
        <v>0</v>
      </c>
      <c r="AC912" s="138">
        <f>IFERROR(IF(DATEDIF(#REF!,U912,"m")&lt;=1,1,IF(AND(DATEDIF(#REF!,U912,"m")&gt;1,DATEDIF(#REF!,U912,"m")&lt;12),2,IF(AND(DATEDIF(#REF!,U912,"m")&gt;=12,DATEDIF(#REF!,U912,"m")&lt;24),3,IF(DATEDIF(#REF!,U912,"m")&gt;=24,4,"")))),IF(E912="r0320 - Deposits, not covered and not preferential",1,4))</f>
        <v>1</v>
      </c>
    </row>
    <row r="913" spans="3:29" ht="48.75" thickBot="1" x14ac:dyDescent="0.3">
      <c r="C913" s="11">
        <v>999</v>
      </c>
      <c r="D913" s="154">
        <v>906</v>
      </c>
      <c r="E913" s="154" t="s">
        <v>1902</v>
      </c>
      <c r="F913" s="154" t="s">
        <v>83</v>
      </c>
      <c r="G913" s="154" t="s">
        <v>1903</v>
      </c>
      <c r="H913" s="154" t="s">
        <v>1304</v>
      </c>
      <c r="I913" s="154" t="s">
        <v>114</v>
      </c>
      <c r="J913" s="154" t="s">
        <v>115</v>
      </c>
      <c r="K913" s="154" t="s">
        <v>60</v>
      </c>
      <c r="L913" s="154" t="s">
        <v>1897</v>
      </c>
      <c r="M913" s="154" t="s">
        <v>1388</v>
      </c>
      <c r="N913" s="154" t="s">
        <v>61</v>
      </c>
      <c r="O913" s="154" t="s">
        <v>62</v>
      </c>
      <c r="P913" s="146">
        <v>488791.45</v>
      </c>
      <c r="Q913" s="146">
        <v>-43.56</v>
      </c>
      <c r="R913" s="154" t="s">
        <v>1384</v>
      </c>
      <c r="S913" s="154" t="s">
        <v>1899</v>
      </c>
      <c r="T913" s="155" t="s">
        <v>768</v>
      </c>
      <c r="U913" s="155" t="s">
        <v>1899</v>
      </c>
      <c r="V913" s="154" t="s">
        <v>1904</v>
      </c>
      <c r="W913" s="154">
        <v>0</v>
      </c>
      <c r="X913" s="154" t="s">
        <v>63</v>
      </c>
      <c r="Y913" s="154" t="s">
        <v>1386</v>
      </c>
      <c r="Z913" s="154"/>
      <c r="AA913" s="154" t="s">
        <v>1387</v>
      </c>
      <c r="AB913" s="154">
        <v>0</v>
      </c>
      <c r="AC913" s="138">
        <f>IFERROR(IF(DATEDIF(#REF!,U913,"m")&lt;=1,1,IF(AND(DATEDIF(#REF!,U913,"m")&gt;1,DATEDIF(#REF!,U913,"m")&lt;12),2,IF(AND(DATEDIF(#REF!,U913,"m")&gt;=12,DATEDIF(#REF!,U913,"m")&lt;24),3,IF(DATEDIF(#REF!,U913,"m")&gt;=24,4,"")))),IF(E913="r0320 - Deposits, not covered and not preferential",1,4))</f>
        <v>4</v>
      </c>
    </row>
    <row r="914" spans="3:29" ht="36.75" thickBot="1" x14ac:dyDescent="0.3">
      <c r="C914" s="11">
        <v>999</v>
      </c>
      <c r="D914" s="154">
        <v>907</v>
      </c>
      <c r="E914" s="154" t="s">
        <v>1898</v>
      </c>
      <c r="F914" s="154" t="s">
        <v>87</v>
      </c>
      <c r="G914" s="154" t="s">
        <v>1402</v>
      </c>
      <c r="H914" s="154" t="s">
        <v>354</v>
      </c>
      <c r="I914" s="154" t="s">
        <v>99</v>
      </c>
      <c r="J914" s="154" t="s">
        <v>90</v>
      </c>
      <c r="K914" s="154" t="s">
        <v>91</v>
      </c>
      <c r="L914" s="154" t="s">
        <v>1897</v>
      </c>
      <c r="M914" s="154" t="s">
        <v>1383</v>
      </c>
      <c r="N914" s="154" t="s">
        <v>61</v>
      </c>
      <c r="O914" s="154" t="s">
        <v>62</v>
      </c>
      <c r="P914" s="146">
        <v>0.02</v>
      </c>
      <c r="Q914" s="146">
        <v>0</v>
      </c>
      <c r="R914" s="154" t="s">
        <v>1384</v>
      </c>
      <c r="S914" s="154" t="s">
        <v>1899</v>
      </c>
      <c r="T914" s="155" t="s">
        <v>1899</v>
      </c>
      <c r="U914" s="155" t="s">
        <v>1899</v>
      </c>
      <c r="V914" s="154" t="s">
        <v>1562</v>
      </c>
      <c r="W914" s="154">
        <v>0</v>
      </c>
      <c r="X914" s="154" t="s">
        <v>63</v>
      </c>
      <c r="Y914" s="154" t="s">
        <v>1900</v>
      </c>
      <c r="Z914" s="154"/>
      <c r="AA914" s="154" t="s">
        <v>1387</v>
      </c>
      <c r="AB914" s="154">
        <v>0</v>
      </c>
      <c r="AC914" s="138">
        <f>IFERROR(IF(DATEDIF(#REF!,U914,"m")&lt;=1,1,IF(AND(DATEDIF(#REF!,U914,"m")&gt;1,DATEDIF(#REF!,U914,"m")&lt;12),2,IF(AND(DATEDIF(#REF!,U914,"m")&gt;=12,DATEDIF(#REF!,U914,"m")&lt;24),3,IF(DATEDIF(#REF!,U914,"m")&gt;=24,4,"")))),IF(E914="r0320 - Deposits, not covered and not preferential",1,4))</f>
        <v>4</v>
      </c>
    </row>
    <row r="915" spans="3:29" ht="36.75" thickBot="1" x14ac:dyDescent="0.3">
      <c r="C915" s="11">
        <v>999</v>
      </c>
      <c r="D915" s="154">
        <v>908</v>
      </c>
      <c r="E915" s="154" t="s">
        <v>1898</v>
      </c>
      <c r="F915" s="154" t="s">
        <v>83</v>
      </c>
      <c r="G915" s="154" t="s">
        <v>1402</v>
      </c>
      <c r="H915" s="154" t="s">
        <v>331</v>
      </c>
      <c r="I915" s="154" t="s">
        <v>153</v>
      </c>
      <c r="J915" s="154" t="s">
        <v>154</v>
      </c>
      <c r="K915" s="154" t="s">
        <v>60</v>
      </c>
      <c r="L915" s="154" t="s">
        <v>1897</v>
      </c>
      <c r="M915" s="154" t="s">
        <v>1388</v>
      </c>
      <c r="N915" s="154" t="s">
        <v>61</v>
      </c>
      <c r="O915" s="154" t="s">
        <v>62</v>
      </c>
      <c r="P915" s="146">
        <v>834.88</v>
      </c>
      <c r="Q915" s="146">
        <v>0</v>
      </c>
      <c r="R915" s="154" t="s">
        <v>1384</v>
      </c>
      <c r="S915" s="154" t="s">
        <v>1899</v>
      </c>
      <c r="T915" s="155" t="s">
        <v>1899</v>
      </c>
      <c r="U915" s="155" t="s">
        <v>1899</v>
      </c>
      <c r="V915" s="154" t="s">
        <v>1562</v>
      </c>
      <c r="W915" s="154">
        <v>0</v>
      </c>
      <c r="X915" s="154" t="s">
        <v>63</v>
      </c>
      <c r="Y915" s="154" t="s">
        <v>1900</v>
      </c>
      <c r="Z915" s="154"/>
      <c r="AA915" s="154" t="s">
        <v>1387</v>
      </c>
      <c r="AB915" s="154">
        <v>0</v>
      </c>
      <c r="AC915" s="138">
        <f>IFERROR(IF(DATEDIF(#REF!,U915,"m")&lt;=1,1,IF(AND(DATEDIF(#REF!,U915,"m")&gt;1,DATEDIF(#REF!,U915,"m")&lt;12),2,IF(AND(DATEDIF(#REF!,U915,"m")&gt;=12,DATEDIF(#REF!,U915,"m")&lt;24),3,IF(DATEDIF(#REF!,U915,"m")&gt;=24,4,"")))),IF(E915="r0320 - Deposits, not covered and not preferential",1,4))</f>
        <v>4</v>
      </c>
    </row>
    <row r="916" spans="3:29" ht="36.75" thickBot="1" x14ac:dyDescent="0.3">
      <c r="C916" s="11">
        <v>999</v>
      </c>
      <c r="D916" s="154">
        <v>909</v>
      </c>
      <c r="E916" s="154" t="s">
        <v>1898</v>
      </c>
      <c r="F916" s="154" t="s">
        <v>87</v>
      </c>
      <c r="G916" s="154" t="s">
        <v>1402</v>
      </c>
      <c r="H916" s="154" t="s">
        <v>873</v>
      </c>
      <c r="I916" s="154" t="s">
        <v>96</v>
      </c>
      <c r="J916" s="154" t="s">
        <v>97</v>
      </c>
      <c r="K916" s="154" t="s">
        <v>91</v>
      </c>
      <c r="L916" s="154" t="s">
        <v>1897</v>
      </c>
      <c r="M916" s="154" t="s">
        <v>1383</v>
      </c>
      <c r="N916" s="154" t="s">
        <v>61</v>
      </c>
      <c r="O916" s="154" t="s">
        <v>62</v>
      </c>
      <c r="P916" s="146">
        <v>0.03</v>
      </c>
      <c r="Q916" s="146">
        <v>0</v>
      </c>
      <c r="R916" s="154" t="s">
        <v>1384</v>
      </c>
      <c r="S916" s="154" t="s">
        <v>1899</v>
      </c>
      <c r="T916" s="155" t="s">
        <v>1899</v>
      </c>
      <c r="U916" s="155" t="s">
        <v>1899</v>
      </c>
      <c r="V916" s="154" t="s">
        <v>1562</v>
      </c>
      <c r="W916" s="154">
        <v>0</v>
      </c>
      <c r="X916" s="154" t="s">
        <v>63</v>
      </c>
      <c r="Y916" s="154" t="s">
        <v>1900</v>
      </c>
      <c r="Z916" s="154"/>
      <c r="AA916" s="154" t="s">
        <v>1387</v>
      </c>
      <c r="AB916" s="154">
        <v>0</v>
      </c>
      <c r="AC916" s="138">
        <f>IFERROR(IF(DATEDIF(#REF!,U916,"m")&lt;=1,1,IF(AND(DATEDIF(#REF!,U916,"m")&gt;1,DATEDIF(#REF!,U916,"m")&lt;12),2,IF(AND(DATEDIF(#REF!,U916,"m")&gt;=12,DATEDIF(#REF!,U916,"m")&lt;24),3,IF(DATEDIF(#REF!,U916,"m")&gt;=24,4,"")))),IF(E916="r0320 - Deposits, not covered and not preferential",1,4))</f>
        <v>4</v>
      </c>
    </row>
    <row r="917" spans="3:29" ht="48.75" thickBot="1" x14ac:dyDescent="0.3">
      <c r="C917" s="11">
        <v>999</v>
      </c>
      <c r="D917" s="154">
        <v>910</v>
      </c>
      <c r="E917" s="154" t="s">
        <v>1902</v>
      </c>
      <c r="F917" s="154" t="s">
        <v>83</v>
      </c>
      <c r="G917" s="154" t="s">
        <v>1903</v>
      </c>
      <c r="H917" s="154" t="s">
        <v>875</v>
      </c>
      <c r="I917" s="154" t="s">
        <v>101</v>
      </c>
      <c r="J917" s="154" t="s">
        <v>102</v>
      </c>
      <c r="K917" s="154" t="s">
        <v>60</v>
      </c>
      <c r="L917" s="154" t="s">
        <v>1897</v>
      </c>
      <c r="M917" s="154" t="s">
        <v>1388</v>
      </c>
      <c r="N917" s="154" t="s">
        <v>61</v>
      </c>
      <c r="O917" s="154" t="s">
        <v>62</v>
      </c>
      <c r="P917" s="146">
        <v>696336.75</v>
      </c>
      <c r="Q917" s="146">
        <v>353.64</v>
      </c>
      <c r="R917" s="154" t="s">
        <v>1384</v>
      </c>
      <c r="S917" s="154" t="s">
        <v>1899</v>
      </c>
      <c r="T917" s="155" t="s">
        <v>768</v>
      </c>
      <c r="U917" s="155" t="s">
        <v>1899</v>
      </c>
      <c r="V917" s="154" t="s">
        <v>1904</v>
      </c>
      <c r="W917" s="154">
        <v>0</v>
      </c>
      <c r="X917" s="154" t="s">
        <v>63</v>
      </c>
      <c r="Y917" s="154" t="s">
        <v>1386</v>
      </c>
      <c r="Z917" s="154"/>
      <c r="AA917" s="154" t="s">
        <v>1387</v>
      </c>
      <c r="AB917" s="154">
        <v>0</v>
      </c>
      <c r="AC917" s="138">
        <f>IFERROR(IF(DATEDIF(#REF!,U917,"m")&lt;=1,1,IF(AND(DATEDIF(#REF!,U917,"m")&gt;1,DATEDIF(#REF!,U917,"m")&lt;12),2,IF(AND(DATEDIF(#REF!,U917,"m")&gt;=12,DATEDIF(#REF!,U917,"m")&lt;24),3,IF(DATEDIF(#REF!,U917,"m")&gt;=24,4,"")))),IF(E917="r0320 - Deposits, not covered and not preferential",1,4))</f>
        <v>4</v>
      </c>
    </row>
    <row r="918" spans="3:29" ht="48.75" thickBot="1" x14ac:dyDescent="0.3">
      <c r="C918" s="11">
        <v>999</v>
      </c>
      <c r="D918" s="154">
        <v>911</v>
      </c>
      <c r="E918" s="154" t="s">
        <v>1902</v>
      </c>
      <c r="F918" s="154" t="s">
        <v>83</v>
      </c>
      <c r="G918" s="154" t="s">
        <v>1903</v>
      </c>
      <c r="H918" s="154" t="s">
        <v>540</v>
      </c>
      <c r="I918" s="154" t="s">
        <v>101</v>
      </c>
      <c r="J918" s="154" t="s">
        <v>102</v>
      </c>
      <c r="K918" s="154" t="s">
        <v>60</v>
      </c>
      <c r="L918" s="154" t="s">
        <v>1897</v>
      </c>
      <c r="M918" s="154" t="s">
        <v>1388</v>
      </c>
      <c r="N918" s="154" t="s">
        <v>61</v>
      </c>
      <c r="O918" s="154" t="s">
        <v>62</v>
      </c>
      <c r="P918" s="146">
        <v>45552.32</v>
      </c>
      <c r="Q918" s="146">
        <v>-8.59</v>
      </c>
      <c r="R918" s="154" t="s">
        <v>1384</v>
      </c>
      <c r="S918" s="154" t="s">
        <v>1899</v>
      </c>
      <c r="T918" s="155" t="s">
        <v>768</v>
      </c>
      <c r="U918" s="155" t="s">
        <v>1899</v>
      </c>
      <c r="V918" s="154" t="s">
        <v>1904</v>
      </c>
      <c r="W918" s="154">
        <v>0</v>
      </c>
      <c r="X918" s="154" t="s">
        <v>63</v>
      </c>
      <c r="Y918" s="154" t="s">
        <v>1386</v>
      </c>
      <c r="Z918" s="154"/>
      <c r="AA918" s="154" t="s">
        <v>1387</v>
      </c>
      <c r="AB918" s="154">
        <v>0</v>
      </c>
      <c r="AC918" s="138">
        <f>IFERROR(IF(DATEDIF(#REF!,U918,"m")&lt;=1,1,IF(AND(DATEDIF(#REF!,U918,"m")&gt;1,DATEDIF(#REF!,U918,"m")&lt;12),2,IF(AND(DATEDIF(#REF!,U918,"m")&gt;=12,DATEDIF(#REF!,U918,"m")&lt;24),3,IF(DATEDIF(#REF!,U918,"m")&gt;=24,4,"")))),IF(E918="r0320 - Deposits, not covered and not preferential",1,4))</f>
        <v>4</v>
      </c>
    </row>
    <row r="919" spans="3:29" ht="36.75" thickBot="1" x14ac:dyDescent="0.3">
      <c r="C919" s="11">
        <v>999</v>
      </c>
      <c r="D919" s="154">
        <v>912</v>
      </c>
      <c r="E919" s="154" t="s">
        <v>1898</v>
      </c>
      <c r="F919" s="154" t="s">
        <v>87</v>
      </c>
      <c r="G919" s="154" t="s">
        <v>1402</v>
      </c>
      <c r="H919" s="154" t="s">
        <v>95</v>
      </c>
      <c r="I919" s="154" t="s">
        <v>96</v>
      </c>
      <c r="J919" s="154" t="s">
        <v>97</v>
      </c>
      <c r="K919" s="154" t="s">
        <v>91</v>
      </c>
      <c r="L919" s="154" t="s">
        <v>1897</v>
      </c>
      <c r="M919" s="154" t="s">
        <v>1383</v>
      </c>
      <c r="N919" s="154" t="s">
        <v>61</v>
      </c>
      <c r="O919" s="154" t="s">
        <v>62</v>
      </c>
      <c r="P919" s="146">
        <v>0.05</v>
      </c>
      <c r="Q919" s="146">
        <v>0</v>
      </c>
      <c r="R919" s="154" t="s">
        <v>1384</v>
      </c>
      <c r="S919" s="154" t="s">
        <v>1899</v>
      </c>
      <c r="T919" s="155" t="s">
        <v>1899</v>
      </c>
      <c r="U919" s="155" t="s">
        <v>1899</v>
      </c>
      <c r="V919" s="154" t="s">
        <v>1562</v>
      </c>
      <c r="W919" s="154">
        <v>0</v>
      </c>
      <c r="X919" s="154" t="s">
        <v>63</v>
      </c>
      <c r="Y919" s="154" t="s">
        <v>1900</v>
      </c>
      <c r="Z919" s="154"/>
      <c r="AA919" s="154" t="s">
        <v>1387</v>
      </c>
      <c r="AB919" s="154">
        <v>0</v>
      </c>
      <c r="AC919" s="138">
        <f>IFERROR(IF(DATEDIF(#REF!,U919,"m")&lt;=1,1,IF(AND(DATEDIF(#REF!,U919,"m")&gt;1,DATEDIF(#REF!,U919,"m")&lt;12),2,IF(AND(DATEDIF(#REF!,U919,"m")&gt;=12,DATEDIF(#REF!,U919,"m")&lt;24),3,IF(DATEDIF(#REF!,U919,"m")&gt;=24,4,"")))),IF(E919="r0320 - Deposits, not covered and not preferential",1,4))</f>
        <v>4</v>
      </c>
    </row>
    <row r="920" spans="3:29" ht="48.75" thickBot="1" x14ac:dyDescent="0.3">
      <c r="C920" s="11">
        <v>999</v>
      </c>
      <c r="D920" s="154">
        <v>913</v>
      </c>
      <c r="E920" s="154" t="s">
        <v>1902</v>
      </c>
      <c r="F920" s="154" t="s">
        <v>83</v>
      </c>
      <c r="G920" s="154" t="s">
        <v>1903</v>
      </c>
      <c r="H920" s="154" t="s">
        <v>882</v>
      </c>
      <c r="I920" s="154" t="s">
        <v>114</v>
      </c>
      <c r="J920" s="154" t="s">
        <v>115</v>
      </c>
      <c r="K920" s="154" t="s">
        <v>60</v>
      </c>
      <c r="L920" s="154" t="s">
        <v>1897</v>
      </c>
      <c r="M920" s="154" t="s">
        <v>1388</v>
      </c>
      <c r="N920" s="154" t="s">
        <v>61</v>
      </c>
      <c r="O920" s="154" t="s">
        <v>62</v>
      </c>
      <c r="P920" s="146">
        <v>81289.31</v>
      </c>
      <c r="Q920" s="146">
        <v>3.27</v>
      </c>
      <c r="R920" s="154" t="s">
        <v>1384</v>
      </c>
      <c r="S920" s="154" t="s">
        <v>1899</v>
      </c>
      <c r="T920" s="155" t="s">
        <v>768</v>
      </c>
      <c r="U920" s="155" t="s">
        <v>1899</v>
      </c>
      <c r="V920" s="154" t="s">
        <v>1904</v>
      </c>
      <c r="W920" s="154">
        <v>0</v>
      </c>
      <c r="X920" s="154" t="s">
        <v>63</v>
      </c>
      <c r="Y920" s="154" t="s">
        <v>1386</v>
      </c>
      <c r="Z920" s="154"/>
      <c r="AA920" s="154" t="s">
        <v>1387</v>
      </c>
      <c r="AB920" s="154">
        <v>0</v>
      </c>
      <c r="AC920" s="138">
        <f>IFERROR(IF(DATEDIF(#REF!,U920,"m")&lt;=1,1,IF(AND(DATEDIF(#REF!,U920,"m")&gt;1,DATEDIF(#REF!,U920,"m")&lt;12),2,IF(AND(DATEDIF(#REF!,U920,"m")&gt;=12,DATEDIF(#REF!,U920,"m")&lt;24),3,IF(DATEDIF(#REF!,U920,"m")&gt;=24,4,"")))),IF(E920="r0320 - Deposits, not covered and not preferential",1,4))</f>
        <v>4</v>
      </c>
    </row>
    <row r="921" spans="3:29" ht="36.75" thickBot="1" x14ac:dyDescent="0.3">
      <c r="C921" s="11">
        <v>999</v>
      </c>
      <c r="D921" s="154">
        <v>914</v>
      </c>
      <c r="E921" s="154" t="s">
        <v>1898</v>
      </c>
      <c r="F921" s="154" t="s">
        <v>87</v>
      </c>
      <c r="G921" s="154" t="s">
        <v>1402</v>
      </c>
      <c r="H921" s="154" t="s">
        <v>915</v>
      </c>
      <c r="I921" s="154" t="s">
        <v>96</v>
      </c>
      <c r="J921" s="154" t="s">
        <v>97</v>
      </c>
      <c r="K921" s="154" t="s">
        <v>91</v>
      </c>
      <c r="L921" s="154" t="s">
        <v>1897</v>
      </c>
      <c r="M921" s="154" t="s">
        <v>1383</v>
      </c>
      <c r="N921" s="154" t="s">
        <v>61</v>
      </c>
      <c r="O921" s="154" t="s">
        <v>62</v>
      </c>
      <c r="P921" s="146">
        <v>3.99</v>
      </c>
      <c r="Q921" s="146">
        <v>0</v>
      </c>
      <c r="R921" s="154" t="s">
        <v>1384</v>
      </c>
      <c r="S921" s="154" t="s">
        <v>1899</v>
      </c>
      <c r="T921" s="155" t="s">
        <v>1899</v>
      </c>
      <c r="U921" s="155" t="s">
        <v>1899</v>
      </c>
      <c r="V921" s="154" t="s">
        <v>1562</v>
      </c>
      <c r="W921" s="154">
        <v>0</v>
      </c>
      <c r="X921" s="154" t="s">
        <v>63</v>
      </c>
      <c r="Y921" s="154" t="s">
        <v>1900</v>
      </c>
      <c r="Z921" s="154"/>
      <c r="AA921" s="154" t="s">
        <v>1387</v>
      </c>
      <c r="AB921" s="154">
        <v>0</v>
      </c>
      <c r="AC921" s="138">
        <f>IFERROR(IF(DATEDIF(#REF!,U921,"m")&lt;=1,1,IF(AND(DATEDIF(#REF!,U921,"m")&gt;1,DATEDIF(#REF!,U921,"m")&lt;12),2,IF(AND(DATEDIF(#REF!,U921,"m")&gt;=12,DATEDIF(#REF!,U921,"m")&lt;24),3,IF(DATEDIF(#REF!,U921,"m")&gt;=24,4,"")))),IF(E921="r0320 - Deposits, not covered and not preferential",1,4))</f>
        <v>4</v>
      </c>
    </row>
    <row r="922" spans="3:29" ht="36.75" thickBot="1" x14ac:dyDescent="0.3">
      <c r="C922" s="11">
        <v>999</v>
      </c>
      <c r="D922" s="154">
        <v>915</v>
      </c>
      <c r="E922" s="154" t="s">
        <v>1898</v>
      </c>
      <c r="F922" s="154" t="s">
        <v>87</v>
      </c>
      <c r="G922" s="154" t="s">
        <v>1402</v>
      </c>
      <c r="H922" s="154" t="s">
        <v>333</v>
      </c>
      <c r="I922" s="154" t="s">
        <v>96</v>
      </c>
      <c r="J922" s="154" t="s">
        <v>97</v>
      </c>
      <c r="K922" s="154" t="s">
        <v>91</v>
      </c>
      <c r="L922" s="154" t="s">
        <v>1897</v>
      </c>
      <c r="M922" s="154" t="s">
        <v>1383</v>
      </c>
      <c r="N922" s="154" t="s">
        <v>61</v>
      </c>
      <c r="O922" s="154" t="s">
        <v>62</v>
      </c>
      <c r="P922" s="146">
        <v>0.2</v>
      </c>
      <c r="Q922" s="146">
        <v>0</v>
      </c>
      <c r="R922" s="154" t="s">
        <v>1384</v>
      </c>
      <c r="S922" s="154" t="s">
        <v>1899</v>
      </c>
      <c r="T922" s="155" t="s">
        <v>1899</v>
      </c>
      <c r="U922" s="155" t="s">
        <v>1899</v>
      </c>
      <c r="V922" s="154" t="s">
        <v>1562</v>
      </c>
      <c r="W922" s="154">
        <v>0</v>
      </c>
      <c r="X922" s="154" t="s">
        <v>63</v>
      </c>
      <c r="Y922" s="154" t="s">
        <v>1900</v>
      </c>
      <c r="Z922" s="154"/>
      <c r="AA922" s="154" t="s">
        <v>1387</v>
      </c>
      <c r="AB922" s="154">
        <v>0</v>
      </c>
      <c r="AC922" s="138">
        <f>IFERROR(IF(DATEDIF(#REF!,U922,"m")&lt;=1,1,IF(AND(DATEDIF(#REF!,U922,"m")&gt;1,DATEDIF(#REF!,U922,"m")&lt;12),2,IF(AND(DATEDIF(#REF!,U922,"m")&gt;=12,DATEDIF(#REF!,U922,"m")&lt;24),3,IF(DATEDIF(#REF!,U922,"m")&gt;=24,4,"")))),IF(E922="r0320 - Deposits, not covered and not preferential",1,4))</f>
        <v>4</v>
      </c>
    </row>
    <row r="923" spans="3:29" ht="36.75" thickBot="1" x14ac:dyDescent="0.3">
      <c r="C923" s="11">
        <v>999</v>
      </c>
      <c r="D923" s="154">
        <v>916</v>
      </c>
      <c r="E923" s="154" t="s">
        <v>1898</v>
      </c>
      <c r="F923" s="154" t="s">
        <v>87</v>
      </c>
      <c r="G923" s="154" t="s">
        <v>1402</v>
      </c>
      <c r="H923" s="154" t="s">
        <v>125</v>
      </c>
      <c r="I923" s="154" t="s">
        <v>96</v>
      </c>
      <c r="J923" s="154" t="s">
        <v>97</v>
      </c>
      <c r="K923" s="154" t="s">
        <v>91</v>
      </c>
      <c r="L923" s="154" t="s">
        <v>1897</v>
      </c>
      <c r="M923" s="154" t="s">
        <v>1383</v>
      </c>
      <c r="N923" s="154" t="s">
        <v>61</v>
      </c>
      <c r="O923" s="154" t="s">
        <v>62</v>
      </c>
      <c r="P923" s="146">
        <v>0.01</v>
      </c>
      <c r="Q923" s="146">
        <v>0</v>
      </c>
      <c r="R923" s="154" t="s">
        <v>1384</v>
      </c>
      <c r="S923" s="154" t="s">
        <v>1899</v>
      </c>
      <c r="T923" s="155" t="s">
        <v>1899</v>
      </c>
      <c r="U923" s="155" t="s">
        <v>1899</v>
      </c>
      <c r="V923" s="154" t="s">
        <v>1562</v>
      </c>
      <c r="W923" s="154">
        <v>0</v>
      </c>
      <c r="X923" s="154" t="s">
        <v>63</v>
      </c>
      <c r="Y923" s="154" t="s">
        <v>1900</v>
      </c>
      <c r="Z923" s="154"/>
      <c r="AA923" s="154" t="s">
        <v>1387</v>
      </c>
      <c r="AB923" s="154">
        <v>0</v>
      </c>
      <c r="AC923" s="138">
        <f>IFERROR(IF(DATEDIF(#REF!,U923,"m")&lt;=1,1,IF(AND(DATEDIF(#REF!,U923,"m")&gt;1,DATEDIF(#REF!,U923,"m")&lt;12),2,IF(AND(DATEDIF(#REF!,U923,"m")&gt;=12,DATEDIF(#REF!,U923,"m")&lt;24),3,IF(DATEDIF(#REF!,U923,"m")&gt;=24,4,"")))),IF(E923="r0320 - Deposits, not covered and not preferential",1,4))</f>
        <v>4</v>
      </c>
    </row>
    <row r="924" spans="3:29" ht="48.75" thickBot="1" x14ac:dyDescent="0.3">
      <c r="C924" s="11">
        <v>999</v>
      </c>
      <c r="D924" s="154">
        <v>917</v>
      </c>
      <c r="E924" s="154" t="s">
        <v>1902</v>
      </c>
      <c r="F924" s="154" t="s">
        <v>83</v>
      </c>
      <c r="G924" s="154" t="s">
        <v>1903</v>
      </c>
      <c r="H924" s="154" t="s">
        <v>882</v>
      </c>
      <c r="I924" s="154" t="s">
        <v>101</v>
      </c>
      <c r="J924" s="154" t="s">
        <v>102</v>
      </c>
      <c r="K924" s="154" t="s">
        <v>60</v>
      </c>
      <c r="L924" s="154" t="s">
        <v>1897</v>
      </c>
      <c r="M924" s="154" t="s">
        <v>1388</v>
      </c>
      <c r="N924" s="154" t="s">
        <v>61</v>
      </c>
      <c r="O924" s="154" t="s">
        <v>62</v>
      </c>
      <c r="P924" s="146">
        <v>1121441.3999999999</v>
      </c>
      <c r="Q924" s="146">
        <v>616.37</v>
      </c>
      <c r="R924" s="154" t="s">
        <v>1384</v>
      </c>
      <c r="S924" s="154" t="s">
        <v>1899</v>
      </c>
      <c r="T924" s="155" t="s">
        <v>768</v>
      </c>
      <c r="U924" s="155" t="s">
        <v>1899</v>
      </c>
      <c r="V924" s="154" t="s">
        <v>1904</v>
      </c>
      <c r="W924" s="154">
        <v>0</v>
      </c>
      <c r="X924" s="154" t="s">
        <v>63</v>
      </c>
      <c r="Y924" s="154" t="s">
        <v>1386</v>
      </c>
      <c r="Z924" s="154"/>
      <c r="AA924" s="154" t="s">
        <v>1387</v>
      </c>
      <c r="AB924" s="154">
        <v>0</v>
      </c>
      <c r="AC924" s="138">
        <f>IFERROR(IF(DATEDIF(#REF!,U924,"m")&lt;=1,1,IF(AND(DATEDIF(#REF!,U924,"m")&gt;1,DATEDIF(#REF!,U924,"m")&lt;12),2,IF(AND(DATEDIF(#REF!,U924,"m")&gt;=12,DATEDIF(#REF!,U924,"m")&lt;24),3,IF(DATEDIF(#REF!,U924,"m")&gt;=24,4,"")))),IF(E924="r0320 - Deposits, not covered and not preferential",1,4))</f>
        <v>4</v>
      </c>
    </row>
    <row r="925" spans="3:29" ht="36.75" thickBot="1" x14ac:dyDescent="0.3">
      <c r="C925" s="11">
        <v>999</v>
      </c>
      <c r="D925" s="154">
        <v>918</v>
      </c>
      <c r="E925" s="154" t="s">
        <v>1898</v>
      </c>
      <c r="F925" s="154" t="s">
        <v>87</v>
      </c>
      <c r="G925" s="154" t="s">
        <v>1402</v>
      </c>
      <c r="H925" s="154" t="s">
        <v>543</v>
      </c>
      <c r="I925" s="154" t="s">
        <v>111</v>
      </c>
      <c r="J925" s="154" t="s">
        <v>90</v>
      </c>
      <c r="K925" s="154" t="s">
        <v>91</v>
      </c>
      <c r="L925" s="154" t="s">
        <v>1897</v>
      </c>
      <c r="M925" s="154" t="s">
        <v>1383</v>
      </c>
      <c r="N925" s="154" t="s">
        <v>61</v>
      </c>
      <c r="O925" s="154" t="s">
        <v>62</v>
      </c>
      <c r="P925" s="146">
        <v>0.06</v>
      </c>
      <c r="Q925" s="146">
        <v>0</v>
      </c>
      <c r="R925" s="154" t="s">
        <v>1384</v>
      </c>
      <c r="S925" s="154" t="s">
        <v>1899</v>
      </c>
      <c r="T925" s="155" t="s">
        <v>1899</v>
      </c>
      <c r="U925" s="155" t="s">
        <v>1899</v>
      </c>
      <c r="V925" s="154" t="s">
        <v>1562</v>
      </c>
      <c r="W925" s="154">
        <v>0</v>
      </c>
      <c r="X925" s="154" t="s">
        <v>63</v>
      </c>
      <c r="Y925" s="154" t="s">
        <v>1900</v>
      </c>
      <c r="Z925" s="154"/>
      <c r="AA925" s="154" t="s">
        <v>1387</v>
      </c>
      <c r="AB925" s="154">
        <v>0</v>
      </c>
      <c r="AC925" s="138">
        <f>IFERROR(IF(DATEDIF(#REF!,U925,"m")&lt;=1,1,IF(AND(DATEDIF(#REF!,U925,"m")&gt;1,DATEDIF(#REF!,U925,"m")&lt;12),2,IF(AND(DATEDIF(#REF!,U925,"m")&gt;=12,DATEDIF(#REF!,U925,"m")&lt;24),3,IF(DATEDIF(#REF!,U925,"m")&gt;=24,4,"")))),IF(E925="r0320 - Deposits, not covered and not preferential",1,4))</f>
        <v>4</v>
      </c>
    </row>
    <row r="926" spans="3:29" ht="36.75" thickBot="1" x14ac:dyDescent="0.3">
      <c r="C926" s="11">
        <v>999</v>
      </c>
      <c r="D926" s="154">
        <v>919</v>
      </c>
      <c r="E926" s="154" t="s">
        <v>1898</v>
      </c>
      <c r="F926" s="154" t="s">
        <v>87</v>
      </c>
      <c r="G926" s="154" t="s">
        <v>1402</v>
      </c>
      <c r="H926" s="154" t="s">
        <v>214</v>
      </c>
      <c r="I926" s="154" t="s">
        <v>96</v>
      </c>
      <c r="J926" s="154" t="s">
        <v>97</v>
      </c>
      <c r="K926" s="154" t="s">
        <v>91</v>
      </c>
      <c r="L926" s="154" t="s">
        <v>1897</v>
      </c>
      <c r="M926" s="154" t="s">
        <v>1383</v>
      </c>
      <c r="N926" s="154" t="s">
        <v>61</v>
      </c>
      <c r="O926" s="154" t="s">
        <v>62</v>
      </c>
      <c r="P926" s="146">
        <v>1.26</v>
      </c>
      <c r="Q926" s="146">
        <v>0</v>
      </c>
      <c r="R926" s="154" t="s">
        <v>1384</v>
      </c>
      <c r="S926" s="154" t="s">
        <v>1899</v>
      </c>
      <c r="T926" s="155" t="s">
        <v>1899</v>
      </c>
      <c r="U926" s="155" t="s">
        <v>1899</v>
      </c>
      <c r="V926" s="154" t="s">
        <v>1562</v>
      </c>
      <c r="W926" s="154">
        <v>0</v>
      </c>
      <c r="X926" s="154" t="s">
        <v>63</v>
      </c>
      <c r="Y926" s="154" t="s">
        <v>1900</v>
      </c>
      <c r="Z926" s="154"/>
      <c r="AA926" s="154" t="s">
        <v>1387</v>
      </c>
      <c r="AB926" s="154">
        <v>0</v>
      </c>
      <c r="AC926" s="138">
        <f>IFERROR(IF(DATEDIF(#REF!,U926,"m")&lt;=1,1,IF(AND(DATEDIF(#REF!,U926,"m")&gt;1,DATEDIF(#REF!,U926,"m")&lt;12),2,IF(AND(DATEDIF(#REF!,U926,"m")&gt;=12,DATEDIF(#REF!,U926,"m")&lt;24),3,IF(DATEDIF(#REF!,U926,"m")&gt;=24,4,"")))),IF(E926="r0320 - Deposits, not covered and not preferential",1,4))</f>
        <v>4</v>
      </c>
    </row>
    <row r="927" spans="3:29" ht="48.75" thickBot="1" x14ac:dyDescent="0.3">
      <c r="C927" s="11">
        <v>999</v>
      </c>
      <c r="D927" s="154">
        <v>920</v>
      </c>
      <c r="E927" s="154" t="s">
        <v>1902</v>
      </c>
      <c r="F927" s="154" t="s">
        <v>83</v>
      </c>
      <c r="G927" s="154" t="s">
        <v>1903</v>
      </c>
      <c r="H927" s="154" t="s">
        <v>853</v>
      </c>
      <c r="I927" s="154" t="s">
        <v>114</v>
      </c>
      <c r="J927" s="154" t="s">
        <v>115</v>
      </c>
      <c r="K927" s="154" t="s">
        <v>60</v>
      </c>
      <c r="L927" s="154" t="s">
        <v>1897</v>
      </c>
      <c r="M927" s="154" t="s">
        <v>1388</v>
      </c>
      <c r="N927" s="154" t="s">
        <v>61</v>
      </c>
      <c r="O927" s="154" t="s">
        <v>62</v>
      </c>
      <c r="P927" s="146">
        <v>172935.66</v>
      </c>
      <c r="Q927" s="146">
        <v>-13.25</v>
      </c>
      <c r="R927" s="154" t="s">
        <v>1384</v>
      </c>
      <c r="S927" s="154" t="s">
        <v>1899</v>
      </c>
      <c r="T927" s="155" t="s">
        <v>768</v>
      </c>
      <c r="U927" s="155" t="s">
        <v>1899</v>
      </c>
      <c r="V927" s="154" t="s">
        <v>1904</v>
      </c>
      <c r="W927" s="154">
        <v>0</v>
      </c>
      <c r="X927" s="154" t="s">
        <v>63</v>
      </c>
      <c r="Y927" s="154" t="s">
        <v>1386</v>
      </c>
      <c r="Z927" s="154"/>
      <c r="AA927" s="154" t="s">
        <v>1387</v>
      </c>
      <c r="AB927" s="154">
        <v>0</v>
      </c>
      <c r="AC927" s="138">
        <f>IFERROR(IF(DATEDIF(#REF!,U927,"m")&lt;=1,1,IF(AND(DATEDIF(#REF!,U927,"m")&gt;1,DATEDIF(#REF!,U927,"m")&lt;12),2,IF(AND(DATEDIF(#REF!,U927,"m")&gt;=12,DATEDIF(#REF!,U927,"m")&lt;24),3,IF(DATEDIF(#REF!,U927,"m")&gt;=24,4,"")))),IF(E927="r0320 - Deposits, not covered and not preferential",1,4))</f>
        <v>4</v>
      </c>
    </row>
    <row r="928" spans="3:29" ht="48.75" thickBot="1" x14ac:dyDescent="0.3">
      <c r="C928" s="11">
        <v>999</v>
      </c>
      <c r="D928" s="154">
        <v>921</v>
      </c>
      <c r="E928" s="154" t="s">
        <v>1902</v>
      </c>
      <c r="F928" s="154" t="s">
        <v>83</v>
      </c>
      <c r="G928" s="154" t="s">
        <v>1903</v>
      </c>
      <c r="H928" s="154" t="s">
        <v>853</v>
      </c>
      <c r="I928" s="154" t="s">
        <v>101</v>
      </c>
      <c r="J928" s="154" t="s">
        <v>102</v>
      </c>
      <c r="K928" s="154" t="s">
        <v>60</v>
      </c>
      <c r="L928" s="154" t="s">
        <v>1897</v>
      </c>
      <c r="M928" s="154" t="s">
        <v>1388</v>
      </c>
      <c r="N928" s="154" t="s">
        <v>61</v>
      </c>
      <c r="O928" s="154" t="s">
        <v>62</v>
      </c>
      <c r="P928" s="146">
        <v>741546.77</v>
      </c>
      <c r="Q928" s="146">
        <v>250.46</v>
      </c>
      <c r="R928" s="154" t="s">
        <v>1384</v>
      </c>
      <c r="S928" s="154" t="s">
        <v>1899</v>
      </c>
      <c r="T928" s="155" t="s">
        <v>768</v>
      </c>
      <c r="U928" s="155" t="s">
        <v>1899</v>
      </c>
      <c r="V928" s="154" t="s">
        <v>1904</v>
      </c>
      <c r="W928" s="154">
        <v>0</v>
      </c>
      <c r="X928" s="154" t="s">
        <v>63</v>
      </c>
      <c r="Y928" s="154" t="s">
        <v>1386</v>
      </c>
      <c r="Z928" s="154"/>
      <c r="AA928" s="154" t="s">
        <v>1387</v>
      </c>
      <c r="AB928" s="154">
        <v>0</v>
      </c>
      <c r="AC928" s="138">
        <f>IFERROR(IF(DATEDIF(#REF!,U928,"m")&lt;=1,1,IF(AND(DATEDIF(#REF!,U928,"m")&gt;1,DATEDIF(#REF!,U928,"m")&lt;12),2,IF(AND(DATEDIF(#REF!,U928,"m")&gt;=12,DATEDIF(#REF!,U928,"m")&lt;24),3,IF(DATEDIF(#REF!,U928,"m")&gt;=24,4,"")))),IF(E928="r0320 - Deposits, not covered and not preferential",1,4))</f>
        <v>4</v>
      </c>
    </row>
    <row r="929" spans="3:29" ht="48.75" thickBot="1" x14ac:dyDescent="0.3">
      <c r="C929" s="11">
        <v>999</v>
      </c>
      <c r="D929" s="154">
        <v>922</v>
      </c>
      <c r="E929" s="154" t="s">
        <v>1902</v>
      </c>
      <c r="F929" s="154" t="s">
        <v>83</v>
      </c>
      <c r="G929" s="154" t="s">
        <v>1903</v>
      </c>
      <c r="H929" s="154" t="s">
        <v>460</v>
      </c>
      <c r="I929" s="154" t="s">
        <v>114</v>
      </c>
      <c r="J929" s="154" t="s">
        <v>115</v>
      </c>
      <c r="K929" s="154" t="s">
        <v>60</v>
      </c>
      <c r="L929" s="154" t="s">
        <v>1897</v>
      </c>
      <c r="M929" s="154" t="s">
        <v>1388</v>
      </c>
      <c r="N929" s="154" t="s">
        <v>61</v>
      </c>
      <c r="O929" s="154" t="s">
        <v>62</v>
      </c>
      <c r="P929" s="146">
        <v>16989.25</v>
      </c>
      <c r="Q929" s="146">
        <v>0.24</v>
      </c>
      <c r="R929" s="154" t="s">
        <v>1384</v>
      </c>
      <c r="S929" s="154" t="s">
        <v>1899</v>
      </c>
      <c r="T929" s="155" t="s">
        <v>768</v>
      </c>
      <c r="U929" s="155" t="s">
        <v>1899</v>
      </c>
      <c r="V929" s="154" t="s">
        <v>1904</v>
      </c>
      <c r="W929" s="154">
        <v>0</v>
      </c>
      <c r="X929" s="154" t="s">
        <v>63</v>
      </c>
      <c r="Y929" s="154" t="s">
        <v>1386</v>
      </c>
      <c r="Z929" s="154"/>
      <c r="AA929" s="154" t="s">
        <v>1387</v>
      </c>
      <c r="AB929" s="154">
        <v>0</v>
      </c>
      <c r="AC929" s="138">
        <f>IFERROR(IF(DATEDIF(#REF!,U929,"m")&lt;=1,1,IF(AND(DATEDIF(#REF!,U929,"m")&gt;1,DATEDIF(#REF!,U929,"m")&lt;12),2,IF(AND(DATEDIF(#REF!,U929,"m")&gt;=12,DATEDIF(#REF!,U929,"m")&lt;24),3,IF(DATEDIF(#REF!,U929,"m")&gt;=24,4,"")))),IF(E929="r0320 - Deposits, not covered and not preferential",1,4))</f>
        <v>4</v>
      </c>
    </row>
    <row r="930" spans="3:29" ht="36.75" thickBot="1" x14ac:dyDescent="0.3">
      <c r="C930" s="11">
        <v>999</v>
      </c>
      <c r="D930" s="154">
        <v>923</v>
      </c>
      <c r="E930" s="154" t="s">
        <v>1898</v>
      </c>
      <c r="F930" s="154" t="s">
        <v>87</v>
      </c>
      <c r="G930" s="154" t="s">
        <v>1402</v>
      </c>
      <c r="H930" s="154" t="s">
        <v>335</v>
      </c>
      <c r="I930" s="154" t="s">
        <v>108</v>
      </c>
      <c r="J930" s="154" t="s">
        <v>90</v>
      </c>
      <c r="K930" s="154" t="s">
        <v>91</v>
      </c>
      <c r="L930" s="154" t="s">
        <v>1897</v>
      </c>
      <c r="M930" s="154" t="s">
        <v>1383</v>
      </c>
      <c r="N930" s="154" t="s">
        <v>61</v>
      </c>
      <c r="O930" s="154" t="s">
        <v>62</v>
      </c>
      <c r="P930" s="146">
        <v>67.290000000000006</v>
      </c>
      <c r="Q930" s="146">
        <v>0</v>
      </c>
      <c r="R930" s="154" t="s">
        <v>1384</v>
      </c>
      <c r="S930" s="154" t="s">
        <v>1899</v>
      </c>
      <c r="T930" s="155" t="s">
        <v>1899</v>
      </c>
      <c r="U930" s="155" t="s">
        <v>1899</v>
      </c>
      <c r="V930" s="154" t="s">
        <v>1562</v>
      </c>
      <c r="W930" s="154">
        <v>0</v>
      </c>
      <c r="X930" s="154" t="s">
        <v>63</v>
      </c>
      <c r="Y930" s="154" t="s">
        <v>1900</v>
      </c>
      <c r="Z930" s="154"/>
      <c r="AA930" s="154" t="s">
        <v>1387</v>
      </c>
      <c r="AB930" s="154">
        <v>0</v>
      </c>
      <c r="AC930" s="138">
        <f>IFERROR(IF(DATEDIF(#REF!,U930,"m")&lt;=1,1,IF(AND(DATEDIF(#REF!,U930,"m")&gt;1,DATEDIF(#REF!,U930,"m")&lt;12),2,IF(AND(DATEDIF(#REF!,U930,"m")&gt;=12,DATEDIF(#REF!,U930,"m")&lt;24),3,IF(DATEDIF(#REF!,U930,"m")&gt;=24,4,"")))),IF(E930="r0320 - Deposits, not covered and not preferential",1,4))</f>
        <v>4</v>
      </c>
    </row>
    <row r="931" spans="3:29" ht="36.75" thickBot="1" x14ac:dyDescent="0.3">
      <c r="C931" s="11">
        <v>999</v>
      </c>
      <c r="D931" s="154">
        <v>924</v>
      </c>
      <c r="E931" s="154" t="s">
        <v>1898</v>
      </c>
      <c r="F931" s="154" t="s">
        <v>87</v>
      </c>
      <c r="G931" s="154" t="s">
        <v>1402</v>
      </c>
      <c r="H931" s="154" t="s">
        <v>867</v>
      </c>
      <c r="I931" s="154" t="s">
        <v>108</v>
      </c>
      <c r="J931" s="154" t="s">
        <v>90</v>
      </c>
      <c r="K931" s="154" t="s">
        <v>91</v>
      </c>
      <c r="L931" s="154" t="s">
        <v>1897</v>
      </c>
      <c r="M931" s="154" t="s">
        <v>1383</v>
      </c>
      <c r="N931" s="154" t="s">
        <v>61</v>
      </c>
      <c r="O931" s="154" t="s">
        <v>62</v>
      </c>
      <c r="P931" s="146">
        <v>18.02</v>
      </c>
      <c r="Q931" s="146">
        <v>0</v>
      </c>
      <c r="R931" s="154" t="s">
        <v>1384</v>
      </c>
      <c r="S931" s="154" t="s">
        <v>1899</v>
      </c>
      <c r="T931" s="155" t="s">
        <v>1899</v>
      </c>
      <c r="U931" s="155" t="s">
        <v>1899</v>
      </c>
      <c r="V931" s="154" t="s">
        <v>1562</v>
      </c>
      <c r="W931" s="154">
        <v>0</v>
      </c>
      <c r="X931" s="154" t="s">
        <v>63</v>
      </c>
      <c r="Y931" s="154" t="s">
        <v>1900</v>
      </c>
      <c r="Z931" s="154"/>
      <c r="AA931" s="154" t="s">
        <v>1387</v>
      </c>
      <c r="AB931" s="154">
        <v>0</v>
      </c>
      <c r="AC931" s="138">
        <f>IFERROR(IF(DATEDIF(#REF!,U931,"m")&lt;=1,1,IF(AND(DATEDIF(#REF!,U931,"m")&gt;1,DATEDIF(#REF!,U931,"m")&lt;12),2,IF(AND(DATEDIF(#REF!,U931,"m")&gt;=12,DATEDIF(#REF!,U931,"m")&lt;24),3,IF(DATEDIF(#REF!,U931,"m")&gt;=24,4,"")))),IF(E931="r0320 - Deposits, not covered and not preferential",1,4))</f>
        <v>4</v>
      </c>
    </row>
    <row r="932" spans="3:29" ht="48.75" thickBot="1" x14ac:dyDescent="0.3">
      <c r="C932" s="11">
        <v>999</v>
      </c>
      <c r="D932" s="154">
        <v>925</v>
      </c>
      <c r="E932" s="154" t="s">
        <v>1902</v>
      </c>
      <c r="F932" s="154" t="s">
        <v>83</v>
      </c>
      <c r="G932" s="154" t="s">
        <v>1903</v>
      </c>
      <c r="H932" s="154" t="s">
        <v>527</v>
      </c>
      <c r="I932" s="154" t="s">
        <v>93</v>
      </c>
      <c r="J932" s="154" t="s">
        <v>94</v>
      </c>
      <c r="K932" s="154" t="s">
        <v>60</v>
      </c>
      <c r="L932" s="154" t="s">
        <v>1897</v>
      </c>
      <c r="M932" s="154" t="s">
        <v>1388</v>
      </c>
      <c r="N932" s="154" t="s">
        <v>61</v>
      </c>
      <c r="O932" s="154" t="s">
        <v>62</v>
      </c>
      <c r="P932" s="146">
        <v>161179.54999999999</v>
      </c>
      <c r="Q932" s="146">
        <v>-9.33</v>
      </c>
      <c r="R932" s="154" t="s">
        <v>1384</v>
      </c>
      <c r="S932" s="154" t="s">
        <v>1899</v>
      </c>
      <c r="T932" s="155" t="s">
        <v>768</v>
      </c>
      <c r="U932" s="155" t="s">
        <v>1899</v>
      </c>
      <c r="V932" s="154" t="s">
        <v>1904</v>
      </c>
      <c r="W932" s="154">
        <v>0</v>
      </c>
      <c r="X932" s="154" t="s">
        <v>63</v>
      </c>
      <c r="Y932" s="154" t="s">
        <v>1386</v>
      </c>
      <c r="Z932" s="154"/>
      <c r="AA932" s="154" t="s">
        <v>1387</v>
      </c>
      <c r="AB932" s="154">
        <v>0</v>
      </c>
      <c r="AC932" s="138">
        <f>IFERROR(IF(DATEDIF(#REF!,U932,"m")&lt;=1,1,IF(AND(DATEDIF(#REF!,U932,"m")&gt;1,DATEDIF(#REF!,U932,"m")&lt;12),2,IF(AND(DATEDIF(#REF!,U932,"m")&gt;=12,DATEDIF(#REF!,U932,"m")&lt;24),3,IF(DATEDIF(#REF!,U932,"m")&gt;=24,4,"")))),IF(E932="r0320 - Deposits, not covered and not preferential",1,4))</f>
        <v>4</v>
      </c>
    </row>
    <row r="933" spans="3:29" ht="36.75" thickBot="1" x14ac:dyDescent="0.3">
      <c r="C933" s="11">
        <v>999</v>
      </c>
      <c r="D933" s="154">
        <v>926</v>
      </c>
      <c r="E933" s="154" t="s">
        <v>1898</v>
      </c>
      <c r="F933" s="154" t="s">
        <v>87</v>
      </c>
      <c r="G933" s="154" t="s">
        <v>1402</v>
      </c>
      <c r="H933" s="154" t="s">
        <v>546</v>
      </c>
      <c r="I933" s="154" t="s">
        <v>111</v>
      </c>
      <c r="J933" s="154" t="s">
        <v>90</v>
      </c>
      <c r="K933" s="154" t="s">
        <v>91</v>
      </c>
      <c r="L933" s="154" t="s">
        <v>1897</v>
      </c>
      <c r="M933" s="154" t="s">
        <v>1383</v>
      </c>
      <c r="N933" s="154" t="s">
        <v>61</v>
      </c>
      <c r="O933" s="154" t="s">
        <v>62</v>
      </c>
      <c r="P933" s="146">
        <v>0.06</v>
      </c>
      <c r="Q933" s="146">
        <v>0</v>
      </c>
      <c r="R933" s="154" t="s">
        <v>1384</v>
      </c>
      <c r="S933" s="154" t="s">
        <v>1899</v>
      </c>
      <c r="T933" s="155" t="s">
        <v>1899</v>
      </c>
      <c r="U933" s="155" t="s">
        <v>1899</v>
      </c>
      <c r="V933" s="154" t="s">
        <v>1562</v>
      </c>
      <c r="W933" s="154">
        <v>0</v>
      </c>
      <c r="X933" s="154" t="s">
        <v>63</v>
      </c>
      <c r="Y933" s="154" t="s">
        <v>1900</v>
      </c>
      <c r="Z933" s="154"/>
      <c r="AA933" s="154" t="s">
        <v>1387</v>
      </c>
      <c r="AB933" s="154">
        <v>0</v>
      </c>
      <c r="AC933" s="138">
        <f>IFERROR(IF(DATEDIF(#REF!,U933,"m")&lt;=1,1,IF(AND(DATEDIF(#REF!,U933,"m")&gt;1,DATEDIF(#REF!,U933,"m")&lt;12),2,IF(AND(DATEDIF(#REF!,U933,"m")&gt;=12,DATEDIF(#REF!,U933,"m")&lt;24),3,IF(DATEDIF(#REF!,U933,"m")&gt;=24,4,"")))),IF(E933="r0320 - Deposits, not covered and not preferential",1,4))</f>
        <v>4</v>
      </c>
    </row>
    <row r="934" spans="3:29" ht="36.75" thickBot="1" x14ac:dyDescent="0.3">
      <c r="C934" s="11">
        <v>999</v>
      </c>
      <c r="D934" s="154">
        <v>927</v>
      </c>
      <c r="E934" s="154" t="s">
        <v>1898</v>
      </c>
      <c r="F934" s="154" t="s">
        <v>87</v>
      </c>
      <c r="G934" s="154" t="s">
        <v>1402</v>
      </c>
      <c r="H934" s="154" t="s">
        <v>125</v>
      </c>
      <c r="I934" s="154" t="s">
        <v>96</v>
      </c>
      <c r="J934" s="154" t="s">
        <v>97</v>
      </c>
      <c r="K934" s="154" t="s">
        <v>91</v>
      </c>
      <c r="L934" s="154" t="s">
        <v>1897</v>
      </c>
      <c r="M934" s="154" t="s">
        <v>1383</v>
      </c>
      <c r="N934" s="154" t="s">
        <v>61</v>
      </c>
      <c r="O934" s="154" t="s">
        <v>62</v>
      </c>
      <c r="P934" s="146">
        <v>39.67</v>
      </c>
      <c r="Q934" s="146">
        <v>0</v>
      </c>
      <c r="R934" s="154" t="s">
        <v>1384</v>
      </c>
      <c r="S934" s="154" t="s">
        <v>1899</v>
      </c>
      <c r="T934" s="155" t="s">
        <v>1899</v>
      </c>
      <c r="U934" s="155" t="s">
        <v>1899</v>
      </c>
      <c r="V934" s="154" t="s">
        <v>1562</v>
      </c>
      <c r="W934" s="154">
        <v>0</v>
      </c>
      <c r="X934" s="154" t="s">
        <v>63</v>
      </c>
      <c r="Y934" s="154" t="s">
        <v>1900</v>
      </c>
      <c r="Z934" s="154"/>
      <c r="AA934" s="154" t="s">
        <v>1387</v>
      </c>
      <c r="AB934" s="154">
        <v>0</v>
      </c>
      <c r="AC934" s="138">
        <f>IFERROR(IF(DATEDIF(#REF!,U934,"m")&lt;=1,1,IF(AND(DATEDIF(#REF!,U934,"m")&gt;1,DATEDIF(#REF!,U934,"m")&lt;12),2,IF(AND(DATEDIF(#REF!,U934,"m")&gt;=12,DATEDIF(#REF!,U934,"m")&lt;24),3,IF(DATEDIF(#REF!,U934,"m")&gt;=24,4,"")))),IF(E934="r0320 - Deposits, not covered and not preferential",1,4))</f>
        <v>4</v>
      </c>
    </row>
    <row r="935" spans="3:29" ht="48.75" thickBot="1" x14ac:dyDescent="0.3">
      <c r="C935" s="11">
        <v>999</v>
      </c>
      <c r="D935" s="154">
        <v>928</v>
      </c>
      <c r="E935" s="154" t="s">
        <v>1902</v>
      </c>
      <c r="F935" s="154" t="s">
        <v>83</v>
      </c>
      <c r="G935" s="154" t="s">
        <v>1903</v>
      </c>
      <c r="H935" s="154" t="s">
        <v>526</v>
      </c>
      <c r="I935" s="154" t="s">
        <v>93</v>
      </c>
      <c r="J935" s="154" t="s">
        <v>94</v>
      </c>
      <c r="K935" s="154" t="s">
        <v>60</v>
      </c>
      <c r="L935" s="154" t="s">
        <v>1897</v>
      </c>
      <c r="M935" s="154" t="s">
        <v>1388</v>
      </c>
      <c r="N935" s="154" t="s">
        <v>61</v>
      </c>
      <c r="O935" s="154" t="s">
        <v>62</v>
      </c>
      <c r="P935" s="146">
        <v>56082.99</v>
      </c>
      <c r="Q935" s="146">
        <v>-10.52</v>
      </c>
      <c r="R935" s="154" t="s">
        <v>1384</v>
      </c>
      <c r="S935" s="154" t="s">
        <v>1899</v>
      </c>
      <c r="T935" s="155" t="s">
        <v>768</v>
      </c>
      <c r="U935" s="155" t="s">
        <v>1899</v>
      </c>
      <c r="V935" s="154" t="s">
        <v>1904</v>
      </c>
      <c r="W935" s="154">
        <v>0</v>
      </c>
      <c r="X935" s="154" t="s">
        <v>63</v>
      </c>
      <c r="Y935" s="154" t="s">
        <v>1386</v>
      </c>
      <c r="Z935" s="154"/>
      <c r="AA935" s="154" t="s">
        <v>1387</v>
      </c>
      <c r="AB935" s="154">
        <v>0</v>
      </c>
      <c r="AC935" s="138">
        <f>IFERROR(IF(DATEDIF(#REF!,U935,"m")&lt;=1,1,IF(AND(DATEDIF(#REF!,U935,"m")&gt;1,DATEDIF(#REF!,U935,"m")&lt;12),2,IF(AND(DATEDIF(#REF!,U935,"m")&gt;=12,DATEDIF(#REF!,U935,"m")&lt;24),3,IF(DATEDIF(#REF!,U935,"m")&gt;=24,4,"")))),IF(E935="r0320 - Deposits, not covered and not preferential",1,4))</f>
        <v>4</v>
      </c>
    </row>
    <row r="936" spans="3:29" ht="36.75" thickBot="1" x14ac:dyDescent="0.3">
      <c r="C936" s="11">
        <v>999</v>
      </c>
      <c r="D936" s="154">
        <v>929</v>
      </c>
      <c r="E936" s="154" t="s">
        <v>1895</v>
      </c>
      <c r="F936" s="154" t="s">
        <v>83</v>
      </c>
      <c r="G936" s="154" t="s">
        <v>1896</v>
      </c>
      <c r="H936" s="154" t="s">
        <v>57</v>
      </c>
      <c r="I936" s="154" t="s">
        <v>1038</v>
      </c>
      <c r="J936" s="154" t="s">
        <v>1039</v>
      </c>
      <c r="K936" s="154" t="s">
        <v>60</v>
      </c>
      <c r="L936" s="154" t="s">
        <v>1897</v>
      </c>
      <c r="M936" s="154" t="s">
        <v>1383</v>
      </c>
      <c r="N936" s="154" t="s">
        <v>61</v>
      </c>
      <c r="O936" s="154" t="s">
        <v>62</v>
      </c>
      <c r="P936" s="146">
        <v>1972.38</v>
      </c>
      <c r="Q936" s="146">
        <v>0</v>
      </c>
      <c r="R936" s="154" t="s">
        <v>1384</v>
      </c>
      <c r="S936" s="154" t="s">
        <v>1385</v>
      </c>
      <c r="T936" s="155">
        <v>44564</v>
      </c>
      <c r="U936" s="155">
        <v>44564</v>
      </c>
      <c r="V936" s="154" t="s">
        <v>1562</v>
      </c>
      <c r="W936" s="154">
        <v>0</v>
      </c>
      <c r="X936" s="154" t="s">
        <v>63</v>
      </c>
      <c r="Y936" s="154" t="s">
        <v>1386</v>
      </c>
      <c r="Z936" s="154"/>
      <c r="AA936" s="154" t="s">
        <v>1387</v>
      </c>
      <c r="AB936" s="154">
        <v>0</v>
      </c>
      <c r="AC936" s="138">
        <f>IFERROR(IF(DATEDIF(#REF!,U936,"m")&lt;=1,1,IF(AND(DATEDIF(#REF!,U936,"m")&gt;1,DATEDIF(#REF!,U936,"m")&lt;12),2,IF(AND(DATEDIF(#REF!,U936,"m")&gt;=12,DATEDIF(#REF!,U936,"m")&lt;24),3,IF(DATEDIF(#REF!,U936,"m")&gt;=24,4,"")))),IF(E936="r0320 - Deposits, not covered and not preferential",1,4))</f>
        <v>1</v>
      </c>
    </row>
    <row r="937" spans="3:29" ht="48.75" thickBot="1" x14ac:dyDescent="0.3">
      <c r="C937" s="11">
        <v>999</v>
      </c>
      <c r="D937" s="154">
        <v>930</v>
      </c>
      <c r="E937" s="154" t="s">
        <v>1902</v>
      </c>
      <c r="F937" s="154" t="s">
        <v>83</v>
      </c>
      <c r="G937" s="154" t="s">
        <v>1903</v>
      </c>
      <c r="H937" s="154" t="s">
        <v>912</v>
      </c>
      <c r="I937" s="154" t="s">
        <v>114</v>
      </c>
      <c r="J937" s="154" t="s">
        <v>115</v>
      </c>
      <c r="K937" s="154" t="s">
        <v>60</v>
      </c>
      <c r="L937" s="154" t="s">
        <v>1897</v>
      </c>
      <c r="M937" s="154" t="s">
        <v>1388</v>
      </c>
      <c r="N937" s="154" t="s">
        <v>61</v>
      </c>
      <c r="O937" s="154" t="s">
        <v>62</v>
      </c>
      <c r="P937" s="146">
        <v>44834.31</v>
      </c>
      <c r="Q937" s="146">
        <v>-2.1800000000000002</v>
      </c>
      <c r="R937" s="154" t="s">
        <v>1384</v>
      </c>
      <c r="S937" s="154" t="s">
        <v>1899</v>
      </c>
      <c r="T937" s="155" t="s">
        <v>768</v>
      </c>
      <c r="U937" s="155" t="s">
        <v>1899</v>
      </c>
      <c r="V937" s="154" t="s">
        <v>1904</v>
      </c>
      <c r="W937" s="154">
        <v>0</v>
      </c>
      <c r="X937" s="154" t="s">
        <v>63</v>
      </c>
      <c r="Y937" s="154" t="s">
        <v>1386</v>
      </c>
      <c r="Z937" s="154"/>
      <c r="AA937" s="154" t="s">
        <v>1387</v>
      </c>
      <c r="AB937" s="154">
        <v>0</v>
      </c>
      <c r="AC937" s="138">
        <f>IFERROR(IF(DATEDIF(#REF!,U937,"m")&lt;=1,1,IF(AND(DATEDIF(#REF!,U937,"m")&gt;1,DATEDIF(#REF!,U937,"m")&lt;12),2,IF(AND(DATEDIF(#REF!,U937,"m")&gt;=12,DATEDIF(#REF!,U937,"m")&lt;24),3,IF(DATEDIF(#REF!,U937,"m")&gt;=24,4,"")))),IF(E937="r0320 - Deposits, not covered and not preferential",1,4))</f>
        <v>4</v>
      </c>
    </row>
    <row r="938" spans="3:29" ht="36.75" thickBot="1" x14ac:dyDescent="0.3">
      <c r="C938" s="11">
        <v>999</v>
      </c>
      <c r="D938" s="154">
        <v>931</v>
      </c>
      <c r="E938" s="154" t="s">
        <v>1898</v>
      </c>
      <c r="F938" s="154" t="s">
        <v>87</v>
      </c>
      <c r="G938" s="154" t="s">
        <v>1402</v>
      </c>
      <c r="H938" s="154" t="s">
        <v>337</v>
      </c>
      <c r="I938" s="154" t="s">
        <v>96</v>
      </c>
      <c r="J938" s="154" t="s">
        <v>97</v>
      </c>
      <c r="K938" s="154" t="s">
        <v>91</v>
      </c>
      <c r="L938" s="154" t="s">
        <v>1897</v>
      </c>
      <c r="M938" s="154" t="s">
        <v>1383</v>
      </c>
      <c r="N938" s="154" t="s">
        <v>61</v>
      </c>
      <c r="O938" s="154" t="s">
        <v>62</v>
      </c>
      <c r="P938" s="146">
        <v>67.06</v>
      </c>
      <c r="Q938" s="146">
        <v>0</v>
      </c>
      <c r="R938" s="154" t="s">
        <v>1384</v>
      </c>
      <c r="S938" s="154" t="s">
        <v>1899</v>
      </c>
      <c r="T938" s="155" t="s">
        <v>1899</v>
      </c>
      <c r="U938" s="155" t="s">
        <v>1899</v>
      </c>
      <c r="V938" s="154" t="s">
        <v>1562</v>
      </c>
      <c r="W938" s="154">
        <v>0</v>
      </c>
      <c r="X938" s="154" t="s">
        <v>63</v>
      </c>
      <c r="Y938" s="154" t="s">
        <v>1900</v>
      </c>
      <c r="Z938" s="154"/>
      <c r="AA938" s="154" t="s">
        <v>1387</v>
      </c>
      <c r="AB938" s="154">
        <v>0</v>
      </c>
      <c r="AC938" s="138">
        <f>IFERROR(IF(DATEDIF(#REF!,U938,"m")&lt;=1,1,IF(AND(DATEDIF(#REF!,U938,"m")&gt;1,DATEDIF(#REF!,U938,"m")&lt;12),2,IF(AND(DATEDIF(#REF!,U938,"m")&gt;=12,DATEDIF(#REF!,U938,"m")&lt;24),3,IF(DATEDIF(#REF!,U938,"m")&gt;=24,4,"")))),IF(E938="r0320 - Deposits, not covered and not preferential",1,4))</f>
        <v>4</v>
      </c>
    </row>
    <row r="939" spans="3:29" ht="36.75" thickBot="1" x14ac:dyDescent="0.3">
      <c r="C939" s="11">
        <v>999</v>
      </c>
      <c r="D939" s="154">
        <v>932</v>
      </c>
      <c r="E939" s="154" t="s">
        <v>1898</v>
      </c>
      <c r="F939" s="154" t="s">
        <v>87</v>
      </c>
      <c r="G939" s="154" t="s">
        <v>1402</v>
      </c>
      <c r="H939" s="154" t="s">
        <v>336</v>
      </c>
      <c r="I939" s="154" t="s">
        <v>96</v>
      </c>
      <c r="J939" s="154" t="s">
        <v>97</v>
      </c>
      <c r="K939" s="154" t="s">
        <v>91</v>
      </c>
      <c r="L939" s="154" t="s">
        <v>1897</v>
      </c>
      <c r="M939" s="154" t="s">
        <v>1383</v>
      </c>
      <c r="N939" s="154" t="s">
        <v>61</v>
      </c>
      <c r="O939" s="154" t="s">
        <v>62</v>
      </c>
      <c r="P939" s="146">
        <v>0.37</v>
      </c>
      <c r="Q939" s="146">
        <v>0</v>
      </c>
      <c r="R939" s="154" t="s">
        <v>1384</v>
      </c>
      <c r="S939" s="154" t="s">
        <v>1899</v>
      </c>
      <c r="T939" s="155" t="s">
        <v>1899</v>
      </c>
      <c r="U939" s="155" t="s">
        <v>1899</v>
      </c>
      <c r="V939" s="154" t="s">
        <v>1562</v>
      </c>
      <c r="W939" s="154">
        <v>0</v>
      </c>
      <c r="X939" s="154" t="s">
        <v>63</v>
      </c>
      <c r="Y939" s="154" t="s">
        <v>1900</v>
      </c>
      <c r="Z939" s="154"/>
      <c r="AA939" s="154" t="s">
        <v>1387</v>
      </c>
      <c r="AB939" s="154">
        <v>0</v>
      </c>
      <c r="AC939" s="138">
        <f>IFERROR(IF(DATEDIF(#REF!,U939,"m")&lt;=1,1,IF(AND(DATEDIF(#REF!,U939,"m")&gt;1,DATEDIF(#REF!,U939,"m")&lt;12),2,IF(AND(DATEDIF(#REF!,U939,"m")&gt;=12,DATEDIF(#REF!,U939,"m")&lt;24),3,IF(DATEDIF(#REF!,U939,"m")&gt;=24,4,"")))),IF(E939="r0320 - Deposits, not covered and not preferential",1,4))</f>
        <v>4</v>
      </c>
    </row>
    <row r="940" spans="3:29" ht="48.75" thickBot="1" x14ac:dyDescent="0.3">
      <c r="C940" s="11">
        <v>999</v>
      </c>
      <c r="D940" s="154">
        <v>933</v>
      </c>
      <c r="E940" s="154" t="s">
        <v>1902</v>
      </c>
      <c r="F940" s="154" t="s">
        <v>83</v>
      </c>
      <c r="G940" s="154" t="s">
        <v>1903</v>
      </c>
      <c r="H940" s="154" t="s">
        <v>527</v>
      </c>
      <c r="I940" s="154" t="s">
        <v>114</v>
      </c>
      <c r="J940" s="154" t="s">
        <v>115</v>
      </c>
      <c r="K940" s="154" t="s">
        <v>60</v>
      </c>
      <c r="L940" s="154" t="s">
        <v>1897</v>
      </c>
      <c r="M940" s="154" t="s">
        <v>1388</v>
      </c>
      <c r="N940" s="154" t="s">
        <v>61</v>
      </c>
      <c r="O940" s="154" t="s">
        <v>62</v>
      </c>
      <c r="P940" s="146">
        <v>166528.9</v>
      </c>
      <c r="Q940" s="146">
        <v>-0.52</v>
      </c>
      <c r="R940" s="154" t="s">
        <v>1384</v>
      </c>
      <c r="S940" s="154" t="s">
        <v>1899</v>
      </c>
      <c r="T940" s="155" t="s">
        <v>768</v>
      </c>
      <c r="U940" s="155" t="s">
        <v>1899</v>
      </c>
      <c r="V940" s="154" t="s">
        <v>1904</v>
      </c>
      <c r="W940" s="154">
        <v>0</v>
      </c>
      <c r="X940" s="154" t="s">
        <v>63</v>
      </c>
      <c r="Y940" s="154" t="s">
        <v>1386</v>
      </c>
      <c r="Z940" s="154"/>
      <c r="AA940" s="154" t="s">
        <v>1387</v>
      </c>
      <c r="AB940" s="154">
        <v>0</v>
      </c>
      <c r="AC940" s="138">
        <f>IFERROR(IF(DATEDIF(#REF!,U940,"m")&lt;=1,1,IF(AND(DATEDIF(#REF!,U940,"m")&gt;1,DATEDIF(#REF!,U940,"m")&lt;12),2,IF(AND(DATEDIF(#REF!,U940,"m")&gt;=12,DATEDIF(#REF!,U940,"m")&lt;24),3,IF(DATEDIF(#REF!,U940,"m")&gt;=24,4,"")))),IF(E940="r0320 - Deposits, not covered and not preferential",1,4))</f>
        <v>4</v>
      </c>
    </row>
    <row r="941" spans="3:29" ht="36.75" thickBot="1" x14ac:dyDescent="0.3">
      <c r="C941" s="11">
        <v>999</v>
      </c>
      <c r="D941" s="154">
        <v>934</v>
      </c>
      <c r="E941" s="154" t="s">
        <v>1898</v>
      </c>
      <c r="F941" s="154" t="s">
        <v>87</v>
      </c>
      <c r="G941" s="154" t="s">
        <v>1402</v>
      </c>
      <c r="H941" s="154" t="s">
        <v>550</v>
      </c>
      <c r="I941" s="154" t="s">
        <v>111</v>
      </c>
      <c r="J941" s="154" t="s">
        <v>90</v>
      </c>
      <c r="K941" s="154" t="s">
        <v>91</v>
      </c>
      <c r="L941" s="154" t="s">
        <v>1897</v>
      </c>
      <c r="M941" s="154" t="s">
        <v>1383</v>
      </c>
      <c r="N941" s="154" t="s">
        <v>61</v>
      </c>
      <c r="O941" s="154" t="s">
        <v>62</v>
      </c>
      <c r="P941" s="146">
        <v>1.0900000000000001</v>
      </c>
      <c r="Q941" s="146">
        <v>0</v>
      </c>
      <c r="R941" s="154" t="s">
        <v>1384</v>
      </c>
      <c r="S941" s="154" t="s">
        <v>1899</v>
      </c>
      <c r="T941" s="155" t="s">
        <v>1899</v>
      </c>
      <c r="U941" s="155" t="s">
        <v>1899</v>
      </c>
      <c r="V941" s="154" t="s">
        <v>1562</v>
      </c>
      <c r="W941" s="154">
        <v>0</v>
      </c>
      <c r="X941" s="154" t="s">
        <v>63</v>
      </c>
      <c r="Y941" s="154" t="s">
        <v>1900</v>
      </c>
      <c r="Z941" s="154"/>
      <c r="AA941" s="154" t="s">
        <v>1387</v>
      </c>
      <c r="AB941" s="154">
        <v>0</v>
      </c>
      <c r="AC941" s="138">
        <f>IFERROR(IF(DATEDIF(#REF!,U941,"m")&lt;=1,1,IF(AND(DATEDIF(#REF!,U941,"m")&gt;1,DATEDIF(#REF!,U941,"m")&lt;12),2,IF(AND(DATEDIF(#REF!,U941,"m")&gt;=12,DATEDIF(#REF!,U941,"m")&lt;24),3,IF(DATEDIF(#REF!,U941,"m")&gt;=24,4,"")))),IF(E941="r0320 - Deposits, not covered and not preferential",1,4))</f>
        <v>4</v>
      </c>
    </row>
    <row r="942" spans="3:29" ht="36.75" thickBot="1" x14ac:dyDescent="0.3">
      <c r="C942" s="11">
        <v>999</v>
      </c>
      <c r="D942" s="154">
        <v>935</v>
      </c>
      <c r="E942" s="154" t="s">
        <v>1898</v>
      </c>
      <c r="F942" s="154" t="s">
        <v>87</v>
      </c>
      <c r="G942" s="154" t="s">
        <v>1402</v>
      </c>
      <c r="H942" s="154" t="s">
        <v>539</v>
      </c>
      <c r="I942" s="154" t="s">
        <v>108</v>
      </c>
      <c r="J942" s="154" t="s">
        <v>90</v>
      </c>
      <c r="K942" s="154" t="s">
        <v>91</v>
      </c>
      <c r="L942" s="154" t="s">
        <v>1897</v>
      </c>
      <c r="M942" s="154" t="s">
        <v>1383</v>
      </c>
      <c r="N942" s="154" t="s">
        <v>61</v>
      </c>
      <c r="O942" s="154" t="s">
        <v>62</v>
      </c>
      <c r="P942" s="146">
        <v>3.63</v>
      </c>
      <c r="Q942" s="146">
        <v>0</v>
      </c>
      <c r="R942" s="154" t="s">
        <v>1384</v>
      </c>
      <c r="S942" s="154" t="s">
        <v>1899</v>
      </c>
      <c r="T942" s="155" t="s">
        <v>1899</v>
      </c>
      <c r="U942" s="155" t="s">
        <v>1899</v>
      </c>
      <c r="V942" s="154" t="s">
        <v>1562</v>
      </c>
      <c r="W942" s="154">
        <v>0</v>
      </c>
      <c r="X942" s="154" t="s">
        <v>63</v>
      </c>
      <c r="Y942" s="154" t="s">
        <v>1900</v>
      </c>
      <c r="Z942" s="154"/>
      <c r="AA942" s="154" t="s">
        <v>1387</v>
      </c>
      <c r="AB942" s="154">
        <v>0</v>
      </c>
      <c r="AC942" s="138">
        <f>IFERROR(IF(DATEDIF(#REF!,U942,"m")&lt;=1,1,IF(AND(DATEDIF(#REF!,U942,"m")&gt;1,DATEDIF(#REF!,U942,"m")&lt;12),2,IF(AND(DATEDIF(#REF!,U942,"m")&gt;=12,DATEDIF(#REF!,U942,"m")&lt;24),3,IF(DATEDIF(#REF!,U942,"m")&gt;=24,4,"")))),IF(E942="r0320 - Deposits, not covered and not preferential",1,4))</f>
        <v>4</v>
      </c>
    </row>
    <row r="943" spans="3:29" ht="36.75" thickBot="1" x14ac:dyDescent="0.3">
      <c r="C943" s="11">
        <v>999</v>
      </c>
      <c r="D943" s="154">
        <v>936</v>
      </c>
      <c r="E943" s="154" t="s">
        <v>1895</v>
      </c>
      <c r="F943" s="154" t="s">
        <v>87</v>
      </c>
      <c r="G943" s="154" t="s">
        <v>1896</v>
      </c>
      <c r="H943" s="154" t="s">
        <v>57</v>
      </c>
      <c r="I943" s="154" t="s">
        <v>594</v>
      </c>
      <c r="J943" s="154" t="s">
        <v>595</v>
      </c>
      <c r="K943" s="154" t="s">
        <v>60</v>
      </c>
      <c r="L943" s="154" t="s">
        <v>1897</v>
      </c>
      <c r="M943" s="154" t="s">
        <v>1383</v>
      </c>
      <c r="N943" s="154" t="s">
        <v>61</v>
      </c>
      <c r="O943" s="154" t="s">
        <v>62</v>
      </c>
      <c r="P943" s="146">
        <v>72149.490000000005</v>
      </c>
      <c r="Q943" s="146">
        <v>0</v>
      </c>
      <c r="R943" s="154" t="s">
        <v>1384</v>
      </c>
      <c r="S943" s="154" t="s">
        <v>1385</v>
      </c>
      <c r="T943" s="155">
        <v>44564</v>
      </c>
      <c r="U943" s="155">
        <v>44564</v>
      </c>
      <c r="V943" s="154" t="s">
        <v>1562</v>
      </c>
      <c r="W943" s="154">
        <v>0</v>
      </c>
      <c r="X943" s="154" t="s">
        <v>63</v>
      </c>
      <c r="Y943" s="154" t="s">
        <v>1386</v>
      </c>
      <c r="Z943" s="154"/>
      <c r="AA943" s="154" t="s">
        <v>1387</v>
      </c>
      <c r="AB943" s="154">
        <v>0</v>
      </c>
      <c r="AC943" s="138">
        <f>IFERROR(IF(DATEDIF(#REF!,U943,"m")&lt;=1,1,IF(AND(DATEDIF(#REF!,U943,"m")&gt;1,DATEDIF(#REF!,U943,"m")&lt;12),2,IF(AND(DATEDIF(#REF!,U943,"m")&gt;=12,DATEDIF(#REF!,U943,"m")&lt;24),3,IF(DATEDIF(#REF!,U943,"m")&gt;=24,4,"")))),IF(E943="r0320 - Deposits, not covered and not preferential",1,4))</f>
        <v>1</v>
      </c>
    </row>
    <row r="944" spans="3:29" ht="48.75" thickBot="1" x14ac:dyDescent="0.3">
      <c r="C944" s="11">
        <v>999</v>
      </c>
      <c r="D944" s="154">
        <v>937</v>
      </c>
      <c r="E944" s="154" t="s">
        <v>1902</v>
      </c>
      <c r="F944" s="154" t="s">
        <v>83</v>
      </c>
      <c r="G944" s="154" t="s">
        <v>1903</v>
      </c>
      <c r="H944" s="154" t="s">
        <v>862</v>
      </c>
      <c r="I944" s="154" t="s">
        <v>93</v>
      </c>
      <c r="J944" s="154" t="s">
        <v>94</v>
      </c>
      <c r="K944" s="154" t="s">
        <v>60</v>
      </c>
      <c r="L944" s="154" t="s">
        <v>1897</v>
      </c>
      <c r="M944" s="154" t="s">
        <v>1388</v>
      </c>
      <c r="N944" s="154" t="s">
        <v>61</v>
      </c>
      <c r="O944" s="154" t="s">
        <v>62</v>
      </c>
      <c r="P944" s="146">
        <v>49718.97</v>
      </c>
      <c r="Q944" s="146">
        <v>0</v>
      </c>
      <c r="R944" s="154" t="s">
        <v>1384</v>
      </c>
      <c r="S944" s="154" t="s">
        <v>1899</v>
      </c>
      <c r="T944" s="155" t="s">
        <v>768</v>
      </c>
      <c r="U944" s="155" t="s">
        <v>1899</v>
      </c>
      <c r="V944" s="154" t="s">
        <v>1904</v>
      </c>
      <c r="W944" s="154">
        <v>0</v>
      </c>
      <c r="X944" s="154" t="s">
        <v>63</v>
      </c>
      <c r="Y944" s="154" t="s">
        <v>1386</v>
      </c>
      <c r="Z944" s="154"/>
      <c r="AA944" s="154" t="s">
        <v>1387</v>
      </c>
      <c r="AB944" s="154">
        <v>0</v>
      </c>
      <c r="AC944" s="138">
        <f>IFERROR(IF(DATEDIF(#REF!,U944,"m")&lt;=1,1,IF(AND(DATEDIF(#REF!,U944,"m")&gt;1,DATEDIF(#REF!,U944,"m")&lt;12),2,IF(AND(DATEDIF(#REF!,U944,"m")&gt;=12,DATEDIF(#REF!,U944,"m")&lt;24),3,IF(DATEDIF(#REF!,U944,"m")&gt;=24,4,"")))),IF(E944="r0320 - Deposits, not covered and not preferential",1,4))</f>
        <v>4</v>
      </c>
    </row>
    <row r="945" spans="3:29" ht="48.75" thickBot="1" x14ac:dyDescent="0.3">
      <c r="C945" s="11">
        <v>999</v>
      </c>
      <c r="D945" s="154">
        <v>938</v>
      </c>
      <c r="E945" s="154" t="s">
        <v>1902</v>
      </c>
      <c r="F945" s="154" t="s">
        <v>83</v>
      </c>
      <c r="G945" s="154" t="s">
        <v>1903</v>
      </c>
      <c r="H945" s="154" t="s">
        <v>412</v>
      </c>
      <c r="I945" s="154" t="s">
        <v>114</v>
      </c>
      <c r="J945" s="154" t="s">
        <v>115</v>
      </c>
      <c r="K945" s="154" t="s">
        <v>60</v>
      </c>
      <c r="L945" s="154" t="s">
        <v>1897</v>
      </c>
      <c r="M945" s="154" t="s">
        <v>1388</v>
      </c>
      <c r="N945" s="154" t="s">
        <v>61</v>
      </c>
      <c r="O945" s="154" t="s">
        <v>62</v>
      </c>
      <c r="P945" s="146">
        <v>301500.68</v>
      </c>
      <c r="Q945" s="146">
        <v>-3.25</v>
      </c>
      <c r="R945" s="154" t="s">
        <v>1384</v>
      </c>
      <c r="S945" s="154" t="s">
        <v>1899</v>
      </c>
      <c r="T945" s="155" t="s">
        <v>768</v>
      </c>
      <c r="U945" s="155" t="s">
        <v>1899</v>
      </c>
      <c r="V945" s="154" t="s">
        <v>1904</v>
      </c>
      <c r="W945" s="154">
        <v>0</v>
      </c>
      <c r="X945" s="154" t="s">
        <v>63</v>
      </c>
      <c r="Y945" s="154" t="s">
        <v>1386</v>
      </c>
      <c r="Z945" s="154"/>
      <c r="AA945" s="154" t="s">
        <v>1387</v>
      </c>
      <c r="AB945" s="154">
        <v>0</v>
      </c>
      <c r="AC945" s="138">
        <f>IFERROR(IF(DATEDIF(#REF!,U945,"m")&lt;=1,1,IF(AND(DATEDIF(#REF!,U945,"m")&gt;1,DATEDIF(#REF!,U945,"m")&lt;12),2,IF(AND(DATEDIF(#REF!,U945,"m")&gt;=12,DATEDIF(#REF!,U945,"m")&lt;24),3,IF(DATEDIF(#REF!,U945,"m")&gt;=24,4,"")))),IF(E945="r0320 - Deposits, not covered and not preferential",1,4))</f>
        <v>4</v>
      </c>
    </row>
    <row r="946" spans="3:29" ht="36.75" thickBot="1" x14ac:dyDescent="0.3">
      <c r="C946" s="11">
        <v>999</v>
      </c>
      <c r="D946" s="154">
        <v>939</v>
      </c>
      <c r="E946" s="154" t="s">
        <v>1898</v>
      </c>
      <c r="F946" s="154" t="s">
        <v>87</v>
      </c>
      <c r="G946" s="154" t="s">
        <v>1402</v>
      </c>
      <c r="H946" s="154" t="s">
        <v>541</v>
      </c>
      <c r="I946" s="154" t="s">
        <v>96</v>
      </c>
      <c r="J946" s="154" t="s">
        <v>97</v>
      </c>
      <c r="K946" s="154" t="s">
        <v>91</v>
      </c>
      <c r="L946" s="154" t="s">
        <v>1897</v>
      </c>
      <c r="M946" s="154" t="s">
        <v>1383</v>
      </c>
      <c r="N946" s="154" t="s">
        <v>61</v>
      </c>
      <c r="O946" s="154" t="s">
        <v>62</v>
      </c>
      <c r="P946" s="146">
        <v>3.85</v>
      </c>
      <c r="Q946" s="146">
        <v>0</v>
      </c>
      <c r="R946" s="154" t="s">
        <v>1384</v>
      </c>
      <c r="S946" s="154" t="s">
        <v>1899</v>
      </c>
      <c r="T946" s="155" t="s">
        <v>1899</v>
      </c>
      <c r="U946" s="155" t="s">
        <v>1899</v>
      </c>
      <c r="V946" s="154" t="s">
        <v>1562</v>
      </c>
      <c r="W946" s="154">
        <v>0</v>
      </c>
      <c r="X946" s="154" t="s">
        <v>63</v>
      </c>
      <c r="Y946" s="154" t="s">
        <v>1900</v>
      </c>
      <c r="Z946" s="154"/>
      <c r="AA946" s="154" t="s">
        <v>1387</v>
      </c>
      <c r="AB946" s="154">
        <v>0</v>
      </c>
      <c r="AC946" s="138">
        <f>IFERROR(IF(DATEDIF(#REF!,U946,"m")&lt;=1,1,IF(AND(DATEDIF(#REF!,U946,"m")&gt;1,DATEDIF(#REF!,U946,"m")&lt;12),2,IF(AND(DATEDIF(#REF!,U946,"m")&gt;=12,DATEDIF(#REF!,U946,"m")&lt;24),3,IF(DATEDIF(#REF!,U946,"m")&gt;=24,4,"")))),IF(E946="r0320 - Deposits, not covered and not preferential",1,4))</f>
        <v>4</v>
      </c>
    </row>
    <row r="947" spans="3:29" ht="36.75" thickBot="1" x14ac:dyDescent="0.3">
      <c r="C947" s="11">
        <v>999</v>
      </c>
      <c r="D947" s="154">
        <v>940</v>
      </c>
      <c r="E947" s="154" t="s">
        <v>1898</v>
      </c>
      <c r="F947" s="154" t="s">
        <v>87</v>
      </c>
      <c r="G947" s="154" t="s">
        <v>1402</v>
      </c>
      <c r="H947" s="154" t="s">
        <v>544</v>
      </c>
      <c r="I947" s="154" t="s">
        <v>96</v>
      </c>
      <c r="J947" s="154" t="s">
        <v>97</v>
      </c>
      <c r="K947" s="154" t="s">
        <v>91</v>
      </c>
      <c r="L947" s="154" t="s">
        <v>1897</v>
      </c>
      <c r="M947" s="154" t="s">
        <v>1383</v>
      </c>
      <c r="N947" s="154" t="s">
        <v>61</v>
      </c>
      <c r="O947" s="154" t="s">
        <v>62</v>
      </c>
      <c r="P947" s="146">
        <v>12.89</v>
      </c>
      <c r="Q947" s="146">
        <v>0</v>
      </c>
      <c r="R947" s="154" t="s">
        <v>1384</v>
      </c>
      <c r="S947" s="154" t="s">
        <v>1899</v>
      </c>
      <c r="T947" s="155" t="s">
        <v>1899</v>
      </c>
      <c r="U947" s="155" t="s">
        <v>1899</v>
      </c>
      <c r="V947" s="154" t="s">
        <v>1562</v>
      </c>
      <c r="W947" s="154">
        <v>0</v>
      </c>
      <c r="X947" s="154" t="s">
        <v>63</v>
      </c>
      <c r="Y947" s="154" t="s">
        <v>1900</v>
      </c>
      <c r="Z947" s="154"/>
      <c r="AA947" s="154" t="s">
        <v>1387</v>
      </c>
      <c r="AB947" s="154">
        <v>0</v>
      </c>
      <c r="AC947" s="138">
        <f>IFERROR(IF(DATEDIF(#REF!,U947,"m")&lt;=1,1,IF(AND(DATEDIF(#REF!,U947,"m")&gt;1,DATEDIF(#REF!,U947,"m")&lt;12),2,IF(AND(DATEDIF(#REF!,U947,"m")&gt;=12,DATEDIF(#REF!,U947,"m")&lt;24),3,IF(DATEDIF(#REF!,U947,"m")&gt;=24,4,"")))),IF(E947="r0320 - Deposits, not covered and not preferential",1,4))</f>
        <v>4</v>
      </c>
    </row>
    <row r="948" spans="3:29" ht="48.75" thickBot="1" x14ac:dyDescent="0.3">
      <c r="C948" s="11">
        <v>999</v>
      </c>
      <c r="D948" s="154">
        <v>941</v>
      </c>
      <c r="E948" s="154" t="s">
        <v>1902</v>
      </c>
      <c r="F948" s="154" t="s">
        <v>83</v>
      </c>
      <c r="G948" s="154" t="s">
        <v>1903</v>
      </c>
      <c r="H948" s="154" t="s">
        <v>526</v>
      </c>
      <c r="I948" s="154" t="s">
        <v>101</v>
      </c>
      <c r="J948" s="154" t="s">
        <v>102</v>
      </c>
      <c r="K948" s="154" t="s">
        <v>60</v>
      </c>
      <c r="L948" s="154" t="s">
        <v>1897</v>
      </c>
      <c r="M948" s="154" t="s">
        <v>1388</v>
      </c>
      <c r="N948" s="154" t="s">
        <v>61</v>
      </c>
      <c r="O948" s="154" t="s">
        <v>62</v>
      </c>
      <c r="P948" s="146">
        <v>598433.62</v>
      </c>
      <c r="Q948" s="146">
        <v>334.64</v>
      </c>
      <c r="R948" s="154" t="s">
        <v>1384</v>
      </c>
      <c r="S948" s="154" t="s">
        <v>1899</v>
      </c>
      <c r="T948" s="155" t="s">
        <v>768</v>
      </c>
      <c r="U948" s="155" t="s">
        <v>1899</v>
      </c>
      <c r="V948" s="154" t="s">
        <v>1904</v>
      </c>
      <c r="W948" s="154">
        <v>0</v>
      </c>
      <c r="X948" s="154" t="s">
        <v>63</v>
      </c>
      <c r="Y948" s="154" t="s">
        <v>1386</v>
      </c>
      <c r="Z948" s="154"/>
      <c r="AA948" s="154" t="s">
        <v>1387</v>
      </c>
      <c r="AB948" s="154">
        <v>0</v>
      </c>
      <c r="AC948" s="138">
        <f>IFERROR(IF(DATEDIF(#REF!,U948,"m")&lt;=1,1,IF(AND(DATEDIF(#REF!,U948,"m")&gt;1,DATEDIF(#REF!,U948,"m")&lt;12),2,IF(AND(DATEDIF(#REF!,U948,"m")&gt;=12,DATEDIF(#REF!,U948,"m")&lt;24),3,IF(DATEDIF(#REF!,U948,"m")&gt;=24,4,"")))),IF(E948="r0320 - Deposits, not covered and not preferential",1,4))</f>
        <v>4</v>
      </c>
    </row>
    <row r="949" spans="3:29" ht="36.75" thickBot="1" x14ac:dyDescent="0.3">
      <c r="C949" s="11">
        <v>999</v>
      </c>
      <c r="D949" s="154">
        <v>942</v>
      </c>
      <c r="E949" s="154" t="s">
        <v>1898</v>
      </c>
      <c r="F949" s="154" t="s">
        <v>87</v>
      </c>
      <c r="G949" s="154" t="s">
        <v>1402</v>
      </c>
      <c r="H949" s="154" t="s">
        <v>554</v>
      </c>
      <c r="I949" s="154" t="s">
        <v>111</v>
      </c>
      <c r="J949" s="154" t="s">
        <v>90</v>
      </c>
      <c r="K949" s="154" t="s">
        <v>91</v>
      </c>
      <c r="L949" s="154" t="s">
        <v>1897</v>
      </c>
      <c r="M949" s="154" t="s">
        <v>1383</v>
      </c>
      <c r="N949" s="154" t="s">
        <v>61</v>
      </c>
      <c r="O949" s="154" t="s">
        <v>62</v>
      </c>
      <c r="P949" s="146">
        <v>0.66</v>
      </c>
      <c r="Q949" s="146">
        <v>0</v>
      </c>
      <c r="R949" s="154" t="s">
        <v>1384</v>
      </c>
      <c r="S949" s="154" t="s">
        <v>1899</v>
      </c>
      <c r="T949" s="155" t="s">
        <v>1899</v>
      </c>
      <c r="U949" s="155" t="s">
        <v>1899</v>
      </c>
      <c r="V949" s="154" t="s">
        <v>1562</v>
      </c>
      <c r="W949" s="154">
        <v>0</v>
      </c>
      <c r="X949" s="154" t="s">
        <v>63</v>
      </c>
      <c r="Y949" s="154" t="s">
        <v>1900</v>
      </c>
      <c r="Z949" s="154"/>
      <c r="AA949" s="154" t="s">
        <v>1387</v>
      </c>
      <c r="AB949" s="154">
        <v>0</v>
      </c>
      <c r="AC949" s="138">
        <f>IFERROR(IF(DATEDIF(#REF!,U949,"m")&lt;=1,1,IF(AND(DATEDIF(#REF!,U949,"m")&gt;1,DATEDIF(#REF!,U949,"m")&lt;12),2,IF(AND(DATEDIF(#REF!,U949,"m")&gt;=12,DATEDIF(#REF!,U949,"m")&lt;24),3,IF(DATEDIF(#REF!,U949,"m")&gt;=24,4,"")))),IF(E949="r0320 - Deposits, not covered and not preferential",1,4))</f>
        <v>4</v>
      </c>
    </row>
    <row r="950" spans="3:29" ht="36.75" thickBot="1" x14ac:dyDescent="0.3">
      <c r="C950" s="11">
        <v>999</v>
      </c>
      <c r="D950" s="154">
        <v>943</v>
      </c>
      <c r="E950" s="154" t="s">
        <v>1898</v>
      </c>
      <c r="F950" s="154" t="s">
        <v>87</v>
      </c>
      <c r="G950" s="154" t="s">
        <v>1402</v>
      </c>
      <c r="H950" s="154" t="s">
        <v>336</v>
      </c>
      <c r="I950" s="154" t="s">
        <v>96</v>
      </c>
      <c r="J950" s="154" t="s">
        <v>97</v>
      </c>
      <c r="K950" s="154" t="s">
        <v>91</v>
      </c>
      <c r="L950" s="154" t="s">
        <v>1897</v>
      </c>
      <c r="M950" s="154" t="s">
        <v>1383</v>
      </c>
      <c r="N950" s="154" t="s">
        <v>61</v>
      </c>
      <c r="O950" s="154" t="s">
        <v>62</v>
      </c>
      <c r="P950" s="146">
        <v>36.83</v>
      </c>
      <c r="Q950" s="146">
        <v>0</v>
      </c>
      <c r="R950" s="154" t="s">
        <v>1384</v>
      </c>
      <c r="S950" s="154" t="s">
        <v>1899</v>
      </c>
      <c r="T950" s="155" t="s">
        <v>1899</v>
      </c>
      <c r="U950" s="155" t="s">
        <v>1899</v>
      </c>
      <c r="V950" s="154" t="s">
        <v>1562</v>
      </c>
      <c r="W950" s="154">
        <v>0</v>
      </c>
      <c r="X950" s="154" t="s">
        <v>63</v>
      </c>
      <c r="Y950" s="154" t="s">
        <v>1900</v>
      </c>
      <c r="Z950" s="154"/>
      <c r="AA950" s="154" t="s">
        <v>1387</v>
      </c>
      <c r="AB950" s="154">
        <v>0</v>
      </c>
      <c r="AC950" s="138">
        <f>IFERROR(IF(DATEDIF(#REF!,U950,"m")&lt;=1,1,IF(AND(DATEDIF(#REF!,U950,"m")&gt;1,DATEDIF(#REF!,U950,"m")&lt;12),2,IF(AND(DATEDIF(#REF!,U950,"m")&gt;=12,DATEDIF(#REF!,U950,"m")&lt;24),3,IF(DATEDIF(#REF!,U950,"m")&gt;=24,4,"")))),IF(E950="r0320 - Deposits, not covered and not preferential",1,4))</f>
        <v>4</v>
      </c>
    </row>
    <row r="951" spans="3:29" ht="48.75" thickBot="1" x14ac:dyDescent="0.3">
      <c r="C951" s="11">
        <v>999</v>
      </c>
      <c r="D951" s="154">
        <v>944</v>
      </c>
      <c r="E951" s="154" t="s">
        <v>1902</v>
      </c>
      <c r="F951" s="154" t="s">
        <v>83</v>
      </c>
      <c r="G951" s="154" t="s">
        <v>1903</v>
      </c>
      <c r="H951" s="154" t="s">
        <v>339</v>
      </c>
      <c r="I951" s="154" t="s">
        <v>93</v>
      </c>
      <c r="J951" s="154" t="s">
        <v>94</v>
      </c>
      <c r="K951" s="154" t="s">
        <v>60</v>
      </c>
      <c r="L951" s="154" t="s">
        <v>1897</v>
      </c>
      <c r="M951" s="154" t="s">
        <v>1388</v>
      </c>
      <c r="N951" s="154" t="s">
        <v>61</v>
      </c>
      <c r="O951" s="154" t="s">
        <v>62</v>
      </c>
      <c r="P951" s="146">
        <v>146827.85</v>
      </c>
      <c r="Q951" s="146">
        <v>-13.45</v>
      </c>
      <c r="R951" s="154" t="s">
        <v>1384</v>
      </c>
      <c r="S951" s="154" t="s">
        <v>1899</v>
      </c>
      <c r="T951" s="155" t="s">
        <v>768</v>
      </c>
      <c r="U951" s="155" t="s">
        <v>1899</v>
      </c>
      <c r="V951" s="154" t="s">
        <v>1904</v>
      </c>
      <c r="W951" s="154">
        <v>0</v>
      </c>
      <c r="X951" s="154" t="s">
        <v>63</v>
      </c>
      <c r="Y951" s="154" t="s">
        <v>1386</v>
      </c>
      <c r="Z951" s="154"/>
      <c r="AA951" s="154" t="s">
        <v>1387</v>
      </c>
      <c r="AB951" s="154">
        <v>0</v>
      </c>
      <c r="AC951" s="138">
        <f>IFERROR(IF(DATEDIF(#REF!,U951,"m")&lt;=1,1,IF(AND(DATEDIF(#REF!,U951,"m")&gt;1,DATEDIF(#REF!,U951,"m")&lt;12),2,IF(AND(DATEDIF(#REF!,U951,"m")&gt;=12,DATEDIF(#REF!,U951,"m")&lt;24),3,IF(DATEDIF(#REF!,U951,"m")&gt;=24,4,"")))),IF(E951="r0320 - Deposits, not covered and not preferential",1,4))</f>
        <v>4</v>
      </c>
    </row>
    <row r="952" spans="3:29" ht="36.75" thickBot="1" x14ac:dyDescent="0.3">
      <c r="C952" s="11">
        <v>999</v>
      </c>
      <c r="D952" s="154">
        <v>945</v>
      </c>
      <c r="E952" s="154" t="s">
        <v>1895</v>
      </c>
      <c r="F952" s="154" t="s">
        <v>83</v>
      </c>
      <c r="G952" s="154" t="s">
        <v>1896</v>
      </c>
      <c r="H952" s="154" t="s">
        <v>57</v>
      </c>
      <c r="I952" s="154" t="s">
        <v>674</v>
      </c>
      <c r="J952" s="154" t="s">
        <v>675</v>
      </c>
      <c r="K952" s="154" t="s">
        <v>91</v>
      </c>
      <c r="L952" s="154" t="s">
        <v>1897</v>
      </c>
      <c r="M952" s="154" t="s">
        <v>1383</v>
      </c>
      <c r="N952" s="154" t="s">
        <v>61</v>
      </c>
      <c r="O952" s="154" t="s">
        <v>62</v>
      </c>
      <c r="P952" s="146">
        <v>15039517.85</v>
      </c>
      <c r="Q952" s="146">
        <v>0</v>
      </c>
      <c r="R952" s="154" t="s">
        <v>1384</v>
      </c>
      <c r="S952" s="154" t="s">
        <v>1385</v>
      </c>
      <c r="T952" s="155">
        <v>44564</v>
      </c>
      <c r="U952" s="155">
        <v>44564</v>
      </c>
      <c r="V952" s="154" t="s">
        <v>1562</v>
      </c>
      <c r="W952" s="154">
        <v>0</v>
      </c>
      <c r="X952" s="154" t="s">
        <v>63</v>
      </c>
      <c r="Y952" s="154" t="s">
        <v>1386</v>
      </c>
      <c r="Z952" s="154"/>
      <c r="AA952" s="154" t="s">
        <v>1387</v>
      </c>
      <c r="AB952" s="154">
        <v>0</v>
      </c>
      <c r="AC952" s="138">
        <f>IFERROR(IF(DATEDIF(#REF!,U952,"m")&lt;=1,1,IF(AND(DATEDIF(#REF!,U952,"m")&gt;1,DATEDIF(#REF!,U952,"m")&lt;12),2,IF(AND(DATEDIF(#REF!,U952,"m")&gt;=12,DATEDIF(#REF!,U952,"m")&lt;24),3,IF(DATEDIF(#REF!,U952,"m")&gt;=24,4,"")))),IF(E952="r0320 - Deposits, not covered and not preferential",1,4))</f>
        <v>1</v>
      </c>
    </row>
    <row r="953" spans="3:29" ht="36.75" thickBot="1" x14ac:dyDescent="0.3">
      <c r="C953" s="11">
        <v>999</v>
      </c>
      <c r="D953" s="154">
        <v>946</v>
      </c>
      <c r="E953" s="154" t="s">
        <v>1898</v>
      </c>
      <c r="F953" s="154" t="s">
        <v>87</v>
      </c>
      <c r="G953" s="154" t="s">
        <v>1402</v>
      </c>
      <c r="H953" s="154" t="s">
        <v>932</v>
      </c>
      <c r="I953" s="154" t="s">
        <v>96</v>
      </c>
      <c r="J953" s="154" t="s">
        <v>97</v>
      </c>
      <c r="K953" s="154" t="s">
        <v>91</v>
      </c>
      <c r="L953" s="154" t="s">
        <v>1897</v>
      </c>
      <c r="M953" s="154" t="s">
        <v>1383</v>
      </c>
      <c r="N953" s="154" t="s">
        <v>61</v>
      </c>
      <c r="O953" s="154" t="s">
        <v>62</v>
      </c>
      <c r="P953" s="146">
        <v>0.5</v>
      </c>
      <c r="Q953" s="146">
        <v>0</v>
      </c>
      <c r="R953" s="154" t="s">
        <v>1384</v>
      </c>
      <c r="S953" s="154" t="s">
        <v>1899</v>
      </c>
      <c r="T953" s="155" t="s">
        <v>1899</v>
      </c>
      <c r="U953" s="155" t="s">
        <v>1899</v>
      </c>
      <c r="V953" s="154" t="s">
        <v>1562</v>
      </c>
      <c r="W953" s="154">
        <v>0</v>
      </c>
      <c r="X953" s="154" t="s">
        <v>63</v>
      </c>
      <c r="Y953" s="154" t="s">
        <v>1900</v>
      </c>
      <c r="Z953" s="154"/>
      <c r="AA953" s="154" t="s">
        <v>1387</v>
      </c>
      <c r="AB953" s="154">
        <v>0</v>
      </c>
      <c r="AC953" s="138">
        <f>IFERROR(IF(DATEDIF(#REF!,U953,"m")&lt;=1,1,IF(AND(DATEDIF(#REF!,U953,"m")&gt;1,DATEDIF(#REF!,U953,"m")&lt;12),2,IF(AND(DATEDIF(#REF!,U953,"m")&gt;=12,DATEDIF(#REF!,U953,"m")&lt;24),3,IF(DATEDIF(#REF!,U953,"m")&gt;=24,4,"")))),IF(E953="r0320 - Deposits, not covered and not preferential",1,4))</f>
        <v>4</v>
      </c>
    </row>
    <row r="954" spans="3:29" ht="36.75" thickBot="1" x14ac:dyDescent="0.3">
      <c r="C954" s="11">
        <v>999</v>
      </c>
      <c r="D954" s="154">
        <v>947</v>
      </c>
      <c r="E954" s="154" t="s">
        <v>1898</v>
      </c>
      <c r="F954" s="154" t="s">
        <v>87</v>
      </c>
      <c r="G954" s="154" t="s">
        <v>1402</v>
      </c>
      <c r="H954" s="154" t="s">
        <v>160</v>
      </c>
      <c r="I954" s="154" t="s">
        <v>111</v>
      </c>
      <c r="J954" s="154" t="s">
        <v>90</v>
      </c>
      <c r="K954" s="154" t="s">
        <v>91</v>
      </c>
      <c r="L954" s="154" t="s">
        <v>1897</v>
      </c>
      <c r="M954" s="154" t="s">
        <v>1383</v>
      </c>
      <c r="N954" s="154" t="s">
        <v>61</v>
      </c>
      <c r="O954" s="154" t="s">
        <v>62</v>
      </c>
      <c r="P954" s="146">
        <v>7.0000000000000007E-2</v>
      </c>
      <c r="Q954" s="146">
        <v>0</v>
      </c>
      <c r="R954" s="154" t="s">
        <v>1384</v>
      </c>
      <c r="S954" s="154" t="s">
        <v>1899</v>
      </c>
      <c r="T954" s="155" t="s">
        <v>1899</v>
      </c>
      <c r="U954" s="155" t="s">
        <v>1899</v>
      </c>
      <c r="V954" s="154" t="s">
        <v>1562</v>
      </c>
      <c r="W954" s="154">
        <v>0</v>
      </c>
      <c r="X954" s="154" t="s">
        <v>63</v>
      </c>
      <c r="Y954" s="154" t="s">
        <v>1900</v>
      </c>
      <c r="Z954" s="154"/>
      <c r="AA954" s="154" t="s">
        <v>1387</v>
      </c>
      <c r="AB954" s="154">
        <v>0</v>
      </c>
      <c r="AC954" s="138">
        <f>IFERROR(IF(DATEDIF(#REF!,U954,"m")&lt;=1,1,IF(AND(DATEDIF(#REF!,U954,"m")&gt;1,DATEDIF(#REF!,U954,"m")&lt;12),2,IF(AND(DATEDIF(#REF!,U954,"m")&gt;=12,DATEDIF(#REF!,U954,"m")&lt;24),3,IF(DATEDIF(#REF!,U954,"m")&gt;=24,4,"")))),IF(E954="r0320 - Deposits, not covered and not preferential",1,4))</f>
        <v>4</v>
      </c>
    </row>
    <row r="955" spans="3:29" ht="36.75" thickBot="1" x14ac:dyDescent="0.3">
      <c r="C955" s="11">
        <v>999</v>
      </c>
      <c r="D955" s="154">
        <v>948</v>
      </c>
      <c r="E955" s="154" t="s">
        <v>1898</v>
      </c>
      <c r="F955" s="154" t="s">
        <v>87</v>
      </c>
      <c r="G955" s="154" t="s">
        <v>1402</v>
      </c>
      <c r="H955" s="154" t="s">
        <v>219</v>
      </c>
      <c r="I955" s="154" t="s">
        <v>96</v>
      </c>
      <c r="J955" s="154" t="s">
        <v>97</v>
      </c>
      <c r="K955" s="154" t="s">
        <v>91</v>
      </c>
      <c r="L955" s="154" t="s">
        <v>1897</v>
      </c>
      <c r="M955" s="154" t="s">
        <v>1383</v>
      </c>
      <c r="N955" s="154" t="s">
        <v>61</v>
      </c>
      <c r="O955" s="154" t="s">
        <v>62</v>
      </c>
      <c r="P955" s="146">
        <v>15.78</v>
      </c>
      <c r="Q955" s="146">
        <v>0</v>
      </c>
      <c r="R955" s="154" t="s">
        <v>1384</v>
      </c>
      <c r="S955" s="154" t="s">
        <v>1899</v>
      </c>
      <c r="T955" s="155" t="s">
        <v>1899</v>
      </c>
      <c r="U955" s="155" t="s">
        <v>1899</v>
      </c>
      <c r="V955" s="154" t="s">
        <v>1562</v>
      </c>
      <c r="W955" s="154">
        <v>0</v>
      </c>
      <c r="X955" s="154" t="s">
        <v>63</v>
      </c>
      <c r="Y955" s="154" t="s">
        <v>1900</v>
      </c>
      <c r="Z955" s="154"/>
      <c r="AA955" s="154" t="s">
        <v>1387</v>
      </c>
      <c r="AB955" s="154">
        <v>0</v>
      </c>
      <c r="AC955" s="138">
        <f>IFERROR(IF(DATEDIF(#REF!,U955,"m")&lt;=1,1,IF(AND(DATEDIF(#REF!,U955,"m")&gt;1,DATEDIF(#REF!,U955,"m")&lt;12),2,IF(AND(DATEDIF(#REF!,U955,"m")&gt;=12,DATEDIF(#REF!,U955,"m")&lt;24),3,IF(DATEDIF(#REF!,U955,"m")&gt;=24,4,"")))),IF(E955="r0320 - Deposits, not covered and not preferential",1,4))</f>
        <v>4</v>
      </c>
    </row>
    <row r="956" spans="3:29" ht="36.75" thickBot="1" x14ac:dyDescent="0.3">
      <c r="C956" s="11">
        <v>999</v>
      </c>
      <c r="D956" s="154">
        <v>949</v>
      </c>
      <c r="E956" s="154" t="s">
        <v>1898</v>
      </c>
      <c r="F956" s="154" t="s">
        <v>87</v>
      </c>
      <c r="G956" s="154" t="s">
        <v>1402</v>
      </c>
      <c r="H956" s="154" t="s">
        <v>549</v>
      </c>
      <c r="I956" s="154" t="s">
        <v>111</v>
      </c>
      <c r="J956" s="154" t="s">
        <v>90</v>
      </c>
      <c r="K956" s="154" t="s">
        <v>91</v>
      </c>
      <c r="L956" s="154" t="s">
        <v>1897</v>
      </c>
      <c r="M956" s="154" t="s">
        <v>1383</v>
      </c>
      <c r="N956" s="154" t="s">
        <v>61</v>
      </c>
      <c r="O956" s="154" t="s">
        <v>62</v>
      </c>
      <c r="P956" s="146">
        <v>0.96</v>
      </c>
      <c r="Q956" s="146">
        <v>0</v>
      </c>
      <c r="R956" s="154" t="s">
        <v>1384</v>
      </c>
      <c r="S956" s="154" t="s">
        <v>1899</v>
      </c>
      <c r="T956" s="155" t="s">
        <v>1899</v>
      </c>
      <c r="U956" s="155" t="s">
        <v>1899</v>
      </c>
      <c r="V956" s="154" t="s">
        <v>1562</v>
      </c>
      <c r="W956" s="154">
        <v>0</v>
      </c>
      <c r="X956" s="154" t="s">
        <v>63</v>
      </c>
      <c r="Y956" s="154" t="s">
        <v>1900</v>
      </c>
      <c r="Z956" s="154"/>
      <c r="AA956" s="154" t="s">
        <v>1387</v>
      </c>
      <c r="AB956" s="154">
        <v>0</v>
      </c>
      <c r="AC956" s="138">
        <f>IFERROR(IF(DATEDIF(#REF!,U956,"m")&lt;=1,1,IF(AND(DATEDIF(#REF!,U956,"m")&gt;1,DATEDIF(#REF!,U956,"m")&lt;12),2,IF(AND(DATEDIF(#REF!,U956,"m")&gt;=12,DATEDIF(#REF!,U956,"m")&lt;24),3,IF(DATEDIF(#REF!,U956,"m")&gt;=24,4,"")))),IF(E956="r0320 - Deposits, not covered and not preferential",1,4))</f>
        <v>4</v>
      </c>
    </row>
    <row r="957" spans="3:29" ht="48.75" thickBot="1" x14ac:dyDescent="0.3">
      <c r="C957" s="11">
        <v>999</v>
      </c>
      <c r="D957" s="154">
        <v>950</v>
      </c>
      <c r="E957" s="154" t="s">
        <v>1902</v>
      </c>
      <c r="F957" s="154" t="s">
        <v>83</v>
      </c>
      <c r="G957" s="154" t="s">
        <v>1903</v>
      </c>
      <c r="H957" s="154" t="s">
        <v>558</v>
      </c>
      <c r="I957" s="154" t="s">
        <v>101</v>
      </c>
      <c r="J957" s="154" t="s">
        <v>102</v>
      </c>
      <c r="K957" s="154" t="s">
        <v>60</v>
      </c>
      <c r="L957" s="154" t="s">
        <v>1897</v>
      </c>
      <c r="M957" s="154" t="s">
        <v>1388</v>
      </c>
      <c r="N957" s="154" t="s">
        <v>61</v>
      </c>
      <c r="O957" s="154" t="s">
        <v>62</v>
      </c>
      <c r="P957" s="146">
        <v>2028.74</v>
      </c>
      <c r="Q957" s="146">
        <v>2.38</v>
      </c>
      <c r="R957" s="154" t="s">
        <v>1384</v>
      </c>
      <c r="S957" s="154" t="s">
        <v>1899</v>
      </c>
      <c r="T957" s="155" t="s">
        <v>768</v>
      </c>
      <c r="U957" s="155" t="s">
        <v>1899</v>
      </c>
      <c r="V957" s="154" t="s">
        <v>1904</v>
      </c>
      <c r="W957" s="154">
        <v>0</v>
      </c>
      <c r="X957" s="154" t="s">
        <v>63</v>
      </c>
      <c r="Y957" s="154" t="s">
        <v>1386</v>
      </c>
      <c r="Z957" s="154"/>
      <c r="AA957" s="154" t="s">
        <v>1387</v>
      </c>
      <c r="AB957" s="154">
        <v>0</v>
      </c>
      <c r="AC957" s="138">
        <f>IFERROR(IF(DATEDIF(#REF!,U957,"m")&lt;=1,1,IF(AND(DATEDIF(#REF!,U957,"m")&gt;1,DATEDIF(#REF!,U957,"m")&lt;12),2,IF(AND(DATEDIF(#REF!,U957,"m")&gt;=12,DATEDIF(#REF!,U957,"m")&lt;24),3,IF(DATEDIF(#REF!,U957,"m")&gt;=24,4,"")))),IF(E957="r0320 - Deposits, not covered and not preferential",1,4))</f>
        <v>4</v>
      </c>
    </row>
    <row r="958" spans="3:29" ht="36.75" thickBot="1" x14ac:dyDescent="0.3">
      <c r="C958" s="11">
        <v>999</v>
      </c>
      <c r="D958" s="154">
        <v>951</v>
      </c>
      <c r="E958" s="154" t="s">
        <v>1898</v>
      </c>
      <c r="F958" s="154" t="s">
        <v>87</v>
      </c>
      <c r="G958" s="154" t="s">
        <v>1402</v>
      </c>
      <c r="H958" s="154" t="s">
        <v>345</v>
      </c>
      <c r="I958" s="154" t="s">
        <v>111</v>
      </c>
      <c r="J958" s="154" t="s">
        <v>90</v>
      </c>
      <c r="K958" s="154" t="s">
        <v>91</v>
      </c>
      <c r="L958" s="154" t="s">
        <v>1897</v>
      </c>
      <c r="M958" s="154" t="s">
        <v>1383</v>
      </c>
      <c r="N958" s="154" t="s">
        <v>61</v>
      </c>
      <c r="O958" s="154" t="s">
        <v>62</v>
      </c>
      <c r="P958" s="146">
        <v>0.03</v>
      </c>
      <c r="Q958" s="146">
        <v>0</v>
      </c>
      <c r="R958" s="154" t="s">
        <v>1384</v>
      </c>
      <c r="S958" s="154" t="s">
        <v>1899</v>
      </c>
      <c r="T958" s="155" t="s">
        <v>1899</v>
      </c>
      <c r="U958" s="155" t="s">
        <v>1899</v>
      </c>
      <c r="V958" s="154" t="s">
        <v>1562</v>
      </c>
      <c r="W958" s="154">
        <v>0</v>
      </c>
      <c r="X958" s="154" t="s">
        <v>63</v>
      </c>
      <c r="Y958" s="154" t="s">
        <v>1900</v>
      </c>
      <c r="Z958" s="154"/>
      <c r="AA958" s="154" t="s">
        <v>1387</v>
      </c>
      <c r="AB958" s="154">
        <v>0</v>
      </c>
      <c r="AC958" s="138">
        <f>IFERROR(IF(DATEDIF(#REF!,U958,"m")&lt;=1,1,IF(AND(DATEDIF(#REF!,U958,"m")&gt;1,DATEDIF(#REF!,U958,"m")&lt;12),2,IF(AND(DATEDIF(#REF!,U958,"m")&gt;=12,DATEDIF(#REF!,U958,"m")&lt;24),3,IF(DATEDIF(#REF!,U958,"m")&gt;=24,4,"")))),IF(E958="r0320 - Deposits, not covered and not preferential",1,4))</f>
        <v>4</v>
      </c>
    </row>
    <row r="959" spans="3:29" ht="48.75" thickBot="1" x14ac:dyDescent="0.3">
      <c r="C959" s="11">
        <v>999</v>
      </c>
      <c r="D959" s="154">
        <v>952</v>
      </c>
      <c r="E959" s="154" t="s">
        <v>1902</v>
      </c>
      <c r="F959" s="154" t="s">
        <v>83</v>
      </c>
      <c r="G959" s="154" t="s">
        <v>1903</v>
      </c>
      <c r="H959" s="154" t="s">
        <v>505</v>
      </c>
      <c r="I959" s="154" t="s">
        <v>93</v>
      </c>
      <c r="J959" s="154" t="s">
        <v>94</v>
      </c>
      <c r="K959" s="154" t="s">
        <v>60</v>
      </c>
      <c r="L959" s="154" t="s">
        <v>1897</v>
      </c>
      <c r="M959" s="154" t="s">
        <v>1388</v>
      </c>
      <c r="N959" s="154" t="s">
        <v>61</v>
      </c>
      <c r="O959" s="154" t="s">
        <v>62</v>
      </c>
      <c r="P959" s="146">
        <v>16516.150000000001</v>
      </c>
      <c r="Q959" s="146">
        <v>0.51</v>
      </c>
      <c r="R959" s="154" t="s">
        <v>1384</v>
      </c>
      <c r="S959" s="154" t="s">
        <v>1899</v>
      </c>
      <c r="T959" s="155" t="s">
        <v>768</v>
      </c>
      <c r="U959" s="155" t="s">
        <v>1899</v>
      </c>
      <c r="V959" s="154" t="s">
        <v>1904</v>
      </c>
      <c r="W959" s="154">
        <v>0</v>
      </c>
      <c r="X959" s="154" t="s">
        <v>63</v>
      </c>
      <c r="Y959" s="154" t="s">
        <v>1386</v>
      </c>
      <c r="Z959" s="154"/>
      <c r="AA959" s="154" t="s">
        <v>1387</v>
      </c>
      <c r="AB959" s="154">
        <v>0</v>
      </c>
      <c r="AC959" s="138">
        <f>IFERROR(IF(DATEDIF(#REF!,U959,"m")&lt;=1,1,IF(AND(DATEDIF(#REF!,U959,"m")&gt;1,DATEDIF(#REF!,U959,"m")&lt;12),2,IF(AND(DATEDIF(#REF!,U959,"m")&gt;=12,DATEDIF(#REF!,U959,"m")&lt;24),3,IF(DATEDIF(#REF!,U959,"m")&gt;=24,4,"")))),IF(E959="r0320 - Deposits, not covered and not preferential",1,4))</f>
        <v>4</v>
      </c>
    </row>
    <row r="960" spans="3:29" ht="36.75" thickBot="1" x14ac:dyDescent="0.3">
      <c r="C960" s="11">
        <v>999</v>
      </c>
      <c r="D960" s="154">
        <v>953</v>
      </c>
      <c r="E960" s="154" t="s">
        <v>1898</v>
      </c>
      <c r="F960" s="154" t="s">
        <v>87</v>
      </c>
      <c r="G960" s="154" t="s">
        <v>1402</v>
      </c>
      <c r="H960" s="154" t="s">
        <v>551</v>
      </c>
      <c r="I960" s="154" t="s">
        <v>111</v>
      </c>
      <c r="J960" s="154" t="s">
        <v>90</v>
      </c>
      <c r="K960" s="154" t="s">
        <v>91</v>
      </c>
      <c r="L960" s="154" t="s">
        <v>1897</v>
      </c>
      <c r="M960" s="154" t="s">
        <v>1383</v>
      </c>
      <c r="N960" s="154" t="s">
        <v>61</v>
      </c>
      <c r="O960" s="154" t="s">
        <v>62</v>
      </c>
      <c r="P960" s="146">
        <v>0.09</v>
      </c>
      <c r="Q960" s="146">
        <v>0</v>
      </c>
      <c r="R960" s="154" t="s">
        <v>1384</v>
      </c>
      <c r="S960" s="154" t="s">
        <v>1899</v>
      </c>
      <c r="T960" s="155" t="s">
        <v>1899</v>
      </c>
      <c r="U960" s="155" t="s">
        <v>1899</v>
      </c>
      <c r="V960" s="154" t="s">
        <v>1562</v>
      </c>
      <c r="W960" s="154">
        <v>0</v>
      </c>
      <c r="X960" s="154" t="s">
        <v>63</v>
      </c>
      <c r="Y960" s="154" t="s">
        <v>1900</v>
      </c>
      <c r="Z960" s="154"/>
      <c r="AA960" s="154" t="s">
        <v>1387</v>
      </c>
      <c r="AB960" s="154">
        <v>0</v>
      </c>
      <c r="AC960" s="138">
        <f>IFERROR(IF(DATEDIF(#REF!,U960,"m")&lt;=1,1,IF(AND(DATEDIF(#REF!,U960,"m")&gt;1,DATEDIF(#REF!,U960,"m")&lt;12),2,IF(AND(DATEDIF(#REF!,U960,"m")&gt;=12,DATEDIF(#REF!,U960,"m")&lt;24),3,IF(DATEDIF(#REF!,U960,"m")&gt;=24,4,"")))),IF(E960="r0320 - Deposits, not covered and not preferential",1,4))</f>
        <v>4</v>
      </c>
    </row>
    <row r="961" spans="3:29" ht="36.75" thickBot="1" x14ac:dyDescent="0.3">
      <c r="C961" s="11">
        <v>999</v>
      </c>
      <c r="D961" s="154">
        <v>954</v>
      </c>
      <c r="E961" s="154" t="s">
        <v>1895</v>
      </c>
      <c r="F961" s="154" t="s">
        <v>87</v>
      </c>
      <c r="G961" s="154" t="s">
        <v>1896</v>
      </c>
      <c r="H961" s="154" t="s">
        <v>57</v>
      </c>
      <c r="I961" s="154" t="s">
        <v>104</v>
      </c>
      <c r="J961" s="154" t="s">
        <v>105</v>
      </c>
      <c r="K961" s="154" t="s">
        <v>60</v>
      </c>
      <c r="L961" s="154" t="s">
        <v>1897</v>
      </c>
      <c r="M961" s="154" t="s">
        <v>1383</v>
      </c>
      <c r="N961" s="154" t="s">
        <v>61</v>
      </c>
      <c r="O961" s="154" t="s">
        <v>62</v>
      </c>
      <c r="P961" s="146">
        <v>9059193.6899999995</v>
      </c>
      <c r="Q961" s="146">
        <v>0</v>
      </c>
      <c r="R961" s="154" t="s">
        <v>1384</v>
      </c>
      <c r="S961" s="154" t="s">
        <v>1385</v>
      </c>
      <c r="T961" s="155">
        <v>44564</v>
      </c>
      <c r="U961" s="155">
        <v>44564</v>
      </c>
      <c r="V961" s="154" t="s">
        <v>1562</v>
      </c>
      <c r="W961" s="154">
        <v>0</v>
      </c>
      <c r="X961" s="154" t="s">
        <v>63</v>
      </c>
      <c r="Y961" s="154" t="s">
        <v>1386</v>
      </c>
      <c r="Z961" s="154"/>
      <c r="AA961" s="154" t="s">
        <v>1387</v>
      </c>
      <c r="AB961" s="154">
        <v>0</v>
      </c>
      <c r="AC961" s="138">
        <f>IFERROR(IF(DATEDIF(#REF!,U961,"m")&lt;=1,1,IF(AND(DATEDIF(#REF!,U961,"m")&gt;1,DATEDIF(#REF!,U961,"m")&lt;12),2,IF(AND(DATEDIF(#REF!,U961,"m")&gt;=12,DATEDIF(#REF!,U961,"m")&lt;24),3,IF(DATEDIF(#REF!,U961,"m")&gt;=24,4,"")))),IF(E961="r0320 - Deposits, not covered and not preferential",1,4))</f>
        <v>1</v>
      </c>
    </row>
    <row r="962" spans="3:29" ht="36.75" thickBot="1" x14ac:dyDescent="0.3">
      <c r="C962" s="11">
        <v>999</v>
      </c>
      <c r="D962" s="154">
        <v>955</v>
      </c>
      <c r="E962" s="154" t="s">
        <v>1898</v>
      </c>
      <c r="F962" s="154" t="s">
        <v>87</v>
      </c>
      <c r="G962" s="154" t="s">
        <v>1402</v>
      </c>
      <c r="H962" s="154" t="s">
        <v>222</v>
      </c>
      <c r="I962" s="154" t="s">
        <v>111</v>
      </c>
      <c r="J962" s="154" t="s">
        <v>90</v>
      </c>
      <c r="K962" s="154" t="s">
        <v>91</v>
      </c>
      <c r="L962" s="154" t="s">
        <v>1897</v>
      </c>
      <c r="M962" s="154" t="s">
        <v>1383</v>
      </c>
      <c r="N962" s="154" t="s">
        <v>61</v>
      </c>
      <c r="O962" s="154" t="s">
        <v>62</v>
      </c>
      <c r="P962" s="146">
        <v>1.46</v>
      </c>
      <c r="Q962" s="146">
        <v>0</v>
      </c>
      <c r="R962" s="154" t="s">
        <v>1384</v>
      </c>
      <c r="S962" s="154" t="s">
        <v>1899</v>
      </c>
      <c r="T962" s="155" t="s">
        <v>1899</v>
      </c>
      <c r="U962" s="155" t="s">
        <v>1899</v>
      </c>
      <c r="V962" s="154" t="s">
        <v>1562</v>
      </c>
      <c r="W962" s="154">
        <v>0</v>
      </c>
      <c r="X962" s="154" t="s">
        <v>63</v>
      </c>
      <c r="Y962" s="154" t="s">
        <v>1900</v>
      </c>
      <c r="Z962" s="154"/>
      <c r="AA962" s="154" t="s">
        <v>1387</v>
      </c>
      <c r="AB962" s="154">
        <v>0</v>
      </c>
      <c r="AC962" s="138">
        <f>IFERROR(IF(DATEDIF(#REF!,U962,"m")&lt;=1,1,IF(AND(DATEDIF(#REF!,U962,"m")&gt;1,DATEDIF(#REF!,U962,"m")&lt;12),2,IF(AND(DATEDIF(#REF!,U962,"m")&gt;=12,DATEDIF(#REF!,U962,"m")&lt;24),3,IF(DATEDIF(#REF!,U962,"m")&gt;=24,4,"")))),IF(E962="r0320 - Deposits, not covered and not preferential",1,4))</f>
        <v>4</v>
      </c>
    </row>
    <row r="963" spans="3:29" ht="36.75" thickBot="1" x14ac:dyDescent="0.3">
      <c r="C963" s="11">
        <v>999</v>
      </c>
      <c r="D963" s="154">
        <v>956</v>
      </c>
      <c r="E963" s="154" t="s">
        <v>1898</v>
      </c>
      <c r="F963" s="154" t="s">
        <v>87</v>
      </c>
      <c r="G963" s="154" t="s">
        <v>1402</v>
      </c>
      <c r="H963" s="154" t="s">
        <v>481</v>
      </c>
      <c r="I963" s="154" t="s">
        <v>96</v>
      </c>
      <c r="J963" s="154" t="s">
        <v>97</v>
      </c>
      <c r="K963" s="154" t="s">
        <v>91</v>
      </c>
      <c r="L963" s="154" t="s">
        <v>1897</v>
      </c>
      <c r="M963" s="154" t="s">
        <v>1383</v>
      </c>
      <c r="N963" s="154" t="s">
        <v>61</v>
      </c>
      <c r="O963" s="154" t="s">
        <v>62</v>
      </c>
      <c r="P963" s="146">
        <v>5.33</v>
      </c>
      <c r="Q963" s="146">
        <v>0</v>
      </c>
      <c r="R963" s="154" t="s">
        <v>1384</v>
      </c>
      <c r="S963" s="154" t="s">
        <v>1899</v>
      </c>
      <c r="T963" s="155" t="s">
        <v>1899</v>
      </c>
      <c r="U963" s="155" t="s">
        <v>1899</v>
      </c>
      <c r="V963" s="154" t="s">
        <v>1562</v>
      </c>
      <c r="W963" s="154">
        <v>0</v>
      </c>
      <c r="X963" s="154" t="s">
        <v>63</v>
      </c>
      <c r="Y963" s="154" t="s">
        <v>1900</v>
      </c>
      <c r="Z963" s="154"/>
      <c r="AA963" s="154" t="s">
        <v>1387</v>
      </c>
      <c r="AB963" s="154">
        <v>0</v>
      </c>
      <c r="AC963" s="138">
        <f>IFERROR(IF(DATEDIF(#REF!,U963,"m")&lt;=1,1,IF(AND(DATEDIF(#REF!,U963,"m")&gt;1,DATEDIF(#REF!,U963,"m")&lt;12),2,IF(AND(DATEDIF(#REF!,U963,"m")&gt;=12,DATEDIF(#REF!,U963,"m")&lt;24),3,IF(DATEDIF(#REF!,U963,"m")&gt;=24,4,"")))),IF(E963="r0320 - Deposits, not covered and not preferential",1,4))</f>
        <v>4</v>
      </c>
    </row>
    <row r="964" spans="3:29" ht="36.75" thickBot="1" x14ac:dyDescent="0.3">
      <c r="C964" s="11">
        <v>999</v>
      </c>
      <c r="D964" s="154">
        <v>957</v>
      </c>
      <c r="E964" s="154" t="s">
        <v>1898</v>
      </c>
      <c r="F964" s="154" t="s">
        <v>87</v>
      </c>
      <c r="G964" s="154" t="s">
        <v>1402</v>
      </c>
      <c r="H964" s="154" t="s">
        <v>553</v>
      </c>
      <c r="I964" s="154" t="s">
        <v>111</v>
      </c>
      <c r="J964" s="154" t="s">
        <v>90</v>
      </c>
      <c r="K964" s="154" t="s">
        <v>91</v>
      </c>
      <c r="L964" s="154" t="s">
        <v>1897</v>
      </c>
      <c r="M964" s="154" t="s">
        <v>1383</v>
      </c>
      <c r="N964" s="154" t="s">
        <v>61</v>
      </c>
      <c r="O964" s="154" t="s">
        <v>62</v>
      </c>
      <c r="P964" s="146">
        <v>0.31</v>
      </c>
      <c r="Q964" s="146">
        <v>0</v>
      </c>
      <c r="R964" s="154" t="s">
        <v>1384</v>
      </c>
      <c r="S964" s="154" t="s">
        <v>1899</v>
      </c>
      <c r="T964" s="155" t="s">
        <v>1899</v>
      </c>
      <c r="U964" s="155" t="s">
        <v>1899</v>
      </c>
      <c r="V964" s="154" t="s">
        <v>1562</v>
      </c>
      <c r="W964" s="154">
        <v>0</v>
      </c>
      <c r="X964" s="154" t="s">
        <v>63</v>
      </c>
      <c r="Y964" s="154" t="s">
        <v>1900</v>
      </c>
      <c r="Z964" s="154"/>
      <c r="AA964" s="154" t="s">
        <v>1387</v>
      </c>
      <c r="AB964" s="154">
        <v>0</v>
      </c>
      <c r="AC964" s="138">
        <f>IFERROR(IF(DATEDIF(#REF!,U964,"m")&lt;=1,1,IF(AND(DATEDIF(#REF!,U964,"m")&gt;1,DATEDIF(#REF!,U964,"m")&lt;12),2,IF(AND(DATEDIF(#REF!,U964,"m")&gt;=12,DATEDIF(#REF!,U964,"m")&lt;24),3,IF(DATEDIF(#REF!,U964,"m")&gt;=24,4,"")))),IF(E964="r0320 - Deposits, not covered and not preferential",1,4))</f>
        <v>4</v>
      </c>
    </row>
    <row r="965" spans="3:29" ht="36.75" thickBot="1" x14ac:dyDescent="0.3">
      <c r="C965" s="11">
        <v>999</v>
      </c>
      <c r="D965" s="154">
        <v>958</v>
      </c>
      <c r="E965" s="154" t="s">
        <v>1898</v>
      </c>
      <c r="F965" s="154" t="s">
        <v>87</v>
      </c>
      <c r="G965" s="154" t="s">
        <v>1402</v>
      </c>
      <c r="H965" s="154" t="s">
        <v>561</v>
      </c>
      <c r="I965" s="154" t="s">
        <v>89</v>
      </c>
      <c r="J965" s="154" t="s">
        <v>90</v>
      </c>
      <c r="K965" s="154" t="s">
        <v>91</v>
      </c>
      <c r="L965" s="154" t="s">
        <v>1901</v>
      </c>
      <c r="M965" s="154" t="s">
        <v>1383</v>
      </c>
      <c r="N965" s="154" t="s">
        <v>61</v>
      </c>
      <c r="O965" s="154" t="s">
        <v>62</v>
      </c>
      <c r="P965" s="146">
        <v>0.33</v>
      </c>
      <c r="Q965" s="146">
        <v>0</v>
      </c>
      <c r="R965" s="154" t="s">
        <v>1384</v>
      </c>
      <c r="S965" s="154" t="s">
        <v>1899</v>
      </c>
      <c r="T965" s="155" t="s">
        <v>1899</v>
      </c>
      <c r="U965" s="155" t="s">
        <v>1899</v>
      </c>
      <c r="V965" s="154" t="s">
        <v>1562</v>
      </c>
      <c r="W965" s="154">
        <v>0</v>
      </c>
      <c r="X965" s="154" t="s">
        <v>63</v>
      </c>
      <c r="Y965" s="154" t="s">
        <v>1900</v>
      </c>
      <c r="Z965" s="154"/>
      <c r="AA965" s="154" t="s">
        <v>1387</v>
      </c>
      <c r="AB965" s="154">
        <v>0</v>
      </c>
      <c r="AC965" s="138">
        <f>IFERROR(IF(DATEDIF(#REF!,U965,"m")&lt;=1,1,IF(AND(DATEDIF(#REF!,U965,"m")&gt;1,DATEDIF(#REF!,U965,"m")&lt;12),2,IF(AND(DATEDIF(#REF!,U965,"m")&gt;=12,DATEDIF(#REF!,U965,"m")&lt;24),3,IF(DATEDIF(#REF!,U965,"m")&gt;=24,4,"")))),IF(E965="r0320 - Deposits, not covered and not preferential",1,4))</f>
        <v>4</v>
      </c>
    </row>
    <row r="966" spans="3:29" ht="36.75" thickBot="1" x14ac:dyDescent="0.3">
      <c r="C966" s="11">
        <v>999</v>
      </c>
      <c r="D966" s="154">
        <v>959</v>
      </c>
      <c r="E966" s="154" t="s">
        <v>1898</v>
      </c>
      <c r="F966" s="154" t="s">
        <v>87</v>
      </c>
      <c r="G966" s="154" t="s">
        <v>1402</v>
      </c>
      <c r="H966" s="154" t="s">
        <v>347</v>
      </c>
      <c r="I966" s="154" t="s">
        <v>111</v>
      </c>
      <c r="J966" s="154" t="s">
        <v>90</v>
      </c>
      <c r="K966" s="154" t="s">
        <v>91</v>
      </c>
      <c r="L966" s="154" t="s">
        <v>1897</v>
      </c>
      <c r="M966" s="154" t="s">
        <v>1383</v>
      </c>
      <c r="N966" s="154" t="s">
        <v>61</v>
      </c>
      <c r="O966" s="154" t="s">
        <v>62</v>
      </c>
      <c r="P966" s="146">
        <v>1.02</v>
      </c>
      <c r="Q966" s="146">
        <v>0</v>
      </c>
      <c r="R966" s="154" t="s">
        <v>1384</v>
      </c>
      <c r="S966" s="154" t="s">
        <v>1899</v>
      </c>
      <c r="T966" s="155" t="s">
        <v>1899</v>
      </c>
      <c r="U966" s="155" t="s">
        <v>1899</v>
      </c>
      <c r="V966" s="154" t="s">
        <v>1562</v>
      </c>
      <c r="W966" s="154">
        <v>0</v>
      </c>
      <c r="X966" s="154" t="s">
        <v>63</v>
      </c>
      <c r="Y966" s="154" t="s">
        <v>1900</v>
      </c>
      <c r="Z966" s="154"/>
      <c r="AA966" s="154" t="s">
        <v>1387</v>
      </c>
      <c r="AB966" s="154">
        <v>0</v>
      </c>
      <c r="AC966" s="138">
        <f>IFERROR(IF(DATEDIF(#REF!,U966,"m")&lt;=1,1,IF(AND(DATEDIF(#REF!,U966,"m")&gt;1,DATEDIF(#REF!,U966,"m")&lt;12),2,IF(AND(DATEDIF(#REF!,U966,"m")&gt;=12,DATEDIF(#REF!,U966,"m")&lt;24),3,IF(DATEDIF(#REF!,U966,"m")&gt;=24,4,"")))),IF(E966="r0320 - Deposits, not covered and not preferential",1,4))</f>
        <v>4</v>
      </c>
    </row>
    <row r="967" spans="3:29" ht="48.75" thickBot="1" x14ac:dyDescent="0.3">
      <c r="C967" s="11">
        <v>999</v>
      </c>
      <c r="D967" s="154">
        <v>960</v>
      </c>
      <c r="E967" s="154" t="s">
        <v>1902</v>
      </c>
      <c r="F967" s="154" t="s">
        <v>83</v>
      </c>
      <c r="G967" s="154" t="s">
        <v>1903</v>
      </c>
      <c r="H967" s="154" t="s">
        <v>538</v>
      </c>
      <c r="I967" s="154" t="s">
        <v>101</v>
      </c>
      <c r="J967" s="154" t="s">
        <v>102</v>
      </c>
      <c r="K967" s="154" t="s">
        <v>60</v>
      </c>
      <c r="L967" s="154" t="s">
        <v>1897</v>
      </c>
      <c r="M967" s="154" t="s">
        <v>1388</v>
      </c>
      <c r="N967" s="154" t="s">
        <v>61</v>
      </c>
      <c r="O967" s="154" t="s">
        <v>62</v>
      </c>
      <c r="P967" s="146">
        <v>500603.7</v>
      </c>
      <c r="Q967" s="146">
        <v>325.17</v>
      </c>
      <c r="R967" s="154" t="s">
        <v>1384</v>
      </c>
      <c r="S967" s="154" t="s">
        <v>1899</v>
      </c>
      <c r="T967" s="155" t="s">
        <v>768</v>
      </c>
      <c r="U967" s="155" t="s">
        <v>1899</v>
      </c>
      <c r="V967" s="154" t="s">
        <v>1904</v>
      </c>
      <c r="W967" s="154">
        <v>0</v>
      </c>
      <c r="X967" s="154" t="s">
        <v>63</v>
      </c>
      <c r="Y967" s="154" t="s">
        <v>1386</v>
      </c>
      <c r="Z967" s="154"/>
      <c r="AA967" s="154" t="s">
        <v>1387</v>
      </c>
      <c r="AB967" s="154">
        <v>0</v>
      </c>
      <c r="AC967" s="138">
        <f>IFERROR(IF(DATEDIF(#REF!,U967,"m")&lt;=1,1,IF(AND(DATEDIF(#REF!,U967,"m")&gt;1,DATEDIF(#REF!,U967,"m")&lt;12),2,IF(AND(DATEDIF(#REF!,U967,"m")&gt;=12,DATEDIF(#REF!,U967,"m")&lt;24),3,IF(DATEDIF(#REF!,U967,"m")&gt;=24,4,"")))),IF(E967="r0320 - Deposits, not covered and not preferential",1,4))</f>
        <v>4</v>
      </c>
    </row>
    <row r="968" spans="3:29" ht="36.75" thickBot="1" x14ac:dyDescent="0.3">
      <c r="C968" s="11">
        <v>999</v>
      </c>
      <c r="D968" s="154">
        <v>961</v>
      </c>
      <c r="E968" s="154" t="s">
        <v>1898</v>
      </c>
      <c r="F968" s="154" t="s">
        <v>87</v>
      </c>
      <c r="G968" s="154" t="s">
        <v>1402</v>
      </c>
      <c r="H968" s="154" t="s">
        <v>555</v>
      </c>
      <c r="I968" s="154" t="s">
        <v>111</v>
      </c>
      <c r="J968" s="154" t="s">
        <v>90</v>
      </c>
      <c r="K968" s="154" t="s">
        <v>91</v>
      </c>
      <c r="L968" s="154" t="s">
        <v>1897</v>
      </c>
      <c r="M968" s="154" t="s">
        <v>1383</v>
      </c>
      <c r="N968" s="154" t="s">
        <v>61</v>
      </c>
      <c r="O968" s="154" t="s">
        <v>62</v>
      </c>
      <c r="P968" s="146">
        <v>0.13</v>
      </c>
      <c r="Q968" s="146">
        <v>0</v>
      </c>
      <c r="R968" s="154" t="s">
        <v>1384</v>
      </c>
      <c r="S968" s="154" t="s">
        <v>1899</v>
      </c>
      <c r="T968" s="155" t="s">
        <v>1899</v>
      </c>
      <c r="U968" s="155" t="s">
        <v>1899</v>
      </c>
      <c r="V968" s="154" t="s">
        <v>1562</v>
      </c>
      <c r="W968" s="154">
        <v>0</v>
      </c>
      <c r="X968" s="154" t="s">
        <v>63</v>
      </c>
      <c r="Y968" s="154" t="s">
        <v>1900</v>
      </c>
      <c r="Z968" s="154"/>
      <c r="AA968" s="154" t="s">
        <v>1387</v>
      </c>
      <c r="AB968" s="154">
        <v>0</v>
      </c>
      <c r="AC968" s="138">
        <f>IFERROR(IF(DATEDIF(#REF!,U968,"m")&lt;=1,1,IF(AND(DATEDIF(#REF!,U968,"m")&gt;1,DATEDIF(#REF!,U968,"m")&lt;12),2,IF(AND(DATEDIF(#REF!,U968,"m")&gt;=12,DATEDIF(#REF!,U968,"m")&lt;24),3,IF(DATEDIF(#REF!,U968,"m")&gt;=24,4,"")))),IF(E968="r0320 - Deposits, not covered and not preferential",1,4))</f>
        <v>4</v>
      </c>
    </row>
    <row r="969" spans="3:29" ht="48.75" thickBot="1" x14ac:dyDescent="0.3">
      <c r="C969" s="11">
        <v>999</v>
      </c>
      <c r="D969" s="154">
        <v>962</v>
      </c>
      <c r="E969" s="154" t="s">
        <v>1902</v>
      </c>
      <c r="F969" s="154" t="s">
        <v>83</v>
      </c>
      <c r="G969" s="154" t="s">
        <v>1903</v>
      </c>
      <c r="H969" s="154" t="s">
        <v>166</v>
      </c>
      <c r="I969" s="154" t="s">
        <v>101</v>
      </c>
      <c r="J969" s="154" t="s">
        <v>102</v>
      </c>
      <c r="K969" s="154" t="s">
        <v>60</v>
      </c>
      <c r="L969" s="154" t="s">
        <v>1897</v>
      </c>
      <c r="M969" s="154" t="s">
        <v>1388</v>
      </c>
      <c r="N969" s="154" t="s">
        <v>61</v>
      </c>
      <c r="O969" s="154" t="s">
        <v>62</v>
      </c>
      <c r="P969" s="146">
        <v>955470.74</v>
      </c>
      <c r="Q969" s="146">
        <v>381.23</v>
      </c>
      <c r="R969" s="154" t="s">
        <v>1384</v>
      </c>
      <c r="S969" s="154" t="s">
        <v>1899</v>
      </c>
      <c r="T969" s="155" t="s">
        <v>768</v>
      </c>
      <c r="U969" s="155" t="s">
        <v>1899</v>
      </c>
      <c r="V969" s="154" t="s">
        <v>1904</v>
      </c>
      <c r="W969" s="154">
        <v>0</v>
      </c>
      <c r="X969" s="154" t="s">
        <v>63</v>
      </c>
      <c r="Y969" s="154" t="s">
        <v>1386</v>
      </c>
      <c r="Z969" s="154"/>
      <c r="AA969" s="154" t="s">
        <v>1387</v>
      </c>
      <c r="AB969" s="154">
        <v>0</v>
      </c>
      <c r="AC969" s="138">
        <f>IFERROR(IF(DATEDIF(#REF!,U969,"m")&lt;=1,1,IF(AND(DATEDIF(#REF!,U969,"m")&gt;1,DATEDIF(#REF!,U969,"m")&lt;12),2,IF(AND(DATEDIF(#REF!,U969,"m")&gt;=12,DATEDIF(#REF!,U969,"m")&lt;24),3,IF(DATEDIF(#REF!,U969,"m")&gt;=24,4,"")))),IF(E969="r0320 - Deposits, not covered and not preferential",1,4))</f>
        <v>4</v>
      </c>
    </row>
    <row r="970" spans="3:29" ht="36.75" thickBot="1" x14ac:dyDescent="0.3">
      <c r="C970" s="11">
        <v>999</v>
      </c>
      <c r="D970" s="154">
        <v>963</v>
      </c>
      <c r="E970" s="154" t="s">
        <v>1898</v>
      </c>
      <c r="F970" s="154" t="s">
        <v>87</v>
      </c>
      <c r="G970" s="154" t="s">
        <v>1402</v>
      </c>
      <c r="H970" s="154" t="s">
        <v>110</v>
      </c>
      <c r="I970" s="154" t="s">
        <v>111</v>
      </c>
      <c r="J970" s="154" t="s">
        <v>90</v>
      </c>
      <c r="K970" s="154" t="s">
        <v>91</v>
      </c>
      <c r="L970" s="154" t="s">
        <v>1897</v>
      </c>
      <c r="M970" s="154" t="s">
        <v>1383</v>
      </c>
      <c r="N970" s="154" t="s">
        <v>61</v>
      </c>
      <c r="O970" s="154" t="s">
        <v>62</v>
      </c>
      <c r="P970" s="146">
        <v>0.57999999999999996</v>
      </c>
      <c r="Q970" s="146">
        <v>0</v>
      </c>
      <c r="R970" s="154" t="s">
        <v>1384</v>
      </c>
      <c r="S970" s="154" t="s">
        <v>1899</v>
      </c>
      <c r="T970" s="155" t="s">
        <v>1899</v>
      </c>
      <c r="U970" s="155" t="s">
        <v>1899</v>
      </c>
      <c r="V970" s="154" t="s">
        <v>1562</v>
      </c>
      <c r="W970" s="154">
        <v>0</v>
      </c>
      <c r="X970" s="154" t="s">
        <v>63</v>
      </c>
      <c r="Y970" s="154" t="s">
        <v>1900</v>
      </c>
      <c r="Z970" s="154"/>
      <c r="AA970" s="154" t="s">
        <v>1387</v>
      </c>
      <c r="AB970" s="154">
        <v>0</v>
      </c>
      <c r="AC970" s="138">
        <f>IFERROR(IF(DATEDIF(#REF!,U970,"m")&lt;=1,1,IF(AND(DATEDIF(#REF!,U970,"m")&gt;1,DATEDIF(#REF!,U970,"m")&lt;12),2,IF(AND(DATEDIF(#REF!,U970,"m")&gt;=12,DATEDIF(#REF!,U970,"m")&lt;24),3,IF(DATEDIF(#REF!,U970,"m")&gt;=24,4,"")))),IF(E970="r0320 - Deposits, not covered and not preferential",1,4))</f>
        <v>4</v>
      </c>
    </row>
    <row r="971" spans="3:29" ht="36.75" thickBot="1" x14ac:dyDescent="0.3">
      <c r="C971" s="11">
        <v>999</v>
      </c>
      <c r="D971" s="154">
        <v>964</v>
      </c>
      <c r="E971" s="154" t="s">
        <v>1898</v>
      </c>
      <c r="F971" s="154" t="s">
        <v>87</v>
      </c>
      <c r="G971" s="154" t="s">
        <v>1402</v>
      </c>
      <c r="H971" s="154" t="s">
        <v>344</v>
      </c>
      <c r="I971" s="154" t="s">
        <v>96</v>
      </c>
      <c r="J971" s="154" t="s">
        <v>97</v>
      </c>
      <c r="K971" s="154" t="s">
        <v>91</v>
      </c>
      <c r="L971" s="154" t="s">
        <v>1897</v>
      </c>
      <c r="M971" s="154" t="s">
        <v>1383</v>
      </c>
      <c r="N971" s="154" t="s">
        <v>61</v>
      </c>
      <c r="O971" s="154" t="s">
        <v>62</v>
      </c>
      <c r="P971" s="146">
        <v>4.1100000000000003</v>
      </c>
      <c r="Q971" s="146">
        <v>0</v>
      </c>
      <c r="R971" s="154" t="s">
        <v>1384</v>
      </c>
      <c r="S971" s="154" t="s">
        <v>1899</v>
      </c>
      <c r="T971" s="155" t="s">
        <v>1899</v>
      </c>
      <c r="U971" s="155" t="s">
        <v>1899</v>
      </c>
      <c r="V971" s="154" t="s">
        <v>1562</v>
      </c>
      <c r="W971" s="154">
        <v>0</v>
      </c>
      <c r="X971" s="154" t="s">
        <v>63</v>
      </c>
      <c r="Y971" s="154" t="s">
        <v>1900</v>
      </c>
      <c r="Z971" s="154"/>
      <c r="AA971" s="154" t="s">
        <v>1387</v>
      </c>
      <c r="AB971" s="154">
        <v>0</v>
      </c>
      <c r="AC971" s="138">
        <f>IFERROR(IF(DATEDIF(#REF!,U971,"m")&lt;=1,1,IF(AND(DATEDIF(#REF!,U971,"m")&gt;1,DATEDIF(#REF!,U971,"m")&lt;12),2,IF(AND(DATEDIF(#REF!,U971,"m")&gt;=12,DATEDIF(#REF!,U971,"m")&lt;24),3,IF(DATEDIF(#REF!,U971,"m")&gt;=24,4,"")))),IF(E971="r0320 - Deposits, not covered and not preferential",1,4))</f>
        <v>4</v>
      </c>
    </row>
    <row r="972" spans="3:29" ht="36.75" thickBot="1" x14ac:dyDescent="0.3">
      <c r="C972" s="11">
        <v>999</v>
      </c>
      <c r="D972" s="154">
        <v>965</v>
      </c>
      <c r="E972" s="154" t="s">
        <v>1898</v>
      </c>
      <c r="F972" s="154" t="s">
        <v>56</v>
      </c>
      <c r="G972" s="154" t="s">
        <v>1402</v>
      </c>
      <c r="H972" s="154" t="s">
        <v>557</v>
      </c>
      <c r="I972" s="154" t="s">
        <v>72</v>
      </c>
      <c r="J972" s="154" t="s">
        <v>73</v>
      </c>
      <c r="K972" s="154" t="s">
        <v>60</v>
      </c>
      <c r="L972" s="154" t="s">
        <v>1897</v>
      </c>
      <c r="M972" s="154" t="s">
        <v>1388</v>
      </c>
      <c r="N972" s="154" t="s">
        <v>61</v>
      </c>
      <c r="O972" s="154" t="s">
        <v>62</v>
      </c>
      <c r="P972" s="146">
        <v>0.02</v>
      </c>
      <c r="Q972" s="146">
        <v>0</v>
      </c>
      <c r="R972" s="154" t="s">
        <v>1384</v>
      </c>
      <c r="S972" s="154" t="s">
        <v>1899</v>
      </c>
      <c r="T972" s="155" t="s">
        <v>1899</v>
      </c>
      <c r="U972" s="155" t="s">
        <v>1899</v>
      </c>
      <c r="V972" s="154" t="s">
        <v>1562</v>
      </c>
      <c r="W972" s="154">
        <v>0</v>
      </c>
      <c r="X972" s="154" t="s">
        <v>63</v>
      </c>
      <c r="Y972" s="154" t="s">
        <v>1900</v>
      </c>
      <c r="Z972" s="154"/>
      <c r="AA972" s="154" t="s">
        <v>1387</v>
      </c>
      <c r="AB972" s="154">
        <v>0</v>
      </c>
      <c r="AC972" s="138">
        <f>IFERROR(IF(DATEDIF(#REF!,U972,"m")&lt;=1,1,IF(AND(DATEDIF(#REF!,U972,"m")&gt;1,DATEDIF(#REF!,U972,"m")&lt;12),2,IF(AND(DATEDIF(#REF!,U972,"m")&gt;=12,DATEDIF(#REF!,U972,"m")&lt;24),3,IF(DATEDIF(#REF!,U972,"m")&gt;=24,4,"")))),IF(E972="r0320 - Deposits, not covered and not preferential",1,4))</f>
        <v>4</v>
      </c>
    </row>
    <row r="973" spans="3:29" ht="36.75" thickBot="1" x14ac:dyDescent="0.3">
      <c r="C973" s="11">
        <v>999</v>
      </c>
      <c r="D973" s="154">
        <v>966</v>
      </c>
      <c r="E973" s="154" t="s">
        <v>1898</v>
      </c>
      <c r="F973" s="154" t="s">
        <v>87</v>
      </c>
      <c r="G973" s="154" t="s">
        <v>1402</v>
      </c>
      <c r="H973" s="154" t="s">
        <v>565</v>
      </c>
      <c r="I973" s="154" t="s">
        <v>89</v>
      </c>
      <c r="J973" s="154" t="s">
        <v>90</v>
      </c>
      <c r="K973" s="154" t="s">
        <v>91</v>
      </c>
      <c r="L973" s="154" t="s">
        <v>1901</v>
      </c>
      <c r="M973" s="154" t="s">
        <v>1383</v>
      </c>
      <c r="N973" s="154" t="s">
        <v>61</v>
      </c>
      <c r="O973" s="154" t="s">
        <v>62</v>
      </c>
      <c r="P973" s="146">
        <v>0.11</v>
      </c>
      <c r="Q973" s="146">
        <v>0</v>
      </c>
      <c r="R973" s="154" t="s">
        <v>1384</v>
      </c>
      <c r="S973" s="154" t="s">
        <v>1899</v>
      </c>
      <c r="T973" s="155" t="s">
        <v>1899</v>
      </c>
      <c r="U973" s="155" t="s">
        <v>1899</v>
      </c>
      <c r="V973" s="154" t="s">
        <v>1562</v>
      </c>
      <c r="W973" s="154">
        <v>0</v>
      </c>
      <c r="X973" s="154" t="s">
        <v>63</v>
      </c>
      <c r="Y973" s="154" t="s">
        <v>1900</v>
      </c>
      <c r="Z973" s="154"/>
      <c r="AA973" s="154" t="s">
        <v>1387</v>
      </c>
      <c r="AB973" s="154">
        <v>0</v>
      </c>
      <c r="AC973" s="138">
        <f>IFERROR(IF(DATEDIF(#REF!,U973,"m")&lt;=1,1,IF(AND(DATEDIF(#REF!,U973,"m")&gt;1,DATEDIF(#REF!,U973,"m")&lt;12),2,IF(AND(DATEDIF(#REF!,U973,"m")&gt;=12,DATEDIF(#REF!,U973,"m")&lt;24),3,IF(DATEDIF(#REF!,U973,"m")&gt;=24,4,"")))),IF(E973="r0320 - Deposits, not covered and not preferential",1,4))</f>
        <v>4</v>
      </c>
    </row>
    <row r="974" spans="3:29" ht="36.75" thickBot="1" x14ac:dyDescent="0.3">
      <c r="C974" s="11">
        <v>999</v>
      </c>
      <c r="D974" s="154">
        <v>967</v>
      </c>
      <c r="E974" s="154" t="s">
        <v>1898</v>
      </c>
      <c r="F974" s="154" t="s">
        <v>87</v>
      </c>
      <c r="G974" s="154" t="s">
        <v>1402</v>
      </c>
      <c r="H974" s="154" t="s">
        <v>349</v>
      </c>
      <c r="I974" s="154" t="s">
        <v>111</v>
      </c>
      <c r="J974" s="154" t="s">
        <v>90</v>
      </c>
      <c r="K974" s="154" t="s">
        <v>91</v>
      </c>
      <c r="L974" s="154" t="s">
        <v>1897</v>
      </c>
      <c r="M974" s="154" t="s">
        <v>1383</v>
      </c>
      <c r="N974" s="154" t="s">
        <v>61</v>
      </c>
      <c r="O974" s="154" t="s">
        <v>62</v>
      </c>
      <c r="P974" s="146">
        <v>0.32</v>
      </c>
      <c r="Q974" s="146">
        <v>0</v>
      </c>
      <c r="R974" s="154" t="s">
        <v>1384</v>
      </c>
      <c r="S974" s="154" t="s">
        <v>1899</v>
      </c>
      <c r="T974" s="155" t="s">
        <v>1899</v>
      </c>
      <c r="U974" s="155" t="s">
        <v>1899</v>
      </c>
      <c r="V974" s="154" t="s">
        <v>1562</v>
      </c>
      <c r="W974" s="154">
        <v>0</v>
      </c>
      <c r="X974" s="154" t="s">
        <v>63</v>
      </c>
      <c r="Y974" s="154" t="s">
        <v>1900</v>
      </c>
      <c r="Z974" s="154"/>
      <c r="AA974" s="154" t="s">
        <v>1387</v>
      </c>
      <c r="AB974" s="154">
        <v>0</v>
      </c>
      <c r="AC974" s="138">
        <f>IFERROR(IF(DATEDIF(#REF!,U974,"m")&lt;=1,1,IF(AND(DATEDIF(#REF!,U974,"m")&gt;1,DATEDIF(#REF!,U974,"m")&lt;12),2,IF(AND(DATEDIF(#REF!,U974,"m")&gt;=12,DATEDIF(#REF!,U974,"m")&lt;24),3,IF(DATEDIF(#REF!,U974,"m")&gt;=24,4,"")))),IF(E974="r0320 - Deposits, not covered and not preferential",1,4))</f>
        <v>4</v>
      </c>
    </row>
    <row r="975" spans="3:29" ht="36.75" thickBot="1" x14ac:dyDescent="0.3">
      <c r="C975" s="11">
        <v>999</v>
      </c>
      <c r="D975" s="154">
        <v>968</v>
      </c>
      <c r="E975" s="154" t="s">
        <v>1898</v>
      </c>
      <c r="F975" s="154" t="s">
        <v>87</v>
      </c>
      <c r="G975" s="154" t="s">
        <v>1402</v>
      </c>
      <c r="H975" s="154" t="s">
        <v>562</v>
      </c>
      <c r="I975" s="154" t="s">
        <v>99</v>
      </c>
      <c r="J975" s="154" t="s">
        <v>90</v>
      </c>
      <c r="K975" s="154" t="s">
        <v>91</v>
      </c>
      <c r="L975" s="154" t="s">
        <v>1897</v>
      </c>
      <c r="M975" s="154" t="s">
        <v>1383</v>
      </c>
      <c r="N975" s="154" t="s">
        <v>61</v>
      </c>
      <c r="O975" s="154" t="s">
        <v>62</v>
      </c>
      <c r="P975" s="146">
        <v>0.73</v>
      </c>
      <c r="Q975" s="146">
        <v>0</v>
      </c>
      <c r="R975" s="154" t="s">
        <v>1384</v>
      </c>
      <c r="S975" s="154" t="s">
        <v>1899</v>
      </c>
      <c r="T975" s="155" t="s">
        <v>1899</v>
      </c>
      <c r="U975" s="155" t="s">
        <v>1899</v>
      </c>
      <c r="V975" s="154" t="s">
        <v>1562</v>
      </c>
      <c r="W975" s="154">
        <v>0</v>
      </c>
      <c r="X975" s="154" t="s">
        <v>63</v>
      </c>
      <c r="Y975" s="154" t="s">
        <v>1900</v>
      </c>
      <c r="Z975" s="154"/>
      <c r="AA975" s="154" t="s">
        <v>1387</v>
      </c>
      <c r="AB975" s="154">
        <v>0</v>
      </c>
      <c r="AC975" s="138">
        <f>IFERROR(IF(DATEDIF(#REF!,U975,"m")&lt;=1,1,IF(AND(DATEDIF(#REF!,U975,"m")&gt;1,DATEDIF(#REF!,U975,"m")&lt;12),2,IF(AND(DATEDIF(#REF!,U975,"m")&gt;=12,DATEDIF(#REF!,U975,"m")&lt;24),3,IF(DATEDIF(#REF!,U975,"m")&gt;=24,4,"")))),IF(E975="r0320 - Deposits, not covered and not preferential",1,4))</f>
        <v>4</v>
      </c>
    </row>
    <row r="976" spans="3:29" ht="48.75" thickBot="1" x14ac:dyDescent="0.3">
      <c r="C976" s="11">
        <v>999</v>
      </c>
      <c r="D976" s="154">
        <v>969</v>
      </c>
      <c r="E976" s="154" t="s">
        <v>1902</v>
      </c>
      <c r="F976" s="154" t="s">
        <v>83</v>
      </c>
      <c r="G976" s="154" t="s">
        <v>1903</v>
      </c>
      <c r="H976" s="154" t="s">
        <v>224</v>
      </c>
      <c r="I976" s="154" t="s">
        <v>93</v>
      </c>
      <c r="J976" s="154" t="s">
        <v>94</v>
      </c>
      <c r="K976" s="154" t="s">
        <v>60</v>
      </c>
      <c r="L976" s="154" t="s">
        <v>1897</v>
      </c>
      <c r="M976" s="154" t="s">
        <v>1388</v>
      </c>
      <c r="N976" s="154" t="s">
        <v>61</v>
      </c>
      <c r="O976" s="154" t="s">
        <v>62</v>
      </c>
      <c r="P976" s="146">
        <v>13126295.439999999</v>
      </c>
      <c r="Q976" s="146">
        <v>6007.3800000000101</v>
      </c>
      <c r="R976" s="154" t="s">
        <v>1384</v>
      </c>
      <c r="S976" s="154" t="s">
        <v>1899</v>
      </c>
      <c r="T976" s="155" t="s">
        <v>768</v>
      </c>
      <c r="U976" s="155" t="s">
        <v>1899</v>
      </c>
      <c r="V976" s="154" t="s">
        <v>1904</v>
      </c>
      <c r="W976" s="154">
        <v>0</v>
      </c>
      <c r="X976" s="154" t="s">
        <v>63</v>
      </c>
      <c r="Y976" s="154" t="s">
        <v>1386</v>
      </c>
      <c r="Z976" s="154"/>
      <c r="AA976" s="154" t="s">
        <v>1387</v>
      </c>
      <c r="AB976" s="154">
        <v>0</v>
      </c>
      <c r="AC976" s="138">
        <f>IFERROR(IF(DATEDIF(#REF!,U976,"m")&lt;=1,1,IF(AND(DATEDIF(#REF!,U976,"m")&gt;1,DATEDIF(#REF!,U976,"m")&lt;12),2,IF(AND(DATEDIF(#REF!,U976,"m")&gt;=12,DATEDIF(#REF!,U976,"m")&lt;24),3,IF(DATEDIF(#REF!,U976,"m")&gt;=24,4,"")))),IF(E976="r0320 - Deposits, not covered and not preferential",1,4))</f>
        <v>4</v>
      </c>
    </row>
    <row r="977" spans="3:29" ht="36.75" thickBot="1" x14ac:dyDescent="0.3">
      <c r="C977" s="11">
        <v>999</v>
      </c>
      <c r="D977" s="154">
        <v>970</v>
      </c>
      <c r="E977" s="154" t="s">
        <v>1898</v>
      </c>
      <c r="F977" s="154" t="s">
        <v>87</v>
      </c>
      <c r="G977" s="154" t="s">
        <v>1402</v>
      </c>
      <c r="H977" s="154" t="s">
        <v>1140</v>
      </c>
      <c r="I977" s="154" t="s">
        <v>89</v>
      </c>
      <c r="J977" s="154" t="s">
        <v>90</v>
      </c>
      <c r="K977" s="154" t="s">
        <v>91</v>
      </c>
      <c r="L977" s="154" t="s">
        <v>1901</v>
      </c>
      <c r="M977" s="154" t="s">
        <v>1383</v>
      </c>
      <c r="N977" s="154" t="s">
        <v>61</v>
      </c>
      <c r="O977" s="154" t="s">
        <v>62</v>
      </c>
      <c r="P977" s="146">
        <v>0.09</v>
      </c>
      <c r="Q977" s="146">
        <v>0</v>
      </c>
      <c r="R977" s="154" t="s">
        <v>1384</v>
      </c>
      <c r="S977" s="154" t="s">
        <v>1899</v>
      </c>
      <c r="T977" s="155" t="s">
        <v>1899</v>
      </c>
      <c r="U977" s="155" t="s">
        <v>1899</v>
      </c>
      <c r="V977" s="154" t="s">
        <v>1562</v>
      </c>
      <c r="W977" s="154">
        <v>0</v>
      </c>
      <c r="X977" s="154" t="s">
        <v>63</v>
      </c>
      <c r="Y977" s="154" t="s">
        <v>1900</v>
      </c>
      <c r="Z977" s="154"/>
      <c r="AA977" s="154" t="s">
        <v>1387</v>
      </c>
      <c r="AB977" s="154">
        <v>0</v>
      </c>
      <c r="AC977" s="138">
        <f>IFERROR(IF(DATEDIF(#REF!,U977,"m")&lt;=1,1,IF(AND(DATEDIF(#REF!,U977,"m")&gt;1,DATEDIF(#REF!,U977,"m")&lt;12),2,IF(AND(DATEDIF(#REF!,U977,"m")&gt;=12,DATEDIF(#REF!,U977,"m")&lt;24),3,IF(DATEDIF(#REF!,U977,"m")&gt;=24,4,"")))),IF(E977="r0320 - Deposits, not covered and not preferential",1,4))</f>
        <v>4</v>
      </c>
    </row>
    <row r="978" spans="3:29" ht="48.75" thickBot="1" x14ac:dyDescent="0.3">
      <c r="C978" s="11">
        <v>999</v>
      </c>
      <c r="D978" s="154">
        <v>971</v>
      </c>
      <c r="E978" s="154" t="s">
        <v>1902</v>
      </c>
      <c r="F978" s="154" t="s">
        <v>83</v>
      </c>
      <c r="G978" s="154" t="s">
        <v>1903</v>
      </c>
      <c r="H978" s="154" t="s">
        <v>224</v>
      </c>
      <c r="I978" s="154" t="s">
        <v>114</v>
      </c>
      <c r="J978" s="154" t="s">
        <v>115</v>
      </c>
      <c r="K978" s="154" t="s">
        <v>60</v>
      </c>
      <c r="L978" s="154" t="s">
        <v>1897</v>
      </c>
      <c r="M978" s="154" t="s">
        <v>1388</v>
      </c>
      <c r="N978" s="154" t="s">
        <v>61</v>
      </c>
      <c r="O978" s="154" t="s">
        <v>62</v>
      </c>
      <c r="P978" s="146">
        <v>3421273.79</v>
      </c>
      <c r="Q978" s="146">
        <v>1178.06</v>
      </c>
      <c r="R978" s="154" t="s">
        <v>1384</v>
      </c>
      <c r="S978" s="154" t="s">
        <v>1899</v>
      </c>
      <c r="T978" s="155" t="s">
        <v>768</v>
      </c>
      <c r="U978" s="155" t="s">
        <v>1899</v>
      </c>
      <c r="V978" s="154" t="s">
        <v>1904</v>
      </c>
      <c r="W978" s="154">
        <v>0</v>
      </c>
      <c r="X978" s="154" t="s">
        <v>63</v>
      </c>
      <c r="Y978" s="154" t="s">
        <v>1386</v>
      </c>
      <c r="Z978" s="154"/>
      <c r="AA978" s="154" t="s">
        <v>1387</v>
      </c>
      <c r="AB978" s="154">
        <v>0</v>
      </c>
      <c r="AC978" s="138">
        <f>IFERROR(IF(DATEDIF(#REF!,U978,"m")&lt;=1,1,IF(AND(DATEDIF(#REF!,U978,"m")&gt;1,DATEDIF(#REF!,U978,"m")&lt;12),2,IF(AND(DATEDIF(#REF!,U978,"m")&gt;=12,DATEDIF(#REF!,U978,"m")&lt;24),3,IF(DATEDIF(#REF!,U978,"m")&gt;=24,4,"")))),IF(E978="r0320 - Deposits, not covered and not preferential",1,4))</f>
        <v>4</v>
      </c>
    </row>
    <row r="979" spans="3:29" ht="36.75" thickBot="1" x14ac:dyDescent="0.3">
      <c r="C979" s="11">
        <v>999</v>
      </c>
      <c r="D979" s="154">
        <v>972</v>
      </c>
      <c r="E979" s="154" t="s">
        <v>1898</v>
      </c>
      <c r="F979" s="154" t="s">
        <v>87</v>
      </c>
      <c r="G979" s="154" t="s">
        <v>1402</v>
      </c>
      <c r="H979" s="154" t="s">
        <v>911</v>
      </c>
      <c r="I979" s="154" t="s">
        <v>96</v>
      </c>
      <c r="J979" s="154" t="s">
        <v>97</v>
      </c>
      <c r="K979" s="154" t="s">
        <v>91</v>
      </c>
      <c r="L979" s="154" t="s">
        <v>1897</v>
      </c>
      <c r="M979" s="154" t="s">
        <v>1383</v>
      </c>
      <c r="N979" s="154" t="s">
        <v>61</v>
      </c>
      <c r="O979" s="154" t="s">
        <v>62</v>
      </c>
      <c r="P979" s="146">
        <v>18.05</v>
      </c>
      <c r="Q979" s="146">
        <v>0</v>
      </c>
      <c r="R979" s="154" t="s">
        <v>1384</v>
      </c>
      <c r="S979" s="154" t="s">
        <v>1899</v>
      </c>
      <c r="T979" s="155" t="s">
        <v>1899</v>
      </c>
      <c r="U979" s="155" t="s">
        <v>1899</v>
      </c>
      <c r="V979" s="154" t="s">
        <v>1562</v>
      </c>
      <c r="W979" s="154">
        <v>0</v>
      </c>
      <c r="X979" s="154" t="s">
        <v>63</v>
      </c>
      <c r="Y979" s="154" t="s">
        <v>1900</v>
      </c>
      <c r="Z979" s="154"/>
      <c r="AA979" s="154" t="s">
        <v>1387</v>
      </c>
      <c r="AB979" s="154">
        <v>0</v>
      </c>
      <c r="AC979" s="138">
        <f>IFERROR(IF(DATEDIF(#REF!,U979,"m")&lt;=1,1,IF(AND(DATEDIF(#REF!,U979,"m")&gt;1,DATEDIF(#REF!,U979,"m")&lt;12),2,IF(AND(DATEDIF(#REF!,U979,"m")&gt;=12,DATEDIF(#REF!,U979,"m")&lt;24),3,IF(DATEDIF(#REF!,U979,"m")&gt;=24,4,"")))),IF(E979="r0320 - Deposits, not covered and not preferential",1,4))</f>
        <v>4</v>
      </c>
    </row>
    <row r="980" spans="3:29" ht="36.75" thickBot="1" x14ac:dyDescent="0.3">
      <c r="C980" s="11">
        <v>999</v>
      </c>
      <c r="D980" s="154">
        <v>973</v>
      </c>
      <c r="E980" s="154" t="s">
        <v>1898</v>
      </c>
      <c r="F980" s="154" t="s">
        <v>87</v>
      </c>
      <c r="G980" s="154" t="s">
        <v>1402</v>
      </c>
      <c r="H980" s="154" t="s">
        <v>560</v>
      </c>
      <c r="I980" s="154" t="s">
        <v>111</v>
      </c>
      <c r="J980" s="154" t="s">
        <v>90</v>
      </c>
      <c r="K980" s="154" t="s">
        <v>91</v>
      </c>
      <c r="L980" s="154" t="s">
        <v>1897</v>
      </c>
      <c r="M980" s="154" t="s">
        <v>1383</v>
      </c>
      <c r="N980" s="154" t="s">
        <v>61</v>
      </c>
      <c r="O980" s="154" t="s">
        <v>62</v>
      </c>
      <c r="P980" s="146">
        <v>0.43</v>
      </c>
      <c r="Q980" s="146">
        <v>0</v>
      </c>
      <c r="R980" s="154" t="s">
        <v>1384</v>
      </c>
      <c r="S980" s="154" t="s">
        <v>1899</v>
      </c>
      <c r="T980" s="155" t="s">
        <v>1899</v>
      </c>
      <c r="U980" s="155" t="s">
        <v>1899</v>
      </c>
      <c r="V980" s="154" t="s">
        <v>1562</v>
      </c>
      <c r="W980" s="154">
        <v>0</v>
      </c>
      <c r="X980" s="154" t="s">
        <v>63</v>
      </c>
      <c r="Y980" s="154" t="s">
        <v>1900</v>
      </c>
      <c r="Z980" s="154"/>
      <c r="AA980" s="154" t="s">
        <v>1387</v>
      </c>
      <c r="AB980" s="154">
        <v>0</v>
      </c>
      <c r="AC980" s="138">
        <f>IFERROR(IF(DATEDIF(#REF!,U980,"m")&lt;=1,1,IF(AND(DATEDIF(#REF!,U980,"m")&gt;1,DATEDIF(#REF!,U980,"m")&lt;12),2,IF(AND(DATEDIF(#REF!,U980,"m")&gt;=12,DATEDIF(#REF!,U980,"m")&lt;24),3,IF(DATEDIF(#REF!,U980,"m")&gt;=24,4,"")))),IF(E980="r0320 - Deposits, not covered and not preferential",1,4))</f>
        <v>4</v>
      </c>
    </row>
    <row r="981" spans="3:29" ht="36.75" thickBot="1" x14ac:dyDescent="0.3">
      <c r="C981" s="11">
        <v>999</v>
      </c>
      <c r="D981" s="154">
        <v>974</v>
      </c>
      <c r="E981" s="154" t="s">
        <v>1898</v>
      </c>
      <c r="F981" s="154" t="s">
        <v>87</v>
      </c>
      <c r="G981" s="154" t="s">
        <v>1402</v>
      </c>
      <c r="H981" s="154" t="s">
        <v>569</v>
      </c>
      <c r="I981" s="154" t="s">
        <v>99</v>
      </c>
      <c r="J981" s="154" t="s">
        <v>90</v>
      </c>
      <c r="K981" s="154" t="s">
        <v>91</v>
      </c>
      <c r="L981" s="154" t="s">
        <v>1897</v>
      </c>
      <c r="M981" s="154" t="s">
        <v>1383</v>
      </c>
      <c r="N981" s="154" t="s">
        <v>61</v>
      </c>
      <c r="O981" s="154" t="s">
        <v>62</v>
      </c>
      <c r="P981" s="146">
        <v>0.02</v>
      </c>
      <c r="Q981" s="146">
        <v>0</v>
      </c>
      <c r="R981" s="154" t="s">
        <v>1384</v>
      </c>
      <c r="S981" s="154" t="s">
        <v>1899</v>
      </c>
      <c r="T981" s="155" t="s">
        <v>1899</v>
      </c>
      <c r="U981" s="155" t="s">
        <v>1899</v>
      </c>
      <c r="V981" s="154" t="s">
        <v>1562</v>
      </c>
      <c r="W981" s="154">
        <v>0</v>
      </c>
      <c r="X981" s="154" t="s">
        <v>63</v>
      </c>
      <c r="Y981" s="154" t="s">
        <v>1900</v>
      </c>
      <c r="Z981" s="154"/>
      <c r="AA981" s="154" t="s">
        <v>1387</v>
      </c>
      <c r="AB981" s="154">
        <v>0</v>
      </c>
      <c r="AC981" s="138">
        <f>IFERROR(IF(DATEDIF(#REF!,U981,"m")&lt;=1,1,IF(AND(DATEDIF(#REF!,U981,"m")&gt;1,DATEDIF(#REF!,U981,"m")&lt;12),2,IF(AND(DATEDIF(#REF!,U981,"m")&gt;=12,DATEDIF(#REF!,U981,"m")&lt;24),3,IF(DATEDIF(#REF!,U981,"m")&gt;=24,4,"")))),IF(E981="r0320 - Deposits, not covered and not preferential",1,4))</f>
        <v>4</v>
      </c>
    </row>
    <row r="982" spans="3:29" ht="36.75" thickBot="1" x14ac:dyDescent="0.3">
      <c r="C982" s="11">
        <v>999</v>
      </c>
      <c r="D982" s="154">
        <v>975</v>
      </c>
      <c r="E982" s="154" t="s">
        <v>1898</v>
      </c>
      <c r="F982" s="154" t="s">
        <v>87</v>
      </c>
      <c r="G982" s="154" t="s">
        <v>1402</v>
      </c>
      <c r="H982" s="154" t="s">
        <v>351</v>
      </c>
      <c r="I982" s="154" t="s">
        <v>99</v>
      </c>
      <c r="J982" s="154" t="s">
        <v>90</v>
      </c>
      <c r="K982" s="154" t="s">
        <v>91</v>
      </c>
      <c r="L982" s="154" t="s">
        <v>1897</v>
      </c>
      <c r="M982" s="154" t="s">
        <v>1383</v>
      </c>
      <c r="N982" s="154" t="s">
        <v>61</v>
      </c>
      <c r="O982" s="154" t="s">
        <v>62</v>
      </c>
      <c r="P982" s="146">
        <v>0.14000000000000001</v>
      </c>
      <c r="Q982" s="146">
        <v>0</v>
      </c>
      <c r="R982" s="154" t="s">
        <v>1384</v>
      </c>
      <c r="S982" s="154" t="s">
        <v>1899</v>
      </c>
      <c r="T982" s="155" t="s">
        <v>1899</v>
      </c>
      <c r="U982" s="155" t="s">
        <v>1899</v>
      </c>
      <c r="V982" s="154" t="s">
        <v>1562</v>
      </c>
      <c r="W982" s="154">
        <v>0</v>
      </c>
      <c r="X982" s="154" t="s">
        <v>63</v>
      </c>
      <c r="Y982" s="154" t="s">
        <v>1900</v>
      </c>
      <c r="Z982" s="154"/>
      <c r="AA982" s="154" t="s">
        <v>1387</v>
      </c>
      <c r="AB982" s="154">
        <v>0</v>
      </c>
      <c r="AC982" s="138">
        <f>IFERROR(IF(DATEDIF(#REF!,U982,"m")&lt;=1,1,IF(AND(DATEDIF(#REF!,U982,"m")&gt;1,DATEDIF(#REF!,U982,"m")&lt;12),2,IF(AND(DATEDIF(#REF!,U982,"m")&gt;=12,DATEDIF(#REF!,U982,"m")&lt;24),3,IF(DATEDIF(#REF!,U982,"m")&gt;=24,4,"")))),IF(E982="r0320 - Deposits, not covered and not preferential",1,4))</f>
        <v>4</v>
      </c>
    </row>
    <row r="983" spans="3:29" ht="48.75" thickBot="1" x14ac:dyDescent="0.3">
      <c r="C983" s="11">
        <v>999</v>
      </c>
      <c r="D983" s="154">
        <v>976</v>
      </c>
      <c r="E983" s="154" t="s">
        <v>1902</v>
      </c>
      <c r="F983" s="154" t="s">
        <v>83</v>
      </c>
      <c r="G983" s="154" t="s">
        <v>1903</v>
      </c>
      <c r="H983" s="154" t="s">
        <v>213</v>
      </c>
      <c r="I983" s="154" t="s">
        <v>114</v>
      </c>
      <c r="J983" s="154" t="s">
        <v>115</v>
      </c>
      <c r="K983" s="154" t="s">
        <v>60</v>
      </c>
      <c r="L983" s="154" t="s">
        <v>1897</v>
      </c>
      <c r="M983" s="154" t="s">
        <v>1388</v>
      </c>
      <c r="N983" s="154" t="s">
        <v>61</v>
      </c>
      <c r="O983" s="154" t="s">
        <v>62</v>
      </c>
      <c r="P983" s="146">
        <v>47325.96</v>
      </c>
      <c r="Q983" s="146">
        <v>22.32</v>
      </c>
      <c r="R983" s="154" t="s">
        <v>1384</v>
      </c>
      <c r="S983" s="154" t="s">
        <v>1899</v>
      </c>
      <c r="T983" s="155" t="s">
        <v>768</v>
      </c>
      <c r="U983" s="155" t="s">
        <v>1899</v>
      </c>
      <c r="V983" s="154" t="s">
        <v>1904</v>
      </c>
      <c r="W983" s="154">
        <v>0</v>
      </c>
      <c r="X983" s="154" t="s">
        <v>63</v>
      </c>
      <c r="Y983" s="154" t="s">
        <v>1386</v>
      </c>
      <c r="Z983" s="154"/>
      <c r="AA983" s="154" t="s">
        <v>1387</v>
      </c>
      <c r="AB983" s="154">
        <v>0</v>
      </c>
      <c r="AC983" s="138">
        <f>IFERROR(IF(DATEDIF(#REF!,U983,"m")&lt;=1,1,IF(AND(DATEDIF(#REF!,U983,"m")&gt;1,DATEDIF(#REF!,U983,"m")&lt;12),2,IF(AND(DATEDIF(#REF!,U983,"m")&gt;=12,DATEDIF(#REF!,U983,"m")&lt;24),3,IF(DATEDIF(#REF!,U983,"m")&gt;=24,4,"")))),IF(E983="r0320 - Deposits, not covered and not preferential",1,4))</f>
        <v>4</v>
      </c>
    </row>
    <row r="984" spans="3:29" ht="36.75" thickBot="1" x14ac:dyDescent="0.3">
      <c r="C984" s="11">
        <v>999</v>
      </c>
      <c r="D984" s="154">
        <v>977</v>
      </c>
      <c r="E984" s="154" t="s">
        <v>1898</v>
      </c>
      <c r="F984" s="154" t="s">
        <v>87</v>
      </c>
      <c r="G984" s="154" t="s">
        <v>1402</v>
      </c>
      <c r="H984" s="154" t="s">
        <v>669</v>
      </c>
      <c r="I984" s="154" t="s">
        <v>89</v>
      </c>
      <c r="J984" s="154" t="s">
        <v>90</v>
      </c>
      <c r="K984" s="154" t="s">
        <v>91</v>
      </c>
      <c r="L984" s="154" t="s">
        <v>1901</v>
      </c>
      <c r="M984" s="154" t="s">
        <v>1383</v>
      </c>
      <c r="N984" s="154" t="s">
        <v>61</v>
      </c>
      <c r="O984" s="154" t="s">
        <v>62</v>
      </c>
      <c r="P984" s="146">
        <v>0.14000000000000001</v>
      </c>
      <c r="Q984" s="146">
        <v>0</v>
      </c>
      <c r="R984" s="154" t="s">
        <v>1384</v>
      </c>
      <c r="S984" s="154" t="s">
        <v>1899</v>
      </c>
      <c r="T984" s="155" t="s">
        <v>1899</v>
      </c>
      <c r="U984" s="155" t="s">
        <v>1899</v>
      </c>
      <c r="V984" s="154" t="s">
        <v>1562</v>
      </c>
      <c r="W984" s="154">
        <v>0</v>
      </c>
      <c r="X984" s="154" t="s">
        <v>63</v>
      </c>
      <c r="Y984" s="154" t="s">
        <v>1900</v>
      </c>
      <c r="Z984" s="154"/>
      <c r="AA984" s="154" t="s">
        <v>1387</v>
      </c>
      <c r="AB984" s="154">
        <v>0</v>
      </c>
      <c r="AC984" s="138">
        <f>IFERROR(IF(DATEDIF(#REF!,U984,"m")&lt;=1,1,IF(AND(DATEDIF(#REF!,U984,"m")&gt;1,DATEDIF(#REF!,U984,"m")&lt;12),2,IF(AND(DATEDIF(#REF!,U984,"m")&gt;=12,DATEDIF(#REF!,U984,"m")&lt;24),3,IF(DATEDIF(#REF!,U984,"m")&gt;=24,4,"")))),IF(E984="r0320 - Deposits, not covered and not preferential",1,4))</f>
        <v>4</v>
      </c>
    </row>
    <row r="985" spans="3:29" ht="36.75" thickBot="1" x14ac:dyDescent="0.3">
      <c r="C985" s="11">
        <v>999</v>
      </c>
      <c r="D985" s="154">
        <v>978</v>
      </c>
      <c r="E985" s="154" t="s">
        <v>1898</v>
      </c>
      <c r="F985" s="154" t="s">
        <v>87</v>
      </c>
      <c r="G985" s="154" t="s">
        <v>1402</v>
      </c>
      <c r="H985" s="154" t="s">
        <v>626</v>
      </c>
      <c r="I985" s="154" t="s">
        <v>108</v>
      </c>
      <c r="J985" s="154" t="s">
        <v>90</v>
      </c>
      <c r="K985" s="154" t="s">
        <v>91</v>
      </c>
      <c r="L985" s="154" t="s">
        <v>1897</v>
      </c>
      <c r="M985" s="154" t="s">
        <v>1383</v>
      </c>
      <c r="N985" s="154" t="s">
        <v>61</v>
      </c>
      <c r="O985" s="154" t="s">
        <v>62</v>
      </c>
      <c r="P985" s="146">
        <v>8.4</v>
      </c>
      <c r="Q985" s="146">
        <v>0</v>
      </c>
      <c r="R985" s="154" t="s">
        <v>1384</v>
      </c>
      <c r="S985" s="154" t="s">
        <v>1899</v>
      </c>
      <c r="T985" s="155" t="s">
        <v>1899</v>
      </c>
      <c r="U985" s="155" t="s">
        <v>1899</v>
      </c>
      <c r="V985" s="154" t="s">
        <v>1562</v>
      </c>
      <c r="W985" s="154">
        <v>0</v>
      </c>
      <c r="X985" s="154" t="s">
        <v>63</v>
      </c>
      <c r="Y985" s="154" t="s">
        <v>1900</v>
      </c>
      <c r="Z985" s="154"/>
      <c r="AA985" s="154" t="s">
        <v>1387</v>
      </c>
      <c r="AB985" s="154">
        <v>0</v>
      </c>
      <c r="AC985" s="138">
        <f>IFERROR(IF(DATEDIF(#REF!,U985,"m")&lt;=1,1,IF(AND(DATEDIF(#REF!,U985,"m")&gt;1,DATEDIF(#REF!,U985,"m")&lt;12),2,IF(AND(DATEDIF(#REF!,U985,"m")&gt;=12,DATEDIF(#REF!,U985,"m")&lt;24),3,IF(DATEDIF(#REF!,U985,"m")&gt;=24,4,"")))),IF(E985="r0320 - Deposits, not covered and not preferential",1,4))</f>
        <v>4</v>
      </c>
    </row>
    <row r="986" spans="3:29" ht="36.75" thickBot="1" x14ac:dyDescent="0.3">
      <c r="C986" s="11">
        <v>999</v>
      </c>
      <c r="D986" s="154">
        <v>979</v>
      </c>
      <c r="E986" s="154" t="s">
        <v>1898</v>
      </c>
      <c r="F986" s="154" t="s">
        <v>87</v>
      </c>
      <c r="G986" s="154" t="s">
        <v>1402</v>
      </c>
      <c r="H986" s="154" t="s">
        <v>924</v>
      </c>
      <c r="I986" s="154" t="s">
        <v>96</v>
      </c>
      <c r="J986" s="154" t="s">
        <v>97</v>
      </c>
      <c r="K986" s="154" t="s">
        <v>91</v>
      </c>
      <c r="L986" s="154" t="s">
        <v>1897</v>
      </c>
      <c r="M986" s="154" t="s">
        <v>1383</v>
      </c>
      <c r="N986" s="154" t="s">
        <v>61</v>
      </c>
      <c r="O986" s="154" t="s">
        <v>62</v>
      </c>
      <c r="P986" s="146">
        <v>60.44</v>
      </c>
      <c r="Q986" s="146">
        <v>0</v>
      </c>
      <c r="R986" s="154" t="s">
        <v>1384</v>
      </c>
      <c r="S986" s="154" t="s">
        <v>1899</v>
      </c>
      <c r="T986" s="155" t="s">
        <v>1899</v>
      </c>
      <c r="U986" s="155" t="s">
        <v>1899</v>
      </c>
      <c r="V986" s="154" t="s">
        <v>1562</v>
      </c>
      <c r="W986" s="154">
        <v>0</v>
      </c>
      <c r="X986" s="154" t="s">
        <v>63</v>
      </c>
      <c r="Y986" s="154" t="s">
        <v>1900</v>
      </c>
      <c r="Z986" s="154"/>
      <c r="AA986" s="154" t="s">
        <v>1387</v>
      </c>
      <c r="AB986" s="154">
        <v>0</v>
      </c>
      <c r="AC986" s="138">
        <f>IFERROR(IF(DATEDIF(#REF!,U986,"m")&lt;=1,1,IF(AND(DATEDIF(#REF!,U986,"m")&gt;1,DATEDIF(#REF!,U986,"m")&lt;12),2,IF(AND(DATEDIF(#REF!,U986,"m")&gt;=12,DATEDIF(#REF!,U986,"m")&lt;24),3,IF(DATEDIF(#REF!,U986,"m")&gt;=24,4,"")))),IF(E986="r0320 - Deposits, not covered and not preferential",1,4))</f>
        <v>4</v>
      </c>
    </row>
    <row r="987" spans="3:29" ht="36.75" thickBot="1" x14ac:dyDescent="0.3">
      <c r="C987" s="11">
        <v>999</v>
      </c>
      <c r="D987" s="154">
        <v>980</v>
      </c>
      <c r="E987" s="154" t="s">
        <v>1898</v>
      </c>
      <c r="F987" s="154" t="s">
        <v>87</v>
      </c>
      <c r="G987" s="154" t="s">
        <v>1402</v>
      </c>
      <c r="H987" s="154" t="s">
        <v>161</v>
      </c>
      <c r="I987" s="154" t="s">
        <v>96</v>
      </c>
      <c r="J987" s="154" t="s">
        <v>97</v>
      </c>
      <c r="K987" s="154" t="s">
        <v>91</v>
      </c>
      <c r="L987" s="154" t="s">
        <v>1897</v>
      </c>
      <c r="M987" s="154" t="s">
        <v>1383</v>
      </c>
      <c r="N987" s="154" t="s">
        <v>61</v>
      </c>
      <c r="O987" s="154" t="s">
        <v>62</v>
      </c>
      <c r="P987" s="146">
        <v>0.56000000000000005</v>
      </c>
      <c r="Q987" s="146">
        <v>0</v>
      </c>
      <c r="R987" s="154" t="s">
        <v>1384</v>
      </c>
      <c r="S987" s="154" t="s">
        <v>1899</v>
      </c>
      <c r="T987" s="155" t="s">
        <v>1899</v>
      </c>
      <c r="U987" s="155" t="s">
        <v>1899</v>
      </c>
      <c r="V987" s="154" t="s">
        <v>1562</v>
      </c>
      <c r="W987" s="154">
        <v>0</v>
      </c>
      <c r="X987" s="154" t="s">
        <v>63</v>
      </c>
      <c r="Y987" s="154" t="s">
        <v>1900</v>
      </c>
      <c r="Z987" s="154"/>
      <c r="AA987" s="154" t="s">
        <v>1387</v>
      </c>
      <c r="AB987" s="154">
        <v>0</v>
      </c>
      <c r="AC987" s="138">
        <f>IFERROR(IF(DATEDIF(#REF!,U987,"m")&lt;=1,1,IF(AND(DATEDIF(#REF!,U987,"m")&gt;1,DATEDIF(#REF!,U987,"m")&lt;12),2,IF(AND(DATEDIF(#REF!,U987,"m")&gt;=12,DATEDIF(#REF!,U987,"m")&lt;24),3,IF(DATEDIF(#REF!,U987,"m")&gt;=24,4,"")))),IF(E987="r0320 - Deposits, not covered and not preferential",1,4))</f>
        <v>4</v>
      </c>
    </row>
    <row r="988" spans="3:29" ht="48.75" thickBot="1" x14ac:dyDescent="0.3">
      <c r="C988" s="11">
        <v>999</v>
      </c>
      <c r="D988" s="154">
        <v>981</v>
      </c>
      <c r="E988" s="154" t="s">
        <v>1902</v>
      </c>
      <c r="F988" s="154" t="s">
        <v>83</v>
      </c>
      <c r="G988" s="154" t="s">
        <v>1903</v>
      </c>
      <c r="H988" s="154" t="s">
        <v>213</v>
      </c>
      <c r="I988" s="154" t="s">
        <v>101</v>
      </c>
      <c r="J988" s="154" t="s">
        <v>102</v>
      </c>
      <c r="K988" s="154" t="s">
        <v>60</v>
      </c>
      <c r="L988" s="154" t="s">
        <v>1897</v>
      </c>
      <c r="M988" s="154" t="s">
        <v>1388</v>
      </c>
      <c r="N988" s="154" t="s">
        <v>61</v>
      </c>
      <c r="O988" s="154" t="s">
        <v>62</v>
      </c>
      <c r="P988" s="146">
        <v>1640186.37</v>
      </c>
      <c r="Q988" s="146">
        <v>224.63</v>
      </c>
      <c r="R988" s="154" t="s">
        <v>1384</v>
      </c>
      <c r="S988" s="154" t="s">
        <v>1899</v>
      </c>
      <c r="T988" s="155" t="s">
        <v>768</v>
      </c>
      <c r="U988" s="155" t="s">
        <v>1899</v>
      </c>
      <c r="V988" s="154" t="s">
        <v>1904</v>
      </c>
      <c r="W988" s="154">
        <v>0</v>
      </c>
      <c r="X988" s="154" t="s">
        <v>63</v>
      </c>
      <c r="Y988" s="154" t="s">
        <v>1386</v>
      </c>
      <c r="Z988" s="154"/>
      <c r="AA988" s="154" t="s">
        <v>1387</v>
      </c>
      <c r="AB988" s="154">
        <v>0</v>
      </c>
      <c r="AC988" s="138">
        <f>IFERROR(IF(DATEDIF(#REF!,U988,"m")&lt;=1,1,IF(AND(DATEDIF(#REF!,U988,"m")&gt;1,DATEDIF(#REF!,U988,"m")&lt;12),2,IF(AND(DATEDIF(#REF!,U988,"m")&gt;=12,DATEDIF(#REF!,U988,"m")&lt;24),3,IF(DATEDIF(#REF!,U988,"m")&gt;=24,4,"")))),IF(E988="r0320 - Deposits, not covered and not preferential",1,4))</f>
        <v>4</v>
      </c>
    </row>
    <row r="989" spans="3:29" ht="36.75" thickBot="1" x14ac:dyDescent="0.3">
      <c r="C989" s="11">
        <v>999</v>
      </c>
      <c r="D989" s="154">
        <v>982</v>
      </c>
      <c r="E989" s="154" t="s">
        <v>1898</v>
      </c>
      <c r="F989" s="154" t="s">
        <v>87</v>
      </c>
      <c r="G989" s="154" t="s">
        <v>1402</v>
      </c>
      <c r="H989" s="154" t="s">
        <v>573</v>
      </c>
      <c r="I989" s="154" t="s">
        <v>89</v>
      </c>
      <c r="J989" s="154" t="s">
        <v>90</v>
      </c>
      <c r="K989" s="154" t="s">
        <v>91</v>
      </c>
      <c r="L989" s="154" t="s">
        <v>1901</v>
      </c>
      <c r="M989" s="154" t="s">
        <v>1383</v>
      </c>
      <c r="N989" s="154" t="s">
        <v>61</v>
      </c>
      <c r="O989" s="154" t="s">
        <v>62</v>
      </c>
      <c r="P989" s="146">
        <v>0.71</v>
      </c>
      <c r="Q989" s="146">
        <v>0</v>
      </c>
      <c r="R989" s="154" t="s">
        <v>1384</v>
      </c>
      <c r="S989" s="154" t="s">
        <v>1899</v>
      </c>
      <c r="T989" s="155" t="s">
        <v>1899</v>
      </c>
      <c r="U989" s="155" t="s">
        <v>1899</v>
      </c>
      <c r="V989" s="154" t="s">
        <v>1562</v>
      </c>
      <c r="W989" s="154">
        <v>0</v>
      </c>
      <c r="X989" s="154" t="s">
        <v>63</v>
      </c>
      <c r="Y989" s="154" t="s">
        <v>1900</v>
      </c>
      <c r="Z989" s="154"/>
      <c r="AA989" s="154" t="s">
        <v>1387</v>
      </c>
      <c r="AB989" s="154">
        <v>0</v>
      </c>
      <c r="AC989" s="138">
        <f>IFERROR(IF(DATEDIF(#REF!,U989,"m")&lt;=1,1,IF(AND(DATEDIF(#REF!,U989,"m")&gt;1,DATEDIF(#REF!,U989,"m")&lt;12),2,IF(AND(DATEDIF(#REF!,U989,"m")&gt;=12,DATEDIF(#REF!,U989,"m")&lt;24),3,IF(DATEDIF(#REF!,U989,"m")&gt;=24,4,"")))),IF(E989="r0320 - Deposits, not covered and not preferential",1,4))</f>
        <v>4</v>
      </c>
    </row>
    <row r="990" spans="3:29" ht="36.75" thickBot="1" x14ac:dyDescent="0.3">
      <c r="C990" s="11">
        <v>999</v>
      </c>
      <c r="D990" s="154">
        <v>983</v>
      </c>
      <c r="E990" s="154" t="s">
        <v>1898</v>
      </c>
      <c r="F990" s="154" t="s">
        <v>87</v>
      </c>
      <c r="G990" s="154" t="s">
        <v>1402</v>
      </c>
      <c r="H990" s="154" t="s">
        <v>911</v>
      </c>
      <c r="I990" s="154" t="s">
        <v>96</v>
      </c>
      <c r="J990" s="154" t="s">
        <v>97</v>
      </c>
      <c r="K990" s="154" t="s">
        <v>91</v>
      </c>
      <c r="L990" s="154" t="s">
        <v>1897</v>
      </c>
      <c r="M990" s="154" t="s">
        <v>1383</v>
      </c>
      <c r="N990" s="154" t="s">
        <v>61</v>
      </c>
      <c r="O990" s="154" t="s">
        <v>62</v>
      </c>
      <c r="P990" s="146">
        <v>581.99</v>
      </c>
      <c r="Q990" s="146">
        <v>0</v>
      </c>
      <c r="R990" s="154" t="s">
        <v>1384</v>
      </c>
      <c r="S990" s="154" t="s">
        <v>1899</v>
      </c>
      <c r="T990" s="155" t="s">
        <v>1899</v>
      </c>
      <c r="U990" s="155" t="s">
        <v>1899</v>
      </c>
      <c r="V990" s="154" t="s">
        <v>1562</v>
      </c>
      <c r="W990" s="154">
        <v>0</v>
      </c>
      <c r="X990" s="154" t="s">
        <v>63</v>
      </c>
      <c r="Y990" s="154" t="s">
        <v>1900</v>
      </c>
      <c r="Z990" s="154"/>
      <c r="AA990" s="154" t="s">
        <v>1387</v>
      </c>
      <c r="AB990" s="154">
        <v>0</v>
      </c>
      <c r="AC990" s="138">
        <f>IFERROR(IF(DATEDIF(#REF!,U990,"m")&lt;=1,1,IF(AND(DATEDIF(#REF!,U990,"m")&gt;1,DATEDIF(#REF!,U990,"m")&lt;12),2,IF(AND(DATEDIF(#REF!,U990,"m")&gt;=12,DATEDIF(#REF!,U990,"m")&lt;24),3,IF(DATEDIF(#REF!,U990,"m")&gt;=24,4,"")))),IF(E990="r0320 - Deposits, not covered and not preferential",1,4))</f>
        <v>4</v>
      </c>
    </row>
    <row r="991" spans="3:29" ht="48.75" thickBot="1" x14ac:dyDescent="0.3">
      <c r="C991" s="11">
        <v>999</v>
      </c>
      <c r="D991" s="154">
        <v>984</v>
      </c>
      <c r="E991" s="154" t="s">
        <v>1902</v>
      </c>
      <c r="F991" s="154" t="s">
        <v>83</v>
      </c>
      <c r="G991" s="154" t="s">
        <v>1903</v>
      </c>
      <c r="H991" s="154" t="s">
        <v>532</v>
      </c>
      <c r="I991" s="154" t="s">
        <v>114</v>
      </c>
      <c r="J991" s="154" t="s">
        <v>115</v>
      </c>
      <c r="K991" s="154" t="s">
        <v>60</v>
      </c>
      <c r="L991" s="154" t="s">
        <v>1897</v>
      </c>
      <c r="M991" s="154" t="s">
        <v>1388</v>
      </c>
      <c r="N991" s="154" t="s">
        <v>61</v>
      </c>
      <c r="O991" s="154" t="s">
        <v>62</v>
      </c>
      <c r="P991" s="146">
        <v>187513.08</v>
      </c>
      <c r="Q991" s="146">
        <v>95.32</v>
      </c>
      <c r="R991" s="154" t="s">
        <v>1384</v>
      </c>
      <c r="S991" s="154" t="s">
        <v>1899</v>
      </c>
      <c r="T991" s="155" t="s">
        <v>768</v>
      </c>
      <c r="U991" s="155" t="s">
        <v>1899</v>
      </c>
      <c r="V991" s="154" t="s">
        <v>1904</v>
      </c>
      <c r="W991" s="154">
        <v>0</v>
      </c>
      <c r="X991" s="154" t="s">
        <v>63</v>
      </c>
      <c r="Y991" s="154" t="s">
        <v>1386</v>
      </c>
      <c r="Z991" s="154"/>
      <c r="AA991" s="154" t="s">
        <v>1387</v>
      </c>
      <c r="AB991" s="154">
        <v>0</v>
      </c>
      <c r="AC991" s="138">
        <f>IFERROR(IF(DATEDIF(#REF!,U991,"m")&lt;=1,1,IF(AND(DATEDIF(#REF!,U991,"m")&gt;1,DATEDIF(#REF!,U991,"m")&lt;12),2,IF(AND(DATEDIF(#REF!,U991,"m")&gt;=12,DATEDIF(#REF!,U991,"m")&lt;24),3,IF(DATEDIF(#REF!,U991,"m")&gt;=24,4,"")))),IF(E991="r0320 - Deposits, not covered and not preferential",1,4))</f>
        <v>4</v>
      </c>
    </row>
    <row r="992" spans="3:29" ht="48.75" thickBot="1" x14ac:dyDescent="0.3">
      <c r="C992" s="11">
        <v>999</v>
      </c>
      <c r="D992" s="154">
        <v>985</v>
      </c>
      <c r="E992" s="154" t="s">
        <v>1902</v>
      </c>
      <c r="F992" s="154" t="s">
        <v>83</v>
      </c>
      <c r="G992" s="154" t="s">
        <v>1903</v>
      </c>
      <c r="H992" s="154" t="s">
        <v>532</v>
      </c>
      <c r="I992" s="154" t="s">
        <v>101</v>
      </c>
      <c r="J992" s="154" t="s">
        <v>102</v>
      </c>
      <c r="K992" s="154" t="s">
        <v>60</v>
      </c>
      <c r="L992" s="154" t="s">
        <v>1897</v>
      </c>
      <c r="M992" s="154" t="s">
        <v>1388</v>
      </c>
      <c r="N992" s="154" t="s">
        <v>61</v>
      </c>
      <c r="O992" s="154" t="s">
        <v>62</v>
      </c>
      <c r="P992" s="146">
        <v>1103681.01</v>
      </c>
      <c r="Q992" s="146">
        <v>311.94</v>
      </c>
      <c r="R992" s="154" t="s">
        <v>1384</v>
      </c>
      <c r="S992" s="154" t="s">
        <v>1899</v>
      </c>
      <c r="T992" s="155" t="s">
        <v>768</v>
      </c>
      <c r="U992" s="155" t="s">
        <v>1899</v>
      </c>
      <c r="V992" s="154" t="s">
        <v>1904</v>
      </c>
      <c r="W992" s="154">
        <v>0</v>
      </c>
      <c r="X992" s="154" t="s">
        <v>63</v>
      </c>
      <c r="Y992" s="154" t="s">
        <v>1386</v>
      </c>
      <c r="Z992" s="154"/>
      <c r="AA992" s="154" t="s">
        <v>1387</v>
      </c>
      <c r="AB992" s="154">
        <v>0</v>
      </c>
      <c r="AC992" s="138">
        <f>IFERROR(IF(DATEDIF(#REF!,U992,"m")&lt;=1,1,IF(AND(DATEDIF(#REF!,U992,"m")&gt;1,DATEDIF(#REF!,U992,"m")&lt;12),2,IF(AND(DATEDIF(#REF!,U992,"m")&gt;=12,DATEDIF(#REF!,U992,"m")&lt;24),3,IF(DATEDIF(#REF!,U992,"m")&gt;=24,4,"")))),IF(E992="r0320 - Deposits, not covered and not preferential",1,4))</f>
        <v>4</v>
      </c>
    </row>
    <row r="993" spans="3:29" ht="48.75" thickBot="1" x14ac:dyDescent="0.3">
      <c r="C993" s="11">
        <v>999</v>
      </c>
      <c r="D993" s="154">
        <v>986</v>
      </c>
      <c r="E993" s="154" t="s">
        <v>1902</v>
      </c>
      <c r="F993" s="154" t="s">
        <v>83</v>
      </c>
      <c r="G993" s="154" t="s">
        <v>1903</v>
      </c>
      <c r="H993" s="154" t="s">
        <v>457</v>
      </c>
      <c r="I993" s="154" t="s">
        <v>114</v>
      </c>
      <c r="J993" s="154" t="s">
        <v>115</v>
      </c>
      <c r="K993" s="154" t="s">
        <v>60</v>
      </c>
      <c r="L993" s="154" t="s">
        <v>1897</v>
      </c>
      <c r="M993" s="154" t="s">
        <v>1388</v>
      </c>
      <c r="N993" s="154" t="s">
        <v>61</v>
      </c>
      <c r="O993" s="154" t="s">
        <v>62</v>
      </c>
      <c r="P993" s="146">
        <v>33552.379999999997</v>
      </c>
      <c r="Q993" s="146">
        <v>2.2999999999999998</v>
      </c>
      <c r="R993" s="154" t="s">
        <v>1384</v>
      </c>
      <c r="S993" s="154" t="s">
        <v>1899</v>
      </c>
      <c r="T993" s="155" t="s">
        <v>768</v>
      </c>
      <c r="U993" s="155" t="s">
        <v>1899</v>
      </c>
      <c r="V993" s="154" t="s">
        <v>1904</v>
      </c>
      <c r="W993" s="154">
        <v>0</v>
      </c>
      <c r="X993" s="154" t="s">
        <v>63</v>
      </c>
      <c r="Y993" s="154" t="s">
        <v>1386</v>
      </c>
      <c r="Z993" s="154"/>
      <c r="AA993" s="154" t="s">
        <v>1387</v>
      </c>
      <c r="AB993" s="154">
        <v>0</v>
      </c>
      <c r="AC993" s="138">
        <f>IFERROR(IF(DATEDIF(#REF!,U993,"m")&lt;=1,1,IF(AND(DATEDIF(#REF!,U993,"m")&gt;1,DATEDIF(#REF!,U993,"m")&lt;12),2,IF(AND(DATEDIF(#REF!,U993,"m")&gt;=12,DATEDIF(#REF!,U993,"m")&lt;24),3,IF(DATEDIF(#REF!,U993,"m")&gt;=24,4,"")))),IF(E993="r0320 - Deposits, not covered and not preferential",1,4))</f>
        <v>4</v>
      </c>
    </row>
    <row r="994" spans="3:29" ht="36.75" thickBot="1" x14ac:dyDescent="0.3">
      <c r="C994" s="11">
        <v>999</v>
      </c>
      <c r="D994" s="154">
        <v>987</v>
      </c>
      <c r="E994" s="154" t="s">
        <v>1898</v>
      </c>
      <c r="F994" s="154" t="s">
        <v>87</v>
      </c>
      <c r="G994" s="154" t="s">
        <v>1402</v>
      </c>
      <c r="H994" s="154" t="s">
        <v>928</v>
      </c>
      <c r="I994" s="154" t="s">
        <v>96</v>
      </c>
      <c r="J994" s="154" t="s">
        <v>97</v>
      </c>
      <c r="K994" s="154" t="s">
        <v>91</v>
      </c>
      <c r="L994" s="154" t="s">
        <v>1897</v>
      </c>
      <c r="M994" s="154" t="s">
        <v>1383</v>
      </c>
      <c r="N994" s="154" t="s">
        <v>61</v>
      </c>
      <c r="O994" s="154" t="s">
        <v>62</v>
      </c>
      <c r="P994" s="146">
        <v>60.44</v>
      </c>
      <c r="Q994" s="146">
        <v>0</v>
      </c>
      <c r="R994" s="154" t="s">
        <v>1384</v>
      </c>
      <c r="S994" s="154" t="s">
        <v>1899</v>
      </c>
      <c r="T994" s="155" t="s">
        <v>1899</v>
      </c>
      <c r="U994" s="155" t="s">
        <v>1899</v>
      </c>
      <c r="V994" s="154" t="s">
        <v>1562</v>
      </c>
      <c r="W994" s="154">
        <v>0</v>
      </c>
      <c r="X994" s="154" t="s">
        <v>63</v>
      </c>
      <c r="Y994" s="154" t="s">
        <v>1900</v>
      </c>
      <c r="Z994" s="154"/>
      <c r="AA994" s="154" t="s">
        <v>1387</v>
      </c>
      <c r="AB994" s="154">
        <v>0</v>
      </c>
      <c r="AC994" s="138">
        <f>IFERROR(IF(DATEDIF(#REF!,U994,"m")&lt;=1,1,IF(AND(DATEDIF(#REF!,U994,"m")&gt;1,DATEDIF(#REF!,U994,"m")&lt;12),2,IF(AND(DATEDIF(#REF!,U994,"m")&gt;=12,DATEDIF(#REF!,U994,"m")&lt;24),3,IF(DATEDIF(#REF!,U994,"m")&gt;=24,4,"")))),IF(E994="r0320 - Deposits, not covered and not preferential",1,4))</f>
        <v>4</v>
      </c>
    </row>
    <row r="995" spans="3:29" ht="36.75" thickBot="1" x14ac:dyDescent="0.3">
      <c r="C995" s="11">
        <v>999</v>
      </c>
      <c r="D995" s="154">
        <v>988</v>
      </c>
      <c r="E995" s="154" t="s">
        <v>1898</v>
      </c>
      <c r="F995" s="154" t="s">
        <v>87</v>
      </c>
      <c r="G995" s="154" t="s">
        <v>1402</v>
      </c>
      <c r="H995" s="154" t="s">
        <v>542</v>
      </c>
      <c r="I995" s="154" t="s">
        <v>96</v>
      </c>
      <c r="J995" s="154" t="s">
        <v>97</v>
      </c>
      <c r="K995" s="154" t="s">
        <v>91</v>
      </c>
      <c r="L995" s="154" t="s">
        <v>1897</v>
      </c>
      <c r="M995" s="154" t="s">
        <v>1383</v>
      </c>
      <c r="N995" s="154" t="s">
        <v>61</v>
      </c>
      <c r="O995" s="154" t="s">
        <v>62</v>
      </c>
      <c r="P995" s="146">
        <v>3.03</v>
      </c>
      <c r="Q995" s="146">
        <v>0</v>
      </c>
      <c r="R995" s="154" t="s">
        <v>1384</v>
      </c>
      <c r="S995" s="154" t="s">
        <v>1899</v>
      </c>
      <c r="T995" s="155" t="s">
        <v>1899</v>
      </c>
      <c r="U995" s="155" t="s">
        <v>1899</v>
      </c>
      <c r="V995" s="154" t="s">
        <v>1562</v>
      </c>
      <c r="W995" s="154">
        <v>0</v>
      </c>
      <c r="X995" s="154" t="s">
        <v>63</v>
      </c>
      <c r="Y995" s="154" t="s">
        <v>1900</v>
      </c>
      <c r="Z995" s="154"/>
      <c r="AA995" s="154" t="s">
        <v>1387</v>
      </c>
      <c r="AB995" s="154">
        <v>0</v>
      </c>
      <c r="AC995" s="138">
        <f>IFERROR(IF(DATEDIF(#REF!,U995,"m")&lt;=1,1,IF(AND(DATEDIF(#REF!,U995,"m")&gt;1,DATEDIF(#REF!,U995,"m")&lt;12),2,IF(AND(DATEDIF(#REF!,U995,"m")&gt;=12,DATEDIF(#REF!,U995,"m")&lt;24),3,IF(DATEDIF(#REF!,U995,"m")&gt;=24,4,"")))),IF(E995="r0320 - Deposits, not covered and not preferential",1,4))</f>
        <v>4</v>
      </c>
    </row>
    <row r="996" spans="3:29" ht="48.75" thickBot="1" x14ac:dyDescent="0.3">
      <c r="C996" s="11">
        <v>999</v>
      </c>
      <c r="D996" s="154">
        <v>989</v>
      </c>
      <c r="E996" s="154" t="s">
        <v>1902</v>
      </c>
      <c r="F996" s="154" t="s">
        <v>83</v>
      </c>
      <c r="G996" s="154" t="s">
        <v>1903</v>
      </c>
      <c r="H996" s="154" t="s">
        <v>922</v>
      </c>
      <c r="I996" s="154" t="s">
        <v>93</v>
      </c>
      <c r="J996" s="154" t="s">
        <v>94</v>
      </c>
      <c r="K996" s="154" t="s">
        <v>60</v>
      </c>
      <c r="L996" s="154" t="s">
        <v>1897</v>
      </c>
      <c r="M996" s="154" t="s">
        <v>1388</v>
      </c>
      <c r="N996" s="154" t="s">
        <v>61</v>
      </c>
      <c r="O996" s="154" t="s">
        <v>62</v>
      </c>
      <c r="P996" s="146">
        <v>100702.29</v>
      </c>
      <c r="Q996" s="146">
        <v>10.33</v>
      </c>
      <c r="R996" s="154" t="s">
        <v>1384</v>
      </c>
      <c r="S996" s="154" t="s">
        <v>1899</v>
      </c>
      <c r="T996" s="155" t="s">
        <v>768</v>
      </c>
      <c r="U996" s="155" t="s">
        <v>1899</v>
      </c>
      <c r="V996" s="154" t="s">
        <v>1904</v>
      </c>
      <c r="W996" s="154">
        <v>0</v>
      </c>
      <c r="X996" s="154" t="s">
        <v>63</v>
      </c>
      <c r="Y996" s="154" t="s">
        <v>1386</v>
      </c>
      <c r="Z996" s="154"/>
      <c r="AA996" s="154" t="s">
        <v>1387</v>
      </c>
      <c r="AB996" s="154">
        <v>0</v>
      </c>
      <c r="AC996" s="138">
        <f>IFERROR(IF(DATEDIF(#REF!,U996,"m")&lt;=1,1,IF(AND(DATEDIF(#REF!,U996,"m")&gt;1,DATEDIF(#REF!,U996,"m")&lt;12),2,IF(AND(DATEDIF(#REF!,U996,"m")&gt;=12,DATEDIF(#REF!,U996,"m")&lt;24),3,IF(DATEDIF(#REF!,U996,"m")&gt;=24,4,"")))),IF(E996="r0320 - Deposits, not covered and not preferential",1,4))</f>
        <v>4</v>
      </c>
    </row>
    <row r="997" spans="3:29" ht="48.75" thickBot="1" x14ac:dyDescent="0.3">
      <c r="C997" s="11">
        <v>999</v>
      </c>
      <c r="D997" s="154">
        <v>990</v>
      </c>
      <c r="E997" s="154" t="s">
        <v>1902</v>
      </c>
      <c r="F997" s="154" t="s">
        <v>83</v>
      </c>
      <c r="G997" s="154" t="s">
        <v>1903</v>
      </c>
      <c r="H997" s="154" t="s">
        <v>364</v>
      </c>
      <c r="I997" s="154" t="s">
        <v>114</v>
      </c>
      <c r="J997" s="154" t="s">
        <v>115</v>
      </c>
      <c r="K997" s="154" t="s">
        <v>60</v>
      </c>
      <c r="L997" s="154" t="s">
        <v>1897</v>
      </c>
      <c r="M997" s="154" t="s">
        <v>1388</v>
      </c>
      <c r="N997" s="154" t="s">
        <v>61</v>
      </c>
      <c r="O997" s="154" t="s">
        <v>62</v>
      </c>
      <c r="P997" s="146">
        <v>103433.09</v>
      </c>
      <c r="Q997" s="146">
        <v>-9.1999999999999993</v>
      </c>
      <c r="R997" s="154" t="s">
        <v>1384</v>
      </c>
      <c r="S997" s="154" t="s">
        <v>1899</v>
      </c>
      <c r="T997" s="155" t="s">
        <v>768</v>
      </c>
      <c r="U997" s="155" t="s">
        <v>1899</v>
      </c>
      <c r="V997" s="154" t="s">
        <v>1904</v>
      </c>
      <c r="W997" s="154">
        <v>0</v>
      </c>
      <c r="X997" s="154" t="s">
        <v>63</v>
      </c>
      <c r="Y997" s="154" t="s">
        <v>1386</v>
      </c>
      <c r="Z997" s="154"/>
      <c r="AA997" s="154" t="s">
        <v>1387</v>
      </c>
      <c r="AB997" s="154">
        <v>0</v>
      </c>
      <c r="AC997" s="138">
        <f>IFERROR(IF(DATEDIF(#REF!,U997,"m")&lt;=1,1,IF(AND(DATEDIF(#REF!,U997,"m")&gt;1,DATEDIF(#REF!,U997,"m")&lt;12),2,IF(AND(DATEDIF(#REF!,U997,"m")&gt;=12,DATEDIF(#REF!,U997,"m")&lt;24),3,IF(DATEDIF(#REF!,U997,"m")&gt;=24,4,"")))),IF(E997="r0320 - Deposits, not covered and not preferential",1,4))</f>
        <v>4</v>
      </c>
    </row>
    <row r="998" spans="3:29" ht="36.75" thickBot="1" x14ac:dyDescent="0.3">
      <c r="C998" s="11">
        <v>999</v>
      </c>
      <c r="D998" s="154">
        <v>991</v>
      </c>
      <c r="E998" s="154" t="s">
        <v>1898</v>
      </c>
      <c r="F998" s="154" t="s">
        <v>87</v>
      </c>
      <c r="G998" s="154" t="s">
        <v>1402</v>
      </c>
      <c r="H998" s="154" t="s">
        <v>161</v>
      </c>
      <c r="I998" s="154" t="s">
        <v>96</v>
      </c>
      <c r="J998" s="154" t="s">
        <v>97</v>
      </c>
      <c r="K998" s="154" t="s">
        <v>91</v>
      </c>
      <c r="L998" s="154" t="s">
        <v>1897</v>
      </c>
      <c r="M998" s="154" t="s">
        <v>1383</v>
      </c>
      <c r="N998" s="154" t="s">
        <v>61</v>
      </c>
      <c r="O998" s="154" t="s">
        <v>62</v>
      </c>
      <c r="P998" s="146">
        <v>30.22</v>
      </c>
      <c r="Q998" s="146">
        <v>0</v>
      </c>
      <c r="R998" s="154" t="s">
        <v>1384</v>
      </c>
      <c r="S998" s="154" t="s">
        <v>1899</v>
      </c>
      <c r="T998" s="155" t="s">
        <v>1899</v>
      </c>
      <c r="U998" s="155" t="s">
        <v>1899</v>
      </c>
      <c r="V998" s="154" t="s">
        <v>1562</v>
      </c>
      <c r="W998" s="154">
        <v>0</v>
      </c>
      <c r="X998" s="154" t="s">
        <v>63</v>
      </c>
      <c r="Y998" s="154" t="s">
        <v>1900</v>
      </c>
      <c r="Z998" s="154"/>
      <c r="AA998" s="154" t="s">
        <v>1387</v>
      </c>
      <c r="AB998" s="154">
        <v>0</v>
      </c>
      <c r="AC998" s="138">
        <f>IFERROR(IF(DATEDIF(#REF!,U998,"m")&lt;=1,1,IF(AND(DATEDIF(#REF!,U998,"m")&gt;1,DATEDIF(#REF!,U998,"m")&lt;12),2,IF(AND(DATEDIF(#REF!,U998,"m")&gt;=12,DATEDIF(#REF!,U998,"m")&lt;24),3,IF(DATEDIF(#REF!,U998,"m")&gt;=24,4,"")))),IF(E998="r0320 - Deposits, not covered and not preferential",1,4))</f>
        <v>4</v>
      </c>
    </row>
    <row r="999" spans="3:29" ht="48.75" thickBot="1" x14ac:dyDescent="0.3">
      <c r="C999" s="11">
        <v>999</v>
      </c>
      <c r="D999" s="154">
        <v>992</v>
      </c>
      <c r="E999" s="154" t="s">
        <v>1902</v>
      </c>
      <c r="F999" s="154" t="s">
        <v>83</v>
      </c>
      <c r="G999" s="154" t="s">
        <v>1903</v>
      </c>
      <c r="H999" s="154" t="s">
        <v>552</v>
      </c>
      <c r="I999" s="154" t="s">
        <v>101</v>
      </c>
      <c r="J999" s="154" t="s">
        <v>102</v>
      </c>
      <c r="K999" s="154" t="s">
        <v>60</v>
      </c>
      <c r="L999" s="154" t="s">
        <v>1897</v>
      </c>
      <c r="M999" s="154" t="s">
        <v>1388</v>
      </c>
      <c r="N999" s="154" t="s">
        <v>61</v>
      </c>
      <c r="O999" s="154" t="s">
        <v>62</v>
      </c>
      <c r="P999" s="146">
        <v>58590.720000000001</v>
      </c>
      <c r="Q999" s="146">
        <v>18.46</v>
      </c>
      <c r="R999" s="154" t="s">
        <v>1384</v>
      </c>
      <c r="S999" s="154" t="s">
        <v>1899</v>
      </c>
      <c r="T999" s="155" t="s">
        <v>768</v>
      </c>
      <c r="U999" s="155" t="s">
        <v>1899</v>
      </c>
      <c r="V999" s="154" t="s">
        <v>1904</v>
      </c>
      <c r="W999" s="154">
        <v>0</v>
      </c>
      <c r="X999" s="154" t="s">
        <v>63</v>
      </c>
      <c r="Y999" s="154" t="s">
        <v>1386</v>
      </c>
      <c r="Z999" s="154"/>
      <c r="AA999" s="154" t="s">
        <v>1387</v>
      </c>
      <c r="AB999" s="154">
        <v>0</v>
      </c>
      <c r="AC999" s="138">
        <f>IFERROR(IF(DATEDIF(#REF!,U999,"m")&lt;=1,1,IF(AND(DATEDIF(#REF!,U999,"m")&gt;1,DATEDIF(#REF!,U999,"m")&lt;12),2,IF(AND(DATEDIF(#REF!,U999,"m")&gt;=12,DATEDIF(#REF!,U999,"m")&lt;24),3,IF(DATEDIF(#REF!,U999,"m")&gt;=24,4,"")))),IF(E999="r0320 - Deposits, not covered and not preferential",1,4))</f>
        <v>4</v>
      </c>
    </row>
    <row r="1000" spans="3:29" ht="36.75" thickBot="1" x14ac:dyDescent="0.3">
      <c r="C1000" s="11">
        <v>999</v>
      </c>
      <c r="D1000" s="154">
        <v>993</v>
      </c>
      <c r="E1000" s="154" t="s">
        <v>1898</v>
      </c>
      <c r="F1000" s="154" t="s">
        <v>87</v>
      </c>
      <c r="G1000" s="154" t="s">
        <v>1402</v>
      </c>
      <c r="H1000" s="154" t="s">
        <v>570</v>
      </c>
      <c r="I1000" s="154" t="s">
        <v>99</v>
      </c>
      <c r="J1000" s="154" t="s">
        <v>90</v>
      </c>
      <c r="K1000" s="154" t="s">
        <v>91</v>
      </c>
      <c r="L1000" s="154" t="s">
        <v>1897</v>
      </c>
      <c r="M1000" s="154" t="s">
        <v>1383</v>
      </c>
      <c r="N1000" s="154" t="s">
        <v>61</v>
      </c>
      <c r="O1000" s="154" t="s">
        <v>62</v>
      </c>
      <c r="P1000" s="146">
        <v>0.01</v>
      </c>
      <c r="Q1000" s="146">
        <v>0</v>
      </c>
      <c r="R1000" s="154" t="s">
        <v>1384</v>
      </c>
      <c r="S1000" s="154" t="s">
        <v>1899</v>
      </c>
      <c r="T1000" s="155" t="s">
        <v>1899</v>
      </c>
      <c r="U1000" s="155" t="s">
        <v>1899</v>
      </c>
      <c r="V1000" s="154" t="s">
        <v>1562</v>
      </c>
      <c r="W1000" s="154">
        <v>0</v>
      </c>
      <c r="X1000" s="154" t="s">
        <v>63</v>
      </c>
      <c r="Y1000" s="154" t="s">
        <v>1900</v>
      </c>
      <c r="Z1000" s="154"/>
      <c r="AA1000" s="154" t="s">
        <v>1387</v>
      </c>
      <c r="AB1000" s="154">
        <v>0</v>
      </c>
      <c r="AC1000" s="138">
        <f>IFERROR(IF(DATEDIF(#REF!,U1000,"m")&lt;=1,1,IF(AND(DATEDIF(#REF!,U1000,"m")&gt;1,DATEDIF(#REF!,U1000,"m")&lt;12),2,IF(AND(DATEDIF(#REF!,U1000,"m")&gt;=12,DATEDIF(#REF!,U1000,"m")&lt;24),3,IF(DATEDIF(#REF!,U1000,"m")&gt;=24,4,"")))),IF(E1000="r0320 - Deposits, not covered and not preferential",1,4))</f>
        <v>4</v>
      </c>
    </row>
    <row r="1001" spans="3:29" ht="36.75" thickBot="1" x14ac:dyDescent="0.3">
      <c r="C1001" s="11">
        <v>999</v>
      </c>
      <c r="D1001" s="154">
        <v>994</v>
      </c>
      <c r="E1001" s="154" t="s">
        <v>1898</v>
      </c>
      <c r="F1001" s="154" t="s">
        <v>87</v>
      </c>
      <c r="G1001" s="154" t="s">
        <v>1402</v>
      </c>
      <c r="H1001" s="154" t="s">
        <v>1027</v>
      </c>
      <c r="I1001" s="154" t="s">
        <v>89</v>
      </c>
      <c r="J1001" s="154" t="s">
        <v>90</v>
      </c>
      <c r="K1001" s="154" t="s">
        <v>91</v>
      </c>
      <c r="L1001" s="154" t="s">
        <v>1901</v>
      </c>
      <c r="M1001" s="154" t="s">
        <v>1383</v>
      </c>
      <c r="N1001" s="154" t="s">
        <v>61</v>
      </c>
      <c r="O1001" s="154" t="s">
        <v>62</v>
      </c>
      <c r="P1001" s="146">
        <v>0.12</v>
      </c>
      <c r="Q1001" s="146">
        <v>0</v>
      </c>
      <c r="R1001" s="154" t="s">
        <v>1384</v>
      </c>
      <c r="S1001" s="154" t="s">
        <v>1899</v>
      </c>
      <c r="T1001" s="155" t="s">
        <v>1899</v>
      </c>
      <c r="U1001" s="155" t="s">
        <v>1899</v>
      </c>
      <c r="V1001" s="154" t="s">
        <v>1562</v>
      </c>
      <c r="W1001" s="154">
        <v>0</v>
      </c>
      <c r="X1001" s="154" t="s">
        <v>63</v>
      </c>
      <c r="Y1001" s="154" t="s">
        <v>1900</v>
      </c>
      <c r="Z1001" s="154"/>
      <c r="AA1001" s="154" t="s">
        <v>1387</v>
      </c>
      <c r="AB1001" s="154">
        <v>0</v>
      </c>
      <c r="AC1001" s="138">
        <f>IFERROR(IF(DATEDIF(#REF!,U1001,"m")&lt;=1,1,IF(AND(DATEDIF(#REF!,U1001,"m")&gt;1,DATEDIF(#REF!,U1001,"m")&lt;12),2,IF(AND(DATEDIF(#REF!,U1001,"m")&gt;=12,DATEDIF(#REF!,U1001,"m")&lt;24),3,IF(DATEDIF(#REF!,U1001,"m")&gt;=24,4,"")))),IF(E1001="r0320 - Deposits, not covered and not preferential",1,4))</f>
        <v>4</v>
      </c>
    </row>
    <row r="1002" spans="3:29" ht="36.75" thickBot="1" x14ac:dyDescent="0.3">
      <c r="C1002" s="11">
        <v>999</v>
      </c>
      <c r="D1002" s="154">
        <v>995</v>
      </c>
      <c r="E1002" s="154" t="s">
        <v>1898</v>
      </c>
      <c r="F1002" s="154" t="s">
        <v>87</v>
      </c>
      <c r="G1002" s="154" t="s">
        <v>1402</v>
      </c>
      <c r="H1002" s="154" t="s">
        <v>128</v>
      </c>
      <c r="I1002" s="154" t="s">
        <v>99</v>
      </c>
      <c r="J1002" s="154" t="s">
        <v>90</v>
      </c>
      <c r="K1002" s="154" t="s">
        <v>91</v>
      </c>
      <c r="L1002" s="154" t="s">
        <v>1897</v>
      </c>
      <c r="M1002" s="154" t="s">
        <v>1383</v>
      </c>
      <c r="N1002" s="154" t="s">
        <v>61</v>
      </c>
      <c r="O1002" s="154" t="s">
        <v>62</v>
      </c>
      <c r="P1002" s="146">
        <v>0.01</v>
      </c>
      <c r="Q1002" s="146">
        <v>0</v>
      </c>
      <c r="R1002" s="154" t="s">
        <v>1384</v>
      </c>
      <c r="S1002" s="154" t="s">
        <v>1899</v>
      </c>
      <c r="T1002" s="155" t="s">
        <v>1899</v>
      </c>
      <c r="U1002" s="155" t="s">
        <v>1899</v>
      </c>
      <c r="V1002" s="154" t="s">
        <v>1562</v>
      </c>
      <c r="W1002" s="154">
        <v>0</v>
      </c>
      <c r="X1002" s="154" t="s">
        <v>63</v>
      </c>
      <c r="Y1002" s="154" t="s">
        <v>1900</v>
      </c>
      <c r="Z1002" s="154"/>
      <c r="AA1002" s="154" t="s">
        <v>1387</v>
      </c>
      <c r="AB1002" s="154">
        <v>0</v>
      </c>
      <c r="AC1002" s="138">
        <f>IFERROR(IF(DATEDIF(#REF!,U1002,"m")&lt;=1,1,IF(AND(DATEDIF(#REF!,U1002,"m")&gt;1,DATEDIF(#REF!,U1002,"m")&lt;12),2,IF(AND(DATEDIF(#REF!,U1002,"m")&gt;=12,DATEDIF(#REF!,U1002,"m")&lt;24),3,IF(DATEDIF(#REF!,U1002,"m")&gt;=24,4,"")))),IF(E1002="r0320 - Deposits, not covered and not preferential",1,4))</f>
        <v>4</v>
      </c>
    </row>
    <row r="1003" spans="3:29" ht="36.75" thickBot="1" x14ac:dyDescent="0.3">
      <c r="C1003" s="11">
        <v>999</v>
      </c>
      <c r="D1003" s="154">
        <v>996</v>
      </c>
      <c r="E1003" s="154" t="s">
        <v>1898</v>
      </c>
      <c r="F1003" s="154" t="s">
        <v>87</v>
      </c>
      <c r="G1003" s="154" t="s">
        <v>1402</v>
      </c>
      <c r="H1003" s="154" t="s">
        <v>352</v>
      </c>
      <c r="I1003" s="154" t="s">
        <v>96</v>
      </c>
      <c r="J1003" s="154" t="s">
        <v>97</v>
      </c>
      <c r="K1003" s="154" t="s">
        <v>91</v>
      </c>
      <c r="L1003" s="154" t="s">
        <v>1897</v>
      </c>
      <c r="M1003" s="154" t="s">
        <v>1383</v>
      </c>
      <c r="N1003" s="154" t="s">
        <v>61</v>
      </c>
      <c r="O1003" s="154" t="s">
        <v>62</v>
      </c>
      <c r="P1003" s="146">
        <v>0.19</v>
      </c>
      <c r="Q1003" s="146">
        <v>0</v>
      </c>
      <c r="R1003" s="154" t="s">
        <v>1384</v>
      </c>
      <c r="S1003" s="154" t="s">
        <v>1899</v>
      </c>
      <c r="T1003" s="155" t="s">
        <v>1899</v>
      </c>
      <c r="U1003" s="155" t="s">
        <v>1899</v>
      </c>
      <c r="V1003" s="154" t="s">
        <v>1562</v>
      </c>
      <c r="W1003" s="154">
        <v>0</v>
      </c>
      <c r="X1003" s="154" t="s">
        <v>63</v>
      </c>
      <c r="Y1003" s="154" t="s">
        <v>1900</v>
      </c>
      <c r="Z1003" s="154"/>
      <c r="AA1003" s="154" t="s">
        <v>1387</v>
      </c>
      <c r="AB1003" s="154">
        <v>0</v>
      </c>
      <c r="AC1003" s="138">
        <f>IFERROR(IF(DATEDIF(#REF!,U1003,"m")&lt;=1,1,IF(AND(DATEDIF(#REF!,U1003,"m")&gt;1,DATEDIF(#REF!,U1003,"m")&lt;12),2,IF(AND(DATEDIF(#REF!,U1003,"m")&gt;=12,DATEDIF(#REF!,U1003,"m")&lt;24),3,IF(DATEDIF(#REF!,U1003,"m")&gt;=24,4,"")))),IF(E1003="r0320 - Deposits, not covered and not preferential",1,4))</f>
        <v>4</v>
      </c>
    </row>
    <row r="1004" spans="3:29" ht="36.75" thickBot="1" x14ac:dyDescent="0.3">
      <c r="C1004" s="11">
        <v>999</v>
      </c>
      <c r="D1004" s="154">
        <v>997</v>
      </c>
      <c r="E1004" s="154" t="s">
        <v>1898</v>
      </c>
      <c r="F1004" s="154" t="s">
        <v>87</v>
      </c>
      <c r="G1004" s="154" t="s">
        <v>1402</v>
      </c>
      <c r="H1004" s="154" t="s">
        <v>572</v>
      </c>
      <c r="I1004" s="154" t="s">
        <v>99</v>
      </c>
      <c r="J1004" s="154" t="s">
        <v>90</v>
      </c>
      <c r="K1004" s="154" t="s">
        <v>91</v>
      </c>
      <c r="L1004" s="154" t="s">
        <v>1897</v>
      </c>
      <c r="M1004" s="154" t="s">
        <v>1383</v>
      </c>
      <c r="N1004" s="154" t="s">
        <v>61</v>
      </c>
      <c r="O1004" s="154" t="s">
        <v>62</v>
      </c>
      <c r="P1004" s="146">
        <v>0.43</v>
      </c>
      <c r="Q1004" s="146">
        <v>0</v>
      </c>
      <c r="R1004" s="154" t="s">
        <v>1384</v>
      </c>
      <c r="S1004" s="154" t="s">
        <v>1899</v>
      </c>
      <c r="T1004" s="155" t="s">
        <v>1899</v>
      </c>
      <c r="U1004" s="155" t="s">
        <v>1899</v>
      </c>
      <c r="V1004" s="154" t="s">
        <v>1562</v>
      </c>
      <c r="W1004" s="154">
        <v>0</v>
      </c>
      <c r="X1004" s="154" t="s">
        <v>63</v>
      </c>
      <c r="Y1004" s="154" t="s">
        <v>1900</v>
      </c>
      <c r="Z1004" s="154"/>
      <c r="AA1004" s="154" t="s">
        <v>1387</v>
      </c>
      <c r="AB1004" s="154">
        <v>0</v>
      </c>
      <c r="AC1004" s="138">
        <f>IFERROR(IF(DATEDIF(#REF!,U1004,"m")&lt;=1,1,IF(AND(DATEDIF(#REF!,U1004,"m")&gt;1,DATEDIF(#REF!,U1004,"m")&lt;12),2,IF(AND(DATEDIF(#REF!,U1004,"m")&gt;=12,DATEDIF(#REF!,U1004,"m")&lt;24),3,IF(DATEDIF(#REF!,U1004,"m")&gt;=24,4,"")))),IF(E1004="r0320 - Deposits, not covered and not preferential",1,4))</f>
        <v>4</v>
      </c>
    </row>
    <row r="1005" spans="3:29" ht="36.75" thickBot="1" x14ac:dyDescent="0.3">
      <c r="C1005" s="11">
        <v>999</v>
      </c>
      <c r="D1005" s="154">
        <v>998</v>
      </c>
      <c r="E1005" s="154" t="s">
        <v>1898</v>
      </c>
      <c r="F1005" s="154" t="s">
        <v>87</v>
      </c>
      <c r="G1005" s="154" t="s">
        <v>1402</v>
      </c>
      <c r="H1005" s="154" t="s">
        <v>991</v>
      </c>
      <c r="I1005" s="154" t="s">
        <v>99</v>
      </c>
      <c r="J1005" s="154" t="s">
        <v>90</v>
      </c>
      <c r="K1005" s="154" t="s">
        <v>91</v>
      </c>
      <c r="L1005" s="154" t="s">
        <v>1897</v>
      </c>
      <c r="M1005" s="154" t="s">
        <v>1383</v>
      </c>
      <c r="N1005" s="154" t="s">
        <v>61</v>
      </c>
      <c r="O1005" s="154" t="s">
        <v>62</v>
      </c>
      <c r="P1005" s="146">
        <v>0.01</v>
      </c>
      <c r="Q1005" s="146">
        <v>0</v>
      </c>
      <c r="R1005" s="154" t="s">
        <v>1384</v>
      </c>
      <c r="S1005" s="154" t="s">
        <v>1899</v>
      </c>
      <c r="T1005" s="155" t="s">
        <v>1899</v>
      </c>
      <c r="U1005" s="155" t="s">
        <v>1899</v>
      </c>
      <c r="V1005" s="154" t="s">
        <v>1562</v>
      </c>
      <c r="W1005" s="154">
        <v>0</v>
      </c>
      <c r="X1005" s="154" t="s">
        <v>63</v>
      </c>
      <c r="Y1005" s="154" t="s">
        <v>1900</v>
      </c>
      <c r="Z1005" s="154"/>
      <c r="AA1005" s="154" t="s">
        <v>1387</v>
      </c>
      <c r="AB1005" s="154">
        <v>0</v>
      </c>
      <c r="AC1005" s="138">
        <f>IFERROR(IF(DATEDIF(#REF!,U1005,"m")&lt;=1,1,IF(AND(DATEDIF(#REF!,U1005,"m")&gt;1,DATEDIF(#REF!,U1005,"m")&lt;12),2,IF(AND(DATEDIF(#REF!,U1005,"m")&gt;=12,DATEDIF(#REF!,U1005,"m")&lt;24),3,IF(DATEDIF(#REF!,U1005,"m")&gt;=24,4,"")))),IF(E1005="r0320 - Deposits, not covered and not preferential",1,4))</f>
        <v>4</v>
      </c>
    </row>
    <row r="1006" spans="3:29" ht="36.75" thickBot="1" x14ac:dyDescent="0.3">
      <c r="C1006" s="11">
        <v>999</v>
      </c>
      <c r="D1006" s="154">
        <v>999</v>
      </c>
      <c r="E1006" s="154" t="s">
        <v>1898</v>
      </c>
      <c r="F1006" s="154" t="s">
        <v>87</v>
      </c>
      <c r="G1006" s="154" t="s">
        <v>1402</v>
      </c>
      <c r="H1006" s="154" t="s">
        <v>357</v>
      </c>
      <c r="I1006" s="154" t="s">
        <v>99</v>
      </c>
      <c r="J1006" s="154" t="s">
        <v>90</v>
      </c>
      <c r="K1006" s="154" t="s">
        <v>91</v>
      </c>
      <c r="L1006" s="154" t="s">
        <v>1897</v>
      </c>
      <c r="M1006" s="154" t="s">
        <v>1383</v>
      </c>
      <c r="N1006" s="154" t="s">
        <v>61</v>
      </c>
      <c r="O1006" s="154" t="s">
        <v>62</v>
      </c>
      <c r="P1006" s="146">
        <v>0.01</v>
      </c>
      <c r="Q1006" s="146">
        <v>0</v>
      </c>
      <c r="R1006" s="154" t="s">
        <v>1384</v>
      </c>
      <c r="S1006" s="154" t="s">
        <v>1899</v>
      </c>
      <c r="T1006" s="155" t="s">
        <v>1899</v>
      </c>
      <c r="U1006" s="155" t="s">
        <v>1899</v>
      </c>
      <c r="V1006" s="154" t="s">
        <v>1562</v>
      </c>
      <c r="W1006" s="154">
        <v>0</v>
      </c>
      <c r="X1006" s="154" t="s">
        <v>63</v>
      </c>
      <c r="Y1006" s="154" t="s">
        <v>1900</v>
      </c>
      <c r="Z1006" s="154"/>
      <c r="AA1006" s="154" t="s">
        <v>1387</v>
      </c>
      <c r="AB1006" s="154">
        <v>0</v>
      </c>
      <c r="AC1006" s="138">
        <f>IFERROR(IF(DATEDIF(#REF!,U1006,"m")&lt;=1,1,IF(AND(DATEDIF(#REF!,U1006,"m")&gt;1,DATEDIF(#REF!,U1006,"m")&lt;12),2,IF(AND(DATEDIF(#REF!,U1006,"m")&gt;=12,DATEDIF(#REF!,U1006,"m")&lt;24),3,IF(DATEDIF(#REF!,U1006,"m")&gt;=24,4,"")))),IF(E1006="r0320 - Deposits, not covered and not preferential",1,4))</f>
        <v>4</v>
      </c>
    </row>
    <row r="1007" spans="3:29" ht="48.75" thickBot="1" x14ac:dyDescent="0.3">
      <c r="C1007" s="11">
        <v>999</v>
      </c>
      <c r="D1007" s="154">
        <v>1000</v>
      </c>
      <c r="E1007" s="154" t="s">
        <v>1902</v>
      </c>
      <c r="F1007" s="154" t="s">
        <v>83</v>
      </c>
      <c r="G1007" s="154" t="s">
        <v>1903</v>
      </c>
      <c r="H1007" s="154" t="s">
        <v>925</v>
      </c>
      <c r="I1007" s="154" t="s">
        <v>101</v>
      </c>
      <c r="J1007" s="154" t="s">
        <v>102</v>
      </c>
      <c r="K1007" s="154" t="s">
        <v>60</v>
      </c>
      <c r="L1007" s="154" t="s">
        <v>1897</v>
      </c>
      <c r="M1007" s="154" t="s">
        <v>1388</v>
      </c>
      <c r="N1007" s="154" t="s">
        <v>61</v>
      </c>
      <c r="O1007" s="154" t="s">
        <v>62</v>
      </c>
      <c r="P1007" s="146">
        <v>623752.81000000006</v>
      </c>
      <c r="Q1007" s="146">
        <v>170.41</v>
      </c>
      <c r="R1007" s="154" t="s">
        <v>1384</v>
      </c>
      <c r="S1007" s="154" t="s">
        <v>1899</v>
      </c>
      <c r="T1007" s="155" t="s">
        <v>768</v>
      </c>
      <c r="U1007" s="155" t="s">
        <v>1899</v>
      </c>
      <c r="V1007" s="154" t="s">
        <v>1904</v>
      </c>
      <c r="W1007" s="154">
        <v>0</v>
      </c>
      <c r="X1007" s="154" t="s">
        <v>63</v>
      </c>
      <c r="Y1007" s="154" t="s">
        <v>1386</v>
      </c>
      <c r="Z1007" s="154"/>
      <c r="AA1007" s="154" t="s">
        <v>1387</v>
      </c>
      <c r="AB1007" s="154">
        <v>0</v>
      </c>
      <c r="AC1007" s="138">
        <f>IFERROR(IF(DATEDIF(#REF!,U1007,"m")&lt;=1,1,IF(AND(DATEDIF(#REF!,U1007,"m")&gt;1,DATEDIF(#REF!,U1007,"m")&lt;12),2,IF(AND(DATEDIF(#REF!,U1007,"m")&gt;=12,DATEDIF(#REF!,U1007,"m")&lt;24),3,IF(DATEDIF(#REF!,U1007,"m")&gt;=24,4,"")))),IF(E1007="r0320 - Deposits, not covered and not preferential",1,4))</f>
        <v>4</v>
      </c>
    </row>
    <row r="1008" spans="3:29" ht="36.75" thickBot="1" x14ac:dyDescent="0.3">
      <c r="C1008" s="11">
        <v>999</v>
      </c>
      <c r="D1008" s="154">
        <v>1001</v>
      </c>
      <c r="E1008" s="154" t="s">
        <v>1898</v>
      </c>
      <c r="F1008" s="154" t="s">
        <v>87</v>
      </c>
      <c r="G1008" s="154" t="s">
        <v>1402</v>
      </c>
      <c r="H1008" s="154" t="s">
        <v>574</v>
      </c>
      <c r="I1008" s="154" t="s">
        <v>99</v>
      </c>
      <c r="J1008" s="154" t="s">
        <v>90</v>
      </c>
      <c r="K1008" s="154" t="s">
        <v>91</v>
      </c>
      <c r="L1008" s="154" t="s">
        <v>1897</v>
      </c>
      <c r="M1008" s="154" t="s">
        <v>1383</v>
      </c>
      <c r="N1008" s="154" t="s">
        <v>61</v>
      </c>
      <c r="O1008" s="154" t="s">
        <v>62</v>
      </c>
      <c r="P1008" s="146">
        <v>0.01</v>
      </c>
      <c r="Q1008" s="146">
        <v>0</v>
      </c>
      <c r="R1008" s="154" t="s">
        <v>1384</v>
      </c>
      <c r="S1008" s="154" t="s">
        <v>1899</v>
      </c>
      <c r="T1008" s="155" t="s">
        <v>1899</v>
      </c>
      <c r="U1008" s="155" t="s">
        <v>1899</v>
      </c>
      <c r="V1008" s="154" t="s">
        <v>1562</v>
      </c>
      <c r="W1008" s="154">
        <v>0</v>
      </c>
      <c r="X1008" s="154" t="s">
        <v>63</v>
      </c>
      <c r="Y1008" s="154" t="s">
        <v>1900</v>
      </c>
      <c r="Z1008" s="154"/>
      <c r="AA1008" s="154" t="s">
        <v>1387</v>
      </c>
      <c r="AB1008" s="154">
        <v>0</v>
      </c>
      <c r="AC1008" s="138">
        <f>IFERROR(IF(DATEDIF(#REF!,U1008,"m")&lt;=1,1,IF(AND(DATEDIF(#REF!,U1008,"m")&gt;1,DATEDIF(#REF!,U1008,"m")&lt;12),2,IF(AND(DATEDIF(#REF!,U1008,"m")&gt;=12,DATEDIF(#REF!,U1008,"m")&lt;24),3,IF(DATEDIF(#REF!,U1008,"m")&gt;=24,4,"")))),IF(E1008="r0320 - Deposits, not covered and not preferential",1,4))</f>
        <v>4</v>
      </c>
    </row>
    <row r="1009" spans="3:29" ht="36.75" thickBot="1" x14ac:dyDescent="0.3">
      <c r="C1009" s="11">
        <v>999</v>
      </c>
      <c r="D1009" s="154">
        <v>1002</v>
      </c>
      <c r="E1009" s="154" t="s">
        <v>1898</v>
      </c>
      <c r="F1009" s="154" t="s">
        <v>87</v>
      </c>
      <c r="G1009" s="154" t="s">
        <v>1402</v>
      </c>
      <c r="H1009" s="154" t="s">
        <v>656</v>
      </c>
      <c r="I1009" s="154" t="s">
        <v>108</v>
      </c>
      <c r="J1009" s="154" t="s">
        <v>90</v>
      </c>
      <c r="K1009" s="154" t="s">
        <v>91</v>
      </c>
      <c r="L1009" s="154" t="s">
        <v>1897</v>
      </c>
      <c r="M1009" s="154" t="s">
        <v>1383</v>
      </c>
      <c r="N1009" s="154" t="s">
        <v>61</v>
      </c>
      <c r="O1009" s="154" t="s">
        <v>62</v>
      </c>
      <c r="P1009" s="146">
        <v>1.06</v>
      </c>
      <c r="Q1009" s="146">
        <v>0</v>
      </c>
      <c r="R1009" s="154" t="s">
        <v>1384</v>
      </c>
      <c r="S1009" s="154" t="s">
        <v>1899</v>
      </c>
      <c r="T1009" s="155" t="s">
        <v>1899</v>
      </c>
      <c r="U1009" s="155" t="s">
        <v>1899</v>
      </c>
      <c r="V1009" s="154" t="s">
        <v>1562</v>
      </c>
      <c r="W1009" s="154">
        <v>0</v>
      </c>
      <c r="X1009" s="154" t="s">
        <v>63</v>
      </c>
      <c r="Y1009" s="154" t="s">
        <v>1900</v>
      </c>
      <c r="Z1009" s="154"/>
      <c r="AA1009" s="154" t="s">
        <v>1387</v>
      </c>
      <c r="AB1009" s="154">
        <v>0</v>
      </c>
      <c r="AC1009" s="138">
        <f>IFERROR(IF(DATEDIF(#REF!,U1009,"m")&lt;=1,1,IF(AND(DATEDIF(#REF!,U1009,"m")&gt;1,DATEDIF(#REF!,U1009,"m")&lt;12),2,IF(AND(DATEDIF(#REF!,U1009,"m")&gt;=12,DATEDIF(#REF!,U1009,"m")&lt;24),3,IF(DATEDIF(#REF!,U1009,"m")&gt;=24,4,"")))),IF(E1009="r0320 - Deposits, not covered and not preferential",1,4))</f>
        <v>4</v>
      </c>
    </row>
    <row r="1010" spans="3:29" ht="36.75" thickBot="1" x14ac:dyDescent="0.3">
      <c r="C1010" s="11">
        <v>999</v>
      </c>
      <c r="D1010" s="154">
        <v>1003</v>
      </c>
      <c r="E1010" s="154" t="s">
        <v>1898</v>
      </c>
      <c r="F1010" s="154" t="s">
        <v>87</v>
      </c>
      <c r="G1010" s="154" t="s">
        <v>1402</v>
      </c>
      <c r="H1010" s="154" t="s">
        <v>228</v>
      </c>
      <c r="I1010" s="154" t="s">
        <v>99</v>
      </c>
      <c r="J1010" s="154" t="s">
        <v>90</v>
      </c>
      <c r="K1010" s="154" t="s">
        <v>91</v>
      </c>
      <c r="L1010" s="154" t="s">
        <v>1897</v>
      </c>
      <c r="M1010" s="154" t="s">
        <v>1383</v>
      </c>
      <c r="N1010" s="154" t="s">
        <v>61</v>
      </c>
      <c r="O1010" s="154" t="s">
        <v>62</v>
      </c>
      <c r="P1010" s="146">
        <v>0.01</v>
      </c>
      <c r="Q1010" s="146">
        <v>0</v>
      </c>
      <c r="R1010" s="154" t="s">
        <v>1384</v>
      </c>
      <c r="S1010" s="154" t="s">
        <v>1899</v>
      </c>
      <c r="T1010" s="155" t="s">
        <v>1899</v>
      </c>
      <c r="U1010" s="155" t="s">
        <v>1899</v>
      </c>
      <c r="V1010" s="154" t="s">
        <v>1562</v>
      </c>
      <c r="W1010" s="154">
        <v>0</v>
      </c>
      <c r="X1010" s="154" t="s">
        <v>63</v>
      </c>
      <c r="Y1010" s="154" t="s">
        <v>1900</v>
      </c>
      <c r="Z1010" s="154"/>
      <c r="AA1010" s="154" t="s">
        <v>1387</v>
      </c>
      <c r="AB1010" s="154">
        <v>0</v>
      </c>
      <c r="AC1010" s="138">
        <f>IFERROR(IF(DATEDIF(#REF!,U1010,"m")&lt;=1,1,IF(AND(DATEDIF(#REF!,U1010,"m")&gt;1,DATEDIF(#REF!,U1010,"m")&lt;12),2,IF(AND(DATEDIF(#REF!,U1010,"m")&gt;=12,DATEDIF(#REF!,U1010,"m")&lt;24),3,IF(DATEDIF(#REF!,U1010,"m")&gt;=24,4,"")))),IF(E1010="r0320 - Deposits, not covered and not preferential",1,4))</f>
        <v>4</v>
      </c>
    </row>
    <row r="1011" spans="3:29" ht="36.75" thickBot="1" x14ac:dyDescent="0.3">
      <c r="C1011" s="11">
        <v>999</v>
      </c>
      <c r="D1011" s="154">
        <v>1004</v>
      </c>
      <c r="E1011" s="154" t="s">
        <v>1898</v>
      </c>
      <c r="F1011" s="154" t="s">
        <v>87</v>
      </c>
      <c r="G1011" s="154" t="s">
        <v>1402</v>
      </c>
      <c r="H1011" s="154" t="s">
        <v>363</v>
      </c>
      <c r="I1011" s="154" t="s">
        <v>96</v>
      </c>
      <c r="J1011" s="154" t="s">
        <v>97</v>
      </c>
      <c r="K1011" s="154" t="s">
        <v>91</v>
      </c>
      <c r="L1011" s="154" t="s">
        <v>1897</v>
      </c>
      <c r="M1011" s="154" t="s">
        <v>1383</v>
      </c>
      <c r="N1011" s="154" t="s">
        <v>61</v>
      </c>
      <c r="O1011" s="154" t="s">
        <v>62</v>
      </c>
      <c r="P1011" s="146">
        <v>0.21</v>
      </c>
      <c r="Q1011" s="146">
        <v>0</v>
      </c>
      <c r="R1011" s="154" t="s">
        <v>1384</v>
      </c>
      <c r="S1011" s="154" t="s">
        <v>1899</v>
      </c>
      <c r="T1011" s="155" t="s">
        <v>1899</v>
      </c>
      <c r="U1011" s="155" t="s">
        <v>1899</v>
      </c>
      <c r="V1011" s="154" t="s">
        <v>1562</v>
      </c>
      <c r="W1011" s="154">
        <v>0</v>
      </c>
      <c r="X1011" s="154" t="s">
        <v>63</v>
      </c>
      <c r="Y1011" s="154" t="s">
        <v>1900</v>
      </c>
      <c r="Z1011" s="154"/>
      <c r="AA1011" s="154" t="s">
        <v>1387</v>
      </c>
      <c r="AB1011" s="154">
        <v>0</v>
      </c>
      <c r="AC1011" s="138">
        <f>IFERROR(IF(DATEDIF(#REF!,U1011,"m")&lt;=1,1,IF(AND(DATEDIF(#REF!,U1011,"m")&gt;1,DATEDIF(#REF!,U1011,"m")&lt;12),2,IF(AND(DATEDIF(#REF!,U1011,"m")&gt;=12,DATEDIF(#REF!,U1011,"m")&lt;24),3,IF(DATEDIF(#REF!,U1011,"m")&gt;=24,4,"")))),IF(E1011="r0320 - Deposits, not covered and not preferential",1,4))</f>
        <v>4</v>
      </c>
    </row>
    <row r="1012" spans="3:29" ht="36.75" thickBot="1" x14ac:dyDescent="0.3">
      <c r="C1012" s="11">
        <v>999</v>
      </c>
      <c r="D1012" s="154">
        <v>1005</v>
      </c>
      <c r="E1012" s="154" t="s">
        <v>1898</v>
      </c>
      <c r="F1012" s="154" t="s">
        <v>87</v>
      </c>
      <c r="G1012" s="154" t="s">
        <v>1402</v>
      </c>
      <c r="H1012" s="154" t="s">
        <v>576</v>
      </c>
      <c r="I1012" s="154" t="s">
        <v>89</v>
      </c>
      <c r="J1012" s="154" t="s">
        <v>90</v>
      </c>
      <c r="K1012" s="154" t="s">
        <v>91</v>
      </c>
      <c r="L1012" s="154" t="s">
        <v>1901</v>
      </c>
      <c r="M1012" s="154" t="s">
        <v>1383</v>
      </c>
      <c r="N1012" s="154" t="s">
        <v>61</v>
      </c>
      <c r="O1012" s="154" t="s">
        <v>62</v>
      </c>
      <c r="P1012" s="146">
        <v>0.11</v>
      </c>
      <c r="Q1012" s="146">
        <v>0</v>
      </c>
      <c r="R1012" s="154" t="s">
        <v>1384</v>
      </c>
      <c r="S1012" s="154" t="s">
        <v>1899</v>
      </c>
      <c r="T1012" s="155" t="s">
        <v>1899</v>
      </c>
      <c r="U1012" s="155" t="s">
        <v>1899</v>
      </c>
      <c r="V1012" s="154" t="s">
        <v>1562</v>
      </c>
      <c r="W1012" s="154">
        <v>0</v>
      </c>
      <c r="X1012" s="154" t="s">
        <v>63</v>
      </c>
      <c r="Y1012" s="154" t="s">
        <v>1900</v>
      </c>
      <c r="Z1012" s="154"/>
      <c r="AA1012" s="154" t="s">
        <v>1387</v>
      </c>
      <c r="AB1012" s="154">
        <v>0</v>
      </c>
      <c r="AC1012" s="138">
        <f>IFERROR(IF(DATEDIF(#REF!,U1012,"m")&lt;=1,1,IF(AND(DATEDIF(#REF!,U1012,"m")&gt;1,DATEDIF(#REF!,U1012,"m")&lt;12),2,IF(AND(DATEDIF(#REF!,U1012,"m")&gt;=12,DATEDIF(#REF!,U1012,"m")&lt;24),3,IF(DATEDIF(#REF!,U1012,"m")&gt;=24,4,"")))),IF(E1012="r0320 - Deposits, not covered and not preferential",1,4))</f>
        <v>4</v>
      </c>
    </row>
    <row r="1013" spans="3:29" ht="36.75" thickBot="1" x14ac:dyDescent="0.3">
      <c r="C1013" s="11">
        <v>999</v>
      </c>
      <c r="D1013" s="154">
        <v>1006</v>
      </c>
      <c r="E1013" s="154" t="s">
        <v>1898</v>
      </c>
      <c r="F1013" s="154" t="s">
        <v>87</v>
      </c>
      <c r="G1013" s="154" t="s">
        <v>1402</v>
      </c>
      <c r="H1013" s="154" t="s">
        <v>590</v>
      </c>
      <c r="I1013" s="154" t="s">
        <v>108</v>
      </c>
      <c r="J1013" s="154" t="s">
        <v>90</v>
      </c>
      <c r="K1013" s="154" t="s">
        <v>91</v>
      </c>
      <c r="L1013" s="154" t="s">
        <v>1897</v>
      </c>
      <c r="M1013" s="154" t="s">
        <v>1383</v>
      </c>
      <c r="N1013" s="154" t="s">
        <v>61</v>
      </c>
      <c r="O1013" s="154" t="s">
        <v>62</v>
      </c>
      <c r="P1013" s="146">
        <v>4.78</v>
      </c>
      <c r="Q1013" s="146">
        <v>0</v>
      </c>
      <c r="R1013" s="154" t="s">
        <v>1384</v>
      </c>
      <c r="S1013" s="154" t="s">
        <v>1899</v>
      </c>
      <c r="T1013" s="155" t="s">
        <v>1899</v>
      </c>
      <c r="U1013" s="155" t="s">
        <v>1899</v>
      </c>
      <c r="V1013" s="154" t="s">
        <v>1562</v>
      </c>
      <c r="W1013" s="154">
        <v>0</v>
      </c>
      <c r="X1013" s="154" t="s">
        <v>63</v>
      </c>
      <c r="Y1013" s="154" t="s">
        <v>1900</v>
      </c>
      <c r="Z1013" s="154"/>
      <c r="AA1013" s="154" t="s">
        <v>1387</v>
      </c>
      <c r="AB1013" s="154">
        <v>0</v>
      </c>
      <c r="AC1013" s="138">
        <f>IFERROR(IF(DATEDIF(#REF!,U1013,"m")&lt;=1,1,IF(AND(DATEDIF(#REF!,U1013,"m")&gt;1,DATEDIF(#REF!,U1013,"m")&lt;12),2,IF(AND(DATEDIF(#REF!,U1013,"m")&gt;=12,DATEDIF(#REF!,U1013,"m")&lt;24),3,IF(DATEDIF(#REF!,U1013,"m")&gt;=24,4,"")))),IF(E1013="r0320 - Deposits, not covered and not preferential",1,4))</f>
        <v>4</v>
      </c>
    </row>
    <row r="1014" spans="3:29" ht="36.75" thickBot="1" x14ac:dyDescent="0.3">
      <c r="C1014" s="11">
        <v>999</v>
      </c>
      <c r="D1014" s="154">
        <v>1007</v>
      </c>
      <c r="E1014" s="154" t="s">
        <v>1898</v>
      </c>
      <c r="F1014" s="154" t="s">
        <v>87</v>
      </c>
      <c r="G1014" s="154" t="s">
        <v>1402</v>
      </c>
      <c r="H1014" s="154" t="s">
        <v>359</v>
      </c>
      <c r="I1014" s="154" t="s">
        <v>89</v>
      </c>
      <c r="J1014" s="154" t="s">
        <v>90</v>
      </c>
      <c r="K1014" s="154" t="s">
        <v>91</v>
      </c>
      <c r="L1014" s="154" t="s">
        <v>1901</v>
      </c>
      <c r="M1014" s="154" t="s">
        <v>1383</v>
      </c>
      <c r="N1014" s="154" t="s">
        <v>61</v>
      </c>
      <c r="O1014" s="154" t="s">
        <v>62</v>
      </c>
      <c r="P1014" s="146">
        <v>0.96</v>
      </c>
      <c r="Q1014" s="146">
        <v>0</v>
      </c>
      <c r="R1014" s="154" t="s">
        <v>1384</v>
      </c>
      <c r="S1014" s="154" t="s">
        <v>1899</v>
      </c>
      <c r="T1014" s="155" t="s">
        <v>1899</v>
      </c>
      <c r="U1014" s="155" t="s">
        <v>1899</v>
      </c>
      <c r="V1014" s="154" t="s">
        <v>1562</v>
      </c>
      <c r="W1014" s="154">
        <v>0</v>
      </c>
      <c r="X1014" s="154" t="s">
        <v>63</v>
      </c>
      <c r="Y1014" s="154" t="s">
        <v>1900</v>
      </c>
      <c r="Z1014" s="154"/>
      <c r="AA1014" s="154" t="s">
        <v>1387</v>
      </c>
      <c r="AB1014" s="154">
        <v>0</v>
      </c>
      <c r="AC1014" s="138">
        <f>IFERROR(IF(DATEDIF(#REF!,U1014,"m")&lt;=1,1,IF(AND(DATEDIF(#REF!,U1014,"m")&gt;1,DATEDIF(#REF!,U1014,"m")&lt;12),2,IF(AND(DATEDIF(#REF!,U1014,"m")&gt;=12,DATEDIF(#REF!,U1014,"m")&lt;24),3,IF(DATEDIF(#REF!,U1014,"m")&gt;=24,4,"")))),IF(E1014="r0320 - Deposits, not covered and not preferential",1,4))</f>
        <v>4</v>
      </c>
    </row>
    <row r="1015" spans="3:29" ht="36.75" thickBot="1" x14ac:dyDescent="0.3">
      <c r="C1015" s="11">
        <v>999</v>
      </c>
      <c r="D1015" s="154">
        <v>1008</v>
      </c>
      <c r="E1015" s="154" t="s">
        <v>1898</v>
      </c>
      <c r="F1015" s="154" t="s">
        <v>87</v>
      </c>
      <c r="G1015" s="154" t="s">
        <v>1402</v>
      </c>
      <c r="H1015" s="154" t="s">
        <v>960</v>
      </c>
      <c r="I1015" s="154" t="s">
        <v>99</v>
      </c>
      <c r="J1015" s="154" t="s">
        <v>90</v>
      </c>
      <c r="K1015" s="154" t="s">
        <v>91</v>
      </c>
      <c r="L1015" s="154" t="s">
        <v>1897</v>
      </c>
      <c r="M1015" s="154" t="s">
        <v>1383</v>
      </c>
      <c r="N1015" s="154" t="s">
        <v>61</v>
      </c>
      <c r="O1015" s="154" t="s">
        <v>62</v>
      </c>
      <c r="P1015" s="146">
        <v>0.1</v>
      </c>
      <c r="Q1015" s="146">
        <v>0</v>
      </c>
      <c r="R1015" s="154" t="s">
        <v>1384</v>
      </c>
      <c r="S1015" s="154" t="s">
        <v>1899</v>
      </c>
      <c r="T1015" s="155" t="s">
        <v>1899</v>
      </c>
      <c r="U1015" s="155" t="s">
        <v>1899</v>
      </c>
      <c r="V1015" s="154" t="s">
        <v>1562</v>
      </c>
      <c r="W1015" s="154">
        <v>0</v>
      </c>
      <c r="X1015" s="154" t="s">
        <v>63</v>
      </c>
      <c r="Y1015" s="154" t="s">
        <v>1900</v>
      </c>
      <c r="Z1015" s="154"/>
      <c r="AA1015" s="154" t="s">
        <v>1387</v>
      </c>
      <c r="AB1015" s="154">
        <v>0</v>
      </c>
      <c r="AC1015" s="138">
        <f>IFERROR(IF(DATEDIF(#REF!,U1015,"m")&lt;=1,1,IF(AND(DATEDIF(#REF!,U1015,"m")&gt;1,DATEDIF(#REF!,U1015,"m")&lt;12),2,IF(AND(DATEDIF(#REF!,U1015,"m")&gt;=12,DATEDIF(#REF!,U1015,"m")&lt;24),3,IF(DATEDIF(#REF!,U1015,"m")&gt;=24,4,"")))),IF(E1015="r0320 - Deposits, not covered and not preferential",1,4))</f>
        <v>4</v>
      </c>
    </row>
    <row r="1016" spans="3:29" ht="48.75" thickBot="1" x14ac:dyDescent="0.3">
      <c r="C1016" s="11">
        <v>999</v>
      </c>
      <c r="D1016" s="154">
        <v>1009</v>
      </c>
      <c r="E1016" s="154" t="s">
        <v>1902</v>
      </c>
      <c r="F1016" s="154" t="s">
        <v>83</v>
      </c>
      <c r="G1016" s="154" t="s">
        <v>1903</v>
      </c>
      <c r="H1016" s="154" t="s">
        <v>920</v>
      </c>
      <c r="I1016" s="154" t="s">
        <v>101</v>
      </c>
      <c r="J1016" s="154" t="s">
        <v>102</v>
      </c>
      <c r="K1016" s="154" t="s">
        <v>60</v>
      </c>
      <c r="L1016" s="154" t="s">
        <v>1897</v>
      </c>
      <c r="M1016" s="154" t="s">
        <v>1388</v>
      </c>
      <c r="N1016" s="154" t="s">
        <v>61</v>
      </c>
      <c r="O1016" s="154" t="s">
        <v>62</v>
      </c>
      <c r="P1016" s="146">
        <v>1328948.1399999999</v>
      </c>
      <c r="Q1016" s="146">
        <v>451.1</v>
      </c>
      <c r="R1016" s="154" t="s">
        <v>1384</v>
      </c>
      <c r="S1016" s="154" t="s">
        <v>1899</v>
      </c>
      <c r="T1016" s="155" t="s">
        <v>768</v>
      </c>
      <c r="U1016" s="155" t="s">
        <v>1899</v>
      </c>
      <c r="V1016" s="154" t="s">
        <v>1904</v>
      </c>
      <c r="W1016" s="154">
        <v>0</v>
      </c>
      <c r="X1016" s="154" t="s">
        <v>63</v>
      </c>
      <c r="Y1016" s="154" t="s">
        <v>1386</v>
      </c>
      <c r="Z1016" s="154"/>
      <c r="AA1016" s="154" t="s">
        <v>1387</v>
      </c>
      <c r="AB1016" s="154">
        <v>0</v>
      </c>
      <c r="AC1016" s="138">
        <f>IFERROR(IF(DATEDIF(#REF!,U1016,"m")&lt;=1,1,IF(AND(DATEDIF(#REF!,U1016,"m")&gt;1,DATEDIF(#REF!,U1016,"m")&lt;12),2,IF(AND(DATEDIF(#REF!,U1016,"m")&gt;=12,DATEDIF(#REF!,U1016,"m")&lt;24),3,IF(DATEDIF(#REF!,U1016,"m")&gt;=24,4,"")))),IF(E1016="r0320 - Deposits, not covered and not preferential",1,4))</f>
        <v>4</v>
      </c>
    </row>
    <row r="1017" spans="3:29" ht="36.75" thickBot="1" x14ac:dyDescent="0.3">
      <c r="C1017" s="11">
        <v>999</v>
      </c>
      <c r="D1017" s="154">
        <v>1010</v>
      </c>
      <c r="E1017" s="154" t="s">
        <v>1898</v>
      </c>
      <c r="F1017" s="154" t="s">
        <v>87</v>
      </c>
      <c r="G1017" s="154" t="s">
        <v>1402</v>
      </c>
      <c r="H1017" s="154" t="s">
        <v>1013</v>
      </c>
      <c r="I1017" s="154" t="s">
        <v>89</v>
      </c>
      <c r="J1017" s="154" t="s">
        <v>90</v>
      </c>
      <c r="K1017" s="154" t="s">
        <v>91</v>
      </c>
      <c r="L1017" s="154" t="s">
        <v>1901</v>
      </c>
      <c r="M1017" s="154" t="s">
        <v>1383</v>
      </c>
      <c r="N1017" s="154" t="s">
        <v>61</v>
      </c>
      <c r="O1017" s="154" t="s">
        <v>62</v>
      </c>
      <c r="P1017" s="146">
        <v>0.04</v>
      </c>
      <c r="Q1017" s="146">
        <v>0</v>
      </c>
      <c r="R1017" s="154" t="s">
        <v>1384</v>
      </c>
      <c r="S1017" s="154" t="s">
        <v>1899</v>
      </c>
      <c r="T1017" s="155" t="s">
        <v>1899</v>
      </c>
      <c r="U1017" s="155" t="s">
        <v>1899</v>
      </c>
      <c r="V1017" s="154" t="s">
        <v>1562</v>
      </c>
      <c r="W1017" s="154">
        <v>0</v>
      </c>
      <c r="X1017" s="154" t="s">
        <v>63</v>
      </c>
      <c r="Y1017" s="154" t="s">
        <v>1900</v>
      </c>
      <c r="Z1017" s="154"/>
      <c r="AA1017" s="154" t="s">
        <v>1387</v>
      </c>
      <c r="AB1017" s="154">
        <v>0</v>
      </c>
      <c r="AC1017" s="138">
        <f>IFERROR(IF(DATEDIF(#REF!,U1017,"m")&lt;=1,1,IF(AND(DATEDIF(#REF!,U1017,"m")&gt;1,DATEDIF(#REF!,U1017,"m")&lt;12),2,IF(AND(DATEDIF(#REF!,U1017,"m")&gt;=12,DATEDIF(#REF!,U1017,"m")&lt;24),3,IF(DATEDIF(#REF!,U1017,"m")&gt;=24,4,"")))),IF(E1017="r0320 - Deposits, not covered and not preferential",1,4))</f>
        <v>4</v>
      </c>
    </row>
    <row r="1018" spans="3:29" ht="36.75" thickBot="1" x14ac:dyDescent="0.3">
      <c r="C1018" s="11">
        <v>999</v>
      </c>
      <c r="D1018" s="154">
        <v>1011</v>
      </c>
      <c r="E1018" s="154" t="s">
        <v>1898</v>
      </c>
      <c r="F1018" s="154" t="s">
        <v>87</v>
      </c>
      <c r="G1018" s="154" t="s">
        <v>1402</v>
      </c>
      <c r="H1018" s="154" t="s">
        <v>229</v>
      </c>
      <c r="I1018" s="154" t="s">
        <v>89</v>
      </c>
      <c r="J1018" s="154" t="s">
        <v>90</v>
      </c>
      <c r="K1018" s="154" t="s">
        <v>91</v>
      </c>
      <c r="L1018" s="154" t="s">
        <v>1901</v>
      </c>
      <c r="M1018" s="154" t="s">
        <v>1383</v>
      </c>
      <c r="N1018" s="154" t="s">
        <v>61</v>
      </c>
      <c r="O1018" s="154" t="s">
        <v>62</v>
      </c>
      <c r="P1018" s="146">
        <v>0.13</v>
      </c>
      <c r="Q1018" s="146">
        <v>0</v>
      </c>
      <c r="R1018" s="154" t="s">
        <v>1384</v>
      </c>
      <c r="S1018" s="154" t="s">
        <v>1899</v>
      </c>
      <c r="T1018" s="155" t="s">
        <v>1899</v>
      </c>
      <c r="U1018" s="155" t="s">
        <v>1899</v>
      </c>
      <c r="V1018" s="154" t="s">
        <v>1562</v>
      </c>
      <c r="W1018" s="154">
        <v>0</v>
      </c>
      <c r="X1018" s="154" t="s">
        <v>63</v>
      </c>
      <c r="Y1018" s="154" t="s">
        <v>1900</v>
      </c>
      <c r="Z1018" s="154"/>
      <c r="AA1018" s="154" t="s">
        <v>1387</v>
      </c>
      <c r="AB1018" s="154">
        <v>0</v>
      </c>
      <c r="AC1018" s="138">
        <f>IFERROR(IF(DATEDIF(#REF!,U1018,"m")&lt;=1,1,IF(AND(DATEDIF(#REF!,U1018,"m")&gt;1,DATEDIF(#REF!,U1018,"m")&lt;12),2,IF(AND(DATEDIF(#REF!,U1018,"m")&gt;=12,DATEDIF(#REF!,U1018,"m")&lt;24),3,IF(DATEDIF(#REF!,U1018,"m")&gt;=24,4,"")))),IF(E1018="r0320 - Deposits, not covered and not preferential",1,4))</f>
        <v>4</v>
      </c>
    </row>
    <row r="1019" spans="3:29" ht="36.75" thickBot="1" x14ac:dyDescent="0.3">
      <c r="C1019" s="11">
        <v>999</v>
      </c>
      <c r="D1019" s="154">
        <v>1012</v>
      </c>
      <c r="E1019" s="154" t="s">
        <v>1898</v>
      </c>
      <c r="F1019" s="154" t="s">
        <v>87</v>
      </c>
      <c r="G1019" s="154" t="s">
        <v>1402</v>
      </c>
      <c r="H1019" s="154" t="s">
        <v>869</v>
      </c>
      <c r="I1019" s="154" t="s">
        <v>99</v>
      </c>
      <c r="J1019" s="154" t="s">
        <v>90</v>
      </c>
      <c r="K1019" s="154" t="s">
        <v>91</v>
      </c>
      <c r="L1019" s="154" t="s">
        <v>1897</v>
      </c>
      <c r="M1019" s="154" t="s">
        <v>1383</v>
      </c>
      <c r="N1019" s="154" t="s">
        <v>61</v>
      </c>
      <c r="O1019" s="154" t="s">
        <v>62</v>
      </c>
      <c r="P1019" s="146">
        <v>0.49</v>
      </c>
      <c r="Q1019" s="146">
        <v>0</v>
      </c>
      <c r="R1019" s="154" t="s">
        <v>1384</v>
      </c>
      <c r="S1019" s="154" t="s">
        <v>1899</v>
      </c>
      <c r="T1019" s="155" t="s">
        <v>1899</v>
      </c>
      <c r="U1019" s="155" t="s">
        <v>1899</v>
      </c>
      <c r="V1019" s="154" t="s">
        <v>1562</v>
      </c>
      <c r="W1019" s="154">
        <v>0</v>
      </c>
      <c r="X1019" s="154" t="s">
        <v>63</v>
      </c>
      <c r="Y1019" s="154" t="s">
        <v>1900</v>
      </c>
      <c r="Z1019" s="154"/>
      <c r="AA1019" s="154" t="s">
        <v>1387</v>
      </c>
      <c r="AB1019" s="154">
        <v>0</v>
      </c>
      <c r="AC1019" s="138">
        <f>IFERROR(IF(DATEDIF(#REF!,U1019,"m")&lt;=1,1,IF(AND(DATEDIF(#REF!,U1019,"m")&gt;1,DATEDIF(#REF!,U1019,"m")&lt;12),2,IF(AND(DATEDIF(#REF!,U1019,"m")&gt;=12,DATEDIF(#REF!,U1019,"m")&lt;24),3,IF(DATEDIF(#REF!,U1019,"m")&gt;=24,4,"")))),IF(E1019="r0320 - Deposits, not covered and not preferential",1,4))</f>
        <v>4</v>
      </c>
    </row>
    <row r="1020" spans="3:29" ht="36.75" thickBot="1" x14ac:dyDescent="0.3">
      <c r="C1020" s="11">
        <v>999</v>
      </c>
      <c r="D1020" s="154">
        <v>1013</v>
      </c>
      <c r="E1020" s="154" t="s">
        <v>1898</v>
      </c>
      <c r="F1020" s="154" t="s">
        <v>87</v>
      </c>
      <c r="G1020" s="154" t="s">
        <v>1402</v>
      </c>
      <c r="H1020" s="154" t="s">
        <v>929</v>
      </c>
      <c r="I1020" s="154" t="s">
        <v>96</v>
      </c>
      <c r="J1020" s="154" t="s">
        <v>97</v>
      </c>
      <c r="K1020" s="154" t="s">
        <v>91</v>
      </c>
      <c r="L1020" s="154" t="s">
        <v>1897</v>
      </c>
      <c r="M1020" s="154" t="s">
        <v>1383</v>
      </c>
      <c r="N1020" s="154" t="s">
        <v>61</v>
      </c>
      <c r="O1020" s="154" t="s">
        <v>62</v>
      </c>
      <c r="P1020" s="146">
        <v>11.78</v>
      </c>
      <c r="Q1020" s="146">
        <v>0</v>
      </c>
      <c r="R1020" s="154" t="s">
        <v>1384</v>
      </c>
      <c r="S1020" s="154" t="s">
        <v>1899</v>
      </c>
      <c r="T1020" s="155" t="s">
        <v>1899</v>
      </c>
      <c r="U1020" s="155" t="s">
        <v>1899</v>
      </c>
      <c r="V1020" s="154" t="s">
        <v>1562</v>
      </c>
      <c r="W1020" s="154">
        <v>0</v>
      </c>
      <c r="X1020" s="154" t="s">
        <v>63</v>
      </c>
      <c r="Y1020" s="154" t="s">
        <v>1900</v>
      </c>
      <c r="Z1020" s="154"/>
      <c r="AA1020" s="154" t="s">
        <v>1387</v>
      </c>
      <c r="AB1020" s="154">
        <v>0</v>
      </c>
      <c r="AC1020" s="138">
        <f>IFERROR(IF(DATEDIF(#REF!,U1020,"m")&lt;=1,1,IF(AND(DATEDIF(#REF!,U1020,"m")&gt;1,DATEDIF(#REF!,U1020,"m")&lt;12),2,IF(AND(DATEDIF(#REF!,U1020,"m")&gt;=12,DATEDIF(#REF!,U1020,"m")&lt;24),3,IF(DATEDIF(#REF!,U1020,"m")&gt;=24,4,"")))),IF(E1020="r0320 - Deposits, not covered and not preferential",1,4))</f>
        <v>4</v>
      </c>
    </row>
    <row r="1021" spans="3:29" ht="36.75" thickBot="1" x14ac:dyDescent="0.3">
      <c r="C1021" s="11">
        <v>999</v>
      </c>
      <c r="D1021" s="154">
        <v>1014</v>
      </c>
      <c r="E1021" s="154" t="s">
        <v>1898</v>
      </c>
      <c r="F1021" s="154" t="s">
        <v>87</v>
      </c>
      <c r="G1021" s="154" t="s">
        <v>1402</v>
      </c>
      <c r="H1021" s="154" t="s">
        <v>971</v>
      </c>
      <c r="I1021" s="154" t="s">
        <v>99</v>
      </c>
      <c r="J1021" s="154" t="s">
        <v>90</v>
      </c>
      <c r="K1021" s="154" t="s">
        <v>91</v>
      </c>
      <c r="L1021" s="154" t="s">
        <v>1897</v>
      </c>
      <c r="M1021" s="154" t="s">
        <v>1383</v>
      </c>
      <c r="N1021" s="154" t="s">
        <v>61</v>
      </c>
      <c r="O1021" s="154" t="s">
        <v>62</v>
      </c>
      <c r="P1021" s="146">
        <v>0.01</v>
      </c>
      <c r="Q1021" s="146">
        <v>0</v>
      </c>
      <c r="R1021" s="154" t="s">
        <v>1384</v>
      </c>
      <c r="S1021" s="154" t="s">
        <v>1899</v>
      </c>
      <c r="T1021" s="155" t="s">
        <v>1899</v>
      </c>
      <c r="U1021" s="155" t="s">
        <v>1899</v>
      </c>
      <c r="V1021" s="154" t="s">
        <v>1562</v>
      </c>
      <c r="W1021" s="154">
        <v>0</v>
      </c>
      <c r="X1021" s="154" t="s">
        <v>63</v>
      </c>
      <c r="Y1021" s="154" t="s">
        <v>1900</v>
      </c>
      <c r="Z1021" s="154"/>
      <c r="AA1021" s="154" t="s">
        <v>1387</v>
      </c>
      <c r="AB1021" s="154">
        <v>0</v>
      </c>
      <c r="AC1021" s="138">
        <f>IFERROR(IF(DATEDIF(#REF!,U1021,"m")&lt;=1,1,IF(AND(DATEDIF(#REF!,U1021,"m")&gt;1,DATEDIF(#REF!,U1021,"m")&lt;12),2,IF(AND(DATEDIF(#REF!,U1021,"m")&gt;=12,DATEDIF(#REF!,U1021,"m")&lt;24),3,IF(DATEDIF(#REF!,U1021,"m")&gt;=24,4,"")))),IF(E1021="r0320 - Deposits, not covered and not preferential",1,4))</f>
        <v>4</v>
      </c>
    </row>
    <row r="1022" spans="3:29" ht="48.75" thickBot="1" x14ac:dyDescent="0.3">
      <c r="C1022" s="11">
        <v>999</v>
      </c>
      <c r="D1022" s="154">
        <v>1015</v>
      </c>
      <c r="E1022" s="154" t="s">
        <v>1902</v>
      </c>
      <c r="F1022" s="154" t="s">
        <v>83</v>
      </c>
      <c r="G1022" s="154" t="s">
        <v>1903</v>
      </c>
      <c r="H1022" s="154" t="s">
        <v>900</v>
      </c>
      <c r="I1022" s="154" t="s">
        <v>101</v>
      </c>
      <c r="J1022" s="154" t="s">
        <v>102</v>
      </c>
      <c r="K1022" s="154" t="s">
        <v>60</v>
      </c>
      <c r="L1022" s="154" t="s">
        <v>1897</v>
      </c>
      <c r="M1022" s="154" t="s">
        <v>1388</v>
      </c>
      <c r="N1022" s="154" t="s">
        <v>61</v>
      </c>
      <c r="O1022" s="154" t="s">
        <v>62</v>
      </c>
      <c r="P1022" s="146">
        <v>1057143.27</v>
      </c>
      <c r="Q1022" s="146">
        <v>374.86</v>
      </c>
      <c r="R1022" s="154" t="s">
        <v>1384</v>
      </c>
      <c r="S1022" s="154" t="s">
        <v>1899</v>
      </c>
      <c r="T1022" s="155" t="s">
        <v>768</v>
      </c>
      <c r="U1022" s="155" t="s">
        <v>1899</v>
      </c>
      <c r="V1022" s="154" t="s">
        <v>1904</v>
      </c>
      <c r="W1022" s="154">
        <v>0</v>
      </c>
      <c r="X1022" s="154" t="s">
        <v>63</v>
      </c>
      <c r="Y1022" s="154" t="s">
        <v>1386</v>
      </c>
      <c r="Z1022" s="154"/>
      <c r="AA1022" s="154" t="s">
        <v>1387</v>
      </c>
      <c r="AB1022" s="154">
        <v>0</v>
      </c>
      <c r="AC1022" s="138">
        <f>IFERROR(IF(DATEDIF(#REF!,U1022,"m")&lt;=1,1,IF(AND(DATEDIF(#REF!,U1022,"m")&gt;1,DATEDIF(#REF!,U1022,"m")&lt;12),2,IF(AND(DATEDIF(#REF!,U1022,"m")&gt;=12,DATEDIF(#REF!,U1022,"m")&lt;24),3,IF(DATEDIF(#REF!,U1022,"m")&gt;=24,4,"")))),IF(E1022="r0320 - Deposits, not covered and not preferential",1,4))</f>
        <v>4</v>
      </c>
    </row>
    <row r="1023" spans="3:29" ht="36.75" thickBot="1" x14ac:dyDescent="0.3">
      <c r="C1023" s="11">
        <v>999</v>
      </c>
      <c r="D1023" s="154">
        <v>1016</v>
      </c>
      <c r="E1023" s="154" t="s">
        <v>1898</v>
      </c>
      <c r="F1023" s="154" t="s">
        <v>87</v>
      </c>
      <c r="G1023" s="154" t="s">
        <v>1402</v>
      </c>
      <c r="H1023" s="154" t="s">
        <v>216</v>
      </c>
      <c r="I1023" s="154" t="s">
        <v>217</v>
      </c>
      <c r="J1023" s="154" t="s">
        <v>218</v>
      </c>
      <c r="K1023" s="154" t="s">
        <v>60</v>
      </c>
      <c r="L1023" s="154" t="s">
        <v>1897</v>
      </c>
      <c r="M1023" s="154" t="s">
        <v>1383</v>
      </c>
      <c r="N1023" s="154" t="s">
        <v>61</v>
      </c>
      <c r="O1023" s="154" t="s">
        <v>62</v>
      </c>
      <c r="P1023" s="146">
        <v>0.05</v>
      </c>
      <c r="Q1023" s="146">
        <v>0</v>
      </c>
      <c r="R1023" s="154" t="s">
        <v>1384</v>
      </c>
      <c r="S1023" s="154" t="s">
        <v>1899</v>
      </c>
      <c r="T1023" s="155" t="s">
        <v>1899</v>
      </c>
      <c r="U1023" s="155" t="s">
        <v>1899</v>
      </c>
      <c r="V1023" s="154" t="s">
        <v>1562</v>
      </c>
      <c r="W1023" s="154">
        <v>0</v>
      </c>
      <c r="X1023" s="154" t="s">
        <v>63</v>
      </c>
      <c r="Y1023" s="154" t="s">
        <v>1900</v>
      </c>
      <c r="Z1023" s="154"/>
      <c r="AA1023" s="154" t="s">
        <v>1387</v>
      </c>
      <c r="AB1023" s="154">
        <v>0</v>
      </c>
      <c r="AC1023" s="138">
        <f>IFERROR(IF(DATEDIF(#REF!,U1023,"m")&lt;=1,1,IF(AND(DATEDIF(#REF!,U1023,"m")&gt;1,DATEDIF(#REF!,U1023,"m")&lt;12),2,IF(AND(DATEDIF(#REF!,U1023,"m")&gt;=12,DATEDIF(#REF!,U1023,"m")&lt;24),3,IF(DATEDIF(#REF!,U1023,"m")&gt;=24,4,"")))),IF(E1023="r0320 - Deposits, not covered and not preferential",1,4))</f>
        <v>4</v>
      </c>
    </row>
    <row r="1024" spans="3:29" ht="36.75" thickBot="1" x14ac:dyDescent="0.3">
      <c r="C1024" s="11">
        <v>999</v>
      </c>
      <c r="D1024" s="154">
        <v>1017</v>
      </c>
      <c r="E1024" s="154" t="s">
        <v>1898</v>
      </c>
      <c r="F1024" s="154" t="s">
        <v>87</v>
      </c>
      <c r="G1024" s="154" t="s">
        <v>1402</v>
      </c>
      <c r="H1024" s="154" t="s">
        <v>227</v>
      </c>
      <c r="I1024" s="154" t="s">
        <v>96</v>
      </c>
      <c r="J1024" s="154" t="s">
        <v>97</v>
      </c>
      <c r="K1024" s="154" t="s">
        <v>91</v>
      </c>
      <c r="L1024" s="154" t="s">
        <v>1897</v>
      </c>
      <c r="M1024" s="154" t="s">
        <v>1383</v>
      </c>
      <c r="N1024" s="154" t="s">
        <v>61</v>
      </c>
      <c r="O1024" s="154" t="s">
        <v>62</v>
      </c>
      <c r="P1024" s="146">
        <v>0.01</v>
      </c>
      <c r="Q1024" s="146">
        <v>0</v>
      </c>
      <c r="R1024" s="154" t="s">
        <v>1384</v>
      </c>
      <c r="S1024" s="154" t="s">
        <v>1899</v>
      </c>
      <c r="T1024" s="155" t="s">
        <v>1899</v>
      </c>
      <c r="U1024" s="155" t="s">
        <v>1899</v>
      </c>
      <c r="V1024" s="154" t="s">
        <v>1562</v>
      </c>
      <c r="W1024" s="154">
        <v>0</v>
      </c>
      <c r="X1024" s="154" t="s">
        <v>63</v>
      </c>
      <c r="Y1024" s="154" t="s">
        <v>1900</v>
      </c>
      <c r="Z1024" s="154"/>
      <c r="AA1024" s="154" t="s">
        <v>1387</v>
      </c>
      <c r="AB1024" s="154">
        <v>0</v>
      </c>
      <c r="AC1024" s="138">
        <f>IFERROR(IF(DATEDIF(#REF!,U1024,"m")&lt;=1,1,IF(AND(DATEDIF(#REF!,U1024,"m")&gt;1,DATEDIF(#REF!,U1024,"m")&lt;12),2,IF(AND(DATEDIF(#REF!,U1024,"m")&gt;=12,DATEDIF(#REF!,U1024,"m")&lt;24),3,IF(DATEDIF(#REF!,U1024,"m")&gt;=24,4,"")))),IF(E1024="r0320 - Deposits, not covered and not preferential",1,4))</f>
        <v>4</v>
      </c>
    </row>
    <row r="1025" spans="3:29" ht="48.75" thickBot="1" x14ac:dyDescent="0.3">
      <c r="C1025" s="11">
        <v>999</v>
      </c>
      <c r="D1025" s="154">
        <v>1018</v>
      </c>
      <c r="E1025" s="154" t="s">
        <v>1902</v>
      </c>
      <c r="F1025" s="154" t="s">
        <v>83</v>
      </c>
      <c r="G1025" s="154" t="s">
        <v>1903</v>
      </c>
      <c r="H1025" s="154" t="s">
        <v>920</v>
      </c>
      <c r="I1025" s="154" t="s">
        <v>114</v>
      </c>
      <c r="J1025" s="154" t="s">
        <v>115</v>
      </c>
      <c r="K1025" s="154" t="s">
        <v>60</v>
      </c>
      <c r="L1025" s="154" t="s">
        <v>1897</v>
      </c>
      <c r="M1025" s="154" t="s">
        <v>1388</v>
      </c>
      <c r="N1025" s="154" t="s">
        <v>61</v>
      </c>
      <c r="O1025" s="154" t="s">
        <v>62</v>
      </c>
      <c r="P1025" s="146">
        <v>943611.45</v>
      </c>
      <c r="Q1025" s="146">
        <v>-74.59</v>
      </c>
      <c r="R1025" s="154" t="s">
        <v>1384</v>
      </c>
      <c r="S1025" s="154" t="s">
        <v>1899</v>
      </c>
      <c r="T1025" s="155" t="s">
        <v>768</v>
      </c>
      <c r="U1025" s="155" t="s">
        <v>1899</v>
      </c>
      <c r="V1025" s="154" t="s">
        <v>1904</v>
      </c>
      <c r="W1025" s="154">
        <v>0</v>
      </c>
      <c r="X1025" s="154" t="s">
        <v>63</v>
      </c>
      <c r="Y1025" s="154" t="s">
        <v>1386</v>
      </c>
      <c r="Z1025" s="154"/>
      <c r="AA1025" s="154" t="s">
        <v>1387</v>
      </c>
      <c r="AB1025" s="154">
        <v>0</v>
      </c>
      <c r="AC1025" s="138">
        <f>IFERROR(IF(DATEDIF(#REF!,U1025,"m")&lt;=1,1,IF(AND(DATEDIF(#REF!,U1025,"m")&gt;1,DATEDIF(#REF!,U1025,"m")&lt;12),2,IF(AND(DATEDIF(#REF!,U1025,"m")&gt;=12,DATEDIF(#REF!,U1025,"m")&lt;24),3,IF(DATEDIF(#REF!,U1025,"m")&gt;=24,4,"")))),IF(E1025="r0320 - Deposits, not covered and not preferential",1,4))</f>
        <v>4</v>
      </c>
    </row>
    <row r="1026" spans="3:29" ht="36.75" thickBot="1" x14ac:dyDescent="0.3">
      <c r="C1026" s="11">
        <v>999</v>
      </c>
      <c r="D1026" s="154">
        <v>1019</v>
      </c>
      <c r="E1026" s="154" t="s">
        <v>1898</v>
      </c>
      <c r="F1026" s="154" t="s">
        <v>87</v>
      </c>
      <c r="G1026" s="154" t="s">
        <v>1402</v>
      </c>
      <c r="H1026" s="154" t="s">
        <v>872</v>
      </c>
      <c r="I1026" s="154" t="s">
        <v>99</v>
      </c>
      <c r="J1026" s="154" t="s">
        <v>90</v>
      </c>
      <c r="K1026" s="154" t="s">
        <v>91</v>
      </c>
      <c r="L1026" s="154" t="s">
        <v>1897</v>
      </c>
      <c r="M1026" s="154" t="s">
        <v>1383</v>
      </c>
      <c r="N1026" s="154" t="s">
        <v>61</v>
      </c>
      <c r="O1026" s="154" t="s">
        <v>62</v>
      </c>
      <c r="P1026" s="146">
        <v>0.05</v>
      </c>
      <c r="Q1026" s="146">
        <v>0</v>
      </c>
      <c r="R1026" s="154" t="s">
        <v>1384</v>
      </c>
      <c r="S1026" s="154" t="s">
        <v>1899</v>
      </c>
      <c r="T1026" s="155" t="s">
        <v>1899</v>
      </c>
      <c r="U1026" s="155" t="s">
        <v>1899</v>
      </c>
      <c r="V1026" s="154" t="s">
        <v>1562</v>
      </c>
      <c r="W1026" s="154">
        <v>0</v>
      </c>
      <c r="X1026" s="154" t="s">
        <v>63</v>
      </c>
      <c r="Y1026" s="154" t="s">
        <v>1900</v>
      </c>
      <c r="Z1026" s="154"/>
      <c r="AA1026" s="154" t="s">
        <v>1387</v>
      </c>
      <c r="AB1026" s="154">
        <v>0</v>
      </c>
      <c r="AC1026" s="138">
        <f>IFERROR(IF(DATEDIF(#REF!,U1026,"m")&lt;=1,1,IF(AND(DATEDIF(#REF!,U1026,"m")&gt;1,DATEDIF(#REF!,U1026,"m")&lt;12),2,IF(AND(DATEDIF(#REF!,U1026,"m")&gt;=12,DATEDIF(#REF!,U1026,"m")&lt;24),3,IF(DATEDIF(#REF!,U1026,"m")&gt;=24,4,"")))),IF(E1026="r0320 - Deposits, not covered and not preferential",1,4))</f>
        <v>4</v>
      </c>
    </row>
    <row r="1027" spans="3:29" ht="36.75" thickBot="1" x14ac:dyDescent="0.3">
      <c r="C1027" s="11">
        <v>999</v>
      </c>
      <c r="D1027" s="154">
        <v>1020</v>
      </c>
      <c r="E1027" s="154" t="s">
        <v>1898</v>
      </c>
      <c r="F1027" s="154" t="s">
        <v>87</v>
      </c>
      <c r="G1027" s="154" t="s">
        <v>1402</v>
      </c>
      <c r="H1027" s="154" t="s">
        <v>948</v>
      </c>
      <c r="I1027" s="154" t="s">
        <v>108</v>
      </c>
      <c r="J1027" s="154" t="s">
        <v>90</v>
      </c>
      <c r="K1027" s="154" t="s">
        <v>91</v>
      </c>
      <c r="L1027" s="154" t="s">
        <v>1897</v>
      </c>
      <c r="M1027" s="154" t="s">
        <v>1383</v>
      </c>
      <c r="N1027" s="154" t="s">
        <v>61</v>
      </c>
      <c r="O1027" s="154" t="s">
        <v>62</v>
      </c>
      <c r="P1027" s="146">
        <v>9.2899999999999991</v>
      </c>
      <c r="Q1027" s="146">
        <v>0</v>
      </c>
      <c r="R1027" s="154" t="s">
        <v>1384</v>
      </c>
      <c r="S1027" s="154" t="s">
        <v>1899</v>
      </c>
      <c r="T1027" s="155" t="s">
        <v>1899</v>
      </c>
      <c r="U1027" s="155" t="s">
        <v>1899</v>
      </c>
      <c r="V1027" s="154" t="s">
        <v>1562</v>
      </c>
      <c r="W1027" s="154">
        <v>0</v>
      </c>
      <c r="X1027" s="154" t="s">
        <v>63</v>
      </c>
      <c r="Y1027" s="154" t="s">
        <v>1900</v>
      </c>
      <c r="Z1027" s="154"/>
      <c r="AA1027" s="154" t="s">
        <v>1387</v>
      </c>
      <c r="AB1027" s="154">
        <v>0</v>
      </c>
      <c r="AC1027" s="138">
        <f>IFERROR(IF(DATEDIF(#REF!,U1027,"m")&lt;=1,1,IF(AND(DATEDIF(#REF!,U1027,"m")&gt;1,DATEDIF(#REF!,U1027,"m")&lt;12),2,IF(AND(DATEDIF(#REF!,U1027,"m")&gt;=12,DATEDIF(#REF!,U1027,"m")&lt;24),3,IF(DATEDIF(#REF!,U1027,"m")&gt;=24,4,"")))),IF(E1027="r0320 - Deposits, not covered and not preferential",1,4))</f>
        <v>4</v>
      </c>
    </row>
    <row r="1028" spans="3:29" ht="36.75" thickBot="1" x14ac:dyDescent="0.3">
      <c r="C1028" s="11">
        <v>999</v>
      </c>
      <c r="D1028" s="154">
        <v>1021</v>
      </c>
      <c r="E1028" s="154" t="s">
        <v>1898</v>
      </c>
      <c r="F1028" s="154" t="s">
        <v>87</v>
      </c>
      <c r="G1028" s="154" t="s">
        <v>1402</v>
      </c>
      <c r="H1028" s="154" t="s">
        <v>586</v>
      </c>
      <c r="I1028" s="154" t="s">
        <v>108</v>
      </c>
      <c r="J1028" s="154" t="s">
        <v>90</v>
      </c>
      <c r="K1028" s="154" t="s">
        <v>91</v>
      </c>
      <c r="L1028" s="154" t="s">
        <v>1897</v>
      </c>
      <c r="M1028" s="154" t="s">
        <v>1383</v>
      </c>
      <c r="N1028" s="154" t="s">
        <v>61</v>
      </c>
      <c r="O1028" s="154" t="s">
        <v>62</v>
      </c>
      <c r="P1028" s="146">
        <v>1.92</v>
      </c>
      <c r="Q1028" s="146">
        <v>0</v>
      </c>
      <c r="R1028" s="154" t="s">
        <v>1384</v>
      </c>
      <c r="S1028" s="154" t="s">
        <v>1899</v>
      </c>
      <c r="T1028" s="155" t="s">
        <v>1899</v>
      </c>
      <c r="U1028" s="155" t="s">
        <v>1899</v>
      </c>
      <c r="V1028" s="154" t="s">
        <v>1562</v>
      </c>
      <c r="W1028" s="154">
        <v>0</v>
      </c>
      <c r="X1028" s="154" t="s">
        <v>63</v>
      </c>
      <c r="Y1028" s="154" t="s">
        <v>1900</v>
      </c>
      <c r="Z1028" s="154"/>
      <c r="AA1028" s="154" t="s">
        <v>1387</v>
      </c>
      <c r="AB1028" s="154">
        <v>0</v>
      </c>
      <c r="AC1028" s="138">
        <f>IFERROR(IF(DATEDIF(#REF!,U1028,"m")&lt;=1,1,IF(AND(DATEDIF(#REF!,U1028,"m")&gt;1,DATEDIF(#REF!,U1028,"m")&lt;12),2,IF(AND(DATEDIF(#REF!,U1028,"m")&gt;=12,DATEDIF(#REF!,U1028,"m")&lt;24),3,IF(DATEDIF(#REF!,U1028,"m")&gt;=24,4,"")))),IF(E1028="r0320 - Deposits, not covered and not preferential",1,4))</f>
        <v>4</v>
      </c>
    </row>
    <row r="1029" spans="3:29" ht="36.75" thickBot="1" x14ac:dyDescent="0.3">
      <c r="C1029" s="11">
        <v>999</v>
      </c>
      <c r="D1029" s="154">
        <v>1022</v>
      </c>
      <c r="E1029" s="154" t="s">
        <v>1898</v>
      </c>
      <c r="F1029" s="154" t="s">
        <v>87</v>
      </c>
      <c r="G1029" s="154" t="s">
        <v>1402</v>
      </c>
      <c r="H1029" s="154" t="s">
        <v>580</v>
      </c>
      <c r="I1029" s="154" t="s">
        <v>89</v>
      </c>
      <c r="J1029" s="154" t="s">
        <v>90</v>
      </c>
      <c r="K1029" s="154" t="s">
        <v>91</v>
      </c>
      <c r="L1029" s="154" t="s">
        <v>1901</v>
      </c>
      <c r="M1029" s="154" t="s">
        <v>1383</v>
      </c>
      <c r="N1029" s="154" t="s">
        <v>61</v>
      </c>
      <c r="O1029" s="154" t="s">
        <v>62</v>
      </c>
      <c r="P1029" s="146">
        <v>0.5</v>
      </c>
      <c r="Q1029" s="146">
        <v>0</v>
      </c>
      <c r="R1029" s="154" t="s">
        <v>1384</v>
      </c>
      <c r="S1029" s="154" t="s">
        <v>1899</v>
      </c>
      <c r="T1029" s="155" t="s">
        <v>1899</v>
      </c>
      <c r="U1029" s="155" t="s">
        <v>1899</v>
      </c>
      <c r="V1029" s="154" t="s">
        <v>1562</v>
      </c>
      <c r="W1029" s="154">
        <v>0</v>
      </c>
      <c r="X1029" s="154" t="s">
        <v>63</v>
      </c>
      <c r="Y1029" s="154" t="s">
        <v>1900</v>
      </c>
      <c r="Z1029" s="154"/>
      <c r="AA1029" s="154" t="s">
        <v>1387</v>
      </c>
      <c r="AB1029" s="154">
        <v>0</v>
      </c>
      <c r="AC1029" s="138">
        <f>IFERROR(IF(DATEDIF(#REF!,U1029,"m")&lt;=1,1,IF(AND(DATEDIF(#REF!,U1029,"m")&gt;1,DATEDIF(#REF!,U1029,"m")&lt;12),2,IF(AND(DATEDIF(#REF!,U1029,"m")&gt;=12,DATEDIF(#REF!,U1029,"m")&lt;24),3,IF(DATEDIF(#REF!,U1029,"m")&gt;=24,4,"")))),IF(E1029="r0320 - Deposits, not covered and not preferential",1,4))</f>
        <v>4</v>
      </c>
    </row>
    <row r="1030" spans="3:29" ht="36.75" thickBot="1" x14ac:dyDescent="0.3">
      <c r="C1030" s="11">
        <v>999</v>
      </c>
      <c r="D1030" s="154">
        <v>1023</v>
      </c>
      <c r="E1030" s="154" t="s">
        <v>1898</v>
      </c>
      <c r="F1030" s="154" t="s">
        <v>87</v>
      </c>
      <c r="G1030" s="154" t="s">
        <v>1402</v>
      </c>
      <c r="H1030" s="154" t="s">
        <v>957</v>
      </c>
      <c r="I1030" s="154" t="s">
        <v>99</v>
      </c>
      <c r="J1030" s="154" t="s">
        <v>90</v>
      </c>
      <c r="K1030" s="154" t="s">
        <v>91</v>
      </c>
      <c r="L1030" s="154" t="s">
        <v>1897</v>
      </c>
      <c r="M1030" s="154" t="s">
        <v>1383</v>
      </c>
      <c r="N1030" s="154" t="s">
        <v>61</v>
      </c>
      <c r="O1030" s="154" t="s">
        <v>62</v>
      </c>
      <c r="P1030" s="146">
        <v>0.04</v>
      </c>
      <c r="Q1030" s="146">
        <v>0</v>
      </c>
      <c r="R1030" s="154" t="s">
        <v>1384</v>
      </c>
      <c r="S1030" s="154" t="s">
        <v>1899</v>
      </c>
      <c r="T1030" s="155" t="s">
        <v>1899</v>
      </c>
      <c r="U1030" s="155" t="s">
        <v>1899</v>
      </c>
      <c r="V1030" s="154" t="s">
        <v>1562</v>
      </c>
      <c r="W1030" s="154">
        <v>0</v>
      </c>
      <c r="X1030" s="154" t="s">
        <v>63</v>
      </c>
      <c r="Y1030" s="154" t="s">
        <v>1900</v>
      </c>
      <c r="Z1030" s="154"/>
      <c r="AA1030" s="154" t="s">
        <v>1387</v>
      </c>
      <c r="AB1030" s="154">
        <v>0</v>
      </c>
      <c r="AC1030" s="138">
        <f>IFERROR(IF(DATEDIF(#REF!,U1030,"m")&lt;=1,1,IF(AND(DATEDIF(#REF!,U1030,"m")&gt;1,DATEDIF(#REF!,U1030,"m")&lt;12),2,IF(AND(DATEDIF(#REF!,U1030,"m")&gt;=12,DATEDIF(#REF!,U1030,"m")&lt;24),3,IF(DATEDIF(#REF!,U1030,"m")&gt;=24,4,"")))),IF(E1030="r0320 - Deposits, not covered and not preferential",1,4))</f>
        <v>4</v>
      </c>
    </row>
    <row r="1031" spans="3:29" ht="36.75" thickBot="1" x14ac:dyDescent="0.3">
      <c r="C1031" s="11">
        <v>999</v>
      </c>
      <c r="D1031" s="154">
        <v>1024</v>
      </c>
      <c r="E1031" s="154" t="s">
        <v>1898</v>
      </c>
      <c r="F1031" s="154" t="s">
        <v>87</v>
      </c>
      <c r="G1031" s="154" t="s">
        <v>1402</v>
      </c>
      <c r="H1031" s="154" t="s">
        <v>946</v>
      </c>
      <c r="I1031" s="154" t="s">
        <v>96</v>
      </c>
      <c r="J1031" s="154" t="s">
        <v>97</v>
      </c>
      <c r="K1031" s="154" t="s">
        <v>91</v>
      </c>
      <c r="L1031" s="154" t="s">
        <v>1897</v>
      </c>
      <c r="M1031" s="154" t="s">
        <v>1383</v>
      </c>
      <c r="N1031" s="154" t="s">
        <v>61</v>
      </c>
      <c r="O1031" s="154" t="s">
        <v>62</v>
      </c>
      <c r="P1031" s="146">
        <v>7.56</v>
      </c>
      <c r="Q1031" s="146">
        <v>0</v>
      </c>
      <c r="R1031" s="154" t="s">
        <v>1384</v>
      </c>
      <c r="S1031" s="154" t="s">
        <v>1899</v>
      </c>
      <c r="T1031" s="155" t="s">
        <v>1899</v>
      </c>
      <c r="U1031" s="155" t="s">
        <v>1899</v>
      </c>
      <c r="V1031" s="154" t="s">
        <v>1562</v>
      </c>
      <c r="W1031" s="154">
        <v>0</v>
      </c>
      <c r="X1031" s="154" t="s">
        <v>63</v>
      </c>
      <c r="Y1031" s="154" t="s">
        <v>1900</v>
      </c>
      <c r="Z1031" s="154"/>
      <c r="AA1031" s="154" t="s">
        <v>1387</v>
      </c>
      <c r="AB1031" s="154">
        <v>0</v>
      </c>
      <c r="AC1031" s="138">
        <f>IFERROR(IF(DATEDIF(#REF!,U1031,"m")&lt;=1,1,IF(AND(DATEDIF(#REF!,U1031,"m")&gt;1,DATEDIF(#REF!,U1031,"m")&lt;12),2,IF(AND(DATEDIF(#REF!,U1031,"m")&gt;=12,DATEDIF(#REF!,U1031,"m")&lt;24),3,IF(DATEDIF(#REF!,U1031,"m")&gt;=24,4,"")))),IF(E1031="r0320 - Deposits, not covered and not preferential",1,4))</f>
        <v>4</v>
      </c>
    </row>
    <row r="1032" spans="3:29" ht="36.75" thickBot="1" x14ac:dyDescent="0.3">
      <c r="C1032" s="11">
        <v>999</v>
      </c>
      <c r="D1032" s="154">
        <v>1025</v>
      </c>
      <c r="E1032" s="154" t="s">
        <v>1898</v>
      </c>
      <c r="F1032" s="154" t="s">
        <v>87</v>
      </c>
      <c r="G1032" s="154" t="s">
        <v>1402</v>
      </c>
      <c r="H1032" s="154" t="s">
        <v>997</v>
      </c>
      <c r="I1032" s="154" t="s">
        <v>99</v>
      </c>
      <c r="J1032" s="154" t="s">
        <v>90</v>
      </c>
      <c r="K1032" s="154" t="s">
        <v>91</v>
      </c>
      <c r="L1032" s="154" t="s">
        <v>1897</v>
      </c>
      <c r="M1032" s="154" t="s">
        <v>1383</v>
      </c>
      <c r="N1032" s="154" t="s">
        <v>61</v>
      </c>
      <c r="O1032" s="154" t="s">
        <v>62</v>
      </c>
      <c r="P1032" s="146">
        <v>0.02</v>
      </c>
      <c r="Q1032" s="146">
        <v>0</v>
      </c>
      <c r="R1032" s="154" t="s">
        <v>1384</v>
      </c>
      <c r="S1032" s="154" t="s">
        <v>1899</v>
      </c>
      <c r="T1032" s="155" t="s">
        <v>1899</v>
      </c>
      <c r="U1032" s="155" t="s">
        <v>1899</v>
      </c>
      <c r="V1032" s="154" t="s">
        <v>1562</v>
      </c>
      <c r="W1032" s="154">
        <v>0</v>
      </c>
      <c r="X1032" s="154" t="s">
        <v>63</v>
      </c>
      <c r="Y1032" s="154" t="s">
        <v>1900</v>
      </c>
      <c r="Z1032" s="154"/>
      <c r="AA1032" s="154" t="s">
        <v>1387</v>
      </c>
      <c r="AB1032" s="154">
        <v>0</v>
      </c>
      <c r="AC1032" s="138">
        <f>IFERROR(IF(DATEDIF(#REF!,U1032,"m")&lt;=1,1,IF(AND(DATEDIF(#REF!,U1032,"m")&gt;1,DATEDIF(#REF!,U1032,"m")&lt;12),2,IF(AND(DATEDIF(#REF!,U1032,"m")&gt;=12,DATEDIF(#REF!,U1032,"m")&lt;24),3,IF(DATEDIF(#REF!,U1032,"m")&gt;=24,4,"")))),IF(E1032="r0320 - Deposits, not covered and not preferential",1,4))</f>
        <v>4</v>
      </c>
    </row>
    <row r="1033" spans="3:29" ht="48.75" thickBot="1" x14ac:dyDescent="0.3">
      <c r="C1033" s="11">
        <v>999</v>
      </c>
      <c r="D1033" s="154">
        <v>1026</v>
      </c>
      <c r="E1033" s="154" t="s">
        <v>1902</v>
      </c>
      <c r="F1033" s="154" t="s">
        <v>83</v>
      </c>
      <c r="G1033" s="154" t="s">
        <v>1903</v>
      </c>
      <c r="H1033" s="154" t="s">
        <v>938</v>
      </c>
      <c r="I1033" s="154" t="s">
        <v>114</v>
      </c>
      <c r="J1033" s="154" t="s">
        <v>115</v>
      </c>
      <c r="K1033" s="154" t="s">
        <v>60</v>
      </c>
      <c r="L1033" s="154" t="s">
        <v>1897</v>
      </c>
      <c r="M1033" s="154" t="s">
        <v>1388</v>
      </c>
      <c r="N1033" s="154" t="s">
        <v>61</v>
      </c>
      <c r="O1033" s="154" t="s">
        <v>62</v>
      </c>
      <c r="P1033" s="146">
        <v>281626.21000000002</v>
      </c>
      <c r="Q1033" s="146">
        <v>64.989999999999995</v>
      </c>
      <c r="R1033" s="154" t="s">
        <v>1384</v>
      </c>
      <c r="S1033" s="154" t="s">
        <v>1899</v>
      </c>
      <c r="T1033" s="155" t="s">
        <v>768</v>
      </c>
      <c r="U1033" s="155" t="s">
        <v>1899</v>
      </c>
      <c r="V1033" s="154" t="s">
        <v>1904</v>
      </c>
      <c r="W1033" s="154">
        <v>0</v>
      </c>
      <c r="X1033" s="154" t="s">
        <v>63</v>
      </c>
      <c r="Y1033" s="154" t="s">
        <v>1386</v>
      </c>
      <c r="Z1033" s="154"/>
      <c r="AA1033" s="154" t="s">
        <v>1387</v>
      </c>
      <c r="AB1033" s="154">
        <v>0</v>
      </c>
      <c r="AC1033" s="138">
        <f>IFERROR(IF(DATEDIF(#REF!,U1033,"m")&lt;=1,1,IF(AND(DATEDIF(#REF!,U1033,"m")&gt;1,DATEDIF(#REF!,U1033,"m")&lt;12),2,IF(AND(DATEDIF(#REF!,U1033,"m")&gt;=12,DATEDIF(#REF!,U1033,"m")&lt;24),3,IF(DATEDIF(#REF!,U1033,"m")&gt;=24,4,"")))),IF(E1033="r0320 - Deposits, not covered and not preferential",1,4))</f>
        <v>4</v>
      </c>
    </row>
    <row r="1034" spans="3:29" ht="36.75" thickBot="1" x14ac:dyDescent="0.3">
      <c r="C1034" s="11">
        <v>999</v>
      </c>
      <c r="D1034" s="154">
        <v>1027</v>
      </c>
      <c r="E1034" s="154" t="s">
        <v>1898</v>
      </c>
      <c r="F1034" s="154" t="s">
        <v>87</v>
      </c>
      <c r="G1034" s="154" t="s">
        <v>1402</v>
      </c>
      <c r="H1034" s="154" t="s">
        <v>362</v>
      </c>
      <c r="I1034" s="154" t="s">
        <v>99</v>
      </c>
      <c r="J1034" s="154" t="s">
        <v>90</v>
      </c>
      <c r="K1034" s="154" t="s">
        <v>91</v>
      </c>
      <c r="L1034" s="154" t="s">
        <v>1897</v>
      </c>
      <c r="M1034" s="154" t="s">
        <v>1383</v>
      </c>
      <c r="N1034" s="154" t="s">
        <v>61</v>
      </c>
      <c r="O1034" s="154" t="s">
        <v>62</v>
      </c>
      <c r="P1034" s="146">
        <v>2.75</v>
      </c>
      <c r="Q1034" s="146">
        <v>0</v>
      </c>
      <c r="R1034" s="154" t="s">
        <v>1384</v>
      </c>
      <c r="S1034" s="154" t="s">
        <v>1899</v>
      </c>
      <c r="T1034" s="155" t="s">
        <v>1899</v>
      </c>
      <c r="U1034" s="155" t="s">
        <v>1899</v>
      </c>
      <c r="V1034" s="154" t="s">
        <v>1562</v>
      </c>
      <c r="W1034" s="154">
        <v>0</v>
      </c>
      <c r="X1034" s="154" t="s">
        <v>63</v>
      </c>
      <c r="Y1034" s="154" t="s">
        <v>1900</v>
      </c>
      <c r="Z1034" s="154"/>
      <c r="AA1034" s="154" t="s">
        <v>1387</v>
      </c>
      <c r="AB1034" s="154">
        <v>0</v>
      </c>
      <c r="AC1034" s="138">
        <f>IFERROR(IF(DATEDIF(#REF!,U1034,"m")&lt;=1,1,IF(AND(DATEDIF(#REF!,U1034,"m")&gt;1,DATEDIF(#REF!,U1034,"m")&lt;12),2,IF(AND(DATEDIF(#REF!,U1034,"m")&gt;=12,DATEDIF(#REF!,U1034,"m")&lt;24),3,IF(DATEDIF(#REF!,U1034,"m")&gt;=24,4,"")))),IF(E1034="r0320 - Deposits, not covered and not preferential",1,4))</f>
        <v>4</v>
      </c>
    </row>
    <row r="1035" spans="3:29" ht="36.75" thickBot="1" x14ac:dyDescent="0.3">
      <c r="C1035" s="11">
        <v>999</v>
      </c>
      <c r="D1035" s="154">
        <v>1028</v>
      </c>
      <c r="E1035" s="154" t="s">
        <v>1898</v>
      </c>
      <c r="F1035" s="154" t="s">
        <v>87</v>
      </c>
      <c r="G1035" s="154" t="s">
        <v>1402</v>
      </c>
      <c r="H1035" s="154" t="s">
        <v>139</v>
      </c>
      <c r="I1035" s="154" t="s">
        <v>96</v>
      </c>
      <c r="J1035" s="154" t="s">
        <v>97</v>
      </c>
      <c r="K1035" s="154" t="s">
        <v>91</v>
      </c>
      <c r="L1035" s="154" t="s">
        <v>1897</v>
      </c>
      <c r="M1035" s="154" t="s">
        <v>1383</v>
      </c>
      <c r="N1035" s="154" t="s">
        <v>61</v>
      </c>
      <c r="O1035" s="154" t="s">
        <v>62</v>
      </c>
      <c r="P1035" s="146">
        <v>9.59</v>
      </c>
      <c r="Q1035" s="146">
        <v>0</v>
      </c>
      <c r="R1035" s="154" t="s">
        <v>1384</v>
      </c>
      <c r="S1035" s="154" t="s">
        <v>1899</v>
      </c>
      <c r="T1035" s="155" t="s">
        <v>1899</v>
      </c>
      <c r="U1035" s="155" t="s">
        <v>1899</v>
      </c>
      <c r="V1035" s="154" t="s">
        <v>1562</v>
      </c>
      <c r="W1035" s="154">
        <v>0</v>
      </c>
      <c r="X1035" s="154" t="s">
        <v>63</v>
      </c>
      <c r="Y1035" s="154" t="s">
        <v>1900</v>
      </c>
      <c r="Z1035" s="154"/>
      <c r="AA1035" s="154" t="s">
        <v>1387</v>
      </c>
      <c r="AB1035" s="154">
        <v>0</v>
      </c>
      <c r="AC1035" s="138">
        <f>IFERROR(IF(DATEDIF(#REF!,U1035,"m")&lt;=1,1,IF(AND(DATEDIF(#REF!,U1035,"m")&gt;1,DATEDIF(#REF!,U1035,"m")&lt;12),2,IF(AND(DATEDIF(#REF!,U1035,"m")&gt;=12,DATEDIF(#REF!,U1035,"m")&lt;24),3,IF(DATEDIF(#REF!,U1035,"m")&gt;=24,4,"")))),IF(E1035="r0320 - Deposits, not covered and not preferential",1,4))</f>
        <v>4</v>
      </c>
    </row>
    <row r="1036" spans="3:29" ht="48.75" thickBot="1" x14ac:dyDescent="0.3">
      <c r="C1036" s="11">
        <v>999</v>
      </c>
      <c r="D1036" s="154">
        <v>1029</v>
      </c>
      <c r="E1036" s="154" t="s">
        <v>1902</v>
      </c>
      <c r="F1036" s="154" t="s">
        <v>83</v>
      </c>
      <c r="G1036" s="154" t="s">
        <v>1903</v>
      </c>
      <c r="H1036" s="154" t="s">
        <v>537</v>
      </c>
      <c r="I1036" s="154" t="s">
        <v>93</v>
      </c>
      <c r="J1036" s="154" t="s">
        <v>94</v>
      </c>
      <c r="K1036" s="154" t="s">
        <v>60</v>
      </c>
      <c r="L1036" s="154" t="s">
        <v>1897</v>
      </c>
      <c r="M1036" s="154" t="s">
        <v>1388</v>
      </c>
      <c r="N1036" s="154" t="s">
        <v>61</v>
      </c>
      <c r="O1036" s="154" t="s">
        <v>62</v>
      </c>
      <c r="P1036" s="146">
        <v>419874.64</v>
      </c>
      <c r="Q1036" s="146">
        <v>88.55</v>
      </c>
      <c r="R1036" s="154" t="s">
        <v>1384</v>
      </c>
      <c r="S1036" s="154" t="s">
        <v>1899</v>
      </c>
      <c r="T1036" s="155" t="s">
        <v>768</v>
      </c>
      <c r="U1036" s="155" t="s">
        <v>1899</v>
      </c>
      <c r="V1036" s="154" t="s">
        <v>1904</v>
      </c>
      <c r="W1036" s="154">
        <v>0</v>
      </c>
      <c r="X1036" s="154" t="s">
        <v>63</v>
      </c>
      <c r="Y1036" s="154" t="s">
        <v>1386</v>
      </c>
      <c r="Z1036" s="154"/>
      <c r="AA1036" s="154" t="s">
        <v>1387</v>
      </c>
      <c r="AB1036" s="154">
        <v>0</v>
      </c>
      <c r="AC1036" s="138">
        <f>IFERROR(IF(DATEDIF(#REF!,U1036,"m")&lt;=1,1,IF(AND(DATEDIF(#REF!,U1036,"m")&gt;1,DATEDIF(#REF!,U1036,"m")&lt;12),2,IF(AND(DATEDIF(#REF!,U1036,"m")&gt;=12,DATEDIF(#REF!,U1036,"m")&lt;24),3,IF(DATEDIF(#REF!,U1036,"m")&gt;=24,4,"")))),IF(E1036="r0320 - Deposits, not covered and not preferential",1,4))</f>
        <v>4</v>
      </c>
    </row>
    <row r="1037" spans="3:29" ht="48.75" thickBot="1" x14ac:dyDescent="0.3">
      <c r="C1037" s="11">
        <v>999</v>
      </c>
      <c r="D1037" s="154">
        <v>1030</v>
      </c>
      <c r="E1037" s="154" t="s">
        <v>1902</v>
      </c>
      <c r="F1037" s="154" t="s">
        <v>83</v>
      </c>
      <c r="G1037" s="154" t="s">
        <v>1903</v>
      </c>
      <c r="H1037" s="154" t="s">
        <v>925</v>
      </c>
      <c r="I1037" s="154" t="s">
        <v>93</v>
      </c>
      <c r="J1037" s="154" t="s">
        <v>94</v>
      </c>
      <c r="K1037" s="154" t="s">
        <v>60</v>
      </c>
      <c r="L1037" s="154" t="s">
        <v>1897</v>
      </c>
      <c r="M1037" s="154" t="s">
        <v>1388</v>
      </c>
      <c r="N1037" s="154" t="s">
        <v>61</v>
      </c>
      <c r="O1037" s="154" t="s">
        <v>62</v>
      </c>
      <c r="P1037" s="146">
        <v>14707.96</v>
      </c>
      <c r="Q1037" s="146">
        <v>0</v>
      </c>
      <c r="R1037" s="154" t="s">
        <v>1384</v>
      </c>
      <c r="S1037" s="154" t="s">
        <v>1899</v>
      </c>
      <c r="T1037" s="155" t="s">
        <v>768</v>
      </c>
      <c r="U1037" s="155" t="s">
        <v>1899</v>
      </c>
      <c r="V1037" s="154" t="s">
        <v>1904</v>
      </c>
      <c r="W1037" s="154">
        <v>0</v>
      </c>
      <c r="X1037" s="154" t="s">
        <v>63</v>
      </c>
      <c r="Y1037" s="154" t="s">
        <v>1386</v>
      </c>
      <c r="Z1037" s="154"/>
      <c r="AA1037" s="154" t="s">
        <v>1387</v>
      </c>
      <c r="AB1037" s="154">
        <v>0</v>
      </c>
      <c r="AC1037" s="138">
        <f>IFERROR(IF(DATEDIF(#REF!,U1037,"m")&lt;=1,1,IF(AND(DATEDIF(#REF!,U1037,"m")&gt;1,DATEDIF(#REF!,U1037,"m")&lt;12),2,IF(AND(DATEDIF(#REF!,U1037,"m")&gt;=12,DATEDIF(#REF!,U1037,"m")&lt;24),3,IF(DATEDIF(#REF!,U1037,"m")&gt;=24,4,"")))),IF(E1037="r0320 - Deposits, not covered and not preferential",1,4))</f>
        <v>4</v>
      </c>
    </row>
    <row r="1038" spans="3:29" ht="36.75" thickBot="1" x14ac:dyDescent="0.3">
      <c r="C1038" s="11">
        <v>999</v>
      </c>
      <c r="D1038" s="154">
        <v>1031</v>
      </c>
      <c r="E1038" s="154" t="s">
        <v>1898</v>
      </c>
      <c r="F1038" s="154" t="s">
        <v>87</v>
      </c>
      <c r="G1038" s="154" t="s">
        <v>1402</v>
      </c>
      <c r="H1038" s="154" t="s">
        <v>951</v>
      </c>
      <c r="I1038" s="154" t="s">
        <v>99</v>
      </c>
      <c r="J1038" s="154" t="s">
        <v>90</v>
      </c>
      <c r="K1038" s="154" t="s">
        <v>91</v>
      </c>
      <c r="L1038" s="154" t="s">
        <v>1897</v>
      </c>
      <c r="M1038" s="154" t="s">
        <v>1383</v>
      </c>
      <c r="N1038" s="154" t="s">
        <v>61</v>
      </c>
      <c r="O1038" s="154" t="s">
        <v>62</v>
      </c>
      <c r="P1038" s="146">
        <v>0.02</v>
      </c>
      <c r="Q1038" s="146">
        <v>0</v>
      </c>
      <c r="R1038" s="154" t="s">
        <v>1384</v>
      </c>
      <c r="S1038" s="154" t="s">
        <v>1899</v>
      </c>
      <c r="T1038" s="155" t="s">
        <v>1899</v>
      </c>
      <c r="U1038" s="155" t="s">
        <v>1899</v>
      </c>
      <c r="V1038" s="154" t="s">
        <v>1562</v>
      </c>
      <c r="W1038" s="154">
        <v>0</v>
      </c>
      <c r="X1038" s="154" t="s">
        <v>63</v>
      </c>
      <c r="Y1038" s="154" t="s">
        <v>1900</v>
      </c>
      <c r="Z1038" s="154"/>
      <c r="AA1038" s="154" t="s">
        <v>1387</v>
      </c>
      <c r="AB1038" s="154">
        <v>0</v>
      </c>
      <c r="AC1038" s="138">
        <f>IFERROR(IF(DATEDIF(#REF!,U1038,"m")&lt;=1,1,IF(AND(DATEDIF(#REF!,U1038,"m")&gt;1,DATEDIF(#REF!,U1038,"m")&lt;12),2,IF(AND(DATEDIF(#REF!,U1038,"m")&gt;=12,DATEDIF(#REF!,U1038,"m")&lt;24),3,IF(DATEDIF(#REF!,U1038,"m")&gt;=24,4,"")))),IF(E1038="r0320 - Deposits, not covered and not preferential",1,4))</f>
        <v>4</v>
      </c>
    </row>
    <row r="1039" spans="3:29" ht="36.75" thickBot="1" x14ac:dyDescent="0.3">
      <c r="C1039" s="11">
        <v>999</v>
      </c>
      <c r="D1039" s="154">
        <v>1032</v>
      </c>
      <c r="E1039" s="154" t="s">
        <v>1898</v>
      </c>
      <c r="F1039" s="154" t="s">
        <v>87</v>
      </c>
      <c r="G1039" s="154" t="s">
        <v>1402</v>
      </c>
      <c r="H1039" s="154" t="s">
        <v>230</v>
      </c>
      <c r="I1039" s="154" t="s">
        <v>96</v>
      </c>
      <c r="J1039" s="154" t="s">
        <v>97</v>
      </c>
      <c r="K1039" s="154" t="s">
        <v>91</v>
      </c>
      <c r="L1039" s="154" t="s">
        <v>1897</v>
      </c>
      <c r="M1039" s="154" t="s">
        <v>1383</v>
      </c>
      <c r="N1039" s="154" t="s">
        <v>61</v>
      </c>
      <c r="O1039" s="154" t="s">
        <v>62</v>
      </c>
      <c r="P1039" s="146">
        <v>27.66</v>
      </c>
      <c r="Q1039" s="146">
        <v>0</v>
      </c>
      <c r="R1039" s="154" t="s">
        <v>1384</v>
      </c>
      <c r="S1039" s="154" t="s">
        <v>1899</v>
      </c>
      <c r="T1039" s="155" t="s">
        <v>1899</v>
      </c>
      <c r="U1039" s="155" t="s">
        <v>1899</v>
      </c>
      <c r="V1039" s="154" t="s">
        <v>1562</v>
      </c>
      <c r="W1039" s="154">
        <v>0</v>
      </c>
      <c r="X1039" s="154" t="s">
        <v>63</v>
      </c>
      <c r="Y1039" s="154" t="s">
        <v>1900</v>
      </c>
      <c r="Z1039" s="154"/>
      <c r="AA1039" s="154" t="s">
        <v>1387</v>
      </c>
      <c r="AB1039" s="154">
        <v>0</v>
      </c>
      <c r="AC1039" s="138">
        <f>IFERROR(IF(DATEDIF(#REF!,U1039,"m")&lt;=1,1,IF(AND(DATEDIF(#REF!,U1039,"m")&gt;1,DATEDIF(#REF!,U1039,"m")&lt;12),2,IF(AND(DATEDIF(#REF!,U1039,"m")&gt;=12,DATEDIF(#REF!,U1039,"m")&lt;24),3,IF(DATEDIF(#REF!,U1039,"m")&gt;=24,4,"")))),IF(E1039="r0320 - Deposits, not covered and not preferential",1,4))</f>
        <v>4</v>
      </c>
    </row>
    <row r="1040" spans="3:29" ht="36.75" thickBot="1" x14ac:dyDescent="0.3">
      <c r="C1040" s="11">
        <v>999</v>
      </c>
      <c r="D1040" s="154">
        <v>1033</v>
      </c>
      <c r="E1040" s="154" t="s">
        <v>1898</v>
      </c>
      <c r="F1040" s="154" t="s">
        <v>87</v>
      </c>
      <c r="G1040" s="154" t="s">
        <v>1402</v>
      </c>
      <c r="H1040" s="154" t="s">
        <v>1063</v>
      </c>
      <c r="I1040" s="154" t="s">
        <v>89</v>
      </c>
      <c r="J1040" s="154" t="s">
        <v>90</v>
      </c>
      <c r="K1040" s="154" t="s">
        <v>91</v>
      </c>
      <c r="L1040" s="154" t="s">
        <v>1901</v>
      </c>
      <c r="M1040" s="154" t="s">
        <v>1383</v>
      </c>
      <c r="N1040" s="154" t="s">
        <v>61</v>
      </c>
      <c r="O1040" s="154" t="s">
        <v>62</v>
      </c>
      <c r="P1040" s="146">
        <v>0.28000000000000003</v>
      </c>
      <c r="Q1040" s="146">
        <v>0</v>
      </c>
      <c r="R1040" s="154" t="s">
        <v>1384</v>
      </c>
      <c r="S1040" s="154" t="s">
        <v>1899</v>
      </c>
      <c r="T1040" s="155" t="s">
        <v>1899</v>
      </c>
      <c r="U1040" s="155" t="s">
        <v>1899</v>
      </c>
      <c r="V1040" s="154" t="s">
        <v>1562</v>
      </c>
      <c r="W1040" s="154">
        <v>0</v>
      </c>
      <c r="X1040" s="154" t="s">
        <v>63</v>
      </c>
      <c r="Y1040" s="154" t="s">
        <v>1900</v>
      </c>
      <c r="Z1040" s="154"/>
      <c r="AA1040" s="154" t="s">
        <v>1387</v>
      </c>
      <c r="AB1040" s="154">
        <v>0</v>
      </c>
      <c r="AC1040" s="138">
        <f>IFERROR(IF(DATEDIF(#REF!,U1040,"m")&lt;=1,1,IF(AND(DATEDIF(#REF!,U1040,"m")&gt;1,DATEDIF(#REF!,U1040,"m")&lt;12),2,IF(AND(DATEDIF(#REF!,U1040,"m")&gt;=12,DATEDIF(#REF!,U1040,"m")&lt;24),3,IF(DATEDIF(#REF!,U1040,"m")&gt;=24,4,"")))),IF(E1040="r0320 - Deposits, not covered and not preferential",1,4))</f>
        <v>4</v>
      </c>
    </row>
    <row r="1041" spans="3:29" ht="48.75" thickBot="1" x14ac:dyDescent="0.3">
      <c r="C1041" s="11">
        <v>999</v>
      </c>
      <c r="D1041" s="154">
        <v>1034</v>
      </c>
      <c r="E1041" s="154" t="s">
        <v>1902</v>
      </c>
      <c r="F1041" s="154" t="s">
        <v>83</v>
      </c>
      <c r="G1041" s="154" t="s">
        <v>1903</v>
      </c>
      <c r="H1041" s="154" t="s">
        <v>567</v>
      </c>
      <c r="I1041" s="154" t="s">
        <v>101</v>
      </c>
      <c r="J1041" s="154" t="s">
        <v>102</v>
      </c>
      <c r="K1041" s="154" t="s">
        <v>60</v>
      </c>
      <c r="L1041" s="154" t="s">
        <v>1897</v>
      </c>
      <c r="M1041" s="154" t="s">
        <v>1388</v>
      </c>
      <c r="N1041" s="154" t="s">
        <v>61</v>
      </c>
      <c r="O1041" s="154" t="s">
        <v>62</v>
      </c>
      <c r="P1041" s="146">
        <v>837761.71</v>
      </c>
      <c r="Q1041" s="146">
        <v>206.6</v>
      </c>
      <c r="R1041" s="154" t="s">
        <v>1384</v>
      </c>
      <c r="S1041" s="154" t="s">
        <v>1899</v>
      </c>
      <c r="T1041" s="155" t="s">
        <v>768</v>
      </c>
      <c r="U1041" s="155" t="s">
        <v>1899</v>
      </c>
      <c r="V1041" s="154" t="s">
        <v>1904</v>
      </c>
      <c r="W1041" s="154">
        <v>0</v>
      </c>
      <c r="X1041" s="154" t="s">
        <v>63</v>
      </c>
      <c r="Y1041" s="154" t="s">
        <v>1386</v>
      </c>
      <c r="Z1041" s="154"/>
      <c r="AA1041" s="154" t="s">
        <v>1387</v>
      </c>
      <c r="AB1041" s="154">
        <v>0</v>
      </c>
      <c r="AC1041" s="138">
        <f>IFERROR(IF(DATEDIF(#REF!,U1041,"m")&lt;=1,1,IF(AND(DATEDIF(#REF!,U1041,"m")&gt;1,DATEDIF(#REF!,U1041,"m")&lt;12),2,IF(AND(DATEDIF(#REF!,U1041,"m")&gt;=12,DATEDIF(#REF!,U1041,"m")&lt;24),3,IF(DATEDIF(#REF!,U1041,"m")&gt;=24,4,"")))),IF(E1041="r0320 - Deposits, not covered and not preferential",1,4))</f>
        <v>4</v>
      </c>
    </row>
    <row r="1042" spans="3:29" ht="36.75" thickBot="1" x14ac:dyDescent="0.3">
      <c r="C1042" s="11">
        <v>999</v>
      </c>
      <c r="D1042" s="154">
        <v>1035</v>
      </c>
      <c r="E1042" s="154" t="s">
        <v>1898</v>
      </c>
      <c r="F1042" s="154" t="s">
        <v>87</v>
      </c>
      <c r="G1042" s="154" t="s">
        <v>1402</v>
      </c>
      <c r="H1042" s="154" t="s">
        <v>949</v>
      </c>
      <c r="I1042" s="154" t="s">
        <v>99</v>
      </c>
      <c r="J1042" s="154" t="s">
        <v>90</v>
      </c>
      <c r="K1042" s="154" t="s">
        <v>91</v>
      </c>
      <c r="L1042" s="154" t="s">
        <v>1897</v>
      </c>
      <c r="M1042" s="154" t="s">
        <v>1383</v>
      </c>
      <c r="N1042" s="154" t="s">
        <v>61</v>
      </c>
      <c r="O1042" s="154" t="s">
        <v>62</v>
      </c>
      <c r="P1042" s="146">
        <v>0.09</v>
      </c>
      <c r="Q1042" s="146">
        <v>0</v>
      </c>
      <c r="R1042" s="154" t="s">
        <v>1384</v>
      </c>
      <c r="S1042" s="154" t="s">
        <v>1899</v>
      </c>
      <c r="T1042" s="155" t="s">
        <v>1899</v>
      </c>
      <c r="U1042" s="155" t="s">
        <v>1899</v>
      </c>
      <c r="V1042" s="154" t="s">
        <v>1562</v>
      </c>
      <c r="W1042" s="154">
        <v>0</v>
      </c>
      <c r="X1042" s="154" t="s">
        <v>63</v>
      </c>
      <c r="Y1042" s="154" t="s">
        <v>1900</v>
      </c>
      <c r="Z1042" s="154"/>
      <c r="AA1042" s="154" t="s">
        <v>1387</v>
      </c>
      <c r="AB1042" s="154">
        <v>0</v>
      </c>
      <c r="AC1042" s="138">
        <f>IFERROR(IF(DATEDIF(#REF!,U1042,"m")&lt;=1,1,IF(AND(DATEDIF(#REF!,U1042,"m")&gt;1,DATEDIF(#REF!,U1042,"m")&lt;12),2,IF(AND(DATEDIF(#REF!,U1042,"m")&gt;=12,DATEDIF(#REF!,U1042,"m")&lt;24),3,IF(DATEDIF(#REF!,U1042,"m")&gt;=24,4,"")))),IF(E1042="r0320 - Deposits, not covered and not preferential",1,4))</f>
        <v>4</v>
      </c>
    </row>
    <row r="1043" spans="3:29" ht="36.75" thickBot="1" x14ac:dyDescent="0.3">
      <c r="C1043" s="11">
        <v>999</v>
      </c>
      <c r="D1043" s="154">
        <v>1036</v>
      </c>
      <c r="E1043" s="154" t="s">
        <v>1898</v>
      </c>
      <c r="F1043" s="154" t="s">
        <v>87</v>
      </c>
      <c r="G1043" s="154" t="s">
        <v>1402</v>
      </c>
      <c r="H1043" s="154" t="s">
        <v>899</v>
      </c>
      <c r="I1043" s="154" t="s">
        <v>96</v>
      </c>
      <c r="J1043" s="154" t="s">
        <v>97</v>
      </c>
      <c r="K1043" s="154" t="s">
        <v>91</v>
      </c>
      <c r="L1043" s="154" t="s">
        <v>1897</v>
      </c>
      <c r="M1043" s="154" t="s">
        <v>1383</v>
      </c>
      <c r="N1043" s="154" t="s">
        <v>61</v>
      </c>
      <c r="O1043" s="154" t="s">
        <v>62</v>
      </c>
      <c r="P1043" s="146">
        <v>86.67</v>
      </c>
      <c r="Q1043" s="146">
        <v>0</v>
      </c>
      <c r="R1043" s="154" t="s">
        <v>1384</v>
      </c>
      <c r="S1043" s="154" t="s">
        <v>1899</v>
      </c>
      <c r="T1043" s="155" t="s">
        <v>1899</v>
      </c>
      <c r="U1043" s="155" t="s">
        <v>1899</v>
      </c>
      <c r="V1043" s="154" t="s">
        <v>1562</v>
      </c>
      <c r="W1043" s="154">
        <v>0</v>
      </c>
      <c r="X1043" s="154" t="s">
        <v>63</v>
      </c>
      <c r="Y1043" s="154" t="s">
        <v>1900</v>
      </c>
      <c r="Z1043" s="154"/>
      <c r="AA1043" s="154" t="s">
        <v>1387</v>
      </c>
      <c r="AB1043" s="154">
        <v>0</v>
      </c>
      <c r="AC1043" s="138">
        <f>IFERROR(IF(DATEDIF(#REF!,U1043,"m")&lt;=1,1,IF(AND(DATEDIF(#REF!,U1043,"m")&gt;1,DATEDIF(#REF!,U1043,"m")&lt;12),2,IF(AND(DATEDIF(#REF!,U1043,"m")&gt;=12,DATEDIF(#REF!,U1043,"m")&lt;24),3,IF(DATEDIF(#REF!,U1043,"m")&gt;=24,4,"")))),IF(E1043="r0320 - Deposits, not covered and not preferential",1,4))</f>
        <v>4</v>
      </c>
    </row>
    <row r="1044" spans="3:29" ht="36.75" thickBot="1" x14ac:dyDescent="0.3">
      <c r="C1044" s="11">
        <v>999</v>
      </c>
      <c r="D1044" s="154">
        <v>1037</v>
      </c>
      <c r="E1044" s="154" t="s">
        <v>1898</v>
      </c>
      <c r="F1044" s="154" t="s">
        <v>87</v>
      </c>
      <c r="G1044" s="154" t="s">
        <v>1402</v>
      </c>
      <c r="H1044" s="154" t="s">
        <v>593</v>
      </c>
      <c r="I1044" s="154" t="s">
        <v>108</v>
      </c>
      <c r="J1044" s="154" t="s">
        <v>90</v>
      </c>
      <c r="K1044" s="154" t="s">
        <v>91</v>
      </c>
      <c r="L1044" s="154" t="s">
        <v>1897</v>
      </c>
      <c r="M1044" s="154" t="s">
        <v>1383</v>
      </c>
      <c r="N1044" s="154" t="s">
        <v>61</v>
      </c>
      <c r="O1044" s="154" t="s">
        <v>62</v>
      </c>
      <c r="P1044" s="146">
        <v>0.63</v>
      </c>
      <c r="Q1044" s="146">
        <v>0</v>
      </c>
      <c r="R1044" s="154" t="s">
        <v>1384</v>
      </c>
      <c r="S1044" s="154" t="s">
        <v>1899</v>
      </c>
      <c r="T1044" s="155" t="s">
        <v>1899</v>
      </c>
      <c r="U1044" s="155" t="s">
        <v>1899</v>
      </c>
      <c r="V1044" s="154" t="s">
        <v>1562</v>
      </c>
      <c r="W1044" s="154">
        <v>0</v>
      </c>
      <c r="X1044" s="154" t="s">
        <v>63</v>
      </c>
      <c r="Y1044" s="154" t="s">
        <v>1900</v>
      </c>
      <c r="Z1044" s="154"/>
      <c r="AA1044" s="154" t="s">
        <v>1387</v>
      </c>
      <c r="AB1044" s="154">
        <v>0</v>
      </c>
      <c r="AC1044" s="138">
        <f>IFERROR(IF(DATEDIF(#REF!,U1044,"m")&lt;=1,1,IF(AND(DATEDIF(#REF!,U1044,"m")&gt;1,DATEDIF(#REF!,U1044,"m")&lt;12),2,IF(AND(DATEDIF(#REF!,U1044,"m")&gt;=12,DATEDIF(#REF!,U1044,"m")&lt;24),3,IF(DATEDIF(#REF!,U1044,"m")&gt;=24,4,"")))),IF(E1044="r0320 - Deposits, not covered and not preferential",1,4))</f>
        <v>4</v>
      </c>
    </row>
    <row r="1045" spans="3:29" ht="48.75" thickBot="1" x14ac:dyDescent="0.3">
      <c r="C1045" s="11">
        <v>999</v>
      </c>
      <c r="D1045" s="154">
        <v>1038</v>
      </c>
      <c r="E1045" s="154" t="s">
        <v>1902</v>
      </c>
      <c r="F1045" s="154" t="s">
        <v>83</v>
      </c>
      <c r="G1045" s="154" t="s">
        <v>1903</v>
      </c>
      <c r="H1045" s="154" t="s">
        <v>57</v>
      </c>
      <c r="I1045" s="154" t="s">
        <v>93</v>
      </c>
      <c r="J1045" s="154" t="s">
        <v>94</v>
      </c>
      <c r="K1045" s="154" t="s">
        <v>60</v>
      </c>
      <c r="L1045" s="154" t="s">
        <v>1897</v>
      </c>
      <c r="M1045" s="154" t="s">
        <v>1388</v>
      </c>
      <c r="N1045" s="154" t="s">
        <v>61</v>
      </c>
      <c r="O1045" s="154" t="s">
        <v>62</v>
      </c>
      <c r="P1045" s="146">
        <v>1589895.14</v>
      </c>
      <c r="Q1045" s="146">
        <v>155.99</v>
      </c>
      <c r="R1045" s="154" t="s">
        <v>1384</v>
      </c>
      <c r="S1045" s="154" t="s">
        <v>1899</v>
      </c>
      <c r="T1045" s="155" t="s">
        <v>768</v>
      </c>
      <c r="U1045" s="155" t="s">
        <v>1899</v>
      </c>
      <c r="V1045" s="154" t="s">
        <v>1904</v>
      </c>
      <c r="W1045" s="154">
        <v>0</v>
      </c>
      <c r="X1045" s="154" t="s">
        <v>63</v>
      </c>
      <c r="Y1045" s="154" t="s">
        <v>1386</v>
      </c>
      <c r="Z1045" s="154"/>
      <c r="AA1045" s="154" t="s">
        <v>1387</v>
      </c>
      <c r="AB1045" s="154">
        <v>0</v>
      </c>
      <c r="AC1045" s="138">
        <f>IFERROR(IF(DATEDIF(#REF!,U1045,"m")&lt;=1,1,IF(AND(DATEDIF(#REF!,U1045,"m")&gt;1,DATEDIF(#REF!,U1045,"m")&lt;12),2,IF(AND(DATEDIF(#REF!,U1045,"m")&gt;=12,DATEDIF(#REF!,U1045,"m")&lt;24),3,IF(DATEDIF(#REF!,U1045,"m")&gt;=24,4,"")))),IF(E1045="r0320 - Deposits, not covered and not preferential",1,4))</f>
        <v>4</v>
      </c>
    </row>
    <row r="1046" spans="3:29" ht="36.75" thickBot="1" x14ac:dyDescent="0.3">
      <c r="C1046" s="11">
        <v>999</v>
      </c>
      <c r="D1046" s="154">
        <v>1039</v>
      </c>
      <c r="E1046" s="154" t="s">
        <v>1898</v>
      </c>
      <c r="F1046" s="154" t="s">
        <v>87</v>
      </c>
      <c r="G1046" s="154" t="s">
        <v>1402</v>
      </c>
      <c r="H1046" s="154" t="s">
        <v>1358</v>
      </c>
      <c r="I1046" s="154" t="s">
        <v>99</v>
      </c>
      <c r="J1046" s="154" t="s">
        <v>90</v>
      </c>
      <c r="K1046" s="154" t="s">
        <v>91</v>
      </c>
      <c r="L1046" s="154" t="s">
        <v>1897</v>
      </c>
      <c r="M1046" s="154" t="s">
        <v>1383</v>
      </c>
      <c r="N1046" s="154" t="s">
        <v>61</v>
      </c>
      <c r="O1046" s="154" t="s">
        <v>62</v>
      </c>
      <c r="P1046" s="146">
        <v>0.01</v>
      </c>
      <c r="Q1046" s="146">
        <v>0</v>
      </c>
      <c r="R1046" s="154" t="s">
        <v>1384</v>
      </c>
      <c r="S1046" s="154" t="s">
        <v>1899</v>
      </c>
      <c r="T1046" s="155" t="s">
        <v>1899</v>
      </c>
      <c r="U1046" s="155" t="s">
        <v>1899</v>
      </c>
      <c r="V1046" s="154" t="s">
        <v>1562</v>
      </c>
      <c r="W1046" s="154">
        <v>0</v>
      </c>
      <c r="X1046" s="154" t="s">
        <v>63</v>
      </c>
      <c r="Y1046" s="154" t="s">
        <v>1900</v>
      </c>
      <c r="Z1046" s="154"/>
      <c r="AA1046" s="154" t="s">
        <v>1387</v>
      </c>
      <c r="AB1046" s="154">
        <v>0</v>
      </c>
      <c r="AC1046" s="138">
        <f>IFERROR(IF(DATEDIF(#REF!,U1046,"m")&lt;=1,1,IF(AND(DATEDIF(#REF!,U1046,"m")&gt;1,DATEDIF(#REF!,U1046,"m")&lt;12),2,IF(AND(DATEDIF(#REF!,U1046,"m")&gt;=12,DATEDIF(#REF!,U1046,"m")&lt;24),3,IF(DATEDIF(#REF!,U1046,"m")&gt;=24,4,"")))),IF(E1046="r0320 - Deposits, not covered and not preferential",1,4))</f>
        <v>4</v>
      </c>
    </row>
    <row r="1047" spans="3:29" ht="36.75" thickBot="1" x14ac:dyDescent="0.3">
      <c r="C1047" s="11">
        <v>999</v>
      </c>
      <c r="D1047" s="154">
        <v>1040</v>
      </c>
      <c r="E1047" s="154" t="s">
        <v>1898</v>
      </c>
      <c r="F1047" s="154" t="s">
        <v>87</v>
      </c>
      <c r="G1047" s="154" t="s">
        <v>1402</v>
      </c>
      <c r="H1047" s="154" t="s">
        <v>363</v>
      </c>
      <c r="I1047" s="154" t="s">
        <v>96</v>
      </c>
      <c r="J1047" s="154" t="s">
        <v>97</v>
      </c>
      <c r="K1047" s="154" t="s">
        <v>91</v>
      </c>
      <c r="L1047" s="154" t="s">
        <v>1897</v>
      </c>
      <c r="M1047" s="154" t="s">
        <v>1383</v>
      </c>
      <c r="N1047" s="154" t="s">
        <v>61</v>
      </c>
      <c r="O1047" s="154" t="s">
        <v>62</v>
      </c>
      <c r="P1047" s="146">
        <v>3.33</v>
      </c>
      <c r="Q1047" s="146">
        <v>0</v>
      </c>
      <c r="R1047" s="154" t="s">
        <v>1384</v>
      </c>
      <c r="S1047" s="154" t="s">
        <v>1899</v>
      </c>
      <c r="T1047" s="155" t="s">
        <v>1899</v>
      </c>
      <c r="U1047" s="155" t="s">
        <v>1899</v>
      </c>
      <c r="V1047" s="154" t="s">
        <v>1562</v>
      </c>
      <c r="W1047" s="154">
        <v>0</v>
      </c>
      <c r="X1047" s="154" t="s">
        <v>63</v>
      </c>
      <c r="Y1047" s="154" t="s">
        <v>1900</v>
      </c>
      <c r="Z1047" s="154"/>
      <c r="AA1047" s="154" t="s">
        <v>1387</v>
      </c>
      <c r="AB1047" s="154">
        <v>0</v>
      </c>
      <c r="AC1047" s="138">
        <f>IFERROR(IF(DATEDIF(#REF!,U1047,"m")&lt;=1,1,IF(AND(DATEDIF(#REF!,U1047,"m")&gt;1,DATEDIF(#REF!,U1047,"m")&lt;12),2,IF(AND(DATEDIF(#REF!,U1047,"m")&gt;=12,DATEDIF(#REF!,U1047,"m")&lt;24),3,IF(DATEDIF(#REF!,U1047,"m")&gt;=24,4,"")))),IF(E1047="r0320 - Deposits, not covered and not preferential",1,4))</f>
        <v>4</v>
      </c>
    </row>
    <row r="1048" spans="3:29" ht="36.75" thickBot="1" x14ac:dyDescent="0.3">
      <c r="C1048" s="11">
        <v>999</v>
      </c>
      <c r="D1048" s="154">
        <v>1041</v>
      </c>
      <c r="E1048" s="154" t="s">
        <v>1898</v>
      </c>
      <c r="F1048" s="154" t="s">
        <v>87</v>
      </c>
      <c r="G1048" s="154" t="s">
        <v>1402</v>
      </c>
      <c r="H1048" s="154" t="s">
        <v>1009</v>
      </c>
      <c r="I1048" s="154" t="s">
        <v>99</v>
      </c>
      <c r="J1048" s="154" t="s">
        <v>90</v>
      </c>
      <c r="K1048" s="154" t="s">
        <v>91</v>
      </c>
      <c r="L1048" s="154" t="s">
        <v>1897</v>
      </c>
      <c r="M1048" s="154" t="s">
        <v>1383</v>
      </c>
      <c r="N1048" s="154" t="s">
        <v>61</v>
      </c>
      <c r="O1048" s="154" t="s">
        <v>62</v>
      </c>
      <c r="P1048" s="146">
        <v>0.04</v>
      </c>
      <c r="Q1048" s="146">
        <v>0</v>
      </c>
      <c r="R1048" s="154" t="s">
        <v>1384</v>
      </c>
      <c r="S1048" s="154" t="s">
        <v>1899</v>
      </c>
      <c r="T1048" s="155" t="s">
        <v>1899</v>
      </c>
      <c r="U1048" s="155" t="s">
        <v>1899</v>
      </c>
      <c r="V1048" s="154" t="s">
        <v>1562</v>
      </c>
      <c r="W1048" s="154">
        <v>0</v>
      </c>
      <c r="X1048" s="154" t="s">
        <v>63</v>
      </c>
      <c r="Y1048" s="154" t="s">
        <v>1900</v>
      </c>
      <c r="Z1048" s="154"/>
      <c r="AA1048" s="154" t="s">
        <v>1387</v>
      </c>
      <c r="AB1048" s="154">
        <v>0</v>
      </c>
      <c r="AC1048" s="138">
        <f>IFERROR(IF(DATEDIF(#REF!,U1048,"m")&lt;=1,1,IF(AND(DATEDIF(#REF!,U1048,"m")&gt;1,DATEDIF(#REF!,U1048,"m")&lt;12),2,IF(AND(DATEDIF(#REF!,U1048,"m")&gt;=12,DATEDIF(#REF!,U1048,"m")&lt;24),3,IF(DATEDIF(#REF!,U1048,"m")&gt;=24,4,"")))),IF(E1048="r0320 - Deposits, not covered and not preferential",1,4))</f>
        <v>4</v>
      </c>
    </row>
    <row r="1049" spans="3:29" ht="48.75" thickBot="1" x14ac:dyDescent="0.3">
      <c r="C1049" s="11">
        <v>999</v>
      </c>
      <c r="D1049" s="154">
        <v>1042</v>
      </c>
      <c r="E1049" s="154" t="s">
        <v>1902</v>
      </c>
      <c r="F1049" s="154" t="s">
        <v>83</v>
      </c>
      <c r="G1049" s="154" t="s">
        <v>1903</v>
      </c>
      <c r="H1049" s="154" t="s">
        <v>584</v>
      </c>
      <c r="I1049" s="154" t="s">
        <v>93</v>
      </c>
      <c r="J1049" s="154" t="s">
        <v>94</v>
      </c>
      <c r="K1049" s="154" t="s">
        <v>60</v>
      </c>
      <c r="L1049" s="154" t="s">
        <v>1897</v>
      </c>
      <c r="M1049" s="154" t="s">
        <v>1388</v>
      </c>
      <c r="N1049" s="154" t="s">
        <v>61</v>
      </c>
      <c r="O1049" s="154" t="s">
        <v>62</v>
      </c>
      <c r="P1049" s="146">
        <v>138606.66</v>
      </c>
      <c r="Q1049" s="146">
        <v>21.92</v>
      </c>
      <c r="R1049" s="154" t="s">
        <v>1384</v>
      </c>
      <c r="S1049" s="154" t="s">
        <v>1899</v>
      </c>
      <c r="T1049" s="155" t="s">
        <v>768</v>
      </c>
      <c r="U1049" s="155" t="s">
        <v>1899</v>
      </c>
      <c r="V1049" s="154" t="s">
        <v>1904</v>
      </c>
      <c r="W1049" s="154">
        <v>0</v>
      </c>
      <c r="X1049" s="154" t="s">
        <v>63</v>
      </c>
      <c r="Y1049" s="154" t="s">
        <v>1386</v>
      </c>
      <c r="Z1049" s="154"/>
      <c r="AA1049" s="154" t="s">
        <v>1387</v>
      </c>
      <c r="AB1049" s="154">
        <v>0</v>
      </c>
      <c r="AC1049" s="138">
        <f>IFERROR(IF(DATEDIF(#REF!,U1049,"m")&lt;=1,1,IF(AND(DATEDIF(#REF!,U1049,"m")&gt;1,DATEDIF(#REF!,U1049,"m")&lt;12),2,IF(AND(DATEDIF(#REF!,U1049,"m")&gt;=12,DATEDIF(#REF!,U1049,"m")&lt;24),3,IF(DATEDIF(#REF!,U1049,"m")&gt;=24,4,"")))),IF(E1049="r0320 - Deposits, not covered and not preferential",1,4))</f>
        <v>4</v>
      </c>
    </row>
    <row r="1050" spans="3:29" ht="36.75" thickBot="1" x14ac:dyDescent="0.3">
      <c r="C1050" s="11">
        <v>999</v>
      </c>
      <c r="D1050" s="154">
        <v>1043</v>
      </c>
      <c r="E1050" s="154" t="s">
        <v>1898</v>
      </c>
      <c r="F1050" s="154" t="s">
        <v>56</v>
      </c>
      <c r="G1050" s="154" t="s">
        <v>1402</v>
      </c>
      <c r="H1050" s="154" t="s">
        <v>589</v>
      </c>
      <c r="I1050" s="154" t="s">
        <v>72</v>
      </c>
      <c r="J1050" s="154" t="s">
        <v>73</v>
      </c>
      <c r="K1050" s="154" t="s">
        <v>60</v>
      </c>
      <c r="L1050" s="154" t="s">
        <v>1897</v>
      </c>
      <c r="M1050" s="154" t="s">
        <v>1388</v>
      </c>
      <c r="N1050" s="154" t="s">
        <v>61</v>
      </c>
      <c r="O1050" s="154" t="s">
        <v>62</v>
      </c>
      <c r="P1050" s="146">
        <v>5.03</v>
      </c>
      <c r="Q1050" s="146">
        <v>0</v>
      </c>
      <c r="R1050" s="154" t="s">
        <v>1384</v>
      </c>
      <c r="S1050" s="154" t="s">
        <v>1899</v>
      </c>
      <c r="T1050" s="155" t="s">
        <v>1899</v>
      </c>
      <c r="U1050" s="155" t="s">
        <v>1899</v>
      </c>
      <c r="V1050" s="154" t="s">
        <v>1562</v>
      </c>
      <c r="W1050" s="154">
        <v>0</v>
      </c>
      <c r="X1050" s="154" t="s">
        <v>63</v>
      </c>
      <c r="Y1050" s="154" t="s">
        <v>1900</v>
      </c>
      <c r="Z1050" s="154"/>
      <c r="AA1050" s="154" t="s">
        <v>1387</v>
      </c>
      <c r="AB1050" s="154">
        <v>0</v>
      </c>
      <c r="AC1050" s="138">
        <f>IFERROR(IF(DATEDIF(#REF!,U1050,"m")&lt;=1,1,IF(AND(DATEDIF(#REF!,U1050,"m")&gt;1,DATEDIF(#REF!,U1050,"m")&lt;12),2,IF(AND(DATEDIF(#REF!,U1050,"m")&gt;=12,DATEDIF(#REF!,U1050,"m")&lt;24),3,IF(DATEDIF(#REF!,U1050,"m")&gt;=24,4,"")))),IF(E1050="r0320 - Deposits, not covered and not preferential",1,4))</f>
        <v>4</v>
      </c>
    </row>
    <row r="1051" spans="3:29" ht="36.75" thickBot="1" x14ac:dyDescent="0.3">
      <c r="C1051" s="11">
        <v>999</v>
      </c>
      <c r="D1051" s="154">
        <v>1044</v>
      </c>
      <c r="E1051" s="154" t="s">
        <v>1898</v>
      </c>
      <c r="F1051" s="154" t="s">
        <v>87</v>
      </c>
      <c r="G1051" s="154" t="s">
        <v>1402</v>
      </c>
      <c r="H1051" s="154" t="s">
        <v>231</v>
      </c>
      <c r="I1051" s="154" t="s">
        <v>96</v>
      </c>
      <c r="J1051" s="154" t="s">
        <v>97</v>
      </c>
      <c r="K1051" s="154" t="s">
        <v>91</v>
      </c>
      <c r="L1051" s="154" t="s">
        <v>1897</v>
      </c>
      <c r="M1051" s="154" t="s">
        <v>1383</v>
      </c>
      <c r="N1051" s="154" t="s">
        <v>61</v>
      </c>
      <c r="O1051" s="154" t="s">
        <v>62</v>
      </c>
      <c r="P1051" s="146">
        <v>41.11</v>
      </c>
      <c r="Q1051" s="146">
        <v>0</v>
      </c>
      <c r="R1051" s="154" t="s">
        <v>1384</v>
      </c>
      <c r="S1051" s="154" t="s">
        <v>1899</v>
      </c>
      <c r="T1051" s="155" t="s">
        <v>1899</v>
      </c>
      <c r="U1051" s="155" t="s">
        <v>1899</v>
      </c>
      <c r="V1051" s="154" t="s">
        <v>1562</v>
      </c>
      <c r="W1051" s="154">
        <v>0</v>
      </c>
      <c r="X1051" s="154" t="s">
        <v>63</v>
      </c>
      <c r="Y1051" s="154" t="s">
        <v>1900</v>
      </c>
      <c r="Z1051" s="154"/>
      <c r="AA1051" s="154" t="s">
        <v>1387</v>
      </c>
      <c r="AB1051" s="154">
        <v>0</v>
      </c>
      <c r="AC1051" s="138">
        <f>IFERROR(IF(DATEDIF(#REF!,U1051,"m")&lt;=1,1,IF(AND(DATEDIF(#REF!,U1051,"m")&gt;1,DATEDIF(#REF!,U1051,"m")&lt;12),2,IF(AND(DATEDIF(#REF!,U1051,"m")&gt;=12,DATEDIF(#REF!,U1051,"m")&lt;24),3,IF(DATEDIF(#REF!,U1051,"m")&gt;=24,4,"")))),IF(E1051="r0320 - Deposits, not covered and not preferential",1,4))</f>
        <v>4</v>
      </c>
    </row>
    <row r="1052" spans="3:29" ht="36.75" thickBot="1" x14ac:dyDescent="0.3">
      <c r="C1052" s="11">
        <v>999</v>
      </c>
      <c r="D1052" s="154">
        <v>1045</v>
      </c>
      <c r="E1052" s="154" t="s">
        <v>1898</v>
      </c>
      <c r="F1052" s="154" t="s">
        <v>87</v>
      </c>
      <c r="G1052" s="154" t="s">
        <v>1402</v>
      </c>
      <c r="H1052" s="154" t="s">
        <v>57</v>
      </c>
      <c r="I1052" s="154" t="s">
        <v>99</v>
      </c>
      <c r="J1052" s="154" t="s">
        <v>90</v>
      </c>
      <c r="K1052" s="154" t="s">
        <v>91</v>
      </c>
      <c r="L1052" s="154" t="s">
        <v>1897</v>
      </c>
      <c r="M1052" s="154" t="s">
        <v>1383</v>
      </c>
      <c r="N1052" s="154" t="s">
        <v>61</v>
      </c>
      <c r="O1052" s="154" t="s">
        <v>62</v>
      </c>
      <c r="P1052" s="146">
        <v>16455074.02</v>
      </c>
      <c r="Q1052" s="146">
        <v>0</v>
      </c>
      <c r="R1052" s="154" t="s">
        <v>1384</v>
      </c>
      <c r="S1052" s="154" t="s">
        <v>1899</v>
      </c>
      <c r="T1052" s="155" t="s">
        <v>1899</v>
      </c>
      <c r="U1052" s="155" t="s">
        <v>1899</v>
      </c>
      <c r="V1052" s="154" t="s">
        <v>1562</v>
      </c>
      <c r="W1052" s="154">
        <v>0</v>
      </c>
      <c r="X1052" s="154" t="s">
        <v>63</v>
      </c>
      <c r="Y1052" s="154" t="s">
        <v>1900</v>
      </c>
      <c r="Z1052" s="154"/>
      <c r="AA1052" s="154" t="s">
        <v>1387</v>
      </c>
      <c r="AB1052" s="154">
        <v>0</v>
      </c>
      <c r="AC1052" s="138">
        <f>IFERROR(IF(DATEDIF(#REF!,U1052,"m")&lt;=1,1,IF(AND(DATEDIF(#REF!,U1052,"m")&gt;1,DATEDIF(#REF!,U1052,"m")&lt;12),2,IF(AND(DATEDIF(#REF!,U1052,"m")&gt;=12,DATEDIF(#REF!,U1052,"m")&lt;24),3,IF(DATEDIF(#REF!,U1052,"m")&gt;=24,4,"")))),IF(E1052="r0320 - Deposits, not covered and not preferential",1,4))</f>
        <v>4</v>
      </c>
    </row>
    <row r="1053" spans="3:29" ht="48.75" thickBot="1" x14ac:dyDescent="0.3">
      <c r="C1053" s="11">
        <v>999</v>
      </c>
      <c r="D1053" s="154">
        <v>1046</v>
      </c>
      <c r="E1053" s="154" t="s">
        <v>1902</v>
      </c>
      <c r="F1053" s="154" t="s">
        <v>83</v>
      </c>
      <c r="G1053" s="154" t="s">
        <v>1903</v>
      </c>
      <c r="H1053" s="154" t="s">
        <v>925</v>
      </c>
      <c r="I1053" s="154" t="s">
        <v>114</v>
      </c>
      <c r="J1053" s="154" t="s">
        <v>115</v>
      </c>
      <c r="K1053" s="154" t="s">
        <v>60</v>
      </c>
      <c r="L1053" s="154" t="s">
        <v>1897</v>
      </c>
      <c r="M1053" s="154" t="s">
        <v>1388</v>
      </c>
      <c r="N1053" s="154" t="s">
        <v>61</v>
      </c>
      <c r="O1053" s="154" t="s">
        <v>62</v>
      </c>
      <c r="P1053" s="146">
        <v>111105.8</v>
      </c>
      <c r="Q1053" s="146">
        <v>13.41</v>
      </c>
      <c r="R1053" s="154" t="s">
        <v>1384</v>
      </c>
      <c r="S1053" s="154" t="s">
        <v>1899</v>
      </c>
      <c r="T1053" s="155" t="s">
        <v>768</v>
      </c>
      <c r="U1053" s="155" t="s">
        <v>1899</v>
      </c>
      <c r="V1053" s="154" t="s">
        <v>1904</v>
      </c>
      <c r="W1053" s="154">
        <v>0</v>
      </c>
      <c r="X1053" s="154" t="s">
        <v>63</v>
      </c>
      <c r="Y1053" s="154" t="s">
        <v>1386</v>
      </c>
      <c r="Z1053" s="154"/>
      <c r="AA1053" s="154" t="s">
        <v>1387</v>
      </c>
      <c r="AB1053" s="154">
        <v>0</v>
      </c>
      <c r="AC1053" s="138">
        <f>IFERROR(IF(DATEDIF(#REF!,U1053,"m")&lt;=1,1,IF(AND(DATEDIF(#REF!,U1053,"m")&gt;1,DATEDIF(#REF!,U1053,"m")&lt;12),2,IF(AND(DATEDIF(#REF!,U1053,"m")&gt;=12,DATEDIF(#REF!,U1053,"m")&lt;24),3,IF(DATEDIF(#REF!,U1053,"m")&gt;=24,4,"")))),IF(E1053="r0320 - Deposits, not covered and not preferential",1,4))</f>
        <v>4</v>
      </c>
    </row>
    <row r="1054" spans="3:29" ht="36.75" thickBot="1" x14ac:dyDescent="0.3">
      <c r="C1054" s="11">
        <v>999</v>
      </c>
      <c r="D1054" s="154">
        <v>1047</v>
      </c>
      <c r="E1054" s="154" t="s">
        <v>1898</v>
      </c>
      <c r="F1054" s="154" t="s">
        <v>56</v>
      </c>
      <c r="G1054" s="154" t="s">
        <v>1402</v>
      </c>
      <c r="H1054" s="154" t="s">
        <v>950</v>
      </c>
      <c r="I1054" s="154" t="s">
        <v>72</v>
      </c>
      <c r="J1054" s="154" t="s">
        <v>73</v>
      </c>
      <c r="K1054" s="154" t="s">
        <v>60</v>
      </c>
      <c r="L1054" s="154" t="s">
        <v>1897</v>
      </c>
      <c r="M1054" s="154" t="s">
        <v>1388</v>
      </c>
      <c r="N1054" s="154" t="s">
        <v>61</v>
      </c>
      <c r="O1054" s="154" t="s">
        <v>62</v>
      </c>
      <c r="P1054" s="146">
        <v>4.6500000000000004</v>
      </c>
      <c r="Q1054" s="146">
        <v>0</v>
      </c>
      <c r="R1054" s="154" t="s">
        <v>1384</v>
      </c>
      <c r="S1054" s="154" t="s">
        <v>1899</v>
      </c>
      <c r="T1054" s="155" t="s">
        <v>1899</v>
      </c>
      <c r="U1054" s="155" t="s">
        <v>1899</v>
      </c>
      <c r="V1054" s="154" t="s">
        <v>1562</v>
      </c>
      <c r="W1054" s="154">
        <v>0</v>
      </c>
      <c r="X1054" s="154" t="s">
        <v>63</v>
      </c>
      <c r="Y1054" s="154" t="s">
        <v>1900</v>
      </c>
      <c r="Z1054" s="154"/>
      <c r="AA1054" s="154" t="s">
        <v>1387</v>
      </c>
      <c r="AB1054" s="154">
        <v>0</v>
      </c>
      <c r="AC1054" s="138">
        <f>IFERROR(IF(DATEDIF(#REF!,U1054,"m")&lt;=1,1,IF(AND(DATEDIF(#REF!,U1054,"m")&gt;1,DATEDIF(#REF!,U1054,"m")&lt;12),2,IF(AND(DATEDIF(#REF!,U1054,"m")&gt;=12,DATEDIF(#REF!,U1054,"m")&lt;24),3,IF(DATEDIF(#REF!,U1054,"m")&gt;=24,4,"")))),IF(E1054="r0320 - Deposits, not covered and not preferential",1,4))</f>
        <v>4</v>
      </c>
    </row>
    <row r="1055" spans="3:29" ht="36.75" thickBot="1" x14ac:dyDescent="0.3">
      <c r="C1055" s="11">
        <v>999</v>
      </c>
      <c r="D1055" s="154">
        <v>1048</v>
      </c>
      <c r="E1055" s="154" t="s">
        <v>1898</v>
      </c>
      <c r="F1055" s="154" t="s">
        <v>87</v>
      </c>
      <c r="G1055" s="154" t="s">
        <v>1402</v>
      </c>
      <c r="H1055" s="154" t="s">
        <v>365</v>
      </c>
      <c r="I1055" s="154" t="s">
        <v>108</v>
      </c>
      <c r="J1055" s="154" t="s">
        <v>90</v>
      </c>
      <c r="K1055" s="154" t="s">
        <v>91</v>
      </c>
      <c r="L1055" s="154" t="s">
        <v>1897</v>
      </c>
      <c r="M1055" s="154" t="s">
        <v>1383</v>
      </c>
      <c r="N1055" s="154" t="s">
        <v>61</v>
      </c>
      <c r="O1055" s="154" t="s">
        <v>62</v>
      </c>
      <c r="P1055" s="146">
        <v>0.26</v>
      </c>
      <c r="Q1055" s="146">
        <v>0</v>
      </c>
      <c r="R1055" s="154" t="s">
        <v>1384</v>
      </c>
      <c r="S1055" s="154" t="s">
        <v>1899</v>
      </c>
      <c r="T1055" s="155" t="s">
        <v>1899</v>
      </c>
      <c r="U1055" s="155" t="s">
        <v>1899</v>
      </c>
      <c r="V1055" s="154" t="s">
        <v>1562</v>
      </c>
      <c r="W1055" s="154">
        <v>0</v>
      </c>
      <c r="X1055" s="154" t="s">
        <v>63</v>
      </c>
      <c r="Y1055" s="154" t="s">
        <v>1900</v>
      </c>
      <c r="Z1055" s="154"/>
      <c r="AA1055" s="154" t="s">
        <v>1387</v>
      </c>
      <c r="AB1055" s="154">
        <v>0</v>
      </c>
      <c r="AC1055" s="138">
        <f>IFERROR(IF(DATEDIF(#REF!,U1055,"m")&lt;=1,1,IF(AND(DATEDIF(#REF!,U1055,"m")&gt;1,DATEDIF(#REF!,U1055,"m")&lt;12),2,IF(AND(DATEDIF(#REF!,U1055,"m")&gt;=12,DATEDIF(#REF!,U1055,"m")&lt;24),3,IF(DATEDIF(#REF!,U1055,"m")&gt;=24,4,"")))),IF(E1055="r0320 - Deposits, not covered and not preferential",1,4))</f>
        <v>4</v>
      </c>
    </row>
    <row r="1056" spans="3:29" ht="48.75" thickBot="1" x14ac:dyDescent="0.3">
      <c r="C1056" s="11">
        <v>999</v>
      </c>
      <c r="D1056" s="154">
        <v>1049</v>
      </c>
      <c r="E1056" s="154" t="s">
        <v>1902</v>
      </c>
      <c r="F1056" s="154" t="s">
        <v>83</v>
      </c>
      <c r="G1056" s="154" t="s">
        <v>1903</v>
      </c>
      <c r="H1056" s="154" t="s">
        <v>446</v>
      </c>
      <c r="I1056" s="154" t="s">
        <v>93</v>
      </c>
      <c r="J1056" s="154" t="s">
        <v>94</v>
      </c>
      <c r="K1056" s="154" t="s">
        <v>60</v>
      </c>
      <c r="L1056" s="154" t="s">
        <v>1897</v>
      </c>
      <c r="M1056" s="154" t="s">
        <v>1388</v>
      </c>
      <c r="N1056" s="154" t="s">
        <v>61</v>
      </c>
      <c r="O1056" s="154" t="s">
        <v>62</v>
      </c>
      <c r="P1056" s="146">
        <v>303437.48</v>
      </c>
      <c r="Q1056" s="146">
        <v>52.78</v>
      </c>
      <c r="R1056" s="154" t="s">
        <v>1384</v>
      </c>
      <c r="S1056" s="154" t="s">
        <v>1899</v>
      </c>
      <c r="T1056" s="155" t="s">
        <v>768</v>
      </c>
      <c r="U1056" s="155" t="s">
        <v>1899</v>
      </c>
      <c r="V1056" s="154" t="s">
        <v>1904</v>
      </c>
      <c r="W1056" s="154">
        <v>0</v>
      </c>
      <c r="X1056" s="154" t="s">
        <v>63</v>
      </c>
      <c r="Y1056" s="154" t="s">
        <v>1386</v>
      </c>
      <c r="Z1056" s="154"/>
      <c r="AA1056" s="154" t="s">
        <v>1387</v>
      </c>
      <c r="AB1056" s="154">
        <v>0</v>
      </c>
      <c r="AC1056" s="138">
        <f>IFERROR(IF(DATEDIF(#REF!,U1056,"m")&lt;=1,1,IF(AND(DATEDIF(#REF!,U1056,"m")&gt;1,DATEDIF(#REF!,U1056,"m")&lt;12),2,IF(AND(DATEDIF(#REF!,U1056,"m")&gt;=12,DATEDIF(#REF!,U1056,"m")&lt;24),3,IF(DATEDIF(#REF!,U1056,"m")&gt;=24,4,"")))),IF(E1056="r0320 - Deposits, not covered and not preferential",1,4))</f>
        <v>4</v>
      </c>
    </row>
    <row r="1057" spans="3:29" ht="48.75" thickBot="1" x14ac:dyDescent="0.3">
      <c r="C1057" s="11">
        <v>999</v>
      </c>
      <c r="D1057" s="154">
        <v>1050</v>
      </c>
      <c r="E1057" s="154" t="s">
        <v>1902</v>
      </c>
      <c r="F1057" s="154" t="s">
        <v>83</v>
      </c>
      <c r="G1057" s="154" t="s">
        <v>1903</v>
      </c>
      <c r="H1057" s="154" t="s">
        <v>584</v>
      </c>
      <c r="I1057" s="154" t="s">
        <v>114</v>
      </c>
      <c r="J1057" s="154" t="s">
        <v>115</v>
      </c>
      <c r="K1057" s="154" t="s">
        <v>60</v>
      </c>
      <c r="L1057" s="154" t="s">
        <v>1897</v>
      </c>
      <c r="M1057" s="154" t="s">
        <v>1388</v>
      </c>
      <c r="N1057" s="154" t="s">
        <v>61</v>
      </c>
      <c r="O1057" s="154" t="s">
        <v>62</v>
      </c>
      <c r="P1057" s="146">
        <v>323404.14</v>
      </c>
      <c r="Q1057" s="146">
        <v>102.2</v>
      </c>
      <c r="R1057" s="154" t="s">
        <v>1384</v>
      </c>
      <c r="S1057" s="154" t="s">
        <v>1899</v>
      </c>
      <c r="T1057" s="155" t="s">
        <v>768</v>
      </c>
      <c r="U1057" s="155" t="s">
        <v>1899</v>
      </c>
      <c r="V1057" s="154" t="s">
        <v>1904</v>
      </c>
      <c r="W1057" s="154">
        <v>0</v>
      </c>
      <c r="X1057" s="154" t="s">
        <v>63</v>
      </c>
      <c r="Y1057" s="154" t="s">
        <v>1386</v>
      </c>
      <c r="Z1057" s="154"/>
      <c r="AA1057" s="154" t="s">
        <v>1387</v>
      </c>
      <c r="AB1057" s="154">
        <v>0</v>
      </c>
      <c r="AC1057" s="138">
        <f>IFERROR(IF(DATEDIF(#REF!,U1057,"m")&lt;=1,1,IF(AND(DATEDIF(#REF!,U1057,"m")&gt;1,DATEDIF(#REF!,U1057,"m")&lt;12),2,IF(AND(DATEDIF(#REF!,U1057,"m")&gt;=12,DATEDIF(#REF!,U1057,"m")&lt;24),3,IF(DATEDIF(#REF!,U1057,"m")&gt;=24,4,"")))),IF(E1057="r0320 - Deposits, not covered and not preferential",1,4))</f>
        <v>4</v>
      </c>
    </row>
    <row r="1058" spans="3:29" ht="36.75" thickBot="1" x14ac:dyDescent="0.3">
      <c r="C1058" s="11">
        <v>999</v>
      </c>
      <c r="D1058" s="154">
        <v>1051</v>
      </c>
      <c r="E1058" s="154" t="s">
        <v>1898</v>
      </c>
      <c r="F1058" s="154" t="s">
        <v>56</v>
      </c>
      <c r="G1058" s="154" t="s">
        <v>1402</v>
      </c>
      <c r="H1058" s="154" t="s">
        <v>366</v>
      </c>
      <c r="I1058" s="154" t="s">
        <v>72</v>
      </c>
      <c r="J1058" s="154" t="s">
        <v>73</v>
      </c>
      <c r="K1058" s="154" t="s">
        <v>60</v>
      </c>
      <c r="L1058" s="154" t="s">
        <v>1897</v>
      </c>
      <c r="M1058" s="154" t="s">
        <v>1388</v>
      </c>
      <c r="N1058" s="154" t="s">
        <v>61</v>
      </c>
      <c r="O1058" s="154" t="s">
        <v>62</v>
      </c>
      <c r="P1058" s="146">
        <v>7.15</v>
      </c>
      <c r="Q1058" s="146">
        <v>0</v>
      </c>
      <c r="R1058" s="154" t="s">
        <v>1384</v>
      </c>
      <c r="S1058" s="154" t="s">
        <v>1899</v>
      </c>
      <c r="T1058" s="155" t="s">
        <v>1899</v>
      </c>
      <c r="U1058" s="155" t="s">
        <v>1899</v>
      </c>
      <c r="V1058" s="154" t="s">
        <v>1562</v>
      </c>
      <c r="W1058" s="154">
        <v>0</v>
      </c>
      <c r="X1058" s="154" t="s">
        <v>63</v>
      </c>
      <c r="Y1058" s="154" t="s">
        <v>1900</v>
      </c>
      <c r="Z1058" s="154"/>
      <c r="AA1058" s="154" t="s">
        <v>1387</v>
      </c>
      <c r="AB1058" s="154">
        <v>0</v>
      </c>
      <c r="AC1058" s="138">
        <f>IFERROR(IF(DATEDIF(#REF!,U1058,"m")&lt;=1,1,IF(AND(DATEDIF(#REF!,U1058,"m")&gt;1,DATEDIF(#REF!,U1058,"m")&lt;12),2,IF(AND(DATEDIF(#REF!,U1058,"m")&gt;=12,DATEDIF(#REF!,U1058,"m")&lt;24),3,IF(DATEDIF(#REF!,U1058,"m")&gt;=24,4,"")))),IF(E1058="r0320 - Deposits, not covered and not preferential",1,4))</f>
        <v>4</v>
      </c>
    </row>
    <row r="1059" spans="3:29" ht="36.75" thickBot="1" x14ac:dyDescent="0.3">
      <c r="C1059" s="11">
        <v>999</v>
      </c>
      <c r="D1059" s="154">
        <v>1052</v>
      </c>
      <c r="E1059" s="154" t="s">
        <v>1898</v>
      </c>
      <c r="F1059" s="154" t="s">
        <v>87</v>
      </c>
      <c r="G1059" s="154" t="s">
        <v>1402</v>
      </c>
      <c r="H1059" s="154" t="s">
        <v>165</v>
      </c>
      <c r="I1059" s="154" t="s">
        <v>108</v>
      </c>
      <c r="J1059" s="154" t="s">
        <v>90</v>
      </c>
      <c r="K1059" s="154" t="s">
        <v>91</v>
      </c>
      <c r="L1059" s="154" t="s">
        <v>1897</v>
      </c>
      <c r="M1059" s="154" t="s">
        <v>1383</v>
      </c>
      <c r="N1059" s="154" t="s">
        <v>61</v>
      </c>
      <c r="O1059" s="154" t="s">
        <v>62</v>
      </c>
      <c r="P1059" s="146">
        <v>1.22</v>
      </c>
      <c r="Q1059" s="146">
        <v>0</v>
      </c>
      <c r="R1059" s="154" t="s">
        <v>1384</v>
      </c>
      <c r="S1059" s="154" t="s">
        <v>1899</v>
      </c>
      <c r="T1059" s="155" t="s">
        <v>1899</v>
      </c>
      <c r="U1059" s="155" t="s">
        <v>1899</v>
      </c>
      <c r="V1059" s="154" t="s">
        <v>1562</v>
      </c>
      <c r="W1059" s="154">
        <v>0</v>
      </c>
      <c r="X1059" s="154" t="s">
        <v>63</v>
      </c>
      <c r="Y1059" s="154" t="s">
        <v>1900</v>
      </c>
      <c r="Z1059" s="154"/>
      <c r="AA1059" s="154" t="s">
        <v>1387</v>
      </c>
      <c r="AB1059" s="154">
        <v>0</v>
      </c>
      <c r="AC1059" s="138">
        <f>IFERROR(IF(DATEDIF(#REF!,U1059,"m")&lt;=1,1,IF(AND(DATEDIF(#REF!,U1059,"m")&gt;1,DATEDIF(#REF!,U1059,"m")&lt;12),2,IF(AND(DATEDIF(#REF!,U1059,"m")&gt;=12,DATEDIF(#REF!,U1059,"m")&lt;24),3,IF(DATEDIF(#REF!,U1059,"m")&gt;=24,4,"")))),IF(E1059="r0320 - Deposits, not covered and not preferential",1,4))</f>
        <v>4</v>
      </c>
    </row>
    <row r="1060" spans="3:29" ht="36.75" thickBot="1" x14ac:dyDescent="0.3">
      <c r="C1060" s="11">
        <v>999</v>
      </c>
      <c r="D1060" s="154">
        <v>1053</v>
      </c>
      <c r="E1060" s="154" t="s">
        <v>1898</v>
      </c>
      <c r="F1060" s="154" t="s">
        <v>87</v>
      </c>
      <c r="G1060" s="154" t="s">
        <v>1402</v>
      </c>
      <c r="H1060" s="154" t="s">
        <v>600</v>
      </c>
      <c r="I1060" s="154" t="s">
        <v>108</v>
      </c>
      <c r="J1060" s="154" t="s">
        <v>90</v>
      </c>
      <c r="K1060" s="154" t="s">
        <v>91</v>
      </c>
      <c r="L1060" s="154" t="s">
        <v>1897</v>
      </c>
      <c r="M1060" s="154" t="s">
        <v>1383</v>
      </c>
      <c r="N1060" s="154" t="s">
        <v>61</v>
      </c>
      <c r="O1060" s="154" t="s">
        <v>62</v>
      </c>
      <c r="P1060" s="146">
        <v>23.7</v>
      </c>
      <c r="Q1060" s="146">
        <v>0</v>
      </c>
      <c r="R1060" s="154" t="s">
        <v>1384</v>
      </c>
      <c r="S1060" s="154" t="s">
        <v>1899</v>
      </c>
      <c r="T1060" s="155" t="s">
        <v>1899</v>
      </c>
      <c r="U1060" s="155" t="s">
        <v>1899</v>
      </c>
      <c r="V1060" s="154" t="s">
        <v>1562</v>
      </c>
      <c r="W1060" s="154">
        <v>0</v>
      </c>
      <c r="X1060" s="154" t="s">
        <v>63</v>
      </c>
      <c r="Y1060" s="154" t="s">
        <v>1900</v>
      </c>
      <c r="Z1060" s="154"/>
      <c r="AA1060" s="154" t="s">
        <v>1387</v>
      </c>
      <c r="AB1060" s="154">
        <v>0</v>
      </c>
      <c r="AC1060" s="138">
        <f>IFERROR(IF(DATEDIF(#REF!,U1060,"m")&lt;=1,1,IF(AND(DATEDIF(#REF!,U1060,"m")&gt;1,DATEDIF(#REF!,U1060,"m")&lt;12),2,IF(AND(DATEDIF(#REF!,U1060,"m")&gt;=12,DATEDIF(#REF!,U1060,"m")&lt;24),3,IF(DATEDIF(#REF!,U1060,"m")&gt;=24,4,"")))),IF(E1060="r0320 - Deposits, not covered and not preferential",1,4))</f>
        <v>4</v>
      </c>
    </row>
    <row r="1061" spans="3:29" ht="36.75" thickBot="1" x14ac:dyDescent="0.3">
      <c r="C1061" s="11">
        <v>999</v>
      </c>
      <c r="D1061" s="154">
        <v>1054</v>
      </c>
      <c r="E1061" s="154" t="s">
        <v>1898</v>
      </c>
      <c r="F1061" s="154" t="s">
        <v>83</v>
      </c>
      <c r="G1061" s="154" t="s">
        <v>1402</v>
      </c>
      <c r="H1061" s="154" t="s">
        <v>57</v>
      </c>
      <c r="I1061" s="154" t="s">
        <v>99</v>
      </c>
      <c r="J1061" s="154" t="s">
        <v>90</v>
      </c>
      <c r="K1061" s="154" t="s">
        <v>91</v>
      </c>
      <c r="L1061" s="154" t="s">
        <v>1897</v>
      </c>
      <c r="M1061" s="154" t="s">
        <v>1383</v>
      </c>
      <c r="N1061" s="154" t="s">
        <v>61</v>
      </c>
      <c r="O1061" s="154" t="s">
        <v>62</v>
      </c>
      <c r="P1061" s="146">
        <v>17602326.800000001</v>
      </c>
      <c r="Q1061" s="146">
        <v>0</v>
      </c>
      <c r="R1061" s="154" t="s">
        <v>1384</v>
      </c>
      <c r="S1061" s="154" t="s">
        <v>1899</v>
      </c>
      <c r="T1061" s="155" t="s">
        <v>1899</v>
      </c>
      <c r="U1061" s="155" t="s">
        <v>1899</v>
      </c>
      <c r="V1061" s="154" t="s">
        <v>1562</v>
      </c>
      <c r="W1061" s="154">
        <v>0</v>
      </c>
      <c r="X1061" s="154" t="s">
        <v>63</v>
      </c>
      <c r="Y1061" s="154" t="s">
        <v>1900</v>
      </c>
      <c r="Z1061" s="154"/>
      <c r="AA1061" s="154" t="s">
        <v>1387</v>
      </c>
      <c r="AB1061" s="154">
        <v>0</v>
      </c>
      <c r="AC1061" s="138">
        <f>IFERROR(IF(DATEDIF(#REF!,U1061,"m")&lt;=1,1,IF(AND(DATEDIF(#REF!,U1061,"m")&gt;1,DATEDIF(#REF!,U1061,"m")&lt;12),2,IF(AND(DATEDIF(#REF!,U1061,"m")&gt;=12,DATEDIF(#REF!,U1061,"m")&lt;24),3,IF(DATEDIF(#REF!,U1061,"m")&gt;=24,4,"")))),IF(E1061="r0320 - Deposits, not covered and not preferential",1,4))</f>
        <v>4</v>
      </c>
    </row>
    <row r="1062" spans="3:29" ht="36.75" thickBot="1" x14ac:dyDescent="0.3">
      <c r="C1062" s="11">
        <v>999</v>
      </c>
      <c r="D1062" s="154">
        <v>1055</v>
      </c>
      <c r="E1062" s="154" t="s">
        <v>1898</v>
      </c>
      <c r="F1062" s="154" t="s">
        <v>56</v>
      </c>
      <c r="G1062" s="154" t="s">
        <v>1402</v>
      </c>
      <c r="H1062" s="154" t="s">
        <v>360</v>
      </c>
      <c r="I1062" s="154" t="s">
        <v>72</v>
      </c>
      <c r="J1062" s="154" t="s">
        <v>73</v>
      </c>
      <c r="K1062" s="154" t="s">
        <v>60</v>
      </c>
      <c r="L1062" s="154" t="s">
        <v>1897</v>
      </c>
      <c r="M1062" s="154" t="s">
        <v>1388</v>
      </c>
      <c r="N1062" s="154" t="s">
        <v>61</v>
      </c>
      <c r="O1062" s="154" t="s">
        <v>62</v>
      </c>
      <c r="P1062" s="146">
        <v>4.95</v>
      </c>
      <c r="Q1062" s="146">
        <v>0</v>
      </c>
      <c r="R1062" s="154" t="s">
        <v>1384</v>
      </c>
      <c r="S1062" s="154" t="s">
        <v>1899</v>
      </c>
      <c r="T1062" s="155" t="s">
        <v>1899</v>
      </c>
      <c r="U1062" s="155" t="s">
        <v>1899</v>
      </c>
      <c r="V1062" s="154" t="s">
        <v>1562</v>
      </c>
      <c r="W1062" s="154">
        <v>0</v>
      </c>
      <c r="X1062" s="154" t="s">
        <v>63</v>
      </c>
      <c r="Y1062" s="154" t="s">
        <v>1900</v>
      </c>
      <c r="Z1062" s="154"/>
      <c r="AA1062" s="154" t="s">
        <v>1387</v>
      </c>
      <c r="AB1062" s="154">
        <v>0</v>
      </c>
      <c r="AC1062" s="138">
        <f>IFERROR(IF(DATEDIF(#REF!,U1062,"m")&lt;=1,1,IF(AND(DATEDIF(#REF!,U1062,"m")&gt;1,DATEDIF(#REF!,U1062,"m")&lt;12),2,IF(AND(DATEDIF(#REF!,U1062,"m")&gt;=12,DATEDIF(#REF!,U1062,"m")&lt;24),3,IF(DATEDIF(#REF!,U1062,"m")&gt;=24,4,"")))),IF(E1062="r0320 - Deposits, not covered and not preferential",1,4))</f>
        <v>4</v>
      </c>
    </row>
    <row r="1063" spans="3:29" ht="36.75" thickBot="1" x14ac:dyDescent="0.3">
      <c r="C1063" s="11">
        <v>999</v>
      </c>
      <c r="D1063" s="154">
        <v>1056</v>
      </c>
      <c r="E1063" s="154" t="s">
        <v>1898</v>
      </c>
      <c r="F1063" s="154" t="s">
        <v>87</v>
      </c>
      <c r="G1063" s="154" t="s">
        <v>1402</v>
      </c>
      <c r="H1063" s="154" t="s">
        <v>367</v>
      </c>
      <c r="I1063" s="154" t="s">
        <v>108</v>
      </c>
      <c r="J1063" s="154" t="s">
        <v>90</v>
      </c>
      <c r="K1063" s="154" t="s">
        <v>91</v>
      </c>
      <c r="L1063" s="154" t="s">
        <v>1897</v>
      </c>
      <c r="M1063" s="154" t="s">
        <v>1383</v>
      </c>
      <c r="N1063" s="154" t="s">
        <v>61</v>
      </c>
      <c r="O1063" s="154" t="s">
        <v>62</v>
      </c>
      <c r="P1063" s="146">
        <v>1.4</v>
      </c>
      <c r="Q1063" s="146">
        <v>0</v>
      </c>
      <c r="R1063" s="154" t="s">
        <v>1384</v>
      </c>
      <c r="S1063" s="154" t="s">
        <v>1899</v>
      </c>
      <c r="T1063" s="155" t="s">
        <v>1899</v>
      </c>
      <c r="U1063" s="155" t="s">
        <v>1899</v>
      </c>
      <c r="V1063" s="154" t="s">
        <v>1562</v>
      </c>
      <c r="W1063" s="154">
        <v>0</v>
      </c>
      <c r="X1063" s="154" t="s">
        <v>63</v>
      </c>
      <c r="Y1063" s="154" t="s">
        <v>1900</v>
      </c>
      <c r="Z1063" s="154"/>
      <c r="AA1063" s="154" t="s">
        <v>1387</v>
      </c>
      <c r="AB1063" s="154">
        <v>0</v>
      </c>
      <c r="AC1063" s="138">
        <f>IFERROR(IF(DATEDIF(#REF!,U1063,"m")&lt;=1,1,IF(AND(DATEDIF(#REF!,U1063,"m")&gt;1,DATEDIF(#REF!,U1063,"m")&lt;12),2,IF(AND(DATEDIF(#REF!,U1063,"m")&gt;=12,DATEDIF(#REF!,U1063,"m")&lt;24),3,IF(DATEDIF(#REF!,U1063,"m")&gt;=24,4,"")))),IF(E1063="r0320 - Deposits, not covered and not preferential",1,4))</f>
        <v>4</v>
      </c>
    </row>
    <row r="1064" spans="3:29" ht="36.75" thickBot="1" x14ac:dyDescent="0.3">
      <c r="C1064" s="11">
        <v>999</v>
      </c>
      <c r="D1064" s="154">
        <v>1057</v>
      </c>
      <c r="E1064" s="154" t="s">
        <v>1898</v>
      </c>
      <c r="F1064" s="154" t="s">
        <v>87</v>
      </c>
      <c r="G1064" s="154" t="s">
        <v>1402</v>
      </c>
      <c r="H1064" s="154" t="s">
        <v>1019</v>
      </c>
      <c r="I1064" s="154" t="s">
        <v>89</v>
      </c>
      <c r="J1064" s="154" t="s">
        <v>90</v>
      </c>
      <c r="K1064" s="154" t="s">
        <v>91</v>
      </c>
      <c r="L1064" s="154" t="s">
        <v>1901</v>
      </c>
      <c r="M1064" s="154" t="s">
        <v>1383</v>
      </c>
      <c r="N1064" s="154" t="s">
        <v>61</v>
      </c>
      <c r="O1064" s="154" t="s">
        <v>62</v>
      </c>
      <c r="P1064" s="146">
        <v>0.28999999999999998</v>
      </c>
      <c r="Q1064" s="146">
        <v>0</v>
      </c>
      <c r="R1064" s="154" t="s">
        <v>1384</v>
      </c>
      <c r="S1064" s="154" t="s">
        <v>1899</v>
      </c>
      <c r="T1064" s="155" t="s">
        <v>1899</v>
      </c>
      <c r="U1064" s="155" t="s">
        <v>1899</v>
      </c>
      <c r="V1064" s="154" t="s">
        <v>1562</v>
      </c>
      <c r="W1064" s="154">
        <v>0</v>
      </c>
      <c r="X1064" s="154" t="s">
        <v>63</v>
      </c>
      <c r="Y1064" s="154" t="s">
        <v>1900</v>
      </c>
      <c r="Z1064" s="154"/>
      <c r="AA1064" s="154" t="s">
        <v>1387</v>
      </c>
      <c r="AB1064" s="154">
        <v>0</v>
      </c>
      <c r="AC1064" s="138">
        <f>IFERROR(IF(DATEDIF(#REF!,U1064,"m")&lt;=1,1,IF(AND(DATEDIF(#REF!,U1064,"m")&gt;1,DATEDIF(#REF!,U1064,"m")&lt;12),2,IF(AND(DATEDIF(#REF!,U1064,"m")&gt;=12,DATEDIF(#REF!,U1064,"m")&lt;24),3,IF(DATEDIF(#REF!,U1064,"m")&gt;=24,4,"")))),IF(E1064="r0320 - Deposits, not covered and not preferential",1,4))</f>
        <v>4</v>
      </c>
    </row>
    <row r="1065" spans="3:29" ht="48.75" thickBot="1" x14ac:dyDescent="0.3">
      <c r="C1065" s="11">
        <v>999</v>
      </c>
      <c r="D1065" s="154">
        <v>1058</v>
      </c>
      <c r="E1065" s="154" t="s">
        <v>1902</v>
      </c>
      <c r="F1065" s="154" t="s">
        <v>83</v>
      </c>
      <c r="G1065" s="154" t="s">
        <v>1903</v>
      </c>
      <c r="H1065" s="154" t="s">
        <v>537</v>
      </c>
      <c r="I1065" s="154" t="s">
        <v>101</v>
      </c>
      <c r="J1065" s="154" t="s">
        <v>102</v>
      </c>
      <c r="K1065" s="154" t="s">
        <v>60</v>
      </c>
      <c r="L1065" s="154" t="s">
        <v>1897</v>
      </c>
      <c r="M1065" s="154" t="s">
        <v>1388</v>
      </c>
      <c r="N1065" s="154" t="s">
        <v>61</v>
      </c>
      <c r="O1065" s="154" t="s">
        <v>62</v>
      </c>
      <c r="P1065" s="146">
        <v>1863051.7</v>
      </c>
      <c r="Q1065" s="146">
        <v>829.92</v>
      </c>
      <c r="R1065" s="154" t="s">
        <v>1384</v>
      </c>
      <c r="S1065" s="154" t="s">
        <v>1899</v>
      </c>
      <c r="T1065" s="155" t="s">
        <v>768</v>
      </c>
      <c r="U1065" s="155" t="s">
        <v>1899</v>
      </c>
      <c r="V1065" s="154" t="s">
        <v>1904</v>
      </c>
      <c r="W1065" s="154">
        <v>0</v>
      </c>
      <c r="X1065" s="154" t="s">
        <v>63</v>
      </c>
      <c r="Y1065" s="154" t="s">
        <v>1386</v>
      </c>
      <c r="Z1065" s="154"/>
      <c r="AA1065" s="154" t="s">
        <v>1387</v>
      </c>
      <c r="AB1065" s="154">
        <v>0</v>
      </c>
      <c r="AC1065" s="138">
        <f>IFERROR(IF(DATEDIF(#REF!,U1065,"m")&lt;=1,1,IF(AND(DATEDIF(#REF!,U1065,"m")&gt;1,DATEDIF(#REF!,U1065,"m")&lt;12),2,IF(AND(DATEDIF(#REF!,U1065,"m")&gt;=12,DATEDIF(#REF!,U1065,"m")&lt;24),3,IF(DATEDIF(#REF!,U1065,"m")&gt;=24,4,"")))),IF(E1065="r0320 - Deposits, not covered and not preferential",1,4))</f>
        <v>4</v>
      </c>
    </row>
    <row r="1066" spans="3:29" ht="36.75" thickBot="1" x14ac:dyDescent="0.3">
      <c r="C1066" s="11">
        <v>999</v>
      </c>
      <c r="D1066" s="154">
        <v>1059</v>
      </c>
      <c r="E1066" s="154" t="s">
        <v>1898</v>
      </c>
      <c r="F1066" s="154" t="s">
        <v>87</v>
      </c>
      <c r="G1066" s="154" t="s">
        <v>1402</v>
      </c>
      <c r="H1066" s="154" t="s">
        <v>596</v>
      </c>
      <c r="I1066" s="154" t="s">
        <v>99</v>
      </c>
      <c r="J1066" s="154" t="s">
        <v>90</v>
      </c>
      <c r="K1066" s="154" t="s">
        <v>91</v>
      </c>
      <c r="L1066" s="154" t="s">
        <v>1897</v>
      </c>
      <c r="M1066" s="154" t="s">
        <v>1383</v>
      </c>
      <c r="N1066" s="154" t="s">
        <v>61</v>
      </c>
      <c r="O1066" s="154" t="s">
        <v>62</v>
      </c>
      <c r="P1066" s="146">
        <v>0.04</v>
      </c>
      <c r="Q1066" s="146">
        <v>0</v>
      </c>
      <c r="R1066" s="154" t="s">
        <v>1384</v>
      </c>
      <c r="S1066" s="154" t="s">
        <v>1899</v>
      </c>
      <c r="T1066" s="155" t="s">
        <v>1899</v>
      </c>
      <c r="U1066" s="155" t="s">
        <v>1899</v>
      </c>
      <c r="V1066" s="154" t="s">
        <v>1562</v>
      </c>
      <c r="W1066" s="154">
        <v>0</v>
      </c>
      <c r="X1066" s="154" t="s">
        <v>63</v>
      </c>
      <c r="Y1066" s="154" t="s">
        <v>1900</v>
      </c>
      <c r="Z1066" s="154"/>
      <c r="AA1066" s="154" t="s">
        <v>1387</v>
      </c>
      <c r="AB1066" s="154">
        <v>0</v>
      </c>
      <c r="AC1066" s="138">
        <f>IFERROR(IF(DATEDIF(#REF!,U1066,"m")&lt;=1,1,IF(AND(DATEDIF(#REF!,U1066,"m")&gt;1,DATEDIF(#REF!,U1066,"m")&lt;12),2,IF(AND(DATEDIF(#REF!,U1066,"m")&gt;=12,DATEDIF(#REF!,U1066,"m")&lt;24),3,IF(DATEDIF(#REF!,U1066,"m")&gt;=24,4,"")))),IF(E1066="r0320 - Deposits, not covered and not preferential",1,4))</f>
        <v>4</v>
      </c>
    </row>
    <row r="1067" spans="3:29" ht="36.75" thickBot="1" x14ac:dyDescent="0.3">
      <c r="C1067" s="11">
        <v>999</v>
      </c>
      <c r="D1067" s="154">
        <v>1060</v>
      </c>
      <c r="E1067" s="154" t="s">
        <v>1898</v>
      </c>
      <c r="F1067" s="154" t="s">
        <v>87</v>
      </c>
      <c r="G1067" s="154" t="s">
        <v>1402</v>
      </c>
      <c r="H1067" s="154" t="s">
        <v>234</v>
      </c>
      <c r="I1067" s="154" t="s">
        <v>108</v>
      </c>
      <c r="J1067" s="154" t="s">
        <v>90</v>
      </c>
      <c r="K1067" s="154" t="s">
        <v>91</v>
      </c>
      <c r="L1067" s="154" t="s">
        <v>1897</v>
      </c>
      <c r="M1067" s="154" t="s">
        <v>1383</v>
      </c>
      <c r="N1067" s="154" t="s">
        <v>61</v>
      </c>
      <c r="O1067" s="154" t="s">
        <v>62</v>
      </c>
      <c r="P1067" s="146">
        <v>0.38</v>
      </c>
      <c r="Q1067" s="146">
        <v>0</v>
      </c>
      <c r="R1067" s="154" t="s">
        <v>1384</v>
      </c>
      <c r="S1067" s="154" t="s">
        <v>1899</v>
      </c>
      <c r="T1067" s="155" t="s">
        <v>1899</v>
      </c>
      <c r="U1067" s="155" t="s">
        <v>1899</v>
      </c>
      <c r="V1067" s="154" t="s">
        <v>1562</v>
      </c>
      <c r="W1067" s="154">
        <v>0</v>
      </c>
      <c r="X1067" s="154" t="s">
        <v>63</v>
      </c>
      <c r="Y1067" s="154" t="s">
        <v>1900</v>
      </c>
      <c r="Z1067" s="154"/>
      <c r="AA1067" s="154" t="s">
        <v>1387</v>
      </c>
      <c r="AB1067" s="154">
        <v>0</v>
      </c>
      <c r="AC1067" s="138">
        <f>IFERROR(IF(DATEDIF(#REF!,U1067,"m")&lt;=1,1,IF(AND(DATEDIF(#REF!,U1067,"m")&gt;1,DATEDIF(#REF!,U1067,"m")&lt;12),2,IF(AND(DATEDIF(#REF!,U1067,"m")&gt;=12,DATEDIF(#REF!,U1067,"m")&lt;24),3,IF(DATEDIF(#REF!,U1067,"m")&gt;=24,4,"")))),IF(E1067="r0320 - Deposits, not covered and not preferential",1,4))</f>
        <v>4</v>
      </c>
    </row>
    <row r="1068" spans="3:29" ht="48.75" thickBot="1" x14ac:dyDescent="0.3">
      <c r="C1068" s="11">
        <v>999</v>
      </c>
      <c r="D1068" s="154">
        <v>1061</v>
      </c>
      <c r="E1068" s="154" t="s">
        <v>1902</v>
      </c>
      <c r="F1068" s="154" t="s">
        <v>83</v>
      </c>
      <c r="G1068" s="154" t="s">
        <v>1903</v>
      </c>
      <c r="H1068" s="154" t="s">
        <v>368</v>
      </c>
      <c r="I1068" s="154" t="s">
        <v>93</v>
      </c>
      <c r="J1068" s="154" t="s">
        <v>94</v>
      </c>
      <c r="K1068" s="154" t="s">
        <v>60</v>
      </c>
      <c r="L1068" s="154" t="s">
        <v>1897</v>
      </c>
      <c r="M1068" s="154" t="s">
        <v>1388</v>
      </c>
      <c r="N1068" s="154" t="s">
        <v>61</v>
      </c>
      <c r="O1068" s="154" t="s">
        <v>62</v>
      </c>
      <c r="P1068" s="146">
        <v>130139.17</v>
      </c>
      <c r="Q1068" s="146">
        <v>124.32</v>
      </c>
      <c r="R1068" s="154" t="s">
        <v>1384</v>
      </c>
      <c r="S1068" s="154" t="s">
        <v>1899</v>
      </c>
      <c r="T1068" s="155" t="s">
        <v>768</v>
      </c>
      <c r="U1068" s="155" t="s">
        <v>1899</v>
      </c>
      <c r="V1068" s="154" t="s">
        <v>1904</v>
      </c>
      <c r="W1068" s="154">
        <v>0</v>
      </c>
      <c r="X1068" s="154" t="s">
        <v>63</v>
      </c>
      <c r="Y1068" s="154" t="s">
        <v>1386</v>
      </c>
      <c r="Z1068" s="154"/>
      <c r="AA1068" s="154" t="s">
        <v>1387</v>
      </c>
      <c r="AB1068" s="154">
        <v>0</v>
      </c>
      <c r="AC1068" s="138">
        <f>IFERROR(IF(DATEDIF(#REF!,U1068,"m")&lt;=1,1,IF(AND(DATEDIF(#REF!,U1068,"m")&gt;1,DATEDIF(#REF!,U1068,"m")&lt;12),2,IF(AND(DATEDIF(#REF!,U1068,"m")&gt;=12,DATEDIF(#REF!,U1068,"m")&lt;24),3,IF(DATEDIF(#REF!,U1068,"m")&gt;=24,4,"")))),IF(E1068="r0320 - Deposits, not covered and not preferential",1,4))</f>
        <v>4</v>
      </c>
    </row>
    <row r="1069" spans="3:29" ht="48.75" thickBot="1" x14ac:dyDescent="0.3">
      <c r="C1069" s="11">
        <v>999</v>
      </c>
      <c r="D1069" s="154">
        <v>1062</v>
      </c>
      <c r="E1069" s="154" t="s">
        <v>1902</v>
      </c>
      <c r="F1069" s="154" t="s">
        <v>83</v>
      </c>
      <c r="G1069" s="154" t="s">
        <v>1903</v>
      </c>
      <c r="H1069" s="154" t="s">
        <v>559</v>
      </c>
      <c r="I1069" s="154" t="s">
        <v>101</v>
      </c>
      <c r="J1069" s="154" t="s">
        <v>102</v>
      </c>
      <c r="K1069" s="154" t="s">
        <v>60</v>
      </c>
      <c r="L1069" s="154" t="s">
        <v>1897</v>
      </c>
      <c r="M1069" s="154" t="s">
        <v>1388</v>
      </c>
      <c r="N1069" s="154" t="s">
        <v>61</v>
      </c>
      <c r="O1069" s="154" t="s">
        <v>62</v>
      </c>
      <c r="P1069" s="146">
        <v>1603264.3</v>
      </c>
      <c r="Q1069" s="146">
        <v>321.89</v>
      </c>
      <c r="R1069" s="154" t="s">
        <v>1384</v>
      </c>
      <c r="S1069" s="154" t="s">
        <v>1899</v>
      </c>
      <c r="T1069" s="155" t="s">
        <v>768</v>
      </c>
      <c r="U1069" s="155" t="s">
        <v>1899</v>
      </c>
      <c r="V1069" s="154" t="s">
        <v>1904</v>
      </c>
      <c r="W1069" s="154">
        <v>0</v>
      </c>
      <c r="X1069" s="154" t="s">
        <v>63</v>
      </c>
      <c r="Y1069" s="154" t="s">
        <v>1386</v>
      </c>
      <c r="Z1069" s="154"/>
      <c r="AA1069" s="154" t="s">
        <v>1387</v>
      </c>
      <c r="AB1069" s="154">
        <v>0</v>
      </c>
      <c r="AC1069" s="138">
        <f>IFERROR(IF(DATEDIF(#REF!,U1069,"m")&lt;=1,1,IF(AND(DATEDIF(#REF!,U1069,"m")&gt;1,DATEDIF(#REF!,U1069,"m")&lt;12),2,IF(AND(DATEDIF(#REF!,U1069,"m")&gt;=12,DATEDIF(#REF!,U1069,"m")&lt;24),3,IF(DATEDIF(#REF!,U1069,"m")&gt;=24,4,"")))),IF(E1069="r0320 - Deposits, not covered and not preferential",1,4))</f>
        <v>4</v>
      </c>
    </row>
    <row r="1070" spans="3:29" ht="36.75" thickBot="1" x14ac:dyDescent="0.3">
      <c r="C1070" s="11">
        <v>999</v>
      </c>
      <c r="D1070" s="154">
        <v>1063</v>
      </c>
      <c r="E1070" s="154" t="s">
        <v>1898</v>
      </c>
      <c r="F1070" s="154" t="s">
        <v>87</v>
      </c>
      <c r="G1070" s="154" t="s">
        <v>1402</v>
      </c>
      <c r="H1070" s="154" t="s">
        <v>575</v>
      </c>
      <c r="I1070" s="154" t="s">
        <v>99</v>
      </c>
      <c r="J1070" s="154" t="s">
        <v>90</v>
      </c>
      <c r="K1070" s="154" t="s">
        <v>91</v>
      </c>
      <c r="L1070" s="154" t="s">
        <v>1897</v>
      </c>
      <c r="M1070" s="154" t="s">
        <v>1383</v>
      </c>
      <c r="N1070" s="154" t="s">
        <v>61</v>
      </c>
      <c r="O1070" s="154" t="s">
        <v>62</v>
      </c>
      <c r="P1070" s="146">
        <v>0.01</v>
      </c>
      <c r="Q1070" s="146">
        <v>0</v>
      </c>
      <c r="R1070" s="154" t="s">
        <v>1384</v>
      </c>
      <c r="S1070" s="154" t="s">
        <v>1899</v>
      </c>
      <c r="T1070" s="155" t="s">
        <v>1899</v>
      </c>
      <c r="U1070" s="155" t="s">
        <v>1899</v>
      </c>
      <c r="V1070" s="154" t="s">
        <v>1562</v>
      </c>
      <c r="W1070" s="154">
        <v>0</v>
      </c>
      <c r="X1070" s="154" t="s">
        <v>63</v>
      </c>
      <c r="Y1070" s="154" t="s">
        <v>1900</v>
      </c>
      <c r="Z1070" s="154"/>
      <c r="AA1070" s="154" t="s">
        <v>1387</v>
      </c>
      <c r="AB1070" s="154">
        <v>0</v>
      </c>
      <c r="AC1070" s="138">
        <f>IFERROR(IF(DATEDIF(#REF!,U1070,"m")&lt;=1,1,IF(AND(DATEDIF(#REF!,U1070,"m")&gt;1,DATEDIF(#REF!,U1070,"m")&lt;12),2,IF(AND(DATEDIF(#REF!,U1070,"m")&gt;=12,DATEDIF(#REF!,U1070,"m")&lt;24),3,IF(DATEDIF(#REF!,U1070,"m")&gt;=24,4,"")))),IF(E1070="r0320 - Deposits, not covered and not preferential",1,4))</f>
        <v>4</v>
      </c>
    </row>
    <row r="1071" spans="3:29" ht="36.75" thickBot="1" x14ac:dyDescent="0.3">
      <c r="C1071" s="11">
        <v>999</v>
      </c>
      <c r="D1071" s="154">
        <v>1064</v>
      </c>
      <c r="E1071" s="154" t="s">
        <v>1898</v>
      </c>
      <c r="F1071" s="154" t="s">
        <v>87</v>
      </c>
      <c r="G1071" s="154" t="s">
        <v>1402</v>
      </c>
      <c r="H1071" s="154" t="s">
        <v>369</v>
      </c>
      <c r="I1071" s="154" t="s">
        <v>108</v>
      </c>
      <c r="J1071" s="154" t="s">
        <v>90</v>
      </c>
      <c r="K1071" s="154" t="s">
        <v>91</v>
      </c>
      <c r="L1071" s="154" t="s">
        <v>1897</v>
      </c>
      <c r="M1071" s="154" t="s">
        <v>1383</v>
      </c>
      <c r="N1071" s="154" t="s">
        <v>61</v>
      </c>
      <c r="O1071" s="154" t="s">
        <v>62</v>
      </c>
      <c r="P1071" s="146">
        <v>8.36</v>
      </c>
      <c r="Q1071" s="146">
        <v>0</v>
      </c>
      <c r="R1071" s="154" t="s">
        <v>1384</v>
      </c>
      <c r="S1071" s="154" t="s">
        <v>1899</v>
      </c>
      <c r="T1071" s="155" t="s">
        <v>1899</v>
      </c>
      <c r="U1071" s="155" t="s">
        <v>1899</v>
      </c>
      <c r="V1071" s="154" t="s">
        <v>1562</v>
      </c>
      <c r="W1071" s="154">
        <v>0</v>
      </c>
      <c r="X1071" s="154" t="s">
        <v>63</v>
      </c>
      <c r="Y1071" s="154" t="s">
        <v>1900</v>
      </c>
      <c r="Z1071" s="154"/>
      <c r="AA1071" s="154" t="s">
        <v>1387</v>
      </c>
      <c r="AB1071" s="154">
        <v>0</v>
      </c>
      <c r="AC1071" s="138">
        <f>IFERROR(IF(DATEDIF(#REF!,U1071,"m")&lt;=1,1,IF(AND(DATEDIF(#REF!,U1071,"m")&gt;1,DATEDIF(#REF!,U1071,"m")&lt;12),2,IF(AND(DATEDIF(#REF!,U1071,"m")&gt;=12,DATEDIF(#REF!,U1071,"m")&lt;24),3,IF(DATEDIF(#REF!,U1071,"m")&gt;=24,4,"")))),IF(E1071="r0320 - Deposits, not covered and not preferential",1,4))</f>
        <v>4</v>
      </c>
    </row>
    <row r="1072" spans="3:29" ht="36.75" thickBot="1" x14ac:dyDescent="0.3">
      <c r="C1072" s="11">
        <v>999</v>
      </c>
      <c r="D1072" s="154">
        <v>1065</v>
      </c>
      <c r="E1072" s="154" t="s">
        <v>1898</v>
      </c>
      <c r="F1072" s="154" t="s">
        <v>87</v>
      </c>
      <c r="G1072" s="154" t="s">
        <v>1402</v>
      </c>
      <c r="H1072" s="154" t="s">
        <v>642</v>
      </c>
      <c r="I1072" s="154" t="s">
        <v>108</v>
      </c>
      <c r="J1072" s="154" t="s">
        <v>90</v>
      </c>
      <c r="K1072" s="154" t="s">
        <v>91</v>
      </c>
      <c r="L1072" s="154" t="s">
        <v>1897</v>
      </c>
      <c r="M1072" s="154" t="s">
        <v>1383</v>
      </c>
      <c r="N1072" s="154" t="s">
        <v>61</v>
      </c>
      <c r="O1072" s="154" t="s">
        <v>62</v>
      </c>
      <c r="P1072" s="146">
        <v>1.74</v>
      </c>
      <c r="Q1072" s="146">
        <v>0</v>
      </c>
      <c r="R1072" s="154" t="s">
        <v>1384</v>
      </c>
      <c r="S1072" s="154" t="s">
        <v>1899</v>
      </c>
      <c r="T1072" s="155" t="s">
        <v>1899</v>
      </c>
      <c r="U1072" s="155" t="s">
        <v>1899</v>
      </c>
      <c r="V1072" s="154" t="s">
        <v>1562</v>
      </c>
      <c r="W1072" s="154">
        <v>0</v>
      </c>
      <c r="X1072" s="154" t="s">
        <v>63</v>
      </c>
      <c r="Y1072" s="154" t="s">
        <v>1900</v>
      </c>
      <c r="Z1072" s="154"/>
      <c r="AA1072" s="154" t="s">
        <v>1387</v>
      </c>
      <c r="AB1072" s="154">
        <v>0</v>
      </c>
      <c r="AC1072" s="138">
        <f>IFERROR(IF(DATEDIF(#REF!,U1072,"m")&lt;=1,1,IF(AND(DATEDIF(#REF!,U1072,"m")&gt;1,DATEDIF(#REF!,U1072,"m")&lt;12),2,IF(AND(DATEDIF(#REF!,U1072,"m")&gt;=12,DATEDIF(#REF!,U1072,"m")&lt;24),3,IF(DATEDIF(#REF!,U1072,"m")&gt;=24,4,"")))),IF(E1072="r0320 - Deposits, not covered and not preferential",1,4))</f>
        <v>4</v>
      </c>
    </row>
    <row r="1073" spans="3:29" ht="48.75" thickBot="1" x14ac:dyDescent="0.3">
      <c r="C1073" s="11">
        <v>999</v>
      </c>
      <c r="D1073" s="154">
        <v>1066</v>
      </c>
      <c r="E1073" s="154" t="s">
        <v>1902</v>
      </c>
      <c r="F1073" s="154" t="s">
        <v>83</v>
      </c>
      <c r="G1073" s="154" t="s">
        <v>1903</v>
      </c>
      <c r="H1073" s="154" t="s">
        <v>364</v>
      </c>
      <c r="I1073" s="154" t="s">
        <v>101</v>
      </c>
      <c r="J1073" s="154" t="s">
        <v>102</v>
      </c>
      <c r="K1073" s="154" t="s">
        <v>60</v>
      </c>
      <c r="L1073" s="154" t="s">
        <v>1897</v>
      </c>
      <c r="M1073" s="154" t="s">
        <v>1388</v>
      </c>
      <c r="N1073" s="154" t="s">
        <v>61</v>
      </c>
      <c r="O1073" s="154" t="s">
        <v>62</v>
      </c>
      <c r="P1073" s="146">
        <v>1276539.05</v>
      </c>
      <c r="Q1073" s="146">
        <v>447.51</v>
      </c>
      <c r="R1073" s="154" t="s">
        <v>1384</v>
      </c>
      <c r="S1073" s="154" t="s">
        <v>1899</v>
      </c>
      <c r="T1073" s="155" t="s">
        <v>768</v>
      </c>
      <c r="U1073" s="155" t="s">
        <v>1899</v>
      </c>
      <c r="V1073" s="154" t="s">
        <v>1904</v>
      </c>
      <c r="W1073" s="154">
        <v>0</v>
      </c>
      <c r="X1073" s="154" t="s">
        <v>63</v>
      </c>
      <c r="Y1073" s="154" t="s">
        <v>1386</v>
      </c>
      <c r="Z1073" s="154"/>
      <c r="AA1073" s="154" t="s">
        <v>1387</v>
      </c>
      <c r="AB1073" s="154">
        <v>0</v>
      </c>
      <c r="AC1073" s="138">
        <f>IFERROR(IF(DATEDIF(#REF!,U1073,"m")&lt;=1,1,IF(AND(DATEDIF(#REF!,U1073,"m")&gt;1,DATEDIF(#REF!,U1073,"m")&lt;12),2,IF(AND(DATEDIF(#REF!,U1073,"m")&gt;=12,DATEDIF(#REF!,U1073,"m")&lt;24),3,IF(DATEDIF(#REF!,U1073,"m")&gt;=24,4,"")))),IF(E1073="r0320 - Deposits, not covered and not preferential",1,4))</f>
        <v>4</v>
      </c>
    </row>
    <row r="1074" spans="3:29" ht="36.75" thickBot="1" x14ac:dyDescent="0.3">
      <c r="C1074" s="11">
        <v>999</v>
      </c>
      <c r="D1074" s="154">
        <v>1067</v>
      </c>
      <c r="E1074" s="154" t="s">
        <v>1898</v>
      </c>
      <c r="F1074" s="154" t="s">
        <v>87</v>
      </c>
      <c r="G1074" s="154" t="s">
        <v>1402</v>
      </c>
      <c r="H1074" s="154" t="s">
        <v>235</v>
      </c>
      <c r="I1074" s="154" t="s">
        <v>99</v>
      </c>
      <c r="J1074" s="154" t="s">
        <v>90</v>
      </c>
      <c r="K1074" s="154" t="s">
        <v>91</v>
      </c>
      <c r="L1074" s="154" t="s">
        <v>1897</v>
      </c>
      <c r="M1074" s="154" t="s">
        <v>1383</v>
      </c>
      <c r="N1074" s="154" t="s">
        <v>61</v>
      </c>
      <c r="O1074" s="154" t="s">
        <v>62</v>
      </c>
      <c r="P1074" s="146">
        <v>0.06</v>
      </c>
      <c r="Q1074" s="146">
        <v>0</v>
      </c>
      <c r="R1074" s="154" t="s">
        <v>1384</v>
      </c>
      <c r="S1074" s="154" t="s">
        <v>1899</v>
      </c>
      <c r="T1074" s="155" t="s">
        <v>1899</v>
      </c>
      <c r="U1074" s="155" t="s">
        <v>1899</v>
      </c>
      <c r="V1074" s="154" t="s">
        <v>1562</v>
      </c>
      <c r="W1074" s="154">
        <v>0</v>
      </c>
      <c r="X1074" s="154" t="s">
        <v>63</v>
      </c>
      <c r="Y1074" s="154" t="s">
        <v>1900</v>
      </c>
      <c r="Z1074" s="154"/>
      <c r="AA1074" s="154" t="s">
        <v>1387</v>
      </c>
      <c r="AB1074" s="154">
        <v>0</v>
      </c>
      <c r="AC1074" s="138">
        <f>IFERROR(IF(DATEDIF(#REF!,U1074,"m")&lt;=1,1,IF(AND(DATEDIF(#REF!,U1074,"m")&gt;1,DATEDIF(#REF!,U1074,"m")&lt;12),2,IF(AND(DATEDIF(#REF!,U1074,"m")&gt;=12,DATEDIF(#REF!,U1074,"m")&lt;24),3,IF(DATEDIF(#REF!,U1074,"m")&gt;=24,4,"")))),IF(E1074="r0320 - Deposits, not covered and not preferential",1,4))</f>
        <v>4</v>
      </c>
    </row>
    <row r="1075" spans="3:29" ht="36.75" thickBot="1" x14ac:dyDescent="0.3">
      <c r="C1075" s="11">
        <v>999</v>
      </c>
      <c r="D1075" s="154">
        <v>1068</v>
      </c>
      <c r="E1075" s="154" t="s">
        <v>1898</v>
      </c>
      <c r="F1075" s="154" t="s">
        <v>87</v>
      </c>
      <c r="G1075" s="154" t="s">
        <v>1402</v>
      </c>
      <c r="H1075" s="154" t="s">
        <v>129</v>
      </c>
      <c r="I1075" s="154" t="s">
        <v>108</v>
      </c>
      <c r="J1075" s="154" t="s">
        <v>90</v>
      </c>
      <c r="K1075" s="154" t="s">
        <v>91</v>
      </c>
      <c r="L1075" s="154" t="s">
        <v>1897</v>
      </c>
      <c r="M1075" s="154" t="s">
        <v>1383</v>
      </c>
      <c r="N1075" s="154" t="s">
        <v>61</v>
      </c>
      <c r="O1075" s="154" t="s">
        <v>62</v>
      </c>
      <c r="P1075" s="146">
        <v>3.55</v>
      </c>
      <c r="Q1075" s="146">
        <v>0</v>
      </c>
      <c r="R1075" s="154" t="s">
        <v>1384</v>
      </c>
      <c r="S1075" s="154" t="s">
        <v>1899</v>
      </c>
      <c r="T1075" s="155" t="s">
        <v>1899</v>
      </c>
      <c r="U1075" s="155" t="s">
        <v>1899</v>
      </c>
      <c r="V1075" s="154" t="s">
        <v>1562</v>
      </c>
      <c r="W1075" s="154">
        <v>0</v>
      </c>
      <c r="X1075" s="154" t="s">
        <v>63</v>
      </c>
      <c r="Y1075" s="154" t="s">
        <v>1900</v>
      </c>
      <c r="Z1075" s="154"/>
      <c r="AA1075" s="154" t="s">
        <v>1387</v>
      </c>
      <c r="AB1075" s="154">
        <v>0</v>
      </c>
      <c r="AC1075" s="138">
        <f>IFERROR(IF(DATEDIF(#REF!,U1075,"m")&lt;=1,1,IF(AND(DATEDIF(#REF!,U1075,"m")&gt;1,DATEDIF(#REF!,U1075,"m")&lt;12),2,IF(AND(DATEDIF(#REF!,U1075,"m")&gt;=12,DATEDIF(#REF!,U1075,"m")&lt;24),3,IF(DATEDIF(#REF!,U1075,"m")&gt;=24,4,"")))),IF(E1075="r0320 - Deposits, not covered and not preferential",1,4))</f>
        <v>4</v>
      </c>
    </row>
    <row r="1076" spans="3:29" ht="36.75" thickBot="1" x14ac:dyDescent="0.3">
      <c r="C1076" s="11">
        <v>999</v>
      </c>
      <c r="D1076" s="154">
        <v>1069</v>
      </c>
      <c r="E1076" s="154" t="s">
        <v>1898</v>
      </c>
      <c r="F1076" s="154" t="s">
        <v>56</v>
      </c>
      <c r="G1076" s="154" t="s">
        <v>1402</v>
      </c>
      <c r="H1076" s="154" t="s">
        <v>607</v>
      </c>
      <c r="I1076" s="154" t="s">
        <v>66</v>
      </c>
      <c r="J1076" s="154" t="s">
        <v>67</v>
      </c>
      <c r="K1076" s="154" t="s">
        <v>60</v>
      </c>
      <c r="L1076" s="154" t="s">
        <v>1897</v>
      </c>
      <c r="M1076" s="154" t="s">
        <v>1383</v>
      </c>
      <c r="N1076" s="154" t="s">
        <v>61</v>
      </c>
      <c r="O1076" s="154" t="s">
        <v>62</v>
      </c>
      <c r="P1076" s="146">
        <v>0.9</v>
      </c>
      <c r="Q1076" s="146">
        <v>0</v>
      </c>
      <c r="R1076" s="154" t="s">
        <v>1384</v>
      </c>
      <c r="S1076" s="154" t="s">
        <v>1899</v>
      </c>
      <c r="T1076" s="155" t="s">
        <v>1899</v>
      </c>
      <c r="U1076" s="155" t="s">
        <v>1899</v>
      </c>
      <c r="V1076" s="154" t="s">
        <v>1562</v>
      </c>
      <c r="W1076" s="154">
        <v>0</v>
      </c>
      <c r="X1076" s="154" t="s">
        <v>63</v>
      </c>
      <c r="Y1076" s="154" t="s">
        <v>1900</v>
      </c>
      <c r="Z1076" s="154"/>
      <c r="AA1076" s="154" t="s">
        <v>1387</v>
      </c>
      <c r="AB1076" s="154">
        <v>0</v>
      </c>
      <c r="AC1076" s="138">
        <f>IFERROR(IF(DATEDIF(#REF!,U1076,"m")&lt;=1,1,IF(AND(DATEDIF(#REF!,U1076,"m")&gt;1,DATEDIF(#REF!,U1076,"m")&lt;12),2,IF(AND(DATEDIF(#REF!,U1076,"m")&gt;=12,DATEDIF(#REF!,U1076,"m")&lt;24),3,IF(DATEDIF(#REF!,U1076,"m")&gt;=24,4,"")))),IF(E1076="r0320 - Deposits, not covered and not preferential",1,4))</f>
        <v>4</v>
      </c>
    </row>
    <row r="1077" spans="3:29" ht="36.75" thickBot="1" x14ac:dyDescent="0.3">
      <c r="C1077" s="11">
        <v>999</v>
      </c>
      <c r="D1077" s="154">
        <v>1070</v>
      </c>
      <c r="E1077" s="154" t="s">
        <v>1898</v>
      </c>
      <c r="F1077" s="154" t="s">
        <v>260</v>
      </c>
      <c r="G1077" s="154" t="s">
        <v>1402</v>
      </c>
      <c r="H1077" s="154" t="s">
        <v>782</v>
      </c>
      <c r="I1077" s="154" t="s">
        <v>783</v>
      </c>
      <c r="J1077" s="154" t="s">
        <v>784</v>
      </c>
      <c r="K1077" s="154" t="s">
        <v>91</v>
      </c>
      <c r="L1077" s="154" t="s">
        <v>1897</v>
      </c>
      <c r="M1077" s="154" t="s">
        <v>1388</v>
      </c>
      <c r="N1077" s="154" t="s">
        <v>61</v>
      </c>
      <c r="O1077" s="154" t="s">
        <v>62</v>
      </c>
      <c r="P1077" s="146">
        <v>681.69</v>
      </c>
      <c r="Q1077" s="146">
        <v>0</v>
      </c>
      <c r="R1077" s="154" t="s">
        <v>1384</v>
      </c>
      <c r="S1077" s="154" t="s">
        <v>1899</v>
      </c>
      <c r="T1077" s="155" t="s">
        <v>1899</v>
      </c>
      <c r="U1077" s="155" t="s">
        <v>1899</v>
      </c>
      <c r="V1077" s="154" t="s">
        <v>1562</v>
      </c>
      <c r="W1077" s="154">
        <v>0</v>
      </c>
      <c r="X1077" s="154" t="s">
        <v>63</v>
      </c>
      <c r="Y1077" s="154" t="s">
        <v>1900</v>
      </c>
      <c r="Z1077" s="154"/>
      <c r="AA1077" s="154" t="s">
        <v>1387</v>
      </c>
      <c r="AB1077" s="154">
        <v>0</v>
      </c>
      <c r="AC1077" s="138">
        <f>IFERROR(IF(DATEDIF(#REF!,U1077,"m")&lt;=1,1,IF(AND(DATEDIF(#REF!,U1077,"m")&gt;1,DATEDIF(#REF!,U1077,"m")&lt;12),2,IF(AND(DATEDIF(#REF!,U1077,"m")&gt;=12,DATEDIF(#REF!,U1077,"m")&lt;24),3,IF(DATEDIF(#REF!,U1077,"m")&gt;=24,4,"")))),IF(E1077="r0320 - Deposits, not covered and not preferential",1,4))</f>
        <v>4</v>
      </c>
    </row>
    <row r="1078" spans="3:29" ht="36.75" thickBot="1" x14ac:dyDescent="0.3">
      <c r="C1078" s="11">
        <v>999</v>
      </c>
      <c r="D1078" s="154">
        <v>1071</v>
      </c>
      <c r="E1078" s="154" t="s">
        <v>1898</v>
      </c>
      <c r="F1078" s="154" t="s">
        <v>87</v>
      </c>
      <c r="G1078" s="154" t="s">
        <v>1402</v>
      </c>
      <c r="H1078" s="154" t="s">
        <v>965</v>
      </c>
      <c r="I1078" s="154" t="s">
        <v>99</v>
      </c>
      <c r="J1078" s="154" t="s">
        <v>90</v>
      </c>
      <c r="K1078" s="154" t="s">
        <v>91</v>
      </c>
      <c r="L1078" s="154" t="s">
        <v>1897</v>
      </c>
      <c r="M1078" s="154" t="s">
        <v>1383</v>
      </c>
      <c r="N1078" s="154" t="s">
        <v>61</v>
      </c>
      <c r="O1078" s="154" t="s">
        <v>62</v>
      </c>
      <c r="P1078" s="146">
        <v>0.05</v>
      </c>
      <c r="Q1078" s="146">
        <v>0</v>
      </c>
      <c r="R1078" s="154" t="s">
        <v>1384</v>
      </c>
      <c r="S1078" s="154" t="s">
        <v>1899</v>
      </c>
      <c r="T1078" s="155" t="s">
        <v>1899</v>
      </c>
      <c r="U1078" s="155" t="s">
        <v>1899</v>
      </c>
      <c r="V1078" s="154" t="s">
        <v>1562</v>
      </c>
      <c r="W1078" s="154">
        <v>0</v>
      </c>
      <c r="X1078" s="154" t="s">
        <v>63</v>
      </c>
      <c r="Y1078" s="154" t="s">
        <v>1900</v>
      </c>
      <c r="Z1078" s="154"/>
      <c r="AA1078" s="154" t="s">
        <v>1387</v>
      </c>
      <c r="AB1078" s="154">
        <v>0</v>
      </c>
      <c r="AC1078" s="138">
        <f>IFERROR(IF(DATEDIF(#REF!,U1078,"m")&lt;=1,1,IF(AND(DATEDIF(#REF!,U1078,"m")&gt;1,DATEDIF(#REF!,U1078,"m")&lt;12),2,IF(AND(DATEDIF(#REF!,U1078,"m")&gt;=12,DATEDIF(#REF!,U1078,"m")&lt;24),3,IF(DATEDIF(#REF!,U1078,"m")&gt;=24,4,"")))),IF(E1078="r0320 - Deposits, not covered and not preferential",1,4))</f>
        <v>4</v>
      </c>
    </row>
    <row r="1079" spans="3:29" ht="36.75" thickBot="1" x14ac:dyDescent="0.3">
      <c r="C1079" s="11">
        <v>999</v>
      </c>
      <c r="D1079" s="154">
        <v>1072</v>
      </c>
      <c r="E1079" s="154" t="s">
        <v>1898</v>
      </c>
      <c r="F1079" s="154" t="s">
        <v>56</v>
      </c>
      <c r="G1079" s="154" t="s">
        <v>1402</v>
      </c>
      <c r="H1079" s="154" t="s">
        <v>371</v>
      </c>
      <c r="I1079" s="154" t="s">
        <v>66</v>
      </c>
      <c r="J1079" s="154" t="s">
        <v>67</v>
      </c>
      <c r="K1079" s="154" t="s">
        <v>60</v>
      </c>
      <c r="L1079" s="154" t="s">
        <v>1897</v>
      </c>
      <c r="M1079" s="154" t="s">
        <v>1383</v>
      </c>
      <c r="N1079" s="154" t="s">
        <v>61</v>
      </c>
      <c r="O1079" s="154" t="s">
        <v>62</v>
      </c>
      <c r="P1079" s="146">
        <v>0.76</v>
      </c>
      <c r="Q1079" s="146">
        <v>0</v>
      </c>
      <c r="R1079" s="154" t="s">
        <v>1384</v>
      </c>
      <c r="S1079" s="154" t="s">
        <v>1899</v>
      </c>
      <c r="T1079" s="155" t="s">
        <v>1899</v>
      </c>
      <c r="U1079" s="155" t="s">
        <v>1899</v>
      </c>
      <c r="V1079" s="154" t="s">
        <v>1562</v>
      </c>
      <c r="W1079" s="154">
        <v>0</v>
      </c>
      <c r="X1079" s="154" t="s">
        <v>63</v>
      </c>
      <c r="Y1079" s="154" t="s">
        <v>1900</v>
      </c>
      <c r="Z1079" s="154"/>
      <c r="AA1079" s="154" t="s">
        <v>1387</v>
      </c>
      <c r="AB1079" s="154">
        <v>0</v>
      </c>
      <c r="AC1079" s="138">
        <f>IFERROR(IF(DATEDIF(#REF!,U1079,"m")&lt;=1,1,IF(AND(DATEDIF(#REF!,U1079,"m")&gt;1,DATEDIF(#REF!,U1079,"m")&lt;12),2,IF(AND(DATEDIF(#REF!,U1079,"m")&gt;=12,DATEDIF(#REF!,U1079,"m")&lt;24),3,IF(DATEDIF(#REF!,U1079,"m")&gt;=24,4,"")))),IF(E1079="r0320 - Deposits, not covered and not preferential",1,4))</f>
        <v>4</v>
      </c>
    </row>
    <row r="1080" spans="3:29" ht="36.75" thickBot="1" x14ac:dyDescent="0.3">
      <c r="C1080" s="11">
        <v>999</v>
      </c>
      <c r="D1080" s="154">
        <v>1073</v>
      </c>
      <c r="E1080" s="154" t="s">
        <v>1898</v>
      </c>
      <c r="F1080" s="154" t="s">
        <v>87</v>
      </c>
      <c r="G1080" s="154" t="s">
        <v>1402</v>
      </c>
      <c r="H1080" s="154" t="s">
        <v>1033</v>
      </c>
      <c r="I1080" s="154" t="s">
        <v>89</v>
      </c>
      <c r="J1080" s="154" t="s">
        <v>90</v>
      </c>
      <c r="K1080" s="154" t="s">
        <v>91</v>
      </c>
      <c r="L1080" s="154" t="s">
        <v>1901</v>
      </c>
      <c r="M1080" s="154" t="s">
        <v>1383</v>
      </c>
      <c r="N1080" s="154" t="s">
        <v>61</v>
      </c>
      <c r="O1080" s="154" t="s">
        <v>62</v>
      </c>
      <c r="P1080" s="146">
        <v>0.18</v>
      </c>
      <c r="Q1080" s="146">
        <v>0</v>
      </c>
      <c r="R1080" s="154" t="s">
        <v>1384</v>
      </c>
      <c r="S1080" s="154" t="s">
        <v>1899</v>
      </c>
      <c r="T1080" s="155" t="s">
        <v>1899</v>
      </c>
      <c r="U1080" s="155" t="s">
        <v>1899</v>
      </c>
      <c r="V1080" s="154" t="s">
        <v>1562</v>
      </c>
      <c r="W1080" s="154">
        <v>0</v>
      </c>
      <c r="X1080" s="154" t="s">
        <v>63</v>
      </c>
      <c r="Y1080" s="154" t="s">
        <v>1900</v>
      </c>
      <c r="Z1080" s="154"/>
      <c r="AA1080" s="154" t="s">
        <v>1387</v>
      </c>
      <c r="AB1080" s="154">
        <v>0</v>
      </c>
      <c r="AC1080" s="138">
        <f>IFERROR(IF(DATEDIF(#REF!,U1080,"m")&lt;=1,1,IF(AND(DATEDIF(#REF!,U1080,"m")&gt;1,DATEDIF(#REF!,U1080,"m")&lt;12),2,IF(AND(DATEDIF(#REF!,U1080,"m")&gt;=12,DATEDIF(#REF!,U1080,"m")&lt;24),3,IF(DATEDIF(#REF!,U1080,"m")&gt;=24,4,"")))),IF(E1080="r0320 - Deposits, not covered and not preferential",1,4))</f>
        <v>4</v>
      </c>
    </row>
    <row r="1081" spans="3:29" ht="48.75" thickBot="1" x14ac:dyDescent="0.3">
      <c r="C1081" s="11">
        <v>999</v>
      </c>
      <c r="D1081" s="154">
        <v>1074</v>
      </c>
      <c r="E1081" s="154" t="s">
        <v>1902</v>
      </c>
      <c r="F1081" s="154" t="s">
        <v>83</v>
      </c>
      <c r="G1081" s="154" t="s">
        <v>1903</v>
      </c>
      <c r="H1081" s="154" t="s">
        <v>583</v>
      </c>
      <c r="I1081" s="154" t="s">
        <v>93</v>
      </c>
      <c r="J1081" s="154" t="s">
        <v>94</v>
      </c>
      <c r="K1081" s="154" t="s">
        <v>60</v>
      </c>
      <c r="L1081" s="154" t="s">
        <v>1897</v>
      </c>
      <c r="M1081" s="154" t="s">
        <v>1388</v>
      </c>
      <c r="N1081" s="154" t="s">
        <v>61</v>
      </c>
      <c r="O1081" s="154" t="s">
        <v>62</v>
      </c>
      <c r="P1081" s="146">
        <v>21277.37</v>
      </c>
      <c r="Q1081" s="146">
        <v>1.86</v>
      </c>
      <c r="R1081" s="154" t="s">
        <v>1384</v>
      </c>
      <c r="S1081" s="154" t="s">
        <v>1899</v>
      </c>
      <c r="T1081" s="155" t="s">
        <v>768</v>
      </c>
      <c r="U1081" s="155" t="s">
        <v>1899</v>
      </c>
      <c r="V1081" s="154" t="s">
        <v>1904</v>
      </c>
      <c r="W1081" s="154">
        <v>0</v>
      </c>
      <c r="X1081" s="154" t="s">
        <v>63</v>
      </c>
      <c r="Y1081" s="154" t="s">
        <v>1386</v>
      </c>
      <c r="Z1081" s="154"/>
      <c r="AA1081" s="154" t="s">
        <v>1387</v>
      </c>
      <c r="AB1081" s="154">
        <v>0</v>
      </c>
      <c r="AC1081" s="138">
        <f>IFERROR(IF(DATEDIF(#REF!,U1081,"m")&lt;=1,1,IF(AND(DATEDIF(#REF!,U1081,"m")&gt;1,DATEDIF(#REF!,U1081,"m")&lt;12),2,IF(AND(DATEDIF(#REF!,U1081,"m")&gt;=12,DATEDIF(#REF!,U1081,"m")&lt;24),3,IF(DATEDIF(#REF!,U1081,"m")&gt;=24,4,"")))),IF(E1081="r0320 - Deposits, not covered and not preferential",1,4))</f>
        <v>4</v>
      </c>
    </row>
    <row r="1082" spans="3:29" ht="36.75" thickBot="1" x14ac:dyDescent="0.3">
      <c r="C1082" s="11">
        <v>999</v>
      </c>
      <c r="D1082" s="154">
        <v>1075</v>
      </c>
      <c r="E1082" s="154" t="s">
        <v>1898</v>
      </c>
      <c r="F1082" s="154" t="s">
        <v>87</v>
      </c>
      <c r="G1082" s="154" t="s">
        <v>1402</v>
      </c>
      <c r="H1082" s="154" t="s">
        <v>602</v>
      </c>
      <c r="I1082" s="154" t="s">
        <v>99</v>
      </c>
      <c r="J1082" s="154" t="s">
        <v>90</v>
      </c>
      <c r="K1082" s="154" t="s">
        <v>91</v>
      </c>
      <c r="L1082" s="154" t="s">
        <v>1897</v>
      </c>
      <c r="M1082" s="154" t="s">
        <v>1383</v>
      </c>
      <c r="N1082" s="154" t="s">
        <v>61</v>
      </c>
      <c r="O1082" s="154" t="s">
        <v>62</v>
      </c>
      <c r="P1082" s="146">
        <v>0.04</v>
      </c>
      <c r="Q1082" s="146">
        <v>0</v>
      </c>
      <c r="R1082" s="154" t="s">
        <v>1384</v>
      </c>
      <c r="S1082" s="154" t="s">
        <v>1899</v>
      </c>
      <c r="T1082" s="155" t="s">
        <v>1899</v>
      </c>
      <c r="U1082" s="155" t="s">
        <v>1899</v>
      </c>
      <c r="V1082" s="154" t="s">
        <v>1562</v>
      </c>
      <c r="W1082" s="154">
        <v>0</v>
      </c>
      <c r="X1082" s="154" t="s">
        <v>63</v>
      </c>
      <c r="Y1082" s="154" t="s">
        <v>1900</v>
      </c>
      <c r="Z1082" s="154"/>
      <c r="AA1082" s="154" t="s">
        <v>1387</v>
      </c>
      <c r="AB1082" s="154">
        <v>0</v>
      </c>
      <c r="AC1082" s="138">
        <f>IFERROR(IF(DATEDIF(#REF!,U1082,"m")&lt;=1,1,IF(AND(DATEDIF(#REF!,U1082,"m")&gt;1,DATEDIF(#REF!,U1082,"m")&lt;12),2,IF(AND(DATEDIF(#REF!,U1082,"m")&gt;=12,DATEDIF(#REF!,U1082,"m")&lt;24),3,IF(DATEDIF(#REF!,U1082,"m")&gt;=24,4,"")))),IF(E1082="r0320 - Deposits, not covered and not preferential",1,4))</f>
        <v>4</v>
      </c>
    </row>
    <row r="1083" spans="3:29" ht="36.75" thickBot="1" x14ac:dyDescent="0.3">
      <c r="C1083" s="11">
        <v>999</v>
      </c>
      <c r="D1083" s="154">
        <v>1076</v>
      </c>
      <c r="E1083" s="154" t="s">
        <v>1898</v>
      </c>
      <c r="F1083" s="154" t="s">
        <v>56</v>
      </c>
      <c r="G1083" s="154" t="s">
        <v>1402</v>
      </c>
      <c r="H1083" s="154" t="s">
        <v>992</v>
      </c>
      <c r="I1083" s="154" t="s">
        <v>66</v>
      </c>
      <c r="J1083" s="154" t="s">
        <v>67</v>
      </c>
      <c r="K1083" s="154" t="s">
        <v>60</v>
      </c>
      <c r="L1083" s="154" t="s">
        <v>1897</v>
      </c>
      <c r="M1083" s="154" t="s">
        <v>1383</v>
      </c>
      <c r="N1083" s="154" t="s">
        <v>61</v>
      </c>
      <c r="O1083" s="154" t="s">
        <v>62</v>
      </c>
      <c r="P1083" s="146">
        <v>0.56999999999999995</v>
      </c>
      <c r="Q1083" s="146">
        <v>0</v>
      </c>
      <c r="R1083" s="154" t="s">
        <v>1384</v>
      </c>
      <c r="S1083" s="154" t="s">
        <v>1899</v>
      </c>
      <c r="T1083" s="155" t="s">
        <v>1899</v>
      </c>
      <c r="U1083" s="155" t="s">
        <v>1899</v>
      </c>
      <c r="V1083" s="154" t="s">
        <v>1562</v>
      </c>
      <c r="W1083" s="154">
        <v>0</v>
      </c>
      <c r="X1083" s="154" t="s">
        <v>63</v>
      </c>
      <c r="Y1083" s="154" t="s">
        <v>1900</v>
      </c>
      <c r="Z1083" s="154"/>
      <c r="AA1083" s="154" t="s">
        <v>1387</v>
      </c>
      <c r="AB1083" s="154">
        <v>0</v>
      </c>
      <c r="AC1083" s="138">
        <f>IFERROR(IF(DATEDIF(#REF!,U1083,"m")&lt;=1,1,IF(AND(DATEDIF(#REF!,U1083,"m")&gt;1,DATEDIF(#REF!,U1083,"m")&lt;12),2,IF(AND(DATEDIF(#REF!,U1083,"m")&gt;=12,DATEDIF(#REF!,U1083,"m")&lt;24),3,IF(DATEDIF(#REF!,U1083,"m")&gt;=24,4,"")))),IF(E1083="r0320 - Deposits, not covered and not preferential",1,4))</f>
        <v>4</v>
      </c>
    </row>
    <row r="1084" spans="3:29" ht="48.75" thickBot="1" x14ac:dyDescent="0.3">
      <c r="C1084" s="11">
        <v>999</v>
      </c>
      <c r="D1084" s="154">
        <v>1077</v>
      </c>
      <c r="E1084" s="154" t="s">
        <v>1902</v>
      </c>
      <c r="F1084" s="154" t="s">
        <v>83</v>
      </c>
      <c r="G1084" s="154" t="s">
        <v>1903</v>
      </c>
      <c r="H1084" s="154" t="s">
        <v>591</v>
      </c>
      <c r="I1084" s="154" t="s">
        <v>101</v>
      </c>
      <c r="J1084" s="154" t="s">
        <v>102</v>
      </c>
      <c r="K1084" s="154" t="s">
        <v>60</v>
      </c>
      <c r="L1084" s="154" t="s">
        <v>1897</v>
      </c>
      <c r="M1084" s="154" t="s">
        <v>1388</v>
      </c>
      <c r="N1084" s="154" t="s">
        <v>61</v>
      </c>
      <c r="O1084" s="154" t="s">
        <v>62</v>
      </c>
      <c r="P1084" s="146">
        <v>689285.54</v>
      </c>
      <c r="Q1084" s="146">
        <v>94.97</v>
      </c>
      <c r="R1084" s="154" t="s">
        <v>1384</v>
      </c>
      <c r="S1084" s="154" t="s">
        <v>1899</v>
      </c>
      <c r="T1084" s="155" t="s">
        <v>768</v>
      </c>
      <c r="U1084" s="155" t="s">
        <v>1899</v>
      </c>
      <c r="V1084" s="154" t="s">
        <v>1904</v>
      </c>
      <c r="W1084" s="154">
        <v>0</v>
      </c>
      <c r="X1084" s="154" t="s">
        <v>63</v>
      </c>
      <c r="Y1084" s="154" t="s">
        <v>1386</v>
      </c>
      <c r="Z1084" s="154"/>
      <c r="AA1084" s="154" t="s">
        <v>1387</v>
      </c>
      <c r="AB1084" s="154">
        <v>0</v>
      </c>
      <c r="AC1084" s="138">
        <f>IFERROR(IF(DATEDIF(#REF!,U1084,"m")&lt;=1,1,IF(AND(DATEDIF(#REF!,U1084,"m")&gt;1,DATEDIF(#REF!,U1084,"m")&lt;12),2,IF(AND(DATEDIF(#REF!,U1084,"m")&gt;=12,DATEDIF(#REF!,U1084,"m")&lt;24),3,IF(DATEDIF(#REF!,U1084,"m")&gt;=24,4,"")))),IF(E1084="r0320 - Deposits, not covered and not preferential",1,4))</f>
        <v>4</v>
      </c>
    </row>
    <row r="1085" spans="3:29" ht="48.75" thickBot="1" x14ac:dyDescent="0.3">
      <c r="C1085" s="11">
        <v>999</v>
      </c>
      <c r="D1085" s="154">
        <v>1078</v>
      </c>
      <c r="E1085" s="154" t="s">
        <v>1902</v>
      </c>
      <c r="F1085" s="154" t="s">
        <v>83</v>
      </c>
      <c r="G1085" s="154" t="s">
        <v>1903</v>
      </c>
      <c r="H1085" s="154" t="s">
        <v>585</v>
      </c>
      <c r="I1085" s="154" t="s">
        <v>93</v>
      </c>
      <c r="J1085" s="154" t="s">
        <v>94</v>
      </c>
      <c r="K1085" s="154" t="s">
        <v>60</v>
      </c>
      <c r="L1085" s="154" t="s">
        <v>1897</v>
      </c>
      <c r="M1085" s="154" t="s">
        <v>1388</v>
      </c>
      <c r="N1085" s="154" t="s">
        <v>61</v>
      </c>
      <c r="O1085" s="154" t="s">
        <v>62</v>
      </c>
      <c r="P1085" s="146">
        <v>51352.83</v>
      </c>
      <c r="Q1085" s="146">
        <v>14.32</v>
      </c>
      <c r="R1085" s="154" t="s">
        <v>1384</v>
      </c>
      <c r="S1085" s="154" t="s">
        <v>1899</v>
      </c>
      <c r="T1085" s="155" t="s">
        <v>768</v>
      </c>
      <c r="U1085" s="155" t="s">
        <v>1899</v>
      </c>
      <c r="V1085" s="154" t="s">
        <v>1904</v>
      </c>
      <c r="W1085" s="154">
        <v>0</v>
      </c>
      <c r="X1085" s="154" t="s">
        <v>63</v>
      </c>
      <c r="Y1085" s="154" t="s">
        <v>1386</v>
      </c>
      <c r="Z1085" s="154"/>
      <c r="AA1085" s="154" t="s">
        <v>1387</v>
      </c>
      <c r="AB1085" s="154">
        <v>0</v>
      </c>
      <c r="AC1085" s="138">
        <f>IFERROR(IF(DATEDIF(#REF!,U1085,"m")&lt;=1,1,IF(AND(DATEDIF(#REF!,U1085,"m")&gt;1,DATEDIF(#REF!,U1085,"m")&lt;12),2,IF(AND(DATEDIF(#REF!,U1085,"m")&gt;=12,DATEDIF(#REF!,U1085,"m")&lt;24),3,IF(DATEDIF(#REF!,U1085,"m")&gt;=24,4,"")))),IF(E1085="r0320 - Deposits, not covered and not preferential",1,4))</f>
        <v>4</v>
      </c>
    </row>
    <row r="1086" spans="3:29" ht="36.75" thickBot="1" x14ac:dyDescent="0.3">
      <c r="C1086" s="11">
        <v>999</v>
      </c>
      <c r="D1086" s="154">
        <v>1079</v>
      </c>
      <c r="E1086" s="154" t="s">
        <v>1898</v>
      </c>
      <c r="F1086" s="154" t="s">
        <v>87</v>
      </c>
      <c r="G1086" s="154" t="s">
        <v>1402</v>
      </c>
      <c r="H1086" s="154" t="s">
        <v>980</v>
      </c>
      <c r="I1086" s="154" t="s">
        <v>99</v>
      </c>
      <c r="J1086" s="154" t="s">
        <v>90</v>
      </c>
      <c r="K1086" s="154" t="s">
        <v>91</v>
      </c>
      <c r="L1086" s="154" t="s">
        <v>1897</v>
      </c>
      <c r="M1086" s="154" t="s">
        <v>1383</v>
      </c>
      <c r="N1086" s="154" t="s">
        <v>61</v>
      </c>
      <c r="O1086" s="154" t="s">
        <v>62</v>
      </c>
      <c r="P1086" s="146">
        <v>1.64</v>
      </c>
      <c r="Q1086" s="146">
        <v>0</v>
      </c>
      <c r="R1086" s="154" t="s">
        <v>1384</v>
      </c>
      <c r="S1086" s="154" t="s">
        <v>1899</v>
      </c>
      <c r="T1086" s="155" t="s">
        <v>1899</v>
      </c>
      <c r="U1086" s="155" t="s">
        <v>1899</v>
      </c>
      <c r="V1086" s="154" t="s">
        <v>1562</v>
      </c>
      <c r="W1086" s="154">
        <v>0</v>
      </c>
      <c r="X1086" s="154" t="s">
        <v>63</v>
      </c>
      <c r="Y1086" s="154" t="s">
        <v>1900</v>
      </c>
      <c r="Z1086" s="154"/>
      <c r="AA1086" s="154" t="s">
        <v>1387</v>
      </c>
      <c r="AB1086" s="154">
        <v>0</v>
      </c>
      <c r="AC1086" s="138">
        <f>IFERROR(IF(DATEDIF(#REF!,U1086,"m")&lt;=1,1,IF(AND(DATEDIF(#REF!,U1086,"m")&gt;1,DATEDIF(#REF!,U1086,"m")&lt;12),2,IF(AND(DATEDIF(#REF!,U1086,"m")&gt;=12,DATEDIF(#REF!,U1086,"m")&lt;24),3,IF(DATEDIF(#REF!,U1086,"m")&gt;=24,4,"")))),IF(E1086="r0320 - Deposits, not covered and not preferential",1,4))</f>
        <v>4</v>
      </c>
    </row>
    <row r="1087" spans="3:29" ht="36.75" thickBot="1" x14ac:dyDescent="0.3">
      <c r="C1087" s="11">
        <v>999</v>
      </c>
      <c r="D1087" s="154">
        <v>1080</v>
      </c>
      <c r="E1087" s="154" t="s">
        <v>1898</v>
      </c>
      <c r="F1087" s="154" t="s">
        <v>87</v>
      </c>
      <c r="G1087" s="154" t="s">
        <v>1402</v>
      </c>
      <c r="H1087" s="154" t="s">
        <v>995</v>
      </c>
      <c r="I1087" s="154" t="s">
        <v>108</v>
      </c>
      <c r="J1087" s="154" t="s">
        <v>90</v>
      </c>
      <c r="K1087" s="154" t="s">
        <v>91</v>
      </c>
      <c r="L1087" s="154" t="s">
        <v>1897</v>
      </c>
      <c r="M1087" s="154" t="s">
        <v>1383</v>
      </c>
      <c r="N1087" s="154" t="s">
        <v>61</v>
      </c>
      <c r="O1087" s="154" t="s">
        <v>62</v>
      </c>
      <c r="P1087" s="146">
        <v>0.08</v>
      </c>
      <c r="Q1087" s="146">
        <v>0</v>
      </c>
      <c r="R1087" s="154" t="s">
        <v>1384</v>
      </c>
      <c r="S1087" s="154" t="s">
        <v>1899</v>
      </c>
      <c r="T1087" s="155" t="s">
        <v>1899</v>
      </c>
      <c r="U1087" s="155" t="s">
        <v>1899</v>
      </c>
      <c r="V1087" s="154" t="s">
        <v>1562</v>
      </c>
      <c r="W1087" s="154">
        <v>0</v>
      </c>
      <c r="X1087" s="154" t="s">
        <v>63</v>
      </c>
      <c r="Y1087" s="154" t="s">
        <v>1900</v>
      </c>
      <c r="Z1087" s="154"/>
      <c r="AA1087" s="154" t="s">
        <v>1387</v>
      </c>
      <c r="AB1087" s="154">
        <v>0</v>
      </c>
      <c r="AC1087" s="138">
        <f>IFERROR(IF(DATEDIF(#REF!,U1087,"m")&lt;=1,1,IF(AND(DATEDIF(#REF!,U1087,"m")&gt;1,DATEDIF(#REF!,U1087,"m")&lt;12),2,IF(AND(DATEDIF(#REF!,U1087,"m")&gt;=12,DATEDIF(#REF!,U1087,"m")&lt;24),3,IF(DATEDIF(#REF!,U1087,"m")&gt;=24,4,"")))),IF(E1087="r0320 - Deposits, not covered and not preferential",1,4))</f>
        <v>4</v>
      </c>
    </row>
    <row r="1088" spans="3:29" ht="36.75" thickBot="1" x14ac:dyDescent="0.3">
      <c r="C1088" s="11">
        <v>999</v>
      </c>
      <c r="D1088" s="154">
        <v>1081</v>
      </c>
      <c r="E1088" s="154" t="s">
        <v>1898</v>
      </c>
      <c r="F1088" s="154" t="s">
        <v>87</v>
      </c>
      <c r="G1088" s="154" t="s">
        <v>1402</v>
      </c>
      <c r="H1088" s="154" t="s">
        <v>524</v>
      </c>
      <c r="I1088" s="154" t="s">
        <v>111</v>
      </c>
      <c r="J1088" s="154" t="s">
        <v>90</v>
      </c>
      <c r="K1088" s="154" t="s">
        <v>91</v>
      </c>
      <c r="L1088" s="154" t="s">
        <v>1897</v>
      </c>
      <c r="M1088" s="154" t="s">
        <v>1383</v>
      </c>
      <c r="N1088" s="154" t="s">
        <v>61</v>
      </c>
      <c r="O1088" s="154" t="s">
        <v>62</v>
      </c>
      <c r="P1088" s="146">
        <v>0.09</v>
      </c>
      <c r="Q1088" s="146">
        <v>0</v>
      </c>
      <c r="R1088" s="154" t="s">
        <v>1384</v>
      </c>
      <c r="S1088" s="154" t="s">
        <v>1899</v>
      </c>
      <c r="T1088" s="155" t="s">
        <v>1899</v>
      </c>
      <c r="U1088" s="155" t="s">
        <v>1899</v>
      </c>
      <c r="V1088" s="154" t="s">
        <v>1562</v>
      </c>
      <c r="W1088" s="154">
        <v>0</v>
      </c>
      <c r="X1088" s="154" t="s">
        <v>63</v>
      </c>
      <c r="Y1088" s="154" t="s">
        <v>1900</v>
      </c>
      <c r="Z1088" s="154"/>
      <c r="AA1088" s="154" t="s">
        <v>1387</v>
      </c>
      <c r="AB1088" s="154">
        <v>0</v>
      </c>
      <c r="AC1088" s="138">
        <f>IFERROR(IF(DATEDIF(#REF!,U1088,"m")&lt;=1,1,IF(AND(DATEDIF(#REF!,U1088,"m")&gt;1,DATEDIF(#REF!,U1088,"m")&lt;12),2,IF(AND(DATEDIF(#REF!,U1088,"m")&gt;=12,DATEDIF(#REF!,U1088,"m")&lt;24),3,IF(DATEDIF(#REF!,U1088,"m")&gt;=24,4,"")))),IF(E1088="r0320 - Deposits, not covered and not preferential",1,4))</f>
        <v>4</v>
      </c>
    </row>
    <row r="1089" spans="3:29" ht="48.75" thickBot="1" x14ac:dyDescent="0.3">
      <c r="C1089" s="11">
        <v>999</v>
      </c>
      <c r="D1089" s="154">
        <v>1082</v>
      </c>
      <c r="E1089" s="154" t="s">
        <v>1902</v>
      </c>
      <c r="F1089" s="154" t="s">
        <v>83</v>
      </c>
      <c r="G1089" s="154" t="s">
        <v>1903</v>
      </c>
      <c r="H1089" s="154" t="s">
        <v>583</v>
      </c>
      <c r="I1089" s="154" t="s">
        <v>114</v>
      </c>
      <c r="J1089" s="154" t="s">
        <v>115</v>
      </c>
      <c r="K1089" s="154" t="s">
        <v>60</v>
      </c>
      <c r="L1089" s="154" t="s">
        <v>1897</v>
      </c>
      <c r="M1089" s="154" t="s">
        <v>1388</v>
      </c>
      <c r="N1089" s="154" t="s">
        <v>61</v>
      </c>
      <c r="O1089" s="154" t="s">
        <v>62</v>
      </c>
      <c r="P1089" s="146">
        <v>136306.14000000001</v>
      </c>
      <c r="Q1089" s="146">
        <v>107.3</v>
      </c>
      <c r="R1089" s="154" t="s">
        <v>1384</v>
      </c>
      <c r="S1089" s="154" t="s">
        <v>1899</v>
      </c>
      <c r="T1089" s="155" t="s">
        <v>768</v>
      </c>
      <c r="U1089" s="155" t="s">
        <v>1899</v>
      </c>
      <c r="V1089" s="154" t="s">
        <v>1904</v>
      </c>
      <c r="W1089" s="154">
        <v>0</v>
      </c>
      <c r="X1089" s="154" t="s">
        <v>63</v>
      </c>
      <c r="Y1089" s="154" t="s">
        <v>1386</v>
      </c>
      <c r="Z1089" s="154"/>
      <c r="AA1089" s="154" t="s">
        <v>1387</v>
      </c>
      <c r="AB1089" s="154">
        <v>0</v>
      </c>
      <c r="AC1089" s="138">
        <f>IFERROR(IF(DATEDIF(#REF!,U1089,"m")&lt;=1,1,IF(AND(DATEDIF(#REF!,U1089,"m")&gt;1,DATEDIF(#REF!,U1089,"m")&lt;12),2,IF(AND(DATEDIF(#REF!,U1089,"m")&gt;=12,DATEDIF(#REF!,U1089,"m")&lt;24),3,IF(DATEDIF(#REF!,U1089,"m")&gt;=24,4,"")))),IF(E1089="r0320 - Deposits, not covered and not preferential",1,4))</f>
        <v>4</v>
      </c>
    </row>
    <row r="1090" spans="3:29" ht="36.75" thickBot="1" x14ac:dyDescent="0.3">
      <c r="C1090" s="11">
        <v>999</v>
      </c>
      <c r="D1090" s="154">
        <v>1083</v>
      </c>
      <c r="E1090" s="154" t="s">
        <v>1898</v>
      </c>
      <c r="F1090" s="154" t="s">
        <v>87</v>
      </c>
      <c r="G1090" s="154" t="s">
        <v>1402</v>
      </c>
      <c r="H1090" s="154" t="s">
        <v>374</v>
      </c>
      <c r="I1090" s="154" t="s">
        <v>99</v>
      </c>
      <c r="J1090" s="154" t="s">
        <v>90</v>
      </c>
      <c r="K1090" s="154" t="s">
        <v>91</v>
      </c>
      <c r="L1090" s="154" t="s">
        <v>1897</v>
      </c>
      <c r="M1090" s="154" t="s">
        <v>1383</v>
      </c>
      <c r="N1090" s="154" t="s">
        <v>61</v>
      </c>
      <c r="O1090" s="154" t="s">
        <v>62</v>
      </c>
      <c r="P1090" s="146">
        <v>0.01</v>
      </c>
      <c r="Q1090" s="146">
        <v>0</v>
      </c>
      <c r="R1090" s="154" t="s">
        <v>1384</v>
      </c>
      <c r="S1090" s="154" t="s">
        <v>1899</v>
      </c>
      <c r="T1090" s="155" t="s">
        <v>1899</v>
      </c>
      <c r="U1090" s="155" t="s">
        <v>1899</v>
      </c>
      <c r="V1090" s="154" t="s">
        <v>1562</v>
      </c>
      <c r="W1090" s="154">
        <v>0</v>
      </c>
      <c r="X1090" s="154" t="s">
        <v>63</v>
      </c>
      <c r="Y1090" s="154" t="s">
        <v>1900</v>
      </c>
      <c r="Z1090" s="154"/>
      <c r="AA1090" s="154" t="s">
        <v>1387</v>
      </c>
      <c r="AB1090" s="154">
        <v>0</v>
      </c>
      <c r="AC1090" s="138">
        <f>IFERROR(IF(DATEDIF(#REF!,U1090,"m")&lt;=1,1,IF(AND(DATEDIF(#REF!,U1090,"m")&gt;1,DATEDIF(#REF!,U1090,"m")&lt;12),2,IF(AND(DATEDIF(#REF!,U1090,"m")&gt;=12,DATEDIF(#REF!,U1090,"m")&lt;24),3,IF(DATEDIF(#REF!,U1090,"m")&gt;=24,4,"")))),IF(E1090="r0320 - Deposits, not covered and not preferential",1,4))</f>
        <v>4</v>
      </c>
    </row>
    <row r="1091" spans="3:29" ht="36.75" thickBot="1" x14ac:dyDescent="0.3">
      <c r="C1091" s="11">
        <v>999</v>
      </c>
      <c r="D1091" s="154">
        <v>1084</v>
      </c>
      <c r="E1091" s="154" t="s">
        <v>1898</v>
      </c>
      <c r="F1091" s="154" t="s">
        <v>56</v>
      </c>
      <c r="G1091" s="154" t="s">
        <v>1402</v>
      </c>
      <c r="H1091" s="154" t="s">
        <v>998</v>
      </c>
      <c r="I1091" s="154" t="s">
        <v>66</v>
      </c>
      <c r="J1091" s="154" t="s">
        <v>67</v>
      </c>
      <c r="K1091" s="154" t="s">
        <v>60</v>
      </c>
      <c r="L1091" s="154" t="s">
        <v>1897</v>
      </c>
      <c r="M1091" s="154" t="s">
        <v>1383</v>
      </c>
      <c r="N1091" s="154" t="s">
        <v>61</v>
      </c>
      <c r="O1091" s="154" t="s">
        <v>62</v>
      </c>
      <c r="P1091" s="146">
        <v>3.01</v>
      </c>
      <c r="Q1091" s="146">
        <v>0</v>
      </c>
      <c r="R1091" s="154" t="s">
        <v>1384</v>
      </c>
      <c r="S1091" s="154" t="s">
        <v>1899</v>
      </c>
      <c r="T1091" s="155" t="s">
        <v>1899</v>
      </c>
      <c r="U1091" s="155" t="s">
        <v>1899</v>
      </c>
      <c r="V1091" s="154" t="s">
        <v>1562</v>
      </c>
      <c r="W1091" s="154">
        <v>0</v>
      </c>
      <c r="X1091" s="154" t="s">
        <v>63</v>
      </c>
      <c r="Y1091" s="154" t="s">
        <v>1900</v>
      </c>
      <c r="Z1091" s="154"/>
      <c r="AA1091" s="154" t="s">
        <v>1387</v>
      </c>
      <c r="AB1091" s="154">
        <v>0</v>
      </c>
      <c r="AC1091" s="138">
        <f>IFERROR(IF(DATEDIF(#REF!,U1091,"m")&lt;=1,1,IF(AND(DATEDIF(#REF!,U1091,"m")&gt;1,DATEDIF(#REF!,U1091,"m")&lt;12),2,IF(AND(DATEDIF(#REF!,U1091,"m")&gt;=12,DATEDIF(#REF!,U1091,"m")&lt;24),3,IF(DATEDIF(#REF!,U1091,"m")&gt;=24,4,"")))),IF(E1091="r0320 - Deposits, not covered and not preferential",1,4))</f>
        <v>4</v>
      </c>
    </row>
    <row r="1092" spans="3:29" ht="36.75" thickBot="1" x14ac:dyDescent="0.3">
      <c r="C1092" s="11">
        <v>999</v>
      </c>
      <c r="D1092" s="154">
        <v>1085</v>
      </c>
      <c r="E1092" s="154" t="s">
        <v>1898</v>
      </c>
      <c r="F1092" s="154" t="s">
        <v>87</v>
      </c>
      <c r="G1092" s="154" t="s">
        <v>1402</v>
      </c>
      <c r="H1092" s="154" t="s">
        <v>615</v>
      </c>
      <c r="I1092" s="154" t="s">
        <v>108</v>
      </c>
      <c r="J1092" s="154" t="s">
        <v>90</v>
      </c>
      <c r="K1092" s="154" t="s">
        <v>91</v>
      </c>
      <c r="L1092" s="154" t="s">
        <v>1897</v>
      </c>
      <c r="M1092" s="154" t="s">
        <v>1383</v>
      </c>
      <c r="N1092" s="154" t="s">
        <v>61</v>
      </c>
      <c r="O1092" s="154" t="s">
        <v>62</v>
      </c>
      <c r="P1092" s="146">
        <v>1.37</v>
      </c>
      <c r="Q1092" s="146">
        <v>0</v>
      </c>
      <c r="R1092" s="154" t="s">
        <v>1384</v>
      </c>
      <c r="S1092" s="154" t="s">
        <v>1899</v>
      </c>
      <c r="T1092" s="155" t="s">
        <v>1899</v>
      </c>
      <c r="U1092" s="155" t="s">
        <v>1899</v>
      </c>
      <c r="V1092" s="154" t="s">
        <v>1562</v>
      </c>
      <c r="W1092" s="154">
        <v>0</v>
      </c>
      <c r="X1092" s="154" t="s">
        <v>63</v>
      </c>
      <c r="Y1092" s="154" t="s">
        <v>1900</v>
      </c>
      <c r="Z1092" s="154"/>
      <c r="AA1092" s="154" t="s">
        <v>1387</v>
      </c>
      <c r="AB1092" s="154">
        <v>0</v>
      </c>
      <c r="AC1092" s="138">
        <f>IFERROR(IF(DATEDIF(#REF!,U1092,"m")&lt;=1,1,IF(AND(DATEDIF(#REF!,U1092,"m")&gt;1,DATEDIF(#REF!,U1092,"m")&lt;12),2,IF(AND(DATEDIF(#REF!,U1092,"m")&gt;=12,DATEDIF(#REF!,U1092,"m")&lt;24),3,IF(DATEDIF(#REF!,U1092,"m")&gt;=24,4,"")))),IF(E1092="r0320 - Deposits, not covered and not preferential",1,4))</f>
        <v>4</v>
      </c>
    </row>
    <row r="1093" spans="3:29" ht="36.75" thickBot="1" x14ac:dyDescent="0.3">
      <c r="C1093" s="11">
        <v>999</v>
      </c>
      <c r="D1093" s="154">
        <v>1086</v>
      </c>
      <c r="E1093" s="154" t="s">
        <v>1895</v>
      </c>
      <c r="F1093" s="154" t="s">
        <v>83</v>
      </c>
      <c r="G1093" s="154" t="s">
        <v>1896</v>
      </c>
      <c r="H1093" s="154" t="s">
        <v>1051</v>
      </c>
      <c r="I1093" s="154" t="s">
        <v>85</v>
      </c>
      <c r="J1093" s="154" t="s">
        <v>86</v>
      </c>
      <c r="K1093" s="154" t="s">
        <v>60</v>
      </c>
      <c r="L1093" s="154" t="s">
        <v>1897</v>
      </c>
      <c r="M1093" s="154" t="s">
        <v>1388</v>
      </c>
      <c r="N1093" s="154" t="s">
        <v>61</v>
      </c>
      <c r="O1093" s="154" t="s">
        <v>62</v>
      </c>
      <c r="P1093" s="146">
        <v>163772.35</v>
      </c>
      <c r="Q1093" s="146">
        <v>2.23</v>
      </c>
      <c r="R1093" s="154" t="s">
        <v>1384</v>
      </c>
      <c r="S1093" s="154" t="s">
        <v>1385</v>
      </c>
      <c r="T1093" s="155">
        <v>44564</v>
      </c>
      <c r="U1093" s="155">
        <v>44564</v>
      </c>
      <c r="V1093" s="154" t="s">
        <v>1562</v>
      </c>
      <c r="W1093" s="154">
        <v>0</v>
      </c>
      <c r="X1093" s="154" t="s">
        <v>63</v>
      </c>
      <c r="Y1093" s="154" t="s">
        <v>1386</v>
      </c>
      <c r="Z1093" s="154"/>
      <c r="AA1093" s="154" t="s">
        <v>1387</v>
      </c>
      <c r="AB1093" s="154">
        <v>0</v>
      </c>
      <c r="AC1093" s="138">
        <f>IFERROR(IF(DATEDIF(#REF!,U1093,"m")&lt;=1,1,IF(AND(DATEDIF(#REF!,U1093,"m")&gt;1,DATEDIF(#REF!,U1093,"m")&lt;12),2,IF(AND(DATEDIF(#REF!,U1093,"m")&gt;=12,DATEDIF(#REF!,U1093,"m")&lt;24),3,IF(DATEDIF(#REF!,U1093,"m")&gt;=24,4,"")))),IF(E1093="r0320 - Deposits, not covered and not preferential",1,4))</f>
        <v>1</v>
      </c>
    </row>
    <row r="1094" spans="3:29" ht="36.75" thickBot="1" x14ac:dyDescent="0.3">
      <c r="C1094" s="11">
        <v>999</v>
      </c>
      <c r="D1094" s="154">
        <v>1087</v>
      </c>
      <c r="E1094" s="154" t="s">
        <v>1898</v>
      </c>
      <c r="F1094" s="154" t="s">
        <v>87</v>
      </c>
      <c r="G1094" s="154" t="s">
        <v>1402</v>
      </c>
      <c r="H1094" s="154" t="s">
        <v>579</v>
      </c>
      <c r="I1094" s="154" t="s">
        <v>99</v>
      </c>
      <c r="J1094" s="154" t="s">
        <v>90</v>
      </c>
      <c r="K1094" s="154" t="s">
        <v>91</v>
      </c>
      <c r="L1094" s="154" t="s">
        <v>1897</v>
      </c>
      <c r="M1094" s="154" t="s">
        <v>1383</v>
      </c>
      <c r="N1094" s="154" t="s">
        <v>61</v>
      </c>
      <c r="O1094" s="154" t="s">
        <v>62</v>
      </c>
      <c r="P1094" s="146">
        <v>0.01</v>
      </c>
      <c r="Q1094" s="146">
        <v>0</v>
      </c>
      <c r="R1094" s="154" t="s">
        <v>1384</v>
      </c>
      <c r="S1094" s="154" t="s">
        <v>1899</v>
      </c>
      <c r="T1094" s="155" t="s">
        <v>1899</v>
      </c>
      <c r="U1094" s="155" t="s">
        <v>1899</v>
      </c>
      <c r="V1094" s="154" t="s">
        <v>1562</v>
      </c>
      <c r="W1094" s="154">
        <v>0</v>
      </c>
      <c r="X1094" s="154" t="s">
        <v>63</v>
      </c>
      <c r="Y1094" s="154" t="s">
        <v>1900</v>
      </c>
      <c r="Z1094" s="154"/>
      <c r="AA1094" s="154" t="s">
        <v>1387</v>
      </c>
      <c r="AB1094" s="154">
        <v>0</v>
      </c>
      <c r="AC1094" s="138">
        <f>IFERROR(IF(DATEDIF(#REF!,U1094,"m")&lt;=1,1,IF(AND(DATEDIF(#REF!,U1094,"m")&gt;1,DATEDIF(#REF!,U1094,"m")&lt;12),2,IF(AND(DATEDIF(#REF!,U1094,"m")&gt;=12,DATEDIF(#REF!,U1094,"m")&lt;24),3,IF(DATEDIF(#REF!,U1094,"m")&gt;=24,4,"")))),IF(E1094="r0320 - Deposits, not covered and not preferential",1,4))</f>
        <v>4</v>
      </c>
    </row>
    <row r="1095" spans="3:29" ht="36.75" thickBot="1" x14ac:dyDescent="0.3">
      <c r="C1095" s="11">
        <v>999</v>
      </c>
      <c r="D1095" s="154">
        <v>1088</v>
      </c>
      <c r="E1095" s="154" t="s">
        <v>1898</v>
      </c>
      <c r="F1095" s="154" t="s">
        <v>87</v>
      </c>
      <c r="G1095" s="154" t="s">
        <v>1402</v>
      </c>
      <c r="H1095" s="154" t="s">
        <v>1000</v>
      </c>
      <c r="I1095" s="154" t="s">
        <v>108</v>
      </c>
      <c r="J1095" s="154" t="s">
        <v>90</v>
      </c>
      <c r="K1095" s="154" t="s">
        <v>91</v>
      </c>
      <c r="L1095" s="154" t="s">
        <v>1897</v>
      </c>
      <c r="M1095" s="154" t="s">
        <v>1383</v>
      </c>
      <c r="N1095" s="154" t="s">
        <v>61</v>
      </c>
      <c r="O1095" s="154" t="s">
        <v>62</v>
      </c>
      <c r="P1095" s="146">
        <v>12.87</v>
      </c>
      <c r="Q1095" s="146">
        <v>0</v>
      </c>
      <c r="R1095" s="154" t="s">
        <v>1384</v>
      </c>
      <c r="S1095" s="154" t="s">
        <v>1899</v>
      </c>
      <c r="T1095" s="155" t="s">
        <v>1899</v>
      </c>
      <c r="U1095" s="155" t="s">
        <v>1899</v>
      </c>
      <c r="V1095" s="154" t="s">
        <v>1562</v>
      </c>
      <c r="W1095" s="154">
        <v>0</v>
      </c>
      <c r="X1095" s="154" t="s">
        <v>63</v>
      </c>
      <c r="Y1095" s="154" t="s">
        <v>1900</v>
      </c>
      <c r="Z1095" s="154"/>
      <c r="AA1095" s="154" t="s">
        <v>1387</v>
      </c>
      <c r="AB1095" s="154">
        <v>0</v>
      </c>
      <c r="AC1095" s="138">
        <f>IFERROR(IF(DATEDIF(#REF!,U1095,"m")&lt;=1,1,IF(AND(DATEDIF(#REF!,U1095,"m")&gt;1,DATEDIF(#REF!,U1095,"m")&lt;12),2,IF(AND(DATEDIF(#REF!,U1095,"m")&gt;=12,DATEDIF(#REF!,U1095,"m")&lt;24),3,IF(DATEDIF(#REF!,U1095,"m")&gt;=24,4,"")))),IF(E1095="r0320 - Deposits, not covered and not preferential",1,4))</f>
        <v>4</v>
      </c>
    </row>
    <row r="1096" spans="3:29" ht="36.75" thickBot="1" x14ac:dyDescent="0.3">
      <c r="C1096" s="11">
        <v>999</v>
      </c>
      <c r="D1096" s="154">
        <v>1089</v>
      </c>
      <c r="E1096" s="154" t="s">
        <v>1898</v>
      </c>
      <c r="F1096" s="154" t="s">
        <v>87</v>
      </c>
      <c r="G1096" s="154" t="s">
        <v>1402</v>
      </c>
      <c r="H1096" s="154" t="s">
        <v>1046</v>
      </c>
      <c r="I1096" s="154" t="s">
        <v>99</v>
      </c>
      <c r="J1096" s="154" t="s">
        <v>90</v>
      </c>
      <c r="K1096" s="154" t="s">
        <v>91</v>
      </c>
      <c r="L1096" s="154" t="s">
        <v>1897</v>
      </c>
      <c r="M1096" s="154" t="s">
        <v>1383</v>
      </c>
      <c r="N1096" s="154" t="s">
        <v>61</v>
      </c>
      <c r="O1096" s="154" t="s">
        <v>62</v>
      </c>
      <c r="P1096" s="146">
        <v>0.01</v>
      </c>
      <c r="Q1096" s="146">
        <v>0</v>
      </c>
      <c r="R1096" s="154" t="s">
        <v>1384</v>
      </c>
      <c r="S1096" s="154" t="s">
        <v>1899</v>
      </c>
      <c r="T1096" s="155" t="s">
        <v>1899</v>
      </c>
      <c r="U1096" s="155" t="s">
        <v>1899</v>
      </c>
      <c r="V1096" s="154" t="s">
        <v>1562</v>
      </c>
      <c r="W1096" s="154">
        <v>0</v>
      </c>
      <c r="X1096" s="154" t="s">
        <v>63</v>
      </c>
      <c r="Y1096" s="154" t="s">
        <v>1900</v>
      </c>
      <c r="Z1096" s="154"/>
      <c r="AA1096" s="154" t="s">
        <v>1387</v>
      </c>
      <c r="AB1096" s="154">
        <v>0</v>
      </c>
      <c r="AC1096" s="138">
        <f>IFERROR(IF(DATEDIF(#REF!,U1096,"m")&lt;=1,1,IF(AND(DATEDIF(#REF!,U1096,"m")&gt;1,DATEDIF(#REF!,U1096,"m")&lt;12),2,IF(AND(DATEDIF(#REF!,U1096,"m")&gt;=12,DATEDIF(#REF!,U1096,"m")&lt;24),3,IF(DATEDIF(#REF!,U1096,"m")&gt;=24,4,"")))),IF(E1096="r0320 - Deposits, not covered and not preferential",1,4))</f>
        <v>4</v>
      </c>
    </row>
    <row r="1097" spans="3:29" ht="48.75" thickBot="1" x14ac:dyDescent="0.3">
      <c r="C1097" s="11">
        <v>999</v>
      </c>
      <c r="D1097" s="154">
        <v>1090</v>
      </c>
      <c r="E1097" s="154" t="s">
        <v>1902</v>
      </c>
      <c r="F1097" s="154" t="s">
        <v>83</v>
      </c>
      <c r="G1097" s="154" t="s">
        <v>1903</v>
      </c>
      <c r="H1097" s="154" t="s">
        <v>368</v>
      </c>
      <c r="I1097" s="154" t="s">
        <v>101</v>
      </c>
      <c r="J1097" s="154" t="s">
        <v>102</v>
      </c>
      <c r="K1097" s="154" t="s">
        <v>60</v>
      </c>
      <c r="L1097" s="154" t="s">
        <v>1897</v>
      </c>
      <c r="M1097" s="154" t="s">
        <v>1388</v>
      </c>
      <c r="N1097" s="154" t="s">
        <v>61</v>
      </c>
      <c r="O1097" s="154" t="s">
        <v>62</v>
      </c>
      <c r="P1097" s="146">
        <v>1493864.33</v>
      </c>
      <c r="Q1097" s="146">
        <v>657.71</v>
      </c>
      <c r="R1097" s="154" t="s">
        <v>1384</v>
      </c>
      <c r="S1097" s="154" t="s">
        <v>1899</v>
      </c>
      <c r="T1097" s="155" t="s">
        <v>768</v>
      </c>
      <c r="U1097" s="155" t="s">
        <v>1899</v>
      </c>
      <c r="V1097" s="154" t="s">
        <v>1904</v>
      </c>
      <c r="W1097" s="154">
        <v>0</v>
      </c>
      <c r="X1097" s="154" t="s">
        <v>63</v>
      </c>
      <c r="Y1097" s="154" t="s">
        <v>1386</v>
      </c>
      <c r="Z1097" s="154"/>
      <c r="AA1097" s="154" t="s">
        <v>1387</v>
      </c>
      <c r="AB1097" s="154">
        <v>0</v>
      </c>
      <c r="AC1097" s="138">
        <f>IFERROR(IF(DATEDIF(#REF!,U1097,"m")&lt;=1,1,IF(AND(DATEDIF(#REF!,U1097,"m")&gt;1,DATEDIF(#REF!,U1097,"m")&lt;12),2,IF(AND(DATEDIF(#REF!,U1097,"m")&gt;=12,DATEDIF(#REF!,U1097,"m")&lt;24),3,IF(DATEDIF(#REF!,U1097,"m")&gt;=24,4,"")))),IF(E1097="r0320 - Deposits, not covered and not preferential",1,4))</f>
        <v>4</v>
      </c>
    </row>
    <row r="1098" spans="3:29" ht="36.75" thickBot="1" x14ac:dyDescent="0.3">
      <c r="C1098" s="11">
        <v>999</v>
      </c>
      <c r="D1098" s="154">
        <v>1091</v>
      </c>
      <c r="E1098" s="154" t="s">
        <v>1898</v>
      </c>
      <c r="F1098" s="154" t="s">
        <v>87</v>
      </c>
      <c r="G1098" s="154" t="s">
        <v>1402</v>
      </c>
      <c r="H1098" s="154" t="s">
        <v>609</v>
      </c>
      <c r="I1098" s="154" t="s">
        <v>89</v>
      </c>
      <c r="J1098" s="154" t="s">
        <v>90</v>
      </c>
      <c r="K1098" s="154" t="s">
        <v>91</v>
      </c>
      <c r="L1098" s="154" t="s">
        <v>1901</v>
      </c>
      <c r="M1098" s="154" t="s">
        <v>1383</v>
      </c>
      <c r="N1098" s="154" t="s">
        <v>61</v>
      </c>
      <c r="O1098" s="154" t="s">
        <v>62</v>
      </c>
      <c r="P1098" s="146">
        <v>0.03</v>
      </c>
      <c r="Q1098" s="146">
        <v>0</v>
      </c>
      <c r="R1098" s="154" t="s">
        <v>1384</v>
      </c>
      <c r="S1098" s="154" t="s">
        <v>1899</v>
      </c>
      <c r="T1098" s="155" t="s">
        <v>1899</v>
      </c>
      <c r="U1098" s="155" t="s">
        <v>1899</v>
      </c>
      <c r="V1098" s="154" t="s">
        <v>1562</v>
      </c>
      <c r="W1098" s="154">
        <v>0</v>
      </c>
      <c r="X1098" s="154" t="s">
        <v>63</v>
      </c>
      <c r="Y1098" s="154" t="s">
        <v>1900</v>
      </c>
      <c r="Z1098" s="154"/>
      <c r="AA1098" s="154" t="s">
        <v>1387</v>
      </c>
      <c r="AB1098" s="154">
        <v>0</v>
      </c>
      <c r="AC1098" s="138">
        <f>IFERROR(IF(DATEDIF(#REF!,U1098,"m")&lt;=1,1,IF(AND(DATEDIF(#REF!,U1098,"m")&gt;1,DATEDIF(#REF!,U1098,"m")&lt;12),2,IF(AND(DATEDIF(#REF!,U1098,"m")&gt;=12,DATEDIF(#REF!,U1098,"m")&lt;24),3,IF(DATEDIF(#REF!,U1098,"m")&gt;=24,4,"")))),IF(E1098="r0320 - Deposits, not covered and not preferential",1,4))</f>
        <v>4</v>
      </c>
    </row>
    <row r="1099" spans="3:29" ht="36.75" thickBot="1" x14ac:dyDescent="0.3">
      <c r="C1099" s="11">
        <v>999</v>
      </c>
      <c r="D1099" s="154">
        <v>1092</v>
      </c>
      <c r="E1099" s="154" t="s">
        <v>1898</v>
      </c>
      <c r="F1099" s="154" t="s">
        <v>87</v>
      </c>
      <c r="G1099" s="154" t="s">
        <v>1402</v>
      </c>
      <c r="H1099" s="154" t="s">
        <v>1004</v>
      </c>
      <c r="I1099" s="154" t="s">
        <v>108</v>
      </c>
      <c r="J1099" s="154" t="s">
        <v>90</v>
      </c>
      <c r="K1099" s="154" t="s">
        <v>91</v>
      </c>
      <c r="L1099" s="154" t="s">
        <v>1897</v>
      </c>
      <c r="M1099" s="154" t="s">
        <v>1383</v>
      </c>
      <c r="N1099" s="154" t="s">
        <v>61</v>
      </c>
      <c r="O1099" s="154" t="s">
        <v>62</v>
      </c>
      <c r="P1099" s="146">
        <v>0.94</v>
      </c>
      <c r="Q1099" s="146">
        <v>0</v>
      </c>
      <c r="R1099" s="154" t="s">
        <v>1384</v>
      </c>
      <c r="S1099" s="154" t="s">
        <v>1899</v>
      </c>
      <c r="T1099" s="155" t="s">
        <v>1899</v>
      </c>
      <c r="U1099" s="155" t="s">
        <v>1899</v>
      </c>
      <c r="V1099" s="154" t="s">
        <v>1562</v>
      </c>
      <c r="W1099" s="154">
        <v>0</v>
      </c>
      <c r="X1099" s="154" t="s">
        <v>63</v>
      </c>
      <c r="Y1099" s="154" t="s">
        <v>1900</v>
      </c>
      <c r="Z1099" s="154"/>
      <c r="AA1099" s="154" t="s">
        <v>1387</v>
      </c>
      <c r="AB1099" s="154">
        <v>0</v>
      </c>
      <c r="AC1099" s="138">
        <f>IFERROR(IF(DATEDIF(#REF!,U1099,"m")&lt;=1,1,IF(AND(DATEDIF(#REF!,U1099,"m")&gt;1,DATEDIF(#REF!,U1099,"m")&lt;12),2,IF(AND(DATEDIF(#REF!,U1099,"m")&gt;=12,DATEDIF(#REF!,U1099,"m")&lt;24),3,IF(DATEDIF(#REF!,U1099,"m")&gt;=24,4,"")))),IF(E1099="r0320 - Deposits, not covered and not preferential",1,4))</f>
        <v>4</v>
      </c>
    </row>
    <row r="1100" spans="3:29" ht="48.75" thickBot="1" x14ac:dyDescent="0.3">
      <c r="C1100" s="11">
        <v>999</v>
      </c>
      <c r="D1100" s="154">
        <v>1093</v>
      </c>
      <c r="E1100" s="154" t="s">
        <v>1902</v>
      </c>
      <c r="F1100" s="154" t="s">
        <v>83</v>
      </c>
      <c r="G1100" s="154" t="s">
        <v>1903</v>
      </c>
      <c r="H1100" s="154" t="s">
        <v>376</v>
      </c>
      <c r="I1100" s="154" t="s">
        <v>114</v>
      </c>
      <c r="J1100" s="154" t="s">
        <v>115</v>
      </c>
      <c r="K1100" s="154" t="s">
        <v>60</v>
      </c>
      <c r="L1100" s="154" t="s">
        <v>1897</v>
      </c>
      <c r="M1100" s="154" t="s">
        <v>1388</v>
      </c>
      <c r="N1100" s="154" t="s">
        <v>61</v>
      </c>
      <c r="O1100" s="154" t="s">
        <v>62</v>
      </c>
      <c r="P1100" s="146">
        <v>6767.83</v>
      </c>
      <c r="Q1100" s="146">
        <v>0.05</v>
      </c>
      <c r="R1100" s="154" t="s">
        <v>1384</v>
      </c>
      <c r="S1100" s="154" t="s">
        <v>1899</v>
      </c>
      <c r="T1100" s="155" t="s">
        <v>768</v>
      </c>
      <c r="U1100" s="155" t="s">
        <v>1899</v>
      </c>
      <c r="V1100" s="154" t="s">
        <v>1904</v>
      </c>
      <c r="W1100" s="154">
        <v>0</v>
      </c>
      <c r="X1100" s="154" t="s">
        <v>63</v>
      </c>
      <c r="Y1100" s="154" t="s">
        <v>1386</v>
      </c>
      <c r="Z1100" s="154"/>
      <c r="AA1100" s="154" t="s">
        <v>1387</v>
      </c>
      <c r="AB1100" s="154">
        <v>0</v>
      </c>
      <c r="AC1100" s="138">
        <f>IFERROR(IF(DATEDIF(#REF!,U1100,"m")&lt;=1,1,IF(AND(DATEDIF(#REF!,U1100,"m")&gt;1,DATEDIF(#REF!,U1100,"m")&lt;12),2,IF(AND(DATEDIF(#REF!,U1100,"m")&gt;=12,DATEDIF(#REF!,U1100,"m")&lt;24),3,IF(DATEDIF(#REF!,U1100,"m")&gt;=24,4,"")))),IF(E1100="r0320 - Deposits, not covered and not preferential",1,4))</f>
        <v>4</v>
      </c>
    </row>
    <row r="1101" spans="3:29" ht="48.75" thickBot="1" x14ac:dyDescent="0.3">
      <c r="C1101" s="11">
        <v>999</v>
      </c>
      <c r="D1101" s="154">
        <v>1094</v>
      </c>
      <c r="E1101" s="154" t="s">
        <v>1902</v>
      </c>
      <c r="F1101" s="154" t="s">
        <v>83</v>
      </c>
      <c r="G1101" s="154" t="s">
        <v>1903</v>
      </c>
      <c r="H1101" s="154" t="s">
        <v>585</v>
      </c>
      <c r="I1101" s="154" t="s">
        <v>114</v>
      </c>
      <c r="J1101" s="154" t="s">
        <v>115</v>
      </c>
      <c r="K1101" s="154" t="s">
        <v>60</v>
      </c>
      <c r="L1101" s="154" t="s">
        <v>1897</v>
      </c>
      <c r="M1101" s="154" t="s">
        <v>1388</v>
      </c>
      <c r="N1101" s="154" t="s">
        <v>61</v>
      </c>
      <c r="O1101" s="154" t="s">
        <v>62</v>
      </c>
      <c r="P1101" s="146">
        <v>49861.39</v>
      </c>
      <c r="Q1101" s="146">
        <v>19.649999999999999</v>
      </c>
      <c r="R1101" s="154" t="s">
        <v>1384</v>
      </c>
      <c r="S1101" s="154" t="s">
        <v>1899</v>
      </c>
      <c r="T1101" s="155" t="s">
        <v>768</v>
      </c>
      <c r="U1101" s="155" t="s">
        <v>1899</v>
      </c>
      <c r="V1101" s="154" t="s">
        <v>1904</v>
      </c>
      <c r="W1101" s="154">
        <v>0</v>
      </c>
      <c r="X1101" s="154" t="s">
        <v>63</v>
      </c>
      <c r="Y1101" s="154" t="s">
        <v>1386</v>
      </c>
      <c r="Z1101" s="154"/>
      <c r="AA1101" s="154" t="s">
        <v>1387</v>
      </c>
      <c r="AB1101" s="154">
        <v>0</v>
      </c>
      <c r="AC1101" s="138">
        <f>IFERROR(IF(DATEDIF(#REF!,U1101,"m")&lt;=1,1,IF(AND(DATEDIF(#REF!,U1101,"m")&gt;1,DATEDIF(#REF!,U1101,"m")&lt;12),2,IF(AND(DATEDIF(#REF!,U1101,"m")&gt;=12,DATEDIF(#REF!,U1101,"m")&lt;24),3,IF(DATEDIF(#REF!,U1101,"m")&gt;=24,4,"")))),IF(E1101="r0320 - Deposits, not covered and not preferential",1,4))</f>
        <v>4</v>
      </c>
    </row>
    <row r="1102" spans="3:29" ht="36.75" thickBot="1" x14ac:dyDescent="0.3">
      <c r="C1102" s="11">
        <v>999</v>
      </c>
      <c r="D1102" s="154">
        <v>1095</v>
      </c>
      <c r="E1102" s="154" t="s">
        <v>1898</v>
      </c>
      <c r="F1102" s="154" t="s">
        <v>87</v>
      </c>
      <c r="G1102" s="154" t="s">
        <v>1402</v>
      </c>
      <c r="H1102" s="154" t="s">
        <v>993</v>
      </c>
      <c r="I1102" s="154" t="s">
        <v>89</v>
      </c>
      <c r="J1102" s="154" t="s">
        <v>90</v>
      </c>
      <c r="K1102" s="154" t="s">
        <v>91</v>
      </c>
      <c r="L1102" s="154" t="s">
        <v>1901</v>
      </c>
      <c r="M1102" s="154" t="s">
        <v>1383</v>
      </c>
      <c r="N1102" s="154" t="s">
        <v>61</v>
      </c>
      <c r="O1102" s="154" t="s">
        <v>62</v>
      </c>
      <c r="P1102" s="146">
        <v>0.02</v>
      </c>
      <c r="Q1102" s="146">
        <v>0</v>
      </c>
      <c r="R1102" s="154" t="s">
        <v>1384</v>
      </c>
      <c r="S1102" s="154" t="s">
        <v>1899</v>
      </c>
      <c r="T1102" s="155" t="s">
        <v>1899</v>
      </c>
      <c r="U1102" s="155" t="s">
        <v>1899</v>
      </c>
      <c r="V1102" s="154" t="s">
        <v>1562</v>
      </c>
      <c r="W1102" s="154">
        <v>0</v>
      </c>
      <c r="X1102" s="154" t="s">
        <v>63</v>
      </c>
      <c r="Y1102" s="154" t="s">
        <v>1900</v>
      </c>
      <c r="Z1102" s="154"/>
      <c r="AA1102" s="154" t="s">
        <v>1387</v>
      </c>
      <c r="AB1102" s="154">
        <v>0</v>
      </c>
      <c r="AC1102" s="138">
        <f>IFERROR(IF(DATEDIF(#REF!,U1102,"m")&lt;=1,1,IF(AND(DATEDIF(#REF!,U1102,"m")&gt;1,DATEDIF(#REF!,U1102,"m")&lt;12),2,IF(AND(DATEDIF(#REF!,U1102,"m")&gt;=12,DATEDIF(#REF!,U1102,"m")&lt;24),3,IF(DATEDIF(#REF!,U1102,"m")&gt;=24,4,"")))),IF(E1102="r0320 - Deposits, not covered and not preferential",1,4))</f>
        <v>4</v>
      </c>
    </row>
    <row r="1103" spans="3:29" ht="36.75" thickBot="1" x14ac:dyDescent="0.3">
      <c r="C1103" s="11">
        <v>999</v>
      </c>
      <c r="D1103" s="154">
        <v>1096</v>
      </c>
      <c r="E1103" s="154" t="s">
        <v>1898</v>
      </c>
      <c r="F1103" s="154" t="s">
        <v>87</v>
      </c>
      <c r="G1103" s="154" t="s">
        <v>1402</v>
      </c>
      <c r="H1103" s="154" t="s">
        <v>1007</v>
      </c>
      <c r="I1103" s="154" t="s">
        <v>108</v>
      </c>
      <c r="J1103" s="154" t="s">
        <v>90</v>
      </c>
      <c r="K1103" s="154" t="s">
        <v>91</v>
      </c>
      <c r="L1103" s="154" t="s">
        <v>1897</v>
      </c>
      <c r="M1103" s="154" t="s">
        <v>1383</v>
      </c>
      <c r="N1103" s="154" t="s">
        <v>61</v>
      </c>
      <c r="O1103" s="154" t="s">
        <v>62</v>
      </c>
      <c r="P1103" s="146">
        <v>2.08</v>
      </c>
      <c r="Q1103" s="146">
        <v>0</v>
      </c>
      <c r="R1103" s="154" t="s">
        <v>1384</v>
      </c>
      <c r="S1103" s="154" t="s">
        <v>1899</v>
      </c>
      <c r="T1103" s="155" t="s">
        <v>1899</v>
      </c>
      <c r="U1103" s="155" t="s">
        <v>1899</v>
      </c>
      <c r="V1103" s="154" t="s">
        <v>1562</v>
      </c>
      <c r="W1103" s="154">
        <v>0</v>
      </c>
      <c r="X1103" s="154" t="s">
        <v>63</v>
      </c>
      <c r="Y1103" s="154" t="s">
        <v>1900</v>
      </c>
      <c r="Z1103" s="154"/>
      <c r="AA1103" s="154" t="s">
        <v>1387</v>
      </c>
      <c r="AB1103" s="154">
        <v>0</v>
      </c>
      <c r="AC1103" s="138">
        <f>IFERROR(IF(DATEDIF(#REF!,U1103,"m")&lt;=1,1,IF(AND(DATEDIF(#REF!,U1103,"m")&gt;1,DATEDIF(#REF!,U1103,"m")&lt;12),2,IF(AND(DATEDIF(#REF!,U1103,"m")&gt;=12,DATEDIF(#REF!,U1103,"m")&lt;24),3,IF(DATEDIF(#REF!,U1103,"m")&gt;=24,4,"")))),IF(E1103="r0320 - Deposits, not covered and not preferential",1,4))</f>
        <v>4</v>
      </c>
    </row>
    <row r="1104" spans="3:29" ht="48.75" thickBot="1" x14ac:dyDescent="0.3">
      <c r="C1104" s="11">
        <v>999</v>
      </c>
      <c r="D1104" s="154">
        <v>1097</v>
      </c>
      <c r="E1104" s="154" t="s">
        <v>1902</v>
      </c>
      <c r="F1104" s="154" t="s">
        <v>83</v>
      </c>
      <c r="G1104" s="154" t="s">
        <v>1903</v>
      </c>
      <c r="H1104" s="154" t="s">
        <v>396</v>
      </c>
      <c r="I1104" s="154" t="s">
        <v>114</v>
      </c>
      <c r="J1104" s="154" t="s">
        <v>115</v>
      </c>
      <c r="K1104" s="154" t="s">
        <v>60</v>
      </c>
      <c r="L1104" s="154" t="s">
        <v>1897</v>
      </c>
      <c r="M1104" s="154" t="s">
        <v>1388</v>
      </c>
      <c r="N1104" s="154" t="s">
        <v>61</v>
      </c>
      <c r="O1104" s="154" t="s">
        <v>62</v>
      </c>
      <c r="P1104" s="146">
        <v>100282.36</v>
      </c>
      <c r="Q1104" s="146">
        <v>4.9400000000000004</v>
      </c>
      <c r="R1104" s="154" t="s">
        <v>1384</v>
      </c>
      <c r="S1104" s="154" t="s">
        <v>1899</v>
      </c>
      <c r="T1104" s="155" t="s">
        <v>768</v>
      </c>
      <c r="U1104" s="155" t="s">
        <v>1899</v>
      </c>
      <c r="V1104" s="154" t="s">
        <v>1904</v>
      </c>
      <c r="W1104" s="154">
        <v>0</v>
      </c>
      <c r="X1104" s="154" t="s">
        <v>63</v>
      </c>
      <c r="Y1104" s="154" t="s">
        <v>1386</v>
      </c>
      <c r="Z1104" s="154"/>
      <c r="AA1104" s="154" t="s">
        <v>1387</v>
      </c>
      <c r="AB1104" s="154">
        <v>0</v>
      </c>
      <c r="AC1104" s="138">
        <f>IFERROR(IF(DATEDIF(#REF!,U1104,"m")&lt;=1,1,IF(AND(DATEDIF(#REF!,U1104,"m")&gt;1,DATEDIF(#REF!,U1104,"m")&lt;12),2,IF(AND(DATEDIF(#REF!,U1104,"m")&gt;=12,DATEDIF(#REF!,U1104,"m")&lt;24),3,IF(DATEDIF(#REF!,U1104,"m")&gt;=24,4,"")))),IF(E1104="r0320 - Deposits, not covered and not preferential",1,4))</f>
        <v>4</v>
      </c>
    </row>
    <row r="1105" spans="3:29" ht="48.75" thickBot="1" x14ac:dyDescent="0.3">
      <c r="C1105" s="11">
        <v>999</v>
      </c>
      <c r="D1105" s="154">
        <v>1098</v>
      </c>
      <c r="E1105" s="154" t="s">
        <v>1902</v>
      </c>
      <c r="F1105" s="154" t="s">
        <v>83</v>
      </c>
      <c r="G1105" s="154" t="s">
        <v>1903</v>
      </c>
      <c r="H1105" s="154" t="s">
        <v>372</v>
      </c>
      <c r="I1105" s="154" t="s">
        <v>93</v>
      </c>
      <c r="J1105" s="154" t="s">
        <v>94</v>
      </c>
      <c r="K1105" s="154" t="s">
        <v>60</v>
      </c>
      <c r="L1105" s="154" t="s">
        <v>1897</v>
      </c>
      <c r="M1105" s="154" t="s">
        <v>1388</v>
      </c>
      <c r="N1105" s="154" t="s">
        <v>61</v>
      </c>
      <c r="O1105" s="154" t="s">
        <v>62</v>
      </c>
      <c r="P1105" s="146">
        <v>53543.77</v>
      </c>
      <c r="Q1105" s="146">
        <v>35.78</v>
      </c>
      <c r="R1105" s="154" t="s">
        <v>1384</v>
      </c>
      <c r="S1105" s="154" t="s">
        <v>1899</v>
      </c>
      <c r="T1105" s="155" t="s">
        <v>768</v>
      </c>
      <c r="U1105" s="155" t="s">
        <v>1899</v>
      </c>
      <c r="V1105" s="154" t="s">
        <v>1904</v>
      </c>
      <c r="W1105" s="154">
        <v>0</v>
      </c>
      <c r="X1105" s="154" t="s">
        <v>63</v>
      </c>
      <c r="Y1105" s="154" t="s">
        <v>1386</v>
      </c>
      <c r="Z1105" s="154"/>
      <c r="AA1105" s="154" t="s">
        <v>1387</v>
      </c>
      <c r="AB1105" s="154">
        <v>0</v>
      </c>
      <c r="AC1105" s="138">
        <f>IFERROR(IF(DATEDIF(#REF!,U1105,"m")&lt;=1,1,IF(AND(DATEDIF(#REF!,U1105,"m")&gt;1,DATEDIF(#REF!,U1105,"m")&lt;12),2,IF(AND(DATEDIF(#REF!,U1105,"m")&gt;=12,DATEDIF(#REF!,U1105,"m")&lt;24),3,IF(DATEDIF(#REF!,U1105,"m")&gt;=24,4,"")))),IF(E1105="r0320 - Deposits, not covered and not preferential",1,4))</f>
        <v>4</v>
      </c>
    </row>
    <row r="1106" spans="3:29" ht="36.75" thickBot="1" x14ac:dyDescent="0.3">
      <c r="C1106" s="11">
        <v>999</v>
      </c>
      <c r="D1106" s="154">
        <v>1099</v>
      </c>
      <c r="E1106" s="154" t="s">
        <v>1898</v>
      </c>
      <c r="F1106" s="154" t="s">
        <v>87</v>
      </c>
      <c r="G1106" s="154" t="s">
        <v>1402</v>
      </c>
      <c r="H1106" s="154" t="s">
        <v>168</v>
      </c>
      <c r="I1106" s="154" t="s">
        <v>89</v>
      </c>
      <c r="J1106" s="154" t="s">
        <v>90</v>
      </c>
      <c r="K1106" s="154" t="s">
        <v>91</v>
      </c>
      <c r="L1106" s="154" t="s">
        <v>1901</v>
      </c>
      <c r="M1106" s="154" t="s">
        <v>1383</v>
      </c>
      <c r="N1106" s="154" t="s">
        <v>61</v>
      </c>
      <c r="O1106" s="154" t="s">
        <v>62</v>
      </c>
      <c r="P1106" s="146">
        <v>0.28999999999999998</v>
      </c>
      <c r="Q1106" s="146">
        <v>0</v>
      </c>
      <c r="R1106" s="154" t="s">
        <v>1384</v>
      </c>
      <c r="S1106" s="154" t="s">
        <v>1899</v>
      </c>
      <c r="T1106" s="155" t="s">
        <v>1899</v>
      </c>
      <c r="U1106" s="155" t="s">
        <v>1899</v>
      </c>
      <c r="V1106" s="154" t="s">
        <v>1562</v>
      </c>
      <c r="W1106" s="154">
        <v>0</v>
      </c>
      <c r="X1106" s="154" t="s">
        <v>63</v>
      </c>
      <c r="Y1106" s="154" t="s">
        <v>1900</v>
      </c>
      <c r="Z1106" s="154"/>
      <c r="AA1106" s="154" t="s">
        <v>1387</v>
      </c>
      <c r="AB1106" s="154">
        <v>0</v>
      </c>
      <c r="AC1106" s="138">
        <f>IFERROR(IF(DATEDIF(#REF!,U1106,"m")&lt;=1,1,IF(AND(DATEDIF(#REF!,U1106,"m")&gt;1,DATEDIF(#REF!,U1106,"m")&lt;12),2,IF(AND(DATEDIF(#REF!,U1106,"m")&gt;=12,DATEDIF(#REF!,U1106,"m")&lt;24),3,IF(DATEDIF(#REF!,U1106,"m")&gt;=24,4,"")))),IF(E1106="r0320 - Deposits, not covered and not preferential",1,4))</f>
        <v>4</v>
      </c>
    </row>
    <row r="1107" spans="3:29" ht="36.75" thickBot="1" x14ac:dyDescent="0.3">
      <c r="C1107" s="11">
        <v>999</v>
      </c>
      <c r="D1107" s="154">
        <v>1100</v>
      </c>
      <c r="E1107" s="154" t="s">
        <v>1898</v>
      </c>
      <c r="F1107" s="154" t="s">
        <v>56</v>
      </c>
      <c r="G1107" s="154" t="s">
        <v>1402</v>
      </c>
      <c r="H1107" s="154" t="s">
        <v>1010</v>
      </c>
      <c r="I1107" s="154" t="s">
        <v>66</v>
      </c>
      <c r="J1107" s="154" t="s">
        <v>67</v>
      </c>
      <c r="K1107" s="154" t="s">
        <v>60</v>
      </c>
      <c r="L1107" s="154" t="s">
        <v>1897</v>
      </c>
      <c r="M1107" s="154" t="s">
        <v>1383</v>
      </c>
      <c r="N1107" s="154" t="s">
        <v>61</v>
      </c>
      <c r="O1107" s="154" t="s">
        <v>62</v>
      </c>
      <c r="P1107" s="146">
        <v>0.3</v>
      </c>
      <c r="Q1107" s="146">
        <v>0</v>
      </c>
      <c r="R1107" s="154" t="s">
        <v>1384</v>
      </c>
      <c r="S1107" s="154" t="s">
        <v>1899</v>
      </c>
      <c r="T1107" s="155" t="s">
        <v>1899</v>
      </c>
      <c r="U1107" s="155" t="s">
        <v>1899</v>
      </c>
      <c r="V1107" s="154" t="s">
        <v>1562</v>
      </c>
      <c r="W1107" s="154">
        <v>0</v>
      </c>
      <c r="X1107" s="154" t="s">
        <v>63</v>
      </c>
      <c r="Y1107" s="154" t="s">
        <v>1900</v>
      </c>
      <c r="Z1107" s="154"/>
      <c r="AA1107" s="154" t="s">
        <v>1387</v>
      </c>
      <c r="AB1107" s="154">
        <v>0</v>
      </c>
      <c r="AC1107" s="138">
        <f>IFERROR(IF(DATEDIF(#REF!,U1107,"m")&lt;=1,1,IF(AND(DATEDIF(#REF!,U1107,"m")&gt;1,DATEDIF(#REF!,U1107,"m")&lt;12),2,IF(AND(DATEDIF(#REF!,U1107,"m")&gt;=12,DATEDIF(#REF!,U1107,"m")&lt;24),3,IF(DATEDIF(#REF!,U1107,"m")&gt;=24,4,"")))),IF(E1107="r0320 - Deposits, not covered and not preferential",1,4))</f>
        <v>4</v>
      </c>
    </row>
    <row r="1108" spans="3:29" ht="36.75" thickBot="1" x14ac:dyDescent="0.3">
      <c r="C1108" s="11">
        <v>999</v>
      </c>
      <c r="D1108" s="154">
        <v>1101</v>
      </c>
      <c r="E1108" s="154" t="s">
        <v>1898</v>
      </c>
      <c r="F1108" s="154" t="s">
        <v>87</v>
      </c>
      <c r="G1108" s="154" t="s">
        <v>1402</v>
      </c>
      <c r="H1108" s="154" t="s">
        <v>622</v>
      </c>
      <c r="I1108" s="154" t="s">
        <v>108</v>
      </c>
      <c r="J1108" s="154" t="s">
        <v>90</v>
      </c>
      <c r="K1108" s="154" t="s">
        <v>91</v>
      </c>
      <c r="L1108" s="154" t="s">
        <v>1897</v>
      </c>
      <c r="M1108" s="154" t="s">
        <v>1383</v>
      </c>
      <c r="N1108" s="154" t="s">
        <v>61</v>
      </c>
      <c r="O1108" s="154" t="s">
        <v>62</v>
      </c>
      <c r="P1108" s="146">
        <v>0.71</v>
      </c>
      <c r="Q1108" s="146">
        <v>0</v>
      </c>
      <c r="R1108" s="154" t="s">
        <v>1384</v>
      </c>
      <c r="S1108" s="154" t="s">
        <v>1899</v>
      </c>
      <c r="T1108" s="155" t="s">
        <v>1899</v>
      </c>
      <c r="U1108" s="155" t="s">
        <v>1899</v>
      </c>
      <c r="V1108" s="154" t="s">
        <v>1562</v>
      </c>
      <c r="W1108" s="154">
        <v>0</v>
      </c>
      <c r="X1108" s="154" t="s">
        <v>63</v>
      </c>
      <c r="Y1108" s="154" t="s">
        <v>1900</v>
      </c>
      <c r="Z1108" s="154"/>
      <c r="AA1108" s="154" t="s">
        <v>1387</v>
      </c>
      <c r="AB1108" s="154">
        <v>0</v>
      </c>
      <c r="AC1108" s="138">
        <f>IFERROR(IF(DATEDIF(#REF!,U1108,"m")&lt;=1,1,IF(AND(DATEDIF(#REF!,U1108,"m")&gt;1,DATEDIF(#REF!,U1108,"m")&lt;12),2,IF(AND(DATEDIF(#REF!,U1108,"m")&gt;=12,DATEDIF(#REF!,U1108,"m")&lt;24),3,IF(DATEDIF(#REF!,U1108,"m")&gt;=24,4,"")))),IF(E1108="r0320 - Deposits, not covered and not preferential",1,4))</f>
        <v>4</v>
      </c>
    </row>
    <row r="1109" spans="3:29" ht="36.75" thickBot="1" x14ac:dyDescent="0.3">
      <c r="C1109" s="11">
        <v>999</v>
      </c>
      <c r="D1109" s="154">
        <v>1102</v>
      </c>
      <c r="E1109" s="154" t="s">
        <v>1895</v>
      </c>
      <c r="F1109" s="154" t="s">
        <v>87</v>
      </c>
      <c r="G1109" s="154" t="s">
        <v>1896</v>
      </c>
      <c r="H1109" s="154" t="s">
        <v>57</v>
      </c>
      <c r="I1109" s="154" t="s">
        <v>682</v>
      </c>
      <c r="J1109" s="154" t="s">
        <v>97</v>
      </c>
      <c r="K1109" s="154" t="s">
        <v>91</v>
      </c>
      <c r="L1109" s="154" t="s">
        <v>1897</v>
      </c>
      <c r="M1109" s="154" t="s">
        <v>1383</v>
      </c>
      <c r="N1109" s="154" t="s">
        <v>61</v>
      </c>
      <c r="O1109" s="154" t="s">
        <v>62</v>
      </c>
      <c r="P1109" s="146">
        <v>9819757.1600000001</v>
      </c>
      <c r="Q1109" s="146">
        <v>0</v>
      </c>
      <c r="R1109" s="154" t="s">
        <v>1384</v>
      </c>
      <c r="S1109" s="154" t="s">
        <v>1385</v>
      </c>
      <c r="T1109" s="155">
        <v>44564</v>
      </c>
      <c r="U1109" s="155">
        <v>44564</v>
      </c>
      <c r="V1109" s="154" t="s">
        <v>1562</v>
      </c>
      <c r="W1109" s="154">
        <v>0</v>
      </c>
      <c r="X1109" s="154" t="s">
        <v>63</v>
      </c>
      <c r="Y1109" s="154" t="s">
        <v>1386</v>
      </c>
      <c r="Z1109" s="154"/>
      <c r="AA1109" s="154" t="s">
        <v>1387</v>
      </c>
      <c r="AB1109" s="154">
        <v>0</v>
      </c>
      <c r="AC1109" s="138">
        <f>IFERROR(IF(DATEDIF(#REF!,U1109,"m")&lt;=1,1,IF(AND(DATEDIF(#REF!,U1109,"m")&gt;1,DATEDIF(#REF!,U1109,"m")&lt;12),2,IF(AND(DATEDIF(#REF!,U1109,"m")&gt;=12,DATEDIF(#REF!,U1109,"m")&lt;24),3,IF(DATEDIF(#REF!,U1109,"m")&gt;=24,4,"")))),IF(E1109="r0320 - Deposits, not covered and not preferential",1,4))</f>
        <v>1</v>
      </c>
    </row>
    <row r="1110" spans="3:29" ht="36.75" thickBot="1" x14ac:dyDescent="0.3">
      <c r="C1110" s="11">
        <v>999</v>
      </c>
      <c r="D1110" s="154">
        <v>1103</v>
      </c>
      <c r="E1110" s="154" t="s">
        <v>1898</v>
      </c>
      <c r="F1110" s="154" t="s">
        <v>87</v>
      </c>
      <c r="G1110" s="154" t="s">
        <v>1402</v>
      </c>
      <c r="H1110" s="154" t="s">
        <v>944</v>
      </c>
      <c r="I1110" s="154" t="s">
        <v>89</v>
      </c>
      <c r="J1110" s="154" t="s">
        <v>90</v>
      </c>
      <c r="K1110" s="154" t="s">
        <v>91</v>
      </c>
      <c r="L1110" s="154" t="s">
        <v>1901</v>
      </c>
      <c r="M1110" s="154" t="s">
        <v>1383</v>
      </c>
      <c r="N1110" s="154" t="s">
        <v>61</v>
      </c>
      <c r="O1110" s="154" t="s">
        <v>62</v>
      </c>
      <c r="P1110" s="146">
        <v>0.11</v>
      </c>
      <c r="Q1110" s="146">
        <v>0</v>
      </c>
      <c r="R1110" s="154" t="s">
        <v>1384</v>
      </c>
      <c r="S1110" s="154" t="s">
        <v>1899</v>
      </c>
      <c r="T1110" s="155" t="s">
        <v>1899</v>
      </c>
      <c r="U1110" s="155" t="s">
        <v>1899</v>
      </c>
      <c r="V1110" s="154" t="s">
        <v>1562</v>
      </c>
      <c r="W1110" s="154">
        <v>0</v>
      </c>
      <c r="X1110" s="154" t="s">
        <v>63</v>
      </c>
      <c r="Y1110" s="154" t="s">
        <v>1900</v>
      </c>
      <c r="Z1110" s="154"/>
      <c r="AA1110" s="154" t="s">
        <v>1387</v>
      </c>
      <c r="AB1110" s="154">
        <v>0</v>
      </c>
      <c r="AC1110" s="138">
        <f>IFERROR(IF(DATEDIF(#REF!,U1110,"m")&lt;=1,1,IF(AND(DATEDIF(#REF!,U1110,"m")&gt;1,DATEDIF(#REF!,U1110,"m")&lt;12),2,IF(AND(DATEDIF(#REF!,U1110,"m")&gt;=12,DATEDIF(#REF!,U1110,"m")&lt;24),3,IF(DATEDIF(#REF!,U1110,"m")&gt;=24,4,"")))),IF(E1110="r0320 - Deposits, not covered and not preferential",1,4))</f>
        <v>4</v>
      </c>
    </row>
    <row r="1111" spans="3:29" ht="36.75" thickBot="1" x14ac:dyDescent="0.3">
      <c r="C1111" s="11">
        <v>999</v>
      </c>
      <c r="D1111" s="154">
        <v>1104</v>
      </c>
      <c r="E1111" s="154" t="s">
        <v>1898</v>
      </c>
      <c r="F1111" s="154" t="s">
        <v>56</v>
      </c>
      <c r="G1111" s="154" t="s">
        <v>1402</v>
      </c>
      <c r="H1111" s="154" t="s">
        <v>1012</v>
      </c>
      <c r="I1111" s="154" t="s">
        <v>66</v>
      </c>
      <c r="J1111" s="154" t="s">
        <v>67</v>
      </c>
      <c r="K1111" s="154" t="s">
        <v>60</v>
      </c>
      <c r="L1111" s="154" t="s">
        <v>1897</v>
      </c>
      <c r="M1111" s="154" t="s">
        <v>1383</v>
      </c>
      <c r="N1111" s="154" t="s">
        <v>61</v>
      </c>
      <c r="O1111" s="154" t="s">
        <v>62</v>
      </c>
      <c r="P1111" s="146">
        <v>8.2899999999999991</v>
      </c>
      <c r="Q1111" s="146">
        <v>0</v>
      </c>
      <c r="R1111" s="154" t="s">
        <v>1384</v>
      </c>
      <c r="S1111" s="154" t="s">
        <v>1899</v>
      </c>
      <c r="T1111" s="155" t="s">
        <v>1899</v>
      </c>
      <c r="U1111" s="155" t="s">
        <v>1899</v>
      </c>
      <c r="V1111" s="154" t="s">
        <v>1562</v>
      </c>
      <c r="W1111" s="154">
        <v>0</v>
      </c>
      <c r="X1111" s="154" t="s">
        <v>63</v>
      </c>
      <c r="Y1111" s="154" t="s">
        <v>1900</v>
      </c>
      <c r="Z1111" s="154"/>
      <c r="AA1111" s="154" t="s">
        <v>1387</v>
      </c>
      <c r="AB1111" s="154">
        <v>0</v>
      </c>
      <c r="AC1111" s="138">
        <f>IFERROR(IF(DATEDIF(#REF!,U1111,"m")&lt;=1,1,IF(AND(DATEDIF(#REF!,U1111,"m")&gt;1,DATEDIF(#REF!,U1111,"m")&lt;12),2,IF(AND(DATEDIF(#REF!,U1111,"m")&gt;=12,DATEDIF(#REF!,U1111,"m")&lt;24),3,IF(DATEDIF(#REF!,U1111,"m")&gt;=24,4,"")))),IF(E1111="r0320 - Deposits, not covered and not preferential",1,4))</f>
        <v>4</v>
      </c>
    </row>
    <row r="1112" spans="3:29" ht="36.75" thickBot="1" x14ac:dyDescent="0.3">
      <c r="C1112" s="11">
        <v>999</v>
      </c>
      <c r="D1112" s="154">
        <v>1105</v>
      </c>
      <c r="E1112" s="154" t="s">
        <v>1898</v>
      </c>
      <c r="F1112" s="154" t="s">
        <v>87</v>
      </c>
      <c r="G1112" s="154" t="s">
        <v>1402</v>
      </c>
      <c r="H1112" s="154" t="s">
        <v>1058</v>
      </c>
      <c r="I1112" s="154" t="s">
        <v>99</v>
      </c>
      <c r="J1112" s="154" t="s">
        <v>90</v>
      </c>
      <c r="K1112" s="154" t="s">
        <v>91</v>
      </c>
      <c r="L1112" s="154" t="s">
        <v>1897</v>
      </c>
      <c r="M1112" s="154" t="s">
        <v>1383</v>
      </c>
      <c r="N1112" s="154" t="s">
        <v>61</v>
      </c>
      <c r="O1112" s="154" t="s">
        <v>62</v>
      </c>
      <c r="P1112" s="146">
        <v>0.02</v>
      </c>
      <c r="Q1112" s="146">
        <v>0</v>
      </c>
      <c r="R1112" s="154" t="s">
        <v>1384</v>
      </c>
      <c r="S1112" s="154" t="s">
        <v>1899</v>
      </c>
      <c r="T1112" s="155" t="s">
        <v>1899</v>
      </c>
      <c r="U1112" s="155" t="s">
        <v>1899</v>
      </c>
      <c r="V1112" s="154" t="s">
        <v>1562</v>
      </c>
      <c r="W1112" s="154">
        <v>0</v>
      </c>
      <c r="X1112" s="154" t="s">
        <v>63</v>
      </c>
      <c r="Y1112" s="154" t="s">
        <v>1900</v>
      </c>
      <c r="Z1112" s="154"/>
      <c r="AA1112" s="154" t="s">
        <v>1387</v>
      </c>
      <c r="AB1112" s="154">
        <v>0</v>
      </c>
      <c r="AC1112" s="138">
        <f>IFERROR(IF(DATEDIF(#REF!,U1112,"m")&lt;=1,1,IF(AND(DATEDIF(#REF!,U1112,"m")&gt;1,DATEDIF(#REF!,U1112,"m")&lt;12),2,IF(AND(DATEDIF(#REF!,U1112,"m")&gt;=12,DATEDIF(#REF!,U1112,"m")&lt;24),3,IF(DATEDIF(#REF!,U1112,"m")&gt;=24,4,"")))),IF(E1112="r0320 - Deposits, not covered and not preferential",1,4))</f>
        <v>4</v>
      </c>
    </row>
    <row r="1113" spans="3:29" ht="48.75" thickBot="1" x14ac:dyDescent="0.3">
      <c r="C1113" s="11">
        <v>999</v>
      </c>
      <c r="D1113" s="154">
        <v>1106</v>
      </c>
      <c r="E1113" s="154" t="s">
        <v>1902</v>
      </c>
      <c r="F1113" s="154" t="s">
        <v>83</v>
      </c>
      <c r="G1113" s="154" t="s">
        <v>1903</v>
      </c>
      <c r="H1113" s="154" t="s">
        <v>372</v>
      </c>
      <c r="I1113" s="154" t="s">
        <v>114</v>
      </c>
      <c r="J1113" s="154" t="s">
        <v>115</v>
      </c>
      <c r="K1113" s="154" t="s">
        <v>60</v>
      </c>
      <c r="L1113" s="154" t="s">
        <v>1897</v>
      </c>
      <c r="M1113" s="154" t="s">
        <v>1388</v>
      </c>
      <c r="N1113" s="154" t="s">
        <v>61</v>
      </c>
      <c r="O1113" s="154" t="s">
        <v>62</v>
      </c>
      <c r="P1113" s="146">
        <v>30059.27</v>
      </c>
      <c r="Q1113" s="146">
        <v>-3.81</v>
      </c>
      <c r="R1113" s="154" t="s">
        <v>1384</v>
      </c>
      <c r="S1113" s="154" t="s">
        <v>1899</v>
      </c>
      <c r="T1113" s="155" t="s">
        <v>768</v>
      </c>
      <c r="U1113" s="155" t="s">
        <v>1899</v>
      </c>
      <c r="V1113" s="154" t="s">
        <v>1904</v>
      </c>
      <c r="W1113" s="154">
        <v>0</v>
      </c>
      <c r="X1113" s="154" t="s">
        <v>63</v>
      </c>
      <c r="Y1113" s="154" t="s">
        <v>1386</v>
      </c>
      <c r="Z1113" s="154"/>
      <c r="AA1113" s="154" t="s">
        <v>1387</v>
      </c>
      <c r="AB1113" s="154">
        <v>0</v>
      </c>
      <c r="AC1113" s="138">
        <f>IFERROR(IF(DATEDIF(#REF!,U1113,"m")&lt;=1,1,IF(AND(DATEDIF(#REF!,U1113,"m")&gt;1,DATEDIF(#REF!,U1113,"m")&lt;12),2,IF(AND(DATEDIF(#REF!,U1113,"m")&gt;=12,DATEDIF(#REF!,U1113,"m")&lt;24),3,IF(DATEDIF(#REF!,U1113,"m")&gt;=24,4,"")))),IF(E1113="r0320 - Deposits, not covered and not preferential",1,4))</f>
        <v>4</v>
      </c>
    </row>
    <row r="1114" spans="3:29" ht="36.75" thickBot="1" x14ac:dyDescent="0.3">
      <c r="C1114" s="11">
        <v>999</v>
      </c>
      <c r="D1114" s="154">
        <v>1107</v>
      </c>
      <c r="E1114" s="154" t="s">
        <v>1898</v>
      </c>
      <c r="F1114" s="154" t="s">
        <v>87</v>
      </c>
      <c r="G1114" s="154" t="s">
        <v>1402</v>
      </c>
      <c r="H1114" s="154" t="s">
        <v>617</v>
      </c>
      <c r="I1114" s="154" t="s">
        <v>89</v>
      </c>
      <c r="J1114" s="154" t="s">
        <v>90</v>
      </c>
      <c r="K1114" s="154" t="s">
        <v>91</v>
      </c>
      <c r="L1114" s="154" t="s">
        <v>1901</v>
      </c>
      <c r="M1114" s="154" t="s">
        <v>1383</v>
      </c>
      <c r="N1114" s="154" t="s">
        <v>61</v>
      </c>
      <c r="O1114" s="154" t="s">
        <v>62</v>
      </c>
      <c r="P1114" s="146">
        <v>0.12</v>
      </c>
      <c r="Q1114" s="146">
        <v>0</v>
      </c>
      <c r="R1114" s="154" t="s">
        <v>1384</v>
      </c>
      <c r="S1114" s="154" t="s">
        <v>1899</v>
      </c>
      <c r="T1114" s="155" t="s">
        <v>1899</v>
      </c>
      <c r="U1114" s="155" t="s">
        <v>1899</v>
      </c>
      <c r="V1114" s="154" t="s">
        <v>1562</v>
      </c>
      <c r="W1114" s="154">
        <v>0</v>
      </c>
      <c r="X1114" s="154" t="s">
        <v>63</v>
      </c>
      <c r="Y1114" s="154" t="s">
        <v>1900</v>
      </c>
      <c r="Z1114" s="154"/>
      <c r="AA1114" s="154" t="s">
        <v>1387</v>
      </c>
      <c r="AB1114" s="154">
        <v>0</v>
      </c>
      <c r="AC1114" s="138">
        <f>IFERROR(IF(DATEDIF(#REF!,U1114,"m")&lt;=1,1,IF(AND(DATEDIF(#REF!,U1114,"m")&gt;1,DATEDIF(#REF!,U1114,"m")&lt;12),2,IF(AND(DATEDIF(#REF!,U1114,"m")&gt;=12,DATEDIF(#REF!,U1114,"m")&lt;24),3,IF(DATEDIF(#REF!,U1114,"m")&gt;=24,4,"")))),IF(E1114="r0320 - Deposits, not covered and not preferential",1,4))</f>
        <v>4</v>
      </c>
    </row>
    <row r="1115" spans="3:29" ht="36.75" thickBot="1" x14ac:dyDescent="0.3">
      <c r="C1115" s="11">
        <v>999</v>
      </c>
      <c r="D1115" s="154">
        <v>1108</v>
      </c>
      <c r="E1115" s="154" t="s">
        <v>1898</v>
      </c>
      <c r="F1115" s="154" t="s">
        <v>87</v>
      </c>
      <c r="G1115" s="154" t="s">
        <v>1402</v>
      </c>
      <c r="H1115" s="154" t="s">
        <v>1014</v>
      </c>
      <c r="I1115" s="154" t="s">
        <v>108</v>
      </c>
      <c r="J1115" s="154" t="s">
        <v>90</v>
      </c>
      <c r="K1115" s="154" t="s">
        <v>91</v>
      </c>
      <c r="L1115" s="154" t="s">
        <v>1897</v>
      </c>
      <c r="M1115" s="154" t="s">
        <v>1383</v>
      </c>
      <c r="N1115" s="154" t="s">
        <v>61</v>
      </c>
      <c r="O1115" s="154" t="s">
        <v>62</v>
      </c>
      <c r="P1115" s="146">
        <v>0.44</v>
      </c>
      <c r="Q1115" s="146">
        <v>0</v>
      </c>
      <c r="R1115" s="154" t="s">
        <v>1384</v>
      </c>
      <c r="S1115" s="154" t="s">
        <v>1899</v>
      </c>
      <c r="T1115" s="155" t="s">
        <v>1899</v>
      </c>
      <c r="U1115" s="155" t="s">
        <v>1899</v>
      </c>
      <c r="V1115" s="154" t="s">
        <v>1562</v>
      </c>
      <c r="W1115" s="154">
        <v>0</v>
      </c>
      <c r="X1115" s="154" t="s">
        <v>63</v>
      </c>
      <c r="Y1115" s="154" t="s">
        <v>1900</v>
      </c>
      <c r="Z1115" s="154"/>
      <c r="AA1115" s="154" t="s">
        <v>1387</v>
      </c>
      <c r="AB1115" s="154">
        <v>0</v>
      </c>
      <c r="AC1115" s="138">
        <f>IFERROR(IF(DATEDIF(#REF!,U1115,"m")&lt;=1,1,IF(AND(DATEDIF(#REF!,U1115,"m")&gt;1,DATEDIF(#REF!,U1115,"m")&lt;12),2,IF(AND(DATEDIF(#REF!,U1115,"m")&gt;=12,DATEDIF(#REF!,U1115,"m")&lt;24),3,IF(DATEDIF(#REF!,U1115,"m")&gt;=24,4,"")))),IF(E1115="r0320 - Deposits, not covered and not preferential",1,4))</f>
        <v>4</v>
      </c>
    </row>
    <row r="1116" spans="3:29" ht="36.75" thickBot="1" x14ac:dyDescent="0.3">
      <c r="C1116" s="11">
        <v>999</v>
      </c>
      <c r="D1116" s="154">
        <v>1109</v>
      </c>
      <c r="E1116" s="154" t="s">
        <v>1898</v>
      </c>
      <c r="F1116" s="154" t="s">
        <v>83</v>
      </c>
      <c r="G1116" s="154" t="s">
        <v>1402</v>
      </c>
      <c r="H1116" s="154" t="s">
        <v>57</v>
      </c>
      <c r="I1116" s="154" t="s">
        <v>2631</v>
      </c>
      <c r="J1116" s="154" t="s">
        <v>2632</v>
      </c>
      <c r="K1116" s="154" t="s">
        <v>60</v>
      </c>
      <c r="L1116" s="154" t="s">
        <v>1897</v>
      </c>
      <c r="M1116" s="154" t="s">
        <v>1383</v>
      </c>
      <c r="N1116" s="154" t="s">
        <v>61</v>
      </c>
      <c r="O1116" s="154" t="s">
        <v>62</v>
      </c>
      <c r="P1116" s="146">
        <v>6354.62</v>
      </c>
      <c r="Q1116" s="146">
        <v>0</v>
      </c>
      <c r="R1116" s="154" t="s">
        <v>1384</v>
      </c>
      <c r="S1116" s="154" t="s">
        <v>1899</v>
      </c>
      <c r="T1116" s="155" t="s">
        <v>1899</v>
      </c>
      <c r="U1116" s="155" t="s">
        <v>1899</v>
      </c>
      <c r="V1116" s="154" t="s">
        <v>1562</v>
      </c>
      <c r="W1116" s="154">
        <v>0</v>
      </c>
      <c r="X1116" s="154" t="s">
        <v>63</v>
      </c>
      <c r="Y1116" s="154" t="s">
        <v>1900</v>
      </c>
      <c r="Z1116" s="154"/>
      <c r="AA1116" s="154" t="s">
        <v>1387</v>
      </c>
      <c r="AB1116" s="154">
        <v>0</v>
      </c>
      <c r="AC1116" s="138">
        <f>IFERROR(IF(DATEDIF(#REF!,U1116,"m")&lt;=1,1,IF(AND(DATEDIF(#REF!,U1116,"m")&gt;1,DATEDIF(#REF!,U1116,"m")&lt;12),2,IF(AND(DATEDIF(#REF!,U1116,"m")&gt;=12,DATEDIF(#REF!,U1116,"m")&lt;24),3,IF(DATEDIF(#REF!,U1116,"m")&gt;=24,4,"")))),IF(E1116="r0320 - Deposits, not covered and not preferential",1,4))</f>
        <v>4</v>
      </c>
    </row>
    <row r="1117" spans="3:29" ht="48.75" thickBot="1" x14ac:dyDescent="0.3">
      <c r="C1117" s="11">
        <v>999</v>
      </c>
      <c r="D1117" s="154">
        <v>1110</v>
      </c>
      <c r="E1117" s="154" t="s">
        <v>1902</v>
      </c>
      <c r="F1117" s="154" t="s">
        <v>83</v>
      </c>
      <c r="G1117" s="154" t="s">
        <v>1903</v>
      </c>
      <c r="H1117" s="154" t="s">
        <v>591</v>
      </c>
      <c r="I1117" s="154" t="s">
        <v>114</v>
      </c>
      <c r="J1117" s="154" t="s">
        <v>115</v>
      </c>
      <c r="K1117" s="154" t="s">
        <v>60</v>
      </c>
      <c r="L1117" s="154" t="s">
        <v>1897</v>
      </c>
      <c r="M1117" s="154" t="s">
        <v>1388</v>
      </c>
      <c r="N1117" s="154" t="s">
        <v>61</v>
      </c>
      <c r="O1117" s="154" t="s">
        <v>62</v>
      </c>
      <c r="P1117" s="146">
        <v>31981.759999999998</v>
      </c>
      <c r="Q1117" s="146">
        <v>10.34</v>
      </c>
      <c r="R1117" s="154" t="s">
        <v>1384</v>
      </c>
      <c r="S1117" s="154" t="s">
        <v>1899</v>
      </c>
      <c r="T1117" s="155" t="s">
        <v>768</v>
      </c>
      <c r="U1117" s="155" t="s">
        <v>1899</v>
      </c>
      <c r="V1117" s="154" t="s">
        <v>1904</v>
      </c>
      <c r="W1117" s="154">
        <v>0</v>
      </c>
      <c r="X1117" s="154" t="s">
        <v>63</v>
      </c>
      <c r="Y1117" s="154" t="s">
        <v>1386</v>
      </c>
      <c r="Z1117" s="154"/>
      <c r="AA1117" s="154" t="s">
        <v>1387</v>
      </c>
      <c r="AB1117" s="154">
        <v>0</v>
      </c>
      <c r="AC1117" s="138">
        <f>IFERROR(IF(DATEDIF(#REF!,U1117,"m")&lt;=1,1,IF(AND(DATEDIF(#REF!,U1117,"m")&gt;1,DATEDIF(#REF!,U1117,"m")&lt;12),2,IF(AND(DATEDIF(#REF!,U1117,"m")&gt;=12,DATEDIF(#REF!,U1117,"m")&lt;24),3,IF(DATEDIF(#REF!,U1117,"m")&gt;=24,4,"")))),IF(E1117="r0320 - Deposits, not covered and not preferential",1,4))</f>
        <v>4</v>
      </c>
    </row>
    <row r="1118" spans="3:29" ht="36.75" thickBot="1" x14ac:dyDescent="0.3">
      <c r="C1118" s="11">
        <v>999</v>
      </c>
      <c r="D1118" s="154">
        <v>1111</v>
      </c>
      <c r="E1118" s="154" t="s">
        <v>1898</v>
      </c>
      <c r="F1118" s="154" t="s">
        <v>87</v>
      </c>
      <c r="G1118" s="154" t="s">
        <v>1402</v>
      </c>
      <c r="H1118" s="154" t="s">
        <v>1005</v>
      </c>
      <c r="I1118" s="154" t="s">
        <v>89</v>
      </c>
      <c r="J1118" s="154" t="s">
        <v>90</v>
      </c>
      <c r="K1118" s="154" t="s">
        <v>91</v>
      </c>
      <c r="L1118" s="154" t="s">
        <v>1901</v>
      </c>
      <c r="M1118" s="154" t="s">
        <v>1383</v>
      </c>
      <c r="N1118" s="154" t="s">
        <v>61</v>
      </c>
      <c r="O1118" s="154" t="s">
        <v>62</v>
      </c>
      <c r="P1118" s="146">
        <v>0.35</v>
      </c>
      <c r="Q1118" s="146">
        <v>0</v>
      </c>
      <c r="R1118" s="154" t="s">
        <v>1384</v>
      </c>
      <c r="S1118" s="154" t="s">
        <v>1899</v>
      </c>
      <c r="T1118" s="155" t="s">
        <v>1899</v>
      </c>
      <c r="U1118" s="155" t="s">
        <v>1899</v>
      </c>
      <c r="V1118" s="154" t="s">
        <v>1562</v>
      </c>
      <c r="W1118" s="154">
        <v>0</v>
      </c>
      <c r="X1118" s="154" t="s">
        <v>63</v>
      </c>
      <c r="Y1118" s="154" t="s">
        <v>1900</v>
      </c>
      <c r="Z1118" s="154"/>
      <c r="AA1118" s="154" t="s">
        <v>1387</v>
      </c>
      <c r="AB1118" s="154">
        <v>0</v>
      </c>
      <c r="AC1118" s="138">
        <f>IFERROR(IF(DATEDIF(#REF!,U1118,"m")&lt;=1,1,IF(AND(DATEDIF(#REF!,U1118,"m")&gt;1,DATEDIF(#REF!,U1118,"m")&lt;12),2,IF(AND(DATEDIF(#REF!,U1118,"m")&gt;=12,DATEDIF(#REF!,U1118,"m")&lt;24),3,IF(DATEDIF(#REF!,U1118,"m")&gt;=24,4,"")))),IF(E1118="r0320 - Deposits, not covered and not preferential",1,4))</f>
        <v>4</v>
      </c>
    </row>
    <row r="1119" spans="3:29" ht="36.75" thickBot="1" x14ac:dyDescent="0.3">
      <c r="C1119" s="11">
        <v>999</v>
      </c>
      <c r="D1119" s="154">
        <v>1112</v>
      </c>
      <c r="E1119" s="154" t="s">
        <v>1898</v>
      </c>
      <c r="F1119" s="154" t="s">
        <v>56</v>
      </c>
      <c r="G1119" s="154" t="s">
        <v>1402</v>
      </c>
      <c r="H1119" s="154" t="s">
        <v>1017</v>
      </c>
      <c r="I1119" s="154" t="s">
        <v>66</v>
      </c>
      <c r="J1119" s="154" t="s">
        <v>67</v>
      </c>
      <c r="K1119" s="154" t="s">
        <v>60</v>
      </c>
      <c r="L1119" s="154" t="s">
        <v>1897</v>
      </c>
      <c r="M1119" s="154" t="s">
        <v>1383</v>
      </c>
      <c r="N1119" s="154" t="s">
        <v>61</v>
      </c>
      <c r="O1119" s="154" t="s">
        <v>62</v>
      </c>
      <c r="P1119" s="146">
        <v>1.28</v>
      </c>
      <c r="Q1119" s="146">
        <v>0</v>
      </c>
      <c r="R1119" s="154" t="s">
        <v>1384</v>
      </c>
      <c r="S1119" s="154" t="s">
        <v>1899</v>
      </c>
      <c r="T1119" s="155" t="s">
        <v>1899</v>
      </c>
      <c r="U1119" s="155" t="s">
        <v>1899</v>
      </c>
      <c r="V1119" s="154" t="s">
        <v>1562</v>
      </c>
      <c r="W1119" s="154">
        <v>0</v>
      </c>
      <c r="X1119" s="154" t="s">
        <v>63</v>
      </c>
      <c r="Y1119" s="154" t="s">
        <v>1900</v>
      </c>
      <c r="Z1119" s="154"/>
      <c r="AA1119" s="154" t="s">
        <v>1387</v>
      </c>
      <c r="AB1119" s="154">
        <v>0</v>
      </c>
      <c r="AC1119" s="138">
        <f>IFERROR(IF(DATEDIF(#REF!,U1119,"m")&lt;=1,1,IF(AND(DATEDIF(#REF!,U1119,"m")&gt;1,DATEDIF(#REF!,U1119,"m")&lt;12),2,IF(AND(DATEDIF(#REF!,U1119,"m")&gt;=12,DATEDIF(#REF!,U1119,"m")&lt;24),3,IF(DATEDIF(#REF!,U1119,"m")&gt;=24,4,"")))),IF(E1119="r0320 - Deposits, not covered and not preferential",1,4))</f>
        <v>4</v>
      </c>
    </row>
    <row r="1120" spans="3:29" ht="36.75" thickBot="1" x14ac:dyDescent="0.3">
      <c r="C1120" s="11">
        <v>999</v>
      </c>
      <c r="D1120" s="154">
        <v>1113</v>
      </c>
      <c r="E1120" s="154" t="s">
        <v>1898</v>
      </c>
      <c r="F1120" s="154" t="s">
        <v>87</v>
      </c>
      <c r="G1120" s="154" t="s">
        <v>1402</v>
      </c>
      <c r="H1120" s="154" t="s">
        <v>1166</v>
      </c>
      <c r="I1120" s="154" t="s">
        <v>89</v>
      </c>
      <c r="J1120" s="154" t="s">
        <v>90</v>
      </c>
      <c r="K1120" s="154" t="s">
        <v>91</v>
      </c>
      <c r="L1120" s="154" t="s">
        <v>1901</v>
      </c>
      <c r="M1120" s="154" t="s">
        <v>1383</v>
      </c>
      <c r="N1120" s="154" t="s">
        <v>61</v>
      </c>
      <c r="O1120" s="154" t="s">
        <v>62</v>
      </c>
      <c r="P1120" s="146">
        <v>0.14000000000000001</v>
      </c>
      <c r="Q1120" s="146">
        <v>0</v>
      </c>
      <c r="R1120" s="154" t="s">
        <v>1384</v>
      </c>
      <c r="S1120" s="154" t="s">
        <v>1899</v>
      </c>
      <c r="T1120" s="155" t="s">
        <v>1899</v>
      </c>
      <c r="U1120" s="155" t="s">
        <v>1899</v>
      </c>
      <c r="V1120" s="154" t="s">
        <v>1562</v>
      </c>
      <c r="W1120" s="154">
        <v>0</v>
      </c>
      <c r="X1120" s="154" t="s">
        <v>63</v>
      </c>
      <c r="Y1120" s="154" t="s">
        <v>1900</v>
      </c>
      <c r="Z1120" s="154"/>
      <c r="AA1120" s="154" t="s">
        <v>1387</v>
      </c>
      <c r="AB1120" s="154">
        <v>0</v>
      </c>
      <c r="AC1120" s="138">
        <f>IFERROR(IF(DATEDIF(#REF!,U1120,"m")&lt;=1,1,IF(AND(DATEDIF(#REF!,U1120,"m")&gt;1,DATEDIF(#REF!,U1120,"m")&lt;12),2,IF(AND(DATEDIF(#REF!,U1120,"m")&gt;=12,DATEDIF(#REF!,U1120,"m")&lt;24),3,IF(DATEDIF(#REF!,U1120,"m")&gt;=24,4,"")))),IF(E1120="r0320 - Deposits, not covered and not preferential",1,4))</f>
        <v>4</v>
      </c>
    </row>
    <row r="1121" spans="3:29" ht="48.75" thickBot="1" x14ac:dyDescent="0.3">
      <c r="C1121" s="11">
        <v>999</v>
      </c>
      <c r="D1121" s="154">
        <v>1114</v>
      </c>
      <c r="E1121" s="154" t="s">
        <v>1902</v>
      </c>
      <c r="F1121" s="154" t="s">
        <v>83</v>
      </c>
      <c r="G1121" s="154" t="s">
        <v>1903</v>
      </c>
      <c r="H1121" s="154" t="s">
        <v>376</v>
      </c>
      <c r="I1121" s="154" t="s">
        <v>101</v>
      </c>
      <c r="J1121" s="154" t="s">
        <v>102</v>
      </c>
      <c r="K1121" s="154" t="s">
        <v>60</v>
      </c>
      <c r="L1121" s="154" t="s">
        <v>1897</v>
      </c>
      <c r="M1121" s="154" t="s">
        <v>1388</v>
      </c>
      <c r="N1121" s="154" t="s">
        <v>61</v>
      </c>
      <c r="O1121" s="154" t="s">
        <v>62</v>
      </c>
      <c r="P1121" s="146">
        <v>920804.63</v>
      </c>
      <c r="Q1121" s="146">
        <v>197.3</v>
      </c>
      <c r="R1121" s="154" t="s">
        <v>1384</v>
      </c>
      <c r="S1121" s="154" t="s">
        <v>1899</v>
      </c>
      <c r="T1121" s="155" t="s">
        <v>768</v>
      </c>
      <c r="U1121" s="155" t="s">
        <v>1899</v>
      </c>
      <c r="V1121" s="154" t="s">
        <v>1904</v>
      </c>
      <c r="W1121" s="154">
        <v>0</v>
      </c>
      <c r="X1121" s="154" t="s">
        <v>63</v>
      </c>
      <c r="Y1121" s="154" t="s">
        <v>1386</v>
      </c>
      <c r="Z1121" s="154"/>
      <c r="AA1121" s="154" t="s">
        <v>1387</v>
      </c>
      <c r="AB1121" s="154">
        <v>0</v>
      </c>
      <c r="AC1121" s="138">
        <f>IFERROR(IF(DATEDIF(#REF!,U1121,"m")&lt;=1,1,IF(AND(DATEDIF(#REF!,U1121,"m")&gt;1,DATEDIF(#REF!,U1121,"m")&lt;12),2,IF(AND(DATEDIF(#REF!,U1121,"m")&gt;=12,DATEDIF(#REF!,U1121,"m")&lt;24),3,IF(DATEDIF(#REF!,U1121,"m")&gt;=24,4,"")))),IF(E1121="r0320 - Deposits, not covered and not preferential",1,4))</f>
        <v>4</v>
      </c>
    </row>
    <row r="1122" spans="3:29" ht="36.75" thickBot="1" x14ac:dyDescent="0.3">
      <c r="C1122" s="11">
        <v>999</v>
      </c>
      <c r="D1122" s="154">
        <v>1115</v>
      </c>
      <c r="E1122" s="154" t="s">
        <v>1898</v>
      </c>
      <c r="F1122" s="154" t="s">
        <v>87</v>
      </c>
      <c r="G1122" s="154" t="s">
        <v>1402</v>
      </c>
      <c r="H1122" s="154" t="s">
        <v>382</v>
      </c>
      <c r="I1122" s="154" t="s">
        <v>89</v>
      </c>
      <c r="J1122" s="154" t="s">
        <v>90</v>
      </c>
      <c r="K1122" s="154" t="s">
        <v>91</v>
      </c>
      <c r="L1122" s="154" t="s">
        <v>1901</v>
      </c>
      <c r="M1122" s="154" t="s">
        <v>1383</v>
      </c>
      <c r="N1122" s="154" t="s">
        <v>61</v>
      </c>
      <c r="O1122" s="154" t="s">
        <v>62</v>
      </c>
      <c r="P1122" s="146">
        <v>0.25</v>
      </c>
      <c r="Q1122" s="146">
        <v>0</v>
      </c>
      <c r="R1122" s="154" t="s">
        <v>1384</v>
      </c>
      <c r="S1122" s="154" t="s">
        <v>1899</v>
      </c>
      <c r="T1122" s="155" t="s">
        <v>1899</v>
      </c>
      <c r="U1122" s="155" t="s">
        <v>1899</v>
      </c>
      <c r="V1122" s="154" t="s">
        <v>1562</v>
      </c>
      <c r="W1122" s="154">
        <v>0</v>
      </c>
      <c r="X1122" s="154" t="s">
        <v>63</v>
      </c>
      <c r="Y1122" s="154" t="s">
        <v>1900</v>
      </c>
      <c r="Z1122" s="154"/>
      <c r="AA1122" s="154" t="s">
        <v>1387</v>
      </c>
      <c r="AB1122" s="154">
        <v>0</v>
      </c>
      <c r="AC1122" s="138">
        <f>IFERROR(IF(DATEDIF(#REF!,U1122,"m")&lt;=1,1,IF(AND(DATEDIF(#REF!,U1122,"m")&gt;1,DATEDIF(#REF!,U1122,"m")&lt;12),2,IF(AND(DATEDIF(#REF!,U1122,"m")&gt;=12,DATEDIF(#REF!,U1122,"m")&lt;24),3,IF(DATEDIF(#REF!,U1122,"m")&gt;=24,4,"")))),IF(E1122="r0320 - Deposits, not covered and not preferential",1,4))</f>
        <v>4</v>
      </c>
    </row>
    <row r="1123" spans="3:29" ht="36.75" thickBot="1" x14ac:dyDescent="0.3">
      <c r="C1123" s="11">
        <v>999</v>
      </c>
      <c r="D1123" s="154">
        <v>1116</v>
      </c>
      <c r="E1123" s="154" t="s">
        <v>1898</v>
      </c>
      <c r="F1123" s="154" t="s">
        <v>56</v>
      </c>
      <c r="G1123" s="154" t="s">
        <v>1402</v>
      </c>
      <c r="H1123" s="154" t="s">
        <v>1020</v>
      </c>
      <c r="I1123" s="154" t="s">
        <v>66</v>
      </c>
      <c r="J1123" s="154" t="s">
        <v>67</v>
      </c>
      <c r="K1123" s="154" t="s">
        <v>60</v>
      </c>
      <c r="L1123" s="154" t="s">
        <v>1897</v>
      </c>
      <c r="M1123" s="154" t="s">
        <v>1383</v>
      </c>
      <c r="N1123" s="154" t="s">
        <v>61</v>
      </c>
      <c r="O1123" s="154" t="s">
        <v>62</v>
      </c>
      <c r="P1123" s="146">
        <v>1.93</v>
      </c>
      <c r="Q1123" s="146">
        <v>0</v>
      </c>
      <c r="R1123" s="154" t="s">
        <v>1384</v>
      </c>
      <c r="S1123" s="154" t="s">
        <v>1899</v>
      </c>
      <c r="T1123" s="155" t="s">
        <v>1899</v>
      </c>
      <c r="U1123" s="155" t="s">
        <v>1899</v>
      </c>
      <c r="V1123" s="154" t="s">
        <v>1562</v>
      </c>
      <c r="W1123" s="154">
        <v>0</v>
      </c>
      <c r="X1123" s="154" t="s">
        <v>63</v>
      </c>
      <c r="Y1123" s="154" t="s">
        <v>1900</v>
      </c>
      <c r="Z1123" s="154"/>
      <c r="AA1123" s="154" t="s">
        <v>1387</v>
      </c>
      <c r="AB1123" s="154">
        <v>0</v>
      </c>
      <c r="AC1123" s="138">
        <f>IFERROR(IF(DATEDIF(#REF!,U1123,"m")&lt;=1,1,IF(AND(DATEDIF(#REF!,U1123,"m")&gt;1,DATEDIF(#REF!,U1123,"m")&lt;12),2,IF(AND(DATEDIF(#REF!,U1123,"m")&gt;=12,DATEDIF(#REF!,U1123,"m")&lt;24),3,IF(DATEDIF(#REF!,U1123,"m")&gt;=24,4,"")))),IF(E1123="r0320 - Deposits, not covered and not preferential",1,4))</f>
        <v>4</v>
      </c>
    </row>
    <row r="1124" spans="3:29" ht="36.75" thickBot="1" x14ac:dyDescent="0.3">
      <c r="C1124" s="11">
        <v>999</v>
      </c>
      <c r="D1124" s="154">
        <v>1117</v>
      </c>
      <c r="E1124" s="154" t="s">
        <v>1898</v>
      </c>
      <c r="F1124" s="154" t="s">
        <v>56</v>
      </c>
      <c r="G1124" s="154" t="s">
        <v>1402</v>
      </c>
      <c r="H1124" s="154" t="s">
        <v>630</v>
      </c>
      <c r="I1124" s="154" t="s">
        <v>66</v>
      </c>
      <c r="J1124" s="154" t="s">
        <v>67</v>
      </c>
      <c r="K1124" s="154" t="s">
        <v>60</v>
      </c>
      <c r="L1124" s="154" t="s">
        <v>1897</v>
      </c>
      <c r="M1124" s="154" t="s">
        <v>1383</v>
      </c>
      <c r="N1124" s="154" t="s">
        <v>61</v>
      </c>
      <c r="O1124" s="154" t="s">
        <v>62</v>
      </c>
      <c r="P1124" s="146">
        <v>0.34</v>
      </c>
      <c r="Q1124" s="146">
        <v>0</v>
      </c>
      <c r="R1124" s="154" t="s">
        <v>1384</v>
      </c>
      <c r="S1124" s="154" t="s">
        <v>1899</v>
      </c>
      <c r="T1124" s="155" t="s">
        <v>1899</v>
      </c>
      <c r="U1124" s="155" t="s">
        <v>1899</v>
      </c>
      <c r="V1124" s="154" t="s">
        <v>1562</v>
      </c>
      <c r="W1124" s="154">
        <v>0</v>
      </c>
      <c r="X1124" s="154" t="s">
        <v>63</v>
      </c>
      <c r="Y1124" s="154" t="s">
        <v>1900</v>
      </c>
      <c r="Z1124" s="154"/>
      <c r="AA1124" s="154" t="s">
        <v>1387</v>
      </c>
      <c r="AB1124" s="154">
        <v>0</v>
      </c>
      <c r="AC1124" s="138">
        <f>IFERROR(IF(DATEDIF(#REF!,U1124,"m")&lt;=1,1,IF(AND(DATEDIF(#REF!,U1124,"m")&gt;1,DATEDIF(#REF!,U1124,"m")&lt;12),2,IF(AND(DATEDIF(#REF!,U1124,"m")&gt;=12,DATEDIF(#REF!,U1124,"m")&lt;24),3,IF(DATEDIF(#REF!,U1124,"m")&gt;=24,4,"")))),IF(E1124="r0320 - Deposits, not covered and not preferential",1,4))</f>
        <v>4</v>
      </c>
    </row>
    <row r="1125" spans="3:29" ht="36.75" thickBot="1" x14ac:dyDescent="0.3">
      <c r="C1125" s="11">
        <v>999</v>
      </c>
      <c r="D1125" s="154">
        <v>1118</v>
      </c>
      <c r="E1125" s="154" t="s">
        <v>1898</v>
      </c>
      <c r="F1125" s="154" t="s">
        <v>87</v>
      </c>
      <c r="G1125" s="154" t="s">
        <v>1402</v>
      </c>
      <c r="H1125" s="154" t="s">
        <v>937</v>
      </c>
      <c r="I1125" s="154" t="s">
        <v>89</v>
      </c>
      <c r="J1125" s="154" t="s">
        <v>90</v>
      </c>
      <c r="K1125" s="154" t="s">
        <v>91</v>
      </c>
      <c r="L1125" s="154" t="s">
        <v>1901</v>
      </c>
      <c r="M1125" s="154" t="s">
        <v>1383</v>
      </c>
      <c r="N1125" s="154" t="s">
        <v>61</v>
      </c>
      <c r="O1125" s="154" t="s">
        <v>62</v>
      </c>
      <c r="P1125" s="146">
        <v>0.47</v>
      </c>
      <c r="Q1125" s="146">
        <v>0</v>
      </c>
      <c r="R1125" s="154" t="s">
        <v>1384</v>
      </c>
      <c r="S1125" s="154" t="s">
        <v>1899</v>
      </c>
      <c r="T1125" s="155" t="s">
        <v>1899</v>
      </c>
      <c r="U1125" s="155" t="s">
        <v>1899</v>
      </c>
      <c r="V1125" s="154" t="s">
        <v>1562</v>
      </c>
      <c r="W1125" s="154">
        <v>0</v>
      </c>
      <c r="X1125" s="154" t="s">
        <v>63</v>
      </c>
      <c r="Y1125" s="154" t="s">
        <v>1900</v>
      </c>
      <c r="Z1125" s="154"/>
      <c r="AA1125" s="154" t="s">
        <v>1387</v>
      </c>
      <c r="AB1125" s="154">
        <v>0</v>
      </c>
      <c r="AC1125" s="138">
        <f>IFERROR(IF(DATEDIF(#REF!,U1125,"m")&lt;=1,1,IF(AND(DATEDIF(#REF!,U1125,"m")&gt;1,DATEDIF(#REF!,U1125,"m")&lt;12),2,IF(AND(DATEDIF(#REF!,U1125,"m")&gt;=12,DATEDIF(#REF!,U1125,"m")&lt;24),3,IF(DATEDIF(#REF!,U1125,"m")&gt;=24,4,"")))),IF(E1125="r0320 - Deposits, not covered and not preferential",1,4))</f>
        <v>4</v>
      </c>
    </row>
    <row r="1126" spans="3:29" ht="36.75" thickBot="1" x14ac:dyDescent="0.3">
      <c r="C1126" s="11">
        <v>999</v>
      </c>
      <c r="D1126" s="154">
        <v>1119</v>
      </c>
      <c r="E1126" s="154" t="s">
        <v>1898</v>
      </c>
      <c r="F1126" s="154" t="s">
        <v>87</v>
      </c>
      <c r="G1126" s="154" t="s">
        <v>1402</v>
      </c>
      <c r="H1126" s="154" t="s">
        <v>1023</v>
      </c>
      <c r="I1126" s="154" t="s">
        <v>108</v>
      </c>
      <c r="J1126" s="154" t="s">
        <v>90</v>
      </c>
      <c r="K1126" s="154" t="s">
        <v>91</v>
      </c>
      <c r="L1126" s="154" t="s">
        <v>1897</v>
      </c>
      <c r="M1126" s="154" t="s">
        <v>1383</v>
      </c>
      <c r="N1126" s="154" t="s">
        <v>61</v>
      </c>
      <c r="O1126" s="154" t="s">
        <v>62</v>
      </c>
      <c r="P1126" s="146">
        <v>0.51</v>
      </c>
      <c r="Q1126" s="146">
        <v>0</v>
      </c>
      <c r="R1126" s="154" t="s">
        <v>1384</v>
      </c>
      <c r="S1126" s="154" t="s">
        <v>1899</v>
      </c>
      <c r="T1126" s="155" t="s">
        <v>1899</v>
      </c>
      <c r="U1126" s="155" t="s">
        <v>1899</v>
      </c>
      <c r="V1126" s="154" t="s">
        <v>1562</v>
      </c>
      <c r="W1126" s="154">
        <v>0</v>
      </c>
      <c r="X1126" s="154" t="s">
        <v>63</v>
      </c>
      <c r="Y1126" s="154" t="s">
        <v>1900</v>
      </c>
      <c r="Z1126" s="154"/>
      <c r="AA1126" s="154" t="s">
        <v>1387</v>
      </c>
      <c r="AB1126" s="154">
        <v>0</v>
      </c>
      <c r="AC1126" s="138">
        <f>IFERROR(IF(DATEDIF(#REF!,U1126,"m")&lt;=1,1,IF(AND(DATEDIF(#REF!,U1126,"m")&gt;1,DATEDIF(#REF!,U1126,"m")&lt;12),2,IF(AND(DATEDIF(#REF!,U1126,"m")&gt;=12,DATEDIF(#REF!,U1126,"m")&lt;24),3,IF(DATEDIF(#REF!,U1126,"m")&gt;=24,4,"")))),IF(E1126="r0320 - Deposits, not covered and not preferential",1,4))</f>
        <v>4</v>
      </c>
    </row>
    <row r="1127" spans="3:29" ht="36.75" thickBot="1" x14ac:dyDescent="0.3">
      <c r="C1127" s="11">
        <v>999</v>
      </c>
      <c r="D1127" s="154">
        <v>1120</v>
      </c>
      <c r="E1127" s="154" t="s">
        <v>1898</v>
      </c>
      <c r="F1127" s="154" t="s">
        <v>87</v>
      </c>
      <c r="G1127" s="154" t="s">
        <v>1402</v>
      </c>
      <c r="H1127" s="154" t="s">
        <v>1069</v>
      </c>
      <c r="I1127" s="154" t="s">
        <v>89</v>
      </c>
      <c r="J1127" s="154" t="s">
        <v>90</v>
      </c>
      <c r="K1127" s="154" t="s">
        <v>91</v>
      </c>
      <c r="L1127" s="154" t="s">
        <v>1901</v>
      </c>
      <c r="M1127" s="154" t="s">
        <v>1383</v>
      </c>
      <c r="N1127" s="154" t="s">
        <v>61</v>
      </c>
      <c r="O1127" s="154" t="s">
        <v>62</v>
      </c>
      <c r="P1127" s="146">
        <v>0.88</v>
      </c>
      <c r="Q1127" s="146">
        <v>0</v>
      </c>
      <c r="R1127" s="154" t="s">
        <v>1384</v>
      </c>
      <c r="S1127" s="154" t="s">
        <v>1899</v>
      </c>
      <c r="T1127" s="155" t="s">
        <v>1899</v>
      </c>
      <c r="U1127" s="155" t="s">
        <v>1899</v>
      </c>
      <c r="V1127" s="154" t="s">
        <v>1562</v>
      </c>
      <c r="W1127" s="154">
        <v>0</v>
      </c>
      <c r="X1127" s="154" t="s">
        <v>63</v>
      </c>
      <c r="Y1127" s="154" t="s">
        <v>1900</v>
      </c>
      <c r="Z1127" s="154"/>
      <c r="AA1127" s="154" t="s">
        <v>1387</v>
      </c>
      <c r="AB1127" s="154">
        <v>0</v>
      </c>
      <c r="AC1127" s="138">
        <f>IFERROR(IF(DATEDIF(#REF!,U1127,"m")&lt;=1,1,IF(AND(DATEDIF(#REF!,U1127,"m")&gt;1,DATEDIF(#REF!,U1127,"m")&lt;12),2,IF(AND(DATEDIF(#REF!,U1127,"m")&gt;=12,DATEDIF(#REF!,U1127,"m")&lt;24),3,IF(DATEDIF(#REF!,U1127,"m")&gt;=24,4,"")))),IF(E1127="r0320 - Deposits, not covered and not preferential",1,4))</f>
        <v>4</v>
      </c>
    </row>
    <row r="1128" spans="3:29" ht="48.75" thickBot="1" x14ac:dyDescent="0.3">
      <c r="C1128" s="11">
        <v>999</v>
      </c>
      <c r="D1128" s="154">
        <v>1121</v>
      </c>
      <c r="E1128" s="154" t="s">
        <v>1902</v>
      </c>
      <c r="F1128" s="154" t="s">
        <v>83</v>
      </c>
      <c r="G1128" s="154" t="s">
        <v>1903</v>
      </c>
      <c r="H1128" s="154" t="s">
        <v>1001</v>
      </c>
      <c r="I1128" s="154" t="s">
        <v>93</v>
      </c>
      <c r="J1128" s="154" t="s">
        <v>94</v>
      </c>
      <c r="K1128" s="154" t="s">
        <v>60</v>
      </c>
      <c r="L1128" s="154" t="s">
        <v>1897</v>
      </c>
      <c r="M1128" s="154" t="s">
        <v>1388</v>
      </c>
      <c r="N1128" s="154" t="s">
        <v>61</v>
      </c>
      <c r="O1128" s="154" t="s">
        <v>62</v>
      </c>
      <c r="P1128" s="146">
        <v>41060.69</v>
      </c>
      <c r="Q1128" s="146">
        <v>1</v>
      </c>
      <c r="R1128" s="154" t="s">
        <v>1384</v>
      </c>
      <c r="S1128" s="154" t="s">
        <v>1899</v>
      </c>
      <c r="T1128" s="155" t="s">
        <v>768</v>
      </c>
      <c r="U1128" s="155" t="s">
        <v>1899</v>
      </c>
      <c r="V1128" s="154" t="s">
        <v>1904</v>
      </c>
      <c r="W1128" s="154">
        <v>0</v>
      </c>
      <c r="X1128" s="154" t="s">
        <v>63</v>
      </c>
      <c r="Y1128" s="154" t="s">
        <v>1386</v>
      </c>
      <c r="Z1128" s="154"/>
      <c r="AA1128" s="154" t="s">
        <v>1387</v>
      </c>
      <c r="AB1128" s="154">
        <v>0</v>
      </c>
      <c r="AC1128" s="138">
        <f>IFERROR(IF(DATEDIF(#REF!,U1128,"m")&lt;=1,1,IF(AND(DATEDIF(#REF!,U1128,"m")&gt;1,DATEDIF(#REF!,U1128,"m")&lt;12),2,IF(AND(DATEDIF(#REF!,U1128,"m")&gt;=12,DATEDIF(#REF!,U1128,"m")&lt;24),3,IF(DATEDIF(#REF!,U1128,"m")&gt;=24,4,"")))),IF(E1128="r0320 - Deposits, not covered and not preferential",1,4))</f>
        <v>4</v>
      </c>
    </row>
    <row r="1129" spans="3:29" ht="36.75" thickBot="1" x14ac:dyDescent="0.3">
      <c r="C1129" s="11">
        <v>999</v>
      </c>
      <c r="D1129" s="154">
        <v>1122</v>
      </c>
      <c r="E1129" s="154" t="s">
        <v>1898</v>
      </c>
      <c r="F1129" s="154" t="s">
        <v>87</v>
      </c>
      <c r="G1129" s="154" t="s">
        <v>1402</v>
      </c>
      <c r="H1129" s="154" t="s">
        <v>624</v>
      </c>
      <c r="I1129" s="154" t="s">
        <v>89</v>
      </c>
      <c r="J1129" s="154" t="s">
        <v>90</v>
      </c>
      <c r="K1129" s="154" t="s">
        <v>91</v>
      </c>
      <c r="L1129" s="154" t="s">
        <v>1901</v>
      </c>
      <c r="M1129" s="154" t="s">
        <v>1383</v>
      </c>
      <c r="N1129" s="154" t="s">
        <v>61</v>
      </c>
      <c r="O1129" s="154" t="s">
        <v>62</v>
      </c>
      <c r="P1129" s="146">
        <v>0.48</v>
      </c>
      <c r="Q1129" s="146">
        <v>0</v>
      </c>
      <c r="R1129" s="154" t="s">
        <v>1384</v>
      </c>
      <c r="S1129" s="154" t="s">
        <v>1899</v>
      </c>
      <c r="T1129" s="155" t="s">
        <v>1899</v>
      </c>
      <c r="U1129" s="155" t="s">
        <v>1899</v>
      </c>
      <c r="V1129" s="154" t="s">
        <v>1562</v>
      </c>
      <c r="W1129" s="154">
        <v>0</v>
      </c>
      <c r="X1129" s="154" t="s">
        <v>63</v>
      </c>
      <c r="Y1129" s="154" t="s">
        <v>1900</v>
      </c>
      <c r="Z1129" s="154"/>
      <c r="AA1129" s="154" t="s">
        <v>1387</v>
      </c>
      <c r="AB1129" s="154">
        <v>0</v>
      </c>
      <c r="AC1129" s="138">
        <f>IFERROR(IF(DATEDIF(#REF!,U1129,"m")&lt;=1,1,IF(AND(DATEDIF(#REF!,U1129,"m")&gt;1,DATEDIF(#REF!,U1129,"m")&lt;12),2,IF(AND(DATEDIF(#REF!,U1129,"m")&gt;=12,DATEDIF(#REF!,U1129,"m")&lt;24),3,IF(DATEDIF(#REF!,U1129,"m")&gt;=24,4,"")))),IF(E1129="r0320 - Deposits, not covered and not preferential",1,4))</f>
        <v>4</v>
      </c>
    </row>
    <row r="1130" spans="3:29" ht="36.75" thickBot="1" x14ac:dyDescent="0.3">
      <c r="C1130" s="11">
        <v>999</v>
      </c>
      <c r="D1130" s="154">
        <v>1123</v>
      </c>
      <c r="E1130" s="154" t="s">
        <v>1898</v>
      </c>
      <c r="F1130" s="154" t="s">
        <v>56</v>
      </c>
      <c r="G1130" s="154" t="s">
        <v>1402</v>
      </c>
      <c r="H1130" s="154" t="s">
        <v>1028</v>
      </c>
      <c r="I1130" s="154" t="s">
        <v>66</v>
      </c>
      <c r="J1130" s="154" t="s">
        <v>67</v>
      </c>
      <c r="K1130" s="154" t="s">
        <v>60</v>
      </c>
      <c r="L1130" s="154" t="s">
        <v>1897</v>
      </c>
      <c r="M1130" s="154" t="s">
        <v>1383</v>
      </c>
      <c r="N1130" s="154" t="s">
        <v>61</v>
      </c>
      <c r="O1130" s="154" t="s">
        <v>62</v>
      </c>
      <c r="P1130" s="146">
        <v>1.52</v>
      </c>
      <c r="Q1130" s="146">
        <v>0</v>
      </c>
      <c r="R1130" s="154" t="s">
        <v>1384</v>
      </c>
      <c r="S1130" s="154" t="s">
        <v>1899</v>
      </c>
      <c r="T1130" s="155" t="s">
        <v>1899</v>
      </c>
      <c r="U1130" s="155" t="s">
        <v>1899</v>
      </c>
      <c r="V1130" s="154" t="s">
        <v>1562</v>
      </c>
      <c r="W1130" s="154">
        <v>0</v>
      </c>
      <c r="X1130" s="154" t="s">
        <v>63</v>
      </c>
      <c r="Y1130" s="154" t="s">
        <v>1900</v>
      </c>
      <c r="Z1130" s="154"/>
      <c r="AA1130" s="154" t="s">
        <v>1387</v>
      </c>
      <c r="AB1130" s="154">
        <v>0</v>
      </c>
      <c r="AC1130" s="138">
        <f>IFERROR(IF(DATEDIF(#REF!,U1130,"m")&lt;=1,1,IF(AND(DATEDIF(#REF!,U1130,"m")&gt;1,DATEDIF(#REF!,U1130,"m")&lt;12),2,IF(AND(DATEDIF(#REF!,U1130,"m")&gt;=12,DATEDIF(#REF!,U1130,"m")&lt;24),3,IF(DATEDIF(#REF!,U1130,"m")&gt;=24,4,"")))),IF(E1130="r0320 - Deposits, not covered and not preferential",1,4))</f>
        <v>4</v>
      </c>
    </row>
    <row r="1131" spans="3:29" ht="48.75" thickBot="1" x14ac:dyDescent="0.3">
      <c r="C1131" s="11">
        <v>999</v>
      </c>
      <c r="D1131" s="154">
        <v>1124</v>
      </c>
      <c r="E1131" s="154" t="s">
        <v>1902</v>
      </c>
      <c r="F1131" s="154" t="s">
        <v>83</v>
      </c>
      <c r="G1131" s="154" t="s">
        <v>1903</v>
      </c>
      <c r="H1131" s="154" t="s">
        <v>384</v>
      </c>
      <c r="I1131" s="154" t="s">
        <v>101</v>
      </c>
      <c r="J1131" s="154" t="s">
        <v>102</v>
      </c>
      <c r="K1131" s="154" t="s">
        <v>60</v>
      </c>
      <c r="L1131" s="154" t="s">
        <v>1897</v>
      </c>
      <c r="M1131" s="154" t="s">
        <v>1388</v>
      </c>
      <c r="N1131" s="154" t="s">
        <v>61</v>
      </c>
      <c r="O1131" s="154" t="s">
        <v>62</v>
      </c>
      <c r="P1131" s="146">
        <v>3221773.99</v>
      </c>
      <c r="Q1131" s="146">
        <v>907.02</v>
      </c>
      <c r="R1131" s="154" t="s">
        <v>1384</v>
      </c>
      <c r="S1131" s="154" t="s">
        <v>1899</v>
      </c>
      <c r="T1131" s="155" t="s">
        <v>768</v>
      </c>
      <c r="U1131" s="155" t="s">
        <v>1899</v>
      </c>
      <c r="V1131" s="154" t="s">
        <v>1904</v>
      </c>
      <c r="W1131" s="154">
        <v>0</v>
      </c>
      <c r="X1131" s="154" t="s">
        <v>63</v>
      </c>
      <c r="Y1131" s="154" t="s">
        <v>1386</v>
      </c>
      <c r="Z1131" s="154"/>
      <c r="AA1131" s="154" t="s">
        <v>1387</v>
      </c>
      <c r="AB1131" s="154">
        <v>0</v>
      </c>
      <c r="AC1131" s="138">
        <f>IFERROR(IF(DATEDIF(#REF!,U1131,"m")&lt;=1,1,IF(AND(DATEDIF(#REF!,U1131,"m")&gt;1,DATEDIF(#REF!,U1131,"m")&lt;12),2,IF(AND(DATEDIF(#REF!,U1131,"m")&gt;=12,DATEDIF(#REF!,U1131,"m")&lt;24),3,IF(DATEDIF(#REF!,U1131,"m")&gt;=24,4,"")))),IF(E1131="r0320 - Deposits, not covered and not preferential",1,4))</f>
        <v>4</v>
      </c>
    </row>
    <row r="1132" spans="3:29" ht="48.75" thickBot="1" x14ac:dyDescent="0.3">
      <c r="C1132" s="11">
        <v>999</v>
      </c>
      <c r="D1132" s="154">
        <v>1125</v>
      </c>
      <c r="E1132" s="154" t="s">
        <v>1902</v>
      </c>
      <c r="F1132" s="154" t="s">
        <v>83</v>
      </c>
      <c r="G1132" s="154" t="s">
        <v>1903</v>
      </c>
      <c r="H1132" s="154" t="s">
        <v>598</v>
      </c>
      <c r="I1132" s="154" t="s">
        <v>114</v>
      </c>
      <c r="J1132" s="154" t="s">
        <v>115</v>
      </c>
      <c r="K1132" s="154" t="s">
        <v>60</v>
      </c>
      <c r="L1132" s="154" t="s">
        <v>1897</v>
      </c>
      <c r="M1132" s="154" t="s">
        <v>1388</v>
      </c>
      <c r="N1132" s="154" t="s">
        <v>61</v>
      </c>
      <c r="O1132" s="154" t="s">
        <v>62</v>
      </c>
      <c r="P1132" s="146">
        <v>77724.539999999994</v>
      </c>
      <c r="Q1132" s="146">
        <v>31.4</v>
      </c>
      <c r="R1132" s="154" t="s">
        <v>1384</v>
      </c>
      <c r="S1132" s="154" t="s">
        <v>1899</v>
      </c>
      <c r="T1132" s="155" t="s">
        <v>768</v>
      </c>
      <c r="U1132" s="155" t="s">
        <v>1899</v>
      </c>
      <c r="V1132" s="154" t="s">
        <v>1904</v>
      </c>
      <c r="W1132" s="154">
        <v>0</v>
      </c>
      <c r="X1132" s="154" t="s">
        <v>63</v>
      </c>
      <c r="Y1132" s="154" t="s">
        <v>1386</v>
      </c>
      <c r="Z1132" s="154"/>
      <c r="AA1132" s="154" t="s">
        <v>1387</v>
      </c>
      <c r="AB1132" s="154">
        <v>0</v>
      </c>
      <c r="AC1132" s="138">
        <f>IFERROR(IF(DATEDIF(#REF!,U1132,"m")&lt;=1,1,IF(AND(DATEDIF(#REF!,U1132,"m")&gt;1,DATEDIF(#REF!,U1132,"m")&lt;12),2,IF(AND(DATEDIF(#REF!,U1132,"m")&gt;=12,DATEDIF(#REF!,U1132,"m")&lt;24),3,IF(DATEDIF(#REF!,U1132,"m")&gt;=24,4,"")))),IF(E1132="r0320 - Deposits, not covered and not preferential",1,4))</f>
        <v>4</v>
      </c>
    </row>
    <row r="1133" spans="3:29" ht="36.75" thickBot="1" x14ac:dyDescent="0.3">
      <c r="C1133" s="11">
        <v>999</v>
      </c>
      <c r="D1133" s="154">
        <v>1126</v>
      </c>
      <c r="E1133" s="154" t="s">
        <v>1898</v>
      </c>
      <c r="F1133" s="154" t="s">
        <v>87</v>
      </c>
      <c r="G1133" s="154" t="s">
        <v>1402</v>
      </c>
      <c r="H1133" s="154" t="s">
        <v>1015</v>
      </c>
      <c r="I1133" s="154" t="s">
        <v>89</v>
      </c>
      <c r="J1133" s="154" t="s">
        <v>90</v>
      </c>
      <c r="K1133" s="154" t="s">
        <v>91</v>
      </c>
      <c r="L1133" s="154" t="s">
        <v>1901</v>
      </c>
      <c r="M1133" s="154" t="s">
        <v>1383</v>
      </c>
      <c r="N1133" s="154" t="s">
        <v>61</v>
      </c>
      <c r="O1133" s="154" t="s">
        <v>62</v>
      </c>
      <c r="P1133" s="146">
        <v>0.15</v>
      </c>
      <c r="Q1133" s="146">
        <v>0</v>
      </c>
      <c r="R1133" s="154" t="s">
        <v>1384</v>
      </c>
      <c r="S1133" s="154" t="s">
        <v>1899</v>
      </c>
      <c r="T1133" s="155" t="s">
        <v>1899</v>
      </c>
      <c r="U1133" s="155" t="s">
        <v>1899</v>
      </c>
      <c r="V1133" s="154" t="s">
        <v>1562</v>
      </c>
      <c r="W1133" s="154">
        <v>0</v>
      </c>
      <c r="X1133" s="154" t="s">
        <v>63</v>
      </c>
      <c r="Y1133" s="154" t="s">
        <v>1900</v>
      </c>
      <c r="Z1133" s="154"/>
      <c r="AA1133" s="154" t="s">
        <v>1387</v>
      </c>
      <c r="AB1133" s="154">
        <v>0</v>
      </c>
      <c r="AC1133" s="138">
        <f>IFERROR(IF(DATEDIF(#REF!,U1133,"m")&lt;=1,1,IF(AND(DATEDIF(#REF!,U1133,"m")&gt;1,DATEDIF(#REF!,U1133,"m")&lt;12),2,IF(AND(DATEDIF(#REF!,U1133,"m")&gt;=12,DATEDIF(#REF!,U1133,"m")&lt;24),3,IF(DATEDIF(#REF!,U1133,"m")&gt;=24,4,"")))),IF(E1133="r0320 - Deposits, not covered and not preferential",1,4))</f>
        <v>4</v>
      </c>
    </row>
    <row r="1134" spans="3:29" ht="36.75" thickBot="1" x14ac:dyDescent="0.3">
      <c r="C1134" s="11">
        <v>999</v>
      </c>
      <c r="D1134" s="154">
        <v>1127</v>
      </c>
      <c r="E1134" s="154" t="s">
        <v>1898</v>
      </c>
      <c r="F1134" s="154" t="s">
        <v>87</v>
      </c>
      <c r="G1134" s="154" t="s">
        <v>1402</v>
      </c>
      <c r="H1134" s="154" t="s">
        <v>1031</v>
      </c>
      <c r="I1134" s="154" t="s">
        <v>108</v>
      </c>
      <c r="J1134" s="154" t="s">
        <v>90</v>
      </c>
      <c r="K1134" s="154" t="s">
        <v>91</v>
      </c>
      <c r="L1134" s="154" t="s">
        <v>1897</v>
      </c>
      <c r="M1134" s="154" t="s">
        <v>1383</v>
      </c>
      <c r="N1134" s="154" t="s">
        <v>61</v>
      </c>
      <c r="O1134" s="154" t="s">
        <v>62</v>
      </c>
      <c r="P1134" s="146">
        <v>1.27</v>
      </c>
      <c r="Q1134" s="146">
        <v>0</v>
      </c>
      <c r="R1134" s="154" t="s">
        <v>1384</v>
      </c>
      <c r="S1134" s="154" t="s">
        <v>1899</v>
      </c>
      <c r="T1134" s="155" t="s">
        <v>1899</v>
      </c>
      <c r="U1134" s="155" t="s">
        <v>1899</v>
      </c>
      <c r="V1134" s="154" t="s">
        <v>1562</v>
      </c>
      <c r="W1134" s="154">
        <v>0</v>
      </c>
      <c r="X1134" s="154" t="s">
        <v>63</v>
      </c>
      <c r="Y1134" s="154" t="s">
        <v>1900</v>
      </c>
      <c r="Z1134" s="154"/>
      <c r="AA1134" s="154" t="s">
        <v>1387</v>
      </c>
      <c r="AB1134" s="154">
        <v>0</v>
      </c>
      <c r="AC1134" s="138">
        <f>IFERROR(IF(DATEDIF(#REF!,U1134,"m")&lt;=1,1,IF(AND(DATEDIF(#REF!,U1134,"m")&gt;1,DATEDIF(#REF!,U1134,"m")&lt;12),2,IF(AND(DATEDIF(#REF!,U1134,"m")&gt;=12,DATEDIF(#REF!,U1134,"m")&lt;24),3,IF(DATEDIF(#REF!,U1134,"m")&gt;=24,4,"")))),IF(E1134="r0320 - Deposits, not covered and not preferential",1,4))</f>
        <v>4</v>
      </c>
    </row>
    <row r="1135" spans="3:29" ht="36.75" thickBot="1" x14ac:dyDescent="0.3">
      <c r="C1135" s="11">
        <v>999</v>
      </c>
      <c r="D1135" s="154">
        <v>1128</v>
      </c>
      <c r="E1135" s="154" t="s">
        <v>1898</v>
      </c>
      <c r="F1135" s="154" t="s">
        <v>87</v>
      </c>
      <c r="G1135" s="154" t="s">
        <v>1402</v>
      </c>
      <c r="H1135" s="154" t="s">
        <v>671</v>
      </c>
      <c r="I1135" s="154" t="s">
        <v>108</v>
      </c>
      <c r="J1135" s="154" t="s">
        <v>90</v>
      </c>
      <c r="K1135" s="154" t="s">
        <v>91</v>
      </c>
      <c r="L1135" s="154" t="s">
        <v>1897</v>
      </c>
      <c r="M1135" s="154" t="s">
        <v>1383</v>
      </c>
      <c r="N1135" s="154" t="s">
        <v>61</v>
      </c>
      <c r="O1135" s="154" t="s">
        <v>62</v>
      </c>
      <c r="P1135" s="146">
        <v>0.56999999999999995</v>
      </c>
      <c r="Q1135" s="146">
        <v>0</v>
      </c>
      <c r="R1135" s="154" t="s">
        <v>1384</v>
      </c>
      <c r="S1135" s="154" t="s">
        <v>1899</v>
      </c>
      <c r="T1135" s="155" t="s">
        <v>1899</v>
      </c>
      <c r="U1135" s="155" t="s">
        <v>1899</v>
      </c>
      <c r="V1135" s="154" t="s">
        <v>1562</v>
      </c>
      <c r="W1135" s="154">
        <v>0</v>
      </c>
      <c r="X1135" s="154" t="s">
        <v>63</v>
      </c>
      <c r="Y1135" s="154" t="s">
        <v>1900</v>
      </c>
      <c r="Z1135" s="154"/>
      <c r="AA1135" s="154" t="s">
        <v>1387</v>
      </c>
      <c r="AB1135" s="154">
        <v>0</v>
      </c>
      <c r="AC1135" s="138">
        <f>IFERROR(IF(DATEDIF(#REF!,U1135,"m")&lt;=1,1,IF(AND(DATEDIF(#REF!,U1135,"m")&gt;1,DATEDIF(#REF!,U1135,"m")&lt;12),2,IF(AND(DATEDIF(#REF!,U1135,"m")&gt;=12,DATEDIF(#REF!,U1135,"m")&lt;24),3,IF(DATEDIF(#REF!,U1135,"m")&gt;=24,4,"")))),IF(E1135="r0320 - Deposits, not covered and not preferential",1,4))</f>
        <v>4</v>
      </c>
    </row>
    <row r="1136" spans="3:29" ht="48.75" thickBot="1" x14ac:dyDescent="0.3">
      <c r="C1136" s="11">
        <v>999</v>
      </c>
      <c r="D1136" s="154">
        <v>1129</v>
      </c>
      <c r="E1136" s="154" t="s">
        <v>1902</v>
      </c>
      <c r="F1136" s="154" t="s">
        <v>83</v>
      </c>
      <c r="G1136" s="154" t="s">
        <v>1903</v>
      </c>
      <c r="H1136" s="154" t="s">
        <v>1001</v>
      </c>
      <c r="I1136" s="154" t="s">
        <v>114</v>
      </c>
      <c r="J1136" s="154" t="s">
        <v>115</v>
      </c>
      <c r="K1136" s="154" t="s">
        <v>60</v>
      </c>
      <c r="L1136" s="154" t="s">
        <v>1897</v>
      </c>
      <c r="M1136" s="154" t="s">
        <v>1388</v>
      </c>
      <c r="N1136" s="154" t="s">
        <v>61</v>
      </c>
      <c r="O1136" s="154" t="s">
        <v>62</v>
      </c>
      <c r="P1136" s="146">
        <v>129946.98</v>
      </c>
      <c r="Q1136" s="146">
        <v>-15.07</v>
      </c>
      <c r="R1136" s="154" t="s">
        <v>1384</v>
      </c>
      <c r="S1136" s="154" t="s">
        <v>1899</v>
      </c>
      <c r="T1136" s="155" t="s">
        <v>768</v>
      </c>
      <c r="U1136" s="155" t="s">
        <v>1899</v>
      </c>
      <c r="V1136" s="154" t="s">
        <v>1904</v>
      </c>
      <c r="W1136" s="154">
        <v>0</v>
      </c>
      <c r="X1136" s="154" t="s">
        <v>63</v>
      </c>
      <c r="Y1136" s="154" t="s">
        <v>1386</v>
      </c>
      <c r="Z1136" s="154"/>
      <c r="AA1136" s="154" t="s">
        <v>1387</v>
      </c>
      <c r="AB1136" s="154">
        <v>0</v>
      </c>
      <c r="AC1136" s="138">
        <f>IFERROR(IF(DATEDIF(#REF!,U1136,"m")&lt;=1,1,IF(AND(DATEDIF(#REF!,U1136,"m")&gt;1,DATEDIF(#REF!,U1136,"m")&lt;12),2,IF(AND(DATEDIF(#REF!,U1136,"m")&gt;=12,DATEDIF(#REF!,U1136,"m")&lt;24),3,IF(DATEDIF(#REF!,U1136,"m")&gt;=24,4,"")))),IF(E1136="r0320 - Deposits, not covered and not preferential",1,4))</f>
        <v>4</v>
      </c>
    </row>
    <row r="1137" spans="3:29" ht="36.75" thickBot="1" x14ac:dyDescent="0.3">
      <c r="C1137" s="11">
        <v>999</v>
      </c>
      <c r="D1137" s="154">
        <v>1130</v>
      </c>
      <c r="E1137" s="154" t="s">
        <v>1898</v>
      </c>
      <c r="F1137" s="154" t="s">
        <v>87</v>
      </c>
      <c r="G1137" s="154" t="s">
        <v>1402</v>
      </c>
      <c r="H1137" s="154" t="s">
        <v>243</v>
      </c>
      <c r="I1137" s="154" t="s">
        <v>89</v>
      </c>
      <c r="J1137" s="154" t="s">
        <v>90</v>
      </c>
      <c r="K1137" s="154" t="s">
        <v>91</v>
      </c>
      <c r="L1137" s="154" t="s">
        <v>1901</v>
      </c>
      <c r="M1137" s="154" t="s">
        <v>1383</v>
      </c>
      <c r="N1137" s="154" t="s">
        <v>61</v>
      </c>
      <c r="O1137" s="154" t="s">
        <v>62</v>
      </c>
      <c r="P1137" s="146">
        <v>0.95</v>
      </c>
      <c r="Q1137" s="146">
        <v>0</v>
      </c>
      <c r="R1137" s="154" t="s">
        <v>1384</v>
      </c>
      <c r="S1137" s="154" t="s">
        <v>1899</v>
      </c>
      <c r="T1137" s="155" t="s">
        <v>1899</v>
      </c>
      <c r="U1137" s="155" t="s">
        <v>1899</v>
      </c>
      <c r="V1137" s="154" t="s">
        <v>1562</v>
      </c>
      <c r="W1137" s="154">
        <v>0</v>
      </c>
      <c r="X1137" s="154" t="s">
        <v>63</v>
      </c>
      <c r="Y1137" s="154" t="s">
        <v>1900</v>
      </c>
      <c r="Z1137" s="154"/>
      <c r="AA1137" s="154" t="s">
        <v>1387</v>
      </c>
      <c r="AB1137" s="154">
        <v>0</v>
      </c>
      <c r="AC1137" s="138">
        <f>IFERROR(IF(DATEDIF(#REF!,U1137,"m")&lt;=1,1,IF(AND(DATEDIF(#REF!,U1137,"m")&gt;1,DATEDIF(#REF!,U1137,"m")&lt;12),2,IF(AND(DATEDIF(#REF!,U1137,"m")&gt;=12,DATEDIF(#REF!,U1137,"m")&lt;24),3,IF(DATEDIF(#REF!,U1137,"m")&gt;=24,4,"")))),IF(E1137="r0320 - Deposits, not covered and not preferential",1,4))</f>
        <v>4</v>
      </c>
    </row>
    <row r="1138" spans="3:29" ht="36.75" thickBot="1" x14ac:dyDescent="0.3">
      <c r="C1138" s="11">
        <v>999</v>
      </c>
      <c r="D1138" s="154">
        <v>1131</v>
      </c>
      <c r="E1138" s="154" t="s">
        <v>1898</v>
      </c>
      <c r="F1138" s="154" t="s">
        <v>56</v>
      </c>
      <c r="G1138" s="154" t="s">
        <v>1402</v>
      </c>
      <c r="H1138" s="154" t="s">
        <v>1034</v>
      </c>
      <c r="I1138" s="154" t="s">
        <v>66</v>
      </c>
      <c r="J1138" s="154" t="s">
        <v>67</v>
      </c>
      <c r="K1138" s="154" t="s">
        <v>60</v>
      </c>
      <c r="L1138" s="154" t="s">
        <v>1897</v>
      </c>
      <c r="M1138" s="154" t="s">
        <v>1383</v>
      </c>
      <c r="N1138" s="154" t="s">
        <v>61</v>
      </c>
      <c r="O1138" s="154" t="s">
        <v>62</v>
      </c>
      <c r="P1138" s="146">
        <v>0.05</v>
      </c>
      <c r="Q1138" s="146">
        <v>0</v>
      </c>
      <c r="R1138" s="154" t="s">
        <v>1384</v>
      </c>
      <c r="S1138" s="154" t="s">
        <v>1899</v>
      </c>
      <c r="T1138" s="155" t="s">
        <v>1899</v>
      </c>
      <c r="U1138" s="155" t="s">
        <v>1899</v>
      </c>
      <c r="V1138" s="154" t="s">
        <v>1562</v>
      </c>
      <c r="W1138" s="154">
        <v>0</v>
      </c>
      <c r="X1138" s="154" t="s">
        <v>63</v>
      </c>
      <c r="Y1138" s="154" t="s">
        <v>1900</v>
      </c>
      <c r="Z1138" s="154"/>
      <c r="AA1138" s="154" t="s">
        <v>1387</v>
      </c>
      <c r="AB1138" s="154">
        <v>0</v>
      </c>
      <c r="AC1138" s="138">
        <f>IFERROR(IF(DATEDIF(#REF!,U1138,"m")&lt;=1,1,IF(AND(DATEDIF(#REF!,U1138,"m")&gt;1,DATEDIF(#REF!,U1138,"m")&lt;12),2,IF(AND(DATEDIF(#REF!,U1138,"m")&gt;=12,DATEDIF(#REF!,U1138,"m")&lt;24),3,IF(DATEDIF(#REF!,U1138,"m")&gt;=24,4,"")))),IF(E1138="r0320 - Deposits, not covered and not preferential",1,4))</f>
        <v>4</v>
      </c>
    </row>
    <row r="1139" spans="3:29" ht="36.75" thickBot="1" x14ac:dyDescent="0.3">
      <c r="C1139" s="11">
        <v>999</v>
      </c>
      <c r="D1139" s="154">
        <v>1132</v>
      </c>
      <c r="E1139" s="154" t="s">
        <v>1898</v>
      </c>
      <c r="F1139" s="154" t="s">
        <v>87</v>
      </c>
      <c r="G1139" s="154" t="s">
        <v>1402</v>
      </c>
      <c r="H1139" s="154" t="s">
        <v>638</v>
      </c>
      <c r="I1139" s="154" t="s">
        <v>108</v>
      </c>
      <c r="J1139" s="154" t="s">
        <v>90</v>
      </c>
      <c r="K1139" s="154" t="s">
        <v>91</v>
      </c>
      <c r="L1139" s="154" t="s">
        <v>1897</v>
      </c>
      <c r="M1139" s="154" t="s">
        <v>1383</v>
      </c>
      <c r="N1139" s="154" t="s">
        <v>61</v>
      </c>
      <c r="O1139" s="154" t="s">
        <v>62</v>
      </c>
      <c r="P1139" s="146">
        <v>1.06</v>
      </c>
      <c r="Q1139" s="146">
        <v>0</v>
      </c>
      <c r="R1139" s="154" t="s">
        <v>1384</v>
      </c>
      <c r="S1139" s="154" t="s">
        <v>1899</v>
      </c>
      <c r="T1139" s="155" t="s">
        <v>1899</v>
      </c>
      <c r="U1139" s="155" t="s">
        <v>1899</v>
      </c>
      <c r="V1139" s="154" t="s">
        <v>1562</v>
      </c>
      <c r="W1139" s="154">
        <v>0</v>
      </c>
      <c r="X1139" s="154" t="s">
        <v>63</v>
      </c>
      <c r="Y1139" s="154" t="s">
        <v>1900</v>
      </c>
      <c r="Z1139" s="154"/>
      <c r="AA1139" s="154" t="s">
        <v>1387</v>
      </c>
      <c r="AB1139" s="154">
        <v>0</v>
      </c>
      <c r="AC1139" s="138">
        <f>IFERROR(IF(DATEDIF(#REF!,U1139,"m")&lt;=1,1,IF(AND(DATEDIF(#REF!,U1139,"m")&gt;1,DATEDIF(#REF!,U1139,"m")&lt;12),2,IF(AND(DATEDIF(#REF!,U1139,"m")&gt;=12,DATEDIF(#REF!,U1139,"m")&lt;24),3,IF(DATEDIF(#REF!,U1139,"m")&gt;=24,4,"")))),IF(E1139="r0320 - Deposits, not covered and not preferential",1,4))</f>
        <v>4</v>
      </c>
    </row>
    <row r="1140" spans="3:29" ht="48.75" thickBot="1" x14ac:dyDescent="0.3">
      <c r="C1140" s="11">
        <v>999</v>
      </c>
      <c r="D1140" s="154">
        <v>1133</v>
      </c>
      <c r="E1140" s="154" t="s">
        <v>1902</v>
      </c>
      <c r="F1140" s="154" t="s">
        <v>83</v>
      </c>
      <c r="G1140" s="154" t="s">
        <v>1903</v>
      </c>
      <c r="H1140" s="154" t="s">
        <v>934</v>
      </c>
      <c r="I1140" s="154" t="s">
        <v>101</v>
      </c>
      <c r="J1140" s="154" t="s">
        <v>102</v>
      </c>
      <c r="K1140" s="154" t="s">
        <v>60</v>
      </c>
      <c r="L1140" s="154" t="s">
        <v>1897</v>
      </c>
      <c r="M1140" s="154" t="s">
        <v>1388</v>
      </c>
      <c r="N1140" s="154" t="s">
        <v>61</v>
      </c>
      <c r="O1140" s="154" t="s">
        <v>62</v>
      </c>
      <c r="P1140" s="146">
        <v>784070.1</v>
      </c>
      <c r="Q1140" s="146">
        <v>349.92</v>
      </c>
      <c r="R1140" s="154" t="s">
        <v>1384</v>
      </c>
      <c r="S1140" s="154" t="s">
        <v>1899</v>
      </c>
      <c r="T1140" s="155" t="s">
        <v>768</v>
      </c>
      <c r="U1140" s="155" t="s">
        <v>1899</v>
      </c>
      <c r="V1140" s="154" t="s">
        <v>1904</v>
      </c>
      <c r="W1140" s="154">
        <v>0</v>
      </c>
      <c r="X1140" s="154" t="s">
        <v>63</v>
      </c>
      <c r="Y1140" s="154" t="s">
        <v>1386</v>
      </c>
      <c r="Z1140" s="154"/>
      <c r="AA1140" s="154" t="s">
        <v>1387</v>
      </c>
      <c r="AB1140" s="154">
        <v>0</v>
      </c>
      <c r="AC1140" s="138">
        <f>IFERROR(IF(DATEDIF(#REF!,U1140,"m")&lt;=1,1,IF(AND(DATEDIF(#REF!,U1140,"m")&gt;1,DATEDIF(#REF!,U1140,"m")&lt;12),2,IF(AND(DATEDIF(#REF!,U1140,"m")&gt;=12,DATEDIF(#REF!,U1140,"m")&lt;24),3,IF(DATEDIF(#REF!,U1140,"m")&gt;=24,4,"")))),IF(E1140="r0320 - Deposits, not covered and not preferential",1,4))</f>
        <v>4</v>
      </c>
    </row>
    <row r="1141" spans="3:29" ht="36.75" thickBot="1" x14ac:dyDescent="0.3">
      <c r="C1141" s="11">
        <v>999</v>
      </c>
      <c r="D1141" s="154">
        <v>1134</v>
      </c>
      <c r="E1141" s="154" t="s">
        <v>1898</v>
      </c>
      <c r="F1141" s="154" t="s">
        <v>87</v>
      </c>
      <c r="G1141" s="154" t="s">
        <v>1402</v>
      </c>
      <c r="H1141" s="154" t="s">
        <v>599</v>
      </c>
      <c r="I1141" s="154" t="s">
        <v>99</v>
      </c>
      <c r="J1141" s="154" t="s">
        <v>90</v>
      </c>
      <c r="K1141" s="154" t="s">
        <v>91</v>
      </c>
      <c r="L1141" s="154" t="s">
        <v>1897</v>
      </c>
      <c r="M1141" s="154" t="s">
        <v>1383</v>
      </c>
      <c r="N1141" s="154" t="s">
        <v>61</v>
      </c>
      <c r="O1141" s="154" t="s">
        <v>62</v>
      </c>
      <c r="P1141" s="146">
        <v>0.49</v>
      </c>
      <c r="Q1141" s="146">
        <v>0</v>
      </c>
      <c r="R1141" s="154" t="s">
        <v>1384</v>
      </c>
      <c r="S1141" s="154" t="s">
        <v>1899</v>
      </c>
      <c r="T1141" s="155" t="s">
        <v>1899</v>
      </c>
      <c r="U1141" s="155" t="s">
        <v>1899</v>
      </c>
      <c r="V1141" s="154" t="s">
        <v>1562</v>
      </c>
      <c r="W1141" s="154">
        <v>0</v>
      </c>
      <c r="X1141" s="154" t="s">
        <v>63</v>
      </c>
      <c r="Y1141" s="154" t="s">
        <v>1900</v>
      </c>
      <c r="Z1141" s="154"/>
      <c r="AA1141" s="154" t="s">
        <v>1387</v>
      </c>
      <c r="AB1141" s="154">
        <v>0</v>
      </c>
      <c r="AC1141" s="138">
        <f>IFERROR(IF(DATEDIF(#REF!,U1141,"m")&lt;=1,1,IF(AND(DATEDIF(#REF!,U1141,"m")&gt;1,DATEDIF(#REF!,U1141,"m")&lt;12),2,IF(AND(DATEDIF(#REF!,U1141,"m")&gt;=12,DATEDIF(#REF!,U1141,"m")&lt;24),3,IF(DATEDIF(#REF!,U1141,"m")&gt;=24,4,"")))),IF(E1141="r0320 - Deposits, not covered and not preferential",1,4))</f>
        <v>4</v>
      </c>
    </row>
    <row r="1142" spans="3:29" ht="36.75" thickBot="1" x14ac:dyDescent="0.3">
      <c r="C1142" s="11">
        <v>999</v>
      </c>
      <c r="D1142" s="154">
        <v>1135</v>
      </c>
      <c r="E1142" s="154" t="s">
        <v>1898</v>
      </c>
      <c r="F1142" s="154" t="s">
        <v>87</v>
      </c>
      <c r="G1142" s="154" t="s">
        <v>1402</v>
      </c>
      <c r="H1142" s="154" t="s">
        <v>577</v>
      </c>
      <c r="I1142" s="154" t="s">
        <v>89</v>
      </c>
      <c r="J1142" s="154" t="s">
        <v>90</v>
      </c>
      <c r="K1142" s="154" t="s">
        <v>91</v>
      </c>
      <c r="L1142" s="154" t="s">
        <v>1901</v>
      </c>
      <c r="M1142" s="154" t="s">
        <v>1383</v>
      </c>
      <c r="N1142" s="154" t="s">
        <v>61</v>
      </c>
      <c r="O1142" s="154" t="s">
        <v>62</v>
      </c>
      <c r="P1142" s="146">
        <v>0.46</v>
      </c>
      <c r="Q1142" s="146">
        <v>0</v>
      </c>
      <c r="R1142" s="154" t="s">
        <v>1384</v>
      </c>
      <c r="S1142" s="154" t="s">
        <v>1899</v>
      </c>
      <c r="T1142" s="155" t="s">
        <v>1899</v>
      </c>
      <c r="U1142" s="155" t="s">
        <v>1899</v>
      </c>
      <c r="V1142" s="154" t="s">
        <v>1562</v>
      </c>
      <c r="W1142" s="154">
        <v>0</v>
      </c>
      <c r="X1142" s="154" t="s">
        <v>63</v>
      </c>
      <c r="Y1142" s="154" t="s">
        <v>1900</v>
      </c>
      <c r="Z1142" s="154"/>
      <c r="AA1142" s="154" t="s">
        <v>1387</v>
      </c>
      <c r="AB1142" s="154">
        <v>0</v>
      </c>
      <c r="AC1142" s="138">
        <f>IFERROR(IF(DATEDIF(#REF!,U1142,"m")&lt;=1,1,IF(AND(DATEDIF(#REF!,U1142,"m")&gt;1,DATEDIF(#REF!,U1142,"m")&lt;12),2,IF(AND(DATEDIF(#REF!,U1142,"m")&gt;=12,DATEDIF(#REF!,U1142,"m")&lt;24),3,IF(DATEDIF(#REF!,U1142,"m")&gt;=24,4,"")))),IF(E1142="r0320 - Deposits, not covered and not preferential",1,4))</f>
        <v>4</v>
      </c>
    </row>
    <row r="1143" spans="3:29" ht="36.75" thickBot="1" x14ac:dyDescent="0.3">
      <c r="C1143" s="11">
        <v>999</v>
      </c>
      <c r="D1143" s="154">
        <v>1136</v>
      </c>
      <c r="E1143" s="154" t="s">
        <v>1898</v>
      </c>
      <c r="F1143" s="154" t="s">
        <v>87</v>
      </c>
      <c r="G1143" s="154" t="s">
        <v>1402</v>
      </c>
      <c r="H1143" s="154" t="s">
        <v>1081</v>
      </c>
      <c r="I1143" s="154" t="s">
        <v>89</v>
      </c>
      <c r="J1143" s="154" t="s">
        <v>90</v>
      </c>
      <c r="K1143" s="154" t="s">
        <v>91</v>
      </c>
      <c r="L1143" s="154" t="s">
        <v>1901</v>
      </c>
      <c r="M1143" s="154" t="s">
        <v>1383</v>
      </c>
      <c r="N1143" s="154" t="s">
        <v>61</v>
      </c>
      <c r="O1143" s="154" t="s">
        <v>62</v>
      </c>
      <c r="P1143" s="146">
        <v>0.53</v>
      </c>
      <c r="Q1143" s="146">
        <v>0</v>
      </c>
      <c r="R1143" s="154" t="s">
        <v>1384</v>
      </c>
      <c r="S1143" s="154" t="s">
        <v>1899</v>
      </c>
      <c r="T1143" s="155" t="s">
        <v>1899</v>
      </c>
      <c r="U1143" s="155" t="s">
        <v>1899</v>
      </c>
      <c r="V1143" s="154" t="s">
        <v>1562</v>
      </c>
      <c r="W1143" s="154">
        <v>0</v>
      </c>
      <c r="X1143" s="154" t="s">
        <v>63</v>
      </c>
      <c r="Y1143" s="154" t="s">
        <v>1900</v>
      </c>
      <c r="Z1143" s="154"/>
      <c r="AA1143" s="154" t="s">
        <v>1387</v>
      </c>
      <c r="AB1143" s="154">
        <v>0</v>
      </c>
      <c r="AC1143" s="138">
        <f>IFERROR(IF(DATEDIF(#REF!,U1143,"m")&lt;=1,1,IF(AND(DATEDIF(#REF!,U1143,"m")&gt;1,DATEDIF(#REF!,U1143,"m")&lt;12),2,IF(AND(DATEDIF(#REF!,U1143,"m")&gt;=12,DATEDIF(#REF!,U1143,"m")&lt;24),3,IF(DATEDIF(#REF!,U1143,"m")&gt;=24,4,"")))),IF(E1143="r0320 - Deposits, not covered and not preferential",1,4))</f>
        <v>4</v>
      </c>
    </row>
    <row r="1144" spans="3:29" ht="36.75" thickBot="1" x14ac:dyDescent="0.3">
      <c r="C1144" s="11">
        <v>999</v>
      </c>
      <c r="D1144" s="154">
        <v>1137</v>
      </c>
      <c r="E1144" s="154" t="s">
        <v>1898</v>
      </c>
      <c r="F1144" s="154" t="s">
        <v>56</v>
      </c>
      <c r="G1144" s="154" t="s">
        <v>1402</v>
      </c>
      <c r="H1144" s="154" t="s">
        <v>1037</v>
      </c>
      <c r="I1144" s="154" t="s">
        <v>66</v>
      </c>
      <c r="J1144" s="154" t="s">
        <v>67</v>
      </c>
      <c r="K1144" s="154" t="s">
        <v>60</v>
      </c>
      <c r="L1144" s="154" t="s">
        <v>1897</v>
      </c>
      <c r="M1144" s="154" t="s">
        <v>1383</v>
      </c>
      <c r="N1144" s="154" t="s">
        <v>61</v>
      </c>
      <c r="O1144" s="154" t="s">
        <v>62</v>
      </c>
      <c r="P1144" s="146">
        <v>1.1499999999999999</v>
      </c>
      <c r="Q1144" s="146">
        <v>0</v>
      </c>
      <c r="R1144" s="154" t="s">
        <v>1384</v>
      </c>
      <c r="S1144" s="154" t="s">
        <v>1899</v>
      </c>
      <c r="T1144" s="155" t="s">
        <v>1899</v>
      </c>
      <c r="U1144" s="155" t="s">
        <v>1899</v>
      </c>
      <c r="V1144" s="154" t="s">
        <v>1562</v>
      </c>
      <c r="W1144" s="154">
        <v>0</v>
      </c>
      <c r="X1144" s="154" t="s">
        <v>63</v>
      </c>
      <c r="Y1144" s="154" t="s">
        <v>1900</v>
      </c>
      <c r="Z1144" s="154"/>
      <c r="AA1144" s="154" t="s">
        <v>1387</v>
      </c>
      <c r="AB1144" s="154">
        <v>0</v>
      </c>
      <c r="AC1144" s="138">
        <f>IFERROR(IF(DATEDIF(#REF!,U1144,"m")&lt;=1,1,IF(AND(DATEDIF(#REF!,U1144,"m")&gt;1,DATEDIF(#REF!,U1144,"m")&lt;12),2,IF(AND(DATEDIF(#REF!,U1144,"m")&gt;=12,DATEDIF(#REF!,U1144,"m")&lt;24),3,IF(DATEDIF(#REF!,U1144,"m")&gt;=24,4,"")))),IF(E1144="r0320 - Deposits, not covered and not preferential",1,4))</f>
        <v>4</v>
      </c>
    </row>
    <row r="1145" spans="3:29" ht="36.75" thickBot="1" x14ac:dyDescent="0.3">
      <c r="C1145" s="11">
        <v>999</v>
      </c>
      <c r="D1145" s="154">
        <v>1138</v>
      </c>
      <c r="E1145" s="154" t="s">
        <v>1898</v>
      </c>
      <c r="F1145" s="154" t="s">
        <v>87</v>
      </c>
      <c r="G1145" s="154" t="s">
        <v>1402</v>
      </c>
      <c r="H1145" s="154" t="s">
        <v>632</v>
      </c>
      <c r="I1145" s="154" t="s">
        <v>99</v>
      </c>
      <c r="J1145" s="154" t="s">
        <v>90</v>
      </c>
      <c r="K1145" s="154" t="s">
        <v>91</v>
      </c>
      <c r="L1145" s="154" t="s">
        <v>1897</v>
      </c>
      <c r="M1145" s="154" t="s">
        <v>1383</v>
      </c>
      <c r="N1145" s="154" t="s">
        <v>61</v>
      </c>
      <c r="O1145" s="154" t="s">
        <v>62</v>
      </c>
      <c r="P1145" s="146">
        <v>0.02</v>
      </c>
      <c r="Q1145" s="146">
        <v>0</v>
      </c>
      <c r="R1145" s="154" t="s">
        <v>1384</v>
      </c>
      <c r="S1145" s="154" t="s">
        <v>1899</v>
      </c>
      <c r="T1145" s="155" t="s">
        <v>1899</v>
      </c>
      <c r="U1145" s="155" t="s">
        <v>1899</v>
      </c>
      <c r="V1145" s="154" t="s">
        <v>1562</v>
      </c>
      <c r="W1145" s="154">
        <v>0</v>
      </c>
      <c r="X1145" s="154" t="s">
        <v>63</v>
      </c>
      <c r="Y1145" s="154" t="s">
        <v>1900</v>
      </c>
      <c r="Z1145" s="154"/>
      <c r="AA1145" s="154" t="s">
        <v>1387</v>
      </c>
      <c r="AB1145" s="154">
        <v>0</v>
      </c>
      <c r="AC1145" s="138">
        <f>IFERROR(IF(DATEDIF(#REF!,U1145,"m")&lt;=1,1,IF(AND(DATEDIF(#REF!,U1145,"m")&gt;1,DATEDIF(#REF!,U1145,"m")&lt;12),2,IF(AND(DATEDIF(#REF!,U1145,"m")&gt;=12,DATEDIF(#REF!,U1145,"m")&lt;24),3,IF(DATEDIF(#REF!,U1145,"m")&gt;=24,4,"")))),IF(E1145="r0320 - Deposits, not covered and not preferential",1,4))</f>
        <v>4</v>
      </c>
    </row>
    <row r="1146" spans="3:29" ht="48.75" thickBot="1" x14ac:dyDescent="0.3">
      <c r="C1146" s="11">
        <v>999</v>
      </c>
      <c r="D1146" s="154">
        <v>1139</v>
      </c>
      <c r="E1146" s="154" t="s">
        <v>1902</v>
      </c>
      <c r="F1146" s="154" t="s">
        <v>83</v>
      </c>
      <c r="G1146" s="154" t="s">
        <v>1903</v>
      </c>
      <c r="H1146" s="154" t="s">
        <v>380</v>
      </c>
      <c r="I1146" s="154" t="s">
        <v>101</v>
      </c>
      <c r="J1146" s="154" t="s">
        <v>102</v>
      </c>
      <c r="K1146" s="154" t="s">
        <v>60</v>
      </c>
      <c r="L1146" s="154" t="s">
        <v>1897</v>
      </c>
      <c r="M1146" s="154" t="s">
        <v>1388</v>
      </c>
      <c r="N1146" s="154" t="s">
        <v>61</v>
      </c>
      <c r="O1146" s="154" t="s">
        <v>62</v>
      </c>
      <c r="P1146" s="146">
        <v>1023709.63</v>
      </c>
      <c r="Q1146" s="146">
        <v>470.42</v>
      </c>
      <c r="R1146" s="154" t="s">
        <v>1384</v>
      </c>
      <c r="S1146" s="154" t="s">
        <v>1899</v>
      </c>
      <c r="T1146" s="155" t="s">
        <v>768</v>
      </c>
      <c r="U1146" s="155" t="s">
        <v>1899</v>
      </c>
      <c r="V1146" s="154" t="s">
        <v>1904</v>
      </c>
      <c r="W1146" s="154">
        <v>0</v>
      </c>
      <c r="X1146" s="154" t="s">
        <v>63</v>
      </c>
      <c r="Y1146" s="154" t="s">
        <v>1386</v>
      </c>
      <c r="Z1146" s="154"/>
      <c r="AA1146" s="154" t="s">
        <v>1387</v>
      </c>
      <c r="AB1146" s="154">
        <v>0</v>
      </c>
      <c r="AC1146" s="138">
        <f>IFERROR(IF(DATEDIF(#REF!,U1146,"m")&lt;=1,1,IF(AND(DATEDIF(#REF!,U1146,"m")&gt;1,DATEDIF(#REF!,U1146,"m")&lt;12),2,IF(AND(DATEDIF(#REF!,U1146,"m")&gt;=12,DATEDIF(#REF!,U1146,"m")&lt;24),3,IF(DATEDIF(#REF!,U1146,"m")&gt;=24,4,"")))),IF(E1146="r0320 - Deposits, not covered and not preferential",1,4))</f>
        <v>4</v>
      </c>
    </row>
    <row r="1147" spans="3:29" ht="48.75" thickBot="1" x14ac:dyDescent="0.3">
      <c r="C1147" s="11">
        <v>999</v>
      </c>
      <c r="D1147" s="154">
        <v>1140</v>
      </c>
      <c r="E1147" s="154" t="s">
        <v>1902</v>
      </c>
      <c r="F1147" s="154" t="s">
        <v>83</v>
      </c>
      <c r="G1147" s="154" t="s">
        <v>1903</v>
      </c>
      <c r="H1147" s="154" t="s">
        <v>130</v>
      </c>
      <c r="I1147" s="154" t="s">
        <v>93</v>
      </c>
      <c r="J1147" s="154" t="s">
        <v>94</v>
      </c>
      <c r="K1147" s="154" t="s">
        <v>60</v>
      </c>
      <c r="L1147" s="154" t="s">
        <v>1897</v>
      </c>
      <c r="M1147" s="154" t="s">
        <v>1388</v>
      </c>
      <c r="N1147" s="154" t="s">
        <v>61</v>
      </c>
      <c r="O1147" s="154" t="s">
        <v>62</v>
      </c>
      <c r="P1147" s="146">
        <v>12081.21</v>
      </c>
      <c r="Q1147" s="146">
        <v>0.81</v>
      </c>
      <c r="R1147" s="154" t="s">
        <v>1384</v>
      </c>
      <c r="S1147" s="154" t="s">
        <v>1899</v>
      </c>
      <c r="T1147" s="155" t="s">
        <v>768</v>
      </c>
      <c r="U1147" s="155" t="s">
        <v>1899</v>
      </c>
      <c r="V1147" s="154" t="s">
        <v>1904</v>
      </c>
      <c r="W1147" s="154">
        <v>0</v>
      </c>
      <c r="X1147" s="154" t="s">
        <v>63</v>
      </c>
      <c r="Y1147" s="154" t="s">
        <v>1386</v>
      </c>
      <c r="Z1147" s="154"/>
      <c r="AA1147" s="154" t="s">
        <v>1387</v>
      </c>
      <c r="AB1147" s="154">
        <v>0</v>
      </c>
      <c r="AC1147" s="138">
        <f>IFERROR(IF(DATEDIF(#REF!,U1147,"m")&lt;=1,1,IF(AND(DATEDIF(#REF!,U1147,"m")&gt;1,DATEDIF(#REF!,U1147,"m")&lt;12),2,IF(AND(DATEDIF(#REF!,U1147,"m")&gt;=12,DATEDIF(#REF!,U1147,"m")&lt;24),3,IF(DATEDIF(#REF!,U1147,"m")&gt;=24,4,"")))),IF(E1147="r0320 - Deposits, not covered and not preferential",1,4))</f>
        <v>4</v>
      </c>
    </row>
    <row r="1148" spans="3:29" ht="36.75" thickBot="1" x14ac:dyDescent="0.3">
      <c r="C1148" s="11">
        <v>999</v>
      </c>
      <c r="D1148" s="154">
        <v>1141</v>
      </c>
      <c r="E1148" s="154" t="s">
        <v>1898</v>
      </c>
      <c r="F1148" s="154" t="s">
        <v>56</v>
      </c>
      <c r="G1148" s="154" t="s">
        <v>1402</v>
      </c>
      <c r="H1148" s="154" t="s">
        <v>1041</v>
      </c>
      <c r="I1148" s="154" t="s">
        <v>66</v>
      </c>
      <c r="J1148" s="154" t="s">
        <v>67</v>
      </c>
      <c r="K1148" s="154" t="s">
        <v>60</v>
      </c>
      <c r="L1148" s="154" t="s">
        <v>1897</v>
      </c>
      <c r="M1148" s="154" t="s">
        <v>1383</v>
      </c>
      <c r="N1148" s="154" t="s">
        <v>61</v>
      </c>
      <c r="O1148" s="154" t="s">
        <v>62</v>
      </c>
      <c r="P1148" s="146">
        <v>0.11</v>
      </c>
      <c r="Q1148" s="146">
        <v>0</v>
      </c>
      <c r="R1148" s="154" t="s">
        <v>1384</v>
      </c>
      <c r="S1148" s="154" t="s">
        <v>1899</v>
      </c>
      <c r="T1148" s="155" t="s">
        <v>1899</v>
      </c>
      <c r="U1148" s="155" t="s">
        <v>1899</v>
      </c>
      <c r="V1148" s="154" t="s">
        <v>1562</v>
      </c>
      <c r="W1148" s="154">
        <v>0</v>
      </c>
      <c r="X1148" s="154" t="s">
        <v>63</v>
      </c>
      <c r="Y1148" s="154" t="s">
        <v>1900</v>
      </c>
      <c r="Z1148" s="154"/>
      <c r="AA1148" s="154" t="s">
        <v>1387</v>
      </c>
      <c r="AB1148" s="154">
        <v>0</v>
      </c>
      <c r="AC1148" s="138">
        <f>IFERROR(IF(DATEDIF(#REF!,U1148,"m")&lt;=1,1,IF(AND(DATEDIF(#REF!,U1148,"m")&gt;1,DATEDIF(#REF!,U1148,"m")&lt;12),2,IF(AND(DATEDIF(#REF!,U1148,"m")&gt;=12,DATEDIF(#REF!,U1148,"m")&lt;24),3,IF(DATEDIF(#REF!,U1148,"m")&gt;=24,4,"")))),IF(E1148="r0320 - Deposits, not covered and not preferential",1,4))</f>
        <v>4</v>
      </c>
    </row>
    <row r="1149" spans="3:29" ht="36.75" thickBot="1" x14ac:dyDescent="0.3">
      <c r="C1149" s="11">
        <v>999</v>
      </c>
      <c r="D1149" s="154">
        <v>1142</v>
      </c>
      <c r="E1149" s="154" t="s">
        <v>1898</v>
      </c>
      <c r="F1149" s="154" t="s">
        <v>87</v>
      </c>
      <c r="G1149" s="154" t="s">
        <v>1402</v>
      </c>
      <c r="H1149" s="154" t="s">
        <v>1029</v>
      </c>
      <c r="I1149" s="154" t="s">
        <v>99</v>
      </c>
      <c r="J1149" s="154" t="s">
        <v>90</v>
      </c>
      <c r="K1149" s="154" t="s">
        <v>91</v>
      </c>
      <c r="L1149" s="154" t="s">
        <v>1897</v>
      </c>
      <c r="M1149" s="154" t="s">
        <v>1383</v>
      </c>
      <c r="N1149" s="154" t="s">
        <v>61</v>
      </c>
      <c r="O1149" s="154" t="s">
        <v>62</v>
      </c>
      <c r="P1149" s="146">
        <v>0.01</v>
      </c>
      <c r="Q1149" s="146">
        <v>0</v>
      </c>
      <c r="R1149" s="154" t="s">
        <v>1384</v>
      </c>
      <c r="S1149" s="154" t="s">
        <v>1899</v>
      </c>
      <c r="T1149" s="155" t="s">
        <v>1899</v>
      </c>
      <c r="U1149" s="155" t="s">
        <v>1899</v>
      </c>
      <c r="V1149" s="154" t="s">
        <v>1562</v>
      </c>
      <c r="W1149" s="154">
        <v>0</v>
      </c>
      <c r="X1149" s="154" t="s">
        <v>63</v>
      </c>
      <c r="Y1149" s="154" t="s">
        <v>1900</v>
      </c>
      <c r="Z1149" s="154"/>
      <c r="AA1149" s="154" t="s">
        <v>1387</v>
      </c>
      <c r="AB1149" s="154">
        <v>0</v>
      </c>
      <c r="AC1149" s="138">
        <f>IFERROR(IF(DATEDIF(#REF!,U1149,"m")&lt;=1,1,IF(AND(DATEDIF(#REF!,U1149,"m")&gt;1,DATEDIF(#REF!,U1149,"m")&lt;12),2,IF(AND(DATEDIF(#REF!,U1149,"m")&gt;=12,DATEDIF(#REF!,U1149,"m")&lt;24),3,IF(DATEDIF(#REF!,U1149,"m")&gt;=24,4,"")))),IF(E1149="r0320 - Deposits, not covered and not preferential",1,4))</f>
        <v>4</v>
      </c>
    </row>
    <row r="1150" spans="3:29" ht="48.75" thickBot="1" x14ac:dyDescent="0.3">
      <c r="C1150" s="11">
        <v>999</v>
      </c>
      <c r="D1150" s="154">
        <v>1143</v>
      </c>
      <c r="E1150" s="154" t="s">
        <v>1902</v>
      </c>
      <c r="F1150" s="154" t="s">
        <v>83</v>
      </c>
      <c r="G1150" s="154" t="s">
        <v>1903</v>
      </c>
      <c r="H1150" s="154" t="s">
        <v>592</v>
      </c>
      <c r="I1150" s="154" t="s">
        <v>93</v>
      </c>
      <c r="J1150" s="154" t="s">
        <v>94</v>
      </c>
      <c r="K1150" s="154" t="s">
        <v>60</v>
      </c>
      <c r="L1150" s="154" t="s">
        <v>1897</v>
      </c>
      <c r="M1150" s="154" t="s">
        <v>1388</v>
      </c>
      <c r="N1150" s="154" t="s">
        <v>61</v>
      </c>
      <c r="O1150" s="154" t="s">
        <v>62</v>
      </c>
      <c r="P1150" s="146">
        <v>194021.11</v>
      </c>
      <c r="Q1150" s="146">
        <v>22</v>
      </c>
      <c r="R1150" s="154" t="s">
        <v>1384</v>
      </c>
      <c r="S1150" s="154" t="s">
        <v>1899</v>
      </c>
      <c r="T1150" s="155" t="s">
        <v>768</v>
      </c>
      <c r="U1150" s="155" t="s">
        <v>1899</v>
      </c>
      <c r="V1150" s="154" t="s">
        <v>1904</v>
      </c>
      <c r="W1150" s="154">
        <v>0</v>
      </c>
      <c r="X1150" s="154" t="s">
        <v>63</v>
      </c>
      <c r="Y1150" s="154" t="s">
        <v>1386</v>
      </c>
      <c r="Z1150" s="154"/>
      <c r="AA1150" s="154" t="s">
        <v>1387</v>
      </c>
      <c r="AB1150" s="154">
        <v>0</v>
      </c>
      <c r="AC1150" s="138">
        <f>IFERROR(IF(DATEDIF(#REF!,U1150,"m")&lt;=1,1,IF(AND(DATEDIF(#REF!,U1150,"m")&gt;1,DATEDIF(#REF!,U1150,"m")&lt;12),2,IF(AND(DATEDIF(#REF!,U1150,"m")&gt;=12,DATEDIF(#REF!,U1150,"m")&lt;24),3,IF(DATEDIF(#REF!,U1150,"m")&gt;=24,4,"")))),IF(E1150="r0320 - Deposits, not covered and not preferential",1,4))</f>
        <v>4</v>
      </c>
    </row>
    <row r="1151" spans="3:29" ht="36.75" thickBot="1" x14ac:dyDescent="0.3">
      <c r="C1151" s="11">
        <v>999</v>
      </c>
      <c r="D1151" s="154">
        <v>1144</v>
      </c>
      <c r="E1151" s="154" t="s">
        <v>1895</v>
      </c>
      <c r="F1151" s="154" t="s">
        <v>87</v>
      </c>
      <c r="G1151" s="154" t="s">
        <v>1896</v>
      </c>
      <c r="H1151" s="154" t="s">
        <v>57</v>
      </c>
      <c r="I1151" s="154" t="s">
        <v>1177</v>
      </c>
      <c r="J1151" s="154" t="s">
        <v>1178</v>
      </c>
      <c r="K1151" s="154" t="s">
        <v>91</v>
      </c>
      <c r="L1151" s="154" t="s">
        <v>1897</v>
      </c>
      <c r="M1151" s="154" t="s">
        <v>1383</v>
      </c>
      <c r="N1151" s="154" t="s">
        <v>61</v>
      </c>
      <c r="O1151" s="154" t="s">
        <v>62</v>
      </c>
      <c r="P1151" s="146">
        <v>482676.81</v>
      </c>
      <c r="Q1151" s="146">
        <v>0</v>
      </c>
      <c r="R1151" s="154" t="s">
        <v>1384</v>
      </c>
      <c r="S1151" s="154" t="s">
        <v>1385</v>
      </c>
      <c r="T1151" s="155">
        <v>44564</v>
      </c>
      <c r="U1151" s="155">
        <v>44564</v>
      </c>
      <c r="V1151" s="154" t="s">
        <v>1562</v>
      </c>
      <c r="W1151" s="154">
        <v>0</v>
      </c>
      <c r="X1151" s="154" t="s">
        <v>63</v>
      </c>
      <c r="Y1151" s="154" t="s">
        <v>1386</v>
      </c>
      <c r="Z1151" s="154"/>
      <c r="AA1151" s="154" t="s">
        <v>1387</v>
      </c>
      <c r="AB1151" s="154">
        <v>0</v>
      </c>
      <c r="AC1151" s="138">
        <f>IFERROR(IF(DATEDIF(#REF!,U1151,"m")&lt;=1,1,IF(AND(DATEDIF(#REF!,U1151,"m")&gt;1,DATEDIF(#REF!,U1151,"m")&lt;12),2,IF(AND(DATEDIF(#REF!,U1151,"m")&gt;=12,DATEDIF(#REF!,U1151,"m")&lt;24),3,IF(DATEDIF(#REF!,U1151,"m")&gt;=24,4,"")))),IF(E1151="r0320 - Deposits, not covered and not preferential",1,4))</f>
        <v>1</v>
      </c>
    </row>
    <row r="1152" spans="3:29" ht="36.75" thickBot="1" x14ac:dyDescent="0.3">
      <c r="C1152" s="11">
        <v>999</v>
      </c>
      <c r="D1152" s="154">
        <v>1145</v>
      </c>
      <c r="E1152" s="154" t="s">
        <v>1898</v>
      </c>
      <c r="F1152" s="154" t="s">
        <v>87</v>
      </c>
      <c r="G1152" s="154" t="s">
        <v>1402</v>
      </c>
      <c r="H1152" s="154" t="s">
        <v>1044</v>
      </c>
      <c r="I1152" s="154" t="s">
        <v>108</v>
      </c>
      <c r="J1152" s="154" t="s">
        <v>90</v>
      </c>
      <c r="K1152" s="154" t="s">
        <v>91</v>
      </c>
      <c r="L1152" s="154" t="s">
        <v>1897</v>
      </c>
      <c r="M1152" s="154" t="s">
        <v>1383</v>
      </c>
      <c r="N1152" s="154" t="s">
        <v>61</v>
      </c>
      <c r="O1152" s="154" t="s">
        <v>62</v>
      </c>
      <c r="P1152" s="146">
        <v>1.5</v>
      </c>
      <c r="Q1152" s="146">
        <v>0</v>
      </c>
      <c r="R1152" s="154" t="s">
        <v>1384</v>
      </c>
      <c r="S1152" s="154" t="s">
        <v>1899</v>
      </c>
      <c r="T1152" s="155" t="s">
        <v>1899</v>
      </c>
      <c r="U1152" s="155" t="s">
        <v>1899</v>
      </c>
      <c r="V1152" s="154" t="s">
        <v>1562</v>
      </c>
      <c r="W1152" s="154">
        <v>0</v>
      </c>
      <c r="X1152" s="154" t="s">
        <v>63</v>
      </c>
      <c r="Y1152" s="154" t="s">
        <v>1900</v>
      </c>
      <c r="Z1152" s="154"/>
      <c r="AA1152" s="154" t="s">
        <v>1387</v>
      </c>
      <c r="AB1152" s="154">
        <v>0</v>
      </c>
      <c r="AC1152" s="138">
        <f>IFERROR(IF(DATEDIF(#REF!,U1152,"m")&lt;=1,1,IF(AND(DATEDIF(#REF!,U1152,"m")&gt;1,DATEDIF(#REF!,U1152,"m")&lt;12),2,IF(AND(DATEDIF(#REF!,U1152,"m")&gt;=12,DATEDIF(#REF!,U1152,"m")&lt;24),3,IF(DATEDIF(#REF!,U1152,"m")&gt;=24,4,"")))),IF(E1152="r0320 - Deposits, not covered and not preferential",1,4))</f>
        <v>4</v>
      </c>
    </row>
    <row r="1153" spans="3:29" ht="36.75" thickBot="1" x14ac:dyDescent="0.3">
      <c r="C1153" s="11">
        <v>999</v>
      </c>
      <c r="D1153" s="154">
        <v>1146</v>
      </c>
      <c r="E1153" s="154" t="s">
        <v>1898</v>
      </c>
      <c r="F1153" s="154" t="s">
        <v>87</v>
      </c>
      <c r="G1153" s="154" t="s">
        <v>1402</v>
      </c>
      <c r="H1153" s="154" t="s">
        <v>390</v>
      </c>
      <c r="I1153" s="154" t="s">
        <v>99</v>
      </c>
      <c r="J1153" s="154" t="s">
        <v>90</v>
      </c>
      <c r="K1153" s="154" t="s">
        <v>91</v>
      </c>
      <c r="L1153" s="154" t="s">
        <v>1897</v>
      </c>
      <c r="M1153" s="154" t="s">
        <v>1383</v>
      </c>
      <c r="N1153" s="154" t="s">
        <v>61</v>
      </c>
      <c r="O1153" s="154" t="s">
        <v>62</v>
      </c>
      <c r="P1153" s="146">
        <v>0.02</v>
      </c>
      <c r="Q1153" s="146">
        <v>0</v>
      </c>
      <c r="R1153" s="154" t="s">
        <v>1384</v>
      </c>
      <c r="S1153" s="154" t="s">
        <v>1899</v>
      </c>
      <c r="T1153" s="155" t="s">
        <v>1899</v>
      </c>
      <c r="U1153" s="155" t="s">
        <v>1899</v>
      </c>
      <c r="V1153" s="154" t="s">
        <v>1562</v>
      </c>
      <c r="W1153" s="154">
        <v>0</v>
      </c>
      <c r="X1153" s="154" t="s">
        <v>63</v>
      </c>
      <c r="Y1153" s="154" t="s">
        <v>1900</v>
      </c>
      <c r="Z1153" s="154"/>
      <c r="AA1153" s="154" t="s">
        <v>1387</v>
      </c>
      <c r="AB1153" s="154">
        <v>0</v>
      </c>
      <c r="AC1153" s="138">
        <f>IFERROR(IF(DATEDIF(#REF!,U1153,"m")&lt;=1,1,IF(AND(DATEDIF(#REF!,U1153,"m")&gt;1,DATEDIF(#REF!,U1153,"m")&lt;12),2,IF(AND(DATEDIF(#REF!,U1153,"m")&gt;=12,DATEDIF(#REF!,U1153,"m")&lt;24),3,IF(DATEDIF(#REF!,U1153,"m")&gt;=24,4,"")))),IF(E1153="r0320 - Deposits, not covered and not preferential",1,4))</f>
        <v>4</v>
      </c>
    </row>
    <row r="1154" spans="3:29" ht="48.75" thickBot="1" x14ac:dyDescent="0.3">
      <c r="C1154" s="11">
        <v>999</v>
      </c>
      <c r="D1154" s="154">
        <v>1147</v>
      </c>
      <c r="E1154" s="154" t="s">
        <v>1902</v>
      </c>
      <c r="F1154" s="154" t="s">
        <v>83</v>
      </c>
      <c r="G1154" s="154" t="s">
        <v>1903</v>
      </c>
      <c r="H1154" s="154" t="s">
        <v>384</v>
      </c>
      <c r="I1154" s="154" t="s">
        <v>93</v>
      </c>
      <c r="J1154" s="154" t="s">
        <v>94</v>
      </c>
      <c r="K1154" s="154" t="s">
        <v>60</v>
      </c>
      <c r="L1154" s="154" t="s">
        <v>1897</v>
      </c>
      <c r="M1154" s="154" t="s">
        <v>1388</v>
      </c>
      <c r="N1154" s="154" t="s">
        <v>61</v>
      </c>
      <c r="O1154" s="154" t="s">
        <v>62</v>
      </c>
      <c r="P1154" s="146">
        <v>174238.31</v>
      </c>
      <c r="Q1154" s="146">
        <v>39.71</v>
      </c>
      <c r="R1154" s="154" t="s">
        <v>1384</v>
      </c>
      <c r="S1154" s="154" t="s">
        <v>1899</v>
      </c>
      <c r="T1154" s="155" t="s">
        <v>768</v>
      </c>
      <c r="U1154" s="155" t="s">
        <v>1899</v>
      </c>
      <c r="V1154" s="154" t="s">
        <v>1904</v>
      </c>
      <c r="W1154" s="154">
        <v>0</v>
      </c>
      <c r="X1154" s="154" t="s">
        <v>63</v>
      </c>
      <c r="Y1154" s="154" t="s">
        <v>1386</v>
      </c>
      <c r="Z1154" s="154"/>
      <c r="AA1154" s="154" t="s">
        <v>1387</v>
      </c>
      <c r="AB1154" s="154">
        <v>0</v>
      </c>
      <c r="AC1154" s="138">
        <f>IFERROR(IF(DATEDIF(#REF!,U1154,"m")&lt;=1,1,IF(AND(DATEDIF(#REF!,U1154,"m")&gt;1,DATEDIF(#REF!,U1154,"m")&lt;12),2,IF(AND(DATEDIF(#REF!,U1154,"m")&gt;=12,DATEDIF(#REF!,U1154,"m")&lt;24),3,IF(DATEDIF(#REF!,U1154,"m")&gt;=24,4,"")))),IF(E1154="r0320 - Deposits, not covered and not preferential",1,4))</f>
        <v>4</v>
      </c>
    </row>
    <row r="1155" spans="3:29" ht="36.75" thickBot="1" x14ac:dyDescent="0.3">
      <c r="C1155" s="11">
        <v>999</v>
      </c>
      <c r="D1155" s="154">
        <v>1148</v>
      </c>
      <c r="E1155" s="154" t="s">
        <v>1898</v>
      </c>
      <c r="F1155" s="154" t="s">
        <v>87</v>
      </c>
      <c r="G1155" s="154" t="s">
        <v>1402</v>
      </c>
      <c r="H1155" s="154" t="s">
        <v>645</v>
      </c>
      <c r="I1155" s="154" t="s">
        <v>108</v>
      </c>
      <c r="J1155" s="154" t="s">
        <v>90</v>
      </c>
      <c r="K1155" s="154" t="s">
        <v>91</v>
      </c>
      <c r="L1155" s="154" t="s">
        <v>1897</v>
      </c>
      <c r="M1155" s="154" t="s">
        <v>1383</v>
      </c>
      <c r="N1155" s="154" t="s">
        <v>61</v>
      </c>
      <c r="O1155" s="154" t="s">
        <v>62</v>
      </c>
      <c r="P1155" s="146">
        <v>0.95</v>
      </c>
      <c r="Q1155" s="146">
        <v>0</v>
      </c>
      <c r="R1155" s="154" t="s">
        <v>1384</v>
      </c>
      <c r="S1155" s="154" t="s">
        <v>1899</v>
      </c>
      <c r="T1155" s="155" t="s">
        <v>1899</v>
      </c>
      <c r="U1155" s="155" t="s">
        <v>1899</v>
      </c>
      <c r="V1155" s="154" t="s">
        <v>1562</v>
      </c>
      <c r="W1155" s="154">
        <v>0</v>
      </c>
      <c r="X1155" s="154" t="s">
        <v>63</v>
      </c>
      <c r="Y1155" s="154" t="s">
        <v>1900</v>
      </c>
      <c r="Z1155" s="154"/>
      <c r="AA1155" s="154" t="s">
        <v>1387</v>
      </c>
      <c r="AB1155" s="154">
        <v>0</v>
      </c>
      <c r="AC1155" s="138">
        <f>IFERROR(IF(DATEDIF(#REF!,U1155,"m")&lt;=1,1,IF(AND(DATEDIF(#REF!,U1155,"m")&gt;1,DATEDIF(#REF!,U1155,"m")&lt;12),2,IF(AND(DATEDIF(#REF!,U1155,"m")&gt;=12,DATEDIF(#REF!,U1155,"m")&lt;24),3,IF(DATEDIF(#REF!,U1155,"m")&gt;=24,4,"")))),IF(E1155="r0320 - Deposits, not covered and not preferential",1,4))</f>
        <v>4</v>
      </c>
    </row>
    <row r="1156" spans="3:29" ht="36.75" thickBot="1" x14ac:dyDescent="0.3">
      <c r="C1156" s="11">
        <v>999</v>
      </c>
      <c r="D1156" s="154">
        <v>1149</v>
      </c>
      <c r="E1156" s="154" t="s">
        <v>1898</v>
      </c>
      <c r="F1156" s="154" t="s">
        <v>56</v>
      </c>
      <c r="G1156" s="154" t="s">
        <v>1402</v>
      </c>
      <c r="H1156" s="154" t="s">
        <v>1047</v>
      </c>
      <c r="I1156" s="154" t="s">
        <v>66</v>
      </c>
      <c r="J1156" s="154" t="s">
        <v>67</v>
      </c>
      <c r="K1156" s="154" t="s">
        <v>60</v>
      </c>
      <c r="L1156" s="154" t="s">
        <v>1897</v>
      </c>
      <c r="M1156" s="154" t="s">
        <v>1383</v>
      </c>
      <c r="N1156" s="154" t="s">
        <v>61</v>
      </c>
      <c r="O1156" s="154" t="s">
        <v>62</v>
      </c>
      <c r="P1156" s="146">
        <v>0.93</v>
      </c>
      <c r="Q1156" s="146">
        <v>0</v>
      </c>
      <c r="R1156" s="154" t="s">
        <v>1384</v>
      </c>
      <c r="S1156" s="154" t="s">
        <v>1899</v>
      </c>
      <c r="T1156" s="155" t="s">
        <v>1899</v>
      </c>
      <c r="U1156" s="155" t="s">
        <v>1899</v>
      </c>
      <c r="V1156" s="154" t="s">
        <v>1562</v>
      </c>
      <c r="W1156" s="154">
        <v>0</v>
      </c>
      <c r="X1156" s="154" t="s">
        <v>63</v>
      </c>
      <c r="Y1156" s="154" t="s">
        <v>1900</v>
      </c>
      <c r="Z1156" s="154"/>
      <c r="AA1156" s="154" t="s">
        <v>1387</v>
      </c>
      <c r="AB1156" s="154">
        <v>0</v>
      </c>
      <c r="AC1156" s="138">
        <f>IFERROR(IF(DATEDIF(#REF!,U1156,"m")&lt;=1,1,IF(AND(DATEDIF(#REF!,U1156,"m")&gt;1,DATEDIF(#REF!,U1156,"m")&lt;12),2,IF(AND(DATEDIF(#REF!,U1156,"m")&gt;=12,DATEDIF(#REF!,U1156,"m")&lt;24),3,IF(DATEDIF(#REF!,U1156,"m")&gt;=24,4,"")))),IF(E1156="r0320 - Deposits, not covered and not preferential",1,4))</f>
        <v>4</v>
      </c>
    </row>
    <row r="1157" spans="3:29" ht="36.75" thickBot="1" x14ac:dyDescent="0.3">
      <c r="C1157" s="11">
        <v>999</v>
      </c>
      <c r="D1157" s="154">
        <v>1150</v>
      </c>
      <c r="E1157" s="154" t="s">
        <v>1898</v>
      </c>
      <c r="F1157" s="154" t="s">
        <v>87</v>
      </c>
      <c r="G1157" s="154" t="s">
        <v>1402</v>
      </c>
      <c r="H1157" s="154" t="s">
        <v>378</v>
      </c>
      <c r="I1157" s="154" t="s">
        <v>99</v>
      </c>
      <c r="J1157" s="154" t="s">
        <v>90</v>
      </c>
      <c r="K1157" s="154" t="s">
        <v>91</v>
      </c>
      <c r="L1157" s="154" t="s">
        <v>1897</v>
      </c>
      <c r="M1157" s="154" t="s">
        <v>1383</v>
      </c>
      <c r="N1157" s="154" t="s">
        <v>61</v>
      </c>
      <c r="O1157" s="154" t="s">
        <v>62</v>
      </c>
      <c r="P1157" s="146">
        <v>0.01</v>
      </c>
      <c r="Q1157" s="146">
        <v>0</v>
      </c>
      <c r="R1157" s="154" t="s">
        <v>1384</v>
      </c>
      <c r="S1157" s="154" t="s">
        <v>1899</v>
      </c>
      <c r="T1157" s="155" t="s">
        <v>1899</v>
      </c>
      <c r="U1157" s="155" t="s">
        <v>1899</v>
      </c>
      <c r="V1157" s="154" t="s">
        <v>1562</v>
      </c>
      <c r="W1157" s="154">
        <v>0</v>
      </c>
      <c r="X1157" s="154" t="s">
        <v>63</v>
      </c>
      <c r="Y1157" s="154" t="s">
        <v>1900</v>
      </c>
      <c r="Z1157" s="154"/>
      <c r="AA1157" s="154" t="s">
        <v>1387</v>
      </c>
      <c r="AB1157" s="154">
        <v>0</v>
      </c>
      <c r="AC1157" s="138">
        <f>IFERROR(IF(DATEDIF(#REF!,U1157,"m")&lt;=1,1,IF(AND(DATEDIF(#REF!,U1157,"m")&gt;1,DATEDIF(#REF!,U1157,"m")&lt;12),2,IF(AND(DATEDIF(#REF!,U1157,"m")&gt;=12,DATEDIF(#REF!,U1157,"m")&lt;24),3,IF(DATEDIF(#REF!,U1157,"m")&gt;=24,4,"")))),IF(E1157="r0320 - Deposits, not covered and not preferential",1,4))</f>
        <v>4</v>
      </c>
    </row>
    <row r="1158" spans="3:29" ht="36.75" thickBot="1" x14ac:dyDescent="0.3">
      <c r="C1158" s="11">
        <v>999</v>
      </c>
      <c r="D1158" s="154">
        <v>1151</v>
      </c>
      <c r="E1158" s="154" t="s">
        <v>1895</v>
      </c>
      <c r="F1158" s="154" t="s">
        <v>83</v>
      </c>
      <c r="G1158" s="154" t="s">
        <v>1896</v>
      </c>
      <c r="H1158" s="154" t="s">
        <v>57</v>
      </c>
      <c r="I1158" s="154" t="s">
        <v>674</v>
      </c>
      <c r="J1158" s="154" t="s">
        <v>675</v>
      </c>
      <c r="K1158" s="154" t="s">
        <v>91</v>
      </c>
      <c r="L1158" s="154" t="s">
        <v>1897</v>
      </c>
      <c r="M1158" s="154" t="s">
        <v>1383</v>
      </c>
      <c r="N1158" s="154" t="s">
        <v>61</v>
      </c>
      <c r="O1158" s="154" t="s">
        <v>62</v>
      </c>
      <c r="P1158" s="146">
        <v>61918.514921000002</v>
      </c>
      <c r="Q1158" s="146">
        <v>0</v>
      </c>
      <c r="R1158" s="154" t="s">
        <v>768</v>
      </c>
      <c r="S1158" s="154" t="s">
        <v>1385</v>
      </c>
      <c r="T1158" s="155">
        <v>44564</v>
      </c>
      <c r="U1158" s="155">
        <v>44564</v>
      </c>
      <c r="V1158" s="154" t="s">
        <v>1562</v>
      </c>
      <c r="W1158" s="154">
        <v>0</v>
      </c>
      <c r="X1158" s="154" t="s">
        <v>63</v>
      </c>
      <c r="Y1158" s="154" t="s">
        <v>1386</v>
      </c>
      <c r="Z1158" s="154"/>
      <c r="AA1158" s="154" t="s">
        <v>1387</v>
      </c>
      <c r="AB1158" s="154">
        <v>0</v>
      </c>
      <c r="AC1158" s="138">
        <f>IFERROR(IF(DATEDIF(#REF!,U1158,"m")&lt;=1,1,IF(AND(DATEDIF(#REF!,U1158,"m")&gt;1,DATEDIF(#REF!,U1158,"m")&lt;12),2,IF(AND(DATEDIF(#REF!,U1158,"m")&gt;=12,DATEDIF(#REF!,U1158,"m")&lt;24),3,IF(DATEDIF(#REF!,U1158,"m")&gt;=24,4,"")))),IF(E1158="r0320 - Deposits, not covered and not preferential",1,4))</f>
        <v>1</v>
      </c>
    </row>
    <row r="1159" spans="3:29" ht="36.75" thickBot="1" x14ac:dyDescent="0.3">
      <c r="C1159" s="11">
        <v>999</v>
      </c>
      <c r="D1159" s="154">
        <v>1152</v>
      </c>
      <c r="E1159" s="154" t="s">
        <v>1898</v>
      </c>
      <c r="F1159" s="154" t="s">
        <v>87</v>
      </c>
      <c r="G1159" s="154" t="s">
        <v>1402</v>
      </c>
      <c r="H1159" s="154" t="s">
        <v>1092</v>
      </c>
      <c r="I1159" s="154" t="s">
        <v>89</v>
      </c>
      <c r="J1159" s="154" t="s">
        <v>90</v>
      </c>
      <c r="K1159" s="154" t="s">
        <v>91</v>
      </c>
      <c r="L1159" s="154" t="s">
        <v>1901</v>
      </c>
      <c r="M1159" s="154" t="s">
        <v>1383</v>
      </c>
      <c r="N1159" s="154" t="s">
        <v>61</v>
      </c>
      <c r="O1159" s="154" t="s">
        <v>62</v>
      </c>
      <c r="P1159" s="146">
        <v>0.09</v>
      </c>
      <c r="Q1159" s="146">
        <v>0</v>
      </c>
      <c r="R1159" s="154" t="s">
        <v>1384</v>
      </c>
      <c r="S1159" s="154" t="s">
        <v>1899</v>
      </c>
      <c r="T1159" s="155" t="s">
        <v>1899</v>
      </c>
      <c r="U1159" s="155" t="s">
        <v>1899</v>
      </c>
      <c r="V1159" s="154" t="s">
        <v>1562</v>
      </c>
      <c r="W1159" s="154">
        <v>0</v>
      </c>
      <c r="X1159" s="154" t="s">
        <v>63</v>
      </c>
      <c r="Y1159" s="154" t="s">
        <v>1900</v>
      </c>
      <c r="Z1159" s="154"/>
      <c r="AA1159" s="154" t="s">
        <v>1387</v>
      </c>
      <c r="AB1159" s="154">
        <v>0</v>
      </c>
      <c r="AC1159" s="138">
        <f>IFERROR(IF(DATEDIF(#REF!,U1159,"m")&lt;=1,1,IF(AND(DATEDIF(#REF!,U1159,"m")&gt;1,DATEDIF(#REF!,U1159,"m")&lt;12),2,IF(AND(DATEDIF(#REF!,U1159,"m")&gt;=12,DATEDIF(#REF!,U1159,"m")&lt;24),3,IF(DATEDIF(#REF!,U1159,"m")&gt;=24,4,"")))),IF(E1159="r0320 - Deposits, not covered and not preferential",1,4))</f>
        <v>4</v>
      </c>
    </row>
    <row r="1160" spans="3:29" ht="36.75" thickBot="1" x14ac:dyDescent="0.3">
      <c r="C1160" s="11">
        <v>999</v>
      </c>
      <c r="D1160" s="154">
        <v>1153</v>
      </c>
      <c r="E1160" s="154" t="s">
        <v>1898</v>
      </c>
      <c r="F1160" s="154" t="s">
        <v>56</v>
      </c>
      <c r="G1160" s="154" t="s">
        <v>1402</v>
      </c>
      <c r="H1160" s="154" t="s">
        <v>1050</v>
      </c>
      <c r="I1160" s="154" t="s">
        <v>66</v>
      </c>
      <c r="J1160" s="154" t="s">
        <v>67</v>
      </c>
      <c r="K1160" s="154" t="s">
        <v>60</v>
      </c>
      <c r="L1160" s="154" t="s">
        <v>1897</v>
      </c>
      <c r="M1160" s="154" t="s">
        <v>1383</v>
      </c>
      <c r="N1160" s="154" t="s">
        <v>61</v>
      </c>
      <c r="O1160" s="154" t="s">
        <v>62</v>
      </c>
      <c r="P1160" s="146">
        <v>0.1</v>
      </c>
      <c r="Q1160" s="146">
        <v>0</v>
      </c>
      <c r="R1160" s="154" t="s">
        <v>1384</v>
      </c>
      <c r="S1160" s="154" t="s">
        <v>1899</v>
      </c>
      <c r="T1160" s="155" t="s">
        <v>1899</v>
      </c>
      <c r="U1160" s="155" t="s">
        <v>1899</v>
      </c>
      <c r="V1160" s="154" t="s">
        <v>1562</v>
      </c>
      <c r="W1160" s="154">
        <v>0</v>
      </c>
      <c r="X1160" s="154" t="s">
        <v>63</v>
      </c>
      <c r="Y1160" s="154" t="s">
        <v>1900</v>
      </c>
      <c r="Z1160" s="154"/>
      <c r="AA1160" s="154" t="s">
        <v>1387</v>
      </c>
      <c r="AB1160" s="154">
        <v>0</v>
      </c>
      <c r="AC1160" s="138">
        <f>IFERROR(IF(DATEDIF(#REF!,U1160,"m")&lt;=1,1,IF(AND(DATEDIF(#REF!,U1160,"m")&gt;1,DATEDIF(#REF!,U1160,"m")&lt;12),2,IF(AND(DATEDIF(#REF!,U1160,"m")&gt;=12,DATEDIF(#REF!,U1160,"m")&lt;24),3,IF(DATEDIF(#REF!,U1160,"m")&gt;=24,4,"")))),IF(E1160="r0320 - Deposits, not covered and not preferential",1,4))</f>
        <v>4</v>
      </c>
    </row>
    <row r="1161" spans="3:29" ht="36.75" thickBot="1" x14ac:dyDescent="0.3">
      <c r="C1161" s="11">
        <v>999</v>
      </c>
      <c r="D1161" s="154">
        <v>1154</v>
      </c>
      <c r="E1161" s="154" t="s">
        <v>1898</v>
      </c>
      <c r="F1161" s="154" t="s">
        <v>87</v>
      </c>
      <c r="G1161" s="154" t="s">
        <v>1402</v>
      </c>
      <c r="H1161" s="154" t="s">
        <v>640</v>
      </c>
      <c r="I1161" s="154" t="s">
        <v>89</v>
      </c>
      <c r="J1161" s="154" t="s">
        <v>90</v>
      </c>
      <c r="K1161" s="154" t="s">
        <v>91</v>
      </c>
      <c r="L1161" s="154" t="s">
        <v>1901</v>
      </c>
      <c r="M1161" s="154" t="s">
        <v>1383</v>
      </c>
      <c r="N1161" s="154" t="s">
        <v>61</v>
      </c>
      <c r="O1161" s="154" t="s">
        <v>62</v>
      </c>
      <c r="P1161" s="146">
        <v>0.25</v>
      </c>
      <c r="Q1161" s="146">
        <v>0</v>
      </c>
      <c r="R1161" s="154" t="s">
        <v>1384</v>
      </c>
      <c r="S1161" s="154" t="s">
        <v>1899</v>
      </c>
      <c r="T1161" s="155" t="s">
        <v>1899</v>
      </c>
      <c r="U1161" s="155" t="s">
        <v>1899</v>
      </c>
      <c r="V1161" s="154" t="s">
        <v>1562</v>
      </c>
      <c r="W1161" s="154">
        <v>0</v>
      </c>
      <c r="X1161" s="154" t="s">
        <v>63</v>
      </c>
      <c r="Y1161" s="154" t="s">
        <v>1900</v>
      </c>
      <c r="Z1161" s="154"/>
      <c r="AA1161" s="154" t="s">
        <v>1387</v>
      </c>
      <c r="AB1161" s="154">
        <v>0</v>
      </c>
      <c r="AC1161" s="138">
        <f>IFERROR(IF(DATEDIF(#REF!,U1161,"m")&lt;=1,1,IF(AND(DATEDIF(#REF!,U1161,"m")&gt;1,DATEDIF(#REF!,U1161,"m")&lt;12),2,IF(AND(DATEDIF(#REF!,U1161,"m")&gt;=12,DATEDIF(#REF!,U1161,"m")&lt;24),3,IF(DATEDIF(#REF!,U1161,"m")&gt;=24,4,"")))),IF(E1161="r0320 - Deposits, not covered and not preferential",1,4))</f>
        <v>4</v>
      </c>
    </row>
    <row r="1162" spans="3:29" ht="48.75" thickBot="1" x14ac:dyDescent="0.3">
      <c r="C1162" s="11">
        <v>999</v>
      </c>
      <c r="D1162" s="154">
        <v>1155</v>
      </c>
      <c r="E1162" s="154" t="s">
        <v>1902</v>
      </c>
      <c r="F1162" s="154" t="s">
        <v>83</v>
      </c>
      <c r="G1162" s="154" t="s">
        <v>1903</v>
      </c>
      <c r="H1162" s="154" t="s">
        <v>384</v>
      </c>
      <c r="I1162" s="154" t="s">
        <v>114</v>
      </c>
      <c r="J1162" s="154" t="s">
        <v>115</v>
      </c>
      <c r="K1162" s="154" t="s">
        <v>60</v>
      </c>
      <c r="L1162" s="154" t="s">
        <v>1897</v>
      </c>
      <c r="M1162" s="154" t="s">
        <v>1388</v>
      </c>
      <c r="N1162" s="154" t="s">
        <v>61</v>
      </c>
      <c r="O1162" s="154" t="s">
        <v>62</v>
      </c>
      <c r="P1162" s="146">
        <v>98866.46</v>
      </c>
      <c r="Q1162" s="146">
        <v>1.38</v>
      </c>
      <c r="R1162" s="154" t="s">
        <v>1384</v>
      </c>
      <c r="S1162" s="154" t="s">
        <v>1899</v>
      </c>
      <c r="T1162" s="155" t="s">
        <v>768</v>
      </c>
      <c r="U1162" s="155" t="s">
        <v>1899</v>
      </c>
      <c r="V1162" s="154" t="s">
        <v>1904</v>
      </c>
      <c r="W1162" s="154">
        <v>0</v>
      </c>
      <c r="X1162" s="154" t="s">
        <v>63</v>
      </c>
      <c r="Y1162" s="154" t="s">
        <v>1386</v>
      </c>
      <c r="Z1162" s="154"/>
      <c r="AA1162" s="154" t="s">
        <v>1387</v>
      </c>
      <c r="AB1162" s="154">
        <v>0</v>
      </c>
      <c r="AC1162" s="138">
        <f>IFERROR(IF(DATEDIF(#REF!,U1162,"m")&lt;=1,1,IF(AND(DATEDIF(#REF!,U1162,"m")&gt;1,DATEDIF(#REF!,U1162,"m")&lt;12),2,IF(AND(DATEDIF(#REF!,U1162,"m")&gt;=12,DATEDIF(#REF!,U1162,"m")&lt;24),3,IF(DATEDIF(#REF!,U1162,"m")&gt;=24,4,"")))),IF(E1162="r0320 - Deposits, not covered and not preferential",1,4))</f>
        <v>4</v>
      </c>
    </row>
    <row r="1163" spans="3:29" ht="48.75" thickBot="1" x14ac:dyDescent="0.3">
      <c r="C1163" s="11">
        <v>999</v>
      </c>
      <c r="D1163" s="154">
        <v>1156</v>
      </c>
      <c r="E1163" s="154" t="s">
        <v>1902</v>
      </c>
      <c r="F1163" s="154" t="s">
        <v>83</v>
      </c>
      <c r="G1163" s="154" t="s">
        <v>1903</v>
      </c>
      <c r="H1163" s="154" t="s">
        <v>392</v>
      </c>
      <c r="I1163" s="154" t="s">
        <v>101</v>
      </c>
      <c r="J1163" s="154" t="s">
        <v>102</v>
      </c>
      <c r="K1163" s="154" t="s">
        <v>60</v>
      </c>
      <c r="L1163" s="154" t="s">
        <v>1897</v>
      </c>
      <c r="M1163" s="154" t="s">
        <v>1388</v>
      </c>
      <c r="N1163" s="154" t="s">
        <v>61</v>
      </c>
      <c r="O1163" s="154" t="s">
        <v>62</v>
      </c>
      <c r="P1163" s="146">
        <v>1546295.59</v>
      </c>
      <c r="Q1163" s="146">
        <v>584.66999999999996</v>
      </c>
      <c r="R1163" s="154" t="s">
        <v>1384</v>
      </c>
      <c r="S1163" s="154" t="s">
        <v>1899</v>
      </c>
      <c r="T1163" s="155" t="s">
        <v>768</v>
      </c>
      <c r="U1163" s="155" t="s">
        <v>1899</v>
      </c>
      <c r="V1163" s="154" t="s">
        <v>1904</v>
      </c>
      <c r="W1163" s="154">
        <v>0</v>
      </c>
      <c r="X1163" s="154" t="s">
        <v>63</v>
      </c>
      <c r="Y1163" s="154" t="s">
        <v>1386</v>
      </c>
      <c r="Z1163" s="154"/>
      <c r="AA1163" s="154" t="s">
        <v>1387</v>
      </c>
      <c r="AB1163" s="154">
        <v>0</v>
      </c>
      <c r="AC1163" s="138">
        <f>IFERROR(IF(DATEDIF(#REF!,U1163,"m")&lt;=1,1,IF(AND(DATEDIF(#REF!,U1163,"m")&gt;1,DATEDIF(#REF!,U1163,"m")&lt;12),2,IF(AND(DATEDIF(#REF!,U1163,"m")&gt;=12,DATEDIF(#REF!,U1163,"m")&lt;24),3,IF(DATEDIF(#REF!,U1163,"m")&gt;=24,4,"")))),IF(E1163="r0320 - Deposits, not covered and not preferential",1,4))</f>
        <v>4</v>
      </c>
    </row>
    <row r="1164" spans="3:29" ht="36.75" thickBot="1" x14ac:dyDescent="0.3">
      <c r="C1164" s="11">
        <v>999</v>
      </c>
      <c r="D1164" s="154">
        <v>1157</v>
      </c>
      <c r="E1164" s="154" t="s">
        <v>1898</v>
      </c>
      <c r="F1164" s="154" t="s">
        <v>87</v>
      </c>
      <c r="G1164" s="154" t="s">
        <v>1402</v>
      </c>
      <c r="H1164" s="154" t="s">
        <v>1053</v>
      </c>
      <c r="I1164" s="154" t="s">
        <v>108</v>
      </c>
      <c r="J1164" s="154" t="s">
        <v>90</v>
      </c>
      <c r="K1164" s="154" t="s">
        <v>91</v>
      </c>
      <c r="L1164" s="154" t="s">
        <v>1897</v>
      </c>
      <c r="M1164" s="154" t="s">
        <v>1383</v>
      </c>
      <c r="N1164" s="154" t="s">
        <v>61</v>
      </c>
      <c r="O1164" s="154" t="s">
        <v>62</v>
      </c>
      <c r="P1164" s="146">
        <v>13.84</v>
      </c>
      <c r="Q1164" s="146">
        <v>0</v>
      </c>
      <c r="R1164" s="154" t="s">
        <v>1384</v>
      </c>
      <c r="S1164" s="154" t="s">
        <v>1899</v>
      </c>
      <c r="T1164" s="155" t="s">
        <v>1899</v>
      </c>
      <c r="U1164" s="155" t="s">
        <v>1899</v>
      </c>
      <c r="V1164" s="154" t="s">
        <v>1562</v>
      </c>
      <c r="W1164" s="154">
        <v>0</v>
      </c>
      <c r="X1164" s="154" t="s">
        <v>63</v>
      </c>
      <c r="Y1164" s="154" t="s">
        <v>1900</v>
      </c>
      <c r="Z1164" s="154"/>
      <c r="AA1164" s="154" t="s">
        <v>1387</v>
      </c>
      <c r="AB1164" s="154">
        <v>0</v>
      </c>
      <c r="AC1164" s="138">
        <f>IFERROR(IF(DATEDIF(#REF!,U1164,"m")&lt;=1,1,IF(AND(DATEDIF(#REF!,U1164,"m")&gt;1,DATEDIF(#REF!,U1164,"m")&lt;12),2,IF(AND(DATEDIF(#REF!,U1164,"m")&gt;=12,DATEDIF(#REF!,U1164,"m")&lt;24),3,IF(DATEDIF(#REF!,U1164,"m")&gt;=24,4,"")))),IF(E1164="r0320 - Deposits, not covered and not preferential",1,4))</f>
        <v>4</v>
      </c>
    </row>
    <row r="1165" spans="3:29" ht="36.75" thickBot="1" x14ac:dyDescent="0.3">
      <c r="C1165" s="11">
        <v>999</v>
      </c>
      <c r="D1165" s="154">
        <v>1158</v>
      </c>
      <c r="E1165" s="154" t="s">
        <v>1898</v>
      </c>
      <c r="F1165" s="154" t="s">
        <v>87</v>
      </c>
      <c r="G1165" s="154" t="s">
        <v>1402</v>
      </c>
      <c r="H1165" s="154" t="s">
        <v>1042</v>
      </c>
      <c r="I1165" s="154" t="s">
        <v>89</v>
      </c>
      <c r="J1165" s="154" t="s">
        <v>90</v>
      </c>
      <c r="K1165" s="154" t="s">
        <v>91</v>
      </c>
      <c r="L1165" s="154" t="s">
        <v>1901</v>
      </c>
      <c r="M1165" s="154" t="s">
        <v>1383</v>
      </c>
      <c r="N1165" s="154" t="s">
        <v>61</v>
      </c>
      <c r="O1165" s="154" t="s">
        <v>62</v>
      </c>
      <c r="P1165" s="146">
        <v>0.11</v>
      </c>
      <c r="Q1165" s="146">
        <v>0</v>
      </c>
      <c r="R1165" s="154" t="s">
        <v>1384</v>
      </c>
      <c r="S1165" s="154" t="s">
        <v>1899</v>
      </c>
      <c r="T1165" s="155" t="s">
        <v>1899</v>
      </c>
      <c r="U1165" s="155" t="s">
        <v>1899</v>
      </c>
      <c r="V1165" s="154" t="s">
        <v>1562</v>
      </c>
      <c r="W1165" s="154">
        <v>0</v>
      </c>
      <c r="X1165" s="154" t="s">
        <v>63</v>
      </c>
      <c r="Y1165" s="154" t="s">
        <v>1900</v>
      </c>
      <c r="Z1165" s="154"/>
      <c r="AA1165" s="154" t="s">
        <v>1387</v>
      </c>
      <c r="AB1165" s="154">
        <v>0</v>
      </c>
      <c r="AC1165" s="138">
        <f>IFERROR(IF(DATEDIF(#REF!,U1165,"m")&lt;=1,1,IF(AND(DATEDIF(#REF!,U1165,"m")&gt;1,DATEDIF(#REF!,U1165,"m")&lt;12),2,IF(AND(DATEDIF(#REF!,U1165,"m")&gt;=12,DATEDIF(#REF!,U1165,"m")&lt;24),3,IF(DATEDIF(#REF!,U1165,"m")&gt;=24,4,"")))),IF(E1165="r0320 - Deposits, not covered and not preferential",1,4))</f>
        <v>4</v>
      </c>
    </row>
    <row r="1166" spans="3:29" ht="48.75" thickBot="1" x14ac:dyDescent="0.3">
      <c r="C1166" s="11">
        <v>999</v>
      </c>
      <c r="D1166" s="154">
        <v>1159</v>
      </c>
      <c r="E1166" s="154" t="s">
        <v>1902</v>
      </c>
      <c r="F1166" s="154" t="s">
        <v>83</v>
      </c>
      <c r="G1166" s="154" t="s">
        <v>1903</v>
      </c>
      <c r="H1166" s="154" t="s">
        <v>592</v>
      </c>
      <c r="I1166" s="154" t="s">
        <v>114</v>
      </c>
      <c r="J1166" s="154" t="s">
        <v>115</v>
      </c>
      <c r="K1166" s="154" t="s">
        <v>60</v>
      </c>
      <c r="L1166" s="154" t="s">
        <v>1897</v>
      </c>
      <c r="M1166" s="154" t="s">
        <v>1388</v>
      </c>
      <c r="N1166" s="154" t="s">
        <v>61</v>
      </c>
      <c r="O1166" s="154" t="s">
        <v>62</v>
      </c>
      <c r="P1166" s="146">
        <v>357331.55</v>
      </c>
      <c r="Q1166" s="146">
        <v>-41.39</v>
      </c>
      <c r="R1166" s="154" t="s">
        <v>1384</v>
      </c>
      <c r="S1166" s="154" t="s">
        <v>1899</v>
      </c>
      <c r="T1166" s="155" t="s">
        <v>768</v>
      </c>
      <c r="U1166" s="155" t="s">
        <v>1899</v>
      </c>
      <c r="V1166" s="154" t="s">
        <v>1904</v>
      </c>
      <c r="W1166" s="154">
        <v>0</v>
      </c>
      <c r="X1166" s="154" t="s">
        <v>63</v>
      </c>
      <c r="Y1166" s="154" t="s">
        <v>1386</v>
      </c>
      <c r="Z1166" s="154"/>
      <c r="AA1166" s="154" t="s">
        <v>1387</v>
      </c>
      <c r="AB1166" s="154">
        <v>0</v>
      </c>
      <c r="AC1166" s="138">
        <f>IFERROR(IF(DATEDIF(#REF!,U1166,"m")&lt;=1,1,IF(AND(DATEDIF(#REF!,U1166,"m")&gt;1,DATEDIF(#REF!,U1166,"m")&lt;12),2,IF(AND(DATEDIF(#REF!,U1166,"m")&gt;=12,DATEDIF(#REF!,U1166,"m")&lt;24),3,IF(DATEDIF(#REF!,U1166,"m")&gt;=24,4,"")))),IF(E1166="r0320 - Deposits, not covered and not preferential",1,4))</f>
        <v>4</v>
      </c>
    </row>
    <row r="1167" spans="3:29" ht="36.75" thickBot="1" x14ac:dyDescent="0.3">
      <c r="C1167" s="11">
        <v>999</v>
      </c>
      <c r="D1167" s="154">
        <v>1160</v>
      </c>
      <c r="E1167" s="154" t="s">
        <v>1895</v>
      </c>
      <c r="F1167" s="154" t="s">
        <v>87</v>
      </c>
      <c r="G1167" s="154" t="s">
        <v>1896</v>
      </c>
      <c r="H1167" s="154" t="s">
        <v>57</v>
      </c>
      <c r="I1167" s="154" t="s">
        <v>1220</v>
      </c>
      <c r="J1167" s="154" t="s">
        <v>1221</v>
      </c>
      <c r="K1167" s="154" t="s">
        <v>60</v>
      </c>
      <c r="L1167" s="154" t="s">
        <v>1897</v>
      </c>
      <c r="M1167" s="154" t="s">
        <v>1383</v>
      </c>
      <c r="N1167" s="154" t="s">
        <v>61</v>
      </c>
      <c r="O1167" s="154" t="s">
        <v>62</v>
      </c>
      <c r="P1167" s="146">
        <v>28400.91</v>
      </c>
      <c r="Q1167" s="146">
        <v>0</v>
      </c>
      <c r="R1167" s="154" t="s">
        <v>1384</v>
      </c>
      <c r="S1167" s="154" t="s">
        <v>1385</v>
      </c>
      <c r="T1167" s="155">
        <v>44564</v>
      </c>
      <c r="U1167" s="155">
        <v>44564</v>
      </c>
      <c r="V1167" s="154" t="s">
        <v>1562</v>
      </c>
      <c r="W1167" s="154">
        <v>0</v>
      </c>
      <c r="X1167" s="154" t="s">
        <v>63</v>
      </c>
      <c r="Y1167" s="154" t="s">
        <v>1386</v>
      </c>
      <c r="Z1167" s="154"/>
      <c r="AA1167" s="154" t="s">
        <v>1387</v>
      </c>
      <c r="AB1167" s="154">
        <v>0</v>
      </c>
      <c r="AC1167" s="138">
        <f>IFERROR(IF(DATEDIF(#REF!,U1167,"m")&lt;=1,1,IF(AND(DATEDIF(#REF!,U1167,"m")&gt;1,DATEDIF(#REF!,U1167,"m")&lt;12),2,IF(AND(DATEDIF(#REF!,U1167,"m")&gt;=12,DATEDIF(#REF!,U1167,"m")&lt;24),3,IF(DATEDIF(#REF!,U1167,"m")&gt;=24,4,"")))),IF(E1167="r0320 - Deposits, not covered and not preferential",1,4))</f>
        <v>1</v>
      </c>
    </row>
    <row r="1168" spans="3:29" ht="36.75" thickBot="1" x14ac:dyDescent="0.3">
      <c r="C1168" s="11">
        <v>999</v>
      </c>
      <c r="D1168" s="154">
        <v>1161</v>
      </c>
      <c r="E1168" s="154" t="s">
        <v>1898</v>
      </c>
      <c r="F1168" s="154" t="s">
        <v>87</v>
      </c>
      <c r="G1168" s="154" t="s">
        <v>1402</v>
      </c>
      <c r="H1168" s="154" t="s">
        <v>1056</v>
      </c>
      <c r="I1168" s="154" t="s">
        <v>108</v>
      </c>
      <c r="J1168" s="154" t="s">
        <v>90</v>
      </c>
      <c r="K1168" s="154" t="s">
        <v>91</v>
      </c>
      <c r="L1168" s="154" t="s">
        <v>1897</v>
      </c>
      <c r="M1168" s="154" t="s">
        <v>1383</v>
      </c>
      <c r="N1168" s="154" t="s">
        <v>61</v>
      </c>
      <c r="O1168" s="154" t="s">
        <v>62</v>
      </c>
      <c r="P1168" s="146">
        <v>0.56000000000000005</v>
      </c>
      <c r="Q1168" s="146">
        <v>0</v>
      </c>
      <c r="R1168" s="154" t="s">
        <v>1384</v>
      </c>
      <c r="S1168" s="154" t="s">
        <v>1899</v>
      </c>
      <c r="T1168" s="155" t="s">
        <v>1899</v>
      </c>
      <c r="U1168" s="155" t="s">
        <v>1899</v>
      </c>
      <c r="V1168" s="154" t="s">
        <v>1562</v>
      </c>
      <c r="W1168" s="154">
        <v>0</v>
      </c>
      <c r="X1168" s="154" t="s">
        <v>63</v>
      </c>
      <c r="Y1168" s="154" t="s">
        <v>1900</v>
      </c>
      <c r="Z1168" s="154"/>
      <c r="AA1168" s="154" t="s">
        <v>1387</v>
      </c>
      <c r="AB1168" s="154">
        <v>0</v>
      </c>
      <c r="AC1168" s="138">
        <f>IFERROR(IF(DATEDIF(#REF!,U1168,"m")&lt;=1,1,IF(AND(DATEDIF(#REF!,U1168,"m")&gt;1,DATEDIF(#REF!,U1168,"m")&lt;12),2,IF(AND(DATEDIF(#REF!,U1168,"m")&gt;=12,DATEDIF(#REF!,U1168,"m")&lt;24),3,IF(DATEDIF(#REF!,U1168,"m")&gt;=24,4,"")))),IF(E1168="r0320 - Deposits, not covered and not preferential",1,4))</f>
        <v>4</v>
      </c>
    </row>
    <row r="1169" spans="3:29" ht="36.75" thickBot="1" x14ac:dyDescent="0.3">
      <c r="C1169" s="11">
        <v>999</v>
      </c>
      <c r="D1169" s="154">
        <v>1162</v>
      </c>
      <c r="E1169" s="154" t="s">
        <v>1898</v>
      </c>
      <c r="F1169" s="154" t="s">
        <v>87</v>
      </c>
      <c r="G1169" s="154" t="s">
        <v>1402</v>
      </c>
      <c r="H1169" s="154" t="s">
        <v>132</v>
      </c>
      <c r="I1169" s="154" t="s">
        <v>89</v>
      </c>
      <c r="J1169" s="154" t="s">
        <v>90</v>
      </c>
      <c r="K1169" s="154" t="s">
        <v>91</v>
      </c>
      <c r="L1169" s="154" t="s">
        <v>1901</v>
      </c>
      <c r="M1169" s="154" t="s">
        <v>1383</v>
      </c>
      <c r="N1169" s="154" t="s">
        <v>61</v>
      </c>
      <c r="O1169" s="154" t="s">
        <v>62</v>
      </c>
      <c r="P1169" s="146">
        <v>0.19</v>
      </c>
      <c r="Q1169" s="146">
        <v>0</v>
      </c>
      <c r="R1169" s="154" t="s">
        <v>1384</v>
      </c>
      <c r="S1169" s="154" t="s">
        <v>1899</v>
      </c>
      <c r="T1169" s="155" t="s">
        <v>1899</v>
      </c>
      <c r="U1169" s="155" t="s">
        <v>1899</v>
      </c>
      <c r="V1169" s="154" t="s">
        <v>1562</v>
      </c>
      <c r="W1169" s="154">
        <v>0</v>
      </c>
      <c r="X1169" s="154" t="s">
        <v>63</v>
      </c>
      <c r="Y1169" s="154" t="s">
        <v>1900</v>
      </c>
      <c r="Z1169" s="154"/>
      <c r="AA1169" s="154" t="s">
        <v>1387</v>
      </c>
      <c r="AB1169" s="154">
        <v>0</v>
      </c>
      <c r="AC1169" s="138">
        <f>IFERROR(IF(DATEDIF(#REF!,U1169,"m")&lt;=1,1,IF(AND(DATEDIF(#REF!,U1169,"m")&gt;1,DATEDIF(#REF!,U1169,"m")&lt;12),2,IF(AND(DATEDIF(#REF!,U1169,"m")&gt;=12,DATEDIF(#REF!,U1169,"m")&lt;24),3,IF(DATEDIF(#REF!,U1169,"m")&gt;=24,4,"")))),IF(E1169="r0320 - Deposits, not covered and not preferential",1,4))</f>
        <v>4</v>
      </c>
    </row>
    <row r="1170" spans="3:29" ht="48.75" thickBot="1" x14ac:dyDescent="0.3">
      <c r="C1170" s="11">
        <v>999</v>
      </c>
      <c r="D1170" s="154">
        <v>1163</v>
      </c>
      <c r="E1170" s="154" t="s">
        <v>1902</v>
      </c>
      <c r="F1170" s="154" t="s">
        <v>83</v>
      </c>
      <c r="G1170" s="154" t="s">
        <v>1903</v>
      </c>
      <c r="H1170" s="154" t="s">
        <v>1024</v>
      </c>
      <c r="I1170" s="154" t="s">
        <v>101</v>
      </c>
      <c r="J1170" s="154" t="s">
        <v>102</v>
      </c>
      <c r="K1170" s="154" t="s">
        <v>60</v>
      </c>
      <c r="L1170" s="154" t="s">
        <v>1897</v>
      </c>
      <c r="M1170" s="154" t="s">
        <v>1388</v>
      </c>
      <c r="N1170" s="154" t="s">
        <v>61</v>
      </c>
      <c r="O1170" s="154" t="s">
        <v>62</v>
      </c>
      <c r="P1170" s="146">
        <v>1103843.31</v>
      </c>
      <c r="Q1170" s="146">
        <v>600.41999999999996</v>
      </c>
      <c r="R1170" s="154" t="s">
        <v>1384</v>
      </c>
      <c r="S1170" s="154" t="s">
        <v>1899</v>
      </c>
      <c r="T1170" s="155" t="s">
        <v>768</v>
      </c>
      <c r="U1170" s="155" t="s">
        <v>1899</v>
      </c>
      <c r="V1170" s="154" t="s">
        <v>1904</v>
      </c>
      <c r="W1170" s="154">
        <v>0</v>
      </c>
      <c r="X1170" s="154" t="s">
        <v>63</v>
      </c>
      <c r="Y1170" s="154" t="s">
        <v>1386</v>
      </c>
      <c r="Z1170" s="154"/>
      <c r="AA1170" s="154" t="s">
        <v>1387</v>
      </c>
      <c r="AB1170" s="154">
        <v>0</v>
      </c>
      <c r="AC1170" s="138">
        <f>IFERROR(IF(DATEDIF(#REF!,U1170,"m")&lt;=1,1,IF(AND(DATEDIF(#REF!,U1170,"m")&gt;1,DATEDIF(#REF!,U1170,"m")&lt;12),2,IF(AND(DATEDIF(#REF!,U1170,"m")&gt;=12,DATEDIF(#REF!,U1170,"m")&lt;24),3,IF(DATEDIF(#REF!,U1170,"m")&gt;=24,4,"")))),IF(E1170="r0320 - Deposits, not covered and not preferential",1,4))</f>
        <v>4</v>
      </c>
    </row>
    <row r="1171" spans="3:29" ht="36.75" thickBot="1" x14ac:dyDescent="0.3">
      <c r="C1171" s="11">
        <v>999</v>
      </c>
      <c r="D1171" s="154">
        <v>1164</v>
      </c>
      <c r="E1171" s="154" t="s">
        <v>1898</v>
      </c>
      <c r="F1171" s="154" t="s">
        <v>87</v>
      </c>
      <c r="G1171" s="154" t="s">
        <v>1402</v>
      </c>
      <c r="H1171" s="154" t="s">
        <v>652</v>
      </c>
      <c r="I1171" s="154" t="s">
        <v>108</v>
      </c>
      <c r="J1171" s="154" t="s">
        <v>90</v>
      </c>
      <c r="K1171" s="154" t="s">
        <v>91</v>
      </c>
      <c r="L1171" s="154" t="s">
        <v>1897</v>
      </c>
      <c r="M1171" s="154" t="s">
        <v>1383</v>
      </c>
      <c r="N1171" s="154" t="s">
        <v>61</v>
      </c>
      <c r="O1171" s="154" t="s">
        <v>62</v>
      </c>
      <c r="P1171" s="146">
        <v>4.2300000000000004</v>
      </c>
      <c r="Q1171" s="146">
        <v>0</v>
      </c>
      <c r="R1171" s="154" t="s">
        <v>1384</v>
      </c>
      <c r="S1171" s="154" t="s">
        <v>1899</v>
      </c>
      <c r="T1171" s="155" t="s">
        <v>1899</v>
      </c>
      <c r="U1171" s="155" t="s">
        <v>1899</v>
      </c>
      <c r="V1171" s="154" t="s">
        <v>1562</v>
      </c>
      <c r="W1171" s="154">
        <v>0</v>
      </c>
      <c r="X1171" s="154" t="s">
        <v>63</v>
      </c>
      <c r="Y1171" s="154" t="s">
        <v>1900</v>
      </c>
      <c r="Z1171" s="154"/>
      <c r="AA1171" s="154" t="s">
        <v>1387</v>
      </c>
      <c r="AB1171" s="154">
        <v>0</v>
      </c>
      <c r="AC1171" s="138">
        <f>IFERROR(IF(DATEDIF(#REF!,U1171,"m")&lt;=1,1,IF(AND(DATEDIF(#REF!,U1171,"m")&gt;1,DATEDIF(#REF!,U1171,"m")&lt;12),2,IF(AND(DATEDIF(#REF!,U1171,"m")&gt;=12,DATEDIF(#REF!,U1171,"m")&lt;24),3,IF(DATEDIF(#REF!,U1171,"m")&gt;=24,4,"")))),IF(E1171="r0320 - Deposits, not covered and not preferential",1,4))</f>
        <v>4</v>
      </c>
    </row>
    <row r="1172" spans="3:29" ht="36.75" thickBot="1" x14ac:dyDescent="0.3">
      <c r="C1172" s="11">
        <v>999</v>
      </c>
      <c r="D1172" s="154">
        <v>1165</v>
      </c>
      <c r="E1172" s="154" t="s">
        <v>1898</v>
      </c>
      <c r="F1172" s="154" t="s">
        <v>87</v>
      </c>
      <c r="G1172" s="154" t="s">
        <v>1402</v>
      </c>
      <c r="H1172" s="154" t="s">
        <v>1059</v>
      </c>
      <c r="I1172" s="154" t="s">
        <v>108</v>
      </c>
      <c r="J1172" s="154" t="s">
        <v>90</v>
      </c>
      <c r="K1172" s="154" t="s">
        <v>91</v>
      </c>
      <c r="L1172" s="154" t="s">
        <v>1897</v>
      </c>
      <c r="M1172" s="154" t="s">
        <v>1383</v>
      </c>
      <c r="N1172" s="154" t="s">
        <v>61</v>
      </c>
      <c r="O1172" s="154" t="s">
        <v>62</v>
      </c>
      <c r="P1172" s="146">
        <v>0.8</v>
      </c>
      <c r="Q1172" s="146">
        <v>0</v>
      </c>
      <c r="R1172" s="154" t="s">
        <v>1384</v>
      </c>
      <c r="S1172" s="154" t="s">
        <v>1899</v>
      </c>
      <c r="T1172" s="155" t="s">
        <v>1899</v>
      </c>
      <c r="U1172" s="155" t="s">
        <v>1899</v>
      </c>
      <c r="V1172" s="154" t="s">
        <v>1562</v>
      </c>
      <c r="W1172" s="154">
        <v>0</v>
      </c>
      <c r="X1172" s="154" t="s">
        <v>63</v>
      </c>
      <c r="Y1172" s="154" t="s">
        <v>1900</v>
      </c>
      <c r="Z1172" s="154"/>
      <c r="AA1172" s="154" t="s">
        <v>1387</v>
      </c>
      <c r="AB1172" s="154">
        <v>0</v>
      </c>
      <c r="AC1172" s="138">
        <f>IFERROR(IF(DATEDIF(#REF!,U1172,"m")&lt;=1,1,IF(AND(DATEDIF(#REF!,U1172,"m")&gt;1,DATEDIF(#REF!,U1172,"m")&lt;12),2,IF(AND(DATEDIF(#REF!,U1172,"m")&gt;=12,DATEDIF(#REF!,U1172,"m")&lt;24),3,IF(DATEDIF(#REF!,U1172,"m")&gt;=24,4,"")))),IF(E1172="r0320 - Deposits, not covered and not preferential",1,4))</f>
        <v>4</v>
      </c>
    </row>
    <row r="1173" spans="3:29" ht="36.75" thickBot="1" x14ac:dyDescent="0.3">
      <c r="C1173" s="11">
        <v>999</v>
      </c>
      <c r="D1173" s="154">
        <v>1166</v>
      </c>
      <c r="E1173" s="154" t="s">
        <v>1898</v>
      </c>
      <c r="F1173" s="154" t="s">
        <v>87</v>
      </c>
      <c r="G1173" s="154" t="s">
        <v>1402</v>
      </c>
      <c r="H1173" s="154" t="s">
        <v>947</v>
      </c>
      <c r="I1173" s="154" t="s">
        <v>89</v>
      </c>
      <c r="J1173" s="154" t="s">
        <v>90</v>
      </c>
      <c r="K1173" s="154" t="s">
        <v>91</v>
      </c>
      <c r="L1173" s="154" t="s">
        <v>1901</v>
      </c>
      <c r="M1173" s="154" t="s">
        <v>1383</v>
      </c>
      <c r="N1173" s="154" t="s">
        <v>61</v>
      </c>
      <c r="O1173" s="154" t="s">
        <v>62</v>
      </c>
      <c r="P1173" s="146">
        <v>1.75</v>
      </c>
      <c r="Q1173" s="146">
        <v>0</v>
      </c>
      <c r="R1173" s="154" t="s">
        <v>1384</v>
      </c>
      <c r="S1173" s="154" t="s">
        <v>1899</v>
      </c>
      <c r="T1173" s="155" t="s">
        <v>1899</v>
      </c>
      <c r="U1173" s="155" t="s">
        <v>1899</v>
      </c>
      <c r="V1173" s="154" t="s">
        <v>1562</v>
      </c>
      <c r="W1173" s="154">
        <v>0</v>
      </c>
      <c r="X1173" s="154" t="s">
        <v>63</v>
      </c>
      <c r="Y1173" s="154" t="s">
        <v>1900</v>
      </c>
      <c r="Z1173" s="154"/>
      <c r="AA1173" s="154" t="s">
        <v>1387</v>
      </c>
      <c r="AB1173" s="154">
        <v>0</v>
      </c>
      <c r="AC1173" s="138">
        <f>IFERROR(IF(DATEDIF(#REF!,U1173,"m")&lt;=1,1,IF(AND(DATEDIF(#REF!,U1173,"m")&gt;1,DATEDIF(#REF!,U1173,"m")&lt;12),2,IF(AND(DATEDIF(#REF!,U1173,"m")&gt;=12,DATEDIF(#REF!,U1173,"m")&lt;24),3,IF(DATEDIF(#REF!,U1173,"m")&gt;=24,4,"")))),IF(E1173="r0320 - Deposits, not covered and not preferential",1,4))</f>
        <v>4</v>
      </c>
    </row>
    <row r="1174" spans="3:29" ht="36.75" thickBot="1" x14ac:dyDescent="0.3">
      <c r="C1174" s="11">
        <v>999</v>
      </c>
      <c r="D1174" s="154">
        <v>1167</v>
      </c>
      <c r="E1174" s="154" t="s">
        <v>1898</v>
      </c>
      <c r="F1174" s="154" t="s">
        <v>87</v>
      </c>
      <c r="G1174" s="154" t="s">
        <v>1402</v>
      </c>
      <c r="H1174" s="154" t="s">
        <v>1103</v>
      </c>
      <c r="I1174" s="154" t="s">
        <v>89</v>
      </c>
      <c r="J1174" s="154" t="s">
        <v>90</v>
      </c>
      <c r="K1174" s="154" t="s">
        <v>91</v>
      </c>
      <c r="L1174" s="154" t="s">
        <v>1901</v>
      </c>
      <c r="M1174" s="154" t="s">
        <v>1383</v>
      </c>
      <c r="N1174" s="154" t="s">
        <v>61</v>
      </c>
      <c r="O1174" s="154" t="s">
        <v>62</v>
      </c>
      <c r="P1174" s="146">
        <v>0.11</v>
      </c>
      <c r="Q1174" s="146">
        <v>0</v>
      </c>
      <c r="R1174" s="154" t="s">
        <v>1384</v>
      </c>
      <c r="S1174" s="154" t="s">
        <v>1899</v>
      </c>
      <c r="T1174" s="155" t="s">
        <v>1899</v>
      </c>
      <c r="U1174" s="155" t="s">
        <v>1899</v>
      </c>
      <c r="V1174" s="154" t="s">
        <v>1562</v>
      </c>
      <c r="W1174" s="154">
        <v>0</v>
      </c>
      <c r="X1174" s="154" t="s">
        <v>63</v>
      </c>
      <c r="Y1174" s="154" t="s">
        <v>1900</v>
      </c>
      <c r="Z1174" s="154"/>
      <c r="AA1174" s="154" t="s">
        <v>1387</v>
      </c>
      <c r="AB1174" s="154">
        <v>0</v>
      </c>
      <c r="AC1174" s="138">
        <f>IFERROR(IF(DATEDIF(#REF!,U1174,"m")&lt;=1,1,IF(AND(DATEDIF(#REF!,U1174,"m")&gt;1,DATEDIF(#REF!,U1174,"m")&lt;12),2,IF(AND(DATEDIF(#REF!,U1174,"m")&gt;=12,DATEDIF(#REF!,U1174,"m")&lt;24),3,IF(DATEDIF(#REF!,U1174,"m")&gt;=24,4,"")))),IF(E1174="r0320 - Deposits, not covered and not preferential",1,4))</f>
        <v>4</v>
      </c>
    </row>
    <row r="1175" spans="3:29" ht="36.75" thickBot="1" x14ac:dyDescent="0.3">
      <c r="C1175" s="11">
        <v>999</v>
      </c>
      <c r="D1175" s="154">
        <v>1168</v>
      </c>
      <c r="E1175" s="154" t="s">
        <v>1898</v>
      </c>
      <c r="F1175" s="154" t="s">
        <v>87</v>
      </c>
      <c r="G1175" s="154" t="s">
        <v>1402</v>
      </c>
      <c r="H1175" s="154" t="s">
        <v>650</v>
      </c>
      <c r="I1175" s="154" t="s">
        <v>89</v>
      </c>
      <c r="J1175" s="154" t="s">
        <v>90</v>
      </c>
      <c r="K1175" s="154" t="s">
        <v>91</v>
      </c>
      <c r="L1175" s="154" t="s">
        <v>1901</v>
      </c>
      <c r="M1175" s="154" t="s">
        <v>1383</v>
      </c>
      <c r="N1175" s="154" t="s">
        <v>61</v>
      </c>
      <c r="O1175" s="154" t="s">
        <v>62</v>
      </c>
      <c r="P1175" s="146">
        <v>0.17</v>
      </c>
      <c r="Q1175" s="146">
        <v>0</v>
      </c>
      <c r="R1175" s="154" t="s">
        <v>1384</v>
      </c>
      <c r="S1175" s="154" t="s">
        <v>1899</v>
      </c>
      <c r="T1175" s="155" t="s">
        <v>1899</v>
      </c>
      <c r="U1175" s="155" t="s">
        <v>1899</v>
      </c>
      <c r="V1175" s="154" t="s">
        <v>1562</v>
      </c>
      <c r="W1175" s="154">
        <v>0</v>
      </c>
      <c r="X1175" s="154" t="s">
        <v>63</v>
      </c>
      <c r="Y1175" s="154" t="s">
        <v>1900</v>
      </c>
      <c r="Z1175" s="154"/>
      <c r="AA1175" s="154" t="s">
        <v>1387</v>
      </c>
      <c r="AB1175" s="154">
        <v>0</v>
      </c>
      <c r="AC1175" s="138">
        <f>IFERROR(IF(DATEDIF(#REF!,U1175,"m")&lt;=1,1,IF(AND(DATEDIF(#REF!,U1175,"m")&gt;1,DATEDIF(#REF!,U1175,"m")&lt;12),2,IF(AND(DATEDIF(#REF!,U1175,"m")&gt;=12,DATEDIF(#REF!,U1175,"m")&lt;24),3,IF(DATEDIF(#REF!,U1175,"m")&gt;=24,4,"")))),IF(E1175="r0320 - Deposits, not covered and not preferential",1,4))</f>
        <v>4</v>
      </c>
    </row>
    <row r="1176" spans="3:29" ht="36.75" thickBot="1" x14ac:dyDescent="0.3">
      <c r="C1176" s="11">
        <v>999</v>
      </c>
      <c r="D1176" s="154">
        <v>1169</v>
      </c>
      <c r="E1176" s="154" t="s">
        <v>1898</v>
      </c>
      <c r="F1176" s="154" t="s">
        <v>87</v>
      </c>
      <c r="G1176" s="154" t="s">
        <v>1402</v>
      </c>
      <c r="H1176" s="154" t="s">
        <v>647</v>
      </c>
      <c r="I1176" s="154" t="s">
        <v>89</v>
      </c>
      <c r="J1176" s="154" t="s">
        <v>90</v>
      </c>
      <c r="K1176" s="154" t="s">
        <v>91</v>
      </c>
      <c r="L1176" s="154" t="s">
        <v>1901</v>
      </c>
      <c r="M1176" s="154" t="s">
        <v>1383</v>
      </c>
      <c r="N1176" s="154" t="s">
        <v>61</v>
      </c>
      <c r="O1176" s="154" t="s">
        <v>62</v>
      </c>
      <c r="P1176" s="146">
        <v>0.11</v>
      </c>
      <c r="Q1176" s="146">
        <v>0</v>
      </c>
      <c r="R1176" s="154" t="s">
        <v>1384</v>
      </c>
      <c r="S1176" s="154" t="s">
        <v>1899</v>
      </c>
      <c r="T1176" s="155" t="s">
        <v>1899</v>
      </c>
      <c r="U1176" s="155" t="s">
        <v>1899</v>
      </c>
      <c r="V1176" s="154" t="s">
        <v>1562</v>
      </c>
      <c r="W1176" s="154">
        <v>0</v>
      </c>
      <c r="X1176" s="154" t="s">
        <v>63</v>
      </c>
      <c r="Y1176" s="154" t="s">
        <v>1900</v>
      </c>
      <c r="Z1176" s="154"/>
      <c r="AA1176" s="154" t="s">
        <v>1387</v>
      </c>
      <c r="AB1176" s="154">
        <v>0</v>
      </c>
      <c r="AC1176" s="138">
        <f>IFERROR(IF(DATEDIF(#REF!,U1176,"m")&lt;=1,1,IF(AND(DATEDIF(#REF!,U1176,"m")&gt;1,DATEDIF(#REF!,U1176,"m")&lt;12),2,IF(AND(DATEDIF(#REF!,U1176,"m")&gt;=12,DATEDIF(#REF!,U1176,"m")&lt;24),3,IF(DATEDIF(#REF!,U1176,"m")&gt;=24,4,"")))),IF(E1176="r0320 - Deposits, not covered and not preferential",1,4))</f>
        <v>4</v>
      </c>
    </row>
    <row r="1177" spans="3:29" ht="36.75" thickBot="1" x14ac:dyDescent="0.3">
      <c r="C1177" s="11">
        <v>999</v>
      </c>
      <c r="D1177" s="154">
        <v>1170</v>
      </c>
      <c r="E1177" s="154" t="s">
        <v>1898</v>
      </c>
      <c r="F1177" s="154" t="s">
        <v>87</v>
      </c>
      <c r="G1177" s="154" t="s">
        <v>1402</v>
      </c>
      <c r="H1177" s="154" t="s">
        <v>173</v>
      </c>
      <c r="I1177" s="154" t="s">
        <v>89</v>
      </c>
      <c r="J1177" s="154" t="s">
        <v>90</v>
      </c>
      <c r="K1177" s="154" t="s">
        <v>91</v>
      </c>
      <c r="L1177" s="154" t="s">
        <v>1901</v>
      </c>
      <c r="M1177" s="154" t="s">
        <v>1383</v>
      </c>
      <c r="N1177" s="154" t="s">
        <v>61</v>
      </c>
      <c r="O1177" s="154" t="s">
        <v>62</v>
      </c>
      <c r="P1177" s="146">
        <v>0.18</v>
      </c>
      <c r="Q1177" s="146">
        <v>0</v>
      </c>
      <c r="R1177" s="154" t="s">
        <v>1384</v>
      </c>
      <c r="S1177" s="154" t="s">
        <v>1899</v>
      </c>
      <c r="T1177" s="155" t="s">
        <v>1899</v>
      </c>
      <c r="U1177" s="155" t="s">
        <v>1899</v>
      </c>
      <c r="V1177" s="154" t="s">
        <v>1562</v>
      </c>
      <c r="W1177" s="154">
        <v>0</v>
      </c>
      <c r="X1177" s="154" t="s">
        <v>63</v>
      </c>
      <c r="Y1177" s="154" t="s">
        <v>1900</v>
      </c>
      <c r="Z1177" s="154"/>
      <c r="AA1177" s="154" t="s">
        <v>1387</v>
      </c>
      <c r="AB1177" s="154">
        <v>0</v>
      </c>
      <c r="AC1177" s="138">
        <f>IFERROR(IF(DATEDIF(#REF!,U1177,"m")&lt;=1,1,IF(AND(DATEDIF(#REF!,U1177,"m")&gt;1,DATEDIF(#REF!,U1177,"m")&lt;12),2,IF(AND(DATEDIF(#REF!,U1177,"m")&gt;=12,DATEDIF(#REF!,U1177,"m")&lt;24),3,IF(DATEDIF(#REF!,U1177,"m")&gt;=24,4,"")))),IF(E1177="r0320 - Deposits, not covered and not preferential",1,4))</f>
        <v>4</v>
      </c>
    </row>
    <row r="1178" spans="3:29" ht="36.75" thickBot="1" x14ac:dyDescent="0.3">
      <c r="C1178" s="11">
        <v>999</v>
      </c>
      <c r="D1178" s="154">
        <v>1171</v>
      </c>
      <c r="E1178" s="154" t="s">
        <v>1898</v>
      </c>
      <c r="F1178" s="154" t="s">
        <v>87</v>
      </c>
      <c r="G1178" s="154" t="s">
        <v>1402</v>
      </c>
      <c r="H1178" s="154" t="s">
        <v>651</v>
      </c>
      <c r="I1178" s="154" t="s">
        <v>89</v>
      </c>
      <c r="J1178" s="154" t="s">
        <v>90</v>
      </c>
      <c r="K1178" s="154" t="s">
        <v>91</v>
      </c>
      <c r="L1178" s="154" t="s">
        <v>1901</v>
      </c>
      <c r="M1178" s="154" t="s">
        <v>1383</v>
      </c>
      <c r="N1178" s="154" t="s">
        <v>61</v>
      </c>
      <c r="O1178" s="154" t="s">
        <v>62</v>
      </c>
      <c r="P1178" s="146">
        <v>0.1</v>
      </c>
      <c r="Q1178" s="146">
        <v>0</v>
      </c>
      <c r="R1178" s="154" t="s">
        <v>1384</v>
      </c>
      <c r="S1178" s="154" t="s">
        <v>1899</v>
      </c>
      <c r="T1178" s="155" t="s">
        <v>1899</v>
      </c>
      <c r="U1178" s="155" t="s">
        <v>1899</v>
      </c>
      <c r="V1178" s="154" t="s">
        <v>1562</v>
      </c>
      <c r="W1178" s="154">
        <v>0</v>
      </c>
      <c r="X1178" s="154" t="s">
        <v>63</v>
      </c>
      <c r="Y1178" s="154" t="s">
        <v>1900</v>
      </c>
      <c r="Z1178" s="154"/>
      <c r="AA1178" s="154" t="s">
        <v>1387</v>
      </c>
      <c r="AB1178" s="154">
        <v>0</v>
      </c>
      <c r="AC1178" s="138">
        <f>IFERROR(IF(DATEDIF(#REF!,U1178,"m")&lt;=1,1,IF(AND(DATEDIF(#REF!,U1178,"m")&gt;1,DATEDIF(#REF!,U1178,"m")&lt;12),2,IF(AND(DATEDIF(#REF!,U1178,"m")&gt;=12,DATEDIF(#REF!,U1178,"m")&lt;24),3,IF(DATEDIF(#REF!,U1178,"m")&gt;=24,4,"")))),IF(E1178="r0320 - Deposits, not covered and not preferential",1,4))</f>
        <v>4</v>
      </c>
    </row>
    <row r="1179" spans="3:29" ht="36.75" thickBot="1" x14ac:dyDescent="0.3">
      <c r="C1179" s="11">
        <v>999</v>
      </c>
      <c r="D1179" s="154">
        <v>1172</v>
      </c>
      <c r="E1179" s="154" t="s">
        <v>1898</v>
      </c>
      <c r="F1179" s="154" t="s">
        <v>87</v>
      </c>
      <c r="G1179" s="154" t="s">
        <v>1402</v>
      </c>
      <c r="H1179" s="154" t="s">
        <v>1054</v>
      </c>
      <c r="I1179" s="154" t="s">
        <v>89</v>
      </c>
      <c r="J1179" s="154" t="s">
        <v>90</v>
      </c>
      <c r="K1179" s="154" t="s">
        <v>91</v>
      </c>
      <c r="L1179" s="154" t="s">
        <v>1901</v>
      </c>
      <c r="M1179" s="154" t="s">
        <v>1383</v>
      </c>
      <c r="N1179" s="154" t="s">
        <v>61</v>
      </c>
      <c r="O1179" s="154" t="s">
        <v>62</v>
      </c>
      <c r="P1179" s="146">
        <v>0.15</v>
      </c>
      <c r="Q1179" s="146">
        <v>0</v>
      </c>
      <c r="R1179" s="154" t="s">
        <v>1384</v>
      </c>
      <c r="S1179" s="154" t="s">
        <v>1899</v>
      </c>
      <c r="T1179" s="155" t="s">
        <v>1899</v>
      </c>
      <c r="U1179" s="155" t="s">
        <v>1899</v>
      </c>
      <c r="V1179" s="154" t="s">
        <v>1562</v>
      </c>
      <c r="W1179" s="154">
        <v>0</v>
      </c>
      <c r="X1179" s="154" t="s">
        <v>63</v>
      </c>
      <c r="Y1179" s="154" t="s">
        <v>1900</v>
      </c>
      <c r="Z1179" s="154"/>
      <c r="AA1179" s="154" t="s">
        <v>1387</v>
      </c>
      <c r="AB1179" s="154">
        <v>0</v>
      </c>
      <c r="AC1179" s="138">
        <f>IFERROR(IF(DATEDIF(#REF!,U1179,"m")&lt;=1,1,IF(AND(DATEDIF(#REF!,U1179,"m")&gt;1,DATEDIF(#REF!,U1179,"m")&lt;12),2,IF(AND(DATEDIF(#REF!,U1179,"m")&gt;=12,DATEDIF(#REF!,U1179,"m")&lt;24),3,IF(DATEDIF(#REF!,U1179,"m")&gt;=24,4,"")))),IF(E1179="r0320 - Deposits, not covered and not preferential",1,4))</f>
        <v>4</v>
      </c>
    </row>
    <row r="1180" spans="3:29" ht="36.75" thickBot="1" x14ac:dyDescent="0.3">
      <c r="C1180" s="11">
        <v>999</v>
      </c>
      <c r="D1180" s="154">
        <v>1173</v>
      </c>
      <c r="E1180" s="154" t="s">
        <v>1898</v>
      </c>
      <c r="F1180" s="154" t="s">
        <v>87</v>
      </c>
      <c r="G1180" s="154" t="s">
        <v>1402</v>
      </c>
      <c r="H1180" s="154" t="s">
        <v>399</v>
      </c>
      <c r="I1180" s="154" t="s">
        <v>89</v>
      </c>
      <c r="J1180" s="154" t="s">
        <v>90</v>
      </c>
      <c r="K1180" s="154" t="s">
        <v>91</v>
      </c>
      <c r="L1180" s="154" t="s">
        <v>1901</v>
      </c>
      <c r="M1180" s="154" t="s">
        <v>1383</v>
      </c>
      <c r="N1180" s="154" t="s">
        <v>61</v>
      </c>
      <c r="O1180" s="154" t="s">
        <v>62</v>
      </c>
      <c r="P1180" s="146">
        <v>0.21</v>
      </c>
      <c r="Q1180" s="146">
        <v>0</v>
      </c>
      <c r="R1180" s="154" t="s">
        <v>1384</v>
      </c>
      <c r="S1180" s="154" t="s">
        <v>1899</v>
      </c>
      <c r="T1180" s="155" t="s">
        <v>1899</v>
      </c>
      <c r="U1180" s="155" t="s">
        <v>1899</v>
      </c>
      <c r="V1180" s="154" t="s">
        <v>1562</v>
      </c>
      <c r="W1180" s="154">
        <v>0</v>
      </c>
      <c r="X1180" s="154" t="s">
        <v>63</v>
      </c>
      <c r="Y1180" s="154" t="s">
        <v>1900</v>
      </c>
      <c r="Z1180" s="154"/>
      <c r="AA1180" s="154" t="s">
        <v>1387</v>
      </c>
      <c r="AB1180" s="154">
        <v>0</v>
      </c>
      <c r="AC1180" s="138">
        <f>IFERROR(IF(DATEDIF(#REF!,U1180,"m")&lt;=1,1,IF(AND(DATEDIF(#REF!,U1180,"m")&gt;1,DATEDIF(#REF!,U1180,"m")&lt;12),2,IF(AND(DATEDIF(#REF!,U1180,"m")&gt;=12,DATEDIF(#REF!,U1180,"m")&lt;24),3,IF(DATEDIF(#REF!,U1180,"m")&gt;=24,4,"")))),IF(E1180="r0320 - Deposits, not covered and not preferential",1,4))</f>
        <v>4</v>
      </c>
    </row>
    <row r="1181" spans="3:29" ht="36.75" thickBot="1" x14ac:dyDescent="0.3">
      <c r="C1181" s="11">
        <v>999</v>
      </c>
      <c r="D1181" s="154">
        <v>1174</v>
      </c>
      <c r="E1181" s="154" t="s">
        <v>1898</v>
      </c>
      <c r="F1181" s="154" t="s">
        <v>87</v>
      </c>
      <c r="G1181" s="154" t="s">
        <v>1402</v>
      </c>
      <c r="H1181" s="154" t="s">
        <v>1212</v>
      </c>
      <c r="I1181" s="154" t="s">
        <v>108</v>
      </c>
      <c r="J1181" s="154" t="s">
        <v>90</v>
      </c>
      <c r="K1181" s="154" t="s">
        <v>91</v>
      </c>
      <c r="L1181" s="154" t="s">
        <v>1897</v>
      </c>
      <c r="M1181" s="154" t="s">
        <v>1383</v>
      </c>
      <c r="N1181" s="154" t="s">
        <v>61</v>
      </c>
      <c r="O1181" s="154" t="s">
        <v>62</v>
      </c>
      <c r="P1181" s="146">
        <v>1.22</v>
      </c>
      <c r="Q1181" s="146">
        <v>0</v>
      </c>
      <c r="R1181" s="154" t="s">
        <v>1384</v>
      </c>
      <c r="S1181" s="154" t="s">
        <v>1899</v>
      </c>
      <c r="T1181" s="155" t="s">
        <v>1899</v>
      </c>
      <c r="U1181" s="155" t="s">
        <v>1899</v>
      </c>
      <c r="V1181" s="154" t="s">
        <v>1562</v>
      </c>
      <c r="W1181" s="154">
        <v>0</v>
      </c>
      <c r="X1181" s="154" t="s">
        <v>63</v>
      </c>
      <c r="Y1181" s="154" t="s">
        <v>1900</v>
      </c>
      <c r="Z1181" s="154"/>
      <c r="AA1181" s="154" t="s">
        <v>1387</v>
      </c>
      <c r="AB1181" s="154">
        <v>0</v>
      </c>
      <c r="AC1181" s="138">
        <f>IFERROR(IF(DATEDIF(#REF!,U1181,"m")&lt;=1,1,IF(AND(DATEDIF(#REF!,U1181,"m")&gt;1,DATEDIF(#REF!,U1181,"m")&lt;12),2,IF(AND(DATEDIF(#REF!,U1181,"m")&gt;=12,DATEDIF(#REF!,U1181,"m")&lt;24),3,IF(DATEDIF(#REF!,U1181,"m")&gt;=24,4,"")))),IF(E1181="r0320 - Deposits, not covered and not preferential",1,4))</f>
        <v>4</v>
      </c>
    </row>
    <row r="1182" spans="3:29" ht="36.75" thickBot="1" x14ac:dyDescent="0.3">
      <c r="C1182" s="11">
        <v>999</v>
      </c>
      <c r="D1182" s="154">
        <v>1175</v>
      </c>
      <c r="E1182" s="154" t="s">
        <v>1898</v>
      </c>
      <c r="F1182" s="154" t="s">
        <v>87</v>
      </c>
      <c r="G1182" s="154" t="s">
        <v>1402</v>
      </c>
      <c r="H1182" s="154" t="s">
        <v>653</v>
      </c>
      <c r="I1182" s="154" t="s">
        <v>111</v>
      </c>
      <c r="J1182" s="154" t="s">
        <v>90</v>
      </c>
      <c r="K1182" s="154" t="s">
        <v>91</v>
      </c>
      <c r="L1182" s="154" t="s">
        <v>1897</v>
      </c>
      <c r="M1182" s="154" t="s">
        <v>1383</v>
      </c>
      <c r="N1182" s="154" t="s">
        <v>61</v>
      </c>
      <c r="O1182" s="154" t="s">
        <v>62</v>
      </c>
      <c r="P1182" s="146">
        <v>0.34</v>
      </c>
      <c r="Q1182" s="146">
        <v>0</v>
      </c>
      <c r="R1182" s="154" t="s">
        <v>1384</v>
      </c>
      <c r="S1182" s="154" t="s">
        <v>1899</v>
      </c>
      <c r="T1182" s="155" t="s">
        <v>1899</v>
      </c>
      <c r="U1182" s="155" t="s">
        <v>1899</v>
      </c>
      <c r="V1182" s="154" t="s">
        <v>1562</v>
      </c>
      <c r="W1182" s="154">
        <v>0</v>
      </c>
      <c r="X1182" s="154" t="s">
        <v>63</v>
      </c>
      <c r="Y1182" s="154" t="s">
        <v>1900</v>
      </c>
      <c r="Z1182" s="154"/>
      <c r="AA1182" s="154" t="s">
        <v>1387</v>
      </c>
      <c r="AB1182" s="154">
        <v>0</v>
      </c>
      <c r="AC1182" s="138">
        <f>IFERROR(IF(DATEDIF(#REF!,U1182,"m")&lt;=1,1,IF(AND(DATEDIF(#REF!,U1182,"m")&gt;1,DATEDIF(#REF!,U1182,"m")&lt;12),2,IF(AND(DATEDIF(#REF!,U1182,"m")&gt;=12,DATEDIF(#REF!,U1182,"m")&lt;24),3,IF(DATEDIF(#REF!,U1182,"m")&gt;=24,4,"")))),IF(E1182="r0320 - Deposits, not covered and not preferential",1,4))</f>
        <v>4</v>
      </c>
    </row>
    <row r="1183" spans="3:29" ht="36.75" thickBot="1" x14ac:dyDescent="0.3">
      <c r="C1183" s="11">
        <v>999</v>
      </c>
      <c r="D1183" s="154">
        <v>1176</v>
      </c>
      <c r="E1183" s="154" t="s">
        <v>1898</v>
      </c>
      <c r="F1183" s="154" t="s">
        <v>87</v>
      </c>
      <c r="G1183" s="154" t="s">
        <v>1402</v>
      </c>
      <c r="H1183" s="154" t="s">
        <v>398</v>
      </c>
      <c r="I1183" s="154" t="s">
        <v>111</v>
      </c>
      <c r="J1183" s="154" t="s">
        <v>90</v>
      </c>
      <c r="K1183" s="154" t="s">
        <v>91</v>
      </c>
      <c r="L1183" s="154" t="s">
        <v>1897</v>
      </c>
      <c r="M1183" s="154" t="s">
        <v>1383</v>
      </c>
      <c r="N1183" s="154" t="s">
        <v>61</v>
      </c>
      <c r="O1183" s="154" t="s">
        <v>62</v>
      </c>
      <c r="P1183" s="146">
        <v>0.32</v>
      </c>
      <c r="Q1183" s="146">
        <v>0</v>
      </c>
      <c r="R1183" s="154" t="s">
        <v>1384</v>
      </c>
      <c r="S1183" s="154" t="s">
        <v>1899</v>
      </c>
      <c r="T1183" s="155" t="s">
        <v>1899</v>
      </c>
      <c r="U1183" s="155" t="s">
        <v>1899</v>
      </c>
      <c r="V1183" s="154" t="s">
        <v>1562</v>
      </c>
      <c r="W1183" s="154">
        <v>0</v>
      </c>
      <c r="X1183" s="154" t="s">
        <v>63</v>
      </c>
      <c r="Y1183" s="154" t="s">
        <v>1900</v>
      </c>
      <c r="Z1183" s="154"/>
      <c r="AA1183" s="154" t="s">
        <v>1387</v>
      </c>
      <c r="AB1183" s="154">
        <v>0</v>
      </c>
      <c r="AC1183" s="138">
        <f>IFERROR(IF(DATEDIF(#REF!,U1183,"m")&lt;=1,1,IF(AND(DATEDIF(#REF!,U1183,"m")&gt;1,DATEDIF(#REF!,U1183,"m")&lt;12),2,IF(AND(DATEDIF(#REF!,U1183,"m")&gt;=12,DATEDIF(#REF!,U1183,"m")&lt;24),3,IF(DATEDIF(#REF!,U1183,"m")&gt;=24,4,"")))),IF(E1183="r0320 - Deposits, not covered and not preferential",1,4))</f>
        <v>4</v>
      </c>
    </row>
    <row r="1184" spans="3:29" ht="36.75" thickBot="1" x14ac:dyDescent="0.3">
      <c r="C1184" s="11">
        <v>999</v>
      </c>
      <c r="D1184" s="154">
        <v>1177</v>
      </c>
      <c r="E1184" s="154" t="s">
        <v>1898</v>
      </c>
      <c r="F1184" s="154" t="s">
        <v>87</v>
      </c>
      <c r="G1184" s="154" t="s">
        <v>1402</v>
      </c>
      <c r="H1184" s="154" t="s">
        <v>250</v>
      </c>
      <c r="I1184" s="154" t="s">
        <v>89</v>
      </c>
      <c r="J1184" s="154" t="s">
        <v>90</v>
      </c>
      <c r="K1184" s="154" t="s">
        <v>91</v>
      </c>
      <c r="L1184" s="154" t="s">
        <v>1901</v>
      </c>
      <c r="M1184" s="154" t="s">
        <v>1383</v>
      </c>
      <c r="N1184" s="154" t="s">
        <v>61</v>
      </c>
      <c r="O1184" s="154" t="s">
        <v>62</v>
      </c>
      <c r="P1184" s="146">
        <v>0.26</v>
      </c>
      <c r="Q1184" s="146">
        <v>0</v>
      </c>
      <c r="R1184" s="154" t="s">
        <v>1384</v>
      </c>
      <c r="S1184" s="154" t="s">
        <v>1899</v>
      </c>
      <c r="T1184" s="155" t="s">
        <v>1899</v>
      </c>
      <c r="U1184" s="155" t="s">
        <v>1899</v>
      </c>
      <c r="V1184" s="154" t="s">
        <v>1562</v>
      </c>
      <c r="W1184" s="154">
        <v>0</v>
      </c>
      <c r="X1184" s="154" t="s">
        <v>63</v>
      </c>
      <c r="Y1184" s="154" t="s">
        <v>1900</v>
      </c>
      <c r="Z1184" s="154"/>
      <c r="AA1184" s="154" t="s">
        <v>1387</v>
      </c>
      <c r="AB1184" s="154">
        <v>0</v>
      </c>
      <c r="AC1184" s="138">
        <f>IFERROR(IF(DATEDIF(#REF!,U1184,"m")&lt;=1,1,IF(AND(DATEDIF(#REF!,U1184,"m")&gt;1,DATEDIF(#REF!,U1184,"m")&lt;12),2,IF(AND(DATEDIF(#REF!,U1184,"m")&gt;=12,DATEDIF(#REF!,U1184,"m")&lt;24),3,IF(DATEDIF(#REF!,U1184,"m")&gt;=24,4,"")))),IF(E1184="r0320 - Deposits, not covered and not preferential",1,4))</f>
        <v>4</v>
      </c>
    </row>
    <row r="1185" spans="3:29" ht="36.75" thickBot="1" x14ac:dyDescent="0.3">
      <c r="C1185" s="11">
        <v>999</v>
      </c>
      <c r="D1185" s="154">
        <v>1178</v>
      </c>
      <c r="E1185" s="154" t="s">
        <v>1898</v>
      </c>
      <c r="F1185" s="154" t="s">
        <v>87</v>
      </c>
      <c r="G1185" s="154" t="s">
        <v>1402</v>
      </c>
      <c r="H1185" s="154" t="s">
        <v>660</v>
      </c>
      <c r="I1185" s="154" t="s">
        <v>108</v>
      </c>
      <c r="J1185" s="154" t="s">
        <v>90</v>
      </c>
      <c r="K1185" s="154" t="s">
        <v>91</v>
      </c>
      <c r="L1185" s="154" t="s">
        <v>1897</v>
      </c>
      <c r="M1185" s="154" t="s">
        <v>1383</v>
      </c>
      <c r="N1185" s="154" t="s">
        <v>61</v>
      </c>
      <c r="O1185" s="154" t="s">
        <v>62</v>
      </c>
      <c r="P1185" s="146">
        <v>5.91</v>
      </c>
      <c r="Q1185" s="146">
        <v>0</v>
      </c>
      <c r="R1185" s="154" t="s">
        <v>1384</v>
      </c>
      <c r="S1185" s="154" t="s">
        <v>1899</v>
      </c>
      <c r="T1185" s="155" t="s">
        <v>1899</v>
      </c>
      <c r="U1185" s="155" t="s">
        <v>1899</v>
      </c>
      <c r="V1185" s="154" t="s">
        <v>1562</v>
      </c>
      <c r="W1185" s="154">
        <v>0</v>
      </c>
      <c r="X1185" s="154" t="s">
        <v>63</v>
      </c>
      <c r="Y1185" s="154" t="s">
        <v>1900</v>
      </c>
      <c r="Z1185" s="154"/>
      <c r="AA1185" s="154" t="s">
        <v>1387</v>
      </c>
      <c r="AB1185" s="154">
        <v>0</v>
      </c>
      <c r="AC1185" s="138">
        <f>IFERROR(IF(DATEDIF(#REF!,U1185,"m")&lt;=1,1,IF(AND(DATEDIF(#REF!,U1185,"m")&gt;1,DATEDIF(#REF!,U1185,"m")&lt;12),2,IF(AND(DATEDIF(#REF!,U1185,"m")&gt;=12,DATEDIF(#REF!,U1185,"m")&lt;24),3,IF(DATEDIF(#REF!,U1185,"m")&gt;=24,4,"")))),IF(E1185="r0320 - Deposits, not covered and not preferential",1,4))</f>
        <v>4</v>
      </c>
    </row>
    <row r="1186" spans="3:29" ht="36.75" thickBot="1" x14ac:dyDescent="0.3">
      <c r="C1186" s="11">
        <v>999</v>
      </c>
      <c r="D1186" s="154">
        <v>1179</v>
      </c>
      <c r="E1186" s="154" t="s">
        <v>1898</v>
      </c>
      <c r="F1186" s="154" t="s">
        <v>87</v>
      </c>
      <c r="G1186" s="154" t="s">
        <v>1402</v>
      </c>
      <c r="H1186" s="154" t="s">
        <v>655</v>
      </c>
      <c r="I1186" s="154" t="s">
        <v>89</v>
      </c>
      <c r="J1186" s="154" t="s">
        <v>90</v>
      </c>
      <c r="K1186" s="154" t="s">
        <v>91</v>
      </c>
      <c r="L1186" s="154" t="s">
        <v>1901</v>
      </c>
      <c r="M1186" s="154" t="s">
        <v>1383</v>
      </c>
      <c r="N1186" s="154" t="s">
        <v>61</v>
      </c>
      <c r="O1186" s="154" t="s">
        <v>62</v>
      </c>
      <c r="P1186" s="146">
        <v>0.12</v>
      </c>
      <c r="Q1186" s="146">
        <v>0</v>
      </c>
      <c r="R1186" s="154" t="s">
        <v>1384</v>
      </c>
      <c r="S1186" s="154" t="s">
        <v>1899</v>
      </c>
      <c r="T1186" s="155" t="s">
        <v>1899</v>
      </c>
      <c r="U1186" s="155" t="s">
        <v>1899</v>
      </c>
      <c r="V1186" s="154" t="s">
        <v>1562</v>
      </c>
      <c r="W1186" s="154">
        <v>0</v>
      </c>
      <c r="X1186" s="154" t="s">
        <v>63</v>
      </c>
      <c r="Y1186" s="154" t="s">
        <v>1900</v>
      </c>
      <c r="Z1186" s="154"/>
      <c r="AA1186" s="154" t="s">
        <v>1387</v>
      </c>
      <c r="AB1186" s="154">
        <v>0</v>
      </c>
      <c r="AC1186" s="138">
        <f>IFERROR(IF(DATEDIF(#REF!,U1186,"m")&lt;=1,1,IF(AND(DATEDIF(#REF!,U1186,"m")&gt;1,DATEDIF(#REF!,U1186,"m")&lt;12),2,IF(AND(DATEDIF(#REF!,U1186,"m")&gt;=12,DATEDIF(#REF!,U1186,"m")&lt;24),3,IF(DATEDIF(#REF!,U1186,"m")&gt;=24,4,"")))),IF(E1186="r0320 - Deposits, not covered and not preferential",1,4))</f>
        <v>4</v>
      </c>
    </row>
    <row r="1187" spans="3:29" ht="36.75" thickBot="1" x14ac:dyDescent="0.3">
      <c r="C1187" s="11">
        <v>999</v>
      </c>
      <c r="D1187" s="154">
        <v>1180</v>
      </c>
      <c r="E1187" s="154" t="s">
        <v>1898</v>
      </c>
      <c r="F1187" s="154" t="s">
        <v>87</v>
      </c>
      <c r="G1187" s="154" t="s">
        <v>1402</v>
      </c>
      <c r="H1187" s="154" t="s">
        <v>628</v>
      </c>
      <c r="I1187" s="154" t="s">
        <v>89</v>
      </c>
      <c r="J1187" s="154" t="s">
        <v>90</v>
      </c>
      <c r="K1187" s="154" t="s">
        <v>91</v>
      </c>
      <c r="L1187" s="154" t="s">
        <v>1901</v>
      </c>
      <c r="M1187" s="154" t="s">
        <v>1383</v>
      </c>
      <c r="N1187" s="154" t="s">
        <v>61</v>
      </c>
      <c r="O1187" s="154" t="s">
        <v>62</v>
      </c>
      <c r="P1187" s="146">
        <v>0.14000000000000001</v>
      </c>
      <c r="Q1187" s="146">
        <v>0</v>
      </c>
      <c r="R1187" s="154" t="s">
        <v>1384</v>
      </c>
      <c r="S1187" s="154" t="s">
        <v>1899</v>
      </c>
      <c r="T1187" s="155" t="s">
        <v>1899</v>
      </c>
      <c r="U1187" s="155" t="s">
        <v>1899</v>
      </c>
      <c r="V1187" s="154" t="s">
        <v>1562</v>
      </c>
      <c r="W1187" s="154">
        <v>0</v>
      </c>
      <c r="X1187" s="154" t="s">
        <v>63</v>
      </c>
      <c r="Y1187" s="154" t="s">
        <v>1900</v>
      </c>
      <c r="Z1187" s="154"/>
      <c r="AA1187" s="154" t="s">
        <v>1387</v>
      </c>
      <c r="AB1187" s="154">
        <v>0</v>
      </c>
      <c r="AC1187" s="138">
        <f>IFERROR(IF(DATEDIF(#REF!,U1187,"m")&lt;=1,1,IF(AND(DATEDIF(#REF!,U1187,"m")&gt;1,DATEDIF(#REF!,U1187,"m")&lt;12),2,IF(AND(DATEDIF(#REF!,U1187,"m")&gt;=12,DATEDIF(#REF!,U1187,"m")&lt;24),3,IF(DATEDIF(#REF!,U1187,"m")&gt;=24,4,"")))),IF(E1187="r0320 - Deposits, not covered and not preferential",1,4))</f>
        <v>4</v>
      </c>
    </row>
    <row r="1188" spans="3:29" ht="36.75" thickBot="1" x14ac:dyDescent="0.3">
      <c r="C1188" s="11">
        <v>999</v>
      </c>
      <c r="D1188" s="154">
        <v>1181</v>
      </c>
      <c r="E1188" s="154" t="s">
        <v>1898</v>
      </c>
      <c r="F1188" s="154" t="s">
        <v>87</v>
      </c>
      <c r="G1188" s="154" t="s">
        <v>1402</v>
      </c>
      <c r="H1188" s="154" t="s">
        <v>401</v>
      </c>
      <c r="I1188" s="154" t="s">
        <v>89</v>
      </c>
      <c r="J1188" s="154" t="s">
        <v>90</v>
      </c>
      <c r="K1188" s="154" t="s">
        <v>91</v>
      </c>
      <c r="L1188" s="154" t="s">
        <v>1901</v>
      </c>
      <c r="M1188" s="154" t="s">
        <v>1383</v>
      </c>
      <c r="N1188" s="154" t="s">
        <v>61</v>
      </c>
      <c r="O1188" s="154" t="s">
        <v>62</v>
      </c>
      <c r="P1188" s="146">
        <v>0.33</v>
      </c>
      <c r="Q1188" s="146">
        <v>0</v>
      </c>
      <c r="R1188" s="154" t="s">
        <v>1384</v>
      </c>
      <c r="S1188" s="154" t="s">
        <v>1899</v>
      </c>
      <c r="T1188" s="155" t="s">
        <v>1899</v>
      </c>
      <c r="U1188" s="155" t="s">
        <v>1899</v>
      </c>
      <c r="V1188" s="154" t="s">
        <v>1562</v>
      </c>
      <c r="W1188" s="154">
        <v>0</v>
      </c>
      <c r="X1188" s="154" t="s">
        <v>63</v>
      </c>
      <c r="Y1188" s="154" t="s">
        <v>1900</v>
      </c>
      <c r="Z1188" s="154"/>
      <c r="AA1188" s="154" t="s">
        <v>1387</v>
      </c>
      <c r="AB1188" s="154">
        <v>0</v>
      </c>
      <c r="AC1188" s="138">
        <f>IFERROR(IF(DATEDIF(#REF!,U1188,"m")&lt;=1,1,IF(AND(DATEDIF(#REF!,U1188,"m")&gt;1,DATEDIF(#REF!,U1188,"m")&lt;12),2,IF(AND(DATEDIF(#REF!,U1188,"m")&gt;=12,DATEDIF(#REF!,U1188,"m")&lt;24),3,IF(DATEDIF(#REF!,U1188,"m")&gt;=24,4,"")))),IF(E1188="r0320 - Deposits, not covered and not preferential",1,4))</f>
        <v>4</v>
      </c>
    </row>
    <row r="1189" spans="3:29" ht="36.75" thickBot="1" x14ac:dyDescent="0.3">
      <c r="C1189" s="11">
        <v>999</v>
      </c>
      <c r="D1189" s="154">
        <v>1182</v>
      </c>
      <c r="E1189" s="154" t="s">
        <v>1898</v>
      </c>
      <c r="F1189" s="154" t="s">
        <v>87</v>
      </c>
      <c r="G1189" s="154" t="s">
        <v>1402</v>
      </c>
      <c r="H1189" s="154" t="s">
        <v>1118</v>
      </c>
      <c r="I1189" s="154" t="s">
        <v>89</v>
      </c>
      <c r="J1189" s="154" t="s">
        <v>90</v>
      </c>
      <c r="K1189" s="154" t="s">
        <v>91</v>
      </c>
      <c r="L1189" s="154" t="s">
        <v>1901</v>
      </c>
      <c r="M1189" s="154" t="s">
        <v>1383</v>
      </c>
      <c r="N1189" s="154" t="s">
        <v>61</v>
      </c>
      <c r="O1189" s="154" t="s">
        <v>62</v>
      </c>
      <c r="P1189" s="146">
        <v>0.11</v>
      </c>
      <c r="Q1189" s="146">
        <v>0</v>
      </c>
      <c r="R1189" s="154" t="s">
        <v>1384</v>
      </c>
      <c r="S1189" s="154" t="s">
        <v>1899</v>
      </c>
      <c r="T1189" s="155" t="s">
        <v>1899</v>
      </c>
      <c r="U1189" s="155" t="s">
        <v>1899</v>
      </c>
      <c r="V1189" s="154" t="s">
        <v>1562</v>
      </c>
      <c r="W1189" s="154">
        <v>0</v>
      </c>
      <c r="X1189" s="154" t="s">
        <v>63</v>
      </c>
      <c r="Y1189" s="154" t="s">
        <v>1900</v>
      </c>
      <c r="Z1189" s="154"/>
      <c r="AA1189" s="154" t="s">
        <v>1387</v>
      </c>
      <c r="AB1189" s="154">
        <v>0</v>
      </c>
      <c r="AC1189" s="138">
        <f>IFERROR(IF(DATEDIF(#REF!,U1189,"m")&lt;=1,1,IF(AND(DATEDIF(#REF!,U1189,"m")&gt;1,DATEDIF(#REF!,U1189,"m")&lt;12),2,IF(AND(DATEDIF(#REF!,U1189,"m")&gt;=12,DATEDIF(#REF!,U1189,"m")&lt;24),3,IF(DATEDIF(#REF!,U1189,"m")&gt;=24,4,"")))),IF(E1189="r0320 - Deposits, not covered and not preferential",1,4))</f>
        <v>4</v>
      </c>
    </row>
    <row r="1190" spans="3:29" ht="36.75" thickBot="1" x14ac:dyDescent="0.3">
      <c r="C1190" s="11">
        <v>999</v>
      </c>
      <c r="D1190" s="154">
        <v>1183</v>
      </c>
      <c r="E1190" s="154" t="s">
        <v>1898</v>
      </c>
      <c r="F1190" s="154" t="s">
        <v>87</v>
      </c>
      <c r="G1190" s="154" t="s">
        <v>1402</v>
      </c>
      <c r="H1190" s="154" t="s">
        <v>657</v>
      </c>
      <c r="I1190" s="154" t="s">
        <v>89</v>
      </c>
      <c r="J1190" s="154" t="s">
        <v>90</v>
      </c>
      <c r="K1190" s="154" t="s">
        <v>91</v>
      </c>
      <c r="L1190" s="154" t="s">
        <v>1901</v>
      </c>
      <c r="M1190" s="154" t="s">
        <v>1383</v>
      </c>
      <c r="N1190" s="154" t="s">
        <v>61</v>
      </c>
      <c r="O1190" s="154" t="s">
        <v>62</v>
      </c>
      <c r="P1190" s="146">
        <v>0.11</v>
      </c>
      <c r="Q1190" s="146">
        <v>0</v>
      </c>
      <c r="R1190" s="154" t="s">
        <v>1384</v>
      </c>
      <c r="S1190" s="154" t="s">
        <v>1899</v>
      </c>
      <c r="T1190" s="155" t="s">
        <v>1899</v>
      </c>
      <c r="U1190" s="155" t="s">
        <v>1899</v>
      </c>
      <c r="V1190" s="154" t="s">
        <v>1562</v>
      </c>
      <c r="W1190" s="154">
        <v>0</v>
      </c>
      <c r="X1190" s="154" t="s">
        <v>63</v>
      </c>
      <c r="Y1190" s="154" t="s">
        <v>1900</v>
      </c>
      <c r="Z1190" s="154"/>
      <c r="AA1190" s="154" t="s">
        <v>1387</v>
      </c>
      <c r="AB1190" s="154">
        <v>0</v>
      </c>
      <c r="AC1190" s="138">
        <f>IFERROR(IF(DATEDIF(#REF!,U1190,"m")&lt;=1,1,IF(AND(DATEDIF(#REF!,U1190,"m")&gt;1,DATEDIF(#REF!,U1190,"m")&lt;12),2,IF(AND(DATEDIF(#REF!,U1190,"m")&gt;=12,DATEDIF(#REF!,U1190,"m")&lt;24),3,IF(DATEDIF(#REF!,U1190,"m")&gt;=24,4,"")))),IF(E1190="r0320 - Deposits, not covered and not preferential",1,4))</f>
        <v>4</v>
      </c>
    </row>
    <row r="1191" spans="3:29" ht="36.75" thickBot="1" x14ac:dyDescent="0.3">
      <c r="C1191" s="11">
        <v>999</v>
      </c>
      <c r="D1191" s="154">
        <v>1184</v>
      </c>
      <c r="E1191" s="154" t="s">
        <v>1898</v>
      </c>
      <c r="F1191" s="154" t="s">
        <v>87</v>
      </c>
      <c r="G1191" s="154" t="s">
        <v>1402</v>
      </c>
      <c r="H1191" s="154" t="s">
        <v>654</v>
      </c>
      <c r="I1191" s="154" t="s">
        <v>89</v>
      </c>
      <c r="J1191" s="154" t="s">
        <v>90</v>
      </c>
      <c r="K1191" s="154" t="s">
        <v>91</v>
      </c>
      <c r="L1191" s="154" t="s">
        <v>1901</v>
      </c>
      <c r="M1191" s="154" t="s">
        <v>1383</v>
      </c>
      <c r="N1191" s="154" t="s">
        <v>61</v>
      </c>
      <c r="O1191" s="154" t="s">
        <v>62</v>
      </c>
      <c r="P1191" s="146">
        <v>0.53</v>
      </c>
      <c r="Q1191" s="146">
        <v>0</v>
      </c>
      <c r="R1191" s="154" t="s">
        <v>1384</v>
      </c>
      <c r="S1191" s="154" t="s">
        <v>1899</v>
      </c>
      <c r="T1191" s="155" t="s">
        <v>1899</v>
      </c>
      <c r="U1191" s="155" t="s">
        <v>1899</v>
      </c>
      <c r="V1191" s="154" t="s">
        <v>1562</v>
      </c>
      <c r="W1191" s="154">
        <v>0</v>
      </c>
      <c r="X1191" s="154" t="s">
        <v>63</v>
      </c>
      <c r="Y1191" s="154" t="s">
        <v>1900</v>
      </c>
      <c r="Z1191" s="154"/>
      <c r="AA1191" s="154" t="s">
        <v>1387</v>
      </c>
      <c r="AB1191" s="154">
        <v>0</v>
      </c>
      <c r="AC1191" s="138">
        <f>IFERROR(IF(DATEDIF(#REF!,U1191,"m")&lt;=1,1,IF(AND(DATEDIF(#REF!,U1191,"m")&gt;1,DATEDIF(#REF!,U1191,"m")&lt;12),2,IF(AND(DATEDIF(#REF!,U1191,"m")&gt;=12,DATEDIF(#REF!,U1191,"m")&lt;24),3,IF(DATEDIF(#REF!,U1191,"m")&gt;=24,4,"")))),IF(E1191="r0320 - Deposits, not covered and not preferential",1,4))</f>
        <v>4</v>
      </c>
    </row>
    <row r="1192" spans="3:29" ht="36.75" thickBot="1" x14ac:dyDescent="0.3">
      <c r="C1192" s="11">
        <v>999</v>
      </c>
      <c r="D1192" s="154">
        <v>1185</v>
      </c>
      <c r="E1192" s="154" t="s">
        <v>1898</v>
      </c>
      <c r="F1192" s="154" t="s">
        <v>87</v>
      </c>
      <c r="G1192" s="154" t="s">
        <v>1402</v>
      </c>
      <c r="H1192" s="154" t="s">
        <v>133</v>
      </c>
      <c r="I1192" s="154" t="s">
        <v>89</v>
      </c>
      <c r="J1192" s="154" t="s">
        <v>90</v>
      </c>
      <c r="K1192" s="154" t="s">
        <v>91</v>
      </c>
      <c r="L1192" s="154" t="s">
        <v>1901</v>
      </c>
      <c r="M1192" s="154" t="s">
        <v>1383</v>
      </c>
      <c r="N1192" s="154" t="s">
        <v>61</v>
      </c>
      <c r="O1192" s="154" t="s">
        <v>62</v>
      </c>
      <c r="P1192" s="146">
        <v>0.11</v>
      </c>
      <c r="Q1192" s="146">
        <v>0</v>
      </c>
      <c r="R1192" s="154" t="s">
        <v>1384</v>
      </c>
      <c r="S1192" s="154" t="s">
        <v>1899</v>
      </c>
      <c r="T1192" s="155" t="s">
        <v>1899</v>
      </c>
      <c r="U1192" s="155" t="s">
        <v>1899</v>
      </c>
      <c r="V1192" s="154" t="s">
        <v>1562</v>
      </c>
      <c r="W1192" s="154">
        <v>0</v>
      </c>
      <c r="X1192" s="154" t="s">
        <v>63</v>
      </c>
      <c r="Y1192" s="154" t="s">
        <v>1900</v>
      </c>
      <c r="Z1192" s="154"/>
      <c r="AA1192" s="154" t="s">
        <v>1387</v>
      </c>
      <c r="AB1192" s="154">
        <v>0</v>
      </c>
      <c r="AC1192" s="138">
        <f>IFERROR(IF(DATEDIF(#REF!,U1192,"m")&lt;=1,1,IF(AND(DATEDIF(#REF!,U1192,"m")&gt;1,DATEDIF(#REF!,U1192,"m")&lt;12),2,IF(AND(DATEDIF(#REF!,U1192,"m")&gt;=12,DATEDIF(#REF!,U1192,"m")&lt;24),3,IF(DATEDIF(#REF!,U1192,"m")&gt;=24,4,"")))),IF(E1192="r0320 - Deposits, not covered and not preferential",1,4))</f>
        <v>4</v>
      </c>
    </row>
    <row r="1193" spans="3:29" ht="48.75" thickBot="1" x14ac:dyDescent="0.3">
      <c r="C1193" s="11">
        <v>999</v>
      </c>
      <c r="D1193" s="154">
        <v>1186</v>
      </c>
      <c r="E1193" s="154" t="s">
        <v>1902</v>
      </c>
      <c r="F1193" s="154" t="s">
        <v>83</v>
      </c>
      <c r="G1193" s="154" t="s">
        <v>1903</v>
      </c>
      <c r="H1193" s="154" t="s">
        <v>400</v>
      </c>
      <c r="I1193" s="154" t="s">
        <v>93</v>
      </c>
      <c r="J1193" s="154" t="s">
        <v>94</v>
      </c>
      <c r="K1193" s="154" t="s">
        <v>60</v>
      </c>
      <c r="L1193" s="154" t="s">
        <v>1897</v>
      </c>
      <c r="M1193" s="154" t="s">
        <v>1388</v>
      </c>
      <c r="N1193" s="154" t="s">
        <v>61</v>
      </c>
      <c r="O1193" s="154" t="s">
        <v>62</v>
      </c>
      <c r="P1193" s="146">
        <v>466297.72</v>
      </c>
      <c r="Q1193" s="146">
        <v>137.83000000000001</v>
      </c>
      <c r="R1193" s="154" t="s">
        <v>1384</v>
      </c>
      <c r="S1193" s="154" t="s">
        <v>1899</v>
      </c>
      <c r="T1193" s="155" t="s">
        <v>768</v>
      </c>
      <c r="U1193" s="155" t="s">
        <v>1899</v>
      </c>
      <c r="V1193" s="154" t="s">
        <v>1904</v>
      </c>
      <c r="W1193" s="154">
        <v>0</v>
      </c>
      <c r="X1193" s="154" t="s">
        <v>63</v>
      </c>
      <c r="Y1193" s="154" t="s">
        <v>1386</v>
      </c>
      <c r="Z1193" s="154"/>
      <c r="AA1193" s="154" t="s">
        <v>1387</v>
      </c>
      <c r="AB1193" s="154">
        <v>0</v>
      </c>
      <c r="AC1193" s="138">
        <f>IFERROR(IF(DATEDIF(#REF!,U1193,"m")&lt;=1,1,IF(AND(DATEDIF(#REF!,U1193,"m")&gt;1,DATEDIF(#REF!,U1193,"m")&lt;12),2,IF(AND(DATEDIF(#REF!,U1193,"m")&gt;=12,DATEDIF(#REF!,U1193,"m")&lt;24),3,IF(DATEDIF(#REF!,U1193,"m")&gt;=24,4,"")))),IF(E1193="r0320 - Deposits, not covered and not preferential",1,4))</f>
        <v>4</v>
      </c>
    </row>
    <row r="1194" spans="3:29" ht="36.75" thickBot="1" x14ac:dyDescent="0.3">
      <c r="C1194" s="11">
        <v>999</v>
      </c>
      <c r="D1194" s="154">
        <v>1187</v>
      </c>
      <c r="E1194" s="154" t="s">
        <v>1898</v>
      </c>
      <c r="F1194" s="154" t="s">
        <v>87</v>
      </c>
      <c r="G1194" s="154" t="s">
        <v>1402</v>
      </c>
      <c r="H1194" s="154" t="s">
        <v>659</v>
      </c>
      <c r="I1194" s="154" t="s">
        <v>111</v>
      </c>
      <c r="J1194" s="154" t="s">
        <v>90</v>
      </c>
      <c r="K1194" s="154" t="s">
        <v>91</v>
      </c>
      <c r="L1194" s="154" t="s">
        <v>1897</v>
      </c>
      <c r="M1194" s="154" t="s">
        <v>1383</v>
      </c>
      <c r="N1194" s="154" t="s">
        <v>61</v>
      </c>
      <c r="O1194" s="154" t="s">
        <v>62</v>
      </c>
      <c r="P1194" s="146">
        <v>0.03</v>
      </c>
      <c r="Q1194" s="146">
        <v>0</v>
      </c>
      <c r="R1194" s="154" t="s">
        <v>1384</v>
      </c>
      <c r="S1194" s="154" t="s">
        <v>1899</v>
      </c>
      <c r="T1194" s="155" t="s">
        <v>1899</v>
      </c>
      <c r="U1194" s="155" t="s">
        <v>1899</v>
      </c>
      <c r="V1194" s="154" t="s">
        <v>1562</v>
      </c>
      <c r="W1194" s="154">
        <v>0</v>
      </c>
      <c r="X1194" s="154" t="s">
        <v>63</v>
      </c>
      <c r="Y1194" s="154" t="s">
        <v>1900</v>
      </c>
      <c r="Z1194" s="154"/>
      <c r="AA1194" s="154" t="s">
        <v>1387</v>
      </c>
      <c r="AB1194" s="154">
        <v>0</v>
      </c>
      <c r="AC1194" s="138">
        <f>IFERROR(IF(DATEDIF(#REF!,U1194,"m")&lt;=1,1,IF(AND(DATEDIF(#REF!,U1194,"m")&gt;1,DATEDIF(#REF!,U1194,"m")&lt;12),2,IF(AND(DATEDIF(#REF!,U1194,"m")&gt;=12,DATEDIF(#REF!,U1194,"m")&lt;24),3,IF(DATEDIF(#REF!,U1194,"m")&gt;=24,4,"")))),IF(E1194="r0320 - Deposits, not covered and not preferential",1,4))</f>
        <v>4</v>
      </c>
    </row>
    <row r="1195" spans="3:29" ht="36.75" thickBot="1" x14ac:dyDescent="0.3">
      <c r="C1195" s="11">
        <v>999</v>
      </c>
      <c r="D1195" s="154">
        <v>1188</v>
      </c>
      <c r="E1195" s="154" t="s">
        <v>1898</v>
      </c>
      <c r="F1195" s="154" t="s">
        <v>87</v>
      </c>
      <c r="G1195" s="154" t="s">
        <v>1402</v>
      </c>
      <c r="H1195" s="154" t="s">
        <v>1065</v>
      </c>
      <c r="I1195" s="154" t="s">
        <v>89</v>
      </c>
      <c r="J1195" s="154" t="s">
        <v>90</v>
      </c>
      <c r="K1195" s="154" t="s">
        <v>91</v>
      </c>
      <c r="L1195" s="154" t="s">
        <v>1901</v>
      </c>
      <c r="M1195" s="154" t="s">
        <v>1383</v>
      </c>
      <c r="N1195" s="154" t="s">
        <v>61</v>
      </c>
      <c r="O1195" s="154" t="s">
        <v>62</v>
      </c>
      <c r="P1195" s="146">
        <v>0.39</v>
      </c>
      <c r="Q1195" s="146">
        <v>0</v>
      </c>
      <c r="R1195" s="154" t="s">
        <v>1384</v>
      </c>
      <c r="S1195" s="154" t="s">
        <v>1899</v>
      </c>
      <c r="T1195" s="155" t="s">
        <v>1899</v>
      </c>
      <c r="U1195" s="155" t="s">
        <v>1899</v>
      </c>
      <c r="V1195" s="154" t="s">
        <v>1562</v>
      </c>
      <c r="W1195" s="154">
        <v>0</v>
      </c>
      <c r="X1195" s="154" t="s">
        <v>63</v>
      </c>
      <c r="Y1195" s="154" t="s">
        <v>1900</v>
      </c>
      <c r="Z1195" s="154"/>
      <c r="AA1195" s="154" t="s">
        <v>1387</v>
      </c>
      <c r="AB1195" s="154">
        <v>0</v>
      </c>
      <c r="AC1195" s="138">
        <f>IFERROR(IF(DATEDIF(#REF!,U1195,"m")&lt;=1,1,IF(AND(DATEDIF(#REF!,U1195,"m")&gt;1,DATEDIF(#REF!,U1195,"m")&lt;12),2,IF(AND(DATEDIF(#REF!,U1195,"m")&gt;=12,DATEDIF(#REF!,U1195,"m")&lt;24),3,IF(DATEDIF(#REF!,U1195,"m")&gt;=24,4,"")))),IF(E1195="r0320 - Deposits, not covered and not preferential",1,4))</f>
        <v>4</v>
      </c>
    </row>
    <row r="1196" spans="3:29" ht="36.75" thickBot="1" x14ac:dyDescent="0.3">
      <c r="C1196" s="11">
        <v>999</v>
      </c>
      <c r="D1196" s="154">
        <v>1189</v>
      </c>
      <c r="E1196" s="154" t="s">
        <v>1898</v>
      </c>
      <c r="F1196" s="154" t="s">
        <v>87</v>
      </c>
      <c r="G1196" s="154" t="s">
        <v>1402</v>
      </c>
      <c r="H1196" s="154" t="s">
        <v>403</v>
      </c>
      <c r="I1196" s="154" t="s">
        <v>89</v>
      </c>
      <c r="J1196" s="154" t="s">
        <v>90</v>
      </c>
      <c r="K1196" s="154" t="s">
        <v>91</v>
      </c>
      <c r="L1196" s="154" t="s">
        <v>1901</v>
      </c>
      <c r="M1196" s="154" t="s">
        <v>1383</v>
      </c>
      <c r="N1196" s="154" t="s">
        <v>61</v>
      </c>
      <c r="O1196" s="154" t="s">
        <v>62</v>
      </c>
      <c r="P1196" s="146">
        <v>0.18</v>
      </c>
      <c r="Q1196" s="146">
        <v>0</v>
      </c>
      <c r="R1196" s="154" t="s">
        <v>1384</v>
      </c>
      <c r="S1196" s="154" t="s">
        <v>1899</v>
      </c>
      <c r="T1196" s="155" t="s">
        <v>1899</v>
      </c>
      <c r="U1196" s="155" t="s">
        <v>1899</v>
      </c>
      <c r="V1196" s="154" t="s">
        <v>1562</v>
      </c>
      <c r="W1196" s="154">
        <v>0</v>
      </c>
      <c r="X1196" s="154" t="s">
        <v>63</v>
      </c>
      <c r="Y1196" s="154" t="s">
        <v>1900</v>
      </c>
      <c r="Z1196" s="154"/>
      <c r="AA1196" s="154" t="s">
        <v>1387</v>
      </c>
      <c r="AB1196" s="154">
        <v>0</v>
      </c>
      <c r="AC1196" s="138">
        <f>IFERROR(IF(DATEDIF(#REF!,U1196,"m")&lt;=1,1,IF(AND(DATEDIF(#REF!,U1196,"m")&gt;1,DATEDIF(#REF!,U1196,"m")&lt;12),2,IF(AND(DATEDIF(#REF!,U1196,"m")&gt;=12,DATEDIF(#REF!,U1196,"m")&lt;24),3,IF(DATEDIF(#REF!,U1196,"m")&gt;=24,4,"")))),IF(E1196="r0320 - Deposits, not covered and not preferential",1,4))</f>
        <v>4</v>
      </c>
    </row>
    <row r="1197" spans="3:29" ht="36.75" thickBot="1" x14ac:dyDescent="0.3">
      <c r="C1197" s="11">
        <v>999</v>
      </c>
      <c r="D1197" s="154">
        <v>1190</v>
      </c>
      <c r="E1197" s="154" t="s">
        <v>1898</v>
      </c>
      <c r="F1197" s="154" t="s">
        <v>87</v>
      </c>
      <c r="G1197" s="154" t="s">
        <v>1402</v>
      </c>
      <c r="H1197" s="154" t="s">
        <v>695</v>
      </c>
      <c r="I1197" s="154" t="s">
        <v>108</v>
      </c>
      <c r="J1197" s="154" t="s">
        <v>90</v>
      </c>
      <c r="K1197" s="154" t="s">
        <v>91</v>
      </c>
      <c r="L1197" s="154" t="s">
        <v>1897</v>
      </c>
      <c r="M1197" s="154" t="s">
        <v>1383</v>
      </c>
      <c r="N1197" s="154" t="s">
        <v>61</v>
      </c>
      <c r="O1197" s="154" t="s">
        <v>62</v>
      </c>
      <c r="P1197" s="146">
        <v>0.51</v>
      </c>
      <c r="Q1197" s="146">
        <v>0</v>
      </c>
      <c r="R1197" s="154" t="s">
        <v>1384</v>
      </c>
      <c r="S1197" s="154" t="s">
        <v>1899</v>
      </c>
      <c r="T1197" s="155" t="s">
        <v>1899</v>
      </c>
      <c r="U1197" s="155" t="s">
        <v>1899</v>
      </c>
      <c r="V1197" s="154" t="s">
        <v>1562</v>
      </c>
      <c r="W1197" s="154">
        <v>0</v>
      </c>
      <c r="X1197" s="154" t="s">
        <v>63</v>
      </c>
      <c r="Y1197" s="154" t="s">
        <v>1900</v>
      </c>
      <c r="Z1197" s="154"/>
      <c r="AA1197" s="154" t="s">
        <v>1387</v>
      </c>
      <c r="AB1197" s="154">
        <v>0</v>
      </c>
      <c r="AC1197" s="138">
        <f>IFERROR(IF(DATEDIF(#REF!,U1197,"m")&lt;=1,1,IF(AND(DATEDIF(#REF!,U1197,"m")&gt;1,DATEDIF(#REF!,U1197,"m")&lt;12),2,IF(AND(DATEDIF(#REF!,U1197,"m")&gt;=12,DATEDIF(#REF!,U1197,"m")&lt;24),3,IF(DATEDIF(#REF!,U1197,"m")&gt;=24,4,"")))),IF(E1197="r0320 - Deposits, not covered and not preferential",1,4))</f>
        <v>4</v>
      </c>
    </row>
    <row r="1198" spans="3:29" ht="36.75" thickBot="1" x14ac:dyDescent="0.3">
      <c r="C1198" s="11">
        <v>999</v>
      </c>
      <c r="D1198" s="154">
        <v>1191</v>
      </c>
      <c r="E1198" s="154" t="s">
        <v>1898</v>
      </c>
      <c r="F1198" s="154" t="s">
        <v>87</v>
      </c>
      <c r="G1198" s="154" t="s">
        <v>1402</v>
      </c>
      <c r="H1198" s="154" t="s">
        <v>661</v>
      </c>
      <c r="I1198" s="154" t="s">
        <v>89</v>
      </c>
      <c r="J1198" s="154" t="s">
        <v>90</v>
      </c>
      <c r="K1198" s="154" t="s">
        <v>91</v>
      </c>
      <c r="L1198" s="154" t="s">
        <v>1901</v>
      </c>
      <c r="M1198" s="154" t="s">
        <v>1383</v>
      </c>
      <c r="N1198" s="154" t="s">
        <v>61</v>
      </c>
      <c r="O1198" s="154" t="s">
        <v>62</v>
      </c>
      <c r="P1198" s="146">
        <v>0.1</v>
      </c>
      <c r="Q1198" s="146">
        <v>0</v>
      </c>
      <c r="R1198" s="154" t="s">
        <v>1384</v>
      </c>
      <c r="S1198" s="154" t="s">
        <v>1899</v>
      </c>
      <c r="T1198" s="155" t="s">
        <v>1899</v>
      </c>
      <c r="U1198" s="155" t="s">
        <v>1899</v>
      </c>
      <c r="V1198" s="154" t="s">
        <v>1562</v>
      </c>
      <c r="W1198" s="154">
        <v>0</v>
      </c>
      <c r="X1198" s="154" t="s">
        <v>63</v>
      </c>
      <c r="Y1198" s="154" t="s">
        <v>1900</v>
      </c>
      <c r="Z1198" s="154"/>
      <c r="AA1198" s="154" t="s">
        <v>1387</v>
      </c>
      <c r="AB1198" s="154">
        <v>0</v>
      </c>
      <c r="AC1198" s="138">
        <f>IFERROR(IF(DATEDIF(#REF!,U1198,"m")&lt;=1,1,IF(AND(DATEDIF(#REF!,U1198,"m")&gt;1,DATEDIF(#REF!,U1198,"m")&lt;12),2,IF(AND(DATEDIF(#REF!,U1198,"m")&gt;=12,DATEDIF(#REF!,U1198,"m")&lt;24),3,IF(DATEDIF(#REF!,U1198,"m")&gt;=24,4,"")))),IF(E1198="r0320 - Deposits, not covered and not preferential",1,4))</f>
        <v>4</v>
      </c>
    </row>
    <row r="1199" spans="3:29" ht="36.75" thickBot="1" x14ac:dyDescent="0.3">
      <c r="C1199" s="11">
        <v>999</v>
      </c>
      <c r="D1199" s="154">
        <v>1192</v>
      </c>
      <c r="E1199" s="154" t="s">
        <v>1898</v>
      </c>
      <c r="F1199" s="154" t="s">
        <v>87</v>
      </c>
      <c r="G1199" s="154" t="s">
        <v>1402</v>
      </c>
      <c r="H1199" s="154" t="s">
        <v>251</v>
      </c>
      <c r="I1199" s="154" t="s">
        <v>89</v>
      </c>
      <c r="J1199" s="154" t="s">
        <v>90</v>
      </c>
      <c r="K1199" s="154" t="s">
        <v>91</v>
      </c>
      <c r="L1199" s="154" t="s">
        <v>1901</v>
      </c>
      <c r="M1199" s="154" t="s">
        <v>1383</v>
      </c>
      <c r="N1199" s="154" t="s">
        <v>61</v>
      </c>
      <c r="O1199" s="154" t="s">
        <v>62</v>
      </c>
      <c r="P1199" s="146">
        <v>0.11</v>
      </c>
      <c r="Q1199" s="146">
        <v>0</v>
      </c>
      <c r="R1199" s="154" t="s">
        <v>1384</v>
      </c>
      <c r="S1199" s="154" t="s">
        <v>1899</v>
      </c>
      <c r="T1199" s="155" t="s">
        <v>1899</v>
      </c>
      <c r="U1199" s="155" t="s">
        <v>1899</v>
      </c>
      <c r="V1199" s="154" t="s">
        <v>1562</v>
      </c>
      <c r="W1199" s="154">
        <v>0</v>
      </c>
      <c r="X1199" s="154" t="s">
        <v>63</v>
      </c>
      <c r="Y1199" s="154" t="s">
        <v>1900</v>
      </c>
      <c r="Z1199" s="154"/>
      <c r="AA1199" s="154" t="s">
        <v>1387</v>
      </c>
      <c r="AB1199" s="154">
        <v>0</v>
      </c>
      <c r="AC1199" s="138">
        <f>IFERROR(IF(DATEDIF(#REF!,U1199,"m")&lt;=1,1,IF(AND(DATEDIF(#REF!,U1199,"m")&gt;1,DATEDIF(#REF!,U1199,"m")&lt;12),2,IF(AND(DATEDIF(#REF!,U1199,"m")&gt;=12,DATEDIF(#REF!,U1199,"m")&lt;24),3,IF(DATEDIF(#REF!,U1199,"m")&gt;=24,4,"")))),IF(E1199="r0320 - Deposits, not covered and not preferential",1,4))</f>
        <v>4</v>
      </c>
    </row>
    <row r="1200" spans="3:29" ht="36.75" thickBot="1" x14ac:dyDescent="0.3">
      <c r="C1200" s="11">
        <v>999</v>
      </c>
      <c r="D1200" s="154">
        <v>1193</v>
      </c>
      <c r="E1200" s="154" t="s">
        <v>1898</v>
      </c>
      <c r="F1200" s="154" t="s">
        <v>87</v>
      </c>
      <c r="G1200" s="154" t="s">
        <v>1402</v>
      </c>
      <c r="H1200" s="154" t="s">
        <v>252</v>
      </c>
      <c r="I1200" s="154" t="s">
        <v>89</v>
      </c>
      <c r="J1200" s="154" t="s">
        <v>90</v>
      </c>
      <c r="K1200" s="154" t="s">
        <v>91</v>
      </c>
      <c r="L1200" s="154" t="s">
        <v>1901</v>
      </c>
      <c r="M1200" s="154" t="s">
        <v>1383</v>
      </c>
      <c r="N1200" s="154" t="s">
        <v>61</v>
      </c>
      <c r="O1200" s="154" t="s">
        <v>62</v>
      </c>
      <c r="P1200" s="146">
        <v>0.1</v>
      </c>
      <c r="Q1200" s="146">
        <v>0</v>
      </c>
      <c r="R1200" s="154" t="s">
        <v>1384</v>
      </c>
      <c r="S1200" s="154" t="s">
        <v>1899</v>
      </c>
      <c r="T1200" s="155" t="s">
        <v>1899</v>
      </c>
      <c r="U1200" s="155" t="s">
        <v>1899</v>
      </c>
      <c r="V1200" s="154" t="s">
        <v>1562</v>
      </c>
      <c r="W1200" s="154">
        <v>0</v>
      </c>
      <c r="X1200" s="154" t="s">
        <v>63</v>
      </c>
      <c r="Y1200" s="154" t="s">
        <v>1900</v>
      </c>
      <c r="Z1200" s="154"/>
      <c r="AA1200" s="154" t="s">
        <v>1387</v>
      </c>
      <c r="AB1200" s="154">
        <v>0</v>
      </c>
      <c r="AC1200" s="138">
        <f>IFERROR(IF(DATEDIF(#REF!,U1200,"m")&lt;=1,1,IF(AND(DATEDIF(#REF!,U1200,"m")&gt;1,DATEDIF(#REF!,U1200,"m")&lt;12),2,IF(AND(DATEDIF(#REF!,U1200,"m")&gt;=12,DATEDIF(#REF!,U1200,"m")&lt;24),3,IF(DATEDIF(#REF!,U1200,"m")&gt;=24,4,"")))),IF(E1200="r0320 - Deposits, not covered and not preferential",1,4))</f>
        <v>4</v>
      </c>
    </row>
    <row r="1201" spans="3:29" ht="36.75" thickBot="1" x14ac:dyDescent="0.3">
      <c r="C1201" s="11">
        <v>999</v>
      </c>
      <c r="D1201" s="154">
        <v>1194</v>
      </c>
      <c r="E1201" s="154" t="s">
        <v>1898</v>
      </c>
      <c r="F1201" s="154" t="s">
        <v>87</v>
      </c>
      <c r="G1201" s="154" t="s">
        <v>1402</v>
      </c>
      <c r="H1201" s="154" t="s">
        <v>668</v>
      </c>
      <c r="I1201" s="154" t="s">
        <v>108</v>
      </c>
      <c r="J1201" s="154" t="s">
        <v>90</v>
      </c>
      <c r="K1201" s="154" t="s">
        <v>91</v>
      </c>
      <c r="L1201" s="154" t="s">
        <v>1897</v>
      </c>
      <c r="M1201" s="154" t="s">
        <v>1383</v>
      </c>
      <c r="N1201" s="154" t="s">
        <v>61</v>
      </c>
      <c r="O1201" s="154" t="s">
        <v>62</v>
      </c>
      <c r="P1201" s="146">
        <v>0.45</v>
      </c>
      <c r="Q1201" s="146">
        <v>0</v>
      </c>
      <c r="R1201" s="154" t="s">
        <v>1384</v>
      </c>
      <c r="S1201" s="154" t="s">
        <v>1899</v>
      </c>
      <c r="T1201" s="155" t="s">
        <v>1899</v>
      </c>
      <c r="U1201" s="155" t="s">
        <v>1899</v>
      </c>
      <c r="V1201" s="154" t="s">
        <v>1562</v>
      </c>
      <c r="W1201" s="154">
        <v>0</v>
      </c>
      <c r="X1201" s="154" t="s">
        <v>63</v>
      </c>
      <c r="Y1201" s="154" t="s">
        <v>1900</v>
      </c>
      <c r="Z1201" s="154"/>
      <c r="AA1201" s="154" t="s">
        <v>1387</v>
      </c>
      <c r="AB1201" s="154">
        <v>0</v>
      </c>
      <c r="AC1201" s="138">
        <f>IFERROR(IF(DATEDIF(#REF!,U1201,"m")&lt;=1,1,IF(AND(DATEDIF(#REF!,U1201,"m")&gt;1,DATEDIF(#REF!,U1201,"m")&lt;12),2,IF(AND(DATEDIF(#REF!,U1201,"m")&gt;=12,DATEDIF(#REF!,U1201,"m")&lt;24),3,IF(DATEDIF(#REF!,U1201,"m")&gt;=24,4,"")))),IF(E1201="r0320 - Deposits, not covered and not preferential",1,4))</f>
        <v>4</v>
      </c>
    </row>
    <row r="1202" spans="3:29" ht="36.75" thickBot="1" x14ac:dyDescent="0.3">
      <c r="C1202" s="11">
        <v>999</v>
      </c>
      <c r="D1202" s="154">
        <v>1195</v>
      </c>
      <c r="E1202" s="154" t="s">
        <v>1898</v>
      </c>
      <c r="F1202" s="154" t="s">
        <v>87</v>
      </c>
      <c r="G1202" s="154" t="s">
        <v>1402</v>
      </c>
      <c r="H1202" s="154" t="s">
        <v>663</v>
      </c>
      <c r="I1202" s="154" t="s">
        <v>89</v>
      </c>
      <c r="J1202" s="154" t="s">
        <v>90</v>
      </c>
      <c r="K1202" s="154" t="s">
        <v>91</v>
      </c>
      <c r="L1202" s="154" t="s">
        <v>1901</v>
      </c>
      <c r="M1202" s="154" t="s">
        <v>1383</v>
      </c>
      <c r="N1202" s="154" t="s">
        <v>61</v>
      </c>
      <c r="O1202" s="154" t="s">
        <v>62</v>
      </c>
      <c r="P1202" s="146">
        <v>0.12</v>
      </c>
      <c r="Q1202" s="146">
        <v>0</v>
      </c>
      <c r="R1202" s="154" t="s">
        <v>1384</v>
      </c>
      <c r="S1202" s="154" t="s">
        <v>1899</v>
      </c>
      <c r="T1202" s="155" t="s">
        <v>1899</v>
      </c>
      <c r="U1202" s="155" t="s">
        <v>1899</v>
      </c>
      <c r="V1202" s="154" t="s">
        <v>1562</v>
      </c>
      <c r="W1202" s="154">
        <v>0</v>
      </c>
      <c r="X1202" s="154" t="s">
        <v>63</v>
      </c>
      <c r="Y1202" s="154" t="s">
        <v>1900</v>
      </c>
      <c r="Z1202" s="154"/>
      <c r="AA1202" s="154" t="s">
        <v>1387</v>
      </c>
      <c r="AB1202" s="154">
        <v>0</v>
      </c>
      <c r="AC1202" s="138">
        <f>IFERROR(IF(DATEDIF(#REF!,U1202,"m")&lt;=1,1,IF(AND(DATEDIF(#REF!,U1202,"m")&gt;1,DATEDIF(#REF!,U1202,"m")&lt;12),2,IF(AND(DATEDIF(#REF!,U1202,"m")&gt;=12,DATEDIF(#REF!,U1202,"m")&lt;24),3,IF(DATEDIF(#REF!,U1202,"m")&gt;=24,4,"")))),IF(E1202="r0320 - Deposits, not covered and not preferential",1,4))</f>
        <v>4</v>
      </c>
    </row>
    <row r="1203" spans="3:29" ht="36.75" thickBot="1" x14ac:dyDescent="0.3">
      <c r="C1203" s="11">
        <v>999</v>
      </c>
      <c r="D1203" s="154">
        <v>1196</v>
      </c>
      <c r="E1203" s="154" t="s">
        <v>1898</v>
      </c>
      <c r="F1203" s="154" t="s">
        <v>87</v>
      </c>
      <c r="G1203" s="154" t="s">
        <v>1402</v>
      </c>
      <c r="H1203" s="154" t="s">
        <v>571</v>
      </c>
      <c r="I1203" s="154" t="s">
        <v>89</v>
      </c>
      <c r="J1203" s="154" t="s">
        <v>90</v>
      </c>
      <c r="K1203" s="154" t="s">
        <v>91</v>
      </c>
      <c r="L1203" s="154" t="s">
        <v>1901</v>
      </c>
      <c r="M1203" s="154" t="s">
        <v>1383</v>
      </c>
      <c r="N1203" s="154" t="s">
        <v>61</v>
      </c>
      <c r="O1203" s="154" t="s">
        <v>62</v>
      </c>
      <c r="P1203" s="146">
        <v>0.14000000000000001</v>
      </c>
      <c r="Q1203" s="146">
        <v>0</v>
      </c>
      <c r="R1203" s="154" t="s">
        <v>1384</v>
      </c>
      <c r="S1203" s="154" t="s">
        <v>1899</v>
      </c>
      <c r="T1203" s="155" t="s">
        <v>1899</v>
      </c>
      <c r="U1203" s="155" t="s">
        <v>1899</v>
      </c>
      <c r="V1203" s="154" t="s">
        <v>1562</v>
      </c>
      <c r="W1203" s="154">
        <v>0</v>
      </c>
      <c r="X1203" s="154" t="s">
        <v>63</v>
      </c>
      <c r="Y1203" s="154" t="s">
        <v>1900</v>
      </c>
      <c r="Z1203" s="154"/>
      <c r="AA1203" s="154" t="s">
        <v>1387</v>
      </c>
      <c r="AB1203" s="154">
        <v>0</v>
      </c>
      <c r="AC1203" s="138">
        <f>IFERROR(IF(DATEDIF(#REF!,U1203,"m")&lt;=1,1,IF(AND(DATEDIF(#REF!,U1203,"m")&gt;1,DATEDIF(#REF!,U1203,"m")&lt;12),2,IF(AND(DATEDIF(#REF!,U1203,"m")&gt;=12,DATEDIF(#REF!,U1203,"m")&lt;24),3,IF(DATEDIF(#REF!,U1203,"m")&gt;=24,4,"")))),IF(E1203="r0320 - Deposits, not covered and not preferential",1,4))</f>
        <v>4</v>
      </c>
    </row>
    <row r="1204" spans="3:29" ht="36.75" thickBot="1" x14ac:dyDescent="0.3">
      <c r="C1204" s="11">
        <v>999</v>
      </c>
      <c r="D1204" s="154">
        <v>1197</v>
      </c>
      <c r="E1204" s="154" t="s">
        <v>1898</v>
      </c>
      <c r="F1204" s="154" t="s">
        <v>87</v>
      </c>
      <c r="G1204" s="154" t="s">
        <v>1402</v>
      </c>
      <c r="H1204" s="154" t="s">
        <v>405</v>
      </c>
      <c r="I1204" s="154" t="s">
        <v>89</v>
      </c>
      <c r="J1204" s="154" t="s">
        <v>90</v>
      </c>
      <c r="K1204" s="154" t="s">
        <v>91</v>
      </c>
      <c r="L1204" s="154" t="s">
        <v>1901</v>
      </c>
      <c r="M1204" s="154" t="s">
        <v>1383</v>
      </c>
      <c r="N1204" s="154" t="s">
        <v>61</v>
      </c>
      <c r="O1204" s="154" t="s">
        <v>62</v>
      </c>
      <c r="P1204" s="146">
        <v>0.13</v>
      </c>
      <c r="Q1204" s="146">
        <v>0</v>
      </c>
      <c r="R1204" s="154" t="s">
        <v>1384</v>
      </c>
      <c r="S1204" s="154" t="s">
        <v>1899</v>
      </c>
      <c r="T1204" s="155" t="s">
        <v>1899</v>
      </c>
      <c r="U1204" s="155" t="s">
        <v>1899</v>
      </c>
      <c r="V1204" s="154" t="s">
        <v>1562</v>
      </c>
      <c r="W1204" s="154">
        <v>0</v>
      </c>
      <c r="X1204" s="154" t="s">
        <v>63</v>
      </c>
      <c r="Y1204" s="154" t="s">
        <v>1900</v>
      </c>
      <c r="Z1204" s="154"/>
      <c r="AA1204" s="154" t="s">
        <v>1387</v>
      </c>
      <c r="AB1204" s="154">
        <v>0</v>
      </c>
      <c r="AC1204" s="138">
        <f>IFERROR(IF(DATEDIF(#REF!,U1204,"m")&lt;=1,1,IF(AND(DATEDIF(#REF!,U1204,"m")&gt;1,DATEDIF(#REF!,U1204,"m")&lt;12),2,IF(AND(DATEDIF(#REF!,U1204,"m")&gt;=12,DATEDIF(#REF!,U1204,"m")&lt;24),3,IF(DATEDIF(#REF!,U1204,"m")&gt;=24,4,"")))),IF(E1204="r0320 - Deposits, not covered and not preferential",1,4))</f>
        <v>4</v>
      </c>
    </row>
    <row r="1205" spans="3:29" ht="36.75" thickBot="1" x14ac:dyDescent="0.3">
      <c r="C1205" s="11">
        <v>999</v>
      </c>
      <c r="D1205" s="154">
        <v>1198</v>
      </c>
      <c r="E1205" s="154" t="s">
        <v>1898</v>
      </c>
      <c r="F1205" s="154" t="s">
        <v>87</v>
      </c>
      <c r="G1205" s="154" t="s">
        <v>1402</v>
      </c>
      <c r="H1205" s="154" t="s">
        <v>1133</v>
      </c>
      <c r="I1205" s="154" t="s">
        <v>89</v>
      </c>
      <c r="J1205" s="154" t="s">
        <v>90</v>
      </c>
      <c r="K1205" s="154" t="s">
        <v>91</v>
      </c>
      <c r="L1205" s="154" t="s">
        <v>1901</v>
      </c>
      <c r="M1205" s="154" t="s">
        <v>1383</v>
      </c>
      <c r="N1205" s="154" t="s">
        <v>61</v>
      </c>
      <c r="O1205" s="154" t="s">
        <v>62</v>
      </c>
      <c r="P1205" s="146">
        <v>0.11</v>
      </c>
      <c r="Q1205" s="146">
        <v>0</v>
      </c>
      <c r="R1205" s="154" t="s">
        <v>1384</v>
      </c>
      <c r="S1205" s="154" t="s">
        <v>1899</v>
      </c>
      <c r="T1205" s="155" t="s">
        <v>1899</v>
      </c>
      <c r="U1205" s="155" t="s">
        <v>1899</v>
      </c>
      <c r="V1205" s="154" t="s">
        <v>1562</v>
      </c>
      <c r="W1205" s="154">
        <v>0</v>
      </c>
      <c r="X1205" s="154" t="s">
        <v>63</v>
      </c>
      <c r="Y1205" s="154" t="s">
        <v>1900</v>
      </c>
      <c r="Z1205" s="154"/>
      <c r="AA1205" s="154" t="s">
        <v>1387</v>
      </c>
      <c r="AB1205" s="154">
        <v>0</v>
      </c>
      <c r="AC1205" s="138">
        <f>IFERROR(IF(DATEDIF(#REF!,U1205,"m")&lt;=1,1,IF(AND(DATEDIF(#REF!,U1205,"m")&gt;1,DATEDIF(#REF!,U1205,"m")&lt;12),2,IF(AND(DATEDIF(#REF!,U1205,"m")&gt;=12,DATEDIF(#REF!,U1205,"m")&lt;24),3,IF(DATEDIF(#REF!,U1205,"m")&gt;=24,4,"")))),IF(E1205="r0320 - Deposits, not covered and not preferential",1,4))</f>
        <v>4</v>
      </c>
    </row>
    <row r="1206" spans="3:29" ht="36.75" thickBot="1" x14ac:dyDescent="0.3">
      <c r="C1206" s="11">
        <v>999</v>
      </c>
      <c r="D1206" s="154">
        <v>1199</v>
      </c>
      <c r="E1206" s="154" t="s">
        <v>1898</v>
      </c>
      <c r="F1206" s="154" t="s">
        <v>87</v>
      </c>
      <c r="G1206" s="154" t="s">
        <v>1402</v>
      </c>
      <c r="H1206" s="154" t="s">
        <v>665</v>
      </c>
      <c r="I1206" s="154" t="s">
        <v>89</v>
      </c>
      <c r="J1206" s="154" t="s">
        <v>90</v>
      </c>
      <c r="K1206" s="154" t="s">
        <v>91</v>
      </c>
      <c r="L1206" s="154" t="s">
        <v>1901</v>
      </c>
      <c r="M1206" s="154" t="s">
        <v>1383</v>
      </c>
      <c r="N1206" s="154" t="s">
        <v>61</v>
      </c>
      <c r="O1206" s="154" t="s">
        <v>62</v>
      </c>
      <c r="P1206" s="146">
        <v>0.31</v>
      </c>
      <c r="Q1206" s="146">
        <v>0</v>
      </c>
      <c r="R1206" s="154" t="s">
        <v>1384</v>
      </c>
      <c r="S1206" s="154" t="s">
        <v>1899</v>
      </c>
      <c r="T1206" s="155" t="s">
        <v>1899</v>
      </c>
      <c r="U1206" s="155" t="s">
        <v>1899</v>
      </c>
      <c r="V1206" s="154" t="s">
        <v>1562</v>
      </c>
      <c r="W1206" s="154">
        <v>0</v>
      </c>
      <c r="X1206" s="154" t="s">
        <v>63</v>
      </c>
      <c r="Y1206" s="154" t="s">
        <v>1900</v>
      </c>
      <c r="Z1206" s="154"/>
      <c r="AA1206" s="154" t="s">
        <v>1387</v>
      </c>
      <c r="AB1206" s="154">
        <v>0</v>
      </c>
      <c r="AC1206" s="138">
        <f>IFERROR(IF(DATEDIF(#REF!,U1206,"m")&lt;=1,1,IF(AND(DATEDIF(#REF!,U1206,"m")&gt;1,DATEDIF(#REF!,U1206,"m")&lt;12),2,IF(AND(DATEDIF(#REF!,U1206,"m")&gt;=12,DATEDIF(#REF!,U1206,"m")&lt;24),3,IF(DATEDIF(#REF!,U1206,"m")&gt;=24,4,"")))),IF(E1206="r0320 - Deposits, not covered and not preferential",1,4))</f>
        <v>4</v>
      </c>
    </row>
    <row r="1207" spans="3:29" ht="36.75" thickBot="1" x14ac:dyDescent="0.3">
      <c r="C1207" s="11">
        <v>999</v>
      </c>
      <c r="D1207" s="154">
        <v>1200</v>
      </c>
      <c r="E1207" s="154" t="s">
        <v>1898</v>
      </c>
      <c r="F1207" s="154" t="s">
        <v>87</v>
      </c>
      <c r="G1207" s="154" t="s">
        <v>1402</v>
      </c>
      <c r="H1207" s="154" t="s">
        <v>662</v>
      </c>
      <c r="I1207" s="154" t="s">
        <v>89</v>
      </c>
      <c r="J1207" s="154" t="s">
        <v>90</v>
      </c>
      <c r="K1207" s="154" t="s">
        <v>91</v>
      </c>
      <c r="L1207" s="154" t="s">
        <v>1901</v>
      </c>
      <c r="M1207" s="154" t="s">
        <v>1383</v>
      </c>
      <c r="N1207" s="154" t="s">
        <v>61</v>
      </c>
      <c r="O1207" s="154" t="s">
        <v>62</v>
      </c>
      <c r="P1207" s="146">
        <v>0.56000000000000005</v>
      </c>
      <c r="Q1207" s="146">
        <v>0</v>
      </c>
      <c r="R1207" s="154" t="s">
        <v>1384</v>
      </c>
      <c r="S1207" s="154" t="s">
        <v>1899</v>
      </c>
      <c r="T1207" s="155" t="s">
        <v>1899</v>
      </c>
      <c r="U1207" s="155" t="s">
        <v>1899</v>
      </c>
      <c r="V1207" s="154" t="s">
        <v>1562</v>
      </c>
      <c r="W1207" s="154">
        <v>0</v>
      </c>
      <c r="X1207" s="154" t="s">
        <v>63</v>
      </c>
      <c r="Y1207" s="154" t="s">
        <v>1900</v>
      </c>
      <c r="Z1207" s="154"/>
      <c r="AA1207" s="154" t="s">
        <v>1387</v>
      </c>
      <c r="AB1207" s="154">
        <v>0</v>
      </c>
      <c r="AC1207" s="138">
        <f>IFERROR(IF(DATEDIF(#REF!,U1207,"m")&lt;=1,1,IF(AND(DATEDIF(#REF!,U1207,"m")&gt;1,DATEDIF(#REF!,U1207,"m")&lt;12),2,IF(AND(DATEDIF(#REF!,U1207,"m")&gt;=12,DATEDIF(#REF!,U1207,"m")&lt;24),3,IF(DATEDIF(#REF!,U1207,"m")&gt;=24,4,"")))),IF(E1207="r0320 - Deposits, not covered and not preferential",1,4))</f>
        <v>4</v>
      </c>
    </row>
    <row r="1208" spans="3:29" ht="36.75" thickBot="1" x14ac:dyDescent="0.3">
      <c r="C1208" s="11">
        <v>999</v>
      </c>
      <c r="D1208" s="154">
        <v>1201</v>
      </c>
      <c r="E1208" s="154" t="s">
        <v>1898</v>
      </c>
      <c r="F1208" s="154" t="s">
        <v>87</v>
      </c>
      <c r="G1208" s="154" t="s">
        <v>1402</v>
      </c>
      <c r="H1208" s="154" t="s">
        <v>175</v>
      </c>
      <c r="I1208" s="154" t="s">
        <v>89</v>
      </c>
      <c r="J1208" s="154" t="s">
        <v>90</v>
      </c>
      <c r="K1208" s="154" t="s">
        <v>91</v>
      </c>
      <c r="L1208" s="154" t="s">
        <v>1901</v>
      </c>
      <c r="M1208" s="154" t="s">
        <v>1383</v>
      </c>
      <c r="N1208" s="154" t="s">
        <v>61</v>
      </c>
      <c r="O1208" s="154" t="s">
        <v>62</v>
      </c>
      <c r="P1208" s="146">
        <v>0.1</v>
      </c>
      <c r="Q1208" s="146">
        <v>0</v>
      </c>
      <c r="R1208" s="154" t="s">
        <v>1384</v>
      </c>
      <c r="S1208" s="154" t="s">
        <v>1899</v>
      </c>
      <c r="T1208" s="155" t="s">
        <v>1899</v>
      </c>
      <c r="U1208" s="155" t="s">
        <v>1899</v>
      </c>
      <c r="V1208" s="154" t="s">
        <v>1562</v>
      </c>
      <c r="W1208" s="154">
        <v>0</v>
      </c>
      <c r="X1208" s="154" t="s">
        <v>63</v>
      </c>
      <c r="Y1208" s="154" t="s">
        <v>1900</v>
      </c>
      <c r="Z1208" s="154"/>
      <c r="AA1208" s="154" t="s">
        <v>1387</v>
      </c>
      <c r="AB1208" s="154">
        <v>0</v>
      </c>
      <c r="AC1208" s="138">
        <f>IFERROR(IF(DATEDIF(#REF!,U1208,"m")&lt;=1,1,IF(AND(DATEDIF(#REF!,U1208,"m")&gt;1,DATEDIF(#REF!,U1208,"m")&lt;12),2,IF(AND(DATEDIF(#REF!,U1208,"m")&gt;=12,DATEDIF(#REF!,U1208,"m")&lt;24),3,IF(DATEDIF(#REF!,U1208,"m")&gt;=24,4,"")))),IF(E1208="r0320 - Deposits, not covered and not preferential",1,4))</f>
        <v>4</v>
      </c>
    </row>
    <row r="1209" spans="3:29" ht="48.75" thickBot="1" x14ac:dyDescent="0.3">
      <c r="C1209" s="11">
        <v>999</v>
      </c>
      <c r="D1209" s="154">
        <v>1202</v>
      </c>
      <c r="E1209" s="154" t="s">
        <v>1902</v>
      </c>
      <c r="F1209" s="154" t="s">
        <v>83</v>
      </c>
      <c r="G1209" s="154" t="s">
        <v>1903</v>
      </c>
      <c r="H1209" s="154" t="s">
        <v>113</v>
      </c>
      <c r="I1209" s="154" t="s">
        <v>114</v>
      </c>
      <c r="J1209" s="154" t="s">
        <v>115</v>
      </c>
      <c r="K1209" s="154" t="s">
        <v>60</v>
      </c>
      <c r="L1209" s="154" t="s">
        <v>1897</v>
      </c>
      <c r="M1209" s="154" t="s">
        <v>1388</v>
      </c>
      <c r="N1209" s="154" t="s">
        <v>61</v>
      </c>
      <c r="O1209" s="154" t="s">
        <v>62</v>
      </c>
      <c r="P1209" s="146">
        <v>61017.93</v>
      </c>
      <c r="Q1209" s="146">
        <v>10.99</v>
      </c>
      <c r="R1209" s="154" t="s">
        <v>1384</v>
      </c>
      <c r="S1209" s="154" t="s">
        <v>1899</v>
      </c>
      <c r="T1209" s="155" t="s">
        <v>768</v>
      </c>
      <c r="U1209" s="155" t="s">
        <v>1899</v>
      </c>
      <c r="V1209" s="154" t="s">
        <v>1904</v>
      </c>
      <c r="W1209" s="154">
        <v>0</v>
      </c>
      <c r="X1209" s="154" t="s">
        <v>63</v>
      </c>
      <c r="Y1209" s="154" t="s">
        <v>1386</v>
      </c>
      <c r="Z1209" s="154"/>
      <c r="AA1209" s="154" t="s">
        <v>1387</v>
      </c>
      <c r="AB1209" s="154">
        <v>0</v>
      </c>
      <c r="AC1209" s="138">
        <f>IFERROR(IF(DATEDIF(#REF!,U1209,"m")&lt;=1,1,IF(AND(DATEDIF(#REF!,U1209,"m")&gt;1,DATEDIF(#REF!,U1209,"m")&lt;12),2,IF(AND(DATEDIF(#REF!,U1209,"m")&gt;=12,DATEDIF(#REF!,U1209,"m")&lt;24),3,IF(DATEDIF(#REF!,U1209,"m")&gt;=24,4,"")))),IF(E1209="r0320 - Deposits, not covered and not preferential",1,4))</f>
        <v>4</v>
      </c>
    </row>
    <row r="1210" spans="3:29" ht="36.75" thickBot="1" x14ac:dyDescent="0.3">
      <c r="C1210" s="11">
        <v>999</v>
      </c>
      <c r="D1210" s="154">
        <v>1203</v>
      </c>
      <c r="E1210" s="154" t="s">
        <v>1898</v>
      </c>
      <c r="F1210" s="154" t="s">
        <v>87</v>
      </c>
      <c r="G1210" s="154" t="s">
        <v>1402</v>
      </c>
      <c r="H1210" s="154" t="s">
        <v>667</v>
      </c>
      <c r="I1210" s="154" t="s">
        <v>89</v>
      </c>
      <c r="J1210" s="154" t="s">
        <v>90</v>
      </c>
      <c r="K1210" s="154" t="s">
        <v>91</v>
      </c>
      <c r="L1210" s="154" t="s">
        <v>1901</v>
      </c>
      <c r="M1210" s="154" t="s">
        <v>1383</v>
      </c>
      <c r="N1210" s="154" t="s">
        <v>61</v>
      </c>
      <c r="O1210" s="154" t="s">
        <v>62</v>
      </c>
      <c r="P1210" s="146">
        <v>1.4</v>
      </c>
      <c r="Q1210" s="146">
        <v>0</v>
      </c>
      <c r="R1210" s="154" t="s">
        <v>1384</v>
      </c>
      <c r="S1210" s="154" t="s">
        <v>1899</v>
      </c>
      <c r="T1210" s="155" t="s">
        <v>1899</v>
      </c>
      <c r="U1210" s="155" t="s">
        <v>1899</v>
      </c>
      <c r="V1210" s="154" t="s">
        <v>1562</v>
      </c>
      <c r="W1210" s="154">
        <v>0</v>
      </c>
      <c r="X1210" s="154" t="s">
        <v>63</v>
      </c>
      <c r="Y1210" s="154" t="s">
        <v>1900</v>
      </c>
      <c r="Z1210" s="154"/>
      <c r="AA1210" s="154" t="s">
        <v>1387</v>
      </c>
      <c r="AB1210" s="154">
        <v>0</v>
      </c>
      <c r="AC1210" s="138">
        <f>IFERROR(IF(DATEDIF(#REF!,U1210,"m")&lt;=1,1,IF(AND(DATEDIF(#REF!,U1210,"m")&gt;1,DATEDIF(#REF!,U1210,"m")&lt;12),2,IF(AND(DATEDIF(#REF!,U1210,"m")&gt;=12,DATEDIF(#REF!,U1210,"m")&lt;24),3,IF(DATEDIF(#REF!,U1210,"m")&gt;=24,4,"")))),IF(E1210="r0320 - Deposits, not covered and not preferential",1,4))</f>
        <v>4</v>
      </c>
    </row>
    <row r="1211" spans="3:29" ht="36.75" thickBot="1" x14ac:dyDescent="0.3">
      <c r="C1211" s="11">
        <v>999</v>
      </c>
      <c r="D1211" s="154">
        <v>1204</v>
      </c>
      <c r="E1211" s="154" t="s">
        <v>1898</v>
      </c>
      <c r="F1211" s="154" t="s">
        <v>87</v>
      </c>
      <c r="G1211" s="154" t="s">
        <v>1402</v>
      </c>
      <c r="H1211" s="154" t="s">
        <v>1077</v>
      </c>
      <c r="I1211" s="154" t="s">
        <v>89</v>
      </c>
      <c r="J1211" s="154" t="s">
        <v>90</v>
      </c>
      <c r="K1211" s="154" t="s">
        <v>91</v>
      </c>
      <c r="L1211" s="154" t="s">
        <v>1901</v>
      </c>
      <c r="M1211" s="154" t="s">
        <v>1383</v>
      </c>
      <c r="N1211" s="154" t="s">
        <v>61</v>
      </c>
      <c r="O1211" s="154" t="s">
        <v>62</v>
      </c>
      <c r="P1211" s="146">
        <v>0.31</v>
      </c>
      <c r="Q1211" s="146">
        <v>0</v>
      </c>
      <c r="R1211" s="154" t="s">
        <v>1384</v>
      </c>
      <c r="S1211" s="154" t="s">
        <v>1899</v>
      </c>
      <c r="T1211" s="155" t="s">
        <v>1899</v>
      </c>
      <c r="U1211" s="155" t="s">
        <v>1899</v>
      </c>
      <c r="V1211" s="154" t="s">
        <v>1562</v>
      </c>
      <c r="W1211" s="154">
        <v>0</v>
      </c>
      <c r="X1211" s="154" t="s">
        <v>63</v>
      </c>
      <c r="Y1211" s="154" t="s">
        <v>1900</v>
      </c>
      <c r="Z1211" s="154"/>
      <c r="AA1211" s="154" t="s">
        <v>1387</v>
      </c>
      <c r="AB1211" s="154">
        <v>0</v>
      </c>
      <c r="AC1211" s="138">
        <f>IFERROR(IF(DATEDIF(#REF!,U1211,"m")&lt;=1,1,IF(AND(DATEDIF(#REF!,U1211,"m")&gt;1,DATEDIF(#REF!,U1211,"m")&lt;12),2,IF(AND(DATEDIF(#REF!,U1211,"m")&gt;=12,DATEDIF(#REF!,U1211,"m")&lt;24),3,IF(DATEDIF(#REF!,U1211,"m")&gt;=24,4,"")))),IF(E1211="r0320 - Deposits, not covered and not preferential",1,4))</f>
        <v>4</v>
      </c>
    </row>
    <row r="1212" spans="3:29" ht="36.75" thickBot="1" x14ac:dyDescent="0.3">
      <c r="C1212" s="11">
        <v>999</v>
      </c>
      <c r="D1212" s="154">
        <v>1205</v>
      </c>
      <c r="E1212" s="154" t="s">
        <v>1898</v>
      </c>
      <c r="F1212" s="154" t="s">
        <v>87</v>
      </c>
      <c r="G1212" s="154" t="s">
        <v>1402</v>
      </c>
      <c r="H1212" s="154" t="s">
        <v>407</v>
      </c>
      <c r="I1212" s="154" t="s">
        <v>89</v>
      </c>
      <c r="J1212" s="154" t="s">
        <v>90</v>
      </c>
      <c r="K1212" s="154" t="s">
        <v>91</v>
      </c>
      <c r="L1212" s="154" t="s">
        <v>1901</v>
      </c>
      <c r="M1212" s="154" t="s">
        <v>1383</v>
      </c>
      <c r="N1212" s="154" t="s">
        <v>61</v>
      </c>
      <c r="O1212" s="154" t="s">
        <v>62</v>
      </c>
      <c r="P1212" s="146">
        <v>0.1</v>
      </c>
      <c r="Q1212" s="146">
        <v>0</v>
      </c>
      <c r="R1212" s="154" t="s">
        <v>1384</v>
      </c>
      <c r="S1212" s="154" t="s">
        <v>1899</v>
      </c>
      <c r="T1212" s="155" t="s">
        <v>1899</v>
      </c>
      <c r="U1212" s="155" t="s">
        <v>1899</v>
      </c>
      <c r="V1212" s="154" t="s">
        <v>1562</v>
      </c>
      <c r="W1212" s="154">
        <v>0</v>
      </c>
      <c r="X1212" s="154" t="s">
        <v>63</v>
      </c>
      <c r="Y1212" s="154" t="s">
        <v>1900</v>
      </c>
      <c r="Z1212" s="154"/>
      <c r="AA1212" s="154" t="s">
        <v>1387</v>
      </c>
      <c r="AB1212" s="154">
        <v>0</v>
      </c>
      <c r="AC1212" s="138">
        <f>IFERROR(IF(DATEDIF(#REF!,U1212,"m")&lt;=1,1,IF(AND(DATEDIF(#REF!,U1212,"m")&gt;1,DATEDIF(#REF!,U1212,"m")&lt;12),2,IF(AND(DATEDIF(#REF!,U1212,"m")&gt;=12,DATEDIF(#REF!,U1212,"m")&lt;24),3,IF(DATEDIF(#REF!,U1212,"m")&gt;=24,4,"")))),IF(E1212="r0320 - Deposits, not covered and not preferential",1,4))</f>
        <v>4</v>
      </c>
    </row>
    <row r="1213" spans="3:29" ht="36.75" thickBot="1" x14ac:dyDescent="0.3">
      <c r="C1213" s="11">
        <v>999</v>
      </c>
      <c r="D1213" s="154">
        <v>1206</v>
      </c>
      <c r="E1213" s="154" t="s">
        <v>1895</v>
      </c>
      <c r="F1213" s="154" t="s">
        <v>87</v>
      </c>
      <c r="G1213" s="154" t="s">
        <v>1896</v>
      </c>
      <c r="H1213" s="154" t="s">
        <v>57</v>
      </c>
      <c r="I1213" s="154" t="s">
        <v>1315</v>
      </c>
      <c r="J1213" s="154" t="s">
        <v>1316</v>
      </c>
      <c r="K1213" s="154" t="s">
        <v>91</v>
      </c>
      <c r="L1213" s="154" t="s">
        <v>1897</v>
      </c>
      <c r="M1213" s="154" t="s">
        <v>1383</v>
      </c>
      <c r="N1213" s="154" t="s">
        <v>61</v>
      </c>
      <c r="O1213" s="154" t="s">
        <v>62</v>
      </c>
      <c r="P1213" s="146">
        <v>103205.84</v>
      </c>
      <c r="Q1213" s="146">
        <v>0</v>
      </c>
      <c r="R1213" s="154" t="s">
        <v>1384</v>
      </c>
      <c r="S1213" s="154" t="s">
        <v>1385</v>
      </c>
      <c r="T1213" s="155">
        <v>44564</v>
      </c>
      <c r="U1213" s="155">
        <v>44564</v>
      </c>
      <c r="V1213" s="154" t="s">
        <v>1562</v>
      </c>
      <c r="W1213" s="154">
        <v>0</v>
      </c>
      <c r="X1213" s="154" t="s">
        <v>63</v>
      </c>
      <c r="Y1213" s="154" t="s">
        <v>1386</v>
      </c>
      <c r="Z1213" s="154"/>
      <c r="AA1213" s="154" t="s">
        <v>1387</v>
      </c>
      <c r="AB1213" s="154">
        <v>0</v>
      </c>
      <c r="AC1213" s="138">
        <f>IFERROR(IF(DATEDIF(#REF!,U1213,"m")&lt;=1,1,IF(AND(DATEDIF(#REF!,U1213,"m")&gt;1,DATEDIF(#REF!,U1213,"m")&lt;12),2,IF(AND(DATEDIF(#REF!,U1213,"m")&gt;=12,DATEDIF(#REF!,U1213,"m")&lt;24),3,IF(DATEDIF(#REF!,U1213,"m")&gt;=24,4,"")))),IF(E1213="r0320 - Deposits, not covered and not preferential",1,4))</f>
        <v>1</v>
      </c>
    </row>
    <row r="1214" spans="3:29" ht="36.75" thickBot="1" x14ac:dyDescent="0.3">
      <c r="C1214" s="11">
        <v>999</v>
      </c>
      <c r="D1214" s="154">
        <v>1207</v>
      </c>
      <c r="E1214" s="154" t="s">
        <v>1898</v>
      </c>
      <c r="F1214" s="154" t="s">
        <v>87</v>
      </c>
      <c r="G1214" s="154" t="s">
        <v>1402</v>
      </c>
      <c r="H1214" s="154" t="s">
        <v>1085</v>
      </c>
      <c r="I1214" s="154" t="s">
        <v>89</v>
      </c>
      <c r="J1214" s="154" t="s">
        <v>90</v>
      </c>
      <c r="K1214" s="154" t="s">
        <v>91</v>
      </c>
      <c r="L1214" s="154" t="s">
        <v>1901</v>
      </c>
      <c r="M1214" s="154" t="s">
        <v>1383</v>
      </c>
      <c r="N1214" s="154" t="s">
        <v>61</v>
      </c>
      <c r="O1214" s="154" t="s">
        <v>62</v>
      </c>
      <c r="P1214" s="146">
        <v>0.11</v>
      </c>
      <c r="Q1214" s="146">
        <v>0</v>
      </c>
      <c r="R1214" s="154" t="s">
        <v>1384</v>
      </c>
      <c r="S1214" s="154" t="s">
        <v>1899</v>
      </c>
      <c r="T1214" s="155" t="s">
        <v>1899</v>
      </c>
      <c r="U1214" s="155" t="s">
        <v>1899</v>
      </c>
      <c r="V1214" s="154" t="s">
        <v>1562</v>
      </c>
      <c r="W1214" s="154">
        <v>0</v>
      </c>
      <c r="X1214" s="154" t="s">
        <v>63</v>
      </c>
      <c r="Y1214" s="154" t="s">
        <v>1900</v>
      </c>
      <c r="Z1214" s="154"/>
      <c r="AA1214" s="154" t="s">
        <v>1387</v>
      </c>
      <c r="AB1214" s="154">
        <v>0</v>
      </c>
      <c r="AC1214" s="138">
        <f>IFERROR(IF(DATEDIF(#REF!,U1214,"m")&lt;=1,1,IF(AND(DATEDIF(#REF!,U1214,"m")&gt;1,DATEDIF(#REF!,U1214,"m")&lt;12),2,IF(AND(DATEDIF(#REF!,U1214,"m")&gt;=12,DATEDIF(#REF!,U1214,"m")&lt;24),3,IF(DATEDIF(#REF!,U1214,"m")&gt;=24,4,"")))),IF(E1214="r0320 - Deposits, not covered and not preferential",1,4))</f>
        <v>4</v>
      </c>
    </row>
    <row r="1215" spans="3:29" ht="36.75" thickBot="1" x14ac:dyDescent="0.3">
      <c r="C1215" s="11">
        <v>999</v>
      </c>
      <c r="D1215" s="154">
        <v>1208</v>
      </c>
      <c r="E1215" s="154" t="s">
        <v>1898</v>
      </c>
      <c r="F1215" s="154" t="s">
        <v>87</v>
      </c>
      <c r="G1215" s="154" t="s">
        <v>1402</v>
      </c>
      <c r="H1215" s="154" t="s">
        <v>406</v>
      </c>
      <c r="I1215" s="154" t="s">
        <v>89</v>
      </c>
      <c r="J1215" s="154" t="s">
        <v>90</v>
      </c>
      <c r="K1215" s="154" t="s">
        <v>91</v>
      </c>
      <c r="L1215" s="154" t="s">
        <v>1901</v>
      </c>
      <c r="M1215" s="154" t="s">
        <v>1383</v>
      </c>
      <c r="N1215" s="154" t="s">
        <v>61</v>
      </c>
      <c r="O1215" s="154" t="s">
        <v>62</v>
      </c>
      <c r="P1215" s="146">
        <v>0.95</v>
      </c>
      <c r="Q1215" s="146">
        <v>0</v>
      </c>
      <c r="R1215" s="154" t="s">
        <v>1384</v>
      </c>
      <c r="S1215" s="154" t="s">
        <v>1899</v>
      </c>
      <c r="T1215" s="155" t="s">
        <v>1899</v>
      </c>
      <c r="U1215" s="155" t="s">
        <v>1899</v>
      </c>
      <c r="V1215" s="154" t="s">
        <v>1562</v>
      </c>
      <c r="W1215" s="154">
        <v>0</v>
      </c>
      <c r="X1215" s="154" t="s">
        <v>63</v>
      </c>
      <c r="Y1215" s="154" t="s">
        <v>1900</v>
      </c>
      <c r="Z1215" s="154"/>
      <c r="AA1215" s="154" t="s">
        <v>1387</v>
      </c>
      <c r="AB1215" s="154">
        <v>0</v>
      </c>
      <c r="AC1215" s="138">
        <f>IFERROR(IF(DATEDIF(#REF!,U1215,"m")&lt;=1,1,IF(AND(DATEDIF(#REF!,U1215,"m")&gt;1,DATEDIF(#REF!,U1215,"m")&lt;12),2,IF(AND(DATEDIF(#REF!,U1215,"m")&gt;=12,DATEDIF(#REF!,U1215,"m")&lt;24),3,IF(DATEDIF(#REF!,U1215,"m")&gt;=24,4,"")))),IF(E1215="r0320 - Deposits, not covered and not preferential",1,4))</f>
        <v>4</v>
      </c>
    </row>
    <row r="1216" spans="3:29" ht="36.75" thickBot="1" x14ac:dyDescent="0.3">
      <c r="C1216" s="11">
        <v>999</v>
      </c>
      <c r="D1216" s="154">
        <v>1209</v>
      </c>
      <c r="E1216" s="154" t="s">
        <v>1898</v>
      </c>
      <c r="F1216" s="154" t="s">
        <v>87</v>
      </c>
      <c r="G1216" s="154" t="s">
        <v>1402</v>
      </c>
      <c r="H1216" s="154" t="s">
        <v>1098</v>
      </c>
      <c r="I1216" s="154" t="s">
        <v>89</v>
      </c>
      <c r="J1216" s="154" t="s">
        <v>90</v>
      </c>
      <c r="K1216" s="154" t="s">
        <v>91</v>
      </c>
      <c r="L1216" s="154" t="s">
        <v>1901</v>
      </c>
      <c r="M1216" s="154" t="s">
        <v>1383</v>
      </c>
      <c r="N1216" s="154" t="s">
        <v>61</v>
      </c>
      <c r="O1216" s="154" t="s">
        <v>62</v>
      </c>
      <c r="P1216" s="146">
        <v>1.1200000000000001</v>
      </c>
      <c r="Q1216" s="146">
        <v>0</v>
      </c>
      <c r="R1216" s="154" t="s">
        <v>1384</v>
      </c>
      <c r="S1216" s="154" t="s">
        <v>1899</v>
      </c>
      <c r="T1216" s="155" t="s">
        <v>1899</v>
      </c>
      <c r="U1216" s="155" t="s">
        <v>1899</v>
      </c>
      <c r="V1216" s="154" t="s">
        <v>1562</v>
      </c>
      <c r="W1216" s="154">
        <v>0</v>
      </c>
      <c r="X1216" s="154" t="s">
        <v>63</v>
      </c>
      <c r="Y1216" s="154" t="s">
        <v>1900</v>
      </c>
      <c r="Z1216" s="154"/>
      <c r="AA1216" s="154" t="s">
        <v>1387</v>
      </c>
      <c r="AB1216" s="154">
        <v>0</v>
      </c>
      <c r="AC1216" s="138">
        <f>IFERROR(IF(DATEDIF(#REF!,U1216,"m")&lt;=1,1,IF(AND(DATEDIF(#REF!,U1216,"m")&gt;1,DATEDIF(#REF!,U1216,"m")&lt;12),2,IF(AND(DATEDIF(#REF!,U1216,"m")&gt;=12,DATEDIF(#REF!,U1216,"m")&lt;24),3,IF(DATEDIF(#REF!,U1216,"m")&gt;=24,4,"")))),IF(E1216="r0320 - Deposits, not covered and not preferential",1,4))</f>
        <v>4</v>
      </c>
    </row>
    <row r="1217" spans="3:29" ht="36.75" thickBot="1" x14ac:dyDescent="0.3">
      <c r="C1217" s="11">
        <v>999</v>
      </c>
      <c r="D1217" s="154">
        <v>1210</v>
      </c>
      <c r="E1217" s="154" t="s">
        <v>1898</v>
      </c>
      <c r="F1217" s="154" t="s">
        <v>87</v>
      </c>
      <c r="G1217" s="154" t="s">
        <v>1402</v>
      </c>
      <c r="H1217" s="154" t="s">
        <v>673</v>
      </c>
      <c r="I1217" s="154" t="s">
        <v>108</v>
      </c>
      <c r="J1217" s="154" t="s">
        <v>90</v>
      </c>
      <c r="K1217" s="154" t="s">
        <v>91</v>
      </c>
      <c r="L1217" s="154" t="s">
        <v>1897</v>
      </c>
      <c r="M1217" s="154" t="s">
        <v>1383</v>
      </c>
      <c r="N1217" s="154" t="s">
        <v>61</v>
      </c>
      <c r="O1217" s="154" t="s">
        <v>62</v>
      </c>
      <c r="P1217" s="146">
        <v>3.04</v>
      </c>
      <c r="Q1217" s="146">
        <v>0</v>
      </c>
      <c r="R1217" s="154" t="s">
        <v>1384</v>
      </c>
      <c r="S1217" s="154" t="s">
        <v>1899</v>
      </c>
      <c r="T1217" s="155" t="s">
        <v>1899</v>
      </c>
      <c r="U1217" s="155" t="s">
        <v>1899</v>
      </c>
      <c r="V1217" s="154" t="s">
        <v>1562</v>
      </c>
      <c r="W1217" s="154">
        <v>0</v>
      </c>
      <c r="X1217" s="154" t="s">
        <v>63</v>
      </c>
      <c r="Y1217" s="154" t="s">
        <v>1900</v>
      </c>
      <c r="Z1217" s="154"/>
      <c r="AA1217" s="154" t="s">
        <v>1387</v>
      </c>
      <c r="AB1217" s="154">
        <v>0</v>
      </c>
      <c r="AC1217" s="138">
        <f>IFERROR(IF(DATEDIF(#REF!,U1217,"m")&lt;=1,1,IF(AND(DATEDIF(#REF!,U1217,"m")&gt;1,DATEDIF(#REF!,U1217,"m")&lt;12),2,IF(AND(DATEDIF(#REF!,U1217,"m")&gt;=12,DATEDIF(#REF!,U1217,"m")&lt;24),3,IF(DATEDIF(#REF!,U1217,"m")&gt;=24,4,"")))),IF(E1217="r0320 - Deposits, not covered and not preferential",1,4))</f>
        <v>4</v>
      </c>
    </row>
    <row r="1218" spans="3:29" ht="36.75" thickBot="1" x14ac:dyDescent="0.3">
      <c r="C1218" s="11">
        <v>999</v>
      </c>
      <c r="D1218" s="154">
        <v>1211</v>
      </c>
      <c r="E1218" s="154" t="s">
        <v>1898</v>
      </c>
      <c r="F1218" s="154" t="s">
        <v>87</v>
      </c>
      <c r="G1218" s="154" t="s">
        <v>1402</v>
      </c>
      <c r="H1218" s="154" t="s">
        <v>1100</v>
      </c>
      <c r="I1218" s="154" t="s">
        <v>89</v>
      </c>
      <c r="J1218" s="154" t="s">
        <v>90</v>
      </c>
      <c r="K1218" s="154" t="s">
        <v>91</v>
      </c>
      <c r="L1218" s="154" t="s">
        <v>1901</v>
      </c>
      <c r="M1218" s="154" t="s">
        <v>1383</v>
      </c>
      <c r="N1218" s="154" t="s">
        <v>61</v>
      </c>
      <c r="O1218" s="154" t="s">
        <v>62</v>
      </c>
      <c r="P1218" s="146">
        <v>0.14000000000000001</v>
      </c>
      <c r="Q1218" s="146">
        <v>0</v>
      </c>
      <c r="R1218" s="154" t="s">
        <v>1384</v>
      </c>
      <c r="S1218" s="154" t="s">
        <v>1899</v>
      </c>
      <c r="T1218" s="155" t="s">
        <v>1899</v>
      </c>
      <c r="U1218" s="155" t="s">
        <v>1899</v>
      </c>
      <c r="V1218" s="154" t="s">
        <v>1562</v>
      </c>
      <c r="W1218" s="154">
        <v>0</v>
      </c>
      <c r="X1218" s="154" t="s">
        <v>63</v>
      </c>
      <c r="Y1218" s="154" t="s">
        <v>1900</v>
      </c>
      <c r="Z1218" s="154"/>
      <c r="AA1218" s="154" t="s">
        <v>1387</v>
      </c>
      <c r="AB1218" s="154">
        <v>0</v>
      </c>
      <c r="AC1218" s="138">
        <f>IFERROR(IF(DATEDIF(#REF!,U1218,"m")&lt;=1,1,IF(AND(DATEDIF(#REF!,U1218,"m")&gt;1,DATEDIF(#REF!,U1218,"m")&lt;12),2,IF(AND(DATEDIF(#REF!,U1218,"m")&gt;=12,DATEDIF(#REF!,U1218,"m")&lt;24),3,IF(DATEDIF(#REF!,U1218,"m")&gt;=24,4,"")))),IF(E1218="r0320 - Deposits, not covered and not preferential",1,4))</f>
        <v>4</v>
      </c>
    </row>
    <row r="1219" spans="3:29" ht="36.75" thickBot="1" x14ac:dyDescent="0.3">
      <c r="C1219" s="11">
        <v>999</v>
      </c>
      <c r="D1219" s="154">
        <v>1212</v>
      </c>
      <c r="E1219" s="154" t="s">
        <v>1898</v>
      </c>
      <c r="F1219" s="154" t="s">
        <v>87</v>
      </c>
      <c r="G1219" s="154" t="s">
        <v>1402</v>
      </c>
      <c r="H1219" s="154" t="s">
        <v>248</v>
      </c>
      <c r="I1219" s="154" t="s">
        <v>89</v>
      </c>
      <c r="J1219" s="154" t="s">
        <v>90</v>
      </c>
      <c r="K1219" s="154" t="s">
        <v>91</v>
      </c>
      <c r="L1219" s="154" t="s">
        <v>1901</v>
      </c>
      <c r="M1219" s="154" t="s">
        <v>1383</v>
      </c>
      <c r="N1219" s="154" t="s">
        <v>61</v>
      </c>
      <c r="O1219" s="154" t="s">
        <v>62</v>
      </c>
      <c r="P1219" s="146">
        <v>0.15</v>
      </c>
      <c r="Q1219" s="146">
        <v>0</v>
      </c>
      <c r="R1219" s="154" t="s">
        <v>1384</v>
      </c>
      <c r="S1219" s="154" t="s">
        <v>1899</v>
      </c>
      <c r="T1219" s="155" t="s">
        <v>1899</v>
      </c>
      <c r="U1219" s="155" t="s">
        <v>1899</v>
      </c>
      <c r="V1219" s="154" t="s">
        <v>1562</v>
      </c>
      <c r="W1219" s="154">
        <v>0</v>
      </c>
      <c r="X1219" s="154" t="s">
        <v>63</v>
      </c>
      <c r="Y1219" s="154" t="s">
        <v>1900</v>
      </c>
      <c r="Z1219" s="154"/>
      <c r="AA1219" s="154" t="s">
        <v>1387</v>
      </c>
      <c r="AB1219" s="154">
        <v>0</v>
      </c>
      <c r="AC1219" s="138">
        <f>IFERROR(IF(DATEDIF(#REF!,U1219,"m")&lt;=1,1,IF(AND(DATEDIF(#REF!,U1219,"m")&gt;1,DATEDIF(#REF!,U1219,"m")&lt;12),2,IF(AND(DATEDIF(#REF!,U1219,"m")&gt;=12,DATEDIF(#REF!,U1219,"m")&lt;24),3,IF(DATEDIF(#REF!,U1219,"m")&gt;=24,4,"")))),IF(E1219="r0320 - Deposits, not covered and not preferential",1,4))</f>
        <v>4</v>
      </c>
    </row>
    <row r="1220" spans="3:29" ht="36.75" thickBot="1" x14ac:dyDescent="0.3">
      <c r="C1220" s="11">
        <v>999</v>
      </c>
      <c r="D1220" s="154">
        <v>1213</v>
      </c>
      <c r="E1220" s="154" t="s">
        <v>1898</v>
      </c>
      <c r="F1220" s="154" t="s">
        <v>87</v>
      </c>
      <c r="G1220" s="154" t="s">
        <v>1402</v>
      </c>
      <c r="H1220" s="154" t="s">
        <v>1102</v>
      </c>
      <c r="I1220" s="154" t="s">
        <v>89</v>
      </c>
      <c r="J1220" s="154" t="s">
        <v>90</v>
      </c>
      <c r="K1220" s="154" t="s">
        <v>91</v>
      </c>
      <c r="L1220" s="154" t="s">
        <v>1901</v>
      </c>
      <c r="M1220" s="154" t="s">
        <v>1383</v>
      </c>
      <c r="N1220" s="154" t="s">
        <v>61</v>
      </c>
      <c r="O1220" s="154" t="s">
        <v>62</v>
      </c>
      <c r="P1220" s="146">
        <v>0.16</v>
      </c>
      <c r="Q1220" s="146">
        <v>0</v>
      </c>
      <c r="R1220" s="154" t="s">
        <v>1384</v>
      </c>
      <c r="S1220" s="154" t="s">
        <v>1899</v>
      </c>
      <c r="T1220" s="155" t="s">
        <v>1899</v>
      </c>
      <c r="U1220" s="155" t="s">
        <v>1899</v>
      </c>
      <c r="V1220" s="154" t="s">
        <v>1562</v>
      </c>
      <c r="W1220" s="154">
        <v>0</v>
      </c>
      <c r="X1220" s="154" t="s">
        <v>63</v>
      </c>
      <c r="Y1220" s="154" t="s">
        <v>1900</v>
      </c>
      <c r="Z1220" s="154"/>
      <c r="AA1220" s="154" t="s">
        <v>1387</v>
      </c>
      <c r="AB1220" s="154">
        <v>0</v>
      </c>
      <c r="AC1220" s="138">
        <f>IFERROR(IF(DATEDIF(#REF!,U1220,"m")&lt;=1,1,IF(AND(DATEDIF(#REF!,U1220,"m")&gt;1,DATEDIF(#REF!,U1220,"m")&lt;12),2,IF(AND(DATEDIF(#REF!,U1220,"m")&gt;=12,DATEDIF(#REF!,U1220,"m")&lt;24),3,IF(DATEDIF(#REF!,U1220,"m")&gt;=24,4,"")))),IF(E1220="r0320 - Deposits, not covered and not preferential",1,4))</f>
        <v>4</v>
      </c>
    </row>
    <row r="1221" spans="3:29" ht="36.75" thickBot="1" x14ac:dyDescent="0.3">
      <c r="C1221" s="11">
        <v>999</v>
      </c>
      <c r="D1221" s="154">
        <v>1214</v>
      </c>
      <c r="E1221" s="154" t="s">
        <v>1898</v>
      </c>
      <c r="F1221" s="154" t="s">
        <v>87</v>
      </c>
      <c r="G1221" s="154" t="s">
        <v>1402</v>
      </c>
      <c r="H1221" s="154" t="s">
        <v>1148</v>
      </c>
      <c r="I1221" s="154" t="s">
        <v>89</v>
      </c>
      <c r="J1221" s="154" t="s">
        <v>90</v>
      </c>
      <c r="K1221" s="154" t="s">
        <v>91</v>
      </c>
      <c r="L1221" s="154" t="s">
        <v>1901</v>
      </c>
      <c r="M1221" s="154" t="s">
        <v>1383</v>
      </c>
      <c r="N1221" s="154" t="s">
        <v>61</v>
      </c>
      <c r="O1221" s="154" t="s">
        <v>62</v>
      </c>
      <c r="P1221" s="146">
        <v>0.23</v>
      </c>
      <c r="Q1221" s="146">
        <v>0</v>
      </c>
      <c r="R1221" s="154" t="s">
        <v>1384</v>
      </c>
      <c r="S1221" s="154" t="s">
        <v>1899</v>
      </c>
      <c r="T1221" s="155" t="s">
        <v>1899</v>
      </c>
      <c r="U1221" s="155" t="s">
        <v>1899</v>
      </c>
      <c r="V1221" s="154" t="s">
        <v>1562</v>
      </c>
      <c r="W1221" s="154">
        <v>0</v>
      </c>
      <c r="X1221" s="154" t="s">
        <v>63</v>
      </c>
      <c r="Y1221" s="154" t="s">
        <v>1900</v>
      </c>
      <c r="Z1221" s="154"/>
      <c r="AA1221" s="154" t="s">
        <v>1387</v>
      </c>
      <c r="AB1221" s="154">
        <v>0</v>
      </c>
      <c r="AC1221" s="138">
        <f>IFERROR(IF(DATEDIF(#REF!,U1221,"m")&lt;=1,1,IF(AND(DATEDIF(#REF!,U1221,"m")&gt;1,DATEDIF(#REF!,U1221,"m")&lt;12),2,IF(AND(DATEDIF(#REF!,U1221,"m")&gt;=12,DATEDIF(#REF!,U1221,"m")&lt;24),3,IF(DATEDIF(#REF!,U1221,"m")&gt;=24,4,"")))),IF(E1221="r0320 - Deposits, not covered and not preferential",1,4))</f>
        <v>4</v>
      </c>
    </row>
    <row r="1222" spans="3:29" ht="36.75" thickBot="1" x14ac:dyDescent="0.3">
      <c r="C1222" s="11">
        <v>999</v>
      </c>
      <c r="D1222" s="154">
        <v>1215</v>
      </c>
      <c r="E1222" s="154" t="s">
        <v>1898</v>
      </c>
      <c r="F1222" s="154" t="s">
        <v>87</v>
      </c>
      <c r="G1222" s="154" t="s">
        <v>1402</v>
      </c>
      <c r="H1222" s="154" t="s">
        <v>1104</v>
      </c>
      <c r="I1222" s="154" t="s">
        <v>89</v>
      </c>
      <c r="J1222" s="154" t="s">
        <v>90</v>
      </c>
      <c r="K1222" s="154" t="s">
        <v>91</v>
      </c>
      <c r="L1222" s="154" t="s">
        <v>1901</v>
      </c>
      <c r="M1222" s="154" t="s">
        <v>1383</v>
      </c>
      <c r="N1222" s="154" t="s">
        <v>61</v>
      </c>
      <c r="O1222" s="154" t="s">
        <v>62</v>
      </c>
      <c r="P1222" s="146">
        <v>0.59</v>
      </c>
      <c r="Q1222" s="146">
        <v>0</v>
      </c>
      <c r="R1222" s="154" t="s">
        <v>1384</v>
      </c>
      <c r="S1222" s="154" t="s">
        <v>1899</v>
      </c>
      <c r="T1222" s="155" t="s">
        <v>1899</v>
      </c>
      <c r="U1222" s="155" t="s">
        <v>1899</v>
      </c>
      <c r="V1222" s="154" t="s">
        <v>1562</v>
      </c>
      <c r="W1222" s="154">
        <v>0</v>
      </c>
      <c r="X1222" s="154" t="s">
        <v>63</v>
      </c>
      <c r="Y1222" s="154" t="s">
        <v>1900</v>
      </c>
      <c r="Z1222" s="154"/>
      <c r="AA1222" s="154" t="s">
        <v>1387</v>
      </c>
      <c r="AB1222" s="154">
        <v>0</v>
      </c>
      <c r="AC1222" s="138">
        <f>IFERROR(IF(DATEDIF(#REF!,U1222,"m")&lt;=1,1,IF(AND(DATEDIF(#REF!,U1222,"m")&gt;1,DATEDIF(#REF!,U1222,"m")&lt;12),2,IF(AND(DATEDIF(#REF!,U1222,"m")&gt;=12,DATEDIF(#REF!,U1222,"m")&lt;24),3,IF(DATEDIF(#REF!,U1222,"m")&gt;=24,4,"")))),IF(E1222="r0320 - Deposits, not covered and not preferential",1,4))</f>
        <v>4</v>
      </c>
    </row>
    <row r="1223" spans="3:29" ht="36.75" thickBot="1" x14ac:dyDescent="0.3">
      <c r="C1223" s="11">
        <v>999</v>
      </c>
      <c r="D1223" s="154">
        <v>1216</v>
      </c>
      <c r="E1223" s="154" t="s">
        <v>1898</v>
      </c>
      <c r="F1223" s="154" t="s">
        <v>87</v>
      </c>
      <c r="G1223" s="154" t="s">
        <v>1402</v>
      </c>
      <c r="H1223" s="154" t="s">
        <v>670</v>
      </c>
      <c r="I1223" s="154" t="s">
        <v>89</v>
      </c>
      <c r="J1223" s="154" t="s">
        <v>90</v>
      </c>
      <c r="K1223" s="154" t="s">
        <v>91</v>
      </c>
      <c r="L1223" s="154" t="s">
        <v>1901</v>
      </c>
      <c r="M1223" s="154" t="s">
        <v>1383</v>
      </c>
      <c r="N1223" s="154" t="s">
        <v>61</v>
      </c>
      <c r="O1223" s="154" t="s">
        <v>62</v>
      </c>
      <c r="P1223" s="146">
        <v>0.25</v>
      </c>
      <c r="Q1223" s="146">
        <v>0</v>
      </c>
      <c r="R1223" s="154" t="s">
        <v>1384</v>
      </c>
      <c r="S1223" s="154" t="s">
        <v>1899</v>
      </c>
      <c r="T1223" s="155" t="s">
        <v>1899</v>
      </c>
      <c r="U1223" s="155" t="s">
        <v>1899</v>
      </c>
      <c r="V1223" s="154" t="s">
        <v>1562</v>
      </c>
      <c r="W1223" s="154">
        <v>0</v>
      </c>
      <c r="X1223" s="154" t="s">
        <v>63</v>
      </c>
      <c r="Y1223" s="154" t="s">
        <v>1900</v>
      </c>
      <c r="Z1223" s="154"/>
      <c r="AA1223" s="154" t="s">
        <v>1387</v>
      </c>
      <c r="AB1223" s="154">
        <v>0</v>
      </c>
      <c r="AC1223" s="138">
        <f>IFERROR(IF(DATEDIF(#REF!,U1223,"m")&lt;=1,1,IF(AND(DATEDIF(#REF!,U1223,"m")&gt;1,DATEDIF(#REF!,U1223,"m")&lt;12),2,IF(AND(DATEDIF(#REF!,U1223,"m")&gt;=12,DATEDIF(#REF!,U1223,"m")&lt;24),3,IF(DATEDIF(#REF!,U1223,"m")&gt;=24,4,"")))),IF(E1223="r0320 - Deposits, not covered and not preferential",1,4))</f>
        <v>4</v>
      </c>
    </row>
    <row r="1224" spans="3:29" ht="36.75" thickBot="1" x14ac:dyDescent="0.3">
      <c r="C1224" s="11">
        <v>999</v>
      </c>
      <c r="D1224" s="154">
        <v>1217</v>
      </c>
      <c r="E1224" s="154" t="s">
        <v>1898</v>
      </c>
      <c r="F1224" s="154" t="s">
        <v>87</v>
      </c>
      <c r="G1224" s="154" t="s">
        <v>1402</v>
      </c>
      <c r="H1224" s="154" t="s">
        <v>1106</v>
      </c>
      <c r="I1224" s="154" t="s">
        <v>89</v>
      </c>
      <c r="J1224" s="154" t="s">
        <v>90</v>
      </c>
      <c r="K1224" s="154" t="s">
        <v>91</v>
      </c>
      <c r="L1224" s="154" t="s">
        <v>1901</v>
      </c>
      <c r="M1224" s="154" t="s">
        <v>1383</v>
      </c>
      <c r="N1224" s="154" t="s">
        <v>61</v>
      </c>
      <c r="O1224" s="154" t="s">
        <v>62</v>
      </c>
      <c r="P1224" s="146">
        <v>0.95</v>
      </c>
      <c r="Q1224" s="146">
        <v>0</v>
      </c>
      <c r="R1224" s="154" t="s">
        <v>1384</v>
      </c>
      <c r="S1224" s="154" t="s">
        <v>1899</v>
      </c>
      <c r="T1224" s="155" t="s">
        <v>1899</v>
      </c>
      <c r="U1224" s="155" t="s">
        <v>1899</v>
      </c>
      <c r="V1224" s="154" t="s">
        <v>1562</v>
      </c>
      <c r="W1224" s="154">
        <v>0</v>
      </c>
      <c r="X1224" s="154" t="s">
        <v>63</v>
      </c>
      <c r="Y1224" s="154" t="s">
        <v>1900</v>
      </c>
      <c r="Z1224" s="154"/>
      <c r="AA1224" s="154" t="s">
        <v>1387</v>
      </c>
      <c r="AB1224" s="154">
        <v>0</v>
      </c>
      <c r="AC1224" s="138">
        <f>IFERROR(IF(DATEDIF(#REF!,U1224,"m")&lt;=1,1,IF(AND(DATEDIF(#REF!,U1224,"m")&gt;1,DATEDIF(#REF!,U1224,"m")&lt;12),2,IF(AND(DATEDIF(#REF!,U1224,"m")&gt;=12,DATEDIF(#REF!,U1224,"m")&lt;24),3,IF(DATEDIF(#REF!,U1224,"m")&gt;=24,4,"")))),IF(E1224="r0320 - Deposits, not covered and not preferential",1,4))</f>
        <v>4</v>
      </c>
    </row>
    <row r="1225" spans="3:29" ht="48.75" thickBot="1" x14ac:dyDescent="0.3">
      <c r="C1225" s="11">
        <v>999</v>
      </c>
      <c r="D1225" s="154">
        <v>1218</v>
      </c>
      <c r="E1225" s="154" t="s">
        <v>1902</v>
      </c>
      <c r="F1225" s="154" t="s">
        <v>83</v>
      </c>
      <c r="G1225" s="154" t="s">
        <v>1903</v>
      </c>
      <c r="H1225" s="154" t="s">
        <v>408</v>
      </c>
      <c r="I1225" s="154" t="s">
        <v>101</v>
      </c>
      <c r="J1225" s="154" t="s">
        <v>102</v>
      </c>
      <c r="K1225" s="154" t="s">
        <v>60</v>
      </c>
      <c r="L1225" s="154" t="s">
        <v>1897</v>
      </c>
      <c r="M1225" s="154" t="s">
        <v>1388</v>
      </c>
      <c r="N1225" s="154" t="s">
        <v>61</v>
      </c>
      <c r="O1225" s="154" t="s">
        <v>62</v>
      </c>
      <c r="P1225" s="146">
        <v>198890.92</v>
      </c>
      <c r="Q1225" s="146">
        <v>88.85</v>
      </c>
      <c r="R1225" s="154" t="s">
        <v>1384</v>
      </c>
      <c r="S1225" s="154" t="s">
        <v>1899</v>
      </c>
      <c r="T1225" s="155" t="s">
        <v>768</v>
      </c>
      <c r="U1225" s="155" t="s">
        <v>1899</v>
      </c>
      <c r="V1225" s="154" t="s">
        <v>1904</v>
      </c>
      <c r="W1225" s="154">
        <v>0</v>
      </c>
      <c r="X1225" s="154" t="s">
        <v>63</v>
      </c>
      <c r="Y1225" s="154" t="s">
        <v>1386</v>
      </c>
      <c r="Z1225" s="154"/>
      <c r="AA1225" s="154" t="s">
        <v>1387</v>
      </c>
      <c r="AB1225" s="154">
        <v>0</v>
      </c>
      <c r="AC1225" s="138">
        <f>IFERROR(IF(DATEDIF(#REF!,U1225,"m")&lt;=1,1,IF(AND(DATEDIF(#REF!,U1225,"m")&gt;1,DATEDIF(#REF!,U1225,"m")&lt;12),2,IF(AND(DATEDIF(#REF!,U1225,"m")&gt;=12,DATEDIF(#REF!,U1225,"m")&lt;24),3,IF(DATEDIF(#REF!,U1225,"m")&gt;=24,4,"")))),IF(E1225="r0320 - Deposits, not covered and not preferential",1,4))</f>
        <v>4</v>
      </c>
    </row>
    <row r="1226" spans="3:29" ht="36.75" thickBot="1" x14ac:dyDescent="0.3">
      <c r="C1226" s="11">
        <v>999</v>
      </c>
      <c r="D1226" s="154">
        <v>1219</v>
      </c>
      <c r="E1226" s="154" t="s">
        <v>1898</v>
      </c>
      <c r="F1226" s="154" t="s">
        <v>87</v>
      </c>
      <c r="G1226" s="154" t="s">
        <v>1402</v>
      </c>
      <c r="H1226" s="154" t="s">
        <v>1108</v>
      </c>
      <c r="I1226" s="154" t="s">
        <v>89</v>
      </c>
      <c r="J1226" s="154" t="s">
        <v>90</v>
      </c>
      <c r="K1226" s="154" t="s">
        <v>91</v>
      </c>
      <c r="L1226" s="154" t="s">
        <v>1901</v>
      </c>
      <c r="M1226" s="154" t="s">
        <v>1383</v>
      </c>
      <c r="N1226" s="154" t="s">
        <v>61</v>
      </c>
      <c r="O1226" s="154" t="s">
        <v>62</v>
      </c>
      <c r="P1226" s="146">
        <v>0.61</v>
      </c>
      <c r="Q1226" s="146">
        <v>0</v>
      </c>
      <c r="R1226" s="154" t="s">
        <v>1384</v>
      </c>
      <c r="S1226" s="154" t="s">
        <v>1899</v>
      </c>
      <c r="T1226" s="155" t="s">
        <v>1899</v>
      </c>
      <c r="U1226" s="155" t="s">
        <v>1899</v>
      </c>
      <c r="V1226" s="154" t="s">
        <v>1562</v>
      </c>
      <c r="W1226" s="154">
        <v>0</v>
      </c>
      <c r="X1226" s="154" t="s">
        <v>63</v>
      </c>
      <c r="Y1226" s="154" t="s">
        <v>1900</v>
      </c>
      <c r="Z1226" s="154"/>
      <c r="AA1226" s="154" t="s">
        <v>1387</v>
      </c>
      <c r="AB1226" s="154">
        <v>0</v>
      </c>
      <c r="AC1226" s="138">
        <f>IFERROR(IF(DATEDIF(#REF!,U1226,"m")&lt;=1,1,IF(AND(DATEDIF(#REF!,U1226,"m")&gt;1,DATEDIF(#REF!,U1226,"m")&lt;12),2,IF(AND(DATEDIF(#REF!,U1226,"m")&gt;=12,DATEDIF(#REF!,U1226,"m")&lt;24),3,IF(DATEDIF(#REF!,U1226,"m")&gt;=24,4,"")))),IF(E1226="r0320 - Deposits, not covered and not preferential",1,4))</f>
        <v>4</v>
      </c>
    </row>
    <row r="1227" spans="3:29" ht="36.75" thickBot="1" x14ac:dyDescent="0.3">
      <c r="C1227" s="11">
        <v>999</v>
      </c>
      <c r="D1227" s="154">
        <v>1220</v>
      </c>
      <c r="E1227" s="154" t="s">
        <v>1898</v>
      </c>
      <c r="F1227" s="154" t="s">
        <v>87</v>
      </c>
      <c r="G1227" s="154" t="s">
        <v>1402</v>
      </c>
      <c r="H1227" s="154" t="s">
        <v>1088</v>
      </c>
      <c r="I1227" s="154" t="s">
        <v>89</v>
      </c>
      <c r="J1227" s="154" t="s">
        <v>90</v>
      </c>
      <c r="K1227" s="154" t="s">
        <v>91</v>
      </c>
      <c r="L1227" s="154" t="s">
        <v>1901</v>
      </c>
      <c r="M1227" s="154" t="s">
        <v>1383</v>
      </c>
      <c r="N1227" s="154" t="s">
        <v>61</v>
      </c>
      <c r="O1227" s="154" t="s">
        <v>62</v>
      </c>
      <c r="P1227" s="146">
        <v>0.33</v>
      </c>
      <c r="Q1227" s="146">
        <v>0</v>
      </c>
      <c r="R1227" s="154" t="s">
        <v>1384</v>
      </c>
      <c r="S1227" s="154" t="s">
        <v>1899</v>
      </c>
      <c r="T1227" s="155" t="s">
        <v>1899</v>
      </c>
      <c r="U1227" s="155" t="s">
        <v>1899</v>
      </c>
      <c r="V1227" s="154" t="s">
        <v>1562</v>
      </c>
      <c r="W1227" s="154">
        <v>0</v>
      </c>
      <c r="X1227" s="154" t="s">
        <v>63</v>
      </c>
      <c r="Y1227" s="154" t="s">
        <v>1900</v>
      </c>
      <c r="Z1227" s="154"/>
      <c r="AA1227" s="154" t="s">
        <v>1387</v>
      </c>
      <c r="AB1227" s="154">
        <v>0</v>
      </c>
      <c r="AC1227" s="138">
        <f>IFERROR(IF(DATEDIF(#REF!,U1227,"m")&lt;=1,1,IF(AND(DATEDIF(#REF!,U1227,"m")&gt;1,DATEDIF(#REF!,U1227,"m")&lt;12),2,IF(AND(DATEDIF(#REF!,U1227,"m")&gt;=12,DATEDIF(#REF!,U1227,"m")&lt;24),3,IF(DATEDIF(#REF!,U1227,"m")&gt;=24,4,"")))),IF(E1227="r0320 - Deposits, not covered and not preferential",1,4))</f>
        <v>4</v>
      </c>
    </row>
    <row r="1228" spans="3:29" ht="36.75" thickBot="1" x14ac:dyDescent="0.3">
      <c r="C1228" s="11">
        <v>999</v>
      </c>
      <c r="D1228" s="154">
        <v>1221</v>
      </c>
      <c r="E1228" s="154" t="s">
        <v>1898</v>
      </c>
      <c r="F1228" s="154" t="s">
        <v>87</v>
      </c>
      <c r="G1228" s="154" t="s">
        <v>1402</v>
      </c>
      <c r="H1228" s="154" t="s">
        <v>1109</v>
      </c>
      <c r="I1228" s="154" t="s">
        <v>89</v>
      </c>
      <c r="J1228" s="154" t="s">
        <v>90</v>
      </c>
      <c r="K1228" s="154" t="s">
        <v>91</v>
      </c>
      <c r="L1228" s="154" t="s">
        <v>1901</v>
      </c>
      <c r="M1228" s="154" t="s">
        <v>1383</v>
      </c>
      <c r="N1228" s="154" t="s">
        <v>61</v>
      </c>
      <c r="O1228" s="154" t="s">
        <v>62</v>
      </c>
      <c r="P1228" s="146">
        <v>0.47</v>
      </c>
      <c r="Q1228" s="146">
        <v>0</v>
      </c>
      <c r="R1228" s="154" t="s">
        <v>1384</v>
      </c>
      <c r="S1228" s="154" t="s">
        <v>1899</v>
      </c>
      <c r="T1228" s="155" t="s">
        <v>1899</v>
      </c>
      <c r="U1228" s="155" t="s">
        <v>1899</v>
      </c>
      <c r="V1228" s="154" t="s">
        <v>1562</v>
      </c>
      <c r="W1228" s="154">
        <v>0</v>
      </c>
      <c r="X1228" s="154" t="s">
        <v>63</v>
      </c>
      <c r="Y1228" s="154" t="s">
        <v>1900</v>
      </c>
      <c r="Z1228" s="154"/>
      <c r="AA1228" s="154" t="s">
        <v>1387</v>
      </c>
      <c r="AB1228" s="154">
        <v>0</v>
      </c>
      <c r="AC1228" s="138">
        <f>IFERROR(IF(DATEDIF(#REF!,U1228,"m")&lt;=1,1,IF(AND(DATEDIF(#REF!,U1228,"m")&gt;1,DATEDIF(#REF!,U1228,"m")&lt;12),2,IF(AND(DATEDIF(#REF!,U1228,"m")&gt;=12,DATEDIF(#REF!,U1228,"m")&lt;24),3,IF(DATEDIF(#REF!,U1228,"m")&gt;=24,4,"")))),IF(E1228="r0320 - Deposits, not covered and not preferential",1,4))</f>
        <v>4</v>
      </c>
    </row>
    <row r="1229" spans="3:29" ht="48.75" thickBot="1" x14ac:dyDescent="0.3">
      <c r="C1229" s="11">
        <v>999</v>
      </c>
      <c r="D1229" s="154">
        <v>1222</v>
      </c>
      <c r="E1229" s="154" t="s">
        <v>1902</v>
      </c>
      <c r="F1229" s="154" t="s">
        <v>83</v>
      </c>
      <c r="G1229" s="154" t="s">
        <v>1903</v>
      </c>
      <c r="H1229" s="154" t="s">
        <v>182</v>
      </c>
      <c r="I1229" s="154" t="s">
        <v>101</v>
      </c>
      <c r="J1229" s="154" t="s">
        <v>102</v>
      </c>
      <c r="K1229" s="154" t="s">
        <v>60</v>
      </c>
      <c r="L1229" s="154" t="s">
        <v>1897</v>
      </c>
      <c r="M1229" s="154" t="s">
        <v>1388</v>
      </c>
      <c r="N1229" s="154" t="s">
        <v>61</v>
      </c>
      <c r="O1229" s="154" t="s">
        <v>62</v>
      </c>
      <c r="P1229" s="146">
        <v>2131925.9</v>
      </c>
      <c r="Q1229" s="146">
        <v>1026.06</v>
      </c>
      <c r="R1229" s="154" t="s">
        <v>1384</v>
      </c>
      <c r="S1229" s="154" t="s">
        <v>1899</v>
      </c>
      <c r="T1229" s="155" t="s">
        <v>768</v>
      </c>
      <c r="U1229" s="155" t="s">
        <v>1899</v>
      </c>
      <c r="V1229" s="154" t="s">
        <v>1904</v>
      </c>
      <c r="W1229" s="154">
        <v>0</v>
      </c>
      <c r="X1229" s="154" t="s">
        <v>63</v>
      </c>
      <c r="Y1229" s="154" t="s">
        <v>1386</v>
      </c>
      <c r="Z1229" s="154"/>
      <c r="AA1229" s="154" t="s">
        <v>1387</v>
      </c>
      <c r="AB1229" s="154">
        <v>0</v>
      </c>
      <c r="AC1229" s="138">
        <f>IFERROR(IF(DATEDIF(#REF!,U1229,"m")&lt;=1,1,IF(AND(DATEDIF(#REF!,U1229,"m")&gt;1,DATEDIF(#REF!,U1229,"m")&lt;12),2,IF(AND(DATEDIF(#REF!,U1229,"m")&gt;=12,DATEDIF(#REF!,U1229,"m")&lt;24),3,IF(DATEDIF(#REF!,U1229,"m")&gt;=24,4,"")))),IF(E1229="r0320 - Deposits, not covered and not preferential",1,4))</f>
        <v>4</v>
      </c>
    </row>
    <row r="1230" spans="3:29" ht="36.75" thickBot="1" x14ac:dyDescent="0.3">
      <c r="C1230" s="11">
        <v>999</v>
      </c>
      <c r="D1230" s="154">
        <v>1223</v>
      </c>
      <c r="E1230" s="154" t="s">
        <v>1898</v>
      </c>
      <c r="F1230" s="154" t="s">
        <v>87</v>
      </c>
      <c r="G1230" s="154" t="s">
        <v>1402</v>
      </c>
      <c r="H1230" s="154" t="s">
        <v>1111</v>
      </c>
      <c r="I1230" s="154" t="s">
        <v>89</v>
      </c>
      <c r="J1230" s="154" t="s">
        <v>90</v>
      </c>
      <c r="K1230" s="154" t="s">
        <v>91</v>
      </c>
      <c r="L1230" s="154" t="s">
        <v>1901</v>
      </c>
      <c r="M1230" s="154" t="s">
        <v>1383</v>
      </c>
      <c r="N1230" s="154" t="s">
        <v>61</v>
      </c>
      <c r="O1230" s="154" t="s">
        <v>62</v>
      </c>
      <c r="P1230" s="146">
        <v>0.1</v>
      </c>
      <c r="Q1230" s="146">
        <v>0</v>
      </c>
      <c r="R1230" s="154" t="s">
        <v>1384</v>
      </c>
      <c r="S1230" s="154" t="s">
        <v>1899</v>
      </c>
      <c r="T1230" s="155" t="s">
        <v>1899</v>
      </c>
      <c r="U1230" s="155" t="s">
        <v>1899</v>
      </c>
      <c r="V1230" s="154" t="s">
        <v>1562</v>
      </c>
      <c r="W1230" s="154">
        <v>0</v>
      </c>
      <c r="X1230" s="154" t="s">
        <v>63</v>
      </c>
      <c r="Y1230" s="154" t="s">
        <v>1900</v>
      </c>
      <c r="Z1230" s="154"/>
      <c r="AA1230" s="154" t="s">
        <v>1387</v>
      </c>
      <c r="AB1230" s="154">
        <v>0</v>
      </c>
      <c r="AC1230" s="138">
        <f>IFERROR(IF(DATEDIF(#REF!,U1230,"m")&lt;=1,1,IF(AND(DATEDIF(#REF!,U1230,"m")&gt;1,DATEDIF(#REF!,U1230,"m")&lt;12),2,IF(AND(DATEDIF(#REF!,U1230,"m")&gt;=12,DATEDIF(#REF!,U1230,"m")&lt;24),3,IF(DATEDIF(#REF!,U1230,"m")&gt;=24,4,"")))),IF(E1230="r0320 - Deposits, not covered and not preferential",1,4))</f>
        <v>4</v>
      </c>
    </row>
    <row r="1231" spans="3:29" ht="36.75" thickBot="1" x14ac:dyDescent="0.3">
      <c r="C1231" s="11">
        <v>999</v>
      </c>
      <c r="D1231" s="154">
        <v>1224</v>
      </c>
      <c r="E1231" s="154" t="s">
        <v>1898</v>
      </c>
      <c r="F1231" s="154" t="s">
        <v>87</v>
      </c>
      <c r="G1231" s="154" t="s">
        <v>1402</v>
      </c>
      <c r="H1231" s="154" t="s">
        <v>176</v>
      </c>
      <c r="I1231" s="154" t="s">
        <v>89</v>
      </c>
      <c r="J1231" s="154" t="s">
        <v>90</v>
      </c>
      <c r="K1231" s="154" t="s">
        <v>91</v>
      </c>
      <c r="L1231" s="154" t="s">
        <v>1901</v>
      </c>
      <c r="M1231" s="154" t="s">
        <v>1383</v>
      </c>
      <c r="N1231" s="154" t="s">
        <v>61</v>
      </c>
      <c r="O1231" s="154" t="s">
        <v>62</v>
      </c>
      <c r="P1231" s="146">
        <v>0.14000000000000001</v>
      </c>
      <c r="Q1231" s="146">
        <v>0</v>
      </c>
      <c r="R1231" s="154" t="s">
        <v>1384</v>
      </c>
      <c r="S1231" s="154" t="s">
        <v>1899</v>
      </c>
      <c r="T1231" s="155" t="s">
        <v>1899</v>
      </c>
      <c r="U1231" s="155" t="s">
        <v>1899</v>
      </c>
      <c r="V1231" s="154" t="s">
        <v>1562</v>
      </c>
      <c r="W1231" s="154">
        <v>0</v>
      </c>
      <c r="X1231" s="154" t="s">
        <v>63</v>
      </c>
      <c r="Y1231" s="154" t="s">
        <v>1900</v>
      </c>
      <c r="Z1231" s="154"/>
      <c r="AA1231" s="154" t="s">
        <v>1387</v>
      </c>
      <c r="AB1231" s="154">
        <v>0</v>
      </c>
      <c r="AC1231" s="138">
        <f>IFERROR(IF(DATEDIF(#REF!,U1231,"m")&lt;=1,1,IF(AND(DATEDIF(#REF!,U1231,"m")&gt;1,DATEDIF(#REF!,U1231,"m")&lt;12),2,IF(AND(DATEDIF(#REF!,U1231,"m")&gt;=12,DATEDIF(#REF!,U1231,"m")&lt;24),3,IF(DATEDIF(#REF!,U1231,"m")&gt;=24,4,"")))),IF(E1231="r0320 - Deposits, not covered and not preferential",1,4))</f>
        <v>4</v>
      </c>
    </row>
    <row r="1232" spans="3:29" ht="36.75" thickBot="1" x14ac:dyDescent="0.3">
      <c r="C1232" s="11">
        <v>999</v>
      </c>
      <c r="D1232" s="154">
        <v>1225</v>
      </c>
      <c r="E1232" s="154" t="s">
        <v>1898</v>
      </c>
      <c r="F1232" s="154" t="s">
        <v>87</v>
      </c>
      <c r="G1232" s="154" t="s">
        <v>1402</v>
      </c>
      <c r="H1232" s="154" t="s">
        <v>1113</v>
      </c>
      <c r="I1232" s="154" t="s">
        <v>89</v>
      </c>
      <c r="J1232" s="154" t="s">
        <v>90</v>
      </c>
      <c r="K1232" s="154" t="s">
        <v>91</v>
      </c>
      <c r="L1232" s="154" t="s">
        <v>1901</v>
      </c>
      <c r="M1232" s="154" t="s">
        <v>1383</v>
      </c>
      <c r="N1232" s="154" t="s">
        <v>61</v>
      </c>
      <c r="O1232" s="154" t="s">
        <v>62</v>
      </c>
      <c r="P1232" s="146">
        <v>0.12</v>
      </c>
      <c r="Q1232" s="146">
        <v>0</v>
      </c>
      <c r="R1232" s="154" t="s">
        <v>1384</v>
      </c>
      <c r="S1232" s="154" t="s">
        <v>1899</v>
      </c>
      <c r="T1232" s="155" t="s">
        <v>1899</v>
      </c>
      <c r="U1232" s="155" t="s">
        <v>1899</v>
      </c>
      <c r="V1232" s="154" t="s">
        <v>1562</v>
      </c>
      <c r="W1232" s="154">
        <v>0</v>
      </c>
      <c r="X1232" s="154" t="s">
        <v>63</v>
      </c>
      <c r="Y1232" s="154" t="s">
        <v>1900</v>
      </c>
      <c r="Z1232" s="154"/>
      <c r="AA1232" s="154" t="s">
        <v>1387</v>
      </c>
      <c r="AB1232" s="154">
        <v>0</v>
      </c>
      <c r="AC1232" s="138">
        <f>IFERROR(IF(DATEDIF(#REF!,U1232,"m")&lt;=1,1,IF(AND(DATEDIF(#REF!,U1232,"m")&gt;1,DATEDIF(#REF!,U1232,"m")&lt;12),2,IF(AND(DATEDIF(#REF!,U1232,"m")&gt;=12,DATEDIF(#REF!,U1232,"m")&lt;24),3,IF(DATEDIF(#REF!,U1232,"m")&gt;=24,4,"")))),IF(E1232="r0320 - Deposits, not covered and not preferential",1,4))</f>
        <v>4</v>
      </c>
    </row>
    <row r="1233" spans="3:29" ht="36.75" thickBot="1" x14ac:dyDescent="0.3">
      <c r="C1233" s="11">
        <v>999</v>
      </c>
      <c r="D1233" s="154">
        <v>1226</v>
      </c>
      <c r="E1233" s="154" t="s">
        <v>1898</v>
      </c>
      <c r="F1233" s="154" t="s">
        <v>87</v>
      </c>
      <c r="G1233" s="154" t="s">
        <v>1402</v>
      </c>
      <c r="H1233" s="154" t="s">
        <v>681</v>
      </c>
      <c r="I1233" s="154" t="s">
        <v>108</v>
      </c>
      <c r="J1233" s="154" t="s">
        <v>90</v>
      </c>
      <c r="K1233" s="154" t="s">
        <v>91</v>
      </c>
      <c r="L1233" s="154" t="s">
        <v>1897</v>
      </c>
      <c r="M1233" s="154" t="s">
        <v>1383</v>
      </c>
      <c r="N1233" s="154" t="s">
        <v>61</v>
      </c>
      <c r="O1233" s="154" t="s">
        <v>62</v>
      </c>
      <c r="P1233" s="146">
        <v>0.98</v>
      </c>
      <c r="Q1233" s="146">
        <v>0</v>
      </c>
      <c r="R1233" s="154" t="s">
        <v>1384</v>
      </c>
      <c r="S1233" s="154" t="s">
        <v>1899</v>
      </c>
      <c r="T1233" s="155" t="s">
        <v>1899</v>
      </c>
      <c r="U1233" s="155" t="s">
        <v>1899</v>
      </c>
      <c r="V1233" s="154" t="s">
        <v>1562</v>
      </c>
      <c r="W1233" s="154">
        <v>0</v>
      </c>
      <c r="X1233" s="154" t="s">
        <v>63</v>
      </c>
      <c r="Y1233" s="154" t="s">
        <v>1900</v>
      </c>
      <c r="Z1233" s="154"/>
      <c r="AA1233" s="154" t="s">
        <v>1387</v>
      </c>
      <c r="AB1233" s="154">
        <v>0</v>
      </c>
      <c r="AC1233" s="138">
        <f>IFERROR(IF(DATEDIF(#REF!,U1233,"m")&lt;=1,1,IF(AND(DATEDIF(#REF!,U1233,"m")&gt;1,DATEDIF(#REF!,U1233,"m")&lt;12),2,IF(AND(DATEDIF(#REF!,U1233,"m")&gt;=12,DATEDIF(#REF!,U1233,"m")&lt;24),3,IF(DATEDIF(#REF!,U1233,"m")&gt;=24,4,"")))),IF(E1233="r0320 - Deposits, not covered and not preferential",1,4))</f>
        <v>4</v>
      </c>
    </row>
    <row r="1234" spans="3:29" ht="36.75" thickBot="1" x14ac:dyDescent="0.3">
      <c r="C1234" s="11">
        <v>999</v>
      </c>
      <c r="D1234" s="154">
        <v>1227</v>
      </c>
      <c r="E1234" s="154" t="s">
        <v>1898</v>
      </c>
      <c r="F1234" s="154" t="s">
        <v>87</v>
      </c>
      <c r="G1234" s="154" t="s">
        <v>1402</v>
      </c>
      <c r="H1234" s="154" t="s">
        <v>1115</v>
      </c>
      <c r="I1234" s="154" t="s">
        <v>111</v>
      </c>
      <c r="J1234" s="154" t="s">
        <v>90</v>
      </c>
      <c r="K1234" s="154" t="s">
        <v>91</v>
      </c>
      <c r="L1234" s="154" t="s">
        <v>1897</v>
      </c>
      <c r="M1234" s="154" t="s">
        <v>1383</v>
      </c>
      <c r="N1234" s="154" t="s">
        <v>61</v>
      </c>
      <c r="O1234" s="154" t="s">
        <v>62</v>
      </c>
      <c r="P1234" s="146">
        <v>0.33</v>
      </c>
      <c r="Q1234" s="146">
        <v>0</v>
      </c>
      <c r="R1234" s="154" t="s">
        <v>1384</v>
      </c>
      <c r="S1234" s="154" t="s">
        <v>1899</v>
      </c>
      <c r="T1234" s="155" t="s">
        <v>1899</v>
      </c>
      <c r="U1234" s="155" t="s">
        <v>1899</v>
      </c>
      <c r="V1234" s="154" t="s">
        <v>1562</v>
      </c>
      <c r="W1234" s="154">
        <v>0</v>
      </c>
      <c r="X1234" s="154" t="s">
        <v>63</v>
      </c>
      <c r="Y1234" s="154" t="s">
        <v>1900</v>
      </c>
      <c r="Z1234" s="154"/>
      <c r="AA1234" s="154" t="s">
        <v>1387</v>
      </c>
      <c r="AB1234" s="154">
        <v>0</v>
      </c>
      <c r="AC1234" s="138">
        <f>IFERROR(IF(DATEDIF(#REF!,U1234,"m")&lt;=1,1,IF(AND(DATEDIF(#REF!,U1234,"m")&gt;1,DATEDIF(#REF!,U1234,"m")&lt;12),2,IF(AND(DATEDIF(#REF!,U1234,"m")&gt;=12,DATEDIF(#REF!,U1234,"m")&lt;24),3,IF(DATEDIF(#REF!,U1234,"m")&gt;=24,4,"")))),IF(E1234="r0320 - Deposits, not covered and not preferential",1,4))</f>
        <v>4</v>
      </c>
    </row>
    <row r="1235" spans="3:29" ht="36.75" thickBot="1" x14ac:dyDescent="0.3">
      <c r="C1235" s="11">
        <v>999</v>
      </c>
      <c r="D1235" s="154">
        <v>1228</v>
      </c>
      <c r="E1235" s="154" t="s">
        <v>1898</v>
      </c>
      <c r="F1235" s="154" t="s">
        <v>87</v>
      </c>
      <c r="G1235" s="154" t="s">
        <v>1402</v>
      </c>
      <c r="H1235" s="154" t="s">
        <v>348</v>
      </c>
      <c r="I1235" s="154" t="s">
        <v>89</v>
      </c>
      <c r="J1235" s="154" t="s">
        <v>90</v>
      </c>
      <c r="K1235" s="154" t="s">
        <v>91</v>
      </c>
      <c r="L1235" s="154" t="s">
        <v>1901</v>
      </c>
      <c r="M1235" s="154" t="s">
        <v>1383</v>
      </c>
      <c r="N1235" s="154" t="s">
        <v>61</v>
      </c>
      <c r="O1235" s="154" t="s">
        <v>62</v>
      </c>
      <c r="P1235" s="146">
        <v>1.0900000000000001</v>
      </c>
      <c r="Q1235" s="146">
        <v>0</v>
      </c>
      <c r="R1235" s="154" t="s">
        <v>1384</v>
      </c>
      <c r="S1235" s="154" t="s">
        <v>1899</v>
      </c>
      <c r="T1235" s="155" t="s">
        <v>1899</v>
      </c>
      <c r="U1235" s="155" t="s">
        <v>1899</v>
      </c>
      <c r="V1235" s="154" t="s">
        <v>1562</v>
      </c>
      <c r="W1235" s="154">
        <v>0</v>
      </c>
      <c r="X1235" s="154" t="s">
        <v>63</v>
      </c>
      <c r="Y1235" s="154" t="s">
        <v>1900</v>
      </c>
      <c r="Z1235" s="154"/>
      <c r="AA1235" s="154" t="s">
        <v>1387</v>
      </c>
      <c r="AB1235" s="154">
        <v>0</v>
      </c>
      <c r="AC1235" s="138">
        <f>IFERROR(IF(DATEDIF(#REF!,U1235,"m")&lt;=1,1,IF(AND(DATEDIF(#REF!,U1235,"m")&gt;1,DATEDIF(#REF!,U1235,"m")&lt;12),2,IF(AND(DATEDIF(#REF!,U1235,"m")&gt;=12,DATEDIF(#REF!,U1235,"m")&lt;24),3,IF(DATEDIF(#REF!,U1235,"m")&gt;=24,4,"")))),IF(E1235="r0320 - Deposits, not covered and not preferential",1,4))</f>
        <v>4</v>
      </c>
    </row>
    <row r="1236" spans="3:29" ht="36.75" thickBot="1" x14ac:dyDescent="0.3">
      <c r="C1236" s="11">
        <v>999</v>
      </c>
      <c r="D1236" s="154">
        <v>1229</v>
      </c>
      <c r="E1236" s="154" t="s">
        <v>1898</v>
      </c>
      <c r="F1236" s="154" t="s">
        <v>87</v>
      </c>
      <c r="G1236" s="154" t="s">
        <v>1402</v>
      </c>
      <c r="H1236" s="154" t="s">
        <v>1117</v>
      </c>
      <c r="I1236" s="154" t="s">
        <v>89</v>
      </c>
      <c r="J1236" s="154" t="s">
        <v>90</v>
      </c>
      <c r="K1236" s="154" t="s">
        <v>91</v>
      </c>
      <c r="L1236" s="154" t="s">
        <v>1901</v>
      </c>
      <c r="M1236" s="154" t="s">
        <v>1383</v>
      </c>
      <c r="N1236" s="154" t="s">
        <v>61</v>
      </c>
      <c r="O1236" s="154" t="s">
        <v>62</v>
      </c>
      <c r="P1236" s="146">
        <v>0.19</v>
      </c>
      <c r="Q1236" s="146">
        <v>0</v>
      </c>
      <c r="R1236" s="154" t="s">
        <v>1384</v>
      </c>
      <c r="S1236" s="154" t="s">
        <v>1899</v>
      </c>
      <c r="T1236" s="155" t="s">
        <v>1899</v>
      </c>
      <c r="U1236" s="155" t="s">
        <v>1899</v>
      </c>
      <c r="V1236" s="154" t="s">
        <v>1562</v>
      </c>
      <c r="W1236" s="154">
        <v>0</v>
      </c>
      <c r="X1236" s="154" t="s">
        <v>63</v>
      </c>
      <c r="Y1236" s="154" t="s">
        <v>1900</v>
      </c>
      <c r="Z1236" s="154"/>
      <c r="AA1236" s="154" t="s">
        <v>1387</v>
      </c>
      <c r="AB1236" s="154">
        <v>0</v>
      </c>
      <c r="AC1236" s="138">
        <f>IFERROR(IF(DATEDIF(#REF!,U1236,"m")&lt;=1,1,IF(AND(DATEDIF(#REF!,U1236,"m")&gt;1,DATEDIF(#REF!,U1236,"m")&lt;12),2,IF(AND(DATEDIF(#REF!,U1236,"m")&gt;=12,DATEDIF(#REF!,U1236,"m")&lt;24),3,IF(DATEDIF(#REF!,U1236,"m")&gt;=24,4,"")))),IF(E1236="r0320 - Deposits, not covered and not preferential",1,4))</f>
        <v>4</v>
      </c>
    </row>
    <row r="1237" spans="3:29" ht="48.75" thickBot="1" x14ac:dyDescent="0.3">
      <c r="C1237" s="11">
        <v>999</v>
      </c>
      <c r="D1237" s="154">
        <v>1230</v>
      </c>
      <c r="E1237" s="154" t="s">
        <v>1902</v>
      </c>
      <c r="F1237" s="154" t="s">
        <v>83</v>
      </c>
      <c r="G1237" s="154" t="s">
        <v>1903</v>
      </c>
      <c r="H1237" s="154" t="s">
        <v>428</v>
      </c>
      <c r="I1237" s="154" t="s">
        <v>101</v>
      </c>
      <c r="J1237" s="154" t="s">
        <v>102</v>
      </c>
      <c r="K1237" s="154" t="s">
        <v>60</v>
      </c>
      <c r="L1237" s="154" t="s">
        <v>1897</v>
      </c>
      <c r="M1237" s="154" t="s">
        <v>1388</v>
      </c>
      <c r="N1237" s="154" t="s">
        <v>61</v>
      </c>
      <c r="O1237" s="154" t="s">
        <v>62</v>
      </c>
      <c r="P1237" s="146">
        <v>1200474.93</v>
      </c>
      <c r="Q1237" s="146">
        <v>571.87</v>
      </c>
      <c r="R1237" s="154" t="s">
        <v>1384</v>
      </c>
      <c r="S1237" s="154" t="s">
        <v>1899</v>
      </c>
      <c r="T1237" s="155" t="s">
        <v>768</v>
      </c>
      <c r="U1237" s="155" t="s">
        <v>1899</v>
      </c>
      <c r="V1237" s="154" t="s">
        <v>1904</v>
      </c>
      <c r="W1237" s="154">
        <v>0</v>
      </c>
      <c r="X1237" s="154" t="s">
        <v>63</v>
      </c>
      <c r="Y1237" s="154" t="s">
        <v>1386</v>
      </c>
      <c r="Z1237" s="154"/>
      <c r="AA1237" s="154" t="s">
        <v>1387</v>
      </c>
      <c r="AB1237" s="154">
        <v>0</v>
      </c>
      <c r="AC1237" s="138">
        <f>IFERROR(IF(DATEDIF(#REF!,U1237,"m")&lt;=1,1,IF(AND(DATEDIF(#REF!,U1237,"m")&gt;1,DATEDIF(#REF!,U1237,"m")&lt;12),2,IF(AND(DATEDIF(#REF!,U1237,"m")&gt;=12,DATEDIF(#REF!,U1237,"m")&lt;24),3,IF(DATEDIF(#REF!,U1237,"m")&gt;=24,4,"")))),IF(E1237="r0320 - Deposits, not covered and not preferential",1,4))</f>
        <v>4</v>
      </c>
    </row>
    <row r="1238" spans="3:29" ht="36.75" thickBot="1" x14ac:dyDescent="0.3">
      <c r="C1238" s="11">
        <v>999</v>
      </c>
      <c r="D1238" s="154">
        <v>1231</v>
      </c>
      <c r="E1238" s="154" t="s">
        <v>1898</v>
      </c>
      <c r="F1238" s="154" t="s">
        <v>87</v>
      </c>
      <c r="G1238" s="154" t="s">
        <v>1402</v>
      </c>
      <c r="H1238" s="154" t="s">
        <v>1119</v>
      </c>
      <c r="I1238" s="154" t="s">
        <v>89</v>
      </c>
      <c r="J1238" s="154" t="s">
        <v>90</v>
      </c>
      <c r="K1238" s="154" t="s">
        <v>91</v>
      </c>
      <c r="L1238" s="154" t="s">
        <v>1901</v>
      </c>
      <c r="M1238" s="154" t="s">
        <v>1383</v>
      </c>
      <c r="N1238" s="154" t="s">
        <v>61</v>
      </c>
      <c r="O1238" s="154" t="s">
        <v>62</v>
      </c>
      <c r="P1238" s="146">
        <v>0.15</v>
      </c>
      <c r="Q1238" s="146">
        <v>0</v>
      </c>
      <c r="R1238" s="154" t="s">
        <v>1384</v>
      </c>
      <c r="S1238" s="154" t="s">
        <v>1899</v>
      </c>
      <c r="T1238" s="155" t="s">
        <v>1899</v>
      </c>
      <c r="U1238" s="155" t="s">
        <v>1899</v>
      </c>
      <c r="V1238" s="154" t="s">
        <v>1562</v>
      </c>
      <c r="W1238" s="154">
        <v>0</v>
      </c>
      <c r="X1238" s="154" t="s">
        <v>63</v>
      </c>
      <c r="Y1238" s="154" t="s">
        <v>1900</v>
      </c>
      <c r="Z1238" s="154"/>
      <c r="AA1238" s="154" t="s">
        <v>1387</v>
      </c>
      <c r="AB1238" s="154">
        <v>0</v>
      </c>
      <c r="AC1238" s="138">
        <f>IFERROR(IF(DATEDIF(#REF!,U1238,"m")&lt;=1,1,IF(AND(DATEDIF(#REF!,U1238,"m")&gt;1,DATEDIF(#REF!,U1238,"m")&lt;12),2,IF(AND(DATEDIF(#REF!,U1238,"m")&gt;=12,DATEDIF(#REF!,U1238,"m")&lt;24),3,IF(DATEDIF(#REF!,U1238,"m")&gt;=24,4,"")))),IF(E1238="r0320 - Deposits, not covered and not preferential",1,4))</f>
        <v>4</v>
      </c>
    </row>
    <row r="1239" spans="3:29" ht="36.75" thickBot="1" x14ac:dyDescent="0.3">
      <c r="C1239" s="11">
        <v>999</v>
      </c>
      <c r="D1239" s="154">
        <v>1232</v>
      </c>
      <c r="E1239" s="154" t="s">
        <v>1898</v>
      </c>
      <c r="F1239" s="154" t="s">
        <v>87</v>
      </c>
      <c r="G1239" s="154" t="s">
        <v>1402</v>
      </c>
      <c r="H1239" s="154" t="s">
        <v>676</v>
      </c>
      <c r="I1239" s="154" t="s">
        <v>89</v>
      </c>
      <c r="J1239" s="154" t="s">
        <v>90</v>
      </c>
      <c r="K1239" s="154" t="s">
        <v>91</v>
      </c>
      <c r="L1239" s="154" t="s">
        <v>1901</v>
      </c>
      <c r="M1239" s="154" t="s">
        <v>1383</v>
      </c>
      <c r="N1239" s="154" t="s">
        <v>61</v>
      </c>
      <c r="O1239" s="154" t="s">
        <v>62</v>
      </c>
      <c r="P1239" s="146">
        <v>0.14000000000000001</v>
      </c>
      <c r="Q1239" s="146">
        <v>0</v>
      </c>
      <c r="R1239" s="154" t="s">
        <v>1384</v>
      </c>
      <c r="S1239" s="154" t="s">
        <v>1899</v>
      </c>
      <c r="T1239" s="155" t="s">
        <v>1899</v>
      </c>
      <c r="U1239" s="155" t="s">
        <v>1899</v>
      </c>
      <c r="V1239" s="154" t="s">
        <v>1562</v>
      </c>
      <c r="W1239" s="154">
        <v>0</v>
      </c>
      <c r="X1239" s="154" t="s">
        <v>63</v>
      </c>
      <c r="Y1239" s="154" t="s">
        <v>1900</v>
      </c>
      <c r="Z1239" s="154"/>
      <c r="AA1239" s="154" t="s">
        <v>1387</v>
      </c>
      <c r="AB1239" s="154">
        <v>0</v>
      </c>
      <c r="AC1239" s="138">
        <f>IFERROR(IF(DATEDIF(#REF!,U1239,"m")&lt;=1,1,IF(AND(DATEDIF(#REF!,U1239,"m")&gt;1,DATEDIF(#REF!,U1239,"m")&lt;12),2,IF(AND(DATEDIF(#REF!,U1239,"m")&gt;=12,DATEDIF(#REF!,U1239,"m")&lt;24),3,IF(DATEDIF(#REF!,U1239,"m")&gt;=24,4,"")))),IF(E1239="r0320 - Deposits, not covered and not preferential",1,4))</f>
        <v>4</v>
      </c>
    </row>
    <row r="1240" spans="3:29" ht="36.75" thickBot="1" x14ac:dyDescent="0.3">
      <c r="C1240" s="11">
        <v>999</v>
      </c>
      <c r="D1240" s="154">
        <v>1233</v>
      </c>
      <c r="E1240" s="154" t="s">
        <v>1898</v>
      </c>
      <c r="F1240" s="154" t="s">
        <v>87</v>
      </c>
      <c r="G1240" s="154" t="s">
        <v>1402</v>
      </c>
      <c r="H1240" s="154" t="s">
        <v>1121</v>
      </c>
      <c r="I1240" s="154" t="s">
        <v>89</v>
      </c>
      <c r="J1240" s="154" t="s">
        <v>90</v>
      </c>
      <c r="K1240" s="154" t="s">
        <v>91</v>
      </c>
      <c r="L1240" s="154" t="s">
        <v>1901</v>
      </c>
      <c r="M1240" s="154" t="s">
        <v>1383</v>
      </c>
      <c r="N1240" s="154" t="s">
        <v>61</v>
      </c>
      <c r="O1240" s="154" t="s">
        <v>62</v>
      </c>
      <c r="P1240" s="146">
        <v>0.23</v>
      </c>
      <c r="Q1240" s="146">
        <v>0</v>
      </c>
      <c r="R1240" s="154" t="s">
        <v>1384</v>
      </c>
      <c r="S1240" s="154" t="s">
        <v>1899</v>
      </c>
      <c r="T1240" s="155" t="s">
        <v>1899</v>
      </c>
      <c r="U1240" s="155" t="s">
        <v>1899</v>
      </c>
      <c r="V1240" s="154" t="s">
        <v>1562</v>
      </c>
      <c r="W1240" s="154">
        <v>0</v>
      </c>
      <c r="X1240" s="154" t="s">
        <v>63</v>
      </c>
      <c r="Y1240" s="154" t="s">
        <v>1900</v>
      </c>
      <c r="Z1240" s="154"/>
      <c r="AA1240" s="154" t="s">
        <v>1387</v>
      </c>
      <c r="AB1240" s="154">
        <v>0</v>
      </c>
      <c r="AC1240" s="138">
        <f>IFERROR(IF(DATEDIF(#REF!,U1240,"m")&lt;=1,1,IF(AND(DATEDIF(#REF!,U1240,"m")&gt;1,DATEDIF(#REF!,U1240,"m")&lt;12),2,IF(AND(DATEDIF(#REF!,U1240,"m")&gt;=12,DATEDIF(#REF!,U1240,"m")&lt;24),3,IF(DATEDIF(#REF!,U1240,"m")&gt;=24,4,"")))),IF(E1240="r0320 - Deposits, not covered and not preferential",1,4))</f>
        <v>4</v>
      </c>
    </row>
    <row r="1241" spans="3:29" ht="36.75" thickBot="1" x14ac:dyDescent="0.3">
      <c r="C1241" s="11">
        <v>999</v>
      </c>
      <c r="D1241" s="154">
        <v>1234</v>
      </c>
      <c r="E1241" s="154" t="s">
        <v>1898</v>
      </c>
      <c r="F1241" s="154" t="s">
        <v>87</v>
      </c>
      <c r="G1241" s="154" t="s">
        <v>1402</v>
      </c>
      <c r="H1241" s="154" t="s">
        <v>1160</v>
      </c>
      <c r="I1241" s="154" t="s">
        <v>89</v>
      </c>
      <c r="J1241" s="154" t="s">
        <v>90</v>
      </c>
      <c r="K1241" s="154" t="s">
        <v>91</v>
      </c>
      <c r="L1241" s="154" t="s">
        <v>1901</v>
      </c>
      <c r="M1241" s="154" t="s">
        <v>1383</v>
      </c>
      <c r="N1241" s="154" t="s">
        <v>61</v>
      </c>
      <c r="O1241" s="154" t="s">
        <v>62</v>
      </c>
      <c r="P1241" s="146">
        <v>0.26</v>
      </c>
      <c r="Q1241" s="146">
        <v>0</v>
      </c>
      <c r="R1241" s="154" t="s">
        <v>1384</v>
      </c>
      <c r="S1241" s="154" t="s">
        <v>1899</v>
      </c>
      <c r="T1241" s="155" t="s">
        <v>1899</v>
      </c>
      <c r="U1241" s="155" t="s">
        <v>1899</v>
      </c>
      <c r="V1241" s="154" t="s">
        <v>1562</v>
      </c>
      <c r="W1241" s="154">
        <v>0</v>
      </c>
      <c r="X1241" s="154" t="s">
        <v>63</v>
      </c>
      <c r="Y1241" s="154" t="s">
        <v>1900</v>
      </c>
      <c r="Z1241" s="154"/>
      <c r="AA1241" s="154" t="s">
        <v>1387</v>
      </c>
      <c r="AB1241" s="154">
        <v>0</v>
      </c>
      <c r="AC1241" s="138">
        <f>IFERROR(IF(DATEDIF(#REF!,U1241,"m")&lt;=1,1,IF(AND(DATEDIF(#REF!,U1241,"m")&gt;1,DATEDIF(#REF!,U1241,"m")&lt;12),2,IF(AND(DATEDIF(#REF!,U1241,"m")&gt;=12,DATEDIF(#REF!,U1241,"m")&lt;24),3,IF(DATEDIF(#REF!,U1241,"m")&gt;=24,4,"")))),IF(E1241="r0320 - Deposits, not covered and not preferential",1,4))</f>
        <v>4</v>
      </c>
    </row>
    <row r="1242" spans="3:29" ht="36.75" thickBot="1" x14ac:dyDescent="0.3">
      <c r="C1242" s="11">
        <v>999</v>
      </c>
      <c r="D1242" s="154">
        <v>1235</v>
      </c>
      <c r="E1242" s="154" t="s">
        <v>1898</v>
      </c>
      <c r="F1242" s="154" t="s">
        <v>87</v>
      </c>
      <c r="G1242" s="154" t="s">
        <v>1402</v>
      </c>
      <c r="H1242" s="154" t="s">
        <v>1123</v>
      </c>
      <c r="I1242" s="154" t="s">
        <v>89</v>
      </c>
      <c r="J1242" s="154" t="s">
        <v>90</v>
      </c>
      <c r="K1242" s="154" t="s">
        <v>91</v>
      </c>
      <c r="L1242" s="154" t="s">
        <v>1901</v>
      </c>
      <c r="M1242" s="154" t="s">
        <v>1383</v>
      </c>
      <c r="N1242" s="154" t="s">
        <v>61</v>
      </c>
      <c r="O1242" s="154" t="s">
        <v>62</v>
      </c>
      <c r="P1242" s="146">
        <v>0.13</v>
      </c>
      <c r="Q1242" s="146">
        <v>0</v>
      </c>
      <c r="R1242" s="154" t="s">
        <v>1384</v>
      </c>
      <c r="S1242" s="154" t="s">
        <v>1899</v>
      </c>
      <c r="T1242" s="155" t="s">
        <v>1899</v>
      </c>
      <c r="U1242" s="155" t="s">
        <v>1899</v>
      </c>
      <c r="V1242" s="154" t="s">
        <v>1562</v>
      </c>
      <c r="W1242" s="154">
        <v>0</v>
      </c>
      <c r="X1242" s="154" t="s">
        <v>63</v>
      </c>
      <c r="Y1242" s="154" t="s">
        <v>1900</v>
      </c>
      <c r="Z1242" s="154"/>
      <c r="AA1242" s="154" t="s">
        <v>1387</v>
      </c>
      <c r="AB1242" s="154">
        <v>0</v>
      </c>
      <c r="AC1242" s="138">
        <f>IFERROR(IF(DATEDIF(#REF!,U1242,"m")&lt;=1,1,IF(AND(DATEDIF(#REF!,U1242,"m")&gt;1,DATEDIF(#REF!,U1242,"m")&lt;12),2,IF(AND(DATEDIF(#REF!,U1242,"m")&gt;=12,DATEDIF(#REF!,U1242,"m")&lt;24),3,IF(DATEDIF(#REF!,U1242,"m")&gt;=24,4,"")))),IF(E1242="r0320 - Deposits, not covered and not preferential",1,4))</f>
        <v>4</v>
      </c>
    </row>
    <row r="1243" spans="3:29" ht="36.75" thickBot="1" x14ac:dyDescent="0.3">
      <c r="C1243" s="11">
        <v>999</v>
      </c>
      <c r="D1243" s="154">
        <v>1236</v>
      </c>
      <c r="E1243" s="154" t="s">
        <v>1898</v>
      </c>
      <c r="F1243" s="154" t="s">
        <v>87</v>
      </c>
      <c r="G1243" s="154" t="s">
        <v>1402</v>
      </c>
      <c r="H1243" s="154" t="s">
        <v>1097</v>
      </c>
      <c r="I1243" s="154" t="s">
        <v>89</v>
      </c>
      <c r="J1243" s="154" t="s">
        <v>90</v>
      </c>
      <c r="K1243" s="154" t="s">
        <v>91</v>
      </c>
      <c r="L1243" s="154" t="s">
        <v>1901</v>
      </c>
      <c r="M1243" s="154" t="s">
        <v>1383</v>
      </c>
      <c r="N1243" s="154" t="s">
        <v>61</v>
      </c>
      <c r="O1243" s="154" t="s">
        <v>62</v>
      </c>
      <c r="P1243" s="146">
        <v>0.13</v>
      </c>
      <c r="Q1243" s="146">
        <v>0</v>
      </c>
      <c r="R1243" s="154" t="s">
        <v>1384</v>
      </c>
      <c r="S1243" s="154" t="s">
        <v>1899</v>
      </c>
      <c r="T1243" s="155" t="s">
        <v>1899</v>
      </c>
      <c r="U1243" s="155" t="s">
        <v>1899</v>
      </c>
      <c r="V1243" s="154" t="s">
        <v>1562</v>
      </c>
      <c r="W1243" s="154">
        <v>0</v>
      </c>
      <c r="X1243" s="154" t="s">
        <v>63</v>
      </c>
      <c r="Y1243" s="154" t="s">
        <v>1900</v>
      </c>
      <c r="Z1243" s="154"/>
      <c r="AA1243" s="154" t="s">
        <v>1387</v>
      </c>
      <c r="AB1243" s="154">
        <v>0</v>
      </c>
      <c r="AC1243" s="138">
        <f>IFERROR(IF(DATEDIF(#REF!,U1243,"m")&lt;=1,1,IF(AND(DATEDIF(#REF!,U1243,"m")&gt;1,DATEDIF(#REF!,U1243,"m")&lt;12),2,IF(AND(DATEDIF(#REF!,U1243,"m")&gt;=12,DATEDIF(#REF!,U1243,"m")&lt;24),3,IF(DATEDIF(#REF!,U1243,"m")&gt;=24,4,"")))),IF(E1243="r0320 - Deposits, not covered and not preferential",1,4))</f>
        <v>4</v>
      </c>
    </row>
    <row r="1244" spans="3:29" ht="36.75" thickBot="1" x14ac:dyDescent="0.3">
      <c r="C1244" s="11">
        <v>999</v>
      </c>
      <c r="D1244" s="154">
        <v>1237</v>
      </c>
      <c r="E1244" s="154" t="s">
        <v>1898</v>
      </c>
      <c r="F1244" s="154" t="s">
        <v>87</v>
      </c>
      <c r="G1244" s="154" t="s">
        <v>1402</v>
      </c>
      <c r="H1244" s="154" t="s">
        <v>1124</v>
      </c>
      <c r="I1244" s="154" t="s">
        <v>89</v>
      </c>
      <c r="J1244" s="154" t="s">
        <v>90</v>
      </c>
      <c r="K1244" s="154" t="s">
        <v>91</v>
      </c>
      <c r="L1244" s="154" t="s">
        <v>1901</v>
      </c>
      <c r="M1244" s="154" t="s">
        <v>1383</v>
      </c>
      <c r="N1244" s="154" t="s">
        <v>61</v>
      </c>
      <c r="O1244" s="154" t="s">
        <v>62</v>
      </c>
      <c r="P1244" s="146">
        <v>0.16</v>
      </c>
      <c r="Q1244" s="146">
        <v>0</v>
      </c>
      <c r="R1244" s="154" t="s">
        <v>1384</v>
      </c>
      <c r="S1244" s="154" t="s">
        <v>1899</v>
      </c>
      <c r="T1244" s="155" t="s">
        <v>1899</v>
      </c>
      <c r="U1244" s="155" t="s">
        <v>1899</v>
      </c>
      <c r="V1244" s="154" t="s">
        <v>1562</v>
      </c>
      <c r="W1244" s="154">
        <v>0</v>
      </c>
      <c r="X1244" s="154" t="s">
        <v>63</v>
      </c>
      <c r="Y1244" s="154" t="s">
        <v>1900</v>
      </c>
      <c r="Z1244" s="154"/>
      <c r="AA1244" s="154" t="s">
        <v>1387</v>
      </c>
      <c r="AB1244" s="154">
        <v>0</v>
      </c>
      <c r="AC1244" s="138">
        <f>IFERROR(IF(DATEDIF(#REF!,U1244,"m")&lt;=1,1,IF(AND(DATEDIF(#REF!,U1244,"m")&gt;1,DATEDIF(#REF!,U1244,"m")&lt;12),2,IF(AND(DATEDIF(#REF!,U1244,"m")&gt;=12,DATEDIF(#REF!,U1244,"m")&lt;24),3,IF(DATEDIF(#REF!,U1244,"m")&gt;=24,4,"")))),IF(E1244="r0320 - Deposits, not covered and not preferential",1,4))</f>
        <v>4</v>
      </c>
    </row>
    <row r="1245" spans="3:29" ht="48.75" thickBot="1" x14ac:dyDescent="0.3">
      <c r="C1245" s="11">
        <v>999</v>
      </c>
      <c r="D1245" s="154">
        <v>1238</v>
      </c>
      <c r="E1245" s="154" t="s">
        <v>1902</v>
      </c>
      <c r="F1245" s="154" t="s">
        <v>83</v>
      </c>
      <c r="G1245" s="154" t="s">
        <v>1903</v>
      </c>
      <c r="H1245" s="154" t="s">
        <v>451</v>
      </c>
      <c r="I1245" s="154" t="s">
        <v>114</v>
      </c>
      <c r="J1245" s="154" t="s">
        <v>115</v>
      </c>
      <c r="K1245" s="154" t="s">
        <v>60</v>
      </c>
      <c r="L1245" s="154" t="s">
        <v>1897</v>
      </c>
      <c r="M1245" s="154" t="s">
        <v>1388</v>
      </c>
      <c r="N1245" s="154" t="s">
        <v>61</v>
      </c>
      <c r="O1245" s="154" t="s">
        <v>62</v>
      </c>
      <c r="P1245" s="146">
        <v>182730.71</v>
      </c>
      <c r="Q1245" s="146">
        <v>23.01</v>
      </c>
      <c r="R1245" s="154" t="s">
        <v>1384</v>
      </c>
      <c r="S1245" s="154" t="s">
        <v>1899</v>
      </c>
      <c r="T1245" s="155" t="s">
        <v>768</v>
      </c>
      <c r="U1245" s="155" t="s">
        <v>1899</v>
      </c>
      <c r="V1245" s="154" t="s">
        <v>1904</v>
      </c>
      <c r="W1245" s="154">
        <v>0</v>
      </c>
      <c r="X1245" s="154" t="s">
        <v>63</v>
      </c>
      <c r="Y1245" s="154" t="s">
        <v>1386</v>
      </c>
      <c r="Z1245" s="154"/>
      <c r="AA1245" s="154" t="s">
        <v>1387</v>
      </c>
      <c r="AB1245" s="154">
        <v>0</v>
      </c>
      <c r="AC1245" s="138">
        <f>IFERROR(IF(DATEDIF(#REF!,U1245,"m")&lt;=1,1,IF(AND(DATEDIF(#REF!,U1245,"m")&gt;1,DATEDIF(#REF!,U1245,"m")&lt;12),2,IF(AND(DATEDIF(#REF!,U1245,"m")&gt;=12,DATEDIF(#REF!,U1245,"m")&lt;24),3,IF(DATEDIF(#REF!,U1245,"m")&gt;=24,4,"")))),IF(E1245="r0320 - Deposits, not covered and not preferential",1,4))</f>
        <v>4</v>
      </c>
    </row>
    <row r="1246" spans="3:29" ht="36.75" thickBot="1" x14ac:dyDescent="0.3">
      <c r="C1246" s="11">
        <v>999</v>
      </c>
      <c r="D1246" s="154">
        <v>1239</v>
      </c>
      <c r="E1246" s="154" t="s">
        <v>1898</v>
      </c>
      <c r="F1246" s="154" t="s">
        <v>87</v>
      </c>
      <c r="G1246" s="154" t="s">
        <v>1402</v>
      </c>
      <c r="H1246" s="154" t="s">
        <v>1126</v>
      </c>
      <c r="I1246" s="154" t="s">
        <v>89</v>
      </c>
      <c r="J1246" s="154" t="s">
        <v>90</v>
      </c>
      <c r="K1246" s="154" t="s">
        <v>91</v>
      </c>
      <c r="L1246" s="154" t="s">
        <v>1901</v>
      </c>
      <c r="M1246" s="154" t="s">
        <v>1383</v>
      </c>
      <c r="N1246" s="154" t="s">
        <v>61</v>
      </c>
      <c r="O1246" s="154" t="s">
        <v>62</v>
      </c>
      <c r="P1246" s="146">
        <v>0.66</v>
      </c>
      <c r="Q1246" s="146">
        <v>0</v>
      </c>
      <c r="R1246" s="154" t="s">
        <v>1384</v>
      </c>
      <c r="S1246" s="154" t="s">
        <v>1899</v>
      </c>
      <c r="T1246" s="155" t="s">
        <v>1899</v>
      </c>
      <c r="U1246" s="155" t="s">
        <v>1899</v>
      </c>
      <c r="V1246" s="154" t="s">
        <v>1562</v>
      </c>
      <c r="W1246" s="154">
        <v>0</v>
      </c>
      <c r="X1246" s="154" t="s">
        <v>63</v>
      </c>
      <c r="Y1246" s="154" t="s">
        <v>1900</v>
      </c>
      <c r="Z1246" s="154"/>
      <c r="AA1246" s="154" t="s">
        <v>1387</v>
      </c>
      <c r="AB1246" s="154">
        <v>0</v>
      </c>
      <c r="AC1246" s="138">
        <f>IFERROR(IF(DATEDIF(#REF!,U1246,"m")&lt;=1,1,IF(AND(DATEDIF(#REF!,U1246,"m")&gt;1,DATEDIF(#REF!,U1246,"m")&lt;12),2,IF(AND(DATEDIF(#REF!,U1246,"m")&gt;=12,DATEDIF(#REF!,U1246,"m")&lt;24),3,IF(DATEDIF(#REF!,U1246,"m")&gt;=24,4,"")))),IF(E1246="r0320 - Deposits, not covered and not preferential",1,4))</f>
        <v>4</v>
      </c>
    </row>
    <row r="1247" spans="3:29" ht="36.75" thickBot="1" x14ac:dyDescent="0.3">
      <c r="C1247" s="11">
        <v>999</v>
      </c>
      <c r="D1247" s="154">
        <v>1240</v>
      </c>
      <c r="E1247" s="154" t="s">
        <v>1898</v>
      </c>
      <c r="F1247" s="154" t="s">
        <v>87</v>
      </c>
      <c r="G1247" s="154" t="s">
        <v>1402</v>
      </c>
      <c r="H1247" s="154" t="s">
        <v>414</v>
      </c>
      <c r="I1247" s="154" t="s">
        <v>89</v>
      </c>
      <c r="J1247" s="154" t="s">
        <v>90</v>
      </c>
      <c r="K1247" s="154" t="s">
        <v>91</v>
      </c>
      <c r="L1247" s="154" t="s">
        <v>1901</v>
      </c>
      <c r="M1247" s="154" t="s">
        <v>1383</v>
      </c>
      <c r="N1247" s="154" t="s">
        <v>61</v>
      </c>
      <c r="O1247" s="154" t="s">
        <v>62</v>
      </c>
      <c r="P1247" s="146">
        <v>0.25</v>
      </c>
      <c r="Q1247" s="146">
        <v>0</v>
      </c>
      <c r="R1247" s="154" t="s">
        <v>1384</v>
      </c>
      <c r="S1247" s="154" t="s">
        <v>1899</v>
      </c>
      <c r="T1247" s="155" t="s">
        <v>1899</v>
      </c>
      <c r="U1247" s="155" t="s">
        <v>1899</v>
      </c>
      <c r="V1247" s="154" t="s">
        <v>1562</v>
      </c>
      <c r="W1247" s="154">
        <v>0</v>
      </c>
      <c r="X1247" s="154" t="s">
        <v>63</v>
      </c>
      <c r="Y1247" s="154" t="s">
        <v>1900</v>
      </c>
      <c r="Z1247" s="154"/>
      <c r="AA1247" s="154" t="s">
        <v>1387</v>
      </c>
      <c r="AB1247" s="154">
        <v>0</v>
      </c>
      <c r="AC1247" s="138">
        <f>IFERROR(IF(DATEDIF(#REF!,U1247,"m")&lt;=1,1,IF(AND(DATEDIF(#REF!,U1247,"m")&gt;1,DATEDIF(#REF!,U1247,"m")&lt;12),2,IF(AND(DATEDIF(#REF!,U1247,"m")&gt;=12,DATEDIF(#REF!,U1247,"m")&lt;24),3,IF(DATEDIF(#REF!,U1247,"m")&gt;=24,4,"")))),IF(E1247="r0320 - Deposits, not covered and not preferential",1,4))</f>
        <v>4</v>
      </c>
    </row>
    <row r="1248" spans="3:29" ht="36.75" thickBot="1" x14ac:dyDescent="0.3">
      <c r="C1248" s="11">
        <v>999</v>
      </c>
      <c r="D1248" s="154">
        <v>1241</v>
      </c>
      <c r="E1248" s="154" t="s">
        <v>1898</v>
      </c>
      <c r="F1248" s="154" t="s">
        <v>87</v>
      </c>
      <c r="G1248" s="154" t="s">
        <v>1402</v>
      </c>
      <c r="H1248" s="154" t="s">
        <v>1128</v>
      </c>
      <c r="I1248" s="154" t="s">
        <v>89</v>
      </c>
      <c r="J1248" s="154" t="s">
        <v>90</v>
      </c>
      <c r="K1248" s="154" t="s">
        <v>91</v>
      </c>
      <c r="L1248" s="154" t="s">
        <v>1901</v>
      </c>
      <c r="M1248" s="154" t="s">
        <v>1383</v>
      </c>
      <c r="N1248" s="154" t="s">
        <v>61</v>
      </c>
      <c r="O1248" s="154" t="s">
        <v>62</v>
      </c>
      <c r="P1248" s="146">
        <v>0.22</v>
      </c>
      <c r="Q1248" s="146">
        <v>0</v>
      </c>
      <c r="R1248" s="154" t="s">
        <v>1384</v>
      </c>
      <c r="S1248" s="154" t="s">
        <v>1899</v>
      </c>
      <c r="T1248" s="155" t="s">
        <v>1899</v>
      </c>
      <c r="U1248" s="155" t="s">
        <v>1899</v>
      </c>
      <c r="V1248" s="154" t="s">
        <v>1562</v>
      </c>
      <c r="W1248" s="154">
        <v>0</v>
      </c>
      <c r="X1248" s="154" t="s">
        <v>63</v>
      </c>
      <c r="Y1248" s="154" t="s">
        <v>1900</v>
      </c>
      <c r="Z1248" s="154"/>
      <c r="AA1248" s="154" t="s">
        <v>1387</v>
      </c>
      <c r="AB1248" s="154">
        <v>0</v>
      </c>
      <c r="AC1248" s="138">
        <f>IFERROR(IF(DATEDIF(#REF!,U1248,"m")&lt;=1,1,IF(AND(DATEDIF(#REF!,U1248,"m")&gt;1,DATEDIF(#REF!,U1248,"m")&lt;12),2,IF(AND(DATEDIF(#REF!,U1248,"m")&gt;=12,DATEDIF(#REF!,U1248,"m")&lt;24),3,IF(DATEDIF(#REF!,U1248,"m")&gt;=24,4,"")))),IF(E1248="r0320 - Deposits, not covered and not preferential",1,4))</f>
        <v>4</v>
      </c>
    </row>
    <row r="1249" spans="3:29" ht="36.75" thickBot="1" x14ac:dyDescent="0.3">
      <c r="C1249" s="11">
        <v>999</v>
      </c>
      <c r="D1249" s="154">
        <v>1242</v>
      </c>
      <c r="E1249" s="154" t="s">
        <v>1898</v>
      </c>
      <c r="F1249" s="154" t="s">
        <v>87</v>
      </c>
      <c r="G1249" s="154" t="s">
        <v>1402</v>
      </c>
      <c r="H1249" s="154" t="s">
        <v>686</v>
      </c>
      <c r="I1249" s="154" t="s">
        <v>108</v>
      </c>
      <c r="J1249" s="154" t="s">
        <v>90</v>
      </c>
      <c r="K1249" s="154" t="s">
        <v>91</v>
      </c>
      <c r="L1249" s="154" t="s">
        <v>1897</v>
      </c>
      <c r="M1249" s="154" t="s">
        <v>1383</v>
      </c>
      <c r="N1249" s="154" t="s">
        <v>61</v>
      </c>
      <c r="O1249" s="154" t="s">
        <v>62</v>
      </c>
      <c r="P1249" s="146">
        <v>0.87</v>
      </c>
      <c r="Q1249" s="146">
        <v>0</v>
      </c>
      <c r="R1249" s="154" t="s">
        <v>1384</v>
      </c>
      <c r="S1249" s="154" t="s">
        <v>1899</v>
      </c>
      <c r="T1249" s="155" t="s">
        <v>1899</v>
      </c>
      <c r="U1249" s="155" t="s">
        <v>1899</v>
      </c>
      <c r="V1249" s="154" t="s">
        <v>1562</v>
      </c>
      <c r="W1249" s="154">
        <v>0</v>
      </c>
      <c r="X1249" s="154" t="s">
        <v>63</v>
      </c>
      <c r="Y1249" s="154" t="s">
        <v>1900</v>
      </c>
      <c r="Z1249" s="154"/>
      <c r="AA1249" s="154" t="s">
        <v>1387</v>
      </c>
      <c r="AB1249" s="154">
        <v>0</v>
      </c>
      <c r="AC1249" s="138">
        <f>IFERROR(IF(DATEDIF(#REF!,U1249,"m")&lt;=1,1,IF(AND(DATEDIF(#REF!,U1249,"m")&gt;1,DATEDIF(#REF!,U1249,"m")&lt;12),2,IF(AND(DATEDIF(#REF!,U1249,"m")&gt;=12,DATEDIF(#REF!,U1249,"m")&lt;24),3,IF(DATEDIF(#REF!,U1249,"m")&gt;=24,4,"")))),IF(E1249="r0320 - Deposits, not covered and not preferential",1,4))</f>
        <v>4</v>
      </c>
    </row>
    <row r="1250" spans="3:29" ht="36.75" thickBot="1" x14ac:dyDescent="0.3">
      <c r="C1250" s="11">
        <v>999</v>
      </c>
      <c r="D1250" s="154">
        <v>1243</v>
      </c>
      <c r="E1250" s="154" t="s">
        <v>1898</v>
      </c>
      <c r="F1250" s="154" t="s">
        <v>87</v>
      </c>
      <c r="G1250" s="154" t="s">
        <v>1402</v>
      </c>
      <c r="H1250" s="154" t="s">
        <v>1130</v>
      </c>
      <c r="I1250" s="154" t="s">
        <v>89</v>
      </c>
      <c r="J1250" s="154" t="s">
        <v>90</v>
      </c>
      <c r="K1250" s="154" t="s">
        <v>91</v>
      </c>
      <c r="L1250" s="154" t="s">
        <v>1901</v>
      </c>
      <c r="M1250" s="154" t="s">
        <v>1383</v>
      </c>
      <c r="N1250" s="154" t="s">
        <v>61</v>
      </c>
      <c r="O1250" s="154" t="s">
        <v>62</v>
      </c>
      <c r="P1250" s="146">
        <v>0.26</v>
      </c>
      <c r="Q1250" s="146">
        <v>0</v>
      </c>
      <c r="R1250" s="154" t="s">
        <v>1384</v>
      </c>
      <c r="S1250" s="154" t="s">
        <v>1899</v>
      </c>
      <c r="T1250" s="155" t="s">
        <v>1899</v>
      </c>
      <c r="U1250" s="155" t="s">
        <v>1899</v>
      </c>
      <c r="V1250" s="154" t="s">
        <v>1562</v>
      </c>
      <c r="W1250" s="154">
        <v>0</v>
      </c>
      <c r="X1250" s="154" t="s">
        <v>63</v>
      </c>
      <c r="Y1250" s="154" t="s">
        <v>1900</v>
      </c>
      <c r="Z1250" s="154"/>
      <c r="AA1250" s="154" t="s">
        <v>1387</v>
      </c>
      <c r="AB1250" s="154">
        <v>0</v>
      </c>
      <c r="AC1250" s="138">
        <f>IFERROR(IF(DATEDIF(#REF!,U1250,"m")&lt;=1,1,IF(AND(DATEDIF(#REF!,U1250,"m")&gt;1,DATEDIF(#REF!,U1250,"m")&lt;12),2,IF(AND(DATEDIF(#REF!,U1250,"m")&gt;=12,DATEDIF(#REF!,U1250,"m")&lt;24),3,IF(DATEDIF(#REF!,U1250,"m")&gt;=24,4,"")))),IF(E1250="r0320 - Deposits, not covered and not preferential",1,4))</f>
        <v>4</v>
      </c>
    </row>
    <row r="1251" spans="3:29" ht="36.75" thickBot="1" x14ac:dyDescent="0.3">
      <c r="C1251" s="11">
        <v>999</v>
      </c>
      <c r="D1251" s="154">
        <v>1244</v>
      </c>
      <c r="E1251" s="154" t="s">
        <v>1898</v>
      </c>
      <c r="F1251" s="154" t="s">
        <v>87</v>
      </c>
      <c r="G1251" s="154" t="s">
        <v>1402</v>
      </c>
      <c r="H1251" s="154" t="s">
        <v>658</v>
      </c>
      <c r="I1251" s="154" t="s">
        <v>89</v>
      </c>
      <c r="J1251" s="154" t="s">
        <v>90</v>
      </c>
      <c r="K1251" s="154" t="s">
        <v>91</v>
      </c>
      <c r="L1251" s="154" t="s">
        <v>1901</v>
      </c>
      <c r="M1251" s="154" t="s">
        <v>1383</v>
      </c>
      <c r="N1251" s="154" t="s">
        <v>61</v>
      </c>
      <c r="O1251" s="154" t="s">
        <v>62</v>
      </c>
      <c r="P1251" s="146">
        <v>0.1</v>
      </c>
      <c r="Q1251" s="146">
        <v>0</v>
      </c>
      <c r="R1251" s="154" t="s">
        <v>1384</v>
      </c>
      <c r="S1251" s="154" t="s">
        <v>1899</v>
      </c>
      <c r="T1251" s="155" t="s">
        <v>1899</v>
      </c>
      <c r="U1251" s="155" t="s">
        <v>1899</v>
      </c>
      <c r="V1251" s="154" t="s">
        <v>1562</v>
      </c>
      <c r="W1251" s="154">
        <v>0</v>
      </c>
      <c r="X1251" s="154" t="s">
        <v>63</v>
      </c>
      <c r="Y1251" s="154" t="s">
        <v>1900</v>
      </c>
      <c r="Z1251" s="154"/>
      <c r="AA1251" s="154" t="s">
        <v>1387</v>
      </c>
      <c r="AB1251" s="154">
        <v>0</v>
      </c>
      <c r="AC1251" s="138">
        <f>IFERROR(IF(DATEDIF(#REF!,U1251,"m")&lt;=1,1,IF(AND(DATEDIF(#REF!,U1251,"m")&gt;1,DATEDIF(#REF!,U1251,"m")&lt;12),2,IF(AND(DATEDIF(#REF!,U1251,"m")&gt;=12,DATEDIF(#REF!,U1251,"m")&lt;24),3,IF(DATEDIF(#REF!,U1251,"m")&gt;=24,4,"")))),IF(E1251="r0320 - Deposits, not covered and not preferential",1,4))</f>
        <v>4</v>
      </c>
    </row>
    <row r="1252" spans="3:29" ht="36.75" thickBot="1" x14ac:dyDescent="0.3">
      <c r="C1252" s="11">
        <v>999</v>
      </c>
      <c r="D1252" s="154">
        <v>1245</v>
      </c>
      <c r="E1252" s="154" t="s">
        <v>1898</v>
      </c>
      <c r="F1252" s="154" t="s">
        <v>87</v>
      </c>
      <c r="G1252" s="154" t="s">
        <v>1402</v>
      </c>
      <c r="H1252" s="154" t="s">
        <v>1132</v>
      </c>
      <c r="I1252" s="154" t="s">
        <v>89</v>
      </c>
      <c r="J1252" s="154" t="s">
        <v>90</v>
      </c>
      <c r="K1252" s="154" t="s">
        <v>91</v>
      </c>
      <c r="L1252" s="154" t="s">
        <v>1901</v>
      </c>
      <c r="M1252" s="154" t="s">
        <v>1383</v>
      </c>
      <c r="N1252" s="154" t="s">
        <v>61</v>
      </c>
      <c r="O1252" s="154" t="s">
        <v>62</v>
      </c>
      <c r="P1252" s="146">
        <v>0.21</v>
      </c>
      <c r="Q1252" s="146">
        <v>0</v>
      </c>
      <c r="R1252" s="154" t="s">
        <v>1384</v>
      </c>
      <c r="S1252" s="154" t="s">
        <v>1899</v>
      </c>
      <c r="T1252" s="155" t="s">
        <v>1899</v>
      </c>
      <c r="U1252" s="155" t="s">
        <v>1899</v>
      </c>
      <c r="V1252" s="154" t="s">
        <v>1562</v>
      </c>
      <c r="W1252" s="154">
        <v>0</v>
      </c>
      <c r="X1252" s="154" t="s">
        <v>63</v>
      </c>
      <c r="Y1252" s="154" t="s">
        <v>1900</v>
      </c>
      <c r="Z1252" s="154"/>
      <c r="AA1252" s="154" t="s">
        <v>1387</v>
      </c>
      <c r="AB1252" s="154">
        <v>0</v>
      </c>
      <c r="AC1252" s="138">
        <f>IFERROR(IF(DATEDIF(#REF!,U1252,"m")&lt;=1,1,IF(AND(DATEDIF(#REF!,U1252,"m")&gt;1,DATEDIF(#REF!,U1252,"m")&lt;12),2,IF(AND(DATEDIF(#REF!,U1252,"m")&gt;=12,DATEDIF(#REF!,U1252,"m")&lt;24),3,IF(DATEDIF(#REF!,U1252,"m")&gt;=24,4,"")))),IF(E1252="r0320 - Deposits, not covered and not preferential",1,4))</f>
        <v>4</v>
      </c>
    </row>
    <row r="1253" spans="3:29" ht="36.75" thickBot="1" x14ac:dyDescent="0.3">
      <c r="C1253" s="11">
        <v>999</v>
      </c>
      <c r="D1253" s="154">
        <v>1246</v>
      </c>
      <c r="E1253" s="154" t="s">
        <v>1898</v>
      </c>
      <c r="F1253" s="154" t="s">
        <v>87</v>
      </c>
      <c r="G1253" s="154" t="s">
        <v>1402</v>
      </c>
      <c r="H1253" s="154" t="s">
        <v>1171</v>
      </c>
      <c r="I1253" s="154" t="s">
        <v>111</v>
      </c>
      <c r="J1253" s="154" t="s">
        <v>90</v>
      </c>
      <c r="K1253" s="154" t="s">
        <v>91</v>
      </c>
      <c r="L1253" s="154" t="s">
        <v>1897</v>
      </c>
      <c r="M1253" s="154" t="s">
        <v>1383</v>
      </c>
      <c r="N1253" s="154" t="s">
        <v>61</v>
      </c>
      <c r="O1253" s="154" t="s">
        <v>62</v>
      </c>
      <c r="P1253" s="146">
        <v>0.22</v>
      </c>
      <c r="Q1253" s="146">
        <v>0</v>
      </c>
      <c r="R1253" s="154" t="s">
        <v>1384</v>
      </c>
      <c r="S1253" s="154" t="s">
        <v>1899</v>
      </c>
      <c r="T1253" s="155" t="s">
        <v>1899</v>
      </c>
      <c r="U1253" s="155" t="s">
        <v>1899</v>
      </c>
      <c r="V1253" s="154" t="s">
        <v>1562</v>
      </c>
      <c r="W1253" s="154">
        <v>0</v>
      </c>
      <c r="X1253" s="154" t="s">
        <v>63</v>
      </c>
      <c r="Y1253" s="154" t="s">
        <v>1900</v>
      </c>
      <c r="Z1253" s="154"/>
      <c r="AA1253" s="154" t="s">
        <v>1387</v>
      </c>
      <c r="AB1253" s="154">
        <v>0</v>
      </c>
      <c r="AC1253" s="138">
        <f>IFERROR(IF(DATEDIF(#REF!,U1253,"m")&lt;=1,1,IF(AND(DATEDIF(#REF!,U1253,"m")&gt;1,DATEDIF(#REF!,U1253,"m")&lt;12),2,IF(AND(DATEDIF(#REF!,U1253,"m")&gt;=12,DATEDIF(#REF!,U1253,"m")&lt;24),3,IF(DATEDIF(#REF!,U1253,"m")&gt;=24,4,"")))),IF(E1253="r0320 - Deposits, not covered and not preferential",1,4))</f>
        <v>4</v>
      </c>
    </row>
    <row r="1254" spans="3:29" ht="36.75" thickBot="1" x14ac:dyDescent="0.3">
      <c r="C1254" s="11">
        <v>999</v>
      </c>
      <c r="D1254" s="154">
        <v>1247</v>
      </c>
      <c r="E1254" s="154" t="s">
        <v>1898</v>
      </c>
      <c r="F1254" s="154" t="s">
        <v>87</v>
      </c>
      <c r="G1254" s="154" t="s">
        <v>1402</v>
      </c>
      <c r="H1254" s="154" t="s">
        <v>1134</v>
      </c>
      <c r="I1254" s="154" t="s">
        <v>89</v>
      </c>
      <c r="J1254" s="154" t="s">
        <v>90</v>
      </c>
      <c r="K1254" s="154" t="s">
        <v>91</v>
      </c>
      <c r="L1254" s="154" t="s">
        <v>1901</v>
      </c>
      <c r="M1254" s="154" t="s">
        <v>1383</v>
      </c>
      <c r="N1254" s="154" t="s">
        <v>61</v>
      </c>
      <c r="O1254" s="154" t="s">
        <v>62</v>
      </c>
      <c r="P1254" s="146">
        <v>0.26</v>
      </c>
      <c r="Q1254" s="146">
        <v>0</v>
      </c>
      <c r="R1254" s="154" t="s">
        <v>1384</v>
      </c>
      <c r="S1254" s="154" t="s">
        <v>1899</v>
      </c>
      <c r="T1254" s="155" t="s">
        <v>1899</v>
      </c>
      <c r="U1254" s="155" t="s">
        <v>1899</v>
      </c>
      <c r="V1254" s="154" t="s">
        <v>1562</v>
      </c>
      <c r="W1254" s="154">
        <v>0</v>
      </c>
      <c r="X1254" s="154" t="s">
        <v>63</v>
      </c>
      <c r="Y1254" s="154" t="s">
        <v>1900</v>
      </c>
      <c r="Z1254" s="154"/>
      <c r="AA1254" s="154" t="s">
        <v>1387</v>
      </c>
      <c r="AB1254" s="154">
        <v>0</v>
      </c>
      <c r="AC1254" s="138">
        <f>IFERROR(IF(DATEDIF(#REF!,U1254,"m")&lt;=1,1,IF(AND(DATEDIF(#REF!,U1254,"m")&gt;1,DATEDIF(#REF!,U1254,"m")&lt;12),2,IF(AND(DATEDIF(#REF!,U1254,"m")&gt;=12,DATEDIF(#REF!,U1254,"m")&lt;24),3,IF(DATEDIF(#REF!,U1254,"m")&gt;=24,4,"")))),IF(E1254="r0320 - Deposits, not covered and not preferential",1,4))</f>
        <v>4</v>
      </c>
    </row>
    <row r="1255" spans="3:29" ht="36.75" thickBot="1" x14ac:dyDescent="0.3">
      <c r="C1255" s="11">
        <v>999</v>
      </c>
      <c r="D1255" s="154">
        <v>1248</v>
      </c>
      <c r="E1255" s="154" t="s">
        <v>1898</v>
      </c>
      <c r="F1255" s="154" t="s">
        <v>87</v>
      </c>
      <c r="G1255" s="154" t="s">
        <v>1402</v>
      </c>
      <c r="H1255" s="154" t="s">
        <v>683</v>
      </c>
      <c r="I1255" s="154" t="s">
        <v>89</v>
      </c>
      <c r="J1255" s="154" t="s">
        <v>90</v>
      </c>
      <c r="K1255" s="154" t="s">
        <v>91</v>
      </c>
      <c r="L1255" s="154" t="s">
        <v>1901</v>
      </c>
      <c r="M1255" s="154" t="s">
        <v>1383</v>
      </c>
      <c r="N1255" s="154" t="s">
        <v>61</v>
      </c>
      <c r="O1255" s="154" t="s">
        <v>62</v>
      </c>
      <c r="P1255" s="146">
        <v>0.09</v>
      </c>
      <c r="Q1255" s="146">
        <v>0</v>
      </c>
      <c r="R1255" s="154" t="s">
        <v>1384</v>
      </c>
      <c r="S1255" s="154" t="s">
        <v>1899</v>
      </c>
      <c r="T1255" s="155" t="s">
        <v>1899</v>
      </c>
      <c r="U1255" s="155" t="s">
        <v>1899</v>
      </c>
      <c r="V1255" s="154" t="s">
        <v>1562</v>
      </c>
      <c r="W1255" s="154">
        <v>0</v>
      </c>
      <c r="X1255" s="154" t="s">
        <v>63</v>
      </c>
      <c r="Y1255" s="154" t="s">
        <v>1900</v>
      </c>
      <c r="Z1255" s="154"/>
      <c r="AA1255" s="154" t="s">
        <v>1387</v>
      </c>
      <c r="AB1255" s="154">
        <v>0</v>
      </c>
      <c r="AC1255" s="138">
        <f>IFERROR(IF(DATEDIF(#REF!,U1255,"m")&lt;=1,1,IF(AND(DATEDIF(#REF!,U1255,"m")&gt;1,DATEDIF(#REF!,U1255,"m")&lt;12),2,IF(AND(DATEDIF(#REF!,U1255,"m")&gt;=12,DATEDIF(#REF!,U1255,"m")&lt;24),3,IF(DATEDIF(#REF!,U1255,"m")&gt;=24,4,"")))),IF(E1255="r0320 - Deposits, not covered and not preferential",1,4))</f>
        <v>4</v>
      </c>
    </row>
    <row r="1256" spans="3:29" ht="36.75" thickBot="1" x14ac:dyDescent="0.3">
      <c r="C1256" s="11">
        <v>999</v>
      </c>
      <c r="D1256" s="154">
        <v>1249</v>
      </c>
      <c r="E1256" s="154" t="s">
        <v>1898</v>
      </c>
      <c r="F1256" s="154" t="s">
        <v>87</v>
      </c>
      <c r="G1256" s="154" t="s">
        <v>1402</v>
      </c>
      <c r="H1256" s="154" t="s">
        <v>1136</v>
      </c>
      <c r="I1256" s="154" t="s">
        <v>89</v>
      </c>
      <c r="J1256" s="154" t="s">
        <v>90</v>
      </c>
      <c r="K1256" s="154" t="s">
        <v>91</v>
      </c>
      <c r="L1256" s="154" t="s">
        <v>1901</v>
      </c>
      <c r="M1256" s="154" t="s">
        <v>1383</v>
      </c>
      <c r="N1256" s="154" t="s">
        <v>61</v>
      </c>
      <c r="O1256" s="154" t="s">
        <v>62</v>
      </c>
      <c r="P1256" s="146">
        <v>0.16</v>
      </c>
      <c r="Q1256" s="146">
        <v>0</v>
      </c>
      <c r="R1256" s="154" t="s">
        <v>1384</v>
      </c>
      <c r="S1256" s="154" t="s">
        <v>1899</v>
      </c>
      <c r="T1256" s="155" t="s">
        <v>1899</v>
      </c>
      <c r="U1256" s="155" t="s">
        <v>1899</v>
      </c>
      <c r="V1256" s="154" t="s">
        <v>1562</v>
      </c>
      <c r="W1256" s="154">
        <v>0</v>
      </c>
      <c r="X1256" s="154" t="s">
        <v>63</v>
      </c>
      <c r="Y1256" s="154" t="s">
        <v>1900</v>
      </c>
      <c r="Z1256" s="154"/>
      <c r="AA1256" s="154" t="s">
        <v>1387</v>
      </c>
      <c r="AB1256" s="154">
        <v>0</v>
      </c>
      <c r="AC1256" s="138">
        <f>IFERROR(IF(DATEDIF(#REF!,U1256,"m")&lt;=1,1,IF(AND(DATEDIF(#REF!,U1256,"m")&gt;1,DATEDIF(#REF!,U1256,"m")&lt;12),2,IF(AND(DATEDIF(#REF!,U1256,"m")&gt;=12,DATEDIF(#REF!,U1256,"m")&lt;24),3,IF(DATEDIF(#REF!,U1256,"m")&gt;=24,4,"")))),IF(E1256="r0320 - Deposits, not covered and not preferential",1,4))</f>
        <v>4</v>
      </c>
    </row>
    <row r="1257" spans="3:29" ht="48.75" thickBot="1" x14ac:dyDescent="0.3">
      <c r="C1257" s="11">
        <v>999</v>
      </c>
      <c r="D1257" s="154">
        <v>1250</v>
      </c>
      <c r="E1257" s="154" t="s">
        <v>1902</v>
      </c>
      <c r="F1257" s="154" t="s">
        <v>83</v>
      </c>
      <c r="G1257" s="154" t="s">
        <v>1903</v>
      </c>
      <c r="H1257" s="154" t="s">
        <v>416</v>
      </c>
      <c r="I1257" s="154" t="s">
        <v>93</v>
      </c>
      <c r="J1257" s="154" t="s">
        <v>94</v>
      </c>
      <c r="K1257" s="154" t="s">
        <v>60</v>
      </c>
      <c r="L1257" s="154" t="s">
        <v>1897</v>
      </c>
      <c r="M1257" s="154" t="s">
        <v>1388</v>
      </c>
      <c r="N1257" s="154" t="s">
        <v>61</v>
      </c>
      <c r="O1257" s="154" t="s">
        <v>62</v>
      </c>
      <c r="P1257" s="146">
        <v>10721.86</v>
      </c>
      <c r="Q1257" s="146">
        <v>0</v>
      </c>
      <c r="R1257" s="154" t="s">
        <v>1384</v>
      </c>
      <c r="S1257" s="154" t="s">
        <v>1899</v>
      </c>
      <c r="T1257" s="155" t="s">
        <v>768</v>
      </c>
      <c r="U1257" s="155" t="s">
        <v>1899</v>
      </c>
      <c r="V1257" s="154" t="s">
        <v>1904</v>
      </c>
      <c r="W1257" s="154">
        <v>0</v>
      </c>
      <c r="X1257" s="154" t="s">
        <v>63</v>
      </c>
      <c r="Y1257" s="154" t="s">
        <v>1386</v>
      </c>
      <c r="Z1257" s="154"/>
      <c r="AA1257" s="154" t="s">
        <v>1387</v>
      </c>
      <c r="AB1257" s="154">
        <v>0</v>
      </c>
      <c r="AC1257" s="138">
        <f>IFERROR(IF(DATEDIF(#REF!,U1257,"m")&lt;=1,1,IF(AND(DATEDIF(#REF!,U1257,"m")&gt;1,DATEDIF(#REF!,U1257,"m")&lt;12),2,IF(AND(DATEDIF(#REF!,U1257,"m")&gt;=12,DATEDIF(#REF!,U1257,"m")&lt;24),3,IF(DATEDIF(#REF!,U1257,"m")&gt;=24,4,"")))),IF(E1257="r0320 - Deposits, not covered and not preferential",1,4))</f>
        <v>4</v>
      </c>
    </row>
    <row r="1258" spans="3:29" ht="36.75" thickBot="1" x14ac:dyDescent="0.3">
      <c r="C1258" s="11">
        <v>999</v>
      </c>
      <c r="D1258" s="154">
        <v>1251</v>
      </c>
      <c r="E1258" s="154" t="s">
        <v>1898</v>
      </c>
      <c r="F1258" s="154" t="s">
        <v>87</v>
      </c>
      <c r="G1258" s="154" t="s">
        <v>1402</v>
      </c>
      <c r="H1258" s="154" t="s">
        <v>1138</v>
      </c>
      <c r="I1258" s="154" t="s">
        <v>89</v>
      </c>
      <c r="J1258" s="154" t="s">
        <v>90</v>
      </c>
      <c r="K1258" s="154" t="s">
        <v>91</v>
      </c>
      <c r="L1258" s="154" t="s">
        <v>1901</v>
      </c>
      <c r="M1258" s="154" t="s">
        <v>1383</v>
      </c>
      <c r="N1258" s="154" t="s">
        <v>61</v>
      </c>
      <c r="O1258" s="154" t="s">
        <v>62</v>
      </c>
      <c r="P1258" s="146">
        <v>0.13</v>
      </c>
      <c r="Q1258" s="146">
        <v>0</v>
      </c>
      <c r="R1258" s="154" t="s">
        <v>1384</v>
      </c>
      <c r="S1258" s="154" t="s">
        <v>1899</v>
      </c>
      <c r="T1258" s="155" t="s">
        <v>1899</v>
      </c>
      <c r="U1258" s="155" t="s">
        <v>1899</v>
      </c>
      <c r="V1258" s="154" t="s">
        <v>1562</v>
      </c>
      <c r="W1258" s="154">
        <v>0</v>
      </c>
      <c r="X1258" s="154" t="s">
        <v>63</v>
      </c>
      <c r="Y1258" s="154" t="s">
        <v>1900</v>
      </c>
      <c r="Z1258" s="154"/>
      <c r="AA1258" s="154" t="s">
        <v>1387</v>
      </c>
      <c r="AB1258" s="154">
        <v>0</v>
      </c>
      <c r="AC1258" s="138">
        <f>IFERROR(IF(DATEDIF(#REF!,U1258,"m")&lt;=1,1,IF(AND(DATEDIF(#REF!,U1258,"m")&gt;1,DATEDIF(#REF!,U1258,"m")&lt;12),2,IF(AND(DATEDIF(#REF!,U1258,"m")&gt;=12,DATEDIF(#REF!,U1258,"m")&lt;24),3,IF(DATEDIF(#REF!,U1258,"m")&gt;=24,4,"")))),IF(E1258="r0320 - Deposits, not covered and not preferential",1,4))</f>
        <v>4</v>
      </c>
    </row>
    <row r="1259" spans="3:29" ht="36.75" thickBot="1" x14ac:dyDescent="0.3">
      <c r="C1259" s="11">
        <v>999</v>
      </c>
      <c r="D1259" s="154">
        <v>1252</v>
      </c>
      <c r="E1259" s="154" t="s">
        <v>1898</v>
      </c>
      <c r="F1259" s="154" t="s">
        <v>87</v>
      </c>
      <c r="G1259" s="154" t="s">
        <v>1402</v>
      </c>
      <c r="H1259" s="154" t="s">
        <v>1112</v>
      </c>
      <c r="I1259" s="154" t="s">
        <v>89</v>
      </c>
      <c r="J1259" s="154" t="s">
        <v>90</v>
      </c>
      <c r="K1259" s="154" t="s">
        <v>91</v>
      </c>
      <c r="L1259" s="154" t="s">
        <v>1901</v>
      </c>
      <c r="M1259" s="154" t="s">
        <v>1383</v>
      </c>
      <c r="N1259" s="154" t="s">
        <v>61</v>
      </c>
      <c r="O1259" s="154" t="s">
        <v>62</v>
      </c>
      <c r="P1259" s="146">
        <v>0.14000000000000001</v>
      </c>
      <c r="Q1259" s="146">
        <v>0</v>
      </c>
      <c r="R1259" s="154" t="s">
        <v>1384</v>
      </c>
      <c r="S1259" s="154" t="s">
        <v>1899</v>
      </c>
      <c r="T1259" s="155" t="s">
        <v>1899</v>
      </c>
      <c r="U1259" s="155" t="s">
        <v>1899</v>
      </c>
      <c r="V1259" s="154" t="s">
        <v>1562</v>
      </c>
      <c r="W1259" s="154">
        <v>0</v>
      </c>
      <c r="X1259" s="154" t="s">
        <v>63</v>
      </c>
      <c r="Y1259" s="154" t="s">
        <v>1900</v>
      </c>
      <c r="Z1259" s="154"/>
      <c r="AA1259" s="154" t="s">
        <v>1387</v>
      </c>
      <c r="AB1259" s="154">
        <v>0</v>
      </c>
      <c r="AC1259" s="138">
        <f>IFERROR(IF(DATEDIF(#REF!,U1259,"m")&lt;=1,1,IF(AND(DATEDIF(#REF!,U1259,"m")&gt;1,DATEDIF(#REF!,U1259,"m")&lt;12),2,IF(AND(DATEDIF(#REF!,U1259,"m")&gt;=12,DATEDIF(#REF!,U1259,"m")&lt;24),3,IF(DATEDIF(#REF!,U1259,"m")&gt;=24,4,"")))),IF(E1259="r0320 - Deposits, not covered and not preferential",1,4))</f>
        <v>4</v>
      </c>
    </row>
    <row r="1260" spans="3:29" ht="36.75" thickBot="1" x14ac:dyDescent="0.3">
      <c r="C1260" s="11">
        <v>999</v>
      </c>
      <c r="D1260" s="154">
        <v>1253</v>
      </c>
      <c r="E1260" s="154" t="s">
        <v>1898</v>
      </c>
      <c r="F1260" s="154" t="s">
        <v>87</v>
      </c>
      <c r="G1260" s="154" t="s">
        <v>1402</v>
      </c>
      <c r="H1260" s="154" t="s">
        <v>1139</v>
      </c>
      <c r="I1260" s="154" t="s">
        <v>89</v>
      </c>
      <c r="J1260" s="154" t="s">
        <v>90</v>
      </c>
      <c r="K1260" s="154" t="s">
        <v>91</v>
      </c>
      <c r="L1260" s="154" t="s">
        <v>1901</v>
      </c>
      <c r="M1260" s="154" t="s">
        <v>1383</v>
      </c>
      <c r="N1260" s="154" t="s">
        <v>61</v>
      </c>
      <c r="O1260" s="154" t="s">
        <v>62</v>
      </c>
      <c r="P1260" s="146">
        <v>0.13</v>
      </c>
      <c r="Q1260" s="146">
        <v>0</v>
      </c>
      <c r="R1260" s="154" t="s">
        <v>1384</v>
      </c>
      <c r="S1260" s="154" t="s">
        <v>1899</v>
      </c>
      <c r="T1260" s="155" t="s">
        <v>1899</v>
      </c>
      <c r="U1260" s="155" t="s">
        <v>1899</v>
      </c>
      <c r="V1260" s="154" t="s">
        <v>1562</v>
      </c>
      <c r="W1260" s="154">
        <v>0</v>
      </c>
      <c r="X1260" s="154" t="s">
        <v>63</v>
      </c>
      <c r="Y1260" s="154" t="s">
        <v>1900</v>
      </c>
      <c r="Z1260" s="154"/>
      <c r="AA1260" s="154" t="s">
        <v>1387</v>
      </c>
      <c r="AB1260" s="154">
        <v>0</v>
      </c>
      <c r="AC1260" s="138">
        <f>IFERROR(IF(DATEDIF(#REF!,U1260,"m")&lt;=1,1,IF(AND(DATEDIF(#REF!,U1260,"m")&gt;1,DATEDIF(#REF!,U1260,"m")&lt;12),2,IF(AND(DATEDIF(#REF!,U1260,"m")&gt;=12,DATEDIF(#REF!,U1260,"m")&lt;24),3,IF(DATEDIF(#REF!,U1260,"m")&gt;=24,4,"")))),IF(E1260="r0320 - Deposits, not covered and not preferential",1,4))</f>
        <v>4</v>
      </c>
    </row>
    <row r="1261" spans="3:29" ht="36.75" thickBot="1" x14ac:dyDescent="0.3">
      <c r="C1261" s="11">
        <v>999</v>
      </c>
      <c r="D1261" s="154">
        <v>1254</v>
      </c>
      <c r="E1261" s="154" t="s">
        <v>1898</v>
      </c>
      <c r="F1261" s="154" t="s">
        <v>87</v>
      </c>
      <c r="G1261" s="154" t="s">
        <v>1402</v>
      </c>
      <c r="H1261" s="154" t="s">
        <v>725</v>
      </c>
      <c r="I1261" s="154" t="s">
        <v>108</v>
      </c>
      <c r="J1261" s="154" t="s">
        <v>90</v>
      </c>
      <c r="K1261" s="154" t="s">
        <v>91</v>
      </c>
      <c r="L1261" s="154" t="s">
        <v>1897</v>
      </c>
      <c r="M1261" s="154" t="s">
        <v>1383</v>
      </c>
      <c r="N1261" s="154" t="s">
        <v>61</v>
      </c>
      <c r="O1261" s="154" t="s">
        <v>62</v>
      </c>
      <c r="P1261" s="146">
        <v>0.31</v>
      </c>
      <c r="Q1261" s="146">
        <v>0</v>
      </c>
      <c r="R1261" s="154" t="s">
        <v>1384</v>
      </c>
      <c r="S1261" s="154" t="s">
        <v>1899</v>
      </c>
      <c r="T1261" s="155" t="s">
        <v>1899</v>
      </c>
      <c r="U1261" s="155" t="s">
        <v>1899</v>
      </c>
      <c r="V1261" s="154" t="s">
        <v>1562</v>
      </c>
      <c r="W1261" s="154">
        <v>0</v>
      </c>
      <c r="X1261" s="154" t="s">
        <v>63</v>
      </c>
      <c r="Y1261" s="154" t="s">
        <v>1900</v>
      </c>
      <c r="Z1261" s="154"/>
      <c r="AA1261" s="154" t="s">
        <v>1387</v>
      </c>
      <c r="AB1261" s="154">
        <v>0</v>
      </c>
      <c r="AC1261" s="138">
        <f>IFERROR(IF(DATEDIF(#REF!,U1261,"m")&lt;=1,1,IF(AND(DATEDIF(#REF!,U1261,"m")&gt;1,DATEDIF(#REF!,U1261,"m")&lt;12),2,IF(AND(DATEDIF(#REF!,U1261,"m")&gt;=12,DATEDIF(#REF!,U1261,"m")&lt;24),3,IF(DATEDIF(#REF!,U1261,"m")&gt;=24,4,"")))),IF(E1261="r0320 - Deposits, not covered and not preferential",1,4))</f>
        <v>4</v>
      </c>
    </row>
    <row r="1262" spans="3:29" ht="36.75" thickBot="1" x14ac:dyDescent="0.3">
      <c r="C1262" s="11">
        <v>999</v>
      </c>
      <c r="D1262" s="154">
        <v>1255</v>
      </c>
      <c r="E1262" s="154" t="s">
        <v>1898</v>
      </c>
      <c r="F1262" s="154" t="s">
        <v>87</v>
      </c>
      <c r="G1262" s="154" t="s">
        <v>1402</v>
      </c>
      <c r="H1262" s="154" t="s">
        <v>1141</v>
      </c>
      <c r="I1262" s="154" t="s">
        <v>89</v>
      </c>
      <c r="J1262" s="154" t="s">
        <v>90</v>
      </c>
      <c r="K1262" s="154" t="s">
        <v>91</v>
      </c>
      <c r="L1262" s="154" t="s">
        <v>1901</v>
      </c>
      <c r="M1262" s="154" t="s">
        <v>1383</v>
      </c>
      <c r="N1262" s="154" t="s">
        <v>61</v>
      </c>
      <c r="O1262" s="154" t="s">
        <v>62</v>
      </c>
      <c r="P1262" s="146">
        <v>0.12</v>
      </c>
      <c r="Q1262" s="146">
        <v>0</v>
      </c>
      <c r="R1262" s="154" t="s">
        <v>1384</v>
      </c>
      <c r="S1262" s="154" t="s">
        <v>1899</v>
      </c>
      <c r="T1262" s="155" t="s">
        <v>1899</v>
      </c>
      <c r="U1262" s="155" t="s">
        <v>1899</v>
      </c>
      <c r="V1262" s="154" t="s">
        <v>1562</v>
      </c>
      <c r="W1262" s="154">
        <v>0</v>
      </c>
      <c r="X1262" s="154" t="s">
        <v>63</v>
      </c>
      <c r="Y1262" s="154" t="s">
        <v>1900</v>
      </c>
      <c r="Z1262" s="154"/>
      <c r="AA1262" s="154" t="s">
        <v>1387</v>
      </c>
      <c r="AB1262" s="154">
        <v>0</v>
      </c>
      <c r="AC1262" s="138">
        <f>IFERROR(IF(DATEDIF(#REF!,U1262,"m")&lt;=1,1,IF(AND(DATEDIF(#REF!,U1262,"m")&gt;1,DATEDIF(#REF!,U1262,"m")&lt;12),2,IF(AND(DATEDIF(#REF!,U1262,"m")&gt;=12,DATEDIF(#REF!,U1262,"m")&lt;24),3,IF(DATEDIF(#REF!,U1262,"m")&gt;=24,4,"")))),IF(E1262="r0320 - Deposits, not covered and not preferential",1,4))</f>
        <v>4</v>
      </c>
    </row>
    <row r="1263" spans="3:29" ht="36.75" thickBot="1" x14ac:dyDescent="0.3">
      <c r="C1263" s="11">
        <v>999</v>
      </c>
      <c r="D1263" s="154">
        <v>1256</v>
      </c>
      <c r="E1263" s="154" t="s">
        <v>1898</v>
      </c>
      <c r="F1263" s="154" t="s">
        <v>87</v>
      </c>
      <c r="G1263" s="154" t="s">
        <v>1402</v>
      </c>
      <c r="H1263" s="154" t="s">
        <v>258</v>
      </c>
      <c r="I1263" s="154" t="s">
        <v>89</v>
      </c>
      <c r="J1263" s="154" t="s">
        <v>90</v>
      </c>
      <c r="K1263" s="154" t="s">
        <v>91</v>
      </c>
      <c r="L1263" s="154" t="s">
        <v>1901</v>
      </c>
      <c r="M1263" s="154" t="s">
        <v>1383</v>
      </c>
      <c r="N1263" s="154" t="s">
        <v>61</v>
      </c>
      <c r="O1263" s="154" t="s">
        <v>62</v>
      </c>
      <c r="P1263" s="146">
        <v>0.09</v>
      </c>
      <c r="Q1263" s="146">
        <v>0</v>
      </c>
      <c r="R1263" s="154" t="s">
        <v>1384</v>
      </c>
      <c r="S1263" s="154" t="s">
        <v>1899</v>
      </c>
      <c r="T1263" s="155" t="s">
        <v>1899</v>
      </c>
      <c r="U1263" s="155" t="s">
        <v>1899</v>
      </c>
      <c r="V1263" s="154" t="s">
        <v>1562</v>
      </c>
      <c r="W1263" s="154">
        <v>0</v>
      </c>
      <c r="X1263" s="154" t="s">
        <v>63</v>
      </c>
      <c r="Y1263" s="154" t="s">
        <v>1900</v>
      </c>
      <c r="Z1263" s="154"/>
      <c r="AA1263" s="154" t="s">
        <v>1387</v>
      </c>
      <c r="AB1263" s="154">
        <v>0</v>
      </c>
      <c r="AC1263" s="138">
        <f>IFERROR(IF(DATEDIF(#REF!,U1263,"m")&lt;=1,1,IF(AND(DATEDIF(#REF!,U1263,"m")&gt;1,DATEDIF(#REF!,U1263,"m")&lt;12),2,IF(AND(DATEDIF(#REF!,U1263,"m")&gt;=12,DATEDIF(#REF!,U1263,"m")&lt;24),3,IF(DATEDIF(#REF!,U1263,"m")&gt;=24,4,"")))),IF(E1263="r0320 - Deposits, not covered and not preferential",1,4))</f>
        <v>4</v>
      </c>
    </row>
    <row r="1264" spans="3:29" ht="36.75" thickBot="1" x14ac:dyDescent="0.3">
      <c r="C1264" s="11">
        <v>999</v>
      </c>
      <c r="D1264" s="154">
        <v>1257</v>
      </c>
      <c r="E1264" s="154" t="s">
        <v>1898</v>
      </c>
      <c r="F1264" s="154" t="s">
        <v>87</v>
      </c>
      <c r="G1264" s="154" t="s">
        <v>1402</v>
      </c>
      <c r="H1264" s="154" t="s">
        <v>1143</v>
      </c>
      <c r="I1264" s="154" t="s">
        <v>89</v>
      </c>
      <c r="J1264" s="154" t="s">
        <v>90</v>
      </c>
      <c r="K1264" s="154" t="s">
        <v>91</v>
      </c>
      <c r="L1264" s="154" t="s">
        <v>1901</v>
      </c>
      <c r="M1264" s="154" t="s">
        <v>1383</v>
      </c>
      <c r="N1264" s="154" t="s">
        <v>61</v>
      </c>
      <c r="O1264" s="154" t="s">
        <v>62</v>
      </c>
      <c r="P1264" s="146">
        <v>0.12</v>
      </c>
      <c r="Q1264" s="146">
        <v>0</v>
      </c>
      <c r="R1264" s="154" t="s">
        <v>1384</v>
      </c>
      <c r="S1264" s="154" t="s">
        <v>1899</v>
      </c>
      <c r="T1264" s="155" t="s">
        <v>1899</v>
      </c>
      <c r="U1264" s="155" t="s">
        <v>1899</v>
      </c>
      <c r="V1264" s="154" t="s">
        <v>1562</v>
      </c>
      <c r="W1264" s="154">
        <v>0</v>
      </c>
      <c r="X1264" s="154" t="s">
        <v>63</v>
      </c>
      <c r="Y1264" s="154" t="s">
        <v>1900</v>
      </c>
      <c r="Z1264" s="154"/>
      <c r="AA1264" s="154" t="s">
        <v>1387</v>
      </c>
      <c r="AB1264" s="154">
        <v>0</v>
      </c>
      <c r="AC1264" s="138">
        <f>IFERROR(IF(DATEDIF(#REF!,U1264,"m")&lt;=1,1,IF(AND(DATEDIF(#REF!,U1264,"m")&gt;1,DATEDIF(#REF!,U1264,"m")&lt;12),2,IF(AND(DATEDIF(#REF!,U1264,"m")&gt;=12,DATEDIF(#REF!,U1264,"m")&lt;24),3,IF(DATEDIF(#REF!,U1264,"m")&gt;=24,4,"")))),IF(E1264="r0320 - Deposits, not covered and not preferential",1,4))</f>
        <v>4</v>
      </c>
    </row>
    <row r="1265" spans="3:29" ht="36.75" thickBot="1" x14ac:dyDescent="0.3">
      <c r="C1265" s="11">
        <v>999</v>
      </c>
      <c r="D1265" s="154">
        <v>1258</v>
      </c>
      <c r="E1265" s="154" t="s">
        <v>1898</v>
      </c>
      <c r="F1265" s="154" t="s">
        <v>87</v>
      </c>
      <c r="G1265" s="154" t="s">
        <v>1402</v>
      </c>
      <c r="H1265" s="154" t="s">
        <v>691</v>
      </c>
      <c r="I1265" s="154" t="s">
        <v>108</v>
      </c>
      <c r="J1265" s="154" t="s">
        <v>90</v>
      </c>
      <c r="K1265" s="154" t="s">
        <v>91</v>
      </c>
      <c r="L1265" s="154" t="s">
        <v>1897</v>
      </c>
      <c r="M1265" s="154" t="s">
        <v>1383</v>
      </c>
      <c r="N1265" s="154" t="s">
        <v>61</v>
      </c>
      <c r="O1265" s="154" t="s">
        <v>62</v>
      </c>
      <c r="P1265" s="146">
        <v>2.61</v>
      </c>
      <c r="Q1265" s="146">
        <v>0</v>
      </c>
      <c r="R1265" s="154" t="s">
        <v>1384</v>
      </c>
      <c r="S1265" s="154" t="s">
        <v>1899</v>
      </c>
      <c r="T1265" s="155" t="s">
        <v>1899</v>
      </c>
      <c r="U1265" s="155" t="s">
        <v>1899</v>
      </c>
      <c r="V1265" s="154" t="s">
        <v>1562</v>
      </c>
      <c r="W1265" s="154">
        <v>0</v>
      </c>
      <c r="X1265" s="154" t="s">
        <v>63</v>
      </c>
      <c r="Y1265" s="154" t="s">
        <v>1900</v>
      </c>
      <c r="Z1265" s="154"/>
      <c r="AA1265" s="154" t="s">
        <v>1387</v>
      </c>
      <c r="AB1265" s="154">
        <v>0</v>
      </c>
      <c r="AC1265" s="138">
        <f>IFERROR(IF(DATEDIF(#REF!,U1265,"m")&lt;=1,1,IF(AND(DATEDIF(#REF!,U1265,"m")&gt;1,DATEDIF(#REF!,U1265,"m")&lt;12),2,IF(AND(DATEDIF(#REF!,U1265,"m")&gt;=12,DATEDIF(#REF!,U1265,"m")&lt;24),3,IF(DATEDIF(#REF!,U1265,"m")&gt;=24,4,"")))),IF(E1265="r0320 - Deposits, not covered and not preferential",1,4))</f>
        <v>4</v>
      </c>
    </row>
    <row r="1266" spans="3:29" ht="36.75" thickBot="1" x14ac:dyDescent="0.3">
      <c r="C1266" s="11">
        <v>999</v>
      </c>
      <c r="D1266" s="154">
        <v>1259</v>
      </c>
      <c r="E1266" s="154" t="s">
        <v>1898</v>
      </c>
      <c r="F1266" s="154" t="s">
        <v>87</v>
      </c>
      <c r="G1266" s="154" t="s">
        <v>1402</v>
      </c>
      <c r="H1266" s="154" t="s">
        <v>1145</v>
      </c>
      <c r="I1266" s="154" t="s">
        <v>89</v>
      </c>
      <c r="J1266" s="154" t="s">
        <v>90</v>
      </c>
      <c r="K1266" s="154" t="s">
        <v>91</v>
      </c>
      <c r="L1266" s="154" t="s">
        <v>1901</v>
      </c>
      <c r="M1266" s="154" t="s">
        <v>1383</v>
      </c>
      <c r="N1266" s="154" t="s">
        <v>61</v>
      </c>
      <c r="O1266" s="154" t="s">
        <v>62</v>
      </c>
      <c r="P1266" s="146">
        <v>0.24</v>
      </c>
      <c r="Q1266" s="146">
        <v>0</v>
      </c>
      <c r="R1266" s="154" t="s">
        <v>1384</v>
      </c>
      <c r="S1266" s="154" t="s">
        <v>1899</v>
      </c>
      <c r="T1266" s="155" t="s">
        <v>1899</v>
      </c>
      <c r="U1266" s="155" t="s">
        <v>1899</v>
      </c>
      <c r="V1266" s="154" t="s">
        <v>1562</v>
      </c>
      <c r="W1266" s="154">
        <v>0</v>
      </c>
      <c r="X1266" s="154" t="s">
        <v>63</v>
      </c>
      <c r="Y1266" s="154" t="s">
        <v>1900</v>
      </c>
      <c r="Z1266" s="154"/>
      <c r="AA1266" s="154" t="s">
        <v>1387</v>
      </c>
      <c r="AB1266" s="154">
        <v>0</v>
      </c>
      <c r="AC1266" s="138">
        <f>IFERROR(IF(DATEDIF(#REF!,U1266,"m")&lt;=1,1,IF(AND(DATEDIF(#REF!,U1266,"m")&gt;1,DATEDIF(#REF!,U1266,"m")&lt;12),2,IF(AND(DATEDIF(#REF!,U1266,"m")&gt;=12,DATEDIF(#REF!,U1266,"m")&lt;24),3,IF(DATEDIF(#REF!,U1266,"m")&gt;=24,4,"")))),IF(E1266="r0320 - Deposits, not covered and not preferential",1,4))</f>
        <v>4</v>
      </c>
    </row>
    <row r="1267" spans="3:29" ht="36.75" thickBot="1" x14ac:dyDescent="0.3">
      <c r="C1267" s="11">
        <v>999</v>
      </c>
      <c r="D1267" s="154">
        <v>1260</v>
      </c>
      <c r="E1267" s="154" t="s">
        <v>1898</v>
      </c>
      <c r="F1267" s="154" t="s">
        <v>87</v>
      </c>
      <c r="G1267" s="154" t="s">
        <v>1402</v>
      </c>
      <c r="H1267" s="154" t="s">
        <v>1035</v>
      </c>
      <c r="I1267" s="154" t="s">
        <v>89</v>
      </c>
      <c r="J1267" s="154" t="s">
        <v>90</v>
      </c>
      <c r="K1267" s="154" t="s">
        <v>91</v>
      </c>
      <c r="L1267" s="154" t="s">
        <v>1901</v>
      </c>
      <c r="M1267" s="154" t="s">
        <v>1383</v>
      </c>
      <c r="N1267" s="154" t="s">
        <v>61</v>
      </c>
      <c r="O1267" s="154" t="s">
        <v>62</v>
      </c>
      <c r="P1267" s="146">
        <v>0.13</v>
      </c>
      <c r="Q1267" s="146">
        <v>0</v>
      </c>
      <c r="R1267" s="154" t="s">
        <v>1384</v>
      </c>
      <c r="S1267" s="154" t="s">
        <v>1899</v>
      </c>
      <c r="T1267" s="155" t="s">
        <v>1899</v>
      </c>
      <c r="U1267" s="155" t="s">
        <v>1899</v>
      </c>
      <c r="V1267" s="154" t="s">
        <v>1562</v>
      </c>
      <c r="W1267" s="154">
        <v>0</v>
      </c>
      <c r="X1267" s="154" t="s">
        <v>63</v>
      </c>
      <c r="Y1267" s="154" t="s">
        <v>1900</v>
      </c>
      <c r="Z1267" s="154"/>
      <c r="AA1267" s="154" t="s">
        <v>1387</v>
      </c>
      <c r="AB1267" s="154">
        <v>0</v>
      </c>
      <c r="AC1267" s="138">
        <f>IFERROR(IF(DATEDIF(#REF!,U1267,"m")&lt;=1,1,IF(AND(DATEDIF(#REF!,U1267,"m")&gt;1,DATEDIF(#REF!,U1267,"m")&lt;12),2,IF(AND(DATEDIF(#REF!,U1267,"m")&gt;=12,DATEDIF(#REF!,U1267,"m")&lt;24),3,IF(DATEDIF(#REF!,U1267,"m")&gt;=24,4,"")))),IF(E1267="r0320 - Deposits, not covered and not preferential",1,4))</f>
        <v>4</v>
      </c>
    </row>
    <row r="1268" spans="3:29" ht="36.75" thickBot="1" x14ac:dyDescent="0.3">
      <c r="C1268" s="11">
        <v>999</v>
      </c>
      <c r="D1268" s="154">
        <v>1261</v>
      </c>
      <c r="E1268" s="154" t="s">
        <v>1898</v>
      </c>
      <c r="F1268" s="154" t="s">
        <v>87</v>
      </c>
      <c r="G1268" s="154" t="s">
        <v>1402</v>
      </c>
      <c r="H1268" s="154" t="s">
        <v>419</v>
      </c>
      <c r="I1268" s="154" t="s">
        <v>108</v>
      </c>
      <c r="J1268" s="154" t="s">
        <v>90</v>
      </c>
      <c r="K1268" s="154" t="s">
        <v>91</v>
      </c>
      <c r="L1268" s="154" t="s">
        <v>1897</v>
      </c>
      <c r="M1268" s="154" t="s">
        <v>1383</v>
      </c>
      <c r="N1268" s="154" t="s">
        <v>61</v>
      </c>
      <c r="O1268" s="154" t="s">
        <v>62</v>
      </c>
      <c r="P1268" s="146">
        <v>0.34</v>
      </c>
      <c r="Q1268" s="146">
        <v>0</v>
      </c>
      <c r="R1268" s="154" t="s">
        <v>1384</v>
      </c>
      <c r="S1268" s="154" t="s">
        <v>1899</v>
      </c>
      <c r="T1268" s="155" t="s">
        <v>1899</v>
      </c>
      <c r="U1268" s="155" t="s">
        <v>1899</v>
      </c>
      <c r="V1268" s="154" t="s">
        <v>1562</v>
      </c>
      <c r="W1268" s="154">
        <v>0</v>
      </c>
      <c r="X1268" s="154" t="s">
        <v>63</v>
      </c>
      <c r="Y1268" s="154" t="s">
        <v>1900</v>
      </c>
      <c r="Z1268" s="154"/>
      <c r="AA1268" s="154" t="s">
        <v>1387</v>
      </c>
      <c r="AB1268" s="154">
        <v>0</v>
      </c>
      <c r="AC1268" s="138">
        <f>IFERROR(IF(DATEDIF(#REF!,U1268,"m")&lt;=1,1,IF(AND(DATEDIF(#REF!,U1268,"m")&gt;1,DATEDIF(#REF!,U1268,"m")&lt;12),2,IF(AND(DATEDIF(#REF!,U1268,"m")&gt;=12,DATEDIF(#REF!,U1268,"m")&lt;24),3,IF(DATEDIF(#REF!,U1268,"m")&gt;=24,4,"")))),IF(E1268="r0320 - Deposits, not covered and not preferential",1,4))</f>
        <v>4</v>
      </c>
    </row>
    <row r="1269" spans="3:29" ht="36.75" thickBot="1" x14ac:dyDescent="0.3">
      <c r="C1269" s="11">
        <v>999</v>
      </c>
      <c r="D1269" s="154">
        <v>1262</v>
      </c>
      <c r="E1269" s="154" t="s">
        <v>1898</v>
      </c>
      <c r="F1269" s="154" t="s">
        <v>87</v>
      </c>
      <c r="G1269" s="154" t="s">
        <v>1402</v>
      </c>
      <c r="H1269" s="154" t="s">
        <v>1184</v>
      </c>
      <c r="I1269" s="154" t="s">
        <v>108</v>
      </c>
      <c r="J1269" s="154" t="s">
        <v>90</v>
      </c>
      <c r="K1269" s="154" t="s">
        <v>91</v>
      </c>
      <c r="L1269" s="154" t="s">
        <v>1897</v>
      </c>
      <c r="M1269" s="154" t="s">
        <v>1383</v>
      </c>
      <c r="N1269" s="154" t="s">
        <v>61</v>
      </c>
      <c r="O1269" s="154" t="s">
        <v>62</v>
      </c>
      <c r="P1269" s="146">
        <v>0.09</v>
      </c>
      <c r="Q1269" s="146">
        <v>0</v>
      </c>
      <c r="R1269" s="154" t="s">
        <v>1384</v>
      </c>
      <c r="S1269" s="154" t="s">
        <v>1899</v>
      </c>
      <c r="T1269" s="155" t="s">
        <v>1899</v>
      </c>
      <c r="U1269" s="155" t="s">
        <v>1899</v>
      </c>
      <c r="V1269" s="154" t="s">
        <v>1562</v>
      </c>
      <c r="W1269" s="154">
        <v>0</v>
      </c>
      <c r="X1269" s="154" t="s">
        <v>63</v>
      </c>
      <c r="Y1269" s="154" t="s">
        <v>1900</v>
      </c>
      <c r="Z1269" s="154"/>
      <c r="AA1269" s="154" t="s">
        <v>1387</v>
      </c>
      <c r="AB1269" s="154">
        <v>0</v>
      </c>
      <c r="AC1269" s="138">
        <f>IFERROR(IF(DATEDIF(#REF!,U1269,"m")&lt;=1,1,IF(AND(DATEDIF(#REF!,U1269,"m")&gt;1,DATEDIF(#REF!,U1269,"m")&lt;12),2,IF(AND(DATEDIF(#REF!,U1269,"m")&gt;=12,DATEDIF(#REF!,U1269,"m")&lt;24),3,IF(DATEDIF(#REF!,U1269,"m")&gt;=24,4,"")))),IF(E1269="r0320 - Deposits, not covered and not preferential",1,4))</f>
        <v>4</v>
      </c>
    </row>
    <row r="1270" spans="3:29" ht="48.75" thickBot="1" x14ac:dyDescent="0.3">
      <c r="C1270" s="11">
        <v>999</v>
      </c>
      <c r="D1270" s="154">
        <v>1263</v>
      </c>
      <c r="E1270" s="154" t="s">
        <v>1902</v>
      </c>
      <c r="F1270" s="154" t="s">
        <v>83</v>
      </c>
      <c r="G1270" s="154" t="s">
        <v>1903</v>
      </c>
      <c r="H1270" s="154" t="s">
        <v>666</v>
      </c>
      <c r="I1270" s="154" t="s">
        <v>93</v>
      </c>
      <c r="J1270" s="154" t="s">
        <v>94</v>
      </c>
      <c r="K1270" s="154" t="s">
        <v>60</v>
      </c>
      <c r="L1270" s="154" t="s">
        <v>1897</v>
      </c>
      <c r="M1270" s="154" t="s">
        <v>1388</v>
      </c>
      <c r="N1270" s="154" t="s">
        <v>61</v>
      </c>
      <c r="O1270" s="154" t="s">
        <v>62</v>
      </c>
      <c r="P1270" s="146">
        <v>88219.37</v>
      </c>
      <c r="Q1270" s="146">
        <v>59.4</v>
      </c>
      <c r="R1270" s="154" t="s">
        <v>1384</v>
      </c>
      <c r="S1270" s="154" t="s">
        <v>1899</v>
      </c>
      <c r="T1270" s="155" t="s">
        <v>768</v>
      </c>
      <c r="U1270" s="155" t="s">
        <v>1899</v>
      </c>
      <c r="V1270" s="154" t="s">
        <v>1904</v>
      </c>
      <c r="W1270" s="154">
        <v>0</v>
      </c>
      <c r="X1270" s="154" t="s">
        <v>63</v>
      </c>
      <c r="Y1270" s="154" t="s">
        <v>1386</v>
      </c>
      <c r="Z1270" s="154"/>
      <c r="AA1270" s="154" t="s">
        <v>1387</v>
      </c>
      <c r="AB1270" s="154">
        <v>0</v>
      </c>
      <c r="AC1270" s="138">
        <f>IFERROR(IF(DATEDIF(#REF!,U1270,"m")&lt;=1,1,IF(AND(DATEDIF(#REF!,U1270,"m")&gt;1,DATEDIF(#REF!,U1270,"m")&lt;12),2,IF(AND(DATEDIF(#REF!,U1270,"m")&gt;=12,DATEDIF(#REF!,U1270,"m")&lt;24),3,IF(DATEDIF(#REF!,U1270,"m")&gt;=24,4,"")))),IF(E1270="r0320 - Deposits, not covered and not preferential",1,4))</f>
        <v>4</v>
      </c>
    </row>
    <row r="1271" spans="3:29" ht="36.75" thickBot="1" x14ac:dyDescent="0.3">
      <c r="C1271" s="11">
        <v>999</v>
      </c>
      <c r="D1271" s="154">
        <v>1264</v>
      </c>
      <c r="E1271" s="154" t="s">
        <v>1898</v>
      </c>
      <c r="F1271" s="154" t="s">
        <v>87</v>
      </c>
      <c r="G1271" s="154" t="s">
        <v>1402</v>
      </c>
      <c r="H1271" s="154" t="s">
        <v>687</v>
      </c>
      <c r="I1271" s="154" t="s">
        <v>89</v>
      </c>
      <c r="J1271" s="154" t="s">
        <v>90</v>
      </c>
      <c r="K1271" s="154" t="s">
        <v>91</v>
      </c>
      <c r="L1271" s="154" t="s">
        <v>1901</v>
      </c>
      <c r="M1271" s="154" t="s">
        <v>1383</v>
      </c>
      <c r="N1271" s="154" t="s">
        <v>61</v>
      </c>
      <c r="O1271" s="154" t="s">
        <v>62</v>
      </c>
      <c r="P1271" s="146">
        <v>0.1</v>
      </c>
      <c r="Q1271" s="146">
        <v>0</v>
      </c>
      <c r="R1271" s="154" t="s">
        <v>1384</v>
      </c>
      <c r="S1271" s="154" t="s">
        <v>1899</v>
      </c>
      <c r="T1271" s="155" t="s">
        <v>1899</v>
      </c>
      <c r="U1271" s="155" t="s">
        <v>1899</v>
      </c>
      <c r="V1271" s="154" t="s">
        <v>1562</v>
      </c>
      <c r="W1271" s="154">
        <v>0</v>
      </c>
      <c r="X1271" s="154" t="s">
        <v>63</v>
      </c>
      <c r="Y1271" s="154" t="s">
        <v>1900</v>
      </c>
      <c r="Z1271" s="154"/>
      <c r="AA1271" s="154" t="s">
        <v>1387</v>
      </c>
      <c r="AB1271" s="154">
        <v>0</v>
      </c>
      <c r="AC1271" s="138">
        <f>IFERROR(IF(DATEDIF(#REF!,U1271,"m")&lt;=1,1,IF(AND(DATEDIF(#REF!,U1271,"m")&gt;1,DATEDIF(#REF!,U1271,"m")&lt;12),2,IF(AND(DATEDIF(#REF!,U1271,"m")&gt;=12,DATEDIF(#REF!,U1271,"m")&lt;24),3,IF(DATEDIF(#REF!,U1271,"m")&gt;=24,4,"")))),IF(E1271="r0320 - Deposits, not covered and not preferential",1,4))</f>
        <v>4</v>
      </c>
    </row>
    <row r="1272" spans="3:29" ht="36.75" thickBot="1" x14ac:dyDescent="0.3">
      <c r="C1272" s="11">
        <v>999</v>
      </c>
      <c r="D1272" s="154">
        <v>1265</v>
      </c>
      <c r="E1272" s="154" t="s">
        <v>1898</v>
      </c>
      <c r="F1272" s="154" t="s">
        <v>87</v>
      </c>
      <c r="G1272" s="154" t="s">
        <v>1402</v>
      </c>
      <c r="H1272" s="154" t="s">
        <v>259</v>
      </c>
      <c r="I1272" s="154" t="s">
        <v>108</v>
      </c>
      <c r="J1272" s="154" t="s">
        <v>90</v>
      </c>
      <c r="K1272" s="154" t="s">
        <v>91</v>
      </c>
      <c r="L1272" s="154" t="s">
        <v>1897</v>
      </c>
      <c r="M1272" s="154" t="s">
        <v>1383</v>
      </c>
      <c r="N1272" s="154" t="s">
        <v>61</v>
      </c>
      <c r="O1272" s="154" t="s">
        <v>62</v>
      </c>
      <c r="P1272" s="146">
        <v>18.29</v>
      </c>
      <c r="Q1272" s="146">
        <v>0</v>
      </c>
      <c r="R1272" s="154" t="s">
        <v>1384</v>
      </c>
      <c r="S1272" s="154" t="s">
        <v>1899</v>
      </c>
      <c r="T1272" s="155" t="s">
        <v>1899</v>
      </c>
      <c r="U1272" s="155" t="s">
        <v>1899</v>
      </c>
      <c r="V1272" s="154" t="s">
        <v>1562</v>
      </c>
      <c r="W1272" s="154">
        <v>0</v>
      </c>
      <c r="X1272" s="154" t="s">
        <v>63</v>
      </c>
      <c r="Y1272" s="154" t="s">
        <v>1900</v>
      </c>
      <c r="Z1272" s="154"/>
      <c r="AA1272" s="154" t="s">
        <v>1387</v>
      </c>
      <c r="AB1272" s="154">
        <v>0</v>
      </c>
      <c r="AC1272" s="138">
        <f>IFERROR(IF(DATEDIF(#REF!,U1272,"m")&lt;=1,1,IF(AND(DATEDIF(#REF!,U1272,"m")&gt;1,DATEDIF(#REF!,U1272,"m")&lt;12),2,IF(AND(DATEDIF(#REF!,U1272,"m")&gt;=12,DATEDIF(#REF!,U1272,"m")&lt;24),3,IF(DATEDIF(#REF!,U1272,"m")&gt;=24,4,"")))),IF(E1272="r0320 - Deposits, not covered and not preferential",1,4))</f>
        <v>4</v>
      </c>
    </row>
    <row r="1273" spans="3:29" ht="48.75" thickBot="1" x14ac:dyDescent="0.3">
      <c r="C1273" s="11">
        <v>999</v>
      </c>
      <c r="D1273" s="154">
        <v>1266</v>
      </c>
      <c r="E1273" s="154" t="s">
        <v>1902</v>
      </c>
      <c r="F1273" s="154" t="s">
        <v>83</v>
      </c>
      <c r="G1273" s="154" t="s">
        <v>1903</v>
      </c>
      <c r="H1273" s="154" t="s">
        <v>134</v>
      </c>
      <c r="I1273" s="154" t="s">
        <v>114</v>
      </c>
      <c r="J1273" s="154" t="s">
        <v>115</v>
      </c>
      <c r="K1273" s="154" t="s">
        <v>60</v>
      </c>
      <c r="L1273" s="154" t="s">
        <v>1897</v>
      </c>
      <c r="M1273" s="154" t="s">
        <v>1388</v>
      </c>
      <c r="N1273" s="154" t="s">
        <v>61</v>
      </c>
      <c r="O1273" s="154" t="s">
        <v>62</v>
      </c>
      <c r="P1273" s="146">
        <v>124454.74</v>
      </c>
      <c r="Q1273" s="146">
        <v>26.11</v>
      </c>
      <c r="R1273" s="154" t="s">
        <v>1384</v>
      </c>
      <c r="S1273" s="154" t="s">
        <v>1899</v>
      </c>
      <c r="T1273" s="155" t="s">
        <v>768</v>
      </c>
      <c r="U1273" s="155" t="s">
        <v>1899</v>
      </c>
      <c r="V1273" s="154" t="s">
        <v>1904</v>
      </c>
      <c r="W1273" s="154">
        <v>0</v>
      </c>
      <c r="X1273" s="154" t="s">
        <v>63</v>
      </c>
      <c r="Y1273" s="154" t="s">
        <v>1386</v>
      </c>
      <c r="Z1273" s="154"/>
      <c r="AA1273" s="154" t="s">
        <v>1387</v>
      </c>
      <c r="AB1273" s="154">
        <v>0</v>
      </c>
      <c r="AC1273" s="138">
        <f>IFERROR(IF(DATEDIF(#REF!,U1273,"m")&lt;=1,1,IF(AND(DATEDIF(#REF!,U1273,"m")&gt;1,DATEDIF(#REF!,U1273,"m")&lt;12),2,IF(AND(DATEDIF(#REF!,U1273,"m")&gt;=12,DATEDIF(#REF!,U1273,"m")&lt;24),3,IF(DATEDIF(#REF!,U1273,"m")&gt;=24,4,"")))),IF(E1273="r0320 - Deposits, not covered and not preferential",1,4))</f>
        <v>4</v>
      </c>
    </row>
    <row r="1274" spans="3:29" ht="48.75" thickBot="1" x14ac:dyDescent="0.3">
      <c r="C1274" s="11">
        <v>999</v>
      </c>
      <c r="D1274" s="154">
        <v>1267</v>
      </c>
      <c r="E1274" s="154" t="s">
        <v>1902</v>
      </c>
      <c r="F1274" s="154" t="s">
        <v>83</v>
      </c>
      <c r="G1274" s="154" t="s">
        <v>1903</v>
      </c>
      <c r="H1274" s="154" t="s">
        <v>174</v>
      </c>
      <c r="I1274" s="154" t="s">
        <v>114</v>
      </c>
      <c r="J1274" s="154" t="s">
        <v>115</v>
      </c>
      <c r="K1274" s="154" t="s">
        <v>60</v>
      </c>
      <c r="L1274" s="154" t="s">
        <v>1897</v>
      </c>
      <c r="M1274" s="154" t="s">
        <v>1388</v>
      </c>
      <c r="N1274" s="154" t="s">
        <v>61</v>
      </c>
      <c r="O1274" s="154" t="s">
        <v>62</v>
      </c>
      <c r="P1274" s="146">
        <v>19726.88</v>
      </c>
      <c r="Q1274" s="146">
        <v>0.45</v>
      </c>
      <c r="R1274" s="154" t="s">
        <v>1384</v>
      </c>
      <c r="S1274" s="154" t="s">
        <v>1899</v>
      </c>
      <c r="T1274" s="155" t="s">
        <v>768</v>
      </c>
      <c r="U1274" s="155" t="s">
        <v>1899</v>
      </c>
      <c r="V1274" s="154" t="s">
        <v>1904</v>
      </c>
      <c r="W1274" s="154">
        <v>0</v>
      </c>
      <c r="X1274" s="154" t="s">
        <v>63</v>
      </c>
      <c r="Y1274" s="154" t="s">
        <v>1386</v>
      </c>
      <c r="Z1274" s="154"/>
      <c r="AA1274" s="154" t="s">
        <v>1387</v>
      </c>
      <c r="AB1274" s="154">
        <v>0</v>
      </c>
      <c r="AC1274" s="138">
        <f>IFERROR(IF(DATEDIF(#REF!,U1274,"m")&lt;=1,1,IF(AND(DATEDIF(#REF!,U1274,"m")&gt;1,DATEDIF(#REF!,U1274,"m")&lt;12),2,IF(AND(DATEDIF(#REF!,U1274,"m")&gt;=12,DATEDIF(#REF!,U1274,"m")&lt;24),3,IF(DATEDIF(#REF!,U1274,"m")&gt;=24,4,"")))),IF(E1274="r0320 - Deposits, not covered and not preferential",1,4))</f>
        <v>4</v>
      </c>
    </row>
    <row r="1275" spans="3:29" ht="36.75" thickBot="1" x14ac:dyDescent="0.3">
      <c r="C1275" s="11">
        <v>999</v>
      </c>
      <c r="D1275" s="154">
        <v>1268</v>
      </c>
      <c r="E1275" s="154" t="s">
        <v>1898</v>
      </c>
      <c r="F1275" s="154" t="s">
        <v>87</v>
      </c>
      <c r="G1275" s="154" t="s">
        <v>1402</v>
      </c>
      <c r="H1275" s="154" t="s">
        <v>1127</v>
      </c>
      <c r="I1275" s="154" t="s">
        <v>89</v>
      </c>
      <c r="J1275" s="154" t="s">
        <v>90</v>
      </c>
      <c r="K1275" s="154" t="s">
        <v>91</v>
      </c>
      <c r="L1275" s="154" t="s">
        <v>1901</v>
      </c>
      <c r="M1275" s="154" t="s">
        <v>1383</v>
      </c>
      <c r="N1275" s="154" t="s">
        <v>61</v>
      </c>
      <c r="O1275" s="154" t="s">
        <v>62</v>
      </c>
      <c r="P1275" s="146">
        <v>0.1</v>
      </c>
      <c r="Q1275" s="146">
        <v>0</v>
      </c>
      <c r="R1275" s="154" t="s">
        <v>1384</v>
      </c>
      <c r="S1275" s="154" t="s">
        <v>1899</v>
      </c>
      <c r="T1275" s="155" t="s">
        <v>1899</v>
      </c>
      <c r="U1275" s="155" t="s">
        <v>1899</v>
      </c>
      <c r="V1275" s="154" t="s">
        <v>1562</v>
      </c>
      <c r="W1275" s="154">
        <v>0</v>
      </c>
      <c r="X1275" s="154" t="s">
        <v>63</v>
      </c>
      <c r="Y1275" s="154" t="s">
        <v>1900</v>
      </c>
      <c r="Z1275" s="154"/>
      <c r="AA1275" s="154" t="s">
        <v>1387</v>
      </c>
      <c r="AB1275" s="154">
        <v>0</v>
      </c>
      <c r="AC1275" s="138">
        <f>IFERROR(IF(DATEDIF(#REF!,U1275,"m")&lt;=1,1,IF(AND(DATEDIF(#REF!,U1275,"m")&gt;1,DATEDIF(#REF!,U1275,"m")&lt;12),2,IF(AND(DATEDIF(#REF!,U1275,"m")&gt;=12,DATEDIF(#REF!,U1275,"m")&lt;24),3,IF(DATEDIF(#REF!,U1275,"m")&gt;=24,4,"")))),IF(E1275="r0320 - Deposits, not covered and not preferential",1,4))</f>
        <v>4</v>
      </c>
    </row>
    <row r="1276" spans="3:29" ht="36.75" thickBot="1" x14ac:dyDescent="0.3">
      <c r="C1276" s="11">
        <v>999</v>
      </c>
      <c r="D1276" s="154">
        <v>1269</v>
      </c>
      <c r="E1276" s="154" t="s">
        <v>1898</v>
      </c>
      <c r="F1276" s="154" t="s">
        <v>87</v>
      </c>
      <c r="G1276" s="154" t="s">
        <v>1402</v>
      </c>
      <c r="H1276" s="154" t="s">
        <v>421</v>
      </c>
      <c r="I1276" s="154" t="s">
        <v>108</v>
      </c>
      <c r="J1276" s="154" t="s">
        <v>90</v>
      </c>
      <c r="K1276" s="154" t="s">
        <v>91</v>
      </c>
      <c r="L1276" s="154" t="s">
        <v>1897</v>
      </c>
      <c r="M1276" s="154" t="s">
        <v>1383</v>
      </c>
      <c r="N1276" s="154" t="s">
        <v>61</v>
      </c>
      <c r="O1276" s="154" t="s">
        <v>62</v>
      </c>
      <c r="P1276" s="146">
        <v>0.72</v>
      </c>
      <c r="Q1276" s="146">
        <v>0</v>
      </c>
      <c r="R1276" s="154" t="s">
        <v>1384</v>
      </c>
      <c r="S1276" s="154" t="s">
        <v>1899</v>
      </c>
      <c r="T1276" s="155" t="s">
        <v>1899</v>
      </c>
      <c r="U1276" s="155" t="s">
        <v>1899</v>
      </c>
      <c r="V1276" s="154" t="s">
        <v>1562</v>
      </c>
      <c r="W1276" s="154">
        <v>0</v>
      </c>
      <c r="X1276" s="154" t="s">
        <v>63</v>
      </c>
      <c r="Y1276" s="154" t="s">
        <v>1900</v>
      </c>
      <c r="Z1276" s="154"/>
      <c r="AA1276" s="154" t="s">
        <v>1387</v>
      </c>
      <c r="AB1276" s="154">
        <v>0</v>
      </c>
      <c r="AC1276" s="138">
        <f>IFERROR(IF(DATEDIF(#REF!,U1276,"m")&lt;=1,1,IF(AND(DATEDIF(#REF!,U1276,"m")&gt;1,DATEDIF(#REF!,U1276,"m")&lt;12),2,IF(AND(DATEDIF(#REF!,U1276,"m")&gt;=12,DATEDIF(#REF!,U1276,"m")&lt;24),3,IF(DATEDIF(#REF!,U1276,"m")&gt;=24,4,"")))),IF(E1276="r0320 - Deposits, not covered and not preferential",1,4))</f>
        <v>4</v>
      </c>
    </row>
    <row r="1277" spans="3:29" ht="48.75" thickBot="1" x14ac:dyDescent="0.3">
      <c r="C1277" s="11">
        <v>999</v>
      </c>
      <c r="D1277" s="154">
        <v>1270</v>
      </c>
      <c r="E1277" s="154" t="s">
        <v>1902</v>
      </c>
      <c r="F1277" s="154" t="s">
        <v>83</v>
      </c>
      <c r="G1277" s="154" t="s">
        <v>1903</v>
      </c>
      <c r="H1277" s="154" t="s">
        <v>875</v>
      </c>
      <c r="I1277" s="154" t="s">
        <v>114</v>
      </c>
      <c r="J1277" s="154" t="s">
        <v>115</v>
      </c>
      <c r="K1277" s="154" t="s">
        <v>60</v>
      </c>
      <c r="L1277" s="154" t="s">
        <v>1897</v>
      </c>
      <c r="M1277" s="154" t="s">
        <v>1388</v>
      </c>
      <c r="N1277" s="154" t="s">
        <v>61</v>
      </c>
      <c r="O1277" s="154" t="s">
        <v>62</v>
      </c>
      <c r="P1277" s="146">
        <v>45538.34</v>
      </c>
      <c r="Q1277" s="146">
        <v>75.06</v>
      </c>
      <c r="R1277" s="154" t="s">
        <v>1384</v>
      </c>
      <c r="S1277" s="154" t="s">
        <v>1899</v>
      </c>
      <c r="T1277" s="155" t="s">
        <v>768</v>
      </c>
      <c r="U1277" s="155" t="s">
        <v>1899</v>
      </c>
      <c r="V1277" s="154" t="s">
        <v>1904</v>
      </c>
      <c r="W1277" s="154">
        <v>0</v>
      </c>
      <c r="X1277" s="154" t="s">
        <v>63</v>
      </c>
      <c r="Y1277" s="154" t="s">
        <v>1386</v>
      </c>
      <c r="Z1277" s="154"/>
      <c r="AA1277" s="154" t="s">
        <v>1387</v>
      </c>
      <c r="AB1277" s="154">
        <v>0</v>
      </c>
      <c r="AC1277" s="138">
        <f>IFERROR(IF(DATEDIF(#REF!,U1277,"m")&lt;=1,1,IF(AND(DATEDIF(#REF!,U1277,"m")&gt;1,DATEDIF(#REF!,U1277,"m")&lt;12),2,IF(AND(DATEDIF(#REF!,U1277,"m")&gt;=12,DATEDIF(#REF!,U1277,"m")&lt;24),3,IF(DATEDIF(#REF!,U1277,"m")&gt;=24,4,"")))),IF(E1277="r0320 - Deposits, not covered and not preferential",1,4))</f>
        <v>4</v>
      </c>
    </row>
    <row r="1278" spans="3:29" ht="48.75" thickBot="1" x14ac:dyDescent="0.3">
      <c r="C1278" s="11">
        <v>999</v>
      </c>
      <c r="D1278" s="154">
        <v>1271</v>
      </c>
      <c r="E1278" s="154" t="s">
        <v>1902</v>
      </c>
      <c r="F1278" s="154" t="s">
        <v>83</v>
      </c>
      <c r="G1278" s="154" t="s">
        <v>1903</v>
      </c>
      <c r="H1278" s="154" t="s">
        <v>666</v>
      </c>
      <c r="I1278" s="154" t="s">
        <v>114</v>
      </c>
      <c r="J1278" s="154" t="s">
        <v>115</v>
      </c>
      <c r="K1278" s="154" t="s">
        <v>60</v>
      </c>
      <c r="L1278" s="154" t="s">
        <v>1897</v>
      </c>
      <c r="M1278" s="154" t="s">
        <v>1388</v>
      </c>
      <c r="N1278" s="154" t="s">
        <v>61</v>
      </c>
      <c r="O1278" s="154" t="s">
        <v>62</v>
      </c>
      <c r="P1278" s="146">
        <v>9589.2900000000009</v>
      </c>
      <c r="Q1278" s="146">
        <v>0.09</v>
      </c>
      <c r="R1278" s="154" t="s">
        <v>1384</v>
      </c>
      <c r="S1278" s="154" t="s">
        <v>1899</v>
      </c>
      <c r="T1278" s="155" t="s">
        <v>768</v>
      </c>
      <c r="U1278" s="155" t="s">
        <v>1899</v>
      </c>
      <c r="V1278" s="154" t="s">
        <v>1904</v>
      </c>
      <c r="W1278" s="154">
        <v>0</v>
      </c>
      <c r="X1278" s="154" t="s">
        <v>63</v>
      </c>
      <c r="Y1278" s="154" t="s">
        <v>1386</v>
      </c>
      <c r="Z1278" s="154"/>
      <c r="AA1278" s="154" t="s">
        <v>1387</v>
      </c>
      <c r="AB1278" s="154">
        <v>0</v>
      </c>
      <c r="AC1278" s="138">
        <f>IFERROR(IF(DATEDIF(#REF!,U1278,"m")&lt;=1,1,IF(AND(DATEDIF(#REF!,U1278,"m")&gt;1,DATEDIF(#REF!,U1278,"m")&lt;12),2,IF(AND(DATEDIF(#REF!,U1278,"m")&gt;=12,DATEDIF(#REF!,U1278,"m")&lt;24),3,IF(DATEDIF(#REF!,U1278,"m")&gt;=24,4,"")))),IF(E1278="r0320 - Deposits, not covered and not preferential",1,4))</f>
        <v>4</v>
      </c>
    </row>
    <row r="1279" spans="3:29" ht="36.75" thickBot="1" x14ac:dyDescent="0.3">
      <c r="C1279" s="11">
        <v>999</v>
      </c>
      <c r="D1279" s="154">
        <v>1272</v>
      </c>
      <c r="E1279" s="154" t="s">
        <v>1898</v>
      </c>
      <c r="F1279" s="154" t="s">
        <v>87</v>
      </c>
      <c r="G1279" s="154" t="s">
        <v>1402</v>
      </c>
      <c r="H1279" s="154" t="s">
        <v>422</v>
      </c>
      <c r="I1279" s="154" t="s">
        <v>89</v>
      </c>
      <c r="J1279" s="154" t="s">
        <v>90</v>
      </c>
      <c r="K1279" s="154" t="s">
        <v>91</v>
      </c>
      <c r="L1279" s="154" t="s">
        <v>1901</v>
      </c>
      <c r="M1279" s="154" t="s">
        <v>1383</v>
      </c>
      <c r="N1279" s="154" t="s">
        <v>61</v>
      </c>
      <c r="O1279" s="154" t="s">
        <v>62</v>
      </c>
      <c r="P1279" s="146">
        <v>0.28000000000000003</v>
      </c>
      <c r="Q1279" s="146">
        <v>0</v>
      </c>
      <c r="R1279" s="154" t="s">
        <v>1384</v>
      </c>
      <c r="S1279" s="154" t="s">
        <v>1899</v>
      </c>
      <c r="T1279" s="155" t="s">
        <v>1899</v>
      </c>
      <c r="U1279" s="155" t="s">
        <v>1899</v>
      </c>
      <c r="V1279" s="154" t="s">
        <v>1562</v>
      </c>
      <c r="W1279" s="154">
        <v>0</v>
      </c>
      <c r="X1279" s="154" t="s">
        <v>63</v>
      </c>
      <c r="Y1279" s="154" t="s">
        <v>1900</v>
      </c>
      <c r="Z1279" s="154"/>
      <c r="AA1279" s="154" t="s">
        <v>1387</v>
      </c>
      <c r="AB1279" s="154">
        <v>0</v>
      </c>
      <c r="AC1279" s="138">
        <f>IFERROR(IF(DATEDIF(#REF!,U1279,"m")&lt;=1,1,IF(AND(DATEDIF(#REF!,U1279,"m")&gt;1,DATEDIF(#REF!,U1279,"m")&lt;12),2,IF(AND(DATEDIF(#REF!,U1279,"m")&gt;=12,DATEDIF(#REF!,U1279,"m")&lt;24),3,IF(DATEDIF(#REF!,U1279,"m")&gt;=24,4,"")))),IF(E1279="r0320 - Deposits, not covered and not preferential",1,4))</f>
        <v>4</v>
      </c>
    </row>
    <row r="1280" spans="3:29" ht="36.75" thickBot="1" x14ac:dyDescent="0.3">
      <c r="C1280" s="11">
        <v>999</v>
      </c>
      <c r="D1280" s="154">
        <v>1273</v>
      </c>
      <c r="E1280" s="154" t="s">
        <v>1898</v>
      </c>
      <c r="F1280" s="154" t="s">
        <v>87</v>
      </c>
      <c r="G1280" s="154" t="s">
        <v>1402</v>
      </c>
      <c r="H1280" s="154" t="s">
        <v>179</v>
      </c>
      <c r="I1280" s="154" t="s">
        <v>108</v>
      </c>
      <c r="J1280" s="154" t="s">
        <v>90</v>
      </c>
      <c r="K1280" s="154" t="s">
        <v>91</v>
      </c>
      <c r="L1280" s="154" t="s">
        <v>1897</v>
      </c>
      <c r="M1280" s="154" t="s">
        <v>1383</v>
      </c>
      <c r="N1280" s="154" t="s">
        <v>61</v>
      </c>
      <c r="O1280" s="154" t="s">
        <v>62</v>
      </c>
      <c r="P1280" s="146">
        <v>0.37</v>
      </c>
      <c r="Q1280" s="146">
        <v>0</v>
      </c>
      <c r="R1280" s="154" t="s">
        <v>1384</v>
      </c>
      <c r="S1280" s="154" t="s">
        <v>1899</v>
      </c>
      <c r="T1280" s="155" t="s">
        <v>1899</v>
      </c>
      <c r="U1280" s="155" t="s">
        <v>1899</v>
      </c>
      <c r="V1280" s="154" t="s">
        <v>1562</v>
      </c>
      <c r="W1280" s="154">
        <v>0</v>
      </c>
      <c r="X1280" s="154" t="s">
        <v>63</v>
      </c>
      <c r="Y1280" s="154" t="s">
        <v>1900</v>
      </c>
      <c r="Z1280" s="154"/>
      <c r="AA1280" s="154" t="s">
        <v>1387</v>
      </c>
      <c r="AB1280" s="154">
        <v>0</v>
      </c>
      <c r="AC1280" s="138">
        <f>IFERROR(IF(DATEDIF(#REF!,U1280,"m")&lt;=1,1,IF(AND(DATEDIF(#REF!,U1280,"m")&gt;1,DATEDIF(#REF!,U1280,"m")&lt;12),2,IF(AND(DATEDIF(#REF!,U1280,"m")&gt;=12,DATEDIF(#REF!,U1280,"m")&lt;24),3,IF(DATEDIF(#REF!,U1280,"m")&gt;=24,4,"")))),IF(E1280="r0320 - Deposits, not covered and not preferential",1,4))</f>
        <v>4</v>
      </c>
    </row>
    <row r="1281" spans="3:29" ht="36.75" thickBot="1" x14ac:dyDescent="0.3">
      <c r="C1281" s="11">
        <v>999</v>
      </c>
      <c r="D1281" s="154">
        <v>1274</v>
      </c>
      <c r="E1281" s="154" t="s">
        <v>1898</v>
      </c>
      <c r="F1281" s="154" t="s">
        <v>87</v>
      </c>
      <c r="G1281" s="154" t="s">
        <v>1402</v>
      </c>
      <c r="H1281" s="154" t="s">
        <v>698</v>
      </c>
      <c r="I1281" s="154" t="s">
        <v>108</v>
      </c>
      <c r="J1281" s="154" t="s">
        <v>90</v>
      </c>
      <c r="K1281" s="154" t="s">
        <v>91</v>
      </c>
      <c r="L1281" s="154" t="s">
        <v>1897</v>
      </c>
      <c r="M1281" s="154" t="s">
        <v>1383</v>
      </c>
      <c r="N1281" s="154" t="s">
        <v>61</v>
      </c>
      <c r="O1281" s="154" t="s">
        <v>62</v>
      </c>
      <c r="P1281" s="146">
        <v>0.63</v>
      </c>
      <c r="Q1281" s="146">
        <v>0</v>
      </c>
      <c r="R1281" s="154" t="s">
        <v>1384</v>
      </c>
      <c r="S1281" s="154" t="s">
        <v>1899</v>
      </c>
      <c r="T1281" s="155" t="s">
        <v>1899</v>
      </c>
      <c r="U1281" s="155" t="s">
        <v>1899</v>
      </c>
      <c r="V1281" s="154" t="s">
        <v>1562</v>
      </c>
      <c r="W1281" s="154">
        <v>0</v>
      </c>
      <c r="X1281" s="154" t="s">
        <v>63</v>
      </c>
      <c r="Y1281" s="154" t="s">
        <v>1900</v>
      </c>
      <c r="Z1281" s="154"/>
      <c r="AA1281" s="154" t="s">
        <v>1387</v>
      </c>
      <c r="AB1281" s="154">
        <v>0</v>
      </c>
      <c r="AC1281" s="138">
        <f>IFERROR(IF(DATEDIF(#REF!,U1281,"m")&lt;=1,1,IF(AND(DATEDIF(#REF!,U1281,"m")&gt;1,DATEDIF(#REF!,U1281,"m")&lt;12),2,IF(AND(DATEDIF(#REF!,U1281,"m")&gt;=12,DATEDIF(#REF!,U1281,"m")&lt;24),3,IF(DATEDIF(#REF!,U1281,"m")&gt;=24,4,"")))),IF(E1281="r0320 - Deposits, not covered and not preferential",1,4))</f>
        <v>4</v>
      </c>
    </row>
    <row r="1282" spans="3:29" ht="36.75" thickBot="1" x14ac:dyDescent="0.3">
      <c r="C1282" s="11">
        <v>999</v>
      </c>
      <c r="D1282" s="154">
        <v>1275</v>
      </c>
      <c r="E1282" s="154" t="s">
        <v>1898</v>
      </c>
      <c r="F1282" s="154" t="s">
        <v>87</v>
      </c>
      <c r="G1282" s="154" t="s">
        <v>1402</v>
      </c>
      <c r="H1282" s="154" t="s">
        <v>57</v>
      </c>
      <c r="I1282" s="154" t="s">
        <v>111</v>
      </c>
      <c r="J1282" s="154" t="s">
        <v>90</v>
      </c>
      <c r="K1282" s="154" t="s">
        <v>91</v>
      </c>
      <c r="L1282" s="154" t="s">
        <v>1897</v>
      </c>
      <c r="M1282" s="154" t="s">
        <v>1383</v>
      </c>
      <c r="N1282" s="154" t="s">
        <v>61</v>
      </c>
      <c r="O1282" s="154" t="s">
        <v>62</v>
      </c>
      <c r="P1282" s="146">
        <v>2672402.5299999998</v>
      </c>
      <c r="Q1282" s="146">
        <v>0</v>
      </c>
      <c r="R1282" s="154" t="s">
        <v>1384</v>
      </c>
      <c r="S1282" s="154" t="s">
        <v>1899</v>
      </c>
      <c r="T1282" s="155" t="s">
        <v>1899</v>
      </c>
      <c r="U1282" s="155" t="s">
        <v>1899</v>
      </c>
      <c r="V1282" s="154" t="s">
        <v>1562</v>
      </c>
      <c r="W1282" s="154">
        <v>0</v>
      </c>
      <c r="X1282" s="154" t="s">
        <v>63</v>
      </c>
      <c r="Y1282" s="154" t="s">
        <v>1900</v>
      </c>
      <c r="Z1282" s="154"/>
      <c r="AA1282" s="154" t="s">
        <v>1387</v>
      </c>
      <c r="AB1282" s="154">
        <v>0</v>
      </c>
      <c r="AC1282" s="138">
        <f>IFERROR(IF(DATEDIF(#REF!,U1282,"m")&lt;=1,1,IF(AND(DATEDIF(#REF!,U1282,"m")&gt;1,DATEDIF(#REF!,U1282,"m")&lt;12),2,IF(AND(DATEDIF(#REF!,U1282,"m")&gt;=12,DATEDIF(#REF!,U1282,"m")&lt;24),3,IF(DATEDIF(#REF!,U1282,"m")&gt;=24,4,"")))),IF(E1282="r0320 - Deposits, not covered and not preferential",1,4))</f>
        <v>4</v>
      </c>
    </row>
    <row r="1283" spans="3:29" ht="36.75" thickBot="1" x14ac:dyDescent="0.3">
      <c r="C1283" s="11">
        <v>999</v>
      </c>
      <c r="D1283" s="154">
        <v>1276</v>
      </c>
      <c r="E1283" s="154" t="s">
        <v>1898</v>
      </c>
      <c r="F1283" s="154" t="s">
        <v>87</v>
      </c>
      <c r="G1283" s="154" t="s">
        <v>1402</v>
      </c>
      <c r="H1283" s="154" t="s">
        <v>410</v>
      </c>
      <c r="I1283" s="154" t="s">
        <v>89</v>
      </c>
      <c r="J1283" s="154" t="s">
        <v>90</v>
      </c>
      <c r="K1283" s="154" t="s">
        <v>91</v>
      </c>
      <c r="L1283" s="154" t="s">
        <v>1901</v>
      </c>
      <c r="M1283" s="154" t="s">
        <v>1383</v>
      </c>
      <c r="N1283" s="154" t="s">
        <v>61</v>
      </c>
      <c r="O1283" s="154" t="s">
        <v>62</v>
      </c>
      <c r="P1283" s="146">
        <v>0.32</v>
      </c>
      <c r="Q1283" s="146">
        <v>0</v>
      </c>
      <c r="R1283" s="154" t="s">
        <v>1384</v>
      </c>
      <c r="S1283" s="154" t="s">
        <v>1899</v>
      </c>
      <c r="T1283" s="155" t="s">
        <v>1899</v>
      </c>
      <c r="U1283" s="155" t="s">
        <v>1899</v>
      </c>
      <c r="V1283" s="154" t="s">
        <v>1562</v>
      </c>
      <c r="W1283" s="154">
        <v>0</v>
      </c>
      <c r="X1283" s="154" t="s">
        <v>63</v>
      </c>
      <c r="Y1283" s="154" t="s">
        <v>1900</v>
      </c>
      <c r="Z1283" s="154"/>
      <c r="AA1283" s="154" t="s">
        <v>1387</v>
      </c>
      <c r="AB1283" s="154">
        <v>0</v>
      </c>
      <c r="AC1283" s="138">
        <f>IFERROR(IF(DATEDIF(#REF!,U1283,"m")&lt;=1,1,IF(AND(DATEDIF(#REF!,U1283,"m")&gt;1,DATEDIF(#REF!,U1283,"m")&lt;12),2,IF(AND(DATEDIF(#REF!,U1283,"m")&gt;=12,DATEDIF(#REF!,U1283,"m")&lt;24),3,IF(DATEDIF(#REF!,U1283,"m")&gt;=24,4,"")))),IF(E1283="r0320 - Deposits, not covered and not preferential",1,4))</f>
        <v>4</v>
      </c>
    </row>
    <row r="1284" spans="3:29" ht="36.75" thickBot="1" x14ac:dyDescent="0.3">
      <c r="C1284" s="11">
        <v>999</v>
      </c>
      <c r="D1284" s="154">
        <v>1277</v>
      </c>
      <c r="E1284" s="154" t="s">
        <v>1898</v>
      </c>
      <c r="F1284" s="154" t="s">
        <v>87</v>
      </c>
      <c r="G1284" s="154" t="s">
        <v>1402</v>
      </c>
      <c r="H1284" s="154" t="s">
        <v>423</v>
      </c>
      <c r="I1284" s="154" t="s">
        <v>108</v>
      </c>
      <c r="J1284" s="154" t="s">
        <v>90</v>
      </c>
      <c r="K1284" s="154" t="s">
        <v>91</v>
      </c>
      <c r="L1284" s="154" t="s">
        <v>1897</v>
      </c>
      <c r="M1284" s="154" t="s">
        <v>1383</v>
      </c>
      <c r="N1284" s="154" t="s">
        <v>61</v>
      </c>
      <c r="O1284" s="154" t="s">
        <v>62</v>
      </c>
      <c r="P1284" s="146">
        <v>0.31</v>
      </c>
      <c r="Q1284" s="146">
        <v>0</v>
      </c>
      <c r="R1284" s="154" t="s">
        <v>1384</v>
      </c>
      <c r="S1284" s="154" t="s">
        <v>1899</v>
      </c>
      <c r="T1284" s="155" t="s">
        <v>1899</v>
      </c>
      <c r="U1284" s="155" t="s">
        <v>1899</v>
      </c>
      <c r="V1284" s="154" t="s">
        <v>1562</v>
      </c>
      <c r="W1284" s="154">
        <v>0</v>
      </c>
      <c r="X1284" s="154" t="s">
        <v>63</v>
      </c>
      <c r="Y1284" s="154" t="s">
        <v>1900</v>
      </c>
      <c r="Z1284" s="154"/>
      <c r="AA1284" s="154" t="s">
        <v>1387</v>
      </c>
      <c r="AB1284" s="154">
        <v>0</v>
      </c>
      <c r="AC1284" s="138">
        <f>IFERROR(IF(DATEDIF(#REF!,U1284,"m")&lt;=1,1,IF(AND(DATEDIF(#REF!,U1284,"m")&gt;1,DATEDIF(#REF!,U1284,"m")&lt;12),2,IF(AND(DATEDIF(#REF!,U1284,"m")&gt;=12,DATEDIF(#REF!,U1284,"m")&lt;24),3,IF(DATEDIF(#REF!,U1284,"m")&gt;=24,4,"")))),IF(E1284="r0320 - Deposits, not covered and not preferential",1,4))</f>
        <v>4</v>
      </c>
    </row>
    <row r="1285" spans="3:29" ht="36.75" thickBot="1" x14ac:dyDescent="0.3">
      <c r="C1285" s="11">
        <v>999</v>
      </c>
      <c r="D1285" s="154">
        <v>1278</v>
      </c>
      <c r="E1285" s="154" t="s">
        <v>1898</v>
      </c>
      <c r="F1285" s="154" t="s">
        <v>87</v>
      </c>
      <c r="G1285" s="154" t="s">
        <v>1402</v>
      </c>
      <c r="H1285" s="154" t="s">
        <v>1196</v>
      </c>
      <c r="I1285" s="154" t="s">
        <v>108</v>
      </c>
      <c r="J1285" s="154" t="s">
        <v>90</v>
      </c>
      <c r="K1285" s="154" t="s">
        <v>91</v>
      </c>
      <c r="L1285" s="154" t="s">
        <v>1897</v>
      </c>
      <c r="M1285" s="154" t="s">
        <v>1383</v>
      </c>
      <c r="N1285" s="154" t="s">
        <v>61</v>
      </c>
      <c r="O1285" s="154" t="s">
        <v>62</v>
      </c>
      <c r="P1285" s="146">
        <v>1.1399999999999999</v>
      </c>
      <c r="Q1285" s="146">
        <v>0</v>
      </c>
      <c r="R1285" s="154" t="s">
        <v>1384</v>
      </c>
      <c r="S1285" s="154" t="s">
        <v>1899</v>
      </c>
      <c r="T1285" s="155" t="s">
        <v>1899</v>
      </c>
      <c r="U1285" s="155" t="s">
        <v>1899</v>
      </c>
      <c r="V1285" s="154" t="s">
        <v>1562</v>
      </c>
      <c r="W1285" s="154">
        <v>0</v>
      </c>
      <c r="X1285" s="154" t="s">
        <v>63</v>
      </c>
      <c r="Y1285" s="154" t="s">
        <v>1900</v>
      </c>
      <c r="Z1285" s="154"/>
      <c r="AA1285" s="154" t="s">
        <v>1387</v>
      </c>
      <c r="AB1285" s="154">
        <v>0</v>
      </c>
      <c r="AC1285" s="138">
        <f>IFERROR(IF(DATEDIF(#REF!,U1285,"m")&lt;=1,1,IF(AND(DATEDIF(#REF!,U1285,"m")&gt;1,DATEDIF(#REF!,U1285,"m")&lt;12),2,IF(AND(DATEDIF(#REF!,U1285,"m")&gt;=12,DATEDIF(#REF!,U1285,"m")&lt;24),3,IF(DATEDIF(#REF!,U1285,"m")&gt;=24,4,"")))),IF(E1285="r0320 - Deposits, not covered and not preferential",1,4))</f>
        <v>4</v>
      </c>
    </row>
    <row r="1286" spans="3:29" ht="48.75" thickBot="1" x14ac:dyDescent="0.3">
      <c r="C1286" s="11">
        <v>999</v>
      </c>
      <c r="D1286" s="154">
        <v>1279</v>
      </c>
      <c r="E1286" s="154" t="s">
        <v>1902</v>
      </c>
      <c r="F1286" s="154" t="s">
        <v>83</v>
      </c>
      <c r="G1286" s="154" t="s">
        <v>1903</v>
      </c>
      <c r="H1286" s="154" t="s">
        <v>416</v>
      </c>
      <c r="I1286" s="154" t="s">
        <v>101</v>
      </c>
      <c r="J1286" s="154" t="s">
        <v>102</v>
      </c>
      <c r="K1286" s="154" t="s">
        <v>60</v>
      </c>
      <c r="L1286" s="154" t="s">
        <v>1897</v>
      </c>
      <c r="M1286" s="154" t="s">
        <v>1388</v>
      </c>
      <c r="N1286" s="154" t="s">
        <v>61</v>
      </c>
      <c r="O1286" s="154" t="s">
        <v>62</v>
      </c>
      <c r="P1286" s="146">
        <v>923272.92</v>
      </c>
      <c r="Q1286" s="146">
        <v>278.77</v>
      </c>
      <c r="R1286" s="154" t="s">
        <v>1384</v>
      </c>
      <c r="S1286" s="154" t="s">
        <v>1899</v>
      </c>
      <c r="T1286" s="155" t="s">
        <v>768</v>
      </c>
      <c r="U1286" s="155" t="s">
        <v>1899</v>
      </c>
      <c r="V1286" s="154" t="s">
        <v>1904</v>
      </c>
      <c r="W1286" s="154">
        <v>0</v>
      </c>
      <c r="X1286" s="154" t="s">
        <v>63</v>
      </c>
      <c r="Y1286" s="154" t="s">
        <v>1386</v>
      </c>
      <c r="Z1286" s="154"/>
      <c r="AA1286" s="154" t="s">
        <v>1387</v>
      </c>
      <c r="AB1286" s="154">
        <v>0</v>
      </c>
      <c r="AC1286" s="138">
        <f>IFERROR(IF(DATEDIF(#REF!,U1286,"m")&lt;=1,1,IF(AND(DATEDIF(#REF!,U1286,"m")&gt;1,DATEDIF(#REF!,U1286,"m")&lt;12),2,IF(AND(DATEDIF(#REF!,U1286,"m")&gt;=12,DATEDIF(#REF!,U1286,"m")&lt;24),3,IF(DATEDIF(#REF!,U1286,"m")&gt;=24,4,"")))),IF(E1286="r0320 - Deposits, not covered and not preferential",1,4))</f>
        <v>4</v>
      </c>
    </row>
    <row r="1287" spans="3:29" ht="36.75" thickBot="1" x14ac:dyDescent="0.3">
      <c r="C1287" s="11">
        <v>999</v>
      </c>
      <c r="D1287" s="154">
        <v>1280</v>
      </c>
      <c r="E1287" s="154" t="s">
        <v>1898</v>
      </c>
      <c r="F1287" s="154" t="s">
        <v>87</v>
      </c>
      <c r="G1287" s="154" t="s">
        <v>1402</v>
      </c>
      <c r="H1287" s="154" t="s">
        <v>693</v>
      </c>
      <c r="I1287" s="154" t="s">
        <v>111</v>
      </c>
      <c r="J1287" s="154" t="s">
        <v>90</v>
      </c>
      <c r="K1287" s="154" t="s">
        <v>91</v>
      </c>
      <c r="L1287" s="154" t="s">
        <v>1897</v>
      </c>
      <c r="M1287" s="154" t="s">
        <v>1383</v>
      </c>
      <c r="N1287" s="154" t="s">
        <v>61</v>
      </c>
      <c r="O1287" s="154" t="s">
        <v>62</v>
      </c>
      <c r="P1287" s="146">
        <v>0.21</v>
      </c>
      <c r="Q1287" s="146">
        <v>0</v>
      </c>
      <c r="R1287" s="154" t="s">
        <v>1384</v>
      </c>
      <c r="S1287" s="154" t="s">
        <v>1899</v>
      </c>
      <c r="T1287" s="155" t="s">
        <v>1899</v>
      </c>
      <c r="U1287" s="155" t="s">
        <v>1899</v>
      </c>
      <c r="V1287" s="154" t="s">
        <v>1562</v>
      </c>
      <c r="W1287" s="154">
        <v>0</v>
      </c>
      <c r="X1287" s="154" t="s">
        <v>63</v>
      </c>
      <c r="Y1287" s="154" t="s">
        <v>1900</v>
      </c>
      <c r="Z1287" s="154"/>
      <c r="AA1287" s="154" t="s">
        <v>1387</v>
      </c>
      <c r="AB1287" s="154">
        <v>0</v>
      </c>
      <c r="AC1287" s="138">
        <f>IFERROR(IF(DATEDIF(#REF!,U1287,"m")&lt;=1,1,IF(AND(DATEDIF(#REF!,U1287,"m")&gt;1,DATEDIF(#REF!,U1287,"m")&lt;12),2,IF(AND(DATEDIF(#REF!,U1287,"m")&gt;=12,DATEDIF(#REF!,U1287,"m")&lt;24),3,IF(DATEDIF(#REF!,U1287,"m")&gt;=24,4,"")))),IF(E1287="r0320 - Deposits, not covered and not preferential",1,4))</f>
        <v>4</v>
      </c>
    </row>
    <row r="1288" spans="3:29" ht="36.75" thickBot="1" x14ac:dyDescent="0.3">
      <c r="C1288" s="11">
        <v>999</v>
      </c>
      <c r="D1288" s="154">
        <v>1281</v>
      </c>
      <c r="E1288" s="154" t="s">
        <v>1898</v>
      </c>
      <c r="F1288" s="154" t="s">
        <v>87</v>
      </c>
      <c r="G1288" s="154" t="s">
        <v>1402</v>
      </c>
      <c r="H1288" s="154" t="s">
        <v>1156</v>
      </c>
      <c r="I1288" s="154" t="s">
        <v>108</v>
      </c>
      <c r="J1288" s="154" t="s">
        <v>90</v>
      </c>
      <c r="K1288" s="154" t="s">
        <v>91</v>
      </c>
      <c r="L1288" s="154" t="s">
        <v>1897</v>
      </c>
      <c r="M1288" s="154" t="s">
        <v>1383</v>
      </c>
      <c r="N1288" s="154" t="s">
        <v>61</v>
      </c>
      <c r="O1288" s="154" t="s">
        <v>62</v>
      </c>
      <c r="P1288" s="146">
        <v>0.52</v>
      </c>
      <c r="Q1288" s="146">
        <v>0</v>
      </c>
      <c r="R1288" s="154" t="s">
        <v>1384</v>
      </c>
      <c r="S1288" s="154" t="s">
        <v>1899</v>
      </c>
      <c r="T1288" s="155" t="s">
        <v>1899</v>
      </c>
      <c r="U1288" s="155" t="s">
        <v>1899</v>
      </c>
      <c r="V1288" s="154" t="s">
        <v>1562</v>
      </c>
      <c r="W1288" s="154">
        <v>0</v>
      </c>
      <c r="X1288" s="154" t="s">
        <v>63</v>
      </c>
      <c r="Y1288" s="154" t="s">
        <v>1900</v>
      </c>
      <c r="Z1288" s="154"/>
      <c r="AA1288" s="154" t="s">
        <v>1387</v>
      </c>
      <c r="AB1288" s="154">
        <v>0</v>
      </c>
      <c r="AC1288" s="138">
        <f>IFERROR(IF(DATEDIF(#REF!,U1288,"m")&lt;=1,1,IF(AND(DATEDIF(#REF!,U1288,"m")&gt;1,DATEDIF(#REF!,U1288,"m")&lt;12),2,IF(AND(DATEDIF(#REF!,U1288,"m")&gt;=12,DATEDIF(#REF!,U1288,"m")&lt;24),3,IF(DATEDIF(#REF!,U1288,"m")&gt;=24,4,"")))),IF(E1288="r0320 - Deposits, not covered and not preferential",1,4))</f>
        <v>4</v>
      </c>
    </row>
    <row r="1289" spans="3:29" ht="48.75" thickBot="1" x14ac:dyDescent="0.3">
      <c r="C1289" s="11">
        <v>999</v>
      </c>
      <c r="D1289" s="154">
        <v>1282</v>
      </c>
      <c r="E1289" s="154" t="s">
        <v>1902</v>
      </c>
      <c r="F1289" s="154" t="s">
        <v>83</v>
      </c>
      <c r="G1289" s="154" t="s">
        <v>1903</v>
      </c>
      <c r="H1289" s="154" t="s">
        <v>424</v>
      </c>
      <c r="I1289" s="154" t="s">
        <v>101</v>
      </c>
      <c r="J1289" s="154" t="s">
        <v>102</v>
      </c>
      <c r="K1289" s="154" t="s">
        <v>60</v>
      </c>
      <c r="L1289" s="154" t="s">
        <v>1897</v>
      </c>
      <c r="M1289" s="154" t="s">
        <v>1388</v>
      </c>
      <c r="N1289" s="154" t="s">
        <v>61</v>
      </c>
      <c r="O1289" s="154" t="s">
        <v>62</v>
      </c>
      <c r="P1289" s="146">
        <v>608789.67000000004</v>
      </c>
      <c r="Q1289" s="146">
        <v>499.99</v>
      </c>
      <c r="R1289" s="154" t="s">
        <v>1384</v>
      </c>
      <c r="S1289" s="154" t="s">
        <v>1899</v>
      </c>
      <c r="T1289" s="155" t="s">
        <v>768</v>
      </c>
      <c r="U1289" s="155" t="s">
        <v>1899</v>
      </c>
      <c r="V1289" s="154" t="s">
        <v>1904</v>
      </c>
      <c r="W1289" s="154">
        <v>0</v>
      </c>
      <c r="X1289" s="154" t="s">
        <v>63</v>
      </c>
      <c r="Y1289" s="154" t="s">
        <v>1386</v>
      </c>
      <c r="Z1289" s="154"/>
      <c r="AA1289" s="154" t="s">
        <v>1387</v>
      </c>
      <c r="AB1289" s="154">
        <v>0</v>
      </c>
      <c r="AC1289" s="138">
        <f>IFERROR(IF(DATEDIF(#REF!,U1289,"m")&lt;=1,1,IF(AND(DATEDIF(#REF!,U1289,"m")&gt;1,DATEDIF(#REF!,U1289,"m")&lt;12),2,IF(AND(DATEDIF(#REF!,U1289,"m")&gt;=12,DATEDIF(#REF!,U1289,"m")&lt;24),3,IF(DATEDIF(#REF!,U1289,"m")&gt;=24,4,"")))),IF(E1289="r0320 - Deposits, not covered and not preferential",1,4))</f>
        <v>4</v>
      </c>
    </row>
    <row r="1290" spans="3:29" ht="48.75" thickBot="1" x14ac:dyDescent="0.3">
      <c r="C1290" s="11">
        <v>999</v>
      </c>
      <c r="D1290" s="154">
        <v>1283</v>
      </c>
      <c r="E1290" s="154" t="s">
        <v>1902</v>
      </c>
      <c r="F1290" s="154" t="s">
        <v>83</v>
      </c>
      <c r="G1290" s="154" t="s">
        <v>1903</v>
      </c>
      <c r="H1290" s="154" t="s">
        <v>134</v>
      </c>
      <c r="I1290" s="154" t="s">
        <v>101</v>
      </c>
      <c r="J1290" s="154" t="s">
        <v>102</v>
      </c>
      <c r="K1290" s="154" t="s">
        <v>60</v>
      </c>
      <c r="L1290" s="154" t="s">
        <v>1897</v>
      </c>
      <c r="M1290" s="154" t="s">
        <v>1388</v>
      </c>
      <c r="N1290" s="154" t="s">
        <v>61</v>
      </c>
      <c r="O1290" s="154" t="s">
        <v>62</v>
      </c>
      <c r="P1290" s="146">
        <v>3380915.47</v>
      </c>
      <c r="Q1290" s="146">
        <v>1162.2</v>
      </c>
      <c r="R1290" s="154" t="s">
        <v>1384</v>
      </c>
      <c r="S1290" s="154" t="s">
        <v>1899</v>
      </c>
      <c r="T1290" s="155" t="s">
        <v>768</v>
      </c>
      <c r="U1290" s="155" t="s">
        <v>1899</v>
      </c>
      <c r="V1290" s="154" t="s">
        <v>1904</v>
      </c>
      <c r="W1290" s="154">
        <v>0</v>
      </c>
      <c r="X1290" s="154" t="s">
        <v>63</v>
      </c>
      <c r="Y1290" s="154" t="s">
        <v>1386</v>
      </c>
      <c r="Z1290" s="154"/>
      <c r="AA1290" s="154" t="s">
        <v>1387</v>
      </c>
      <c r="AB1290" s="154">
        <v>0</v>
      </c>
      <c r="AC1290" s="138">
        <f>IFERROR(IF(DATEDIF(#REF!,U1290,"m")&lt;=1,1,IF(AND(DATEDIF(#REF!,U1290,"m")&gt;1,DATEDIF(#REF!,U1290,"m")&lt;12),2,IF(AND(DATEDIF(#REF!,U1290,"m")&gt;=12,DATEDIF(#REF!,U1290,"m")&lt;24),3,IF(DATEDIF(#REF!,U1290,"m")&gt;=24,4,"")))),IF(E1290="r0320 - Deposits, not covered and not preferential",1,4))</f>
        <v>4</v>
      </c>
    </row>
    <row r="1291" spans="3:29" ht="36.75" thickBot="1" x14ac:dyDescent="0.3">
      <c r="C1291" s="11">
        <v>999</v>
      </c>
      <c r="D1291" s="154">
        <v>1284</v>
      </c>
      <c r="E1291" s="154" t="s">
        <v>1898</v>
      </c>
      <c r="F1291" s="154" t="s">
        <v>87</v>
      </c>
      <c r="G1291" s="154" t="s">
        <v>1402</v>
      </c>
      <c r="H1291" s="154" t="s">
        <v>1142</v>
      </c>
      <c r="I1291" s="154" t="s">
        <v>111</v>
      </c>
      <c r="J1291" s="154" t="s">
        <v>90</v>
      </c>
      <c r="K1291" s="154" t="s">
        <v>91</v>
      </c>
      <c r="L1291" s="154" t="s">
        <v>1897</v>
      </c>
      <c r="M1291" s="154" t="s">
        <v>1383</v>
      </c>
      <c r="N1291" s="154" t="s">
        <v>61</v>
      </c>
      <c r="O1291" s="154" t="s">
        <v>62</v>
      </c>
      <c r="P1291" s="146">
        <v>0.51</v>
      </c>
      <c r="Q1291" s="146">
        <v>0</v>
      </c>
      <c r="R1291" s="154" t="s">
        <v>1384</v>
      </c>
      <c r="S1291" s="154" t="s">
        <v>1899</v>
      </c>
      <c r="T1291" s="155" t="s">
        <v>1899</v>
      </c>
      <c r="U1291" s="155" t="s">
        <v>1899</v>
      </c>
      <c r="V1291" s="154" t="s">
        <v>1562</v>
      </c>
      <c r="W1291" s="154">
        <v>0</v>
      </c>
      <c r="X1291" s="154" t="s">
        <v>63</v>
      </c>
      <c r="Y1291" s="154" t="s">
        <v>1900</v>
      </c>
      <c r="Z1291" s="154"/>
      <c r="AA1291" s="154" t="s">
        <v>1387</v>
      </c>
      <c r="AB1291" s="154">
        <v>0</v>
      </c>
      <c r="AC1291" s="138">
        <f>IFERROR(IF(DATEDIF(#REF!,U1291,"m")&lt;=1,1,IF(AND(DATEDIF(#REF!,U1291,"m")&gt;1,DATEDIF(#REF!,U1291,"m")&lt;12),2,IF(AND(DATEDIF(#REF!,U1291,"m")&gt;=12,DATEDIF(#REF!,U1291,"m")&lt;24),3,IF(DATEDIF(#REF!,U1291,"m")&gt;=24,4,"")))),IF(E1291="r0320 - Deposits, not covered and not preferential",1,4))</f>
        <v>4</v>
      </c>
    </row>
    <row r="1292" spans="3:29" ht="36.75" thickBot="1" x14ac:dyDescent="0.3">
      <c r="C1292" s="11">
        <v>999</v>
      </c>
      <c r="D1292" s="154">
        <v>1285</v>
      </c>
      <c r="E1292" s="154" t="s">
        <v>1898</v>
      </c>
      <c r="F1292" s="154" t="s">
        <v>87</v>
      </c>
      <c r="G1292" s="154" t="s">
        <v>1402</v>
      </c>
      <c r="H1292" s="154" t="s">
        <v>1158</v>
      </c>
      <c r="I1292" s="154" t="s">
        <v>108</v>
      </c>
      <c r="J1292" s="154" t="s">
        <v>90</v>
      </c>
      <c r="K1292" s="154" t="s">
        <v>91</v>
      </c>
      <c r="L1292" s="154" t="s">
        <v>1897</v>
      </c>
      <c r="M1292" s="154" t="s">
        <v>1383</v>
      </c>
      <c r="N1292" s="154" t="s">
        <v>61</v>
      </c>
      <c r="O1292" s="154" t="s">
        <v>62</v>
      </c>
      <c r="P1292" s="146">
        <v>0.32</v>
      </c>
      <c r="Q1292" s="146">
        <v>0</v>
      </c>
      <c r="R1292" s="154" t="s">
        <v>1384</v>
      </c>
      <c r="S1292" s="154" t="s">
        <v>1899</v>
      </c>
      <c r="T1292" s="155" t="s">
        <v>1899</v>
      </c>
      <c r="U1292" s="155" t="s">
        <v>1899</v>
      </c>
      <c r="V1292" s="154" t="s">
        <v>1562</v>
      </c>
      <c r="W1292" s="154">
        <v>0</v>
      </c>
      <c r="X1292" s="154" t="s">
        <v>63</v>
      </c>
      <c r="Y1292" s="154" t="s">
        <v>1900</v>
      </c>
      <c r="Z1292" s="154"/>
      <c r="AA1292" s="154" t="s">
        <v>1387</v>
      </c>
      <c r="AB1292" s="154">
        <v>0</v>
      </c>
      <c r="AC1292" s="138">
        <f>IFERROR(IF(DATEDIF(#REF!,U1292,"m")&lt;=1,1,IF(AND(DATEDIF(#REF!,U1292,"m")&gt;1,DATEDIF(#REF!,U1292,"m")&lt;12),2,IF(AND(DATEDIF(#REF!,U1292,"m")&gt;=12,DATEDIF(#REF!,U1292,"m")&lt;24),3,IF(DATEDIF(#REF!,U1292,"m")&gt;=24,4,"")))),IF(E1292="r0320 - Deposits, not covered and not preferential",1,4))</f>
        <v>4</v>
      </c>
    </row>
    <row r="1293" spans="3:29" ht="48.75" thickBot="1" x14ac:dyDescent="0.3">
      <c r="C1293" s="11">
        <v>999</v>
      </c>
      <c r="D1293" s="154">
        <v>1286</v>
      </c>
      <c r="E1293" s="154" t="s">
        <v>1902</v>
      </c>
      <c r="F1293" s="154" t="s">
        <v>83</v>
      </c>
      <c r="G1293" s="154" t="s">
        <v>1903</v>
      </c>
      <c r="H1293" s="154" t="s">
        <v>256</v>
      </c>
      <c r="I1293" s="154" t="s">
        <v>114</v>
      </c>
      <c r="J1293" s="154" t="s">
        <v>115</v>
      </c>
      <c r="K1293" s="154" t="s">
        <v>60</v>
      </c>
      <c r="L1293" s="154" t="s">
        <v>1897</v>
      </c>
      <c r="M1293" s="154" t="s">
        <v>1388</v>
      </c>
      <c r="N1293" s="154" t="s">
        <v>61</v>
      </c>
      <c r="O1293" s="154" t="s">
        <v>62</v>
      </c>
      <c r="P1293" s="146">
        <v>5953.03</v>
      </c>
      <c r="Q1293" s="146">
        <v>0</v>
      </c>
      <c r="R1293" s="154" t="s">
        <v>1384</v>
      </c>
      <c r="S1293" s="154" t="s">
        <v>1899</v>
      </c>
      <c r="T1293" s="155" t="s">
        <v>768</v>
      </c>
      <c r="U1293" s="155" t="s">
        <v>1899</v>
      </c>
      <c r="V1293" s="154" t="s">
        <v>1904</v>
      </c>
      <c r="W1293" s="154">
        <v>0</v>
      </c>
      <c r="X1293" s="154" t="s">
        <v>63</v>
      </c>
      <c r="Y1293" s="154" t="s">
        <v>1386</v>
      </c>
      <c r="Z1293" s="154"/>
      <c r="AA1293" s="154" t="s">
        <v>1387</v>
      </c>
      <c r="AB1293" s="154">
        <v>0</v>
      </c>
      <c r="AC1293" s="138">
        <f>IFERROR(IF(DATEDIF(#REF!,U1293,"m")&lt;=1,1,IF(AND(DATEDIF(#REF!,U1293,"m")&gt;1,DATEDIF(#REF!,U1293,"m")&lt;12),2,IF(AND(DATEDIF(#REF!,U1293,"m")&gt;=12,DATEDIF(#REF!,U1293,"m")&lt;24),3,IF(DATEDIF(#REF!,U1293,"m")&gt;=24,4,"")))),IF(E1293="r0320 - Deposits, not covered and not preferential",1,4))</f>
        <v>4</v>
      </c>
    </row>
    <row r="1294" spans="3:29" ht="48.75" thickBot="1" x14ac:dyDescent="0.3">
      <c r="C1294" s="11">
        <v>999</v>
      </c>
      <c r="D1294" s="154">
        <v>1287</v>
      </c>
      <c r="E1294" s="154" t="s">
        <v>1902</v>
      </c>
      <c r="F1294" s="154" t="s">
        <v>83</v>
      </c>
      <c r="G1294" s="154" t="s">
        <v>1903</v>
      </c>
      <c r="H1294" s="154" t="s">
        <v>420</v>
      </c>
      <c r="I1294" s="154" t="s">
        <v>101</v>
      </c>
      <c r="J1294" s="154" t="s">
        <v>102</v>
      </c>
      <c r="K1294" s="154" t="s">
        <v>60</v>
      </c>
      <c r="L1294" s="154" t="s">
        <v>1897</v>
      </c>
      <c r="M1294" s="154" t="s">
        <v>1388</v>
      </c>
      <c r="N1294" s="154" t="s">
        <v>61</v>
      </c>
      <c r="O1294" s="154" t="s">
        <v>62</v>
      </c>
      <c r="P1294" s="146">
        <v>911364.59</v>
      </c>
      <c r="Q1294" s="146">
        <v>385.86</v>
      </c>
      <c r="R1294" s="154" t="s">
        <v>1384</v>
      </c>
      <c r="S1294" s="154" t="s">
        <v>1899</v>
      </c>
      <c r="T1294" s="155" t="s">
        <v>768</v>
      </c>
      <c r="U1294" s="155" t="s">
        <v>1899</v>
      </c>
      <c r="V1294" s="154" t="s">
        <v>1904</v>
      </c>
      <c r="W1294" s="154">
        <v>0</v>
      </c>
      <c r="X1294" s="154" t="s">
        <v>63</v>
      </c>
      <c r="Y1294" s="154" t="s">
        <v>1386</v>
      </c>
      <c r="Z1294" s="154"/>
      <c r="AA1294" s="154" t="s">
        <v>1387</v>
      </c>
      <c r="AB1294" s="154">
        <v>0</v>
      </c>
      <c r="AC1294" s="138">
        <f>IFERROR(IF(DATEDIF(#REF!,U1294,"m")&lt;=1,1,IF(AND(DATEDIF(#REF!,U1294,"m")&gt;1,DATEDIF(#REF!,U1294,"m")&lt;12),2,IF(AND(DATEDIF(#REF!,U1294,"m")&gt;=12,DATEDIF(#REF!,U1294,"m")&lt;24),3,IF(DATEDIF(#REF!,U1294,"m")&gt;=24,4,"")))),IF(E1294="r0320 - Deposits, not covered and not preferential",1,4))</f>
        <v>4</v>
      </c>
    </row>
    <row r="1295" spans="3:29" ht="36.75" thickBot="1" x14ac:dyDescent="0.3">
      <c r="C1295" s="11">
        <v>999</v>
      </c>
      <c r="D1295" s="154">
        <v>1288</v>
      </c>
      <c r="E1295" s="154" t="s">
        <v>1898</v>
      </c>
      <c r="F1295" s="154" t="s">
        <v>87</v>
      </c>
      <c r="G1295" s="154" t="s">
        <v>1402</v>
      </c>
      <c r="H1295" s="154" t="s">
        <v>117</v>
      </c>
      <c r="I1295" s="154" t="s">
        <v>111</v>
      </c>
      <c r="J1295" s="154" t="s">
        <v>90</v>
      </c>
      <c r="K1295" s="154" t="s">
        <v>91</v>
      </c>
      <c r="L1295" s="154" t="s">
        <v>1897</v>
      </c>
      <c r="M1295" s="154" t="s">
        <v>1383</v>
      </c>
      <c r="N1295" s="154" t="s">
        <v>61</v>
      </c>
      <c r="O1295" s="154" t="s">
        <v>62</v>
      </c>
      <c r="P1295" s="146">
        <v>0.5</v>
      </c>
      <c r="Q1295" s="146">
        <v>0</v>
      </c>
      <c r="R1295" s="154" t="s">
        <v>1384</v>
      </c>
      <c r="S1295" s="154" t="s">
        <v>1899</v>
      </c>
      <c r="T1295" s="155" t="s">
        <v>1899</v>
      </c>
      <c r="U1295" s="155" t="s">
        <v>1899</v>
      </c>
      <c r="V1295" s="154" t="s">
        <v>1562</v>
      </c>
      <c r="W1295" s="154">
        <v>0</v>
      </c>
      <c r="X1295" s="154" t="s">
        <v>63</v>
      </c>
      <c r="Y1295" s="154" t="s">
        <v>1900</v>
      </c>
      <c r="Z1295" s="154"/>
      <c r="AA1295" s="154" t="s">
        <v>1387</v>
      </c>
      <c r="AB1295" s="154">
        <v>0</v>
      </c>
      <c r="AC1295" s="138">
        <f>IFERROR(IF(DATEDIF(#REF!,U1295,"m")&lt;=1,1,IF(AND(DATEDIF(#REF!,U1295,"m")&gt;1,DATEDIF(#REF!,U1295,"m")&lt;12),2,IF(AND(DATEDIF(#REF!,U1295,"m")&gt;=12,DATEDIF(#REF!,U1295,"m")&lt;24),3,IF(DATEDIF(#REF!,U1295,"m")&gt;=24,4,"")))),IF(E1295="r0320 - Deposits, not covered and not preferential",1,4))</f>
        <v>4</v>
      </c>
    </row>
    <row r="1296" spans="3:29" ht="36.75" thickBot="1" x14ac:dyDescent="0.3">
      <c r="C1296" s="11">
        <v>999</v>
      </c>
      <c r="D1296" s="154">
        <v>1289</v>
      </c>
      <c r="E1296" s="154" t="s">
        <v>1898</v>
      </c>
      <c r="F1296" s="154" t="s">
        <v>87</v>
      </c>
      <c r="G1296" s="154" t="s">
        <v>1402</v>
      </c>
      <c r="H1296" s="154" t="s">
        <v>1161</v>
      </c>
      <c r="I1296" s="154" t="s">
        <v>108</v>
      </c>
      <c r="J1296" s="154" t="s">
        <v>90</v>
      </c>
      <c r="K1296" s="154" t="s">
        <v>91</v>
      </c>
      <c r="L1296" s="154" t="s">
        <v>1897</v>
      </c>
      <c r="M1296" s="154" t="s">
        <v>1383</v>
      </c>
      <c r="N1296" s="154" t="s">
        <v>61</v>
      </c>
      <c r="O1296" s="154" t="s">
        <v>62</v>
      </c>
      <c r="P1296" s="146">
        <v>0.32</v>
      </c>
      <c r="Q1296" s="146">
        <v>0</v>
      </c>
      <c r="R1296" s="154" t="s">
        <v>1384</v>
      </c>
      <c r="S1296" s="154" t="s">
        <v>1899</v>
      </c>
      <c r="T1296" s="155" t="s">
        <v>1899</v>
      </c>
      <c r="U1296" s="155" t="s">
        <v>1899</v>
      </c>
      <c r="V1296" s="154" t="s">
        <v>1562</v>
      </c>
      <c r="W1296" s="154">
        <v>0</v>
      </c>
      <c r="X1296" s="154" t="s">
        <v>63</v>
      </c>
      <c r="Y1296" s="154" t="s">
        <v>1900</v>
      </c>
      <c r="Z1296" s="154"/>
      <c r="AA1296" s="154" t="s">
        <v>1387</v>
      </c>
      <c r="AB1296" s="154">
        <v>0</v>
      </c>
      <c r="AC1296" s="138">
        <f>IFERROR(IF(DATEDIF(#REF!,U1296,"m")&lt;=1,1,IF(AND(DATEDIF(#REF!,U1296,"m")&gt;1,DATEDIF(#REF!,U1296,"m")&lt;12),2,IF(AND(DATEDIF(#REF!,U1296,"m")&gt;=12,DATEDIF(#REF!,U1296,"m")&lt;24),3,IF(DATEDIF(#REF!,U1296,"m")&gt;=24,4,"")))),IF(E1296="r0320 - Deposits, not covered and not preferential",1,4))</f>
        <v>4</v>
      </c>
    </row>
    <row r="1297" spans="3:29" ht="36.75" thickBot="1" x14ac:dyDescent="0.3">
      <c r="C1297" s="11">
        <v>999</v>
      </c>
      <c r="D1297" s="154">
        <v>1290</v>
      </c>
      <c r="E1297" s="154" t="s">
        <v>1898</v>
      </c>
      <c r="F1297" s="154" t="s">
        <v>87</v>
      </c>
      <c r="G1297" s="154" t="s">
        <v>1402</v>
      </c>
      <c r="H1297" s="154" t="s">
        <v>705</v>
      </c>
      <c r="I1297" s="154" t="s">
        <v>108</v>
      </c>
      <c r="J1297" s="154" t="s">
        <v>90</v>
      </c>
      <c r="K1297" s="154" t="s">
        <v>91</v>
      </c>
      <c r="L1297" s="154" t="s">
        <v>1897</v>
      </c>
      <c r="M1297" s="154" t="s">
        <v>1383</v>
      </c>
      <c r="N1297" s="154" t="s">
        <v>61</v>
      </c>
      <c r="O1297" s="154" t="s">
        <v>62</v>
      </c>
      <c r="P1297" s="146">
        <v>2.2599999999999998</v>
      </c>
      <c r="Q1297" s="146">
        <v>0</v>
      </c>
      <c r="R1297" s="154" t="s">
        <v>1384</v>
      </c>
      <c r="S1297" s="154" t="s">
        <v>1899</v>
      </c>
      <c r="T1297" s="155" t="s">
        <v>1899</v>
      </c>
      <c r="U1297" s="155" t="s">
        <v>1899</v>
      </c>
      <c r="V1297" s="154" t="s">
        <v>1562</v>
      </c>
      <c r="W1297" s="154">
        <v>0</v>
      </c>
      <c r="X1297" s="154" t="s">
        <v>63</v>
      </c>
      <c r="Y1297" s="154" t="s">
        <v>1900</v>
      </c>
      <c r="Z1297" s="154"/>
      <c r="AA1297" s="154" t="s">
        <v>1387</v>
      </c>
      <c r="AB1297" s="154">
        <v>0</v>
      </c>
      <c r="AC1297" s="138">
        <f>IFERROR(IF(DATEDIF(#REF!,U1297,"m")&lt;=1,1,IF(AND(DATEDIF(#REF!,U1297,"m")&gt;1,DATEDIF(#REF!,U1297,"m")&lt;12),2,IF(AND(DATEDIF(#REF!,U1297,"m")&gt;=12,DATEDIF(#REF!,U1297,"m")&lt;24),3,IF(DATEDIF(#REF!,U1297,"m")&gt;=24,4,"")))),IF(E1297="r0320 - Deposits, not covered and not preferential",1,4))</f>
        <v>4</v>
      </c>
    </row>
    <row r="1298" spans="3:29" ht="36.75" thickBot="1" x14ac:dyDescent="0.3">
      <c r="C1298" s="11">
        <v>999</v>
      </c>
      <c r="D1298" s="154">
        <v>1291</v>
      </c>
      <c r="E1298" s="154" t="s">
        <v>1895</v>
      </c>
      <c r="F1298" s="154" t="s">
        <v>87</v>
      </c>
      <c r="G1298" s="154" t="s">
        <v>1896</v>
      </c>
      <c r="H1298" s="154" t="s">
        <v>57</v>
      </c>
      <c r="I1298" s="154" t="s">
        <v>1343</v>
      </c>
      <c r="J1298" s="154" t="s">
        <v>1344</v>
      </c>
      <c r="K1298" s="154" t="s">
        <v>91</v>
      </c>
      <c r="L1298" s="154" t="s">
        <v>1897</v>
      </c>
      <c r="M1298" s="154" t="s">
        <v>1383</v>
      </c>
      <c r="N1298" s="154" t="s">
        <v>61</v>
      </c>
      <c r="O1298" s="154" t="s">
        <v>62</v>
      </c>
      <c r="P1298" s="146">
        <v>17781.32</v>
      </c>
      <c r="Q1298" s="146">
        <v>0</v>
      </c>
      <c r="R1298" s="154" t="s">
        <v>1384</v>
      </c>
      <c r="S1298" s="154" t="s">
        <v>1385</v>
      </c>
      <c r="T1298" s="155">
        <v>44564</v>
      </c>
      <c r="U1298" s="155">
        <v>44564</v>
      </c>
      <c r="V1298" s="154" t="s">
        <v>1562</v>
      </c>
      <c r="W1298" s="154">
        <v>0</v>
      </c>
      <c r="X1298" s="154" t="s">
        <v>63</v>
      </c>
      <c r="Y1298" s="154" t="s">
        <v>1386</v>
      </c>
      <c r="Z1298" s="154"/>
      <c r="AA1298" s="154" t="s">
        <v>1387</v>
      </c>
      <c r="AB1298" s="154">
        <v>0</v>
      </c>
      <c r="AC1298" s="138">
        <f>IFERROR(IF(DATEDIF(#REF!,U1298,"m")&lt;=1,1,IF(AND(DATEDIF(#REF!,U1298,"m")&gt;1,DATEDIF(#REF!,U1298,"m")&lt;12),2,IF(AND(DATEDIF(#REF!,U1298,"m")&gt;=12,DATEDIF(#REF!,U1298,"m")&lt;24),3,IF(DATEDIF(#REF!,U1298,"m")&gt;=24,4,"")))),IF(E1298="r0320 - Deposits, not covered and not preferential",1,4))</f>
        <v>1</v>
      </c>
    </row>
    <row r="1299" spans="3:29" ht="36.75" thickBot="1" x14ac:dyDescent="0.3">
      <c r="C1299" s="11">
        <v>999</v>
      </c>
      <c r="D1299" s="154">
        <v>1292</v>
      </c>
      <c r="E1299" s="154" t="s">
        <v>1898</v>
      </c>
      <c r="F1299" s="154" t="s">
        <v>56</v>
      </c>
      <c r="G1299" s="154" t="s">
        <v>1402</v>
      </c>
      <c r="H1299" s="154" t="s">
        <v>706</v>
      </c>
      <c r="I1299" s="154" t="s">
        <v>72</v>
      </c>
      <c r="J1299" s="154" t="s">
        <v>73</v>
      </c>
      <c r="K1299" s="154" t="s">
        <v>60</v>
      </c>
      <c r="L1299" s="154" t="s">
        <v>1897</v>
      </c>
      <c r="M1299" s="154" t="s">
        <v>1388</v>
      </c>
      <c r="N1299" s="154" t="s">
        <v>61</v>
      </c>
      <c r="O1299" s="154" t="s">
        <v>62</v>
      </c>
      <c r="P1299" s="146">
        <v>7.0000000000000007E-2</v>
      </c>
      <c r="Q1299" s="146">
        <v>0</v>
      </c>
      <c r="R1299" s="154" t="s">
        <v>1384</v>
      </c>
      <c r="S1299" s="154" t="s">
        <v>1899</v>
      </c>
      <c r="T1299" s="155" t="s">
        <v>1899</v>
      </c>
      <c r="U1299" s="155" t="s">
        <v>1899</v>
      </c>
      <c r="V1299" s="154" t="s">
        <v>1562</v>
      </c>
      <c r="W1299" s="154">
        <v>0</v>
      </c>
      <c r="X1299" s="154" t="s">
        <v>63</v>
      </c>
      <c r="Y1299" s="154" t="s">
        <v>1900</v>
      </c>
      <c r="Z1299" s="154"/>
      <c r="AA1299" s="154" t="s">
        <v>1387</v>
      </c>
      <c r="AB1299" s="154">
        <v>0</v>
      </c>
      <c r="AC1299" s="138">
        <f>IFERROR(IF(DATEDIF(#REF!,U1299,"m")&lt;=1,1,IF(AND(DATEDIF(#REF!,U1299,"m")&gt;1,DATEDIF(#REF!,U1299,"m")&lt;12),2,IF(AND(DATEDIF(#REF!,U1299,"m")&gt;=12,DATEDIF(#REF!,U1299,"m")&lt;24),3,IF(DATEDIF(#REF!,U1299,"m")&gt;=24,4,"")))),IF(E1299="r0320 - Deposits, not covered and not preferential",1,4))</f>
        <v>4</v>
      </c>
    </row>
    <row r="1300" spans="3:29" ht="36.75" thickBot="1" x14ac:dyDescent="0.3">
      <c r="C1300" s="11">
        <v>999</v>
      </c>
      <c r="D1300" s="154">
        <v>1293</v>
      </c>
      <c r="E1300" s="154" t="s">
        <v>1898</v>
      </c>
      <c r="F1300" s="154" t="s">
        <v>87</v>
      </c>
      <c r="G1300" s="154" t="s">
        <v>1402</v>
      </c>
      <c r="H1300" s="154" t="s">
        <v>1164</v>
      </c>
      <c r="I1300" s="154" t="s">
        <v>108</v>
      </c>
      <c r="J1300" s="154" t="s">
        <v>90</v>
      </c>
      <c r="K1300" s="154" t="s">
        <v>91</v>
      </c>
      <c r="L1300" s="154" t="s">
        <v>1897</v>
      </c>
      <c r="M1300" s="154" t="s">
        <v>1383</v>
      </c>
      <c r="N1300" s="154" t="s">
        <v>61</v>
      </c>
      <c r="O1300" s="154" t="s">
        <v>62</v>
      </c>
      <c r="P1300" s="146">
        <v>0.8</v>
      </c>
      <c r="Q1300" s="146">
        <v>0</v>
      </c>
      <c r="R1300" s="154" t="s">
        <v>1384</v>
      </c>
      <c r="S1300" s="154" t="s">
        <v>1899</v>
      </c>
      <c r="T1300" s="155" t="s">
        <v>1899</v>
      </c>
      <c r="U1300" s="155" t="s">
        <v>1899</v>
      </c>
      <c r="V1300" s="154" t="s">
        <v>1562</v>
      </c>
      <c r="W1300" s="154">
        <v>0</v>
      </c>
      <c r="X1300" s="154" t="s">
        <v>63</v>
      </c>
      <c r="Y1300" s="154" t="s">
        <v>1900</v>
      </c>
      <c r="Z1300" s="154"/>
      <c r="AA1300" s="154" t="s">
        <v>1387</v>
      </c>
      <c r="AB1300" s="154">
        <v>0</v>
      </c>
      <c r="AC1300" s="138">
        <f>IFERROR(IF(DATEDIF(#REF!,U1300,"m")&lt;=1,1,IF(AND(DATEDIF(#REF!,U1300,"m")&gt;1,DATEDIF(#REF!,U1300,"m")&lt;12),2,IF(AND(DATEDIF(#REF!,U1300,"m")&gt;=12,DATEDIF(#REF!,U1300,"m")&lt;24),3,IF(DATEDIF(#REF!,U1300,"m")&gt;=24,4,"")))),IF(E1300="r0320 - Deposits, not covered and not preferential",1,4))</f>
        <v>4</v>
      </c>
    </row>
    <row r="1301" spans="3:29" ht="36.75" thickBot="1" x14ac:dyDescent="0.3">
      <c r="C1301" s="11">
        <v>999</v>
      </c>
      <c r="D1301" s="154">
        <v>1294</v>
      </c>
      <c r="E1301" s="154" t="s">
        <v>1898</v>
      </c>
      <c r="F1301" s="154" t="s">
        <v>87</v>
      </c>
      <c r="G1301" s="154" t="s">
        <v>1402</v>
      </c>
      <c r="H1301" s="154" t="s">
        <v>1207</v>
      </c>
      <c r="I1301" s="154" t="s">
        <v>108</v>
      </c>
      <c r="J1301" s="154" t="s">
        <v>90</v>
      </c>
      <c r="K1301" s="154" t="s">
        <v>91</v>
      </c>
      <c r="L1301" s="154" t="s">
        <v>1897</v>
      </c>
      <c r="M1301" s="154" t="s">
        <v>1383</v>
      </c>
      <c r="N1301" s="154" t="s">
        <v>61</v>
      </c>
      <c r="O1301" s="154" t="s">
        <v>62</v>
      </c>
      <c r="P1301" s="146">
        <v>1.1000000000000001</v>
      </c>
      <c r="Q1301" s="146">
        <v>0</v>
      </c>
      <c r="R1301" s="154" t="s">
        <v>1384</v>
      </c>
      <c r="S1301" s="154" t="s">
        <v>1899</v>
      </c>
      <c r="T1301" s="155" t="s">
        <v>1899</v>
      </c>
      <c r="U1301" s="155" t="s">
        <v>1899</v>
      </c>
      <c r="V1301" s="154" t="s">
        <v>1562</v>
      </c>
      <c r="W1301" s="154">
        <v>0</v>
      </c>
      <c r="X1301" s="154" t="s">
        <v>63</v>
      </c>
      <c r="Y1301" s="154" t="s">
        <v>1900</v>
      </c>
      <c r="Z1301" s="154"/>
      <c r="AA1301" s="154" t="s">
        <v>1387</v>
      </c>
      <c r="AB1301" s="154">
        <v>0</v>
      </c>
      <c r="AC1301" s="138">
        <f>IFERROR(IF(DATEDIF(#REF!,U1301,"m")&lt;=1,1,IF(AND(DATEDIF(#REF!,U1301,"m")&gt;1,DATEDIF(#REF!,U1301,"m")&lt;12),2,IF(AND(DATEDIF(#REF!,U1301,"m")&gt;=12,DATEDIF(#REF!,U1301,"m")&lt;24),3,IF(DATEDIF(#REF!,U1301,"m")&gt;=24,4,"")))),IF(E1301="r0320 - Deposits, not covered and not preferential",1,4))</f>
        <v>4</v>
      </c>
    </row>
    <row r="1302" spans="3:29" ht="48.75" thickBot="1" x14ac:dyDescent="0.3">
      <c r="C1302" s="11">
        <v>999</v>
      </c>
      <c r="D1302" s="154">
        <v>1295</v>
      </c>
      <c r="E1302" s="154" t="s">
        <v>1902</v>
      </c>
      <c r="F1302" s="154" t="s">
        <v>83</v>
      </c>
      <c r="G1302" s="154" t="s">
        <v>1903</v>
      </c>
      <c r="H1302" s="154" t="s">
        <v>690</v>
      </c>
      <c r="I1302" s="154" t="s">
        <v>101</v>
      </c>
      <c r="J1302" s="154" t="s">
        <v>102</v>
      </c>
      <c r="K1302" s="154" t="s">
        <v>60</v>
      </c>
      <c r="L1302" s="154" t="s">
        <v>1897</v>
      </c>
      <c r="M1302" s="154" t="s">
        <v>1388</v>
      </c>
      <c r="N1302" s="154" t="s">
        <v>61</v>
      </c>
      <c r="O1302" s="154" t="s">
        <v>62</v>
      </c>
      <c r="P1302" s="146">
        <v>47540.59</v>
      </c>
      <c r="Q1302" s="146">
        <v>29.51</v>
      </c>
      <c r="R1302" s="154" t="s">
        <v>1384</v>
      </c>
      <c r="S1302" s="154" t="s">
        <v>1899</v>
      </c>
      <c r="T1302" s="155" t="s">
        <v>768</v>
      </c>
      <c r="U1302" s="155" t="s">
        <v>1899</v>
      </c>
      <c r="V1302" s="154" t="s">
        <v>1904</v>
      </c>
      <c r="W1302" s="154">
        <v>0</v>
      </c>
      <c r="X1302" s="154" t="s">
        <v>63</v>
      </c>
      <c r="Y1302" s="154" t="s">
        <v>1386</v>
      </c>
      <c r="Z1302" s="154"/>
      <c r="AA1302" s="154" t="s">
        <v>1387</v>
      </c>
      <c r="AB1302" s="154">
        <v>0</v>
      </c>
      <c r="AC1302" s="138">
        <f>IFERROR(IF(DATEDIF(#REF!,U1302,"m")&lt;=1,1,IF(AND(DATEDIF(#REF!,U1302,"m")&gt;1,DATEDIF(#REF!,U1302,"m")&lt;12),2,IF(AND(DATEDIF(#REF!,U1302,"m")&gt;=12,DATEDIF(#REF!,U1302,"m")&lt;24),3,IF(DATEDIF(#REF!,U1302,"m")&gt;=24,4,"")))),IF(E1302="r0320 - Deposits, not covered and not preferential",1,4))</f>
        <v>4</v>
      </c>
    </row>
    <row r="1303" spans="3:29" ht="36.75" thickBot="1" x14ac:dyDescent="0.3">
      <c r="C1303" s="11">
        <v>999</v>
      </c>
      <c r="D1303" s="154">
        <v>1296</v>
      </c>
      <c r="E1303" s="154" t="s">
        <v>1898</v>
      </c>
      <c r="F1303" s="154" t="s">
        <v>87</v>
      </c>
      <c r="G1303" s="154" t="s">
        <v>1402</v>
      </c>
      <c r="H1303" s="154" t="s">
        <v>700</v>
      </c>
      <c r="I1303" s="154" t="s">
        <v>111</v>
      </c>
      <c r="J1303" s="154" t="s">
        <v>90</v>
      </c>
      <c r="K1303" s="154" t="s">
        <v>91</v>
      </c>
      <c r="L1303" s="154" t="s">
        <v>1897</v>
      </c>
      <c r="M1303" s="154" t="s">
        <v>1383</v>
      </c>
      <c r="N1303" s="154" t="s">
        <v>61</v>
      </c>
      <c r="O1303" s="154" t="s">
        <v>62</v>
      </c>
      <c r="P1303" s="146">
        <v>0.73</v>
      </c>
      <c r="Q1303" s="146">
        <v>0</v>
      </c>
      <c r="R1303" s="154" t="s">
        <v>1384</v>
      </c>
      <c r="S1303" s="154" t="s">
        <v>1899</v>
      </c>
      <c r="T1303" s="155" t="s">
        <v>1899</v>
      </c>
      <c r="U1303" s="155" t="s">
        <v>1899</v>
      </c>
      <c r="V1303" s="154" t="s">
        <v>1562</v>
      </c>
      <c r="W1303" s="154">
        <v>0</v>
      </c>
      <c r="X1303" s="154" t="s">
        <v>63</v>
      </c>
      <c r="Y1303" s="154" t="s">
        <v>1900</v>
      </c>
      <c r="Z1303" s="154"/>
      <c r="AA1303" s="154" t="s">
        <v>1387</v>
      </c>
      <c r="AB1303" s="154">
        <v>0</v>
      </c>
      <c r="AC1303" s="138">
        <f>IFERROR(IF(DATEDIF(#REF!,U1303,"m")&lt;=1,1,IF(AND(DATEDIF(#REF!,U1303,"m")&gt;1,DATEDIF(#REF!,U1303,"m")&lt;12),2,IF(AND(DATEDIF(#REF!,U1303,"m")&gt;=12,DATEDIF(#REF!,U1303,"m")&lt;24),3,IF(DATEDIF(#REF!,U1303,"m")&gt;=24,4,"")))),IF(E1303="r0320 - Deposits, not covered and not preferential",1,4))</f>
        <v>4</v>
      </c>
    </row>
    <row r="1304" spans="3:29" ht="36.75" thickBot="1" x14ac:dyDescent="0.3">
      <c r="C1304" s="11">
        <v>999</v>
      </c>
      <c r="D1304" s="154">
        <v>1297</v>
      </c>
      <c r="E1304" s="154" t="s">
        <v>1898</v>
      </c>
      <c r="F1304" s="154" t="s">
        <v>87</v>
      </c>
      <c r="G1304" s="154" t="s">
        <v>1402</v>
      </c>
      <c r="H1304" s="154" t="s">
        <v>1167</v>
      </c>
      <c r="I1304" s="154" t="s">
        <v>108</v>
      </c>
      <c r="J1304" s="154" t="s">
        <v>90</v>
      </c>
      <c r="K1304" s="154" t="s">
        <v>91</v>
      </c>
      <c r="L1304" s="154" t="s">
        <v>1897</v>
      </c>
      <c r="M1304" s="154" t="s">
        <v>1383</v>
      </c>
      <c r="N1304" s="154" t="s">
        <v>61</v>
      </c>
      <c r="O1304" s="154" t="s">
        <v>62</v>
      </c>
      <c r="P1304" s="146">
        <v>0.64</v>
      </c>
      <c r="Q1304" s="146">
        <v>0</v>
      </c>
      <c r="R1304" s="154" t="s">
        <v>1384</v>
      </c>
      <c r="S1304" s="154" t="s">
        <v>1899</v>
      </c>
      <c r="T1304" s="155" t="s">
        <v>1899</v>
      </c>
      <c r="U1304" s="155" t="s">
        <v>1899</v>
      </c>
      <c r="V1304" s="154" t="s">
        <v>1562</v>
      </c>
      <c r="W1304" s="154">
        <v>0</v>
      </c>
      <c r="X1304" s="154" t="s">
        <v>63</v>
      </c>
      <c r="Y1304" s="154" t="s">
        <v>1900</v>
      </c>
      <c r="Z1304" s="154"/>
      <c r="AA1304" s="154" t="s">
        <v>1387</v>
      </c>
      <c r="AB1304" s="154">
        <v>0</v>
      </c>
      <c r="AC1304" s="138">
        <f>IFERROR(IF(DATEDIF(#REF!,U1304,"m")&lt;=1,1,IF(AND(DATEDIF(#REF!,U1304,"m")&gt;1,DATEDIF(#REF!,U1304,"m")&lt;12),2,IF(AND(DATEDIF(#REF!,U1304,"m")&gt;=12,DATEDIF(#REF!,U1304,"m")&lt;24),3,IF(DATEDIF(#REF!,U1304,"m")&gt;=24,4,"")))),IF(E1304="r0320 - Deposits, not covered and not preferential",1,4))</f>
        <v>4</v>
      </c>
    </row>
    <row r="1305" spans="3:29" ht="36.75" thickBot="1" x14ac:dyDescent="0.3">
      <c r="C1305" s="11">
        <v>999</v>
      </c>
      <c r="D1305" s="154">
        <v>1298</v>
      </c>
      <c r="E1305" s="154" t="s">
        <v>1898</v>
      </c>
      <c r="F1305" s="154" t="s">
        <v>87</v>
      </c>
      <c r="G1305" s="154" t="s">
        <v>1402</v>
      </c>
      <c r="H1305" s="154" t="s">
        <v>437</v>
      </c>
      <c r="I1305" s="154" t="s">
        <v>108</v>
      </c>
      <c r="J1305" s="154" t="s">
        <v>90</v>
      </c>
      <c r="K1305" s="154" t="s">
        <v>91</v>
      </c>
      <c r="L1305" s="154" t="s">
        <v>1897</v>
      </c>
      <c r="M1305" s="154" t="s">
        <v>1383</v>
      </c>
      <c r="N1305" s="154" t="s">
        <v>61</v>
      </c>
      <c r="O1305" s="154" t="s">
        <v>62</v>
      </c>
      <c r="P1305" s="146">
        <v>22.55</v>
      </c>
      <c r="Q1305" s="146">
        <v>0</v>
      </c>
      <c r="R1305" s="154" t="s">
        <v>1384</v>
      </c>
      <c r="S1305" s="154" t="s">
        <v>1899</v>
      </c>
      <c r="T1305" s="155" t="s">
        <v>1899</v>
      </c>
      <c r="U1305" s="155" t="s">
        <v>1899</v>
      </c>
      <c r="V1305" s="154" t="s">
        <v>1562</v>
      </c>
      <c r="W1305" s="154">
        <v>0</v>
      </c>
      <c r="X1305" s="154" t="s">
        <v>63</v>
      </c>
      <c r="Y1305" s="154" t="s">
        <v>1900</v>
      </c>
      <c r="Z1305" s="154"/>
      <c r="AA1305" s="154" t="s">
        <v>1387</v>
      </c>
      <c r="AB1305" s="154">
        <v>0</v>
      </c>
      <c r="AC1305" s="138">
        <f>IFERROR(IF(DATEDIF(#REF!,U1305,"m")&lt;=1,1,IF(AND(DATEDIF(#REF!,U1305,"m")&gt;1,DATEDIF(#REF!,U1305,"m")&lt;12),2,IF(AND(DATEDIF(#REF!,U1305,"m")&gt;=12,DATEDIF(#REF!,U1305,"m")&lt;24),3,IF(DATEDIF(#REF!,U1305,"m")&gt;=24,4,"")))),IF(E1305="r0320 - Deposits, not covered and not preferential",1,4))</f>
        <v>4</v>
      </c>
    </row>
    <row r="1306" spans="3:29" ht="48.75" thickBot="1" x14ac:dyDescent="0.3">
      <c r="C1306" s="11">
        <v>999</v>
      </c>
      <c r="D1306" s="154">
        <v>1299</v>
      </c>
      <c r="E1306" s="154" t="s">
        <v>1902</v>
      </c>
      <c r="F1306" s="154" t="s">
        <v>83</v>
      </c>
      <c r="G1306" s="154" t="s">
        <v>1903</v>
      </c>
      <c r="H1306" s="154" t="s">
        <v>678</v>
      </c>
      <c r="I1306" s="154" t="s">
        <v>93</v>
      </c>
      <c r="J1306" s="154" t="s">
        <v>94</v>
      </c>
      <c r="K1306" s="154" t="s">
        <v>60</v>
      </c>
      <c r="L1306" s="154" t="s">
        <v>1897</v>
      </c>
      <c r="M1306" s="154" t="s">
        <v>1388</v>
      </c>
      <c r="N1306" s="154" t="s">
        <v>61</v>
      </c>
      <c r="O1306" s="154" t="s">
        <v>62</v>
      </c>
      <c r="P1306" s="146">
        <v>277976.65999999997</v>
      </c>
      <c r="Q1306" s="146">
        <v>-9.65</v>
      </c>
      <c r="R1306" s="154" t="s">
        <v>1384</v>
      </c>
      <c r="S1306" s="154" t="s">
        <v>1899</v>
      </c>
      <c r="T1306" s="155" t="s">
        <v>768</v>
      </c>
      <c r="U1306" s="155" t="s">
        <v>1899</v>
      </c>
      <c r="V1306" s="154" t="s">
        <v>1904</v>
      </c>
      <c r="W1306" s="154">
        <v>0</v>
      </c>
      <c r="X1306" s="154" t="s">
        <v>63</v>
      </c>
      <c r="Y1306" s="154" t="s">
        <v>1386</v>
      </c>
      <c r="Z1306" s="154"/>
      <c r="AA1306" s="154" t="s">
        <v>1387</v>
      </c>
      <c r="AB1306" s="154">
        <v>0</v>
      </c>
      <c r="AC1306" s="138">
        <f>IFERROR(IF(DATEDIF(#REF!,U1306,"m")&lt;=1,1,IF(AND(DATEDIF(#REF!,U1306,"m")&gt;1,DATEDIF(#REF!,U1306,"m")&lt;12),2,IF(AND(DATEDIF(#REF!,U1306,"m")&gt;=12,DATEDIF(#REF!,U1306,"m")&lt;24),3,IF(DATEDIF(#REF!,U1306,"m")&gt;=24,4,"")))),IF(E1306="r0320 - Deposits, not covered and not preferential",1,4))</f>
        <v>4</v>
      </c>
    </row>
    <row r="1307" spans="3:29" ht="48.75" thickBot="1" x14ac:dyDescent="0.3">
      <c r="C1307" s="11">
        <v>999</v>
      </c>
      <c r="D1307" s="154">
        <v>1300</v>
      </c>
      <c r="E1307" s="154" t="s">
        <v>1902</v>
      </c>
      <c r="F1307" s="154" t="s">
        <v>83</v>
      </c>
      <c r="G1307" s="154" t="s">
        <v>1903</v>
      </c>
      <c r="H1307" s="154" t="s">
        <v>433</v>
      </c>
      <c r="I1307" s="154" t="s">
        <v>114</v>
      </c>
      <c r="J1307" s="154" t="s">
        <v>115</v>
      </c>
      <c r="K1307" s="154" t="s">
        <v>60</v>
      </c>
      <c r="L1307" s="154" t="s">
        <v>1897</v>
      </c>
      <c r="M1307" s="154" t="s">
        <v>1388</v>
      </c>
      <c r="N1307" s="154" t="s">
        <v>61</v>
      </c>
      <c r="O1307" s="154" t="s">
        <v>62</v>
      </c>
      <c r="P1307" s="146">
        <v>1195660.48</v>
      </c>
      <c r="Q1307" s="146">
        <v>247.06</v>
      </c>
      <c r="R1307" s="154" t="s">
        <v>1384</v>
      </c>
      <c r="S1307" s="154" t="s">
        <v>1899</v>
      </c>
      <c r="T1307" s="155" t="s">
        <v>768</v>
      </c>
      <c r="U1307" s="155" t="s">
        <v>1899</v>
      </c>
      <c r="V1307" s="154" t="s">
        <v>1904</v>
      </c>
      <c r="W1307" s="154">
        <v>0</v>
      </c>
      <c r="X1307" s="154" t="s">
        <v>63</v>
      </c>
      <c r="Y1307" s="154" t="s">
        <v>1386</v>
      </c>
      <c r="Z1307" s="154"/>
      <c r="AA1307" s="154" t="s">
        <v>1387</v>
      </c>
      <c r="AB1307" s="154">
        <v>0</v>
      </c>
      <c r="AC1307" s="138">
        <f>IFERROR(IF(DATEDIF(#REF!,U1307,"m")&lt;=1,1,IF(AND(DATEDIF(#REF!,U1307,"m")&gt;1,DATEDIF(#REF!,U1307,"m")&lt;12),2,IF(AND(DATEDIF(#REF!,U1307,"m")&gt;=12,DATEDIF(#REF!,U1307,"m")&lt;24),3,IF(DATEDIF(#REF!,U1307,"m")&gt;=24,4,"")))),IF(E1307="r0320 - Deposits, not covered and not preferential",1,4))</f>
        <v>4</v>
      </c>
    </row>
    <row r="1308" spans="3:29" ht="36.75" thickBot="1" x14ac:dyDescent="0.3">
      <c r="C1308" s="11">
        <v>999</v>
      </c>
      <c r="D1308" s="154">
        <v>1301</v>
      </c>
      <c r="E1308" s="154" t="s">
        <v>1898</v>
      </c>
      <c r="F1308" s="154" t="s">
        <v>87</v>
      </c>
      <c r="G1308" s="154" t="s">
        <v>1402</v>
      </c>
      <c r="H1308" s="154" t="s">
        <v>1169</v>
      </c>
      <c r="I1308" s="154" t="s">
        <v>108</v>
      </c>
      <c r="J1308" s="154" t="s">
        <v>90</v>
      </c>
      <c r="K1308" s="154" t="s">
        <v>91</v>
      </c>
      <c r="L1308" s="154" t="s">
        <v>1897</v>
      </c>
      <c r="M1308" s="154" t="s">
        <v>1383</v>
      </c>
      <c r="N1308" s="154" t="s">
        <v>61</v>
      </c>
      <c r="O1308" s="154" t="s">
        <v>62</v>
      </c>
      <c r="P1308" s="146">
        <v>0.66</v>
      </c>
      <c r="Q1308" s="146">
        <v>0</v>
      </c>
      <c r="R1308" s="154" t="s">
        <v>1384</v>
      </c>
      <c r="S1308" s="154" t="s">
        <v>1899</v>
      </c>
      <c r="T1308" s="155" t="s">
        <v>1899</v>
      </c>
      <c r="U1308" s="155" t="s">
        <v>1899</v>
      </c>
      <c r="V1308" s="154" t="s">
        <v>1562</v>
      </c>
      <c r="W1308" s="154">
        <v>0</v>
      </c>
      <c r="X1308" s="154" t="s">
        <v>63</v>
      </c>
      <c r="Y1308" s="154" t="s">
        <v>1900</v>
      </c>
      <c r="Z1308" s="154"/>
      <c r="AA1308" s="154" t="s">
        <v>1387</v>
      </c>
      <c r="AB1308" s="154">
        <v>0</v>
      </c>
      <c r="AC1308" s="138">
        <f>IFERROR(IF(DATEDIF(#REF!,U1308,"m")&lt;=1,1,IF(AND(DATEDIF(#REF!,U1308,"m")&gt;1,DATEDIF(#REF!,U1308,"m")&lt;12),2,IF(AND(DATEDIF(#REF!,U1308,"m")&gt;=12,DATEDIF(#REF!,U1308,"m")&lt;24),3,IF(DATEDIF(#REF!,U1308,"m")&gt;=24,4,"")))),IF(E1308="r0320 - Deposits, not covered and not preferential",1,4))</f>
        <v>4</v>
      </c>
    </row>
    <row r="1309" spans="3:29" ht="48.75" thickBot="1" x14ac:dyDescent="0.3">
      <c r="C1309" s="11">
        <v>999</v>
      </c>
      <c r="D1309" s="154">
        <v>1302</v>
      </c>
      <c r="E1309" s="154" t="s">
        <v>1902</v>
      </c>
      <c r="F1309" s="154" t="s">
        <v>83</v>
      </c>
      <c r="G1309" s="154" t="s">
        <v>1903</v>
      </c>
      <c r="H1309" s="154" t="s">
        <v>286</v>
      </c>
      <c r="I1309" s="154" t="s">
        <v>93</v>
      </c>
      <c r="J1309" s="154" t="s">
        <v>94</v>
      </c>
      <c r="K1309" s="154" t="s">
        <v>60</v>
      </c>
      <c r="L1309" s="154" t="s">
        <v>1897</v>
      </c>
      <c r="M1309" s="154" t="s">
        <v>1388</v>
      </c>
      <c r="N1309" s="154" t="s">
        <v>61</v>
      </c>
      <c r="O1309" s="154" t="s">
        <v>62</v>
      </c>
      <c r="P1309" s="146">
        <v>64409.71</v>
      </c>
      <c r="Q1309" s="146">
        <v>3.79</v>
      </c>
      <c r="R1309" s="154" t="s">
        <v>1384</v>
      </c>
      <c r="S1309" s="154" t="s">
        <v>1899</v>
      </c>
      <c r="T1309" s="155" t="s">
        <v>768</v>
      </c>
      <c r="U1309" s="155" t="s">
        <v>1899</v>
      </c>
      <c r="V1309" s="154" t="s">
        <v>1904</v>
      </c>
      <c r="W1309" s="154">
        <v>0</v>
      </c>
      <c r="X1309" s="154" t="s">
        <v>63</v>
      </c>
      <c r="Y1309" s="154" t="s">
        <v>1386</v>
      </c>
      <c r="Z1309" s="154"/>
      <c r="AA1309" s="154" t="s">
        <v>1387</v>
      </c>
      <c r="AB1309" s="154">
        <v>0</v>
      </c>
      <c r="AC1309" s="138">
        <f>IFERROR(IF(DATEDIF(#REF!,U1309,"m")&lt;=1,1,IF(AND(DATEDIF(#REF!,U1309,"m")&gt;1,DATEDIF(#REF!,U1309,"m")&lt;12),2,IF(AND(DATEDIF(#REF!,U1309,"m")&gt;=12,DATEDIF(#REF!,U1309,"m")&lt;24),3,IF(DATEDIF(#REF!,U1309,"m")&gt;=24,4,"")))),IF(E1309="r0320 - Deposits, not covered and not preferential",1,4))</f>
        <v>4</v>
      </c>
    </row>
    <row r="1310" spans="3:29" ht="48.75" thickBot="1" x14ac:dyDescent="0.3">
      <c r="C1310" s="11">
        <v>999</v>
      </c>
      <c r="D1310" s="154">
        <v>1303</v>
      </c>
      <c r="E1310" s="154" t="s">
        <v>1902</v>
      </c>
      <c r="F1310" s="154" t="s">
        <v>83</v>
      </c>
      <c r="G1310" s="154" t="s">
        <v>1903</v>
      </c>
      <c r="H1310" s="154" t="s">
        <v>424</v>
      </c>
      <c r="I1310" s="154" t="s">
        <v>93</v>
      </c>
      <c r="J1310" s="154" t="s">
        <v>94</v>
      </c>
      <c r="K1310" s="154" t="s">
        <v>60</v>
      </c>
      <c r="L1310" s="154" t="s">
        <v>1897</v>
      </c>
      <c r="M1310" s="154" t="s">
        <v>1388</v>
      </c>
      <c r="N1310" s="154" t="s">
        <v>61</v>
      </c>
      <c r="O1310" s="154" t="s">
        <v>62</v>
      </c>
      <c r="P1310" s="146">
        <v>16536.61</v>
      </c>
      <c r="Q1310" s="146">
        <v>0.31</v>
      </c>
      <c r="R1310" s="154" t="s">
        <v>1384</v>
      </c>
      <c r="S1310" s="154" t="s">
        <v>1899</v>
      </c>
      <c r="T1310" s="155" t="s">
        <v>768</v>
      </c>
      <c r="U1310" s="155" t="s">
        <v>1899</v>
      </c>
      <c r="V1310" s="154" t="s">
        <v>1904</v>
      </c>
      <c r="W1310" s="154">
        <v>0</v>
      </c>
      <c r="X1310" s="154" t="s">
        <v>63</v>
      </c>
      <c r="Y1310" s="154" t="s">
        <v>1386</v>
      </c>
      <c r="Z1310" s="154"/>
      <c r="AA1310" s="154" t="s">
        <v>1387</v>
      </c>
      <c r="AB1310" s="154">
        <v>0</v>
      </c>
      <c r="AC1310" s="138">
        <f>IFERROR(IF(DATEDIF(#REF!,U1310,"m")&lt;=1,1,IF(AND(DATEDIF(#REF!,U1310,"m")&gt;1,DATEDIF(#REF!,U1310,"m")&lt;12),2,IF(AND(DATEDIF(#REF!,U1310,"m")&gt;=12,DATEDIF(#REF!,U1310,"m")&lt;24),3,IF(DATEDIF(#REF!,U1310,"m")&gt;=24,4,"")))),IF(E1310="r0320 - Deposits, not covered and not preferential",1,4))</f>
        <v>4</v>
      </c>
    </row>
    <row r="1311" spans="3:29" ht="36.75" thickBot="1" x14ac:dyDescent="0.3">
      <c r="C1311" s="11">
        <v>999</v>
      </c>
      <c r="D1311" s="154">
        <v>1304</v>
      </c>
      <c r="E1311" s="154" t="s">
        <v>1898</v>
      </c>
      <c r="F1311" s="154" t="s">
        <v>87</v>
      </c>
      <c r="G1311" s="154" t="s">
        <v>1402</v>
      </c>
      <c r="H1311" s="154" t="s">
        <v>430</v>
      </c>
      <c r="I1311" s="154" t="s">
        <v>108</v>
      </c>
      <c r="J1311" s="154" t="s">
        <v>90</v>
      </c>
      <c r="K1311" s="154" t="s">
        <v>91</v>
      </c>
      <c r="L1311" s="154" t="s">
        <v>1897</v>
      </c>
      <c r="M1311" s="154" t="s">
        <v>1383</v>
      </c>
      <c r="N1311" s="154" t="s">
        <v>61</v>
      </c>
      <c r="O1311" s="154" t="s">
        <v>62</v>
      </c>
      <c r="P1311" s="146">
        <v>7.49</v>
      </c>
      <c r="Q1311" s="146">
        <v>0</v>
      </c>
      <c r="R1311" s="154" t="s">
        <v>1384</v>
      </c>
      <c r="S1311" s="154" t="s">
        <v>1899</v>
      </c>
      <c r="T1311" s="155" t="s">
        <v>1899</v>
      </c>
      <c r="U1311" s="155" t="s">
        <v>1899</v>
      </c>
      <c r="V1311" s="154" t="s">
        <v>1562</v>
      </c>
      <c r="W1311" s="154">
        <v>0</v>
      </c>
      <c r="X1311" s="154" t="s">
        <v>63</v>
      </c>
      <c r="Y1311" s="154" t="s">
        <v>1900</v>
      </c>
      <c r="Z1311" s="154"/>
      <c r="AA1311" s="154" t="s">
        <v>1387</v>
      </c>
      <c r="AB1311" s="154">
        <v>0</v>
      </c>
      <c r="AC1311" s="138">
        <f>IFERROR(IF(DATEDIF(#REF!,U1311,"m")&lt;=1,1,IF(AND(DATEDIF(#REF!,U1311,"m")&gt;1,DATEDIF(#REF!,U1311,"m")&lt;12),2,IF(AND(DATEDIF(#REF!,U1311,"m")&gt;=12,DATEDIF(#REF!,U1311,"m")&lt;24),3,IF(DATEDIF(#REF!,U1311,"m")&gt;=24,4,"")))),IF(E1311="r0320 - Deposits, not covered and not preferential",1,4))</f>
        <v>4</v>
      </c>
    </row>
    <row r="1312" spans="3:29" ht="36.75" thickBot="1" x14ac:dyDescent="0.3">
      <c r="C1312" s="11">
        <v>999</v>
      </c>
      <c r="D1312" s="154">
        <v>1305</v>
      </c>
      <c r="E1312" s="154" t="s">
        <v>1898</v>
      </c>
      <c r="F1312" s="154" t="s">
        <v>87</v>
      </c>
      <c r="G1312" s="154" t="s">
        <v>1402</v>
      </c>
      <c r="H1312" s="154" t="s">
        <v>1172</v>
      </c>
      <c r="I1312" s="154" t="s">
        <v>108</v>
      </c>
      <c r="J1312" s="154" t="s">
        <v>90</v>
      </c>
      <c r="K1312" s="154" t="s">
        <v>91</v>
      </c>
      <c r="L1312" s="154" t="s">
        <v>1897</v>
      </c>
      <c r="M1312" s="154" t="s">
        <v>1383</v>
      </c>
      <c r="N1312" s="154" t="s">
        <v>61</v>
      </c>
      <c r="O1312" s="154" t="s">
        <v>62</v>
      </c>
      <c r="P1312" s="146">
        <v>0.56000000000000005</v>
      </c>
      <c r="Q1312" s="146">
        <v>0</v>
      </c>
      <c r="R1312" s="154" t="s">
        <v>1384</v>
      </c>
      <c r="S1312" s="154" t="s">
        <v>1899</v>
      </c>
      <c r="T1312" s="155" t="s">
        <v>1899</v>
      </c>
      <c r="U1312" s="155" t="s">
        <v>1899</v>
      </c>
      <c r="V1312" s="154" t="s">
        <v>1562</v>
      </c>
      <c r="W1312" s="154">
        <v>0</v>
      </c>
      <c r="X1312" s="154" t="s">
        <v>63</v>
      </c>
      <c r="Y1312" s="154" t="s">
        <v>1900</v>
      </c>
      <c r="Z1312" s="154"/>
      <c r="AA1312" s="154" t="s">
        <v>1387</v>
      </c>
      <c r="AB1312" s="154">
        <v>0</v>
      </c>
      <c r="AC1312" s="138">
        <f>IFERROR(IF(DATEDIF(#REF!,U1312,"m")&lt;=1,1,IF(AND(DATEDIF(#REF!,U1312,"m")&gt;1,DATEDIF(#REF!,U1312,"m")&lt;12),2,IF(AND(DATEDIF(#REF!,U1312,"m")&gt;=12,DATEDIF(#REF!,U1312,"m")&lt;24),3,IF(DATEDIF(#REF!,U1312,"m")&gt;=24,4,"")))),IF(E1312="r0320 - Deposits, not covered and not preferential",1,4))</f>
        <v>4</v>
      </c>
    </row>
    <row r="1313" spans="3:29" ht="36.75" thickBot="1" x14ac:dyDescent="0.3">
      <c r="C1313" s="11">
        <v>999</v>
      </c>
      <c r="D1313" s="154">
        <v>1306</v>
      </c>
      <c r="E1313" s="154" t="s">
        <v>1898</v>
      </c>
      <c r="F1313" s="154" t="s">
        <v>87</v>
      </c>
      <c r="G1313" s="154" t="s">
        <v>1402</v>
      </c>
      <c r="H1313" s="154" t="s">
        <v>713</v>
      </c>
      <c r="I1313" s="154" t="s">
        <v>108</v>
      </c>
      <c r="J1313" s="154" t="s">
        <v>90</v>
      </c>
      <c r="K1313" s="154" t="s">
        <v>91</v>
      </c>
      <c r="L1313" s="154" t="s">
        <v>1897</v>
      </c>
      <c r="M1313" s="154" t="s">
        <v>1383</v>
      </c>
      <c r="N1313" s="154" t="s">
        <v>61</v>
      </c>
      <c r="O1313" s="154" t="s">
        <v>62</v>
      </c>
      <c r="P1313" s="146">
        <v>0.51</v>
      </c>
      <c r="Q1313" s="146">
        <v>0</v>
      </c>
      <c r="R1313" s="154" t="s">
        <v>1384</v>
      </c>
      <c r="S1313" s="154" t="s">
        <v>1899</v>
      </c>
      <c r="T1313" s="155" t="s">
        <v>1899</v>
      </c>
      <c r="U1313" s="155" t="s">
        <v>1899</v>
      </c>
      <c r="V1313" s="154" t="s">
        <v>1562</v>
      </c>
      <c r="W1313" s="154">
        <v>0</v>
      </c>
      <c r="X1313" s="154" t="s">
        <v>63</v>
      </c>
      <c r="Y1313" s="154" t="s">
        <v>1900</v>
      </c>
      <c r="Z1313" s="154"/>
      <c r="AA1313" s="154" t="s">
        <v>1387</v>
      </c>
      <c r="AB1313" s="154">
        <v>0</v>
      </c>
      <c r="AC1313" s="138">
        <f>IFERROR(IF(DATEDIF(#REF!,U1313,"m")&lt;=1,1,IF(AND(DATEDIF(#REF!,U1313,"m")&gt;1,DATEDIF(#REF!,U1313,"m")&lt;12),2,IF(AND(DATEDIF(#REF!,U1313,"m")&gt;=12,DATEDIF(#REF!,U1313,"m")&lt;24),3,IF(DATEDIF(#REF!,U1313,"m")&gt;=24,4,"")))),IF(E1313="r0320 - Deposits, not covered and not preferential",1,4))</f>
        <v>4</v>
      </c>
    </row>
    <row r="1314" spans="3:29" ht="36.75" thickBot="1" x14ac:dyDescent="0.3">
      <c r="C1314" s="11">
        <v>999</v>
      </c>
      <c r="D1314" s="154">
        <v>1307</v>
      </c>
      <c r="E1314" s="154" t="s">
        <v>1895</v>
      </c>
      <c r="F1314" s="154" t="s">
        <v>87</v>
      </c>
      <c r="G1314" s="154" t="s">
        <v>1896</v>
      </c>
      <c r="H1314" s="154" t="s">
        <v>57</v>
      </c>
      <c r="I1314" s="154" t="s">
        <v>96</v>
      </c>
      <c r="J1314" s="154" t="s">
        <v>97</v>
      </c>
      <c r="K1314" s="154" t="s">
        <v>91</v>
      </c>
      <c r="L1314" s="154" t="s">
        <v>1897</v>
      </c>
      <c r="M1314" s="154" t="s">
        <v>1383</v>
      </c>
      <c r="N1314" s="154" t="s">
        <v>61</v>
      </c>
      <c r="O1314" s="154" t="s">
        <v>62</v>
      </c>
      <c r="P1314" s="146">
        <v>2399948.5</v>
      </c>
      <c r="Q1314" s="146">
        <v>0</v>
      </c>
      <c r="R1314" s="154" t="s">
        <v>1384</v>
      </c>
      <c r="S1314" s="154" t="s">
        <v>1385</v>
      </c>
      <c r="T1314" s="155">
        <v>44564</v>
      </c>
      <c r="U1314" s="155">
        <v>44564</v>
      </c>
      <c r="V1314" s="154" t="s">
        <v>1562</v>
      </c>
      <c r="W1314" s="154">
        <v>0</v>
      </c>
      <c r="X1314" s="154" t="s">
        <v>63</v>
      </c>
      <c r="Y1314" s="154" t="s">
        <v>1386</v>
      </c>
      <c r="Z1314" s="154"/>
      <c r="AA1314" s="154" t="s">
        <v>1387</v>
      </c>
      <c r="AB1314" s="154">
        <v>0</v>
      </c>
      <c r="AC1314" s="138">
        <f>IFERROR(IF(DATEDIF(#REF!,U1314,"m")&lt;=1,1,IF(AND(DATEDIF(#REF!,U1314,"m")&gt;1,DATEDIF(#REF!,U1314,"m")&lt;12),2,IF(AND(DATEDIF(#REF!,U1314,"m")&gt;=12,DATEDIF(#REF!,U1314,"m")&lt;24),3,IF(DATEDIF(#REF!,U1314,"m")&gt;=24,4,"")))),IF(E1314="r0320 - Deposits, not covered and not preferential",1,4))</f>
        <v>1</v>
      </c>
    </row>
    <row r="1315" spans="3:29" ht="36.75" thickBot="1" x14ac:dyDescent="0.3">
      <c r="C1315" s="11">
        <v>999</v>
      </c>
      <c r="D1315" s="154">
        <v>1308</v>
      </c>
      <c r="E1315" s="154" t="s">
        <v>1898</v>
      </c>
      <c r="F1315" s="154" t="s">
        <v>87</v>
      </c>
      <c r="G1315" s="154" t="s">
        <v>1402</v>
      </c>
      <c r="H1315" s="154" t="s">
        <v>685</v>
      </c>
      <c r="I1315" s="154" t="s">
        <v>108</v>
      </c>
      <c r="J1315" s="154" t="s">
        <v>90</v>
      </c>
      <c r="K1315" s="154" t="s">
        <v>91</v>
      </c>
      <c r="L1315" s="154" t="s">
        <v>1897</v>
      </c>
      <c r="M1315" s="154" t="s">
        <v>1383</v>
      </c>
      <c r="N1315" s="154" t="s">
        <v>61</v>
      </c>
      <c r="O1315" s="154" t="s">
        <v>62</v>
      </c>
      <c r="P1315" s="146">
        <v>0.95</v>
      </c>
      <c r="Q1315" s="146">
        <v>0</v>
      </c>
      <c r="R1315" s="154" t="s">
        <v>1384</v>
      </c>
      <c r="S1315" s="154" t="s">
        <v>1899</v>
      </c>
      <c r="T1315" s="155" t="s">
        <v>1899</v>
      </c>
      <c r="U1315" s="155" t="s">
        <v>1899</v>
      </c>
      <c r="V1315" s="154" t="s">
        <v>1562</v>
      </c>
      <c r="W1315" s="154">
        <v>0</v>
      </c>
      <c r="X1315" s="154" t="s">
        <v>63</v>
      </c>
      <c r="Y1315" s="154" t="s">
        <v>1900</v>
      </c>
      <c r="Z1315" s="154"/>
      <c r="AA1315" s="154" t="s">
        <v>1387</v>
      </c>
      <c r="AB1315" s="154">
        <v>0</v>
      </c>
      <c r="AC1315" s="138">
        <f>IFERROR(IF(DATEDIF(#REF!,U1315,"m")&lt;=1,1,IF(AND(DATEDIF(#REF!,U1315,"m")&gt;1,DATEDIF(#REF!,U1315,"m")&lt;12),2,IF(AND(DATEDIF(#REF!,U1315,"m")&gt;=12,DATEDIF(#REF!,U1315,"m")&lt;24),3,IF(DATEDIF(#REF!,U1315,"m")&gt;=24,4,"")))),IF(E1315="r0320 - Deposits, not covered and not preferential",1,4))</f>
        <v>4</v>
      </c>
    </row>
    <row r="1316" spans="3:29" ht="36.75" thickBot="1" x14ac:dyDescent="0.3">
      <c r="C1316" s="11">
        <v>999</v>
      </c>
      <c r="D1316" s="154">
        <v>1309</v>
      </c>
      <c r="E1316" s="154" t="s">
        <v>1898</v>
      </c>
      <c r="F1316" s="154" t="s">
        <v>87</v>
      </c>
      <c r="G1316" s="154" t="s">
        <v>1402</v>
      </c>
      <c r="H1316" s="154" t="s">
        <v>1175</v>
      </c>
      <c r="I1316" s="154" t="s">
        <v>108</v>
      </c>
      <c r="J1316" s="154" t="s">
        <v>90</v>
      </c>
      <c r="K1316" s="154" t="s">
        <v>91</v>
      </c>
      <c r="L1316" s="154" t="s">
        <v>1897</v>
      </c>
      <c r="M1316" s="154" t="s">
        <v>1383</v>
      </c>
      <c r="N1316" s="154" t="s">
        <v>61</v>
      </c>
      <c r="O1316" s="154" t="s">
        <v>62</v>
      </c>
      <c r="P1316" s="146">
        <v>0.8</v>
      </c>
      <c r="Q1316" s="146">
        <v>0</v>
      </c>
      <c r="R1316" s="154" t="s">
        <v>1384</v>
      </c>
      <c r="S1316" s="154" t="s">
        <v>1899</v>
      </c>
      <c r="T1316" s="155" t="s">
        <v>1899</v>
      </c>
      <c r="U1316" s="155" t="s">
        <v>1899</v>
      </c>
      <c r="V1316" s="154" t="s">
        <v>1562</v>
      </c>
      <c r="W1316" s="154">
        <v>0</v>
      </c>
      <c r="X1316" s="154" t="s">
        <v>63</v>
      </c>
      <c r="Y1316" s="154" t="s">
        <v>1900</v>
      </c>
      <c r="Z1316" s="154"/>
      <c r="AA1316" s="154" t="s">
        <v>1387</v>
      </c>
      <c r="AB1316" s="154">
        <v>0</v>
      </c>
      <c r="AC1316" s="138">
        <f>IFERROR(IF(DATEDIF(#REF!,U1316,"m")&lt;=1,1,IF(AND(DATEDIF(#REF!,U1316,"m")&gt;1,DATEDIF(#REF!,U1316,"m")&lt;12),2,IF(AND(DATEDIF(#REF!,U1316,"m")&gt;=12,DATEDIF(#REF!,U1316,"m")&lt;24),3,IF(DATEDIF(#REF!,U1316,"m")&gt;=24,4,"")))),IF(E1316="r0320 - Deposits, not covered and not preferential",1,4))</f>
        <v>4</v>
      </c>
    </row>
    <row r="1317" spans="3:29" ht="36.75" thickBot="1" x14ac:dyDescent="0.3">
      <c r="C1317" s="11">
        <v>999</v>
      </c>
      <c r="D1317" s="154">
        <v>1310</v>
      </c>
      <c r="E1317" s="154" t="s">
        <v>1898</v>
      </c>
      <c r="F1317" s="154" t="s">
        <v>87</v>
      </c>
      <c r="G1317" s="154" t="s">
        <v>1402</v>
      </c>
      <c r="H1317" s="154" t="s">
        <v>728</v>
      </c>
      <c r="I1317" s="154" t="s">
        <v>108</v>
      </c>
      <c r="J1317" s="154" t="s">
        <v>90</v>
      </c>
      <c r="K1317" s="154" t="s">
        <v>91</v>
      </c>
      <c r="L1317" s="154" t="s">
        <v>1897</v>
      </c>
      <c r="M1317" s="154" t="s">
        <v>1383</v>
      </c>
      <c r="N1317" s="154" t="s">
        <v>61</v>
      </c>
      <c r="O1317" s="154" t="s">
        <v>62</v>
      </c>
      <c r="P1317" s="146">
        <v>0.06</v>
      </c>
      <c r="Q1317" s="146">
        <v>0</v>
      </c>
      <c r="R1317" s="154" t="s">
        <v>1384</v>
      </c>
      <c r="S1317" s="154" t="s">
        <v>1899</v>
      </c>
      <c r="T1317" s="155" t="s">
        <v>1899</v>
      </c>
      <c r="U1317" s="155" t="s">
        <v>1899</v>
      </c>
      <c r="V1317" s="154" t="s">
        <v>1562</v>
      </c>
      <c r="W1317" s="154">
        <v>0</v>
      </c>
      <c r="X1317" s="154" t="s">
        <v>63</v>
      </c>
      <c r="Y1317" s="154" t="s">
        <v>1900</v>
      </c>
      <c r="Z1317" s="154"/>
      <c r="AA1317" s="154" t="s">
        <v>1387</v>
      </c>
      <c r="AB1317" s="154">
        <v>0</v>
      </c>
      <c r="AC1317" s="138">
        <f>IFERROR(IF(DATEDIF(#REF!,U1317,"m")&lt;=1,1,IF(AND(DATEDIF(#REF!,U1317,"m")&gt;1,DATEDIF(#REF!,U1317,"m")&lt;12),2,IF(AND(DATEDIF(#REF!,U1317,"m")&gt;=12,DATEDIF(#REF!,U1317,"m")&lt;24),3,IF(DATEDIF(#REF!,U1317,"m")&gt;=24,4,"")))),IF(E1317="r0320 - Deposits, not covered and not preferential",1,4))</f>
        <v>4</v>
      </c>
    </row>
    <row r="1318" spans="3:29" ht="48.75" thickBot="1" x14ac:dyDescent="0.3">
      <c r="C1318" s="11">
        <v>999</v>
      </c>
      <c r="D1318" s="154">
        <v>1311</v>
      </c>
      <c r="E1318" s="154" t="s">
        <v>1902</v>
      </c>
      <c r="F1318" s="154" t="s">
        <v>83</v>
      </c>
      <c r="G1318" s="154" t="s">
        <v>1903</v>
      </c>
      <c r="H1318" s="154" t="s">
        <v>424</v>
      </c>
      <c r="I1318" s="154" t="s">
        <v>114</v>
      </c>
      <c r="J1318" s="154" t="s">
        <v>115</v>
      </c>
      <c r="K1318" s="154" t="s">
        <v>60</v>
      </c>
      <c r="L1318" s="154" t="s">
        <v>1897</v>
      </c>
      <c r="M1318" s="154" t="s">
        <v>1388</v>
      </c>
      <c r="N1318" s="154" t="s">
        <v>61</v>
      </c>
      <c r="O1318" s="154" t="s">
        <v>62</v>
      </c>
      <c r="P1318" s="146">
        <v>30248.97</v>
      </c>
      <c r="Q1318" s="146">
        <v>25.31</v>
      </c>
      <c r="R1318" s="154" t="s">
        <v>1384</v>
      </c>
      <c r="S1318" s="154" t="s">
        <v>1899</v>
      </c>
      <c r="T1318" s="155" t="s">
        <v>768</v>
      </c>
      <c r="U1318" s="155" t="s">
        <v>1899</v>
      </c>
      <c r="V1318" s="154" t="s">
        <v>1904</v>
      </c>
      <c r="W1318" s="154">
        <v>0</v>
      </c>
      <c r="X1318" s="154" t="s">
        <v>63</v>
      </c>
      <c r="Y1318" s="154" t="s">
        <v>1386</v>
      </c>
      <c r="Z1318" s="154"/>
      <c r="AA1318" s="154" t="s">
        <v>1387</v>
      </c>
      <c r="AB1318" s="154">
        <v>0</v>
      </c>
      <c r="AC1318" s="138">
        <f>IFERROR(IF(DATEDIF(#REF!,U1318,"m")&lt;=1,1,IF(AND(DATEDIF(#REF!,U1318,"m")&gt;1,DATEDIF(#REF!,U1318,"m")&lt;12),2,IF(AND(DATEDIF(#REF!,U1318,"m")&gt;=12,DATEDIF(#REF!,U1318,"m")&lt;24),3,IF(DATEDIF(#REF!,U1318,"m")&gt;=24,4,"")))),IF(E1318="r0320 - Deposits, not covered and not preferential",1,4))</f>
        <v>4</v>
      </c>
    </row>
    <row r="1319" spans="3:29" ht="36.75" thickBot="1" x14ac:dyDescent="0.3">
      <c r="C1319" s="11">
        <v>999</v>
      </c>
      <c r="D1319" s="154">
        <v>1312</v>
      </c>
      <c r="E1319" s="154" t="s">
        <v>1898</v>
      </c>
      <c r="F1319" s="154" t="s">
        <v>87</v>
      </c>
      <c r="G1319" s="154" t="s">
        <v>1402</v>
      </c>
      <c r="H1319" s="154" t="s">
        <v>707</v>
      </c>
      <c r="I1319" s="154" t="s">
        <v>108</v>
      </c>
      <c r="J1319" s="154" t="s">
        <v>90</v>
      </c>
      <c r="K1319" s="154" t="s">
        <v>91</v>
      </c>
      <c r="L1319" s="154" t="s">
        <v>1897</v>
      </c>
      <c r="M1319" s="154" t="s">
        <v>1383</v>
      </c>
      <c r="N1319" s="154" t="s">
        <v>61</v>
      </c>
      <c r="O1319" s="154" t="s">
        <v>62</v>
      </c>
      <c r="P1319" s="146">
        <v>2.08</v>
      </c>
      <c r="Q1319" s="146">
        <v>0</v>
      </c>
      <c r="R1319" s="154" t="s">
        <v>1384</v>
      </c>
      <c r="S1319" s="154" t="s">
        <v>1899</v>
      </c>
      <c r="T1319" s="155" t="s">
        <v>1899</v>
      </c>
      <c r="U1319" s="155" t="s">
        <v>1899</v>
      </c>
      <c r="V1319" s="154" t="s">
        <v>1562</v>
      </c>
      <c r="W1319" s="154">
        <v>0</v>
      </c>
      <c r="X1319" s="154" t="s">
        <v>63</v>
      </c>
      <c r="Y1319" s="154" t="s">
        <v>1900</v>
      </c>
      <c r="Z1319" s="154"/>
      <c r="AA1319" s="154" t="s">
        <v>1387</v>
      </c>
      <c r="AB1319" s="154">
        <v>0</v>
      </c>
      <c r="AC1319" s="138">
        <f>IFERROR(IF(DATEDIF(#REF!,U1319,"m")&lt;=1,1,IF(AND(DATEDIF(#REF!,U1319,"m")&gt;1,DATEDIF(#REF!,U1319,"m")&lt;12),2,IF(AND(DATEDIF(#REF!,U1319,"m")&gt;=12,DATEDIF(#REF!,U1319,"m")&lt;24),3,IF(DATEDIF(#REF!,U1319,"m")&gt;=24,4,"")))),IF(E1319="r0320 - Deposits, not covered and not preferential",1,4))</f>
        <v>4</v>
      </c>
    </row>
    <row r="1320" spans="3:29" ht="36.75" thickBot="1" x14ac:dyDescent="0.3">
      <c r="C1320" s="11">
        <v>999</v>
      </c>
      <c r="D1320" s="154">
        <v>1313</v>
      </c>
      <c r="E1320" s="154" t="s">
        <v>1898</v>
      </c>
      <c r="F1320" s="154" t="s">
        <v>87</v>
      </c>
      <c r="G1320" s="154" t="s">
        <v>1402</v>
      </c>
      <c r="H1320" s="154" t="s">
        <v>1179</v>
      </c>
      <c r="I1320" s="154" t="s">
        <v>108</v>
      </c>
      <c r="J1320" s="154" t="s">
        <v>90</v>
      </c>
      <c r="K1320" s="154" t="s">
        <v>91</v>
      </c>
      <c r="L1320" s="154" t="s">
        <v>1897</v>
      </c>
      <c r="M1320" s="154" t="s">
        <v>1383</v>
      </c>
      <c r="N1320" s="154" t="s">
        <v>61</v>
      </c>
      <c r="O1320" s="154" t="s">
        <v>62</v>
      </c>
      <c r="P1320" s="146">
        <v>11.87</v>
      </c>
      <c r="Q1320" s="146">
        <v>0</v>
      </c>
      <c r="R1320" s="154" t="s">
        <v>1384</v>
      </c>
      <c r="S1320" s="154" t="s">
        <v>1899</v>
      </c>
      <c r="T1320" s="155" t="s">
        <v>1899</v>
      </c>
      <c r="U1320" s="155" t="s">
        <v>1899</v>
      </c>
      <c r="V1320" s="154" t="s">
        <v>1562</v>
      </c>
      <c r="W1320" s="154">
        <v>0</v>
      </c>
      <c r="X1320" s="154" t="s">
        <v>63</v>
      </c>
      <c r="Y1320" s="154" t="s">
        <v>1900</v>
      </c>
      <c r="Z1320" s="154"/>
      <c r="AA1320" s="154" t="s">
        <v>1387</v>
      </c>
      <c r="AB1320" s="154">
        <v>0</v>
      </c>
      <c r="AC1320" s="138">
        <f>IFERROR(IF(DATEDIF(#REF!,U1320,"m")&lt;=1,1,IF(AND(DATEDIF(#REF!,U1320,"m")&gt;1,DATEDIF(#REF!,U1320,"m")&lt;12),2,IF(AND(DATEDIF(#REF!,U1320,"m")&gt;=12,DATEDIF(#REF!,U1320,"m")&lt;24),3,IF(DATEDIF(#REF!,U1320,"m")&gt;=24,4,"")))),IF(E1320="r0320 - Deposits, not covered and not preferential",1,4))</f>
        <v>4</v>
      </c>
    </row>
    <row r="1321" spans="3:29" ht="48.75" thickBot="1" x14ac:dyDescent="0.3">
      <c r="C1321" s="11">
        <v>999</v>
      </c>
      <c r="D1321" s="154">
        <v>1314</v>
      </c>
      <c r="E1321" s="154" t="s">
        <v>1902</v>
      </c>
      <c r="F1321" s="154" t="s">
        <v>83</v>
      </c>
      <c r="G1321" s="154" t="s">
        <v>1903</v>
      </c>
      <c r="H1321" s="154" t="s">
        <v>432</v>
      </c>
      <c r="I1321" s="154" t="s">
        <v>101</v>
      </c>
      <c r="J1321" s="154" t="s">
        <v>102</v>
      </c>
      <c r="K1321" s="154" t="s">
        <v>60</v>
      </c>
      <c r="L1321" s="154" t="s">
        <v>1897</v>
      </c>
      <c r="M1321" s="154" t="s">
        <v>1388</v>
      </c>
      <c r="N1321" s="154" t="s">
        <v>61</v>
      </c>
      <c r="O1321" s="154" t="s">
        <v>62</v>
      </c>
      <c r="P1321" s="146">
        <v>308100.23</v>
      </c>
      <c r="Q1321" s="146">
        <v>117.39</v>
      </c>
      <c r="R1321" s="154" t="s">
        <v>1384</v>
      </c>
      <c r="S1321" s="154" t="s">
        <v>1899</v>
      </c>
      <c r="T1321" s="155" t="s">
        <v>768</v>
      </c>
      <c r="U1321" s="155" t="s">
        <v>1899</v>
      </c>
      <c r="V1321" s="154" t="s">
        <v>1904</v>
      </c>
      <c r="W1321" s="154">
        <v>0</v>
      </c>
      <c r="X1321" s="154" t="s">
        <v>63</v>
      </c>
      <c r="Y1321" s="154" t="s">
        <v>1386</v>
      </c>
      <c r="Z1321" s="154"/>
      <c r="AA1321" s="154" t="s">
        <v>1387</v>
      </c>
      <c r="AB1321" s="154">
        <v>0</v>
      </c>
      <c r="AC1321" s="138">
        <f>IFERROR(IF(DATEDIF(#REF!,U1321,"m")&lt;=1,1,IF(AND(DATEDIF(#REF!,U1321,"m")&gt;1,DATEDIF(#REF!,U1321,"m")&lt;12),2,IF(AND(DATEDIF(#REF!,U1321,"m")&gt;=12,DATEDIF(#REF!,U1321,"m")&lt;24),3,IF(DATEDIF(#REF!,U1321,"m")&gt;=24,4,"")))),IF(E1321="r0320 - Deposits, not covered and not preferential",1,4))</f>
        <v>4</v>
      </c>
    </row>
    <row r="1322" spans="3:29" ht="48.75" thickBot="1" x14ac:dyDescent="0.3">
      <c r="C1322" s="11">
        <v>999</v>
      </c>
      <c r="D1322" s="154">
        <v>1315</v>
      </c>
      <c r="E1322" s="154" t="s">
        <v>1902</v>
      </c>
      <c r="F1322" s="154" t="s">
        <v>83</v>
      </c>
      <c r="G1322" s="154" t="s">
        <v>1903</v>
      </c>
      <c r="H1322" s="154" t="s">
        <v>678</v>
      </c>
      <c r="I1322" s="154" t="s">
        <v>114</v>
      </c>
      <c r="J1322" s="154" t="s">
        <v>115</v>
      </c>
      <c r="K1322" s="154" t="s">
        <v>60</v>
      </c>
      <c r="L1322" s="154" t="s">
        <v>1897</v>
      </c>
      <c r="M1322" s="154" t="s">
        <v>1388</v>
      </c>
      <c r="N1322" s="154" t="s">
        <v>61</v>
      </c>
      <c r="O1322" s="154" t="s">
        <v>62</v>
      </c>
      <c r="P1322" s="146">
        <v>147964.18</v>
      </c>
      <c r="Q1322" s="146">
        <v>-22.64</v>
      </c>
      <c r="R1322" s="154" t="s">
        <v>1384</v>
      </c>
      <c r="S1322" s="154" t="s">
        <v>1899</v>
      </c>
      <c r="T1322" s="155" t="s">
        <v>768</v>
      </c>
      <c r="U1322" s="155" t="s">
        <v>1899</v>
      </c>
      <c r="V1322" s="154" t="s">
        <v>1904</v>
      </c>
      <c r="W1322" s="154">
        <v>0</v>
      </c>
      <c r="X1322" s="154" t="s">
        <v>63</v>
      </c>
      <c r="Y1322" s="154" t="s">
        <v>1386</v>
      </c>
      <c r="Z1322" s="154"/>
      <c r="AA1322" s="154" t="s">
        <v>1387</v>
      </c>
      <c r="AB1322" s="154">
        <v>0</v>
      </c>
      <c r="AC1322" s="138">
        <f>IFERROR(IF(DATEDIF(#REF!,U1322,"m")&lt;=1,1,IF(AND(DATEDIF(#REF!,U1322,"m")&gt;1,DATEDIF(#REF!,U1322,"m")&lt;12),2,IF(AND(DATEDIF(#REF!,U1322,"m")&gt;=12,DATEDIF(#REF!,U1322,"m")&lt;24),3,IF(DATEDIF(#REF!,U1322,"m")&gt;=24,4,"")))),IF(E1322="r0320 - Deposits, not covered and not preferential",1,4))</f>
        <v>4</v>
      </c>
    </row>
    <row r="1323" spans="3:29" ht="36.75" thickBot="1" x14ac:dyDescent="0.3">
      <c r="C1323" s="11">
        <v>999</v>
      </c>
      <c r="D1323" s="154">
        <v>1316</v>
      </c>
      <c r="E1323" s="154" t="s">
        <v>1898</v>
      </c>
      <c r="F1323" s="154" t="s">
        <v>87</v>
      </c>
      <c r="G1323" s="154" t="s">
        <v>1402</v>
      </c>
      <c r="H1323" s="154" t="s">
        <v>1168</v>
      </c>
      <c r="I1323" s="154" t="s">
        <v>108</v>
      </c>
      <c r="J1323" s="154" t="s">
        <v>90</v>
      </c>
      <c r="K1323" s="154" t="s">
        <v>91</v>
      </c>
      <c r="L1323" s="154" t="s">
        <v>1897</v>
      </c>
      <c r="M1323" s="154" t="s">
        <v>1383</v>
      </c>
      <c r="N1323" s="154" t="s">
        <v>61</v>
      </c>
      <c r="O1323" s="154" t="s">
        <v>62</v>
      </c>
      <c r="P1323" s="146">
        <v>1.91</v>
      </c>
      <c r="Q1323" s="146">
        <v>0</v>
      </c>
      <c r="R1323" s="154" t="s">
        <v>1384</v>
      </c>
      <c r="S1323" s="154" t="s">
        <v>1899</v>
      </c>
      <c r="T1323" s="155" t="s">
        <v>1899</v>
      </c>
      <c r="U1323" s="155" t="s">
        <v>1899</v>
      </c>
      <c r="V1323" s="154" t="s">
        <v>1562</v>
      </c>
      <c r="W1323" s="154">
        <v>0</v>
      </c>
      <c r="X1323" s="154" t="s">
        <v>63</v>
      </c>
      <c r="Y1323" s="154" t="s">
        <v>1900</v>
      </c>
      <c r="Z1323" s="154"/>
      <c r="AA1323" s="154" t="s">
        <v>1387</v>
      </c>
      <c r="AB1323" s="154">
        <v>0</v>
      </c>
      <c r="AC1323" s="138">
        <f>IFERROR(IF(DATEDIF(#REF!,U1323,"m")&lt;=1,1,IF(AND(DATEDIF(#REF!,U1323,"m")&gt;1,DATEDIF(#REF!,U1323,"m")&lt;12),2,IF(AND(DATEDIF(#REF!,U1323,"m")&gt;=12,DATEDIF(#REF!,U1323,"m")&lt;24),3,IF(DATEDIF(#REF!,U1323,"m")&gt;=24,4,"")))),IF(E1323="r0320 - Deposits, not covered and not preferential",1,4))</f>
        <v>4</v>
      </c>
    </row>
    <row r="1324" spans="3:29" ht="36.75" thickBot="1" x14ac:dyDescent="0.3">
      <c r="C1324" s="11">
        <v>999</v>
      </c>
      <c r="D1324" s="154">
        <v>1317</v>
      </c>
      <c r="E1324" s="154" t="s">
        <v>1898</v>
      </c>
      <c r="F1324" s="154" t="s">
        <v>87</v>
      </c>
      <c r="G1324" s="154" t="s">
        <v>1402</v>
      </c>
      <c r="H1324" s="154" t="s">
        <v>1182</v>
      </c>
      <c r="I1324" s="154" t="s">
        <v>108</v>
      </c>
      <c r="J1324" s="154" t="s">
        <v>90</v>
      </c>
      <c r="K1324" s="154" t="s">
        <v>91</v>
      </c>
      <c r="L1324" s="154" t="s">
        <v>1897</v>
      </c>
      <c r="M1324" s="154" t="s">
        <v>1383</v>
      </c>
      <c r="N1324" s="154" t="s">
        <v>61</v>
      </c>
      <c r="O1324" s="154" t="s">
        <v>62</v>
      </c>
      <c r="P1324" s="146">
        <v>1.05</v>
      </c>
      <c r="Q1324" s="146">
        <v>0</v>
      </c>
      <c r="R1324" s="154" t="s">
        <v>1384</v>
      </c>
      <c r="S1324" s="154" t="s">
        <v>1899</v>
      </c>
      <c r="T1324" s="155" t="s">
        <v>1899</v>
      </c>
      <c r="U1324" s="155" t="s">
        <v>1899</v>
      </c>
      <c r="V1324" s="154" t="s">
        <v>1562</v>
      </c>
      <c r="W1324" s="154">
        <v>0</v>
      </c>
      <c r="X1324" s="154" t="s">
        <v>63</v>
      </c>
      <c r="Y1324" s="154" t="s">
        <v>1900</v>
      </c>
      <c r="Z1324" s="154"/>
      <c r="AA1324" s="154" t="s">
        <v>1387</v>
      </c>
      <c r="AB1324" s="154">
        <v>0</v>
      </c>
      <c r="AC1324" s="138">
        <f>IFERROR(IF(DATEDIF(#REF!,U1324,"m")&lt;=1,1,IF(AND(DATEDIF(#REF!,U1324,"m")&gt;1,DATEDIF(#REF!,U1324,"m")&lt;12),2,IF(AND(DATEDIF(#REF!,U1324,"m")&gt;=12,DATEDIF(#REF!,U1324,"m")&lt;24),3,IF(DATEDIF(#REF!,U1324,"m")&gt;=24,4,"")))),IF(E1324="r0320 - Deposits, not covered and not preferential",1,4))</f>
        <v>4</v>
      </c>
    </row>
    <row r="1325" spans="3:29" ht="48.75" thickBot="1" x14ac:dyDescent="0.3">
      <c r="C1325" s="11">
        <v>999</v>
      </c>
      <c r="D1325" s="154">
        <v>1318</v>
      </c>
      <c r="E1325" s="154" t="s">
        <v>1902</v>
      </c>
      <c r="F1325" s="154" t="s">
        <v>83</v>
      </c>
      <c r="G1325" s="154" t="s">
        <v>1903</v>
      </c>
      <c r="H1325" s="154" t="s">
        <v>743</v>
      </c>
      <c r="I1325" s="154" t="s">
        <v>101</v>
      </c>
      <c r="J1325" s="154" t="s">
        <v>102</v>
      </c>
      <c r="K1325" s="154" t="s">
        <v>60</v>
      </c>
      <c r="L1325" s="154" t="s">
        <v>1897</v>
      </c>
      <c r="M1325" s="154" t="s">
        <v>1388</v>
      </c>
      <c r="N1325" s="154" t="s">
        <v>61</v>
      </c>
      <c r="O1325" s="154" t="s">
        <v>62</v>
      </c>
      <c r="P1325" s="146">
        <v>333535.53000000003</v>
      </c>
      <c r="Q1325" s="146">
        <v>251.72</v>
      </c>
      <c r="R1325" s="154" t="s">
        <v>1384</v>
      </c>
      <c r="S1325" s="154" t="s">
        <v>1899</v>
      </c>
      <c r="T1325" s="155" t="s">
        <v>768</v>
      </c>
      <c r="U1325" s="155" t="s">
        <v>1899</v>
      </c>
      <c r="V1325" s="154" t="s">
        <v>1904</v>
      </c>
      <c r="W1325" s="154">
        <v>0</v>
      </c>
      <c r="X1325" s="154" t="s">
        <v>63</v>
      </c>
      <c r="Y1325" s="154" t="s">
        <v>1386</v>
      </c>
      <c r="Z1325" s="154"/>
      <c r="AA1325" s="154" t="s">
        <v>1387</v>
      </c>
      <c r="AB1325" s="154">
        <v>0</v>
      </c>
      <c r="AC1325" s="138">
        <f>IFERROR(IF(DATEDIF(#REF!,U1325,"m")&lt;=1,1,IF(AND(DATEDIF(#REF!,U1325,"m")&gt;1,DATEDIF(#REF!,U1325,"m")&lt;12),2,IF(AND(DATEDIF(#REF!,U1325,"m")&gt;=12,DATEDIF(#REF!,U1325,"m")&lt;24),3,IF(DATEDIF(#REF!,U1325,"m")&gt;=24,4,"")))),IF(E1325="r0320 - Deposits, not covered and not preferential",1,4))</f>
        <v>4</v>
      </c>
    </row>
    <row r="1326" spans="3:29" ht="48.75" thickBot="1" x14ac:dyDescent="0.3">
      <c r="C1326" s="11">
        <v>999</v>
      </c>
      <c r="D1326" s="154">
        <v>1319</v>
      </c>
      <c r="E1326" s="154" t="s">
        <v>1902</v>
      </c>
      <c r="F1326" s="154" t="s">
        <v>83</v>
      </c>
      <c r="G1326" s="154" t="s">
        <v>1903</v>
      </c>
      <c r="H1326" s="154" t="s">
        <v>1153</v>
      </c>
      <c r="I1326" s="154" t="s">
        <v>114</v>
      </c>
      <c r="J1326" s="154" t="s">
        <v>115</v>
      </c>
      <c r="K1326" s="154" t="s">
        <v>60</v>
      </c>
      <c r="L1326" s="154" t="s">
        <v>1897</v>
      </c>
      <c r="M1326" s="154" t="s">
        <v>1388</v>
      </c>
      <c r="N1326" s="154" t="s">
        <v>61</v>
      </c>
      <c r="O1326" s="154" t="s">
        <v>62</v>
      </c>
      <c r="P1326" s="146">
        <v>63913.08</v>
      </c>
      <c r="Q1326" s="146">
        <v>9.86</v>
      </c>
      <c r="R1326" s="154" t="s">
        <v>1384</v>
      </c>
      <c r="S1326" s="154" t="s">
        <v>1899</v>
      </c>
      <c r="T1326" s="155" t="s">
        <v>768</v>
      </c>
      <c r="U1326" s="155" t="s">
        <v>1899</v>
      </c>
      <c r="V1326" s="154" t="s">
        <v>1904</v>
      </c>
      <c r="W1326" s="154">
        <v>0</v>
      </c>
      <c r="X1326" s="154" t="s">
        <v>63</v>
      </c>
      <c r="Y1326" s="154" t="s">
        <v>1386</v>
      </c>
      <c r="Z1326" s="154"/>
      <c r="AA1326" s="154" t="s">
        <v>1387</v>
      </c>
      <c r="AB1326" s="154">
        <v>0</v>
      </c>
      <c r="AC1326" s="138">
        <f>IFERROR(IF(DATEDIF(#REF!,U1326,"m")&lt;=1,1,IF(AND(DATEDIF(#REF!,U1326,"m")&gt;1,DATEDIF(#REF!,U1326,"m")&lt;12),2,IF(AND(DATEDIF(#REF!,U1326,"m")&gt;=12,DATEDIF(#REF!,U1326,"m")&lt;24),3,IF(DATEDIF(#REF!,U1326,"m")&gt;=24,4,"")))),IF(E1326="r0320 - Deposits, not covered and not preferential",1,4))</f>
        <v>4</v>
      </c>
    </row>
    <row r="1327" spans="3:29" ht="36.75" thickBot="1" x14ac:dyDescent="0.3">
      <c r="C1327" s="11">
        <v>999</v>
      </c>
      <c r="D1327" s="154">
        <v>1320</v>
      </c>
      <c r="E1327" s="154" t="s">
        <v>1898</v>
      </c>
      <c r="F1327" s="154" t="s">
        <v>87</v>
      </c>
      <c r="G1327" s="154" t="s">
        <v>1402</v>
      </c>
      <c r="H1327" s="154" t="s">
        <v>269</v>
      </c>
      <c r="I1327" s="154" t="s">
        <v>108</v>
      </c>
      <c r="J1327" s="154" t="s">
        <v>90</v>
      </c>
      <c r="K1327" s="154" t="s">
        <v>91</v>
      </c>
      <c r="L1327" s="154" t="s">
        <v>1897</v>
      </c>
      <c r="M1327" s="154" t="s">
        <v>1383</v>
      </c>
      <c r="N1327" s="154" t="s">
        <v>61</v>
      </c>
      <c r="O1327" s="154" t="s">
        <v>62</v>
      </c>
      <c r="P1327" s="146">
        <v>26.26</v>
      </c>
      <c r="Q1327" s="146">
        <v>0</v>
      </c>
      <c r="R1327" s="154" t="s">
        <v>1384</v>
      </c>
      <c r="S1327" s="154" t="s">
        <v>1899</v>
      </c>
      <c r="T1327" s="155" t="s">
        <v>1899</v>
      </c>
      <c r="U1327" s="155" t="s">
        <v>1899</v>
      </c>
      <c r="V1327" s="154" t="s">
        <v>1562</v>
      </c>
      <c r="W1327" s="154">
        <v>0</v>
      </c>
      <c r="X1327" s="154" t="s">
        <v>63</v>
      </c>
      <c r="Y1327" s="154" t="s">
        <v>1900</v>
      </c>
      <c r="Z1327" s="154"/>
      <c r="AA1327" s="154" t="s">
        <v>1387</v>
      </c>
      <c r="AB1327" s="154">
        <v>0</v>
      </c>
      <c r="AC1327" s="138">
        <f>IFERROR(IF(DATEDIF(#REF!,U1327,"m")&lt;=1,1,IF(AND(DATEDIF(#REF!,U1327,"m")&gt;1,DATEDIF(#REF!,U1327,"m")&lt;12),2,IF(AND(DATEDIF(#REF!,U1327,"m")&gt;=12,DATEDIF(#REF!,U1327,"m")&lt;24),3,IF(DATEDIF(#REF!,U1327,"m")&gt;=24,4,"")))),IF(E1327="r0320 - Deposits, not covered and not preferential",1,4))</f>
        <v>4</v>
      </c>
    </row>
    <row r="1328" spans="3:29" ht="36.75" thickBot="1" x14ac:dyDescent="0.3">
      <c r="C1328" s="11">
        <v>999</v>
      </c>
      <c r="D1328" s="154">
        <v>1321</v>
      </c>
      <c r="E1328" s="154" t="s">
        <v>1898</v>
      </c>
      <c r="F1328" s="154" t="s">
        <v>87</v>
      </c>
      <c r="G1328" s="154" t="s">
        <v>1402</v>
      </c>
      <c r="H1328" s="154" t="s">
        <v>1185</v>
      </c>
      <c r="I1328" s="154" t="s">
        <v>108</v>
      </c>
      <c r="J1328" s="154" t="s">
        <v>90</v>
      </c>
      <c r="K1328" s="154" t="s">
        <v>91</v>
      </c>
      <c r="L1328" s="154" t="s">
        <v>1897</v>
      </c>
      <c r="M1328" s="154" t="s">
        <v>1383</v>
      </c>
      <c r="N1328" s="154" t="s">
        <v>61</v>
      </c>
      <c r="O1328" s="154" t="s">
        <v>62</v>
      </c>
      <c r="P1328" s="146">
        <v>0.86</v>
      </c>
      <c r="Q1328" s="146">
        <v>0</v>
      </c>
      <c r="R1328" s="154" t="s">
        <v>1384</v>
      </c>
      <c r="S1328" s="154" t="s">
        <v>1899</v>
      </c>
      <c r="T1328" s="155" t="s">
        <v>1899</v>
      </c>
      <c r="U1328" s="155" t="s">
        <v>1899</v>
      </c>
      <c r="V1328" s="154" t="s">
        <v>1562</v>
      </c>
      <c r="W1328" s="154">
        <v>0</v>
      </c>
      <c r="X1328" s="154" t="s">
        <v>63</v>
      </c>
      <c r="Y1328" s="154" t="s">
        <v>1900</v>
      </c>
      <c r="Z1328" s="154"/>
      <c r="AA1328" s="154" t="s">
        <v>1387</v>
      </c>
      <c r="AB1328" s="154">
        <v>0</v>
      </c>
      <c r="AC1328" s="138">
        <f>IFERROR(IF(DATEDIF(#REF!,U1328,"m")&lt;=1,1,IF(AND(DATEDIF(#REF!,U1328,"m")&gt;1,DATEDIF(#REF!,U1328,"m")&lt;12),2,IF(AND(DATEDIF(#REF!,U1328,"m")&gt;=12,DATEDIF(#REF!,U1328,"m")&lt;24),3,IF(DATEDIF(#REF!,U1328,"m")&gt;=24,4,"")))),IF(E1328="r0320 - Deposits, not covered and not preferential",1,4))</f>
        <v>4</v>
      </c>
    </row>
    <row r="1329" spans="3:29" ht="36.75" thickBot="1" x14ac:dyDescent="0.3">
      <c r="C1329" s="11">
        <v>999</v>
      </c>
      <c r="D1329" s="154">
        <v>1322</v>
      </c>
      <c r="E1329" s="154" t="s">
        <v>1898</v>
      </c>
      <c r="F1329" s="154" t="s">
        <v>87</v>
      </c>
      <c r="G1329" s="154" t="s">
        <v>1402</v>
      </c>
      <c r="H1329" s="154" t="s">
        <v>721</v>
      </c>
      <c r="I1329" s="154" t="s">
        <v>108</v>
      </c>
      <c r="J1329" s="154" t="s">
        <v>90</v>
      </c>
      <c r="K1329" s="154" t="s">
        <v>91</v>
      </c>
      <c r="L1329" s="154" t="s">
        <v>1897</v>
      </c>
      <c r="M1329" s="154" t="s">
        <v>1383</v>
      </c>
      <c r="N1329" s="154" t="s">
        <v>61</v>
      </c>
      <c r="O1329" s="154" t="s">
        <v>62</v>
      </c>
      <c r="P1329" s="146">
        <v>0.96</v>
      </c>
      <c r="Q1329" s="146">
        <v>0</v>
      </c>
      <c r="R1329" s="154" t="s">
        <v>1384</v>
      </c>
      <c r="S1329" s="154" t="s">
        <v>1899</v>
      </c>
      <c r="T1329" s="155" t="s">
        <v>1899</v>
      </c>
      <c r="U1329" s="155" t="s">
        <v>1899</v>
      </c>
      <c r="V1329" s="154" t="s">
        <v>1562</v>
      </c>
      <c r="W1329" s="154">
        <v>0</v>
      </c>
      <c r="X1329" s="154" t="s">
        <v>63</v>
      </c>
      <c r="Y1329" s="154" t="s">
        <v>1900</v>
      </c>
      <c r="Z1329" s="154"/>
      <c r="AA1329" s="154" t="s">
        <v>1387</v>
      </c>
      <c r="AB1329" s="154">
        <v>0</v>
      </c>
      <c r="AC1329" s="138">
        <f>IFERROR(IF(DATEDIF(#REF!,U1329,"m")&lt;=1,1,IF(AND(DATEDIF(#REF!,U1329,"m")&gt;1,DATEDIF(#REF!,U1329,"m")&lt;12),2,IF(AND(DATEDIF(#REF!,U1329,"m")&gt;=12,DATEDIF(#REF!,U1329,"m")&lt;24),3,IF(DATEDIF(#REF!,U1329,"m")&gt;=24,4,"")))),IF(E1329="r0320 - Deposits, not covered and not preferential",1,4))</f>
        <v>4</v>
      </c>
    </row>
    <row r="1330" spans="3:29" ht="36.75" thickBot="1" x14ac:dyDescent="0.3">
      <c r="C1330" s="11">
        <v>999</v>
      </c>
      <c r="D1330" s="154">
        <v>1323</v>
      </c>
      <c r="E1330" s="154" t="s">
        <v>1898</v>
      </c>
      <c r="F1330" s="154" t="s">
        <v>87</v>
      </c>
      <c r="G1330" s="154" t="s">
        <v>1402</v>
      </c>
      <c r="H1330" s="154" t="s">
        <v>164</v>
      </c>
      <c r="I1330" s="154" t="s">
        <v>89</v>
      </c>
      <c r="J1330" s="154" t="s">
        <v>90</v>
      </c>
      <c r="K1330" s="154" t="s">
        <v>91</v>
      </c>
      <c r="L1330" s="154" t="s">
        <v>1901</v>
      </c>
      <c r="M1330" s="154" t="s">
        <v>1383</v>
      </c>
      <c r="N1330" s="154" t="s">
        <v>61</v>
      </c>
      <c r="O1330" s="154" t="s">
        <v>62</v>
      </c>
      <c r="P1330" s="146">
        <v>0.19</v>
      </c>
      <c r="Q1330" s="146">
        <v>0</v>
      </c>
      <c r="R1330" s="154" t="s">
        <v>1384</v>
      </c>
      <c r="S1330" s="154" t="s">
        <v>1899</v>
      </c>
      <c r="T1330" s="155" t="s">
        <v>1899</v>
      </c>
      <c r="U1330" s="155" t="s">
        <v>1899</v>
      </c>
      <c r="V1330" s="154" t="s">
        <v>1562</v>
      </c>
      <c r="W1330" s="154">
        <v>0</v>
      </c>
      <c r="X1330" s="154" t="s">
        <v>63</v>
      </c>
      <c r="Y1330" s="154" t="s">
        <v>1900</v>
      </c>
      <c r="Z1330" s="154"/>
      <c r="AA1330" s="154" t="s">
        <v>1387</v>
      </c>
      <c r="AB1330" s="154">
        <v>0</v>
      </c>
      <c r="AC1330" s="138">
        <f>IFERROR(IF(DATEDIF(#REF!,U1330,"m")&lt;=1,1,IF(AND(DATEDIF(#REF!,U1330,"m")&gt;1,DATEDIF(#REF!,U1330,"m")&lt;12),2,IF(AND(DATEDIF(#REF!,U1330,"m")&gt;=12,DATEDIF(#REF!,U1330,"m")&lt;24),3,IF(DATEDIF(#REF!,U1330,"m")&gt;=24,4,"")))),IF(E1330="r0320 - Deposits, not covered and not preferential",1,4))</f>
        <v>4</v>
      </c>
    </row>
    <row r="1331" spans="3:29" ht="36.75" thickBot="1" x14ac:dyDescent="0.3">
      <c r="C1331" s="11">
        <v>999</v>
      </c>
      <c r="D1331" s="154">
        <v>1324</v>
      </c>
      <c r="E1331" s="154" t="s">
        <v>1898</v>
      </c>
      <c r="F1331" s="154" t="s">
        <v>87</v>
      </c>
      <c r="G1331" s="154" t="s">
        <v>1402</v>
      </c>
      <c r="H1331" s="154" t="s">
        <v>1356</v>
      </c>
      <c r="I1331" s="154" t="s">
        <v>108</v>
      </c>
      <c r="J1331" s="154" t="s">
        <v>90</v>
      </c>
      <c r="K1331" s="154" t="s">
        <v>91</v>
      </c>
      <c r="L1331" s="154" t="s">
        <v>1897</v>
      </c>
      <c r="M1331" s="154" t="s">
        <v>1383</v>
      </c>
      <c r="N1331" s="154" t="s">
        <v>61</v>
      </c>
      <c r="O1331" s="154" t="s">
        <v>62</v>
      </c>
      <c r="P1331" s="146">
        <v>1.28</v>
      </c>
      <c r="Q1331" s="146">
        <v>0</v>
      </c>
      <c r="R1331" s="154" t="s">
        <v>1384</v>
      </c>
      <c r="S1331" s="154" t="s">
        <v>1899</v>
      </c>
      <c r="T1331" s="155" t="s">
        <v>1899</v>
      </c>
      <c r="U1331" s="155" t="s">
        <v>1899</v>
      </c>
      <c r="V1331" s="154" t="s">
        <v>1562</v>
      </c>
      <c r="W1331" s="154">
        <v>0</v>
      </c>
      <c r="X1331" s="154" t="s">
        <v>63</v>
      </c>
      <c r="Y1331" s="154" t="s">
        <v>1900</v>
      </c>
      <c r="Z1331" s="154"/>
      <c r="AA1331" s="154" t="s">
        <v>1387</v>
      </c>
      <c r="AB1331" s="154">
        <v>0</v>
      </c>
      <c r="AC1331" s="138">
        <f>IFERROR(IF(DATEDIF(#REF!,U1331,"m")&lt;=1,1,IF(AND(DATEDIF(#REF!,U1331,"m")&gt;1,DATEDIF(#REF!,U1331,"m")&lt;12),2,IF(AND(DATEDIF(#REF!,U1331,"m")&gt;=12,DATEDIF(#REF!,U1331,"m")&lt;24),3,IF(DATEDIF(#REF!,U1331,"m")&gt;=24,4,"")))),IF(E1331="r0320 - Deposits, not covered and not preferential",1,4))</f>
        <v>4</v>
      </c>
    </row>
    <row r="1332" spans="3:29" ht="36.75" thickBot="1" x14ac:dyDescent="0.3">
      <c r="C1332" s="11">
        <v>999</v>
      </c>
      <c r="D1332" s="154">
        <v>1325</v>
      </c>
      <c r="E1332" s="154" t="s">
        <v>1898</v>
      </c>
      <c r="F1332" s="154" t="s">
        <v>87</v>
      </c>
      <c r="G1332" s="154" t="s">
        <v>1402</v>
      </c>
      <c r="H1332" s="154" t="s">
        <v>563</v>
      </c>
      <c r="I1332" s="154" t="s">
        <v>89</v>
      </c>
      <c r="J1332" s="154" t="s">
        <v>90</v>
      </c>
      <c r="K1332" s="154" t="s">
        <v>91</v>
      </c>
      <c r="L1332" s="154" t="s">
        <v>1901</v>
      </c>
      <c r="M1332" s="154" t="s">
        <v>1383</v>
      </c>
      <c r="N1332" s="154" t="s">
        <v>61</v>
      </c>
      <c r="O1332" s="154" t="s">
        <v>62</v>
      </c>
      <c r="P1332" s="146">
        <v>4.38</v>
      </c>
      <c r="Q1332" s="146">
        <v>0</v>
      </c>
      <c r="R1332" s="154" t="s">
        <v>1384</v>
      </c>
      <c r="S1332" s="154" t="s">
        <v>1899</v>
      </c>
      <c r="T1332" s="155" t="s">
        <v>1899</v>
      </c>
      <c r="U1332" s="155" t="s">
        <v>1899</v>
      </c>
      <c r="V1332" s="154" t="s">
        <v>1562</v>
      </c>
      <c r="W1332" s="154">
        <v>0</v>
      </c>
      <c r="X1332" s="154" t="s">
        <v>63</v>
      </c>
      <c r="Y1332" s="154" t="s">
        <v>1900</v>
      </c>
      <c r="Z1332" s="154"/>
      <c r="AA1332" s="154" t="s">
        <v>1387</v>
      </c>
      <c r="AB1332" s="154">
        <v>0</v>
      </c>
      <c r="AC1332" s="138">
        <f>IFERROR(IF(DATEDIF(#REF!,U1332,"m")&lt;=1,1,IF(AND(DATEDIF(#REF!,U1332,"m")&gt;1,DATEDIF(#REF!,U1332,"m")&lt;12),2,IF(AND(DATEDIF(#REF!,U1332,"m")&gt;=12,DATEDIF(#REF!,U1332,"m")&lt;24),3,IF(DATEDIF(#REF!,U1332,"m")&gt;=24,4,"")))),IF(E1332="r0320 - Deposits, not covered and not preferential",1,4))</f>
        <v>4</v>
      </c>
    </row>
    <row r="1333" spans="3:29" ht="48.75" thickBot="1" x14ac:dyDescent="0.3">
      <c r="C1333" s="11">
        <v>999</v>
      </c>
      <c r="D1333" s="154">
        <v>1326</v>
      </c>
      <c r="E1333" s="154" t="s">
        <v>1902</v>
      </c>
      <c r="F1333" s="154" t="s">
        <v>83</v>
      </c>
      <c r="G1333" s="154" t="s">
        <v>1903</v>
      </c>
      <c r="H1333" s="154" t="s">
        <v>730</v>
      </c>
      <c r="I1333" s="154" t="s">
        <v>93</v>
      </c>
      <c r="J1333" s="154" t="s">
        <v>94</v>
      </c>
      <c r="K1333" s="154" t="s">
        <v>60</v>
      </c>
      <c r="L1333" s="154" t="s">
        <v>1897</v>
      </c>
      <c r="M1333" s="154" t="s">
        <v>1388</v>
      </c>
      <c r="N1333" s="154" t="s">
        <v>61</v>
      </c>
      <c r="O1333" s="154" t="s">
        <v>62</v>
      </c>
      <c r="P1333" s="146">
        <v>-11076465.33</v>
      </c>
      <c r="Q1333" s="146">
        <v>0</v>
      </c>
      <c r="R1333" s="154" t="s">
        <v>1384</v>
      </c>
      <c r="S1333" s="154" t="s">
        <v>1899</v>
      </c>
      <c r="T1333" s="155" t="s">
        <v>768</v>
      </c>
      <c r="U1333" s="155" t="s">
        <v>1899</v>
      </c>
      <c r="V1333" s="154" t="s">
        <v>1904</v>
      </c>
      <c r="W1333" s="154">
        <v>0</v>
      </c>
      <c r="X1333" s="154" t="s">
        <v>63</v>
      </c>
      <c r="Y1333" s="154" t="s">
        <v>1386</v>
      </c>
      <c r="Z1333" s="154"/>
      <c r="AA1333" s="154" t="s">
        <v>1387</v>
      </c>
      <c r="AB1333" s="154">
        <v>0</v>
      </c>
      <c r="AC1333" s="138">
        <f>IFERROR(IF(DATEDIF(#REF!,U1333,"m")&lt;=1,1,IF(AND(DATEDIF(#REF!,U1333,"m")&gt;1,DATEDIF(#REF!,U1333,"m")&lt;12),2,IF(AND(DATEDIF(#REF!,U1333,"m")&gt;=12,DATEDIF(#REF!,U1333,"m")&lt;24),3,IF(DATEDIF(#REF!,U1333,"m")&gt;=24,4,"")))),IF(E1333="r0320 - Deposits, not covered and not preferential",1,4))</f>
        <v>4</v>
      </c>
    </row>
    <row r="1334" spans="3:29" ht="36.75" thickBot="1" x14ac:dyDescent="0.3">
      <c r="C1334" s="11">
        <v>999</v>
      </c>
      <c r="D1334" s="154">
        <v>1327</v>
      </c>
      <c r="E1334" s="154" t="s">
        <v>1898</v>
      </c>
      <c r="F1334" s="154" t="s">
        <v>87</v>
      </c>
      <c r="G1334" s="154" t="s">
        <v>1402</v>
      </c>
      <c r="H1334" s="154" t="s">
        <v>718</v>
      </c>
      <c r="I1334" s="154" t="s">
        <v>108</v>
      </c>
      <c r="J1334" s="154" t="s">
        <v>90</v>
      </c>
      <c r="K1334" s="154" t="s">
        <v>91</v>
      </c>
      <c r="L1334" s="154" t="s">
        <v>1897</v>
      </c>
      <c r="M1334" s="154" t="s">
        <v>1383</v>
      </c>
      <c r="N1334" s="154" t="s">
        <v>61</v>
      </c>
      <c r="O1334" s="154" t="s">
        <v>62</v>
      </c>
      <c r="P1334" s="146">
        <v>32</v>
      </c>
      <c r="Q1334" s="146">
        <v>0</v>
      </c>
      <c r="R1334" s="154" t="s">
        <v>1384</v>
      </c>
      <c r="S1334" s="154" t="s">
        <v>1899</v>
      </c>
      <c r="T1334" s="155" t="s">
        <v>1899</v>
      </c>
      <c r="U1334" s="155" t="s">
        <v>1899</v>
      </c>
      <c r="V1334" s="154" t="s">
        <v>1562</v>
      </c>
      <c r="W1334" s="154">
        <v>0</v>
      </c>
      <c r="X1334" s="154" t="s">
        <v>63</v>
      </c>
      <c r="Y1334" s="154" t="s">
        <v>1900</v>
      </c>
      <c r="Z1334" s="154"/>
      <c r="AA1334" s="154" t="s">
        <v>1387</v>
      </c>
      <c r="AB1334" s="154">
        <v>0</v>
      </c>
      <c r="AC1334" s="138">
        <f>IFERROR(IF(DATEDIF(#REF!,U1334,"m")&lt;=1,1,IF(AND(DATEDIF(#REF!,U1334,"m")&gt;1,DATEDIF(#REF!,U1334,"m")&lt;12),2,IF(AND(DATEDIF(#REF!,U1334,"m")&gt;=12,DATEDIF(#REF!,U1334,"m")&lt;24),3,IF(DATEDIF(#REF!,U1334,"m")&gt;=24,4,"")))),IF(E1334="r0320 - Deposits, not covered and not preferential",1,4))</f>
        <v>4</v>
      </c>
    </row>
    <row r="1335" spans="3:29" ht="36.75" thickBot="1" x14ac:dyDescent="0.3">
      <c r="C1335" s="11">
        <v>999</v>
      </c>
      <c r="D1335" s="154">
        <v>1328</v>
      </c>
      <c r="E1335" s="154" t="s">
        <v>1898</v>
      </c>
      <c r="F1335" s="154" t="s">
        <v>87</v>
      </c>
      <c r="G1335" s="154" t="s">
        <v>1402</v>
      </c>
      <c r="H1335" s="154" t="s">
        <v>715</v>
      </c>
      <c r="I1335" s="154" t="s">
        <v>108</v>
      </c>
      <c r="J1335" s="154" t="s">
        <v>90</v>
      </c>
      <c r="K1335" s="154" t="s">
        <v>91</v>
      </c>
      <c r="L1335" s="154" t="s">
        <v>1897</v>
      </c>
      <c r="M1335" s="154" t="s">
        <v>1383</v>
      </c>
      <c r="N1335" s="154" t="s">
        <v>61</v>
      </c>
      <c r="O1335" s="154" t="s">
        <v>62</v>
      </c>
      <c r="P1335" s="146">
        <v>35.29</v>
      </c>
      <c r="Q1335" s="146">
        <v>0</v>
      </c>
      <c r="R1335" s="154" t="s">
        <v>1384</v>
      </c>
      <c r="S1335" s="154" t="s">
        <v>1899</v>
      </c>
      <c r="T1335" s="155" t="s">
        <v>1899</v>
      </c>
      <c r="U1335" s="155" t="s">
        <v>1899</v>
      </c>
      <c r="V1335" s="154" t="s">
        <v>1562</v>
      </c>
      <c r="W1335" s="154">
        <v>0</v>
      </c>
      <c r="X1335" s="154" t="s">
        <v>63</v>
      </c>
      <c r="Y1335" s="154" t="s">
        <v>1900</v>
      </c>
      <c r="Z1335" s="154"/>
      <c r="AA1335" s="154" t="s">
        <v>1387</v>
      </c>
      <c r="AB1335" s="154">
        <v>0</v>
      </c>
      <c r="AC1335" s="138">
        <f>IFERROR(IF(DATEDIF(#REF!,U1335,"m")&lt;=1,1,IF(AND(DATEDIF(#REF!,U1335,"m")&gt;1,DATEDIF(#REF!,U1335,"m")&lt;12),2,IF(AND(DATEDIF(#REF!,U1335,"m")&gt;=12,DATEDIF(#REF!,U1335,"m")&lt;24),3,IF(DATEDIF(#REF!,U1335,"m")&gt;=24,4,"")))),IF(E1335="r0320 - Deposits, not covered and not preferential",1,4))</f>
        <v>4</v>
      </c>
    </row>
    <row r="1336" spans="3:29" ht="36.75" thickBot="1" x14ac:dyDescent="0.3">
      <c r="C1336" s="11">
        <v>999</v>
      </c>
      <c r="D1336" s="154">
        <v>1329</v>
      </c>
      <c r="E1336" s="154" t="s">
        <v>1898</v>
      </c>
      <c r="F1336" s="154" t="s">
        <v>87</v>
      </c>
      <c r="G1336" s="154" t="s">
        <v>1402</v>
      </c>
      <c r="H1336" s="154" t="s">
        <v>183</v>
      </c>
      <c r="I1336" s="154" t="s">
        <v>108</v>
      </c>
      <c r="J1336" s="154" t="s">
        <v>90</v>
      </c>
      <c r="K1336" s="154" t="s">
        <v>91</v>
      </c>
      <c r="L1336" s="154" t="s">
        <v>1897</v>
      </c>
      <c r="M1336" s="154" t="s">
        <v>1383</v>
      </c>
      <c r="N1336" s="154" t="s">
        <v>61</v>
      </c>
      <c r="O1336" s="154" t="s">
        <v>62</v>
      </c>
      <c r="P1336" s="146">
        <v>0.36</v>
      </c>
      <c r="Q1336" s="146">
        <v>0</v>
      </c>
      <c r="R1336" s="154" t="s">
        <v>1384</v>
      </c>
      <c r="S1336" s="154" t="s">
        <v>1899</v>
      </c>
      <c r="T1336" s="155" t="s">
        <v>1899</v>
      </c>
      <c r="U1336" s="155" t="s">
        <v>1899</v>
      </c>
      <c r="V1336" s="154" t="s">
        <v>1562</v>
      </c>
      <c r="W1336" s="154">
        <v>0</v>
      </c>
      <c r="X1336" s="154" t="s">
        <v>63</v>
      </c>
      <c r="Y1336" s="154" t="s">
        <v>1900</v>
      </c>
      <c r="Z1336" s="154"/>
      <c r="AA1336" s="154" t="s">
        <v>1387</v>
      </c>
      <c r="AB1336" s="154">
        <v>0</v>
      </c>
      <c r="AC1336" s="138">
        <f>IFERROR(IF(DATEDIF(#REF!,U1336,"m")&lt;=1,1,IF(AND(DATEDIF(#REF!,U1336,"m")&gt;1,DATEDIF(#REF!,U1336,"m")&lt;12),2,IF(AND(DATEDIF(#REF!,U1336,"m")&gt;=12,DATEDIF(#REF!,U1336,"m")&lt;24),3,IF(DATEDIF(#REF!,U1336,"m")&gt;=24,4,"")))),IF(E1336="r0320 - Deposits, not covered and not preferential",1,4))</f>
        <v>4</v>
      </c>
    </row>
    <row r="1337" spans="3:29" ht="48.75" thickBot="1" x14ac:dyDescent="0.3">
      <c r="C1337" s="11">
        <v>999</v>
      </c>
      <c r="D1337" s="154">
        <v>1330</v>
      </c>
      <c r="E1337" s="154" t="s">
        <v>1902</v>
      </c>
      <c r="F1337" s="154" t="s">
        <v>83</v>
      </c>
      <c r="G1337" s="154" t="s">
        <v>1903</v>
      </c>
      <c r="H1337" s="154" t="s">
        <v>100</v>
      </c>
      <c r="I1337" s="154" t="s">
        <v>101</v>
      </c>
      <c r="J1337" s="154" t="s">
        <v>102</v>
      </c>
      <c r="K1337" s="154" t="s">
        <v>60</v>
      </c>
      <c r="L1337" s="154" t="s">
        <v>1897</v>
      </c>
      <c r="M1337" s="154" t="s">
        <v>1388</v>
      </c>
      <c r="N1337" s="154" t="s">
        <v>61</v>
      </c>
      <c r="O1337" s="154" t="s">
        <v>62</v>
      </c>
      <c r="P1337" s="146">
        <v>676389.77</v>
      </c>
      <c r="Q1337" s="146">
        <v>158.22999999999999</v>
      </c>
      <c r="R1337" s="154" t="s">
        <v>1384</v>
      </c>
      <c r="S1337" s="154" t="s">
        <v>1899</v>
      </c>
      <c r="T1337" s="155" t="s">
        <v>768</v>
      </c>
      <c r="U1337" s="155" t="s">
        <v>1899</v>
      </c>
      <c r="V1337" s="154" t="s">
        <v>1904</v>
      </c>
      <c r="W1337" s="154">
        <v>0</v>
      </c>
      <c r="X1337" s="154" t="s">
        <v>63</v>
      </c>
      <c r="Y1337" s="154" t="s">
        <v>1386</v>
      </c>
      <c r="Z1337" s="154"/>
      <c r="AA1337" s="154" t="s">
        <v>1387</v>
      </c>
      <c r="AB1337" s="154">
        <v>0</v>
      </c>
      <c r="AC1337" s="138">
        <f>IFERROR(IF(DATEDIF(#REF!,U1337,"m")&lt;=1,1,IF(AND(DATEDIF(#REF!,U1337,"m")&gt;1,DATEDIF(#REF!,U1337,"m")&lt;12),2,IF(AND(DATEDIF(#REF!,U1337,"m")&gt;=12,DATEDIF(#REF!,U1337,"m")&lt;24),3,IF(DATEDIF(#REF!,U1337,"m")&gt;=24,4,"")))),IF(E1337="r0320 - Deposits, not covered and not preferential",1,4))</f>
        <v>4</v>
      </c>
    </row>
    <row r="1338" spans="3:29" ht="36.75" thickBot="1" x14ac:dyDescent="0.3">
      <c r="C1338" s="11">
        <v>999</v>
      </c>
      <c r="D1338" s="154">
        <v>1331</v>
      </c>
      <c r="E1338" s="154" t="s">
        <v>1898</v>
      </c>
      <c r="F1338" s="154" t="s">
        <v>87</v>
      </c>
      <c r="G1338" s="154" t="s">
        <v>1402</v>
      </c>
      <c r="H1338" s="154" t="s">
        <v>720</v>
      </c>
      <c r="I1338" s="154" t="s">
        <v>108</v>
      </c>
      <c r="J1338" s="154" t="s">
        <v>90</v>
      </c>
      <c r="K1338" s="154" t="s">
        <v>91</v>
      </c>
      <c r="L1338" s="154" t="s">
        <v>1897</v>
      </c>
      <c r="M1338" s="154" t="s">
        <v>1383</v>
      </c>
      <c r="N1338" s="154" t="s">
        <v>61</v>
      </c>
      <c r="O1338" s="154" t="s">
        <v>62</v>
      </c>
      <c r="P1338" s="146">
        <v>6.33</v>
      </c>
      <c r="Q1338" s="146">
        <v>0</v>
      </c>
      <c r="R1338" s="154" t="s">
        <v>1384</v>
      </c>
      <c r="S1338" s="154" t="s">
        <v>1899</v>
      </c>
      <c r="T1338" s="155" t="s">
        <v>1899</v>
      </c>
      <c r="U1338" s="155" t="s">
        <v>1899</v>
      </c>
      <c r="V1338" s="154" t="s">
        <v>1562</v>
      </c>
      <c r="W1338" s="154">
        <v>0</v>
      </c>
      <c r="X1338" s="154" t="s">
        <v>63</v>
      </c>
      <c r="Y1338" s="154" t="s">
        <v>1900</v>
      </c>
      <c r="Z1338" s="154"/>
      <c r="AA1338" s="154" t="s">
        <v>1387</v>
      </c>
      <c r="AB1338" s="154">
        <v>0</v>
      </c>
      <c r="AC1338" s="138">
        <f>IFERROR(IF(DATEDIF(#REF!,U1338,"m")&lt;=1,1,IF(AND(DATEDIF(#REF!,U1338,"m")&gt;1,DATEDIF(#REF!,U1338,"m")&lt;12),2,IF(AND(DATEDIF(#REF!,U1338,"m")&gt;=12,DATEDIF(#REF!,U1338,"m")&lt;24),3,IF(DATEDIF(#REF!,U1338,"m")&gt;=24,4,"")))),IF(E1338="r0320 - Deposits, not covered and not preferential",1,4))</f>
        <v>4</v>
      </c>
    </row>
    <row r="1339" spans="3:29" ht="36.75" thickBot="1" x14ac:dyDescent="0.3">
      <c r="C1339" s="11">
        <v>999</v>
      </c>
      <c r="D1339" s="154">
        <v>1332</v>
      </c>
      <c r="E1339" s="154" t="s">
        <v>1898</v>
      </c>
      <c r="F1339" s="154" t="s">
        <v>87</v>
      </c>
      <c r="G1339" s="154" t="s">
        <v>1402</v>
      </c>
      <c r="H1339" s="154" t="s">
        <v>1180</v>
      </c>
      <c r="I1339" s="154" t="s">
        <v>108</v>
      </c>
      <c r="J1339" s="154" t="s">
        <v>90</v>
      </c>
      <c r="K1339" s="154" t="s">
        <v>91</v>
      </c>
      <c r="L1339" s="154" t="s">
        <v>1897</v>
      </c>
      <c r="M1339" s="154" t="s">
        <v>1383</v>
      </c>
      <c r="N1339" s="154" t="s">
        <v>61</v>
      </c>
      <c r="O1339" s="154" t="s">
        <v>62</v>
      </c>
      <c r="P1339" s="146">
        <v>0.49</v>
      </c>
      <c r="Q1339" s="146">
        <v>0</v>
      </c>
      <c r="R1339" s="154" t="s">
        <v>1384</v>
      </c>
      <c r="S1339" s="154" t="s">
        <v>1899</v>
      </c>
      <c r="T1339" s="155" t="s">
        <v>1899</v>
      </c>
      <c r="U1339" s="155" t="s">
        <v>1899</v>
      </c>
      <c r="V1339" s="154" t="s">
        <v>1562</v>
      </c>
      <c r="W1339" s="154">
        <v>0</v>
      </c>
      <c r="X1339" s="154" t="s">
        <v>63</v>
      </c>
      <c r="Y1339" s="154" t="s">
        <v>1900</v>
      </c>
      <c r="Z1339" s="154"/>
      <c r="AA1339" s="154" t="s">
        <v>1387</v>
      </c>
      <c r="AB1339" s="154">
        <v>0</v>
      </c>
      <c r="AC1339" s="138">
        <f>IFERROR(IF(DATEDIF(#REF!,U1339,"m")&lt;=1,1,IF(AND(DATEDIF(#REF!,U1339,"m")&gt;1,DATEDIF(#REF!,U1339,"m")&lt;12),2,IF(AND(DATEDIF(#REF!,U1339,"m")&gt;=12,DATEDIF(#REF!,U1339,"m")&lt;24),3,IF(DATEDIF(#REF!,U1339,"m")&gt;=24,4,"")))),IF(E1339="r0320 - Deposits, not covered and not preferential",1,4))</f>
        <v>4</v>
      </c>
    </row>
    <row r="1340" spans="3:29" ht="36.75" thickBot="1" x14ac:dyDescent="0.3">
      <c r="C1340" s="11">
        <v>999</v>
      </c>
      <c r="D1340" s="154">
        <v>1333</v>
      </c>
      <c r="E1340" s="154" t="s">
        <v>1898</v>
      </c>
      <c r="F1340" s="154" t="s">
        <v>87</v>
      </c>
      <c r="G1340" s="154" t="s">
        <v>1402</v>
      </c>
      <c r="H1340" s="154" t="s">
        <v>439</v>
      </c>
      <c r="I1340" s="154" t="s">
        <v>108</v>
      </c>
      <c r="J1340" s="154" t="s">
        <v>90</v>
      </c>
      <c r="K1340" s="154" t="s">
        <v>91</v>
      </c>
      <c r="L1340" s="154" t="s">
        <v>1897</v>
      </c>
      <c r="M1340" s="154" t="s">
        <v>1383</v>
      </c>
      <c r="N1340" s="154" t="s">
        <v>61</v>
      </c>
      <c r="O1340" s="154" t="s">
        <v>62</v>
      </c>
      <c r="P1340" s="146">
        <v>0.9</v>
      </c>
      <c r="Q1340" s="146">
        <v>0</v>
      </c>
      <c r="R1340" s="154" t="s">
        <v>1384</v>
      </c>
      <c r="S1340" s="154" t="s">
        <v>1899</v>
      </c>
      <c r="T1340" s="155" t="s">
        <v>1899</v>
      </c>
      <c r="U1340" s="155" t="s">
        <v>1899</v>
      </c>
      <c r="V1340" s="154" t="s">
        <v>1562</v>
      </c>
      <c r="W1340" s="154">
        <v>0</v>
      </c>
      <c r="X1340" s="154" t="s">
        <v>63</v>
      </c>
      <c r="Y1340" s="154" t="s">
        <v>1900</v>
      </c>
      <c r="Z1340" s="154"/>
      <c r="AA1340" s="154" t="s">
        <v>1387</v>
      </c>
      <c r="AB1340" s="154">
        <v>0</v>
      </c>
      <c r="AC1340" s="138">
        <f>IFERROR(IF(DATEDIF(#REF!,U1340,"m")&lt;=1,1,IF(AND(DATEDIF(#REF!,U1340,"m")&gt;1,DATEDIF(#REF!,U1340,"m")&lt;12),2,IF(AND(DATEDIF(#REF!,U1340,"m")&gt;=12,DATEDIF(#REF!,U1340,"m")&lt;24),3,IF(DATEDIF(#REF!,U1340,"m")&gt;=24,4,"")))),IF(E1340="r0320 - Deposits, not covered and not preferential",1,4))</f>
        <v>4</v>
      </c>
    </row>
    <row r="1341" spans="3:29" ht="36.75" thickBot="1" x14ac:dyDescent="0.3">
      <c r="C1341" s="11">
        <v>999</v>
      </c>
      <c r="D1341" s="154">
        <v>1334</v>
      </c>
      <c r="E1341" s="154" t="s">
        <v>1898</v>
      </c>
      <c r="F1341" s="154" t="s">
        <v>260</v>
      </c>
      <c r="G1341" s="154" t="s">
        <v>1402</v>
      </c>
      <c r="H1341" s="154" t="s">
        <v>57</v>
      </c>
      <c r="I1341" s="154" t="s">
        <v>262</v>
      </c>
      <c r="J1341" s="154" t="s">
        <v>263</v>
      </c>
      <c r="K1341" s="154" t="s">
        <v>91</v>
      </c>
      <c r="L1341" s="154" t="s">
        <v>1897</v>
      </c>
      <c r="M1341" s="154" t="s">
        <v>1388</v>
      </c>
      <c r="N1341" s="154" t="s">
        <v>61</v>
      </c>
      <c r="O1341" s="154" t="s">
        <v>62</v>
      </c>
      <c r="P1341" s="146">
        <v>35895.075932</v>
      </c>
      <c r="Q1341" s="146">
        <v>0</v>
      </c>
      <c r="R1341" s="154" t="s">
        <v>768</v>
      </c>
      <c r="S1341" s="154" t="s">
        <v>1899</v>
      </c>
      <c r="T1341" s="155" t="s">
        <v>1899</v>
      </c>
      <c r="U1341" s="155" t="s">
        <v>1899</v>
      </c>
      <c r="V1341" s="154" t="s">
        <v>1562</v>
      </c>
      <c r="W1341" s="154">
        <v>0</v>
      </c>
      <c r="X1341" s="154" t="s">
        <v>63</v>
      </c>
      <c r="Y1341" s="154" t="s">
        <v>1900</v>
      </c>
      <c r="Z1341" s="154"/>
      <c r="AA1341" s="154" t="s">
        <v>1387</v>
      </c>
      <c r="AB1341" s="154">
        <v>0</v>
      </c>
      <c r="AC1341" s="138">
        <f>IFERROR(IF(DATEDIF(#REF!,U1341,"m")&lt;=1,1,IF(AND(DATEDIF(#REF!,U1341,"m")&gt;1,DATEDIF(#REF!,U1341,"m")&lt;12),2,IF(AND(DATEDIF(#REF!,U1341,"m")&gt;=12,DATEDIF(#REF!,U1341,"m")&lt;24),3,IF(DATEDIF(#REF!,U1341,"m")&gt;=24,4,"")))),IF(E1341="r0320 - Deposits, not covered and not preferential",1,4))</f>
        <v>4</v>
      </c>
    </row>
    <row r="1342" spans="3:29" ht="36.75" thickBot="1" x14ac:dyDescent="0.3">
      <c r="C1342" s="11">
        <v>999</v>
      </c>
      <c r="D1342" s="154">
        <v>1335</v>
      </c>
      <c r="E1342" s="154" t="s">
        <v>1898</v>
      </c>
      <c r="F1342" s="154" t="s">
        <v>87</v>
      </c>
      <c r="G1342" s="154" t="s">
        <v>1402</v>
      </c>
      <c r="H1342" s="154" t="s">
        <v>722</v>
      </c>
      <c r="I1342" s="154" t="s">
        <v>108</v>
      </c>
      <c r="J1342" s="154" t="s">
        <v>90</v>
      </c>
      <c r="K1342" s="154" t="s">
        <v>91</v>
      </c>
      <c r="L1342" s="154" t="s">
        <v>1897</v>
      </c>
      <c r="M1342" s="154" t="s">
        <v>1383</v>
      </c>
      <c r="N1342" s="154" t="s">
        <v>61</v>
      </c>
      <c r="O1342" s="154" t="s">
        <v>62</v>
      </c>
      <c r="P1342" s="146">
        <v>8.4600000000000009</v>
      </c>
      <c r="Q1342" s="146">
        <v>0</v>
      </c>
      <c r="R1342" s="154" t="s">
        <v>1384</v>
      </c>
      <c r="S1342" s="154" t="s">
        <v>1899</v>
      </c>
      <c r="T1342" s="155" t="s">
        <v>1899</v>
      </c>
      <c r="U1342" s="155" t="s">
        <v>1899</v>
      </c>
      <c r="V1342" s="154" t="s">
        <v>1562</v>
      </c>
      <c r="W1342" s="154">
        <v>0</v>
      </c>
      <c r="X1342" s="154" t="s">
        <v>63</v>
      </c>
      <c r="Y1342" s="154" t="s">
        <v>1900</v>
      </c>
      <c r="Z1342" s="154"/>
      <c r="AA1342" s="154" t="s">
        <v>1387</v>
      </c>
      <c r="AB1342" s="154">
        <v>0</v>
      </c>
      <c r="AC1342" s="138">
        <f>IFERROR(IF(DATEDIF(#REF!,U1342,"m")&lt;=1,1,IF(AND(DATEDIF(#REF!,U1342,"m")&gt;1,DATEDIF(#REF!,U1342,"m")&lt;12),2,IF(AND(DATEDIF(#REF!,U1342,"m")&gt;=12,DATEDIF(#REF!,U1342,"m")&lt;24),3,IF(DATEDIF(#REF!,U1342,"m")&gt;=24,4,"")))),IF(E1342="r0320 - Deposits, not covered and not preferential",1,4))</f>
        <v>4</v>
      </c>
    </row>
    <row r="1343" spans="3:29" ht="36.75" thickBot="1" x14ac:dyDescent="0.3">
      <c r="C1343" s="11">
        <v>999</v>
      </c>
      <c r="D1343" s="154">
        <v>1336</v>
      </c>
      <c r="E1343" s="154" t="s">
        <v>1898</v>
      </c>
      <c r="F1343" s="154" t="s">
        <v>87</v>
      </c>
      <c r="G1343" s="154" t="s">
        <v>1402</v>
      </c>
      <c r="H1343" s="154" t="s">
        <v>438</v>
      </c>
      <c r="I1343" s="154" t="s">
        <v>108</v>
      </c>
      <c r="J1343" s="154" t="s">
        <v>90</v>
      </c>
      <c r="K1343" s="154" t="s">
        <v>91</v>
      </c>
      <c r="L1343" s="154" t="s">
        <v>1897</v>
      </c>
      <c r="M1343" s="154" t="s">
        <v>1383</v>
      </c>
      <c r="N1343" s="154" t="s">
        <v>61</v>
      </c>
      <c r="O1343" s="154" t="s">
        <v>62</v>
      </c>
      <c r="P1343" s="146">
        <v>4.76</v>
      </c>
      <c r="Q1343" s="146">
        <v>0</v>
      </c>
      <c r="R1343" s="154" t="s">
        <v>1384</v>
      </c>
      <c r="S1343" s="154" t="s">
        <v>1899</v>
      </c>
      <c r="T1343" s="155" t="s">
        <v>1899</v>
      </c>
      <c r="U1343" s="155" t="s">
        <v>1899</v>
      </c>
      <c r="V1343" s="154" t="s">
        <v>1562</v>
      </c>
      <c r="W1343" s="154">
        <v>0</v>
      </c>
      <c r="X1343" s="154" t="s">
        <v>63</v>
      </c>
      <c r="Y1343" s="154" t="s">
        <v>1900</v>
      </c>
      <c r="Z1343" s="154"/>
      <c r="AA1343" s="154" t="s">
        <v>1387</v>
      </c>
      <c r="AB1343" s="154">
        <v>0</v>
      </c>
      <c r="AC1343" s="138">
        <f>IFERROR(IF(DATEDIF(#REF!,U1343,"m")&lt;=1,1,IF(AND(DATEDIF(#REF!,U1343,"m")&gt;1,DATEDIF(#REF!,U1343,"m")&lt;12),2,IF(AND(DATEDIF(#REF!,U1343,"m")&gt;=12,DATEDIF(#REF!,U1343,"m")&lt;24),3,IF(DATEDIF(#REF!,U1343,"m")&gt;=24,4,"")))),IF(E1343="r0320 - Deposits, not covered and not preferential",1,4))</f>
        <v>4</v>
      </c>
    </row>
    <row r="1344" spans="3:29" ht="36.75" thickBot="1" x14ac:dyDescent="0.3">
      <c r="C1344" s="11">
        <v>999</v>
      </c>
      <c r="D1344" s="154">
        <v>1337</v>
      </c>
      <c r="E1344" s="154" t="s">
        <v>1898</v>
      </c>
      <c r="F1344" s="154" t="s">
        <v>87</v>
      </c>
      <c r="G1344" s="154" t="s">
        <v>1402</v>
      </c>
      <c r="H1344" s="154" t="s">
        <v>271</v>
      </c>
      <c r="I1344" s="154" t="s">
        <v>108</v>
      </c>
      <c r="J1344" s="154" t="s">
        <v>90</v>
      </c>
      <c r="K1344" s="154" t="s">
        <v>91</v>
      </c>
      <c r="L1344" s="154" t="s">
        <v>1897</v>
      </c>
      <c r="M1344" s="154" t="s">
        <v>1383</v>
      </c>
      <c r="N1344" s="154" t="s">
        <v>61</v>
      </c>
      <c r="O1344" s="154" t="s">
        <v>62</v>
      </c>
      <c r="P1344" s="146">
        <v>0.39</v>
      </c>
      <c r="Q1344" s="146">
        <v>0</v>
      </c>
      <c r="R1344" s="154" t="s">
        <v>1384</v>
      </c>
      <c r="S1344" s="154" t="s">
        <v>1899</v>
      </c>
      <c r="T1344" s="155" t="s">
        <v>1899</v>
      </c>
      <c r="U1344" s="155" t="s">
        <v>1899</v>
      </c>
      <c r="V1344" s="154" t="s">
        <v>1562</v>
      </c>
      <c r="W1344" s="154">
        <v>0</v>
      </c>
      <c r="X1344" s="154" t="s">
        <v>63</v>
      </c>
      <c r="Y1344" s="154" t="s">
        <v>1900</v>
      </c>
      <c r="Z1344" s="154"/>
      <c r="AA1344" s="154" t="s">
        <v>1387</v>
      </c>
      <c r="AB1344" s="154">
        <v>0</v>
      </c>
      <c r="AC1344" s="138">
        <f>IFERROR(IF(DATEDIF(#REF!,U1344,"m")&lt;=1,1,IF(AND(DATEDIF(#REF!,U1344,"m")&gt;1,DATEDIF(#REF!,U1344,"m")&lt;12),2,IF(AND(DATEDIF(#REF!,U1344,"m")&gt;=12,DATEDIF(#REF!,U1344,"m")&lt;24),3,IF(DATEDIF(#REF!,U1344,"m")&gt;=24,4,"")))),IF(E1344="r0320 - Deposits, not covered and not preferential",1,4))</f>
        <v>4</v>
      </c>
    </row>
    <row r="1345" spans="3:29" ht="48.75" thickBot="1" x14ac:dyDescent="0.3">
      <c r="C1345" s="11">
        <v>999</v>
      </c>
      <c r="D1345" s="154">
        <v>1338</v>
      </c>
      <c r="E1345" s="154" t="s">
        <v>1902</v>
      </c>
      <c r="F1345" s="154" t="s">
        <v>83</v>
      </c>
      <c r="G1345" s="154" t="s">
        <v>1903</v>
      </c>
      <c r="H1345" s="154" t="s">
        <v>436</v>
      </c>
      <c r="I1345" s="154" t="s">
        <v>114</v>
      </c>
      <c r="J1345" s="154" t="s">
        <v>115</v>
      </c>
      <c r="K1345" s="154" t="s">
        <v>60</v>
      </c>
      <c r="L1345" s="154" t="s">
        <v>1897</v>
      </c>
      <c r="M1345" s="154" t="s">
        <v>1388</v>
      </c>
      <c r="N1345" s="154" t="s">
        <v>61</v>
      </c>
      <c r="O1345" s="154" t="s">
        <v>62</v>
      </c>
      <c r="P1345" s="146">
        <v>102933.55</v>
      </c>
      <c r="Q1345" s="146">
        <v>0</v>
      </c>
      <c r="R1345" s="154" t="s">
        <v>1384</v>
      </c>
      <c r="S1345" s="154" t="s">
        <v>1899</v>
      </c>
      <c r="T1345" s="155" t="s">
        <v>768</v>
      </c>
      <c r="U1345" s="155" t="s">
        <v>1899</v>
      </c>
      <c r="V1345" s="154" t="s">
        <v>1904</v>
      </c>
      <c r="W1345" s="154">
        <v>0</v>
      </c>
      <c r="X1345" s="154" t="s">
        <v>63</v>
      </c>
      <c r="Y1345" s="154" t="s">
        <v>1386</v>
      </c>
      <c r="Z1345" s="154"/>
      <c r="AA1345" s="154" t="s">
        <v>1387</v>
      </c>
      <c r="AB1345" s="154">
        <v>0</v>
      </c>
      <c r="AC1345" s="138">
        <f>IFERROR(IF(DATEDIF(#REF!,U1345,"m")&lt;=1,1,IF(AND(DATEDIF(#REF!,U1345,"m")&gt;1,DATEDIF(#REF!,U1345,"m")&lt;12),2,IF(AND(DATEDIF(#REF!,U1345,"m")&gt;=12,DATEDIF(#REF!,U1345,"m")&lt;24),3,IF(DATEDIF(#REF!,U1345,"m")&gt;=24,4,"")))),IF(E1345="r0320 - Deposits, not covered and not preferential",1,4))</f>
        <v>4</v>
      </c>
    </row>
    <row r="1346" spans="3:29" ht="36.75" thickBot="1" x14ac:dyDescent="0.3">
      <c r="C1346" s="11">
        <v>999</v>
      </c>
      <c r="D1346" s="154">
        <v>1339</v>
      </c>
      <c r="E1346" s="154" t="s">
        <v>1898</v>
      </c>
      <c r="F1346" s="154" t="s">
        <v>87</v>
      </c>
      <c r="G1346" s="154" t="s">
        <v>1402</v>
      </c>
      <c r="H1346" s="154" t="s">
        <v>724</v>
      </c>
      <c r="I1346" s="154" t="s">
        <v>108</v>
      </c>
      <c r="J1346" s="154" t="s">
        <v>90</v>
      </c>
      <c r="K1346" s="154" t="s">
        <v>91</v>
      </c>
      <c r="L1346" s="154" t="s">
        <v>1897</v>
      </c>
      <c r="M1346" s="154" t="s">
        <v>1383</v>
      </c>
      <c r="N1346" s="154" t="s">
        <v>61</v>
      </c>
      <c r="O1346" s="154" t="s">
        <v>62</v>
      </c>
      <c r="P1346" s="146">
        <v>3.43</v>
      </c>
      <c r="Q1346" s="146">
        <v>0</v>
      </c>
      <c r="R1346" s="154" t="s">
        <v>1384</v>
      </c>
      <c r="S1346" s="154" t="s">
        <v>1899</v>
      </c>
      <c r="T1346" s="155" t="s">
        <v>1899</v>
      </c>
      <c r="U1346" s="155" t="s">
        <v>1899</v>
      </c>
      <c r="V1346" s="154" t="s">
        <v>1562</v>
      </c>
      <c r="W1346" s="154">
        <v>0</v>
      </c>
      <c r="X1346" s="154" t="s">
        <v>63</v>
      </c>
      <c r="Y1346" s="154" t="s">
        <v>1900</v>
      </c>
      <c r="Z1346" s="154"/>
      <c r="AA1346" s="154" t="s">
        <v>1387</v>
      </c>
      <c r="AB1346" s="154">
        <v>0</v>
      </c>
      <c r="AC1346" s="138">
        <f>IFERROR(IF(DATEDIF(#REF!,U1346,"m")&lt;=1,1,IF(AND(DATEDIF(#REF!,U1346,"m")&gt;1,DATEDIF(#REF!,U1346,"m")&lt;12),2,IF(AND(DATEDIF(#REF!,U1346,"m")&gt;=12,DATEDIF(#REF!,U1346,"m")&lt;24),3,IF(DATEDIF(#REF!,U1346,"m")&gt;=24,4,"")))),IF(E1346="r0320 - Deposits, not covered and not preferential",1,4))</f>
        <v>4</v>
      </c>
    </row>
    <row r="1347" spans="3:29" ht="36.75" thickBot="1" x14ac:dyDescent="0.3">
      <c r="C1347" s="11">
        <v>999</v>
      </c>
      <c r="D1347" s="154">
        <v>1340</v>
      </c>
      <c r="E1347" s="154" t="s">
        <v>1898</v>
      </c>
      <c r="F1347" s="154" t="s">
        <v>87</v>
      </c>
      <c r="G1347" s="154" t="s">
        <v>1402</v>
      </c>
      <c r="H1347" s="154" t="s">
        <v>180</v>
      </c>
      <c r="I1347" s="154" t="s">
        <v>108</v>
      </c>
      <c r="J1347" s="154" t="s">
        <v>90</v>
      </c>
      <c r="K1347" s="154" t="s">
        <v>91</v>
      </c>
      <c r="L1347" s="154" t="s">
        <v>1897</v>
      </c>
      <c r="M1347" s="154" t="s">
        <v>1383</v>
      </c>
      <c r="N1347" s="154" t="s">
        <v>61</v>
      </c>
      <c r="O1347" s="154" t="s">
        <v>62</v>
      </c>
      <c r="P1347" s="146">
        <v>3.46</v>
      </c>
      <c r="Q1347" s="146">
        <v>0</v>
      </c>
      <c r="R1347" s="154" t="s">
        <v>1384</v>
      </c>
      <c r="S1347" s="154" t="s">
        <v>1899</v>
      </c>
      <c r="T1347" s="155" t="s">
        <v>1899</v>
      </c>
      <c r="U1347" s="155" t="s">
        <v>1899</v>
      </c>
      <c r="V1347" s="154" t="s">
        <v>1562</v>
      </c>
      <c r="W1347" s="154">
        <v>0</v>
      </c>
      <c r="X1347" s="154" t="s">
        <v>63</v>
      </c>
      <c r="Y1347" s="154" t="s">
        <v>1900</v>
      </c>
      <c r="Z1347" s="154"/>
      <c r="AA1347" s="154" t="s">
        <v>1387</v>
      </c>
      <c r="AB1347" s="154">
        <v>0</v>
      </c>
      <c r="AC1347" s="138">
        <f>IFERROR(IF(DATEDIF(#REF!,U1347,"m")&lt;=1,1,IF(AND(DATEDIF(#REF!,U1347,"m")&gt;1,DATEDIF(#REF!,U1347,"m")&lt;12),2,IF(AND(DATEDIF(#REF!,U1347,"m")&gt;=12,DATEDIF(#REF!,U1347,"m")&lt;24),3,IF(DATEDIF(#REF!,U1347,"m")&gt;=24,4,"")))),IF(E1347="r0320 - Deposits, not covered and not preferential",1,4))</f>
        <v>4</v>
      </c>
    </row>
    <row r="1348" spans="3:29" ht="36.75" thickBot="1" x14ac:dyDescent="0.3">
      <c r="C1348" s="11">
        <v>999</v>
      </c>
      <c r="D1348" s="154">
        <v>1341</v>
      </c>
      <c r="E1348" s="154" t="s">
        <v>1898</v>
      </c>
      <c r="F1348" s="154" t="s">
        <v>87</v>
      </c>
      <c r="G1348" s="154" t="s">
        <v>1402</v>
      </c>
      <c r="H1348" s="154" t="s">
        <v>441</v>
      </c>
      <c r="I1348" s="154" t="s">
        <v>108</v>
      </c>
      <c r="J1348" s="154" t="s">
        <v>90</v>
      </c>
      <c r="K1348" s="154" t="s">
        <v>91</v>
      </c>
      <c r="L1348" s="154" t="s">
        <v>1897</v>
      </c>
      <c r="M1348" s="154" t="s">
        <v>1383</v>
      </c>
      <c r="N1348" s="154" t="s">
        <v>61</v>
      </c>
      <c r="O1348" s="154" t="s">
        <v>62</v>
      </c>
      <c r="P1348" s="146">
        <v>0.34</v>
      </c>
      <c r="Q1348" s="146">
        <v>0</v>
      </c>
      <c r="R1348" s="154" t="s">
        <v>1384</v>
      </c>
      <c r="S1348" s="154" t="s">
        <v>1899</v>
      </c>
      <c r="T1348" s="155" t="s">
        <v>1899</v>
      </c>
      <c r="U1348" s="155" t="s">
        <v>1899</v>
      </c>
      <c r="V1348" s="154" t="s">
        <v>1562</v>
      </c>
      <c r="W1348" s="154">
        <v>0</v>
      </c>
      <c r="X1348" s="154" t="s">
        <v>63</v>
      </c>
      <c r="Y1348" s="154" t="s">
        <v>1900</v>
      </c>
      <c r="Z1348" s="154"/>
      <c r="AA1348" s="154" t="s">
        <v>1387</v>
      </c>
      <c r="AB1348" s="154">
        <v>0</v>
      </c>
      <c r="AC1348" s="138">
        <f>IFERROR(IF(DATEDIF(#REF!,U1348,"m")&lt;=1,1,IF(AND(DATEDIF(#REF!,U1348,"m")&gt;1,DATEDIF(#REF!,U1348,"m")&lt;12),2,IF(AND(DATEDIF(#REF!,U1348,"m")&gt;=12,DATEDIF(#REF!,U1348,"m")&lt;24),3,IF(DATEDIF(#REF!,U1348,"m")&gt;=24,4,"")))),IF(E1348="r0320 - Deposits, not covered and not preferential",1,4))</f>
        <v>4</v>
      </c>
    </row>
    <row r="1349" spans="3:29" ht="48.75" thickBot="1" x14ac:dyDescent="0.3">
      <c r="C1349" s="11">
        <v>999</v>
      </c>
      <c r="D1349" s="154">
        <v>1342</v>
      </c>
      <c r="E1349" s="154" t="s">
        <v>1902</v>
      </c>
      <c r="F1349" s="154" t="s">
        <v>83</v>
      </c>
      <c r="G1349" s="154" t="s">
        <v>1903</v>
      </c>
      <c r="H1349" s="154" t="s">
        <v>1224</v>
      </c>
      <c r="I1349" s="154" t="s">
        <v>93</v>
      </c>
      <c r="J1349" s="154" t="s">
        <v>94</v>
      </c>
      <c r="K1349" s="154" t="s">
        <v>60</v>
      </c>
      <c r="L1349" s="154" t="s">
        <v>1897</v>
      </c>
      <c r="M1349" s="154" t="s">
        <v>1388</v>
      </c>
      <c r="N1349" s="154" t="s">
        <v>61</v>
      </c>
      <c r="O1349" s="154" t="s">
        <v>62</v>
      </c>
      <c r="P1349" s="146">
        <v>84404.65</v>
      </c>
      <c r="Q1349" s="146">
        <v>-2.67</v>
      </c>
      <c r="R1349" s="154" t="s">
        <v>1384</v>
      </c>
      <c r="S1349" s="154" t="s">
        <v>1899</v>
      </c>
      <c r="T1349" s="155" t="s">
        <v>768</v>
      </c>
      <c r="U1349" s="155" t="s">
        <v>1899</v>
      </c>
      <c r="V1349" s="154" t="s">
        <v>1904</v>
      </c>
      <c r="W1349" s="154">
        <v>0</v>
      </c>
      <c r="X1349" s="154" t="s">
        <v>63</v>
      </c>
      <c r="Y1349" s="154" t="s">
        <v>1386</v>
      </c>
      <c r="Z1349" s="154"/>
      <c r="AA1349" s="154" t="s">
        <v>1387</v>
      </c>
      <c r="AB1349" s="154">
        <v>0</v>
      </c>
      <c r="AC1349" s="138">
        <f>IFERROR(IF(DATEDIF(#REF!,U1349,"m")&lt;=1,1,IF(AND(DATEDIF(#REF!,U1349,"m")&gt;1,DATEDIF(#REF!,U1349,"m")&lt;12),2,IF(AND(DATEDIF(#REF!,U1349,"m")&gt;=12,DATEDIF(#REF!,U1349,"m")&lt;24),3,IF(DATEDIF(#REF!,U1349,"m")&gt;=24,4,"")))),IF(E1349="r0320 - Deposits, not covered and not preferential",1,4))</f>
        <v>4</v>
      </c>
    </row>
    <row r="1350" spans="3:29" ht="36.75" thickBot="1" x14ac:dyDescent="0.3">
      <c r="C1350" s="11">
        <v>999</v>
      </c>
      <c r="D1350" s="154">
        <v>1343</v>
      </c>
      <c r="E1350" s="154" t="s">
        <v>1898</v>
      </c>
      <c r="F1350" s="154" t="s">
        <v>87</v>
      </c>
      <c r="G1350" s="154" t="s">
        <v>1402</v>
      </c>
      <c r="H1350" s="154" t="s">
        <v>726</v>
      </c>
      <c r="I1350" s="154" t="s">
        <v>108</v>
      </c>
      <c r="J1350" s="154" t="s">
        <v>90</v>
      </c>
      <c r="K1350" s="154" t="s">
        <v>91</v>
      </c>
      <c r="L1350" s="154" t="s">
        <v>1897</v>
      </c>
      <c r="M1350" s="154" t="s">
        <v>1383</v>
      </c>
      <c r="N1350" s="154" t="s">
        <v>61</v>
      </c>
      <c r="O1350" s="154" t="s">
        <v>62</v>
      </c>
      <c r="P1350" s="146">
        <v>0.43</v>
      </c>
      <c r="Q1350" s="146">
        <v>0</v>
      </c>
      <c r="R1350" s="154" t="s">
        <v>1384</v>
      </c>
      <c r="S1350" s="154" t="s">
        <v>1899</v>
      </c>
      <c r="T1350" s="155" t="s">
        <v>1899</v>
      </c>
      <c r="U1350" s="155" t="s">
        <v>1899</v>
      </c>
      <c r="V1350" s="154" t="s">
        <v>1562</v>
      </c>
      <c r="W1350" s="154">
        <v>0</v>
      </c>
      <c r="X1350" s="154" t="s">
        <v>63</v>
      </c>
      <c r="Y1350" s="154" t="s">
        <v>1900</v>
      </c>
      <c r="Z1350" s="154"/>
      <c r="AA1350" s="154" t="s">
        <v>1387</v>
      </c>
      <c r="AB1350" s="154">
        <v>0</v>
      </c>
      <c r="AC1350" s="138">
        <f>IFERROR(IF(DATEDIF(#REF!,U1350,"m")&lt;=1,1,IF(AND(DATEDIF(#REF!,U1350,"m")&gt;1,DATEDIF(#REF!,U1350,"m")&lt;12),2,IF(AND(DATEDIF(#REF!,U1350,"m")&gt;=12,DATEDIF(#REF!,U1350,"m")&lt;24),3,IF(DATEDIF(#REF!,U1350,"m")&gt;=24,4,"")))),IF(E1350="r0320 - Deposits, not covered and not preferential",1,4))</f>
        <v>4</v>
      </c>
    </row>
    <row r="1351" spans="3:29" ht="36.75" thickBot="1" x14ac:dyDescent="0.3">
      <c r="C1351" s="11">
        <v>999</v>
      </c>
      <c r="D1351" s="154">
        <v>1344</v>
      </c>
      <c r="E1351" s="154" t="s">
        <v>1898</v>
      </c>
      <c r="F1351" s="154" t="s">
        <v>87</v>
      </c>
      <c r="G1351" s="154" t="s">
        <v>1402</v>
      </c>
      <c r="H1351" s="154" t="s">
        <v>723</v>
      </c>
      <c r="I1351" s="154" t="s">
        <v>108</v>
      </c>
      <c r="J1351" s="154" t="s">
        <v>90</v>
      </c>
      <c r="K1351" s="154" t="s">
        <v>91</v>
      </c>
      <c r="L1351" s="154" t="s">
        <v>1897</v>
      </c>
      <c r="M1351" s="154" t="s">
        <v>1383</v>
      </c>
      <c r="N1351" s="154" t="s">
        <v>61</v>
      </c>
      <c r="O1351" s="154" t="s">
        <v>62</v>
      </c>
      <c r="P1351" s="146">
        <v>0.61</v>
      </c>
      <c r="Q1351" s="146">
        <v>0</v>
      </c>
      <c r="R1351" s="154" t="s">
        <v>1384</v>
      </c>
      <c r="S1351" s="154" t="s">
        <v>1899</v>
      </c>
      <c r="T1351" s="155" t="s">
        <v>1899</v>
      </c>
      <c r="U1351" s="155" t="s">
        <v>1899</v>
      </c>
      <c r="V1351" s="154" t="s">
        <v>1562</v>
      </c>
      <c r="W1351" s="154">
        <v>0</v>
      </c>
      <c r="X1351" s="154" t="s">
        <v>63</v>
      </c>
      <c r="Y1351" s="154" t="s">
        <v>1900</v>
      </c>
      <c r="Z1351" s="154"/>
      <c r="AA1351" s="154" t="s">
        <v>1387</v>
      </c>
      <c r="AB1351" s="154">
        <v>0</v>
      </c>
      <c r="AC1351" s="138">
        <f>IFERROR(IF(DATEDIF(#REF!,U1351,"m")&lt;=1,1,IF(AND(DATEDIF(#REF!,U1351,"m")&gt;1,DATEDIF(#REF!,U1351,"m")&lt;12),2,IF(AND(DATEDIF(#REF!,U1351,"m")&gt;=12,DATEDIF(#REF!,U1351,"m")&lt;24),3,IF(DATEDIF(#REF!,U1351,"m")&gt;=24,4,"")))),IF(E1351="r0320 - Deposits, not covered and not preferential",1,4))</f>
        <v>4</v>
      </c>
    </row>
    <row r="1352" spans="3:29" ht="36.75" thickBot="1" x14ac:dyDescent="0.3">
      <c r="C1352" s="11">
        <v>999</v>
      </c>
      <c r="D1352" s="154">
        <v>1345</v>
      </c>
      <c r="E1352" s="154" t="s">
        <v>1898</v>
      </c>
      <c r="F1352" s="154" t="s">
        <v>87</v>
      </c>
      <c r="G1352" s="154" t="s">
        <v>1402</v>
      </c>
      <c r="H1352" s="154" t="s">
        <v>118</v>
      </c>
      <c r="I1352" s="154" t="s">
        <v>108</v>
      </c>
      <c r="J1352" s="154" t="s">
        <v>90</v>
      </c>
      <c r="K1352" s="154" t="s">
        <v>91</v>
      </c>
      <c r="L1352" s="154" t="s">
        <v>1897</v>
      </c>
      <c r="M1352" s="154" t="s">
        <v>1383</v>
      </c>
      <c r="N1352" s="154" t="s">
        <v>61</v>
      </c>
      <c r="O1352" s="154" t="s">
        <v>62</v>
      </c>
      <c r="P1352" s="146">
        <v>0.68</v>
      </c>
      <c r="Q1352" s="146">
        <v>0</v>
      </c>
      <c r="R1352" s="154" t="s">
        <v>1384</v>
      </c>
      <c r="S1352" s="154" t="s">
        <v>1899</v>
      </c>
      <c r="T1352" s="155" t="s">
        <v>1899</v>
      </c>
      <c r="U1352" s="155" t="s">
        <v>1899</v>
      </c>
      <c r="V1352" s="154" t="s">
        <v>1562</v>
      </c>
      <c r="W1352" s="154">
        <v>0</v>
      </c>
      <c r="X1352" s="154" t="s">
        <v>63</v>
      </c>
      <c r="Y1352" s="154" t="s">
        <v>1900</v>
      </c>
      <c r="Z1352" s="154"/>
      <c r="AA1352" s="154" t="s">
        <v>1387</v>
      </c>
      <c r="AB1352" s="154">
        <v>0</v>
      </c>
      <c r="AC1352" s="138">
        <f>IFERROR(IF(DATEDIF(#REF!,U1352,"m")&lt;=1,1,IF(AND(DATEDIF(#REF!,U1352,"m")&gt;1,DATEDIF(#REF!,U1352,"m")&lt;12),2,IF(AND(DATEDIF(#REF!,U1352,"m")&gt;=12,DATEDIF(#REF!,U1352,"m")&lt;24),3,IF(DATEDIF(#REF!,U1352,"m")&gt;=24,4,"")))),IF(E1352="r0320 - Deposits, not covered and not preferential",1,4))</f>
        <v>4</v>
      </c>
    </row>
    <row r="1353" spans="3:29" ht="48.75" thickBot="1" x14ac:dyDescent="0.3">
      <c r="C1353" s="11">
        <v>999</v>
      </c>
      <c r="D1353" s="154">
        <v>1346</v>
      </c>
      <c r="E1353" s="154" t="s">
        <v>1902</v>
      </c>
      <c r="F1353" s="154" t="s">
        <v>83</v>
      </c>
      <c r="G1353" s="154" t="s">
        <v>1903</v>
      </c>
      <c r="H1353" s="154" t="s">
        <v>1165</v>
      </c>
      <c r="I1353" s="154" t="s">
        <v>101</v>
      </c>
      <c r="J1353" s="154" t="s">
        <v>102</v>
      </c>
      <c r="K1353" s="154" t="s">
        <v>60</v>
      </c>
      <c r="L1353" s="154" t="s">
        <v>1897</v>
      </c>
      <c r="M1353" s="154" t="s">
        <v>1388</v>
      </c>
      <c r="N1353" s="154" t="s">
        <v>61</v>
      </c>
      <c r="O1353" s="154" t="s">
        <v>62</v>
      </c>
      <c r="P1353" s="146">
        <v>247073.41</v>
      </c>
      <c r="Q1353" s="146">
        <v>100.32</v>
      </c>
      <c r="R1353" s="154" t="s">
        <v>1384</v>
      </c>
      <c r="S1353" s="154" t="s">
        <v>1899</v>
      </c>
      <c r="T1353" s="155" t="s">
        <v>768</v>
      </c>
      <c r="U1353" s="155" t="s">
        <v>1899</v>
      </c>
      <c r="V1353" s="154" t="s">
        <v>1904</v>
      </c>
      <c r="W1353" s="154">
        <v>0</v>
      </c>
      <c r="X1353" s="154" t="s">
        <v>63</v>
      </c>
      <c r="Y1353" s="154" t="s">
        <v>1386</v>
      </c>
      <c r="Z1353" s="154"/>
      <c r="AA1353" s="154" t="s">
        <v>1387</v>
      </c>
      <c r="AB1353" s="154">
        <v>0</v>
      </c>
      <c r="AC1353" s="138">
        <f>IFERROR(IF(DATEDIF(#REF!,U1353,"m")&lt;=1,1,IF(AND(DATEDIF(#REF!,U1353,"m")&gt;1,DATEDIF(#REF!,U1353,"m")&lt;12),2,IF(AND(DATEDIF(#REF!,U1353,"m")&gt;=12,DATEDIF(#REF!,U1353,"m")&lt;24),3,IF(DATEDIF(#REF!,U1353,"m")&gt;=24,4,"")))),IF(E1353="r0320 - Deposits, not covered and not preferential",1,4))</f>
        <v>4</v>
      </c>
    </row>
    <row r="1354" spans="3:29" ht="36.75" thickBot="1" x14ac:dyDescent="0.3">
      <c r="C1354" s="11">
        <v>999</v>
      </c>
      <c r="D1354" s="154">
        <v>1347</v>
      </c>
      <c r="E1354" s="154" t="s">
        <v>1898</v>
      </c>
      <c r="F1354" s="154" t="s">
        <v>87</v>
      </c>
      <c r="G1354" s="154" t="s">
        <v>1402</v>
      </c>
      <c r="H1354" s="154" t="s">
        <v>727</v>
      </c>
      <c r="I1354" s="154" t="s">
        <v>108</v>
      </c>
      <c r="J1354" s="154" t="s">
        <v>90</v>
      </c>
      <c r="K1354" s="154" t="s">
        <v>91</v>
      </c>
      <c r="L1354" s="154" t="s">
        <v>1897</v>
      </c>
      <c r="M1354" s="154" t="s">
        <v>1383</v>
      </c>
      <c r="N1354" s="154" t="s">
        <v>61</v>
      </c>
      <c r="O1354" s="154" t="s">
        <v>62</v>
      </c>
      <c r="P1354" s="146">
        <v>1.1599999999999999</v>
      </c>
      <c r="Q1354" s="146">
        <v>0</v>
      </c>
      <c r="R1354" s="154" t="s">
        <v>1384</v>
      </c>
      <c r="S1354" s="154" t="s">
        <v>1899</v>
      </c>
      <c r="T1354" s="155" t="s">
        <v>1899</v>
      </c>
      <c r="U1354" s="155" t="s">
        <v>1899</v>
      </c>
      <c r="V1354" s="154" t="s">
        <v>1562</v>
      </c>
      <c r="W1354" s="154">
        <v>0</v>
      </c>
      <c r="X1354" s="154" t="s">
        <v>63</v>
      </c>
      <c r="Y1354" s="154" t="s">
        <v>1900</v>
      </c>
      <c r="Z1354" s="154"/>
      <c r="AA1354" s="154" t="s">
        <v>1387</v>
      </c>
      <c r="AB1354" s="154">
        <v>0</v>
      </c>
      <c r="AC1354" s="138">
        <f>IFERROR(IF(DATEDIF(#REF!,U1354,"m")&lt;=1,1,IF(AND(DATEDIF(#REF!,U1354,"m")&gt;1,DATEDIF(#REF!,U1354,"m")&lt;12),2,IF(AND(DATEDIF(#REF!,U1354,"m")&gt;=12,DATEDIF(#REF!,U1354,"m")&lt;24),3,IF(DATEDIF(#REF!,U1354,"m")&gt;=24,4,"")))),IF(E1354="r0320 - Deposits, not covered and not preferential",1,4))</f>
        <v>4</v>
      </c>
    </row>
    <row r="1355" spans="3:29" ht="36.75" thickBot="1" x14ac:dyDescent="0.3">
      <c r="C1355" s="11">
        <v>999</v>
      </c>
      <c r="D1355" s="154">
        <v>1348</v>
      </c>
      <c r="E1355" s="154" t="s">
        <v>1898</v>
      </c>
      <c r="F1355" s="154" t="s">
        <v>87</v>
      </c>
      <c r="G1355" s="154" t="s">
        <v>1402</v>
      </c>
      <c r="H1355" s="154" t="s">
        <v>1210</v>
      </c>
      <c r="I1355" s="154" t="s">
        <v>108</v>
      </c>
      <c r="J1355" s="154" t="s">
        <v>90</v>
      </c>
      <c r="K1355" s="154" t="s">
        <v>91</v>
      </c>
      <c r="L1355" s="154" t="s">
        <v>1897</v>
      </c>
      <c r="M1355" s="154" t="s">
        <v>1383</v>
      </c>
      <c r="N1355" s="154" t="s">
        <v>61</v>
      </c>
      <c r="O1355" s="154" t="s">
        <v>62</v>
      </c>
      <c r="P1355" s="146">
        <v>1.04</v>
      </c>
      <c r="Q1355" s="146">
        <v>0</v>
      </c>
      <c r="R1355" s="154" t="s">
        <v>1384</v>
      </c>
      <c r="S1355" s="154" t="s">
        <v>1899</v>
      </c>
      <c r="T1355" s="155" t="s">
        <v>1899</v>
      </c>
      <c r="U1355" s="155" t="s">
        <v>1899</v>
      </c>
      <c r="V1355" s="154" t="s">
        <v>1562</v>
      </c>
      <c r="W1355" s="154">
        <v>0</v>
      </c>
      <c r="X1355" s="154" t="s">
        <v>63</v>
      </c>
      <c r="Y1355" s="154" t="s">
        <v>1900</v>
      </c>
      <c r="Z1355" s="154"/>
      <c r="AA1355" s="154" t="s">
        <v>1387</v>
      </c>
      <c r="AB1355" s="154">
        <v>0</v>
      </c>
      <c r="AC1355" s="138">
        <f>IFERROR(IF(DATEDIF(#REF!,U1355,"m")&lt;=1,1,IF(AND(DATEDIF(#REF!,U1355,"m")&gt;1,DATEDIF(#REF!,U1355,"m")&lt;12),2,IF(AND(DATEDIF(#REF!,U1355,"m")&gt;=12,DATEDIF(#REF!,U1355,"m")&lt;24),3,IF(DATEDIF(#REF!,U1355,"m")&gt;=24,4,"")))),IF(E1355="r0320 - Deposits, not covered and not preferential",1,4))</f>
        <v>4</v>
      </c>
    </row>
    <row r="1356" spans="3:29" ht="36.75" thickBot="1" x14ac:dyDescent="0.3">
      <c r="C1356" s="11">
        <v>999</v>
      </c>
      <c r="D1356" s="154">
        <v>1349</v>
      </c>
      <c r="E1356" s="154" t="s">
        <v>1898</v>
      </c>
      <c r="F1356" s="154" t="s">
        <v>87</v>
      </c>
      <c r="G1356" s="154" t="s">
        <v>1402</v>
      </c>
      <c r="H1356" s="154" t="s">
        <v>443</v>
      </c>
      <c r="I1356" s="154" t="s">
        <v>108</v>
      </c>
      <c r="J1356" s="154" t="s">
        <v>90</v>
      </c>
      <c r="K1356" s="154" t="s">
        <v>91</v>
      </c>
      <c r="L1356" s="154" t="s">
        <v>1897</v>
      </c>
      <c r="M1356" s="154" t="s">
        <v>1383</v>
      </c>
      <c r="N1356" s="154" t="s">
        <v>61</v>
      </c>
      <c r="O1356" s="154" t="s">
        <v>62</v>
      </c>
      <c r="P1356" s="146">
        <v>0.94</v>
      </c>
      <c r="Q1356" s="146">
        <v>0</v>
      </c>
      <c r="R1356" s="154" t="s">
        <v>1384</v>
      </c>
      <c r="S1356" s="154" t="s">
        <v>1899</v>
      </c>
      <c r="T1356" s="155" t="s">
        <v>1899</v>
      </c>
      <c r="U1356" s="155" t="s">
        <v>1899</v>
      </c>
      <c r="V1356" s="154" t="s">
        <v>1562</v>
      </c>
      <c r="W1356" s="154">
        <v>0</v>
      </c>
      <c r="X1356" s="154" t="s">
        <v>63</v>
      </c>
      <c r="Y1356" s="154" t="s">
        <v>1900</v>
      </c>
      <c r="Z1356" s="154"/>
      <c r="AA1356" s="154" t="s">
        <v>1387</v>
      </c>
      <c r="AB1356" s="154">
        <v>0</v>
      </c>
      <c r="AC1356" s="138">
        <f>IFERROR(IF(DATEDIF(#REF!,U1356,"m")&lt;=1,1,IF(AND(DATEDIF(#REF!,U1356,"m")&gt;1,DATEDIF(#REF!,U1356,"m")&lt;12),2,IF(AND(DATEDIF(#REF!,U1356,"m")&gt;=12,DATEDIF(#REF!,U1356,"m")&lt;24),3,IF(DATEDIF(#REF!,U1356,"m")&gt;=24,4,"")))),IF(E1356="r0320 - Deposits, not covered and not preferential",1,4))</f>
        <v>4</v>
      </c>
    </row>
    <row r="1357" spans="3:29" ht="48.75" thickBot="1" x14ac:dyDescent="0.3">
      <c r="C1357" s="11">
        <v>999</v>
      </c>
      <c r="D1357" s="154">
        <v>1350</v>
      </c>
      <c r="E1357" s="154" t="s">
        <v>1902</v>
      </c>
      <c r="F1357" s="154" t="s">
        <v>83</v>
      </c>
      <c r="G1357" s="154" t="s">
        <v>1903</v>
      </c>
      <c r="H1357" s="154" t="s">
        <v>278</v>
      </c>
      <c r="I1357" s="154" t="s">
        <v>101</v>
      </c>
      <c r="J1357" s="154" t="s">
        <v>102</v>
      </c>
      <c r="K1357" s="154" t="s">
        <v>60</v>
      </c>
      <c r="L1357" s="154" t="s">
        <v>1897</v>
      </c>
      <c r="M1357" s="154" t="s">
        <v>1388</v>
      </c>
      <c r="N1357" s="154" t="s">
        <v>61</v>
      </c>
      <c r="O1357" s="154" t="s">
        <v>62</v>
      </c>
      <c r="P1357" s="146">
        <v>865457.41</v>
      </c>
      <c r="Q1357" s="146">
        <v>117.94</v>
      </c>
      <c r="R1357" s="154" t="s">
        <v>1384</v>
      </c>
      <c r="S1357" s="154" t="s">
        <v>1899</v>
      </c>
      <c r="T1357" s="155" t="s">
        <v>768</v>
      </c>
      <c r="U1357" s="155" t="s">
        <v>1899</v>
      </c>
      <c r="V1357" s="154" t="s">
        <v>1904</v>
      </c>
      <c r="W1357" s="154">
        <v>0</v>
      </c>
      <c r="X1357" s="154" t="s">
        <v>63</v>
      </c>
      <c r="Y1357" s="154" t="s">
        <v>1386</v>
      </c>
      <c r="Z1357" s="154"/>
      <c r="AA1357" s="154" t="s">
        <v>1387</v>
      </c>
      <c r="AB1357" s="154">
        <v>0</v>
      </c>
      <c r="AC1357" s="138">
        <f>IFERROR(IF(DATEDIF(#REF!,U1357,"m")&lt;=1,1,IF(AND(DATEDIF(#REF!,U1357,"m")&gt;1,DATEDIF(#REF!,U1357,"m")&lt;12),2,IF(AND(DATEDIF(#REF!,U1357,"m")&gt;=12,DATEDIF(#REF!,U1357,"m")&lt;24),3,IF(DATEDIF(#REF!,U1357,"m")&gt;=24,4,"")))),IF(E1357="r0320 - Deposits, not covered and not preferential",1,4))</f>
        <v>4</v>
      </c>
    </row>
    <row r="1358" spans="3:29" ht="36.75" thickBot="1" x14ac:dyDescent="0.3">
      <c r="C1358" s="11">
        <v>999</v>
      </c>
      <c r="D1358" s="154">
        <v>1351</v>
      </c>
      <c r="E1358" s="154" t="s">
        <v>1898</v>
      </c>
      <c r="F1358" s="154" t="s">
        <v>87</v>
      </c>
      <c r="G1358" s="154" t="s">
        <v>1402</v>
      </c>
      <c r="H1358" s="154" t="s">
        <v>729</v>
      </c>
      <c r="I1358" s="154" t="s">
        <v>108</v>
      </c>
      <c r="J1358" s="154" t="s">
        <v>90</v>
      </c>
      <c r="K1358" s="154" t="s">
        <v>91</v>
      </c>
      <c r="L1358" s="154" t="s">
        <v>1897</v>
      </c>
      <c r="M1358" s="154" t="s">
        <v>1383</v>
      </c>
      <c r="N1358" s="154" t="s">
        <v>61</v>
      </c>
      <c r="O1358" s="154" t="s">
        <v>62</v>
      </c>
      <c r="P1358" s="146">
        <v>2.21</v>
      </c>
      <c r="Q1358" s="146">
        <v>0</v>
      </c>
      <c r="R1358" s="154" t="s">
        <v>1384</v>
      </c>
      <c r="S1358" s="154" t="s">
        <v>1899</v>
      </c>
      <c r="T1358" s="155" t="s">
        <v>1899</v>
      </c>
      <c r="U1358" s="155" t="s">
        <v>1899</v>
      </c>
      <c r="V1358" s="154" t="s">
        <v>1562</v>
      </c>
      <c r="W1358" s="154">
        <v>0</v>
      </c>
      <c r="X1358" s="154" t="s">
        <v>63</v>
      </c>
      <c r="Y1358" s="154" t="s">
        <v>1900</v>
      </c>
      <c r="Z1358" s="154"/>
      <c r="AA1358" s="154" t="s">
        <v>1387</v>
      </c>
      <c r="AB1358" s="154">
        <v>0</v>
      </c>
      <c r="AC1358" s="138">
        <f>IFERROR(IF(DATEDIF(#REF!,U1358,"m")&lt;=1,1,IF(AND(DATEDIF(#REF!,U1358,"m")&gt;1,DATEDIF(#REF!,U1358,"m")&lt;12),2,IF(AND(DATEDIF(#REF!,U1358,"m")&gt;=12,DATEDIF(#REF!,U1358,"m")&lt;24),3,IF(DATEDIF(#REF!,U1358,"m")&gt;=24,4,"")))),IF(E1358="r0320 - Deposits, not covered and not preferential",1,4))</f>
        <v>4</v>
      </c>
    </row>
    <row r="1359" spans="3:29" ht="36.75" thickBot="1" x14ac:dyDescent="0.3">
      <c r="C1359" s="11">
        <v>999</v>
      </c>
      <c r="D1359" s="154">
        <v>1352</v>
      </c>
      <c r="E1359" s="154" t="s">
        <v>1898</v>
      </c>
      <c r="F1359" s="154" t="s">
        <v>87</v>
      </c>
      <c r="G1359" s="154" t="s">
        <v>1402</v>
      </c>
      <c r="H1359" s="154" t="s">
        <v>1213</v>
      </c>
      <c r="I1359" s="154" t="s">
        <v>108</v>
      </c>
      <c r="J1359" s="154" t="s">
        <v>90</v>
      </c>
      <c r="K1359" s="154" t="s">
        <v>91</v>
      </c>
      <c r="L1359" s="154" t="s">
        <v>1897</v>
      </c>
      <c r="M1359" s="154" t="s">
        <v>1383</v>
      </c>
      <c r="N1359" s="154" t="s">
        <v>61</v>
      </c>
      <c r="O1359" s="154" t="s">
        <v>62</v>
      </c>
      <c r="P1359" s="146">
        <v>0.01</v>
      </c>
      <c r="Q1359" s="146">
        <v>0</v>
      </c>
      <c r="R1359" s="154" t="s">
        <v>1384</v>
      </c>
      <c r="S1359" s="154" t="s">
        <v>1899</v>
      </c>
      <c r="T1359" s="155" t="s">
        <v>1899</v>
      </c>
      <c r="U1359" s="155" t="s">
        <v>1899</v>
      </c>
      <c r="V1359" s="154" t="s">
        <v>1562</v>
      </c>
      <c r="W1359" s="154">
        <v>0</v>
      </c>
      <c r="X1359" s="154" t="s">
        <v>63</v>
      </c>
      <c r="Y1359" s="154" t="s">
        <v>1900</v>
      </c>
      <c r="Z1359" s="154"/>
      <c r="AA1359" s="154" t="s">
        <v>1387</v>
      </c>
      <c r="AB1359" s="154">
        <v>0</v>
      </c>
      <c r="AC1359" s="138">
        <f>IFERROR(IF(DATEDIF(#REF!,U1359,"m")&lt;=1,1,IF(AND(DATEDIF(#REF!,U1359,"m")&gt;1,DATEDIF(#REF!,U1359,"m")&lt;12),2,IF(AND(DATEDIF(#REF!,U1359,"m")&gt;=12,DATEDIF(#REF!,U1359,"m")&lt;24),3,IF(DATEDIF(#REF!,U1359,"m")&gt;=24,4,"")))),IF(E1359="r0320 - Deposits, not covered and not preferential",1,4))</f>
        <v>4</v>
      </c>
    </row>
    <row r="1360" spans="3:29" ht="36.75" thickBot="1" x14ac:dyDescent="0.3">
      <c r="C1360" s="11">
        <v>999</v>
      </c>
      <c r="D1360" s="154">
        <v>1353</v>
      </c>
      <c r="E1360" s="154" t="s">
        <v>1898</v>
      </c>
      <c r="F1360" s="154" t="s">
        <v>87</v>
      </c>
      <c r="G1360" s="154" t="s">
        <v>1402</v>
      </c>
      <c r="H1360" s="154" t="s">
        <v>273</v>
      </c>
      <c r="I1360" s="154" t="s">
        <v>108</v>
      </c>
      <c r="J1360" s="154" t="s">
        <v>90</v>
      </c>
      <c r="K1360" s="154" t="s">
        <v>91</v>
      </c>
      <c r="L1360" s="154" t="s">
        <v>1897</v>
      </c>
      <c r="M1360" s="154" t="s">
        <v>1383</v>
      </c>
      <c r="N1360" s="154" t="s">
        <v>61</v>
      </c>
      <c r="O1360" s="154" t="s">
        <v>62</v>
      </c>
      <c r="P1360" s="146">
        <v>1.1299999999999999</v>
      </c>
      <c r="Q1360" s="146">
        <v>0</v>
      </c>
      <c r="R1360" s="154" t="s">
        <v>1384</v>
      </c>
      <c r="S1360" s="154" t="s">
        <v>1899</v>
      </c>
      <c r="T1360" s="155" t="s">
        <v>1899</v>
      </c>
      <c r="U1360" s="155" t="s">
        <v>1899</v>
      </c>
      <c r="V1360" s="154" t="s">
        <v>1562</v>
      </c>
      <c r="W1360" s="154">
        <v>0</v>
      </c>
      <c r="X1360" s="154" t="s">
        <v>63</v>
      </c>
      <c r="Y1360" s="154" t="s">
        <v>1900</v>
      </c>
      <c r="Z1360" s="154"/>
      <c r="AA1360" s="154" t="s">
        <v>1387</v>
      </c>
      <c r="AB1360" s="154">
        <v>0</v>
      </c>
      <c r="AC1360" s="138">
        <f>IFERROR(IF(DATEDIF(#REF!,U1360,"m")&lt;=1,1,IF(AND(DATEDIF(#REF!,U1360,"m")&gt;1,DATEDIF(#REF!,U1360,"m")&lt;12),2,IF(AND(DATEDIF(#REF!,U1360,"m")&gt;=12,DATEDIF(#REF!,U1360,"m")&lt;24),3,IF(DATEDIF(#REF!,U1360,"m")&gt;=24,4,"")))),IF(E1360="r0320 - Deposits, not covered and not preferential",1,4))</f>
        <v>4</v>
      </c>
    </row>
    <row r="1361" spans="3:29" ht="48.75" thickBot="1" x14ac:dyDescent="0.3">
      <c r="C1361" s="11">
        <v>999</v>
      </c>
      <c r="D1361" s="154">
        <v>1354</v>
      </c>
      <c r="E1361" s="154" t="s">
        <v>1902</v>
      </c>
      <c r="F1361" s="154" t="s">
        <v>83</v>
      </c>
      <c r="G1361" s="154" t="s">
        <v>1903</v>
      </c>
      <c r="H1361" s="154" t="s">
        <v>444</v>
      </c>
      <c r="I1361" s="154" t="s">
        <v>93</v>
      </c>
      <c r="J1361" s="154" t="s">
        <v>94</v>
      </c>
      <c r="K1361" s="154" t="s">
        <v>60</v>
      </c>
      <c r="L1361" s="154" t="s">
        <v>1897</v>
      </c>
      <c r="M1361" s="154" t="s">
        <v>1388</v>
      </c>
      <c r="N1361" s="154" t="s">
        <v>61</v>
      </c>
      <c r="O1361" s="154" t="s">
        <v>62</v>
      </c>
      <c r="P1361" s="146">
        <v>17296.57</v>
      </c>
      <c r="Q1361" s="146">
        <v>1.78</v>
      </c>
      <c r="R1361" s="154" t="s">
        <v>1384</v>
      </c>
      <c r="S1361" s="154" t="s">
        <v>1899</v>
      </c>
      <c r="T1361" s="155" t="s">
        <v>768</v>
      </c>
      <c r="U1361" s="155" t="s">
        <v>1899</v>
      </c>
      <c r="V1361" s="154" t="s">
        <v>1904</v>
      </c>
      <c r="W1361" s="154">
        <v>0</v>
      </c>
      <c r="X1361" s="154" t="s">
        <v>63</v>
      </c>
      <c r="Y1361" s="154" t="s">
        <v>1386</v>
      </c>
      <c r="Z1361" s="154"/>
      <c r="AA1361" s="154" t="s">
        <v>1387</v>
      </c>
      <c r="AB1361" s="154">
        <v>0</v>
      </c>
      <c r="AC1361" s="138">
        <f>IFERROR(IF(DATEDIF(#REF!,U1361,"m")&lt;=1,1,IF(AND(DATEDIF(#REF!,U1361,"m")&gt;1,DATEDIF(#REF!,U1361,"m")&lt;12),2,IF(AND(DATEDIF(#REF!,U1361,"m")&gt;=12,DATEDIF(#REF!,U1361,"m")&lt;24),3,IF(DATEDIF(#REF!,U1361,"m")&gt;=24,4,"")))),IF(E1361="r0320 - Deposits, not covered and not preferential",1,4))</f>
        <v>4</v>
      </c>
    </row>
    <row r="1362" spans="3:29" ht="36.75" thickBot="1" x14ac:dyDescent="0.3">
      <c r="C1362" s="11">
        <v>999</v>
      </c>
      <c r="D1362" s="154">
        <v>1355</v>
      </c>
      <c r="E1362" s="154" t="s">
        <v>1898</v>
      </c>
      <c r="F1362" s="154" t="s">
        <v>87</v>
      </c>
      <c r="G1362" s="154" t="s">
        <v>1402</v>
      </c>
      <c r="H1362" s="154" t="s">
        <v>731</v>
      </c>
      <c r="I1362" s="154" t="s">
        <v>108</v>
      </c>
      <c r="J1362" s="154" t="s">
        <v>90</v>
      </c>
      <c r="K1362" s="154" t="s">
        <v>91</v>
      </c>
      <c r="L1362" s="154" t="s">
        <v>1897</v>
      </c>
      <c r="M1362" s="154" t="s">
        <v>1383</v>
      </c>
      <c r="N1362" s="154" t="s">
        <v>61</v>
      </c>
      <c r="O1362" s="154" t="s">
        <v>62</v>
      </c>
      <c r="P1362" s="146">
        <v>2.64</v>
      </c>
      <c r="Q1362" s="146">
        <v>0</v>
      </c>
      <c r="R1362" s="154" t="s">
        <v>1384</v>
      </c>
      <c r="S1362" s="154" t="s">
        <v>1899</v>
      </c>
      <c r="T1362" s="155" t="s">
        <v>1899</v>
      </c>
      <c r="U1362" s="155" t="s">
        <v>1899</v>
      </c>
      <c r="V1362" s="154" t="s">
        <v>1562</v>
      </c>
      <c r="W1362" s="154">
        <v>0</v>
      </c>
      <c r="X1362" s="154" t="s">
        <v>63</v>
      </c>
      <c r="Y1362" s="154" t="s">
        <v>1900</v>
      </c>
      <c r="Z1362" s="154"/>
      <c r="AA1362" s="154" t="s">
        <v>1387</v>
      </c>
      <c r="AB1362" s="154">
        <v>0</v>
      </c>
      <c r="AC1362" s="138">
        <f>IFERROR(IF(DATEDIF(#REF!,U1362,"m")&lt;=1,1,IF(AND(DATEDIF(#REF!,U1362,"m")&gt;1,DATEDIF(#REF!,U1362,"m")&lt;12),2,IF(AND(DATEDIF(#REF!,U1362,"m")&gt;=12,DATEDIF(#REF!,U1362,"m")&lt;24),3,IF(DATEDIF(#REF!,U1362,"m")&gt;=24,4,"")))),IF(E1362="r0320 - Deposits, not covered and not preferential",1,4))</f>
        <v>4</v>
      </c>
    </row>
    <row r="1363" spans="3:29" ht="36.75" thickBot="1" x14ac:dyDescent="0.3">
      <c r="C1363" s="11">
        <v>999</v>
      </c>
      <c r="D1363" s="154">
        <v>1356</v>
      </c>
      <c r="E1363" s="154" t="s">
        <v>1898</v>
      </c>
      <c r="F1363" s="154" t="s">
        <v>87</v>
      </c>
      <c r="G1363" s="154" t="s">
        <v>1402</v>
      </c>
      <c r="H1363" s="154" t="s">
        <v>1206</v>
      </c>
      <c r="I1363" s="154" t="s">
        <v>108</v>
      </c>
      <c r="J1363" s="154" t="s">
        <v>90</v>
      </c>
      <c r="K1363" s="154" t="s">
        <v>91</v>
      </c>
      <c r="L1363" s="154" t="s">
        <v>1897</v>
      </c>
      <c r="M1363" s="154" t="s">
        <v>1383</v>
      </c>
      <c r="N1363" s="154" t="s">
        <v>61</v>
      </c>
      <c r="O1363" s="154" t="s">
        <v>62</v>
      </c>
      <c r="P1363" s="146">
        <v>0.56000000000000005</v>
      </c>
      <c r="Q1363" s="146">
        <v>0</v>
      </c>
      <c r="R1363" s="154" t="s">
        <v>1384</v>
      </c>
      <c r="S1363" s="154" t="s">
        <v>1899</v>
      </c>
      <c r="T1363" s="155" t="s">
        <v>1899</v>
      </c>
      <c r="U1363" s="155" t="s">
        <v>1899</v>
      </c>
      <c r="V1363" s="154" t="s">
        <v>1562</v>
      </c>
      <c r="W1363" s="154">
        <v>0</v>
      </c>
      <c r="X1363" s="154" t="s">
        <v>63</v>
      </c>
      <c r="Y1363" s="154" t="s">
        <v>1900</v>
      </c>
      <c r="Z1363" s="154"/>
      <c r="AA1363" s="154" t="s">
        <v>1387</v>
      </c>
      <c r="AB1363" s="154">
        <v>0</v>
      </c>
      <c r="AC1363" s="138">
        <f>IFERROR(IF(DATEDIF(#REF!,U1363,"m")&lt;=1,1,IF(AND(DATEDIF(#REF!,U1363,"m")&gt;1,DATEDIF(#REF!,U1363,"m")&lt;12),2,IF(AND(DATEDIF(#REF!,U1363,"m")&gt;=12,DATEDIF(#REF!,U1363,"m")&lt;24),3,IF(DATEDIF(#REF!,U1363,"m")&gt;=24,4,"")))),IF(E1363="r0320 - Deposits, not covered and not preferential",1,4))</f>
        <v>4</v>
      </c>
    </row>
    <row r="1364" spans="3:29" ht="36.75" thickBot="1" x14ac:dyDescent="0.3">
      <c r="C1364" s="11">
        <v>999</v>
      </c>
      <c r="D1364" s="154">
        <v>1357</v>
      </c>
      <c r="E1364" s="154" t="s">
        <v>1898</v>
      </c>
      <c r="F1364" s="154" t="s">
        <v>87</v>
      </c>
      <c r="G1364" s="154" t="s">
        <v>1402</v>
      </c>
      <c r="H1364" s="154" t="s">
        <v>445</v>
      </c>
      <c r="I1364" s="154" t="s">
        <v>108</v>
      </c>
      <c r="J1364" s="154" t="s">
        <v>90</v>
      </c>
      <c r="K1364" s="154" t="s">
        <v>91</v>
      </c>
      <c r="L1364" s="154" t="s">
        <v>1897</v>
      </c>
      <c r="M1364" s="154" t="s">
        <v>1383</v>
      </c>
      <c r="N1364" s="154" t="s">
        <v>61</v>
      </c>
      <c r="O1364" s="154" t="s">
        <v>62</v>
      </c>
      <c r="P1364" s="146">
        <v>0.56999999999999995</v>
      </c>
      <c r="Q1364" s="146">
        <v>0</v>
      </c>
      <c r="R1364" s="154" t="s">
        <v>1384</v>
      </c>
      <c r="S1364" s="154" t="s">
        <v>1899</v>
      </c>
      <c r="T1364" s="155" t="s">
        <v>1899</v>
      </c>
      <c r="U1364" s="155" t="s">
        <v>1899</v>
      </c>
      <c r="V1364" s="154" t="s">
        <v>1562</v>
      </c>
      <c r="W1364" s="154">
        <v>0</v>
      </c>
      <c r="X1364" s="154" t="s">
        <v>63</v>
      </c>
      <c r="Y1364" s="154" t="s">
        <v>1900</v>
      </c>
      <c r="Z1364" s="154"/>
      <c r="AA1364" s="154" t="s">
        <v>1387</v>
      </c>
      <c r="AB1364" s="154">
        <v>0</v>
      </c>
      <c r="AC1364" s="138">
        <f>IFERROR(IF(DATEDIF(#REF!,U1364,"m")&lt;=1,1,IF(AND(DATEDIF(#REF!,U1364,"m")&gt;1,DATEDIF(#REF!,U1364,"m")&lt;12),2,IF(AND(DATEDIF(#REF!,U1364,"m")&gt;=12,DATEDIF(#REF!,U1364,"m")&lt;24),3,IF(DATEDIF(#REF!,U1364,"m")&gt;=24,4,"")))),IF(E1364="r0320 - Deposits, not covered and not preferential",1,4))</f>
        <v>4</v>
      </c>
    </row>
    <row r="1365" spans="3:29" ht="48.75" thickBot="1" x14ac:dyDescent="0.3">
      <c r="C1365" s="11">
        <v>999</v>
      </c>
      <c r="D1365" s="154">
        <v>1358</v>
      </c>
      <c r="E1365" s="154" t="s">
        <v>1902</v>
      </c>
      <c r="F1365" s="154" t="s">
        <v>83</v>
      </c>
      <c r="G1365" s="154" t="s">
        <v>1903</v>
      </c>
      <c r="H1365" s="154" t="s">
        <v>450</v>
      </c>
      <c r="I1365" s="154" t="s">
        <v>101</v>
      </c>
      <c r="J1365" s="154" t="s">
        <v>102</v>
      </c>
      <c r="K1365" s="154" t="s">
        <v>60</v>
      </c>
      <c r="L1365" s="154" t="s">
        <v>1897</v>
      </c>
      <c r="M1365" s="154" t="s">
        <v>1388</v>
      </c>
      <c r="N1365" s="154" t="s">
        <v>61</v>
      </c>
      <c r="O1365" s="154" t="s">
        <v>62</v>
      </c>
      <c r="P1365" s="146">
        <v>16013.57</v>
      </c>
      <c r="Q1365" s="146">
        <v>0.65</v>
      </c>
      <c r="R1365" s="154" t="s">
        <v>1384</v>
      </c>
      <c r="S1365" s="154" t="s">
        <v>1899</v>
      </c>
      <c r="T1365" s="155" t="s">
        <v>768</v>
      </c>
      <c r="U1365" s="155" t="s">
        <v>1899</v>
      </c>
      <c r="V1365" s="154" t="s">
        <v>1904</v>
      </c>
      <c r="W1365" s="154">
        <v>0</v>
      </c>
      <c r="X1365" s="154" t="s">
        <v>63</v>
      </c>
      <c r="Y1365" s="154" t="s">
        <v>1386</v>
      </c>
      <c r="Z1365" s="154"/>
      <c r="AA1365" s="154" t="s">
        <v>1387</v>
      </c>
      <c r="AB1365" s="154">
        <v>0</v>
      </c>
      <c r="AC1365" s="138">
        <f>IFERROR(IF(DATEDIF(#REF!,U1365,"m")&lt;=1,1,IF(AND(DATEDIF(#REF!,U1365,"m")&gt;1,DATEDIF(#REF!,U1365,"m")&lt;12),2,IF(AND(DATEDIF(#REF!,U1365,"m")&gt;=12,DATEDIF(#REF!,U1365,"m")&lt;24),3,IF(DATEDIF(#REF!,U1365,"m")&gt;=24,4,"")))),IF(E1365="r0320 - Deposits, not covered and not preferential",1,4))</f>
        <v>4</v>
      </c>
    </row>
    <row r="1366" spans="3:29" ht="36.75" thickBot="1" x14ac:dyDescent="0.3">
      <c r="C1366" s="11">
        <v>999</v>
      </c>
      <c r="D1366" s="154">
        <v>1359</v>
      </c>
      <c r="E1366" s="154" t="s">
        <v>1898</v>
      </c>
      <c r="F1366" s="154" t="s">
        <v>260</v>
      </c>
      <c r="G1366" s="154" t="s">
        <v>1402</v>
      </c>
      <c r="H1366" s="154" t="s">
        <v>57</v>
      </c>
      <c r="I1366" s="154" t="s">
        <v>783</v>
      </c>
      <c r="J1366" s="154" t="s">
        <v>784</v>
      </c>
      <c r="K1366" s="154" t="s">
        <v>91</v>
      </c>
      <c r="L1366" s="154" t="s">
        <v>1897</v>
      </c>
      <c r="M1366" s="154" t="s">
        <v>1388</v>
      </c>
      <c r="N1366" s="154" t="s">
        <v>61</v>
      </c>
      <c r="O1366" s="154" t="s">
        <v>62</v>
      </c>
      <c r="P1366" s="146">
        <v>689.36</v>
      </c>
      <c r="Q1366" s="146">
        <v>0</v>
      </c>
      <c r="R1366" s="154" t="s">
        <v>1384</v>
      </c>
      <c r="S1366" s="154" t="s">
        <v>1899</v>
      </c>
      <c r="T1366" s="155" t="s">
        <v>1899</v>
      </c>
      <c r="U1366" s="155" t="s">
        <v>1899</v>
      </c>
      <c r="V1366" s="154" t="s">
        <v>1562</v>
      </c>
      <c r="W1366" s="154">
        <v>0</v>
      </c>
      <c r="X1366" s="154" t="s">
        <v>63</v>
      </c>
      <c r="Y1366" s="154" t="s">
        <v>1900</v>
      </c>
      <c r="Z1366" s="154"/>
      <c r="AA1366" s="154" t="s">
        <v>1387</v>
      </c>
      <c r="AB1366" s="154">
        <v>0</v>
      </c>
      <c r="AC1366" s="138">
        <f>IFERROR(IF(DATEDIF(#REF!,U1366,"m")&lt;=1,1,IF(AND(DATEDIF(#REF!,U1366,"m")&gt;1,DATEDIF(#REF!,U1366,"m")&lt;12),2,IF(AND(DATEDIF(#REF!,U1366,"m")&gt;=12,DATEDIF(#REF!,U1366,"m")&lt;24),3,IF(DATEDIF(#REF!,U1366,"m")&gt;=24,4,"")))),IF(E1366="r0320 - Deposits, not covered and not preferential",1,4))</f>
        <v>4</v>
      </c>
    </row>
    <row r="1367" spans="3:29" ht="36.75" thickBot="1" x14ac:dyDescent="0.3">
      <c r="C1367" s="11">
        <v>999</v>
      </c>
      <c r="D1367" s="154">
        <v>1360</v>
      </c>
      <c r="E1367" s="154" t="s">
        <v>1898</v>
      </c>
      <c r="F1367" s="154" t="s">
        <v>87</v>
      </c>
      <c r="G1367" s="154" t="s">
        <v>1402</v>
      </c>
      <c r="H1367" s="154" t="s">
        <v>1217</v>
      </c>
      <c r="I1367" s="154" t="s">
        <v>108</v>
      </c>
      <c r="J1367" s="154" t="s">
        <v>90</v>
      </c>
      <c r="K1367" s="154" t="s">
        <v>91</v>
      </c>
      <c r="L1367" s="154" t="s">
        <v>1897</v>
      </c>
      <c r="M1367" s="154" t="s">
        <v>1383</v>
      </c>
      <c r="N1367" s="154" t="s">
        <v>61</v>
      </c>
      <c r="O1367" s="154" t="s">
        <v>62</v>
      </c>
      <c r="P1367" s="146">
        <v>1.43</v>
      </c>
      <c r="Q1367" s="146">
        <v>0</v>
      </c>
      <c r="R1367" s="154" t="s">
        <v>1384</v>
      </c>
      <c r="S1367" s="154" t="s">
        <v>1899</v>
      </c>
      <c r="T1367" s="155" t="s">
        <v>1899</v>
      </c>
      <c r="U1367" s="155" t="s">
        <v>1899</v>
      </c>
      <c r="V1367" s="154" t="s">
        <v>1562</v>
      </c>
      <c r="W1367" s="154">
        <v>0</v>
      </c>
      <c r="X1367" s="154" t="s">
        <v>63</v>
      </c>
      <c r="Y1367" s="154" t="s">
        <v>1900</v>
      </c>
      <c r="Z1367" s="154"/>
      <c r="AA1367" s="154" t="s">
        <v>1387</v>
      </c>
      <c r="AB1367" s="154">
        <v>0</v>
      </c>
      <c r="AC1367" s="138">
        <f>IFERROR(IF(DATEDIF(#REF!,U1367,"m")&lt;=1,1,IF(AND(DATEDIF(#REF!,U1367,"m")&gt;1,DATEDIF(#REF!,U1367,"m")&lt;12),2,IF(AND(DATEDIF(#REF!,U1367,"m")&gt;=12,DATEDIF(#REF!,U1367,"m")&lt;24),3,IF(DATEDIF(#REF!,U1367,"m")&gt;=24,4,"")))),IF(E1367="r0320 - Deposits, not covered and not preferential",1,4))</f>
        <v>4</v>
      </c>
    </row>
    <row r="1368" spans="3:29" ht="36.75" thickBot="1" x14ac:dyDescent="0.3">
      <c r="C1368" s="11">
        <v>999</v>
      </c>
      <c r="D1368" s="154">
        <v>1361</v>
      </c>
      <c r="E1368" s="154" t="s">
        <v>1898</v>
      </c>
      <c r="F1368" s="154" t="s">
        <v>260</v>
      </c>
      <c r="G1368" s="154" t="s">
        <v>1402</v>
      </c>
      <c r="H1368" s="154" t="s">
        <v>782</v>
      </c>
      <c r="I1368" s="154" t="s">
        <v>783</v>
      </c>
      <c r="J1368" s="154" t="s">
        <v>784</v>
      </c>
      <c r="K1368" s="154" t="s">
        <v>91</v>
      </c>
      <c r="L1368" s="154" t="s">
        <v>1897</v>
      </c>
      <c r="M1368" s="154" t="s">
        <v>1388</v>
      </c>
      <c r="N1368" s="154" t="s">
        <v>61</v>
      </c>
      <c r="O1368" s="154" t="s">
        <v>62</v>
      </c>
      <c r="P1368" s="146">
        <v>9.5299999999999994</v>
      </c>
      <c r="Q1368" s="146">
        <v>0</v>
      </c>
      <c r="R1368" s="154" t="s">
        <v>1384</v>
      </c>
      <c r="S1368" s="154" t="s">
        <v>1899</v>
      </c>
      <c r="T1368" s="155" t="s">
        <v>1899</v>
      </c>
      <c r="U1368" s="155" t="s">
        <v>1899</v>
      </c>
      <c r="V1368" s="154" t="s">
        <v>1562</v>
      </c>
      <c r="W1368" s="154">
        <v>0</v>
      </c>
      <c r="X1368" s="154" t="s">
        <v>63</v>
      </c>
      <c r="Y1368" s="154" t="s">
        <v>1900</v>
      </c>
      <c r="Z1368" s="154"/>
      <c r="AA1368" s="154" t="s">
        <v>1387</v>
      </c>
      <c r="AB1368" s="154">
        <v>0</v>
      </c>
      <c r="AC1368" s="138">
        <f>IFERROR(IF(DATEDIF(#REF!,U1368,"m")&lt;=1,1,IF(AND(DATEDIF(#REF!,U1368,"m")&gt;1,DATEDIF(#REF!,U1368,"m")&lt;12),2,IF(AND(DATEDIF(#REF!,U1368,"m")&gt;=12,DATEDIF(#REF!,U1368,"m")&lt;24),3,IF(DATEDIF(#REF!,U1368,"m")&gt;=24,4,"")))),IF(E1368="r0320 - Deposits, not covered and not preferential",1,4))</f>
        <v>4</v>
      </c>
    </row>
    <row r="1369" spans="3:29" ht="36.75" thickBot="1" x14ac:dyDescent="0.3">
      <c r="C1369" s="11">
        <v>999</v>
      </c>
      <c r="D1369" s="154">
        <v>1362</v>
      </c>
      <c r="E1369" s="154" t="s">
        <v>1895</v>
      </c>
      <c r="F1369" s="154" t="s">
        <v>83</v>
      </c>
      <c r="G1369" s="154" t="s">
        <v>1896</v>
      </c>
      <c r="H1369" s="154" t="s">
        <v>57</v>
      </c>
      <c r="I1369" s="154" t="s">
        <v>917</v>
      </c>
      <c r="J1369" s="154" t="s">
        <v>918</v>
      </c>
      <c r="K1369" s="154" t="s">
        <v>60</v>
      </c>
      <c r="L1369" s="154" t="s">
        <v>1897</v>
      </c>
      <c r="M1369" s="154" t="s">
        <v>1383</v>
      </c>
      <c r="N1369" s="154" t="s">
        <v>61</v>
      </c>
      <c r="O1369" s="154" t="s">
        <v>62</v>
      </c>
      <c r="P1369" s="146">
        <v>3883638.17</v>
      </c>
      <c r="Q1369" s="146">
        <v>0</v>
      </c>
      <c r="R1369" s="154" t="s">
        <v>1384</v>
      </c>
      <c r="S1369" s="154" t="s">
        <v>1385</v>
      </c>
      <c r="T1369" s="155">
        <v>44564</v>
      </c>
      <c r="U1369" s="155">
        <v>44564</v>
      </c>
      <c r="V1369" s="154" t="s">
        <v>1562</v>
      </c>
      <c r="W1369" s="154">
        <v>0</v>
      </c>
      <c r="X1369" s="154" t="s">
        <v>63</v>
      </c>
      <c r="Y1369" s="154" t="s">
        <v>1386</v>
      </c>
      <c r="Z1369" s="154"/>
      <c r="AA1369" s="154" t="s">
        <v>1387</v>
      </c>
      <c r="AB1369" s="154">
        <v>0</v>
      </c>
      <c r="AC1369" s="138">
        <f>IFERROR(IF(DATEDIF(#REF!,U1369,"m")&lt;=1,1,IF(AND(DATEDIF(#REF!,U1369,"m")&gt;1,DATEDIF(#REF!,U1369,"m")&lt;12),2,IF(AND(DATEDIF(#REF!,U1369,"m")&gt;=12,DATEDIF(#REF!,U1369,"m")&lt;24),3,IF(DATEDIF(#REF!,U1369,"m")&gt;=24,4,"")))),IF(E1369="r0320 - Deposits, not covered and not preferential",1,4))</f>
        <v>1</v>
      </c>
    </row>
    <row r="1370" spans="3:29" ht="36.75" thickBot="1" x14ac:dyDescent="0.3">
      <c r="C1370" s="11">
        <v>999</v>
      </c>
      <c r="D1370" s="154">
        <v>1363</v>
      </c>
      <c r="E1370" s="154" t="s">
        <v>1898</v>
      </c>
      <c r="F1370" s="154" t="s">
        <v>87</v>
      </c>
      <c r="G1370" s="154" t="s">
        <v>1402</v>
      </c>
      <c r="H1370" s="154" t="s">
        <v>578</v>
      </c>
      <c r="I1370" s="154" t="s">
        <v>89</v>
      </c>
      <c r="J1370" s="154" t="s">
        <v>90</v>
      </c>
      <c r="K1370" s="154" t="s">
        <v>91</v>
      </c>
      <c r="L1370" s="154" t="s">
        <v>1901</v>
      </c>
      <c r="M1370" s="154" t="s">
        <v>1383</v>
      </c>
      <c r="N1370" s="154" t="s">
        <v>61</v>
      </c>
      <c r="O1370" s="154" t="s">
        <v>62</v>
      </c>
      <c r="P1370" s="146">
        <v>0.02</v>
      </c>
      <c r="Q1370" s="146">
        <v>0</v>
      </c>
      <c r="R1370" s="154" t="s">
        <v>1384</v>
      </c>
      <c r="S1370" s="154" t="s">
        <v>1899</v>
      </c>
      <c r="T1370" s="155" t="s">
        <v>1899</v>
      </c>
      <c r="U1370" s="155" t="s">
        <v>1899</v>
      </c>
      <c r="V1370" s="154" t="s">
        <v>1562</v>
      </c>
      <c r="W1370" s="154">
        <v>0</v>
      </c>
      <c r="X1370" s="154" t="s">
        <v>63</v>
      </c>
      <c r="Y1370" s="154" t="s">
        <v>1900</v>
      </c>
      <c r="Z1370" s="154"/>
      <c r="AA1370" s="154" t="s">
        <v>1387</v>
      </c>
      <c r="AB1370" s="154">
        <v>0</v>
      </c>
      <c r="AC1370" s="138">
        <f>IFERROR(IF(DATEDIF(#REF!,U1370,"m")&lt;=1,1,IF(AND(DATEDIF(#REF!,U1370,"m")&gt;1,DATEDIF(#REF!,U1370,"m")&lt;12),2,IF(AND(DATEDIF(#REF!,U1370,"m")&gt;=12,DATEDIF(#REF!,U1370,"m")&lt;24),3,IF(DATEDIF(#REF!,U1370,"m")&gt;=24,4,"")))),IF(E1370="r0320 - Deposits, not covered and not preferential",1,4))</f>
        <v>4</v>
      </c>
    </row>
    <row r="1371" spans="3:29" ht="36.75" thickBot="1" x14ac:dyDescent="0.3">
      <c r="C1371" s="11">
        <v>999</v>
      </c>
      <c r="D1371" s="154">
        <v>1364</v>
      </c>
      <c r="E1371" s="154" t="s">
        <v>1898</v>
      </c>
      <c r="F1371" s="154" t="s">
        <v>56</v>
      </c>
      <c r="G1371" s="154" t="s">
        <v>1402</v>
      </c>
      <c r="H1371" s="154" t="s">
        <v>1219</v>
      </c>
      <c r="I1371" s="154" t="s">
        <v>66</v>
      </c>
      <c r="J1371" s="154" t="s">
        <v>67</v>
      </c>
      <c r="K1371" s="154" t="s">
        <v>60</v>
      </c>
      <c r="L1371" s="154" t="s">
        <v>1897</v>
      </c>
      <c r="M1371" s="154" t="s">
        <v>1383</v>
      </c>
      <c r="N1371" s="154" t="s">
        <v>61</v>
      </c>
      <c r="O1371" s="154" t="s">
        <v>62</v>
      </c>
      <c r="P1371" s="146">
        <v>0.31</v>
      </c>
      <c r="Q1371" s="146">
        <v>0</v>
      </c>
      <c r="R1371" s="154" t="s">
        <v>1384</v>
      </c>
      <c r="S1371" s="154" t="s">
        <v>1899</v>
      </c>
      <c r="T1371" s="155" t="s">
        <v>1899</v>
      </c>
      <c r="U1371" s="155" t="s">
        <v>1899</v>
      </c>
      <c r="V1371" s="154" t="s">
        <v>1562</v>
      </c>
      <c r="W1371" s="154">
        <v>0</v>
      </c>
      <c r="X1371" s="154" t="s">
        <v>63</v>
      </c>
      <c r="Y1371" s="154" t="s">
        <v>1900</v>
      </c>
      <c r="Z1371" s="154"/>
      <c r="AA1371" s="154" t="s">
        <v>1387</v>
      </c>
      <c r="AB1371" s="154">
        <v>0</v>
      </c>
      <c r="AC1371" s="138">
        <f>IFERROR(IF(DATEDIF(#REF!,U1371,"m")&lt;=1,1,IF(AND(DATEDIF(#REF!,U1371,"m")&gt;1,DATEDIF(#REF!,U1371,"m")&lt;12),2,IF(AND(DATEDIF(#REF!,U1371,"m")&gt;=12,DATEDIF(#REF!,U1371,"m")&lt;24),3,IF(DATEDIF(#REF!,U1371,"m")&gt;=24,4,"")))),IF(E1371="r0320 - Deposits, not covered and not preferential",1,4))</f>
        <v>4</v>
      </c>
    </row>
    <row r="1372" spans="3:29" ht="48.75" thickBot="1" x14ac:dyDescent="0.3">
      <c r="C1372" s="11">
        <v>999</v>
      </c>
      <c r="D1372" s="154">
        <v>1365</v>
      </c>
      <c r="E1372" s="154" t="s">
        <v>1902</v>
      </c>
      <c r="F1372" s="154" t="s">
        <v>83</v>
      </c>
      <c r="G1372" s="154" t="s">
        <v>1903</v>
      </c>
      <c r="H1372" s="154" t="s">
        <v>930</v>
      </c>
      <c r="I1372" s="154" t="s">
        <v>114</v>
      </c>
      <c r="J1372" s="154" t="s">
        <v>115</v>
      </c>
      <c r="K1372" s="154" t="s">
        <v>60</v>
      </c>
      <c r="L1372" s="154" t="s">
        <v>1897</v>
      </c>
      <c r="M1372" s="154" t="s">
        <v>1388</v>
      </c>
      <c r="N1372" s="154" t="s">
        <v>61</v>
      </c>
      <c r="O1372" s="154" t="s">
        <v>62</v>
      </c>
      <c r="P1372" s="146">
        <v>136422.1</v>
      </c>
      <c r="Q1372" s="146">
        <v>14.42</v>
      </c>
      <c r="R1372" s="154" t="s">
        <v>1384</v>
      </c>
      <c r="S1372" s="154" t="s">
        <v>1899</v>
      </c>
      <c r="T1372" s="155" t="s">
        <v>768</v>
      </c>
      <c r="U1372" s="155" t="s">
        <v>1899</v>
      </c>
      <c r="V1372" s="154" t="s">
        <v>1904</v>
      </c>
      <c r="W1372" s="154">
        <v>0</v>
      </c>
      <c r="X1372" s="154" t="s">
        <v>63</v>
      </c>
      <c r="Y1372" s="154" t="s">
        <v>1386</v>
      </c>
      <c r="Z1372" s="154"/>
      <c r="AA1372" s="154" t="s">
        <v>1387</v>
      </c>
      <c r="AB1372" s="154">
        <v>0</v>
      </c>
      <c r="AC1372" s="138">
        <f>IFERROR(IF(DATEDIF(#REF!,U1372,"m")&lt;=1,1,IF(AND(DATEDIF(#REF!,U1372,"m")&gt;1,DATEDIF(#REF!,U1372,"m")&lt;12),2,IF(AND(DATEDIF(#REF!,U1372,"m")&gt;=12,DATEDIF(#REF!,U1372,"m")&lt;24),3,IF(DATEDIF(#REF!,U1372,"m")&gt;=24,4,"")))),IF(E1372="r0320 - Deposits, not covered and not preferential",1,4))</f>
        <v>4</v>
      </c>
    </row>
    <row r="1373" spans="3:29" ht="36.75" thickBot="1" x14ac:dyDescent="0.3">
      <c r="C1373" s="11">
        <v>999</v>
      </c>
      <c r="D1373" s="154">
        <v>1366</v>
      </c>
      <c r="E1373" s="154" t="s">
        <v>1898</v>
      </c>
      <c r="F1373" s="154" t="s">
        <v>83</v>
      </c>
      <c r="G1373" s="154" t="s">
        <v>1402</v>
      </c>
      <c r="H1373" s="154" t="s">
        <v>1355</v>
      </c>
      <c r="I1373" s="154" t="s">
        <v>153</v>
      </c>
      <c r="J1373" s="154" t="s">
        <v>154</v>
      </c>
      <c r="K1373" s="154" t="s">
        <v>60</v>
      </c>
      <c r="L1373" s="154" t="s">
        <v>1897</v>
      </c>
      <c r="M1373" s="154" t="s">
        <v>1388</v>
      </c>
      <c r="N1373" s="154" t="s">
        <v>61</v>
      </c>
      <c r="O1373" s="154" t="s">
        <v>62</v>
      </c>
      <c r="P1373" s="146">
        <v>49085.91</v>
      </c>
      <c r="Q1373" s="146">
        <v>0</v>
      </c>
      <c r="R1373" s="154" t="s">
        <v>1905</v>
      </c>
      <c r="S1373" s="154" t="s">
        <v>1899</v>
      </c>
      <c r="T1373" s="155" t="s">
        <v>1899</v>
      </c>
      <c r="U1373" s="155" t="s">
        <v>1899</v>
      </c>
      <c r="V1373" s="154" t="s">
        <v>1562</v>
      </c>
      <c r="W1373" s="154">
        <v>0</v>
      </c>
      <c r="X1373" s="154" t="s">
        <v>63</v>
      </c>
      <c r="Y1373" s="154" t="s">
        <v>1900</v>
      </c>
      <c r="Z1373" s="154"/>
      <c r="AA1373" s="154" t="s">
        <v>1387</v>
      </c>
      <c r="AB1373" s="154">
        <v>0</v>
      </c>
      <c r="AC1373" s="138">
        <f>IFERROR(IF(DATEDIF(#REF!,U1373,"m")&lt;=1,1,IF(AND(DATEDIF(#REF!,U1373,"m")&gt;1,DATEDIF(#REF!,U1373,"m")&lt;12),2,IF(AND(DATEDIF(#REF!,U1373,"m")&gt;=12,DATEDIF(#REF!,U1373,"m")&lt;24),3,IF(DATEDIF(#REF!,U1373,"m")&gt;=24,4,"")))),IF(E1373="r0320 - Deposits, not covered and not preferential",1,4))</f>
        <v>4</v>
      </c>
    </row>
    <row r="1374" spans="3:29" ht="36.75" thickBot="1" x14ac:dyDescent="0.3">
      <c r="C1374" s="11">
        <v>999</v>
      </c>
      <c r="D1374" s="154">
        <v>1367</v>
      </c>
      <c r="E1374" s="154" t="s">
        <v>1898</v>
      </c>
      <c r="F1374" s="154" t="s">
        <v>87</v>
      </c>
      <c r="G1374" s="154" t="s">
        <v>1402</v>
      </c>
      <c r="H1374" s="154" t="s">
        <v>358</v>
      </c>
      <c r="I1374" s="154" t="s">
        <v>89</v>
      </c>
      <c r="J1374" s="154" t="s">
        <v>90</v>
      </c>
      <c r="K1374" s="154" t="s">
        <v>91</v>
      </c>
      <c r="L1374" s="154" t="s">
        <v>1901</v>
      </c>
      <c r="M1374" s="154" t="s">
        <v>1383</v>
      </c>
      <c r="N1374" s="154" t="s">
        <v>61</v>
      </c>
      <c r="O1374" s="154" t="s">
        <v>62</v>
      </c>
      <c r="P1374" s="146">
        <v>0.11</v>
      </c>
      <c r="Q1374" s="146">
        <v>0</v>
      </c>
      <c r="R1374" s="154" t="s">
        <v>1384</v>
      </c>
      <c r="S1374" s="154" t="s">
        <v>1899</v>
      </c>
      <c r="T1374" s="155" t="s">
        <v>1899</v>
      </c>
      <c r="U1374" s="155" t="s">
        <v>1899</v>
      </c>
      <c r="V1374" s="154" t="s">
        <v>1562</v>
      </c>
      <c r="W1374" s="154">
        <v>0</v>
      </c>
      <c r="X1374" s="154" t="s">
        <v>63</v>
      </c>
      <c r="Y1374" s="154" t="s">
        <v>1900</v>
      </c>
      <c r="Z1374" s="154"/>
      <c r="AA1374" s="154" t="s">
        <v>1387</v>
      </c>
      <c r="AB1374" s="154">
        <v>0</v>
      </c>
      <c r="AC1374" s="138">
        <f>IFERROR(IF(DATEDIF(#REF!,U1374,"m")&lt;=1,1,IF(AND(DATEDIF(#REF!,U1374,"m")&gt;1,DATEDIF(#REF!,U1374,"m")&lt;12),2,IF(AND(DATEDIF(#REF!,U1374,"m")&gt;=12,DATEDIF(#REF!,U1374,"m")&lt;24),3,IF(DATEDIF(#REF!,U1374,"m")&gt;=24,4,"")))),IF(E1374="r0320 - Deposits, not covered and not preferential",1,4))</f>
        <v>4</v>
      </c>
    </row>
    <row r="1375" spans="3:29" ht="36.75" thickBot="1" x14ac:dyDescent="0.3">
      <c r="C1375" s="11">
        <v>999</v>
      </c>
      <c r="D1375" s="154">
        <v>1368</v>
      </c>
      <c r="E1375" s="154" t="s">
        <v>1898</v>
      </c>
      <c r="F1375" s="154" t="s">
        <v>56</v>
      </c>
      <c r="G1375" s="154" t="s">
        <v>1402</v>
      </c>
      <c r="H1375" s="154" t="s">
        <v>1218</v>
      </c>
      <c r="I1375" s="154" t="s">
        <v>66</v>
      </c>
      <c r="J1375" s="154" t="s">
        <v>67</v>
      </c>
      <c r="K1375" s="154" t="s">
        <v>60</v>
      </c>
      <c r="L1375" s="154" t="s">
        <v>1897</v>
      </c>
      <c r="M1375" s="154" t="s">
        <v>1383</v>
      </c>
      <c r="N1375" s="154" t="s">
        <v>61</v>
      </c>
      <c r="O1375" s="154" t="s">
        <v>62</v>
      </c>
      <c r="P1375" s="146">
        <v>0.26</v>
      </c>
      <c r="Q1375" s="146">
        <v>0</v>
      </c>
      <c r="R1375" s="154" t="s">
        <v>1384</v>
      </c>
      <c r="S1375" s="154" t="s">
        <v>1899</v>
      </c>
      <c r="T1375" s="155" t="s">
        <v>1899</v>
      </c>
      <c r="U1375" s="155" t="s">
        <v>1899</v>
      </c>
      <c r="V1375" s="154" t="s">
        <v>1562</v>
      </c>
      <c r="W1375" s="154">
        <v>0</v>
      </c>
      <c r="X1375" s="154" t="s">
        <v>63</v>
      </c>
      <c r="Y1375" s="154" t="s">
        <v>1900</v>
      </c>
      <c r="Z1375" s="154"/>
      <c r="AA1375" s="154" t="s">
        <v>1387</v>
      </c>
      <c r="AB1375" s="154">
        <v>0</v>
      </c>
      <c r="AC1375" s="138">
        <f>IFERROR(IF(DATEDIF(#REF!,U1375,"m")&lt;=1,1,IF(AND(DATEDIF(#REF!,U1375,"m")&gt;1,DATEDIF(#REF!,U1375,"m")&lt;12),2,IF(AND(DATEDIF(#REF!,U1375,"m")&gt;=12,DATEDIF(#REF!,U1375,"m")&lt;24),3,IF(DATEDIF(#REF!,U1375,"m")&gt;=24,4,"")))),IF(E1375="r0320 - Deposits, not covered and not preferential",1,4))</f>
        <v>4</v>
      </c>
    </row>
    <row r="1376" spans="3:29" ht="36.75" thickBot="1" x14ac:dyDescent="0.3">
      <c r="C1376" s="11">
        <v>999</v>
      </c>
      <c r="D1376" s="154">
        <v>1369</v>
      </c>
      <c r="E1376" s="154" t="s">
        <v>1898</v>
      </c>
      <c r="F1376" s="154" t="s">
        <v>87</v>
      </c>
      <c r="G1376" s="154" t="s">
        <v>1402</v>
      </c>
      <c r="H1376" s="154" t="s">
        <v>479</v>
      </c>
      <c r="I1376" s="154" t="s">
        <v>96</v>
      </c>
      <c r="J1376" s="154" t="s">
        <v>97</v>
      </c>
      <c r="K1376" s="154" t="s">
        <v>91</v>
      </c>
      <c r="L1376" s="154" t="s">
        <v>1897</v>
      </c>
      <c r="M1376" s="154" t="s">
        <v>1383</v>
      </c>
      <c r="N1376" s="154" t="s">
        <v>61</v>
      </c>
      <c r="O1376" s="154" t="s">
        <v>62</v>
      </c>
      <c r="P1376" s="146">
        <v>8.32</v>
      </c>
      <c r="Q1376" s="146">
        <v>0</v>
      </c>
      <c r="R1376" s="154" t="s">
        <v>1384</v>
      </c>
      <c r="S1376" s="154" t="s">
        <v>1899</v>
      </c>
      <c r="T1376" s="155" t="s">
        <v>1899</v>
      </c>
      <c r="U1376" s="155" t="s">
        <v>1899</v>
      </c>
      <c r="V1376" s="154" t="s">
        <v>1562</v>
      </c>
      <c r="W1376" s="154">
        <v>0</v>
      </c>
      <c r="X1376" s="154" t="s">
        <v>63</v>
      </c>
      <c r="Y1376" s="154" t="s">
        <v>1900</v>
      </c>
      <c r="Z1376" s="154"/>
      <c r="AA1376" s="154" t="s">
        <v>1387</v>
      </c>
      <c r="AB1376" s="154">
        <v>0</v>
      </c>
      <c r="AC1376" s="138">
        <f>IFERROR(IF(DATEDIF(#REF!,U1376,"m")&lt;=1,1,IF(AND(DATEDIF(#REF!,U1376,"m")&gt;1,DATEDIF(#REF!,U1376,"m")&lt;12),2,IF(AND(DATEDIF(#REF!,U1376,"m")&gt;=12,DATEDIF(#REF!,U1376,"m")&lt;24),3,IF(DATEDIF(#REF!,U1376,"m")&gt;=24,4,"")))),IF(E1376="r0320 - Deposits, not covered and not preferential",1,4))</f>
        <v>4</v>
      </c>
    </row>
    <row r="1377" spans="3:29" ht="48.75" thickBot="1" x14ac:dyDescent="0.3">
      <c r="C1377" s="11">
        <v>999</v>
      </c>
      <c r="D1377" s="154">
        <v>1370</v>
      </c>
      <c r="E1377" s="154" t="s">
        <v>1902</v>
      </c>
      <c r="F1377" s="154" t="s">
        <v>83</v>
      </c>
      <c r="G1377" s="154" t="s">
        <v>1903</v>
      </c>
      <c r="H1377" s="154" t="s">
        <v>719</v>
      </c>
      <c r="I1377" s="154" t="s">
        <v>114</v>
      </c>
      <c r="J1377" s="154" t="s">
        <v>115</v>
      </c>
      <c r="K1377" s="154" t="s">
        <v>60</v>
      </c>
      <c r="L1377" s="154" t="s">
        <v>1897</v>
      </c>
      <c r="M1377" s="154" t="s">
        <v>1388</v>
      </c>
      <c r="N1377" s="154" t="s">
        <v>61</v>
      </c>
      <c r="O1377" s="154" t="s">
        <v>62</v>
      </c>
      <c r="P1377" s="146">
        <v>17720.72</v>
      </c>
      <c r="Q1377" s="146">
        <v>1.98</v>
      </c>
      <c r="R1377" s="154" t="s">
        <v>1384</v>
      </c>
      <c r="S1377" s="154" t="s">
        <v>1899</v>
      </c>
      <c r="T1377" s="155" t="s">
        <v>768</v>
      </c>
      <c r="U1377" s="155" t="s">
        <v>1899</v>
      </c>
      <c r="V1377" s="154" t="s">
        <v>1904</v>
      </c>
      <c r="W1377" s="154">
        <v>0</v>
      </c>
      <c r="X1377" s="154" t="s">
        <v>63</v>
      </c>
      <c r="Y1377" s="154" t="s">
        <v>1386</v>
      </c>
      <c r="Z1377" s="154"/>
      <c r="AA1377" s="154" t="s">
        <v>1387</v>
      </c>
      <c r="AB1377" s="154">
        <v>0</v>
      </c>
      <c r="AC1377" s="138">
        <f>IFERROR(IF(DATEDIF(#REF!,U1377,"m")&lt;=1,1,IF(AND(DATEDIF(#REF!,U1377,"m")&gt;1,DATEDIF(#REF!,U1377,"m")&lt;12),2,IF(AND(DATEDIF(#REF!,U1377,"m")&gt;=12,DATEDIF(#REF!,U1377,"m")&lt;24),3,IF(DATEDIF(#REF!,U1377,"m")&gt;=24,4,"")))),IF(E1377="r0320 - Deposits, not covered and not preferential",1,4))</f>
        <v>4</v>
      </c>
    </row>
    <row r="1378" spans="3:29" ht="36.75" thickBot="1" x14ac:dyDescent="0.3">
      <c r="C1378" s="11">
        <v>999</v>
      </c>
      <c r="D1378" s="154">
        <v>1371</v>
      </c>
      <c r="E1378" s="154" t="s">
        <v>1898</v>
      </c>
      <c r="F1378" s="154" t="s">
        <v>87</v>
      </c>
      <c r="G1378" s="154" t="s">
        <v>1402</v>
      </c>
      <c r="H1378" s="154" t="s">
        <v>198</v>
      </c>
      <c r="I1378" s="154" t="s">
        <v>96</v>
      </c>
      <c r="J1378" s="154" t="s">
        <v>97</v>
      </c>
      <c r="K1378" s="154" t="s">
        <v>91</v>
      </c>
      <c r="L1378" s="154" t="s">
        <v>1897</v>
      </c>
      <c r="M1378" s="154" t="s">
        <v>1383</v>
      </c>
      <c r="N1378" s="154" t="s">
        <v>61</v>
      </c>
      <c r="O1378" s="154" t="s">
        <v>62</v>
      </c>
      <c r="P1378" s="146">
        <v>0.45</v>
      </c>
      <c r="Q1378" s="146">
        <v>0</v>
      </c>
      <c r="R1378" s="154" t="s">
        <v>1384</v>
      </c>
      <c r="S1378" s="154" t="s">
        <v>1899</v>
      </c>
      <c r="T1378" s="155" t="s">
        <v>1899</v>
      </c>
      <c r="U1378" s="155" t="s">
        <v>1899</v>
      </c>
      <c r="V1378" s="154" t="s">
        <v>1562</v>
      </c>
      <c r="W1378" s="154">
        <v>0</v>
      </c>
      <c r="X1378" s="154" t="s">
        <v>63</v>
      </c>
      <c r="Y1378" s="154" t="s">
        <v>1900</v>
      </c>
      <c r="Z1378" s="154"/>
      <c r="AA1378" s="154" t="s">
        <v>1387</v>
      </c>
      <c r="AB1378" s="154">
        <v>0</v>
      </c>
      <c r="AC1378" s="138">
        <f>IFERROR(IF(DATEDIF(#REF!,U1378,"m")&lt;=1,1,IF(AND(DATEDIF(#REF!,U1378,"m")&gt;1,DATEDIF(#REF!,U1378,"m")&lt;12),2,IF(AND(DATEDIF(#REF!,U1378,"m")&gt;=12,DATEDIF(#REF!,U1378,"m")&lt;24),3,IF(DATEDIF(#REF!,U1378,"m")&gt;=24,4,"")))),IF(E1378="r0320 - Deposits, not covered and not preferential",1,4))</f>
        <v>4</v>
      </c>
    </row>
    <row r="1379" spans="3:29" ht="48.75" thickBot="1" x14ac:dyDescent="0.3">
      <c r="C1379" s="11">
        <v>999</v>
      </c>
      <c r="D1379" s="154">
        <v>1372</v>
      </c>
      <c r="E1379" s="154" t="s">
        <v>1902</v>
      </c>
      <c r="F1379" s="154" t="s">
        <v>83</v>
      </c>
      <c r="G1379" s="154" t="s">
        <v>1903</v>
      </c>
      <c r="H1379" s="154" t="s">
        <v>1222</v>
      </c>
      <c r="I1379" s="154" t="s">
        <v>93</v>
      </c>
      <c r="J1379" s="154" t="s">
        <v>94</v>
      </c>
      <c r="K1379" s="154" t="s">
        <v>60</v>
      </c>
      <c r="L1379" s="154" t="s">
        <v>1897</v>
      </c>
      <c r="M1379" s="154" t="s">
        <v>1388</v>
      </c>
      <c r="N1379" s="154" t="s">
        <v>61</v>
      </c>
      <c r="O1379" s="154" t="s">
        <v>62</v>
      </c>
      <c r="P1379" s="146">
        <v>-7969126.0599999996</v>
      </c>
      <c r="Q1379" s="146">
        <v>0</v>
      </c>
      <c r="R1379" s="154" t="s">
        <v>1384</v>
      </c>
      <c r="S1379" s="154" t="s">
        <v>1899</v>
      </c>
      <c r="T1379" s="155" t="s">
        <v>768</v>
      </c>
      <c r="U1379" s="155" t="s">
        <v>1899</v>
      </c>
      <c r="V1379" s="154" t="s">
        <v>1904</v>
      </c>
      <c r="W1379" s="154">
        <v>0</v>
      </c>
      <c r="X1379" s="154" t="s">
        <v>63</v>
      </c>
      <c r="Y1379" s="154" t="s">
        <v>1386</v>
      </c>
      <c r="Z1379" s="154"/>
      <c r="AA1379" s="154" t="s">
        <v>1387</v>
      </c>
      <c r="AB1379" s="154">
        <v>0</v>
      </c>
      <c r="AC1379" s="138">
        <f>IFERROR(IF(DATEDIF(#REF!,U1379,"m")&lt;=1,1,IF(AND(DATEDIF(#REF!,U1379,"m")&gt;1,DATEDIF(#REF!,U1379,"m")&lt;12),2,IF(AND(DATEDIF(#REF!,U1379,"m")&gt;=12,DATEDIF(#REF!,U1379,"m")&lt;24),3,IF(DATEDIF(#REF!,U1379,"m")&gt;=24,4,"")))),IF(E1379="r0320 - Deposits, not covered and not preferential",1,4))</f>
        <v>4</v>
      </c>
    </row>
    <row r="1380" spans="3:29" ht="36.75" thickBot="1" x14ac:dyDescent="0.3">
      <c r="C1380" s="11">
        <v>999</v>
      </c>
      <c r="D1380" s="154">
        <v>1373</v>
      </c>
      <c r="E1380" s="154" t="s">
        <v>1898</v>
      </c>
      <c r="F1380" s="154" t="s">
        <v>87</v>
      </c>
      <c r="G1380" s="154" t="s">
        <v>1402</v>
      </c>
      <c r="H1380" s="154" t="s">
        <v>849</v>
      </c>
      <c r="I1380" s="154" t="s">
        <v>96</v>
      </c>
      <c r="J1380" s="154" t="s">
        <v>97</v>
      </c>
      <c r="K1380" s="154" t="s">
        <v>91</v>
      </c>
      <c r="L1380" s="154" t="s">
        <v>1897</v>
      </c>
      <c r="M1380" s="154" t="s">
        <v>1383</v>
      </c>
      <c r="N1380" s="154" t="s">
        <v>61</v>
      </c>
      <c r="O1380" s="154" t="s">
        <v>62</v>
      </c>
      <c r="P1380" s="146">
        <v>41.11</v>
      </c>
      <c r="Q1380" s="146">
        <v>0</v>
      </c>
      <c r="R1380" s="154" t="s">
        <v>1384</v>
      </c>
      <c r="S1380" s="154" t="s">
        <v>1899</v>
      </c>
      <c r="T1380" s="155" t="s">
        <v>1899</v>
      </c>
      <c r="U1380" s="155" t="s">
        <v>1899</v>
      </c>
      <c r="V1380" s="154" t="s">
        <v>1562</v>
      </c>
      <c r="W1380" s="154">
        <v>0</v>
      </c>
      <c r="X1380" s="154" t="s">
        <v>63</v>
      </c>
      <c r="Y1380" s="154" t="s">
        <v>1900</v>
      </c>
      <c r="Z1380" s="154"/>
      <c r="AA1380" s="154" t="s">
        <v>1387</v>
      </c>
      <c r="AB1380" s="154">
        <v>0</v>
      </c>
      <c r="AC1380" s="138">
        <f>IFERROR(IF(DATEDIF(#REF!,U1380,"m")&lt;=1,1,IF(AND(DATEDIF(#REF!,U1380,"m")&gt;1,DATEDIF(#REF!,U1380,"m")&lt;12),2,IF(AND(DATEDIF(#REF!,U1380,"m")&gt;=12,DATEDIF(#REF!,U1380,"m")&lt;24),3,IF(DATEDIF(#REF!,U1380,"m")&gt;=24,4,"")))),IF(E1380="r0320 - Deposits, not covered and not preferential",1,4))</f>
        <v>4</v>
      </c>
    </row>
    <row r="1381" spans="3:29" ht="48.75" thickBot="1" x14ac:dyDescent="0.3">
      <c r="C1381" s="11">
        <v>999</v>
      </c>
      <c r="D1381" s="154">
        <v>1374</v>
      </c>
      <c r="E1381" s="154" t="s">
        <v>1902</v>
      </c>
      <c r="F1381" s="154" t="s">
        <v>83</v>
      </c>
      <c r="G1381" s="154" t="s">
        <v>1903</v>
      </c>
      <c r="H1381" s="154" t="s">
        <v>284</v>
      </c>
      <c r="I1381" s="154" t="s">
        <v>101</v>
      </c>
      <c r="J1381" s="154" t="s">
        <v>102</v>
      </c>
      <c r="K1381" s="154" t="s">
        <v>60</v>
      </c>
      <c r="L1381" s="154" t="s">
        <v>1897</v>
      </c>
      <c r="M1381" s="154" t="s">
        <v>1388</v>
      </c>
      <c r="N1381" s="154" t="s">
        <v>61</v>
      </c>
      <c r="O1381" s="154" t="s">
        <v>62</v>
      </c>
      <c r="P1381" s="146">
        <v>98028.62</v>
      </c>
      <c r="Q1381" s="146">
        <v>29.71</v>
      </c>
      <c r="R1381" s="154" t="s">
        <v>1384</v>
      </c>
      <c r="S1381" s="154" t="s">
        <v>1899</v>
      </c>
      <c r="T1381" s="155" t="s">
        <v>768</v>
      </c>
      <c r="U1381" s="155" t="s">
        <v>1899</v>
      </c>
      <c r="V1381" s="154" t="s">
        <v>1904</v>
      </c>
      <c r="W1381" s="154">
        <v>0</v>
      </c>
      <c r="X1381" s="154" t="s">
        <v>63</v>
      </c>
      <c r="Y1381" s="154" t="s">
        <v>1386</v>
      </c>
      <c r="Z1381" s="154"/>
      <c r="AA1381" s="154" t="s">
        <v>1387</v>
      </c>
      <c r="AB1381" s="154">
        <v>0</v>
      </c>
      <c r="AC1381" s="138">
        <f>IFERROR(IF(DATEDIF(#REF!,U1381,"m")&lt;=1,1,IF(AND(DATEDIF(#REF!,U1381,"m")&gt;1,DATEDIF(#REF!,U1381,"m")&lt;12),2,IF(AND(DATEDIF(#REF!,U1381,"m")&gt;=12,DATEDIF(#REF!,U1381,"m")&lt;24),3,IF(DATEDIF(#REF!,U1381,"m")&gt;=24,4,"")))),IF(E1381="r0320 - Deposits, not covered and not preferential",1,4))</f>
        <v>4</v>
      </c>
    </row>
    <row r="1382" spans="3:29" ht="36.75" thickBot="1" x14ac:dyDescent="0.3">
      <c r="C1382" s="11">
        <v>999</v>
      </c>
      <c r="D1382" s="154">
        <v>1375</v>
      </c>
      <c r="E1382" s="154" t="s">
        <v>1898</v>
      </c>
      <c r="F1382" s="154" t="s">
        <v>87</v>
      </c>
      <c r="G1382" s="154" t="s">
        <v>1402</v>
      </c>
      <c r="H1382" s="154" t="s">
        <v>1287</v>
      </c>
      <c r="I1382" s="154" t="s">
        <v>108</v>
      </c>
      <c r="J1382" s="154" t="s">
        <v>90</v>
      </c>
      <c r="K1382" s="154" t="s">
        <v>91</v>
      </c>
      <c r="L1382" s="154" t="s">
        <v>1897</v>
      </c>
      <c r="M1382" s="154" t="s">
        <v>1383</v>
      </c>
      <c r="N1382" s="154" t="s">
        <v>61</v>
      </c>
      <c r="O1382" s="154" t="s">
        <v>62</v>
      </c>
      <c r="P1382" s="146">
        <v>0.47</v>
      </c>
      <c r="Q1382" s="146">
        <v>0</v>
      </c>
      <c r="R1382" s="154" t="s">
        <v>1384</v>
      </c>
      <c r="S1382" s="154" t="s">
        <v>1899</v>
      </c>
      <c r="T1382" s="155" t="s">
        <v>1899</v>
      </c>
      <c r="U1382" s="155" t="s">
        <v>1899</v>
      </c>
      <c r="V1382" s="154" t="s">
        <v>1562</v>
      </c>
      <c r="W1382" s="154">
        <v>0</v>
      </c>
      <c r="X1382" s="154" t="s">
        <v>63</v>
      </c>
      <c r="Y1382" s="154" t="s">
        <v>1900</v>
      </c>
      <c r="Z1382" s="154"/>
      <c r="AA1382" s="154" t="s">
        <v>1387</v>
      </c>
      <c r="AB1382" s="154">
        <v>0</v>
      </c>
      <c r="AC1382" s="138">
        <f>IFERROR(IF(DATEDIF(#REF!,U1382,"m")&lt;=1,1,IF(AND(DATEDIF(#REF!,U1382,"m")&gt;1,DATEDIF(#REF!,U1382,"m")&lt;12),2,IF(AND(DATEDIF(#REF!,U1382,"m")&gt;=12,DATEDIF(#REF!,U1382,"m")&lt;24),3,IF(DATEDIF(#REF!,U1382,"m")&gt;=24,4,"")))),IF(E1382="r0320 - Deposits, not covered and not preferential",1,4))</f>
        <v>4</v>
      </c>
    </row>
    <row r="1383" spans="3:29" ht="48.75" thickBot="1" x14ac:dyDescent="0.3">
      <c r="C1383" s="11">
        <v>999</v>
      </c>
      <c r="D1383" s="154">
        <v>1376</v>
      </c>
      <c r="E1383" s="154" t="s">
        <v>1902</v>
      </c>
      <c r="F1383" s="154" t="s">
        <v>83</v>
      </c>
      <c r="G1383" s="154" t="s">
        <v>1903</v>
      </c>
      <c r="H1383" s="154" t="s">
        <v>1225</v>
      </c>
      <c r="I1383" s="154" t="s">
        <v>114</v>
      </c>
      <c r="J1383" s="154" t="s">
        <v>115</v>
      </c>
      <c r="K1383" s="154" t="s">
        <v>60</v>
      </c>
      <c r="L1383" s="154" t="s">
        <v>1897</v>
      </c>
      <c r="M1383" s="154" t="s">
        <v>1388</v>
      </c>
      <c r="N1383" s="154" t="s">
        <v>61</v>
      </c>
      <c r="O1383" s="154" t="s">
        <v>62</v>
      </c>
      <c r="P1383" s="146">
        <v>105661.94</v>
      </c>
      <c r="Q1383" s="146">
        <v>-9.7899999999999991</v>
      </c>
      <c r="R1383" s="154" t="s">
        <v>1384</v>
      </c>
      <c r="S1383" s="154" t="s">
        <v>1899</v>
      </c>
      <c r="T1383" s="155" t="s">
        <v>768</v>
      </c>
      <c r="U1383" s="155" t="s">
        <v>1899</v>
      </c>
      <c r="V1383" s="154" t="s">
        <v>1904</v>
      </c>
      <c r="W1383" s="154">
        <v>0</v>
      </c>
      <c r="X1383" s="154" t="s">
        <v>63</v>
      </c>
      <c r="Y1383" s="154" t="s">
        <v>1386</v>
      </c>
      <c r="Z1383" s="154"/>
      <c r="AA1383" s="154" t="s">
        <v>1387</v>
      </c>
      <c r="AB1383" s="154">
        <v>0</v>
      </c>
      <c r="AC1383" s="138">
        <f>IFERROR(IF(DATEDIF(#REF!,U1383,"m")&lt;=1,1,IF(AND(DATEDIF(#REF!,U1383,"m")&gt;1,DATEDIF(#REF!,U1383,"m")&lt;12),2,IF(AND(DATEDIF(#REF!,U1383,"m")&gt;=12,DATEDIF(#REF!,U1383,"m")&lt;24),3,IF(DATEDIF(#REF!,U1383,"m")&gt;=24,4,"")))),IF(E1383="r0320 - Deposits, not covered and not preferential",1,4))</f>
        <v>4</v>
      </c>
    </row>
    <row r="1384" spans="3:29" ht="36.75" thickBot="1" x14ac:dyDescent="0.3">
      <c r="C1384" s="11">
        <v>999</v>
      </c>
      <c r="D1384" s="154">
        <v>1377</v>
      </c>
      <c r="E1384" s="154" t="s">
        <v>1898</v>
      </c>
      <c r="F1384" s="154" t="s">
        <v>87</v>
      </c>
      <c r="G1384" s="154" t="s">
        <v>1402</v>
      </c>
      <c r="H1384" s="154" t="s">
        <v>120</v>
      </c>
      <c r="I1384" s="154" t="s">
        <v>96</v>
      </c>
      <c r="J1384" s="154" t="s">
        <v>97</v>
      </c>
      <c r="K1384" s="154" t="s">
        <v>91</v>
      </c>
      <c r="L1384" s="154" t="s">
        <v>1897</v>
      </c>
      <c r="M1384" s="154" t="s">
        <v>1383</v>
      </c>
      <c r="N1384" s="154" t="s">
        <v>61</v>
      </c>
      <c r="O1384" s="154" t="s">
        <v>62</v>
      </c>
      <c r="P1384" s="146">
        <v>56.29</v>
      </c>
      <c r="Q1384" s="146">
        <v>0</v>
      </c>
      <c r="R1384" s="154" t="s">
        <v>1384</v>
      </c>
      <c r="S1384" s="154" t="s">
        <v>1899</v>
      </c>
      <c r="T1384" s="155" t="s">
        <v>1899</v>
      </c>
      <c r="U1384" s="155" t="s">
        <v>1899</v>
      </c>
      <c r="V1384" s="154" t="s">
        <v>1562</v>
      </c>
      <c r="W1384" s="154">
        <v>0</v>
      </c>
      <c r="X1384" s="154" t="s">
        <v>63</v>
      </c>
      <c r="Y1384" s="154" t="s">
        <v>1900</v>
      </c>
      <c r="Z1384" s="154"/>
      <c r="AA1384" s="154" t="s">
        <v>1387</v>
      </c>
      <c r="AB1384" s="154">
        <v>0</v>
      </c>
      <c r="AC1384" s="138">
        <f>IFERROR(IF(DATEDIF(#REF!,U1384,"m")&lt;=1,1,IF(AND(DATEDIF(#REF!,U1384,"m")&gt;1,DATEDIF(#REF!,U1384,"m")&lt;12),2,IF(AND(DATEDIF(#REF!,U1384,"m")&gt;=12,DATEDIF(#REF!,U1384,"m")&lt;24),3,IF(DATEDIF(#REF!,U1384,"m")&gt;=24,4,"")))),IF(E1384="r0320 - Deposits, not covered and not preferential",1,4))</f>
        <v>4</v>
      </c>
    </row>
    <row r="1385" spans="3:29" ht="48.75" thickBot="1" x14ac:dyDescent="0.3">
      <c r="C1385" s="11">
        <v>999</v>
      </c>
      <c r="D1385" s="154">
        <v>1378</v>
      </c>
      <c r="E1385" s="154" t="s">
        <v>1902</v>
      </c>
      <c r="F1385" s="154" t="s">
        <v>83</v>
      </c>
      <c r="G1385" s="154" t="s">
        <v>1903</v>
      </c>
      <c r="H1385" s="154" t="s">
        <v>138</v>
      </c>
      <c r="I1385" s="154" t="s">
        <v>93</v>
      </c>
      <c r="J1385" s="154" t="s">
        <v>94</v>
      </c>
      <c r="K1385" s="154" t="s">
        <v>60</v>
      </c>
      <c r="L1385" s="154" t="s">
        <v>1897</v>
      </c>
      <c r="M1385" s="154" t="s">
        <v>1388</v>
      </c>
      <c r="N1385" s="154" t="s">
        <v>61</v>
      </c>
      <c r="O1385" s="154" t="s">
        <v>62</v>
      </c>
      <c r="P1385" s="146">
        <v>72207.45</v>
      </c>
      <c r="Q1385" s="146">
        <v>15.35</v>
      </c>
      <c r="R1385" s="154" t="s">
        <v>1384</v>
      </c>
      <c r="S1385" s="154" t="s">
        <v>1899</v>
      </c>
      <c r="T1385" s="155" t="s">
        <v>768</v>
      </c>
      <c r="U1385" s="155" t="s">
        <v>1899</v>
      </c>
      <c r="V1385" s="154" t="s">
        <v>1904</v>
      </c>
      <c r="W1385" s="154">
        <v>0</v>
      </c>
      <c r="X1385" s="154" t="s">
        <v>63</v>
      </c>
      <c r="Y1385" s="154" t="s">
        <v>1386</v>
      </c>
      <c r="Z1385" s="154"/>
      <c r="AA1385" s="154" t="s">
        <v>1387</v>
      </c>
      <c r="AB1385" s="154">
        <v>0</v>
      </c>
      <c r="AC1385" s="138">
        <f>IFERROR(IF(DATEDIF(#REF!,U1385,"m")&lt;=1,1,IF(AND(DATEDIF(#REF!,U1385,"m")&gt;1,DATEDIF(#REF!,U1385,"m")&lt;12),2,IF(AND(DATEDIF(#REF!,U1385,"m")&gt;=12,DATEDIF(#REF!,U1385,"m")&lt;24),3,IF(DATEDIF(#REF!,U1385,"m")&gt;=24,4,"")))),IF(E1385="r0320 - Deposits, not covered and not preferential",1,4))</f>
        <v>4</v>
      </c>
    </row>
    <row r="1386" spans="3:29" ht="36.75" thickBot="1" x14ac:dyDescent="0.3">
      <c r="C1386" s="11">
        <v>999</v>
      </c>
      <c r="D1386" s="154">
        <v>1379</v>
      </c>
      <c r="E1386" s="154" t="s">
        <v>1898</v>
      </c>
      <c r="F1386" s="154" t="s">
        <v>87</v>
      </c>
      <c r="G1386" s="154" t="s">
        <v>1402</v>
      </c>
      <c r="H1386" s="154" t="s">
        <v>473</v>
      </c>
      <c r="I1386" s="154" t="s">
        <v>104</v>
      </c>
      <c r="J1386" s="154" t="s">
        <v>105</v>
      </c>
      <c r="K1386" s="154" t="s">
        <v>60</v>
      </c>
      <c r="L1386" s="154" t="s">
        <v>1897</v>
      </c>
      <c r="M1386" s="154" t="s">
        <v>1383</v>
      </c>
      <c r="N1386" s="154" t="s">
        <v>61</v>
      </c>
      <c r="O1386" s="154" t="s">
        <v>62</v>
      </c>
      <c r="P1386" s="146">
        <v>7</v>
      </c>
      <c r="Q1386" s="146">
        <v>0</v>
      </c>
      <c r="R1386" s="154" t="s">
        <v>1384</v>
      </c>
      <c r="S1386" s="154" t="s">
        <v>1899</v>
      </c>
      <c r="T1386" s="155" t="s">
        <v>1899</v>
      </c>
      <c r="U1386" s="155" t="s">
        <v>1899</v>
      </c>
      <c r="V1386" s="154" t="s">
        <v>1562</v>
      </c>
      <c r="W1386" s="154">
        <v>0</v>
      </c>
      <c r="X1386" s="154" t="s">
        <v>63</v>
      </c>
      <c r="Y1386" s="154" t="s">
        <v>1900</v>
      </c>
      <c r="Z1386" s="154"/>
      <c r="AA1386" s="154" t="s">
        <v>1387</v>
      </c>
      <c r="AB1386" s="154">
        <v>0</v>
      </c>
      <c r="AC1386" s="138">
        <f>IFERROR(IF(DATEDIF(#REF!,U1386,"m")&lt;=1,1,IF(AND(DATEDIF(#REF!,U1386,"m")&gt;1,DATEDIF(#REF!,U1386,"m")&lt;12),2,IF(AND(DATEDIF(#REF!,U1386,"m")&gt;=12,DATEDIF(#REF!,U1386,"m")&lt;24),3,IF(DATEDIF(#REF!,U1386,"m")&gt;=24,4,"")))),IF(E1386="r0320 - Deposits, not covered and not preferential",1,4))</f>
        <v>4</v>
      </c>
    </row>
    <row r="1387" spans="3:29" ht="48.75" thickBot="1" x14ac:dyDescent="0.3">
      <c r="C1387" s="11">
        <v>999</v>
      </c>
      <c r="D1387" s="154">
        <v>1380</v>
      </c>
      <c r="E1387" s="154" t="s">
        <v>1902</v>
      </c>
      <c r="F1387" s="154" t="s">
        <v>83</v>
      </c>
      <c r="G1387" s="154" t="s">
        <v>1903</v>
      </c>
      <c r="H1387" s="154" t="s">
        <v>711</v>
      </c>
      <c r="I1387" s="154" t="s">
        <v>101</v>
      </c>
      <c r="J1387" s="154" t="s">
        <v>102</v>
      </c>
      <c r="K1387" s="154" t="s">
        <v>60</v>
      </c>
      <c r="L1387" s="154" t="s">
        <v>1897</v>
      </c>
      <c r="M1387" s="154" t="s">
        <v>1388</v>
      </c>
      <c r="N1387" s="154" t="s">
        <v>61</v>
      </c>
      <c r="O1387" s="154" t="s">
        <v>62</v>
      </c>
      <c r="P1387" s="146">
        <v>59198.12</v>
      </c>
      <c r="Q1387" s="146">
        <v>-6.06</v>
      </c>
      <c r="R1387" s="154" t="s">
        <v>1384</v>
      </c>
      <c r="S1387" s="154" t="s">
        <v>1899</v>
      </c>
      <c r="T1387" s="155" t="s">
        <v>768</v>
      </c>
      <c r="U1387" s="155" t="s">
        <v>1899</v>
      </c>
      <c r="V1387" s="154" t="s">
        <v>1904</v>
      </c>
      <c r="W1387" s="154">
        <v>0</v>
      </c>
      <c r="X1387" s="154" t="s">
        <v>63</v>
      </c>
      <c r="Y1387" s="154" t="s">
        <v>1386</v>
      </c>
      <c r="Z1387" s="154"/>
      <c r="AA1387" s="154" t="s">
        <v>1387</v>
      </c>
      <c r="AB1387" s="154">
        <v>0</v>
      </c>
      <c r="AC1387" s="138">
        <f>IFERROR(IF(DATEDIF(#REF!,U1387,"m")&lt;=1,1,IF(AND(DATEDIF(#REF!,U1387,"m")&gt;1,DATEDIF(#REF!,U1387,"m")&lt;12),2,IF(AND(DATEDIF(#REF!,U1387,"m")&gt;=12,DATEDIF(#REF!,U1387,"m")&lt;24),3,IF(DATEDIF(#REF!,U1387,"m")&gt;=24,4,"")))),IF(E1387="r0320 - Deposits, not covered and not preferential",1,4))</f>
        <v>4</v>
      </c>
    </row>
    <row r="1388" spans="3:29" ht="36.75" thickBot="1" x14ac:dyDescent="0.3">
      <c r="C1388" s="11">
        <v>999</v>
      </c>
      <c r="D1388" s="154">
        <v>1381</v>
      </c>
      <c r="E1388" s="154" t="s">
        <v>1898</v>
      </c>
      <c r="F1388" s="154" t="s">
        <v>87</v>
      </c>
      <c r="G1388" s="154" t="s">
        <v>1402</v>
      </c>
      <c r="H1388" s="154" t="s">
        <v>477</v>
      </c>
      <c r="I1388" s="154" t="s">
        <v>96</v>
      </c>
      <c r="J1388" s="154" t="s">
        <v>97</v>
      </c>
      <c r="K1388" s="154" t="s">
        <v>91</v>
      </c>
      <c r="L1388" s="154" t="s">
        <v>1897</v>
      </c>
      <c r="M1388" s="154" t="s">
        <v>1383</v>
      </c>
      <c r="N1388" s="154" t="s">
        <v>61</v>
      </c>
      <c r="O1388" s="154" t="s">
        <v>62</v>
      </c>
      <c r="P1388" s="146">
        <v>0.51</v>
      </c>
      <c r="Q1388" s="146">
        <v>0</v>
      </c>
      <c r="R1388" s="154" t="s">
        <v>1384</v>
      </c>
      <c r="S1388" s="154" t="s">
        <v>1899</v>
      </c>
      <c r="T1388" s="155" t="s">
        <v>1899</v>
      </c>
      <c r="U1388" s="155" t="s">
        <v>1899</v>
      </c>
      <c r="V1388" s="154" t="s">
        <v>1562</v>
      </c>
      <c r="W1388" s="154">
        <v>0</v>
      </c>
      <c r="X1388" s="154" t="s">
        <v>63</v>
      </c>
      <c r="Y1388" s="154" t="s">
        <v>1900</v>
      </c>
      <c r="Z1388" s="154"/>
      <c r="AA1388" s="154" t="s">
        <v>1387</v>
      </c>
      <c r="AB1388" s="154">
        <v>0</v>
      </c>
      <c r="AC1388" s="138">
        <f>IFERROR(IF(DATEDIF(#REF!,U1388,"m")&lt;=1,1,IF(AND(DATEDIF(#REF!,U1388,"m")&gt;1,DATEDIF(#REF!,U1388,"m")&lt;12),2,IF(AND(DATEDIF(#REF!,U1388,"m")&gt;=12,DATEDIF(#REF!,U1388,"m")&lt;24),3,IF(DATEDIF(#REF!,U1388,"m")&gt;=24,4,"")))),IF(E1388="r0320 - Deposits, not covered and not preferential",1,4))</f>
        <v>4</v>
      </c>
    </row>
    <row r="1389" spans="3:29" ht="48.75" thickBot="1" x14ac:dyDescent="0.3">
      <c r="C1389" s="11">
        <v>999</v>
      </c>
      <c r="D1389" s="154">
        <v>1382</v>
      </c>
      <c r="E1389" s="154" t="s">
        <v>1902</v>
      </c>
      <c r="F1389" s="154" t="s">
        <v>83</v>
      </c>
      <c r="G1389" s="154" t="s">
        <v>1903</v>
      </c>
      <c r="H1389" s="154" t="s">
        <v>1294</v>
      </c>
      <c r="I1389" s="154" t="s">
        <v>93</v>
      </c>
      <c r="J1389" s="154" t="s">
        <v>94</v>
      </c>
      <c r="K1389" s="154" t="s">
        <v>60</v>
      </c>
      <c r="L1389" s="154" t="s">
        <v>1897</v>
      </c>
      <c r="M1389" s="154" t="s">
        <v>1388</v>
      </c>
      <c r="N1389" s="154" t="s">
        <v>61</v>
      </c>
      <c r="O1389" s="154" t="s">
        <v>62</v>
      </c>
      <c r="P1389" s="146">
        <v>31358.11</v>
      </c>
      <c r="Q1389" s="146">
        <v>39.119999999999997</v>
      </c>
      <c r="R1389" s="154" t="s">
        <v>1384</v>
      </c>
      <c r="S1389" s="154" t="s">
        <v>1899</v>
      </c>
      <c r="T1389" s="155" t="s">
        <v>768</v>
      </c>
      <c r="U1389" s="155" t="s">
        <v>1899</v>
      </c>
      <c r="V1389" s="154" t="s">
        <v>1904</v>
      </c>
      <c r="W1389" s="154">
        <v>0</v>
      </c>
      <c r="X1389" s="154" t="s">
        <v>63</v>
      </c>
      <c r="Y1389" s="154" t="s">
        <v>1386</v>
      </c>
      <c r="Z1389" s="154"/>
      <c r="AA1389" s="154" t="s">
        <v>1387</v>
      </c>
      <c r="AB1389" s="154">
        <v>0</v>
      </c>
      <c r="AC1389" s="138">
        <f>IFERROR(IF(DATEDIF(#REF!,U1389,"m")&lt;=1,1,IF(AND(DATEDIF(#REF!,U1389,"m")&gt;1,DATEDIF(#REF!,U1389,"m")&lt;12),2,IF(AND(DATEDIF(#REF!,U1389,"m")&gt;=12,DATEDIF(#REF!,U1389,"m")&lt;24),3,IF(DATEDIF(#REF!,U1389,"m")&gt;=24,4,"")))),IF(E1389="r0320 - Deposits, not covered and not preferential",1,4))</f>
        <v>4</v>
      </c>
    </row>
    <row r="1390" spans="3:29" ht="36.75" thickBot="1" x14ac:dyDescent="0.3">
      <c r="C1390" s="11">
        <v>999</v>
      </c>
      <c r="D1390" s="154">
        <v>1383</v>
      </c>
      <c r="E1390" s="154" t="s">
        <v>1898</v>
      </c>
      <c r="F1390" s="154" t="s">
        <v>87</v>
      </c>
      <c r="G1390" s="154" t="s">
        <v>1402</v>
      </c>
      <c r="H1390" s="154" t="s">
        <v>480</v>
      </c>
      <c r="I1390" s="154" t="s">
        <v>96</v>
      </c>
      <c r="J1390" s="154" t="s">
        <v>97</v>
      </c>
      <c r="K1390" s="154" t="s">
        <v>91</v>
      </c>
      <c r="L1390" s="154" t="s">
        <v>1897</v>
      </c>
      <c r="M1390" s="154" t="s">
        <v>1383</v>
      </c>
      <c r="N1390" s="154" t="s">
        <v>61</v>
      </c>
      <c r="O1390" s="154" t="s">
        <v>62</v>
      </c>
      <c r="P1390" s="146">
        <v>49.88</v>
      </c>
      <c r="Q1390" s="146">
        <v>0</v>
      </c>
      <c r="R1390" s="154" t="s">
        <v>1384</v>
      </c>
      <c r="S1390" s="154" t="s">
        <v>1899</v>
      </c>
      <c r="T1390" s="155" t="s">
        <v>1899</v>
      </c>
      <c r="U1390" s="155" t="s">
        <v>1899</v>
      </c>
      <c r="V1390" s="154" t="s">
        <v>1562</v>
      </c>
      <c r="W1390" s="154">
        <v>0</v>
      </c>
      <c r="X1390" s="154" t="s">
        <v>63</v>
      </c>
      <c r="Y1390" s="154" t="s">
        <v>1900</v>
      </c>
      <c r="Z1390" s="154"/>
      <c r="AA1390" s="154" t="s">
        <v>1387</v>
      </c>
      <c r="AB1390" s="154">
        <v>0</v>
      </c>
      <c r="AC1390" s="138">
        <f>IFERROR(IF(DATEDIF(#REF!,U1390,"m")&lt;=1,1,IF(AND(DATEDIF(#REF!,U1390,"m")&gt;1,DATEDIF(#REF!,U1390,"m")&lt;12),2,IF(AND(DATEDIF(#REF!,U1390,"m")&gt;=12,DATEDIF(#REF!,U1390,"m")&lt;24),3,IF(DATEDIF(#REF!,U1390,"m")&gt;=24,4,"")))),IF(E1390="r0320 - Deposits, not covered and not preferential",1,4))</f>
        <v>4</v>
      </c>
    </row>
    <row r="1391" spans="3:29" ht="48.75" thickBot="1" x14ac:dyDescent="0.3">
      <c r="C1391" s="11">
        <v>999</v>
      </c>
      <c r="D1391" s="154">
        <v>1384</v>
      </c>
      <c r="E1391" s="154" t="s">
        <v>1902</v>
      </c>
      <c r="F1391" s="154" t="s">
        <v>83</v>
      </c>
      <c r="G1391" s="154" t="s">
        <v>1903</v>
      </c>
      <c r="H1391" s="154" t="s">
        <v>941</v>
      </c>
      <c r="I1391" s="154" t="s">
        <v>101</v>
      </c>
      <c r="J1391" s="154" t="s">
        <v>102</v>
      </c>
      <c r="K1391" s="154" t="s">
        <v>60</v>
      </c>
      <c r="L1391" s="154" t="s">
        <v>1897</v>
      </c>
      <c r="M1391" s="154" t="s">
        <v>1388</v>
      </c>
      <c r="N1391" s="154" t="s">
        <v>61</v>
      </c>
      <c r="O1391" s="154" t="s">
        <v>62</v>
      </c>
      <c r="P1391" s="146">
        <v>66769.070000000007</v>
      </c>
      <c r="Q1391" s="146">
        <v>-6.24</v>
      </c>
      <c r="R1391" s="154" t="s">
        <v>1384</v>
      </c>
      <c r="S1391" s="154" t="s">
        <v>1899</v>
      </c>
      <c r="T1391" s="155" t="s">
        <v>768</v>
      </c>
      <c r="U1391" s="155" t="s">
        <v>1899</v>
      </c>
      <c r="V1391" s="154" t="s">
        <v>1904</v>
      </c>
      <c r="W1391" s="154">
        <v>0</v>
      </c>
      <c r="X1391" s="154" t="s">
        <v>63</v>
      </c>
      <c r="Y1391" s="154" t="s">
        <v>1386</v>
      </c>
      <c r="Z1391" s="154"/>
      <c r="AA1391" s="154" t="s">
        <v>1387</v>
      </c>
      <c r="AB1391" s="154">
        <v>0</v>
      </c>
      <c r="AC1391" s="138">
        <f>IFERROR(IF(DATEDIF(#REF!,U1391,"m")&lt;=1,1,IF(AND(DATEDIF(#REF!,U1391,"m")&gt;1,DATEDIF(#REF!,U1391,"m")&lt;12),2,IF(AND(DATEDIF(#REF!,U1391,"m")&gt;=12,DATEDIF(#REF!,U1391,"m")&lt;24),3,IF(DATEDIF(#REF!,U1391,"m")&gt;=24,4,"")))),IF(E1391="r0320 - Deposits, not covered and not preferential",1,4))</f>
        <v>4</v>
      </c>
    </row>
    <row r="1392" spans="3:29" ht="48.75" thickBot="1" x14ac:dyDescent="0.3">
      <c r="C1392" s="11">
        <v>999</v>
      </c>
      <c r="D1392" s="154">
        <v>1385</v>
      </c>
      <c r="E1392" s="154" t="s">
        <v>1902</v>
      </c>
      <c r="F1392" s="154" t="s">
        <v>83</v>
      </c>
      <c r="G1392" s="154" t="s">
        <v>1903</v>
      </c>
      <c r="H1392" s="154" t="s">
        <v>1227</v>
      </c>
      <c r="I1392" s="154" t="s">
        <v>101</v>
      </c>
      <c r="J1392" s="154" t="s">
        <v>102</v>
      </c>
      <c r="K1392" s="154" t="s">
        <v>60</v>
      </c>
      <c r="L1392" s="154" t="s">
        <v>1897</v>
      </c>
      <c r="M1392" s="154" t="s">
        <v>1388</v>
      </c>
      <c r="N1392" s="154" t="s">
        <v>61</v>
      </c>
      <c r="O1392" s="154" t="s">
        <v>62</v>
      </c>
      <c r="P1392" s="146">
        <v>131970.19</v>
      </c>
      <c r="Q1392" s="146">
        <v>45.6</v>
      </c>
      <c r="R1392" s="154" t="s">
        <v>1384</v>
      </c>
      <c r="S1392" s="154" t="s">
        <v>1899</v>
      </c>
      <c r="T1392" s="155" t="s">
        <v>768</v>
      </c>
      <c r="U1392" s="155" t="s">
        <v>1899</v>
      </c>
      <c r="V1392" s="154" t="s">
        <v>1904</v>
      </c>
      <c r="W1392" s="154">
        <v>0</v>
      </c>
      <c r="X1392" s="154" t="s">
        <v>63</v>
      </c>
      <c r="Y1392" s="154" t="s">
        <v>1386</v>
      </c>
      <c r="Z1392" s="154"/>
      <c r="AA1392" s="154" t="s">
        <v>1387</v>
      </c>
      <c r="AB1392" s="154">
        <v>0</v>
      </c>
      <c r="AC1392" s="138">
        <f>IFERROR(IF(DATEDIF(#REF!,U1392,"m")&lt;=1,1,IF(AND(DATEDIF(#REF!,U1392,"m")&gt;1,DATEDIF(#REF!,U1392,"m")&lt;12),2,IF(AND(DATEDIF(#REF!,U1392,"m")&gt;=12,DATEDIF(#REF!,U1392,"m")&lt;24),3,IF(DATEDIF(#REF!,U1392,"m")&gt;=24,4,"")))),IF(E1392="r0320 - Deposits, not covered and not preferential",1,4))</f>
        <v>4</v>
      </c>
    </row>
    <row r="1393" spans="3:29" ht="48.75" thickBot="1" x14ac:dyDescent="0.3">
      <c r="C1393" s="11">
        <v>999</v>
      </c>
      <c r="D1393" s="154">
        <v>1386</v>
      </c>
      <c r="E1393" s="154" t="s">
        <v>1902</v>
      </c>
      <c r="F1393" s="154" t="s">
        <v>83</v>
      </c>
      <c r="G1393" s="154" t="s">
        <v>1903</v>
      </c>
      <c r="H1393" s="154" t="s">
        <v>272</v>
      </c>
      <c r="I1393" s="154" t="s">
        <v>101</v>
      </c>
      <c r="J1393" s="154" t="s">
        <v>102</v>
      </c>
      <c r="K1393" s="154" t="s">
        <v>60</v>
      </c>
      <c r="L1393" s="154" t="s">
        <v>1897</v>
      </c>
      <c r="M1393" s="154" t="s">
        <v>1388</v>
      </c>
      <c r="N1393" s="154" t="s">
        <v>61</v>
      </c>
      <c r="O1393" s="154" t="s">
        <v>62</v>
      </c>
      <c r="P1393" s="146">
        <v>777904.22</v>
      </c>
      <c r="Q1393" s="146">
        <v>106.05</v>
      </c>
      <c r="R1393" s="154" t="s">
        <v>1384</v>
      </c>
      <c r="S1393" s="154" t="s">
        <v>1899</v>
      </c>
      <c r="T1393" s="155" t="s">
        <v>768</v>
      </c>
      <c r="U1393" s="155" t="s">
        <v>1899</v>
      </c>
      <c r="V1393" s="154" t="s">
        <v>1904</v>
      </c>
      <c r="W1393" s="154">
        <v>0</v>
      </c>
      <c r="X1393" s="154" t="s">
        <v>63</v>
      </c>
      <c r="Y1393" s="154" t="s">
        <v>1386</v>
      </c>
      <c r="Z1393" s="154"/>
      <c r="AA1393" s="154" t="s">
        <v>1387</v>
      </c>
      <c r="AB1393" s="154">
        <v>0</v>
      </c>
      <c r="AC1393" s="138">
        <f>IFERROR(IF(DATEDIF(#REF!,U1393,"m")&lt;=1,1,IF(AND(DATEDIF(#REF!,U1393,"m")&gt;1,DATEDIF(#REF!,U1393,"m")&lt;12),2,IF(AND(DATEDIF(#REF!,U1393,"m")&gt;=12,DATEDIF(#REF!,U1393,"m")&lt;24),3,IF(DATEDIF(#REF!,U1393,"m")&gt;=24,4,"")))),IF(E1393="r0320 - Deposits, not covered and not preferential",1,4))</f>
        <v>4</v>
      </c>
    </row>
    <row r="1394" spans="3:29" ht="36.75" thickBot="1" x14ac:dyDescent="0.3">
      <c r="C1394" s="11">
        <v>999</v>
      </c>
      <c r="D1394" s="154">
        <v>1387</v>
      </c>
      <c r="E1394" s="154" t="s">
        <v>1898</v>
      </c>
      <c r="F1394" s="154" t="s">
        <v>87</v>
      </c>
      <c r="G1394" s="154" t="s">
        <v>1402</v>
      </c>
      <c r="H1394" s="154" t="s">
        <v>301</v>
      </c>
      <c r="I1394" s="154" t="s">
        <v>96</v>
      </c>
      <c r="J1394" s="154" t="s">
        <v>97</v>
      </c>
      <c r="K1394" s="154" t="s">
        <v>91</v>
      </c>
      <c r="L1394" s="154" t="s">
        <v>1897</v>
      </c>
      <c r="M1394" s="154" t="s">
        <v>1383</v>
      </c>
      <c r="N1394" s="154" t="s">
        <v>61</v>
      </c>
      <c r="O1394" s="154" t="s">
        <v>62</v>
      </c>
      <c r="P1394" s="146">
        <v>0.33</v>
      </c>
      <c r="Q1394" s="146">
        <v>0</v>
      </c>
      <c r="R1394" s="154" t="s">
        <v>1384</v>
      </c>
      <c r="S1394" s="154" t="s">
        <v>1899</v>
      </c>
      <c r="T1394" s="155" t="s">
        <v>1899</v>
      </c>
      <c r="U1394" s="155" t="s">
        <v>1899</v>
      </c>
      <c r="V1394" s="154" t="s">
        <v>1562</v>
      </c>
      <c r="W1394" s="154">
        <v>0</v>
      </c>
      <c r="X1394" s="154" t="s">
        <v>63</v>
      </c>
      <c r="Y1394" s="154" t="s">
        <v>1900</v>
      </c>
      <c r="Z1394" s="154"/>
      <c r="AA1394" s="154" t="s">
        <v>1387</v>
      </c>
      <c r="AB1394" s="154">
        <v>0</v>
      </c>
      <c r="AC1394" s="138">
        <f>IFERROR(IF(DATEDIF(#REF!,U1394,"m")&lt;=1,1,IF(AND(DATEDIF(#REF!,U1394,"m")&gt;1,DATEDIF(#REF!,U1394,"m")&lt;12),2,IF(AND(DATEDIF(#REF!,U1394,"m")&gt;=12,DATEDIF(#REF!,U1394,"m")&lt;24),3,IF(DATEDIF(#REF!,U1394,"m")&gt;=24,4,"")))),IF(E1394="r0320 - Deposits, not covered and not preferential",1,4))</f>
        <v>4</v>
      </c>
    </row>
    <row r="1395" spans="3:29" ht="48.75" thickBot="1" x14ac:dyDescent="0.3">
      <c r="C1395" s="11">
        <v>999</v>
      </c>
      <c r="D1395" s="154">
        <v>1388</v>
      </c>
      <c r="E1395" s="154" t="s">
        <v>1902</v>
      </c>
      <c r="F1395" s="154" t="s">
        <v>83</v>
      </c>
      <c r="G1395" s="154" t="s">
        <v>1903</v>
      </c>
      <c r="H1395" s="154" t="s">
        <v>1224</v>
      </c>
      <c r="I1395" s="154" t="s">
        <v>101</v>
      </c>
      <c r="J1395" s="154" t="s">
        <v>102</v>
      </c>
      <c r="K1395" s="154" t="s">
        <v>60</v>
      </c>
      <c r="L1395" s="154" t="s">
        <v>1897</v>
      </c>
      <c r="M1395" s="154" t="s">
        <v>1388</v>
      </c>
      <c r="N1395" s="154" t="s">
        <v>61</v>
      </c>
      <c r="O1395" s="154" t="s">
        <v>62</v>
      </c>
      <c r="P1395" s="146">
        <v>62818.080000000002</v>
      </c>
      <c r="Q1395" s="146">
        <v>100.09</v>
      </c>
      <c r="R1395" s="154" t="s">
        <v>1384</v>
      </c>
      <c r="S1395" s="154" t="s">
        <v>1899</v>
      </c>
      <c r="T1395" s="155" t="s">
        <v>768</v>
      </c>
      <c r="U1395" s="155" t="s">
        <v>1899</v>
      </c>
      <c r="V1395" s="154" t="s">
        <v>1904</v>
      </c>
      <c r="W1395" s="154">
        <v>0</v>
      </c>
      <c r="X1395" s="154" t="s">
        <v>63</v>
      </c>
      <c r="Y1395" s="154" t="s">
        <v>1386</v>
      </c>
      <c r="Z1395" s="154"/>
      <c r="AA1395" s="154" t="s">
        <v>1387</v>
      </c>
      <c r="AB1395" s="154">
        <v>0</v>
      </c>
      <c r="AC1395" s="138">
        <f>IFERROR(IF(DATEDIF(#REF!,U1395,"m")&lt;=1,1,IF(AND(DATEDIF(#REF!,U1395,"m")&gt;1,DATEDIF(#REF!,U1395,"m")&lt;12),2,IF(AND(DATEDIF(#REF!,U1395,"m")&gt;=12,DATEDIF(#REF!,U1395,"m")&lt;24),3,IF(DATEDIF(#REF!,U1395,"m")&gt;=24,4,"")))),IF(E1395="r0320 - Deposits, not covered and not preferential",1,4))</f>
        <v>4</v>
      </c>
    </row>
    <row r="1396" spans="3:29" ht="36.75" thickBot="1" x14ac:dyDescent="0.3">
      <c r="C1396" s="11">
        <v>999</v>
      </c>
      <c r="D1396" s="154">
        <v>1389</v>
      </c>
      <c r="E1396" s="154" t="s">
        <v>1898</v>
      </c>
      <c r="F1396" s="154" t="s">
        <v>87</v>
      </c>
      <c r="G1396" s="154" t="s">
        <v>1402</v>
      </c>
      <c r="H1396" s="154" t="s">
        <v>303</v>
      </c>
      <c r="I1396" s="154" t="s">
        <v>96</v>
      </c>
      <c r="J1396" s="154" t="s">
        <v>97</v>
      </c>
      <c r="K1396" s="154" t="s">
        <v>91</v>
      </c>
      <c r="L1396" s="154" t="s">
        <v>1897</v>
      </c>
      <c r="M1396" s="154" t="s">
        <v>1383</v>
      </c>
      <c r="N1396" s="154" t="s">
        <v>61</v>
      </c>
      <c r="O1396" s="154" t="s">
        <v>62</v>
      </c>
      <c r="P1396" s="146">
        <v>0.62</v>
      </c>
      <c r="Q1396" s="146">
        <v>0</v>
      </c>
      <c r="R1396" s="154" t="s">
        <v>1384</v>
      </c>
      <c r="S1396" s="154" t="s">
        <v>1899</v>
      </c>
      <c r="T1396" s="155" t="s">
        <v>1899</v>
      </c>
      <c r="U1396" s="155" t="s">
        <v>1899</v>
      </c>
      <c r="V1396" s="154" t="s">
        <v>1562</v>
      </c>
      <c r="W1396" s="154">
        <v>0</v>
      </c>
      <c r="X1396" s="154" t="s">
        <v>63</v>
      </c>
      <c r="Y1396" s="154" t="s">
        <v>1900</v>
      </c>
      <c r="Z1396" s="154"/>
      <c r="AA1396" s="154" t="s">
        <v>1387</v>
      </c>
      <c r="AB1396" s="154">
        <v>0</v>
      </c>
      <c r="AC1396" s="138">
        <f>IFERROR(IF(DATEDIF(#REF!,U1396,"m")&lt;=1,1,IF(AND(DATEDIF(#REF!,U1396,"m")&gt;1,DATEDIF(#REF!,U1396,"m")&lt;12),2,IF(AND(DATEDIF(#REF!,U1396,"m")&gt;=12,DATEDIF(#REF!,U1396,"m")&lt;24),3,IF(DATEDIF(#REF!,U1396,"m")&gt;=24,4,"")))),IF(E1396="r0320 - Deposits, not covered and not preferential",1,4))</f>
        <v>4</v>
      </c>
    </row>
    <row r="1397" spans="3:29" ht="48.75" thickBot="1" x14ac:dyDescent="0.3">
      <c r="C1397" s="11">
        <v>999</v>
      </c>
      <c r="D1397" s="154">
        <v>1390</v>
      </c>
      <c r="E1397" s="154" t="s">
        <v>1902</v>
      </c>
      <c r="F1397" s="154" t="s">
        <v>83</v>
      </c>
      <c r="G1397" s="154" t="s">
        <v>1903</v>
      </c>
      <c r="H1397" s="154" t="s">
        <v>455</v>
      </c>
      <c r="I1397" s="154" t="s">
        <v>101</v>
      </c>
      <c r="J1397" s="154" t="s">
        <v>102</v>
      </c>
      <c r="K1397" s="154" t="s">
        <v>60</v>
      </c>
      <c r="L1397" s="154" t="s">
        <v>1897</v>
      </c>
      <c r="M1397" s="154" t="s">
        <v>1388</v>
      </c>
      <c r="N1397" s="154" t="s">
        <v>61</v>
      </c>
      <c r="O1397" s="154" t="s">
        <v>62</v>
      </c>
      <c r="P1397" s="146">
        <v>173139.9</v>
      </c>
      <c r="Q1397" s="146">
        <v>127.39</v>
      </c>
      <c r="R1397" s="154" t="s">
        <v>1384</v>
      </c>
      <c r="S1397" s="154" t="s">
        <v>1899</v>
      </c>
      <c r="T1397" s="155" t="s">
        <v>768</v>
      </c>
      <c r="U1397" s="155" t="s">
        <v>1899</v>
      </c>
      <c r="V1397" s="154" t="s">
        <v>1904</v>
      </c>
      <c r="W1397" s="154">
        <v>0</v>
      </c>
      <c r="X1397" s="154" t="s">
        <v>63</v>
      </c>
      <c r="Y1397" s="154" t="s">
        <v>1386</v>
      </c>
      <c r="Z1397" s="154"/>
      <c r="AA1397" s="154" t="s">
        <v>1387</v>
      </c>
      <c r="AB1397" s="154">
        <v>0</v>
      </c>
      <c r="AC1397" s="138">
        <f>IFERROR(IF(DATEDIF(#REF!,U1397,"m")&lt;=1,1,IF(AND(DATEDIF(#REF!,U1397,"m")&gt;1,DATEDIF(#REF!,U1397,"m")&lt;12),2,IF(AND(DATEDIF(#REF!,U1397,"m")&gt;=12,DATEDIF(#REF!,U1397,"m")&lt;24),3,IF(DATEDIF(#REF!,U1397,"m")&gt;=24,4,"")))),IF(E1397="r0320 - Deposits, not covered and not preferential",1,4))</f>
        <v>4</v>
      </c>
    </row>
    <row r="1398" spans="3:29" ht="36.75" thickBot="1" x14ac:dyDescent="0.3">
      <c r="C1398" s="11">
        <v>999</v>
      </c>
      <c r="D1398" s="154">
        <v>1391</v>
      </c>
      <c r="E1398" s="154" t="s">
        <v>1898</v>
      </c>
      <c r="F1398" s="154" t="s">
        <v>87</v>
      </c>
      <c r="G1398" s="154" t="s">
        <v>1402</v>
      </c>
      <c r="H1398" s="154" t="s">
        <v>305</v>
      </c>
      <c r="I1398" s="154" t="s">
        <v>96</v>
      </c>
      <c r="J1398" s="154" t="s">
        <v>97</v>
      </c>
      <c r="K1398" s="154" t="s">
        <v>91</v>
      </c>
      <c r="L1398" s="154" t="s">
        <v>1897</v>
      </c>
      <c r="M1398" s="154" t="s">
        <v>1383</v>
      </c>
      <c r="N1398" s="154" t="s">
        <v>61</v>
      </c>
      <c r="O1398" s="154" t="s">
        <v>62</v>
      </c>
      <c r="P1398" s="146">
        <v>2.37</v>
      </c>
      <c r="Q1398" s="146">
        <v>0</v>
      </c>
      <c r="R1398" s="154" t="s">
        <v>1384</v>
      </c>
      <c r="S1398" s="154" t="s">
        <v>1899</v>
      </c>
      <c r="T1398" s="155" t="s">
        <v>1899</v>
      </c>
      <c r="U1398" s="155" t="s">
        <v>1899</v>
      </c>
      <c r="V1398" s="154" t="s">
        <v>1562</v>
      </c>
      <c r="W1398" s="154">
        <v>0</v>
      </c>
      <c r="X1398" s="154" t="s">
        <v>63</v>
      </c>
      <c r="Y1398" s="154" t="s">
        <v>1900</v>
      </c>
      <c r="Z1398" s="154"/>
      <c r="AA1398" s="154" t="s">
        <v>1387</v>
      </c>
      <c r="AB1398" s="154">
        <v>0</v>
      </c>
      <c r="AC1398" s="138">
        <f>IFERROR(IF(DATEDIF(#REF!,U1398,"m")&lt;=1,1,IF(AND(DATEDIF(#REF!,U1398,"m")&gt;1,DATEDIF(#REF!,U1398,"m")&lt;12),2,IF(AND(DATEDIF(#REF!,U1398,"m")&gt;=12,DATEDIF(#REF!,U1398,"m")&lt;24),3,IF(DATEDIF(#REF!,U1398,"m")&gt;=24,4,"")))),IF(E1398="r0320 - Deposits, not covered and not preferential",1,4))</f>
        <v>4</v>
      </c>
    </row>
    <row r="1399" spans="3:29" ht="48.75" thickBot="1" x14ac:dyDescent="0.3">
      <c r="C1399" s="11">
        <v>999</v>
      </c>
      <c r="D1399" s="154">
        <v>1392</v>
      </c>
      <c r="E1399" s="154" t="s">
        <v>1902</v>
      </c>
      <c r="F1399" s="154" t="s">
        <v>83</v>
      </c>
      <c r="G1399" s="154" t="s">
        <v>1903</v>
      </c>
      <c r="H1399" s="154" t="s">
        <v>277</v>
      </c>
      <c r="I1399" s="154" t="s">
        <v>93</v>
      </c>
      <c r="J1399" s="154" t="s">
        <v>94</v>
      </c>
      <c r="K1399" s="154" t="s">
        <v>60</v>
      </c>
      <c r="L1399" s="154" t="s">
        <v>1897</v>
      </c>
      <c r="M1399" s="154" t="s">
        <v>1388</v>
      </c>
      <c r="N1399" s="154" t="s">
        <v>61</v>
      </c>
      <c r="O1399" s="154" t="s">
        <v>62</v>
      </c>
      <c r="P1399" s="146">
        <v>152264.19</v>
      </c>
      <c r="Q1399" s="146">
        <v>65.23</v>
      </c>
      <c r="R1399" s="154" t="s">
        <v>1384</v>
      </c>
      <c r="S1399" s="154" t="s">
        <v>1899</v>
      </c>
      <c r="T1399" s="155" t="s">
        <v>768</v>
      </c>
      <c r="U1399" s="155" t="s">
        <v>1899</v>
      </c>
      <c r="V1399" s="154" t="s">
        <v>1904</v>
      </c>
      <c r="W1399" s="154">
        <v>0</v>
      </c>
      <c r="X1399" s="154" t="s">
        <v>63</v>
      </c>
      <c r="Y1399" s="154" t="s">
        <v>1386</v>
      </c>
      <c r="Z1399" s="154"/>
      <c r="AA1399" s="154" t="s">
        <v>1387</v>
      </c>
      <c r="AB1399" s="154">
        <v>0</v>
      </c>
      <c r="AC1399" s="138">
        <f>IFERROR(IF(DATEDIF(#REF!,U1399,"m")&lt;=1,1,IF(AND(DATEDIF(#REF!,U1399,"m")&gt;1,DATEDIF(#REF!,U1399,"m")&lt;12),2,IF(AND(DATEDIF(#REF!,U1399,"m")&gt;=12,DATEDIF(#REF!,U1399,"m")&lt;24),3,IF(DATEDIF(#REF!,U1399,"m")&gt;=24,4,"")))),IF(E1399="r0320 - Deposits, not covered and not preferential",1,4))</f>
        <v>4</v>
      </c>
    </row>
    <row r="1400" spans="3:29" ht="36.75" thickBot="1" x14ac:dyDescent="0.3">
      <c r="C1400" s="11">
        <v>999</v>
      </c>
      <c r="D1400" s="154">
        <v>1393</v>
      </c>
      <c r="E1400" s="154" t="s">
        <v>1898</v>
      </c>
      <c r="F1400" s="154" t="s">
        <v>87</v>
      </c>
      <c r="G1400" s="154" t="s">
        <v>1402</v>
      </c>
      <c r="H1400" s="154" t="s">
        <v>825</v>
      </c>
      <c r="I1400" s="154" t="s">
        <v>96</v>
      </c>
      <c r="J1400" s="154" t="s">
        <v>97</v>
      </c>
      <c r="K1400" s="154" t="s">
        <v>91</v>
      </c>
      <c r="L1400" s="154" t="s">
        <v>1897</v>
      </c>
      <c r="M1400" s="154" t="s">
        <v>1383</v>
      </c>
      <c r="N1400" s="154" t="s">
        <v>61</v>
      </c>
      <c r="O1400" s="154" t="s">
        <v>62</v>
      </c>
      <c r="P1400" s="146">
        <v>26.67</v>
      </c>
      <c r="Q1400" s="146">
        <v>0</v>
      </c>
      <c r="R1400" s="154" t="s">
        <v>1384</v>
      </c>
      <c r="S1400" s="154" t="s">
        <v>1899</v>
      </c>
      <c r="T1400" s="155" t="s">
        <v>1899</v>
      </c>
      <c r="U1400" s="155" t="s">
        <v>1899</v>
      </c>
      <c r="V1400" s="154" t="s">
        <v>1562</v>
      </c>
      <c r="W1400" s="154">
        <v>0</v>
      </c>
      <c r="X1400" s="154" t="s">
        <v>63</v>
      </c>
      <c r="Y1400" s="154" t="s">
        <v>1900</v>
      </c>
      <c r="Z1400" s="154"/>
      <c r="AA1400" s="154" t="s">
        <v>1387</v>
      </c>
      <c r="AB1400" s="154">
        <v>0</v>
      </c>
      <c r="AC1400" s="138">
        <f>IFERROR(IF(DATEDIF(#REF!,U1400,"m")&lt;=1,1,IF(AND(DATEDIF(#REF!,U1400,"m")&gt;1,DATEDIF(#REF!,U1400,"m")&lt;12),2,IF(AND(DATEDIF(#REF!,U1400,"m")&gt;=12,DATEDIF(#REF!,U1400,"m")&lt;24),3,IF(DATEDIF(#REF!,U1400,"m")&gt;=24,4,"")))),IF(E1400="r0320 - Deposits, not covered and not preferential",1,4))</f>
        <v>4</v>
      </c>
    </row>
    <row r="1401" spans="3:29" ht="48.75" thickBot="1" x14ac:dyDescent="0.3">
      <c r="C1401" s="11">
        <v>999</v>
      </c>
      <c r="D1401" s="154">
        <v>1394</v>
      </c>
      <c r="E1401" s="154" t="s">
        <v>1902</v>
      </c>
      <c r="F1401" s="154" t="s">
        <v>83</v>
      </c>
      <c r="G1401" s="154" t="s">
        <v>1903</v>
      </c>
      <c r="H1401" s="154" t="s">
        <v>267</v>
      </c>
      <c r="I1401" s="154" t="s">
        <v>93</v>
      </c>
      <c r="J1401" s="154" t="s">
        <v>94</v>
      </c>
      <c r="K1401" s="154" t="s">
        <v>60</v>
      </c>
      <c r="L1401" s="154" t="s">
        <v>1897</v>
      </c>
      <c r="M1401" s="154" t="s">
        <v>1388</v>
      </c>
      <c r="N1401" s="154" t="s">
        <v>61</v>
      </c>
      <c r="O1401" s="154" t="s">
        <v>62</v>
      </c>
      <c r="P1401" s="146">
        <v>-0.99</v>
      </c>
      <c r="Q1401" s="146">
        <v>0</v>
      </c>
      <c r="R1401" s="154" t="s">
        <v>1384</v>
      </c>
      <c r="S1401" s="154" t="s">
        <v>1899</v>
      </c>
      <c r="T1401" s="155" t="s">
        <v>768</v>
      </c>
      <c r="U1401" s="155" t="s">
        <v>1899</v>
      </c>
      <c r="V1401" s="154" t="s">
        <v>1904</v>
      </c>
      <c r="W1401" s="154">
        <v>0</v>
      </c>
      <c r="X1401" s="154" t="s">
        <v>63</v>
      </c>
      <c r="Y1401" s="154" t="s">
        <v>1386</v>
      </c>
      <c r="Z1401" s="154"/>
      <c r="AA1401" s="154" t="s">
        <v>1387</v>
      </c>
      <c r="AB1401" s="154">
        <v>0</v>
      </c>
      <c r="AC1401" s="138">
        <f>IFERROR(IF(DATEDIF(#REF!,U1401,"m")&lt;=1,1,IF(AND(DATEDIF(#REF!,U1401,"m")&gt;1,DATEDIF(#REF!,U1401,"m")&lt;12),2,IF(AND(DATEDIF(#REF!,U1401,"m")&gt;=12,DATEDIF(#REF!,U1401,"m")&lt;24),3,IF(DATEDIF(#REF!,U1401,"m")&gt;=24,4,"")))),IF(E1401="r0320 - Deposits, not covered and not preferential",1,4))</f>
        <v>4</v>
      </c>
    </row>
    <row r="1402" spans="3:29" ht="36.75" thickBot="1" x14ac:dyDescent="0.3">
      <c r="C1402" s="11">
        <v>999</v>
      </c>
      <c r="D1402" s="154">
        <v>1395</v>
      </c>
      <c r="E1402" s="154" t="s">
        <v>1898</v>
      </c>
      <c r="F1402" s="154" t="s">
        <v>87</v>
      </c>
      <c r="G1402" s="154" t="s">
        <v>1402</v>
      </c>
      <c r="H1402" s="154" t="s">
        <v>292</v>
      </c>
      <c r="I1402" s="154" t="s">
        <v>96</v>
      </c>
      <c r="J1402" s="154" t="s">
        <v>97</v>
      </c>
      <c r="K1402" s="154" t="s">
        <v>91</v>
      </c>
      <c r="L1402" s="154" t="s">
        <v>1897</v>
      </c>
      <c r="M1402" s="154" t="s">
        <v>1383</v>
      </c>
      <c r="N1402" s="154" t="s">
        <v>61</v>
      </c>
      <c r="O1402" s="154" t="s">
        <v>62</v>
      </c>
      <c r="P1402" s="146">
        <v>18.89</v>
      </c>
      <c r="Q1402" s="146">
        <v>0</v>
      </c>
      <c r="R1402" s="154" t="s">
        <v>1384</v>
      </c>
      <c r="S1402" s="154" t="s">
        <v>1899</v>
      </c>
      <c r="T1402" s="155" t="s">
        <v>1899</v>
      </c>
      <c r="U1402" s="155" t="s">
        <v>1899</v>
      </c>
      <c r="V1402" s="154" t="s">
        <v>1562</v>
      </c>
      <c r="W1402" s="154">
        <v>0</v>
      </c>
      <c r="X1402" s="154" t="s">
        <v>63</v>
      </c>
      <c r="Y1402" s="154" t="s">
        <v>1900</v>
      </c>
      <c r="Z1402" s="154"/>
      <c r="AA1402" s="154" t="s">
        <v>1387</v>
      </c>
      <c r="AB1402" s="154">
        <v>0</v>
      </c>
      <c r="AC1402" s="138">
        <f>IFERROR(IF(DATEDIF(#REF!,U1402,"m")&lt;=1,1,IF(AND(DATEDIF(#REF!,U1402,"m")&gt;1,DATEDIF(#REF!,U1402,"m")&lt;12),2,IF(AND(DATEDIF(#REF!,U1402,"m")&gt;=12,DATEDIF(#REF!,U1402,"m")&lt;24),3,IF(DATEDIF(#REF!,U1402,"m")&gt;=24,4,"")))),IF(E1402="r0320 - Deposits, not covered and not preferential",1,4))</f>
        <v>4</v>
      </c>
    </row>
    <row r="1403" spans="3:29" ht="48.75" thickBot="1" x14ac:dyDescent="0.3">
      <c r="C1403" s="11">
        <v>999</v>
      </c>
      <c r="D1403" s="154">
        <v>1396</v>
      </c>
      <c r="E1403" s="154" t="s">
        <v>1902</v>
      </c>
      <c r="F1403" s="154" t="s">
        <v>83</v>
      </c>
      <c r="G1403" s="154" t="s">
        <v>1903</v>
      </c>
      <c r="H1403" s="154" t="s">
        <v>941</v>
      </c>
      <c r="I1403" s="154" t="s">
        <v>93</v>
      </c>
      <c r="J1403" s="154" t="s">
        <v>94</v>
      </c>
      <c r="K1403" s="154" t="s">
        <v>60</v>
      </c>
      <c r="L1403" s="154" t="s">
        <v>1897</v>
      </c>
      <c r="M1403" s="154" t="s">
        <v>1388</v>
      </c>
      <c r="N1403" s="154" t="s">
        <v>61</v>
      </c>
      <c r="O1403" s="154" t="s">
        <v>62</v>
      </c>
      <c r="P1403" s="146">
        <v>87537.85</v>
      </c>
      <c r="Q1403" s="146">
        <v>1.62</v>
      </c>
      <c r="R1403" s="154" t="s">
        <v>1384</v>
      </c>
      <c r="S1403" s="154" t="s">
        <v>1899</v>
      </c>
      <c r="T1403" s="155" t="s">
        <v>768</v>
      </c>
      <c r="U1403" s="155" t="s">
        <v>1899</v>
      </c>
      <c r="V1403" s="154" t="s">
        <v>1904</v>
      </c>
      <c r="W1403" s="154">
        <v>0</v>
      </c>
      <c r="X1403" s="154" t="s">
        <v>63</v>
      </c>
      <c r="Y1403" s="154" t="s">
        <v>1386</v>
      </c>
      <c r="Z1403" s="154"/>
      <c r="AA1403" s="154" t="s">
        <v>1387</v>
      </c>
      <c r="AB1403" s="154">
        <v>0</v>
      </c>
      <c r="AC1403" s="138">
        <f>IFERROR(IF(DATEDIF(#REF!,U1403,"m")&lt;=1,1,IF(AND(DATEDIF(#REF!,U1403,"m")&gt;1,DATEDIF(#REF!,U1403,"m")&lt;12),2,IF(AND(DATEDIF(#REF!,U1403,"m")&gt;=12,DATEDIF(#REF!,U1403,"m")&lt;24),3,IF(DATEDIF(#REF!,U1403,"m")&gt;=24,4,"")))),IF(E1403="r0320 - Deposits, not covered and not preferential",1,4))</f>
        <v>4</v>
      </c>
    </row>
    <row r="1404" spans="3:29" ht="36.75" thickBot="1" x14ac:dyDescent="0.3">
      <c r="C1404" s="11">
        <v>999</v>
      </c>
      <c r="D1404" s="154">
        <v>1397</v>
      </c>
      <c r="E1404" s="154" t="s">
        <v>1898</v>
      </c>
      <c r="F1404" s="154" t="s">
        <v>87</v>
      </c>
      <c r="G1404" s="154" t="s">
        <v>1402</v>
      </c>
      <c r="H1404" s="154" t="s">
        <v>786</v>
      </c>
      <c r="I1404" s="154" t="s">
        <v>96</v>
      </c>
      <c r="J1404" s="154" t="s">
        <v>97</v>
      </c>
      <c r="K1404" s="154" t="s">
        <v>91</v>
      </c>
      <c r="L1404" s="154" t="s">
        <v>1897</v>
      </c>
      <c r="M1404" s="154" t="s">
        <v>1383</v>
      </c>
      <c r="N1404" s="154" t="s">
        <v>61</v>
      </c>
      <c r="O1404" s="154" t="s">
        <v>62</v>
      </c>
      <c r="P1404" s="146">
        <v>0.28000000000000003</v>
      </c>
      <c r="Q1404" s="146">
        <v>0</v>
      </c>
      <c r="R1404" s="154" t="s">
        <v>1384</v>
      </c>
      <c r="S1404" s="154" t="s">
        <v>1899</v>
      </c>
      <c r="T1404" s="155" t="s">
        <v>1899</v>
      </c>
      <c r="U1404" s="155" t="s">
        <v>1899</v>
      </c>
      <c r="V1404" s="154" t="s">
        <v>1562</v>
      </c>
      <c r="W1404" s="154">
        <v>0</v>
      </c>
      <c r="X1404" s="154" t="s">
        <v>63</v>
      </c>
      <c r="Y1404" s="154" t="s">
        <v>1900</v>
      </c>
      <c r="Z1404" s="154"/>
      <c r="AA1404" s="154" t="s">
        <v>1387</v>
      </c>
      <c r="AB1404" s="154">
        <v>0</v>
      </c>
      <c r="AC1404" s="138">
        <f>IFERROR(IF(DATEDIF(#REF!,U1404,"m")&lt;=1,1,IF(AND(DATEDIF(#REF!,U1404,"m")&gt;1,DATEDIF(#REF!,U1404,"m")&lt;12),2,IF(AND(DATEDIF(#REF!,U1404,"m")&gt;=12,DATEDIF(#REF!,U1404,"m")&lt;24),3,IF(DATEDIF(#REF!,U1404,"m")&gt;=24,4,"")))),IF(E1404="r0320 - Deposits, not covered and not preferential",1,4))</f>
        <v>4</v>
      </c>
    </row>
    <row r="1405" spans="3:29" ht="36.75" thickBot="1" x14ac:dyDescent="0.3">
      <c r="C1405" s="11">
        <v>999</v>
      </c>
      <c r="D1405" s="154">
        <v>1398</v>
      </c>
      <c r="E1405" s="154" t="s">
        <v>1898</v>
      </c>
      <c r="F1405" s="154" t="s">
        <v>87</v>
      </c>
      <c r="G1405" s="154" t="s">
        <v>1402</v>
      </c>
      <c r="H1405" s="154" t="s">
        <v>1292</v>
      </c>
      <c r="I1405" s="154" t="s">
        <v>108</v>
      </c>
      <c r="J1405" s="154" t="s">
        <v>90</v>
      </c>
      <c r="K1405" s="154" t="s">
        <v>91</v>
      </c>
      <c r="L1405" s="154" t="s">
        <v>1897</v>
      </c>
      <c r="M1405" s="154" t="s">
        <v>1383</v>
      </c>
      <c r="N1405" s="154" t="s">
        <v>61</v>
      </c>
      <c r="O1405" s="154" t="s">
        <v>62</v>
      </c>
      <c r="P1405" s="146">
        <v>0.23</v>
      </c>
      <c r="Q1405" s="146">
        <v>0</v>
      </c>
      <c r="R1405" s="154" t="s">
        <v>1384</v>
      </c>
      <c r="S1405" s="154" t="s">
        <v>1899</v>
      </c>
      <c r="T1405" s="155" t="s">
        <v>1899</v>
      </c>
      <c r="U1405" s="155" t="s">
        <v>1899</v>
      </c>
      <c r="V1405" s="154" t="s">
        <v>1562</v>
      </c>
      <c r="W1405" s="154">
        <v>0</v>
      </c>
      <c r="X1405" s="154" t="s">
        <v>63</v>
      </c>
      <c r="Y1405" s="154" t="s">
        <v>1900</v>
      </c>
      <c r="Z1405" s="154"/>
      <c r="AA1405" s="154" t="s">
        <v>1387</v>
      </c>
      <c r="AB1405" s="154">
        <v>0</v>
      </c>
      <c r="AC1405" s="138">
        <f>IFERROR(IF(DATEDIF(#REF!,U1405,"m")&lt;=1,1,IF(AND(DATEDIF(#REF!,U1405,"m")&gt;1,DATEDIF(#REF!,U1405,"m")&lt;12),2,IF(AND(DATEDIF(#REF!,U1405,"m")&gt;=12,DATEDIF(#REF!,U1405,"m")&lt;24),3,IF(DATEDIF(#REF!,U1405,"m")&gt;=24,4,"")))),IF(E1405="r0320 - Deposits, not covered and not preferential",1,4))</f>
        <v>4</v>
      </c>
    </row>
    <row r="1406" spans="3:29" ht="36.75" thickBot="1" x14ac:dyDescent="0.3">
      <c r="C1406" s="11">
        <v>999</v>
      </c>
      <c r="D1406" s="154">
        <v>1399</v>
      </c>
      <c r="E1406" s="154" t="s">
        <v>1898</v>
      </c>
      <c r="F1406" s="154" t="s">
        <v>87</v>
      </c>
      <c r="G1406" s="154" t="s">
        <v>1402</v>
      </c>
      <c r="H1406" s="154" t="s">
        <v>846</v>
      </c>
      <c r="I1406" s="154" t="s">
        <v>96</v>
      </c>
      <c r="J1406" s="154" t="s">
        <v>97</v>
      </c>
      <c r="K1406" s="154" t="s">
        <v>91</v>
      </c>
      <c r="L1406" s="154" t="s">
        <v>1897</v>
      </c>
      <c r="M1406" s="154" t="s">
        <v>1383</v>
      </c>
      <c r="N1406" s="154" t="s">
        <v>61</v>
      </c>
      <c r="O1406" s="154" t="s">
        <v>62</v>
      </c>
      <c r="P1406" s="146">
        <v>82.22</v>
      </c>
      <c r="Q1406" s="146">
        <v>0</v>
      </c>
      <c r="R1406" s="154" t="s">
        <v>1384</v>
      </c>
      <c r="S1406" s="154" t="s">
        <v>1899</v>
      </c>
      <c r="T1406" s="155" t="s">
        <v>1899</v>
      </c>
      <c r="U1406" s="155" t="s">
        <v>1899</v>
      </c>
      <c r="V1406" s="154" t="s">
        <v>1562</v>
      </c>
      <c r="W1406" s="154">
        <v>0</v>
      </c>
      <c r="X1406" s="154" t="s">
        <v>63</v>
      </c>
      <c r="Y1406" s="154" t="s">
        <v>1900</v>
      </c>
      <c r="Z1406" s="154"/>
      <c r="AA1406" s="154" t="s">
        <v>1387</v>
      </c>
      <c r="AB1406" s="154">
        <v>0</v>
      </c>
      <c r="AC1406" s="138">
        <f>IFERROR(IF(DATEDIF(#REF!,U1406,"m")&lt;=1,1,IF(AND(DATEDIF(#REF!,U1406,"m")&gt;1,DATEDIF(#REF!,U1406,"m")&lt;12),2,IF(AND(DATEDIF(#REF!,U1406,"m")&gt;=12,DATEDIF(#REF!,U1406,"m")&lt;24),3,IF(DATEDIF(#REF!,U1406,"m")&gt;=24,4,"")))),IF(E1406="r0320 - Deposits, not covered and not preferential",1,4))</f>
        <v>4</v>
      </c>
    </row>
    <row r="1407" spans="3:29" ht="48.75" thickBot="1" x14ac:dyDescent="0.3">
      <c r="C1407" s="11">
        <v>999</v>
      </c>
      <c r="D1407" s="154">
        <v>1400</v>
      </c>
      <c r="E1407" s="154" t="s">
        <v>1902</v>
      </c>
      <c r="F1407" s="154" t="s">
        <v>83</v>
      </c>
      <c r="G1407" s="154" t="s">
        <v>1903</v>
      </c>
      <c r="H1407" s="154" t="s">
        <v>1236</v>
      </c>
      <c r="I1407" s="154" t="s">
        <v>93</v>
      </c>
      <c r="J1407" s="154" t="s">
        <v>94</v>
      </c>
      <c r="K1407" s="154" t="s">
        <v>60</v>
      </c>
      <c r="L1407" s="154" t="s">
        <v>1897</v>
      </c>
      <c r="M1407" s="154" t="s">
        <v>1388</v>
      </c>
      <c r="N1407" s="154" t="s">
        <v>61</v>
      </c>
      <c r="O1407" s="154" t="s">
        <v>62</v>
      </c>
      <c r="P1407" s="146">
        <v>147690.59</v>
      </c>
      <c r="Q1407" s="146">
        <v>60.74</v>
      </c>
      <c r="R1407" s="154" t="s">
        <v>1384</v>
      </c>
      <c r="S1407" s="154" t="s">
        <v>1899</v>
      </c>
      <c r="T1407" s="155" t="s">
        <v>768</v>
      </c>
      <c r="U1407" s="155" t="s">
        <v>1899</v>
      </c>
      <c r="V1407" s="154" t="s">
        <v>1904</v>
      </c>
      <c r="W1407" s="154">
        <v>0</v>
      </c>
      <c r="X1407" s="154" t="s">
        <v>63</v>
      </c>
      <c r="Y1407" s="154" t="s">
        <v>1386</v>
      </c>
      <c r="Z1407" s="154"/>
      <c r="AA1407" s="154" t="s">
        <v>1387</v>
      </c>
      <c r="AB1407" s="154">
        <v>0</v>
      </c>
      <c r="AC1407" s="138">
        <f>IFERROR(IF(DATEDIF(#REF!,U1407,"m")&lt;=1,1,IF(AND(DATEDIF(#REF!,U1407,"m")&gt;1,DATEDIF(#REF!,U1407,"m")&lt;12),2,IF(AND(DATEDIF(#REF!,U1407,"m")&gt;=12,DATEDIF(#REF!,U1407,"m")&lt;24),3,IF(DATEDIF(#REF!,U1407,"m")&gt;=24,4,"")))),IF(E1407="r0320 - Deposits, not covered and not preferential",1,4))</f>
        <v>4</v>
      </c>
    </row>
    <row r="1408" spans="3:29" ht="36.75" thickBot="1" x14ac:dyDescent="0.3">
      <c r="C1408" s="11">
        <v>999</v>
      </c>
      <c r="D1408" s="154">
        <v>1401</v>
      </c>
      <c r="E1408" s="154" t="s">
        <v>1898</v>
      </c>
      <c r="F1408" s="154" t="s">
        <v>87</v>
      </c>
      <c r="G1408" s="154" t="s">
        <v>1402</v>
      </c>
      <c r="H1408" s="154" t="s">
        <v>785</v>
      </c>
      <c r="I1408" s="154" t="s">
        <v>108</v>
      </c>
      <c r="J1408" s="154" t="s">
        <v>90</v>
      </c>
      <c r="K1408" s="154" t="s">
        <v>91</v>
      </c>
      <c r="L1408" s="154" t="s">
        <v>1897</v>
      </c>
      <c r="M1408" s="154" t="s">
        <v>1383</v>
      </c>
      <c r="N1408" s="154" t="s">
        <v>61</v>
      </c>
      <c r="O1408" s="154" t="s">
        <v>62</v>
      </c>
      <c r="P1408" s="146">
        <v>0.55000000000000004</v>
      </c>
      <c r="Q1408" s="146">
        <v>0</v>
      </c>
      <c r="R1408" s="154" t="s">
        <v>1384</v>
      </c>
      <c r="S1408" s="154" t="s">
        <v>1899</v>
      </c>
      <c r="T1408" s="155" t="s">
        <v>1899</v>
      </c>
      <c r="U1408" s="155" t="s">
        <v>1899</v>
      </c>
      <c r="V1408" s="154" t="s">
        <v>1562</v>
      </c>
      <c r="W1408" s="154">
        <v>0</v>
      </c>
      <c r="X1408" s="154" t="s">
        <v>63</v>
      </c>
      <c r="Y1408" s="154" t="s">
        <v>1900</v>
      </c>
      <c r="Z1408" s="154"/>
      <c r="AA1408" s="154" t="s">
        <v>1387</v>
      </c>
      <c r="AB1408" s="154">
        <v>0</v>
      </c>
      <c r="AC1408" s="138">
        <f>IFERROR(IF(DATEDIF(#REF!,U1408,"m")&lt;=1,1,IF(AND(DATEDIF(#REF!,U1408,"m")&gt;1,DATEDIF(#REF!,U1408,"m")&lt;12),2,IF(AND(DATEDIF(#REF!,U1408,"m")&gt;=12,DATEDIF(#REF!,U1408,"m")&lt;24),3,IF(DATEDIF(#REF!,U1408,"m")&gt;=24,4,"")))),IF(E1408="r0320 - Deposits, not covered and not preferential",1,4))</f>
        <v>4</v>
      </c>
    </row>
    <row r="1409" spans="3:29" ht="48.75" thickBot="1" x14ac:dyDescent="0.3">
      <c r="C1409" s="11">
        <v>999</v>
      </c>
      <c r="D1409" s="154">
        <v>1402</v>
      </c>
      <c r="E1409" s="154" t="s">
        <v>1902</v>
      </c>
      <c r="F1409" s="154" t="s">
        <v>83</v>
      </c>
      <c r="G1409" s="154" t="s">
        <v>1903</v>
      </c>
      <c r="H1409" s="154" t="s">
        <v>556</v>
      </c>
      <c r="I1409" s="154" t="s">
        <v>93</v>
      </c>
      <c r="J1409" s="154" t="s">
        <v>94</v>
      </c>
      <c r="K1409" s="154" t="s">
        <v>60</v>
      </c>
      <c r="L1409" s="154" t="s">
        <v>1897</v>
      </c>
      <c r="M1409" s="154" t="s">
        <v>1388</v>
      </c>
      <c r="N1409" s="154" t="s">
        <v>61</v>
      </c>
      <c r="O1409" s="154" t="s">
        <v>62</v>
      </c>
      <c r="P1409" s="146">
        <v>177363.09</v>
      </c>
      <c r="Q1409" s="146">
        <v>-16.510000000000002</v>
      </c>
      <c r="R1409" s="154" t="s">
        <v>1384</v>
      </c>
      <c r="S1409" s="154" t="s">
        <v>1899</v>
      </c>
      <c r="T1409" s="155" t="s">
        <v>768</v>
      </c>
      <c r="U1409" s="155" t="s">
        <v>1899</v>
      </c>
      <c r="V1409" s="154" t="s">
        <v>1904</v>
      </c>
      <c r="W1409" s="154">
        <v>0</v>
      </c>
      <c r="X1409" s="154" t="s">
        <v>63</v>
      </c>
      <c r="Y1409" s="154" t="s">
        <v>1386</v>
      </c>
      <c r="Z1409" s="154"/>
      <c r="AA1409" s="154" t="s">
        <v>1387</v>
      </c>
      <c r="AB1409" s="154">
        <v>0</v>
      </c>
      <c r="AC1409" s="138">
        <f>IFERROR(IF(DATEDIF(#REF!,U1409,"m")&lt;=1,1,IF(AND(DATEDIF(#REF!,U1409,"m")&gt;1,DATEDIF(#REF!,U1409,"m")&lt;12),2,IF(AND(DATEDIF(#REF!,U1409,"m")&gt;=12,DATEDIF(#REF!,U1409,"m")&lt;24),3,IF(DATEDIF(#REF!,U1409,"m")&gt;=24,4,"")))),IF(E1409="r0320 - Deposits, not covered and not preferential",1,4))</f>
        <v>4</v>
      </c>
    </row>
    <row r="1410" spans="3:29" ht="36.75" thickBot="1" x14ac:dyDescent="0.3">
      <c r="C1410" s="11">
        <v>999</v>
      </c>
      <c r="D1410" s="154">
        <v>1403</v>
      </c>
      <c r="E1410" s="154" t="s">
        <v>1898</v>
      </c>
      <c r="F1410" s="154" t="s">
        <v>87</v>
      </c>
      <c r="G1410" s="154" t="s">
        <v>1402</v>
      </c>
      <c r="H1410" s="154" t="s">
        <v>854</v>
      </c>
      <c r="I1410" s="154" t="s">
        <v>96</v>
      </c>
      <c r="J1410" s="154" t="s">
        <v>97</v>
      </c>
      <c r="K1410" s="154" t="s">
        <v>91</v>
      </c>
      <c r="L1410" s="154" t="s">
        <v>1897</v>
      </c>
      <c r="M1410" s="154" t="s">
        <v>1383</v>
      </c>
      <c r="N1410" s="154" t="s">
        <v>61</v>
      </c>
      <c r="O1410" s="154" t="s">
        <v>62</v>
      </c>
      <c r="P1410" s="146">
        <v>54.44</v>
      </c>
      <c r="Q1410" s="146">
        <v>0</v>
      </c>
      <c r="R1410" s="154" t="s">
        <v>1384</v>
      </c>
      <c r="S1410" s="154" t="s">
        <v>1899</v>
      </c>
      <c r="T1410" s="155" t="s">
        <v>1899</v>
      </c>
      <c r="U1410" s="155" t="s">
        <v>1899</v>
      </c>
      <c r="V1410" s="154" t="s">
        <v>1562</v>
      </c>
      <c r="W1410" s="154">
        <v>0</v>
      </c>
      <c r="X1410" s="154" t="s">
        <v>63</v>
      </c>
      <c r="Y1410" s="154" t="s">
        <v>1900</v>
      </c>
      <c r="Z1410" s="154"/>
      <c r="AA1410" s="154" t="s">
        <v>1387</v>
      </c>
      <c r="AB1410" s="154">
        <v>0</v>
      </c>
      <c r="AC1410" s="138">
        <f>IFERROR(IF(DATEDIF(#REF!,U1410,"m")&lt;=1,1,IF(AND(DATEDIF(#REF!,U1410,"m")&gt;1,DATEDIF(#REF!,U1410,"m")&lt;12),2,IF(AND(DATEDIF(#REF!,U1410,"m")&gt;=12,DATEDIF(#REF!,U1410,"m")&lt;24),3,IF(DATEDIF(#REF!,U1410,"m")&gt;=24,4,"")))),IF(E1410="r0320 - Deposits, not covered and not preferential",1,4))</f>
        <v>4</v>
      </c>
    </row>
    <row r="1411" spans="3:29" ht="48.75" thickBot="1" x14ac:dyDescent="0.3">
      <c r="C1411" s="11">
        <v>999</v>
      </c>
      <c r="D1411" s="154">
        <v>1404</v>
      </c>
      <c r="E1411" s="154" t="s">
        <v>1902</v>
      </c>
      <c r="F1411" s="154" t="s">
        <v>83</v>
      </c>
      <c r="G1411" s="154" t="s">
        <v>1903</v>
      </c>
      <c r="H1411" s="154" t="s">
        <v>1237</v>
      </c>
      <c r="I1411" s="154" t="s">
        <v>93</v>
      </c>
      <c r="J1411" s="154" t="s">
        <v>94</v>
      </c>
      <c r="K1411" s="154" t="s">
        <v>60</v>
      </c>
      <c r="L1411" s="154" t="s">
        <v>1897</v>
      </c>
      <c r="M1411" s="154" t="s">
        <v>1388</v>
      </c>
      <c r="N1411" s="154" t="s">
        <v>61</v>
      </c>
      <c r="O1411" s="154" t="s">
        <v>62</v>
      </c>
      <c r="P1411" s="146">
        <v>68632.83</v>
      </c>
      <c r="Q1411" s="146">
        <v>-3.63</v>
      </c>
      <c r="R1411" s="154" t="s">
        <v>1384</v>
      </c>
      <c r="S1411" s="154" t="s">
        <v>1899</v>
      </c>
      <c r="T1411" s="155" t="s">
        <v>768</v>
      </c>
      <c r="U1411" s="155" t="s">
        <v>1899</v>
      </c>
      <c r="V1411" s="154" t="s">
        <v>1904</v>
      </c>
      <c r="W1411" s="154">
        <v>0</v>
      </c>
      <c r="X1411" s="154" t="s">
        <v>63</v>
      </c>
      <c r="Y1411" s="154" t="s">
        <v>1386</v>
      </c>
      <c r="Z1411" s="154"/>
      <c r="AA1411" s="154" t="s">
        <v>1387</v>
      </c>
      <c r="AB1411" s="154">
        <v>0</v>
      </c>
      <c r="AC1411" s="138">
        <f>IFERROR(IF(DATEDIF(#REF!,U1411,"m")&lt;=1,1,IF(AND(DATEDIF(#REF!,U1411,"m")&gt;1,DATEDIF(#REF!,U1411,"m")&lt;12),2,IF(AND(DATEDIF(#REF!,U1411,"m")&gt;=12,DATEDIF(#REF!,U1411,"m")&lt;24),3,IF(DATEDIF(#REF!,U1411,"m")&gt;=24,4,"")))),IF(E1411="r0320 - Deposits, not covered and not preferential",1,4))</f>
        <v>4</v>
      </c>
    </row>
    <row r="1412" spans="3:29" ht="36.75" thickBot="1" x14ac:dyDescent="0.3">
      <c r="C1412" s="11">
        <v>999</v>
      </c>
      <c r="D1412" s="154">
        <v>1405</v>
      </c>
      <c r="E1412" s="154" t="s">
        <v>1898</v>
      </c>
      <c r="F1412" s="154" t="s">
        <v>87</v>
      </c>
      <c r="G1412" s="154" t="s">
        <v>1402</v>
      </c>
      <c r="H1412" s="154" t="s">
        <v>508</v>
      </c>
      <c r="I1412" s="154" t="s">
        <v>96</v>
      </c>
      <c r="J1412" s="154" t="s">
        <v>97</v>
      </c>
      <c r="K1412" s="154" t="s">
        <v>91</v>
      </c>
      <c r="L1412" s="154" t="s">
        <v>1897</v>
      </c>
      <c r="M1412" s="154" t="s">
        <v>1383</v>
      </c>
      <c r="N1412" s="154" t="s">
        <v>61</v>
      </c>
      <c r="O1412" s="154" t="s">
        <v>62</v>
      </c>
      <c r="P1412" s="146">
        <v>4.4400000000000004</v>
      </c>
      <c r="Q1412" s="146">
        <v>0</v>
      </c>
      <c r="R1412" s="154" t="s">
        <v>1384</v>
      </c>
      <c r="S1412" s="154" t="s">
        <v>1899</v>
      </c>
      <c r="T1412" s="155" t="s">
        <v>1899</v>
      </c>
      <c r="U1412" s="155" t="s">
        <v>1899</v>
      </c>
      <c r="V1412" s="154" t="s">
        <v>1562</v>
      </c>
      <c r="W1412" s="154">
        <v>0</v>
      </c>
      <c r="X1412" s="154" t="s">
        <v>63</v>
      </c>
      <c r="Y1412" s="154" t="s">
        <v>1900</v>
      </c>
      <c r="Z1412" s="154"/>
      <c r="AA1412" s="154" t="s">
        <v>1387</v>
      </c>
      <c r="AB1412" s="154">
        <v>0</v>
      </c>
      <c r="AC1412" s="138">
        <f>IFERROR(IF(DATEDIF(#REF!,U1412,"m")&lt;=1,1,IF(AND(DATEDIF(#REF!,U1412,"m")&gt;1,DATEDIF(#REF!,U1412,"m")&lt;12),2,IF(AND(DATEDIF(#REF!,U1412,"m")&gt;=12,DATEDIF(#REF!,U1412,"m")&lt;24),3,IF(DATEDIF(#REF!,U1412,"m")&gt;=24,4,"")))),IF(E1412="r0320 - Deposits, not covered and not preferential",1,4))</f>
        <v>4</v>
      </c>
    </row>
    <row r="1413" spans="3:29" ht="48.75" thickBot="1" x14ac:dyDescent="0.3">
      <c r="C1413" s="11">
        <v>999</v>
      </c>
      <c r="D1413" s="154">
        <v>1406</v>
      </c>
      <c r="E1413" s="154" t="s">
        <v>1902</v>
      </c>
      <c r="F1413" s="154" t="s">
        <v>83</v>
      </c>
      <c r="G1413" s="154" t="s">
        <v>1903</v>
      </c>
      <c r="H1413" s="154" t="s">
        <v>191</v>
      </c>
      <c r="I1413" s="154" t="s">
        <v>101</v>
      </c>
      <c r="J1413" s="154" t="s">
        <v>102</v>
      </c>
      <c r="K1413" s="154" t="s">
        <v>60</v>
      </c>
      <c r="L1413" s="154" t="s">
        <v>1897</v>
      </c>
      <c r="M1413" s="154" t="s">
        <v>1388</v>
      </c>
      <c r="N1413" s="154" t="s">
        <v>61</v>
      </c>
      <c r="O1413" s="154" t="s">
        <v>62</v>
      </c>
      <c r="P1413" s="146">
        <v>196051.11</v>
      </c>
      <c r="Q1413" s="146">
        <v>263.38</v>
      </c>
      <c r="R1413" s="154" t="s">
        <v>1384</v>
      </c>
      <c r="S1413" s="154" t="s">
        <v>1899</v>
      </c>
      <c r="T1413" s="155" t="s">
        <v>768</v>
      </c>
      <c r="U1413" s="155" t="s">
        <v>1899</v>
      </c>
      <c r="V1413" s="154" t="s">
        <v>1904</v>
      </c>
      <c r="W1413" s="154">
        <v>0</v>
      </c>
      <c r="X1413" s="154" t="s">
        <v>63</v>
      </c>
      <c r="Y1413" s="154" t="s">
        <v>1386</v>
      </c>
      <c r="Z1413" s="154"/>
      <c r="AA1413" s="154" t="s">
        <v>1387</v>
      </c>
      <c r="AB1413" s="154">
        <v>0</v>
      </c>
      <c r="AC1413" s="138">
        <f>IFERROR(IF(DATEDIF(#REF!,U1413,"m")&lt;=1,1,IF(AND(DATEDIF(#REF!,U1413,"m")&gt;1,DATEDIF(#REF!,U1413,"m")&lt;12),2,IF(AND(DATEDIF(#REF!,U1413,"m")&gt;=12,DATEDIF(#REF!,U1413,"m")&lt;24),3,IF(DATEDIF(#REF!,U1413,"m")&gt;=24,4,"")))),IF(E1413="r0320 - Deposits, not covered and not preferential",1,4))</f>
        <v>4</v>
      </c>
    </row>
    <row r="1414" spans="3:29" ht="36.75" thickBot="1" x14ac:dyDescent="0.3">
      <c r="C1414" s="11">
        <v>999</v>
      </c>
      <c r="D1414" s="154">
        <v>1407</v>
      </c>
      <c r="E1414" s="154" t="s">
        <v>1898</v>
      </c>
      <c r="F1414" s="154" t="s">
        <v>87</v>
      </c>
      <c r="G1414" s="154" t="s">
        <v>1402</v>
      </c>
      <c r="H1414" s="154" t="s">
        <v>863</v>
      </c>
      <c r="I1414" s="154" t="s">
        <v>96</v>
      </c>
      <c r="J1414" s="154" t="s">
        <v>97</v>
      </c>
      <c r="K1414" s="154" t="s">
        <v>91</v>
      </c>
      <c r="L1414" s="154" t="s">
        <v>1897</v>
      </c>
      <c r="M1414" s="154" t="s">
        <v>1383</v>
      </c>
      <c r="N1414" s="154" t="s">
        <v>61</v>
      </c>
      <c r="O1414" s="154" t="s">
        <v>62</v>
      </c>
      <c r="P1414" s="146">
        <v>73.33</v>
      </c>
      <c r="Q1414" s="146">
        <v>0</v>
      </c>
      <c r="R1414" s="154" t="s">
        <v>1384</v>
      </c>
      <c r="S1414" s="154" t="s">
        <v>1899</v>
      </c>
      <c r="T1414" s="155" t="s">
        <v>1899</v>
      </c>
      <c r="U1414" s="155" t="s">
        <v>1899</v>
      </c>
      <c r="V1414" s="154" t="s">
        <v>1562</v>
      </c>
      <c r="W1414" s="154">
        <v>0</v>
      </c>
      <c r="X1414" s="154" t="s">
        <v>63</v>
      </c>
      <c r="Y1414" s="154" t="s">
        <v>1900</v>
      </c>
      <c r="Z1414" s="154"/>
      <c r="AA1414" s="154" t="s">
        <v>1387</v>
      </c>
      <c r="AB1414" s="154">
        <v>0</v>
      </c>
      <c r="AC1414" s="138">
        <f>IFERROR(IF(DATEDIF(#REF!,U1414,"m")&lt;=1,1,IF(AND(DATEDIF(#REF!,U1414,"m")&gt;1,DATEDIF(#REF!,U1414,"m")&lt;12),2,IF(AND(DATEDIF(#REF!,U1414,"m")&gt;=12,DATEDIF(#REF!,U1414,"m")&lt;24),3,IF(DATEDIF(#REF!,U1414,"m")&gt;=24,4,"")))),IF(E1414="r0320 - Deposits, not covered and not preferential",1,4))</f>
        <v>4</v>
      </c>
    </row>
    <row r="1415" spans="3:29" ht="48.75" thickBot="1" x14ac:dyDescent="0.3">
      <c r="C1415" s="11">
        <v>999</v>
      </c>
      <c r="D1415" s="154">
        <v>1408</v>
      </c>
      <c r="E1415" s="154" t="s">
        <v>1902</v>
      </c>
      <c r="F1415" s="154" t="s">
        <v>83</v>
      </c>
      <c r="G1415" s="154" t="s">
        <v>1903</v>
      </c>
      <c r="H1415" s="154" t="s">
        <v>737</v>
      </c>
      <c r="I1415" s="154" t="s">
        <v>114</v>
      </c>
      <c r="J1415" s="154" t="s">
        <v>115</v>
      </c>
      <c r="K1415" s="154" t="s">
        <v>60</v>
      </c>
      <c r="L1415" s="154" t="s">
        <v>1897</v>
      </c>
      <c r="M1415" s="154" t="s">
        <v>1388</v>
      </c>
      <c r="N1415" s="154" t="s">
        <v>61</v>
      </c>
      <c r="O1415" s="154" t="s">
        <v>62</v>
      </c>
      <c r="P1415" s="146">
        <v>20691.95</v>
      </c>
      <c r="Q1415" s="146">
        <v>24.55</v>
      </c>
      <c r="R1415" s="154" t="s">
        <v>1384</v>
      </c>
      <c r="S1415" s="154" t="s">
        <v>1899</v>
      </c>
      <c r="T1415" s="155" t="s">
        <v>768</v>
      </c>
      <c r="U1415" s="155" t="s">
        <v>1899</v>
      </c>
      <c r="V1415" s="154" t="s">
        <v>1904</v>
      </c>
      <c r="W1415" s="154">
        <v>0</v>
      </c>
      <c r="X1415" s="154" t="s">
        <v>63</v>
      </c>
      <c r="Y1415" s="154" t="s">
        <v>1386</v>
      </c>
      <c r="Z1415" s="154"/>
      <c r="AA1415" s="154" t="s">
        <v>1387</v>
      </c>
      <c r="AB1415" s="154">
        <v>0</v>
      </c>
      <c r="AC1415" s="138">
        <f>IFERROR(IF(DATEDIF(#REF!,U1415,"m")&lt;=1,1,IF(AND(DATEDIF(#REF!,U1415,"m")&gt;1,DATEDIF(#REF!,U1415,"m")&lt;12),2,IF(AND(DATEDIF(#REF!,U1415,"m")&gt;=12,DATEDIF(#REF!,U1415,"m")&lt;24),3,IF(DATEDIF(#REF!,U1415,"m")&gt;=24,4,"")))),IF(E1415="r0320 - Deposits, not covered and not preferential",1,4))</f>
        <v>4</v>
      </c>
    </row>
    <row r="1416" spans="3:29" ht="36.75" thickBot="1" x14ac:dyDescent="0.3">
      <c r="C1416" s="11">
        <v>999</v>
      </c>
      <c r="D1416" s="154">
        <v>1409</v>
      </c>
      <c r="E1416" s="154" t="s">
        <v>1898</v>
      </c>
      <c r="F1416" s="154" t="s">
        <v>87</v>
      </c>
      <c r="G1416" s="154" t="s">
        <v>1402</v>
      </c>
      <c r="H1416" s="154" t="s">
        <v>868</v>
      </c>
      <c r="I1416" s="154" t="s">
        <v>108</v>
      </c>
      <c r="J1416" s="154" t="s">
        <v>90</v>
      </c>
      <c r="K1416" s="154" t="s">
        <v>91</v>
      </c>
      <c r="L1416" s="154" t="s">
        <v>1897</v>
      </c>
      <c r="M1416" s="154" t="s">
        <v>1383</v>
      </c>
      <c r="N1416" s="154" t="s">
        <v>61</v>
      </c>
      <c r="O1416" s="154" t="s">
        <v>62</v>
      </c>
      <c r="P1416" s="146">
        <v>0.06</v>
      </c>
      <c r="Q1416" s="146">
        <v>0</v>
      </c>
      <c r="R1416" s="154" t="s">
        <v>1384</v>
      </c>
      <c r="S1416" s="154" t="s">
        <v>1899</v>
      </c>
      <c r="T1416" s="155" t="s">
        <v>1899</v>
      </c>
      <c r="U1416" s="155" t="s">
        <v>1899</v>
      </c>
      <c r="V1416" s="154" t="s">
        <v>1562</v>
      </c>
      <c r="W1416" s="154">
        <v>0</v>
      </c>
      <c r="X1416" s="154" t="s">
        <v>63</v>
      </c>
      <c r="Y1416" s="154" t="s">
        <v>1900</v>
      </c>
      <c r="Z1416" s="154"/>
      <c r="AA1416" s="154" t="s">
        <v>1387</v>
      </c>
      <c r="AB1416" s="154">
        <v>0</v>
      </c>
      <c r="AC1416" s="138">
        <f>IFERROR(IF(DATEDIF(#REF!,U1416,"m")&lt;=1,1,IF(AND(DATEDIF(#REF!,U1416,"m")&gt;1,DATEDIF(#REF!,U1416,"m")&lt;12),2,IF(AND(DATEDIF(#REF!,U1416,"m")&gt;=12,DATEDIF(#REF!,U1416,"m")&lt;24),3,IF(DATEDIF(#REF!,U1416,"m")&gt;=24,4,"")))),IF(E1416="r0320 - Deposits, not covered and not preferential",1,4))</f>
        <v>4</v>
      </c>
    </row>
    <row r="1417" spans="3:29" ht="48.75" thickBot="1" x14ac:dyDescent="0.3">
      <c r="C1417" s="11">
        <v>999</v>
      </c>
      <c r="D1417" s="154">
        <v>1410</v>
      </c>
      <c r="E1417" s="154" t="s">
        <v>1902</v>
      </c>
      <c r="F1417" s="154" t="s">
        <v>83</v>
      </c>
      <c r="G1417" s="154" t="s">
        <v>1903</v>
      </c>
      <c r="H1417" s="154" t="s">
        <v>1211</v>
      </c>
      <c r="I1417" s="154" t="s">
        <v>114</v>
      </c>
      <c r="J1417" s="154" t="s">
        <v>115</v>
      </c>
      <c r="K1417" s="154" t="s">
        <v>60</v>
      </c>
      <c r="L1417" s="154" t="s">
        <v>1897</v>
      </c>
      <c r="M1417" s="154" t="s">
        <v>1388</v>
      </c>
      <c r="N1417" s="154" t="s">
        <v>61</v>
      </c>
      <c r="O1417" s="154" t="s">
        <v>62</v>
      </c>
      <c r="P1417" s="146">
        <v>23978.41</v>
      </c>
      <c r="Q1417" s="146">
        <v>0.64</v>
      </c>
      <c r="R1417" s="154" t="s">
        <v>1384</v>
      </c>
      <c r="S1417" s="154" t="s">
        <v>1899</v>
      </c>
      <c r="T1417" s="155" t="s">
        <v>768</v>
      </c>
      <c r="U1417" s="155" t="s">
        <v>1899</v>
      </c>
      <c r="V1417" s="154" t="s">
        <v>1904</v>
      </c>
      <c r="W1417" s="154">
        <v>0</v>
      </c>
      <c r="X1417" s="154" t="s">
        <v>63</v>
      </c>
      <c r="Y1417" s="154" t="s">
        <v>1386</v>
      </c>
      <c r="Z1417" s="154"/>
      <c r="AA1417" s="154" t="s">
        <v>1387</v>
      </c>
      <c r="AB1417" s="154">
        <v>0</v>
      </c>
      <c r="AC1417" s="138">
        <f>IFERROR(IF(DATEDIF(#REF!,U1417,"m")&lt;=1,1,IF(AND(DATEDIF(#REF!,U1417,"m")&gt;1,DATEDIF(#REF!,U1417,"m")&lt;12),2,IF(AND(DATEDIF(#REF!,U1417,"m")&gt;=12,DATEDIF(#REF!,U1417,"m")&lt;24),3,IF(DATEDIF(#REF!,U1417,"m")&gt;=24,4,"")))),IF(E1417="r0320 - Deposits, not covered and not preferential",1,4))</f>
        <v>4</v>
      </c>
    </row>
    <row r="1418" spans="3:29" ht="36.75" thickBot="1" x14ac:dyDescent="0.3">
      <c r="C1418" s="11">
        <v>999</v>
      </c>
      <c r="D1418" s="154">
        <v>1411</v>
      </c>
      <c r="E1418" s="154" t="s">
        <v>1898</v>
      </c>
      <c r="F1418" s="154" t="s">
        <v>87</v>
      </c>
      <c r="G1418" s="154" t="s">
        <v>1402</v>
      </c>
      <c r="H1418" s="154" t="s">
        <v>1293</v>
      </c>
      <c r="I1418" s="154" t="s">
        <v>96</v>
      </c>
      <c r="J1418" s="154" t="s">
        <v>97</v>
      </c>
      <c r="K1418" s="154" t="s">
        <v>91</v>
      </c>
      <c r="L1418" s="154" t="s">
        <v>1897</v>
      </c>
      <c r="M1418" s="154" t="s">
        <v>1383</v>
      </c>
      <c r="N1418" s="154" t="s">
        <v>61</v>
      </c>
      <c r="O1418" s="154" t="s">
        <v>62</v>
      </c>
      <c r="P1418" s="146">
        <v>13.55</v>
      </c>
      <c r="Q1418" s="146">
        <v>0</v>
      </c>
      <c r="R1418" s="154" t="s">
        <v>1384</v>
      </c>
      <c r="S1418" s="154" t="s">
        <v>1899</v>
      </c>
      <c r="T1418" s="155" t="s">
        <v>1899</v>
      </c>
      <c r="U1418" s="155" t="s">
        <v>1899</v>
      </c>
      <c r="V1418" s="154" t="s">
        <v>1562</v>
      </c>
      <c r="W1418" s="154">
        <v>0</v>
      </c>
      <c r="X1418" s="154" t="s">
        <v>63</v>
      </c>
      <c r="Y1418" s="154" t="s">
        <v>1900</v>
      </c>
      <c r="Z1418" s="154"/>
      <c r="AA1418" s="154" t="s">
        <v>1387</v>
      </c>
      <c r="AB1418" s="154">
        <v>0</v>
      </c>
      <c r="AC1418" s="138">
        <f>IFERROR(IF(DATEDIF(#REF!,U1418,"m")&lt;=1,1,IF(AND(DATEDIF(#REF!,U1418,"m")&gt;1,DATEDIF(#REF!,U1418,"m")&lt;12),2,IF(AND(DATEDIF(#REF!,U1418,"m")&gt;=12,DATEDIF(#REF!,U1418,"m")&lt;24),3,IF(DATEDIF(#REF!,U1418,"m")&gt;=24,4,"")))),IF(E1418="r0320 - Deposits, not covered and not preferential",1,4))</f>
        <v>4</v>
      </c>
    </row>
    <row r="1419" spans="3:29" ht="48.75" thickBot="1" x14ac:dyDescent="0.3">
      <c r="C1419" s="11">
        <v>999</v>
      </c>
      <c r="D1419" s="154">
        <v>1412</v>
      </c>
      <c r="E1419" s="154" t="s">
        <v>1902</v>
      </c>
      <c r="F1419" s="154" t="s">
        <v>83</v>
      </c>
      <c r="G1419" s="154" t="s">
        <v>1903</v>
      </c>
      <c r="H1419" s="154" t="s">
        <v>1243</v>
      </c>
      <c r="I1419" s="154" t="s">
        <v>93</v>
      </c>
      <c r="J1419" s="154" t="s">
        <v>94</v>
      </c>
      <c r="K1419" s="154" t="s">
        <v>60</v>
      </c>
      <c r="L1419" s="154" t="s">
        <v>1897</v>
      </c>
      <c r="M1419" s="154" t="s">
        <v>1388</v>
      </c>
      <c r="N1419" s="154" t="s">
        <v>61</v>
      </c>
      <c r="O1419" s="154" t="s">
        <v>62</v>
      </c>
      <c r="P1419" s="146">
        <v>45625.89</v>
      </c>
      <c r="Q1419" s="146">
        <v>24.74</v>
      </c>
      <c r="R1419" s="154" t="s">
        <v>1384</v>
      </c>
      <c r="S1419" s="154" t="s">
        <v>1899</v>
      </c>
      <c r="T1419" s="155" t="s">
        <v>768</v>
      </c>
      <c r="U1419" s="155" t="s">
        <v>1899</v>
      </c>
      <c r="V1419" s="154" t="s">
        <v>1904</v>
      </c>
      <c r="W1419" s="154">
        <v>0</v>
      </c>
      <c r="X1419" s="154" t="s">
        <v>63</v>
      </c>
      <c r="Y1419" s="154" t="s">
        <v>1386</v>
      </c>
      <c r="Z1419" s="154"/>
      <c r="AA1419" s="154" t="s">
        <v>1387</v>
      </c>
      <c r="AB1419" s="154">
        <v>0</v>
      </c>
      <c r="AC1419" s="138">
        <f>IFERROR(IF(DATEDIF(#REF!,U1419,"m")&lt;=1,1,IF(AND(DATEDIF(#REF!,U1419,"m")&gt;1,DATEDIF(#REF!,U1419,"m")&lt;12),2,IF(AND(DATEDIF(#REF!,U1419,"m")&gt;=12,DATEDIF(#REF!,U1419,"m")&lt;24),3,IF(DATEDIF(#REF!,U1419,"m")&gt;=24,4,"")))),IF(E1419="r0320 - Deposits, not covered and not preferential",1,4))</f>
        <v>4</v>
      </c>
    </row>
    <row r="1420" spans="3:29" ht="36.75" thickBot="1" x14ac:dyDescent="0.3">
      <c r="C1420" s="11">
        <v>999</v>
      </c>
      <c r="D1420" s="154">
        <v>1413</v>
      </c>
      <c r="E1420" s="154" t="s">
        <v>1898</v>
      </c>
      <c r="F1420" s="154" t="s">
        <v>87</v>
      </c>
      <c r="G1420" s="154" t="s">
        <v>1402</v>
      </c>
      <c r="H1420" s="154" t="s">
        <v>1290</v>
      </c>
      <c r="I1420" s="154" t="s">
        <v>108</v>
      </c>
      <c r="J1420" s="154" t="s">
        <v>90</v>
      </c>
      <c r="K1420" s="154" t="s">
        <v>91</v>
      </c>
      <c r="L1420" s="154" t="s">
        <v>1897</v>
      </c>
      <c r="M1420" s="154" t="s">
        <v>1383</v>
      </c>
      <c r="N1420" s="154" t="s">
        <v>61</v>
      </c>
      <c r="O1420" s="154" t="s">
        <v>62</v>
      </c>
      <c r="P1420" s="146">
        <v>0.89</v>
      </c>
      <c r="Q1420" s="146">
        <v>0</v>
      </c>
      <c r="R1420" s="154" t="s">
        <v>1384</v>
      </c>
      <c r="S1420" s="154" t="s">
        <v>1899</v>
      </c>
      <c r="T1420" s="155" t="s">
        <v>1899</v>
      </c>
      <c r="U1420" s="155" t="s">
        <v>1899</v>
      </c>
      <c r="V1420" s="154" t="s">
        <v>1562</v>
      </c>
      <c r="W1420" s="154">
        <v>0</v>
      </c>
      <c r="X1420" s="154" t="s">
        <v>63</v>
      </c>
      <c r="Y1420" s="154" t="s">
        <v>1900</v>
      </c>
      <c r="Z1420" s="154"/>
      <c r="AA1420" s="154" t="s">
        <v>1387</v>
      </c>
      <c r="AB1420" s="154">
        <v>0</v>
      </c>
      <c r="AC1420" s="138">
        <f>IFERROR(IF(DATEDIF(#REF!,U1420,"m")&lt;=1,1,IF(AND(DATEDIF(#REF!,U1420,"m")&gt;1,DATEDIF(#REF!,U1420,"m")&lt;12),2,IF(AND(DATEDIF(#REF!,U1420,"m")&gt;=12,DATEDIF(#REF!,U1420,"m")&lt;24),3,IF(DATEDIF(#REF!,U1420,"m")&gt;=24,4,"")))),IF(E1420="r0320 - Deposits, not covered and not preferential",1,4))</f>
        <v>4</v>
      </c>
    </row>
    <row r="1421" spans="3:29" ht="36.75" thickBot="1" x14ac:dyDescent="0.3">
      <c r="C1421" s="11">
        <v>999</v>
      </c>
      <c r="D1421" s="154">
        <v>1414</v>
      </c>
      <c r="E1421" s="154" t="s">
        <v>1895</v>
      </c>
      <c r="F1421" s="154" t="s">
        <v>83</v>
      </c>
      <c r="G1421" s="154" t="s">
        <v>1896</v>
      </c>
      <c r="H1421" s="154" t="s">
        <v>57</v>
      </c>
      <c r="I1421" s="154" t="s">
        <v>232</v>
      </c>
      <c r="J1421" s="154" t="s">
        <v>233</v>
      </c>
      <c r="K1421" s="154" t="s">
        <v>91</v>
      </c>
      <c r="L1421" s="154" t="s">
        <v>1897</v>
      </c>
      <c r="M1421" s="154" t="s">
        <v>1383</v>
      </c>
      <c r="N1421" s="154" t="s">
        <v>61</v>
      </c>
      <c r="O1421" s="154" t="s">
        <v>62</v>
      </c>
      <c r="P1421" s="146">
        <v>2762541.54</v>
      </c>
      <c r="Q1421" s="146">
        <v>0</v>
      </c>
      <c r="R1421" s="154" t="s">
        <v>1384</v>
      </c>
      <c r="S1421" s="154" t="s">
        <v>1385</v>
      </c>
      <c r="T1421" s="155">
        <v>44564</v>
      </c>
      <c r="U1421" s="155">
        <v>44564</v>
      </c>
      <c r="V1421" s="154" t="s">
        <v>1562</v>
      </c>
      <c r="W1421" s="154">
        <v>0</v>
      </c>
      <c r="X1421" s="154" t="s">
        <v>63</v>
      </c>
      <c r="Y1421" s="154" t="s">
        <v>1386</v>
      </c>
      <c r="Z1421" s="154"/>
      <c r="AA1421" s="154" t="s">
        <v>1387</v>
      </c>
      <c r="AB1421" s="154">
        <v>0</v>
      </c>
      <c r="AC1421" s="138">
        <f>IFERROR(IF(DATEDIF(#REF!,U1421,"m")&lt;=1,1,IF(AND(DATEDIF(#REF!,U1421,"m")&gt;1,DATEDIF(#REF!,U1421,"m")&lt;12),2,IF(AND(DATEDIF(#REF!,U1421,"m")&gt;=12,DATEDIF(#REF!,U1421,"m")&lt;24),3,IF(DATEDIF(#REF!,U1421,"m")&gt;=24,4,"")))),IF(E1421="r0320 - Deposits, not covered and not preferential",1,4))</f>
        <v>1</v>
      </c>
    </row>
    <row r="1422" spans="3:29" ht="36.75" thickBot="1" x14ac:dyDescent="0.3">
      <c r="C1422" s="11">
        <v>999</v>
      </c>
      <c r="D1422" s="154">
        <v>1415</v>
      </c>
      <c r="E1422" s="154" t="s">
        <v>1898</v>
      </c>
      <c r="F1422" s="154" t="s">
        <v>87</v>
      </c>
      <c r="G1422" s="154" t="s">
        <v>1402</v>
      </c>
      <c r="H1422" s="154" t="s">
        <v>466</v>
      </c>
      <c r="I1422" s="154" t="s">
        <v>96</v>
      </c>
      <c r="J1422" s="154" t="s">
        <v>97</v>
      </c>
      <c r="K1422" s="154" t="s">
        <v>91</v>
      </c>
      <c r="L1422" s="154" t="s">
        <v>1897</v>
      </c>
      <c r="M1422" s="154" t="s">
        <v>1383</v>
      </c>
      <c r="N1422" s="154" t="s">
        <v>61</v>
      </c>
      <c r="O1422" s="154" t="s">
        <v>62</v>
      </c>
      <c r="P1422" s="146">
        <v>4.8600000000000003</v>
      </c>
      <c r="Q1422" s="146">
        <v>0</v>
      </c>
      <c r="R1422" s="154" t="s">
        <v>1384</v>
      </c>
      <c r="S1422" s="154" t="s">
        <v>1899</v>
      </c>
      <c r="T1422" s="155" t="s">
        <v>1899</v>
      </c>
      <c r="U1422" s="155" t="s">
        <v>1899</v>
      </c>
      <c r="V1422" s="154" t="s">
        <v>1562</v>
      </c>
      <c r="W1422" s="154">
        <v>0</v>
      </c>
      <c r="X1422" s="154" t="s">
        <v>63</v>
      </c>
      <c r="Y1422" s="154" t="s">
        <v>1900</v>
      </c>
      <c r="Z1422" s="154"/>
      <c r="AA1422" s="154" t="s">
        <v>1387</v>
      </c>
      <c r="AB1422" s="154">
        <v>0</v>
      </c>
      <c r="AC1422" s="138">
        <f>IFERROR(IF(DATEDIF(#REF!,U1422,"m")&lt;=1,1,IF(AND(DATEDIF(#REF!,U1422,"m")&gt;1,DATEDIF(#REF!,U1422,"m")&lt;12),2,IF(AND(DATEDIF(#REF!,U1422,"m")&gt;=12,DATEDIF(#REF!,U1422,"m")&lt;24),3,IF(DATEDIF(#REF!,U1422,"m")&gt;=24,4,"")))),IF(E1422="r0320 - Deposits, not covered and not preferential",1,4))</f>
        <v>4</v>
      </c>
    </row>
    <row r="1423" spans="3:29" ht="48.75" thickBot="1" x14ac:dyDescent="0.3">
      <c r="C1423" s="11">
        <v>999</v>
      </c>
      <c r="D1423" s="154">
        <v>1416</v>
      </c>
      <c r="E1423" s="154" t="s">
        <v>1902</v>
      </c>
      <c r="F1423" s="154" t="s">
        <v>83</v>
      </c>
      <c r="G1423" s="154" t="s">
        <v>1903</v>
      </c>
      <c r="H1423" s="154" t="s">
        <v>442</v>
      </c>
      <c r="I1423" s="154" t="s">
        <v>101</v>
      </c>
      <c r="J1423" s="154" t="s">
        <v>102</v>
      </c>
      <c r="K1423" s="154" t="s">
        <v>60</v>
      </c>
      <c r="L1423" s="154" t="s">
        <v>1897</v>
      </c>
      <c r="M1423" s="154" t="s">
        <v>1388</v>
      </c>
      <c r="N1423" s="154" t="s">
        <v>61</v>
      </c>
      <c r="O1423" s="154" t="s">
        <v>62</v>
      </c>
      <c r="P1423" s="146">
        <v>120690.28</v>
      </c>
      <c r="Q1423" s="146">
        <v>124.44</v>
      </c>
      <c r="R1423" s="154" t="s">
        <v>1384</v>
      </c>
      <c r="S1423" s="154" t="s">
        <v>1899</v>
      </c>
      <c r="T1423" s="155" t="s">
        <v>768</v>
      </c>
      <c r="U1423" s="155" t="s">
        <v>1899</v>
      </c>
      <c r="V1423" s="154" t="s">
        <v>1904</v>
      </c>
      <c r="W1423" s="154">
        <v>0</v>
      </c>
      <c r="X1423" s="154" t="s">
        <v>63</v>
      </c>
      <c r="Y1423" s="154" t="s">
        <v>1386</v>
      </c>
      <c r="Z1423" s="154"/>
      <c r="AA1423" s="154" t="s">
        <v>1387</v>
      </c>
      <c r="AB1423" s="154">
        <v>0</v>
      </c>
      <c r="AC1423" s="138">
        <f>IFERROR(IF(DATEDIF(#REF!,U1423,"m")&lt;=1,1,IF(AND(DATEDIF(#REF!,U1423,"m")&gt;1,DATEDIF(#REF!,U1423,"m")&lt;12),2,IF(AND(DATEDIF(#REF!,U1423,"m")&gt;=12,DATEDIF(#REF!,U1423,"m")&lt;24),3,IF(DATEDIF(#REF!,U1423,"m")&gt;=24,4,"")))),IF(E1423="r0320 - Deposits, not covered and not preferential",1,4))</f>
        <v>4</v>
      </c>
    </row>
    <row r="1424" spans="3:29" ht="36.75" thickBot="1" x14ac:dyDescent="0.3">
      <c r="C1424" s="11">
        <v>999</v>
      </c>
      <c r="D1424" s="154">
        <v>1417</v>
      </c>
      <c r="E1424" s="154" t="s">
        <v>1898</v>
      </c>
      <c r="F1424" s="154" t="s">
        <v>87</v>
      </c>
      <c r="G1424" s="154" t="s">
        <v>1402</v>
      </c>
      <c r="H1424" s="154" t="s">
        <v>1285</v>
      </c>
      <c r="I1424" s="154" t="s">
        <v>108</v>
      </c>
      <c r="J1424" s="154" t="s">
        <v>90</v>
      </c>
      <c r="K1424" s="154" t="s">
        <v>91</v>
      </c>
      <c r="L1424" s="154" t="s">
        <v>1897</v>
      </c>
      <c r="M1424" s="154" t="s">
        <v>1383</v>
      </c>
      <c r="N1424" s="154" t="s">
        <v>61</v>
      </c>
      <c r="O1424" s="154" t="s">
        <v>62</v>
      </c>
      <c r="P1424" s="146">
        <v>31.68</v>
      </c>
      <c r="Q1424" s="146">
        <v>0</v>
      </c>
      <c r="R1424" s="154" t="s">
        <v>1384</v>
      </c>
      <c r="S1424" s="154" t="s">
        <v>1899</v>
      </c>
      <c r="T1424" s="155" t="s">
        <v>1899</v>
      </c>
      <c r="U1424" s="155" t="s">
        <v>1899</v>
      </c>
      <c r="V1424" s="154" t="s">
        <v>1562</v>
      </c>
      <c r="W1424" s="154">
        <v>0</v>
      </c>
      <c r="X1424" s="154" t="s">
        <v>63</v>
      </c>
      <c r="Y1424" s="154" t="s">
        <v>1900</v>
      </c>
      <c r="Z1424" s="154"/>
      <c r="AA1424" s="154" t="s">
        <v>1387</v>
      </c>
      <c r="AB1424" s="154">
        <v>0</v>
      </c>
      <c r="AC1424" s="138">
        <f>IFERROR(IF(DATEDIF(#REF!,U1424,"m")&lt;=1,1,IF(AND(DATEDIF(#REF!,U1424,"m")&gt;1,DATEDIF(#REF!,U1424,"m")&lt;12),2,IF(AND(DATEDIF(#REF!,U1424,"m")&gt;=12,DATEDIF(#REF!,U1424,"m")&lt;24),3,IF(DATEDIF(#REF!,U1424,"m")&gt;=24,4,"")))),IF(E1424="r0320 - Deposits, not covered and not preferential",1,4))</f>
        <v>4</v>
      </c>
    </row>
    <row r="1425" spans="3:29" ht="48.75" thickBot="1" x14ac:dyDescent="0.3">
      <c r="C1425" s="11">
        <v>999</v>
      </c>
      <c r="D1425" s="154">
        <v>1418</v>
      </c>
      <c r="E1425" s="154" t="s">
        <v>1902</v>
      </c>
      <c r="F1425" s="154" t="s">
        <v>83</v>
      </c>
      <c r="G1425" s="154" t="s">
        <v>1903</v>
      </c>
      <c r="H1425" s="154" t="s">
        <v>448</v>
      </c>
      <c r="I1425" s="154" t="s">
        <v>114</v>
      </c>
      <c r="J1425" s="154" t="s">
        <v>115</v>
      </c>
      <c r="K1425" s="154" t="s">
        <v>60</v>
      </c>
      <c r="L1425" s="154" t="s">
        <v>1897</v>
      </c>
      <c r="M1425" s="154" t="s">
        <v>1388</v>
      </c>
      <c r="N1425" s="154" t="s">
        <v>61</v>
      </c>
      <c r="O1425" s="154" t="s">
        <v>62</v>
      </c>
      <c r="P1425" s="146">
        <v>97029.17</v>
      </c>
      <c r="Q1425" s="146">
        <v>-7</v>
      </c>
      <c r="R1425" s="154" t="s">
        <v>1384</v>
      </c>
      <c r="S1425" s="154" t="s">
        <v>1899</v>
      </c>
      <c r="T1425" s="155" t="s">
        <v>768</v>
      </c>
      <c r="U1425" s="155" t="s">
        <v>1899</v>
      </c>
      <c r="V1425" s="154" t="s">
        <v>1904</v>
      </c>
      <c r="W1425" s="154">
        <v>0</v>
      </c>
      <c r="X1425" s="154" t="s">
        <v>63</v>
      </c>
      <c r="Y1425" s="154" t="s">
        <v>1386</v>
      </c>
      <c r="Z1425" s="154"/>
      <c r="AA1425" s="154" t="s">
        <v>1387</v>
      </c>
      <c r="AB1425" s="154">
        <v>0</v>
      </c>
      <c r="AC1425" s="138">
        <f>IFERROR(IF(DATEDIF(#REF!,U1425,"m")&lt;=1,1,IF(AND(DATEDIF(#REF!,U1425,"m")&gt;1,DATEDIF(#REF!,U1425,"m")&lt;12),2,IF(AND(DATEDIF(#REF!,U1425,"m")&gt;=12,DATEDIF(#REF!,U1425,"m")&lt;24),3,IF(DATEDIF(#REF!,U1425,"m")&gt;=24,4,"")))),IF(E1425="r0320 - Deposits, not covered and not preferential",1,4))</f>
        <v>4</v>
      </c>
    </row>
    <row r="1426" spans="3:29" ht="36.75" thickBot="1" x14ac:dyDescent="0.3">
      <c r="C1426" s="11">
        <v>999</v>
      </c>
      <c r="D1426" s="154">
        <v>1419</v>
      </c>
      <c r="E1426" s="154" t="s">
        <v>1898</v>
      </c>
      <c r="F1426" s="154" t="s">
        <v>87</v>
      </c>
      <c r="G1426" s="154" t="s">
        <v>1402</v>
      </c>
      <c r="H1426" s="154" t="s">
        <v>468</v>
      </c>
      <c r="I1426" s="154" t="s">
        <v>96</v>
      </c>
      <c r="J1426" s="154" t="s">
        <v>97</v>
      </c>
      <c r="K1426" s="154" t="s">
        <v>91</v>
      </c>
      <c r="L1426" s="154" t="s">
        <v>1897</v>
      </c>
      <c r="M1426" s="154" t="s">
        <v>1383</v>
      </c>
      <c r="N1426" s="154" t="s">
        <v>61</v>
      </c>
      <c r="O1426" s="154" t="s">
        <v>62</v>
      </c>
      <c r="P1426" s="146">
        <v>16</v>
      </c>
      <c r="Q1426" s="146">
        <v>0</v>
      </c>
      <c r="R1426" s="154" t="s">
        <v>1384</v>
      </c>
      <c r="S1426" s="154" t="s">
        <v>1899</v>
      </c>
      <c r="T1426" s="155" t="s">
        <v>1899</v>
      </c>
      <c r="U1426" s="155" t="s">
        <v>1899</v>
      </c>
      <c r="V1426" s="154" t="s">
        <v>1562</v>
      </c>
      <c r="W1426" s="154">
        <v>0</v>
      </c>
      <c r="X1426" s="154" t="s">
        <v>63</v>
      </c>
      <c r="Y1426" s="154" t="s">
        <v>1900</v>
      </c>
      <c r="Z1426" s="154"/>
      <c r="AA1426" s="154" t="s">
        <v>1387</v>
      </c>
      <c r="AB1426" s="154">
        <v>0</v>
      </c>
      <c r="AC1426" s="138">
        <f>IFERROR(IF(DATEDIF(#REF!,U1426,"m")&lt;=1,1,IF(AND(DATEDIF(#REF!,U1426,"m")&gt;1,DATEDIF(#REF!,U1426,"m")&lt;12),2,IF(AND(DATEDIF(#REF!,U1426,"m")&gt;=12,DATEDIF(#REF!,U1426,"m")&lt;24),3,IF(DATEDIF(#REF!,U1426,"m")&gt;=24,4,"")))),IF(E1426="r0320 - Deposits, not covered and not preferential",1,4))</f>
        <v>4</v>
      </c>
    </row>
    <row r="1427" spans="3:29" ht="48.75" thickBot="1" x14ac:dyDescent="0.3">
      <c r="C1427" s="11">
        <v>999</v>
      </c>
      <c r="D1427" s="154">
        <v>1420</v>
      </c>
      <c r="E1427" s="154" t="s">
        <v>1902</v>
      </c>
      <c r="F1427" s="154" t="s">
        <v>83</v>
      </c>
      <c r="G1427" s="154" t="s">
        <v>1903</v>
      </c>
      <c r="H1427" s="154" t="s">
        <v>751</v>
      </c>
      <c r="I1427" s="154" t="s">
        <v>114</v>
      </c>
      <c r="J1427" s="154" t="s">
        <v>115</v>
      </c>
      <c r="K1427" s="154" t="s">
        <v>60</v>
      </c>
      <c r="L1427" s="154" t="s">
        <v>1897</v>
      </c>
      <c r="M1427" s="154" t="s">
        <v>1388</v>
      </c>
      <c r="N1427" s="154" t="s">
        <v>61</v>
      </c>
      <c r="O1427" s="154" t="s">
        <v>62</v>
      </c>
      <c r="P1427" s="146">
        <v>69673.98</v>
      </c>
      <c r="Q1427" s="146">
        <v>17.739999999999998</v>
      </c>
      <c r="R1427" s="154" t="s">
        <v>1384</v>
      </c>
      <c r="S1427" s="154" t="s">
        <v>1899</v>
      </c>
      <c r="T1427" s="155" t="s">
        <v>768</v>
      </c>
      <c r="U1427" s="155" t="s">
        <v>1899</v>
      </c>
      <c r="V1427" s="154" t="s">
        <v>1904</v>
      </c>
      <c r="W1427" s="154">
        <v>0</v>
      </c>
      <c r="X1427" s="154" t="s">
        <v>63</v>
      </c>
      <c r="Y1427" s="154" t="s">
        <v>1386</v>
      </c>
      <c r="Z1427" s="154"/>
      <c r="AA1427" s="154" t="s">
        <v>1387</v>
      </c>
      <c r="AB1427" s="154">
        <v>0</v>
      </c>
      <c r="AC1427" s="138">
        <f>IFERROR(IF(DATEDIF(#REF!,U1427,"m")&lt;=1,1,IF(AND(DATEDIF(#REF!,U1427,"m")&gt;1,DATEDIF(#REF!,U1427,"m")&lt;12),2,IF(AND(DATEDIF(#REF!,U1427,"m")&gt;=12,DATEDIF(#REF!,U1427,"m")&lt;24),3,IF(DATEDIF(#REF!,U1427,"m")&gt;=24,4,"")))),IF(E1427="r0320 - Deposits, not covered and not preferential",1,4))</f>
        <v>4</v>
      </c>
    </row>
    <row r="1428" spans="3:29" ht="36.75" thickBot="1" x14ac:dyDescent="0.3">
      <c r="C1428" s="11">
        <v>999</v>
      </c>
      <c r="D1428" s="154">
        <v>1421</v>
      </c>
      <c r="E1428" s="154" t="s">
        <v>1898</v>
      </c>
      <c r="F1428" s="154" t="s">
        <v>87</v>
      </c>
      <c r="G1428" s="154" t="s">
        <v>1402</v>
      </c>
      <c r="H1428" s="154" t="s">
        <v>774</v>
      </c>
      <c r="I1428" s="154" t="s">
        <v>108</v>
      </c>
      <c r="J1428" s="154" t="s">
        <v>90</v>
      </c>
      <c r="K1428" s="154" t="s">
        <v>91</v>
      </c>
      <c r="L1428" s="154" t="s">
        <v>1897</v>
      </c>
      <c r="M1428" s="154" t="s">
        <v>1383</v>
      </c>
      <c r="N1428" s="154" t="s">
        <v>61</v>
      </c>
      <c r="O1428" s="154" t="s">
        <v>62</v>
      </c>
      <c r="P1428" s="146">
        <v>2.13</v>
      </c>
      <c r="Q1428" s="146">
        <v>0</v>
      </c>
      <c r="R1428" s="154" t="s">
        <v>1384</v>
      </c>
      <c r="S1428" s="154" t="s">
        <v>1899</v>
      </c>
      <c r="T1428" s="155" t="s">
        <v>1899</v>
      </c>
      <c r="U1428" s="155" t="s">
        <v>1899</v>
      </c>
      <c r="V1428" s="154" t="s">
        <v>1562</v>
      </c>
      <c r="W1428" s="154">
        <v>0</v>
      </c>
      <c r="X1428" s="154" t="s">
        <v>63</v>
      </c>
      <c r="Y1428" s="154" t="s">
        <v>1900</v>
      </c>
      <c r="Z1428" s="154"/>
      <c r="AA1428" s="154" t="s">
        <v>1387</v>
      </c>
      <c r="AB1428" s="154">
        <v>0</v>
      </c>
      <c r="AC1428" s="138">
        <f>IFERROR(IF(DATEDIF(#REF!,U1428,"m")&lt;=1,1,IF(AND(DATEDIF(#REF!,U1428,"m")&gt;1,DATEDIF(#REF!,U1428,"m")&lt;12),2,IF(AND(DATEDIF(#REF!,U1428,"m")&gt;=12,DATEDIF(#REF!,U1428,"m")&lt;24),3,IF(DATEDIF(#REF!,U1428,"m")&gt;=24,4,"")))),IF(E1428="r0320 - Deposits, not covered and not preferential",1,4))</f>
        <v>4</v>
      </c>
    </row>
    <row r="1429" spans="3:29" ht="48.75" thickBot="1" x14ac:dyDescent="0.3">
      <c r="C1429" s="11">
        <v>999</v>
      </c>
      <c r="D1429" s="154">
        <v>1422</v>
      </c>
      <c r="E1429" s="154" t="s">
        <v>1902</v>
      </c>
      <c r="F1429" s="154" t="s">
        <v>83</v>
      </c>
      <c r="G1429" s="154" t="s">
        <v>1903</v>
      </c>
      <c r="H1429" s="154" t="s">
        <v>765</v>
      </c>
      <c r="I1429" s="154" t="s">
        <v>101</v>
      </c>
      <c r="J1429" s="154" t="s">
        <v>102</v>
      </c>
      <c r="K1429" s="154" t="s">
        <v>60</v>
      </c>
      <c r="L1429" s="154" t="s">
        <v>1897</v>
      </c>
      <c r="M1429" s="154" t="s">
        <v>1388</v>
      </c>
      <c r="N1429" s="154" t="s">
        <v>61</v>
      </c>
      <c r="O1429" s="154" t="s">
        <v>62</v>
      </c>
      <c r="P1429" s="146">
        <v>86278.91</v>
      </c>
      <c r="Q1429" s="146">
        <v>21.23</v>
      </c>
      <c r="R1429" s="154" t="s">
        <v>1384</v>
      </c>
      <c r="S1429" s="154" t="s">
        <v>1899</v>
      </c>
      <c r="T1429" s="155" t="s">
        <v>768</v>
      </c>
      <c r="U1429" s="155" t="s">
        <v>1899</v>
      </c>
      <c r="V1429" s="154" t="s">
        <v>1904</v>
      </c>
      <c r="W1429" s="154">
        <v>0</v>
      </c>
      <c r="X1429" s="154" t="s">
        <v>63</v>
      </c>
      <c r="Y1429" s="154" t="s">
        <v>1386</v>
      </c>
      <c r="Z1429" s="154"/>
      <c r="AA1429" s="154" t="s">
        <v>1387</v>
      </c>
      <c r="AB1429" s="154">
        <v>0</v>
      </c>
      <c r="AC1429" s="138">
        <f>IFERROR(IF(DATEDIF(#REF!,U1429,"m")&lt;=1,1,IF(AND(DATEDIF(#REF!,U1429,"m")&gt;1,DATEDIF(#REF!,U1429,"m")&lt;12),2,IF(AND(DATEDIF(#REF!,U1429,"m")&gt;=12,DATEDIF(#REF!,U1429,"m")&lt;24),3,IF(DATEDIF(#REF!,U1429,"m")&gt;=24,4,"")))),IF(E1429="r0320 - Deposits, not covered and not preferential",1,4))</f>
        <v>4</v>
      </c>
    </row>
    <row r="1430" spans="3:29" ht="36.75" thickBot="1" x14ac:dyDescent="0.3">
      <c r="C1430" s="11">
        <v>999</v>
      </c>
      <c r="D1430" s="154">
        <v>1423</v>
      </c>
      <c r="E1430" s="154" t="s">
        <v>1898</v>
      </c>
      <c r="F1430" s="154" t="s">
        <v>87</v>
      </c>
      <c r="G1430" s="154" t="s">
        <v>1402</v>
      </c>
      <c r="H1430" s="154" t="s">
        <v>470</v>
      </c>
      <c r="I1430" s="154" t="s">
        <v>96</v>
      </c>
      <c r="J1430" s="154" t="s">
        <v>97</v>
      </c>
      <c r="K1430" s="154" t="s">
        <v>91</v>
      </c>
      <c r="L1430" s="154" t="s">
        <v>1897</v>
      </c>
      <c r="M1430" s="154" t="s">
        <v>1383</v>
      </c>
      <c r="N1430" s="154" t="s">
        <v>61</v>
      </c>
      <c r="O1430" s="154" t="s">
        <v>62</v>
      </c>
      <c r="P1430" s="146">
        <v>2.16</v>
      </c>
      <c r="Q1430" s="146">
        <v>0</v>
      </c>
      <c r="R1430" s="154" t="s">
        <v>1384</v>
      </c>
      <c r="S1430" s="154" t="s">
        <v>1899</v>
      </c>
      <c r="T1430" s="155" t="s">
        <v>1899</v>
      </c>
      <c r="U1430" s="155" t="s">
        <v>1899</v>
      </c>
      <c r="V1430" s="154" t="s">
        <v>1562</v>
      </c>
      <c r="W1430" s="154">
        <v>0</v>
      </c>
      <c r="X1430" s="154" t="s">
        <v>63</v>
      </c>
      <c r="Y1430" s="154" t="s">
        <v>1900</v>
      </c>
      <c r="Z1430" s="154"/>
      <c r="AA1430" s="154" t="s">
        <v>1387</v>
      </c>
      <c r="AB1430" s="154">
        <v>0</v>
      </c>
      <c r="AC1430" s="138">
        <f>IFERROR(IF(DATEDIF(#REF!,U1430,"m")&lt;=1,1,IF(AND(DATEDIF(#REF!,U1430,"m")&gt;1,DATEDIF(#REF!,U1430,"m")&lt;12),2,IF(AND(DATEDIF(#REF!,U1430,"m")&gt;=12,DATEDIF(#REF!,U1430,"m")&lt;24),3,IF(DATEDIF(#REF!,U1430,"m")&gt;=24,4,"")))),IF(E1430="r0320 - Deposits, not covered and not preferential",1,4))</f>
        <v>4</v>
      </c>
    </row>
    <row r="1431" spans="3:29" ht="48.75" thickBot="1" x14ac:dyDescent="0.3">
      <c r="C1431" s="11">
        <v>999</v>
      </c>
      <c r="D1431" s="154">
        <v>1424</v>
      </c>
      <c r="E1431" s="154" t="s">
        <v>1902</v>
      </c>
      <c r="F1431" s="154" t="s">
        <v>83</v>
      </c>
      <c r="G1431" s="154" t="s">
        <v>1903</v>
      </c>
      <c r="H1431" s="154" t="s">
        <v>741</v>
      </c>
      <c r="I1431" s="154" t="s">
        <v>114</v>
      </c>
      <c r="J1431" s="154" t="s">
        <v>115</v>
      </c>
      <c r="K1431" s="154" t="s">
        <v>60</v>
      </c>
      <c r="L1431" s="154" t="s">
        <v>1897</v>
      </c>
      <c r="M1431" s="154" t="s">
        <v>1388</v>
      </c>
      <c r="N1431" s="154" t="s">
        <v>61</v>
      </c>
      <c r="O1431" s="154" t="s">
        <v>62</v>
      </c>
      <c r="P1431" s="146">
        <v>31594.16</v>
      </c>
      <c r="Q1431" s="146">
        <v>50.34</v>
      </c>
      <c r="R1431" s="154" t="s">
        <v>1384</v>
      </c>
      <c r="S1431" s="154" t="s">
        <v>1899</v>
      </c>
      <c r="T1431" s="155" t="s">
        <v>768</v>
      </c>
      <c r="U1431" s="155" t="s">
        <v>1899</v>
      </c>
      <c r="V1431" s="154" t="s">
        <v>1904</v>
      </c>
      <c r="W1431" s="154">
        <v>0</v>
      </c>
      <c r="X1431" s="154" t="s">
        <v>63</v>
      </c>
      <c r="Y1431" s="154" t="s">
        <v>1386</v>
      </c>
      <c r="Z1431" s="154"/>
      <c r="AA1431" s="154" t="s">
        <v>1387</v>
      </c>
      <c r="AB1431" s="154">
        <v>0</v>
      </c>
      <c r="AC1431" s="138">
        <f>IFERROR(IF(DATEDIF(#REF!,U1431,"m")&lt;=1,1,IF(AND(DATEDIF(#REF!,U1431,"m")&gt;1,DATEDIF(#REF!,U1431,"m")&lt;12),2,IF(AND(DATEDIF(#REF!,U1431,"m")&gt;=12,DATEDIF(#REF!,U1431,"m")&lt;24),3,IF(DATEDIF(#REF!,U1431,"m")&gt;=24,4,"")))),IF(E1431="r0320 - Deposits, not covered and not preferential",1,4))</f>
        <v>4</v>
      </c>
    </row>
    <row r="1432" spans="3:29" ht="36.75" thickBot="1" x14ac:dyDescent="0.3">
      <c r="C1432" s="11">
        <v>999</v>
      </c>
      <c r="D1432" s="154">
        <v>1425</v>
      </c>
      <c r="E1432" s="154" t="s">
        <v>1898</v>
      </c>
      <c r="F1432" s="154" t="s">
        <v>87</v>
      </c>
      <c r="G1432" s="154" t="s">
        <v>1402</v>
      </c>
      <c r="H1432" s="154" t="s">
        <v>496</v>
      </c>
      <c r="I1432" s="154" t="s">
        <v>96</v>
      </c>
      <c r="J1432" s="154" t="s">
        <v>97</v>
      </c>
      <c r="K1432" s="154" t="s">
        <v>91</v>
      </c>
      <c r="L1432" s="154" t="s">
        <v>1897</v>
      </c>
      <c r="M1432" s="154" t="s">
        <v>1383</v>
      </c>
      <c r="N1432" s="154" t="s">
        <v>61</v>
      </c>
      <c r="O1432" s="154" t="s">
        <v>62</v>
      </c>
      <c r="P1432" s="146">
        <v>3.16</v>
      </c>
      <c r="Q1432" s="146">
        <v>0</v>
      </c>
      <c r="R1432" s="154" t="s">
        <v>1384</v>
      </c>
      <c r="S1432" s="154" t="s">
        <v>1899</v>
      </c>
      <c r="T1432" s="155" t="s">
        <v>1899</v>
      </c>
      <c r="U1432" s="155" t="s">
        <v>1899</v>
      </c>
      <c r="V1432" s="154" t="s">
        <v>1562</v>
      </c>
      <c r="W1432" s="154">
        <v>0</v>
      </c>
      <c r="X1432" s="154" t="s">
        <v>63</v>
      </c>
      <c r="Y1432" s="154" t="s">
        <v>1900</v>
      </c>
      <c r="Z1432" s="154"/>
      <c r="AA1432" s="154" t="s">
        <v>1387</v>
      </c>
      <c r="AB1432" s="154">
        <v>0</v>
      </c>
      <c r="AC1432" s="138">
        <f>IFERROR(IF(DATEDIF(#REF!,U1432,"m")&lt;=1,1,IF(AND(DATEDIF(#REF!,U1432,"m")&gt;1,DATEDIF(#REF!,U1432,"m")&lt;12),2,IF(AND(DATEDIF(#REF!,U1432,"m")&gt;=12,DATEDIF(#REF!,U1432,"m")&lt;24),3,IF(DATEDIF(#REF!,U1432,"m")&gt;=24,4,"")))),IF(E1432="r0320 - Deposits, not covered and not preferential",1,4))</f>
        <v>4</v>
      </c>
    </row>
    <row r="1433" spans="3:29" ht="36.75" thickBot="1" x14ac:dyDescent="0.3">
      <c r="C1433" s="11">
        <v>999</v>
      </c>
      <c r="D1433" s="154">
        <v>1426</v>
      </c>
      <c r="E1433" s="154" t="s">
        <v>1895</v>
      </c>
      <c r="F1433" s="154" t="s">
        <v>83</v>
      </c>
      <c r="G1433" s="154" t="s">
        <v>1896</v>
      </c>
      <c r="H1433" s="154" t="s">
        <v>57</v>
      </c>
      <c r="I1433" s="154" t="s">
        <v>156</v>
      </c>
      <c r="J1433" s="154" t="s">
        <v>157</v>
      </c>
      <c r="K1433" s="154" t="s">
        <v>60</v>
      </c>
      <c r="L1433" s="154" t="s">
        <v>1897</v>
      </c>
      <c r="M1433" s="154" t="s">
        <v>1383</v>
      </c>
      <c r="N1433" s="154" t="s">
        <v>61</v>
      </c>
      <c r="O1433" s="154" t="s">
        <v>62</v>
      </c>
      <c r="P1433" s="146">
        <v>27583926.43</v>
      </c>
      <c r="Q1433" s="146">
        <v>0</v>
      </c>
      <c r="R1433" s="154" t="s">
        <v>1384</v>
      </c>
      <c r="S1433" s="154" t="s">
        <v>1385</v>
      </c>
      <c r="T1433" s="155">
        <v>44564</v>
      </c>
      <c r="U1433" s="155">
        <v>44564</v>
      </c>
      <c r="V1433" s="154" t="s">
        <v>1562</v>
      </c>
      <c r="W1433" s="154">
        <v>0</v>
      </c>
      <c r="X1433" s="154" t="s">
        <v>63</v>
      </c>
      <c r="Y1433" s="154" t="s">
        <v>1386</v>
      </c>
      <c r="Z1433" s="154"/>
      <c r="AA1433" s="154" t="s">
        <v>1387</v>
      </c>
      <c r="AB1433" s="154">
        <v>0</v>
      </c>
      <c r="AC1433" s="138">
        <f>IFERROR(IF(DATEDIF(#REF!,U1433,"m")&lt;=1,1,IF(AND(DATEDIF(#REF!,U1433,"m")&gt;1,DATEDIF(#REF!,U1433,"m")&lt;12),2,IF(AND(DATEDIF(#REF!,U1433,"m")&gt;=12,DATEDIF(#REF!,U1433,"m")&lt;24),3,IF(DATEDIF(#REF!,U1433,"m")&gt;=24,4,"")))),IF(E1433="r0320 - Deposits, not covered and not preferential",1,4))</f>
        <v>1</v>
      </c>
    </row>
    <row r="1434" spans="3:29" ht="36.75" thickBot="1" x14ac:dyDescent="0.3">
      <c r="C1434" s="11">
        <v>999</v>
      </c>
      <c r="D1434" s="154">
        <v>1427</v>
      </c>
      <c r="E1434" s="154" t="s">
        <v>1898</v>
      </c>
      <c r="F1434" s="154" t="s">
        <v>87</v>
      </c>
      <c r="G1434" s="154" t="s">
        <v>1402</v>
      </c>
      <c r="H1434" s="154" t="s">
        <v>788</v>
      </c>
      <c r="I1434" s="154" t="s">
        <v>96</v>
      </c>
      <c r="J1434" s="154" t="s">
        <v>97</v>
      </c>
      <c r="K1434" s="154" t="s">
        <v>91</v>
      </c>
      <c r="L1434" s="154" t="s">
        <v>1897</v>
      </c>
      <c r="M1434" s="154" t="s">
        <v>1383</v>
      </c>
      <c r="N1434" s="154" t="s">
        <v>61</v>
      </c>
      <c r="O1434" s="154" t="s">
        <v>62</v>
      </c>
      <c r="P1434" s="146">
        <v>0.37</v>
      </c>
      <c r="Q1434" s="146">
        <v>0</v>
      </c>
      <c r="R1434" s="154" t="s">
        <v>1384</v>
      </c>
      <c r="S1434" s="154" t="s">
        <v>1899</v>
      </c>
      <c r="T1434" s="155" t="s">
        <v>1899</v>
      </c>
      <c r="U1434" s="155" t="s">
        <v>1899</v>
      </c>
      <c r="V1434" s="154" t="s">
        <v>1562</v>
      </c>
      <c r="W1434" s="154">
        <v>0</v>
      </c>
      <c r="X1434" s="154" t="s">
        <v>63</v>
      </c>
      <c r="Y1434" s="154" t="s">
        <v>1900</v>
      </c>
      <c r="Z1434" s="154"/>
      <c r="AA1434" s="154" t="s">
        <v>1387</v>
      </c>
      <c r="AB1434" s="154">
        <v>0</v>
      </c>
      <c r="AC1434" s="138">
        <f>IFERROR(IF(DATEDIF(#REF!,U1434,"m")&lt;=1,1,IF(AND(DATEDIF(#REF!,U1434,"m")&gt;1,DATEDIF(#REF!,U1434,"m")&lt;12),2,IF(AND(DATEDIF(#REF!,U1434,"m")&gt;=12,DATEDIF(#REF!,U1434,"m")&lt;24),3,IF(DATEDIF(#REF!,U1434,"m")&gt;=24,4,"")))),IF(E1434="r0320 - Deposits, not covered and not preferential",1,4))</f>
        <v>4</v>
      </c>
    </row>
    <row r="1435" spans="3:29" ht="48.75" thickBot="1" x14ac:dyDescent="0.3">
      <c r="C1435" s="11">
        <v>999</v>
      </c>
      <c r="D1435" s="154">
        <v>1428</v>
      </c>
      <c r="E1435" s="154" t="s">
        <v>1902</v>
      </c>
      <c r="F1435" s="154" t="s">
        <v>83</v>
      </c>
      <c r="G1435" s="154" t="s">
        <v>1903</v>
      </c>
      <c r="H1435" s="154" t="s">
        <v>1186</v>
      </c>
      <c r="I1435" s="154" t="s">
        <v>93</v>
      </c>
      <c r="J1435" s="154" t="s">
        <v>94</v>
      </c>
      <c r="K1435" s="154" t="s">
        <v>60</v>
      </c>
      <c r="L1435" s="154" t="s">
        <v>1897</v>
      </c>
      <c r="M1435" s="154" t="s">
        <v>1388</v>
      </c>
      <c r="N1435" s="154" t="s">
        <v>61</v>
      </c>
      <c r="O1435" s="154" t="s">
        <v>62</v>
      </c>
      <c r="P1435" s="146">
        <v>67228.740000000005</v>
      </c>
      <c r="Q1435" s="146">
        <v>107.12</v>
      </c>
      <c r="R1435" s="154" t="s">
        <v>1384</v>
      </c>
      <c r="S1435" s="154" t="s">
        <v>1899</v>
      </c>
      <c r="T1435" s="155" t="s">
        <v>768</v>
      </c>
      <c r="U1435" s="155" t="s">
        <v>1899</v>
      </c>
      <c r="V1435" s="154" t="s">
        <v>1904</v>
      </c>
      <c r="W1435" s="154">
        <v>0</v>
      </c>
      <c r="X1435" s="154" t="s">
        <v>63</v>
      </c>
      <c r="Y1435" s="154" t="s">
        <v>1386</v>
      </c>
      <c r="Z1435" s="154"/>
      <c r="AA1435" s="154" t="s">
        <v>1387</v>
      </c>
      <c r="AB1435" s="154">
        <v>0</v>
      </c>
      <c r="AC1435" s="138">
        <f>IFERROR(IF(DATEDIF(#REF!,U1435,"m")&lt;=1,1,IF(AND(DATEDIF(#REF!,U1435,"m")&gt;1,DATEDIF(#REF!,U1435,"m")&lt;12),2,IF(AND(DATEDIF(#REF!,U1435,"m")&gt;=12,DATEDIF(#REF!,U1435,"m")&lt;24),3,IF(DATEDIF(#REF!,U1435,"m")&gt;=24,4,"")))),IF(E1435="r0320 - Deposits, not covered and not preferential",1,4))</f>
        <v>4</v>
      </c>
    </row>
    <row r="1436" spans="3:29" ht="36.75" thickBot="1" x14ac:dyDescent="0.3">
      <c r="C1436" s="11">
        <v>999</v>
      </c>
      <c r="D1436" s="154">
        <v>1429</v>
      </c>
      <c r="E1436" s="154" t="s">
        <v>1898</v>
      </c>
      <c r="F1436" s="154" t="s">
        <v>87</v>
      </c>
      <c r="G1436" s="154" t="s">
        <v>1402</v>
      </c>
      <c r="H1436" s="154" t="s">
        <v>789</v>
      </c>
      <c r="I1436" s="154" t="s">
        <v>104</v>
      </c>
      <c r="J1436" s="154" t="s">
        <v>105</v>
      </c>
      <c r="K1436" s="154" t="s">
        <v>60</v>
      </c>
      <c r="L1436" s="154" t="s">
        <v>1897</v>
      </c>
      <c r="M1436" s="154" t="s">
        <v>1383</v>
      </c>
      <c r="N1436" s="154" t="s">
        <v>61</v>
      </c>
      <c r="O1436" s="154" t="s">
        <v>62</v>
      </c>
      <c r="P1436" s="146">
        <v>4.87</v>
      </c>
      <c r="Q1436" s="146">
        <v>0</v>
      </c>
      <c r="R1436" s="154" t="s">
        <v>1384</v>
      </c>
      <c r="S1436" s="154" t="s">
        <v>1899</v>
      </c>
      <c r="T1436" s="155" t="s">
        <v>1899</v>
      </c>
      <c r="U1436" s="155" t="s">
        <v>1899</v>
      </c>
      <c r="V1436" s="154" t="s">
        <v>1562</v>
      </c>
      <c r="W1436" s="154">
        <v>0</v>
      </c>
      <c r="X1436" s="154" t="s">
        <v>63</v>
      </c>
      <c r="Y1436" s="154" t="s">
        <v>1900</v>
      </c>
      <c r="Z1436" s="154"/>
      <c r="AA1436" s="154" t="s">
        <v>1387</v>
      </c>
      <c r="AB1436" s="154">
        <v>0</v>
      </c>
      <c r="AC1436" s="138">
        <f>IFERROR(IF(DATEDIF(#REF!,U1436,"m")&lt;=1,1,IF(AND(DATEDIF(#REF!,U1436,"m")&gt;1,DATEDIF(#REF!,U1436,"m")&lt;12),2,IF(AND(DATEDIF(#REF!,U1436,"m")&gt;=12,DATEDIF(#REF!,U1436,"m")&lt;24),3,IF(DATEDIF(#REF!,U1436,"m")&gt;=24,4,"")))),IF(E1436="r0320 - Deposits, not covered and not preferential",1,4))</f>
        <v>4</v>
      </c>
    </row>
    <row r="1437" spans="3:29" ht="36.75" thickBot="1" x14ac:dyDescent="0.3">
      <c r="C1437" s="11">
        <v>999</v>
      </c>
      <c r="D1437" s="154">
        <v>1430</v>
      </c>
      <c r="E1437" s="154" t="s">
        <v>1898</v>
      </c>
      <c r="F1437" s="154" t="s">
        <v>87</v>
      </c>
      <c r="G1437" s="154" t="s">
        <v>1402</v>
      </c>
      <c r="H1437" s="154" t="s">
        <v>192</v>
      </c>
      <c r="I1437" s="154" t="s">
        <v>96</v>
      </c>
      <c r="J1437" s="154" t="s">
        <v>97</v>
      </c>
      <c r="K1437" s="154" t="s">
        <v>91</v>
      </c>
      <c r="L1437" s="154" t="s">
        <v>1897</v>
      </c>
      <c r="M1437" s="154" t="s">
        <v>1383</v>
      </c>
      <c r="N1437" s="154" t="s">
        <v>61</v>
      </c>
      <c r="O1437" s="154" t="s">
        <v>62</v>
      </c>
      <c r="P1437" s="146">
        <v>26.67</v>
      </c>
      <c r="Q1437" s="146">
        <v>0</v>
      </c>
      <c r="R1437" s="154" t="s">
        <v>1384</v>
      </c>
      <c r="S1437" s="154" t="s">
        <v>1899</v>
      </c>
      <c r="T1437" s="155" t="s">
        <v>1899</v>
      </c>
      <c r="U1437" s="155" t="s">
        <v>1899</v>
      </c>
      <c r="V1437" s="154" t="s">
        <v>1562</v>
      </c>
      <c r="W1437" s="154">
        <v>0</v>
      </c>
      <c r="X1437" s="154" t="s">
        <v>63</v>
      </c>
      <c r="Y1437" s="154" t="s">
        <v>1900</v>
      </c>
      <c r="Z1437" s="154"/>
      <c r="AA1437" s="154" t="s">
        <v>1387</v>
      </c>
      <c r="AB1437" s="154">
        <v>0</v>
      </c>
      <c r="AC1437" s="138">
        <f>IFERROR(IF(DATEDIF(#REF!,U1437,"m")&lt;=1,1,IF(AND(DATEDIF(#REF!,U1437,"m")&gt;1,DATEDIF(#REF!,U1437,"m")&lt;12),2,IF(AND(DATEDIF(#REF!,U1437,"m")&gt;=12,DATEDIF(#REF!,U1437,"m")&lt;24),3,IF(DATEDIF(#REF!,U1437,"m")&gt;=24,4,"")))),IF(E1437="r0320 - Deposits, not covered and not preferential",1,4))</f>
        <v>4</v>
      </c>
    </row>
    <row r="1438" spans="3:29" ht="36.75" thickBot="1" x14ac:dyDescent="0.3">
      <c r="C1438" s="11">
        <v>999</v>
      </c>
      <c r="D1438" s="154">
        <v>1431</v>
      </c>
      <c r="E1438" s="154" t="s">
        <v>1898</v>
      </c>
      <c r="F1438" s="154" t="s">
        <v>87</v>
      </c>
      <c r="G1438" s="154" t="s">
        <v>1402</v>
      </c>
      <c r="H1438" s="154" t="s">
        <v>791</v>
      </c>
      <c r="I1438" s="154" t="s">
        <v>96</v>
      </c>
      <c r="J1438" s="154" t="s">
        <v>97</v>
      </c>
      <c r="K1438" s="154" t="s">
        <v>91</v>
      </c>
      <c r="L1438" s="154" t="s">
        <v>1897</v>
      </c>
      <c r="M1438" s="154" t="s">
        <v>1383</v>
      </c>
      <c r="N1438" s="154" t="s">
        <v>61</v>
      </c>
      <c r="O1438" s="154" t="s">
        <v>62</v>
      </c>
      <c r="P1438" s="146">
        <v>47.61</v>
      </c>
      <c r="Q1438" s="146">
        <v>0</v>
      </c>
      <c r="R1438" s="154" t="s">
        <v>1384</v>
      </c>
      <c r="S1438" s="154" t="s">
        <v>1899</v>
      </c>
      <c r="T1438" s="155" t="s">
        <v>1899</v>
      </c>
      <c r="U1438" s="155" t="s">
        <v>1899</v>
      </c>
      <c r="V1438" s="154" t="s">
        <v>1562</v>
      </c>
      <c r="W1438" s="154">
        <v>0</v>
      </c>
      <c r="X1438" s="154" t="s">
        <v>63</v>
      </c>
      <c r="Y1438" s="154" t="s">
        <v>1900</v>
      </c>
      <c r="Z1438" s="154"/>
      <c r="AA1438" s="154" t="s">
        <v>1387</v>
      </c>
      <c r="AB1438" s="154">
        <v>0</v>
      </c>
      <c r="AC1438" s="138">
        <f>IFERROR(IF(DATEDIF(#REF!,U1438,"m")&lt;=1,1,IF(AND(DATEDIF(#REF!,U1438,"m")&gt;1,DATEDIF(#REF!,U1438,"m")&lt;12),2,IF(AND(DATEDIF(#REF!,U1438,"m")&gt;=12,DATEDIF(#REF!,U1438,"m")&lt;24),3,IF(DATEDIF(#REF!,U1438,"m")&gt;=24,4,"")))),IF(E1438="r0320 - Deposits, not covered and not preferential",1,4))</f>
        <v>4</v>
      </c>
    </row>
    <row r="1439" spans="3:29" ht="48.75" thickBot="1" x14ac:dyDescent="0.3">
      <c r="C1439" s="11">
        <v>999</v>
      </c>
      <c r="D1439" s="154">
        <v>1432</v>
      </c>
      <c r="E1439" s="154" t="s">
        <v>1902</v>
      </c>
      <c r="F1439" s="154" t="s">
        <v>83</v>
      </c>
      <c r="G1439" s="154" t="s">
        <v>1903</v>
      </c>
      <c r="H1439" s="154" t="s">
        <v>1252</v>
      </c>
      <c r="I1439" s="154" t="s">
        <v>93</v>
      </c>
      <c r="J1439" s="154" t="s">
        <v>94</v>
      </c>
      <c r="K1439" s="154" t="s">
        <v>60</v>
      </c>
      <c r="L1439" s="154" t="s">
        <v>1897</v>
      </c>
      <c r="M1439" s="154" t="s">
        <v>1388</v>
      </c>
      <c r="N1439" s="154" t="s">
        <v>61</v>
      </c>
      <c r="O1439" s="154" t="s">
        <v>62</v>
      </c>
      <c r="P1439" s="146">
        <v>107481.38</v>
      </c>
      <c r="Q1439" s="146">
        <v>50.65</v>
      </c>
      <c r="R1439" s="154" t="s">
        <v>1384</v>
      </c>
      <c r="S1439" s="154" t="s">
        <v>1899</v>
      </c>
      <c r="T1439" s="155" t="s">
        <v>768</v>
      </c>
      <c r="U1439" s="155" t="s">
        <v>1899</v>
      </c>
      <c r="V1439" s="154" t="s">
        <v>1904</v>
      </c>
      <c r="W1439" s="154">
        <v>0</v>
      </c>
      <c r="X1439" s="154" t="s">
        <v>63</v>
      </c>
      <c r="Y1439" s="154" t="s">
        <v>1386</v>
      </c>
      <c r="Z1439" s="154"/>
      <c r="AA1439" s="154" t="s">
        <v>1387</v>
      </c>
      <c r="AB1439" s="154">
        <v>0</v>
      </c>
      <c r="AC1439" s="138">
        <f>IFERROR(IF(DATEDIF(#REF!,U1439,"m")&lt;=1,1,IF(AND(DATEDIF(#REF!,U1439,"m")&gt;1,DATEDIF(#REF!,U1439,"m")&lt;12),2,IF(AND(DATEDIF(#REF!,U1439,"m")&gt;=12,DATEDIF(#REF!,U1439,"m")&lt;24),3,IF(DATEDIF(#REF!,U1439,"m")&gt;=24,4,"")))),IF(E1439="r0320 - Deposits, not covered and not preferential",1,4))</f>
        <v>4</v>
      </c>
    </row>
    <row r="1440" spans="3:29" ht="36.75" thickBot="1" x14ac:dyDescent="0.3">
      <c r="C1440" s="11">
        <v>999</v>
      </c>
      <c r="D1440" s="154">
        <v>1433</v>
      </c>
      <c r="E1440" s="154" t="s">
        <v>1898</v>
      </c>
      <c r="F1440" s="154" t="s">
        <v>87</v>
      </c>
      <c r="G1440" s="154" t="s">
        <v>1402</v>
      </c>
      <c r="H1440" s="154" t="s">
        <v>793</v>
      </c>
      <c r="I1440" s="154" t="s">
        <v>142</v>
      </c>
      <c r="J1440" s="154" t="s">
        <v>143</v>
      </c>
      <c r="K1440" s="154" t="s">
        <v>60</v>
      </c>
      <c r="L1440" s="154" t="s">
        <v>1897</v>
      </c>
      <c r="M1440" s="154" t="s">
        <v>1383</v>
      </c>
      <c r="N1440" s="154" t="s">
        <v>61</v>
      </c>
      <c r="O1440" s="154" t="s">
        <v>62</v>
      </c>
      <c r="P1440" s="146">
        <v>51.2</v>
      </c>
      <c r="Q1440" s="146">
        <v>0</v>
      </c>
      <c r="R1440" s="154" t="s">
        <v>1384</v>
      </c>
      <c r="S1440" s="154" t="s">
        <v>1899</v>
      </c>
      <c r="T1440" s="155" t="s">
        <v>1899</v>
      </c>
      <c r="U1440" s="155" t="s">
        <v>1899</v>
      </c>
      <c r="V1440" s="154" t="s">
        <v>1562</v>
      </c>
      <c r="W1440" s="154">
        <v>0</v>
      </c>
      <c r="X1440" s="154" t="s">
        <v>63</v>
      </c>
      <c r="Y1440" s="154" t="s">
        <v>1900</v>
      </c>
      <c r="Z1440" s="154"/>
      <c r="AA1440" s="154" t="s">
        <v>1387</v>
      </c>
      <c r="AB1440" s="154">
        <v>0</v>
      </c>
      <c r="AC1440" s="138">
        <f>IFERROR(IF(DATEDIF(#REF!,U1440,"m")&lt;=1,1,IF(AND(DATEDIF(#REF!,U1440,"m")&gt;1,DATEDIF(#REF!,U1440,"m")&lt;12),2,IF(AND(DATEDIF(#REF!,U1440,"m")&gt;=12,DATEDIF(#REF!,U1440,"m")&lt;24),3,IF(DATEDIF(#REF!,U1440,"m")&gt;=24,4,"")))),IF(E1440="r0320 - Deposits, not covered and not preferential",1,4))</f>
        <v>4</v>
      </c>
    </row>
    <row r="1441" spans="3:29" ht="48.75" thickBot="1" x14ac:dyDescent="0.3">
      <c r="C1441" s="11">
        <v>999</v>
      </c>
      <c r="D1441" s="154">
        <v>1434</v>
      </c>
      <c r="E1441" s="154" t="s">
        <v>1902</v>
      </c>
      <c r="F1441" s="154" t="s">
        <v>83</v>
      </c>
      <c r="G1441" s="154" t="s">
        <v>1903</v>
      </c>
      <c r="H1441" s="154" t="s">
        <v>753</v>
      </c>
      <c r="I1441" s="154" t="s">
        <v>114</v>
      </c>
      <c r="J1441" s="154" t="s">
        <v>115</v>
      </c>
      <c r="K1441" s="154" t="s">
        <v>60</v>
      </c>
      <c r="L1441" s="154" t="s">
        <v>1897</v>
      </c>
      <c r="M1441" s="154" t="s">
        <v>1388</v>
      </c>
      <c r="N1441" s="154" t="s">
        <v>61</v>
      </c>
      <c r="O1441" s="154" t="s">
        <v>62</v>
      </c>
      <c r="P1441" s="146">
        <v>53383.6</v>
      </c>
      <c r="Q1441" s="146">
        <v>0.54</v>
      </c>
      <c r="R1441" s="154" t="s">
        <v>1384</v>
      </c>
      <c r="S1441" s="154" t="s">
        <v>1899</v>
      </c>
      <c r="T1441" s="155" t="s">
        <v>768</v>
      </c>
      <c r="U1441" s="155" t="s">
        <v>1899</v>
      </c>
      <c r="V1441" s="154" t="s">
        <v>1904</v>
      </c>
      <c r="W1441" s="154">
        <v>0</v>
      </c>
      <c r="X1441" s="154" t="s">
        <v>63</v>
      </c>
      <c r="Y1441" s="154" t="s">
        <v>1386</v>
      </c>
      <c r="Z1441" s="154"/>
      <c r="AA1441" s="154" t="s">
        <v>1387</v>
      </c>
      <c r="AB1441" s="154">
        <v>0</v>
      </c>
      <c r="AC1441" s="138">
        <f>IFERROR(IF(DATEDIF(#REF!,U1441,"m")&lt;=1,1,IF(AND(DATEDIF(#REF!,U1441,"m")&gt;1,DATEDIF(#REF!,U1441,"m")&lt;12),2,IF(AND(DATEDIF(#REF!,U1441,"m")&gt;=12,DATEDIF(#REF!,U1441,"m")&lt;24),3,IF(DATEDIF(#REF!,U1441,"m")&gt;=24,4,"")))),IF(E1441="r0320 - Deposits, not covered and not preferential",1,4))</f>
        <v>4</v>
      </c>
    </row>
    <row r="1442" spans="3:29" ht="36.75" thickBot="1" x14ac:dyDescent="0.3">
      <c r="C1442" s="11">
        <v>999</v>
      </c>
      <c r="D1442" s="154">
        <v>1435</v>
      </c>
      <c r="E1442" s="154" t="s">
        <v>1898</v>
      </c>
      <c r="F1442" s="154" t="s">
        <v>87</v>
      </c>
      <c r="G1442" s="154" t="s">
        <v>1402</v>
      </c>
      <c r="H1442" s="154" t="s">
        <v>795</v>
      </c>
      <c r="I1442" s="154" t="s">
        <v>96</v>
      </c>
      <c r="J1442" s="154" t="s">
        <v>97</v>
      </c>
      <c r="K1442" s="154" t="s">
        <v>91</v>
      </c>
      <c r="L1442" s="154" t="s">
        <v>1897</v>
      </c>
      <c r="M1442" s="154" t="s">
        <v>1383</v>
      </c>
      <c r="N1442" s="154" t="s">
        <v>61</v>
      </c>
      <c r="O1442" s="154" t="s">
        <v>62</v>
      </c>
      <c r="P1442" s="146">
        <v>0.76</v>
      </c>
      <c r="Q1442" s="146">
        <v>0</v>
      </c>
      <c r="R1442" s="154" t="s">
        <v>1384</v>
      </c>
      <c r="S1442" s="154" t="s">
        <v>1899</v>
      </c>
      <c r="T1442" s="155" t="s">
        <v>1899</v>
      </c>
      <c r="U1442" s="155" t="s">
        <v>1899</v>
      </c>
      <c r="V1442" s="154" t="s">
        <v>1562</v>
      </c>
      <c r="W1442" s="154">
        <v>0</v>
      </c>
      <c r="X1442" s="154" t="s">
        <v>63</v>
      </c>
      <c r="Y1442" s="154" t="s">
        <v>1900</v>
      </c>
      <c r="Z1442" s="154"/>
      <c r="AA1442" s="154" t="s">
        <v>1387</v>
      </c>
      <c r="AB1442" s="154">
        <v>0</v>
      </c>
      <c r="AC1442" s="138">
        <f>IFERROR(IF(DATEDIF(#REF!,U1442,"m")&lt;=1,1,IF(AND(DATEDIF(#REF!,U1442,"m")&gt;1,DATEDIF(#REF!,U1442,"m")&lt;12),2,IF(AND(DATEDIF(#REF!,U1442,"m")&gt;=12,DATEDIF(#REF!,U1442,"m")&lt;24),3,IF(DATEDIF(#REF!,U1442,"m")&gt;=24,4,"")))),IF(E1442="r0320 - Deposits, not covered and not preferential",1,4))</f>
        <v>4</v>
      </c>
    </row>
    <row r="1443" spans="3:29" ht="48.75" thickBot="1" x14ac:dyDescent="0.3">
      <c r="C1443" s="11">
        <v>999</v>
      </c>
      <c r="D1443" s="154">
        <v>1436</v>
      </c>
      <c r="E1443" s="154" t="s">
        <v>1902</v>
      </c>
      <c r="F1443" s="154" t="s">
        <v>83</v>
      </c>
      <c r="G1443" s="154" t="s">
        <v>1903</v>
      </c>
      <c r="H1443" s="154" t="s">
        <v>1238</v>
      </c>
      <c r="I1443" s="154" t="s">
        <v>101</v>
      </c>
      <c r="J1443" s="154" t="s">
        <v>102</v>
      </c>
      <c r="K1443" s="154" t="s">
        <v>60</v>
      </c>
      <c r="L1443" s="154" t="s">
        <v>1897</v>
      </c>
      <c r="M1443" s="154" t="s">
        <v>1388</v>
      </c>
      <c r="N1443" s="154" t="s">
        <v>61</v>
      </c>
      <c r="O1443" s="154" t="s">
        <v>62</v>
      </c>
      <c r="P1443" s="146">
        <v>8754.1299999999992</v>
      </c>
      <c r="Q1443" s="146">
        <v>3.37</v>
      </c>
      <c r="R1443" s="154" t="s">
        <v>1384</v>
      </c>
      <c r="S1443" s="154" t="s">
        <v>1899</v>
      </c>
      <c r="T1443" s="155" t="s">
        <v>768</v>
      </c>
      <c r="U1443" s="155" t="s">
        <v>1899</v>
      </c>
      <c r="V1443" s="154" t="s">
        <v>1904</v>
      </c>
      <c r="W1443" s="154">
        <v>0</v>
      </c>
      <c r="X1443" s="154" t="s">
        <v>63</v>
      </c>
      <c r="Y1443" s="154" t="s">
        <v>1386</v>
      </c>
      <c r="Z1443" s="154"/>
      <c r="AA1443" s="154" t="s">
        <v>1387</v>
      </c>
      <c r="AB1443" s="154">
        <v>0</v>
      </c>
      <c r="AC1443" s="138">
        <f>IFERROR(IF(DATEDIF(#REF!,U1443,"m")&lt;=1,1,IF(AND(DATEDIF(#REF!,U1443,"m")&gt;1,DATEDIF(#REF!,U1443,"m")&lt;12),2,IF(AND(DATEDIF(#REF!,U1443,"m")&gt;=12,DATEDIF(#REF!,U1443,"m")&lt;24),3,IF(DATEDIF(#REF!,U1443,"m")&gt;=24,4,"")))),IF(E1443="r0320 - Deposits, not covered and not preferential",1,4))</f>
        <v>4</v>
      </c>
    </row>
    <row r="1444" spans="3:29" ht="36.75" thickBot="1" x14ac:dyDescent="0.3">
      <c r="C1444" s="11">
        <v>999</v>
      </c>
      <c r="D1444" s="154">
        <v>1437</v>
      </c>
      <c r="E1444" s="154" t="s">
        <v>1898</v>
      </c>
      <c r="F1444" s="154" t="s">
        <v>87</v>
      </c>
      <c r="G1444" s="154" t="s">
        <v>1402</v>
      </c>
      <c r="H1444" s="154" t="s">
        <v>796</v>
      </c>
      <c r="I1444" s="154" t="s">
        <v>96</v>
      </c>
      <c r="J1444" s="154" t="s">
        <v>97</v>
      </c>
      <c r="K1444" s="154" t="s">
        <v>91</v>
      </c>
      <c r="L1444" s="154" t="s">
        <v>1897</v>
      </c>
      <c r="M1444" s="154" t="s">
        <v>1383</v>
      </c>
      <c r="N1444" s="154" t="s">
        <v>61</v>
      </c>
      <c r="O1444" s="154" t="s">
        <v>62</v>
      </c>
      <c r="P1444" s="146">
        <v>43.33</v>
      </c>
      <c r="Q1444" s="146">
        <v>0</v>
      </c>
      <c r="R1444" s="154" t="s">
        <v>1384</v>
      </c>
      <c r="S1444" s="154" t="s">
        <v>1899</v>
      </c>
      <c r="T1444" s="155" t="s">
        <v>1899</v>
      </c>
      <c r="U1444" s="155" t="s">
        <v>1899</v>
      </c>
      <c r="V1444" s="154" t="s">
        <v>1562</v>
      </c>
      <c r="W1444" s="154">
        <v>0</v>
      </c>
      <c r="X1444" s="154" t="s">
        <v>63</v>
      </c>
      <c r="Y1444" s="154" t="s">
        <v>1900</v>
      </c>
      <c r="Z1444" s="154"/>
      <c r="AA1444" s="154" t="s">
        <v>1387</v>
      </c>
      <c r="AB1444" s="154">
        <v>0</v>
      </c>
      <c r="AC1444" s="138">
        <f>IFERROR(IF(DATEDIF(#REF!,U1444,"m")&lt;=1,1,IF(AND(DATEDIF(#REF!,U1444,"m")&gt;1,DATEDIF(#REF!,U1444,"m")&lt;12),2,IF(AND(DATEDIF(#REF!,U1444,"m")&gt;=12,DATEDIF(#REF!,U1444,"m")&lt;24),3,IF(DATEDIF(#REF!,U1444,"m")&gt;=24,4,"")))),IF(E1444="r0320 - Deposits, not covered and not preferential",1,4))</f>
        <v>4</v>
      </c>
    </row>
    <row r="1445" spans="3:29" ht="48.75" thickBot="1" x14ac:dyDescent="0.3">
      <c r="C1445" s="11">
        <v>999</v>
      </c>
      <c r="D1445" s="154">
        <v>1438</v>
      </c>
      <c r="E1445" s="154" t="s">
        <v>1902</v>
      </c>
      <c r="F1445" s="154" t="s">
        <v>83</v>
      </c>
      <c r="G1445" s="154" t="s">
        <v>1903</v>
      </c>
      <c r="H1445" s="154" t="s">
        <v>772</v>
      </c>
      <c r="I1445" s="154" t="s">
        <v>93</v>
      </c>
      <c r="J1445" s="154" t="s">
        <v>94</v>
      </c>
      <c r="K1445" s="154" t="s">
        <v>60</v>
      </c>
      <c r="L1445" s="154" t="s">
        <v>1897</v>
      </c>
      <c r="M1445" s="154" t="s">
        <v>1388</v>
      </c>
      <c r="N1445" s="154" t="s">
        <v>61</v>
      </c>
      <c r="O1445" s="154" t="s">
        <v>62</v>
      </c>
      <c r="P1445" s="146">
        <v>87012.3</v>
      </c>
      <c r="Q1445" s="146">
        <v>39.99</v>
      </c>
      <c r="R1445" s="154" t="s">
        <v>1384</v>
      </c>
      <c r="S1445" s="154" t="s">
        <v>1899</v>
      </c>
      <c r="T1445" s="155" t="s">
        <v>768</v>
      </c>
      <c r="U1445" s="155" t="s">
        <v>1899</v>
      </c>
      <c r="V1445" s="154" t="s">
        <v>1904</v>
      </c>
      <c r="W1445" s="154">
        <v>0</v>
      </c>
      <c r="X1445" s="154" t="s">
        <v>63</v>
      </c>
      <c r="Y1445" s="154" t="s">
        <v>1386</v>
      </c>
      <c r="Z1445" s="154"/>
      <c r="AA1445" s="154" t="s">
        <v>1387</v>
      </c>
      <c r="AB1445" s="154">
        <v>0</v>
      </c>
      <c r="AC1445" s="138">
        <f>IFERROR(IF(DATEDIF(#REF!,U1445,"m")&lt;=1,1,IF(AND(DATEDIF(#REF!,U1445,"m")&gt;1,DATEDIF(#REF!,U1445,"m")&lt;12),2,IF(AND(DATEDIF(#REF!,U1445,"m")&gt;=12,DATEDIF(#REF!,U1445,"m")&lt;24),3,IF(DATEDIF(#REF!,U1445,"m")&gt;=24,4,"")))),IF(E1445="r0320 - Deposits, not covered and not preferential",1,4))</f>
        <v>4</v>
      </c>
    </row>
    <row r="1446" spans="3:29" ht="36.75" thickBot="1" x14ac:dyDescent="0.3">
      <c r="C1446" s="11">
        <v>999</v>
      </c>
      <c r="D1446" s="154">
        <v>1439</v>
      </c>
      <c r="E1446" s="154" t="s">
        <v>1898</v>
      </c>
      <c r="F1446" s="154" t="s">
        <v>87</v>
      </c>
      <c r="G1446" s="154" t="s">
        <v>1402</v>
      </c>
      <c r="H1446" s="154" t="s">
        <v>798</v>
      </c>
      <c r="I1446" s="154" t="s">
        <v>96</v>
      </c>
      <c r="J1446" s="154" t="s">
        <v>97</v>
      </c>
      <c r="K1446" s="154" t="s">
        <v>91</v>
      </c>
      <c r="L1446" s="154" t="s">
        <v>1897</v>
      </c>
      <c r="M1446" s="154" t="s">
        <v>1383</v>
      </c>
      <c r="N1446" s="154" t="s">
        <v>61</v>
      </c>
      <c r="O1446" s="154" t="s">
        <v>62</v>
      </c>
      <c r="P1446" s="146">
        <v>22.41</v>
      </c>
      <c r="Q1446" s="146">
        <v>0</v>
      </c>
      <c r="R1446" s="154" t="s">
        <v>1384</v>
      </c>
      <c r="S1446" s="154" t="s">
        <v>1899</v>
      </c>
      <c r="T1446" s="155" t="s">
        <v>1899</v>
      </c>
      <c r="U1446" s="155" t="s">
        <v>1899</v>
      </c>
      <c r="V1446" s="154" t="s">
        <v>1562</v>
      </c>
      <c r="W1446" s="154">
        <v>0</v>
      </c>
      <c r="X1446" s="154" t="s">
        <v>63</v>
      </c>
      <c r="Y1446" s="154" t="s">
        <v>1900</v>
      </c>
      <c r="Z1446" s="154"/>
      <c r="AA1446" s="154" t="s">
        <v>1387</v>
      </c>
      <c r="AB1446" s="154">
        <v>0</v>
      </c>
      <c r="AC1446" s="138">
        <f>IFERROR(IF(DATEDIF(#REF!,U1446,"m")&lt;=1,1,IF(AND(DATEDIF(#REF!,U1446,"m")&gt;1,DATEDIF(#REF!,U1446,"m")&lt;12),2,IF(AND(DATEDIF(#REF!,U1446,"m")&gt;=12,DATEDIF(#REF!,U1446,"m")&lt;24),3,IF(DATEDIF(#REF!,U1446,"m")&gt;=24,4,"")))),IF(E1446="r0320 - Deposits, not covered and not preferential",1,4))</f>
        <v>4</v>
      </c>
    </row>
    <row r="1447" spans="3:29" ht="48.75" thickBot="1" x14ac:dyDescent="0.3">
      <c r="C1447" s="11">
        <v>999</v>
      </c>
      <c r="D1447" s="154">
        <v>1440</v>
      </c>
      <c r="E1447" s="154" t="s">
        <v>1902</v>
      </c>
      <c r="F1447" s="154" t="s">
        <v>83</v>
      </c>
      <c r="G1447" s="154" t="s">
        <v>1903</v>
      </c>
      <c r="H1447" s="154" t="s">
        <v>457</v>
      </c>
      <c r="I1447" s="154" t="s">
        <v>93</v>
      </c>
      <c r="J1447" s="154" t="s">
        <v>94</v>
      </c>
      <c r="K1447" s="154" t="s">
        <v>60</v>
      </c>
      <c r="L1447" s="154" t="s">
        <v>1897</v>
      </c>
      <c r="M1447" s="154" t="s">
        <v>1388</v>
      </c>
      <c r="N1447" s="154" t="s">
        <v>61</v>
      </c>
      <c r="O1447" s="154" t="s">
        <v>62</v>
      </c>
      <c r="P1447" s="146">
        <v>529928.29</v>
      </c>
      <c r="Q1447" s="146">
        <v>233.33</v>
      </c>
      <c r="R1447" s="154" t="s">
        <v>1384</v>
      </c>
      <c r="S1447" s="154" t="s">
        <v>1899</v>
      </c>
      <c r="T1447" s="155" t="s">
        <v>768</v>
      </c>
      <c r="U1447" s="155" t="s">
        <v>1899</v>
      </c>
      <c r="V1447" s="154" t="s">
        <v>1904</v>
      </c>
      <c r="W1447" s="154">
        <v>0</v>
      </c>
      <c r="X1447" s="154" t="s">
        <v>63</v>
      </c>
      <c r="Y1447" s="154" t="s">
        <v>1386</v>
      </c>
      <c r="Z1447" s="154"/>
      <c r="AA1447" s="154" t="s">
        <v>1387</v>
      </c>
      <c r="AB1447" s="154">
        <v>0</v>
      </c>
      <c r="AC1447" s="138">
        <f>IFERROR(IF(DATEDIF(#REF!,U1447,"m")&lt;=1,1,IF(AND(DATEDIF(#REF!,U1447,"m")&gt;1,DATEDIF(#REF!,U1447,"m")&lt;12),2,IF(AND(DATEDIF(#REF!,U1447,"m")&gt;=12,DATEDIF(#REF!,U1447,"m")&lt;24),3,IF(DATEDIF(#REF!,U1447,"m")&gt;=24,4,"")))),IF(E1447="r0320 - Deposits, not covered and not preferential",1,4))</f>
        <v>4</v>
      </c>
    </row>
    <row r="1448" spans="3:29" ht="36.75" thickBot="1" x14ac:dyDescent="0.3">
      <c r="C1448" s="11">
        <v>999</v>
      </c>
      <c r="D1448" s="154">
        <v>1441</v>
      </c>
      <c r="E1448" s="154" t="s">
        <v>1898</v>
      </c>
      <c r="F1448" s="154" t="s">
        <v>87</v>
      </c>
      <c r="G1448" s="154" t="s">
        <v>1402</v>
      </c>
      <c r="H1448" s="154" t="s">
        <v>800</v>
      </c>
      <c r="I1448" s="154" t="s">
        <v>96</v>
      </c>
      <c r="J1448" s="154" t="s">
        <v>97</v>
      </c>
      <c r="K1448" s="154" t="s">
        <v>91</v>
      </c>
      <c r="L1448" s="154" t="s">
        <v>1897</v>
      </c>
      <c r="M1448" s="154" t="s">
        <v>1383</v>
      </c>
      <c r="N1448" s="154" t="s">
        <v>61</v>
      </c>
      <c r="O1448" s="154" t="s">
        <v>62</v>
      </c>
      <c r="P1448" s="146">
        <v>0.18</v>
      </c>
      <c r="Q1448" s="146">
        <v>0</v>
      </c>
      <c r="R1448" s="154" t="s">
        <v>1384</v>
      </c>
      <c r="S1448" s="154" t="s">
        <v>1899</v>
      </c>
      <c r="T1448" s="155" t="s">
        <v>1899</v>
      </c>
      <c r="U1448" s="155" t="s">
        <v>1899</v>
      </c>
      <c r="V1448" s="154" t="s">
        <v>1562</v>
      </c>
      <c r="W1448" s="154">
        <v>0</v>
      </c>
      <c r="X1448" s="154" t="s">
        <v>63</v>
      </c>
      <c r="Y1448" s="154" t="s">
        <v>1900</v>
      </c>
      <c r="Z1448" s="154"/>
      <c r="AA1448" s="154" t="s">
        <v>1387</v>
      </c>
      <c r="AB1448" s="154">
        <v>0</v>
      </c>
      <c r="AC1448" s="138">
        <f>IFERROR(IF(DATEDIF(#REF!,U1448,"m")&lt;=1,1,IF(AND(DATEDIF(#REF!,U1448,"m")&gt;1,DATEDIF(#REF!,U1448,"m")&lt;12),2,IF(AND(DATEDIF(#REF!,U1448,"m")&gt;=12,DATEDIF(#REF!,U1448,"m")&lt;24),3,IF(DATEDIF(#REF!,U1448,"m")&gt;=24,4,"")))),IF(E1448="r0320 - Deposits, not covered and not preferential",1,4))</f>
        <v>4</v>
      </c>
    </row>
    <row r="1449" spans="3:29" ht="48.75" thickBot="1" x14ac:dyDescent="0.3">
      <c r="C1449" s="11">
        <v>999</v>
      </c>
      <c r="D1449" s="154">
        <v>1442</v>
      </c>
      <c r="E1449" s="154" t="s">
        <v>1902</v>
      </c>
      <c r="F1449" s="154" t="s">
        <v>83</v>
      </c>
      <c r="G1449" s="154" t="s">
        <v>1903</v>
      </c>
      <c r="H1449" s="154" t="s">
        <v>265</v>
      </c>
      <c r="I1449" s="154" t="s">
        <v>93</v>
      </c>
      <c r="J1449" s="154" t="s">
        <v>94</v>
      </c>
      <c r="K1449" s="154" t="s">
        <v>60</v>
      </c>
      <c r="L1449" s="154" t="s">
        <v>1897</v>
      </c>
      <c r="M1449" s="154" t="s">
        <v>1388</v>
      </c>
      <c r="N1449" s="154" t="s">
        <v>61</v>
      </c>
      <c r="O1449" s="154" t="s">
        <v>62</v>
      </c>
      <c r="P1449" s="146">
        <v>99661.25</v>
      </c>
      <c r="Q1449" s="146">
        <v>26.7</v>
      </c>
      <c r="R1449" s="154" t="s">
        <v>1384</v>
      </c>
      <c r="S1449" s="154" t="s">
        <v>1899</v>
      </c>
      <c r="T1449" s="155" t="s">
        <v>768</v>
      </c>
      <c r="U1449" s="155" t="s">
        <v>1899</v>
      </c>
      <c r="V1449" s="154" t="s">
        <v>1904</v>
      </c>
      <c r="W1449" s="154">
        <v>0</v>
      </c>
      <c r="X1449" s="154" t="s">
        <v>63</v>
      </c>
      <c r="Y1449" s="154" t="s">
        <v>1386</v>
      </c>
      <c r="Z1449" s="154"/>
      <c r="AA1449" s="154" t="s">
        <v>1387</v>
      </c>
      <c r="AB1449" s="154">
        <v>0</v>
      </c>
      <c r="AC1449" s="138">
        <f>IFERROR(IF(DATEDIF(#REF!,U1449,"m")&lt;=1,1,IF(AND(DATEDIF(#REF!,U1449,"m")&gt;1,DATEDIF(#REF!,U1449,"m")&lt;12),2,IF(AND(DATEDIF(#REF!,U1449,"m")&gt;=12,DATEDIF(#REF!,U1449,"m")&lt;24),3,IF(DATEDIF(#REF!,U1449,"m")&gt;=24,4,"")))),IF(E1449="r0320 - Deposits, not covered and not preferential",1,4))</f>
        <v>4</v>
      </c>
    </row>
    <row r="1450" spans="3:29" ht="36.75" thickBot="1" x14ac:dyDescent="0.3">
      <c r="C1450" s="11">
        <v>999</v>
      </c>
      <c r="D1450" s="154">
        <v>1443</v>
      </c>
      <c r="E1450" s="154" t="s">
        <v>1898</v>
      </c>
      <c r="F1450" s="154" t="s">
        <v>87</v>
      </c>
      <c r="G1450" s="154" t="s">
        <v>1402</v>
      </c>
      <c r="H1450" s="154" t="s">
        <v>801</v>
      </c>
      <c r="I1450" s="154" t="s">
        <v>310</v>
      </c>
      <c r="J1450" s="154" t="s">
        <v>311</v>
      </c>
      <c r="K1450" s="154" t="s">
        <v>60</v>
      </c>
      <c r="L1450" s="154" t="s">
        <v>1897</v>
      </c>
      <c r="M1450" s="154" t="s">
        <v>1383</v>
      </c>
      <c r="N1450" s="154" t="s">
        <v>61</v>
      </c>
      <c r="O1450" s="154" t="s">
        <v>62</v>
      </c>
      <c r="P1450" s="146">
        <v>7.51</v>
      </c>
      <c r="Q1450" s="146">
        <v>0</v>
      </c>
      <c r="R1450" s="154" t="s">
        <v>1384</v>
      </c>
      <c r="S1450" s="154" t="s">
        <v>1899</v>
      </c>
      <c r="T1450" s="155" t="s">
        <v>1899</v>
      </c>
      <c r="U1450" s="155" t="s">
        <v>1899</v>
      </c>
      <c r="V1450" s="154" t="s">
        <v>1562</v>
      </c>
      <c r="W1450" s="154">
        <v>0</v>
      </c>
      <c r="X1450" s="154" t="s">
        <v>63</v>
      </c>
      <c r="Y1450" s="154" t="s">
        <v>1900</v>
      </c>
      <c r="Z1450" s="154"/>
      <c r="AA1450" s="154" t="s">
        <v>1387</v>
      </c>
      <c r="AB1450" s="154">
        <v>0</v>
      </c>
      <c r="AC1450" s="138">
        <f>IFERROR(IF(DATEDIF(#REF!,U1450,"m")&lt;=1,1,IF(AND(DATEDIF(#REF!,U1450,"m")&gt;1,DATEDIF(#REF!,U1450,"m")&lt;12),2,IF(AND(DATEDIF(#REF!,U1450,"m")&gt;=12,DATEDIF(#REF!,U1450,"m")&lt;24),3,IF(DATEDIF(#REF!,U1450,"m")&gt;=24,4,"")))),IF(E1450="r0320 - Deposits, not covered and not preferential",1,4))</f>
        <v>4</v>
      </c>
    </row>
    <row r="1451" spans="3:29" ht="48.75" thickBot="1" x14ac:dyDescent="0.3">
      <c r="C1451" s="11">
        <v>999</v>
      </c>
      <c r="D1451" s="154">
        <v>1444</v>
      </c>
      <c r="E1451" s="154" t="s">
        <v>1902</v>
      </c>
      <c r="F1451" s="154" t="s">
        <v>83</v>
      </c>
      <c r="G1451" s="154" t="s">
        <v>1903</v>
      </c>
      <c r="H1451" s="154" t="s">
        <v>1230</v>
      </c>
      <c r="I1451" s="154" t="s">
        <v>101</v>
      </c>
      <c r="J1451" s="154" t="s">
        <v>102</v>
      </c>
      <c r="K1451" s="154" t="s">
        <v>60</v>
      </c>
      <c r="L1451" s="154" t="s">
        <v>1897</v>
      </c>
      <c r="M1451" s="154" t="s">
        <v>1388</v>
      </c>
      <c r="N1451" s="154" t="s">
        <v>61</v>
      </c>
      <c r="O1451" s="154" t="s">
        <v>62</v>
      </c>
      <c r="P1451" s="146">
        <v>31270.17</v>
      </c>
      <c r="Q1451" s="146">
        <v>49.52</v>
      </c>
      <c r="R1451" s="154" t="s">
        <v>1384</v>
      </c>
      <c r="S1451" s="154" t="s">
        <v>1899</v>
      </c>
      <c r="T1451" s="155" t="s">
        <v>768</v>
      </c>
      <c r="U1451" s="155" t="s">
        <v>1899</v>
      </c>
      <c r="V1451" s="154" t="s">
        <v>1904</v>
      </c>
      <c r="W1451" s="154">
        <v>0</v>
      </c>
      <c r="X1451" s="154" t="s">
        <v>63</v>
      </c>
      <c r="Y1451" s="154" t="s">
        <v>1386</v>
      </c>
      <c r="Z1451" s="154"/>
      <c r="AA1451" s="154" t="s">
        <v>1387</v>
      </c>
      <c r="AB1451" s="154">
        <v>0</v>
      </c>
      <c r="AC1451" s="138">
        <f>IFERROR(IF(DATEDIF(#REF!,U1451,"m")&lt;=1,1,IF(AND(DATEDIF(#REF!,U1451,"m")&gt;1,DATEDIF(#REF!,U1451,"m")&lt;12),2,IF(AND(DATEDIF(#REF!,U1451,"m")&gt;=12,DATEDIF(#REF!,U1451,"m")&lt;24),3,IF(DATEDIF(#REF!,U1451,"m")&gt;=24,4,"")))),IF(E1451="r0320 - Deposits, not covered and not preferential",1,4))</f>
        <v>4</v>
      </c>
    </row>
    <row r="1452" spans="3:29" ht="36.75" thickBot="1" x14ac:dyDescent="0.3">
      <c r="C1452" s="11">
        <v>999</v>
      </c>
      <c r="D1452" s="154">
        <v>1445</v>
      </c>
      <c r="E1452" s="154" t="s">
        <v>1898</v>
      </c>
      <c r="F1452" s="154" t="s">
        <v>83</v>
      </c>
      <c r="G1452" s="154" t="s">
        <v>1402</v>
      </c>
      <c r="H1452" s="154" t="s">
        <v>802</v>
      </c>
      <c r="I1452" s="154" t="s">
        <v>85</v>
      </c>
      <c r="J1452" s="154" t="s">
        <v>86</v>
      </c>
      <c r="K1452" s="154" t="s">
        <v>60</v>
      </c>
      <c r="L1452" s="154" t="s">
        <v>1897</v>
      </c>
      <c r="M1452" s="154" t="s">
        <v>1388</v>
      </c>
      <c r="N1452" s="154" t="s">
        <v>61</v>
      </c>
      <c r="O1452" s="154" t="s">
        <v>62</v>
      </c>
      <c r="P1452" s="146">
        <v>0.27</v>
      </c>
      <c r="Q1452" s="146">
        <v>0</v>
      </c>
      <c r="R1452" s="154" t="s">
        <v>1384</v>
      </c>
      <c r="S1452" s="154" t="s">
        <v>1899</v>
      </c>
      <c r="T1452" s="155" t="s">
        <v>1899</v>
      </c>
      <c r="U1452" s="155" t="s">
        <v>1899</v>
      </c>
      <c r="V1452" s="154" t="s">
        <v>1562</v>
      </c>
      <c r="W1452" s="154">
        <v>0</v>
      </c>
      <c r="X1452" s="154" t="s">
        <v>63</v>
      </c>
      <c r="Y1452" s="154" t="s">
        <v>1900</v>
      </c>
      <c r="Z1452" s="154"/>
      <c r="AA1452" s="154" t="s">
        <v>1387</v>
      </c>
      <c r="AB1452" s="154">
        <v>0</v>
      </c>
      <c r="AC1452" s="138">
        <f>IFERROR(IF(DATEDIF(#REF!,U1452,"m")&lt;=1,1,IF(AND(DATEDIF(#REF!,U1452,"m")&gt;1,DATEDIF(#REF!,U1452,"m")&lt;12),2,IF(AND(DATEDIF(#REF!,U1452,"m")&gt;=12,DATEDIF(#REF!,U1452,"m")&lt;24),3,IF(DATEDIF(#REF!,U1452,"m")&gt;=24,4,"")))),IF(E1452="r0320 - Deposits, not covered and not preferential",1,4))</f>
        <v>4</v>
      </c>
    </row>
    <row r="1453" spans="3:29" ht="36.75" thickBot="1" x14ac:dyDescent="0.3">
      <c r="C1453" s="11">
        <v>999</v>
      </c>
      <c r="D1453" s="154">
        <v>1446</v>
      </c>
      <c r="E1453" s="154" t="s">
        <v>1898</v>
      </c>
      <c r="F1453" s="154" t="s">
        <v>83</v>
      </c>
      <c r="G1453" s="154" t="s">
        <v>1402</v>
      </c>
      <c r="H1453" s="154" t="s">
        <v>512</v>
      </c>
      <c r="I1453" s="154" t="s">
        <v>153</v>
      </c>
      <c r="J1453" s="154" t="s">
        <v>154</v>
      </c>
      <c r="K1453" s="154" t="s">
        <v>60</v>
      </c>
      <c r="L1453" s="154" t="s">
        <v>1897</v>
      </c>
      <c r="M1453" s="154" t="s">
        <v>1388</v>
      </c>
      <c r="N1453" s="154" t="s">
        <v>61</v>
      </c>
      <c r="O1453" s="154" t="s">
        <v>62</v>
      </c>
      <c r="P1453" s="146">
        <v>35919.17</v>
      </c>
      <c r="Q1453" s="146">
        <v>0</v>
      </c>
      <c r="R1453" s="154" t="s">
        <v>1384</v>
      </c>
      <c r="S1453" s="154" t="s">
        <v>1899</v>
      </c>
      <c r="T1453" s="155" t="s">
        <v>1899</v>
      </c>
      <c r="U1453" s="155" t="s">
        <v>1899</v>
      </c>
      <c r="V1453" s="154" t="s">
        <v>1562</v>
      </c>
      <c r="W1453" s="154">
        <v>0</v>
      </c>
      <c r="X1453" s="154" t="s">
        <v>63</v>
      </c>
      <c r="Y1453" s="154" t="s">
        <v>1900</v>
      </c>
      <c r="Z1453" s="154"/>
      <c r="AA1453" s="154" t="s">
        <v>1387</v>
      </c>
      <c r="AB1453" s="154">
        <v>0</v>
      </c>
      <c r="AC1453" s="138">
        <f>IFERROR(IF(DATEDIF(#REF!,U1453,"m")&lt;=1,1,IF(AND(DATEDIF(#REF!,U1453,"m")&gt;1,DATEDIF(#REF!,U1453,"m")&lt;12),2,IF(AND(DATEDIF(#REF!,U1453,"m")&gt;=12,DATEDIF(#REF!,U1453,"m")&lt;24),3,IF(DATEDIF(#REF!,U1453,"m")&gt;=24,4,"")))),IF(E1453="r0320 - Deposits, not covered and not preferential",1,4))</f>
        <v>4</v>
      </c>
    </row>
    <row r="1454" spans="3:29" ht="48.75" thickBot="1" x14ac:dyDescent="0.3">
      <c r="C1454" s="11">
        <v>999</v>
      </c>
      <c r="D1454" s="154">
        <v>1447</v>
      </c>
      <c r="E1454" s="154" t="s">
        <v>1902</v>
      </c>
      <c r="F1454" s="154" t="s">
        <v>83</v>
      </c>
      <c r="G1454" s="154" t="s">
        <v>1903</v>
      </c>
      <c r="H1454" s="154" t="s">
        <v>753</v>
      </c>
      <c r="I1454" s="154" t="s">
        <v>101</v>
      </c>
      <c r="J1454" s="154" t="s">
        <v>102</v>
      </c>
      <c r="K1454" s="154" t="s">
        <v>60</v>
      </c>
      <c r="L1454" s="154" t="s">
        <v>1897</v>
      </c>
      <c r="M1454" s="154" t="s">
        <v>1388</v>
      </c>
      <c r="N1454" s="154" t="s">
        <v>61</v>
      </c>
      <c r="O1454" s="154" t="s">
        <v>62</v>
      </c>
      <c r="P1454" s="146">
        <v>60116.68</v>
      </c>
      <c r="Q1454" s="146">
        <v>39.200000000000003</v>
      </c>
      <c r="R1454" s="154" t="s">
        <v>1384</v>
      </c>
      <c r="S1454" s="154" t="s">
        <v>1899</v>
      </c>
      <c r="T1454" s="155" t="s">
        <v>768</v>
      </c>
      <c r="U1454" s="155" t="s">
        <v>1899</v>
      </c>
      <c r="V1454" s="154" t="s">
        <v>1904</v>
      </c>
      <c r="W1454" s="154">
        <v>0</v>
      </c>
      <c r="X1454" s="154" t="s">
        <v>63</v>
      </c>
      <c r="Y1454" s="154" t="s">
        <v>1386</v>
      </c>
      <c r="Z1454" s="154"/>
      <c r="AA1454" s="154" t="s">
        <v>1387</v>
      </c>
      <c r="AB1454" s="154">
        <v>0</v>
      </c>
      <c r="AC1454" s="138">
        <f>IFERROR(IF(DATEDIF(#REF!,U1454,"m")&lt;=1,1,IF(AND(DATEDIF(#REF!,U1454,"m")&gt;1,DATEDIF(#REF!,U1454,"m")&lt;12),2,IF(AND(DATEDIF(#REF!,U1454,"m")&gt;=12,DATEDIF(#REF!,U1454,"m")&lt;24),3,IF(DATEDIF(#REF!,U1454,"m")&gt;=24,4,"")))),IF(E1454="r0320 - Deposits, not covered and not preferential",1,4))</f>
        <v>4</v>
      </c>
    </row>
    <row r="1455" spans="3:29" ht="48.75" thickBot="1" x14ac:dyDescent="0.3">
      <c r="C1455" s="11">
        <v>999</v>
      </c>
      <c r="D1455" s="154">
        <v>1448</v>
      </c>
      <c r="E1455" s="154" t="s">
        <v>1902</v>
      </c>
      <c r="F1455" s="154" t="s">
        <v>83</v>
      </c>
      <c r="G1455" s="154" t="s">
        <v>1903</v>
      </c>
      <c r="H1455" s="154" t="s">
        <v>770</v>
      </c>
      <c r="I1455" s="154" t="s">
        <v>101</v>
      </c>
      <c r="J1455" s="154" t="s">
        <v>102</v>
      </c>
      <c r="K1455" s="154" t="s">
        <v>60</v>
      </c>
      <c r="L1455" s="154" t="s">
        <v>1897</v>
      </c>
      <c r="M1455" s="154" t="s">
        <v>1388</v>
      </c>
      <c r="N1455" s="154" t="s">
        <v>61</v>
      </c>
      <c r="O1455" s="154" t="s">
        <v>62</v>
      </c>
      <c r="P1455" s="146">
        <v>1957251.87</v>
      </c>
      <c r="Q1455" s="146">
        <v>476.54</v>
      </c>
      <c r="R1455" s="154" t="s">
        <v>1384</v>
      </c>
      <c r="S1455" s="154" t="s">
        <v>1899</v>
      </c>
      <c r="T1455" s="155" t="s">
        <v>768</v>
      </c>
      <c r="U1455" s="155" t="s">
        <v>1899</v>
      </c>
      <c r="V1455" s="154" t="s">
        <v>1904</v>
      </c>
      <c r="W1455" s="154">
        <v>0</v>
      </c>
      <c r="X1455" s="154" t="s">
        <v>63</v>
      </c>
      <c r="Y1455" s="154" t="s">
        <v>1386</v>
      </c>
      <c r="Z1455" s="154"/>
      <c r="AA1455" s="154" t="s">
        <v>1387</v>
      </c>
      <c r="AB1455" s="154">
        <v>0</v>
      </c>
      <c r="AC1455" s="138">
        <f>IFERROR(IF(DATEDIF(#REF!,U1455,"m")&lt;=1,1,IF(AND(DATEDIF(#REF!,U1455,"m")&gt;1,DATEDIF(#REF!,U1455,"m")&lt;12),2,IF(AND(DATEDIF(#REF!,U1455,"m")&gt;=12,DATEDIF(#REF!,U1455,"m")&lt;24),3,IF(DATEDIF(#REF!,U1455,"m")&gt;=24,4,"")))),IF(E1455="r0320 - Deposits, not covered and not preferential",1,4))</f>
        <v>4</v>
      </c>
    </row>
    <row r="1456" spans="3:29" ht="48.75" thickBot="1" x14ac:dyDescent="0.3">
      <c r="C1456" s="11">
        <v>999</v>
      </c>
      <c r="D1456" s="154">
        <v>1449</v>
      </c>
      <c r="E1456" s="154" t="s">
        <v>1902</v>
      </c>
      <c r="F1456" s="154" t="s">
        <v>83</v>
      </c>
      <c r="G1456" s="154" t="s">
        <v>1903</v>
      </c>
      <c r="H1456" s="154" t="s">
        <v>760</v>
      </c>
      <c r="I1456" s="154" t="s">
        <v>93</v>
      </c>
      <c r="J1456" s="154" t="s">
        <v>94</v>
      </c>
      <c r="K1456" s="154" t="s">
        <v>60</v>
      </c>
      <c r="L1456" s="154" t="s">
        <v>1897</v>
      </c>
      <c r="M1456" s="154" t="s">
        <v>1388</v>
      </c>
      <c r="N1456" s="154" t="s">
        <v>61</v>
      </c>
      <c r="O1456" s="154" t="s">
        <v>62</v>
      </c>
      <c r="P1456" s="146">
        <v>489029.04</v>
      </c>
      <c r="Q1456" s="146">
        <v>464.35</v>
      </c>
      <c r="R1456" s="154" t="s">
        <v>1384</v>
      </c>
      <c r="S1456" s="154" t="s">
        <v>1899</v>
      </c>
      <c r="T1456" s="155" t="s">
        <v>768</v>
      </c>
      <c r="U1456" s="155" t="s">
        <v>1899</v>
      </c>
      <c r="V1456" s="154" t="s">
        <v>1904</v>
      </c>
      <c r="W1456" s="154">
        <v>0</v>
      </c>
      <c r="X1456" s="154" t="s">
        <v>63</v>
      </c>
      <c r="Y1456" s="154" t="s">
        <v>1386</v>
      </c>
      <c r="Z1456" s="154"/>
      <c r="AA1456" s="154" t="s">
        <v>1387</v>
      </c>
      <c r="AB1456" s="154">
        <v>0</v>
      </c>
      <c r="AC1456" s="138">
        <f>IFERROR(IF(DATEDIF(#REF!,U1456,"m")&lt;=1,1,IF(AND(DATEDIF(#REF!,U1456,"m")&gt;1,DATEDIF(#REF!,U1456,"m")&lt;12),2,IF(AND(DATEDIF(#REF!,U1456,"m")&gt;=12,DATEDIF(#REF!,U1456,"m")&lt;24),3,IF(DATEDIF(#REF!,U1456,"m")&gt;=24,4,"")))),IF(E1456="r0320 - Deposits, not covered and not preferential",1,4))</f>
        <v>4</v>
      </c>
    </row>
    <row r="1457" spans="3:29" ht="48.75" thickBot="1" x14ac:dyDescent="0.3">
      <c r="C1457" s="11">
        <v>999</v>
      </c>
      <c r="D1457" s="154">
        <v>1450</v>
      </c>
      <c r="E1457" s="154" t="s">
        <v>1902</v>
      </c>
      <c r="F1457" s="154" t="s">
        <v>83</v>
      </c>
      <c r="G1457" s="154" t="s">
        <v>1903</v>
      </c>
      <c r="H1457" s="154" t="s">
        <v>491</v>
      </c>
      <c r="I1457" s="154" t="s">
        <v>101</v>
      </c>
      <c r="J1457" s="154" t="s">
        <v>102</v>
      </c>
      <c r="K1457" s="154" t="s">
        <v>60</v>
      </c>
      <c r="L1457" s="154" t="s">
        <v>1897</v>
      </c>
      <c r="M1457" s="154" t="s">
        <v>1388</v>
      </c>
      <c r="N1457" s="154" t="s">
        <v>61</v>
      </c>
      <c r="O1457" s="154" t="s">
        <v>62</v>
      </c>
      <c r="P1457" s="146">
        <v>35257.4</v>
      </c>
      <c r="Q1457" s="146">
        <v>3.49</v>
      </c>
      <c r="R1457" s="154" t="s">
        <v>1384</v>
      </c>
      <c r="S1457" s="154" t="s">
        <v>1899</v>
      </c>
      <c r="T1457" s="155" t="s">
        <v>768</v>
      </c>
      <c r="U1457" s="155" t="s">
        <v>1899</v>
      </c>
      <c r="V1457" s="154" t="s">
        <v>1904</v>
      </c>
      <c r="W1457" s="154">
        <v>0</v>
      </c>
      <c r="X1457" s="154" t="s">
        <v>63</v>
      </c>
      <c r="Y1457" s="154" t="s">
        <v>1386</v>
      </c>
      <c r="Z1457" s="154"/>
      <c r="AA1457" s="154" t="s">
        <v>1387</v>
      </c>
      <c r="AB1457" s="154">
        <v>0</v>
      </c>
      <c r="AC1457" s="138">
        <f>IFERROR(IF(DATEDIF(#REF!,U1457,"m")&lt;=1,1,IF(AND(DATEDIF(#REF!,U1457,"m")&gt;1,DATEDIF(#REF!,U1457,"m")&lt;12),2,IF(AND(DATEDIF(#REF!,U1457,"m")&gt;=12,DATEDIF(#REF!,U1457,"m")&lt;24),3,IF(DATEDIF(#REF!,U1457,"m")&gt;=24,4,"")))),IF(E1457="r0320 - Deposits, not covered and not preferential",1,4))</f>
        <v>4</v>
      </c>
    </row>
    <row r="1458" spans="3:29" ht="48.75" thickBot="1" x14ac:dyDescent="0.3">
      <c r="C1458" s="11">
        <v>999</v>
      </c>
      <c r="D1458" s="154">
        <v>1451</v>
      </c>
      <c r="E1458" s="154" t="s">
        <v>1902</v>
      </c>
      <c r="F1458" s="154" t="s">
        <v>83</v>
      </c>
      <c r="G1458" s="154" t="s">
        <v>1903</v>
      </c>
      <c r="H1458" s="154" t="s">
        <v>278</v>
      </c>
      <c r="I1458" s="154" t="s">
        <v>114</v>
      </c>
      <c r="J1458" s="154" t="s">
        <v>115</v>
      </c>
      <c r="K1458" s="154" t="s">
        <v>60</v>
      </c>
      <c r="L1458" s="154" t="s">
        <v>1897</v>
      </c>
      <c r="M1458" s="154" t="s">
        <v>1388</v>
      </c>
      <c r="N1458" s="154" t="s">
        <v>61</v>
      </c>
      <c r="O1458" s="154" t="s">
        <v>62</v>
      </c>
      <c r="P1458" s="146">
        <v>112799.25</v>
      </c>
      <c r="Q1458" s="146">
        <v>20.59</v>
      </c>
      <c r="R1458" s="154" t="s">
        <v>1384</v>
      </c>
      <c r="S1458" s="154" t="s">
        <v>1899</v>
      </c>
      <c r="T1458" s="155" t="s">
        <v>768</v>
      </c>
      <c r="U1458" s="155" t="s">
        <v>1899</v>
      </c>
      <c r="V1458" s="154" t="s">
        <v>1904</v>
      </c>
      <c r="W1458" s="154">
        <v>0</v>
      </c>
      <c r="X1458" s="154" t="s">
        <v>63</v>
      </c>
      <c r="Y1458" s="154" t="s">
        <v>1386</v>
      </c>
      <c r="Z1458" s="154"/>
      <c r="AA1458" s="154" t="s">
        <v>1387</v>
      </c>
      <c r="AB1458" s="154">
        <v>0</v>
      </c>
      <c r="AC1458" s="138">
        <f>IFERROR(IF(DATEDIF(#REF!,U1458,"m")&lt;=1,1,IF(AND(DATEDIF(#REF!,U1458,"m")&gt;1,DATEDIF(#REF!,U1458,"m")&lt;12),2,IF(AND(DATEDIF(#REF!,U1458,"m")&gt;=12,DATEDIF(#REF!,U1458,"m")&lt;24),3,IF(DATEDIF(#REF!,U1458,"m")&gt;=24,4,"")))),IF(E1458="r0320 - Deposits, not covered and not preferential",1,4))</f>
        <v>4</v>
      </c>
    </row>
    <row r="1459" spans="3:29" ht="48.75" thickBot="1" x14ac:dyDescent="0.3">
      <c r="C1459" s="11">
        <v>999</v>
      </c>
      <c r="D1459" s="154">
        <v>1452</v>
      </c>
      <c r="E1459" s="154" t="s">
        <v>1902</v>
      </c>
      <c r="F1459" s="154" t="s">
        <v>83</v>
      </c>
      <c r="G1459" s="154" t="s">
        <v>1903</v>
      </c>
      <c r="H1459" s="154" t="s">
        <v>752</v>
      </c>
      <c r="I1459" s="154" t="s">
        <v>93</v>
      </c>
      <c r="J1459" s="154" t="s">
        <v>94</v>
      </c>
      <c r="K1459" s="154" t="s">
        <v>60</v>
      </c>
      <c r="L1459" s="154" t="s">
        <v>1897</v>
      </c>
      <c r="M1459" s="154" t="s">
        <v>1388</v>
      </c>
      <c r="N1459" s="154" t="s">
        <v>61</v>
      </c>
      <c r="O1459" s="154" t="s">
        <v>62</v>
      </c>
      <c r="P1459" s="146">
        <v>67799.78</v>
      </c>
      <c r="Q1459" s="146">
        <v>4.26</v>
      </c>
      <c r="R1459" s="154" t="s">
        <v>1384</v>
      </c>
      <c r="S1459" s="154" t="s">
        <v>1899</v>
      </c>
      <c r="T1459" s="155" t="s">
        <v>768</v>
      </c>
      <c r="U1459" s="155" t="s">
        <v>1899</v>
      </c>
      <c r="V1459" s="154" t="s">
        <v>1904</v>
      </c>
      <c r="W1459" s="154">
        <v>0</v>
      </c>
      <c r="X1459" s="154" t="s">
        <v>63</v>
      </c>
      <c r="Y1459" s="154" t="s">
        <v>1386</v>
      </c>
      <c r="Z1459" s="154"/>
      <c r="AA1459" s="154" t="s">
        <v>1387</v>
      </c>
      <c r="AB1459" s="154">
        <v>0</v>
      </c>
      <c r="AC1459" s="138">
        <f>IFERROR(IF(DATEDIF(#REF!,U1459,"m")&lt;=1,1,IF(AND(DATEDIF(#REF!,U1459,"m")&gt;1,DATEDIF(#REF!,U1459,"m")&lt;12),2,IF(AND(DATEDIF(#REF!,U1459,"m")&gt;=12,DATEDIF(#REF!,U1459,"m")&lt;24),3,IF(DATEDIF(#REF!,U1459,"m")&gt;=24,4,"")))),IF(E1459="r0320 - Deposits, not covered and not preferential",1,4))</f>
        <v>4</v>
      </c>
    </row>
    <row r="1460" spans="3:29" ht="36.75" thickBot="1" x14ac:dyDescent="0.3">
      <c r="C1460" s="11">
        <v>999</v>
      </c>
      <c r="D1460" s="154">
        <v>1453</v>
      </c>
      <c r="E1460" s="154" t="s">
        <v>1898</v>
      </c>
      <c r="F1460" s="154" t="s">
        <v>87</v>
      </c>
      <c r="G1460" s="154" t="s">
        <v>1402</v>
      </c>
      <c r="H1460" s="154" t="s">
        <v>745</v>
      </c>
      <c r="I1460" s="154" t="s">
        <v>237</v>
      </c>
      <c r="J1460" s="154" t="s">
        <v>238</v>
      </c>
      <c r="K1460" s="154" t="s">
        <v>60</v>
      </c>
      <c r="L1460" s="154" t="s">
        <v>1897</v>
      </c>
      <c r="M1460" s="154" t="s">
        <v>1383</v>
      </c>
      <c r="N1460" s="154" t="s">
        <v>61</v>
      </c>
      <c r="O1460" s="154" t="s">
        <v>62</v>
      </c>
      <c r="P1460" s="146">
        <v>1745.41</v>
      </c>
      <c r="Q1460" s="146">
        <v>0</v>
      </c>
      <c r="R1460" s="154" t="s">
        <v>1384</v>
      </c>
      <c r="S1460" s="154" t="s">
        <v>1899</v>
      </c>
      <c r="T1460" s="155" t="s">
        <v>1899</v>
      </c>
      <c r="U1460" s="155" t="s">
        <v>1899</v>
      </c>
      <c r="V1460" s="154" t="s">
        <v>1562</v>
      </c>
      <c r="W1460" s="154">
        <v>0</v>
      </c>
      <c r="X1460" s="154" t="s">
        <v>63</v>
      </c>
      <c r="Y1460" s="154" t="s">
        <v>1900</v>
      </c>
      <c r="Z1460" s="154"/>
      <c r="AA1460" s="154" t="s">
        <v>1387</v>
      </c>
      <c r="AB1460" s="154">
        <v>0</v>
      </c>
      <c r="AC1460" s="138">
        <f>IFERROR(IF(DATEDIF(#REF!,U1460,"m")&lt;=1,1,IF(AND(DATEDIF(#REF!,U1460,"m")&gt;1,DATEDIF(#REF!,U1460,"m")&lt;12),2,IF(AND(DATEDIF(#REF!,U1460,"m")&gt;=12,DATEDIF(#REF!,U1460,"m")&lt;24),3,IF(DATEDIF(#REF!,U1460,"m")&gt;=24,4,"")))),IF(E1460="r0320 - Deposits, not covered and not preferential",1,4))</f>
        <v>4</v>
      </c>
    </row>
    <row r="1461" spans="3:29" ht="48.75" thickBot="1" x14ac:dyDescent="0.3">
      <c r="C1461" s="11">
        <v>999</v>
      </c>
      <c r="D1461" s="154">
        <v>1454</v>
      </c>
      <c r="E1461" s="154" t="s">
        <v>1902</v>
      </c>
      <c r="F1461" s="154" t="s">
        <v>83</v>
      </c>
      <c r="G1461" s="154" t="s">
        <v>1903</v>
      </c>
      <c r="H1461" s="154" t="s">
        <v>778</v>
      </c>
      <c r="I1461" s="154" t="s">
        <v>101</v>
      </c>
      <c r="J1461" s="154" t="s">
        <v>102</v>
      </c>
      <c r="K1461" s="154" t="s">
        <v>60</v>
      </c>
      <c r="L1461" s="154" t="s">
        <v>1897</v>
      </c>
      <c r="M1461" s="154" t="s">
        <v>1388</v>
      </c>
      <c r="N1461" s="154" t="s">
        <v>61</v>
      </c>
      <c r="O1461" s="154" t="s">
        <v>62</v>
      </c>
      <c r="P1461" s="146">
        <v>46148.69</v>
      </c>
      <c r="Q1461" s="146">
        <v>13.78</v>
      </c>
      <c r="R1461" s="154" t="s">
        <v>1384</v>
      </c>
      <c r="S1461" s="154" t="s">
        <v>1899</v>
      </c>
      <c r="T1461" s="155" t="s">
        <v>768</v>
      </c>
      <c r="U1461" s="155" t="s">
        <v>1899</v>
      </c>
      <c r="V1461" s="154" t="s">
        <v>1904</v>
      </c>
      <c r="W1461" s="154">
        <v>0</v>
      </c>
      <c r="X1461" s="154" t="s">
        <v>63</v>
      </c>
      <c r="Y1461" s="154" t="s">
        <v>1386</v>
      </c>
      <c r="Z1461" s="154"/>
      <c r="AA1461" s="154" t="s">
        <v>1387</v>
      </c>
      <c r="AB1461" s="154">
        <v>0</v>
      </c>
      <c r="AC1461" s="138">
        <f>IFERROR(IF(DATEDIF(#REF!,U1461,"m")&lt;=1,1,IF(AND(DATEDIF(#REF!,U1461,"m")&gt;1,DATEDIF(#REF!,U1461,"m")&lt;12),2,IF(AND(DATEDIF(#REF!,U1461,"m")&gt;=12,DATEDIF(#REF!,U1461,"m")&lt;24),3,IF(DATEDIF(#REF!,U1461,"m")&gt;=24,4,"")))),IF(E1461="r0320 - Deposits, not covered and not preferential",1,4))</f>
        <v>4</v>
      </c>
    </row>
    <row r="1462" spans="3:29" ht="36.75" thickBot="1" x14ac:dyDescent="0.3">
      <c r="C1462" s="11">
        <v>999</v>
      </c>
      <c r="D1462" s="154">
        <v>1455</v>
      </c>
      <c r="E1462" s="154" t="s">
        <v>1898</v>
      </c>
      <c r="F1462" s="154" t="s">
        <v>87</v>
      </c>
      <c r="G1462" s="154" t="s">
        <v>1402</v>
      </c>
      <c r="H1462" s="154" t="s">
        <v>464</v>
      </c>
      <c r="I1462" s="154" t="s">
        <v>96</v>
      </c>
      <c r="J1462" s="154" t="s">
        <v>97</v>
      </c>
      <c r="K1462" s="154" t="s">
        <v>91</v>
      </c>
      <c r="L1462" s="154" t="s">
        <v>1897</v>
      </c>
      <c r="M1462" s="154" t="s">
        <v>1383</v>
      </c>
      <c r="N1462" s="154" t="s">
        <v>61</v>
      </c>
      <c r="O1462" s="154" t="s">
        <v>62</v>
      </c>
      <c r="P1462" s="146">
        <v>25.56</v>
      </c>
      <c r="Q1462" s="146">
        <v>0</v>
      </c>
      <c r="R1462" s="154" t="s">
        <v>1384</v>
      </c>
      <c r="S1462" s="154" t="s">
        <v>1899</v>
      </c>
      <c r="T1462" s="155" t="s">
        <v>1899</v>
      </c>
      <c r="U1462" s="155" t="s">
        <v>1899</v>
      </c>
      <c r="V1462" s="154" t="s">
        <v>1562</v>
      </c>
      <c r="W1462" s="154">
        <v>0</v>
      </c>
      <c r="X1462" s="154" t="s">
        <v>63</v>
      </c>
      <c r="Y1462" s="154" t="s">
        <v>1900</v>
      </c>
      <c r="Z1462" s="154"/>
      <c r="AA1462" s="154" t="s">
        <v>1387</v>
      </c>
      <c r="AB1462" s="154">
        <v>0</v>
      </c>
      <c r="AC1462" s="138">
        <f>IFERROR(IF(DATEDIF(#REF!,U1462,"m")&lt;=1,1,IF(AND(DATEDIF(#REF!,U1462,"m")&gt;1,DATEDIF(#REF!,U1462,"m")&lt;12),2,IF(AND(DATEDIF(#REF!,U1462,"m")&gt;=12,DATEDIF(#REF!,U1462,"m")&lt;24),3,IF(DATEDIF(#REF!,U1462,"m")&gt;=24,4,"")))),IF(E1462="r0320 - Deposits, not covered and not preferential",1,4))</f>
        <v>4</v>
      </c>
    </row>
    <row r="1463" spans="3:29" ht="48.75" thickBot="1" x14ac:dyDescent="0.3">
      <c r="C1463" s="11">
        <v>999</v>
      </c>
      <c r="D1463" s="154">
        <v>1456</v>
      </c>
      <c r="E1463" s="154" t="s">
        <v>1902</v>
      </c>
      <c r="F1463" s="154" t="s">
        <v>83</v>
      </c>
      <c r="G1463" s="154" t="s">
        <v>1903</v>
      </c>
      <c r="H1463" s="154" t="s">
        <v>752</v>
      </c>
      <c r="I1463" s="154" t="s">
        <v>114</v>
      </c>
      <c r="J1463" s="154" t="s">
        <v>115</v>
      </c>
      <c r="K1463" s="154" t="s">
        <v>60</v>
      </c>
      <c r="L1463" s="154" t="s">
        <v>1897</v>
      </c>
      <c r="M1463" s="154" t="s">
        <v>1388</v>
      </c>
      <c r="N1463" s="154" t="s">
        <v>61</v>
      </c>
      <c r="O1463" s="154" t="s">
        <v>62</v>
      </c>
      <c r="P1463" s="146">
        <v>38407.870000000003</v>
      </c>
      <c r="Q1463" s="146">
        <v>45.57</v>
      </c>
      <c r="R1463" s="154" t="s">
        <v>1384</v>
      </c>
      <c r="S1463" s="154" t="s">
        <v>1899</v>
      </c>
      <c r="T1463" s="155" t="s">
        <v>768</v>
      </c>
      <c r="U1463" s="155" t="s">
        <v>1899</v>
      </c>
      <c r="V1463" s="154" t="s">
        <v>1904</v>
      </c>
      <c r="W1463" s="154">
        <v>0</v>
      </c>
      <c r="X1463" s="154" t="s">
        <v>63</v>
      </c>
      <c r="Y1463" s="154" t="s">
        <v>1386</v>
      </c>
      <c r="Z1463" s="154"/>
      <c r="AA1463" s="154" t="s">
        <v>1387</v>
      </c>
      <c r="AB1463" s="154">
        <v>0</v>
      </c>
      <c r="AC1463" s="138">
        <f>IFERROR(IF(DATEDIF(#REF!,U1463,"m")&lt;=1,1,IF(AND(DATEDIF(#REF!,U1463,"m")&gt;1,DATEDIF(#REF!,U1463,"m")&lt;12),2,IF(AND(DATEDIF(#REF!,U1463,"m")&gt;=12,DATEDIF(#REF!,U1463,"m")&lt;24),3,IF(DATEDIF(#REF!,U1463,"m")&gt;=24,4,"")))),IF(E1463="r0320 - Deposits, not covered and not preferential",1,4))</f>
        <v>4</v>
      </c>
    </row>
    <row r="1464" spans="3:29" ht="36.75" thickBot="1" x14ac:dyDescent="0.3">
      <c r="C1464" s="11">
        <v>999</v>
      </c>
      <c r="D1464" s="154">
        <v>1457</v>
      </c>
      <c r="E1464" s="154" t="s">
        <v>1898</v>
      </c>
      <c r="F1464" s="154" t="s">
        <v>87</v>
      </c>
      <c r="G1464" s="154" t="s">
        <v>1402</v>
      </c>
      <c r="H1464" s="154" t="s">
        <v>196</v>
      </c>
      <c r="I1464" s="154" t="s">
        <v>96</v>
      </c>
      <c r="J1464" s="154" t="s">
        <v>97</v>
      </c>
      <c r="K1464" s="154" t="s">
        <v>91</v>
      </c>
      <c r="L1464" s="154" t="s">
        <v>1897</v>
      </c>
      <c r="M1464" s="154" t="s">
        <v>1383</v>
      </c>
      <c r="N1464" s="154" t="s">
        <v>61</v>
      </c>
      <c r="O1464" s="154" t="s">
        <v>62</v>
      </c>
      <c r="P1464" s="146">
        <v>46.67</v>
      </c>
      <c r="Q1464" s="146">
        <v>0</v>
      </c>
      <c r="R1464" s="154" t="s">
        <v>1384</v>
      </c>
      <c r="S1464" s="154" t="s">
        <v>1899</v>
      </c>
      <c r="T1464" s="155" t="s">
        <v>1899</v>
      </c>
      <c r="U1464" s="155" t="s">
        <v>1899</v>
      </c>
      <c r="V1464" s="154" t="s">
        <v>1562</v>
      </c>
      <c r="W1464" s="154">
        <v>0</v>
      </c>
      <c r="X1464" s="154" t="s">
        <v>63</v>
      </c>
      <c r="Y1464" s="154" t="s">
        <v>1900</v>
      </c>
      <c r="Z1464" s="154"/>
      <c r="AA1464" s="154" t="s">
        <v>1387</v>
      </c>
      <c r="AB1464" s="154">
        <v>0</v>
      </c>
      <c r="AC1464" s="138">
        <f>IFERROR(IF(DATEDIF(#REF!,U1464,"m")&lt;=1,1,IF(AND(DATEDIF(#REF!,U1464,"m")&gt;1,DATEDIF(#REF!,U1464,"m")&lt;12),2,IF(AND(DATEDIF(#REF!,U1464,"m")&gt;=12,DATEDIF(#REF!,U1464,"m")&lt;24),3,IF(DATEDIF(#REF!,U1464,"m")&gt;=24,4,"")))),IF(E1464="r0320 - Deposits, not covered and not preferential",1,4))</f>
        <v>4</v>
      </c>
    </row>
    <row r="1465" spans="3:29" ht="48.75" thickBot="1" x14ac:dyDescent="0.3">
      <c r="C1465" s="11">
        <v>999</v>
      </c>
      <c r="D1465" s="154">
        <v>1458</v>
      </c>
      <c r="E1465" s="154" t="s">
        <v>1902</v>
      </c>
      <c r="F1465" s="154" t="s">
        <v>83</v>
      </c>
      <c r="G1465" s="154" t="s">
        <v>1903</v>
      </c>
      <c r="H1465" s="154" t="s">
        <v>274</v>
      </c>
      <c r="I1465" s="154" t="s">
        <v>93</v>
      </c>
      <c r="J1465" s="154" t="s">
        <v>94</v>
      </c>
      <c r="K1465" s="154" t="s">
        <v>60</v>
      </c>
      <c r="L1465" s="154" t="s">
        <v>1897</v>
      </c>
      <c r="M1465" s="154" t="s">
        <v>1388</v>
      </c>
      <c r="N1465" s="154" t="s">
        <v>61</v>
      </c>
      <c r="O1465" s="154" t="s">
        <v>62</v>
      </c>
      <c r="P1465" s="146">
        <v>881615588.45999897</v>
      </c>
      <c r="Q1465" s="146">
        <v>151454.85999999999</v>
      </c>
      <c r="R1465" s="154" t="s">
        <v>1384</v>
      </c>
      <c r="S1465" s="154" t="s">
        <v>1899</v>
      </c>
      <c r="T1465" s="155" t="s">
        <v>768</v>
      </c>
      <c r="U1465" s="155" t="s">
        <v>1899</v>
      </c>
      <c r="V1465" s="154" t="s">
        <v>1904</v>
      </c>
      <c r="W1465" s="154">
        <v>0</v>
      </c>
      <c r="X1465" s="154" t="s">
        <v>63</v>
      </c>
      <c r="Y1465" s="154" t="s">
        <v>1386</v>
      </c>
      <c r="Z1465" s="154"/>
      <c r="AA1465" s="154" t="s">
        <v>1387</v>
      </c>
      <c r="AB1465" s="154">
        <v>0</v>
      </c>
      <c r="AC1465" s="138">
        <f>IFERROR(IF(DATEDIF(#REF!,U1465,"m")&lt;=1,1,IF(AND(DATEDIF(#REF!,U1465,"m")&gt;1,DATEDIF(#REF!,U1465,"m")&lt;12),2,IF(AND(DATEDIF(#REF!,U1465,"m")&gt;=12,DATEDIF(#REF!,U1465,"m")&lt;24),3,IF(DATEDIF(#REF!,U1465,"m")&gt;=24,4,"")))),IF(E1465="r0320 - Deposits, not covered and not preferential",1,4))</f>
        <v>4</v>
      </c>
    </row>
    <row r="1466" spans="3:29" ht="36.75" thickBot="1" x14ac:dyDescent="0.3">
      <c r="C1466" s="11">
        <v>999</v>
      </c>
      <c r="D1466" s="154">
        <v>1459</v>
      </c>
      <c r="E1466" s="154" t="s">
        <v>1898</v>
      </c>
      <c r="F1466" s="154" t="s">
        <v>87</v>
      </c>
      <c r="G1466" s="154" t="s">
        <v>1402</v>
      </c>
      <c r="H1466" s="154" t="s">
        <v>485</v>
      </c>
      <c r="I1466" s="154" t="s">
        <v>96</v>
      </c>
      <c r="J1466" s="154" t="s">
        <v>97</v>
      </c>
      <c r="K1466" s="154" t="s">
        <v>91</v>
      </c>
      <c r="L1466" s="154" t="s">
        <v>1897</v>
      </c>
      <c r="M1466" s="154" t="s">
        <v>1383</v>
      </c>
      <c r="N1466" s="154" t="s">
        <v>61</v>
      </c>
      <c r="O1466" s="154" t="s">
        <v>62</v>
      </c>
      <c r="P1466" s="146">
        <v>90.42</v>
      </c>
      <c r="Q1466" s="146">
        <v>0</v>
      </c>
      <c r="R1466" s="154" t="s">
        <v>1384</v>
      </c>
      <c r="S1466" s="154" t="s">
        <v>1899</v>
      </c>
      <c r="T1466" s="155" t="s">
        <v>1899</v>
      </c>
      <c r="U1466" s="155" t="s">
        <v>1899</v>
      </c>
      <c r="V1466" s="154" t="s">
        <v>1562</v>
      </c>
      <c r="W1466" s="154">
        <v>0</v>
      </c>
      <c r="X1466" s="154" t="s">
        <v>63</v>
      </c>
      <c r="Y1466" s="154" t="s">
        <v>1900</v>
      </c>
      <c r="Z1466" s="154"/>
      <c r="AA1466" s="154" t="s">
        <v>1387</v>
      </c>
      <c r="AB1466" s="154">
        <v>0</v>
      </c>
      <c r="AC1466" s="138">
        <f>IFERROR(IF(DATEDIF(#REF!,U1466,"m")&lt;=1,1,IF(AND(DATEDIF(#REF!,U1466,"m")&gt;1,DATEDIF(#REF!,U1466,"m")&lt;12),2,IF(AND(DATEDIF(#REF!,U1466,"m")&gt;=12,DATEDIF(#REF!,U1466,"m")&lt;24),3,IF(DATEDIF(#REF!,U1466,"m")&gt;=24,4,"")))),IF(E1466="r0320 - Deposits, not covered and not preferential",1,4))</f>
        <v>4</v>
      </c>
    </row>
    <row r="1467" spans="3:29" ht="48.75" thickBot="1" x14ac:dyDescent="0.3">
      <c r="C1467" s="11">
        <v>999</v>
      </c>
      <c r="D1467" s="154">
        <v>1460</v>
      </c>
      <c r="E1467" s="154" t="s">
        <v>1902</v>
      </c>
      <c r="F1467" s="154" t="s">
        <v>83</v>
      </c>
      <c r="G1467" s="154" t="s">
        <v>1903</v>
      </c>
      <c r="H1467" s="154" t="s">
        <v>1273</v>
      </c>
      <c r="I1467" s="154" t="s">
        <v>93</v>
      </c>
      <c r="J1467" s="154" t="s">
        <v>94</v>
      </c>
      <c r="K1467" s="154" t="s">
        <v>60</v>
      </c>
      <c r="L1467" s="154" t="s">
        <v>1897</v>
      </c>
      <c r="M1467" s="154" t="s">
        <v>1388</v>
      </c>
      <c r="N1467" s="154" t="s">
        <v>61</v>
      </c>
      <c r="O1467" s="154" t="s">
        <v>62</v>
      </c>
      <c r="P1467" s="146">
        <v>42052.04</v>
      </c>
      <c r="Q1467" s="146">
        <v>66.84</v>
      </c>
      <c r="R1467" s="154" t="s">
        <v>1384</v>
      </c>
      <c r="S1467" s="154" t="s">
        <v>1899</v>
      </c>
      <c r="T1467" s="155" t="s">
        <v>768</v>
      </c>
      <c r="U1467" s="155" t="s">
        <v>1899</v>
      </c>
      <c r="V1467" s="154" t="s">
        <v>1904</v>
      </c>
      <c r="W1467" s="154">
        <v>0</v>
      </c>
      <c r="X1467" s="154" t="s">
        <v>63</v>
      </c>
      <c r="Y1467" s="154" t="s">
        <v>1386</v>
      </c>
      <c r="Z1467" s="154"/>
      <c r="AA1467" s="154" t="s">
        <v>1387</v>
      </c>
      <c r="AB1467" s="154">
        <v>0</v>
      </c>
      <c r="AC1467" s="138">
        <f>IFERROR(IF(DATEDIF(#REF!,U1467,"m")&lt;=1,1,IF(AND(DATEDIF(#REF!,U1467,"m")&gt;1,DATEDIF(#REF!,U1467,"m")&lt;12),2,IF(AND(DATEDIF(#REF!,U1467,"m")&gt;=12,DATEDIF(#REF!,U1467,"m")&lt;24),3,IF(DATEDIF(#REF!,U1467,"m")&gt;=24,4,"")))),IF(E1467="r0320 - Deposits, not covered and not preferential",1,4))</f>
        <v>4</v>
      </c>
    </row>
    <row r="1468" spans="3:29" ht="36.75" thickBot="1" x14ac:dyDescent="0.3">
      <c r="C1468" s="11">
        <v>999</v>
      </c>
      <c r="D1468" s="154">
        <v>1461</v>
      </c>
      <c r="E1468" s="154" t="s">
        <v>1898</v>
      </c>
      <c r="F1468" s="154" t="s">
        <v>87</v>
      </c>
      <c r="G1468" s="154" t="s">
        <v>1402</v>
      </c>
      <c r="H1468" s="154" t="s">
        <v>739</v>
      </c>
      <c r="I1468" s="154" t="s">
        <v>96</v>
      </c>
      <c r="J1468" s="154" t="s">
        <v>97</v>
      </c>
      <c r="K1468" s="154" t="s">
        <v>91</v>
      </c>
      <c r="L1468" s="154" t="s">
        <v>1897</v>
      </c>
      <c r="M1468" s="154" t="s">
        <v>1383</v>
      </c>
      <c r="N1468" s="154" t="s">
        <v>61</v>
      </c>
      <c r="O1468" s="154" t="s">
        <v>62</v>
      </c>
      <c r="P1468" s="146">
        <v>4.5599999999999996</v>
      </c>
      <c r="Q1468" s="146">
        <v>0</v>
      </c>
      <c r="R1468" s="154" t="s">
        <v>1384</v>
      </c>
      <c r="S1468" s="154" t="s">
        <v>1899</v>
      </c>
      <c r="T1468" s="155" t="s">
        <v>1899</v>
      </c>
      <c r="U1468" s="155" t="s">
        <v>1899</v>
      </c>
      <c r="V1468" s="154" t="s">
        <v>1562</v>
      </c>
      <c r="W1468" s="154">
        <v>0</v>
      </c>
      <c r="X1468" s="154" t="s">
        <v>63</v>
      </c>
      <c r="Y1468" s="154" t="s">
        <v>1900</v>
      </c>
      <c r="Z1468" s="154"/>
      <c r="AA1468" s="154" t="s">
        <v>1387</v>
      </c>
      <c r="AB1468" s="154">
        <v>0</v>
      </c>
      <c r="AC1468" s="138">
        <f>IFERROR(IF(DATEDIF(#REF!,U1468,"m")&lt;=1,1,IF(AND(DATEDIF(#REF!,U1468,"m")&gt;1,DATEDIF(#REF!,U1468,"m")&lt;12),2,IF(AND(DATEDIF(#REF!,U1468,"m")&gt;=12,DATEDIF(#REF!,U1468,"m")&lt;24),3,IF(DATEDIF(#REF!,U1468,"m")&gt;=24,4,"")))),IF(E1468="r0320 - Deposits, not covered and not preferential",1,4))</f>
        <v>4</v>
      </c>
    </row>
    <row r="1469" spans="3:29" ht="48.75" thickBot="1" x14ac:dyDescent="0.3">
      <c r="C1469" s="11">
        <v>999</v>
      </c>
      <c r="D1469" s="154">
        <v>1462</v>
      </c>
      <c r="E1469" s="154" t="s">
        <v>1902</v>
      </c>
      <c r="F1469" s="154" t="s">
        <v>83</v>
      </c>
      <c r="G1469" s="154" t="s">
        <v>1903</v>
      </c>
      <c r="H1469" s="154" t="s">
        <v>1333</v>
      </c>
      <c r="I1469" s="154" t="s">
        <v>93</v>
      </c>
      <c r="J1469" s="154" t="s">
        <v>94</v>
      </c>
      <c r="K1469" s="154" t="s">
        <v>60</v>
      </c>
      <c r="L1469" s="154" t="s">
        <v>1897</v>
      </c>
      <c r="M1469" s="154" t="s">
        <v>1388</v>
      </c>
      <c r="N1469" s="154" t="s">
        <v>61</v>
      </c>
      <c r="O1469" s="154" t="s">
        <v>62</v>
      </c>
      <c r="P1469" s="146">
        <v>86190.48</v>
      </c>
      <c r="Q1469" s="146">
        <v>-4.3600000000000003</v>
      </c>
      <c r="R1469" s="154" t="s">
        <v>1384</v>
      </c>
      <c r="S1469" s="154" t="s">
        <v>1899</v>
      </c>
      <c r="T1469" s="155" t="s">
        <v>768</v>
      </c>
      <c r="U1469" s="155" t="s">
        <v>1899</v>
      </c>
      <c r="V1469" s="154" t="s">
        <v>1904</v>
      </c>
      <c r="W1469" s="154">
        <v>0</v>
      </c>
      <c r="X1469" s="154" t="s">
        <v>63</v>
      </c>
      <c r="Y1469" s="154" t="s">
        <v>1386</v>
      </c>
      <c r="Z1469" s="154"/>
      <c r="AA1469" s="154" t="s">
        <v>1387</v>
      </c>
      <c r="AB1469" s="154">
        <v>0</v>
      </c>
      <c r="AC1469" s="138">
        <f>IFERROR(IF(DATEDIF(#REF!,U1469,"m")&lt;=1,1,IF(AND(DATEDIF(#REF!,U1469,"m")&gt;1,DATEDIF(#REF!,U1469,"m")&lt;12),2,IF(AND(DATEDIF(#REF!,U1469,"m")&gt;=12,DATEDIF(#REF!,U1469,"m")&lt;24),3,IF(DATEDIF(#REF!,U1469,"m")&gt;=24,4,"")))),IF(E1469="r0320 - Deposits, not covered and not preferential",1,4))</f>
        <v>4</v>
      </c>
    </row>
    <row r="1470" spans="3:29" ht="36.75" thickBot="1" x14ac:dyDescent="0.3">
      <c r="C1470" s="11">
        <v>999</v>
      </c>
      <c r="D1470" s="154">
        <v>1463</v>
      </c>
      <c r="E1470" s="154" t="s">
        <v>1898</v>
      </c>
      <c r="F1470" s="154" t="s">
        <v>87</v>
      </c>
      <c r="G1470" s="154" t="s">
        <v>1402</v>
      </c>
      <c r="H1470" s="154" t="s">
        <v>456</v>
      </c>
      <c r="I1470" s="154" t="s">
        <v>96</v>
      </c>
      <c r="J1470" s="154" t="s">
        <v>97</v>
      </c>
      <c r="K1470" s="154" t="s">
        <v>91</v>
      </c>
      <c r="L1470" s="154" t="s">
        <v>1897</v>
      </c>
      <c r="M1470" s="154" t="s">
        <v>1383</v>
      </c>
      <c r="N1470" s="154" t="s">
        <v>61</v>
      </c>
      <c r="O1470" s="154" t="s">
        <v>62</v>
      </c>
      <c r="P1470" s="146">
        <v>7.55</v>
      </c>
      <c r="Q1470" s="146">
        <v>0</v>
      </c>
      <c r="R1470" s="154" t="s">
        <v>1384</v>
      </c>
      <c r="S1470" s="154" t="s">
        <v>1899</v>
      </c>
      <c r="T1470" s="155" t="s">
        <v>1899</v>
      </c>
      <c r="U1470" s="155" t="s">
        <v>1899</v>
      </c>
      <c r="V1470" s="154" t="s">
        <v>1562</v>
      </c>
      <c r="W1470" s="154">
        <v>0</v>
      </c>
      <c r="X1470" s="154" t="s">
        <v>63</v>
      </c>
      <c r="Y1470" s="154" t="s">
        <v>1900</v>
      </c>
      <c r="Z1470" s="154"/>
      <c r="AA1470" s="154" t="s">
        <v>1387</v>
      </c>
      <c r="AB1470" s="154">
        <v>0</v>
      </c>
      <c r="AC1470" s="138">
        <f>IFERROR(IF(DATEDIF(#REF!,U1470,"m")&lt;=1,1,IF(AND(DATEDIF(#REF!,U1470,"m")&gt;1,DATEDIF(#REF!,U1470,"m")&lt;12),2,IF(AND(DATEDIF(#REF!,U1470,"m")&gt;=12,DATEDIF(#REF!,U1470,"m")&lt;24),3,IF(DATEDIF(#REF!,U1470,"m")&gt;=24,4,"")))),IF(E1470="r0320 - Deposits, not covered and not preferential",1,4))</f>
        <v>4</v>
      </c>
    </row>
    <row r="1471" spans="3:29" ht="48.75" thickBot="1" x14ac:dyDescent="0.3">
      <c r="C1471" s="11">
        <v>999</v>
      </c>
      <c r="D1471" s="154">
        <v>1464</v>
      </c>
      <c r="E1471" s="154" t="s">
        <v>1902</v>
      </c>
      <c r="F1471" s="154" t="s">
        <v>83</v>
      </c>
      <c r="G1471" s="154" t="s">
        <v>1903</v>
      </c>
      <c r="H1471" s="154" t="s">
        <v>906</v>
      </c>
      <c r="I1471" s="154" t="s">
        <v>101</v>
      </c>
      <c r="J1471" s="154" t="s">
        <v>102</v>
      </c>
      <c r="K1471" s="154" t="s">
        <v>60</v>
      </c>
      <c r="L1471" s="154" t="s">
        <v>1897</v>
      </c>
      <c r="M1471" s="154" t="s">
        <v>1388</v>
      </c>
      <c r="N1471" s="154" t="s">
        <v>61</v>
      </c>
      <c r="O1471" s="154" t="s">
        <v>62</v>
      </c>
      <c r="P1471" s="146">
        <v>121268.64</v>
      </c>
      <c r="Q1471" s="146">
        <v>125.21</v>
      </c>
      <c r="R1471" s="154" t="s">
        <v>1384</v>
      </c>
      <c r="S1471" s="154" t="s">
        <v>1899</v>
      </c>
      <c r="T1471" s="155" t="s">
        <v>768</v>
      </c>
      <c r="U1471" s="155" t="s">
        <v>1899</v>
      </c>
      <c r="V1471" s="154" t="s">
        <v>1904</v>
      </c>
      <c r="W1471" s="154">
        <v>0</v>
      </c>
      <c r="X1471" s="154" t="s">
        <v>63</v>
      </c>
      <c r="Y1471" s="154" t="s">
        <v>1386</v>
      </c>
      <c r="Z1471" s="154"/>
      <c r="AA1471" s="154" t="s">
        <v>1387</v>
      </c>
      <c r="AB1471" s="154">
        <v>0</v>
      </c>
      <c r="AC1471" s="138">
        <f>IFERROR(IF(DATEDIF(#REF!,U1471,"m")&lt;=1,1,IF(AND(DATEDIF(#REF!,U1471,"m")&gt;1,DATEDIF(#REF!,U1471,"m")&lt;12),2,IF(AND(DATEDIF(#REF!,U1471,"m")&gt;=12,DATEDIF(#REF!,U1471,"m")&lt;24),3,IF(DATEDIF(#REF!,U1471,"m")&gt;=24,4,"")))),IF(E1471="r0320 - Deposits, not covered and not preferential",1,4))</f>
        <v>4</v>
      </c>
    </row>
    <row r="1472" spans="3:29" ht="36.75" thickBot="1" x14ac:dyDescent="0.3">
      <c r="C1472" s="11">
        <v>999</v>
      </c>
      <c r="D1472" s="154">
        <v>1465</v>
      </c>
      <c r="E1472" s="154" t="s">
        <v>1898</v>
      </c>
      <c r="F1472" s="154" t="s">
        <v>87</v>
      </c>
      <c r="G1472" s="154" t="s">
        <v>1402</v>
      </c>
      <c r="H1472" s="154" t="s">
        <v>813</v>
      </c>
      <c r="I1472" s="154" t="s">
        <v>96</v>
      </c>
      <c r="J1472" s="154" t="s">
        <v>97</v>
      </c>
      <c r="K1472" s="154" t="s">
        <v>91</v>
      </c>
      <c r="L1472" s="154" t="s">
        <v>1897</v>
      </c>
      <c r="M1472" s="154" t="s">
        <v>1383</v>
      </c>
      <c r="N1472" s="154" t="s">
        <v>61</v>
      </c>
      <c r="O1472" s="154" t="s">
        <v>62</v>
      </c>
      <c r="P1472" s="146">
        <v>2.23</v>
      </c>
      <c r="Q1472" s="146">
        <v>0</v>
      </c>
      <c r="R1472" s="154" t="s">
        <v>1384</v>
      </c>
      <c r="S1472" s="154" t="s">
        <v>1899</v>
      </c>
      <c r="T1472" s="155" t="s">
        <v>1899</v>
      </c>
      <c r="U1472" s="155" t="s">
        <v>1899</v>
      </c>
      <c r="V1472" s="154" t="s">
        <v>1562</v>
      </c>
      <c r="W1472" s="154">
        <v>0</v>
      </c>
      <c r="X1472" s="154" t="s">
        <v>63</v>
      </c>
      <c r="Y1472" s="154" t="s">
        <v>1900</v>
      </c>
      <c r="Z1472" s="154"/>
      <c r="AA1472" s="154" t="s">
        <v>1387</v>
      </c>
      <c r="AB1472" s="154">
        <v>0</v>
      </c>
      <c r="AC1472" s="138">
        <f>IFERROR(IF(DATEDIF(#REF!,U1472,"m")&lt;=1,1,IF(AND(DATEDIF(#REF!,U1472,"m")&gt;1,DATEDIF(#REF!,U1472,"m")&lt;12),2,IF(AND(DATEDIF(#REF!,U1472,"m")&gt;=12,DATEDIF(#REF!,U1472,"m")&lt;24),3,IF(DATEDIF(#REF!,U1472,"m")&gt;=24,4,"")))),IF(E1472="r0320 - Deposits, not covered and not preferential",1,4))</f>
        <v>4</v>
      </c>
    </row>
    <row r="1473" spans="3:29" ht="48.75" thickBot="1" x14ac:dyDescent="0.3">
      <c r="C1473" s="11">
        <v>999</v>
      </c>
      <c r="D1473" s="154">
        <v>1466</v>
      </c>
      <c r="E1473" s="154" t="s">
        <v>1902</v>
      </c>
      <c r="F1473" s="154" t="s">
        <v>83</v>
      </c>
      <c r="G1473" s="154" t="s">
        <v>1903</v>
      </c>
      <c r="H1473" s="154" t="s">
        <v>767</v>
      </c>
      <c r="I1473" s="154" t="s">
        <v>114</v>
      </c>
      <c r="J1473" s="154" t="s">
        <v>115</v>
      </c>
      <c r="K1473" s="154" t="s">
        <v>60</v>
      </c>
      <c r="L1473" s="154" t="s">
        <v>1897</v>
      </c>
      <c r="M1473" s="154" t="s">
        <v>1388</v>
      </c>
      <c r="N1473" s="154" t="s">
        <v>61</v>
      </c>
      <c r="O1473" s="154" t="s">
        <v>62</v>
      </c>
      <c r="P1473" s="146">
        <v>82616.67</v>
      </c>
      <c r="Q1473" s="146">
        <v>-4.5199999999999996</v>
      </c>
      <c r="R1473" s="154" t="s">
        <v>1384</v>
      </c>
      <c r="S1473" s="154" t="s">
        <v>1899</v>
      </c>
      <c r="T1473" s="155" t="s">
        <v>768</v>
      </c>
      <c r="U1473" s="155" t="s">
        <v>1899</v>
      </c>
      <c r="V1473" s="154" t="s">
        <v>1904</v>
      </c>
      <c r="W1473" s="154">
        <v>0</v>
      </c>
      <c r="X1473" s="154" t="s">
        <v>63</v>
      </c>
      <c r="Y1473" s="154" t="s">
        <v>1386</v>
      </c>
      <c r="Z1473" s="154"/>
      <c r="AA1473" s="154" t="s">
        <v>1387</v>
      </c>
      <c r="AB1473" s="154">
        <v>0</v>
      </c>
      <c r="AC1473" s="138">
        <f>IFERROR(IF(DATEDIF(#REF!,U1473,"m")&lt;=1,1,IF(AND(DATEDIF(#REF!,U1473,"m")&gt;1,DATEDIF(#REF!,U1473,"m")&lt;12),2,IF(AND(DATEDIF(#REF!,U1473,"m")&gt;=12,DATEDIF(#REF!,U1473,"m")&lt;24),3,IF(DATEDIF(#REF!,U1473,"m")&gt;=24,4,"")))),IF(E1473="r0320 - Deposits, not covered and not preferential",1,4))</f>
        <v>4</v>
      </c>
    </row>
    <row r="1474" spans="3:29" ht="36.75" thickBot="1" x14ac:dyDescent="0.3">
      <c r="C1474" s="11">
        <v>999</v>
      </c>
      <c r="D1474" s="154">
        <v>1467</v>
      </c>
      <c r="E1474" s="154" t="s">
        <v>1898</v>
      </c>
      <c r="F1474" s="154" t="s">
        <v>87</v>
      </c>
      <c r="G1474" s="154" t="s">
        <v>1402</v>
      </c>
      <c r="H1474" s="154" t="s">
        <v>754</v>
      </c>
      <c r="I1474" s="154" t="s">
        <v>96</v>
      </c>
      <c r="J1474" s="154" t="s">
        <v>97</v>
      </c>
      <c r="K1474" s="154" t="s">
        <v>91</v>
      </c>
      <c r="L1474" s="154" t="s">
        <v>1897</v>
      </c>
      <c r="M1474" s="154" t="s">
        <v>1383</v>
      </c>
      <c r="N1474" s="154" t="s">
        <v>61</v>
      </c>
      <c r="O1474" s="154" t="s">
        <v>62</v>
      </c>
      <c r="P1474" s="146">
        <v>0.36</v>
      </c>
      <c r="Q1474" s="146">
        <v>0</v>
      </c>
      <c r="R1474" s="154" t="s">
        <v>1384</v>
      </c>
      <c r="S1474" s="154" t="s">
        <v>1899</v>
      </c>
      <c r="T1474" s="155" t="s">
        <v>1899</v>
      </c>
      <c r="U1474" s="155" t="s">
        <v>1899</v>
      </c>
      <c r="V1474" s="154" t="s">
        <v>1562</v>
      </c>
      <c r="W1474" s="154">
        <v>0</v>
      </c>
      <c r="X1474" s="154" t="s">
        <v>63</v>
      </c>
      <c r="Y1474" s="154" t="s">
        <v>1900</v>
      </c>
      <c r="Z1474" s="154"/>
      <c r="AA1474" s="154" t="s">
        <v>1387</v>
      </c>
      <c r="AB1474" s="154">
        <v>0</v>
      </c>
      <c r="AC1474" s="138">
        <f>IFERROR(IF(DATEDIF(#REF!,U1474,"m")&lt;=1,1,IF(AND(DATEDIF(#REF!,U1474,"m")&gt;1,DATEDIF(#REF!,U1474,"m")&lt;12),2,IF(AND(DATEDIF(#REF!,U1474,"m")&gt;=12,DATEDIF(#REF!,U1474,"m")&lt;24),3,IF(DATEDIF(#REF!,U1474,"m")&gt;=24,4,"")))),IF(E1474="r0320 - Deposits, not covered and not preferential",1,4))</f>
        <v>4</v>
      </c>
    </row>
    <row r="1475" spans="3:29" ht="48.75" thickBot="1" x14ac:dyDescent="0.3">
      <c r="C1475" s="11">
        <v>999</v>
      </c>
      <c r="D1475" s="154">
        <v>1468</v>
      </c>
      <c r="E1475" s="154" t="s">
        <v>1902</v>
      </c>
      <c r="F1475" s="154" t="s">
        <v>83</v>
      </c>
      <c r="G1475" s="154" t="s">
        <v>1903</v>
      </c>
      <c r="H1475" s="154" t="s">
        <v>1258</v>
      </c>
      <c r="I1475" s="154" t="s">
        <v>93</v>
      </c>
      <c r="J1475" s="154" t="s">
        <v>94</v>
      </c>
      <c r="K1475" s="154" t="s">
        <v>60</v>
      </c>
      <c r="L1475" s="154" t="s">
        <v>1897</v>
      </c>
      <c r="M1475" s="154" t="s">
        <v>1388</v>
      </c>
      <c r="N1475" s="154" t="s">
        <v>61</v>
      </c>
      <c r="O1475" s="154" t="s">
        <v>62</v>
      </c>
      <c r="P1475" s="146">
        <v>181939.63</v>
      </c>
      <c r="Q1475" s="146">
        <v>165.65</v>
      </c>
      <c r="R1475" s="154" t="s">
        <v>1384</v>
      </c>
      <c r="S1475" s="154" t="s">
        <v>1899</v>
      </c>
      <c r="T1475" s="155" t="s">
        <v>768</v>
      </c>
      <c r="U1475" s="155" t="s">
        <v>1899</v>
      </c>
      <c r="V1475" s="154" t="s">
        <v>1904</v>
      </c>
      <c r="W1475" s="154">
        <v>0</v>
      </c>
      <c r="X1475" s="154" t="s">
        <v>63</v>
      </c>
      <c r="Y1475" s="154" t="s">
        <v>1386</v>
      </c>
      <c r="Z1475" s="154"/>
      <c r="AA1475" s="154" t="s">
        <v>1387</v>
      </c>
      <c r="AB1475" s="154">
        <v>0</v>
      </c>
      <c r="AC1475" s="138">
        <f>IFERROR(IF(DATEDIF(#REF!,U1475,"m")&lt;=1,1,IF(AND(DATEDIF(#REF!,U1475,"m")&gt;1,DATEDIF(#REF!,U1475,"m")&lt;12),2,IF(AND(DATEDIF(#REF!,U1475,"m")&gt;=12,DATEDIF(#REF!,U1475,"m")&lt;24),3,IF(DATEDIF(#REF!,U1475,"m")&gt;=24,4,"")))),IF(E1475="r0320 - Deposits, not covered and not preferential",1,4))</f>
        <v>4</v>
      </c>
    </row>
    <row r="1476" spans="3:29" ht="36.75" thickBot="1" x14ac:dyDescent="0.3">
      <c r="C1476" s="11">
        <v>999</v>
      </c>
      <c r="D1476" s="154">
        <v>1469</v>
      </c>
      <c r="E1476" s="154" t="s">
        <v>1898</v>
      </c>
      <c r="F1476" s="154" t="s">
        <v>87</v>
      </c>
      <c r="G1476" s="154" t="s">
        <v>1402</v>
      </c>
      <c r="H1476" s="154" t="s">
        <v>742</v>
      </c>
      <c r="I1476" s="154" t="s">
        <v>142</v>
      </c>
      <c r="J1476" s="154" t="s">
        <v>143</v>
      </c>
      <c r="K1476" s="154" t="s">
        <v>60</v>
      </c>
      <c r="L1476" s="154" t="s">
        <v>1897</v>
      </c>
      <c r="M1476" s="154" t="s">
        <v>1383</v>
      </c>
      <c r="N1476" s="154" t="s">
        <v>61</v>
      </c>
      <c r="O1476" s="154" t="s">
        <v>62</v>
      </c>
      <c r="P1476" s="146">
        <v>2.04</v>
      </c>
      <c r="Q1476" s="146">
        <v>0</v>
      </c>
      <c r="R1476" s="154" t="s">
        <v>1384</v>
      </c>
      <c r="S1476" s="154" t="s">
        <v>1899</v>
      </c>
      <c r="T1476" s="155" t="s">
        <v>1899</v>
      </c>
      <c r="U1476" s="155" t="s">
        <v>1899</v>
      </c>
      <c r="V1476" s="154" t="s">
        <v>1562</v>
      </c>
      <c r="W1476" s="154">
        <v>0</v>
      </c>
      <c r="X1476" s="154" t="s">
        <v>63</v>
      </c>
      <c r="Y1476" s="154" t="s">
        <v>1900</v>
      </c>
      <c r="Z1476" s="154"/>
      <c r="AA1476" s="154" t="s">
        <v>1387</v>
      </c>
      <c r="AB1476" s="154">
        <v>0</v>
      </c>
      <c r="AC1476" s="138">
        <f>IFERROR(IF(DATEDIF(#REF!,U1476,"m")&lt;=1,1,IF(AND(DATEDIF(#REF!,U1476,"m")&gt;1,DATEDIF(#REF!,U1476,"m")&lt;12),2,IF(AND(DATEDIF(#REF!,U1476,"m")&gt;=12,DATEDIF(#REF!,U1476,"m")&lt;24),3,IF(DATEDIF(#REF!,U1476,"m")&gt;=24,4,"")))),IF(E1476="r0320 - Deposits, not covered and not preferential",1,4))</f>
        <v>4</v>
      </c>
    </row>
    <row r="1477" spans="3:29" ht="48.75" thickBot="1" x14ac:dyDescent="0.3">
      <c r="C1477" s="11">
        <v>999</v>
      </c>
      <c r="D1477" s="154">
        <v>1470</v>
      </c>
      <c r="E1477" s="154" t="s">
        <v>1902</v>
      </c>
      <c r="F1477" s="154" t="s">
        <v>83</v>
      </c>
      <c r="G1477" s="154" t="s">
        <v>1903</v>
      </c>
      <c r="H1477" s="154" t="s">
        <v>787</v>
      </c>
      <c r="I1477" s="154" t="s">
        <v>101</v>
      </c>
      <c r="J1477" s="154" t="s">
        <v>102</v>
      </c>
      <c r="K1477" s="154" t="s">
        <v>60</v>
      </c>
      <c r="L1477" s="154" t="s">
        <v>1897</v>
      </c>
      <c r="M1477" s="154" t="s">
        <v>1388</v>
      </c>
      <c r="N1477" s="154" t="s">
        <v>61</v>
      </c>
      <c r="O1477" s="154" t="s">
        <v>62</v>
      </c>
      <c r="P1477" s="146">
        <v>71743.77</v>
      </c>
      <c r="Q1477" s="146">
        <v>111.21</v>
      </c>
      <c r="R1477" s="154" t="s">
        <v>1384</v>
      </c>
      <c r="S1477" s="154" t="s">
        <v>1899</v>
      </c>
      <c r="T1477" s="155" t="s">
        <v>768</v>
      </c>
      <c r="U1477" s="155" t="s">
        <v>1899</v>
      </c>
      <c r="V1477" s="154" t="s">
        <v>1904</v>
      </c>
      <c r="W1477" s="154">
        <v>0</v>
      </c>
      <c r="X1477" s="154" t="s">
        <v>63</v>
      </c>
      <c r="Y1477" s="154" t="s">
        <v>1386</v>
      </c>
      <c r="Z1477" s="154"/>
      <c r="AA1477" s="154" t="s">
        <v>1387</v>
      </c>
      <c r="AB1477" s="154">
        <v>0</v>
      </c>
      <c r="AC1477" s="138">
        <f>IFERROR(IF(DATEDIF(#REF!,U1477,"m")&lt;=1,1,IF(AND(DATEDIF(#REF!,U1477,"m")&gt;1,DATEDIF(#REF!,U1477,"m")&lt;12),2,IF(AND(DATEDIF(#REF!,U1477,"m")&gt;=12,DATEDIF(#REF!,U1477,"m")&lt;24),3,IF(DATEDIF(#REF!,U1477,"m")&gt;=24,4,"")))),IF(E1477="r0320 - Deposits, not covered and not preferential",1,4))</f>
        <v>4</v>
      </c>
    </row>
    <row r="1478" spans="3:29" ht="36.75" thickBot="1" x14ac:dyDescent="0.3">
      <c r="C1478" s="11">
        <v>999</v>
      </c>
      <c r="D1478" s="154">
        <v>1471</v>
      </c>
      <c r="E1478" s="154" t="s">
        <v>1898</v>
      </c>
      <c r="F1478" s="154" t="s">
        <v>87</v>
      </c>
      <c r="G1478" s="154" t="s">
        <v>1402</v>
      </c>
      <c r="H1478" s="154" t="s">
        <v>189</v>
      </c>
      <c r="I1478" s="154" t="s">
        <v>96</v>
      </c>
      <c r="J1478" s="154" t="s">
        <v>97</v>
      </c>
      <c r="K1478" s="154" t="s">
        <v>91</v>
      </c>
      <c r="L1478" s="154" t="s">
        <v>1897</v>
      </c>
      <c r="M1478" s="154" t="s">
        <v>1383</v>
      </c>
      <c r="N1478" s="154" t="s">
        <v>61</v>
      </c>
      <c r="O1478" s="154" t="s">
        <v>62</v>
      </c>
      <c r="P1478" s="146">
        <v>1.38</v>
      </c>
      <c r="Q1478" s="146">
        <v>0</v>
      </c>
      <c r="R1478" s="154" t="s">
        <v>1384</v>
      </c>
      <c r="S1478" s="154" t="s">
        <v>1899</v>
      </c>
      <c r="T1478" s="155" t="s">
        <v>1899</v>
      </c>
      <c r="U1478" s="155" t="s">
        <v>1899</v>
      </c>
      <c r="V1478" s="154" t="s">
        <v>1562</v>
      </c>
      <c r="W1478" s="154">
        <v>0</v>
      </c>
      <c r="X1478" s="154" t="s">
        <v>63</v>
      </c>
      <c r="Y1478" s="154" t="s">
        <v>1900</v>
      </c>
      <c r="Z1478" s="154"/>
      <c r="AA1478" s="154" t="s">
        <v>1387</v>
      </c>
      <c r="AB1478" s="154">
        <v>0</v>
      </c>
      <c r="AC1478" s="138">
        <f>IFERROR(IF(DATEDIF(#REF!,U1478,"m")&lt;=1,1,IF(AND(DATEDIF(#REF!,U1478,"m")&gt;1,DATEDIF(#REF!,U1478,"m")&lt;12),2,IF(AND(DATEDIF(#REF!,U1478,"m")&gt;=12,DATEDIF(#REF!,U1478,"m")&lt;24),3,IF(DATEDIF(#REF!,U1478,"m")&gt;=24,4,"")))),IF(E1478="r0320 - Deposits, not covered and not preferential",1,4))</f>
        <v>4</v>
      </c>
    </row>
    <row r="1479" spans="3:29" ht="48.75" thickBot="1" x14ac:dyDescent="0.3">
      <c r="C1479" s="11">
        <v>999</v>
      </c>
      <c r="D1479" s="154">
        <v>1472</v>
      </c>
      <c r="E1479" s="154" t="s">
        <v>1902</v>
      </c>
      <c r="F1479" s="154" t="s">
        <v>83</v>
      </c>
      <c r="G1479" s="154" t="s">
        <v>1903</v>
      </c>
      <c r="H1479" s="154" t="s">
        <v>1258</v>
      </c>
      <c r="I1479" s="154" t="s">
        <v>114</v>
      </c>
      <c r="J1479" s="154" t="s">
        <v>115</v>
      </c>
      <c r="K1479" s="154" t="s">
        <v>60</v>
      </c>
      <c r="L1479" s="154" t="s">
        <v>1897</v>
      </c>
      <c r="M1479" s="154" t="s">
        <v>1388</v>
      </c>
      <c r="N1479" s="154" t="s">
        <v>61</v>
      </c>
      <c r="O1479" s="154" t="s">
        <v>62</v>
      </c>
      <c r="P1479" s="146">
        <v>66681.86</v>
      </c>
      <c r="Q1479" s="146">
        <v>-9.24</v>
      </c>
      <c r="R1479" s="154" t="s">
        <v>1384</v>
      </c>
      <c r="S1479" s="154" t="s">
        <v>1899</v>
      </c>
      <c r="T1479" s="155" t="s">
        <v>768</v>
      </c>
      <c r="U1479" s="155" t="s">
        <v>1899</v>
      </c>
      <c r="V1479" s="154" t="s">
        <v>1904</v>
      </c>
      <c r="W1479" s="154">
        <v>0</v>
      </c>
      <c r="X1479" s="154" t="s">
        <v>63</v>
      </c>
      <c r="Y1479" s="154" t="s">
        <v>1386</v>
      </c>
      <c r="Z1479" s="154"/>
      <c r="AA1479" s="154" t="s">
        <v>1387</v>
      </c>
      <c r="AB1479" s="154">
        <v>0</v>
      </c>
      <c r="AC1479" s="138">
        <f>IFERROR(IF(DATEDIF(#REF!,U1479,"m")&lt;=1,1,IF(AND(DATEDIF(#REF!,U1479,"m")&gt;1,DATEDIF(#REF!,U1479,"m")&lt;12),2,IF(AND(DATEDIF(#REF!,U1479,"m")&gt;=12,DATEDIF(#REF!,U1479,"m")&lt;24),3,IF(DATEDIF(#REF!,U1479,"m")&gt;=24,4,"")))),IF(E1479="r0320 - Deposits, not covered and not preferential",1,4))</f>
        <v>4</v>
      </c>
    </row>
    <row r="1480" spans="3:29" ht="36.75" thickBot="1" x14ac:dyDescent="0.3">
      <c r="C1480" s="11">
        <v>999</v>
      </c>
      <c r="D1480" s="154">
        <v>1473</v>
      </c>
      <c r="E1480" s="154" t="s">
        <v>1898</v>
      </c>
      <c r="F1480" s="154" t="s">
        <v>87</v>
      </c>
      <c r="G1480" s="154" t="s">
        <v>1402</v>
      </c>
      <c r="H1480" s="154" t="s">
        <v>818</v>
      </c>
      <c r="I1480" s="154" t="s">
        <v>96</v>
      </c>
      <c r="J1480" s="154" t="s">
        <v>97</v>
      </c>
      <c r="K1480" s="154" t="s">
        <v>91</v>
      </c>
      <c r="L1480" s="154" t="s">
        <v>1897</v>
      </c>
      <c r="M1480" s="154" t="s">
        <v>1383</v>
      </c>
      <c r="N1480" s="154" t="s">
        <v>61</v>
      </c>
      <c r="O1480" s="154" t="s">
        <v>62</v>
      </c>
      <c r="P1480" s="146">
        <v>5.29</v>
      </c>
      <c r="Q1480" s="146">
        <v>0</v>
      </c>
      <c r="R1480" s="154" t="s">
        <v>1384</v>
      </c>
      <c r="S1480" s="154" t="s">
        <v>1899</v>
      </c>
      <c r="T1480" s="155" t="s">
        <v>1899</v>
      </c>
      <c r="U1480" s="155" t="s">
        <v>1899</v>
      </c>
      <c r="V1480" s="154" t="s">
        <v>1562</v>
      </c>
      <c r="W1480" s="154">
        <v>0</v>
      </c>
      <c r="X1480" s="154" t="s">
        <v>63</v>
      </c>
      <c r="Y1480" s="154" t="s">
        <v>1900</v>
      </c>
      <c r="Z1480" s="154"/>
      <c r="AA1480" s="154" t="s">
        <v>1387</v>
      </c>
      <c r="AB1480" s="154">
        <v>0</v>
      </c>
      <c r="AC1480" s="138">
        <f>IFERROR(IF(DATEDIF(#REF!,U1480,"m")&lt;=1,1,IF(AND(DATEDIF(#REF!,U1480,"m")&gt;1,DATEDIF(#REF!,U1480,"m")&lt;12),2,IF(AND(DATEDIF(#REF!,U1480,"m")&gt;=12,DATEDIF(#REF!,U1480,"m")&lt;24),3,IF(DATEDIF(#REF!,U1480,"m")&gt;=24,4,"")))),IF(E1480="r0320 - Deposits, not covered and not preferential",1,4))</f>
        <v>4</v>
      </c>
    </row>
    <row r="1481" spans="3:29" ht="48.75" thickBot="1" x14ac:dyDescent="0.3">
      <c r="C1481" s="11">
        <v>999</v>
      </c>
      <c r="D1481" s="154">
        <v>1474</v>
      </c>
      <c r="E1481" s="154" t="s">
        <v>1902</v>
      </c>
      <c r="F1481" s="154" t="s">
        <v>83</v>
      </c>
      <c r="G1481" s="154" t="s">
        <v>1903</v>
      </c>
      <c r="H1481" s="154" t="s">
        <v>282</v>
      </c>
      <c r="I1481" s="154" t="s">
        <v>101</v>
      </c>
      <c r="J1481" s="154" t="s">
        <v>102</v>
      </c>
      <c r="K1481" s="154" t="s">
        <v>60</v>
      </c>
      <c r="L1481" s="154" t="s">
        <v>1897</v>
      </c>
      <c r="M1481" s="154" t="s">
        <v>1388</v>
      </c>
      <c r="N1481" s="154" t="s">
        <v>61</v>
      </c>
      <c r="O1481" s="154" t="s">
        <v>62</v>
      </c>
      <c r="P1481" s="146">
        <v>605531.42000000004</v>
      </c>
      <c r="Q1481" s="146">
        <v>172.83</v>
      </c>
      <c r="R1481" s="154" t="s">
        <v>1384</v>
      </c>
      <c r="S1481" s="154" t="s">
        <v>1899</v>
      </c>
      <c r="T1481" s="155" t="s">
        <v>768</v>
      </c>
      <c r="U1481" s="155" t="s">
        <v>1899</v>
      </c>
      <c r="V1481" s="154" t="s">
        <v>1904</v>
      </c>
      <c r="W1481" s="154">
        <v>0</v>
      </c>
      <c r="X1481" s="154" t="s">
        <v>63</v>
      </c>
      <c r="Y1481" s="154" t="s">
        <v>1386</v>
      </c>
      <c r="Z1481" s="154"/>
      <c r="AA1481" s="154" t="s">
        <v>1387</v>
      </c>
      <c r="AB1481" s="154">
        <v>0</v>
      </c>
      <c r="AC1481" s="138">
        <f>IFERROR(IF(DATEDIF(#REF!,U1481,"m")&lt;=1,1,IF(AND(DATEDIF(#REF!,U1481,"m")&gt;1,DATEDIF(#REF!,U1481,"m")&lt;12),2,IF(AND(DATEDIF(#REF!,U1481,"m")&gt;=12,DATEDIF(#REF!,U1481,"m")&lt;24),3,IF(DATEDIF(#REF!,U1481,"m")&gt;=24,4,"")))),IF(E1481="r0320 - Deposits, not covered and not preferential",1,4))</f>
        <v>4</v>
      </c>
    </row>
    <row r="1482" spans="3:29" ht="36.75" thickBot="1" x14ac:dyDescent="0.3">
      <c r="C1482" s="11">
        <v>999</v>
      </c>
      <c r="D1482" s="154">
        <v>1475</v>
      </c>
      <c r="E1482" s="154" t="s">
        <v>1898</v>
      </c>
      <c r="F1482" s="154" t="s">
        <v>87</v>
      </c>
      <c r="G1482" s="154" t="s">
        <v>1402</v>
      </c>
      <c r="H1482" s="154" t="s">
        <v>755</v>
      </c>
      <c r="I1482" s="154" t="s">
        <v>96</v>
      </c>
      <c r="J1482" s="154" t="s">
        <v>97</v>
      </c>
      <c r="K1482" s="154" t="s">
        <v>91</v>
      </c>
      <c r="L1482" s="154" t="s">
        <v>1897</v>
      </c>
      <c r="M1482" s="154" t="s">
        <v>1383</v>
      </c>
      <c r="N1482" s="154" t="s">
        <v>61</v>
      </c>
      <c r="O1482" s="154" t="s">
        <v>62</v>
      </c>
      <c r="P1482" s="146">
        <v>2.37</v>
      </c>
      <c r="Q1482" s="146">
        <v>0</v>
      </c>
      <c r="R1482" s="154" t="s">
        <v>1384</v>
      </c>
      <c r="S1482" s="154" t="s">
        <v>1899</v>
      </c>
      <c r="T1482" s="155" t="s">
        <v>1899</v>
      </c>
      <c r="U1482" s="155" t="s">
        <v>1899</v>
      </c>
      <c r="V1482" s="154" t="s">
        <v>1562</v>
      </c>
      <c r="W1482" s="154">
        <v>0</v>
      </c>
      <c r="X1482" s="154" t="s">
        <v>63</v>
      </c>
      <c r="Y1482" s="154" t="s">
        <v>1900</v>
      </c>
      <c r="Z1482" s="154"/>
      <c r="AA1482" s="154" t="s">
        <v>1387</v>
      </c>
      <c r="AB1482" s="154">
        <v>0</v>
      </c>
      <c r="AC1482" s="138">
        <f>IFERROR(IF(DATEDIF(#REF!,U1482,"m")&lt;=1,1,IF(AND(DATEDIF(#REF!,U1482,"m")&gt;1,DATEDIF(#REF!,U1482,"m")&lt;12),2,IF(AND(DATEDIF(#REF!,U1482,"m")&gt;=12,DATEDIF(#REF!,U1482,"m")&lt;24),3,IF(DATEDIF(#REF!,U1482,"m")&gt;=24,4,"")))),IF(E1482="r0320 - Deposits, not covered and not preferential",1,4))</f>
        <v>4</v>
      </c>
    </row>
    <row r="1483" spans="3:29" ht="48.75" thickBot="1" x14ac:dyDescent="0.3">
      <c r="C1483" s="11">
        <v>999</v>
      </c>
      <c r="D1483" s="154">
        <v>1476</v>
      </c>
      <c r="E1483" s="154" t="s">
        <v>1902</v>
      </c>
      <c r="F1483" s="154" t="s">
        <v>83</v>
      </c>
      <c r="G1483" s="154" t="s">
        <v>1903</v>
      </c>
      <c r="H1483" s="154" t="s">
        <v>286</v>
      </c>
      <c r="I1483" s="154" t="s">
        <v>101</v>
      </c>
      <c r="J1483" s="154" t="s">
        <v>102</v>
      </c>
      <c r="K1483" s="154" t="s">
        <v>60</v>
      </c>
      <c r="L1483" s="154" t="s">
        <v>1897</v>
      </c>
      <c r="M1483" s="154" t="s">
        <v>1388</v>
      </c>
      <c r="N1483" s="154" t="s">
        <v>61</v>
      </c>
      <c r="O1483" s="154" t="s">
        <v>62</v>
      </c>
      <c r="P1483" s="146">
        <v>36915.96</v>
      </c>
      <c r="Q1483" s="146">
        <v>6.42</v>
      </c>
      <c r="R1483" s="154" t="s">
        <v>1384</v>
      </c>
      <c r="S1483" s="154" t="s">
        <v>1899</v>
      </c>
      <c r="T1483" s="155" t="s">
        <v>768</v>
      </c>
      <c r="U1483" s="155" t="s">
        <v>1899</v>
      </c>
      <c r="V1483" s="154" t="s">
        <v>1904</v>
      </c>
      <c r="W1483" s="154">
        <v>0</v>
      </c>
      <c r="X1483" s="154" t="s">
        <v>63</v>
      </c>
      <c r="Y1483" s="154" t="s">
        <v>1386</v>
      </c>
      <c r="Z1483" s="154"/>
      <c r="AA1483" s="154" t="s">
        <v>1387</v>
      </c>
      <c r="AB1483" s="154">
        <v>0</v>
      </c>
      <c r="AC1483" s="138">
        <f>IFERROR(IF(DATEDIF(#REF!,U1483,"m")&lt;=1,1,IF(AND(DATEDIF(#REF!,U1483,"m")&gt;1,DATEDIF(#REF!,U1483,"m")&lt;12),2,IF(AND(DATEDIF(#REF!,U1483,"m")&gt;=12,DATEDIF(#REF!,U1483,"m")&lt;24),3,IF(DATEDIF(#REF!,U1483,"m")&gt;=24,4,"")))),IF(E1483="r0320 - Deposits, not covered and not preferential",1,4))</f>
        <v>4</v>
      </c>
    </row>
    <row r="1484" spans="3:29" ht="36.75" thickBot="1" x14ac:dyDescent="0.3">
      <c r="C1484" s="11">
        <v>999</v>
      </c>
      <c r="D1484" s="154">
        <v>1477</v>
      </c>
      <c r="E1484" s="154" t="s">
        <v>1898</v>
      </c>
      <c r="F1484" s="154" t="s">
        <v>87</v>
      </c>
      <c r="G1484" s="154" t="s">
        <v>1402</v>
      </c>
      <c r="H1484" s="154" t="s">
        <v>1229</v>
      </c>
      <c r="I1484" s="154" t="s">
        <v>142</v>
      </c>
      <c r="J1484" s="154" t="s">
        <v>143</v>
      </c>
      <c r="K1484" s="154" t="s">
        <v>60</v>
      </c>
      <c r="L1484" s="154" t="s">
        <v>1897</v>
      </c>
      <c r="M1484" s="154" t="s">
        <v>1383</v>
      </c>
      <c r="N1484" s="154" t="s">
        <v>61</v>
      </c>
      <c r="O1484" s="154" t="s">
        <v>62</v>
      </c>
      <c r="P1484" s="146">
        <v>23.04</v>
      </c>
      <c r="Q1484" s="146">
        <v>0</v>
      </c>
      <c r="R1484" s="154" t="s">
        <v>1384</v>
      </c>
      <c r="S1484" s="154" t="s">
        <v>1899</v>
      </c>
      <c r="T1484" s="155" t="s">
        <v>1899</v>
      </c>
      <c r="U1484" s="155" t="s">
        <v>1899</v>
      </c>
      <c r="V1484" s="154" t="s">
        <v>1562</v>
      </c>
      <c r="W1484" s="154">
        <v>0</v>
      </c>
      <c r="X1484" s="154" t="s">
        <v>63</v>
      </c>
      <c r="Y1484" s="154" t="s">
        <v>1900</v>
      </c>
      <c r="Z1484" s="154"/>
      <c r="AA1484" s="154" t="s">
        <v>1387</v>
      </c>
      <c r="AB1484" s="154">
        <v>0</v>
      </c>
      <c r="AC1484" s="138">
        <f>IFERROR(IF(DATEDIF(#REF!,U1484,"m")&lt;=1,1,IF(AND(DATEDIF(#REF!,U1484,"m")&gt;1,DATEDIF(#REF!,U1484,"m")&lt;12),2,IF(AND(DATEDIF(#REF!,U1484,"m")&gt;=12,DATEDIF(#REF!,U1484,"m")&lt;24),3,IF(DATEDIF(#REF!,U1484,"m")&gt;=24,4,"")))),IF(E1484="r0320 - Deposits, not covered and not preferential",1,4))</f>
        <v>4</v>
      </c>
    </row>
    <row r="1485" spans="3:29" ht="48.75" thickBot="1" x14ac:dyDescent="0.3">
      <c r="C1485" s="11">
        <v>999</v>
      </c>
      <c r="D1485" s="154">
        <v>1478</v>
      </c>
      <c r="E1485" s="154" t="s">
        <v>1902</v>
      </c>
      <c r="F1485" s="154" t="s">
        <v>83</v>
      </c>
      <c r="G1485" s="154" t="s">
        <v>1903</v>
      </c>
      <c r="H1485" s="154" t="s">
        <v>476</v>
      </c>
      <c r="I1485" s="154" t="s">
        <v>93</v>
      </c>
      <c r="J1485" s="154" t="s">
        <v>94</v>
      </c>
      <c r="K1485" s="154" t="s">
        <v>60</v>
      </c>
      <c r="L1485" s="154" t="s">
        <v>1897</v>
      </c>
      <c r="M1485" s="154" t="s">
        <v>1388</v>
      </c>
      <c r="N1485" s="154" t="s">
        <v>61</v>
      </c>
      <c r="O1485" s="154" t="s">
        <v>62</v>
      </c>
      <c r="P1485" s="146">
        <v>52665.34</v>
      </c>
      <c r="Q1485" s="146">
        <v>-1.75</v>
      </c>
      <c r="R1485" s="154" t="s">
        <v>1384</v>
      </c>
      <c r="S1485" s="154" t="s">
        <v>1899</v>
      </c>
      <c r="T1485" s="155" t="s">
        <v>768</v>
      </c>
      <c r="U1485" s="155" t="s">
        <v>1899</v>
      </c>
      <c r="V1485" s="154" t="s">
        <v>1904</v>
      </c>
      <c r="W1485" s="154">
        <v>0</v>
      </c>
      <c r="X1485" s="154" t="s">
        <v>63</v>
      </c>
      <c r="Y1485" s="154" t="s">
        <v>1386</v>
      </c>
      <c r="Z1485" s="154"/>
      <c r="AA1485" s="154" t="s">
        <v>1387</v>
      </c>
      <c r="AB1485" s="154">
        <v>0</v>
      </c>
      <c r="AC1485" s="138">
        <f>IFERROR(IF(DATEDIF(#REF!,U1485,"m")&lt;=1,1,IF(AND(DATEDIF(#REF!,U1485,"m")&gt;1,DATEDIF(#REF!,U1485,"m")&lt;12),2,IF(AND(DATEDIF(#REF!,U1485,"m")&gt;=12,DATEDIF(#REF!,U1485,"m")&lt;24),3,IF(DATEDIF(#REF!,U1485,"m")&gt;=24,4,"")))),IF(E1485="r0320 - Deposits, not covered and not preferential",1,4))</f>
        <v>4</v>
      </c>
    </row>
    <row r="1486" spans="3:29" ht="36.75" thickBot="1" x14ac:dyDescent="0.3">
      <c r="C1486" s="11">
        <v>999</v>
      </c>
      <c r="D1486" s="154">
        <v>1479</v>
      </c>
      <c r="E1486" s="154" t="s">
        <v>1898</v>
      </c>
      <c r="F1486" s="154" t="s">
        <v>87</v>
      </c>
      <c r="G1486" s="154" t="s">
        <v>1402</v>
      </c>
      <c r="H1486" s="154" t="s">
        <v>458</v>
      </c>
      <c r="I1486" s="154" t="s">
        <v>96</v>
      </c>
      <c r="J1486" s="154" t="s">
        <v>97</v>
      </c>
      <c r="K1486" s="154" t="s">
        <v>91</v>
      </c>
      <c r="L1486" s="154" t="s">
        <v>1897</v>
      </c>
      <c r="M1486" s="154" t="s">
        <v>1383</v>
      </c>
      <c r="N1486" s="154" t="s">
        <v>61</v>
      </c>
      <c r="O1486" s="154" t="s">
        <v>62</v>
      </c>
      <c r="P1486" s="146">
        <v>88.89</v>
      </c>
      <c r="Q1486" s="146">
        <v>0</v>
      </c>
      <c r="R1486" s="154" t="s">
        <v>1384</v>
      </c>
      <c r="S1486" s="154" t="s">
        <v>1899</v>
      </c>
      <c r="T1486" s="155" t="s">
        <v>1899</v>
      </c>
      <c r="U1486" s="155" t="s">
        <v>1899</v>
      </c>
      <c r="V1486" s="154" t="s">
        <v>1562</v>
      </c>
      <c r="W1486" s="154">
        <v>0</v>
      </c>
      <c r="X1486" s="154" t="s">
        <v>63</v>
      </c>
      <c r="Y1486" s="154" t="s">
        <v>1900</v>
      </c>
      <c r="Z1486" s="154"/>
      <c r="AA1486" s="154" t="s">
        <v>1387</v>
      </c>
      <c r="AB1486" s="154">
        <v>0</v>
      </c>
      <c r="AC1486" s="138">
        <f>IFERROR(IF(DATEDIF(#REF!,U1486,"m")&lt;=1,1,IF(AND(DATEDIF(#REF!,U1486,"m")&gt;1,DATEDIF(#REF!,U1486,"m")&lt;12),2,IF(AND(DATEDIF(#REF!,U1486,"m")&gt;=12,DATEDIF(#REF!,U1486,"m")&lt;24),3,IF(DATEDIF(#REF!,U1486,"m")&gt;=24,4,"")))),IF(E1486="r0320 - Deposits, not covered and not preferential",1,4))</f>
        <v>4</v>
      </c>
    </row>
    <row r="1487" spans="3:29" ht="48.75" thickBot="1" x14ac:dyDescent="0.3">
      <c r="C1487" s="11">
        <v>999</v>
      </c>
      <c r="D1487" s="154">
        <v>1480</v>
      </c>
      <c r="E1487" s="154" t="s">
        <v>1902</v>
      </c>
      <c r="F1487" s="154" t="s">
        <v>83</v>
      </c>
      <c r="G1487" s="154" t="s">
        <v>1903</v>
      </c>
      <c r="H1487" s="154" t="s">
        <v>188</v>
      </c>
      <c r="I1487" s="154" t="s">
        <v>114</v>
      </c>
      <c r="J1487" s="154" t="s">
        <v>115</v>
      </c>
      <c r="K1487" s="154" t="s">
        <v>60</v>
      </c>
      <c r="L1487" s="154" t="s">
        <v>1897</v>
      </c>
      <c r="M1487" s="154" t="s">
        <v>1388</v>
      </c>
      <c r="N1487" s="154" t="s">
        <v>61</v>
      </c>
      <c r="O1487" s="154" t="s">
        <v>62</v>
      </c>
      <c r="P1487" s="146">
        <v>39912.58</v>
      </c>
      <c r="Q1487" s="146">
        <v>22.02</v>
      </c>
      <c r="R1487" s="154" t="s">
        <v>1384</v>
      </c>
      <c r="S1487" s="154" t="s">
        <v>1899</v>
      </c>
      <c r="T1487" s="155" t="s">
        <v>768</v>
      </c>
      <c r="U1487" s="155" t="s">
        <v>1899</v>
      </c>
      <c r="V1487" s="154" t="s">
        <v>1904</v>
      </c>
      <c r="W1487" s="154">
        <v>0</v>
      </c>
      <c r="X1487" s="154" t="s">
        <v>63</v>
      </c>
      <c r="Y1487" s="154" t="s">
        <v>1386</v>
      </c>
      <c r="Z1487" s="154"/>
      <c r="AA1487" s="154" t="s">
        <v>1387</v>
      </c>
      <c r="AB1487" s="154">
        <v>0</v>
      </c>
      <c r="AC1487" s="138">
        <f>IFERROR(IF(DATEDIF(#REF!,U1487,"m")&lt;=1,1,IF(AND(DATEDIF(#REF!,U1487,"m")&gt;1,DATEDIF(#REF!,U1487,"m")&lt;12),2,IF(AND(DATEDIF(#REF!,U1487,"m")&gt;=12,DATEDIF(#REF!,U1487,"m")&lt;24),3,IF(DATEDIF(#REF!,U1487,"m")&gt;=24,4,"")))),IF(E1487="r0320 - Deposits, not covered and not preferential",1,4))</f>
        <v>4</v>
      </c>
    </row>
    <row r="1488" spans="3:29" ht="36.75" thickBot="1" x14ac:dyDescent="0.3">
      <c r="C1488" s="11">
        <v>999</v>
      </c>
      <c r="D1488" s="154">
        <v>1481</v>
      </c>
      <c r="E1488" s="154" t="s">
        <v>1898</v>
      </c>
      <c r="F1488" s="154" t="s">
        <v>87</v>
      </c>
      <c r="G1488" s="154" t="s">
        <v>1402</v>
      </c>
      <c r="H1488" s="154" t="s">
        <v>823</v>
      </c>
      <c r="I1488" s="154" t="s">
        <v>96</v>
      </c>
      <c r="J1488" s="154" t="s">
        <v>97</v>
      </c>
      <c r="K1488" s="154" t="s">
        <v>91</v>
      </c>
      <c r="L1488" s="154" t="s">
        <v>1897</v>
      </c>
      <c r="M1488" s="154" t="s">
        <v>1383</v>
      </c>
      <c r="N1488" s="154" t="s">
        <v>61</v>
      </c>
      <c r="O1488" s="154" t="s">
        <v>62</v>
      </c>
      <c r="P1488" s="146">
        <v>0.25</v>
      </c>
      <c r="Q1488" s="146">
        <v>0</v>
      </c>
      <c r="R1488" s="154" t="s">
        <v>1384</v>
      </c>
      <c r="S1488" s="154" t="s">
        <v>1899</v>
      </c>
      <c r="T1488" s="155" t="s">
        <v>1899</v>
      </c>
      <c r="U1488" s="155" t="s">
        <v>1899</v>
      </c>
      <c r="V1488" s="154" t="s">
        <v>1562</v>
      </c>
      <c r="W1488" s="154">
        <v>0</v>
      </c>
      <c r="X1488" s="154" t="s">
        <v>63</v>
      </c>
      <c r="Y1488" s="154" t="s">
        <v>1900</v>
      </c>
      <c r="Z1488" s="154"/>
      <c r="AA1488" s="154" t="s">
        <v>1387</v>
      </c>
      <c r="AB1488" s="154">
        <v>0</v>
      </c>
      <c r="AC1488" s="138">
        <f>IFERROR(IF(DATEDIF(#REF!,U1488,"m")&lt;=1,1,IF(AND(DATEDIF(#REF!,U1488,"m")&gt;1,DATEDIF(#REF!,U1488,"m")&lt;12),2,IF(AND(DATEDIF(#REF!,U1488,"m")&gt;=12,DATEDIF(#REF!,U1488,"m")&lt;24),3,IF(DATEDIF(#REF!,U1488,"m")&gt;=24,4,"")))),IF(E1488="r0320 - Deposits, not covered and not preferential",1,4))</f>
        <v>4</v>
      </c>
    </row>
    <row r="1489" spans="3:29" ht="48.75" thickBot="1" x14ac:dyDescent="0.3">
      <c r="C1489" s="11">
        <v>999</v>
      </c>
      <c r="D1489" s="154">
        <v>1482</v>
      </c>
      <c r="E1489" s="154" t="s">
        <v>1902</v>
      </c>
      <c r="F1489" s="154" t="s">
        <v>83</v>
      </c>
      <c r="G1489" s="154" t="s">
        <v>1903</v>
      </c>
      <c r="H1489" s="154" t="s">
        <v>460</v>
      </c>
      <c r="I1489" s="154" t="s">
        <v>93</v>
      </c>
      <c r="J1489" s="154" t="s">
        <v>94</v>
      </c>
      <c r="K1489" s="154" t="s">
        <v>60</v>
      </c>
      <c r="L1489" s="154" t="s">
        <v>1897</v>
      </c>
      <c r="M1489" s="154" t="s">
        <v>1388</v>
      </c>
      <c r="N1489" s="154" t="s">
        <v>61</v>
      </c>
      <c r="O1489" s="154" t="s">
        <v>62</v>
      </c>
      <c r="P1489" s="146">
        <v>994.91</v>
      </c>
      <c r="Q1489" s="146">
        <v>0.01</v>
      </c>
      <c r="R1489" s="154" t="s">
        <v>1384</v>
      </c>
      <c r="S1489" s="154" t="s">
        <v>1899</v>
      </c>
      <c r="T1489" s="155" t="s">
        <v>768</v>
      </c>
      <c r="U1489" s="155" t="s">
        <v>1899</v>
      </c>
      <c r="V1489" s="154" t="s">
        <v>1904</v>
      </c>
      <c r="W1489" s="154">
        <v>0</v>
      </c>
      <c r="X1489" s="154" t="s">
        <v>63</v>
      </c>
      <c r="Y1489" s="154" t="s">
        <v>1386</v>
      </c>
      <c r="Z1489" s="154"/>
      <c r="AA1489" s="154" t="s">
        <v>1387</v>
      </c>
      <c r="AB1489" s="154">
        <v>0</v>
      </c>
      <c r="AC1489" s="138">
        <f>IFERROR(IF(DATEDIF(#REF!,U1489,"m")&lt;=1,1,IF(AND(DATEDIF(#REF!,U1489,"m")&gt;1,DATEDIF(#REF!,U1489,"m")&lt;12),2,IF(AND(DATEDIF(#REF!,U1489,"m")&gt;=12,DATEDIF(#REF!,U1489,"m")&lt;24),3,IF(DATEDIF(#REF!,U1489,"m")&gt;=24,4,"")))),IF(E1489="r0320 - Deposits, not covered and not preferential",1,4))</f>
        <v>4</v>
      </c>
    </row>
    <row r="1490" spans="3:29" ht="36.75" thickBot="1" x14ac:dyDescent="0.3">
      <c r="C1490" s="11">
        <v>999</v>
      </c>
      <c r="D1490" s="154">
        <v>1483</v>
      </c>
      <c r="E1490" s="154" t="s">
        <v>1898</v>
      </c>
      <c r="F1490" s="154" t="s">
        <v>87</v>
      </c>
      <c r="G1490" s="154" t="s">
        <v>1402</v>
      </c>
      <c r="H1490" s="154" t="s">
        <v>757</v>
      </c>
      <c r="I1490" s="154" t="s">
        <v>758</v>
      </c>
      <c r="J1490" s="154" t="s">
        <v>759</v>
      </c>
      <c r="K1490" s="154" t="s">
        <v>60</v>
      </c>
      <c r="L1490" s="154" t="s">
        <v>1897</v>
      </c>
      <c r="M1490" s="154" t="s">
        <v>1383</v>
      </c>
      <c r="N1490" s="154" t="s">
        <v>61</v>
      </c>
      <c r="O1490" s="154" t="s">
        <v>62</v>
      </c>
      <c r="P1490" s="146">
        <v>1.19</v>
      </c>
      <c r="Q1490" s="146">
        <v>0</v>
      </c>
      <c r="R1490" s="154" t="s">
        <v>1384</v>
      </c>
      <c r="S1490" s="154" t="s">
        <v>1899</v>
      </c>
      <c r="T1490" s="155" t="s">
        <v>1899</v>
      </c>
      <c r="U1490" s="155" t="s">
        <v>1899</v>
      </c>
      <c r="V1490" s="154" t="s">
        <v>1562</v>
      </c>
      <c r="W1490" s="154">
        <v>0</v>
      </c>
      <c r="X1490" s="154" t="s">
        <v>63</v>
      </c>
      <c r="Y1490" s="154" t="s">
        <v>1900</v>
      </c>
      <c r="Z1490" s="154"/>
      <c r="AA1490" s="154" t="s">
        <v>1387</v>
      </c>
      <c r="AB1490" s="154">
        <v>0</v>
      </c>
      <c r="AC1490" s="138">
        <f>IFERROR(IF(DATEDIF(#REF!,U1490,"m")&lt;=1,1,IF(AND(DATEDIF(#REF!,U1490,"m")&gt;1,DATEDIF(#REF!,U1490,"m")&lt;12),2,IF(AND(DATEDIF(#REF!,U1490,"m")&gt;=12,DATEDIF(#REF!,U1490,"m")&lt;24),3,IF(DATEDIF(#REF!,U1490,"m")&gt;=24,4,"")))),IF(E1490="r0320 - Deposits, not covered and not preferential",1,4))</f>
        <v>4</v>
      </c>
    </row>
    <row r="1491" spans="3:29" ht="48.75" thickBot="1" x14ac:dyDescent="0.3">
      <c r="C1491" s="11">
        <v>999</v>
      </c>
      <c r="D1491" s="154">
        <v>1484</v>
      </c>
      <c r="E1491" s="154" t="s">
        <v>1902</v>
      </c>
      <c r="F1491" s="154" t="s">
        <v>83</v>
      </c>
      <c r="G1491" s="154" t="s">
        <v>1903</v>
      </c>
      <c r="H1491" s="154" t="s">
        <v>1277</v>
      </c>
      <c r="I1491" s="154" t="s">
        <v>101</v>
      </c>
      <c r="J1491" s="154" t="s">
        <v>102</v>
      </c>
      <c r="K1491" s="154" t="s">
        <v>60</v>
      </c>
      <c r="L1491" s="154" t="s">
        <v>1897</v>
      </c>
      <c r="M1491" s="154" t="s">
        <v>1388</v>
      </c>
      <c r="N1491" s="154" t="s">
        <v>61</v>
      </c>
      <c r="O1491" s="154" t="s">
        <v>62</v>
      </c>
      <c r="P1491" s="146">
        <v>53797.919999999998</v>
      </c>
      <c r="Q1491" s="146">
        <v>7.7</v>
      </c>
      <c r="R1491" s="154" t="s">
        <v>1384</v>
      </c>
      <c r="S1491" s="154" t="s">
        <v>1899</v>
      </c>
      <c r="T1491" s="155" t="s">
        <v>768</v>
      </c>
      <c r="U1491" s="155" t="s">
        <v>1899</v>
      </c>
      <c r="V1491" s="154" t="s">
        <v>1904</v>
      </c>
      <c r="W1491" s="154">
        <v>0</v>
      </c>
      <c r="X1491" s="154" t="s">
        <v>63</v>
      </c>
      <c r="Y1491" s="154" t="s">
        <v>1386</v>
      </c>
      <c r="Z1491" s="154"/>
      <c r="AA1491" s="154" t="s">
        <v>1387</v>
      </c>
      <c r="AB1491" s="154">
        <v>0</v>
      </c>
      <c r="AC1491" s="138">
        <f>IFERROR(IF(DATEDIF(#REF!,U1491,"m")&lt;=1,1,IF(AND(DATEDIF(#REF!,U1491,"m")&gt;1,DATEDIF(#REF!,U1491,"m")&lt;12),2,IF(AND(DATEDIF(#REF!,U1491,"m")&gt;=12,DATEDIF(#REF!,U1491,"m")&lt;24),3,IF(DATEDIF(#REF!,U1491,"m")&gt;=24,4,"")))),IF(E1491="r0320 - Deposits, not covered and not preferential",1,4))</f>
        <v>4</v>
      </c>
    </row>
    <row r="1492" spans="3:29" ht="36.75" thickBot="1" x14ac:dyDescent="0.3">
      <c r="C1492" s="11">
        <v>999</v>
      </c>
      <c r="D1492" s="154">
        <v>1485</v>
      </c>
      <c r="E1492" s="154" t="s">
        <v>1898</v>
      </c>
      <c r="F1492" s="154" t="s">
        <v>87</v>
      </c>
      <c r="G1492" s="154" t="s">
        <v>1402</v>
      </c>
      <c r="H1492" s="154" t="s">
        <v>307</v>
      </c>
      <c r="I1492" s="154" t="s">
        <v>96</v>
      </c>
      <c r="J1492" s="154" t="s">
        <v>97</v>
      </c>
      <c r="K1492" s="154" t="s">
        <v>91</v>
      </c>
      <c r="L1492" s="154" t="s">
        <v>1897</v>
      </c>
      <c r="M1492" s="154" t="s">
        <v>1383</v>
      </c>
      <c r="N1492" s="154" t="s">
        <v>61</v>
      </c>
      <c r="O1492" s="154" t="s">
        <v>62</v>
      </c>
      <c r="P1492" s="146">
        <v>64.44</v>
      </c>
      <c r="Q1492" s="146">
        <v>0</v>
      </c>
      <c r="R1492" s="154" t="s">
        <v>1384</v>
      </c>
      <c r="S1492" s="154" t="s">
        <v>1899</v>
      </c>
      <c r="T1492" s="155" t="s">
        <v>1899</v>
      </c>
      <c r="U1492" s="155" t="s">
        <v>1899</v>
      </c>
      <c r="V1492" s="154" t="s">
        <v>1562</v>
      </c>
      <c r="W1492" s="154">
        <v>0</v>
      </c>
      <c r="X1492" s="154" t="s">
        <v>63</v>
      </c>
      <c r="Y1492" s="154" t="s">
        <v>1900</v>
      </c>
      <c r="Z1492" s="154"/>
      <c r="AA1492" s="154" t="s">
        <v>1387</v>
      </c>
      <c r="AB1492" s="154">
        <v>0</v>
      </c>
      <c r="AC1492" s="138">
        <f>IFERROR(IF(DATEDIF(#REF!,U1492,"m")&lt;=1,1,IF(AND(DATEDIF(#REF!,U1492,"m")&gt;1,DATEDIF(#REF!,U1492,"m")&lt;12),2,IF(AND(DATEDIF(#REF!,U1492,"m")&gt;=12,DATEDIF(#REF!,U1492,"m")&lt;24),3,IF(DATEDIF(#REF!,U1492,"m")&gt;=24,4,"")))),IF(E1492="r0320 - Deposits, not covered and not preferential",1,4))</f>
        <v>4</v>
      </c>
    </row>
    <row r="1493" spans="3:29" ht="48.75" thickBot="1" x14ac:dyDescent="0.3">
      <c r="C1493" s="11">
        <v>999</v>
      </c>
      <c r="D1493" s="154">
        <v>1486</v>
      </c>
      <c r="E1493" s="154" t="s">
        <v>1902</v>
      </c>
      <c r="F1493" s="154" t="s">
        <v>83</v>
      </c>
      <c r="G1493" s="154" t="s">
        <v>1903</v>
      </c>
      <c r="H1493" s="154" t="s">
        <v>794</v>
      </c>
      <c r="I1493" s="154" t="s">
        <v>101</v>
      </c>
      <c r="J1493" s="154" t="s">
        <v>102</v>
      </c>
      <c r="K1493" s="154" t="s">
        <v>60</v>
      </c>
      <c r="L1493" s="154" t="s">
        <v>1897</v>
      </c>
      <c r="M1493" s="154" t="s">
        <v>1388</v>
      </c>
      <c r="N1493" s="154" t="s">
        <v>61</v>
      </c>
      <c r="O1493" s="154" t="s">
        <v>62</v>
      </c>
      <c r="P1493" s="146">
        <v>225589.74</v>
      </c>
      <c r="Q1493" s="146">
        <v>189.75</v>
      </c>
      <c r="R1493" s="154" t="s">
        <v>1384</v>
      </c>
      <c r="S1493" s="154" t="s">
        <v>1899</v>
      </c>
      <c r="T1493" s="155" t="s">
        <v>768</v>
      </c>
      <c r="U1493" s="155" t="s">
        <v>1899</v>
      </c>
      <c r="V1493" s="154" t="s">
        <v>1904</v>
      </c>
      <c r="W1493" s="154">
        <v>0</v>
      </c>
      <c r="X1493" s="154" t="s">
        <v>63</v>
      </c>
      <c r="Y1493" s="154" t="s">
        <v>1386</v>
      </c>
      <c r="Z1493" s="154"/>
      <c r="AA1493" s="154" t="s">
        <v>1387</v>
      </c>
      <c r="AB1493" s="154">
        <v>0</v>
      </c>
      <c r="AC1493" s="138">
        <f>IFERROR(IF(DATEDIF(#REF!,U1493,"m")&lt;=1,1,IF(AND(DATEDIF(#REF!,U1493,"m")&gt;1,DATEDIF(#REF!,U1493,"m")&lt;12),2,IF(AND(DATEDIF(#REF!,U1493,"m")&gt;=12,DATEDIF(#REF!,U1493,"m")&lt;24),3,IF(DATEDIF(#REF!,U1493,"m")&gt;=24,4,"")))),IF(E1493="r0320 - Deposits, not covered and not preferential",1,4))</f>
        <v>4</v>
      </c>
    </row>
    <row r="1494" spans="3:29" ht="36.75" thickBot="1" x14ac:dyDescent="0.3">
      <c r="C1494" s="11">
        <v>999</v>
      </c>
      <c r="D1494" s="154">
        <v>1487</v>
      </c>
      <c r="E1494" s="154" t="s">
        <v>1898</v>
      </c>
      <c r="F1494" s="154" t="s">
        <v>87</v>
      </c>
      <c r="G1494" s="154" t="s">
        <v>1402</v>
      </c>
      <c r="H1494" s="154" t="s">
        <v>283</v>
      </c>
      <c r="I1494" s="154" t="s">
        <v>96</v>
      </c>
      <c r="J1494" s="154" t="s">
        <v>97</v>
      </c>
      <c r="K1494" s="154" t="s">
        <v>91</v>
      </c>
      <c r="L1494" s="154" t="s">
        <v>1897</v>
      </c>
      <c r="M1494" s="154" t="s">
        <v>1383</v>
      </c>
      <c r="N1494" s="154" t="s">
        <v>61</v>
      </c>
      <c r="O1494" s="154" t="s">
        <v>62</v>
      </c>
      <c r="P1494" s="146">
        <v>134.68</v>
      </c>
      <c r="Q1494" s="146">
        <v>0</v>
      </c>
      <c r="R1494" s="154" t="s">
        <v>1384</v>
      </c>
      <c r="S1494" s="154" t="s">
        <v>1899</v>
      </c>
      <c r="T1494" s="155" t="s">
        <v>1899</v>
      </c>
      <c r="U1494" s="155" t="s">
        <v>1899</v>
      </c>
      <c r="V1494" s="154" t="s">
        <v>1562</v>
      </c>
      <c r="W1494" s="154">
        <v>0</v>
      </c>
      <c r="X1494" s="154" t="s">
        <v>63</v>
      </c>
      <c r="Y1494" s="154" t="s">
        <v>1900</v>
      </c>
      <c r="Z1494" s="154"/>
      <c r="AA1494" s="154" t="s">
        <v>1387</v>
      </c>
      <c r="AB1494" s="154">
        <v>0</v>
      </c>
      <c r="AC1494" s="138">
        <f>IFERROR(IF(DATEDIF(#REF!,U1494,"m")&lt;=1,1,IF(AND(DATEDIF(#REF!,U1494,"m")&gt;1,DATEDIF(#REF!,U1494,"m")&lt;12),2,IF(AND(DATEDIF(#REF!,U1494,"m")&gt;=12,DATEDIF(#REF!,U1494,"m")&lt;24),3,IF(DATEDIF(#REF!,U1494,"m")&gt;=24,4,"")))),IF(E1494="r0320 - Deposits, not covered and not preferential",1,4))</f>
        <v>4</v>
      </c>
    </row>
    <row r="1495" spans="3:29" ht="48.75" thickBot="1" x14ac:dyDescent="0.3">
      <c r="C1495" s="11">
        <v>999</v>
      </c>
      <c r="D1495" s="154">
        <v>1488</v>
      </c>
      <c r="E1495" s="154" t="s">
        <v>1902</v>
      </c>
      <c r="F1495" s="154" t="s">
        <v>83</v>
      </c>
      <c r="G1495" s="154" t="s">
        <v>1903</v>
      </c>
      <c r="H1495" s="154" t="s">
        <v>1271</v>
      </c>
      <c r="I1495" s="154" t="s">
        <v>101</v>
      </c>
      <c r="J1495" s="154" t="s">
        <v>102</v>
      </c>
      <c r="K1495" s="154" t="s">
        <v>60</v>
      </c>
      <c r="L1495" s="154" t="s">
        <v>1897</v>
      </c>
      <c r="M1495" s="154" t="s">
        <v>1388</v>
      </c>
      <c r="N1495" s="154" t="s">
        <v>61</v>
      </c>
      <c r="O1495" s="154" t="s">
        <v>62</v>
      </c>
      <c r="P1495" s="146">
        <v>93063.44</v>
      </c>
      <c r="Q1495" s="146">
        <v>42.7</v>
      </c>
      <c r="R1495" s="154" t="s">
        <v>1384</v>
      </c>
      <c r="S1495" s="154" t="s">
        <v>1899</v>
      </c>
      <c r="T1495" s="155" t="s">
        <v>768</v>
      </c>
      <c r="U1495" s="155" t="s">
        <v>1899</v>
      </c>
      <c r="V1495" s="154" t="s">
        <v>1904</v>
      </c>
      <c r="W1495" s="154">
        <v>0</v>
      </c>
      <c r="X1495" s="154" t="s">
        <v>63</v>
      </c>
      <c r="Y1495" s="154" t="s">
        <v>1386</v>
      </c>
      <c r="Z1495" s="154"/>
      <c r="AA1495" s="154" t="s">
        <v>1387</v>
      </c>
      <c r="AB1495" s="154">
        <v>0</v>
      </c>
      <c r="AC1495" s="138">
        <f>IFERROR(IF(DATEDIF(#REF!,U1495,"m")&lt;=1,1,IF(AND(DATEDIF(#REF!,U1495,"m")&gt;1,DATEDIF(#REF!,U1495,"m")&lt;12),2,IF(AND(DATEDIF(#REF!,U1495,"m")&gt;=12,DATEDIF(#REF!,U1495,"m")&lt;24),3,IF(DATEDIF(#REF!,U1495,"m")&gt;=24,4,"")))),IF(E1495="r0320 - Deposits, not covered and not preferential",1,4))</f>
        <v>4</v>
      </c>
    </row>
    <row r="1496" spans="3:29" ht="36.75" thickBot="1" x14ac:dyDescent="0.3">
      <c r="C1496" s="11">
        <v>999</v>
      </c>
      <c r="D1496" s="154">
        <v>1489</v>
      </c>
      <c r="E1496" s="154" t="s">
        <v>1898</v>
      </c>
      <c r="F1496" s="154" t="s">
        <v>87</v>
      </c>
      <c r="G1496" s="154" t="s">
        <v>1402</v>
      </c>
      <c r="H1496" s="154" t="s">
        <v>747</v>
      </c>
      <c r="I1496" s="154" t="s">
        <v>96</v>
      </c>
      <c r="J1496" s="154" t="s">
        <v>97</v>
      </c>
      <c r="K1496" s="154" t="s">
        <v>91</v>
      </c>
      <c r="L1496" s="154" t="s">
        <v>1897</v>
      </c>
      <c r="M1496" s="154" t="s">
        <v>1383</v>
      </c>
      <c r="N1496" s="154" t="s">
        <v>61</v>
      </c>
      <c r="O1496" s="154" t="s">
        <v>62</v>
      </c>
      <c r="P1496" s="146">
        <v>72.22</v>
      </c>
      <c r="Q1496" s="146">
        <v>0</v>
      </c>
      <c r="R1496" s="154" t="s">
        <v>1384</v>
      </c>
      <c r="S1496" s="154" t="s">
        <v>1899</v>
      </c>
      <c r="T1496" s="155" t="s">
        <v>1899</v>
      </c>
      <c r="U1496" s="155" t="s">
        <v>1899</v>
      </c>
      <c r="V1496" s="154" t="s">
        <v>1562</v>
      </c>
      <c r="W1496" s="154">
        <v>0</v>
      </c>
      <c r="X1496" s="154" t="s">
        <v>63</v>
      </c>
      <c r="Y1496" s="154" t="s">
        <v>1900</v>
      </c>
      <c r="Z1496" s="154"/>
      <c r="AA1496" s="154" t="s">
        <v>1387</v>
      </c>
      <c r="AB1496" s="154">
        <v>0</v>
      </c>
      <c r="AC1496" s="138">
        <f>IFERROR(IF(DATEDIF(#REF!,U1496,"m")&lt;=1,1,IF(AND(DATEDIF(#REF!,U1496,"m")&gt;1,DATEDIF(#REF!,U1496,"m")&lt;12),2,IF(AND(DATEDIF(#REF!,U1496,"m")&gt;=12,DATEDIF(#REF!,U1496,"m")&lt;24),3,IF(DATEDIF(#REF!,U1496,"m")&gt;=24,4,"")))),IF(E1496="r0320 - Deposits, not covered and not preferential",1,4))</f>
        <v>4</v>
      </c>
    </row>
    <row r="1497" spans="3:29" ht="48.75" thickBot="1" x14ac:dyDescent="0.3">
      <c r="C1497" s="11">
        <v>999</v>
      </c>
      <c r="D1497" s="154">
        <v>1490</v>
      </c>
      <c r="E1497" s="154" t="s">
        <v>1902</v>
      </c>
      <c r="F1497" s="154" t="s">
        <v>83</v>
      </c>
      <c r="G1497" s="154" t="s">
        <v>1903</v>
      </c>
      <c r="H1497" s="154" t="s">
        <v>1281</v>
      </c>
      <c r="I1497" s="154" t="s">
        <v>101</v>
      </c>
      <c r="J1497" s="154" t="s">
        <v>102</v>
      </c>
      <c r="K1497" s="154" t="s">
        <v>60</v>
      </c>
      <c r="L1497" s="154" t="s">
        <v>1897</v>
      </c>
      <c r="M1497" s="154" t="s">
        <v>1388</v>
      </c>
      <c r="N1497" s="154" t="s">
        <v>61</v>
      </c>
      <c r="O1497" s="154" t="s">
        <v>62</v>
      </c>
      <c r="P1497" s="146">
        <v>99718.52</v>
      </c>
      <c r="Q1497" s="146">
        <v>-6.03</v>
      </c>
      <c r="R1497" s="154" t="s">
        <v>1384</v>
      </c>
      <c r="S1497" s="154" t="s">
        <v>1899</v>
      </c>
      <c r="T1497" s="155" t="s">
        <v>768</v>
      </c>
      <c r="U1497" s="155" t="s">
        <v>1899</v>
      </c>
      <c r="V1497" s="154" t="s">
        <v>1904</v>
      </c>
      <c r="W1497" s="154">
        <v>0</v>
      </c>
      <c r="X1497" s="154" t="s">
        <v>63</v>
      </c>
      <c r="Y1497" s="154" t="s">
        <v>1386</v>
      </c>
      <c r="Z1497" s="154"/>
      <c r="AA1497" s="154" t="s">
        <v>1387</v>
      </c>
      <c r="AB1497" s="154">
        <v>0</v>
      </c>
      <c r="AC1497" s="138">
        <f>IFERROR(IF(DATEDIF(#REF!,U1497,"m")&lt;=1,1,IF(AND(DATEDIF(#REF!,U1497,"m")&gt;1,DATEDIF(#REF!,U1497,"m")&lt;12),2,IF(AND(DATEDIF(#REF!,U1497,"m")&gt;=12,DATEDIF(#REF!,U1497,"m")&lt;24),3,IF(DATEDIF(#REF!,U1497,"m")&gt;=24,4,"")))),IF(E1497="r0320 - Deposits, not covered and not preferential",1,4))</f>
        <v>4</v>
      </c>
    </row>
    <row r="1498" spans="3:29" ht="36.75" thickBot="1" x14ac:dyDescent="0.3">
      <c r="C1498" s="11">
        <v>999</v>
      </c>
      <c r="D1498" s="154">
        <v>1491</v>
      </c>
      <c r="E1498" s="154" t="s">
        <v>1898</v>
      </c>
      <c r="F1498" s="154" t="s">
        <v>87</v>
      </c>
      <c r="G1498" s="154" t="s">
        <v>1402</v>
      </c>
      <c r="H1498" s="154" t="s">
        <v>280</v>
      </c>
      <c r="I1498" s="154" t="s">
        <v>108</v>
      </c>
      <c r="J1498" s="154" t="s">
        <v>90</v>
      </c>
      <c r="K1498" s="154" t="s">
        <v>91</v>
      </c>
      <c r="L1498" s="154" t="s">
        <v>1897</v>
      </c>
      <c r="M1498" s="154" t="s">
        <v>1383</v>
      </c>
      <c r="N1498" s="154" t="s">
        <v>61</v>
      </c>
      <c r="O1498" s="154" t="s">
        <v>62</v>
      </c>
      <c r="P1498" s="146">
        <v>7.0000000000000007E-2</v>
      </c>
      <c r="Q1498" s="146">
        <v>0</v>
      </c>
      <c r="R1498" s="154" t="s">
        <v>1384</v>
      </c>
      <c r="S1498" s="154" t="s">
        <v>1899</v>
      </c>
      <c r="T1498" s="155" t="s">
        <v>1899</v>
      </c>
      <c r="U1498" s="155" t="s">
        <v>1899</v>
      </c>
      <c r="V1498" s="154" t="s">
        <v>1562</v>
      </c>
      <c r="W1498" s="154">
        <v>0</v>
      </c>
      <c r="X1498" s="154" t="s">
        <v>63</v>
      </c>
      <c r="Y1498" s="154" t="s">
        <v>1900</v>
      </c>
      <c r="Z1498" s="154"/>
      <c r="AA1498" s="154" t="s">
        <v>1387</v>
      </c>
      <c r="AB1498" s="154">
        <v>0</v>
      </c>
      <c r="AC1498" s="138">
        <f>IFERROR(IF(DATEDIF(#REF!,U1498,"m")&lt;=1,1,IF(AND(DATEDIF(#REF!,U1498,"m")&gt;1,DATEDIF(#REF!,U1498,"m")&lt;12),2,IF(AND(DATEDIF(#REF!,U1498,"m")&gt;=12,DATEDIF(#REF!,U1498,"m")&lt;24),3,IF(DATEDIF(#REF!,U1498,"m")&gt;=24,4,"")))),IF(E1498="r0320 - Deposits, not covered and not preferential",1,4))</f>
        <v>4</v>
      </c>
    </row>
    <row r="1499" spans="3:29" ht="48.75" thickBot="1" x14ac:dyDescent="0.3">
      <c r="C1499" s="11">
        <v>999</v>
      </c>
      <c r="D1499" s="154">
        <v>1492</v>
      </c>
      <c r="E1499" s="154" t="s">
        <v>1902</v>
      </c>
      <c r="F1499" s="154" t="s">
        <v>83</v>
      </c>
      <c r="G1499" s="154" t="s">
        <v>1903</v>
      </c>
      <c r="H1499" s="154" t="s">
        <v>738</v>
      </c>
      <c r="I1499" s="154" t="s">
        <v>93</v>
      </c>
      <c r="J1499" s="154" t="s">
        <v>94</v>
      </c>
      <c r="K1499" s="154" t="s">
        <v>60</v>
      </c>
      <c r="L1499" s="154" t="s">
        <v>1897</v>
      </c>
      <c r="M1499" s="154" t="s">
        <v>1388</v>
      </c>
      <c r="N1499" s="154" t="s">
        <v>61</v>
      </c>
      <c r="O1499" s="154" t="s">
        <v>62</v>
      </c>
      <c r="P1499" s="146">
        <v>571751.76</v>
      </c>
      <c r="Q1499" s="146">
        <v>180.53</v>
      </c>
      <c r="R1499" s="154" t="s">
        <v>1384</v>
      </c>
      <c r="S1499" s="154" t="s">
        <v>1899</v>
      </c>
      <c r="T1499" s="155" t="s">
        <v>768</v>
      </c>
      <c r="U1499" s="155" t="s">
        <v>1899</v>
      </c>
      <c r="V1499" s="154" t="s">
        <v>1904</v>
      </c>
      <c r="W1499" s="154">
        <v>0</v>
      </c>
      <c r="X1499" s="154" t="s">
        <v>63</v>
      </c>
      <c r="Y1499" s="154" t="s">
        <v>1386</v>
      </c>
      <c r="Z1499" s="154"/>
      <c r="AA1499" s="154" t="s">
        <v>1387</v>
      </c>
      <c r="AB1499" s="154">
        <v>0</v>
      </c>
      <c r="AC1499" s="138">
        <f>IFERROR(IF(DATEDIF(#REF!,U1499,"m")&lt;=1,1,IF(AND(DATEDIF(#REF!,U1499,"m")&gt;1,DATEDIF(#REF!,U1499,"m")&lt;12),2,IF(AND(DATEDIF(#REF!,U1499,"m")&gt;=12,DATEDIF(#REF!,U1499,"m")&lt;24),3,IF(DATEDIF(#REF!,U1499,"m")&gt;=24,4,"")))),IF(E1499="r0320 - Deposits, not covered and not preferential",1,4))</f>
        <v>4</v>
      </c>
    </row>
    <row r="1500" spans="3:29" ht="36.75" thickBot="1" x14ac:dyDescent="0.3">
      <c r="C1500" s="11">
        <v>999</v>
      </c>
      <c r="D1500" s="154">
        <v>1493</v>
      </c>
      <c r="E1500" s="154" t="s">
        <v>1898</v>
      </c>
      <c r="F1500" s="154" t="s">
        <v>87</v>
      </c>
      <c r="G1500" s="154" t="s">
        <v>1402</v>
      </c>
      <c r="H1500" s="154" t="s">
        <v>1259</v>
      </c>
      <c r="I1500" s="154" t="s">
        <v>96</v>
      </c>
      <c r="J1500" s="154" t="s">
        <v>97</v>
      </c>
      <c r="K1500" s="154" t="s">
        <v>91</v>
      </c>
      <c r="L1500" s="154" t="s">
        <v>1897</v>
      </c>
      <c r="M1500" s="154" t="s">
        <v>1383</v>
      </c>
      <c r="N1500" s="154" t="s">
        <v>61</v>
      </c>
      <c r="O1500" s="154" t="s">
        <v>62</v>
      </c>
      <c r="P1500" s="146">
        <v>29.17</v>
      </c>
      <c r="Q1500" s="146">
        <v>0</v>
      </c>
      <c r="R1500" s="154" t="s">
        <v>1384</v>
      </c>
      <c r="S1500" s="154" t="s">
        <v>1899</v>
      </c>
      <c r="T1500" s="155" t="s">
        <v>1899</v>
      </c>
      <c r="U1500" s="155" t="s">
        <v>1899</v>
      </c>
      <c r="V1500" s="154" t="s">
        <v>1562</v>
      </c>
      <c r="W1500" s="154">
        <v>0</v>
      </c>
      <c r="X1500" s="154" t="s">
        <v>63</v>
      </c>
      <c r="Y1500" s="154" t="s">
        <v>1900</v>
      </c>
      <c r="Z1500" s="154"/>
      <c r="AA1500" s="154" t="s">
        <v>1387</v>
      </c>
      <c r="AB1500" s="154">
        <v>0</v>
      </c>
      <c r="AC1500" s="138">
        <f>IFERROR(IF(DATEDIF(#REF!,U1500,"m")&lt;=1,1,IF(AND(DATEDIF(#REF!,U1500,"m")&gt;1,DATEDIF(#REF!,U1500,"m")&lt;12),2,IF(AND(DATEDIF(#REF!,U1500,"m")&gt;=12,DATEDIF(#REF!,U1500,"m")&lt;24),3,IF(DATEDIF(#REF!,U1500,"m")&gt;=24,4,"")))),IF(E1500="r0320 - Deposits, not covered and not preferential",1,4))</f>
        <v>4</v>
      </c>
    </row>
    <row r="1501" spans="3:29" ht="48.75" thickBot="1" x14ac:dyDescent="0.3">
      <c r="C1501" s="11">
        <v>999</v>
      </c>
      <c r="D1501" s="154">
        <v>1494</v>
      </c>
      <c r="E1501" s="154" t="s">
        <v>1902</v>
      </c>
      <c r="F1501" s="154" t="s">
        <v>83</v>
      </c>
      <c r="G1501" s="154" t="s">
        <v>1903</v>
      </c>
      <c r="H1501" s="154" t="s">
        <v>501</v>
      </c>
      <c r="I1501" s="154" t="s">
        <v>93</v>
      </c>
      <c r="J1501" s="154" t="s">
        <v>94</v>
      </c>
      <c r="K1501" s="154" t="s">
        <v>60</v>
      </c>
      <c r="L1501" s="154" t="s">
        <v>1897</v>
      </c>
      <c r="M1501" s="154" t="s">
        <v>1388</v>
      </c>
      <c r="N1501" s="154" t="s">
        <v>61</v>
      </c>
      <c r="O1501" s="154" t="s">
        <v>62</v>
      </c>
      <c r="P1501" s="146">
        <v>93383.22</v>
      </c>
      <c r="Q1501" s="146">
        <v>59.05</v>
      </c>
      <c r="R1501" s="154" t="s">
        <v>1384</v>
      </c>
      <c r="S1501" s="154" t="s">
        <v>1899</v>
      </c>
      <c r="T1501" s="155" t="s">
        <v>768</v>
      </c>
      <c r="U1501" s="155" t="s">
        <v>1899</v>
      </c>
      <c r="V1501" s="154" t="s">
        <v>1904</v>
      </c>
      <c r="W1501" s="154">
        <v>0</v>
      </c>
      <c r="X1501" s="154" t="s">
        <v>63</v>
      </c>
      <c r="Y1501" s="154" t="s">
        <v>1386</v>
      </c>
      <c r="Z1501" s="154"/>
      <c r="AA1501" s="154" t="s">
        <v>1387</v>
      </c>
      <c r="AB1501" s="154">
        <v>0</v>
      </c>
      <c r="AC1501" s="138">
        <f>IFERROR(IF(DATEDIF(#REF!,U1501,"m")&lt;=1,1,IF(AND(DATEDIF(#REF!,U1501,"m")&gt;1,DATEDIF(#REF!,U1501,"m")&lt;12),2,IF(AND(DATEDIF(#REF!,U1501,"m")&gt;=12,DATEDIF(#REF!,U1501,"m")&lt;24),3,IF(DATEDIF(#REF!,U1501,"m")&gt;=24,4,"")))),IF(E1501="r0320 - Deposits, not covered and not preferential",1,4))</f>
        <v>4</v>
      </c>
    </row>
    <row r="1502" spans="3:29" ht="36.75" thickBot="1" x14ac:dyDescent="0.3">
      <c r="C1502" s="11">
        <v>999</v>
      </c>
      <c r="D1502" s="154">
        <v>1495</v>
      </c>
      <c r="E1502" s="154" t="s">
        <v>1898</v>
      </c>
      <c r="F1502" s="154" t="s">
        <v>87</v>
      </c>
      <c r="G1502" s="154" t="s">
        <v>1402</v>
      </c>
      <c r="H1502" s="154" t="s">
        <v>452</v>
      </c>
      <c r="I1502" s="154" t="s">
        <v>108</v>
      </c>
      <c r="J1502" s="154" t="s">
        <v>90</v>
      </c>
      <c r="K1502" s="154" t="s">
        <v>91</v>
      </c>
      <c r="L1502" s="154" t="s">
        <v>1897</v>
      </c>
      <c r="M1502" s="154" t="s">
        <v>1383</v>
      </c>
      <c r="N1502" s="154" t="s">
        <v>61</v>
      </c>
      <c r="O1502" s="154" t="s">
        <v>62</v>
      </c>
      <c r="P1502" s="146">
        <v>4.66</v>
      </c>
      <c r="Q1502" s="146">
        <v>0</v>
      </c>
      <c r="R1502" s="154" t="s">
        <v>1384</v>
      </c>
      <c r="S1502" s="154" t="s">
        <v>1899</v>
      </c>
      <c r="T1502" s="155" t="s">
        <v>1899</v>
      </c>
      <c r="U1502" s="155" t="s">
        <v>1899</v>
      </c>
      <c r="V1502" s="154" t="s">
        <v>1562</v>
      </c>
      <c r="W1502" s="154">
        <v>0</v>
      </c>
      <c r="X1502" s="154" t="s">
        <v>63</v>
      </c>
      <c r="Y1502" s="154" t="s">
        <v>1900</v>
      </c>
      <c r="Z1502" s="154"/>
      <c r="AA1502" s="154" t="s">
        <v>1387</v>
      </c>
      <c r="AB1502" s="154">
        <v>0</v>
      </c>
      <c r="AC1502" s="138">
        <f>IFERROR(IF(DATEDIF(#REF!,U1502,"m")&lt;=1,1,IF(AND(DATEDIF(#REF!,U1502,"m")&gt;1,DATEDIF(#REF!,U1502,"m")&lt;12),2,IF(AND(DATEDIF(#REF!,U1502,"m")&gt;=12,DATEDIF(#REF!,U1502,"m")&lt;24),3,IF(DATEDIF(#REF!,U1502,"m")&gt;=24,4,"")))),IF(E1502="r0320 - Deposits, not covered and not preferential",1,4))</f>
        <v>4</v>
      </c>
    </row>
    <row r="1503" spans="3:29" ht="48.75" thickBot="1" x14ac:dyDescent="0.3">
      <c r="C1503" s="11">
        <v>999</v>
      </c>
      <c r="D1503" s="154">
        <v>1496</v>
      </c>
      <c r="E1503" s="154" t="s">
        <v>1902</v>
      </c>
      <c r="F1503" s="154" t="s">
        <v>83</v>
      </c>
      <c r="G1503" s="154" t="s">
        <v>1903</v>
      </c>
      <c r="H1503" s="154" t="s">
        <v>778</v>
      </c>
      <c r="I1503" s="154" t="s">
        <v>93</v>
      </c>
      <c r="J1503" s="154" t="s">
        <v>94</v>
      </c>
      <c r="K1503" s="154" t="s">
        <v>60</v>
      </c>
      <c r="L1503" s="154" t="s">
        <v>1897</v>
      </c>
      <c r="M1503" s="154" t="s">
        <v>1388</v>
      </c>
      <c r="N1503" s="154" t="s">
        <v>61</v>
      </c>
      <c r="O1503" s="154" t="s">
        <v>62</v>
      </c>
      <c r="P1503" s="146">
        <v>55464.68</v>
      </c>
      <c r="Q1503" s="146">
        <v>22.88</v>
      </c>
      <c r="R1503" s="154" t="s">
        <v>1384</v>
      </c>
      <c r="S1503" s="154" t="s">
        <v>1899</v>
      </c>
      <c r="T1503" s="155" t="s">
        <v>768</v>
      </c>
      <c r="U1503" s="155" t="s">
        <v>1899</v>
      </c>
      <c r="V1503" s="154" t="s">
        <v>1904</v>
      </c>
      <c r="W1503" s="154">
        <v>0</v>
      </c>
      <c r="X1503" s="154" t="s">
        <v>63</v>
      </c>
      <c r="Y1503" s="154" t="s">
        <v>1386</v>
      </c>
      <c r="Z1503" s="154"/>
      <c r="AA1503" s="154" t="s">
        <v>1387</v>
      </c>
      <c r="AB1503" s="154">
        <v>0</v>
      </c>
      <c r="AC1503" s="138">
        <f>IFERROR(IF(DATEDIF(#REF!,U1503,"m")&lt;=1,1,IF(AND(DATEDIF(#REF!,U1503,"m")&gt;1,DATEDIF(#REF!,U1503,"m")&lt;12),2,IF(AND(DATEDIF(#REF!,U1503,"m")&gt;=12,DATEDIF(#REF!,U1503,"m")&lt;24),3,IF(DATEDIF(#REF!,U1503,"m")&gt;=24,4,"")))),IF(E1503="r0320 - Deposits, not covered and not preferential",1,4))</f>
        <v>4</v>
      </c>
    </row>
    <row r="1504" spans="3:29" ht="36.75" thickBot="1" x14ac:dyDescent="0.3">
      <c r="C1504" s="11">
        <v>999</v>
      </c>
      <c r="D1504" s="154">
        <v>1497</v>
      </c>
      <c r="E1504" s="154" t="s">
        <v>1898</v>
      </c>
      <c r="F1504" s="154" t="s">
        <v>87</v>
      </c>
      <c r="G1504" s="154" t="s">
        <v>1402</v>
      </c>
      <c r="H1504" s="154" t="s">
        <v>325</v>
      </c>
      <c r="I1504" s="154" t="s">
        <v>96</v>
      </c>
      <c r="J1504" s="154" t="s">
        <v>97</v>
      </c>
      <c r="K1504" s="154" t="s">
        <v>91</v>
      </c>
      <c r="L1504" s="154" t="s">
        <v>1897</v>
      </c>
      <c r="M1504" s="154" t="s">
        <v>1383</v>
      </c>
      <c r="N1504" s="154" t="s">
        <v>61</v>
      </c>
      <c r="O1504" s="154" t="s">
        <v>62</v>
      </c>
      <c r="P1504" s="146">
        <v>76.67</v>
      </c>
      <c r="Q1504" s="146">
        <v>0</v>
      </c>
      <c r="R1504" s="154" t="s">
        <v>1384</v>
      </c>
      <c r="S1504" s="154" t="s">
        <v>1899</v>
      </c>
      <c r="T1504" s="155" t="s">
        <v>1899</v>
      </c>
      <c r="U1504" s="155" t="s">
        <v>1899</v>
      </c>
      <c r="V1504" s="154" t="s">
        <v>1562</v>
      </c>
      <c r="W1504" s="154">
        <v>0</v>
      </c>
      <c r="X1504" s="154" t="s">
        <v>63</v>
      </c>
      <c r="Y1504" s="154" t="s">
        <v>1900</v>
      </c>
      <c r="Z1504" s="154"/>
      <c r="AA1504" s="154" t="s">
        <v>1387</v>
      </c>
      <c r="AB1504" s="154">
        <v>0</v>
      </c>
      <c r="AC1504" s="138">
        <f>IFERROR(IF(DATEDIF(#REF!,U1504,"m")&lt;=1,1,IF(AND(DATEDIF(#REF!,U1504,"m")&gt;1,DATEDIF(#REF!,U1504,"m")&lt;12),2,IF(AND(DATEDIF(#REF!,U1504,"m")&gt;=12,DATEDIF(#REF!,U1504,"m")&lt;24),3,IF(DATEDIF(#REF!,U1504,"m")&gt;=24,4,"")))),IF(E1504="r0320 - Deposits, not covered and not preferential",1,4))</f>
        <v>4</v>
      </c>
    </row>
    <row r="1505" spans="3:29" ht="48.75" thickBot="1" x14ac:dyDescent="0.3">
      <c r="C1505" s="11">
        <v>999</v>
      </c>
      <c r="D1505" s="154">
        <v>1498</v>
      </c>
      <c r="E1505" s="154" t="s">
        <v>1902</v>
      </c>
      <c r="F1505" s="154" t="s">
        <v>83</v>
      </c>
      <c r="G1505" s="154" t="s">
        <v>1903</v>
      </c>
      <c r="H1505" s="154" t="s">
        <v>780</v>
      </c>
      <c r="I1505" s="154" t="s">
        <v>101</v>
      </c>
      <c r="J1505" s="154" t="s">
        <v>102</v>
      </c>
      <c r="K1505" s="154" t="s">
        <v>60</v>
      </c>
      <c r="L1505" s="154" t="s">
        <v>1897</v>
      </c>
      <c r="M1505" s="154" t="s">
        <v>1388</v>
      </c>
      <c r="N1505" s="154" t="s">
        <v>61</v>
      </c>
      <c r="O1505" s="154" t="s">
        <v>62</v>
      </c>
      <c r="P1505" s="146">
        <v>417807.45</v>
      </c>
      <c r="Q1505" s="146">
        <v>138.46</v>
      </c>
      <c r="R1505" s="154" t="s">
        <v>1384</v>
      </c>
      <c r="S1505" s="154" t="s">
        <v>1899</v>
      </c>
      <c r="T1505" s="155" t="s">
        <v>768</v>
      </c>
      <c r="U1505" s="155" t="s">
        <v>1899</v>
      </c>
      <c r="V1505" s="154" t="s">
        <v>1904</v>
      </c>
      <c r="W1505" s="154">
        <v>0</v>
      </c>
      <c r="X1505" s="154" t="s">
        <v>63</v>
      </c>
      <c r="Y1505" s="154" t="s">
        <v>1386</v>
      </c>
      <c r="Z1505" s="154"/>
      <c r="AA1505" s="154" t="s">
        <v>1387</v>
      </c>
      <c r="AB1505" s="154">
        <v>0</v>
      </c>
      <c r="AC1505" s="138">
        <f>IFERROR(IF(DATEDIF(#REF!,U1505,"m")&lt;=1,1,IF(AND(DATEDIF(#REF!,U1505,"m")&gt;1,DATEDIF(#REF!,U1505,"m")&lt;12),2,IF(AND(DATEDIF(#REF!,U1505,"m")&gt;=12,DATEDIF(#REF!,U1505,"m")&lt;24),3,IF(DATEDIF(#REF!,U1505,"m")&gt;=24,4,"")))),IF(E1505="r0320 - Deposits, not covered and not preferential",1,4))</f>
        <v>4</v>
      </c>
    </row>
    <row r="1506" spans="3:29" ht="36.75" thickBot="1" x14ac:dyDescent="0.3">
      <c r="C1506" s="11">
        <v>999</v>
      </c>
      <c r="D1506" s="154">
        <v>1499</v>
      </c>
      <c r="E1506" s="154" t="s">
        <v>1898</v>
      </c>
      <c r="F1506" s="154" t="s">
        <v>87</v>
      </c>
      <c r="G1506" s="154" t="s">
        <v>1402</v>
      </c>
      <c r="H1506" s="154" t="s">
        <v>1257</v>
      </c>
      <c r="I1506" s="154" t="s">
        <v>96</v>
      </c>
      <c r="J1506" s="154" t="s">
        <v>97</v>
      </c>
      <c r="K1506" s="154" t="s">
        <v>91</v>
      </c>
      <c r="L1506" s="154" t="s">
        <v>1897</v>
      </c>
      <c r="M1506" s="154" t="s">
        <v>1383</v>
      </c>
      <c r="N1506" s="154" t="s">
        <v>61</v>
      </c>
      <c r="O1506" s="154" t="s">
        <v>62</v>
      </c>
      <c r="P1506" s="146">
        <v>2.48</v>
      </c>
      <c r="Q1506" s="146">
        <v>0</v>
      </c>
      <c r="R1506" s="154" t="s">
        <v>1384</v>
      </c>
      <c r="S1506" s="154" t="s">
        <v>1899</v>
      </c>
      <c r="T1506" s="155" t="s">
        <v>1899</v>
      </c>
      <c r="U1506" s="155" t="s">
        <v>1899</v>
      </c>
      <c r="V1506" s="154" t="s">
        <v>1562</v>
      </c>
      <c r="W1506" s="154">
        <v>0</v>
      </c>
      <c r="X1506" s="154" t="s">
        <v>63</v>
      </c>
      <c r="Y1506" s="154" t="s">
        <v>1900</v>
      </c>
      <c r="Z1506" s="154"/>
      <c r="AA1506" s="154" t="s">
        <v>1387</v>
      </c>
      <c r="AB1506" s="154">
        <v>0</v>
      </c>
      <c r="AC1506" s="138">
        <f>IFERROR(IF(DATEDIF(#REF!,U1506,"m")&lt;=1,1,IF(AND(DATEDIF(#REF!,U1506,"m")&gt;1,DATEDIF(#REF!,U1506,"m")&lt;12),2,IF(AND(DATEDIF(#REF!,U1506,"m")&gt;=12,DATEDIF(#REF!,U1506,"m")&lt;24),3,IF(DATEDIF(#REF!,U1506,"m")&gt;=24,4,"")))),IF(E1506="r0320 - Deposits, not covered and not preferential",1,4))</f>
        <v>4</v>
      </c>
    </row>
    <row r="1507" spans="3:29" ht="48.75" thickBot="1" x14ac:dyDescent="0.3">
      <c r="C1507" s="11">
        <v>999</v>
      </c>
      <c r="D1507" s="154">
        <v>1500</v>
      </c>
      <c r="E1507" s="154" t="s">
        <v>1902</v>
      </c>
      <c r="F1507" s="154" t="s">
        <v>83</v>
      </c>
      <c r="G1507" s="154" t="s">
        <v>1903</v>
      </c>
      <c r="H1507" s="154" t="s">
        <v>778</v>
      </c>
      <c r="I1507" s="154" t="s">
        <v>114</v>
      </c>
      <c r="J1507" s="154" t="s">
        <v>115</v>
      </c>
      <c r="K1507" s="154" t="s">
        <v>60</v>
      </c>
      <c r="L1507" s="154" t="s">
        <v>1897</v>
      </c>
      <c r="M1507" s="154" t="s">
        <v>1388</v>
      </c>
      <c r="N1507" s="154" t="s">
        <v>61</v>
      </c>
      <c r="O1507" s="154" t="s">
        <v>62</v>
      </c>
      <c r="P1507" s="146">
        <v>74808.11</v>
      </c>
      <c r="Q1507" s="146">
        <v>6.11</v>
      </c>
      <c r="R1507" s="154" t="s">
        <v>1384</v>
      </c>
      <c r="S1507" s="154" t="s">
        <v>1899</v>
      </c>
      <c r="T1507" s="155" t="s">
        <v>768</v>
      </c>
      <c r="U1507" s="155" t="s">
        <v>1899</v>
      </c>
      <c r="V1507" s="154" t="s">
        <v>1904</v>
      </c>
      <c r="W1507" s="154">
        <v>0</v>
      </c>
      <c r="X1507" s="154" t="s">
        <v>63</v>
      </c>
      <c r="Y1507" s="154" t="s">
        <v>1386</v>
      </c>
      <c r="Z1507" s="154"/>
      <c r="AA1507" s="154" t="s">
        <v>1387</v>
      </c>
      <c r="AB1507" s="154">
        <v>0</v>
      </c>
      <c r="AC1507" s="138">
        <f>IFERROR(IF(DATEDIF(#REF!,U1507,"m")&lt;=1,1,IF(AND(DATEDIF(#REF!,U1507,"m")&gt;1,DATEDIF(#REF!,U1507,"m")&lt;12),2,IF(AND(DATEDIF(#REF!,U1507,"m")&gt;=12,DATEDIF(#REF!,U1507,"m")&lt;24),3,IF(DATEDIF(#REF!,U1507,"m")&gt;=24,4,"")))),IF(E1507="r0320 - Deposits, not covered and not preferential",1,4))</f>
        <v>4</v>
      </c>
    </row>
    <row r="1508" spans="3:29" ht="36.75" thickBot="1" x14ac:dyDescent="0.3">
      <c r="C1508" s="11">
        <v>999</v>
      </c>
      <c r="D1508" s="154">
        <v>1501</v>
      </c>
      <c r="E1508" s="154" t="s">
        <v>1898</v>
      </c>
      <c r="F1508" s="154" t="s">
        <v>87</v>
      </c>
      <c r="G1508" s="154" t="s">
        <v>1402</v>
      </c>
      <c r="H1508" s="154" t="s">
        <v>459</v>
      </c>
      <c r="I1508" s="154" t="s">
        <v>96</v>
      </c>
      <c r="J1508" s="154" t="s">
        <v>97</v>
      </c>
      <c r="K1508" s="154" t="s">
        <v>91</v>
      </c>
      <c r="L1508" s="154" t="s">
        <v>1897</v>
      </c>
      <c r="M1508" s="154" t="s">
        <v>1383</v>
      </c>
      <c r="N1508" s="154" t="s">
        <v>61</v>
      </c>
      <c r="O1508" s="154" t="s">
        <v>62</v>
      </c>
      <c r="P1508" s="146">
        <v>33.33</v>
      </c>
      <c r="Q1508" s="146">
        <v>0</v>
      </c>
      <c r="R1508" s="154" t="s">
        <v>1384</v>
      </c>
      <c r="S1508" s="154" t="s">
        <v>1899</v>
      </c>
      <c r="T1508" s="155" t="s">
        <v>1899</v>
      </c>
      <c r="U1508" s="155" t="s">
        <v>1899</v>
      </c>
      <c r="V1508" s="154" t="s">
        <v>1562</v>
      </c>
      <c r="W1508" s="154">
        <v>0</v>
      </c>
      <c r="X1508" s="154" t="s">
        <v>63</v>
      </c>
      <c r="Y1508" s="154" t="s">
        <v>1900</v>
      </c>
      <c r="Z1508" s="154"/>
      <c r="AA1508" s="154" t="s">
        <v>1387</v>
      </c>
      <c r="AB1508" s="154">
        <v>0</v>
      </c>
      <c r="AC1508" s="138">
        <f>IFERROR(IF(DATEDIF(#REF!,U1508,"m")&lt;=1,1,IF(AND(DATEDIF(#REF!,U1508,"m")&gt;1,DATEDIF(#REF!,U1508,"m")&lt;12),2,IF(AND(DATEDIF(#REF!,U1508,"m")&gt;=12,DATEDIF(#REF!,U1508,"m")&lt;24),3,IF(DATEDIF(#REF!,U1508,"m")&gt;=24,4,"")))),IF(E1508="r0320 - Deposits, not covered and not preferential",1,4))</f>
        <v>4</v>
      </c>
    </row>
    <row r="1509" spans="3:29" ht="48.75" thickBot="1" x14ac:dyDescent="0.3">
      <c r="C1509" s="11">
        <v>999</v>
      </c>
      <c r="D1509" s="154">
        <v>1502</v>
      </c>
      <c r="E1509" s="154" t="s">
        <v>1902</v>
      </c>
      <c r="F1509" s="154" t="s">
        <v>83</v>
      </c>
      <c r="G1509" s="154" t="s">
        <v>1903</v>
      </c>
      <c r="H1509" s="154" t="s">
        <v>92</v>
      </c>
      <c r="I1509" s="154" t="s">
        <v>101</v>
      </c>
      <c r="J1509" s="154" t="s">
        <v>102</v>
      </c>
      <c r="K1509" s="154" t="s">
        <v>60</v>
      </c>
      <c r="L1509" s="154" t="s">
        <v>1897</v>
      </c>
      <c r="M1509" s="154" t="s">
        <v>1388</v>
      </c>
      <c r="N1509" s="154" t="s">
        <v>61</v>
      </c>
      <c r="O1509" s="154" t="s">
        <v>62</v>
      </c>
      <c r="P1509" s="146">
        <v>109583.26</v>
      </c>
      <c r="Q1509" s="146">
        <v>4.49</v>
      </c>
      <c r="R1509" s="154" t="s">
        <v>1384</v>
      </c>
      <c r="S1509" s="154" t="s">
        <v>1899</v>
      </c>
      <c r="T1509" s="155" t="s">
        <v>768</v>
      </c>
      <c r="U1509" s="155" t="s">
        <v>1899</v>
      </c>
      <c r="V1509" s="154" t="s">
        <v>1904</v>
      </c>
      <c r="W1509" s="154">
        <v>0</v>
      </c>
      <c r="X1509" s="154" t="s">
        <v>63</v>
      </c>
      <c r="Y1509" s="154" t="s">
        <v>1386</v>
      </c>
      <c r="Z1509" s="154"/>
      <c r="AA1509" s="154" t="s">
        <v>1387</v>
      </c>
      <c r="AB1509" s="154">
        <v>0</v>
      </c>
      <c r="AC1509" s="138">
        <f>IFERROR(IF(DATEDIF(#REF!,U1509,"m")&lt;=1,1,IF(AND(DATEDIF(#REF!,U1509,"m")&gt;1,DATEDIF(#REF!,U1509,"m")&lt;12),2,IF(AND(DATEDIF(#REF!,U1509,"m")&gt;=12,DATEDIF(#REF!,U1509,"m")&lt;24),3,IF(DATEDIF(#REF!,U1509,"m")&gt;=24,4,"")))),IF(E1509="r0320 - Deposits, not covered and not preferential",1,4))</f>
        <v>4</v>
      </c>
    </row>
    <row r="1510" spans="3:29" ht="36.75" thickBot="1" x14ac:dyDescent="0.3">
      <c r="C1510" s="11">
        <v>999</v>
      </c>
      <c r="D1510" s="154">
        <v>1503</v>
      </c>
      <c r="E1510" s="154" t="s">
        <v>1898</v>
      </c>
      <c r="F1510" s="154" t="s">
        <v>87</v>
      </c>
      <c r="G1510" s="154" t="s">
        <v>1402</v>
      </c>
      <c r="H1510" s="154" t="s">
        <v>520</v>
      </c>
      <c r="I1510" s="154" t="s">
        <v>108</v>
      </c>
      <c r="J1510" s="154" t="s">
        <v>90</v>
      </c>
      <c r="K1510" s="154" t="s">
        <v>91</v>
      </c>
      <c r="L1510" s="154" t="s">
        <v>1897</v>
      </c>
      <c r="M1510" s="154" t="s">
        <v>1383</v>
      </c>
      <c r="N1510" s="154" t="s">
        <v>61</v>
      </c>
      <c r="O1510" s="154" t="s">
        <v>62</v>
      </c>
      <c r="P1510" s="146">
        <v>1.55</v>
      </c>
      <c r="Q1510" s="146">
        <v>0</v>
      </c>
      <c r="R1510" s="154" t="s">
        <v>1384</v>
      </c>
      <c r="S1510" s="154" t="s">
        <v>1899</v>
      </c>
      <c r="T1510" s="155" t="s">
        <v>1899</v>
      </c>
      <c r="U1510" s="155" t="s">
        <v>1899</v>
      </c>
      <c r="V1510" s="154" t="s">
        <v>1562</v>
      </c>
      <c r="W1510" s="154">
        <v>0</v>
      </c>
      <c r="X1510" s="154" t="s">
        <v>63</v>
      </c>
      <c r="Y1510" s="154" t="s">
        <v>1900</v>
      </c>
      <c r="Z1510" s="154"/>
      <c r="AA1510" s="154" t="s">
        <v>1387</v>
      </c>
      <c r="AB1510" s="154">
        <v>0</v>
      </c>
      <c r="AC1510" s="138">
        <f>IFERROR(IF(DATEDIF(#REF!,U1510,"m")&lt;=1,1,IF(AND(DATEDIF(#REF!,U1510,"m")&gt;1,DATEDIF(#REF!,U1510,"m")&lt;12),2,IF(AND(DATEDIF(#REF!,U1510,"m")&gt;=12,DATEDIF(#REF!,U1510,"m")&lt;24),3,IF(DATEDIF(#REF!,U1510,"m")&gt;=24,4,"")))),IF(E1510="r0320 - Deposits, not covered and not preferential",1,4))</f>
        <v>4</v>
      </c>
    </row>
    <row r="1511" spans="3:29" ht="48.75" thickBot="1" x14ac:dyDescent="0.3">
      <c r="C1511" s="11">
        <v>999</v>
      </c>
      <c r="D1511" s="154">
        <v>1504</v>
      </c>
      <c r="E1511" s="154" t="s">
        <v>1902</v>
      </c>
      <c r="F1511" s="154" t="s">
        <v>83</v>
      </c>
      <c r="G1511" s="154" t="s">
        <v>1903</v>
      </c>
      <c r="H1511" s="154" t="s">
        <v>471</v>
      </c>
      <c r="I1511" s="154" t="s">
        <v>101</v>
      </c>
      <c r="J1511" s="154" t="s">
        <v>102</v>
      </c>
      <c r="K1511" s="154" t="s">
        <v>60</v>
      </c>
      <c r="L1511" s="154" t="s">
        <v>1897</v>
      </c>
      <c r="M1511" s="154" t="s">
        <v>1388</v>
      </c>
      <c r="N1511" s="154" t="s">
        <v>61</v>
      </c>
      <c r="O1511" s="154" t="s">
        <v>62</v>
      </c>
      <c r="P1511" s="146">
        <v>15486.98</v>
      </c>
      <c r="Q1511" s="146">
        <v>-1.43</v>
      </c>
      <c r="R1511" s="154" t="s">
        <v>1384</v>
      </c>
      <c r="S1511" s="154" t="s">
        <v>1899</v>
      </c>
      <c r="T1511" s="155" t="s">
        <v>768</v>
      </c>
      <c r="U1511" s="155" t="s">
        <v>1899</v>
      </c>
      <c r="V1511" s="154" t="s">
        <v>1904</v>
      </c>
      <c r="W1511" s="154">
        <v>0</v>
      </c>
      <c r="X1511" s="154" t="s">
        <v>63</v>
      </c>
      <c r="Y1511" s="154" t="s">
        <v>1386</v>
      </c>
      <c r="Z1511" s="154"/>
      <c r="AA1511" s="154" t="s">
        <v>1387</v>
      </c>
      <c r="AB1511" s="154">
        <v>0</v>
      </c>
      <c r="AC1511" s="138">
        <f>IFERROR(IF(DATEDIF(#REF!,U1511,"m")&lt;=1,1,IF(AND(DATEDIF(#REF!,U1511,"m")&gt;1,DATEDIF(#REF!,U1511,"m")&lt;12),2,IF(AND(DATEDIF(#REF!,U1511,"m")&gt;=12,DATEDIF(#REF!,U1511,"m")&lt;24),3,IF(DATEDIF(#REF!,U1511,"m")&gt;=24,4,"")))),IF(E1511="r0320 - Deposits, not covered and not preferential",1,4))</f>
        <v>4</v>
      </c>
    </row>
    <row r="1512" spans="3:29" ht="36.75" thickBot="1" x14ac:dyDescent="0.3">
      <c r="C1512" s="11">
        <v>999</v>
      </c>
      <c r="D1512" s="154">
        <v>1505</v>
      </c>
      <c r="E1512" s="154" t="s">
        <v>1898</v>
      </c>
      <c r="F1512" s="154" t="s">
        <v>87</v>
      </c>
      <c r="G1512" s="154" t="s">
        <v>1402</v>
      </c>
      <c r="H1512" s="154" t="s">
        <v>1240</v>
      </c>
      <c r="I1512" s="154" t="s">
        <v>1241</v>
      </c>
      <c r="J1512" s="154" t="s">
        <v>1242</v>
      </c>
      <c r="K1512" s="154" t="s">
        <v>60</v>
      </c>
      <c r="L1512" s="154" t="s">
        <v>1897</v>
      </c>
      <c r="M1512" s="154" t="s">
        <v>1383</v>
      </c>
      <c r="N1512" s="154" t="s">
        <v>61</v>
      </c>
      <c r="O1512" s="154" t="s">
        <v>62</v>
      </c>
      <c r="P1512" s="146">
        <v>1.58</v>
      </c>
      <c r="Q1512" s="146">
        <v>0</v>
      </c>
      <c r="R1512" s="154" t="s">
        <v>1384</v>
      </c>
      <c r="S1512" s="154" t="s">
        <v>1899</v>
      </c>
      <c r="T1512" s="155" t="s">
        <v>1899</v>
      </c>
      <c r="U1512" s="155" t="s">
        <v>1899</v>
      </c>
      <c r="V1512" s="154" t="s">
        <v>1562</v>
      </c>
      <c r="W1512" s="154">
        <v>0</v>
      </c>
      <c r="X1512" s="154" t="s">
        <v>63</v>
      </c>
      <c r="Y1512" s="154" t="s">
        <v>1900</v>
      </c>
      <c r="Z1512" s="154"/>
      <c r="AA1512" s="154" t="s">
        <v>1387</v>
      </c>
      <c r="AB1512" s="154">
        <v>0</v>
      </c>
      <c r="AC1512" s="138">
        <f>IFERROR(IF(DATEDIF(#REF!,U1512,"m")&lt;=1,1,IF(AND(DATEDIF(#REF!,U1512,"m")&gt;1,DATEDIF(#REF!,U1512,"m")&lt;12),2,IF(AND(DATEDIF(#REF!,U1512,"m")&gt;=12,DATEDIF(#REF!,U1512,"m")&lt;24),3,IF(DATEDIF(#REF!,U1512,"m")&gt;=24,4,"")))),IF(E1512="r0320 - Deposits, not covered and not preferential",1,4))</f>
        <v>4</v>
      </c>
    </row>
    <row r="1513" spans="3:29" ht="48.75" thickBot="1" x14ac:dyDescent="0.3">
      <c r="C1513" s="11">
        <v>999</v>
      </c>
      <c r="D1513" s="154">
        <v>1506</v>
      </c>
      <c r="E1513" s="154" t="s">
        <v>1902</v>
      </c>
      <c r="F1513" s="154" t="s">
        <v>83</v>
      </c>
      <c r="G1513" s="154" t="s">
        <v>1903</v>
      </c>
      <c r="H1513" s="154" t="s">
        <v>462</v>
      </c>
      <c r="I1513" s="154" t="s">
        <v>114</v>
      </c>
      <c r="J1513" s="154" t="s">
        <v>115</v>
      </c>
      <c r="K1513" s="154" t="s">
        <v>60</v>
      </c>
      <c r="L1513" s="154" t="s">
        <v>1897</v>
      </c>
      <c r="M1513" s="154" t="s">
        <v>1388</v>
      </c>
      <c r="N1513" s="154" t="s">
        <v>61</v>
      </c>
      <c r="O1513" s="154" t="s">
        <v>62</v>
      </c>
      <c r="P1513" s="146">
        <v>294750.2</v>
      </c>
      <c r="Q1513" s="146">
        <v>52.27</v>
      </c>
      <c r="R1513" s="154" t="s">
        <v>1384</v>
      </c>
      <c r="S1513" s="154" t="s">
        <v>1899</v>
      </c>
      <c r="T1513" s="155" t="s">
        <v>768</v>
      </c>
      <c r="U1513" s="155" t="s">
        <v>1899</v>
      </c>
      <c r="V1513" s="154" t="s">
        <v>1904</v>
      </c>
      <c r="W1513" s="154">
        <v>0</v>
      </c>
      <c r="X1513" s="154" t="s">
        <v>63</v>
      </c>
      <c r="Y1513" s="154" t="s">
        <v>1386</v>
      </c>
      <c r="Z1513" s="154"/>
      <c r="AA1513" s="154" t="s">
        <v>1387</v>
      </c>
      <c r="AB1513" s="154">
        <v>0</v>
      </c>
      <c r="AC1513" s="138">
        <f>IFERROR(IF(DATEDIF(#REF!,U1513,"m")&lt;=1,1,IF(AND(DATEDIF(#REF!,U1513,"m")&gt;1,DATEDIF(#REF!,U1513,"m")&lt;12),2,IF(AND(DATEDIF(#REF!,U1513,"m")&gt;=12,DATEDIF(#REF!,U1513,"m")&lt;24),3,IF(DATEDIF(#REF!,U1513,"m")&gt;=24,4,"")))),IF(E1513="r0320 - Deposits, not covered and not preferential",1,4))</f>
        <v>4</v>
      </c>
    </row>
    <row r="1514" spans="3:29" ht="36.75" thickBot="1" x14ac:dyDescent="0.3">
      <c r="C1514" s="11">
        <v>999</v>
      </c>
      <c r="D1514" s="154">
        <v>1507</v>
      </c>
      <c r="E1514" s="154" t="s">
        <v>1898</v>
      </c>
      <c r="F1514" s="154" t="s">
        <v>87</v>
      </c>
      <c r="G1514" s="154" t="s">
        <v>1402</v>
      </c>
      <c r="H1514" s="154" t="s">
        <v>497</v>
      </c>
      <c r="I1514" s="154" t="s">
        <v>96</v>
      </c>
      <c r="J1514" s="154" t="s">
        <v>97</v>
      </c>
      <c r="K1514" s="154" t="s">
        <v>91</v>
      </c>
      <c r="L1514" s="154" t="s">
        <v>1897</v>
      </c>
      <c r="M1514" s="154" t="s">
        <v>1383</v>
      </c>
      <c r="N1514" s="154" t="s">
        <v>61</v>
      </c>
      <c r="O1514" s="154" t="s">
        <v>62</v>
      </c>
      <c r="P1514" s="146">
        <v>0.11</v>
      </c>
      <c r="Q1514" s="146">
        <v>0</v>
      </c>
      <c r="R1514" s="154" t="s">
        <v>1384</v>
      </c>
      <c r="S1514" s="154" t="s">
        <v>1899</v>
      </c>
      <c r="T1514" s="155" t="s">
        <v>1899</v>
      </c>
      <c r="U1514" s="155" t="s">
        <v>1899</v>
      </c>
      <c r="V1514" s="154" t="s">
        <v>1562</v>
      </c>
      <c r="W1514" s="154">
        <v>0</v>
      </c>
      <c r="X1514" s="154" t="s">
        <v>63</v>
      </c>
      <c r="Y1514" s="154" t="s">
        <v>1900</v>
      </c>
      <c r="Z1514" s="154"/>
      <c r="AA1514" s="154" t="s">
        <v>1387</v>
      </c>
      <c r="AB1514" s="154">
        <v>0</v>
      </c>
      <c r="AC1514" s="138">
        <f>IFERROR(IF(DATEDIF(#REF!,U1514,"m")&lt;=1,1,IF(AND(DATEDIF(#REF!,U1514,"m")&gt;1,DATEDIF(#REF!,U1514,"m")&lt;12),2,IF(AND(DATEDIF(#REF!,U1514,"m")&gt;=12,DATEDIF(#REF!,U1514,"m")&lt;24),3,IF(DATEDIF(#REF!,U1514,"m")&gt;=24,4,"")))),IF(E1514="r0320 - Deposits, not covered and not preferential",1,4))</f>
        <v>4</v>
      </c>
    </row>
    <row r="1515" spans="3:29" ht="48.75" thickBot="1" x14ac:dyDescent="0.3">
      <c r="C1515" s="11">
        <v>999</v>
      </c>
      <c r="D1515" s="154">
        <v>1508</v>
      </c>
      <c r="E1515" s="154" t="s">
        <v>1902</v>
      </c>
      <c r="F1515" s="154" t="s">
        <v>83</v>
      </c>
      <c r="G1515" s="154" t="s">
        <v>1903</v>
      </c>
      <c r="H1515" s="154" t="s">
        <v>938</v>
      </c>
      <c r="I1515" s="154" t="s">
        <v>101</v>
      </c>
      <c r="J1515" s="154" t="s">
        <v>102</v>
      </c>
      <c r="K1515" s="154" t="s">
        <v>60</v>
      </c>
      <c r="L1515" s="154" t="s">
        <v>1897</v>
      </c>
      <c r="M1515" s="154" t="s">
        <v>1388</v>
      </c>
      <c r="N1515" s="154" t="s">
        <v>61</v>
      </c>
      <c r="O1515" s="154" t="s">
        <v>62</v>
      </c>
      <c r="P1515" s="146">
        <v>822603.33</v>
      </c>
      <c r="Q1515" s="146">
        <v>179.75</v>
      </c>
      <c r="R1515" s="154" t="s">
        <v>1384</v>
      </c>
      <c r="S1515" s="154" t="s">
        <v>1899</v>
      </c>
      <c r="T1515" s="155" t="s">
        <v>768</v>
      </c>
      <c r="U1515" s="155" t="s">
        <v>1899</v>
      </c>
      <c r="V1515" s="154" t="s">
        <v>1904</v>
      </c>
      <c r="W1515" s="154">
        <v>0</v>
      </c>
      <c r="X1515" s="154" t="s">
        <v>63</v>
      </c>
      <c r="Y1515" s="154" t="s">
        <v>1386</v>
      </c>
      <c r="Z1515" s="154"/>
      <c r="AA1515" s="154" t="s">
        <v>1387</v>
      </c>
      <c r="AB1515" s="154">
        <v>0</v>
      </c>
      <c r="AC1515" s="138">
        <f>IFERROR(IF(DATEDIF(#REF!,U1515,"m")&lt;=1,1,IF(AND(DATEDIF(#REF!,U1515,"m")&gt;1,DATEDIF(#REF!,U1515,"m")&lt;12),2,IF(AND(DATEDIF(#REF!,U1515,"m")&gt;=12,DATEDIF(#REF!,U1515,"m")&lt;24),3,IF(DATEDIF(#REF!,U1515,"m")&gt;=24,4,"")))),IF(E1515="r0320 - Deposits, not covered and not preferential",1,4))</f>
        <v>4</v>
      </c>
    </row>
    <row r="1516" spans="3:29" ht="36.75" thickBot="1" x14ac:dyDescent="0.3">
      <c r="C1516" s="11">
        <v>999</v>
      </c>
      <c r="D1516" s="154">
        <v>1509</v>
      </c>
      <c r="E1516" s="154" t="s">
        <v>1898</v>
      </c>
      <c r="F1516" s="154" t="s">
        <v>87</v>
      </c>
      <c r="G1516" s="154" t="s">
        <v>1402</v>
      </c>
      <c r="H1516" s="154" t="s">
        <v>141</v>
      </c>
      <c r="I1516" s="154" t="s">
        <v>142</v>
      </c>
      <c r="J1516" s="154" t="s">
        <v>143</v>
      </c>
      <c r="K1516" s="154" t="s">
        <v>60</v>
      </c>
      <c r="L1516" s="154" t="s">
        <v>1897</v>
      </c>
      <c r="M1516" s="154" t="s">
        <v>1383</v>
      </c>
      <c r="N1516" s="154" t="s">
        <v>61</v>
      </c>
      <c r="O1516" s="154" t="s">
        <v>62</v>
      </c>
      <c r="P1516" s="146">
        <v>22.98</v>
      </c>
      <c r="Q1516" s="146">
        <v>0</v>
      </c>
      <c r="R1516" s="154" t="s">
        <v>1384</v>
      </c>
      <c r="S1516" s="154" t="s">
        <v>1899</v>
      </c>
      <c r="T1516" s="155" t="s">
        <v>1899</v>
      </c>
      <c r="U1516" s="155" t="s">
        <v>1899</v>
      </c>
      <c r="V1516" s="154" t="s">
        <v>1562</v>
      </c>
      <c r="W1516" s="154">
        <v>0</v>
      </c>
      <c r="X1516" s="154" t="s">
        <v>63</v>
      </c>
      <c r="Y1516" s="154" t="s">
        <v>1900</v>
      </c>
      <c r="Z1516" s="154"/>
      <c r="AA1516" s="154" t="s">
        <v>1387</v>
      </c>
      <c r="AB1516" s="154">
        <v>0</v>
      </c>
      <c r="AC1516" s="138">
        <f>IFERROR(IF(DATEDIF(#REF!,U1516,"m")&lt;=1,1,IF(AND(DATEDIF(#REF!,U1516,"m")&gt;1,DATEDIF(#REF!,U1516,"m")&lt;12),2,IF(AND(DATEDIF(#REF!,U1516,"m")&gt;=12,DATEDIF(#REF!,U1516,"m")&lt;24),3,IF(DATEDIF(#REF!,U1516,"m")&gt;=24,4,"")))),IF(E1516="r0320 - Deposits, not covered and not preferential",1,4))</f>
        <v>4</v>
      </c>
    </row>
    <row r="1517" spans="3:29" ht="48.75" thickBot="1" x14ac:dyDescent="0.3">
      <c r="C1517" s="11">
        <v>999</v>
      </c>
      <c r="D1517" s="154">
        <v>1510</v>
      </c>
      <c r="E1517" s="154" t="s">
        <v>1902</v>
      </c>
      <c r="F1517" s="154" t="s">
        <v>83</v>
      </c>
      <c r="G1517" s="154" t="s">
        <v>1903</v>
      </c>
      <c r="H1517" s="154" t="s">
        <v>775</v>
      </c>
      <c r="I1517" s="154" t="s">
        <v>93</v>
      </c>
      <c r="J1517" s="154" t="s">
        <v>94</v>
      </c>
      <c r="K1517" s="154" t="s">
        <v>60</v>
      </c>
      <c r="L1517" s="154" t="s">
        <v>1897</v>
      </c>
      <c r="M1517" s="154" t="s">
        <v>1388</v>
      </c>
      <c r="N1517" s="154" t="s">
        <v>61</v>
      </c>
      <c r="O1517" s="154" t="s">
        <v>62</v>
      </c>
      <c r="P1517" s="146">
        <v>83317.070000000007</v>
      </c>
      <c r="Q1517" s="146">
        <v>5.07</v>
      </c>
      <c r="R1517" s="154" t="s">
        <v>1384</v>
      </c>
      <c r="S1517" s="154" t="s">
        <v>1899</v>
      </c>
      <c r="T1517" s="155" t="s">
        <v>768</v>
      </c>
      <c r="U1517" s="155" t="s">
        <v>1899</v>
      </c>
      <c r="V1517" s="154" t="s">
        <v>1904</v>
      </c>
      <c r="W1517" s="154">
        <v>0</v>
      </c>
      <c r="X1517" s="154" t="s">
        <v>63</v>
      </c>
      <c r="Y1517" s="154" t="s">
        <v>1386</v>
      </c>
      <c r="Z1517" s="154"/>
      <c r="AA1517" s="154" t="s">
        <v>1387</v>
      </c>
      <c r="AB1517" s="154">
        <v>0</v>
      </c>
      <c r="AC1517" s="138">
        <f>IFERROR(IF(DATEDIF(#REF!,U1517,"m")&lt;=1,1,IF(AND(DATEDIF(#REF!,U1517,"m")&gt;1,DATEDIF(#REF!,U1517,"m")&lt;12),2,IF(AND(DATEDIF(#REF!,U1517,"m")&gt;=12,DATEDIF(#REF!,U1517,"m")&lt;24),3,IF(DATEDIF(#REF!,U1517,"m")&gt;=24,4,"")))),IF(E1517="r0320 - Deposits, not covered and not preferential",1,4))</f>
        <v>4</v>
      </c>
    </row>
    <row r="1518" spans="3:29" ht="36.75" thickBot="1" x14ac:dyDescent="0.3">
      <c r="C1518" s="11">
        <v>999</v>
      </c>
      <c r="D1518" s="154">
        <v>1511</v>
      </c>
      <c r="E1518" s="154" t="s">
        <v>1898</v>
      </c>
      <c r="F1518" s="154" t="s">
        <v>87</v>
      </c>
      <c r="G1518" s="154" t="s">
        <v>1402</v>
      </c>
      <c r="H1518" s="154" t="s">
        <v>1253</v>
      </c>
      <c r="I1518" s="154" t="s">
        <v>108</v>
      </c>
      <c r="J1518" s="154" t="s">
        <v>90</v>
      </c>
      <c r="K1518" s="154" t="s">
        <v>91</v>
      </c>
      <c r="L1518" s="154" t="s">
        <v>1897</v>
      </c>
      <c r="M1518" s="154" t="s">
        <v>1383</v>
      </c>
      <c r="N1518" s="154" t="s">
        <v>61</v>
      </c>
      <c r="O1518" s="154" t="s">
        <v>62</v>
      </c>
      <c r="P1518" s="146">
        <v>6.08</v>
      </c>
      <c r="Q1518" s="146">
        <v>0</v>
      </c>
      <c r="R1518" s="154" t="s">
        <v>1384</v>
      </c>
      <c r="S1518" s="154" t="s">
        <v>1899</v>
      </c>
      <c r="T1518" s="155" t="s">
        <v>1899</v>
      </c>
      <c r="U1518" s="155" t="s">
        <v>1899</v>
      </c>
      <c r="V1518" s="154" t="s">
        <v>1562</v>
      </c>
      <c r="W1518" s="154">
        <v>0</v>
      </c>
      <c r="X1518" s="154" t="s">
        <v>63</v>
      </c>
      <c r="Y1518" s="154" t="s">
        <v>1900</v>
      </c>
      <c r="Z1518" s="154"/>
      <c r="AA1518" s="154" t="s">
        <v>1387</v>
      </c>
      <c r="AB1518" s="154">
        <v>0</v>
      </c>
      <c r="AC1518" s="138">
        <f>IFERROR(IF(DATEDIF(#REF!,U1518,"m")&lt;=1,1,IF(AND(DATEDIF(#REF!,U1518,"m")&gt;1,DATEDIF(#REF!,U1518,"m")&lt;12),2,IF(AND(DATEDIF(#REF!,U1518,"m")&gt;=12,DATEDIF(#REF!,U1518,"m")&lt;24),3,IF(DATEDIF(#REF!,U1518,"m")&gt;=24,4,"")))),IF(E1518="r0320 - Deposits, not covered and not preferential",1,4))</f>
        <v>4</v>
      </c>
    </row>
    <row r="1519" spans="3:29" ht="36.75" thickBot="1" x14ac:dyDescent="0.3">
      <c r="C1519" s="11">
        <v>999</v>
      </c>
      <c r="D1519" s="154">
        <v>1512</v>
      </c>
      <c r="E1519" s="154" t="s">
        <v>1898</v>
      </c>
      <c r="F1519" s="154" t="s">
        <v>87</v>
      </c>
      <c r="G1519" s="154" t="s">
        <v>1402</v>
      </c>
      <c r="H1519" s="154" t="s">
        <v>952</v>
      </c>
      <c r="I1519" s="154" t="s">
        <v>89</v>
      </c>
      <c r="J1519" s="154" t="s">
        <v>90</v>
      </c>
      <c r="K1519" s="154" t="s">
        <v>91</v>
      </c>
      <c r="L1519" s="154" t="s">
        <v>1901</v>
      </c>
      <c r="M1519" s="154" t="s">
        <v>1383</v>
      </c>
      <c r="N1519" s="154" t="s">
        <v>61</v>
      </c>
      <c r="O1519" s="154" t="s">
        <v>62</v>
      </c>
      <c r="P1519" s="146">
        <v>0.2</v>
      </c>
      <c r="Q1519" s="146">
        <v>0</v>
      </c>
      <c r="R1519" s="154" t="s">
        <v>1384</v>
      </c>
      <c r="S1519" s="154" t="s">
        <v>1899</v>
      </c>
      <c r="T1519" s="155" t="s">
        <v>1899</v>
      </c>
      <c r="U1519" s="155" t="s">
        <v>1899</v>
      </c>
      <c r="V1519" s="154" t="s">
        <v>1562</v>
      </c>
      <c r="W1519" s="154">
        <v>0</v>
      </c>
      <c r="X1519" s="154" t="s">
        <v>63</v>
      </c>
      <c r="Y1519" s="154" t="s">
        <v>1900</v>
      </c>
      <c r="Z1519" s="154"/>
      <c r="AA1519" s="154" t="s">
        <v>1387</v>
      </c>
      <c r="AB1519" s="154">
        <v>0</v>
      </c>
      <c r="AC1519" s="138">
        <f>IFERROR(IF(DATEDIF(#REF!,U1519,"m")&lt;=1,1,IF(AND(DATEDIF(#REF!,U1519,"m")&gt;1,DATEDIF(#REF!,U1519,"m")&lt;12),2,IF(AND(DATEDIF(#REF!,U1519,"m")&gt;=12,DATEDIF(#REF!,U1519,"m")&lt;24),3,IF(DATEDIF(#REF!,U1519,"m")&gt;=24,4,"")))),IF(E1519="r0320 - Deposits, not covered and not preferential",1,4))</f>
        <v>4</v>
      </c>
    </row>
    <row r="1520" spans="3:29" ht="36.75" thickBot="1" x14ac:dyDescent="0.3">
      <c r="C1520" s="11">
        <v>999</v>
      </c>
      <c r="D1520" s="154">
        <v>1513</v>
      </c>
      <c r="E1520" s="154" t="s">
        <v>1898</v>
      </c>
      <c r="F1520" s="154" t="s">
        <v>87</v>
      </c>
      <c r="G1520" s="154" t="s">
        <v>1402</v>
      </c>
      <c r="H1520" s="154" t="s">
        <v>744</v>
      </c>
      <c r="I1520" s="154" t="s">
        <v>96</v>
      </c>
      <c r="J1520" s="154" t="s">
        <v>97</v>
      </c>
      <c r="K1520" s="154" t="s">
        <v>91</v>
      </c>
      <c r="L1520" s="154" t="s">
        <v>1897</v>
      </c>
      <c r="M1520" s="154" t="s">
        <v>1383</v>
      </c>
      <c r="N1520" s="154" t="s">
        <v>61</v>
      </c>
      <c r="O1520" s="154" t="s">
        <v>62</v>
      </c>
      <c r="P1520" s="146">
        <v>78.89</v>
      </c>
      <c r="Q1520" s="146">
        <v>0</v>
      </c>
      <c r="R1520" s="154" t="s">
        <v>1384</v>
      </c>
      <c r="S1520" s="154" t="s">
        <v>1899</v>
      </c>
      <c r="T1520" s="155" t="s">
        <v>1899</v>
      </c>
      <c r="U1520" s="155" t="s">
        <v>1899</v>
      </c>
      <c r="V1520" s="154" t="s">
        <v>1562</v>
      </c>
      <c r="W1520" s="154">
        <v>0</v>
      </c>
      <c r="X1520" s="154" t="s">
        <v>63</v>
      </c>
      <c r="Y1520" s="154" t="s">
        <v>1900</v>
      </c>
      <c r="Z1520" s="154"/>
      <c r="AA1520" s="154" t="s">
        <v>1387</v>
      </c>
      <c r="AB1520" s="154">
        <v>0</v>
      </c>
      <c r="AC1520" s="138">
        <f>IFERROR(IF(DATEDIF(#REF!,U1520,"m")&lt;=1,1,IF(AND(DATEDIF(#REF!,U1520,"m")&gt;1,DATEDIF(#REF!,U1520,"m")&lt;12),2,IF(AND(DATEDIF(#REF!,U1520,"m")&gt;=12,DATEDIF(#REF!,U1520,"m")&lt;24),3,IF(DATEDIF(#REF!,U1520,"m")&gt;=24,4,"")))),IF(E1520="r0320 - Deposits, not covered and not preferential",1,4))</f>
        <v>4</v>
      </c>
    </row>
    <row r="1521" spans="3:29" ht="48.75" thickBot="1" x14ac:dyDescent="0.3">
      <c r="C1521" s="11">
        <v>999</v>
      </c>
      <c r="D1521" s="154">
        <v>1514</v>
      </c>
      <c r="E1521" s="154" t="s">
        <v>1902</v>
      </c>
      <c r="F1521" s="154" t="s">
        <v>83</v>
      </c>
      <c r="G1521" s="154" t="s">
        <v>1903</v>
      </c>
      <c r="H1521" s="154" t="s">
        <v>288</v>
      </c>
      <c r="I1521" s="154" t="s">
        <v>114</v>
      </c>
      <c r="J1521" s="154" t="s">
        <v>115</v>
      </c>
      <c r="K1521" s="154" t="s">
        <v>60</v>
      </c>
      <c r="L1521" s="154" t="s">
        <v>1897</v>
      </c>
      <c r="M1521" s="154" t="s">
        <v>1388</v>
      </c>
      <c r="N1521" s="154" t="s">
        <v>61</v>
      </c>
      <c r="O1521" s="154" t="s">
        <v>62</v>
      </c>
      <c r="P1521" s="146">
        <v>332071.99</v>
      </c>
      <c r="Q1521" s="146">
        <v>212.35</v>
      </c>
      <c r="R1521" s="154" t="s">
        <v>1384</v>
      </c>
      <c r="S1521" s="154" t="s">
        <v>1899</v>
      </c>
      <c r="T1521" s="155" t="s">
        <v>768</v>
      </c>
      <c r="U1521" s="155" t="s">
        <v>1899</v>
      </c>
      <c r="V1521" s="154" t="s">
        <v>1904</v>
      </c>
      <c r="W1521" s="154">
        <v>0</v>
      </c>
      <c r="X1521" s="154" t="s">
        <v>63</v>
      </c>
      <c r="Y1521" s="154" t="s">
        <v>1386</v>
      </c>
      <c r="Z1521" s="154"/>
      <c r="AA1521" s="154" t="s">
        <v>1387</v>
      </c>
      <c r="AB1521" s="154">
        <v>0</v>
      </c>
      <c r="AC1521" s="138">
        <f>IFERROR(IF(DATEDIF(#REF!,U1521,"m")&lt;=1,1,IF(AND(DATEDIF(#REF!,U1521,"m")&gt;1,DATEDIF(#REF!,U1521,"m")&lt;12),2,IF(AND(DATEDIF(#REF!,U1521,"m")&gt;=12,DATEDIF(#REF!,U1521,"m")&lt;24),3,IF(DATEDIF(#REF!,U1521,"m")&gt;=24,4,"")))),IF(E1521="r0320 - Deposits, not covered and not preferential",1,4))</f>
        <v>4</v>
      </c>
    </row>
    <row r="1522" spans="3:29" ht="36.75" thickBot="1" x14ac:dyDescent="0.3">
      <c r="C1522" s="11">
        <v>999</v>
      </c>
      <c r="D1522" s="154">
        <v>1515</v>
      </c>
      <c r="E1522" s="154" t="s">
        <v>1898</v>
      </c>
      <c r="F1522" s="154" t="s">
        <v>87</v>
      </c>
      <c r="G1522" s="154" t="s">
        <v>1402</v>
      </c>
      <c r="H1522" s="154" t="s">
        <v>500</v>
      </c>
      <c r="I1522" s="154" t="s">
        <v>96</v>
      </c>
      <c r="J1522" s="154" t="s">
        <v>97</v>
      </c>
      <c r="K1522" s="154" t="s">
        <v>91</v>
      </c>
      <c r="L1522" s="154" t="s">
        <v>1897</v>
      </c>
      <c r="M1522" s="154" t="s">
        <v>1383</v>
      </c>
      <c r="N1522" s="154" t="s">
        <v>61</v>
      </c>
      <c r="O1522" s="154" t="s">
        <v>62</v>
      </c>
      <c r="P1522" s="146">
        <v>0.33</v>
      </c>
      <c r="Q1522" s="146">
        <v>0</v>
      </c>
      <c r="R1522" s="154" t="s">
        <v>1384</v>
      </c>
      <c r="S1522" s="154" t="s">
        <v>1899</v>
      </c>
      <c r="T1522" s="155" t="s">
        <v>1899</v>
      </c>
      <c r="U1522" s="155" t="s">
        <v>1899</v>
      </c>
      <c r="V1522" s="154" t="s">
        <v>1562</v>
      </c>
      <c r="W1522" s="154">
        <v>0</v>
      </c>
      <c r="X1522" s="154" t="s">
        <v>63</v>
      </c>
      <c r="Y1522" s="154" t="s">
        <v>1900</v>
      </c>
      <c r="Z1522" s="154"/>
      <c r="AA1522" s="154" t="s">
        <v>1387</v>
      </c>
      <c r="AB1522" s="154">
        <v>0</v>
      </c>
      <c r="AC1522" s="138">
        <f>IFERROR(IF(DATEDIF(#REF!,U1522,"m")&lt;=1,1,IF(AND(DATEDIF(#REF!,U1522,"m")&gt;1,DATEDIF(#REF!,U1522,"m")&lt;12),2,IF(AND(DATEDIF(#REF!,U1522,"m")&gt;=12,DATEDIF(#REF!,U1522,"m")&lt;24),3,IF(DATEDIF(#REF!,U1522,"m")&gt;=24,4,"")))),IF(E1522="r0320 - Deposits, not covered and not preferential",1,4))</f>
        <v>4</v>
      </c>
    </row>
    <row r="1523" spans="3:29" ht="48.75" thickBot="1" x14ac:dyDescent="0.3">
      <c r="C1523" s="11">
        <v>999</v>
      </c>
      <c r="D1523" s="154">
        <v>1516</v>
      </c>
      <c r="E1523" s="154" t="s">
        <v>1902</v>
      </c>
      <c r="F1523" s="154" t="s">
        <v>83</v>
      </c>
      <c r="G1523" s="154" t="s">
        <v>1903</v>
      </c>
      <c r="H1523" s="154" t="s">
        <v>780</v>
      </c>
      <c r="I1523" s="154" t="s">
        <v>93</v>
      </c>
      <c r="J1523" s="154" t="s">
        <v>94</v>
      </c>
      <c r="K1523" s="154" t="s">
        <v>60</v>
      </c>
      <c r="L1523" s="154" t="s">
        <v>1897</v>
      </c>
      <c r="M1523" s="154" t="s">
        <v>1388</v>
      </c>
      <c r="N1523" s="154" t="s">
        <v>61</v>
      </c>
      <c r="O1523" s="154" t="s">
        <v>62</v>
      </c>
      <c r="P1523" s="146">
        <v>99059.8</v>
      </c>
      <c r="Q1523" s="146">
        <v>64.8</v>
      </c>
      <c r="R1523" s="154" t="s">
        <v>1384</v>
      </c>
      <c r="S1523" s="154" t="s">
        <v>1899</v>
      </c>
      <c r="T1523" s="155" t="s">
        <v>768</v>
      </c>
      <c r="U1523" s="155" t="s">
        <v>1899</v>
      </c>
      <c r="V1523" s="154" t="s">
        <v>1904</v>
      </c>
      <c r="W1523" s="154">
        <v>0</v>
      </c>
      <c r="X1523" s="154" t="s">
        <v>63</v>
      </c>
      <c r="Y1523" s="154" t="s">
        <v>1386</v>
      </c>
      <c r="Z1523" s="154"/>
      <c r="AA1523" s="154" t="s">
        <v>1387</v>
      </c>
      <c r="AB1523" s="154">
        <v>0</v>
      </c>
      <c r="AC1523" s="138">
        <f>IFERROR(IF(DATEDIF(#REF!,U1523,"m")&lt;=1,1,IF(AND(DATEDIF(#REF!,U1523,"m")&gt;1,DATEDIF(#REF!,U1523,"m")&lt;12),2,IF(AND(DATEDIF(#REF!,U1523,"m")&gt;=12,DATEDIF(#REF!,U1523,"m")&lt;24),3,IF(DATEDIF(#REF!,U1523,"m")&gt;=24,4,"")))),IF(E1523="r0320 - Deposits, not covered and not preferential",1,4))</f>
        <v>4</v>
      </c>
    </row>
    <row r="1524" spans="3:29" ht="36.75" thickBot="1" x14ac:dyDescent="0.3">
      <c r="C1524" s="11">
        <v>999</v>
      </c>
      <c r="D1524" s="154">
        <v>1517</v>
      </c>
      <c r="E1524" s="154" t="s">
        <v>1898</v>
      </c>
      <c r="F1524" s="154" t="s">
        <v>87</v>
      </c>
      <c r="G1524" s="154" t="s">
        <v>1402</v>
      </c>
      <c r="H1524" s="154" t="s">
        <v>461</v>
      </c>
      <c r="I1524" s="154" t="s">
        <v>96</v>
      </c>
      <c r="J1524" s="154" t="s">
        <v>97</v>
      </c>
      <c r="K1524" s="154" t="s">
        <v>91</v>
      </c>
      <c r="L1524" s="154" t="s">
        <v>1897</v>
      </c>
      <c r="M1524" s="154" t="s">
        <v>1383</v>
      </c>
      <c r="N1524" s="154" t="s">
        <v>61</v>
      </c>
      <c r="O1524" s="154" t="s">
        <v>62</v>
      </c>
      <c r="P1524" s="146">
        <v>58.67</v>
      </c>
      <c r="Q1524" s="146">
        <v>0</v>
      </c>
      <c r="R1524" s="154" t="s">
        <v>1384</v>
      </c>
      <c r="S1524" s="154" t="s">
        <v>1899</v>
      </c>
      <c r="T1524" s="155" t="s">
        <v>1899</v>
      </c>
      <c r="U1524" s="155" t="s">
        <v>1899</v>
      </c>
      <c r="V1524" s="154" t="s">
        <v>1562</v>
      </c>
      <c r="W1524" s="154">
        <v>0</v>
      </c>
      <c r="X1524" s="154" t="s">
        <v>63</v>
      </c>
      <c r="Y1524" s="154" t="s">
        <v>1900</v>
      </c>
      <c r="Z1524" s="154"/>
      <c r="AA1524" s="154" t="s">
        <v>1387</v>
      </c>
      <c r="AB1524" s="154">
        <v>0</v>
      </c>
      <c r="AC1524" s="138">
        <f>IFERROR(IF(DATEDIF(#REF!,U1524,"m")&lt;=1,1,IF(AND(DATEDIF(#REF!,U1524,"m")&gt;1,DATEDIF(#REF!,U1524,"m")&lt;12),2,IF(AND(DATEDIF(#REF!,U1524,"m")&gt;=12,DATEDIF(#REF!,U1524,"m")&lt;24),3,IF(DATEDIF(#REF!,U1524,"m")&gt;=24,4,"")))),IF(E1524="r0320 - Deposits, not covered and not preferential",1,4))</f>
        <v>4</v>
      </c>
    </row>
    <row r="1525" spans="3:29" ht="48.75" thickBot="1" x14ac:dyDescent="0.3">
      <c r="C1525" s="11">
        <v>999</v>
      </c>
      <c r="D1525" s="154">
        <v>1518</v>
      </c>
      <c r="E1525" s="154" t="s">
        <v>1902</v>
      </c>
      <c r="F1525" s="154" t="s">
        <v>83</v>
      </c>
      <c r="G1525" s="154" t="s">
        <v>1903</v>
      </c>
      <c r="H1525" s="154" t="s">
        <v>483</v>
      </c>
      <c r="I1525" s="154" t="s">
        <v>101</v>
      </c>
      <c r="J1525" s="154" t="s">
        <v>102</v>
      </c>
      <c r="K1525" s="154" t="s">
        <v>60</v>
      </c>
      <c r="L1525" s="154" t="s">
        <v>1897</v>
      </c>
      <c r="M1525" s="154" t="s">
        <v>1388</v>
      </c>
      <c r="N1525" s="154" t="s">
        <v>61</v>
      </c>
      <c r="O1525" s="154" t="s">
        <v>62</v>
      </c>
      <c r="P1525" s="146">
        <v>137223.72</v>
      </c>
      <c r="Q1525" s="146">
        <v>116.58</v>
      </c>
      <c r="R1525" s="154" t="s">
        <v>1384</v>
      </c>
      <c r="S1525" s="154" t="s">
        <v>1899</v>
      </c>
      <c r="T1525" s="155" t="s">
        <v>768</v>
      </c>
      <c r="U1525" s="155" t="s">
        <v>1899</v>
      </c>
      <c r="V1525" s="154" t="s">
        <v>1904</v>
      </c>
      <c r="W1525" s="154">
        <v>0</v>
      </c>
      <c r="X1525" s="154" t="s">
        <v>63</v>
      </c>
      <c r="Y1525" s="154" t="s">
        <v>1386</v>
      </c>
      <c r="Z1525" s="154"/>
      <c r="AA1525" s="154" t="s">
        <v>1387</v>
      </c>
      <c r="AB1525" s="154">
        <v>0</v>
      </c>
      <c r="AC1525" s="138">
        <f>IFERROR(IF(DATEDIF(#REF!,U1525,"m")&lt;=1,1,IF(AND(DATEDIF(#REF!,U1525,"m")&gt;1,DATEDIF(#REF!,U1525,"m")&lt;12),2,IF(AND(DATEDIF(#REF!,U1525,"m")&gt;=12,DATEDIF(#REF!,U1525,"m")&lt;24),3,IF(DATEDIF(#REF!,U1525,"m")&gt;=24,4,"")))),IF(E1525="r0320 - Deposits, not covered and not preferential",1,4))</f>
        <v>4</v>
      </c>
    </row>
    <row r="1526" spans="3:29" ht="36.75" thickBot="1" x14ac:dyDescent="0.3">
      <c r="C1526" s="11">
        <v>999</v>
      </c>
      <c r="D1526" s="154">
        <v>1519</v>
      </c>
      <c r="E1526" s="154" t="s">
        <v>1898</v>
      </c>
      <c r="F1526" s="154" t="s">
        <v>87</v>
      </c>
      <c r="G1526" s="154" t="s">
        <v>1402</v>
      </c>
      <c r="H1526" s="154" t="s">
        <v>736</v>
      </c>
      <c r="I1526" s="154" t="s">
        <v>108</v>
      </c>
      <c r="J1526" s="154" t="s">
        <v>90</v>
      </c>
      <c r="K1526" s="154" t="s">
        <v>91</v>
      </c>
      <c r="L1526" s="154" t="s">
        <v>1897</v>
      </c>
      <c r="M1526" s="154" t="s">
        <v>1383</v>
      </c>
      <c r="N1526" s="154" t="s">
        <v>61</v>
      </c>
      <c r="O1526" s="154" t="s">
        <v>62</v>
      </c>
      <c r="P1526" s="146">
        <v>1.1499999999999999</v>
      </c>
      <c r="Q1526" s="146">
        <v>0</v>
      </c>
      <c r="R1526" s="154" t="s">
        <v>1384</v>
      </c>
      <c r="S1526" s="154" t="s">
        <v>1899</v>
      </c>
      <c r="T1526" s="155" t="s">
        <v>1899</v>
      </c>
      <c r="U1526" s="155" t="s">
        <v>1899</v>
      </c>
      <c r="V1526" s="154" t="s">
        <v>1562</v>
      </c>
      <c r="W1526" s="154">
        <v>0</v>
      </c>
      <c r="X1526" s="154" t="s">
        <v>63</v>
      </c>
      <c r="Y1526" s="154" t="s">
        <v>1900</v>
      </c>
      <c r="Z1526" s="154"/>
      <c r="AA1526" s="154" t="s">
        <v>1387</v>
      </c>
      <c r="AB1526" s="154">
        <v>0</v>
      </c>
      <c r="AC1526" s="138">
        <f>IFERROR(IF(DATEDIF(#REF!,U1526,"m")&lt;=1,1,IF(AND(DATEDIF(#REF!,U1526,"m")&gt;1,DATEDIF(#REF!,U1526,"m")&lt;12),2,IF(AND(DATEDIF(#REF!,U1526,"m")&gt;=12,DATEDIF(#REF!,U1526,"m")&lt;24),3,IF(DATEDIF(#REF!,U1526,"m")&gt;=24,4,"")))),IF(E1526="r0320 - Deposits, not covered and not preferential",1,4))</f>
        <v>4</v>
      </c>
    </row>
    <row r="1527" spans="3:29" ht="48.75" thickBot="1" x14ac:dyDescent="0.3">
      <c r="C1527" s="11">
        <v>999</v>
      </c>
      <c r="D1527" s="154">
        <v>1520</v>
      </c>
      <c r="E1527" s="154" t="s">
        <v>1902</v>
      </c>
      <c r="F1527" s="154" t="s">
        <v>83</v>
      </c>
      <c r="G1527" s="154" t="s">
        <v>1903</v>
      </c>
      <c r="H1527" s="154" t="s">
        <v>462</v>
      </c>
      <c r="I1527" s="154" t="s">
        <v>101</v>
      </c>
      <c r="J1527" s="154" t="s">
        <v>102</v>
      </c>
      <c r="K1527" s="154" t="s">
        <v>60</v>
      </c>
      <c r="L1527" s="154" t="s">
        <v>1897</v>
      </c>
      <c r="M1527" s="154" t="s">
        <v>1388</v>
      </c>
      <c r="N1527" s="154" t="s">
        <v>61</v>
      </c>
      <c r="O1527" s="154" t="s">
        <v>62</v>
      </c>
      <c r="P1527" s="146">
        <v>2556804.4</v>
      </c>
      <c r="Q1527" s="146">
        <v>473.13</v>
      </c>
      <c r="R1527" s="154" t="s">
        <v>1384</v>
      </c>
      <c r="S1527" s="154" t="s">
        <v>1899</v>
      </c>
      <c r="T1527" s="155" t="s">
        <v>768</v>
      </c>
      <c r="U1527" s="155" t="s">
        <v>1899</v>
      </c>
      <c r="V1527" s="154" t="s">
        <v>1904</v>
      </c>
      <c r="W1527" s="154">
        <v>0</v>
      </c>
      <c r="X1527" s="154" t="s">
        <v>63</v>
      </c>
      <c r="Y1527" s="154" t="s">
        <v>1386</v>
      </c>
      <c r="Z1527" s="154"/>
      <c r="AA1527" s="154" t="s">
        <v>1387</v>
      </c>
      <c r="AB1527" s="154">
        <v>0</v>
      </c>
      <c r="AC1527" s="138">
        <f>IFERROR(IF(DATEDIF(#REF!,U1527,"m")&lt;=1,1,IF(AND(DATEDIF(#REF!,U1527,"m")&gt;1,DATEDIF(#REF!,U1527,"m")&lt;12),2,IF(AND(DATEDIF(#REF!,U1527,"m")&gt;=12,DATEDIF(#REF!,U1527,"m")&lt;24),3,IF(DATEDIF(#REF!,U1527,"m")&gt;=24,4,"")))),IF(E1527="r0320 - Deposits, not covered and not preferential",1,4))</f>
        <v>4</v>
      </c>
    </row>
    <row r="1528" spans="3:29" ht="36.75" thickBot="1" x14ac:dyDescent="0.3">
      <c r="C1528" s="11">
        <v>999</v>
      </c>
      <c r="D1528" s="154">
        <v>1521</v>
      </c>
      <c r="E1528" s="154" t="s">
        <v>1898</v>
      </c>
      <c r="F1528" s="154" t="s">
        <v>87</v>
      </c>
      <c r="G1528" s="154" t="s">
        <v>1402</v>
      </c>
      <c r="H1528" s="154" t="s">
        <v>851</v>
      </c>
      <c r="I1528" s="154" t="s">
        <v>96</v>
      </c>
      <c r="J1528" s="154" t="s">
        <v>97</v>
      </c>
      <c r="K1528" s="154" t="s">
        <v>91</v>
      </c>
      <c r="L1528" s="154" t="s">
        <v>1897</v>
      </c>
      <c r="M1528" s="154" t="s">
        <v>1383</v>
      </c>
      <c r="N1528" s="154" t="s">
        <v>61</v>
      </c>
      <c r="O1528" s="154" t="s">
        <v>62</v>
      </c>
      <c r="P1528" s="146">
        <v>470.25</v>
      </c>
      <c r="Q1528" s="146">
        <v>0</v>
      </c>
      <c r="R1528" s="154" t="s">
        <v>1384</v>
      </c>
      <c r="S1528" s="154" t="s">
        <v>1899</v>
      </c>
      <c r="T1528" s="155" t="s">
        <v>1899</v>
      </c>
      <c r="U1528" s="155" t="s">
        <v>1899</v>
      </c>
      <c r="V1528" s="154" t="s">
        <v>1562</v>
      </c>
      <c r="W1528" s="154">
        <v>0</v>
      </c>
      <c r="X1528" s="154" t="s">
        <v>63</v>
      </c>
      <c r="Y1528" s="154" t="s">
        <v>1900</v>
      </c>
      <c r="Z1528" s="154"/>
      <c r="AA1528" s="154" t="s">
        <v>1387</v>
      </c>
      <c r="AB1528" s="154">
        <v>0</v>
      </c>
      <c r="AC1528" s="138">
        <f>IFERROR(IF(DATEDIF(#REF!,U1528,"m")&lt;=1,1,IF(AND(DATEDIF(#REF!,U1528,"m")&gt;1,DATEDIF(#REF!,U1528,"m")&lt;12),2,IF(AND(DATEDIF(#REF!,U1528,"m")&gt;=12,DATEDIF(#REF!,U1528,"m")&lt;24),3,IF(DATEDIF(#REF!,U1528,"m")&gt;=24,4,"")))),IF(E1528="r0320 - Deposits, not covered and not preferential",1,4))</f>
        <v>4</v>
      </c>
    </row>
    <row r="1529" spans="3:29" ht="48.75" thickBot="1" x14ac:dyDescent="0.3">
      <c r="C1529" s="11">
        <v>999</v>
      </c>
      <c r="D1529" s="154">
        <v>1522</v>
      </c>
      <c r="E1529" s="154" t="s">
        <v>1902</v>
      </c>
      <c r="F1529" s="154" t="s">
        <v>83</v>
      </c>
      <c r="G1529" s="154" t="s">
        <v>1903</v>
      </c>
      <c r="H1529" s="154" t="s">
        <v>1198</v>
      </c>
      <c r="I1529" s="154" t="s">
        <v>93</v>
      </c>
      <c r="J1529" s="154" t="s">
        <v>94</v>
      </c>
      <c r="K1529" s="154" t="s">
        <v>60</v>
      </c>
      <c r="L1529" s="154" t="s">
        <v>1897</v>
      </c>
      <c r="M1529" s="154" t="s">
        <v>1388</v>
      </c>
      <c r="N1529" s="154" t="s">
        <v>61</v>
      </c>
      <c r="O1529" s="154" t="s">
        <v>62</v>
      </c>
      <c r="P1529" s="146">
        <v>-8.49</v>
      </c>
      <c r="Q1529" s="146">
        <v>0</v>
      </c>
      <c r="R1529" s="154" t="s">
        <v>1384</v>
      </c>
      <c r="S1529" s="154" t="s">
        <v>1899</v>
      </c>
      <c r="T1529" s="155" t="s">
        <v>768</v>
      </c>
      <c r="U1529" s="155" t="s">
        <v>1899</v>
      </c>
      <c r="V1529" s="154" t="s">
        <v>1904</v>
      </c>
      <c r="W1529" s="154">
        <v>0</v>
      </c>
      <c r="X1529" s="154" t="s">
        <v>63</v>
      </c>
      <c r="Y1529" s="154" t="s">
        <v>1386</v>
      </c>
      <c r="Z1529" s="154"/>
      <c r="AA1529" s="154" t="s">
        <v>1387</v>
      </c>
      <c r="AB1529" s="154">
        <v>0</v>
      </c>
      <c r="AC1529" s="138">
        <f>IFERROR(IF(DATEDIF(#REF!,U1529,"m")&lt;=1,1,IF(AND(DATEDIF(#REF!,U1529,"m")&gt;1,DATEDIF(#REF!,U1529,"m")&lt;12),2,IF(AND(DATEDIF(#REF!,U1529,"m")&gt;=12,DATEDIF(#REF!,U1529,"m")&lt;24),3,IF(DATEDIF(#REF!,U1529,"m")&gt;=24,4,"")))),IF(E1529="r0320 - Deposits, not covered and not preferential",1,4))</f>
        <v>4</v>
      </c>
    </row>
    <row r="1530" spans="3:29" ht="36.75" thickBot="1" x14ac:dyDescent="0.3">
      <c r="C1530" s="11">
        <v>999</v>
      </c>
      <c r="D1530" s="154">
        <v>1523</v>
      </c>
      <c r="E1530" s="154" t="s">
        <v>1898</v>
      </c>
      <c r="F1530" s="154" t="s">
        <v>87</v>
      </c>
      <c r="G1530" s="154" t="s">
        <v>1402</v>
      </c>
      <c r="H1530" s="154" t="s">
        <v>504</v>
      </c>
      <c r="I1530" s="154" t="s">
        <v>96</v>
      </c>
      <c r="J1530" s="154" t="s">
        <v>97</v>
      </c>
      <c r="K1530" s="154" t="s">
        <v>91</v>
      </c>
      <c r="L1530" s="154" t="s">
        <v>1897</v>
      </c>
      <c r="M1530" s="154" t="s">
        <v>1383</v>
      </c>
      <c r="N1530" s="154" t="s">
        <v>61</v>
      </c>
      <c r="O1530" s="154" t="s">
        <v>62</v>
      </c>
      <c r="P1530" s="146">
        <v>0.23</v>
      </c>
      <c r="Q1530" s="146">
        <v>0</v>
      </c>
      <c r="R1530" s="154" t="s">
        <v>1384</v>
      </c>
      <c r="S1530" s="154" t="s">
        <v>1899</v>
      </c>
      <c r="T1530" s="155" t="s">
        <v>1899</v>
      </c>
      <c r="U1530" s="155" t="s">
        <v>1899</v>
      </c>
      <c r="V1530" s="154" t="s">
        <v>1562</v>
      </c>
      <c r="W1530" s="154">
        <v>0</v>
      </c>
      <c r="X1530" s="154" t="s">
        <v>63</v>
      </c>
      <c r="Y1530" s="154" t="s">
        <v>1900</v>
      </c>
      <c r="Z1530" s="154"/>
      <c r="AA1530" s="154" t="s">
        <v>1387</v>
      </c>
      <c r="AB1530" s="154">
        <v>0</v>
      </c>
      <c r="AC1530" s="138">
        <f>IFERROR(IF(DATEDIF(#REF!,U1530,"m")&lt;=1,1,IF(AND(DATEDIF(#REF!,U1530,"m")&gt;1,DATEDIF(#REF!,U1530,"m")&lt;12),2,IF(AND(DATEDIF(#REF!,U1530,"m")&gt;=12,DATEDIF(#REF!,U1530,"m")&lt;24),3,IF(DATEDIF(#REF!,U1530,"m")&gt;=24,4,"")))),IF(E1530="r0320 - Deposits, not covered and not preferential",1,4))</f>
        <v>4</v>
      </c>
    </row>
    <row r="1531" spans="3:29" ht="48.75" thickBot="1" x14ac:dyDescent="0.3">
      <c r="C1531" s="11">
        <v>999</v>
      </c>
      <c r="D1531" s="154">
        <v>1524</v>
      </c>
      <c r="E1531" s="154" t="s">
        <v>1902</v>
      </c>
      <c r="F1531" s="154" t="s">
        <v>83</v>
      </c>
      <c r="G1531" s="154" t="s">
        <v>1903</v>
      </c>
      <c r="H1531" s="154" t="s">
        <v>780</v>
      </c>
      <c r="I1531" s="154" t="s">
        <v>114</v>
      </c>
      <c r="J1531" s="154" t="s">
        <v>115</v>
      </c>
      <c r="K1531" s="154" t="s">
        <v>60</v>
      </c>
      <c r="L1531" s="154" t="s">
        <v>1897</v>
      </c>
      <c r="M1531" s="154" t="s">
        <v>1388</v>
      </c>
      <c r="N1531" s="154" t="s">
        <v>61</v>
      </c>
      <c r="O1531" s="154" t="s">
        <v>62</v>
      </c>
      <c r="P1531" s="146">
        <v>179827.37</v>
      </c>
      <c r="Q1531" s="146">
        <v>-32.04</v>
      </c>
      <c r="R1531" s="154" t="s">
        <v>1384</v>
      </c>
      <c r="S1531" s="154" t="s">
        <v>1899</v>
      </c>
      <c r="T1531" s="155" t="s">
        <v>768</v>
      </c>
      <c r="U1531" s="155" t="s">
        <v>1899</v>
      </c>
      <c r="V1531" s="154" t="s">
        <v>1904</v>
      </c>
      <c r="W1531" s="154">
        <v>0</v>
      </c>
      <c r="X1531" s="154" t="s">
        <v>63</v>
      </c>
      <c r="Y1531" s="154" t="s">
        <v>1386</v>
      </c>
      <c r="Z1531" s="154"/>
      <c r="AA1531" s="154" t="s">
        <v>1387</v>
      </c>
      <c r="AB1531" s="154">
        <v>0</v>
      </c>
      <c r="AC1531" s="138">
        <f>IFERROR(IF(DATEDIF(#REF!,U1531,"m")&lt;=1,1,IF(AND(DATEDIF(#REF!,U1531,"m")&gt;1,DATEDIF(#REF!,U1531,"m")&lt;12),2,IF(AND(DATEDIF(#REF!,U1531,"m")&gt;=12,DATEDIF(#REF!,U1531,"m")&lt;24),3,IF(DATEDIF(#REF!,U1531,"m")&gt;=24,4,"")))),IF(E1531="r0320 - Deposits, not covered and not preferential",1,4))</f>
        <v>4</v>
      </c>
    </row>
    <row r="1532" spans="3:29" ht="36.75" thickBot="1" x14ac:dyDescent="0.3">
      <c r="C1532" s="11">
        <v>999</v>
      </c>
      <c r="D1532" s="154">
        <v>1525</v>
      </c>
      <c r="E1532" s="154" t="s">
        <v>1898</v>
      </c>
      <c r="F1532" s="154" t="s">
        <v>87</v>
      </c>
      <c r="G1532" s="154" t="s">
        <v>1402</v>
      </c>
      <c r="H1532" s="154" t="s">
        <v>285</v>
      </c>
      <c r="I1532" s="154" t="s">
        <v>96</v>
      </c>
      <c r="J1532" s="154" t="s">
        <v>97</v>
      </c>
      <c r="K1532" s="154" t="s">
        <v>91</v>
      </c>
      <c r="L1532" s="154" t="s">
        <v>1897</v>
      </c>
      <c r="M1532" s="154" t="s">
        <v>1383</v>
      </c>
      <c r="N1532" s="154" t="s">
        <v>61</v>
      </c>
      <c r="O1532" s="154" t="s">
        <v>62</v>
      </c>
      <c r="P1532" s="146">
        <v>164.35</v>
      </c>
      <c r="Q1532" s="146">
        <v>0</v>
      </c>
      <c r="R1532" s="154" t="s">
        <v>1384</v>
      </c>
      <c r="S1532" s="154" t="s">
        <v>1899</v>
      </c>
      <c r="T1532" s="155" t="s">
        <v>1899</v>
      </c>
      <c r="U1532" s="155" t="s">
        <v>1899</v>
      </c>
      <c r="V1532" s="154" t="s">
        <v>1562</v>
      </c>
      <c r="W1532" s="154">
        <v>0</v>
      </c>
      <c r="X1532" s="154" t="s">
        <v>63</v>
      </c>
      <c r="Y1532" s="154" t="s">
        <v>1900</v>
      </c>
      <c r="Z1532" s="154"/>
      <c r="AA1532" s="154" t="s">
        <v>1387</v>
      </c>
      <c r="AB1532" s="154">
        <v>0</v>
      </c>
      <c r="AC1532" s="138">
        <f>IFERROR(IF(DATEDIF(#REF!,U1532,"m")&lt;=1,1,IF(AND(DATEDIF(#REF!,U1532,"m")&gt;1,DATEDIF(#REF!,U1532,"m")&lt;12),2,IF(AND(DATEDIF(#REF!,U1532,"m")&gt;=12,DATEDIF(#REF!,U1532,"m")&lt;24),3,IF(DATEDIF(#REF!,U1532,"m")&gt;=24,4,"")))),IF(E1532="r0320 - Deposits, not covered and not preferential",1,4))</f>
        <v>4</v>
      </c>
    </row>
    <row r="1533" spans="3:29" ht="48.75" thickBot="1" x14ac:dyDescent="0.3">
      <c r="C1533" s="11">
        <v>999</v>
      </c>
      <c r="D1533" s="154">
        <v>1526</v>
      </c>
      <c r="E1533" s="154" t="s">
        <v>1902</v>
      </c>
      <c r="F1533" s="154" t="s">
        <v>83</v>
      </c>
      <c r="G1533" s="154" t="s">
        <v>1903</v>
      </c>
      <c r="H1533" s="154" t="s">
        <v>514</v>
      </c>
      <c r="I1533" s="154" t="s">
        <v>93</v>
      </c>
      <c r="J1533" s="154" t="s">
        <v>94</v>
      </c>
      <c r="K1533" s="154" t="s">
        <v>60</v>
      </c>
      <c r="L1533" s="154" t="s">
        <v>1897</v>
      </c>
      <c r="M1533" s="154" t="s">
        <v>1388</v>
      </c>
      <c r="N1533" s="154" t="s">
        <v>61</v>
      </c>
      <c r="O1533" s="154" t="s">
        <v>62</v>
      </c>
      <c r="P1533" s="146">
        <v>52414.94</v>
      </c>
      <c r="Q1533" s="146">
        <v>83.52</v>
      </c>
      <c r="R1533" s="154" t="s">
        <v>1384</v>
      </c>
      <c r="S1533" s="154" t="s">
        <v>1899</v>
      </c>
      <c r="T1533" s="155" t="s">
        <v>768</v>
      </c>
      <c r="U1533" s="155" t="s">
        <v>1899</v>
      </c>
      <c r="V1533" s="154" t="s">
        <v>1904</v>
      </c>
      <c r="W1533" s="154">
        <v>0</v>
      </c>
      <c r="X1533" s="154" t="s">
        <v>63</v>
      </c>
      <c r="Y1533" s="154" t="s">
        <v>1386</v>
      </c>
      <c r="Z1533" s="154"/>
      <c r="AA1533" s="154" t="s">
        <v>1387</v>
      </c>
      <c r="AB1533" s="154">
        <v>0</v>
      </c>
      <c r="AC1533" s="138">
        <f>IFERROR(IF(DATEDIF(#REF!,U1533,"m")&lt;=1,1,IF(AND(DATEDIF(#REF!,U1533,"m")&gt;1,DATEDIF(#REF!,U1533,"m")&lt;12),2,IF(AND(DATEDIF(#REF!,U1533,"m")&gt;=12,DATEDIF(#REF!,U1533,"m")&lt;24),3,IF(DATEDIF(#REF!,U1533,"m")&gt;=24,4,"")))),IF(E1533="r0320 - Deposits, not covered and not preferential",1,4))</f>
        <v>4</v>
      </c>
    </row>
    <row r="1534" spans="3:29" ht="36.75" thickBot="1" x14ac:dyDescent="0.3">
      <c r="C1534" s="11">
        <v>999</v>
      </c>
      <c r="D1534" s="154">
        <v>1527</v>
      </c>
      <c r="E1534" s="154" t="s">
        <v>1898</v>
      </c>
      <c r="F1534" s="154" t="s">
        <v>87</v>
      </c>
      <c r="G1534" s="154" t="s">
        <v>1402</v>
      </c>
      <c r="H1534" s="154" t="s">
        <v>870</v>
      </c>
      <c r="I1534" s="154" t="s">
        <v>108</v>
      </c>
      <c r="J1534" s="154" t="s">
        <v>90</v>
      </c>
      <c r="K1534" s="154" t="s">
        <v>91</v>
      </c>
      <c r="L1534" s="154" t="s">
        <v>1897</v>
      </c>
      <c r="M1534" s="154" t="s">
        <v>1383</v>
      </c>
      <c r="N1534" s="154" t="s">
        <v>61</v>
      </c>
      <c r="O1534" s="154" t="s">
        <v>62</v>
      </c>
      <c r="P1534" s="146">
        <v>2.0699999999999998</v>
      </c>
      <c r="Q1534" s="146">
        <v>0</v>
      </c>
      <c r="R1534" s="154" t="s">
        <v>1384</v>
      </c>
      <c r="S1534" s="154" t="s">
        <v>1899</v>
      </c>
      <c r="T1534" s="155" t="s">
        <v>1899</v>
      </c>
      <c r="U1534" s="155" t="s">
        <v>1899</v>
      </c>
      <c r="V1534" s="154" t="s">
        <v>1562</v>
      </c>
      <c r="W1534" s="154">
        <v>0</v>
      </c>
      <c r="X1534" s="154" t="s">
        <v>63</v>
      </c>
      <c r="Y1534" s="154" t="s">
        <v>1900</v>
      </c>
      <c r="Z1534" s="154"/>
      <c r="AA1534" s="154" t="s">
        <v>1387</v>
      </c>
      <c r="AB1534" s="154">
        <v>0</v>
      </c>
      <c r="AC1534" s="138">
        <f>IFERROR(IF(DATEDIF(#REF!,U1534,"m")&lt;=1,1,IF(AND(DATEDIF(#REF!,U1534,"m")&gt;1,DATEDIF(#REF!,U1534,"m")&lt;12),2,IF(AND(DATEDIF(#REF!,U1534,"m")&gt;=12,DATEDIF(#REF!,U1534,"m")&lt;24),3,IF(DATEDIF(#REF!,U1534,"m")&gt;=24,4,"")))),IF(E1534="r0320 - Deposits, not covered and not preferential",1,4))</f>
        <v>4</v>
      </c>
    </row>
    <row r="1535" spans="3:29" ht="48.75" thickBot="1" x14ac:dyDescent="0.3">
      <c r="C1535" s="11">
        <v>999</v>
      </c>
      <c r="D1535" s="154">
        <v>1528</v>
      </c>
      <c r="E1535" s="154" t="s">
        <v>1902</v>
      </c>
      <c r="F1535" s="154" t="s">
        <v>83</v>
      </c>
      <c r="G1535" s="154" t="s">
        <v>1903</v>
      </c>
      <c r="H1535" s="154" t="s">
        <v>186</v>
      </c>
      <c r="I1535" s="154" t="s">
        <v>93</v>
      </c>
      <c r="J1535" s="154" t="s">
        <v>94</v>
      </c>
      <c r="K1535" s="154" t="s">
        <v>60</v>
      </c>
      <c r="L1535" s="154" t="s">
        <v>1897</v>
      </c>
      <c r="M1535" s="154" t="s">
        <v>1388</v>
      </c>
      <c r="N1535" s="154" t="s">
        <v>61</v>
      </c>
      <c r="O1535" s="154" t="s">
        <v>62</v>
      </c>
      <c r="P1535" s="146">
        <v>20631.62</v>
      </c>
      <c r="Q1535" s="146">
        <v>0</v>
      </c>
      <c r="R1535" s="154" t="s">
        <v>1384</v>
      </c>
      <c r="S1535" s="154" t="s">
        <v>1899</v>
      </c>
      <c r="T1535" s="155" t="s">
        <v>768</v>
      </c>
      <c r="U1535" s="155" t="s">
        <v>1899</v>
      </c>
      <c r="V1535" s="154" t="s">
        <v>1904</v>
      </c>
      <c r="W1535" s="154">
        <v>0</v>
      </c>
      <c r="X1535" s="154" t="s">
        <v>63</v>
      </c>
      <c r="Y1535" s="154" t="s">
        <v>1386</v>
      </c>
      <c r="Z1535" s="154"/>
      <c r="AA1535" s="154" t="s">
        <v>1387</v>
      </c>
      <c r="AB1535" s="154">
        <v>0</v>
      </c>
      <c r="AC1535" s="138">
        <f>IFERROR(IF(DATEDIF(#REF!,U1535,"m")&lt;=1,1,IF(AND(DATEDIF(#REF!,U1535,"m")&gt;1,DATEDIF(#REF!,U1535,"m")&lt;12),2,IF(AND(DATEDIF(#REF!,U1535,"m")&gt;=12,DATEDIF(#REF!,U1535,"m")&lt;24),3,IF(DATEDIF(#REF!,U1535,"m")&gt;=24,4,"")))),IF(E1535="r0320 - Deposits, not covered and not preferential",1,4))</f>
        <v>4</v>
      </c>
    </row>
    <row r="1536" spans="3:29" ht="36.75" thickBot="1" x14ac:dyDescent="0.3">
      <c r="C1536" s="11">
        <v>999</v>
      </c>
      <c r="D1536" s="154">
        <v>1529</v>
      </c>
      <c r="E1536" s="154" t="s">
        <v>1898</v>
      </c>
      <c r="F1536" s="154" t="s">
        <v>87</v>
      </c>
      <c r="G1536" s="154" t="s">
        <v>1402</v>
      </c>
      <c r="H1536" s="154" t="s">
        <v>855</v>
      </c>
      <c r="I1536" s="154" t="s">
        <v>96</v>
      </c>
      <c r="J1536" s="154" t="s">
        <v>97</v>
      </c>
      <c r="K1536" s="154" t="s">
        <v>91</v>
      </c>
      <c r="L1536" s="154" t="s">
        <v>1897</v>
      </c>
      <c r="M1536" s="154" t="s">
        <v>1383</v>
      </c>
      <c r="N1536" s="154" t="s">
        <v>61</v>
      </c>
      <c r="O1536" s="154" t="s">
        <v>62</v>
      </c>
      <c r="P1536" s="146">
        <v>56.67</v>
      </c>
      <c r="Q1536" s="146">
        <v>0</v>
      </c>
      <c r="R1536" s="154" t="s">
        <v>1384</v>
      </c>
      <c r="S1536" s="154" t="s">
        <v>1899</v>
      </c>
      <c r="T1536" s="155" t="s">
        <v>1899</v>
      </c>
      <c r="U1536" s="155" t="s">
        <v>1899</v>
      </c>
      <c r="V1536" s="154" t="s">
        <v>1562</v>
      </c>
      <c r="W1536" s="154">
        <v>0</v>
      </c>
      <c r="X1536" s="154" t="s">
        <v>63</v>
      </c>
      <c r="Y1536" s="154" t="s">
        <v>1900</v>
      </c>
      <c r="Z1536" s="154"/>
      <c r="AA1536" s="154" t="s">
        <v>1387</v>
      </c>
      <c r="AB1536" s="154">
        <v>0</v>
      </c>
      <c r="AC1536" s="138">
        <f>IFERROR(IF(DATEDIF(#REF!,U1536,"m")&lt;=1,1,IF(AND(DATEDIF(#REF!,U1536,"m")&gt;1,DATEDIF(#REF!,U1536,"m")&lt;12),2,IF(AND(DATEDIF(#REF!,U1536,"m")&gt;=12,DATEDIF(#REF!,U1536,"m")&lt;24),3,IF(DATEDIF(#REF!,U1536,"m")&gt;=24,4,"")))),IF(E1536="r0320 - Deposits, not covered and not preferential",1,4))</f>
        <v>4</v>
      </c>
    </row>
    <row r="1537" spans="3:29" ht="48.75" thickBot="1" x14ac:dyDescent="0.3">
      <c r="C1537" s="11">
        <v>999</v>
      </c>
      <c r="D1537" s="154">
        <v>1530</v>
      </c>
      <c r="E1537" s="154" t="s">
        <v>1902</v>
      </c>
      <c r="F1537" s="154" t="s">
        <v>83</v>
      </c>
      <c r="G1537" s="154" t="s">
        <v>1903</v>
      </c>
      <c r="H1537" s="154" t="s">
        <v>1105</v>
      </c>
      <c r="I1537" s="154" t="s">
        <v>101</v>
      </c>
      <c r="J1537" s="154" t="s">
        <v>102</v>
      </c>
      <c r="K1537" s="154" t="s">
        <v>60</v>
      </c>
      <c r="L1537" s="154" t="s">
        <v>1897</v>
      </c>
      <c r="M1537" s="154" t="s">
        <v>1388</v>
      </c>
      <c r="N1537" s="154" t="s">
        <v>61</v>
      </c>
      <c r="O1537" s="154" t="s">
        <v>62</v>
      </c>
      <c r="P1537" s="146">
        <v>797036.44</v>
      </c>
      <c r="Q1537" s="146">
        <v>351.05</v>
      </c>
      <c r="R1537" s="154" t="s">
        <v>1384</v>
      </c>
      <c r="S1537" s="154" t="s">
        <v>1899</v>
      </c>
      <c r="T1537" s="155" t="s">
        <v>768</v>
      </c>
      <c r="U1537" s="155" t="s">
        <v>1899</v>
      </c>
      <c r="V1537" s="154" t="s">
        <v>1904</v>
      </c>
      <c r="W1537" s="154">
        <v>0</v>
      </c>
      <c r="X1537" s="154" t="s">
        <v>63</v>
      </c>
      <c r="Y1537" s="154" t="s">
        <v>1386</v>
      </c>
      <c r="Z1537" s="154"/>
      <c r="AA1537" s="154" t="s">
        <v>1387</v>
      </c>
      <c r="AB1537" s="154">
        <v>0</v>
      </c>
      <c r="AC1537" s="138">
        <f>IFERROR(IF(DATEDIF(#REF!,U1537,"m")&lt;=1,1,IF(AND(DATEDIF(#REF!,U1537,"m")&gt;1,DATEDIF(#REF!,U1537,"m")&lt;12),2,IF(AND(DATEDIF(#REF!,U1537,"m")&gt;=12,DATEDIF(#REF!,U1537,"m")&lt;24),3,IF(DATEDIF(#REF!,U1537,"m")&gt;=24,4,"")))),IF(E1537="r0320 - Deposits, not covered and not preferential",1,4))</f>
        <v>4</v>
      </c>
    </row>
    <row r="1538" spans="3:29" ht="36.75" thickBot="1" x14ac:dyDescent="0.3">
      <c r="C1538" s="11">
        <v>999</v>
      </c>
      <c r="D1538" s="154">
        <v>1531</v>
      </c>
      <c r="E1538" s="154" t="s">
        <v>1898</v>
      </c>
      <c r="F1538" s="154" t="s">
        <v>87</v>
      </c>
      <c r="G1538" s="154" t="s">
        <v>1402</v>
      </c>
      <c r="H1538" s="154" t="s">
        <v>764</v>
      </c>
      <c r="I1538" s="154" t="s">
        <v>96</v>
      </c>
      <c r="J1538" s="154" t="s">
        <v>97</v>
      </c>
      <c r="K1538" s="154" t="s">
        <v>91</v>
      </c>
      <c r="L1538" s="154" t="s">
        <v>1897</v>
      </c>
      <c r="M1538" s="154" t="s">
        <v>1383</v>
      </c>
      <c r="N1538" s="154" t="s">
        <v>61</v>
      </c>
      <c r="O1538" s="154" t="s">
        <v>62</v>
      </c>
      <c r="P1538" s="146">
        <v>5.33</v>
      </c>
      <c r="Q1538" s="146">
        <v>0</v>
      </c>
      <c r="R1538" s="154" t="s">
        <v>1384</v>
      </c>
      <c r="S1538" s="154" t="s">
        <v>1899</v>
      </c>
      <c r="T1538" s="155" t="s">
        <v>1899</v>
      </c>
      <c r="U1538" s="155" t="s">
        <v>1899</v>
      </c>
      <c r="V1538" s="154" t="s">
        <v>1562</v>
      </c>
      <c r="W1538" s="154">
        <v>0</v>
      </c>
      <c r="X1538" s="154" t="s">
        <v>63</v>
      </c>
      <c r="Y1538" s="154" t="s">
        <v>1900</v>
      </c>
      <c r="Z1538" s="154"/>
      <c r="AA1538" s="154" t="s">
        <v>1387</v>
      </c>
      <c r="AB1538" s="154">
        <v>0</v>
      </c>
      <c r="AC1538" s="138">
        <f>IFERROR(IF(DATEDIF(#REF!,U1538,"m")&lt;=1,1,IF(AND(DATEDIF(#REF!,U1538,"m")&gt;1,DATEDIF(#REF!,U1538,"m")&lt;12),2,IF(AND(DATEDIF(#REF!,U1538,"m")&gt;=12,DATEDIF(#REF!,U1538,"m")&lt;24),3,IF(DATEDIF(#REF!,U1538,"m")&gt;=24,4,"")))),IF(E1538="r0320 - Deposits, not covered and not preferential",1,4))</f>
        <v>4</v>
      </c>
    </row>
    <row r="1539" spans="3:29" ht="48.75" thickBot="1" x14ac:dyDescent="0.3">
      <c r="C1539" s="11">
        <v>999</v>
      </c>
      <c r="D1539" s="154">
        <v>1532</v>
      </c>
      <c r="E1539" s="154" t="s">
        <v>1902</v>
      </c>
      <c r="F1539" s="154" t="s">
        <v>83</v>
      </c>
      <c r="G1539" s="154" t="s">
        <v>1903</v>
      </c>
      <c r="H1539" s="154" t="s">
        <v>288</v>
      </c>
      <c r="I1539" s="154" t="s">
        <v>101</v>
      </c>
      <c r="J1539" s="154" t="s">
        <v>102</v>
      </c>
      <c r="K1539" s="154" t="s">
        <v>60</v>
      </c>
      <c r="L1539" s="154" t="s">
        <v>1897</v>
      </c>
      <c r="M1539" s="154" t="s">
        <v>1388</v>
      </c>
      <c r="N1539" s="154" t="s">
        <v>61</v>
      </c>
      <c r="O1539" s="154" t="s">
        <v>62</v>
      </c>
      <c r="P1539" s="146">
        <v>1564981.3</v>
      </c>
      <c r="Q1539" s="146">
        <v>759.79</v>
      </c>
      <c r="R1539" s="154" t="s">
        <v>1384</v>
      </c>
      <c r="S1539" s="154" t="s">
        <v>1899</v>
      </c>
      <c r="T1539" s="155" t="s">
        <v>768</v>
      </c>
      <c r="U1539" s="155" t="s">
        <v>1899</v>
      </c>
      <c r="V1539" s="154" t="s">
        <v>1904</v>
      </c>
      <c r="W1539" s="154">
        <v>0</v>
      </c>
      <c r="X1539" s="154" t="s">
        <v>63</v>
      </c>
      <c r="Y1539" s="154" t="s">
        <v>1386</v>
      </c>
      <c r="Z1539" s="154"/>
      <c r="AA1539" s="154" t="s">
        <v>1387</v>
      </c>
      <c r="AB1539" s="154">
        <v>0</v>
      </c>
      <c r="AC1539" s="138">
        <f>IFERROR(IF(DATEDIF(#REF!,U1539,"m")&lt;=1,1,IF(AND(DATEDIF(#REF!,U1539,"m")&gt;1,DATEDIF(#REF!,U1539,"m")&lt;12),2,IF(AND(DATEDIF(#REF!,U1539,"m")&gt;=12,DATEDIF(#REF!,U1539,"m")&lt;24),3,IF(DATEDIF(#REF!,U1539,"m")&gt;=24,4,"")))),IF(E1539="r0320 - Deposits, not covered and not preferential",1,4))</f>
        <v>4</v>
      </c>
    </row>
    <row r="1540" spans="3:29" ht="36.75" thickBot="1" x14ac:dyDescent="0.3">
      <c r="C1540" s="11">
        <v>999</v>
      </c>
      <c r="D1540" s="154">
        <v>1533</v>
      </c>
      <c r="E1540" s="154" t="s">
        <v>1898</v>
      </c>
      <c r="F1540" s="154" t="s">
        <v>87</v>
      </c>
      <c r="G1540" s="154" t="s">
        <v>1402</v>
      </c>
      <c r="H1540" s="154" t="s">
        <v>463</v>
      </c>
      <c r="I1540" s="154" t="s">
        <v>96</v>
      </c>
      <c r="J1540" s="154" t="s">
        <v>97</v>
      </c>
      <c r="K1540" s="154" t="s">
        <v>91</v>
      </c>
      <c r="L1540" s="154" t="s">
        <v>1897</v>
      </c>
      <c r="M1540" s="154" t="s">
        <v>1383</v>
      </c>
      <c r="N1540" s="154" t="s">
        <v>61</v>
      </c>
      <c r="O1540" s="154" t="s">
        <v>62</v>
      </c>
      <c r="P1540" s="146">
        <v>73.33</v>
      </c>
      <c r="Q1540" s="146">
        <v>0</v>
      </c>
      <c r="R1540" s="154" t="s">
        <v>1384</v>
      </c>
      <c r="S1540" s="154" t="s">
        <v>1899</v>
      </c>
      <c r="T1540" s="155" t="s">
        <v>1899</v>
      </c>
      <c r="U1540" s="155" t="s">
        <v>1899</v>
      </c>
      <c r="V1540" s="154" t="s">
        <v>1562</v>
      </c>
      <c r="W1540" s="154">
        <v>0</v>
      </c>
      <c r="X1540" s="154" t="s">
        <v>63</v>
      </c>
      <c r="Y1540" s="154" t="s">
        <v>1900</v>
      </c>
      <c r="Z1540" s="154"/>
      <c r="AA1540" s="154" t="s">
        <v>1387</v>
      </c>
      <c r="AB1540" s="154">
        <v>0</v>
      </c>
      <c r="AC1540" s="138">
        <f>IFERROR(IF(DATEDIF(#REF!,U1540,"m")&lt;=1,1,IF(AND(DATEDIF(#REF!,U1540,"m")&gt;1,DATEDIF(#REF!,U1540,"m")&lt;12),2,IF(AND(DATEDIF(#REF!,U1540,"m")&gt;=12,DATEDIF(#REF!,U1540,"m")&lt;24),3,IF(DATEDIF(#REF!,U1540,"m")&gt;=24,4,"")))),IF(E1540="r0320 - Deposits, not covered and not preferential",1,4))</f>
        <v>4</v>
      </c>
    </row>
    <row r="1541" spans="3:29" ht="36.75" thickBot="1" x14ac:dyDescent="0.3">
      <c r="C1541" s="11">
        <v>999</v>
      </c>
      <c r="D1541" s="154">
        <v>1534</v>
      </c>
      <c r="E1541" s="154" t="s">
        <v>1898</v>
      </c>
      <c r="F1541" s="154" t="s">
        <v>83</v>
      </c>
      <c r="G1541" s="154" t="s">
        <v>1402</v>
      </c>
      <c r="H1541" s="154" t="s">
        <v>57</v>
      </c>
      <c r="I1541" s="154" t="s">
        <v>99</v>
      </c>
      <c r="J1541" s="154" t="s">
        <v>90</v>
      </c>
      <c r="K1541" s="154" t="s">
        <v>91</v>
      </c>
      <c r="L1541" s="154" t="s">
        <v>1897</v>
      </c>
      <c r="M1541" s="154" t="s">
        <v>1383</v>
      </c>
      <c r="N1541" s="154" t="s">
        <v>61</v>
      </c>
      <c r="O1541" s="154" t="s">
        <v>62</v>
      </c>
      <c r="P1541" s="146">
        <v>101360.621579</v>
      </c>
      <c r="Q1541" s="146">
        <v>0</v>
      </c>
      <c r="R1541" s="154" t="s">
        <v>768</v>
      </c>
      <c r="S1541" s="154" t="s">
        <v>1899</v>
      </c>
      <c r="T1541" s="155" t="s">
        <v>1899</v>
      </c>
      <c r="U1541" s="155" t="s">
        <v>1899</v>
      </c>
      <c r="V1541" s="154" t="s">
        <v>1562</v>
      </c>
      <c r="W1541" s="154">
        <v>0</v>
      </c>
      <c r="X1541" s="154" t="s">
        <v>63</v>
      </c>
      <c r="Y1541" s="154" t="s">
        <v>1900</v>
      </c>
      <c r="Z1541" s="154"/>
      <c r="AA1541" s="154" t="s">
        <v>1387</v>
      </c>
      <c r="AB1541" s="154">
        <v>0</v>
      </c>
      <c r="AC1541" s="138">
        <f>IFERROR(IF(DATEDIF(#REF!,U1541,"m")&lt;=1,1,IF(AND(DATEDIF(#REF!,U1541,"m")&gt;1,DATEDIF(#REF!,U1541,"m")&lt;12),2,IF(AND(DATEDIF(#REF!,U1541,"m")&gt;=12,DATEDIF(#REF!,U1541,"m")&lt;24),3,IF(DATEDIF(#REF!,U1541,"m")&gt;=24,4,"")))),IF(E1541="r0320 - Deposits, not covered and not preferential",1,4))</f>
        <v>4</v>
      </c>
    </row>
    <row r="1542" spans="3:29" ht="36.75" thickBot="1" x14ac:dyDescent="0.3">
      <c r="C1542" s="11">
        <v>999</v>
      </c>
      <c r="D1542" s="154">
        <v>1535</v>
      </c>
      <c r="E1542" s="154" t="s">
        <v>1898</v>
      </c>
      <c r="F1542" s="154" t="s">
        <v>87</v>
      </c>
      <c r="G1542" s="154" t="s">
        <v>1402</v>
      </c>
      <c r="H1542" s="154" t="s">
        <v>1248</v>
      </c>
      <c r="I1542" s="154" t="s">
        <v>108</v>
      </c>
      <c r="J1542" s="154" t="s">
        <v>90</v>
      </c>
      <c r="K1542" s="154" t="s">
        <v>91</v>
      </c>
      <c r="L1542" s="154" t="s">
        <v>1897</v>
      </c>
      <c r="M1542" s="154" t="s">
        <v>1383</v>
      </c>
      <c r="N1542" s="154" t="s">
        <v>61</v>
      </c>
      <c r="O1542" s="154" t="s">
        <v>62</v>
      </c>
      <c r="P1542" s="146">
        <v>1.9</v>
      </c>
      <c r="Q1542" s="146">
        <v>0</v>
      </c>
      <c r="R1542" s="154" t="s">
        <v>1384</v>
      </c>
      <c r="S1542" s="154" t="s">
        <v>1899</v>
      </c>
      <c r="T1542" s="155" t="s">
        <v>1899</v>
      </c>
      <c r="U1542" s="155" t="s">
        <v>1899</v>
      </c>
      <c r="V1542" s="154" t="s">
        <v>1562</v>
      </c>
      <c r="W1542" s="154">
        <v>0</v>
      </c>
      <c r="X1542" s="154" t="s">
        <v>63</v>
      </c>
      <c r="Y1542" s="154" t="s">
        <v>1900</v>
      </c>
      <c r="Z1542" s="154"/>
      <c r="AA1542" s="154" t="s">
        <v>1387</v>
      </c>
      <c r="AB1542" s="154">
        <v>0</v>
      </c>
      <c r="AC1542" s="138">
        <f>IFERROR(IF(DATEDIF(#REF!,U1542,"m")&lt;=1,1,IF(AND(DATEDIF(#REF!,U1542,"m")&gt;1,DATEDIF(#REF!,U1542,"m")&lt;12),2,IF(AND(DATEDIF(#REF!,U1542,"m")&gt;=12,DATEDIF(#REF!,U1542,"m")&lt;24),3,IF(DATEDIF(#REF!,U1542,"m")&gt;=24,4,"")))),IF(E1542="r0320 - Deposits, not covered and not preferential",1,4))</f>
        <v>4</v>
      </c>
    </row>
    <row r="1543" spans="3:29" ht="48.75" thickBot="1" x14ac:dyDescent="0.3">
      <c r="C1543" s="11">
        <v>999</v>
      </c>
      <c r="D1543" s="154">
        <v>1536</v>
      </c>
      <c r="E1543" s="154" t="s">
        <v>1902</v>
      </c>
      <c r="F1543" s="154" t="s">
        <v>83</v>
      </c>
      <c r="G1543" s="154" t="s">
        <v>1903</v>
      </c>
      <c r="H1543" s="154" t="s">
        <v>197</v>
      </c>
      <c r="I1543" s="154" t="s">
        <v>114</v>
      </c>
      <c r="J1543" s="154" t="s">
        <v>115</v>
      </c>
      <c r="K1543" s="154" t="s">
        <v>60</v>
      </c>
      <c r="L1543" s="154" t="s">
        <v>1897</v>
      </c>
      <c r="M1543" s="154" t="s">
        <v>1388</v>
      </c>
      <c r="N1543" s="154" t="s">
        <v>61</v>
      </c>
      <c r="O1543" s="154" t="s">
        <v>62</v>
      </c>
      <c r="P1543" s="146">
        <v>94930.84</v>
      </c>
      <c r="Q1543" s="146">
        <v>-7.94</v>
      </c>
      <c r="R1543" s="154" t="s">
        <v>1384</v>
      </c>
      <c r="S1543" s="154" t="s">
        <v>1899</v>
      </c>
      <c r="T1543" s="155" t="s">
        <v>768</v>
      </c>
      <c r="U1543" s="155" t="s">
        <v>1899</v>
      </c>
      <c r="V1543" s="154" t="s">
        <v>1904</v>
      </c>
      <c r="W1543" s="154">
        <v>0</v>
      </c>
      <c r="X1543" s="154" t="s">
        <v>63</v>
      </c>
      <c r="Y1543" s="154" t="s">
        <v>1386</v>
      </c>
      <c r="Z1543" s="154"/>
      <c r="AA1543" s="154" t="s">
        <v>1387</v>
      </c>
      <c r="AB1543" s="154">
        <v>0</v>
      </c>
      <c r="AC1543" s="138">
        <f>IFERROR(IF(DATEDIF(#REF!,U1543,"m")&lt;=1,1,IF(AND(DATEDIF(#REF!,U1543,"m")&gt;1,DATEDIF(#REF!,U1543,"m")&lt;12),2,IF(AND(DATEDIF(#REF!,U1543,"m")&gt;=12,DATEDIF(#REF!,U1543,"m")&lt;24),3,IF(DATEDIF(#REF!,U1543,"m")&gt;=24,4,"")))),IF(E1543="r0320 - Deposits, not covered and not preferential",1,4))</f>
        <v>4</v>
      </c>
    </row>
    <row r="1544" spans="3:29" ht="36.75" thickBot="1" x14ac:dyDescent="0.3">
      <c r="C1544" s="11">
        <v>999</v>
      </c>
      <c r="D1544" s="154">
        <v>1537</v>
      </c>
      <c r="E1544" s="154" t="s">
        <v>1898</v>
      </c>
      <c r="F1544" s="154" t="s">
        <v>87</v>
      </c>
      <c r="G1544" s="154" t="s">
        <v>1402</v>
      </c>
      <c r="H1544" s="154" t="s">
        <v>858</v>
      </c>
      <c r="I1544" s="154" t="s">
        <v>96</v>
      </c>
      <c r="J1544" s="154" t="s">
        <v>97</v>
      </c>
      <c r="K1544" s="154" t="s">
        <v>91</v>
      </c>
      <c r="L1544" s="154" t="s">
        <v>1897</v>
      </c>
      <c r="M1544" s="154" t="s">
        <v>1383</v>
      </c>
      <c r="N1544" s="154" t="s">
        <v>61</v>
      </c>
      <c r="O1544" s="154" t="s">
        <v>62</v>
      </c>
      <c r="P1544" s="146">
        <v>97.78</v>
      </c>
      <c r="Q1544" s="146">
        <v>0</v>
      </c>
      <c r="R1544" s="154" t="s">
        <v>1384</v>
      </c>
      <c r="S1544" s="154" t="s">
        <v>1899</v>
      </c>
      <c r="T1544" s="155" t="s">
        <v>1899</v>
      </c>
      <c r="U1544" s="155" t="s">
        <v>1899</v>
      </c>
      <c r="V1544" s="154" t="s">
        <v>1562</v>
      </c>
      <c r="W1544" s="154">
        <v>0</v>
      </c>
      <c r="X1544" s="154" t="s">
        <v>63</v>
      </c>
      <c r="Y1544" s="154" t="s">
        <v>1900</v>
      </c>
      <c r="Z1544" s="154"/>
      <c r="AA1544" s="154" t="s">
        <v>1387</v>
      </c>
      <c r="AB1544" s="154">
        <v>0</v>
      </c>
      <c r="AC1544" s="138">
        <f>IFERROR(IF(DATEDIF(#REF!,U1544,"m")&lt;=1,1,IF(AND(DATEDIF(#REF!,U1544,"m")&gt;1,DATEDIF(#REF!,U1544,"m")&lt;12),2,IF(AND(DATEDIF(#REF!,U1544,"m")&gt;=12,DATEDIF(#REF!,U1544,"m")&lt;24),3,IF(DATEDIF(#REF!,U1544,"m")&gt;=24,4,"")))),IF(E1544="r0320 - Deposits, not covered and not preferential",1,4))</f>
        <v>4</v>
      </c>
    </row>
    <row r="1545" spans="3:29" ht="48.75" thickBot="1" x14ac:dyDescent="0.3">
      <c r="C1545" s="11">
        <v>999</v>
      </c>
      <c r="D1545" s="154">
        <v>1538</v>
      </c>
      <c r="E1545" s="154" t="s">
        <v>1902</v>
      </c>
      <c r="F1545" s="154" t="s">
        <v>83</v>
      </c>
      <c r="G1545" s="154" t="s">
        <v>1903</v>
      </c>
      <c r="H1545" s="154" t="s">
        <v>334</v>
      </c>
      <c r="I1545" s="154" t="s">
        <v>93</v>
      </c>
      <c r="J1545" s="154" t="s">
        <v>94</v>
      </c>
      <c r="K1545" s="154" t="s">
        <v>60</v>
      </c>
      <c r="L1545" s="154" t="s">
        <v>1897</v>
      </c>
      <c r="M1545" s="154" t="s">
        <v>1388</v>
      </c>
      <c r="N1545" s="154" t="s">
        <v>61</v>
      </c>
      <c r="O1545" s="154" t="s">
        <v>62</v>
      </c>
      <c r="P1545" s="146">
        <v>94960.12</v>
      </c>
      <c r="Q1545" s="146">
        <v>57.74</v>
      </c>
      <c r="R1545" s="154" t="s">
        <v>1384</v>
      </c>
      <c r="S1545" s="154" t="s">
        <v>1899</v>
      </c>
      <c r="T1545" s="155" t="s">
        <v>768</v>
      </c>
      <c r="U1545" s="155" t="s">
        <v>1899</v>
      </c>
      <c r="V1545" s="154" t="s">
        <v>1904</v>
      </c>
      <c r="W1545" s="154">
        <v>0</v>
      </c>
      <c r="X1545" s="154" t="s">
        <v>63</v>
      </c>
      <c r="Y1545" s="154" t="s">
        <v>1386</v>
      </c>
      <c r="Z1545" s="154"/>
      <c r="AA1545" s="154" t="s">
        <v>1387</v>
      </c>
      <c r="AB1545" s="154">
        <v>0</v>
      </c>
      <c r="AC1545" s="138">
        <f>IFERROR(IF(DATEDIF(#REF!,U1545,"m")&lt;=1,1,IF(AND(DATEDIF(#REF!,U1545,"m")&gt;1,DATEDIF(#REF!,U1545,"m")&lt;12),2,IF(AND(DATEDIF(#REF!,U1545,"m")&gt;=12,DATEDIF(#REF!,U1545,"m")&lt;24),3,IF(DATEDIF(#REF!,U1545,"m")&gt;=24,4,"")))),IF(E1545="r0320 - Deposits, not covered and not preferential",1,4))</f>
        <v>4</v>
      </c>
    </row>
    <row r="1546" spans="3:29" ht="36.75" thickBot="1" x14ac:dyDescent="0.3">
      <c r="C1546" s="11">
        <v>999</v>
      </c>
      <c r="D1546" s="154">
        <v>1539</v>
      </c>
      <c r="E1546" s="154" t="s">
        <v>1898</v>
      </c>
      <c r="F1546" s="154" t="s">
        <v>87</v>
      </c>
      <c r="G1546" s="154" t="s">
        <v>1402</v>
      </c>
      <c r="H1546" s="154" t="s">
        <v>187</v>
      </c>
      <c r="I1546" s="154" t="s">
        <v>96</v>
      </c>
      <c r="J1546" s="154" t="s">
        <v>97</v>
      </c>
      <c r="K1546" s="154" t="s">
        <v>91</v>
      </c>
      <c r="L1546" s="154" t="s">
        <v>1897</v>
      </c>
      <c r="M1546" s="154" t="s">
        <v>1383</v>
      </c>
      <c r="N1546" s="154" t="s">
        <v>61</v>
      </c>
      <c r="O1546" s="154" t="s">
        <v>62</v>
      </c>
      <c r="P1546" s="146">
        <v>33.33</v>
      </c>
      <c r="Q1546" s="146">
        <v>0</v>
      </c>
      <c r="R1546" s="154" t="s">
        <v>1384</v>
      </c>
      <c r="S1546" s="154" t="s">
        <v>1899</v>
      </c>
      <c r="T1546" s="155" t="s">
        <v>1899</v>
      </c>
      <c r="U1546" s="155" t="s">
        <v>1899</v>
      </c>
      <c r="V1546" s="154" t="s">
        <v>1562</v>
      </c>
      <c r="W1546" s="154">
        <v>0</v>
      </c>
      <c r="X1546" s="154" t="s">
        <v>63</v>
      </c>
      <c r="Y1546" s="154" t="s">
        <v>1900</v>
      </c>
      <c r="Z1546" s="154"/>
      <c r="AA1546" s="154" t="s">
        <v>1387</v>
      </c>
      <c r="AB1546" s="154">
        <v>0</v>
      </c>
      <c r="AC1546" s="138">
        <f>IFERROR(IF(DATEDIF(#REF!,U1546,"m")&lt;=1,1,IF(AND(DATEDIF(#REF!,U1546,"m")&gt;1,DATEDIF(#REF!,U1546,"m")&lt;12),2,IF(AND(DATEDIF(#REF!,U1546,"m")&gt;=12,DATEDIF(#REF!,U1546,"m")&lt;24),3,IF(DATEDIF(#REF!,U1546,"m")&gt;=24,4,"")))),IF(E1546="r0320 - Deposits, not covered and not preferential",1,4))</f>
        <v>4</v>
      </c>
    </row>
    <row r="1547" spans="3:29" ht="36.75" thickBot="1" x14ac:dyDescent="0.3">
      <c r="C1547" s="11">
        <v>999</v>
      </c>
      <c r="D1547" s="154">
        <v>1540</v>
      </c>
      <c r="E1547" s="154" t="s">
        <v>1898</v>
      </c>
      <c r="F1547" s="154" t="s">
        <v>87</v>
      </c>
      <c r="G1547" s="154" t="s">
        <v>1402</v>
      </c>
      <c r="H1547" s="154" t="s">
        <v>1338</v>
      </c>
      <c r="I1547" s="154" t="s">
        <v>96</v>
      </c>
      <c r="J1547" s="154" t="s">
        <v>97</v>
      </c>
      <c r="K1547" s="154" t="s">
        <v>91</v>
      </c>
      <c r="L1547" s="154" t="s">
        <v>1897</v>
      </c>
      <c r="M1547" s="154" t="s">
        <v>1383</v>
      </c>
      <c r="N1547" s="154" t="s">
        <v>61</v>
      </c>
      <c r="O1547" s="154" t="s">
        <v>62</v>
      </c>
      <c r="P1547" s="146">
        <v>0.34</v>
      </c>
      <c r="Q1547" s="146">
        <v>0</v>
      </c>
      <c r="R1547" s="154" t="s">
        <v>1384</v>
      </c>
      <c r="S1547" s="154" t="s">
        <v>1899</v>
      </c>
      <c r="T1547" s="155" t="s">
        <v>1899</v>
      </c>
      <c r="U1547" s="155" t="s">
        <v>1899</v>
      </c>
      <c r="V1547" s="154" t="s">
        <v>1562</v>
      </c>
      <c r="W1547" s="154">
        <v>0</v>
      </c>
      <c r="X1547" s="154" t="s">
        <v>63</v>
      </c>
      <c r="Y1547" s="154" t="s">
        <v>1900</v>
      </c>
      <c r="Z1547" s="154"/>
      <c r="AA1547" s="154" t="s">
        <v>1387</v>
      </c>
      <c r="AB1547" s="154">
        <v>0</v>
      </c>
      <c r="AC1547" s="138">
        <f>IFERROR(IF(DATEDIF(#REF!,U1547,"m")&lt;=1,1,IF(AND(DATEDIF(#REF!,U1547,"m")&gt;1,DATEDIF(#REF!,U1547,"m")&lt;12),2,IF(AND(DATEDIF(#REF!,U1547,"m")&gt;=12,DATEDIF(#REF!,U1547,"m")&lt;24),3,IF(DATEDIF(#REF!,U1547,"m")&gt;=24,4,"")))),IF(E1547="r0320 - Deposits, not covered and not preferential",1,4))</f>
        <v>4</v>
      </c>
    </row>
    <row r="1548" spans="3:29" ht="36.75" thickBot="1" x14ac:dyDescent="0.3">
      <c r="C1548" s="11">
        <v>999</v>
      </c>
      <c r="D1548" s="154">
        <v>1541</v>
      </c>
      <c r="E1548" s="154" t="s">
        <v>1898</v>
      </c>
      <c r="F1548" s="154" t="s">
        <v>87</v>
      </c>
      <c r="G1548" s="154" t="s">
        <v>1402</v>
      </c>
      <c r="H1548" s="154" t="s">
        <v>190</v>
      </c>
      <c r="I1548" s="154" t="s">
        <v>96</v>
      </c>
      <c r="J1548" s="154" t="s">
        <v>97</v>
      </c>
      <c r="K1548" s="154" t="s">
        <v>91</v>
      </c>
      <c r="L1548" s="154" t="s">
        <v>1897</v>
      </c>
      <c r="M1548" s="154" t="s">
        <v>1383</v>
      </c>
      <c r="N1548" s="154" t="s">
        <v>61</v>
      </c>
      <c r="O1548" s="154" t="s">
        <v>62</v>
      </c>
      <c r="P1548" s="146">
        <v>248.11</v>
      </c>
      <c r="Q1548" s="146">
        <v>0</v>
      </c>
      <c r="R1548" s="154" t="s">
        <v>1384</v>
      </c>
      <c r="S1548" s="154" t="s">
        <v>1899</v>
      </c>
      <c r="T1548" s="155" t="s">
        <v>1899</v>
      </c>
      <c r="U1548" s="155" t="s">
        <v>1899</v>
      </c>
      <c r="V1548" s="154" t="s">
        <v>1562</v>
      </c>
      <c r="W1548" s="154">
        <v>0</v>
      </c>
      <c r="X1548" s="154" t="s">
        <v>63</v>
      </c>
      <c r="Y1548" s="154" t="s">
        <v>1900</v>
      </c>
      <c r="Z1548" s="154"/>
      <c r="AA1548" s="154" t="s">
        <v>1387</v>
      </c>
      <c r="AB1548" s="154">
        <v>0</v>
      </c>
      <c r="AC1548" s="138">
        <f>IFERROR(IF(DATEDIF(#REF!,U1548,"m")&lt;=1,1,IF(AND(DATEDIF(#REF!,U1548,"m")&gt;1,DATEDIF(#REF!,U1548,"m")&lt;12),2,IF(AND(DATEDIF(#REF!,U1548,"m")&gt;=12,DATEDIF(#REF!,U1548,"m")&lt;24),3,IF(DATEDIF(#REF!,U1548,"m")&gt;=24,4,"")))),IF(E1548="r0320 - Deposits, not covered and not preferential",1,4))</f>
        <v>4</v>
      </c>
    </row>
    <row r="1549" spans="3:29" ht="36.75" thickBot="1" x14ac:dyDescent="0.3">
      <c r="C1549" s="11">
        <v>999</v>
      </c>
      <c r="D1549" s="154">
        <v>1542</v>
      </c>
      <c r="E1549" s="154" t="s">
        <v>1898</v>
      </c>
      <c r="F1549" s="154" t="s">
        <v>87</v>
      </c>
      <c r="G1549" s="154" t="s">
        <v>1402</v>
      </c>
      <c r="H1549" s="154" t="s">
        <v>205</v>
      </c>
      <c r="I1549" s="154" t="s">
        <v>96</v>
      </c>
      <c r="J1549" s="154" t="s">
        <v>97</v>
      </c>
      <c r="K1549" s="154" t="s">
        <v>91</v>
      </c>
      <c r="L1549" s="154" t="s">
        <v>1897</v>
      </c>
      <c r="M1549" s="154" t="s">
        <v>1383</v>
      </c>
      <c r="N1549" s="154" t="s">
        <v>61</v>
      </c>
      <c r="O1549" s="154" t="s">
        <v>62</v>
      </c>
      <c r="P1549" s="146">
        <v>9.17</v>
      </c>
      <c r="Q1549" s="146">
        <v>0</v>
      </c>
      <c r="R1549" s="154" t="s">
        <v>1384</v>
      </c>
      <c r="S1549" s="154" t="s">
        <v>1899</v>
      </c>
      <c r="T1549" s="155" t="s">
        <v>1899</v>
      </c>
      <c r="U1549" s="155" t="s">
        <v>1899</v>
      </c>
      <c r="V1549" s="154" t="s">
        <v>1562</v>
      </c>
      <c r="W1549" s="154">
        <v>0</v>
      </c>
      <c r="X1549" s="154" t="s">
        <v>63</v>
      </c>
      <c r="Y1549" s="154" t="s">
        <v>1900</v>
      </c>
      <c r="Z1549" s="154"/>
      <c r="AA1549" s="154" t="s">
        <v>1387</v>
      </c>
      <c r="AB1549" s="154">
        <v>0</v>
      </c>
      <c r="AC1549" s="138">
        <f>IFERROR(IF(DATEDIF(#REF!,U1549,"m")&lt;=1,1,IF(AND(DATEDIF(#REF!,U1549,"m")&gt;1,DATEDIF(#REF!,U1549,"m")&lt;12),2,IF(AND(DATEDIF(#REF!,U1549,"m")&gt;=12,DATEDIF(#REF!,U1549,"m")&lt;24),3,IF(DATEDIF(#REF!,U1549,"m")&gt;=24,4,"")))),IF(E1549="r0320 - Deposits, not covered and not preferential",1,4))</f>
        <v>4</v>
      </c>
    </row>
    <row r="1550" spans="3:29" ht="36.75" thickBot="1" x14ac:dyDescent="0.3">
      <c r="C1550" s="11">
        <v>999</v>
      </c>
      <c r="D1550" s="154">
        <v>1543</v>
      </c>
      <c r="E1550" s="154" t="s">
        <v>1898</v>
      </c>
      <c r="F1550" s="154" t="s">
        <v>87</v>
      </c>
      <c r="G1550" s="154" t="s">
        <v>1402</v>
      </c>
      <c r="H1550" s="154" t="s">
        <v>762</v>
      </c>
      <c r="I1550" s="154" t="s">
        <v>108</v>
      </c>
      <c r="J1550" s="154" t="s">
        <v>90</v>
      </c>
      <c r="K1550" s="154" t="s">
        <v>91</v>
      </c>
      <c r="L1550" s="154" t="s">
        <v>1897</v>
      </c>
      <c r="M1550" s="154" t="s">
        <v>1383</v>
      </c>
      <c r="N1550" s="154" t="s">
        <v>61</v>
      </c>
      <c r="O1550" s="154" t="s">
        <v>62</v>
      </c>
      <c r="P1550" s="146">
        <v>0.22</v>
      </c>
      <c r="Q1550" s="146">
        <v>0</v>
      </c>
      <c r="R1550" s="154" t="s">
        <v>1384</v>
      </c>
      <c r="S1550" s="154" t="s">
        <v>1899</v>
      </c>
      <c r="T1550" s="155" t="s">
        <v>1899</v>
      </c>
      <c r="U1550" s="155" t="s">
        <v>1899</v>
      </c>
      <c r="V1550" s="154" t="s">
        <v>1562</v>
      </c>
      <c r="W1550" s="154">
        <v>0</v>
      </c>
      <c r="X1550" s="154" t="s">
        <v>63</v>
      </c>
      <c r="Y1550" s="154" t="s">
        <v>1900</v>
      </c>
      <c r="Z1550" s="154"/>
      <c r="AA1550" s="154" t="s">
        <v>1387</v>
      </c>
      <c r="AB1550" s="154">
        <v>0</v>
      </c>
      <c r="AC1550" s="138">
        <f>IFERROR(IF(DATEDIF(#REF!,U1550,"m")&lt;=1,1,IF(AND(DATEDIF(#REF!,U1550,"m")&gt;1,DATEDIF(#REF!,U1550,"m")&lt;12),2,IF(AND(DATEDIF(#REF!,U1550,"m")&gt;=12,DATEDIF(#REF!,U1550,"m")&lt;24),3,IF(DATEDIF(#REF!,U1550,"m")&gt;=24,4,"")))),IF(E1550="r0320 - Deposits, not covered and not preferential",1,4))</f>
        <v>4</v>
      </c>
    </row>
    <row r="1551" spans="3:29" ht="48.75" thickBot="1" x14ac:dyDescent="0.3">
      <c r="C1551" s="11">
        <v>999</v>
      </c>
      <c r="D1551" s="154">
        <v>1544</v>
      </c>
      <c r="E1551" s="154" t="s">
        <v>1902</v>
      </c>
      <c r="F1551" s="154" t="s">
        <v>83</v>
      </c>
      <c r="G1551" s="154" t="s">
        <v>1903</v>
      </c>
      <c r="H1551" s="154" t="s">
        <v>806</v>
      </c>
      <c r="I1551" s="154" t="s">
        <v>114</v>
      </c>
      <c r="J1551" s="154" t="s">
        <v>115</v>
      </c>
      <c r="K1551" s="154" t="s">
        <v>60</v>
      </c>
      <c r="L1551" s="154" t="s">
        <v>1897</v>
      </c>
      <c r="M1551" s="154" t="s">
        <v>1388</v>
      </c>
      <c r="N1551" s="154" t="s">
        <v>61</v>
      </c>
      <c r="O1551" s="154" t="s">
        <v>62</v>
      </c>
      <c r="P1551" s="146">
        <v>33530.769999999997</v>
      </c>
      <c r="Q1551" s="146">
        <v>0.71</v>
      </c>
      <c r="R1551" s="154" t="s">
        <v>1384</v>
      </c>
      <c r="S1551" s="154" t="s">
        <v>1899</v>
      </c>
      <c r="T1551" s="155" t="s">
        <v>768</v>
      </c>
      <c r="U1551" s="155" t="s">
        <v>1899</v>
      </c>
      <c r="V1551" s="154" t="s">
        <v>1904</v>
      </c>
      <c r="W1551" s="154">
        <v>0</v>
      </c>
      <c r="X1551" s="154" t="s">
        <v>63</v>
      </c>
      <c r="Y1551" s="154" t="s">
        <v>1386</v>
      </c>
      <c r="Z1551" s="154"/>
      <c r="AA1551" s="154" t="s">
        <v>1387</v>
      </c>
      <c r="AB1551" s="154">
        <v>0</v>
      </c>
      <c r="AC1551" s="138">
        <f>IFERROR(IF(DATEDIF(#REF!,U1551,"m")&lt;=1,1,IF(AND(DATEDIF(#REF!,U1551,"m")&gt;1,DATEDIF(#REF!,U1551,"m")&lt;12),2,IF(AND(DATEDIF(#REF!,U1551,"m")&gt;=12,DATEDIF(#REF!,U1551,"m")&lt;24),3,IF(DATEDIF(#REF!,U1551,"m")&gt;=24,4,"")))),IF(E1551="r0320 - Deposits, not covered and not preferential",1,4))</f>
        <v>4</v>
      </c>
    </row>
    <row r="1552" spans="3:29" ht="36.75" thickBot="1" x14ac:dyDescent="0.3">
      <c r="C1552" s="11">
        <v>999</v>
      </c>
      <c r="D1552" s="154">
        <v>1545</v>
      </c>
      <c r="E1552" s="154" t="s">
        <v>1898</v>
      </c>
      <c r="F1552" s="154" t="s">
        <v>87</v>
      </c>
      <c r="G1552" s="154" t="s">
        <v>1402</v>
      </c>
      <c r="H1552" s="154" t="s">
        <v>513</v>
      </c>
      <c r="I1552" s="154" t="s">
        <v>96</v>
      </c>
      <c r="J1552" s="154" t="s">
        <v>97</v>
      </c>
      <c r="K1552" s="154" t="s">
        <v>91</v>
      </c>
      <c r="L1552" s="154" t="s">
        <v>1897</v>
      </c>
      <c r="M1552" s="154" t="s">
        <v>1383</v>
      </c>
      <c r="N1552" s="154" t="s">
        <v>61</v>
      </c>
      <c r="O1552" s="154" t="s">
        <v>62</v>
      </c>
      <c r="P1552" s="146">
        <v>1.67</v>
      </c>
      <c r="Q1552" s="146">
        <v>0</v>
      </c>
      <c r="R1552" s="154" t="s">
        <v>1384</v>
      </c>
      <c r="S1552" s="154" t="s">
        <v>1899</v>
      </c>
      <c r="T1552" s="155" t="s">
        <v>1899</v>
      </c>
      <c r="U1552" s="155" t="s">
        <v>1899</v>
      </c>
      <c r="V1552" s="154" t="s">
        <v>1562</v>
      </c>
      <c r="W1552" s="154">
        <v>0</v>
      </c>
      <c r="X1552" s="154" t="s">
        <v>63</v>
      </c>
      <c r="Y1552" s="154" t="s">
        <v>1900</v>
      </c>
      <c r="Z1552" s="154"/>
      <c r="AA1552" s="154" t="s">
        <v>1387</v>
      </c>
      <c r="AB1552" s="154">
        <v>0</v>
      </c>
      <c r="AC1552" s="138">
        <f>IFERROR(IF(DATEDIF(#REF!,U1552,"m")&lt;=1,1,IF(AND(DATEDIF(#REF!,U1552,"m")&gt;1,DATEDIF(#REF!,U1552,"m")&lt;12),2,IF(AND(DATEDIF(#REF!,U1552,"m")&gt;=12,DATEDIF(#REF!,U1552,"m")&lt;24),3,IF(DATEDIF(#REF!,U1552,"m")&gt;=24,4,"")))),IF(E1552="r0320 - Deposits, not covered and not preferential",1,4))</f>
        <v>4</v>
      </c>
    </row>
    <row r="1553" spans="3:29" ht="48.75" thickBot="1" x14ac:dyDescent="0.3">
      <c r="C1553" s="11">
        <v>999</v>
      </c>
      <c r="D1553" s="154">
        <v>1546</v>
      </c>
      <c r="E1553" s="154" t="s">
        <v>1902</v>
      </c>
      <c r="F1553" s="154" t="s">
        <v>83</v>
      </c>
      <c r="G1553" s="154" t="s">
        <v>1903</v>
      </c>
      <c r="H1553" s="154" t="s">
        <v>474</v>
      </c>
      <c r="I1553" s="154" t="s">
        <v>114</v>
      </c>
      <c r="J1553" s="154" t="s">
        <v>115</v>
      </c>
      <c r="K1553" s="154" t="s">
        <v>60</v>
      </c>
      <c r="L1553" s="154" t="s">
        <v>1897</v>
      </c>
      <c r="M1553" s="154" t="s">
        <v>1388</v>
      </c>
      <c r="N1553" s="154" t="s">
        <v>61</v>
      </c>
      <c r="O1553" s="154" t="s">
        <v>62</v>
      </c>
      <c r="P1553" s="146">
        <v>167957.83</v>
      </c>
      <c r="Q1553" s="146">
        <v>44.74</v>
      </c>
      <c r="R1553" s="154" t="s">
        <v>1384</v>
      </c>
      <c r="S1553" s="154" t="s">
        <v>1899</v>
      </c>
      <c r="T1553" s="155" t="s">
        <v>768</v>
      </c>
      <c r="U1553" s="155" t="s">
        <v>1899</v>
      </c>
      <c r="V1553" s="154" t="s">
        <v>1904</v>
      </c>
      <c r="W1553" s="154">
        <v>0</v>
      </c>
      <c r="X1553" s="154" t="s">
        <v>63</v>
      </c>
      <c r="Y1553" s="154" t="s">
        <v>1386</v>
      </c>
      <c r="Z1553" s="154"/>
      <c r="AA1553" s="154" t="s">
        <v>1387</v>
      </c>
      <c r="AB1553" s="154">
        <v>0</v>
      </c>
      <c r="AC1553" s="138">
        <f>IFERROR(IF(DATEDIF(#REF!,U1553,"m")&lt;=1,1,IF(AND(DATEDIF(#REF!,U1553,"m")&gt;1,DATEDIF(#REF!,U1553,"m")&lt;12),2,IF(AND(DATEDIF(#REF!,U1553,"m")&gt;=12,DATEDIF(#REF!,U1553,"m")&lt;24),3,IF(DATEDIF(#REF!,U1553,"m")&gt;=24,4,"")))),IF(E1553="r0320 - Deposits, not covered and not preferential",1,4))</f>
        <v>4</v>
      </c>
    </row>
    <row r="1554" spans="3:29" ht="36.75" thickBot="1" x14ac:dyDescent="0.3">
      <c r="C1554" s="11">
        <v>999</v>
      </c>
      <c r="D1554" s="154">
        <v>1547</v>
      </c>
      <c r="E1554" s="154" t="s">
        <v>1898</v>
      </c>
      <c r="F1554" s="154" t="s">
        <v>87</v>
      </c>
      <c r="G1554" s="154" t="s">
        <v>1402</v>
      </c>
      <c r="H1554" s="154" t="s">
        <v>107</v>
      </c>
      <c r="I1554" s="154" t="s">
        <v>108</v>
      </c>
      <c r="J1554" s="154" t="s">
        <v>90</v>
      </c>
      <c r="K1554" s="154" t="s">
        <v>91</v>
      </c>
      <c r="L1554" s="154" t="s">
        <v>1897</v>
      </c>
      <c r="M1554" s="154" t="s">
        <v>1383</v>
      </c>
      <c r="N1554" s="154" t="s">
        <v>61</v>
      </c>
      <c r="O1554" s="154" t="s">
        <v>62</v>
      </c>
      <c r="P1554" s="146">
        <v>0.68</v>
      </c>
      <c r="Q1554" s="146">
        <v>0</v>
      </c>
      <c r="R1554" s="154" t="s">
        <v>1384</v>
      </c>
      <c r="S1554" s="154" t="s">
        <v>1899</v>
      </c>
      <c r="T1554" s="155" t="s">
        <v>1899</v>
      </c>
      <c r="U1554" s="155" t="s">
        <v>1899</v>
      </c>
      <c r="V1554" s="154" t="s">
        <v>1562</v>
      </c>
      <c r="W1554" s="154">
        <v>0</v>
      </c>
      <c r="X1554" s="154" t="s">
        <v>63</v>
      </c>
      <c r="Y1554" s="154" t="s">
        <v>1900</v>
      </c>
      <c r="Z1554" s="154"/>
      <c r="AA1554" s="154" t="s">
        <v>1387</v>
      </c>
      <c r="AB1554" s="154">
        <v>0</v>
      </c>
      <c r="AC1554" s="138">
        <f>IFERROR(IF(DATEDIF(#REF!,U1554,"m")&lt;=1,1,IF(AND(DATEDIF(#REF!,U1554,"m")&gt;1,DATEDIF(#REF!,U1554,"m")&lt;12),2,IF(AND(DATEDIF(#REF!,U1554,"m")&gt;=12,DATEDIF(#REF!,U1554,"m")&lt;24),3,IF(DATEDIF(#REF!,U1554,"m")&gt;=24,4,"")))),IF(E1554="r0320 - Deposits, not covered and not preferential",1,4))</f>
        <v>4</v>
      </c>
    </row>
    <row r="1555" spans="3:29" ht="48.75" thickBot="1" x14ac:dyDescent="0.3">
      <c r="C1555" s="11">
        <v>999</v>
      </c>
      <c r="D1555" s="154">
        <v>1548</v>
      </c>
      <c r="E1555" s="154" t="s">
        <v>1902</v>
      </c>
      <c r="F1555" s="154" t="s">
        <v>83</v>
      </c>
      <c r="G1555" s="154" t="s">
        <v>1903</v>
      </c>
      <c r="H1555" s="154" t="s">
        <v>792</v>
      </c>
      <c r="I1555" s="154" t="s">
        <v>114</v>
      </c>
      <c r="J1555" s="154" t="s">
        <v>115</v>
      </c>
      <c r="K1555" s="154" t="s">
        <v>60</v>
      </c>
      <c r="L1555" s="154" t="s">
        <v>1897</v>
      </c>
      <c r="M1555" s="154" t="s">
        <v>1388</v>
      </c>
      <c r="N1555" s="154" t="s">
        <v>61</v>
      </c>
      <c r="O1555" s="154" t="s">
        <v>62</v>
      </c>
      <c r="P1555" s="146">
        <v>45413.33</v>
      </c>
      <c r="Q1555" s="146">
        <v>0.98</v>
      </c>
      <c r="R1555" s="154" t="s">
        <v>1384</v>
      </c>
      <c r="S1555" s="154" t="s">
        <v>1899</v>
      </c>
      <c r="T1555" s="155" t="s">
        <v>768</v>
      </c>
      <c r="U1555" s="155" t="s">
        <v>1899</v>
      </c>
      <c r="V1555" s="154" t="s">
        <v>1904</v>
      </c>
      <c r="W1555" s="154">
        <v>0</v>
      </c>
      <c r="X1555" s="154" t="s">
        <v>63</v>
      </c>
      <c r="Y1555" s="154" t="s">
        <v>1386</v>
      </c>
      <c r="Z1555" s="154"/>
      <c r="AA1555" s="154" t="s">
        <v>1387</v>
      </c>
      <c r="AB1555" s="154">
        <v>0</v>
      </c>
      <c r="AC1555" s="138">
        <f>IFERROR(IF(DATEDIF(#REF!,U1555,"m")&lt;=1,1,IF(AND(DATEDIF(#REF!,U1555,"m")&gt;1,DATEDIF(#REF!,U1555,"m")&lt;12),2,IF(AND(DATEDIF(#REF!,U1555,"m")&gt;=12,DATEDIF(#REF!,U1555,"m")&lt;24),3,IF(DATEDIF(#REF!,U1555,"m")&gt;=24,4,"")))),IF(E1555="r0320 - Deposits, not covered and not preferential",1,4))</f>
        <v>4</v>
      </c>
    </row>
    <row r="1556" spans="3:29" ht="36.75" thickBot="1" x14ac:dyDescent="0.3">
      <c r="C1556" s="11">
        <v>999</v>
      </c>
      <c r="D1556" s="154">
        <v>1549</v>
      </c>
      <c r="E1556" s="154" t="s">
        <v>1898</v>
      </c>
      <c r="F1556" s="154" t="s">
        <v>87</v>
      </c>
      <c r="G1556" s="154" t="s">
        <v>1402</v>
      </c>
      <c r="H1556" s="154" t="s">
        <v>515</v>
      </c>
      <c r="I1556" s="154" t="s">
        <v>310</v>
      </c>
      <c r="J1556" s="154" t="s">
        <v>311</v>
      </c>
      <c r="K1556" s="154" t="s">
        <v>60</v>
      </c>
      <c r="L1556" s="154" t="s">
        <v>1897</v>
      </c>
      <c r="M1556" s="154" t="s">
        <v>1383</v>
      </c>
      <c r="N1556" s="154" t="s">
        <v>61</v>
      </c>
      <c r="O1556" s="154" t="s">
        <v>62</v>
      </c>
      <c r="P1556" s="146">
        <v>0.56000000000000005</v>
      </c>
      <c r="Q1556" s="146">
        <v>0</v>
      </c>
      <c r="R1556" s="154" t="s">
        <v>1384</v>
      </c>
      <c r="S1556" s="154" t="s">
        <v>1899</v>
      </c>
      <c r="T1556" s="155" t="s">
        <v>1899</v>
      </c>
      <c r="U1556" s="155" t="s">
        <v>1899</v>
      </c>
      <c r="V1556" s="154" t="s">
        <v>1562</v>
      </c>
      <c r="W1556" s="154">
        <v>0</v>
      </c>
      <c r="X1556" s="154" t="s">
        <v>63</v>
      </c>
      <c r="Y1556" s="154" t="s">
        <v>1900</v>
      </c>
      <c r="Z1556" s="154"/>
      <c r="AA1556" s="154" t="s">
        <v>1387</v>
      </c>
      <c r="AB1556" s="154">
        <v>0</v>
      </c>
      <c r="AC1556" s="138">
        <f>IFERROR(IF(DATEDIF(#REF!,U1556,"m")&lt;=1,1,IF(AND(DATEDIF(#REF!,U1556,"m")&gt;1,DATEDIF(#REF!,U1556,"m")&lt;12),2,IF(AND(DATEDIF(#REF!,U1556,"m")&gt;=12,DATEDIF(#REF!,U1556,"m")&lt;24),3,IF(DATEDIF(#REF!,U1556,"m")&gt;=24,4,"")))),IF(E1556="r0320 - Deposits, not covered and not preferential",1,4))</f>
        <v>4</v>
      </c>
    </row>
    <row r="1557" spans="3:29" ht="48.75" thickBot="1" x14ac:dyDescent="0.3">
      <c r="C1557" s="11">
        <v>999</v>
      </c>
      <c r="D1557" s="154">
        <v>1550</v>
      </c>
      <c r="E1557" s="154" t="s">
        <v>1902</v>
      </c>
      <c r="F1557" s="154" t="s">
        <v>83</v>
      </c>
      <c r="G1557" s="154" t="s">
        <v>1903</v>
      </c>
      <c r="H1557" s="154" t="s">
        <v>815</v>
      </c>
      <c r="I1557" s="154" t="s">
        <v>101</v>
      </c>
      <c r="J1557" s="154" t="s">
        <v>102</v>
      </c>
      <c r="K1557" s="154" t="s">
        <v>60</v>
      </c>
      <c r="L1557" s="154" t="s">
        <v>1897</v>
      </c>
      <c r="M1557" s="154" t="s">
        <v>1388</v>
      </c>
      <c r="N1557" s="154" t="s">
        <v>61</v>
      </c>
      <c r="O1557" s="154" t="s">
        <v>62</v>
      </c>
      <c r="P1557" s="146">
        <v>298976.65999999997</v>
      </c>
      <c r="Q1557" s="146">
        <v>31.86</v>
      </c>
      <c r="R1557" s="154" t="s">
        <v>1384</v>
      </c>
      <c r="S1557" s="154" t="s">
        <v>1899</v>
      </c>
      <c r="T1557" s="155" t="s">
        <v>768</v>
      </c>
      <c r="U1557" s="155" t="s">
        <v>1899</v>
      </c>
      <c r="V1557" s="154" t="s">
        <v>1904</v>
      </c>
      <c r="W1557" s="154">
        <v>0</v>
      </c>
      <c r="X1557" s="154" t="s">
        <v>63</v>
      </c>
      <c r="Y1557" s="154" t="s">
        <v>1386</v>
      </c>
      <c r="Z1557" s="154"/>
      <c r="AA1557" s="154" t="s">
        <v>1387</v>
      </c>
      <c r="AB1557" s="154">
        <v>0</v>
      </c>
      <c r="AC1557" s="138">
        <f>IFERROR(IF(DATEDIF(#REF!,U1557,"m")&lt;=1,1,IF(AND(DATEDIF(#REF!,U1557,"m")&gt;1,DATEDIF(#REF!,U1557,"m")&lt;12),2,IF(AND(DATEDIF(#REF!,U1557,"m")&gt;=12,DATEDIF(#REF!,U1557,"m")&lt;24),3,IF(DATEDIF(#REF!,U1557,"m")&gt;=24,4,"")))),IF(E1557="r0320 - Deposits, not covered and not preferential",1,4))</f>
        <v>4</v>
      </c>
    </row>
    <row r="1558" spans="3:29" ht="36.75" thickBot="1" x14ac:dyDescent="0.3">
      <c r="C1558" s="11">
        <v>999</v>
      </c>
      <c r="D1558" s="154">
        <v>1551</v>
      </c>
      <c r="E1558" s="154" t="s">
        <v>1898</v>
      </c>
      <c r="F1558" s="154" t="s">
        <v>87</v>
      </c>
      <c r="G1558" s="154" t="s">
        <v>1402</v>
      </c>
      <c r="H1558" s="154" t="s">
        <v>1215</v>
      </c>
      <c r="I1558" s="154" t="s">
        <v>108</v>
      </c>
      <c r="J1558" s="154" t="s">
        <v>90</v>
      </c>
      <c r="K1558" s="154" t="s">
        <v>91</v>
      </c>
      <c r="L1558" s="154" t="s">
        <v>1897</v>
      </c>
      <c r="M1558" s="154" t="s">
        <v>1383</v>
      </c>
      <c r="N1558" s="154" t="s">
        <v>61</v>
      </c>
      <c r="O1558" s="154" t="s">
        <v>62</v>
      </c>
      <c r="P1558" s="146">
        <v>0.19</v>
      </c>
      <c r="Q1558" s="146">
        <v>0</v>
      </c>
      <c r="R1558" s="154" t="s">
        <v>1384</v>
      </c>
      <c r="S1558" s="154" t="s">
        <v>1899</v>
      </c>
      <c r="T1558" s="155" t="s">
        <v>1899</v>
      </c>
      <c r="U1558" s="155" t="s">
        <v>1899</v>
      </c>
      <c r="V1558" s="154" t="s">
        <v>1562</v>
      </c>
      <c r="W1558" s="154">
        <v>0</v>
      </c>
      <c r="X1558" s="154" t="s">
        <v>63</v>
      </c>
      <c r="Y1558" s="154" t="s">
        <v>1900</v>
      </c>
      <c r="Z1558" s="154"/>
      <c r="AA1558" s="154" t="s">
        <v>1387</v>
      </c>
      <c r="AB1558" s="154">
        <v>0</v>
      </c>
      <c r="AC1558" s="138">
        <f>IFERROR(IF(DATEDIF(#REF!,U1558,"m")&lt;=1,1,IF(AND(DATEDIF(#REF!,U1558,"m")&gt;1,DATEDIF(#REF!,U1558,"m")&lt;12),2,IF(AND(DATEDIF(#REF!,U1558,"m")&gt;=12,DATEDIF(#REF!,U1558,"m")&lt;24),3,IF(DATEDIF(#REF!,U1558,"m")&gt;=24,4,"")))),IF(E1558="r0320 - Deposits, not covered and not preferential",1,4))</f>
        <v>4</v>
      </c>
    </row>
    <row r="1559" spans="3:29" ht="48.75" thickBot="1" x14ac:dyDescent="0.3">
      <c r="C1559" s="11">
        <v>999</v>
      </c>
      <c r="D1559" s="154">
        <v>1552</v>
      </c>
      <c r="E1559" s="154" t="s">
        <v>1902</v>
      </c>
      <c r="F1559" s="154" t="s">
        <v>83</v>
      </c>
      <c r="G1559" s="154" t="s">
        <v>1903</v>
      </c>
      <c r="H1559" s="154" t="s">
        <v>469</v>
      </c>
      <c r="I1559" s="154" t="s">
        <v>93</v>
      </c>
      <c r="J1559" s="154" t="s">
        <v>94</v>
      </c>
      <c r="K1559" s="154" t="s">
        <v>60</v>
      </c>
      <c r="L1559" s="154" t="s">
        <v>1897</v>
      </c>
      <c r="M1559" s="154" t="s">
        <v>1388</v>
      </c>
      <c r="N1559" s="154" t="s">
        <v>61</v>
      </c>
      <c r="O1559" s="154" t="s">
        <v>62</v>
      </c>
      <c r="P1559" s="146">
        <v>50707.97</v>
      </c>
      <c r="Q1559" s="146">
        <v>7.07</v>
      </c>
      <c r="R1559" s="154" t="s">
        <v>1384</v>
      </c>
      <c r="S1559" s="154" t="s">
        <v>1899</v>
      </c>
      <c r="T1559" s="155" t="s">
        <v>768</v>
      </c>
      <c r="U1559" s="155" t="s">
        <v>1899</v>
      </c>
      <c r="V1559" s="154" t="s">
        <v>1904</v>
      </c>
      <c r="W1559" s="154">
        <v>0</v>
      </c>
      <c r="X1559" s="154" t="s">
        <v>63</v>
      </c>
      <c r="Y1559" s="154" t="s">
        <v>1386</v>
      </c>
      <c r="Z1559" s="154"/>
      <c r="AA1559" s="154" t="s">
        <v>1387</v>
      </c>
      <c r="AB1559" s="154">
        <v>0</v>
      </c>
      <c r="AC1559" s="138">
        <f>IFERROR(IF(DATEDIF(#REF!,U1559,"m")&lt;=1,1,IF(AND(DATEDIF(#REF!,U1559,"m")&gt;1,DATEDIF(#REF!,U1559,"m")&lt;12),2,IF(AND(DATEDIF(#REF!,U1559,"m")&gt;=12,DATEDIF(#REF!,U1559,"m")&lt;24),3,IF(DATEDIF(#REF!,U1559,"m")&gt;=24,4,"")))),IF(E1559="r0320 - Deposits, not covered and not preferential",1,4))</f>
        <v>4</v>
      </c>
    </row>
    <row r="1560" spans="3:29" ht="36.75" thickBot="1" x14ac:dyDescent="0.3">
      <c r="C1560" s="11">
        <v>999</v>
      </c>
      <c r="D1560" s="154">
        <v>1553</v>
      </c>
      <c r="E1560" s="154" t="s">
        <v>1898</v>
      </c>
      <c r="F1560" s="154" t="s">
        <v>87</v>
      </c>
      <c r="G1560" s="154" t="s">
        <v>1402</v>
      </c>
      <c r="H1560" s="154" t="s">
        <v>517</v>
      </c>
      <c r="I1560" s="154" t="s">
        <v>96</v>
      </c>
      <c r="J1560" s="154" t="s">
        <v>97</v>
      </c>
      <c r="K1560" s="154" t="s">
        <v>91</v>
      </c>
      <c r="L1560" s="154" t="s">
        <v>1897</v>
      </c>
      <c r="M1560" s="154" t="s">
        <v>1383</v>
      </c>
      <c r="N1560" s="154" t="s">
        <v>61</v>
      </c>
      <c r="O1560" s="154" t="s">
        <v>62</v>
      </c>
      <c r="P1560" s="146">
        <v>64.44</v>
      </c>
      <c r="Q1560" s="146">
        <v>0</v>
      </c>
      <c r="R1560" s="154" t="s">
        <v>1384</v>
      </c>
      <c r="S1560" s="154" t="s">
        <v>1899</v>
      </c>
      <c r="T1560" s="155" t="s">
        <v>1899</v>
      </c>
      <c r="U1560" s="155" t="s">
        <v>1899</v>
      </c>
      <c r="V1560" s="154" t="s">
        <v>1562</v>
      </c>
      <c r="W1560" s="154">
        <v>0</v>
      </c>
      <c r="X1560" s="154" t="s">
        <v>63</v>
      </c>
      <c r="Y1560" s="154" t="s">
        <v>1900</v>
      </c>
      <c r="Z1560" s="154"/>
      <c r="AA1560" s="154" t="s">
        <v>1387</v>
      </c>
      <c r="AB1560" s="154">
        <v>0</v>
      </c>
      <c r="AC1560" s="138">
        <f>IFERROR(IF(DATEDIF(#REF!,U1560,"m")&lt;=1,1,IF(AND(DATEDIF(#REF!,U1560,"m")&gt;1,DATEDIF(#REF!,U1560,"m")&lt;12),2,IF(AND(DATEDIF(#REF!,U1560,"m")&gt;=12,DATEDIF(#REF!,U1560,"m")&lt;24),3,IF(DATEDIF(#REF!,U1560,"m")&gt;=24,4,"")))),IF(E1560="r0320 - Deposits, not covered and not preferential",1,4))</f>
        <v>4</v>
      </c>
    </row>
    <row r="1561" spans="3:29" ht="48.75" thickBot="1" x14ac:dyDescent="0.3">
      <c r="C1561" s="11">
        <v>999</v>
      </c>
      <c r="D1561" s="154">
        <v>1554</v>
      </c>
      <c r="E1561" s="154" t="s">
        <v>1902</v>
      </c>
      <c r="F1561" s="154" t="s">
        <v>83</v>
      </c>
      <c r="G1561" s="154" t="s">
        <v>1903</v>
      </c>
      <c r="H1561" s="154" t="s">
        <v>57</v>
      </c>
      <c r="I1561" s="154" t="s">
        <v>101</v>
      </c>
      <c r="J1561" s="154" t="s">
        <v>102</v>
      </c>
      <c r="K1561" s="154" t="s">
        <v>60</v>
      </c>
      <c r="L1561" s="154" t="s">
        <v>1897</v>
      </c>
      <c r="M1561" s="154" t="s">
        <v>1388</v>
      </c>
      <c r="N1561" s="154" t="s">
        <v>61</v>
      </c>
      <c r="O1561" s="154" t="s">
        <v>62</v>
      </c>
      <c r="P1561" s="146">
        <v>17205272.48</v>
      </c>
      <c r="Q1561" s="146">
        <v>8848.8900000000103</v>
      </c>
      <c r="R1561" s="154" t="s">
        <v>1384</v>
      </c>
      <c r="S1561" s="154" t="s">
        <v>1899</v>
      </c>
      <c r="T1561" s="155" t="s">
        <v>768</v>
      </c>
      <c r="U1561" s="155" t="s">
        <v>1899</v>
      </c>
      <c r="V1561" s="154" t="s">
        <v>1904</v>
      </c>
      <c r="W1561" s="154">
        <v>0</v>
      </c>
      <c r="X1561" s="154" t="s">
        <v>63</v>
      </c>
      <c r="Y1561" s="154" t="s">
        <v>1386</v>
      </c>
      <c r="Z1561" s="154"/>
      <c r="AA1561" s="154" t="s">
        <v>1387</v>
      </c>
      <c r="AB1561" s="154">
        <v>0</v>
      </c>
      <c r="AC1561" s="138">
        <f>IFERROR(IF(DATEDIF(#REF!,U1561,"m")&lt;=1,1,IF(AND(DATEDIF(#REF!,U1561,"m")&gt;1,DATEDIF(#REF!,U1561,"m")&lt;12),2,IF(AND(DATEDIF(#REF!,U1561,"m")&gt;=12,DATEDIF(#REF!,U1561,"m")&lt;24),3,IF(DATEDIF(#REF!,U1561,"m")&gt;=24,4,"")))),IF(E1561="r0320 - Deposits, not covered and not preferential",1,4))</f>
        <v>4</v>
      </c>
    </row>
    <row r="1562" spans="3:29" ht="36.75" thickBot="1" x14ac:dyDescent="0.3">
      <c r="C1562" s="11">
        <v>999</v>
      </c>
      <c r="D1562" s="154">
        <v>1555</v>
      </c>
      <c r="E1562" s="154" t="s">
        <v>1898</v>
      </c>
      <c r="F1562" s="154" t="s">
        <v>87</v>
      </c>
      <c r="G1562" s="154" t="s">
        <v>1402</v>
      </c>
      <c r="H1562" s="154" t="s">
        <v>206</v>
      </c>
      <c r="I1562" s="154" t="s">
        <v>108</v>
      </c>
      <c r="J1562" s="154" t="s">
        <v>90</v>
      </c>
      <c r="K1562" s="154" t="s">
        <v>91</v>
      </c>
      <c r="L1562" s="154" t="s">
        <v>1897</v>
      </c>
      <c r="M1562" s="154" t="s">
        <v>1383</v>
      </c>
      <c r="N1562" s="154" t="s">
        <v>61</v>
      </c>
      <c r="O1562" s="154" t="s">
        <v>62</v>
      </c>
      <c r="P1562" s="146">
        <v>0.12</v>
      </c>
      <c r="Q1562" s="146">
        <v>0</v>
      </c>
      <c r="R1562" s="154" t="s">
        <v>1384</v>
      </c>
      <c r="S1562" s="154" t="s">
        <v>1899</v>
      </c>
      <c r="T1562" s="155" t="s">
        <v>1899</v>
      </c>
      <c r="U1562" s="155" t="s">
        <v>1899</v>
      </c>
      <c r="V1562" s="154" t="s">
        <v>1562</v>
      </c>
      <c r="W1562" s="154">
        <v>0</v>
      </c>
      <c r="X1562" s="154" t="s">
        <v>63</v>
      </c>
      <c r="Y1562" s="154" t="s">
        <v>1900</v>
      </c>
      <c r="Z1562" s="154"/>
      <c r="AA1562" s="154" t="s">
        <v>1387</v>
      </c>
      <c r="AB1562" s="154">
        <v>0</v>
      </c>
      <c r="AC1562" s="138">
        <f>IFERROR(IF(DATEDIF(#REF!,U1562,"m")&lt;=1,1,IF(AND(DATEDIF(#REF!,U1562,"m")&gt;1,DATEDIF(#REF!,U1562,"m")&lt;12),2,IF(AND(DATEDIF(#REF!,U1562,"m")&gt;=12,DATEDIF(#REF!,U1562,"m")&lt;24),3,IF(DATEDIF(#REF!,U1562,"m")&gt;=24,4,"")))),IF(E1562="r0320 - Deposits, not covered and not preferential",1,4))</f>
        <v>4</v>
      </c>
    </row>
    <row r="1563" spans="3:29" ht="48.75" thickBot="1" x14ac:dyDescent="0.3">
      <c r="C1563" s="11">
        <v>999</v>
      </c>
      <c r="D1563" s="154">
        <v>1556</v>
      </c>
      <c r="E1563" s="154" t="s">
        <v>1902</v>
      </c>
      <c r="F1563" s="154" t="s">
        <v>83</v>
      </c>
      <c r="G1563" s="154" t="s">
        <v>1903</v>
      </c>
      <c r="H1563" s="154" t="s">
        <v>1105</v>
      </c>
      <c r="I1563" s="154" t="s">
        <v>114</v>
      </c>
      <c r="J1563" s="154" t="s">
        <v>115</v>
      </c>
      <c r="K1563" s="154" t="s">
        <v>60</v>
      </c>
      <c r="L1563" s="154" t="s">
        <v>1897</v>
      </c>
      <c r="M1563" s="154" t="s">
        <v>1388</v>
      </c>
      <c r="N1563" s="154" t="s">
        <v>61</v>
      </c>
      <c r="O1563" s="154" t="s">
        <v>62</v>
      </c>
      <c r="P1563" s="146">
        <v>120970.46</v>
      </c>
      <c r="Q1563" s="146">
        <v>111.87</v>
      </c>
      <c r="R1563" s="154" t="s">
        <v>1384</v>
      </c>
      <c r="S1563" s="154" t="s">
        <v>1899</v>
      </c>
      <c r="T1563" s="155" t="s">
        <v>768</v>
      </c>
      <c r="U1563" s="155" t="s">
        <v>1899</v>
      </c>
      <c r="V1563" s="154" t="s">
        <v>1904</v>
      </c>
      <c r="W1563" s="154">
        <v>0</v>
      </c>
      <c r="X1563" s="154" t="s">
        <v>63</v>
      </c>
      <c r="Y1563" s="154" t="s">
        <v>1386</v>
      </c>
      <c r="Z1563" s="154"/>
      <c r="AA1563" s="154" t="s">
        <v>1387</v>
      </c>
      <c r="AB1563" s="154">
        <v>0</v>
      </c>
      <c r="AC1563" s="138">
        <f>IFERROR(IF(DATEDIF(#REF!,U1563,"m")&lt;=1,1,IF(AND(DATEDIF(#REF!,U1563,"m")&gt;1,DATEDIF(#REF!,U1563,"m")&lt;12),2,IF(AND(DATEDIF(#REF!,U1563,"m")&gt;=12,DATEDIF(#REF!,U1563,"m")&lt;24),3,IF(DATEDIF(#REF!,U1563,"m")&gt;=24,4,"")))),IF(E1563="r0320 - Deposits, not covered and not preferential",1,4))</f>
        <v>4</v>
      </c>
    </row>
    <row r="1564" spans="3:29" ht="36.75" thickBot="1" x14ac:dyDescent="0.3">
      <c r="C1564" s="11">
        <v>999</v>
      </c>
      <c r="D1564" s="154">
        <v>1557</v>
      </c>
      <c r="E1564" s="154" t="s">
        <v>1898</v>
      </c>
      <c r="F1564" s="154" t="s">
        <v>87</v>
      </c>
      <c r="G1564" s="154" t="s">
        <v>1402</v>
      </c>
      <c r="H1564" s="154" t="s">
        <v>518</v>
      </c>
      <c r="I1564" s="154" t="s">
        <v>96</v>
      </c>
      <c r="J1564" s="154" t="s">
        <v>97</v>
      </c>
      <c r="K1564" s="154" t="s">
        <v>91</v>
      </c>
      <c r="L1564" s="154" t="s">
        <v>1897</v>
      </c>
      <c r="M1564" s="154" t="s">
        <v>1383</v>
      </c>
      <c r="N1564" s="154" t="s">
        <v>61</v>
      </c>
      <c r="O1564" s="154" t="s">
        <v>62</v>
      </c>
      <c r="P1564" s="146">
        <v>262.47000000000003</v>
      </c>
      <c r="Q1564" s="146">
        <v>0</v>
      </c>
      <c r="R1564" s="154" t="s">
        <v>1384</v>
      </c>
      <c r="S1564" s="154" t="s">
        <v>1899</v>
      </c>
      <c r="T1564" s="155" t="s">
        <v>1899</v>
      </c>
      <c r="U1564" s="155" t="s">
        <v>1899</v>
      </c>
      <c r="V1564" s="154" t="s">
        <v>1562</v>
      </c>
      <c r="W1564" s="154">
        <v>0</v>
      </c>
      <c r="X1564" s="154" t="s">
        <v>63</v>
      </c>
      <c r="Y1564" s="154" t="s">
        <v>1900</v>
      </c>
      <c r="Z1564" s="154"/>
      <c r="AA1564" s="154" t="s">
        <v>1387</v>
      </c>
      <c r="AB1564" s="154">
        <v>0</v>
      </c>
      <c r="AC1564" s="138">
        <f>IFERROR(IF(DATEDIF(#REF!,U1564,"m")&lt;=1,1,IF(AND(DATEDIF(#REF!,U1564,"m")&gt;1,DATEDIF(#REF!,U1564,"m")&lt;12),2,IF(AND(DATEDIF(#REF!,U1564,"m")&gt;=12,DATEDIF(#REF!,U1564,"m")&lt;24),3,IF(DATEDIF(#REF!,U1564,"m")&gt;=24,4,"")))),IF(E1564="r0320 - Deposits, not covered and not preferential",1,4))</f>
        <v>4</v>
      </c>
    </row>
    <row r="1565" spans="3:29" ht="36.75" thickBot="1" x14ac:dyDescent="0.3">
      <c r="C1565" s="11">
        <v>999</v>
      </c>
      <c r="D1565" s="154">
        <v>1558</v>
      </c>
      <c r="E1565" s="154" t="s">
        <v>1898</v>
      </c>
      <c r="F1565" s="154" t="s">
        <v>87</v>
      </c>
      <c r="G1565" s="154" t="s">
        <v>1402</v>
      </c>
      <c r="H1565" s="154" t="s">
        <v>322</v>
      </c>
      <c r="I1565" s="154" t="s">
        <v>96</v>
      </c>
      <c r="J1565" s="154" t="s">
        <v>97</v>
      </c>
      <c r="K1565" s="154" t="s">
        <v>91</v>
      </c>
      <c r="L1565" s="154" t="s">
        <v>1897</v>
      </c>
      <c r="M1565" s="154" t="s">
        <v>1383</v>
      </c>
      <c r="N1565" s="154" t="s">
        <v>61</v>
      </c>
      <c r="O1565" s="154" t="s">
        <v>62</v>
      </c>
      <c r="P1565" s="146">
        <v>0.02</v>
      </c>
      <c r="Q1565" s="146">
        <v>0</v>
      </c>
      <c r="R1565" s="154" t="s">
        <v>1384</v>
      </c>
      <c r="S1565" s="154" t="s">
        <v>1899</v>
      </c>
      <c r="T1565" s="155" t="s">
        <v>1899</v>
      </c>
      <c r="U1565" s="155" t="s">
        <v>1899</v>
      </c>
      <c r="V1565" s="154" t="s">
        <v>1562</v>
      </c>
      <c r="W1565" s="154">
        <v>0</v>
      </c>
      <c r="X1565" s="154" t="s">
        <v>63</v>
      </c>
      <c r="Y1565" s="154" t="s">
        <v>1900</v>
      </c>
      <c r="Z1565" s="154"/>
      <c r="AA1565" s="154" t="s">
        <v>1387</v>
      </c>
      <c r="AB1565" s="154">
        <v>0</v>
      </c>
      <c r="AC1565" s="138">
        <f>IFERROR(IF(DATEDIF(#REF!,U1565,"m")&lt;=1,1,IF(AND(DATEDIF(#REF!,U1565,"m")&gt;1,DATEDIF(#REF!,U1565,"m")&lt;12),2,IF(AND(DATEDIF(#REF!,U1565,"m")&gt;=12,DATEDIF(#REF!,U1565,"m")&lt;24),3,IF(DATEDIF(#REF!,U1565,"m")&gt;=24,4,"")))),IF(E1565="r0320 - Deposits, not covered and not preferential",1,4))</f>
        <v>4</v>
      </c>
    </row>
    <row r="1566" spans="3:29" ht="36.75" thickBot="1" x14ac:dyDescent="0.3">
      <c r="C1566" s="11">
        <v>999</v>
      </c>
      <c r="D1566" s="154">
        <v>1559</v>
      </c>
      <c r="E1566" s="154" t="s">
        <v>1898</v>
      </c>
      <c r="F1566" s="154" t="s">
        <v>87</v>
      </c>
      <c r="G1566" s="154" t="s">
        <v>1402</v>
      </c>
      <c r="H1566" s="154" t="s">
        <v>1313</v>
      </c>
      <c r="I1566" s="154" t="s">
        <v>108</v>
      </c>
      <c r="J1566" s="154" t="s">
        <v>90</v>
      </c>
      <c r="K1566" s="154" t="s">
        <v>91</v>
      </c>
      <c r="L1566" s="154" t="s">
        <v>1897</v>
      </c>
      <c r="M1566" s="154" t="s">
        <v>1383</v>
      </c>
      <c r="N1566" s="154" t="s">
        <v>61</v>
      </c>
      <c r="O1566" s="154" t="s">
        <v>62</v>
      </c>
      <c r="P1566" s="146">
        <v>0.97</v>
      </c>
      <c r="Q1566" s="146">
        <v>0</v>
      </c>
      <c r="R1566" s="154" t="s">
        <v>1384</v>
      </c>
      <c r="S1566" s="154" t="s">
        <v>1899</v>
      </c>
      <c r="T1566" s="155" t="s">
        <v>1899</v>
      </c>
      <c r="U1566" s="155" t="s">
        <v>1899</v>
      </c>
      <c r="V1566" s="154" t="s">
        <v>1562</v>
      </c>
      <c r="W1566" s="154">
        <v>0</v>
      </c>
      <c r="X1566" s="154" t="s">
        <v>63</v>
      </c>
      <c r="Y1566" s="154" t="s">
        <v>1900</v>
      </c>
      <c r="Z1566" s="154"/>
      <c r="AA1566" s="154" t="s">
        <v>1387</v>
      </c>
      <c r="AB1566" s="154">
        <v>0</v>
      </c>
      <c r="AC1566" s="138">
        <f>IFERROR(IF(DATEDIF(#REF!,U1566,"m")&lt;=1,1,IF(AND(DATEDIF(#REF!,U1566,"m")&gt;1,DATEDIF(#REF!,U1566,"m")&lt;12),2,IF(AND(DATEDIF(#REF!,U1566,"m")&gt;=12,DATEDIF(#REF!,U1566,"m")&lt;24),3,IF(DATEDIF(#REF!,U1566,"m")&gt;=24,4,"")))),IF(E1566="r0320 - Deposits, not covered and not preferential",1,4))</f>
        <v>4</v>
      </c>
    </row>
    <row r="1567" spans="3:29" ht="48.75" thickBot="1" x14ac:dyDescent="0.3">
      <c r="C1567" s="11">
        <v>999</v>
      </c>
      <c r="D1567" s="154">
        <v>1560</v>
      </c>
      <c r="E1567" s="154" t="s">
        <v>1902</v>
      </c>
      <c r="F1567" s="154" t="s">
        <v>83</v>
      </c>
      <c r="G1567" s="154" t="s">
        <v>1903</v>
      </c>
      <c r="H1567" s="154" t="s">
        <v>119</v>
      </c>
      <c r="I1567" s="154" t="s">
        <v>93</v>
      </c>
      <c r="J1567" s="154" t="s">
        <v>94</v>
      </c>
      <c r="K1567" s="154" t="s">
        <v>60</v>
      </c>
      <c r="L1567" s="154" t="s">
        <v>1897</v>
      </c>
      <c r="M1567" s="154" t="s">
        <v>1388</v>
      </c>
      <c r="N1567" s="154" t="s">
        <v>61</v>
      </c>
      <c r="O1567" s="154" t="s">
        <v>62</v>
      </c>
      <c r="P1567" s="146">
        <v>68298.8</v>
      </c>
      <c r="Q1567" s="146">
        <v>-11.07</v>
      </c>
      <c r="R1567" s="154" t="s">
        <v>1384</v>
      </c>
      <c r="S1567" s="154" t="s">
        <v>1899</v>
      </c>
      <c r="T1567" s="155" t="s">
        <v>768</v>
      </c>
      <c r="U1567" s="155" t="s">
        <v>1899</v>
      </c>
      <c r="V1567" s="154" t="s">
        <v>1904</v>
      </c>
      <c r="W1567" s="154">
        <v>0</v>
      </c>
      <c r="X1567" s="154" t="s">
        <v>63</v>
      </c>
      <c r="Y1567" s="154" t="s">
        <v>1386</v>
      </c>
      <c r="Z1567" s="154"/>
      <c r="AA1567" s="154" t="s">
        <v>1387</v>
      </c>
      <c r="AB1567" s="154">
        <v>0</v>
      </c>
      <c r="AC1567" s="138">
        <f>IFERROR(IF(DATEDIF(#REF!,U1567,"m")&lt;=1,1,IF(AND(DATEDIF(#REF!,U1567,"m")&gt;1,DATEDIF(#REF!,U1567,"m")&lt;12),2,IF(AND(DATEDIF(#REF!,U1567,"m")&gt;=12,DATEDIF(#REF!,U1567,"m")&lt;24),3,IF(DATEDIF(#REF!,U1567,"m")&gt;=24,4,"")))),IF(E1567="r0320 - Deposits, not covered and not preferential",1,4))</f>
        <v>4</v>
      </c>
    </row>
    <row r="1568" spans="3:29" ht="36.75" thickBot="1" x14ac:dyDescent="0.3">
      <c r="C1568" s="11">
        <v>999</v>
      </c>
      <c r="D1568" s="154">
        <v>1561</v>
      </c>
      <c r="E1568" s="154" t="s">
        <v>1898</v>
      </c>
      <c r="F1568" s="154" t="s">
        <v>87</v>
      </c>
      <c r="G1568" s="154" t="s">
        <v>1402</v>
      </c>
      <c r="H1568" s="154" t="s">
        <v>1293</v>
      </c>
      <c r="I1568" s="154" t="s">
        <v>96</v>
      </c>
      <c r="J1568" s="154" t="s">
        <v>97</v>
      </c>
      <c r="K1568" s="154" t="s">
        <v>91</v>
      </c>
      <c r="L1568" s="154" t="s">
        <v>1897</v>
      </c>
      <c r="M1568" s="154" t="s">
        <v>1383</v>
      </c>
      <c r="N1568" s="154" t="s">
        <v>61</v>
      </c>
      <c r="O1568" s="154" t="s">
        <v>62</v>
      </c>
      <c r="P1568" s="146">
        <v>3291</v>
      </c>
      <c r="Q1568" s="146">
        <v>0</v>
      </c>
      <c r="R1568" s="154" t="s">
        <v>1384</v>
      </c>
      <c r="S1568" s="154" t="s">
        <v>1899</v>
      </c>
      <c r="T1568" s="155" t="s">
        <v>1899</v>
      </c>
      <c r="U1568" s="155" t="s">
        <v>1899</v>
      </c>
      <c r="V1568" s="154" t="s">
        <v>1562</v>
      </c>
      <c r="W1568" s="154">
        <v>0</v>
      </c>
      <c r="X1568" s="154" t="s">
        <v>63</v>
      </c>
      <c r="Y1568" s="154" t="s">
        <v>1900</v>
      </c>
      <c r="Z1568" s="154"/>
      <c r="AA1568" s="154" t="s">
        <v>1387</v>
      </c>
      <c r="AB1568" s="154">
        <v>0</v>
      </c>
      <c r="AC1568" s="138">
        <f>IFERROR(IF(DATEDIF(#REF!,U1568,"m")&lt;=1,1,IF(AND(DATEDIF(#REF!,U1568,"m")&gt;1,DATEDIF(#REF!,U1568,"m")&lt;12),2,IF(AND(DATEDIF(#REF!,U1568,"m")&gt;=12,DATEDIF(#REF!,U1568,"m")&lt;24),3,IF(DATEDIF(#REF!,U1568,"m")&gt;=24,4,"")))),IF(E1568="r0320 - Deposits, not covered and not preferential",1,4))</f>
        <v>4</v>
      </c>
    </row>
    <row r="1569" spans="3:29" ht="48.75" thickBot="1" x14ac:dyDescent="0.3">
      <c r="C1569" s="11">
        <v>999</v>
      </c>
      <c r="D1569" s="154">
        <v>1562</v>
      </c>
      <c r="E1569" s="154" t="s">
        <v>1902</v>
      </c>
      <c r="F1569" s="154" t="s">
        <v>83</v>
      </c>
      <c r="G1569" s="154" t="s">
        <v>1903</v>
      </c>
      <c r="H1569" s="154" t="s">
        <v>806</v>
      </c>
      <c r="I1569" s="154" t="s">
        <v>93</v>
      </c>
      <c r="J1569" s="154" t="s">
        <v>94</v>
      </c>
      <c r="K1569" s="154" t="s">
        <v>60</v>
      </c>
      <c r="L1569" s="154" t="s">
        <v>1897</v>
      </c>
      <c r="M1569" s="154" t="s">
        <v>1388</v>
      </c>
      <c r="N1569" s="154" t="s">
        <v>61</v>
      </c>
      <c r="O1569" s="154" t="s">
        <v>62</v>
      </c>
      <c r="P1569" s="146">
        <v>140383.12</v>
      </c>
      <c r="Q1569" s="146">
        <v>2.17</v>
      </c>
      <c r="R1569" s="154" t="s">
        <v>1384</v>
      </c>
      <c r="S1569" s="154" t="s">
        <v>1899</v>
      </c>
      <c r="T1569" s="155" t="s">
        <v>768</v>
      </c>
      <c r="U1569" s="155" t="s">
        <v>1899</v>
      </c>
      <c r="V1569" s="154" t="s">
        <v>1904</v>
      </c>
      <c r="W1569" s="154">
        <v>0</v>
      </c>
      <c r="X1569" s="154" t="s">
        <v>63</v>
      </c>
      <c r="Y1569" s="154" t="s">
        <v>1386</v>
      </c>
      <c r="Z1569" s="154"/>
      <c r="AA1569" s="154" t="s">
        <v>1387</v>
      </c>
      <c r="AB1569" s="154">
        <v>0</v>
      </c>
      <c r="AC1569" s="138">
        <f>IFERROR(IF(DATEDIF(#REF!,U1569,"m")&lt;=1,1,IF(AND(DATEDIF(#REF!,U1569,"m")&gt;1,DATEDIF(#REF!,U1569,"m")&lt;12),2,IF(AND(DATEDIF(#REF!,U1569,"m")&gt;=12,DATEDIF(#REF!,U1569,"m")&lt;24),3,IF(DATEDIF(#REF!,U1569,"m")&gt;=24,4,"")))),IF(E1569="r0320 - Deposits, not covered and not preferential",1,4))</f>
        <v>4</v>
      </c>
    </row>
    <row r="1570" spans="3:29" ht="36.75" thickBot="1" x14ac:dyDescent="0.3">
      <c r="C1570" s="11">
        <v>999</v>
      </c>
      <c r="D1570" s="154">
        <v>1563</v>
      </c>
      <c r="E1570" s="154" t="s">
        <v>1898</v>
      </c>
      <c r="F1570" s="154" t="s">
        <v>87</v>
      </c>
      <c r="G1570" s="154" t="s">
        <v>1402</v>
      </c>
      <c r="H1570" s="154" t="s">
        <v>151</v>
      </c>
      <c r="I1570" s="154" t="s">
        <v>108</v>
      </c>
      <c r="J1570" s="154" t="s">
        <v>90</v>
      </c>
      <c r="K1570" s="154" t="s">
        <v>91</v>
      </c>
      <c r="L1570" s="154" t="s">
        <v>1897</v>
      </c>
      <c r="M1570" s="154" t="s">
        <v>1383</v>
      </c>
      <c r="N1570" s="154" t="s">
        <v>61</v>
      </c>
      <c r="O1570" s="154" t="s">
        <v>62</v>
      </c>
      <c r="P1570" s="146">
        <v>1.01</v>
      </c>
      <c r="Q1570" s="146">
        <v>0</v>
      </c>
      <c r="R1570" s="154" t="s">
        <v>1384</v>
      </c>
      <c r="S1570" s="154" t="s">
        <v>1899</v>
      </c>
      <c r="T1570" s="155" t="s">
        <v>1899</v>
      </c>
      <c r="U1570" s="155" t="s">
        <v>1899</v>
      </c>
      <c r="V1570" s="154" t="s">
        <v>1562</v>
      </c>
      <c r="W1570" s="154">
        <v>0</v>
      </c>
      <c r="X1570" s="154" t="s">
        <v>63</v>
      </c>
      <c r="Y1570" s="154" t="s">
        <v>1900</v>
      </c>
      <c r="Z1570" s="154"/>
      <c r="AA1570" s="154" t="s">
        <v>1387</v>
      </c>
      <c r="AB1570" s="154">
        <v>0</v>
      </c>
      <c r="AC1570" s="138">
        <f>IFERROR(IF(DATEDIF(#REF!,U1570,"m")&lt;=1,1,IF(AND(DATEDIF(#REF!,U1570,"m")&gt;1,DATEDIF(#REF!,U1570,"m")&lt;12),2,IF(AND(DATEDIF(#REF!,U1570,"m")&gt;=12,DATEDIF(#REF!,U1570,"m")&lt;24),3,IF(DATEDIF(#REF!,U1570,"m")&gt;=24,4,"")))),IF(E1570="r0320 - Deposits, not covered and not preferential",1,4))</f>
        <v>4</v>
      </c>
    </row>
    <row r="1571" spans="3:29" ht="48.75" thickBot="1" x14ac:dyDescent="0.3">
      <c r="C1571" s="11">
        <v>999</v>
      </c>
      <c r="D1571" s="154">
        <v>1564</v>
      </c>
      <c r="E1571" s="154" t="s">
        <v>1902</v>
      </c>
      <c r="F1571" s="154" t="s">
        <v>83</v>
      </c>
      <c r="G1571" s="154" t="s">
        <v>1903</v>
      </c>
      <c r="H1571" s="154" t="s">
        <v>474</v>
      </c>
      <c r="I1571" s="154" t="s">
        <v>101</v>
      </c>
      <c r="J1571" s="154" t="s">
        <v>102</v>
      </c>
      <c r="K1571" s="154" t="s">
        <v>60</v>
      </c>
      <c r="L1571" s="154" t="s">
        <v>1897</v>
      </c>
      <c r="M1571" s="154" t="s">
        <v>1388</v>
      </c>
      <c r="N1571" s="154" t="s">
        <v>61</v>
      </c>
      <c r="O1571" s="154" t="s">
        <v>62</v>
      </c>
      <c r="P1571" s="146">
        <v>1508397.93</v>
      </c>
      <c r="Q1571" s="146">
        <v>759.27</v>
      </c>
      <c r="R1571" s="154" t="s">
        <v>1384</v>
      </c>
      <c r="S1571" s="154" t="s">
        <v>1899</v>
      </c>
      <c r="T1571" s="155" t="s">
        <v>768</v>
      </c>
      <c r="U1571" s="155" t="s">
        <v>1899</v>
      </c>
      <c r="V1571" s="154" t="s">
        <v>1904</v>
      </c>
      <c r="W1571" s="154">
        <v>0</v>
      </c>
      <c r="X1571" s="154" t="s">
        <v>63</v>
      </c>
      <c r="Y1571" s="154" t="s">
        <v>1386</v>
      </c>
      <c r="Z1571" s="154"/>
      <c r="AA1571" s="154" t="s">
        <v>1387</v>
      </c>
      <c r="AB1571" s="154">
        <v>0</v>
      </c>
      <c r="AC1571" s="138">
        <f>IFERROR(IF(DATEDIF(#REF!,U1571,"m")&lt;=1,1,IF(AND(DATEDIF(#REF!,U1571,"m")&gt;1,DATEDIF(#REF!,U1571,"m")&lt;12),2,IF(AND(DATEDIF(#REF!,U1571,"m")&gt;=12,DATEDIF(#REF!,U1571,"m")&lt;24),3,IF(DATEDIF(#REF!,U1571,"m")&gt;=24,4,"")))),IF(E1571="r0320 - Deposits, not covered and not preferential",1,4))</f>
        <v>4</v>
      </c>
    </row>
    <row r="1572" spans="3:29" ht="36.75" thickBot="1" x14ac:dyDescent="0.3">
      <c r="C1572" s="11">
        <v>999</v>
      </c>
      <c r="D1572" s="154">
        <v>1565</v>
      </c>
      <c r="E1572" s="154" t="s">
        <v>1898</v>
      </c>
      <c r="F1572" s="154" t="s">
        <v>87</v>
      </c>
      <c r="G1572" s="154" t="s">
        <v>1402</v>
      </c>
      <c r="H1572" s="154" t="s">
        <v>1247</v>
      </c>
      <c r="I1572" s="154" t="s">
        <v>96</v>
      </c>
      <c r="J1572" s="154" t="s">
        <v>97</v>
      </c>
      <c r="K1572" s="154" t="s">
        <v>91</v>
      </c>
      <c r="L1572" s="154" t="s">
        <v>1897</v>
      </c>
      <c r="M1572" s="154" t="s">
        <v>1383</v>
      </c>
      <c r="N1572" s="154" t="s">
        <v>61</v>
      </c>
      <c r="O1572" s="154" t="s">
        <v>62</v>
      </c>
      <c r="P1572" s="146">
        <v>48.89</v>
      </c>
      <c r="Q1572" s="146">
        <v>0</v>
      </c>
      <c r="R1572" s="154" t="s">
        <v>1384</v>
      </c>
      <c r="S1572" s="154" t="s">
        <v>1899</v>
      </c>
      <c r="T1572" s="155" t="s">
        <v>1899</v>
      </c>
      <c r="U1572" s="155" t="s">
        <v>1899</v>
      </c>
      <c r="V1572" s="154" t="s">
        <v>1562</v>
      </c>
      <c r="W1572" s="154">
        <v>0</v>
      </c>
      <c r="X1572" s="154" t="s">
        <v>63</v>
      </c>
      <c r="Y1572" s="154" t="s">
        <v>1900</v>
      </c>
      <c r="Z1572" s="154"/>
      <c r="AA1572" s="154" t="s">
        <v>1387</v>
      </c>
      <c r="AB1572" s="154">
        <v>0</v>
      </c>
      <c r="AC1572" s="138">
        <f>IFERROR(IF(DATEDIF(#REF!,U1572,"m")&lt;=1,1,IF(AND(DATEDIF(#REF!,U1572,"m")&gt;1,DATEDIF(#REF!,U1572,"m")&lt;12),2,IF(AND(DATEDIF(#REF!,U1572,"m")&gt;=12,DATEDIF(#REF!,U1572,"m")&lt;24),3,IF(DATEDIF(#REF!,U1572,"m")&gt;=24,4,"")))),IF(E1572="r0320 - Deposits, not covered and not preferential",1,4))</f>
        <v>4</v>
      </c>
    </row>
    <row r="1573" spans="3:29" ht="48.75" thickBot="1" x14ac:dyDescent="0.3">
      <c r="C1573" s="11">
        <v>999</v>
      </c>
      <c r="D1573" s="154">
        <v>1566</v>
      </c>
      <c r="E1573" s="154" t="s">
        <v>1902</v>
      </c>
      <c r="F1573" s="154" t="s">
        <v>83</v>
      </c>
      <c r="G1573" s="154" t="s">
        <v>1903</v>
      </c>
      <c r="H1573" s="154" t="s">
        <v>819</v>
      </c>
      <c r="I1573" s="154" t="s">
        <v>101</v>
      </c>
      <c r="J1573" s="154" t="s">
        <v>102</v>
      </c>
      <c r="K1573" s="154" t="s">
        <v>60</v>
      </c>
      <c r="L1573" s="154" t="s">
        <v>1897</v>
      </c>
      <c r="M1573" s="154" t="s">
        <v>1388</v>
      </c>
      <c r="N1573" s="154" t="s">
        <v>61</v>
      </c>
      <c r="O1573" s="154" t="s">
        <v>62</v>
      </c>
      <c r="P1573" s="146">
        <v>32386</v>
      </c>
      <c r="Q1573" s="146">
        <v>0</v>
      </c>
      <c r="R1573" s="154" t="s">
        <v>1384</v>
      </c>
      <c r="S1573" s="154" t="s">
        <v>1899</v>
      </c>
      <c r="T1573" s="155" t="s">
        <v>768</v>
      </c>
      <c r="U1573" s="155" t="s">
        <v>1899</v>
      </c>
      <c r="V1573" s="154" t="s">
        <v>1904</v>
      </c>
      <c r="W1573" s="154">
        <v>0</v>
      </c>
      <c r="X1573" s="154" t="s">
        <v>63</v>
      </c>
      <c r="Y1573" s="154" t="s">
        <v>1386</v>
      </c>
      <c r="Z1573" s="154"/>
      <c r="AA1573" s="154" t="s">
        <v>1387</v>
      </c>
      <c r="AB1573" s="154">
        <v>0</v>
      </c>
      <c r="AC1573" s="138">
        <f>IFERROR(IF(DATEDIF(#REF!,U1573,"m")&lt;=1,1,IF(AND(DATEDIF(#REF!,U1573,"m")&gt;1,DATEDIF(#REF!,U1573,"m")&lt;12),2,IF(AND(DATEDIF(#REF!,U1573,"m")&gt;=12,DATEDIF(#REF!,U1573,"m")&lt;24),3,IF(DATEDIF(#REF!,U1573,"m")&gt;=24,4,"")))),IF(E1573="r0320 - Deposits, not covered and not preferential",1,4))</f>
        <v>4</v>
      </c>
    </row>
    <row r="1574" spans="3:29" ht="36.75" thickBot="1" x14ac:dyDescent="0.3">
      <c r="C1574" s="11">
        <v>999</v>
      </c>
      <c r="D1574" s="154">
        <v>1567</v>
      </c>
      <c r="E1574" s="154" t="s">
        <v>1898</v>
      </c>
      <c r="F1574" s="154" t="s">
        <v>87</v>
      </c>
      <c r="G1574" s="154" t="s">
        <v>1402</v>
      </c>
      <c r="H1574" s="154" t="s">
        <v>1297</v>
      </c>
      <c r="I1574" s="154" t="s">
        <v>108</v>
      </c>
      <c r="J1574" s="154" t="s">
        <v>90</v>
      </c>
      <c r="K1574" s="154" t="s">
        <v>91</v>
      </c>
      <c r="L1574" s="154" t="s">
        <v>1897</v>
      </c>
      <c r="M1574" s="154" t="s">
        <v>1383</v>
      </c>
      <c r="N1574" s="154" t="s">
        <v>61</v>
      </c>
      <c r="O1574" s="154" t="s">
        <v>62</v>
      </c>
      <c r="P1574" s="146">
        <v>0.24</v>
      </c>
      <c r="Q1574" s="146">
        <v>0</v>
      </c>
      <c r="R1574" s="154" t="s">
        <v>1384</v>
      </c>
      <c r="S1574" s="154" t="s">
        <v>1899</v>
      </c>
      <c r="T1574" s="155" t="s">
        <v>1899</v>
      </c>
      <c r="U1574" s="155" t="s">
        <v>1899</v>
      </c>
      <c r="V1574" s="154" t="s">
        <v>1562</v>
      </c>
      <c r="W1574" s="154">
        <v>0</v>
      </c>
      <c r="X1574" s="154" t="s">
        <v>63</v>
      </c>
      <c r="Y1574" s="154" t="s">
        <v>1900</v>
      </c>
      <c r="Z1574" s="154"/>
      <c r="AA1574" s="154" t="s">
        <v>1387</v>
      </c>
      <c r="AB1574" s="154">
        <v>0</v>
      </c>
      <c r="AC1574" s="138">
        <f>IFERROR(IF(DATEDIF(#REF!,U1574,"m")&lt;=1,1,IF(AND(DATEDIF(#REF!,U1574,"m")&gt;1,DATEDIF(#REF!,U1574,"m")&lt;12),2,IF(AND(DATEDIF(#REF!,U1574,"m")&gt;=12,DATEDIF(#REF!,U1574,"m")&lt;24),3,IF(DATEDIF(#REF!,U1574,"m")&gt;=24,4,"")))),IF(E1574="r0320 - Deposits, not covered and not preferential",1,4))</f>
        <v>4</v>
      </c>
    </row>
    <row r="1575" spans="3:29" ht="48.75" thickBot="1" x14ac:dyDescent="0.3">
      <c r="C1575" s="11">
        <v>999</v>
      </c>
      <c r="D1575" s="154">
        <v>1568</v>
      </c>
      <c r="E1575" s="154" t="s">
        <v>1902</v>
      </c>
      <c r="F1575" s="154" t="s">
        <v>83</v>
      </c>
      <c r="G1575" s="154" t="s">
        <v>1903</v>
      </c>
      <c r="H1575" s="154" t="s">
        <v>469</v>
      </c>
      <c r="I1575" s="154" t="s">
        <v>114</v>
      </c>
      <c r="J1575" s="154" t="s">
        <v>115</v>
      </c>
      <c r="K1575" s="154" t="s">
        <v>60</v>
      </c>
      <c r="L1575" s="154" t="s">
        <v>1897</v>
      </c>
      <c r="M1575" s="154" t="s">
        <v>1388</v>
      </c>
      <c r="N1575" s="154" t="s">
        <v>61</v>
      </c>
      <c r="O1575" s="154" t="s">
        <v>62</v>
      </c>
      <c r="P1575" s="146">
        <v>12510.71</v>
      </c>
      <c r="Q1575" s="146">
        <v>0.13</v>
      </c>
      <c r="R1575" s="154" t="s">
        <v>1384</v>
      </c>
      <c r="S1575" s="154" t="s">
        <v>1899</v>
      </c>
      <c r="T1575" s="155" t="s">
        <v>768</v>
      </c>
      <c r="U1575" s="155" t="s">
        <v>1899</v>
      </c>
      <c r="V1575" s="154" t="s">
        <v>1904</v>
      </c>
      <c r="W1575" s="154">
        <v>0</v>
      </c>
      <c r="X1575" s="154" t="s">
        <v>63</v>
      </c>
      <c r="Y1575" s="154" t="s">
        <v>1386</v>
      </c>
      <c r="Z1575" s="154"/>
      <c r="AA1575" s="154" t="s">
        <v>1387</v>
      </c>
      <c r="AB1575" s="154">
        <v>0</v>
      </c>
      <c r="AC1575" s="138">
        <f>IFERROR(IF(DATEDIF(#REF!,U1575,"m")&lt;=1,1,IF(AND(DATEDIF(#REF!,U1575,"m")&gt;1,DATEDIF(#REF!,U1575,"m")&lt;12),2,IF(AND(DATEDIF(#REF!,U1575,"m")&gt;=12,DATEDIF(#REF!,U1575,"m")&lt;24),3,IF(DATEDIF(#REF!,U1575,"m")&gt;=24,4,"")))),IF(E1575="r0320 - Deposits, not covered and not preferential",1,4))</f>
        <v>4</v>
      </c>
    </row>
    <row r="1576" spans="3:29" ht="36.75" thickBot="1" x14ac:dyDescent="0.3">
      <c r="C1576" s="11">
        <v>999</v>
      </c>
      <c r="D1576" s="154">
        <v>1569</v>
      </c>
      <c r="E1576" s="154" t="s">
        <v>1898</v>
      </c>
      <c r="F1576" s="154" t="s">
        <v>87</v>
      </c>
      <c r="G1576" s="154" t="s">
        <v>1402</v>
      </c>
      <c r="H1576" s="154" t="s">
        <v>287</v>
      </c>
      <c r="I1576" s="154" t="s">
        <v>96</v>
      </c>
      <c r="J1576" s="154" t="s">
        <v>97</v>
      </c>
      <c r="K1576" s="154" t="s">
        <v>91</v>
      </c>
      <c r="L1576" s="154" t="s">
        <v>1897</v>
      </c>
      <c r="M1576" s="154" t="s">
        <v>1383</v>
      </c>
      <c r="N1576" s="154" t="s">
        <v>61</v>
      </c>
      <c r="O1576" s="154" t="s">
        <v>62</v>
      </c>
      <c r="P1576" s="146">
        <v>30</v>
      </c>
      <c r="Q1576" s="146">
        <v>0</v>
      </c>
      <c r="R1576" s="154" t="s">
        <v>1384</v>
      </c>
      <c r="S1576" s="154" t="s">
        <v>1899</v>
      </c>
      <c r="T1576" s="155" t="s">
        <v>1899</v>
      </c>
      <c r="U1576" s="155" t="s">
        <v>1899</v>
      </c>
      <c r="V1576" s="154" t="s">
        <v>1562</v>
      </c>
      <c r="W1576" s="154">
        <v>0</v>
      </c>
      <c r="X1576" s="154" t="s">
        <v>63</v>
      </c>
      <c r="Y1576" s="154" t="s">
        <v>1900</v>
      </c>
      <c r="Z1576" s="154"/>
      <c r="AA1576" s="154" t="s">
        <v>1387</v>
      </c>
      <c r="AB1576" s="154">
        <v>0</v>
      </c>
      <c r="AC1576" s="138">
        <f>IFERROR(IF(DATEDIF(#REF!,U1576,"m")&lt;=1,1,IF(AND(DATEDIF(#REF!,U1576,"m")&gt;1,DATEDIF(#REF!,U1576,"m")&lt;12),2,IF(AND(DATEDIF(#REF!,U1576,"m")&gt;=12,DATEDIF(#REF!,U1576,"m")&lt;24),3,IF(DATEDIF(#REF!,U1576,"m")&gt;=24,4,"")))),IF(E1576="r0320 - Deposits, not covered and not preferential",1,4))</f>
        <v>4</v>
      </c>
    </row>
    <row r="1577" spans="3:29" ht="48.75" thickBot="1" x14ac:dyDescent="0.3">
      <c r="C1577" s="11">
        <v>999</v>
      </c>
      <c r="D1577" s="154">
        <v>1570</v>
      </c>
      <c r="E1577" s="154" t="s">
        <v>1902</v>
      </c>
      <c r="F1577" s="154" t="s">
        <v>83</v>
      </c>
      <c r="G1577" s="154" t="s">
        <v>1903</v>
      </c>
      <c r="H1577" s="154" t="s">
        <v>476</v>
      </c>
      <c r="I1577" s="154" t="s">
        <v>114</v>
      </c>
      <c r="J1577" s="154" t="s">
        <v>115</v>
      </c>
      <c r="K1577" s="154" t="s">
        <v>60</v>
      </c>
      <c r="L1577" s="154" t="s">
        <v>1897</v>
      </c>
      <c r="M1577" s="154" t="s">
        <v>1388</v>
      </c>
      <c r="N1577" s="154" t="s">
        <v>61</v>
      </c>
      <c r="O1577" s="154" t="s">
        <v>62</v>
      </c>
      <c r="P1577" s="146">
        <v>17027.23</v>
      </c>
      <c r="Q1577" s="146">
        <v>0.27</v>
      </c>
      <c r="R1577" s="154" t="s">
        <v>1384</v>
      </c>
      <c r="S1577" s="154" t="s">
        <v>1899</v>
      </c>
      <c r="T1577" s="155" t="s">
        <v>768</v>
      </c>
      <c r="U1577" s="155" t="s">
        <v>1899</v>
      </c>
      <c r="V1577" s="154" t="s">
        <v>1904</v>
      </c>
      <c r="W1577" s="154">
        <v>0</v>
      </c>
      <c r="X1577" s="154" t="s">
        <v>63</v>
      </c>
      <c r="Y1577" s="154" t="s">
        <v>1386</v>
      </c>
      <c r="Z1577" s="154"/>
      <c r="AA1577" s="154" t="s">
        <v>1387</v>
      </c>
      <c r="AB1577" s="154">
        <v>0</v>
      </c>
      <c r="AC1577" s="138">
        <f>IFERROR(IF(DATEDIF(#REF!,U1577,"m")&lt;=1,1,IF(AND(DATEDIF(#REF!,U1577,"m")&gt;1,DATEDIF(#REF!,U1577,"m")&lt;12),2,IF(AND(DATEDIF(#REF!,U1577,"m")&gt;=12,DATEDIF(#REF!,U1577,"m")&lt;24),3,IF(DATEDIF(#REF!,U1577,"m")&gt;=24,4,"")))),IF(E1577="r0320 - Deposits, not covered and not preferential",1,4))</f>
        <v>4</v>
      </c>
    </row>
    <row r="1578" spans="3:29" ht="36.75" thickBot="1" x14ac:dyDescent="0.3">
      <c r="C1578" s="11">
        <v>999</v>
      </c>
      <c r="D1578" s="154">
        <v>1571</v>
      </c>
      <c r="E1578" s="154" t="s">
        <v>1898</v>
      </c>
      <c r="F1578" s="154" t="s">
        <v>87</v>
      </c>
      <c r="G1578" s="154" t="s">
        <v>1402</v>
      </c>
      <c r="H1578" s="154" t="s">
        <v>208</v>
      </c>
      <c r="I1578" s="154" t="s">
        <v>108</v>
      </c>
      <c r="J1578" s="154" t="s">
        <v>90</v>
      </c>
      <c r="K1578" s="154" t="s">
        <v>91</v>
      </c>
      <c r="L1578" s="154" t="s">
        <v>1897</v>
      </c>
      <c r="M1578" s="154" t="s">
        <v>1383</v>
      </c>
      <c r="N1578" s="154" t="s">
        <v>61</v>
      </c>
      <c r="O1578" s="154" t="s">
        <v>62</v>
      </c>
      <c r="P1578" s="146">
        <v>0.66</v>
      </c>
      <c r="Q1578" s="146">
        <v>0</v>
      </c>
      <c r="R1578" s="154" t="s">
        <v>1384</v>
      </c>
      <c r="S1578" s="154" t="s">
        <v>1899</v>
      </c>
      <c r="T1578" s="155" t="s">
        <v>1899</v>
      </c>
      <c r="U1578" s="155" t="s">
        <v>1899</v>
      </c>
      <c r="V1578" s="154" t="s">
        <v>1562</v>
      </c>
      <c r="W1578" s="154">
        <v>0</v>
      </c>
      <c r="X1578" s="154" t="s">
        <v>63</v>
      </c>
      <c r="Y1578" s="154" t="s">
        <v>1900</v>
      </c>
      <c r="Z1578" s="154"/>
      <c r="AA1578" s="154" t="s">
        <v>1387</v>
      </c>
      <c r="AB1578" s="154">
        <v>0</v>
      </c>
      <c r="AC1578" s="138">
        <f>IFERROR(IF(DATEDIF(#REF!,U1578,"m")&lt;=1,1,IF(AND(DATEDIF(#REF!,U1578,"m")&gt;1,DATEDIF(#REF!,U1578,"m")&lt;12),2,IF(AND(DATEDIF(#REF!,U1578,"m")&gt;=12,DATEDIF(#REF!,U1578,"m")&lt;24),3,IF(DATEDIF(#REF!,U1578,"m")&gt;=24,4,"")))),IF(E1578="r0320 - Deposits, not covered and not preferential",1,4))</f>
        <v>4</v>
      </c>
    </row>
    <row r="1579" spans="3:29" ht="48.75" thickBot="1" x14ac:dyDescent="0.3">
      <c r="C1579" s="11">
        <v>999</v>
      </c>
      <c r="D1579" s="154">
        <v>1572</v>
      </c>
      <c r="E1579" s="154" t="s">
        <v>1902</v>
      </c>
      <c r="F1579" s="154" t="s">
        <v>83</v>
      </c>
      <c r="G1579" s="154" t="s">
        <v>1903</v>
      </c>
      <c r="H1579" s="154" t="s">
        <v>803</v>
      </c>
      <c r="I1579" s="154" t="s">
        <v>93</v>
      </c>
      <c r="J1579" s="154" t="s">
        <v>94</v>
      </c>
      <c r="K1579" s="154" t="s">
        <v>60</v>
      </c>
      <c r="L1579" s="154" t="s">
        <v>1897</v>
      </c>
      <c r="M1579" s="154" t="s">
        <v>1388</v>
      </c>
      <c r="N1579" s="154" t="s">
        <v>61</v>
      </c>
      <c r="O1579" s="154" t="s">
        <v>62</v>
      </c>
      <c r="P1579" s="146">
        <v>18114.43</v>
      </c>
      <c r="Q1579" s="146">
        <v>0</v>
      </c>
      <c r="R1579" s="154" t="s">
        <v>1384</v>
      </c>
      <c r="S1579" s="154" t="s">
        <v>1899</v>
      </c>
      <c r="T1579" s="155" t="s">
        <v>768</v>
      </c>
      <c r="U1579" s="155" t="s">
        <v>1899</v>
      </c>
      <c r="V1579" s="154" t="s">
        <v>1904</v>
      </c>
      <c r="W1579" s="154">
        <v>0</v>
      </c>
      <c r="X1579" s="154" t="s">
        <v>63</v>
      </c>
      <c r="Y1579" s="154" t="s">
        <v>1386</v>
      </c>
      <c r="Z1579" s="154"/>
      <c r="AA1579" s="154" t="s">
        <v>1387</v>
      </c>
      <c r="AB1579" s="154">
        <v>0</v>
      </c>
      <c r="AC1579" s="138">
        <f>IFERROR(IF(DATEDIF(#REF!,U1579,"m")&lt;=1,1,IF(AND(DATEDIF(#REF!,U1579,"m")&gt;1,DATEDIF(#REF!,U1579,"m")&lt;12),2,IF(AND(DATEDIF(#REF!,U1579,"m")&gt;=12,DATEDIF(#REF!,U1579,"m")&lt;24),3,IF(DATEDIF(#REF!,U1579,"m")&gt;=24,4,"")))),IF(E1579="r0320 - Deposits, not covered and not preferential",1,4))</f>
        <v>4</v>
      </c>
    </row>
    <row r="1580" spans="3:29" ht="36.75" thickBot="1" x14ac:dyDescent="0.3">
      <c r="C1580" s="11">
        <v>999</v>
      </c>
      <c r="D1580" s="154">
        <v>1573</v>
      </c>
      <c r="E1580" s="154" t="s">
        <v>1898</v>
      </c>
      <c r="F1580" s="154" t="s">
        <v>87</v>
      </c>
      <c r="G1580" s="154" t="s">
        <v>1402</v>
      </c>
      <c r="H1580" s="154" t="s">
        <v>449</v>
      </c>
      <c r="I1580" s="154" t="s">
        <v>96</v>
      </c>
      <c r="J1580" s="154" t="s">
        <v>97</v>
      </c>
      <c r="K1580" s="154" t="s">
        <v>91</v>
      </c>
      <c r="L1580" s="154" t="s">
        <v>1897</v>
      </c>
      <c r="M1580" s="154" t="s">
        <v>1383</v>
      </c>
      <c r="N1580" s="154" t="s">
        <v>61</v>
      </c>
      <c r="O1580" s="154" t="s">
        <v>62</v>
      </c>
      <c r="P1580" s="146">
        <v>103.11</v>
      </c>
      <c r="Q1580" s="146">
        <v>0</v>
      </c>
      <c r="R1580" s="154" t="s">
        <v>1384</v>
      </c>
      <c r="S1580" s="154" t="s">
        <v>1899</v>
      </c>
      <c r="T1580" s="155" t="s">
        <v>1899</v>
      </c>
      <c r="U1580" s="155" t="s">
        <v>1899</v>
      </c>
      <c r="V1580" s="154" t="s">
        <v>1562</v>
      </c>
      <c r="W1580" s="154">
        <v>0</v>
      </c>
      <c r="X1580" s="154" t="s">
        <v>63</v>
      </c>
      <c r="Y1580" s="154" t="s">
        <v>1900</v>
      </c>
      <c r="Z1580" s="154"/>
      <c r="AA1580" s="154" t="s">
        <v>1387</v>
      </c>
      <c r="AB1580" s="154">
        <v>0</v>
      </c>
      <c r="AC1580" s="138">
        <f>IFERROR(IF(DATEDIF(#REF!,U1580,"m")&lt;=1,1,IF(AND(DATEDIF(#REF!,U1580,"m")&gt;1,DATEDIF(#REF!,U1580,"m")&lt;12),2,IF(AND(DATEDIF(#REF!,U1580,"m")&gt;=12,DATEDIF(#REF!,U1580,"m")&lt;24),3,IF(DATEDIF(#REF!,U1580,"m")&gt;=24,4,"")))),IF(E1580="r0320 - Deposits, not covered and not preferential",1,4))</f>
        <v>4</v>
      </c>
    </row>
    <row r="1581" spans="3:29" ht="36.75" thickBot="1" x14ac:dyDescent="0.3">
      <c r="C1581" s="11">
        <v>999</v>
      </c>
      <c r="D1581" s="154">
        <v>1574</v>
      </c>
      <c r="E1581" s="154" t="s">
        <v>1898</v>
      </c>
      <c r="F1581" s="154" t="s">
        <v>87</v>
      </c>
      <c r="G1581" s="154" t="s">
        <v>1402</v>
      </c>
      <c r="H1581" s="154" t="s">
        <v>1322</v>
      </c>
      <c r="I1581" s="154" t="s">
        <v>99</v>
      </c>
      <c r="J1581" s="154" t="s">
        <v>90</v>
      </c>
      <c r="K1581" s="154" t="s">
        <v>91</v>
      </c>
      <c r="L1581" s="154" t="s">
        <v>1897</v>
      </c>
      <c r="M1581" s="154" t="s">
        <v>1383</v>
      </c>
      <c r="N1581" s="154" t="s">
        <v>61</v>
      </c>
      <c r="O1581" s="154" t="s">
        <v>62</v>
      </c>
      <c r="P1581" s="146">
        <v>5.75</v>
      </c>
      <c r="Q1581" s="146">
        <v>0</v>
      </c>
      <c r="R1581" s="154" t="s">
        <v>1384</v>
      </c>
      <c r="S1581" s="154" t="s">
        <v>1899</v>
      </c>
      <c r="T1581" s="155" t="s">
        <v>1899</v>
      </c>
      <c r="U1581" s="155" t="s">
        <v>1899</v>
      </c>
      <c r="V1581" s="154" t="s">
        <v>1562</v>
      </c>
      <c r="W1581" s="154">
        <v>0</v>
      </c>
      <c r="X1581" s="154" t="s">
        <v>63</v>
      </c>
      <c r="Y1581" s="154" t="s">
        <v>1900</v>
      </c>
      <c r="Z1581" s="154"/>
      <c r="AA1581" s="154" t="s">
        <v>1387</v>
      </c>
      <c r="AB1581" s="154">
        <v>0</v>
      </c>
      <c r="AC1581" s="138">
        <f>IFERROR(IF(DATEDIF(#REF!,U1581,"m")&lt;=1,1,IF(AND(DATEDIF(#REF!,U1581,"m")&gt;1,DATEDIF(#REF!,U1581,"m")&lt;12),2,IF(AND(DATEDIF(#REF!,U1581,"m")&gt;=12,DATEDIF(#REF!,U1581,"m")&lt;24),3,IF(DATEDIF(#REF!,U1581,"m")&gt;=24,4,"")))),IF(E1581="r0320 - Deposits, not covered and not preferential",1,4))</f>
        <v>4</v>
      </c>
    </row>
    <row r="1582" spans="3:29" ht="36.75" thickBot="1" x14ac:dyDescent="0.3">
      <c r="C1582" s="11">
        <v>999</v>
      </c>
      <c r="D1582" s="154">
        <v>1575</v>
      </c>
      <c r="E1582" s="154" t="s">
        <v>1898</v>
      </c>
      <c r="F1582" s="154" t="s">
        <v>87</v>
      </c>
      <c r="G1582" s="154" t="s">
        <v>1402</v>
      </c>
      <c r="H1582" s="154" t="s">
        <v>313</v>
      </c>
      <c r="I1582" s="154" t="s">
        <v>108</v>
      </c>
      <c r="J1582" s="154" t="s">
        <v>90</v>
      </c>
      <c r="K1582" s="154" t="s">
        <v>91</v>
      </c>
      <c r="L1582" s="154" t="s">
        <v>1897</v>
      </c>
      <c r="M1582" s="154" t="s">
        <v>1383</v>
      </c>
      <c r="N1582" s="154" t="s">
        <v>61</v>
      </c>
      <c r="O1582" s="154" t="s">
        <v>62</v>
      </c>
      <c r="P1582" s="146">
        <v>6.57</v>
      </c>
      <c r="Q1582" s="146">
        <v>0</v>
      </c>
      <c r="R1582" s="154" t="s">
        <v>1384</v>
      </c>
      <c r="S1582" s="154" t="s">
        <v>1899</v>
      </c>
      <c r="T1582" s="155" t="s">
        <v>1899</v>
      </c>
      <c r="U1582" s="155" t="s">
        <v>1899</v>
      </c>
      <c r="V1582" s="154" t="s">
        <v>1562</v>
      </c>
      <c r="W1582" s="154">
        <v>0</v>
      </c>
      <c r="X1582" s="154" t="s">
        <v>63</v>
      </c>
      <c r="Y1582" s="154" t="s">
        <v>1900</v>
      </c>
      <c r="Z1582" s="154"/>
      <c r="AA1582" s="154" t="s">
        <v>1387</v>
      </c>
      <c r="AB1582" s="154">
        <v>0</v>
      </c>
      <c r="AC1582" s="138">
        <f>IFERROR(IF(DATEDIF(#REF!,U1582,"m")&lt;=1,1,IF(AND(DATEDIF(#REF!,U1582,"m")&gt;1,DATEDIF(#REF!,U1582,"m")&lt;12),2,IF(AND(DATEDIF(#REF!,U1582,"m")&gt;=12,DATEDIF(#REF!,U1582,"m")&lt;24),3,IF(DATEDIF(#REF!,U1582,"m")&gt;=24,4,"")))),IF(E1582="r0320 - Deposits, not covered and not preferential",1,4))</f>
        <v>4</v>
      </c>
    </row>
    <row r="1583" spans="3:29" ht="36.75" thickBot="1" x14ac:dyDescent="0.3">
      <c r="C1583" s="11">
        <v>999</v>
      </c>
      <c r="D1583" s="154">
        <v>1576</v>
      </c>
      <c r="E1583" s="154" t="s">
        <v>1898</v>
      </c>
      <c r="F1583" s="154" t="s">
        <v>87</v>
      </c>
      <c r="G1583" s="154" t="s">
        <v>1402</v>
      </c>
      <c r="H1583" s="154" t="s">
        <v>57</v>
      </c>
      <c r="I1583" s="154" t="s">
        <v>310</v>
      </c>
      <c r="J1583" s="154" t="s">
        <v>311</v>
      </c>
      <c r="K1583" s="154" t="s">
        <v>60</v>
      </c>
      <c r="L1583" s="154" t="s">
        <v>1897</v>
      </c>
      <c r="M1583" s="154" t="s">
        <v>1383</v>
      </c>
      <c r="N1583" s="154" t="s">
        <v>61</v>
      </c>
      <c r="O1583" s="154" t="s">
        <v>62</v>
      </c>
      <c r="P1583" s="146">
        <v>34.29</v>
      </c>
      <c r="Q1583" s="146">
        <v>0</v>
      </c>
      <c r="R1583" s="154" t="s">
        <v>1384</v>
      </c>
      <c r="S1583" s="154" t="s">
        <v>1899</v>
      </c>
      <c r="T1583" s="155" t="s">
        <v>1899</v>
      </c>
      <c r="U1583" s="155" t="s">
        <v>1899</v>
      </c>
      <c r="V1583" s="154" t="s">
        <v>1562</v>
      </c>
      <c r="W1583" s="154">
        <v>0</v>
      </c>
      <c r="X1583" s="154" t="s">
        <v>63</v>
      </c>
      <c r="Y1583" s="154" t="s">
        <v>1900</v>
      </c>
      <c r="Z1583" s="154"/>
      <c r="AA1583" s="154" t="s">
        <v>1387</v>
      </c>
      <c r="AB1583" s="154">
        <v>0</v>
      </c>
      <c r="AC1583" s="138">
        <f>IFERROR(IF(DATEDIF(#REF!,U1583,"m")&lt;=1,1,IF(AND(DATEDIF(#REF!,U1583,"m")&gt;1,DATEDIF(#REF!,U1583,"m")&lt;12),2,IF(AND(DATEDIF(#REF!,U1583,"m")&gt;=12,DATEDIF(#REF!,U1583,"m")&lt;24),3,IF(DATEDIF(#REF!,U1583,"m")&gt;=24,4,"")))),IF(E1583="r0320 - Deposits, not covered and not preferential",1,4))</f>
        <v>4</v>
      </c>
    </row>
    <row r="1584" spans="3:29" ht="36.75" thickBot="1" x14ac:dyDescent="0.3">
      <c r="C1584" s="11">
        <v>999</v>
      </c>
      <c r="D1584" s="154">
        <v>1577</v>
      </c>
      <c r="E1584" s="154" t="s">
        <v>1898</v>
      </c>
      <c r="F1584" s="154" t="s">
        <v>87</v>
      </c>
      <c r="G1584" s="154" t="s">
        <v>1402</v>
      </c>
      <c r="H1584" s="154" t="s">
        <v>1249</v>
      </c>
      <c r="I1584" s="154" t="s">
        <v>96</v>
      </c>
      <c r="J1584" s="154" t="s">
        <v>97</v>
      </c>
      <c r="K1584" s="154" t="s">
        <v>91</v>
      </c>
      <c r="L1584" s="154" t="s">
        <v>1897</v>
      </c>
      <c r="M1584" s="154" t="s">
        <v>1383</v>
      </c>
      <c r="N1584" s="154" t="s">
        <v>61</v>
      </c>
      <c r="O1584" s="154" t="s">
        <v>62</v>
      </c>
      <c r="P1584" s="146">
        <v>6.34</v>
      </c>
      <c r="Q1584" s="146">
        <v>0</v>
      </c>
      <c r="R1584" s="154" t="s">
        <v>1384</v>
      </c>
      <c r="S1584" s="154" t="s">
        <v>1899</v>
      </c>
      <c r="T1584" s="155" t="s">
        <v>1899</v>
      </c>
      <c r="U1584" s="155" t="s">
        <v>1899</v>
      </c>
      <c r="V1584" s="154" t="s">
        <v>1562</v>
      </c>
      <c r="W1584" s="154">
        <v>0</v>
      </c>
      <c r="X1584" s="154" t="s">
        <v>63</v>
      </c>
      <c r="Y1584" s="154" t="s">
        <v>1900</v>
      </c>
      <c r="Z1584" s="154"/>
      <c r="AA1584" s="154" t="s">
        <v>1387</v>
      </c>
      <c r="AB1584" s="154">
        <v>0</v>
      </c>
      <c r="AC1584" s="138">
        <f>IFERROR(IF(DATEDIF(#REF!,U1584,"m")&lt;=1,1,IF(AND(DATEDIF(#REF!,U1584,"m")&gt;1,DATEDIF(#REF!,U1584,"m")&lt;12),2,IF(AND(DATEDIF(#REF!,U1584,"m")&gt;=12,DATEDIF(#REF!,U1584,"m")&lt;24),3,IF(DATEDIF(#REF!,U1584,"m")&gt;=24,4,"")))),IF(E1584="r0320 - Deposits, not covered and not preferential",1,4))</f>
        <v>4</v>
      </c>
    </row>
    <row r="1585" spans="3:29" ht="48.75" thickBot="1" x14ac:dyDescent="0.3">
      <c r="C1585" s="11">
        <v>999</v>
      </c>
      <c r="D1585" s="154">
        <v>1578</v>
      </c>
      <c r="E1585" s="154" t="s">
        <v>1902</v>
      </c>
      <c r="F1585" s="154" t="s">
        <v>83</v>
      </c>
      <c r="G1585" s="154" t="s">
        <v>1903</v>
      </c>
      <c r="H1585" s="154" t="s">
        <v>106</v>
      </c>
      <c r="I1585" s="154" t="s">
        <v>101</v>
      </c>
      <c r="J1585" s="154" t="s">
        <v>102</v>
      </c>
      <c r="K1585" s="154" t="s">
        <v>60</v>
      </c>
      <c r="L1585" s="154" t="s">
        <v>1897</v>
      </c>
      <c r="M1585" s="154" t="s">
        <v>1388</v>
      </c>
      <c r="N1585" s="154" t="s">
        <v>61</v>
      </c>
      <c r="O1585" s="154" t="s">
        <v>62</v>
      </c>
      <c r="P1585" s="146">
        <v>2217123.2799999998</v>
      </c>
      <c r="Q1585" s="146">
        <v>879.98</v>
      </c>
      <c r="R1585" s="154" t="s">
        <v>1384</v>
      </c>
      <c r="S1585" s="154" t="s">
        <v>1899</v>
      </c>
      <c r="T1585" s="155" t="s">
        <v>768</v>
      </c>
      <c r="U1585" s="155" t="s">
        <v>1899</v>
      </c>
      <c r="V1585" s="154" t="s">
        <v>1904</v>
      </c>
      <c r="W1585" s="154">
        <v>0</v>
      </c>
      <c r="X1585" s="154" t="s">
        <v>63</v>
      </c>
      <c r="Y1585" s="154" t="s">
        <v>1386</v>
      </c>
      <c r="Z1585" s="154"/>
      <c r="AA1585" s="154" t="s">
        <v>1387</v>
      </c>
      <c r="AB1585" s="154">
        <v>0</v>
      </c>
      <c r="AC1585" s="138">
        <f>IFERROR(IF(DATEDIF(#REF!,U1585,"m")&lt;=1,1,IF(AND(DATEDIF(#REF!,U1585,"m")&gt;1,DATEDIF(#REF!,U1585,"m")&lt;12),2,IF(AND(DATEDIF(#REF!,U1585,"m")&gt;=12,DATEDIF(#REF!,U1585,"m")&lt;24),3,IF(DATEDIF(#REF!,U1585,"m")&gt;=24,4,"")))),IF(E1585="r0320 - Deposits, not covered and not preferential",1,4))</f>
        <v>4</v>
      </c>
    </row>
    <row r="1586" spans="3:29" ht="36.75" thickBot="1" x14ac:dyDescent="0.3">
      <c r="C1586" s="11">
        <v>999</v>
      </c>
      <c r="D1586" s="154">
        <v>1579</v>
      </c>
      <c r="E1586" s="154" t="s">
        <v>1898</v>
      </c>
      <c r="F1586" s="154" t="s">
        <v>87</v>
      </c>
      <c r="G1586" s="154" t="s">
        <v>1402</v>
      </c>
      <c r="H1586" s="154" t="s">
        <v>124</v>
      </c>
      <c r="I1586" s="154" t="s">
        <v>108</v>
      </c>
      <c r="J1586" s="154" t="s">
        <v>90</v>
      </c>
      <c r="K1586" s="154" t="s">
        <v>91</v>
      </c>
      <c r="L1586" s="154" t="s">
        <v>1897</v>
      </c>
      <c r="M1586" s="154" t="s">
        <v>1383</v>
      </c>
      <c r="N1586" s="154" t="s">
        <v>61</v>
      </c>
      <c r="O1586" s="154" t="s">
        <v>62</v>
      </c>
      <c r="P1586" s="146">
        <v>1</v>
      </c>
      <c r="Q1586" s="146">
        <v>0</v>
      </c>
      <c r="R1586" s="154" t="s">
        <v>1384</v>
      </c>
      <c r="S1586" s="154" t="s">
        <v>1899</v>
      </c>
      <c r="T1586" s="155" t="s">
        <v>1899</v>
      </c>
      <c r="U1586" s="155" t="s">
        <v>1899</v>
      </c>
      <c r="V1586" s="154" t="s">
        <v>1562</v>
      </c>
      <c r="W1586" s="154">
        <v>0</v>
      </c>
      <c r="X1586" s="154" t="s">
        <v>63</v>
      </c>
      <c r="Y1586" s="154" t="s">
        <v>1900</v>
      </c>
      <c r="Z1586" s="154"/>
      <c r="AA1586" s="154" t="s">
        <v>1387</v>
      </c>
      <c r="AB1586" s="154">
        <v>0</v>
      </c>
      <c r="AC1586" s="138">
        <f>IFERROR(IF(DATEDIF(#REF!,U1586,"m")&lt;=1,1,IF(AND(DATEDIF(#REF!,U1586,"m")&gt;1,DATEDIF(#REF!,U1586,"m")&lt;12),2,IF(AND(DATEDIF(#REF!,U1586,"m")&gt;=12,DATEDIF(#REF!,U1586,"m")&lt;24),3,IF(DATEDIF(#REF!,U1586,"m")&gt;=24,4,"")))),IF(E1586="r0320 - Deposits, not covered and not preferential",1,4))</f>
        <v>4</v>
      </c>
    </row>
    <row r="1587" spans="3:29" ht="48.75" thickBot="1" x14ac:dyDescent="0.3">
      <c r="C1587" s="11">
        <v>999</v>
      </c>
      <c r="D1587" s="154">
        <v>1580</v>
      </c>
      <c r="E1587" s="154" t="s">
        <v>1902</v>
      </c>
      <c r="F1587" s="154" t="s">
        <v>83</v>
      </c>
      <c r="G1587" s="154" t="s">
        <v>1903</v>
      </c>
      <c r="H1587" s="154" t="s">
        <v>803</v>
      </c>
      <c r="I1587" s="154" t="s">
        <v>114</v>
      </c>
      <c r="J1587" s="154" t="s">
        <v>115</v>
      </c>
      <c r="K1587" s="154" t="s">
        <v>60</v>
      </c>
      <c r="L1587" s="154" t="s">
        <v>1897</v>
      </c>
      <c r="M1587" s="154" t="s">
        <v>1388</v>
      </c>
      <c r="N1587" s="154" t="s">
        <v>61</v>
      </c>
      <c r="O1587" s="154" t="s">
        <v>62</v>
      </c>
      <c r="P1587" s="146">
        <v>11041.14</v>
      </c>
      <c r="Q1587" s="146">
        <v>0.16</v>
      </c>
      <c r="R1587" s="154" t="s">
        <v>1384</v>
      </c>
      <c r="S1587" s="154" t="s">
        <v>1899</v>
      </c>
      <c r="T1587" s="155" t="s">
        <v>768</v>
      </c>
      <c r="U1587" s="155" t="s">
        <v>1899</v>
      </c>
      <c r="V1587" s="154" t="s">
        <v>1904</v>
      </c>
      <c r="W1587" s="154">
        <v>0</v>
      </c>
      <c r="X1587" s="154" t="s">
        <v>63</v>
      </c>
      <c r="Y1587" s="154" t="s">
        <v>1386</v>
      </c>
      <c r="Z1587" s="154"/>
      <c r="AA1587" s="154" t="s">
        <v>1387</v>
      </c>
      <c r="AB1587" s="154">
        <v>0</v>
      </c>
      <c r="AC1587" s="138">
        <f>IFERROR(IF(DATEDIF(#REF!,U1587,"m")&lt;=1,1,IF(AND(DATEDIF(#REF!,U1587,"m")&gt;1,DATEDIF(#REF!,U1587,"m")&lt;12),2,IF(AND(DATEDIF(#REF!,U1587,"m")&gt;=12,DATEDIF(#REF!,U1587,"m")&lt;24),3,IF(DATEDIF(#REF!,U1587,"m")&gt;=24,4,"")))),IF(E1587="r0320 - Deposits, not covered and not preferential",1,4))</f>
        <v>4</v>
      </c>
    </row>
    <row r="1588" spans="3:29" ht="36.75" thickBot="1" x14ac:dyDescent="0.3">
      <c r="C1588" s="11">
        <v>999</v>
      </c>
      <c r="D1588" s="154">
        <v>1581</v>
      </c>
      <c r="E1588" s="154" t="s">
        <v>1898</v>
      </c>
      <c r="F1588" s="154" t="s">
        <v>87</v>
      </c>
      <c r="G1588" s="154" t="s">
        <v>1402</v>
      </c>
      <c r="H1588" s="154" t="s">
        <v>120</v>
      </c>
      <c r="I1588" s="154" t="s">
        <v>96</v>
      </c>
      <c r="J1588" s="154" t="s">
        <v>97</v>
      </c>
      <c r="K1588" s="154" t="s">
        <v>91</v>
      </c>
      <c r="L1588" s="154" t="s">
        <v>1897</v>
      </c>
      <c r="M1588" s="154" t="s">
        <v>1383</v>
      </c>
      <c r="N1588" s="154" t="s">
        <v>61</v>
      </c>
      <c r="O1588" s="154" t="s">
        <v>62</v>
      </c>
      <c r="P1588" s="146">
        <v>0.35</v>
      </c>
      <c r="Q1588" s="146">
        <v>0</v>
      </c>
      <c r="R1588" s="154" t="s">
        <v>1384</v>
      </c>
      <c r="S1588" s="154" t="s">
        <v>1899</v>
      </c>
      <c r="T1588" s="155" t="s">
        <v>1899</v>
      </c>
      <c r="U1588" s="155" t="s">
        <v>1899</v>
      </c>
      <c r="V1588" s="154" t="s">
        <v>1562</v>
      </c>
      <c r="W1588" s="154">
        <v>0</v>
      </c>
      <c r="X1588" s="154" t="s">
        <v>63</v>
      </c>
      <c r="Y1588" s="154" t="s">
        <v>1900</v>
      </c>
      <c r="Z1588" s="154"/>
      <c r="AA1588" s="154" t="s">
        <v>1387</v>
      </c>
      <c r="AB1588" s="154">
        <v>0</v>
      </c>
      <c r="AC1588" s="138">
        <f>IFERROR(IF(DATEDIF(#REF!,U1588,"m")&lt;=1,1,IF(AND(DATEDIF(#REF!,U1588,"m")&gt;1,DATEDIF(#REF!,U1588,"m")&lt;12),2,IF(AND(DATEDIF(#REF!,U1588,"m")&gt;=12,DATEDIF(#REF!,U1588,"m")&lt;24),3,IF(DATEDIF(#REF!,U1588,"m")&gt;=24,4,"")))),IF(E1588="r0320 - Deposits, not covered and not preferential",1,4))</f>
        <v>4</v>
      </c>
    </row>
    <row r="1589" spans="3:29" ht="48.75" thickBot="1" x14ac:dyDescent="0.3">
      <c r="C1589" s="11">
        <v>999</v>
      </c>
      <c r="D1589" s="154">
        <v>1582</v>
      </c>
      <c r="E1589" s="154" t="s">
        <v>1902</v>
      </c>
      <c r="F1589" s="154" t="s">
        <v>83</v>
      </c>
      <c r="G1589" s="154" t="s">
        <v>1903</v>
      </c>
      <c r="H1589" s="154" t="s">
        <v>308</v>
      </c>
      <c r="I1589" s="154" t="s">
        <v>101</v>
      </c>
      <c r="J1589" s="154" t="s">
        <v>102</v>
      </c>
      <c r="K1589" s="154" t="s">
        <v>60</v>
      </c>
      <c r="L1589" s="154" t="s">
        <v>1897</v>
      </c>
      <c r="M1589" s="154" t="s">
        <v>1388</v>
      </c>
      <c r="N1589" s="154" t="s">
        <v>61</v>
      </c>
      <c r="O1589" s="154" t="s">
        <v>62</v>
      </c>
      <c r="P1589" s="146">
        <v>64389.08</v>
      </c>
      <c r="Q1589" s="146">
        <v>21.28</v>
      </c>
      <c r="R1589" s="154" t="s">
        <v>1384</v>
      </c>
      <c r="S1589" s="154" t="s">
        <v>1899</v>
      </c>
      <c r="T1589" s="155" t="s">
        <v>768</v>
      </c>
      <c r="U1589" s="155" t="s">
        <v>1899</v>
      </c>
      <c r="V1589" s="154" t="s">
        <v>1904</v>
      </c>
      <c r="W1589" s="154">
        <v>0</v>
      </c>
      <c r="X1589" s="154" t="s">
        <v>63</v>
      </c>
      <c r="Y1589" s="154" t="s">
        <v>1386</v>
      </c>
      <c r="Z1589" s="154"/>
      <c r="AA1589" s="154" t="s">
        <v>1387</v>
      </c>
      <c r="AB1589" s="154">
        <v>0</v>
      </c>
      <c r="AC1589" s="138">
        <f>IFERROR(IF(DATEDIF(#REF!,U1589,"m")&lt;=1,1,IF(AND(DATEDIF(#REF!,U1589,"m")&gt;1,DATEDIF(#REF!,U1589,"m")&lt;12),2,IF(AND(DATEDIF(#REF!,U1589,"m")&gt;=12,DATEDIF(#REF!,U1589,"m")&lt;24),3,IF(DATEDIF(#REF!,U1589,"m")&gt;=24,4,"")))),IF(E1589="r0320 - Deposits, not covered and not preferential",1,4))</f>
        <v>4</v>
      </c>
    </row>
    <row r="1590" spans="3:29" ht="36.75" thickBot="1" x14ac:dyDescent="0.3">
      <c r="C1590" s="11">
        <v>999</v>
      </c>
      <c r="D1590" s="154">
        <v>1583</v>
      </c>
      <c r="E1590" s="154" t="s">
        <v>1898</v>
      </c>
      <c r="F1590" s="154" t="s">
        <v>87</v>
      </c>
      <c r="G1590" s="154" t="s">
        <v>1402</v>
      </c>
      <c r="H1590" s="154" t="s">
        <v>1216</v>
      </c>
      <c r="I1590" s="154" t="s">
        <v>108</v>
      </c>
      <c r="J1590" s="154" t="s">
        <v>90</v>
      </c>
      <c r="K1590" s="154" t="s">
        <v>91</v>
      </c>
      <c r="L1590" s="154" t="s">
        <v>1897</v>
      </c>
      <c r="M1590" s="154" t="s">
        <v>1383</v>
      </c>
      <c r="N1590" s="154" t="s">
        <v>61</v>
      </c>
      <c r="O1590" s="154" t="s">
        <v>62</v>
      </c>
      <c r="P1590" s="146">
        <v>4.3600000000000003</v>
      </c>
      <c r="Q1590" s="146">
        <v>0</v>
      </c>
      <c r="R1590" s="154" t="s">
        <v>1384</v>
      </c>
      <c r="S1590" s="154" t="s">
        <v>1899</v>
      </c>
      <c r="T1590" s="155" t="s">
        <v>1899</v>
      </c>
      <c r="U1590" s="155" t="s">
        <v>1899</v>
      </c>
      <c r="V1590" s="154" t="s">
        <v>1562</v>
      </c>
      <c r="W1590" s="154">
        <v>0</v>
      </c>
      <c r="X1590" s="154" t="s">
        <v>63</v>
      </c>
      <c r="Y1590" s="154" t="s">
        <v>1900</v>
      </c>
      <c r="Z1590" s="154"/>
      <c r="AA1590" s="154" t="s">
        <v>1387</v>
      </c>
      <c r="AB1590" s="154">
        <v>0</v>
      </c>
      <c r="AC1590" s="138">
        <f>IFERROR(IF(DATEDIF(#REF!,U1590,"m")&lt;=1,1,IF(AND(DATEDIF(#REF!,U1590,"m")&gt;1,DATEDIF(#REF!,U1590,"m")&lt;12),2,IF(AND(DATEDIF(#REF!,U1590,"m")&gt;=12,DATEDIF(#REF!,U1590,"m")&lt;24),3,IF(DATEDIF(#REF!,U1590,"m")&gt;=24,4,"")))),IF(E1590="r0320 - Deposits, not covered and not preferential",1,4))</f>
        <v>4</v>
      </c>
    </row>
    <row r="1591" spans="3:29" ht="48.75" thickBot="1" x14ac:dyDescent="0.3">
      <c r="C1591" s="11">
        <v>999</v>
      </c>
      <c r="D1591" s="154">
        <v>1584</v>
      </c>
      <c r="E1591" s="154" t="s">
        <v>1902</v>
      </c>
      <c r="F1591" s="154" t="s">
        <v>83</v>
      </c>
      <c r="G1591" s="154" t="s">
        <v>1903</v>
      </c>
      <c r="H1591" s="154" t="s">
        <v>476</v>
      </c>
      <c r="I1591" s="154" t="s">
        <v>101</v>
      </c>
      <c r="J1591" s="154" t="s">
        <v>102</v>
      </c>
      <c r="K1591" s="154" t="s">
        <v>60</v>
      </c>
      <c r="L1591" s="154" t="s">
        <v>1897</v>
      </c>
      <c r="M1591" s="154" t="s">
        <v>1388</v>
      </c>
      <c r="N1591" s="154" t="s">
        <v>61</v>
      </c>
      <c r="O1591" s="154" t="s">
        <v>62</v>
      </c>
      <c r="P1591" s="146">
        <v>1095874.51</v>
      </c>
      <c r="Q1591" s="146">
        <v>462.92</v>
      </c>
      <c r="R1591" s="154" t="s">
        <v>1384</v>
      </c>
      <c r="S1591" s="154" t="s">
        <v>1899</v>
      </c>
      <c r="T1591" s="155" t="s">
        <v>768</v>
      </c>
      <c r="U1591" s="155" t="s">
        <v>1899</v>
      </c>
      <c r="V1591" s="154" t="s">
        <v>1904</v>
      </c>
      <c r="W1591" s="154">
        <v>0</v>
      </c>
      <c r="X1591" s="154" t="s">
        <v>63</v>
      </c>
      <c r="Y1591" s="154" t="s">
        <v>1386</v>
      </c>
      <c r="Z1591" s="154"/>
      <c r="AA1591" s="154" t="s">
        <v>1387</v>
      </c>
      <c r="AB1591" s="154">
        <v>0</v>
      </c>
      <c r="AC1591" s="138">
        <f>IFERROR(IF(DATEDIF(#REF!,U1591,"m")&lt;=1,1,IF(AND(DATEDIF(#REF!,U1591,"m")&gt;1,DATEDIF(#REF!,U1591,"m")&lt;12),2,IF(AND(DATEDIF(#REF!,U1591,"m")&gt;=12,DATEDIF(#REF!,U1591,"m")&lt;24),3,IF(DATEDIF(#REF!,U1591,"m")&gt;=24,4,"")))),IF(E1591="r0320 - Deposits, not covered and not preferential",1,4))</f>
        <v>4</v>
      </c>
    </row>
    <row r="1592" spans="3:29" ht="36.75" thickBot="1" x14ac:dyDescent="0.3">
      <c r="C1592" s="11">
        <v>999</v>
      </c>
      <c r="D1592" s="154">
        <v>1585</v>
      </c>
      <c r="E1592" s="154" t="s">
        <v>1898</v>
      </c>
      <c r="F1592" s="154" t="s">
        <v>87</v>
      </c>
      <c r="G1592" s="154" t="s">
        <v>1402</v>
      </c>
      <c r="H1592" s="154" t="s">
        <v>746</v>
      </c>
      <c r="I1592" s="154" t="s">
        <v>96</v>
      </c>
      <c r="J1592" s="154" t="s">
        <v>97</v>
      </c>
      <c r="K1592" s="154" t="s">
        <v>91</v>
      </c>
      <c r="L1592" s="154" t="s">
        <v>1897</v>
      </c>
      <c r="M1592" s="154" t="s">
        <v>1383</v>
      </c>
      <c r="N1592" s="154" t="s">
        <v>61</v>
      </c>
      <c r="O1592" s="154" t="s">
        <v>62</v>
      </c>
      <c r="P1592" s="146">
        <v>0.98</v>
      </c>
      <c r="Q1592" s="146">
        <v>0</v>
      </c>
      <c r="R1592" s="154" t="s">
        <v>1384</v>
      </c>
      <c r="S1592" s="154" t="s">
        <v>1899</v>
      </c>
      <c r="T1592" s="155" t="s">
        <v>1899</v>
      </c>
      <c r="U1592" s="155" t="s">
        <v>1899</v>
      </c>
      <c r="V1592" s="154" t="s">
        <v>1562</v>
      </c>
      <c r="W1592" s="154">
        <v>0</v>
      </c>
      <c r="X1592" s="154" t="s">
        <v>63</v>
      </c>
      <c r="Y1592" s="154" t="s">
        <v>1900</v>
      </c>
      <c r="Z1592" s="154"/>
      <c r="AA1592" s="154" t="s">
        <v>1387</v>
      </c>
      <c r="AB1592" s="154">
        <v>0</v>
      </c>
      <c r="AC1592" s="138">
        <f>IFERROR(IF(DATEDIF(#REF!,U1592,"m")&lt;=1,1,IF(AND(DATEDIF(#REF!,U1592,"m")&gt;1,DATEDIF(#REF!,U1592,"m")&lt;12),2,IF(AND(DATEDIF(#REF!,U1592,"m")&gt;=12,DATEDIF(#REF!,U1592,"m")&lt;24),3,IF(DATEDIF(#REF!,U1592,"m")&gt;=24,4,"")))),IF(E1592="r0320 - Deposits, not covered and not preferential",1,4))</f>
        <v>4</v>
      </c>
    </row>
    <row r="1593" spans="3:29" ht="48.75" thickBot="1" x14ac:dyDescent="0.3">
      <c r="C1593" s="11">
        <v>999</v>
      </c>
      <c r="D1593" s="154">
        <v>1586</v>
      </c>
      <c r="E1593" s="154" t="s">
        <v>1902</v>
      </c>
      <c r="F1593" s="154" t="s">
        <v>83</v>
      </c>
      <c r="G1593" s="154" t="s">
        <v>1903</v>
      </c>
      <c r="H1593" s="154" t="s">
        <v>144</v>
      </c>
      <c r="I1593" s="154" t="s">
        <v>101</v>
      </c>
      <c r="J1593" s="154" t="s">
        <v>102</v>
      </c>
      <c r="K1593" s="154" t="s">
        <v>60</v>
      </c>
      <c r="L1593" s="154" t="s">
        <v>1897</v>
      </c>
      <c r="M1593" s="154" t="s">
        <v>1388</v>
      </c>
      <c r="N1593" s="154" t="s">
        <v>61</v>
      </c>
      <c r="O1593" s="154" t="s">
        <v>62</v>
      </c>
      <c r="P1593" s="146">
        <v>639227.84</v>
      </c>
      <c r="Q1593" s="146">
        <v>215.46</v>
      </c>
      <c r="R1593" s="154" t="s">
        <v>1384</v>
      </c>
      <c r="S1593" s="154" t="s">
        <v>1899</v>
      </c>
      <c r="T1593" s="155" t="s">
        <v>768</v>
      </c>
      <c r="U1593" s="155" t="s">
        <v>1899</v>
      </c>
      <c r="V1593" s="154" t="s">
        <v>1904</v>
      </c>
      <c r="W1593" s="154">
        <v>0</v>
      </c>
      <c r="X1593" s="154" t="s">
        <v>63</v>
      </c>
      <c r="Y1593" s="154" t="s">
        <v>1386</v>
      </c>
      <c r="Z1593" s="154"/>
      <c r="AA1593" s="154" t="s">
        <v>1387</v>
      </c>
      <c r="AB1593" s="154">
        <v>0</v>
      </c>
      <c r="AC1593" s="138">
        <f>IFERROR(IF(DATEDIF(#REF!,U1593,"m")&lt;=1,1,IF(AND(DATEDIF(#REF!,U1593,"m")&gt;1,DATEDIF(#REF!,U1593,"m")&lt;12),2,IF(AND(DATEDIF(#REF!,U1593,"m")&gt;=12,DATEDIF(#REF!,U1593,"m")&lt;24),3,IF(DATEDIF(#REF!,U1593,"m")&gt;=24,4,"")))),IF(E1593="r0320 - Deposits, not covered and not preferential",1,4))</f>
        <v>4</v>
      </c>
    </row>
    <row r="1594" spans="3:29" ht="36.75" thickBot="1" x14ac:dyDescent="0.3">
      <c r="C1594" s="11">
        <v>999</v>
      </c>
      <c r="D1594" s="154">
        <v>1587</v>
      </c>
      <c r="E1594" s="154" t="s">
        <v>1898</v>
      </c>
      <c r="F1594" s="154" t="s">
        <v>87</v>
      </c>
      <c r="G1594" s="154" t="s">
        <v>1402</v>
      </c>
      <c r="H1594" s="154" t="s">
        <v>1296</v>
      </c>
      <c r="I1594" s="154" t="s">
        <v>108</v>
      </c>
      <c r="J1594" s="154" t="s">
        <v>90</v>
      </c>
      <c r="K1594" s="154" t="s">
        <v>91</v>
      </c>
      <c r="L1594" s="154" t="s">
        <v>1897</v>
      </c>
      <c r="M1594" s="154" t="s">
        <v>1383</v>
      </c>
      <c r="N1594" s="154" t="s">
        <v>61</v>
      </c>
      <c r="O1594" s="154" t="s">
        <v>62</v>
      </c>
      <c r="P1594" s="146">
        <v>0.15</v>
      </c>
      <c r="Q1594" s="146">
        <v>0</v>
      </c>
      <c r="R1594" s="154" t="s">
        <v>1384</v>
      </c>
      <c r="S1594" s="154" t="s">
        <v>1899</v>
      </c>
      <c r="T1594" s="155" t="s">
        <v>1899</v>
      </c>
      <c r="U1594" s="155" t="s">
        <v>1899</v>
      </c>
      <c r="V1594" s="154" t="s">
        <v>1562</v>
      </c>
      <c r="W1594" s="154">
        <v>0</v>
      </c>
      <c r="X1594" s="154" t="s">
        <v>63</v>
      </c>
      <c r="Y1594" s="154" t="s">
        <v>1900</v>
      </c>
      <c r="Z1594" s="154"/>
      <c r="AA1594" s="154" t="s">
        <v>1387</v>
      </c>
      <c r="AB1594" s="154">
        <v>0</v>
      </c>
      <c r="AC1594" s="138">
        <f>IFERROR(IF(DATEDIF(#REF!,U1594,"m")&lt;=1,1,IF(AND(DATEDIF(#REF!,U1594,"m")&gt;1,DATEDIF(#REF!,U1594,"m")&lt;12),2,IF(AND(DATEDIF(#REF!,U1594,"m")&gt;=12,DATEDIF(#REF!,U1594,"m")&lt;24),3,IF(DATEDIF(#REF!,U1594,"m")&gt;=24,4,"")))),IF(E1594="r0320 - Deposits, not covered and not preferential",1,4))</f>
        <v>4</v>
      </c>
    </row>
    <row r="1595" spans="3:29" ht="48.75" thickBot="1" x14ac:dyDescent="0.3">
      <c r="C1595" s="11">
        <v>999</v>
      </c>
      <c r="D1595" s="154">
        <v>1588</v>
      </c>
      <c r="E1595" s="154" t="s">
        <v>1902</v>
      </c>
      <c r="F1595" s="154" t="s">
        <v>83</v>
      </c>
      <c r="G1595" s="154" t="s">
        <v>1903</v>
      </c>
      <c r="H1595" s="154" t="s">
        <v>806</v>
      </c>
      <c r="I1595" s="154" t="s">
        <v>101</v>
      </c>
      <c r="J1595" s="154" t="s">
        <v>102</v>
      </c>
      <c r="K1595" s="154" t="s">
        <v>60</v>
      </c>
      <c r="L1595" s="154" t="s">
        <v>1897</v>
      </c>
      <c r="M1595" s="154" t="s">
        <v>1388</v>
      </c>
      <c r="N1595" s="154" t="s">
        <v>61</v>
      </c>
      <c r="O1595" s="154" t="s">
        <v>62</v>
      </c>
      <c r="P1595" s="146">
        <v>2753044.99</v>
      </c>
      <c r="Q1595" s="146">
        <v>1310.99</v>
      </c>
      <c r="R1595" s="154" t="s">
        <v>1384</v>
      </c>
      <c r="S1595" s="154" t="s">
        <v>1899</v>
      </c>
      <c r="T1595" s="155" t="s">
        <v>768</v>
      </c>
      <c r="U1595" s="155" t="s">
        <v>1899</v>
      </c>
      <c r="V1595" s="154" t="s">
        <v>1904</v>
      </c>
      <c r="W1595" s="154">
        <v>0</v>
      </c>
      <c r="X1595" s="154" t="s">
        <v>63</v>
      </c>
      <c r="Y1595" s="154" t="s">
        <v>1386</v>
      </c>
      <c r="Z1595" s="154"/>
      <c r="AA1595" s="154" t="s">
        <v>1387</v>
      </c>
      <c r="AB1595" s="154">
        <v>0</v>
      </c>
      <c r="AC1595" s="138">
        <f>IFERROR(IF(DATEDIF(#REF!,U1595,"m")&lt;=1,1,IF(AND(DATEDIF(#REF!,U1595,"m")&gt;1,DATEDIF(#REF!,U1595,"m")&lt;12),2,IF(AND(DATEDIF(#REF!,U1595,"m")&gt;=12,DATEDIF(#REF!,U1595,"m")&lt;24),3,IF(DATEDIF(#REF!,U1595,"m")&gt;=24,4,"")))),IF(E1595="r0320 - Deposits, not covered and not preferential",1,4))</f>
        <v>4</v>
      </c>
    </row>
    <row r="1596" spans="3:29" ht="36.75" thickBot="1" x14ac:dyDescent="0.3">
      <c r="C1596" s="11">
        <v>999</v>
      </c>
      <c r="D1596" s="154">
        <v>1589</v>
      </c>
      <c r="E1596" s="154" t="s">
        <v>1898</v>
      </c>
      <c r="F1596" s="154" t="s">
        <v>87</v>
      </c>
      <c r="G1596" s="154" t="s">
        <v>1402</v>
      </c>
      <c r="H1596" s="154" t="s">
        <v>468</v>
      </c>
      <c r="I1596" s="154" t="s">
        <v>96</v>
      </c>
      <c r="J1596" s="154" t="s">
        <v>97</v>
      </c>
      <c r="K1596" s="154" t="s">
        <v>91</v>
      </c>
      <c r="L1596" s="154" t="s">
        <v>1897</v>
      </c>
      <c r="M1596" s="154" t="s">
        <v>1383</v>
      </c>
      <c r="N1596" s="154" t="s">
        <v>61</v>
      </c>
      <c r="O1596" s="154" t="s">
        <v>62</v>
      </c>
      <c r="P1596" s="146">
        <v>3.9</v>
      </c>
      <c r="Q1596" s="146">
        <v>0</v>
      </c>
      <c r="R1596" s="154" t="s">
        <v>1384</v>
      </c>
      <c r="S1596" s="154" t="s">
        <v>1899</v>
      </c>
      <c r="T1596" s="155" t="s">
        <v>1899</v>
      </c>
      <c r="U1596" s="155" t="s">
        <v>1899</v>
      </c>
      <c r="V1596" s="154" t="s">
        <v>1562</v>
      </c>
      <c r="W1596" s="154">
        <v>0</v>
      </c>
      <c r="X1596" s="154" t="s">
        <v>63</v>
      </c>
      <c r="Y1596" s="154" t="s">
        <v>1900</v>
      </c>
      <c r="Z1596" s="154"/>
      <c r="AA1596" s="154" t="s">
        <v>1387</v>
      </c>
      <c r="AB1596" s="154">
        <v>0</v>
      </c>
      <c r="AC1596" s="138">
        <f>IFERROR(IF(DATEDIF(#REF!,U1596,"m")&lt;=1,1,IF(AND(DATEDIF(#REF!,U1596,"m")&gt;1,DATEDIF(#REF!,U1596,"m")&lt;12),2,IF(AND(DATEDIF(#REF!,U1596,"m")&gt;=12,DATEDIF(#REF!,U1596,"m")&lt;24),3,IF(DATEDIF(#REF!,U1596,"m")&gt;=24,4,"")))),IF(E1596="r0320 - Deposits, not covered and not preferential",1,4))</f>
        <v>4</v>
      </c>
    </row>
    <row r="1597" spans="3:29" ht="36.75" thickBot="1" x14ac:dyDescent="0.3">
      <c r="C1597" s="11">
        <v>999</v>
      </c>
      <c r="D1597" s="154">
        <v>1590</v>
      </c>
      <c r="E1597" s="154" t="s">
        <v>1898</v>
      </c>
      <c r="F1597" s="154" t="s">
        <v>87</v>
      </c>
      <c r="G1597" s="154" t="s">
        <v>1402</v>
      </c>
      <c r="H1597" s="154" t="s">
        <v>905</v>
      </c>
      <c r="I1597" s="154" t="s">
        <v>108</v>
      </c>
      <c r="J1597" s="154" t="s">
        <v>90</v>
      </c>
      <c r="K1597" s="154" t="s">
        <v>91</v>
      </c>
      <c r="L1597" s="154" t="s">
        <v>1897</v>
      </c>
      <c r="M1597" s="154" t="s">
        <v>1383</v>
      </c>
      <c r="N1597" s="154" t="s">
        <v>61</v>
      </c>
      <c r="O1597" s="154" t="s">
        <v>62</v>
      </c>
      <c r="P1597" s="146">
        <v>74.34</v>
      </c>
      <c r="Q1597" s="146">
        <v>0</v>
      </c>
      <c r="R1597" s="154" t="s">
        <v>1384</v>
      </c>
      <c r="S1597" s="154" t="s">
        <v>1899</v>
      </c>
      <c r="T1597" s="155" t="s">
        <v>1899</v>
      </c>
      <c r="U1597" s="155" t="s">
        <v>1899</v>
      </c>
      <c r="V1597" s="154" t="s">
        <v>1562</v>
      </c>
      <c r="W1597" s="154">
        <v>0</v>
      </c>
      <c r="X1597" s="154" t="s">
        <v>63</v>
      </c>
      <c r="Y1597" s="154" t="s">
        <v>1900</v>
      </c>
      <c r="Z1597" s="154"/>
      <c r="AA1597" s="154" t="s">
        <v>1387</v>
      </c>
      <c r="AB1597" s="154">
        <v>0</v>
      </c>
      <c r="AC1597" s="138">
        <f>IFERROR(IF(DATEDIF(#REF!,U1597,"m")&lt;=1,1,IF(AND(DATEDIF(#REF!,U1597,"m")&gt;1,DATEDIF(#REF!,U1597,"m")&lt;12),2,IF(AND(DATEDIF(#REF!,U1597,"m")&gt;=12,DATEDIF(#REF!,U1597,"m")&lt;24),3,IF(DATEDIF(#REF!,U1597,"m")&gt;=24,4,"")))),IF(E1597="r0320 - Deposits, not covered and not preferential",1,4))</f>
        <v>4</v>
      </c>
    </row>
    <row r="1598" spans="3:29" ht="36.75" thickBot="1" x14ac:dyDescent="0.3">
      <c r="C1598" s="11">
        <v>999</v>
      </c>
      <c r="D1598" s="154">
        <v>1591</v>
      </c>
      <c r="E1598" s="154" t="s">
        <v>1898</v>
      </c>
      <c r="F1598" s="154" t="s">
        <v>87</v>
      </c>
      <c r="G1598" s="154" t="s">
        <v>1402</v>
      </c>
      <c r="H1598" s="154" t="s">
        <v>317</v>
      </c>
      <c r="I1598" s="154" t="s">
        <v>108</v>
      </c>
      <c r="J1598" s="154" t="s">
        <v>90</v>
      </c>
      <c r="K1598" s="154" t="s">
        <v>91</v>
      </c>
      <c r="L1598" s="154" t="s">
        <v>1897</v>
      </c>
      <c r="M1598" s="154" t="s">
        <v>1383</v>
      </c>
      <c r="N1598" s="154" t="s">
        <v>61</v>
      </c>
      <c r="O1598" s="154" t="s">
        <v>62</v>
      </c>
      <c r="P1598" s="146">
        <v>6.69</v>
      </c>
      <c r="Q1598" s="146">
        <v>0</v>
      </c>
      <c r="R1598" s="154" t="s">
        <v>1384</v>
      </c>
      <c r="S1598" s="154" t="s">
        <v>1899</v>
      </c>
      <c r="T1598" s="155" t="s">
        <v>1899</v>
      </c>
      <c r="U1598" s="155" t="s">
        <v>1899</v>
      </c>
      <c r="V1598" s="154" t="s">
        <v>1562</v>
      </c>
      <c r="W1598" s="154">
        <v>0</v>
      </c>
      <c r="X1598" s="154" t="s">
        <v>63</v>
      </c>
      <c r="Y1598" s="154" t="s">
        <v>1900</v>
      </c>
      <c r="Z1598" s="154"/>
      <c r="AA1598" s="154" t="s">
        <v>1387</v>
      </c>
      <c r="AB1598" s="154">
        <v>0</v>
      </c>
      <c r="AC1598" s="138">
        <f>IFERROR(IF(DATEDIF(#REF!,U1598,"m")&lt;=1,1,IF(AND(DATEDIF(#REF!,U1598,"m")&gt;1,DATEDIF(#REF!,U1598,"m")&lt;12),2,IF(AND(DATEDIF(#REF!,U1598,"m")&gt;=12,DATEDIF(#REF!,U1598,"m")&lt;24),3,IF(DATEDIF(#REF!,U1598,"m")&gt;=24,4,"")))),IF(E1598="r0320 - Deposits, not covered and not preferential",1,4))</f>
        <v>4</v>
      </c>
    </row>
    <row r="1599" spans="3:29" ht="48.75" thickBot="1" x14ac:dyDescent="0.3">
      <c r="C1599" s="11">
        <v>999</v>
      </c>
      <c r="D1599" s="154">
        <v>1592</v>
      </c>
      <c r="E1599" s="154" t="s">
        <v>1902</v>
      </c>
      <c r="F1599" s="154" t="s">
        <v>83</v>
      </c>
      <c r="G1599" s="154" t="s">
        <v>1903</v>
      </c>
      <c r="H1599" s="154" t="s">
        <v>119</v>
      </c>
      <c r="I1599" s="154" t="s">
        <v>114</v>
      </c>
      <c r="J1599" s="154" t="s">
        <v>115</v>
      </c>
      <c r="K1599" s="154" t="s">
        <v>60</v>
      </c>
      <c r="L1599" s="154" t="s">
        <v>1897</v>
      </c>
      <c r="M1599" s="154" t="s">
        <v>1388</v>
      </c>
      <c r="N1599" s="154" t="s">
        <v>61</v>
      </c>
      <c r="O1599" s="154" t="s">
        <v>62</v>
      </c>
      <c r="P1599" s="146">
        <v>171148.02</v>
      </c>
      <c r="Q1599" s="146">
        <v>38.090000000000003</v>
      </c>
      <c r="R1599" s="154" t="s">
        <v>1384</v>
      </c>
      <c r="S1599" s="154" t="s">
        <v>1899</v>
      </c>
      <c r="T1599" s="155" t="s">
        <v>768</v>
      </c>
      <c r="U1599" s="155" t="s">
        <v>1899</v>
      </c>
      <c r="V1599" s="154" t="s">
        <v>1904</v>
      </c>
      <c r="W1599" s="154">
        <v>0</v>
      </c>
      <c r="X1599" s="154" t="s">
        <v>63</v>
      </c>
      <c r="Y1599" s="154" t="s">
        <v>1386</v>
      </c>
      <c r="Z1599" s="154"/>
      <c r="AA1599" s="154" t="s">
        <v>1387</v>
      </c>
      <c r="AB1599" s="154">
        <v>0</v>
      </c>
      <c r="AC1599" s="138">
        <f>IFERROR(IF(DATEDIF(#REF!,U1599,"m")&lt;=1,1,IF(AND(DATEDIF(#REF!,U1599,"m")&gt;1,DATEDIF(#REF!,U1599,"m")&lt;12),2,IF(AND(DATEDIF(#REF!,U1599,"m")&gt;=12,DATEDIF(#REF!,U1599,"m")&lt;24),3,IF(DATEDIF(#REF!,U1599,"m")&gt;=24,4,"")))),IF(E1599="r0320 - Deposits, not covered and not preferential",1,4))</f>
        <v>4</v>
      </c>
    </row>
    <row r="1600" spans="3:29" ht="36.75" thickBot="1" x14ac:dyDescent="0.3">
      <c r="C1600" s="11">
        <v>999</v>
      </c>
      <c r="D1600" s="154">
        <v>1593</v>
      </c>
      <c r="E1600" s="154" t="s">
        <v>1898</v>
      </c>
      <c r="F1600" s="154" t="s">
        <v>87</v>
      </c>
      <c r="G1600" s="154" t="s">
        <v>1402</v>
      </c>
      <c r="H1600" s="154" t="s">
        <v>1251</v>
      </c>
      <c r="I1600" s="154" t="s">
        <v>96</v>
      </c>
      <c r="J1600" s="154" t="s">
        <v>97</v>
      </c>
      <c r="K1600" s="154" t="s">
        <v>91</v>
      </c>
      <c r="L1600" s="154" t="s">
        <v>1897</v>
      </c>
      <c r="M1600" s="154" t="s">
        <v>1383</v>
      </c>
      <c r="N1600" s="154" t="s">
        <v>61</v>
      </c>
      <c r="O1600" s="154" t="s">
        <v>62</v>
      </c>
      <c r="P1600" s="146">
        <v>11.53</v>
      </c>
      <c r="Q1600" s="146">
        <v>0</v>
      </c>
      <c r="R1600" s="154" t="s">
        <v>1384</v>
      </c>
      <c r="S1600" s="154" t="s">
        <v>1899</v>
      </c>
      <c r="T1600" s="155" t="s">
        <v>1899</v>
      </c>
      <c r="U1600" s="155" t="s">
        <v>1899</v>
      </c>
      <c r="V1600" s="154" t="s">
        <v>1562</v>
      </c>
      <c r="W1600" s="154">
        <v>0</v>
      </c>
      <c r="X1600" s="154" t="s">
        <v>63</v>
      </c>
      <c r="Y1600" s="154" t="s">
        <v>1900</v>
      </c>
      <c r="Z1600" s="154"/>
      <c r="AA1600" s="154" t="s">
        <v>1387</v>
      </c>
      <c r="AB1600" s="154">
        <v>0</v>
      </c>
      <c r="AC1600" s="138">
        <f>IFERROR(IF(DATEDIF(#REF!,U1600,"m")&lt;=1,1,IF(AND(DATEDIF(#REF!,U1600,"m")&gt;1,DATEDIF(#REF!,U1600,"m")&lt;12),2,IF(AND(DATEDIF(#REF!,U1600,"m")&gt;=12,DATEDIF(#REF!,U1600,"m")&lt;24),3,IF(DATEDIF(#REF!,U1600,"m")&gt;=24,4,"")))),IF(E1600="r0320 - Deposits, not covered and not preferential",1,4))</f>
        <v>4</v>
      </c>
    </row>
    <row r="1601" spans="3:29" ht="48.75" thickBot="1" x14ac:dyDescent="0.3">
      <c r="C1601" s="11">
        <v>999</v>
      </c>
      <c r="D1601" s="154">
        <v>1594</v>
      </c>
      <c r="E1601" s="154" t="s">
        <v>1902</v>
      </c>
      <c r="F1601" s="154" t="s">
        <v>83</v>
      </c>
      <c r="G1601" s="154" t="s">
        <v>1903</v>
      </c>
      <c r="H1601" s="154" t="s">
        <v>775</v>
      </c>
      <c r="I1601" s="154" t="s">
        <v>114</v>
      </c>
      <c r="J1601" s="154" t="s">
        <v>115</v>
      </c>
      <c r="K1601" s="154" t="s">
        <v>60</v>
      </c>
      <c r="L1601" s="154" t="s">
        <v>1897</v>
      </c>
      <c r="M1601" s="154" t="s">
        <v>1388</v>
      </c>
      <c r="N1601" s="154" t="s">
        <v>61</v>
      </c>
      <c r="O1601" s="154" t="s">
        <v>62</v>
      </c>
      <c r="P1601" s="146">
        <v>275681.31</v>
      </c>
      <c r="Q1601" s="146">
        <v>145.36000000000001</v>
      </c>
      <c r="R1601" s="154" t="s">
        <v>1384</v>
      </c>
      <c r="S1601" s="154" t="s">
        <v>1899</v>
      </c>
      <c r="T1601" s="155" t="s">
        <v>768</v>
      </c>
      <c r="U1601" s="155" t="s">
        <v>1899</v>
      </c>
      <c r="V1601" s="154" t="s">
        <v>1904</v>
      </c>
      <c r="W1601" s="154">
        <v>0</v>
      </c>
      <c r="X1601" s="154" t="s">
        <v>63</v>
      </c>
      <c r="Y1601" s="154" t="s">
        <v>1386</v>
      </c>
      <c r="Z1601" s="154"/>
      <c r="AA1601" s="154" t="s">
        <v>1387</v>
      </c>
      <c r="AB1601" s="154">
        <v>0</v>
      </c>
      <c r="AC1601" s="138">
        <f>IFERROR(IF(DATEDIF(#REF!,U1601,"m")&lt;=1,1,IF(AND(DATEDIF(#REF!,U1601,"m")&gt;1,DATEDIF(#REF!,U1601,"m")&lt;12),2,IF(AND(DATEDIF(#REF!,U1601,"m")&gt;=12,DATEDIF(#REF!,U1601,"m")&lt;24),3,IF(DATEDIF(#REF!,U1601,"m")&gt;=24,4,"")))),IF(E1601="r0320 - Deposits, not covered and not preferential",1,4))</f>
        <v>4</v>
      </c>
    </row>
    <row r="1602" spans="3:29" ht="36.75" thickBot="1" x14ac:dyDescent="0.3">
      <c r="C1602" s="11">
        <v>999</v>
      </c>
      <c r="D1602" s="154">
        <v>1595</v>
      </c>
      <c r="E1602" s="154" t="s">
        <v>1898</v>
      </c>
      <c r="F1602" s="154" t="s">
        <v>87</v>
      </c>
      <c r="G1602" s="154" t="s">
        <v>1402</v>
      </c>
      <c r="H1602" s="154" t="s">
        <v>1298</v>
      </c>
      <c r="I1602" s="154" t="s">
        <v>108</v>
      </c>
      <c r="J1602" s="154" t="s">
        <v>90</v>
      </c>
      <c r="K1602" s="154" t="s">
        <v>91</v>
      </c>
      <c r="L1602" s="154" t="s">
        <v>1897</v>
      </c>
      <c r="M1602" s="154" t="s">
        <v>1383</v>
      </c>
      <c r="N1602" s="154" t="s">
        <v>61</v>
      </c>
      <c r="O1602" s="154" t="s">
        <v>62</v>
      </c>
      <c r="P1602" s="146">
        <v>0.25</v>
      </c>
      <c r="Q1602" s="146">
        <v>0</v>
      </c>
      <c r="R1602" s="154" t="s">
        <v>1384</v>
      </c>
      <c r="S1602" s="154" t="s">
        <v>1899</v>
      </c>
      <c r="T1602" s="155" t="s">
        <v>1899</v>
      </c>
      <c r="U1602" s="155" t="s">
        <v>1899</v>
      </c>
      <c r="V1602" s="154" t="s">
        <v>1562</v>
      </c>
      <c r="W1602" s="154">
        <v>0</v>
      </c>
      <c r="X1602" s="154" t="s">
        <v>63</v>
      </c>
      <c r="Y1602" s="154" t="s">
        <v>1900</v>
      </c>
      <c r="Z1602" s="154"/>
      <c r="AA1602" s="154" t="s">
        <v>1387</v>
      </c>
      <c r="AB1602" s="154">
        <v>0</v>
      </c>
      <c r="AC1602" s="138">
        <f>IFERROR(IF(DATEDIF(#REF!,U1602,"m")&lt;=1,1,IF(AND(DATEDIF(#REF!,U1602,"m")&gt;1,DATEDIF(#REF!,U1602,"m")&lt;12),2,IF(AND(DATEDIF(#REF!,U1602,"m")&gt;=12,DATEDIF(#REF!,U1602,"m")&lt;24),3,IF(DATEDIF(#REF!,U1602,"m")&gt;=24,4,"")))),IF(E1602="r0320 - Deposits, not covered and not preferential",1,4))</f>
        <v>4</v>
      </c>
    </row>
    <row r="1603" spans="3:29" ht="48.75" thickBot="1" x14ac:dyDescent="0.3">
      <c r="C1603" s="11">
        <v>999</v>
      </c>
      <c r="D1603" s="154">
        <v>1596</v>
      </c>
      <c r="E1603" s="154" t="s">
        <v>1902</v>
      </c>
      <c r="F1603" s="154" t="s">
        <v>83</v>
      </c>
      <c r="G1603" s="154" t="s">
        <v>1903</v>
      </c>
      <c r="H1603" s="154" t="s">
        <v>106</v>
      </c>
      <c r="I1603" s="154" t="s">
        <v>93</v>
      </c>
      <c r="J1603" s="154" t="s">
        <v>94</v>
      </c>
      <c r="K1603" s="154" t="s">
        <v>60</v>
      </c>
      <c r="L1603" s="154" t="s">
        <v>1897</v>
      </c>
      <c r="M1603" s="154" t="s">
        <v>1388</v>
      </c>
      <c r="N1603" s="154" t="s">
        <v>61</v>
      </c>
      <c r="O1603" s="154" t="s">
        <v>62</v>
      </c>
      <c r="P1603" s="146">
        <v>30161.58</v>
      </c>
      <c r="Q1603" s="146">
        <v>2.0299999999999998</v>
      </c>
      <c r="R1603" s="154" t="s">
        <v>1384</v>
      </c>
      <c r="S1603" s="154" t="s">
        <v>1899</v>
      </c>
      <c r="T1603" s="155" t="s">
        <v>768</v>
      </c>
      <c r="U1603" s="155" t="s">
        <v>1899</v>
      </c>
      <c r="V1603" s="154" t="s">
        <v>1904</v>
      </c>
      <c r="W1603" s="154">
        <v>0</v>
      </c>
      <c r="X1603" s="154" t="s">
        <v>63</v>
      </c>
      <c r="Y1603" s="154" t="s">
        <v>1386</v>
      </c>
      <c r="Z1603" s="154"/>
      <c r="AA1603" s="154" t="s">
        <v>1387</v>
      </c>
      <c r="AB1603" s="154">
        <v>0</v>
      </c>
      <c r="AC1603" s="138">
        <f>IFERROR(IF(DATEDIF(#REF!,U1603,"m")&lt;=1,1,IF(AND(DATEDIF(#REF!,U1603,"m")&gt;1,DATEDIF(#REF!,U1603,"m")&lt;12),2,IF(AND(DATEDIF(#REF!,U1603,"m")&gt;=12,DATEDIF(#REF!,U1603,"m")&lt;24),3,IF(DATEDIF(#REF!,U1603,"m")&gt;=24,4,"")))),IF(E1603="r0320 - Deposits, not covered and not preferential",1,4))</f>
        <v>4</v>
      </c>
    </row>
    <row r="1604" spans="3:29" ht="36.75" thickBot="1" x14ac:dyDescent="0.3">
      <c r="C1604" s="11">
        <v>999</v>
      </c>
      <c r="D1604" s="154">
        <v>1597</v>
      </c>
      <c r="E1604" s="154" t="s">
        <v>1898</v>
      </c>
      <c r="F1604" s="154" t="s">
        <v>87</v>
      </c>
      <c r="G1604" s="154" t="s">
        <v>1402</v>
      </c>
      <c r="H1604" s="154" t="s">
        <v>289</v>
      </c>
      <c r="I1604" s="154" t="s">
        <v>96</v>
      </c>
      <c r="J1604" s="154" t="s">
        <v>97</v>
      </c>
      <c r="K1604" s="154" t="s">
        <v>91</v>
      </c>
      <c r="L1604" s="154" t="s">
        <v>1897</v>
      </c>
      <c r="M1604" s="154" t="s">
        <v>1383</v>
      </c>
      <c r="N1604" s="154" t="s">
        <v>61</v>
      </c>
      <c r="O1604" s="154" t="s">
        <v>62</v>
      </c>
      <c r="P1604" s="146">
        <v>3.32</v>
      </c>
      <c r="Q1604" s="146">
        <v>0</v>
      </c>
      <c r="R1604" s="154" t="s">
        <v>1384</v>
      </c>
      <c r="S1604" s="154" t="s">
        <v>1899</v>
      </c>
      <c r="T1604" s="155" t="s">
        <v>1899</v>
      </c>
      <c r="U1604" s="155" t="s">
        <v>1899</v>
      </c>
      <c r="V1604" s="154" t="s">
        <v>1562</v>
      </c>
      <c r="W1604" s="154">
        <v>0</v>
      </c>
      <c r="X1604" s="154" t="s">
        <v>63</v>
      </c>
      <c r="Y1604" s="154" t="s">
        <v>1900</v>
      </c>
      <c r="Z1604" s="154"/>
      <c r="AA1604" s="154" t="s">
        <v>1387</v>
      </c>
      <c r="AB1604" s="154">
        <v>0</v>
      </c>
      <c r="AC1604" s="138">
        <f>IFERROR(IF(DATEDIF(#REF!,U1604,"m")&lt;=1,1,IF(AND(DATEDIF(#REF!,U1604,"m")&gt;1,DATEDIF(#REF!,U1604,"m")&lt;12),2,IF(AND(DATEDIF(#REF!,U1604,"m")&gt;=12,DATEDIF(#REF!,U1604,"m")&lt;24),3,IF(DATEDIF(#REF!,U1604,"m")&gt;=24,4,"")))),IF(E1604="r0320 - Deposits, not covered and not preferential",1,4))</f>
        <v>4</v>
      </c>
    </row>
    <row r="1605" spans="3:29" ht="48.75" thickBot="1" x14ac:dyDescent="0.3">
      <c r="C1605" s="11">
        <v>999</v>
      </c>
      <c r="D1605" s="154">
        <v>1598</v>
      </c>
      <c r="E1605" s="154" t="s">
        <v>1902</v>
      </c>
      <c r="F1605" s="154" t="s">
        <v>83</v>
      </c>
      <c r="G1605" s="154" t="s">
        <v>1903</v>
      </c>
      <c r="H1605" s="154" t="s">
        <v>832</v>
      </c>
      <c r="I1605" s="154" t="s">
        <v>101</v>
      </c>
      <c r="J1605" s="154" t="s">
        <v>102</v>
      </c>
      <c r="K1605" s="154" t="s">
        <v>60</v>
      </c>
      <c r="L1605" s="154" t="s">
        <v>1897</v>
      </c>
      <c r="M1605" s="154" t="s">
        <v>1388</v>
      </c>
      <c r="N1605" s="154" t="s">
        <v>61</v>
      </c>
      <c r="O1605" s="154" t="s">
        <v>62</v>
      </c>
      <c r="P1605" s="146">
        <v>66203.97</v>
      </c>
      <c r="Q1605" s="146">
        <v>69.63</v>
      </c>
      <c r="R1605" s="154" t="s">
        <v>1384</v>
      </c>
      <c r="S1605" s="154" t="s">
        <v>1899</v>
      </c>
      <c r="T1605" s="155" t="s">
        <v>768</v>
      </c>
      <c r="U1605" s="155" t="s">
        <v>1899</v>
      </c>
      <c r="V1605" s="154" t="s">
        <v>1904</v>
      </c>
      <c r="W1605" s="154">
        <v>0</v>
      </c>
      <c r="X1605" s="154" t="s">
        <v>63</v>
      </c>
      <c r="Y1605" s="154" t="s">
        <v>1386</v>
      </c>
      <c r="Z1605" s="154"/>
      <c r="AA1605" s="154" t="s">
        <v>1387</v>
      </c>
      <c r="AB1605" s="154">
        <v>0</v>
      </c>
      <c r="AC1605" s="138">
        <f>IFERROR(IF(DATEDIF(#REF!,U1605,"m")&lt;=1,1,IF(AND(DATEDIF(#REF!,U1605,"m")&gt;1,DATEDIF(#REF!,U1605,"m")&lt;12),2,IF(AND(DATEDIF(#REF!,U1605,"m")&gt;=12,DATEDIF(#REF!,U1605,"m")&lt;24),3,IF(DATEDIF(#REF!,U1605,"m")&gt;=24,4,"")))),IF(E1605="r0320 - Deposits, not covered and not preferential",1,4))</f>
        <v>4</v>
      </c>
    </row>
    <row r="1606" spans="3:29" ht="36.75" thickBot="1" x14ac:dyDescent="0.3">
      <c r="C1606" s="11">
        <v>999</v>
      </c>
      <c r="D1606" s="154">
        <v>1599</v>
      </c>
      <c r="E1606" s="154" t="s">
        <v>1898</v>
      </c>
      <c r="F1606" s="154" t="s">
        <v>87</v>
      </c>
      <c r="G1606" s="154" t="s">
        <v>1402</v>
      </c>
      <c r="H1606" s="154" t="s">
        <v>319</v>
      </c>
      <c r="I1606" s="154" t="s">
        <v>108</v>
      </c>
      <c r="J1606" s="154" t="s">
        <v>90</v>
      </c>
      <c r="K1606" s="154" t="s">
        <v>91</v>
      </c>
      <c r="L1606" s="154" t="s">
        <v>1897</v>
      </c>
      <c r="M1606" s="154" t="s">
        <v>1383</v>
      </c>
      <c r="N1606" s="154" t="s">
        <v>61</v>
      </c>
      <c r="O1606" s="154" t="s">
        <v>62</v>
      </c>
      <c r="P1606" s="146">
        <v>0.28999999999999998</v>
      </c>
      <c r="Q1606" s="146">
        <v>0</v>
      </c>
      <c r="R1606" s="154" t="s">
        <v>1384</v>
      </c>
      <c r="S1606" s="154" t="s">
        <v>1899</v>
      </c>
      <c r="T1606" s="155" t="s">
        <v>1899</v>
      </c>
      <c r="U1606" s="155" t="s">
        <v>1899</v>
      </c>
      <c r="V1606" s="154" t="s">
        <v>1562</v>
      </c>
      <c r="W1606" s="154">
        <v>0</v>
      </c>
      <c r="X1606" s="154" t="s">
        <v>63</v>
      </c>
      <c r="Y1606" s="154" t="s">
        <v>1900</v>
      </c>
      <c r="Z1606" s="154"/>
      <c r="AA1606" s="154" t="s">
        <v>1387</v>
      </c>
      <c r="AB1606" s="154">
        <v>0</v>
      </c>
      <c r="AC1606" s="138">
        <f>IFERROR(IF(DATEDIF(#REF!,U1606,"m")&lt;=1,1,IF(AND(DATEDIF(#REF!,U1606,"m")&gt;1,DATEDIF(#REF!,U1606,"m")&lt;12),2,IF(AND(DATEDIF(#REF!,U1606,"m")&gt;=12,DATEDIF(#REF!,U1606,"m")&lt;24),3,IF(DATEDIF(#REF!,U1606,"m")&gt;=24,4,"")))),IF(E1606="r0320 - Deposits, not covered and not preferential",1,4))</f>
        <v>4</v>
      </c>
    </row>
    <row r="1607" spans="3:29" ht="48.75" thickBot="1" x14ac:dyDescent="0.3">
      <c r="C1607" s="11">
        <v>999</v>
      </c>
      <c r="D1607" s="154">
        <v>1600</v>
      </c>
      <c r="E1607" s="154" t="s">
        <v>1902</v>
      </c>
      <c r="F1607" s="154" t="s">
        <v>83</v>
      </c>
      <c r="G1607" s="154" t="s">
        <v>1903</v>
      </c>
      <c r="H1607" s="154" t="s">
        <v>805</v>
      </c>
      <c r="I1607" s="154" t="s">
        <v>93</v>
      </c>
      <c r="J1607" s="154" t="s">
        <v>94</v>
      </c>
      <c r="K1607" s="154" t="s">
        <v>60</v>
      </c>
      <c r="L1607" s="154" t="s">
        <v>1897</v>
      </c>
      <c r="M1607" s="154" t="s">
        <v>1388</v>
      </c>
      <c r="N1607" s="154" t="s">
        <v>61</v>
      </c>
      <c r="O1607" s="154" t="s">
        <v>62</v>
      </c>
      <c r="P1607" s="146">
        <v>55305.08</v>
      </c>
      <c r="Q1607" s="146">
        <v>0.18</v>
      </c>
      <c r="R1607" s="154" t="s">
        <v>1384</v>
      </c>
      <c r="S1607" s="154" t="s">
        <v>1899</v>
      </c>
      <c r="T1607" s="155" t="s">
        <v>768</v>
      </c>
      <c r="U1607" s="155" t="s">
        <v>1899</v>
      </c>
      <c r="V1607" s="154" t="s">
        <v>1904</v>
      </c>
      <c r="W1607" s="154">
        <v>0</v>
      </c>
      <c r="X1607" s="154" t="s">
        <v>63</v>
      </c>
      <c r="Y1607" s="154" t="s">
        <v>1386</v>
      </c>
      <c r="Z1607" s="154"/>
      <c r="AA1607" s="154" t="s">
        <v>1387</v>
      </c>
      <c r="AB1607" s="154">
        <v>0</v>
      </c>
      <c r="AC1607" s="138">
        <f>IFERROR(IF(DATEDIF(#REF!,U1607,"m")&lt;=1,1,IF(AND(DATEDIF(#REF!,U1607,"m")&gt;1,DATEDIF(#REF!,U1607,"m")&lt;12),2,IF(AND(DATEDIF(#REF!,U1607,"m")&gt;=12,DATEDIF(#REF!,U1607,"m")&lt;24),3,IF(DATEDIF(#REF!,U1607,"m")&gt;=24,4,"")))),IF(E1607="r0320 - Deposits, not covered and not preferential",1,4))</f>
        <v>4</v>
      </c>
    </row>
    <row r="1608" spans="3:29" ht="36.75" thickBot="1" x14ac:dyDescent="0.3">
      <c r="C1608" s="11">
        <v>999</v>
      </c>
      <c r="D1608" s="154">
        <v>1601</v>
      </c>
      <c r="E1608" s="154" t="s">
        <v>1898</v>
      </c>
      <c r="F1608" s="154" t="s">
        <v>87</v>
      </c>
      <c r="G1608" s="154" t="s">
        <v>1402</v>
      </c>
      <c r="H1608" s="154" t="s">
        <v>1232</v>
      </c>
      <c r="I1608" s="154" t="s">
        <v>96</v>
      </c>
      <c r="J1608" s="154" t="s">
        <v>97</v>
      </c>
      <c r="K1608" s="154" t="s">
        <v>91</v>
      </c>
      <c r="L1608" s="154" t="s">
        <v>1897</v>
      </c>
      <c r="M1608" s="154" t="s">
        <v>1383</v>
      </c>
      <c r="N1608" s="154" t="s">
        <v>61</v>
      </c>
      <c r="O1608" s="154" t="s">
        <v>62</v>
      </c>
      <c r="P1608" s="146">
        <v>0.09</v>
      </c>
      <c r="Q1608" s="146">
        <v>0</v>
      </c>
      <c r="R1608" s="154" t="s">
        <v>1384</v>
      </c>
      <c r="S1608" s="154" t="s">
        <v>1899</v>
      </c>
      <c r="T1608" s="155" t="s">
        <v>1899</v>
      </c>
      <c r="U1608" s="155" t="s">
        <v>1899</v>
      </c>
      <c r="V1608" s="154" t="s">
        <v>1562</v>
      </c>
      <c r="W1608" s="154">
        <v>0</v>
      </c>
      <c r="X1608" s="154" t="s">
        <v>63</v>
      </c>
      <c r="Y1608" s="154" t="s">
        <v>1900</v>
      </c>
      <c r="Z1608" s="154"/>
      <c r="AA1608" s="154" t="s">
        <v>1387</v>
      </c>
      <c r="AB1608" s="154">
        <v>0</v>
      </c>
      <c r="AC1608" s="138">
        <f>IFERROR(IF(DATEDIF(#REF!,U1608,"m")&lt;=1,1,IF(AND(DATEDIF(#REF!,U1608,"m")&gt;1,DATEDIF(#REF!,U1608,"m")&lt;12),2,IF(AND(DATEDIF(#REF!,U1608,"m")&gt;=12,DATEDIF(#REF!,U1608,"m")&lt;24),3,IF(DATEDIF(#REF!,U1608,"m")&gt;=24,4,"")))),IF(E1608="r0320 - Deposits, not covered and not preferential",1,4))</f>
        <v>4</v>
      </c>
    </row>
    <row r="1609" spans="3:29" ht="48.75" thickBot="1" x14ac:dyDescent="0.3">
      <c r="C1609" s="11">
        <v>999</v>
      </c>
      <c r="D1609" s="154">
        <v>1602</v>
      </c>
      <c r="E1609" s="154" t="s">
        <v>1902</v>
      </c>
      <c r="F1609" s="154" t="s">
        <v>83</v>
      </c>
      <c r="G1609" s="154" t="s">
        <v>1903</v>
      </c>
      <c r="H1609" s="154" t="s">
        <v>797</v>
      </c>
      <c r="I1609" s="154" t="s">
        <v>93</v>
      </c>
      <c r="J1609" s="154" t="s">
        <v>94</v>
      </c>
      <c r="K1609" s="154" t="s">
        <v>60</v>
      </c>
      <c r="L1609" s="154" t="s">
        <v>1897</v>
      </c>
      <c r="M1609" s="154" t="s">
        <v>1388</v>
      </c>
      <c r="N1609" s="154" t="s">
        <v>61</v>
      </c>
      <c r="O1609" s="154" t="s">
        <v>62</v>
      </c>
      <c r="P1609" s="146">
        <v>1996.15</v>
      </c>
      <c r="Q1609" s="146">
        <v>0</v>
      </c>
      <c r="R1609" s="154" t="s">
        <v>1384</v>
      </c>
      <c r="S1609" s="154" t="s">
        <v>1899</v>
      </c>
      <c r="T1609" s="155" t="s">
        <v>768</v>
      </c>
      <c r="U1609" s="155" t="s">
        <v>1899</v>
      </c>
      <c r="V1609" s="154" t="s">
        <v>1904</v>
      </c>
      <c r="W1609" s="154">
        <v>0</v>
      </c>
      <c r="X1609" s="154" t="s">
        <v>63</v>
      </c>
      <c r="Y1609" s="154" t="s">
        <v>1386</v>
      </c>
      <c r="Z1609" s="154"/>
      <c r="AA1609" s="154" t="s">
        <v>1387</v>
      </c>
      <c r="AB1609" s="154">
        <v>0</v>
      </c>
      <c r="AC1609" s="138">
        <f>IFERROR(IF(DATEDIF(#REF!,U1609,"m")&lt;=1,1,IF(AND(DATEDIF(#REF!,U1609,"m")&gt;1,DATEDIF(#REF!,U1609,"m")&lt;12),2,IF(AND(DATEDIF(#REF!,U1609,"m")&gt;=12,DATEDIF(#REF!,U1609,"m")&lt;24),3,IF(DATEDIF(#REF!,U1609,"m")&gt;=24,4,"")))),IF(E1609="r0320 - Deposits, not covered and not preferential",1,4))</f>
        <v>4</v>
      </c>
    </row>
    <row r="1610" spans="3:29" ht="36.75" thickBot="1" x14ac:dyDescent="0.3">
      <c r="C1610" s="11">
        <v>999</v>
      </c>
      <c r="D1610" s="154">
        <v>1603</v>
      </c>
      <c r="E1610" s="154" t="s">
        <v>1898</v>
      </c>
      <c r="F1610" s="154" t="s">
        <v>87</v>
      </c>
      <c r="G1610" s="154" t="s">
        <v>1402</v>
      </c>
      <c r="H1610" s="154" t="s">
        <v>1300</v>
      </c>
      <c r="I1610" s="154" t="s">
        <v>108</v>
      </c>
      <c r="J1610" s="154" t="s">
        <v>90</v>
      </c>
      <c r="K1610" s="154" t="s">
        <v>91</v>
      </c>
      <c r="L1610" s="154" t="s">
        <v>1897</v>
      </c>
      <c r="M1610" s="154" t="s">
        <v>1383</v>
      </c>
      <c r="N1610" s="154" t="s">
        <v>61</v>
      </c>
      <c r="O1610" s="154" t="s">
        <v>62</v>
      </c>
      <c r="P1610" s="146">
        <v>0.91</v>
      </c>
      <c r="Q1610" s="146">
        <v>0</v>
      </c>
      <c r="R1610" s="154" t="s">
        <v>1384</v>
      </c>
      <c r="S1610" s="154" t="s">
        <v>1899</v>
      </c>
      <c r="T1610" s="155" t="s">
        <v>1899</v>
      </c>
      <c r="U1610" s="155" t="s">
        <v>1899</v>
      </c>
      <c r="V1610" s="154" t="s">
        <v>1562</v>
      </c>
      <c r="W1610" s="154">
        <v>0</v>
      </c>
      <c r="X1610" s="154" t="s">
        <v>63</v>
      </c>
      <c r="Y1610" s="154" t="s">
        <v>1900</v>
      </c>
      <c r="Z1610" s="154"/>
      <c r="AA1610" s="154" t="s">
        <v>1387</v>
      </c>
      <c r="AB1610" s="154">
        <v>0</v>
      </c>
      <c r="AC1610" s="138">
        <f>IFERROR(IF(DATEDIF(#REF!,U1610,"m")&lt;=1,1,IF(AND(DATEDIF(#REF!,U1610,"m")&gt;1,DATEDIF(#REF!,U1610,"m")&lt;12),2,IF(AND(DATEDIF(#REF!,U1610,"m")&gt;=12,DATEDIF(#REF!,U1610,"m")&lt;24),3,IF(DATEDIF(#REF!,U1610,"m")&gt;=24,4,"")))),IF(E1610="r0320 - Deposits, not covered and not preferential",1,4))</f>
        <v>4</v>
      </c>
    </row>
    <row r="1611" spans="3:29" ht="48.75" thickBot="1" x14ac:dyDescent="0.3">
      <c r="C1611" s="11">
        <v>999</v>
      </c>
      <c r="D1611" s="154">
        <v>1604</v>
      </c>
      <c r="E1611" s="154" t="s">
        <v>1902</v>
      </c>
      <c r="F1611" s="154" t="s">
        <v>83</v>
      </c>
      <c r="G1611" s="154" t="s">
        <v>1903</v>
      </c>
      <c r="H1611" s="154" t="s">
        <v>106</v>
      </c>
      <c r="I1611" s="154" t="s">
        <v>114</v>
      </c>
      <c r="J1611" s="154" t="s">
        <v>115</v>
      </c>
      <c r="K1611" s="154" t="s">
        <v>60</v>
      </c>
      <c r="L1611" s="154" t="s">
        <v>1897</v>
      </c>
      <c r="M1611" s="154" t="s">
        <v>1388</v>
      </c>
      <c r="N1611" s="154" t="s">
        <v>61</v>
      </c>
      <c r="O1611" s="154" t="s">
        <v>62</v>
      </c>
      <c r="P1611" s="146">
        <v>141061.70000000001</v>
      </c>
      <c r="Q1611" s="146">
        <v>10.93</v>
      </c>
      <c r="R1611" s="154" t="s">
        <v>1384</v>
      </c>
      <c r="S1611" s="154" t="s">
        <v>1899</v>
      </c>
      <c r="T1611" s="155" t="s">
        <v>768</v>
      </c>
      <c r="U1611" s="155" t="s">
        <v>1899</v>
      </c>
      <c r="V1611" s="154" t="s">
        <v>1904</v>
      </c>
      <c r="W1611" s="154">
        <v>0</v>
      </c>
      <c r="X1611" s="154" t="s">
        <v>63</v>
      </c>
      <c r="Y1611" s="154" t="s">
        <v>1386</v>
      </c>
      <c r="Z1611" s="154"/>
      <c r="AA1611" s="154" t="s">
        <v>1387</v>
      </c>
      <c r="AB1611" s="154">
        <v>0</v>
      </c>
      <c r="AC1611" s="138">
        <f>IFERROR(IF(DATEDIF(#REF!,U1611,"m")&lt;=1,1,IF(AND(DATEDIF(#REF!,U1611,"m")&gt;1,DATEDIF(#REF!,U1611,"m")&lt;12),2,IF(AND(DATEDIF(#REF!,U1611,"m")&gt;=12,DATEDIF(#REF!,U1611,"m")&lt;24),3,IF(DATEDIF(#REF!,U1611,"m")&gt;=24,4,"")))),IF(E1611="r0320 - Deposits, not covered and not preferential",1,4))</f>
        <v>4</v>
      </c>
    </row>
    <row r="1612" spans="3:29" ht="36.75" thickBot="1" x14ac:dyDescent="0.3">
      <c r="C1612" s="11">
        <v>999</v>
      </c>
      <c r="D1612" s="154">
        <v>1605</v>
      </c>
      <c r="E1612" s="154" t="s">
        <v>1898</v>
      </c>
      <c r="F1612" s="154" t="s">
        <v>87</v>
      </c>
      <c r="G1612" s="154" t="s">
        <v>1402</v>
      </c>
      <c r="H1612" s="154" t="s">
        <v>1309</v>
      </c>
      <c r="I1612" s="154" t="s">
        <v>96</v>
      </c>
      <c r="J1612" s="154" t="s">
        <v>97</v>
      </c>
      <c r="K1612" s="154" t="s">
        <v>91</v>
      </c>
      <c r="L1612" s="154" t="s">
        <v>1897</v>
      </c>
      <c r="M1612" s="154" t="s">
        <v>1383</v>
      </c>
      <c r="N1612" s="154" t="s">
        <v>61</v>
      </c>
      <c r="O1612" s="154" t="s">
        <v>62</v>
      </c>
      <c r="P1612" s="146">
        <v>7.0000000000000007E-2</v>
      </c>
      <c r="Q1612" s="146">
        <v>0</v>
      </c>
      <c r="R1612" s="154" t="s">
        <v>1384</v>
      </c>
      <c r="S1612" s="154" t="s">
        <v>1899</v>
      </c>
      <c r="T1612" s="155" t="s">
        <v>1899</v>
      </c>
      <c r="U1612" s="155" t="s">
        <v>1899</v>
      </c>
      <c r="V1612" s="154" t="s">
        <v>1562</v>
      </c>
      <c r="W1612" s="154">
        <v>0</v>
      </c>
      <c r="X1612" s="154" t="s">
        <v>63</v>
      </c>
      <c r="Y1612" s="154" t="s">
        <v>1900</v>
      </c>
      <c r="Z1612" s="154"/>
      <c r="AA1612" s="154" t="s">
        <v>1387</v>
      </c>
      <c r="AB1612" s="154">
        <v>0</v>
      </c>
      <c r="AC1612" s="138">
        <f>IFERROR(IF(DATEDIF(#REF!,U1612,"m")&lt;=1,1,IF(AND(DATEDIF(#REF!,U1612,"m")&gt;1,DATEDIF(#REF!,U1612,"m")&lt;12),2,IF(AND(DATEDIF(#REF!,U1612,"m")&gt;=12,DATEDIF(#REF!,U1612,"m")&lt;24),3,IF(DATEDIF(#REF!,U1612,"m")&gt;=24,4,"")))),IF(E1612="r0320 - Deposits, not covered and not preferential",1,4))</f>
        <v>4</v>
      </c>
    </row>
    <row r="1613" spans="3:29" ht="48.75" thickBot="1" x14ac:dyDescent="0.3">
      <c r="C1613" s="11">
        <v>999</v>
      </c>
      <c r="D1613" s="154">
        <v>1606</v>
      </c>
      <c r="E1613" s="154" t="s">
        <v>1902</v>
      </c>
      <c r="F1613" s="154" t="s">
        <v>83</v>
      </c>
      <c r="G1613" s="154" t="s">
        <v>1903</v>
      </c>
      <c r="H1613" s="154" t="s">
        <v>1319</v>
      </c>
      <c r="I1613" s="154" t="s">
        <v>101</v>
      </c>
      <c r="J1613" s="154" t="s">
        <v>102</v>
      </c>
      <c r="K1613" s="154" t="s">
        <v>60</v>
      </c>
      <c r="L1613" s="154" t="s">
        <v>1897</v>
      </c>
      <c r="M1613" s="154" t="s">
        <v>1388</v>
      </c>
      <c r="N1613" s="154" t="s">
        <v>61</v>
      </c>
      <c r="O1613" s="154" t="s">
        <v>62</v>
      </c>
      <c r="P1613" s="146">
        <v>950873.85</v>
      </c>
      <c r="Q1613" s="146">
        <v>358.02</v>
      </c>
      <c r="R1613" s="154" t="s">
        <v>1384</v>
      </c>
      <c r="S1613" s="154" t="s">
        <v>1899</v>
      </c>
      <c r="T1613" s="155" t="s">
        <v>768</v>
      </c>
      <c r="U1613" s="155" t="s">
        <v>1899</v>
      </c>
      <c r="V1613" s="154" t="s">
        <v>1904</v>
      </c>
      <c r="W1613" s="154">
        <v>0</v>
      </c>
      <c r="X1613" s="154" t="s">
        <v>63</v>
      </c>
      <c r="Y1613" s="154" t="s">
        <v>1386</v>
      </c>
      <c r="Z1613" s="154"/>
      <c r="AA1613" s="154" t="s">
        <v>1387</v>
      </c>
      <c r="AB1613" s="154">
        <v>0</v>
      </c>
      <c r="AC1613" s="138">
        <f>IFERROR(IF(DATEDIF(#REF!,U1613,"m")&lt;=1,1,IF(AND(DATEDIF(#REF!,U1613,"m")&gt;1,DATEDIF(#REF!,U1613,"m")&lt;12),2,IF(AND(DATEDIF(#REF!,U1613,"m")&gt;=12,DATEDIF(#REF!,U1613,"m")&lt;24),3,IF(DATEDIF(#REF!,U1613,"m")&gt;=24,4,"")))),IF(E1613="r0320 - Deposits, not covered and not preferential",1,4))</f>
        <v>4</v>
      </c>
    </row>
    <row r="1614" spans="3:29" ht="36.75" thickBot="1" x14ac:dyDescent="0.3">
      <c r="C1614" s="11">
        <v>999</v>
      </c>
      <c r="D1614" s="154">
        <v>1607</v>
      </c>
      <c r="E1614" s="154" t="s">
        <v>1898</v>
      </c>
      <c r="F1614" s="154" t="s">
        <v>87</v>
      </c>
      <c r="G1614" s="154" t="s">
        <v>1402</v>
      </c>
      <c r="H1614" s="154" t="s">
        <v>321</v>
      </c>
      <c r="I1614" s="154" t="s">
        <v>108</v>
      </c>
      <c r="J1614" s="154" t="s">
        <v>90</v>
      </c>
      <c r="K1614" s="154" t="s">
        <v>91</v>
      </c>
      <c r="L1614" s="154" t="s">
        <v>1897</v>
      </c>
      <c r="M1614" s="154" t="s">
        <v>1383</v>
      </c>
      <c r="N1614" s="154" t="s">
        <v>61</v>
      </c>
      <c r="O1614" s="154" t="s">
        <v>62</v>
      </c>
      <c r="P1614" s="146">
        <v>0.16</v>
      </c>
      <c r="Q1614" s="146">
        <v>0</v>
      </c>
      <c r="R1614" s="154" t="s">
        <v>1384</v>
      </c>
      <c r="S1614" s="154" t="s">
        <v>1899</v>
      </c>
      <c r="T1614" s="155" t="s">
        <v>1899</v>
      </c>
      <c r="U1614" s="155" t="s">
        <v>1899</v>
      </c>
      <c r="V1614" s="154" t="s">
        <v>1562</v>
      </c>
      <c r="W1614" s="154">
        <v>0</v>
      </c>
      <c r="X1614" s="154" t="s">
        <v>63</v>
      </c>
      <c r="Y1614" s="154" t="s">
        <v>1900</v>
      </c>
      <c r="Z1614" s="154"/>
      <c r="AA1614" s="154" t="s">
        <v>1387</v>
      </c>
      <c r="AB1614" s="154">
        <v>0</v>
      </c>
      <c r="AC1614" s="138">
        <f>IFERROR(IF(DATEDIF(#REF!,U1614,"m")&lt;=1,1,IF(AND(DATEDIF(#REF!,U1614,"m")&gt;1,DATEDIF(#REF!,U1614,"m")&lt;12),2,IF(AND(DATEDIF(#REF!,U1614,"m")&gt;=12,DATEDIF(#REF!,U1614,"m")&lt;24),3,IF(DATEDIF(#REF!,U1614,"m")&gt;=24,4,"")))),IF(E1614="r0320 - Deposits, not covered and not preferential",1,4))</f>
        <v>4</v>
      </c>
    </row>
    <row r="1615" spans="3:29" ht="36.75" thickBot="1" x14ac:dyDescent="0.3">
      <c r="C1615" s="11">
        <v>999</v>
      </c>
      <c r="D1615" s="154">
        <v>1608</v>
      </c>
      <c r="E1615" s="154" t="s">
        <v>1895</v>
      </c>
      <c r="F1615" s="154" t="s">
        <v>87</v>
      </c>
      <c r="G1615" s="154" t="s">
        <v>1896</v>
      </c>
      <c r="H1615" s="154" t="s">
        <v>57</v>
      </c>
      <c r="I1615" s="154" t="s">
        <v>310</v>
      </c>
      <c r="J1615" s="154" t="s">
        <v>311</v>
      </c>
      <c r="K1615" s="154" t="s">
        <v>60</v>
      </c>
      <c r="L1615" s="154" t="s">
        <v>1897</v>
      </c>
      <c r="M1615" s="154" t="s">
        <v>1383</v>
      </c>
      <c r="N1615" s="154" t="s">
        <v>61</v>
      </c>
      <c r="O1615" s="154" t="s">
        <v>62</v>
      </c>
      <c r="P1615" s="146">
        <v>2839627.86</v>
      </c>
      <c r="Q1615" s="146">
        <v>0</v>
      </c>
      <c r="R1615" s="154" t="s">
        <v>1384</v>
      </c>
      <c r="S1615" s="154" t="s">
        <v>1385</v>
      </c>
      <c r="T1615" s="155">
        <v>44564</v>
      </c>
      <c r="U1615" s="155">
        <v>44564</v>
      </c>
      <c r="V1615" s="154" t="s">
        <v>1562</v>
      </c>
      <c r="W1615" s="154">
        <v>0</v>
      </c>
      <c r="X1615" s="154" t="s">
        <v>63</v>
      </c>
      <c r="Y1615" s="154" t="s">
        <v>1386</v>
      </c>
      <c r="Z1615" s="154"/>
      <c r="AA1615" s="154" t="s">
        <v>1387</v>
      </c>
      <c r="AB1615" s="154">
        <v>0</v>
      </c>
      <c r="AC1615" s="138">
        <f>IFERROR(IF(DATEDIF(#REF!,U1615,"m")&lt;=1,1,IF(AND(DATEDIF(#REF!,U1615,"m")&gt;1,DATEDIF(#REF!,U1615,"m")&lt;12),2,IF(AND(DATEDIF(#REF!,U1615,"m")&gt;=12,DATEDIF(#REF!,U1615,"m")&lt;24),3,IF(DATEDIF(#REF!,U1615,"m")&gt;=24,4,"")))),IF(E1615="r0320 - Deposits, not covered and not preferential",1,4))</f>
        <v>1</v>
      </c>
    </row>
    <row r="1616" spans="3:29" ht="36.75" thickBot="1" x14ac:dyDescent="0.3">
      <c r="C1616" s="11">
        <v>999</v>
      </c>
      <c r="D1616" s="154">
        <v>1609</v>
      </c>
      <c r="E1616" s="154" t="s">
        <v>1898</v>
      </c>
      <c r="F1616" s="154" t="s">
        <v>87</v>
      </c>
      <c r="G1616" s="154" t="s">
        <v>1402</v>
      </c>
      <c r="H1616" s="154" t="s">
        <v>470</v>
      </c>
      <c r="I1616" s="154" t="s">
        <v>96</v>
      </c>
      <c r="J1616" s="154" t="s">
        <v>97</v>
      </c>
      <c r="K1616" s="154" t="s">
        <v>91</v>
      </c>
      <c r="L1616" s="154" t="s">
        <v>1897</v>
      </c>
      <c r="M1616" s="154" t="s">
        <v>1383</v>
      </c>
      <c r="N1616" s="154" t="s">
        <v>61</v>
      </c>
      <c r="O1616" s="154" t="s">
        <v>62</v>
      </c>
      <c r="P1616" s="146">
        <v>64.44</v>
      </c>
      <c r="Q1616" s="146">
        <v>0</v>
      </c>
      <c r="R1616" s="154" t="s">
        <v>1384</v>
      </c>
      <c r="S1616" s="154" t="s">
        <v>1899</v>
      </c>
      <c r="T1616" s="155" t="s">
        <v>1899</v>
      </c>
      <c r="U1616" s="155" t="s">
        <v>1899</v>
      </c>
      <c r="V1616" s="154" t="s">
        <v>1562</v>
      </c>
      <c r="W1616" s="154">
        <v>0</v>
      </c>
      <c r="X1616" s="154" t="s">
        <v>63</v>
      </c>
      <c r="Y1616" s="154" t="s">
        <v>1900</v>
      </c>
      <c r="Z1616" s="154"/>
      <c r="AA1616" s="154" t="s">
        <v>1387</v>
      </c>
      <c r="AB1616" s="154">
        <v>0</v>
      </c>
      <c r="AC1616" s="138">
        <f>IFERROR(IF(DATEDIF(#REF!,U1616,"m")&lt;=1,1,IF(AND(DATEDIF(#REF!,U1616,"m")&gt;1,DATEDIF(#REF!,U1616,"m")&lt;12),2,IF(AND(DATEDIF(#REF!,U1616,"m")&gt;=12,DATEDIF(#REF!,U1616,"m")&lt;24),3,IF(DATEDIF(#REF!,U1616,"m")&gt;=24,4,"")))),IF(E1616="r0320 - Deposits, not covered and not preferential",1,4))</f>
        <v>4</v>
      </c>
    </row>
    <row r="1617" spans="3:29" ht="48.75" thickBot="1" x14ac:dyDescent="0.3">
      <c r="C1617" s="11">
        <v>999</v>
      </c>
      <c r="D1617" s="154">
        <v>1610</v>
      </c>
      <c r="E1617" s="154" t="s">
        <v>1902</v>
      </c>
      <c r="F1617" s="154" t="s">
        <v>83</v>
      </c>
      <c r="G1617" s="154" t="s">
        <v>1903</v>
      </c>
      <c r="H1617" s="154" t="s">
        <v>487</v>
      </c>
      <c r="I1617" s="154" t="s">
        <v>93</v>
      </c>
      <c r="J1617" s="154" t="s">
        <v>94</v>
      </c>
      <c r="K1617" s="154" t="s">
        <v>60</v>
      </c>
      <c r="L1617" s="154" t="s">
        <v>1897</v>
      </c>
      <c r="M1617" s="154" t="s">
        <v>1388</v>
      </c>
      <c r="N1617" s="154" t="s">
        <v>61</v>
      </c>
      <c r="O1617" s="154" t="s">
        <v>62</v>
      </c>
      <c r="P1617" s="146">
        <v>13640.18</v>
      </c>
      <c r="Q1617" s="146">
        <v>-0.25</v>
      </c>
      <c r="R1617" s="154" t="s">
        <v>1384</v>
      </c>
      <c r="S1617" s="154" t="s">
        <v>1899</v>
      </c>
      <c r="T1617" s="155" t="s">
        <v>768</v>
      </c>
      <c r="U1617" s="155" t="s">
        <v>1899</v>
      </c>
      <c r="V1617" s="154" t="s">
        <v>1904</v>
      </c>
      <c r="W1617" s="154">
        <v>0</v>
      </c>
      <c r="X1617" s="154" t="s">
        <v>63</v>
      </c>
      <c r="Y1617" s="154" t="s">
        <v>1386</v>
      </c>
      <c r="Z1617" s="154"/>
      <c r="AA1617" s="154" t="s">
        <v>1387</v>
      </c>
      <c r="AB1617" s="154">
        <v>0</v>
      </c>
      <c r="AC1617" s="138">
        <f>IFERROR(IF(DATEDIF(#REF!,U1617,"m")&lt;=1,1,IF(AND(DATEDIF(#REF!,U1617,"m")&gt;1,DATEDIF(#REF!,U1617,"m")&lt;12),2,IF(AND(DATEDIF(#REF!,U1617,"m")&gt;=12,DATEDIF(#REF!,U1617,"m")&lt;24),3,IF(DATEDIF(#REF!,U1617,"m")&gt;=24,4,"")))),IF(E1617="r0320 - Deposits, not covered and not preferential",1,4))</f>
        <v>4</v>
      </c>
    </row>
    <row r="1618" spans="3:29" ht="36.75" thickBot="1" x14ac:dyDescent="0.3">
      <c r="C1618" s="11">
        <v>999</v>
      </c>
      <c r="D1618" s="154">
        <v>1611</v>
      </c>
      <c r="E1618" s="154" t="s">
        <v>1898</v>
      </c>
      <c r="F1618" s="154" t="s">
        <v>87</v>
      </c>
      <c r="G1618" s="154" t="s">
        <v>1402</v>
      </c>
      <c r="H1618" s="154" t="s">
        <v>1303</v>
      </c>
      <c r="I1618" s="154" t="s">
        <v>108</v>
      </c>
      <c r="J1618" s="154" t="s">
        <v>90</v>
      </c>
      <c r="K1618" s="154" t="s">
        <v>91</v>
      </c>
      <c r="L1618" s="154" t="s">
        <v>1897</v>
      </c>
      <c r="M1618" s="154" t="s">
        <v>1383</v>
      </c>
      <c r="N1618" s="154" t="s">
        <v>61</v>
      </c>
      <c r="O1618" s="154" t="s">
        <v>62</v>
      </c>
      <c r="P1618" s="146">
        <v>0.28999999999999998</v>
      </c>
      <c r="Q1618" s="146">
        <v>0</v>
      </c>
      <c r="R1618" s="154" t="s">
        <v>1384</v>
      </c>
      <c r="S1618" s="154" t="s">
        <v>1899</v>
      </c>
      <c r="T1618" s="155" t="s">
        <v>1899</v>
      </c>
      <c r="U1618" s="155" t="s">
        <v>1899</v>
      </c>
      <c r="V1618" s="154" t="s">
        <v>1562</v>
      </c>
      <c r="W1618" s="154">
        <v>0</v>
      </c>
      <c r="X1618" s="154" t="s">
        <v>63</v>
      </c>
      <c r="Y1618" s="154" t="s">
        <v>1900</v>
      </c>
      <c r="Z1618" s="154"/>
      <c r="AA1618" s="154" t="s">
        <v>1387</v>
      </c>
      <c r="AB1618" s="154">
        <v>0</v>
      </c>
      <c r="AC1618" s="138">
        <f>IFERROR(IF(DATEDIF(#REF!,U1618,"m")&lt;=1,1,IF(AND(DATEDIF(#REF!,U1618,"m")&gt;1,DATEDIF(#REF!,U1618,"m")&lt;12),2,IF(AND(DATEDIF(#REF!,U1618,"m")&gt;=12,DATEDIF(#REF!,U1618,"m")&lt;24),3,IF(DATEDIF(#REF!,U1618,"m")&gt;=24,4,"")))),IF(E1618="r0320 - Deposits, not covered and not preferential",1,4))</f>
        <v>4</v>
      </c>
    </row>
    <row r="1619" spans="3:29" ht="48.75" thickBot="1" x14ac:dyDescent="0.3">
      <c r="C1619" s="11">
        <v>999</v>
      </c>
      <c r="D1619" s="154">
        <v>1612</v>
      </c>
      <c r="E1619" s="154" t="s">
        <v>1902</v>
      </c>
      <c r="F1619" s="154" t="s">
        <v>83</v>
      </c>
      <c r="G1619" s="154" t="s">
        <v>1903</v>
      </c>
      <c r="H1619" s="154" t="s">
        <v>775</v>
      </c>
      <c r="I1619" s="154" t="s">
        <v>101</v>
      </c>
      <c r="J1619" s="154" t="s">
        <v>102</v>
      </c>
      <c r="K1619" s="154" t="s">
        <v>60</v>
      </c>
      <c r="L1619" s="154" t="s">
        <v>1897</v>
      </c>
      <c r="M1619" s="154" t="s">
        <v>1388</v>
      </c>
      <c r="N1619" s="154" t="s">
        <v>61</v>
      </c>
      <c r="O1619" s="154" t="s">
        <v>62</v>
      </c>
      <c r="P1619" s="146">
        <v>2491749.09</v>
      </c>
      <c r="Q1619" s="146">
        <v>1081.7</v>
      </c>
      <c r="R1619" s="154" t="s">
        <v>1384</v>
      </c>
      <c r="S1619" s="154" t="s">
        <v>1899</v>
      </c>
      <c r="T1619" s="155" t="s">
        <v>768</v>
      </c>
      <c r="U1619" s="155" t="s">
        <v>1899</v>
      </c>
      <c r="V1619" s="154" t="s">
        <v>1904</v>
      </c>
      <c r="W1619" s="154">
        <v>0</v>
      </c>
      <c r="X1619" s="154" t="s">
        <v>63</v>
      </c>
      <c r="Y1619" s="154" t="s">
        <v>1386</v>
      </c>
      <c r="Z1619" s="154"/>
      <c r="AA1619" s="154" t="s">
        <v>1387</v>
      </c>
      <c r="AB1619" s="154">
        <v>0</v>
      </c>
      <c r="AC1619" s="138">
        <f>IFERROR(IF(DATEDIF(#REF!,U1619,"m")&lt;=1,1,IF(AND(DATEDIF(#REF!,U1619,"m")&gt;1,DATEDIF(#REF!,U1619,"m")&lt;12),2,IF(AND(DATEDIF(#REF!,U1619,"m")&gt;=12,DATEDIF(#REF!,U1619,"m")&lt;24),3,IF(DATEDIF(#REF!,U1619,"m")&gt;=24,4,"")))),IF(E1619="r0320 - Deposits, not covered and not preferential",1,4))</f>
        <v>4</v>
      </c>
    </row>
    <row r="1620" spans="3:29" ht="36.75" thickBot="1" x14ac:dyDescent="0.3">
      <c r="C1620" s="11">
        <v>999</v>
      </c>
      <c r="D1620" s="154">
        <v>1613</v>
      </c>
      <c r="E1620" s="154" t="s">
        <v>1898</v>
      </c>
      <c r="F1620" s="154" t="s">
        <v>87</v>
      </c>
      <c r="G1620" s="154" t="s">
        <v>1402</v>
      </c>
      <c r="H1620" s="154" t="s">
        <v>192</v>
      </c>
      <c r="I1620" s="154" t="s">
        <v>96</v>
      </c>
      <c r="J1620" s="154" t="s">
        <v>97</v>
      </c>
      <c r="K1620" s="154" t="s">
        <v>91</v>
      </c>
      <c r="L1620" s="154" t="s">
        <v>1897</v>
      </c>
      <c r="M1620" s="154" t="s">
        <v>1383</v>
      </c>
      <c r="N1620" s="154" t="s">
        <v>61</v>
      </c>
      <c r="O1620" s="154" t="s">
        <v>62</v>
      </c>
      <c r="P1620" s="146">
        <v>0.11</v>
      </c>
      <c r="Q1620" s="146">
        <v>0</v>
      </c>
      <c r="R1620" s="154" t="s">
        <v>1384</v>
      </c>
      <c r="S1620" s="154" t="s">
        <v>1899</v>
      </c>
      <c r="T1620" s="155" t="s">
        <v>1899</v>
      </c>
      <c r="U1620" s="155" t="s">
        <v>1899</v>
      </c>
      <c r="V1620" s="154" t="s">
        <v>1562</v>
      </c>
      <c r="W1620" s="154">
        <v>0</v>
      </c>
      <c r="X1620" s="154" t="s">
        <v>63</v>
      </c>
      <c r="Y1620" s="154" t="s">
        <v>1900</v>
      </c>
      <c r="Z1620" s="154"/>
      <c r="AA1620" s="154" t="s">
        <v>1387</v>
      </c>
      <c r="AB1620" s="154">
        <v>0</v>
      </c>
      <c r="AC1620" s="138">
        <f>IFERROR(IF(DATEDIF(#REF!,U1620,"m")&lt;=1,1,IF(AND(DATEDIF(#REF!,U1620,"m")&gt;1,DATEDIF(#REF!,U1620,"m")&lt;12),2,IF(AND(DATEDIF(#REF!,U1620,"m")&gt;=12,DATEDIF(#REF!,U1620,"m")&lt;24),3,IF(DATEDIF(#REF!,U1620,"m")&gt;=24,4,"")))),IF(E1620="r0320 - Deposits, not covered and not preferential",1,4))</f>
        <v>4</v>
      </c>
    </row>
    <row r="1621" spans="3:29" ht="48.75" thickBot="1" x14ac:dyDescent="0.3">
      <c r="C1621" s="11">
        <v>999</v>
      </c>
      <c r="D1621" s="154">
        <v>1614</v>
      </c>
      <c r="E1621" s="154" t="s">
        <v>1902</v>
      </c>
      <c r="F1621" s="154" t="s">
        <v>83</v>
      </c>
      <c r="G1621" s="154" t="s">
        <v>1903</v>
      </c>
      <c r="H1621" s="154" t="s">
        <v>839</v>
      </c>
      <c r="I1621" s="154" t="s">
        <v>93</v>
      </c>
      <c r="J1621" s="154" t="s">
        <v>94</v>
      </c>
      <c r="K1621" s="154" t="s">
        <v>60</v>
      </c>
      <c r="L1621" s="154" t="s">
        <v>1897</v>
      </c>
      <c r="M1621" s="154" t="s">
        <v>1388</v>
      </c>
      <c r="N1621" s="154" t="s">
        <v>61</v>
      </c>
      <c r="O1621" s="154" t="s">
        <v>62</v>
      </c>
      <c r="P1621" s="146">
        <v>300020.24</v>
      </c>
      <c r="Q1621" s="146">
        <v>42.46</v>
      </c>
      <c r="R1621" s="154" t="s">
        <v>1384</v>
      </c>
      <c r="S1621" s="154" t="s">
        <v>1899</v>
      </c>
      <c r="T1621" s="155" t="s">
        <v>768</v>
      </c>
      <c r="U1621" s="155" t="s">
        <v>1899</v>
      </c>
      <c r="V1621" s="154" t="s">
        <v>1904</v>
      </c>
      <c r="W1621" s="154">
        <v>0</v>
      </c>
      <c r="X1621" s="154" t="s">
        <v>63</v>
      </c>
      <c r="Y1621" s="154" t="s">
        <v>1386</v>
      </c>
      <c r="Z1621" s="154"/>
      <c r="AA1621" s="154" t="s">
        <v>1387</v>
      </c>
      <c r="AB1621" s="154">
        <v>0</v>
      </c>
      <c r="AC1621" s="138">
        <f>IFERROR(IF(DATEDIF(#REF!,U1621,"m")&lt;=1,1,IF(AND(DATEDIF(#REF!,U1621,"m")&gt;1,DATEDIF(#REF!,U1621,"m")&lt;12),2,IF(AND(DATEDIF(#REF!,U1621,"m")&gt;=12,DATEDIF(#REF!,U1621,"m")&lt;24),3,IF(DATEDIF(#REF!,U1621,"m")&gt;=24,4,"")))),IF(E1621="r0320 - Deposits, not covered and not preferential",1,4))</f>
        <v>4</v>
      </c>
    </row>
    <row r="1622" spans="3:29" ht="36.75" thickBot="1" x14ac:dyDescent="0.3">
      <c r="C1622" s="11">
        <v>999</v>
      </c>
      <c r="D1622" s="154">
        <v>1615</v>
      </c>
      <c r="E1622" s="154" t="s">
        <v>1898</v>
      </c>
      <c r="F1622" s="154" t="s">
        <v>87</v>
      </c>
      <c r="G1622" s="154" t="s">
        <v>1402</v>
      </c>
      <c r="H1622" s="154" t="s">
        <v>200</v>
      </c>
      <c r="I1622" s="154" t="s">
        <v>201</v>
      </c>
      <c r="J1622" s="154" t="s">
        <v>202</v>
      </c>
      <c r="K1622" s="154" t="s">
        <v>60</v>
      </c>
      <c r="L1622" s="154" t="s">
        <v>1897</v>
      </c>
      <c r="M1622" s="154" t="s">
        <v>1383</v>
      </c>
      <c r="N1622" s="154" t="s">
        <v>61</v>
      </c>
      <c r="O1622" s="154" t="s">
        <v>62</v>
      </c>
      <c r="P1622" s="146">
        <v>23.76</v>
      </c>
      <c r="Q1622" s="146">
        <v>0</v>
      </c>
      <c r="R1622" s="154" t="s">
        <v>1384</v>
      </c>
      <c r="S1622" s="154" t="s">
        <v>1899</v>
      </c>
      <c r="T1622" s="155" t="s">
        <v>1899</v>
      </c>
      <c r="U1622" s="155" t="s">
        <v>1899</v>
      </c>
      <c r="V1622" s="154" t="s">
        <v>1562</v>
      </c>
      <c r="W1622" s="154">
        <v>0</v>
      </c>
      <c r="X1622" s="154" t="s">
        <v>63</v>
      </c>
      <c r="Y1622" s="154" t="s">
        <v>1900</v>
      </c>
      <c r="Z1622" s="154"/>
      <c r="AA1622" s="154" t="s">
        <v>1387</v>
      </c>
      <c r="AB1622" s="154">
        <v>0</v>
      </c>
      <c r="AC1622" s="138">
        <f>IFERROR(IF(DATEDIF(#REF!,U1622,"m")&lt;=1,1,IF(AND(DATEDIF(#REF!,U1622,"m")&gt;1,DATEDIF(#REF!,U1622,"m")&lt;12),2,IF(AND(DATEDIF(#REF!,U1622,"m")&gt;=12,DATEDIF(#REF!,U1622,"m")&lt;24),3,IF(DATEDIF(#REF!,U1622,"m")&gt;=24,4,"")))),IF(E1622="r0320 - Deposits, not covered and not preferential",1,4))</f>
        <v>4</v>
      </c>
    </row>
    <row r="1623" spans="3:29" ht="48.75" thickBot="1" x14ac:dyDescent="0.3">
      <c r="C1623" s="11">
        <v>999</v>
      </c>
      <c r="D1623" s="154">
        <v>1616</v>
      </c>
      <c r="E1623" s="154" t="s">
        <v>1902</v>
      </c>
      <c r="F1623" s="154" t="s">
        <v>83</v>
      </c>
      <c r="G1623" s="154" t="s">
        <v>1903</v>
      </c>
      <c r="H1623" s="154" t="s">
        <v>805</v>
      </c>
      <c r="I1623" s="154" t="s">
        <v>114</v>
      </c>
      <c r="J1623" s="154" t="s">
        <v>115</v>
      </c>
      <c r="K1623" s="154" t="s">
        <v>60</v>
      </c>
      <c r="L1623" s="154" t="s">
        <v>1897</v>
      </c>
      <c r="M1623" s="154" t="s">
        <v>1388</v>
      </c>
      <c r="N1623" s="154" t="s">
        <v>61</v>
      </c>
      <c r="O1623" s="154" t="s">
        <v>62</v>
      </c>
      <c r="P1623" s="146">
        <v>148601.43</v>
      </c>
      <c r="Q1623" s="146">
        <v>91.42</v>
      </c>
      <c r="R1623" s="154" t="s">
        <v>1384</v>
      </c>
      <c r="S1623" s="154" t="s">
        <v>1899</v>
      </c>
      <c r="T1623" s="155" t="s">
        <v>768</v>
      </c>
      <c r="U1623" s="155" t="s">
        <v>1899</v>
      </c>
      <c r="V1623" s="154" t="s">
        <v>1904</v>
      </c>
      <c r="W1623" s="154">
        <v>0</v>
      </c>
      <c r="X1623" s="154" t="s">
        <v>63</v>
      </c>
      <c r="Y1623" s="154" t="s">
        <v>1386</v>
      </c>
      <c r="Z1623" s="154"/>
      <c r="AA1623" s="154" t="s">
        <v>1387</v>
      </c>
      <c r="AB1623" s="154">
        <v>0</v>
      </c>
      <c r="AC1623" s="138">
        <f>IFERROR(IF(DATEDIF(#REF!,U1623,"m")&lt;=1,1,IF(AND(DATEDIF(#REF!,U1623,"m")&gt;1,DATEDIF(#REF!,U1623,"m")&lt;12),2,IF(AND(DATEDIF(#REF!,U1623,"m")&gt;=12,DATEDIF(#REF!,U1623,"m")&lt;24),3,IF(DATEDIF(#REF!,U1623,"m")&gt;=24,4,"")))),IF(E1623="r0320 - Deposits, not covered and not preferential",1,4))</f>
        <v>4</v>
      </c>
    </row>
    <row r="1624" spans="3:29" ht="36.75" thickBot="1" x14ac:dyDescent="0.3">
      <c r="C1624" s="11">
        <v>999</v>
      </c>
      <c r="D1624" s="154">
        <v>1617</v>
      </c>
      <c r="E1624" s="154" t="s">
        <v>1898</v>
      </c>
      <c r="F1624" s="154" t="s">
        <v>87</v>
      </c>
      <c r="G1624" s="154" t="s">
        <v>1402</v>
      </c>
      <c r="H1624" s="154" t="s">
        <v>831</v>
      </c>
      <c r="I1624" s="154" t="s">
        <v>310</v>
      </c>
      <c r="J1624" s="154" t="s">
        <v>311</v>
      </c>
      <c r="K1624" s="154" t="s">
        <v>60</v>
      </c>
      <c r="L1624" s="154" t="s">
        <v>1897</v>
      </c>
      <c r="M1624" s="154" t="s">
        <v>1383</v>
      </c>
      <c r="N1624" s="154" t="s">
        <v>61</v>
      </c>
      <c r="O1624" s="154" t="s">
        <v>62</v>
      </c>
      <c r="P1624" s="146">
        <v>0.4</v>
      </c>
      <c r="Q1624" s="146">
        <v>0</v>
      </c>
      <c r="R1624" s="154" t="s">
        <v>1384</v>
      </c>
      <c r="S1624" s="154" t="s">
        <v>1899</v>
      </c>
      <c r="T1624" s="155" t="s">
        <v>1899</v>
      </c>
      <c r="U1624" s="155" t="s">
        <v>1899</v>
      </c>
      <c r="V1624" s="154" t="s">
        <v>1562</v>
      </c>
      <c r="W1624" s="154">
        <v>0</v>
      </c>
      <c r="X1624" s="154" t="s">
        <v>63</v>
      </c>
      <c r="Y1624" s="154" t="s">
        <v>1900</v>
      </c>
      <c r="Z1624" s="154"/>
      <c r="AA1624" s="154" t="s">
        <v>1387</v>
      </c>
      <c r="AB1624" s="154">
        <v>0</v>
      </c>
      <c r="AC1624" s="138">
        <f>IFERROR(IF(DATEDIF(#REF!,U1624,"m")&lt;=1,1,IF(AND(DATEDIF(#REF!,U1624,"m")&gt;1,DATEDIF(#REF!,U1624,"m")&lt;12),2,IF(AND(DATEDIF(#REF!,U1624,"m")&gt;=12,DATEDIF(#REF!,U1624,"m")&lt;24),3,IF(DATEDIF(#REF!,U1624,"m")&gt;=24,4,"")))),IF(E1624="r0320 - Deposits, not covered and not preferential",1,4))</f>
        <v>4</v>
      </c>
    </row>
    <row r="1625" spans="3:29" ht="36.75" thickBot="1" x14ac:dyDescent="0.3">
      <c r="C1625" s="11">
        <v>999</v>
      </c>
      <c r="D1625" s="154">
        <v>1618</v>
      </c>
      <c r="E1625" s="154" t="s">
        <v>1898</v>
      </c>
      <c r="F1625" s="154" t="s">
        <v>87</v>
      </c>
      <c r="G1625" s="154" t="s">
        <v>1402</v>
      </c>
      <c r="H1625" s="154" t="s">
        <v>57</v>
      </c>
      <c r="I1625" s="154" t="s">
        <v>89</v>
      </c>
      <c r="J1625" s="154" t="s">
        <v>90</v>
      </c>
      <c r="K1625" s="154" t="s">
        <v>91</v>
      </c>
      <c r="L1625" s="154" t="s">
        <v>1901</v>
      </c>
      <c r="M1625" s="154" t="s">
        <v>1383</v>
      </c>
      <c r="N1625" s="154" t="s">
        <v>61</v>
      </c>
      <c r="O1625" s="154" t="s">
        <v>62</v>
      </c>
      <c r="P1625" s="146">
        <v>4157.84</v>
      </c>
      <c r="Q1625" s="146">
        <v>0</v>
      </c>
      <c r="R1625" s="154" t="s">
        <v>1384</v>
      </c>
      <c r="S1625" s="154" t="s">
        <v>1899</v>
      </c>
      <c r="T1625" s="155" t="s">
        <v>1899</v>
      </c>
      <c r="U1625" s="155" t="s">
        <v>1899</v>
      </c>
      <c r="V1625" s="154" t="s">
        <v>1562</v>
      </c>
      <c r="W1625" s="154">
        <v>0</v>
      </c>
      <c r="X1625" s="154" t="s">
        <v>63</v>
      </c>
      <c r="Y1625" s="154" t="s">
        <v>1900</v>
      </c>
      <c r="Z1625" s="154"/>
      <c r="AA1625" s="154" t="s">
        <v>1387</v>
      </c>
      <c r="AB1625" s="154">
        <v>0</v>
      </c>
      <c r="AC1625" s="138">
        <f>IFERROR(IF(DATEDIF(#REF!,U1625,"m")&lt;=1,1,IF(AND(DATEDIF(#REF!,U1625,"m")&gt;1,DATEDIF(#REF!,U1625,"m")&lt;12),2,IF(AND(DATEDIF(#REF!,U1625,"m")&gt;=12,DATEDIF(#REF!,U1625,"m")&lt;24),3,IF(DATEDIF(#REF!,U1625,"m")&gt;=24,4,"")))),IF(E1625="r0320 - Deposits, not covered and not preferential",1,4))</f>
        <v>4</v>
      </c>
    </row>
    <row r="1626" spans="3:29" ht="36.75" thickBot="1" x14ac:dyDescent="0.3">
      <c r="C1626" s="11">
        <v>999</v>
      </c>
      <c r="D1626" s="154">
        <v>1619</v>
      </c>
      <c r="E1626" s="154" t="s">
        <v>1898</v>
      </c>
      <c r="F1626" s="154" t="s">
        <v>87</v>
      </c>
      <c r="G1626" s="154" t="s">
        <v>1402</v>
      </c>
      <c r="H1626" s="154" t="s">
        <v>496</v>
      </c>
      <c r="I1626" s="154" t="s">
        <v>96</v>
      </c>
      <c r="J1626" s="154" t="s">
        <v>97</v>
      </c>
      <c r="K1626" s="154" t="s">
        <v>91</v>
      </c>
      <c r="L1626" s="154" t="s">
        <v>1897</v>
      </c>
      <c r="M1626" s="154" t="s">
        <v>1383</v>
      </c>
      <c r="N1626" s="154" t="s">
        <v>61</v>
      </c>
      <c r="O1626" s="154" t="s">
        <v>62</v>
      </c>
      <c r="P1626" s="146">
        <v>98.89</v>
      </c>
      <c r="Q1626" s="146">
        <v>0</v>
      </c>
      <c r="R1626" s="154" t="s">
        <v>1384</v>
      </c>
      <c r="S1626" s="154" t="s">
        <v>1899</v>
      </c>
      <c r="T1626" s="155" t="s">
        <v>1899</v>
      </c>
      <c r="U1626" s="155" t="s">
        <v>1899</v>
      </c>
      <c r="V1626" s="154" t="s">
        <v>1562</v>
      </c>
      <c r="W1626" s="154">
        <v>0</v>
      </c>
      <c r="X1626" s="154" t="s">
        <v>63</v>
      </c>
      <c r="Y1626" s="154" t="s">
        <v>1900</v>
      </c>
      <c r="Z1626" s="154"/>
      <c r="AA1626" s="154" t="s">
        <v>1387</v>
      </c>
      <c r="AB1626" s="154">
        <v>0</v>
      </c>
      <c r="AC1626" s="138">
        <f>IFERROR(IF(DATEDIF(#REF!,U1626,"m")&lt;=1,1,IF(AND(DATEDIF(#REF!,U1626,"m")&gt;1,DATEDIF(#REF!,U1626,"m")&lt;12),2,IF(AND(DATEDIF(#REF!,U1626,"m")&gt;=12,DATEDIF(#REF!,U1626,"m")&lt;24),3,IF(DATEDIF(#REF!,U1626,"m")&gt;=24,4,"")))),IF(E1626="r0320 - Deposits, not covered and not preferential",1,4))</f>
        <v>4</v>
      </c>
    </row>
    <row r="1627" spans="3:29" ht="48.75" thickBot="1" x14ac:dyDescent="0.3">
      <c r="C1627" s="11">
        <v>999</v>
      </c>
      <c r="D1627" s="154">
        <v>1620</v>
      </c>
      <c r="E1627" s="154" t="s">
        <v>1902</v>
      </c>
      <c r="F1627" s="154" t="s">
        <v>83</v>
      </c>
      <c r="G1627" s="154" t="s">
        <v>1903</v>
      </c>
      <c r="H1627" s="154" t="s">
        <v>1302</v>
      </c>
      <c r="I1627" s="154" t="s">
        <v>93</v>
      </c>
      <c r="J1627" s="154" t="s">
        <v>94</v>
      </c>
      <c r="K1627" s="154" t="s">
        <v>60</v>
      </c>
      <c r="L1627" s="154" t="s">
        <v>1897</v>
      </c>
      <c r="M1627" s="154" t="s">
        <v>1388</v>
      </c>
      <c r="N1627" s="154" t="s">
        <v>61</v>
      </c>
      <c r="O1627" s="154" t="s">
        <v>62</v>
      </c>
      <c r="P1627" s="146">
        <v>92064.02</v>
      </c>
      <c r="Q1627" s="146">
        <v>17.899999999999999</v>
      </c>
      <c r="R1627" s="154" t="s">
        <v>1384</v>
      </c>
      <c r="S1627" s="154" t="s">
        <v>1899</v>
      </c>
      <c r="T1627" s="155" t="s">
        <v>768</v>
      </c>
      <c r="U1627" s="155" t="s">
        <v>1899</v>
      </c>
      <c r="V1627" s="154" t="s">
        <v>1904</v>
      </c>
      <c r="W1627" s="154">
        <v>0</v>
      </c>
      <c r="X1627" s="154" t="s">
        <v>63</v>
      </c>
      <c r="Y1627" s="154" t="s">
        <v>1386</v>
      </c>
      <c r="Z1627" s="154"/>
      <c r="AA1627" s="154" t="s">
        <v>1387</v>
      </c>
      <c r="AB1627" s="154">
        <v>0</v>
      </c>
      <c r="AC1627" s="138">
        <f>IFERROR(IF(DATEDIF(#REF!,U1627,"m")&lt;=1,1,IF(AND(DATEDIF(#REF!,U1627,"m")&gt;1,DATEDIF(#REF!,U1627,"m")&lt;12),2,IF(AND(DATEDIF(#REF!,U1627,"m")&gt;=12,DATEDIF(#REF!,U1627,"m")&lt;24),3,IF(DATEDIF(#REF!,U1627,"m")&gt;=24,4,"")))),IF(E1627="r0320 - Deposits, not covered and not preferential",1,4))</f>
        <v>4</v>
      </c>
    </row>
    <row r="1628" spans="3:29" ht="36.75" thickBot="1" x14ac:dyDescent="0.3">
      <c r="C1628" s="11">
        <v>999</v>
      </c>
      <c r="D1628" s="154">
        <v>1621</v>
      </c>
      <c r="E1628" s="154" t="s">
        <v>1898</v>
      </c>
      <c r="F1628" s="154" t="s">
        <v>87</v>
      </c>
      <c r="G1628" s="154" t="s">
        <v>1402</v>
      </c>
      <c r="H1628" s="154" t="s">
        <v>761</v>
      </c>
      <c r="I1628" s="154" t="s">
        <v>96</v>
      </c>
      <c r="J1628" s="154" t="s">
        <v>97</v>
      </c>
      <c r="K1628" s="154" t="s">
        <v>91</v>
      </c>
      <c r="L1628" s="154" t="s">
        <v>1897</v>
      </c>
      <c r="M1628" s="154" t="s">
        <v>1383</v>
      </c>
      <c r="N1628" s="154" t="s">
        <v>61</v>
      </c>
      <c r="O1628" s="154" t="s">
        <v>62</v>
      </c>
      <c r="P1628" s="146">
        <v>98.89</v>
      </c>
      <c r="Q1628" s="146">
        <v>0</v>
      </c>
      <c r="R1628" s="154" t="s">
        <v>1384</v>
      </c>
      <c r="S1628" s="154" t="s">
        <v>1899</v>
      </c>
      <c r="T1628" s="155" t="s">
        <v>1899</v>
      </c>
      <c r="U1628" s="155" t="s">
        <v>1899</v>
      </c>
      <c r="V1628" s="154" t="s">
        <v>1562</v>
      </c>
      <c r="W1628" s="154">
        <v>0</v>
      </c>
      <c r="X1628" s="154" t="s">
        <v>63</v>
      </c>
      <c r="Y1628" s="154" t="s">
        <v>1900</v>
      </c>
      <c r="Z1628" s="154"/>
      <c r="AA1628" s="154" t="s">
        <v>1387</v>
      </c>
      <c r="AB1628" s="154">
        <v>0</v>
      </c>
      <c r="AC1628" s="138">
        <f>IFERROR(IF(DATEDIF(#REF!,U1628,"m")&lt;=1,1,IF(AND(DATEDIF(#REF!,U1628,"m")&gt;1,DATEDIF(#REF!,U1628,"m")&lt;12),2,IF(AND(DATEDIF(#REF!,U1628,"m")&gt;=12,DATEDIF(#REF!,U1628,"m")&lt;24),3,IF(DATEDIF(#REF!,U1628,"m")&gt;=24,4,"")))),IF(E1628="r0320 - Deposits, not covered and not preferential",1,4))</f>
        <v>4</v>
      </c>
    </row>
    <row r="1629" spans="3:29" ht="48.75" thickBot="1" x14ac:dyDescent="0.3">
      <c r="C1629" s="11">
        <v>999</v>
      </c>
      <c r="D1629" s="154">
        <v>1622</v>
      </c>
      <c r="E1629" s="154" t="s">
        <v>1902</v>
      </c>
      <c r="F1629" s="154" t="s">
        <v>83</v>
      </c>
      <c r="G1629" s="154" t="s">
        <v>1903</v>
      </c>
      <c r="H1629" s="154" t="s">
        <v>330</v>
      </c>
      <c r="I1629" s="154" t="s">
        <v>101</v>
      </c>
      <c r="J1629" s="154" t="s">
        <v>102</v>
      </c>
      <c r="K1629" s="154" t="s">
        <v>60</v>
      </c>
      <c r="L1629" s="154" t="s">
        <v>1897</v>
      </c>
      <c r="M1629" s="154" t="s">
        <v>1388</v>
      </c>
      <c r="N1629" s="154" t="s">
        <v>61</v>
      </c>
      <c r="O1629" s="154" t="s">
        <v>62</v>
      </c>
      <c r="P1629" s="146">
        <v>216240.6</v>
      </c>
      <c r="Q1629" s="146">
        <v>122.76</v>
      </c>
      <c r="R1629" s="154" t="s">
        <v>1384</v>
      </c>
      <c r="S1629" s="154" t="s">
        <v>1899</v>
      </c>
      <c r="T1629" s="155" t="s">
        <v>768</v>
      </c>
      <c r="U1629" s="155" t="s">
        <v>1899</v>
      </c>
      <c r="V1629" s="154" t="s">
        <v>1904</v>
      </c>
      <c r="W1629" s="154">
        <v>0</v>
      </c>
      <c r="X1629" s="154" t="s">
        <v>63</v>
      </c>
      <c r="Y1629" s="154" t="s">
        <v>1386</v>
      </c>
      <c r="Z1629" s="154"/>
      <c r="AA1629" s="154" t="s">
        <v>1387</v>
      </c>
      <c r="AB1629" s="154">
        <v>0</v>
      </c>
      <c r="AC1629" s="138">
        <f>IFERROR(IF(DATEDIF(#REF!,U1629,"m")&lt;=1,1,IF(AND(DATEDIF(#REF!,U1629,"m")&gt;1,DATEDIF(#REF!,U1629,"m")&lt;12),2,IF(AND(DATEDIF(#REF!,U1629,"m")&gt;=12,DATEDIF(#REF!,U1629,"m")&lt;24),3,IF(DATEDIF(#REF!,U1629,"m")&gt;=24,4,"")))),IF(E1629="r0320 - Deposits, not covered and not preferential",1,4))</f>
        <v>4</v>
      </c>
    </row>
    <row r="1630" spans="3:29" ht="36.75" thickBot="1" x14ac:dyDescent="0.3">
      <c r="C1630" s="11">
        <v>999</v>
      </c>
      <c r="D1630" s="154">
        <v>1623</v>
      </c>
      <c r="E1630" s="154" t="s">
        <v>1898</v>
      </c>
      <c r="F1630" s="154" t="s">
        <v>87</v>
      </c>
      <c r="G1630" s="154" t="s">
        <v>1402</v>
      </c>
      <c r="H1630" s="154" t="s">
        <v>309</v>
      </c>
      <c r="I1630" s="154" t="s">
        <v>310</v>
      </c>
      <c r="J1630" s="154" t="s">
        <v>311</v>
      </c>
      <c r="K1630" s="154" t="s">
        <v>60</v>
      </c>
      <c r="L1630" s="154" t="s">
        <v>1897</v>
      </c>
      <c r="M1630" s="154" t="s">
        <v>1383</v>
      </c>
      <c r="N1630" s="154" t="s">
        <v>61</v>
      </c>
      <c r="O1630" s="154" t="s">
        <v>62</v>
      </c>
      <c r="P1630" s="146">
        <v>4.74</v>
      </c>
      <c r="Q1630" s="146">
        <v>0</v>
      </c>
      <c r="R1630" s="154" t="s">
        <v>1384</v>
      </c>
      <c r="S1630" s="154" t="s">
        <v>1899</v>
      </c>
      <c r="T1630" s="155" t="s">
        <v>1899</v>
      </c>
      <c r="U1630" s="155" t="s">
        <v>1899</v>
      </c>
      <c r="V1630" s="154" t="s">
        <v>1562</v>
      </c>
      <c r="W1630" s="154">
        <v>0</v>
      </c>
      <c r="X1630" s="154" t="s">
        <v>63</v>
      </c>
      <c r="Y1630" s="154" t="s">
        <v>1900</v>
      </c>
      <c r="Z1630" s="154"/>
      <c r="AA1630" s="154" t="s">
        <v>1387</v>
      </c>
      <c r="AB1630" s="154">
        <v>0</v>
      </c>
      <c r="AC1630" s="138">
        <f>IFERROR(IF(DATEDIF(#REF!,U1630,"m")&lt;=1,1,IF(AND(DATEDIF(#REF!,U1630,"m")&gt;1,DATEDIF(#REF!,U1630,"m")&lt;12),2,IF(AND(DATEDIF(#REF!,U1630,"m")&gt;=12,DATEDIF(#REF!,U1630,"m")&lt;24),3,IF(DATEDIF(#REF!,U1630,"m")&gt;=24,4,"")))),IF(E1630="r0320 - Deposits, not covered and not preferential",1,4))</f>
        <v>4</v>
      </c>
    </row>
    <row r="1631" spans="3:29" ht="48.75" thickBot="1" x14ac:dyDescent="0.3">
      <c r="C1631" s="11">
        <v>999</v>
      </c>
      <c r="D1631" s="154">
        <v>1624</v>
      </c>
      <c r="E1631" s="154" t="s">
        <v>1902</v>
      </c>
      <c r="F1631" s="154" t="s">
        <v>83</v>
      </c>
      <c r="G1631" s="154" t="s">
        <v>1903</v>
      </c>
      <c r="H1631" s="154" t="s">
        <v>144</v>
      </c>
      <c r="I1631" s="154" t="s">
        <v>114</v>
      </c>
      <c r="J1631" s="154" t="s">
        <v>115</v>
      </c>
      <c r="K1631" s="154" t="s">
        <v>60</v>
      </c>
      <c r="L1631" s="154" t="s">
        <v>1897</v>
      </c>
      <c r="M1631" s="154" t="s">
        <v>1388</v>
      </c>
      <c r="N1631" s="154" t="s">
        <v>61</v>
      </c>
      <c r="O1631" s="154" t="s">
        <v>62</v>
      </c>
      <c r="P1631" s="146">
        <v>31341.39</v>
      </c>
      <c r="Q1631" s="146">
        <v>7.39</v>
      </c>
      <c r="R1631" s="154" t="s">
        <v>1384</v>
      </c>
      <c r="S1631" s="154" t="s">
        <v>1899</v>
      </c>
      <c r="T1631" s="155" t="s">
        <v>768</v>
      </c>
      <c r="U1631" s="155" t="s">
        <v>1899</v>
      </c>
      <c r="V1631" s="154" t="s">
        <v>1904</v>
      </c>
      <c r="W1631" s="154">
        <v>0</v>
      </c>
      <c r="X1631" s="154" t="s">
        <v>63</v>
      </c>
      <c r="Y1631" s="154" t="s">
        <v>1386</v>
      </c>
      <c r="Z1631" s="154"/>
      <c r="AA1631" s="154" t="s">
        <v>1387</v>
      </c>
      <c r="AB1631" s="154">
        <v>0</v>
      </c>
      <c r="AC1631" s="138">
        <f>IFERROR(IF(DATEDIF(#REF!,U1631,"m")&lt;=1,1,IF(AND(DATEDIF(#REF!,U1631,"m")&gt;1,DATEDIF(#REF!,U1631,"m")&lt;12),2,IF(AND(DATEDIF(#REF!,U1631,"m")&gt;=12,DATEDIF(#REF!,U1631,"m")&lt;24),3,IF(DATEDIF(#REF!,U1631,"m")&gt;=24,4,"")))),IF(E1631="r0320 - Deposits, not covered and not preferential",1,4))</f>
        <v>4</v>
      </c>
    </row>
    <row r="1632" spans="3:29" ht="36.75" thickBot="1" x14ac:dyDescent="0.3">
      <c r="C1632" s="11">
        <v>999</v>
      </c>
      <c r="D1632" s="154">
        <v>1625</v>
      </c>
      <c r="E1632" s="154" t="s">
        <v>1898</v>
      </c>
      <c r="F1632" s="154" t="s">
        <v>87</v>
      </c>
      <c r="G1632" s="154" t="s">
        <v>1402</v>
      </c>
      <c r="H1632" s="154" t="s">
        <v>1274</v>
      </c>
      <c r="I1632" s="154" t="s">
        <v>96</v>
      </c>
      <c r="J1632" s="154" t="s">
        <v>97</v>
      </c>
      <c r="K1632" s="154" t="s">
        <v>91</v>
      </c>
      <c r="L1632" s="154" t="s">
        <v>1897</v>
      </c>
      <c r="M1632" s="154" t="s">
        <v>1383</v>
      </c>
      <c r="N1632" s="154" t="s">
        <v>61</v>
      </c>
      <c r="O1632" s="154" t="s">
        <v>62</v>
      </c>
      <c r="P1632" s="146">
        <v>21.11</v>
      </c>
      <c r="Q1632" s="146">
        <v>0</v>
      </c>
      <c r="R1632" s="154" t="s">
        <v>1384</v>
      </c>
      <c r="S1632" s="154" t="s">
        <v>1899</v>
      </c>
      <c r="T1632" s="155" t="s">
        <v>1899</v>
      </c>
      <c r="U1632" s="155" t="s">
        <v>1899</v>
      </c>
      <c r="V1632" s="154" t="s">
        <v>1562</v>
      </c>
      <c r="W1632" s="154">
        <v>0</v>
      </c>
      <c r="X1632" s="154" t="s">
        <v>63</v>
      </c>
      <c r="Y1632" s="154" t="s">
        <v>1900</v>
      </c>
      <c r="Z1632" s="154"/>
      <c r="AA1632" s="154" t="s">
        <v>1387</v>
      </c>
      <c r="AB1632" s="154">
        <v>0</v>
      </c>
      <c r="AC1632" s="138">
        <f>IFERROR(IF(DATEDIF(#REF!,U1632,"m")&lt;=1,1,IF(AND(DATEDIF(#REF!,U1632,"m")&gt;1,DATEDIF(#REF!,U1632,"m")&lt;12),2,IF(AND(DATEDIF(#REF!,U1632,"m")&gt;=12,DATEDIF(#REF!,U1632,"m")&lt;24),3,IF(DATEDIF(#REF!,U1632,"m")&gt;=24,4,"")))),IF(E1632="r0320 - Deposits, not covered and not preferential",1,4))</f>
        <v>4</v>
      </c>
    </row>
    <row r="1633" spans="3:29" ht="48.75" thickBot="1" x14ac:dyDescent="0.3">
      <c r="C1633" s="11">
        <v>999</v>
      </c>
      <c r="D1633" s="154">
        <v>1626</v>
      </c>
      <c r="E1633" s="154" t="s">
        <v>1902</v>
      </c>
      <c r="F1633" s="154" t="s">
        <v>83</v>
      </c>
      <c r="G1633" s="154" t="s">
        <v>1903</v>
      </c>
      <c r="H1633" s="154" t="s">
        <v>1294</v>
      </c>
      <c r="I1633" s="154" t="s">
        <v>114</v>
      </c>
      <c r="J1633" s="154" t="s">
        <v>115</v>
      </c>
      <c r="K1633" s="154" t="s">
        <v>60</v>
      </c>
      <c r="L1633" s="154" t="s">
        <v>1897</v>
      </c>
      <c r="M1633" s="154" t="s">
        <v>1388</v>
      </c>
      <c r="N1633" s="154" t="s">
        <v>61</v>
      </c>
      <c r="O1633" s="154" t="s">
        <v>62</v>
      </c>
      <c r="P1633" s="146">
        <v>74414.039999999994</v>
      </c>
      <c r="Q1633" s="146">
        <v>6.28</v>
      </c>
      <c r="R1633" s="154" t="s">
        <v>1384</v>
      </c>
      <c r="S1633" s="154" t="s">
        <v>1899</v>
      </c>
      <c r="T1633" s="155" t="s">
        <v>768</v>
      </c>
      <c r="U1633" s="155" t="s">
        <v>1899</v>
      </c>
      <c r="V1633" s="154" t="s">
        <v>1904</v>
      </c>
      <c r="W1633" s="154">
        <v>0</v>
      </c>
      <c r="X1633" s="154" t="s">
        <v>63</v>
      </c>
      <c r="Y1633" s="154" t="s">
        <v>1386</v>
      </c>
      <c r="Z1633" s="154"/>
      <c r="AA1633" s="154" t="s">
        <v>1387</v>
      </c>
      <c r="AB1633" s="154">
        <v>0</v>
      </c>
      <c r="AC1633" s="138">
        <f>IFERROR(IF(DATEDIF(#REF!,U1633,"m")&lt;=1,1,IF(AND(DATEDIF(#REF!,U1633,"m")&gt;1,DATEDIF(#REF!,U1633,"m")&lt;12),2,IF(AND(DATEDIF(#REF!,U1633,"m")&gt;=12,DATEDIF(#REF!,U1633,"m")&lt;24),3,IF(DATEDIF(#REF!,U1633,"m")&gt;=24,4,"")))),IF(E1633="r0320 - Deposits, not covered and not preferential",1,4))</f>
        <v>4</v>
      </c>
    </row>
    <row r="1634" spans="3:29" ht="36.75" thickBot="1" x14ac:dyDescent="0.3">
      <c r="C1634" s="11">
        <v>999</v>
      </c>
      <c r="D1634" s="154">
        <v>1627</v>
      </c>
      <c r="E1634" s="154" t="s">
        <v>1898</v>
      </c>
      <c r="F1634" s="154" t="s">
        <v>87</v>
      </c>
      <c r="G1634" s="154" t="s">
        <v>1402</v>
      </c>
      <c r="H1634" s="154" t="s">
        <v>788</v>
      </c>
      <c r="I1634" s="154" t="s">
        <v>96</v>
      </c>
      <c r="J1634" s="154" t="s">
        <v>97</v>
      </c>
      <c r="K1634" s="154" t="s">
        <v>91</v>
      </c>
      <c r="L1634" s="154" t="s">
        <v>1897</v>
      </c>
      <c r="M1634" s="154" t="s">
        <v>1383</v>
      </c>
      <c r="N1634" s="154" t="s">
        <v>61</v>
      </c>
      <c r="O1634" s="154" t="s">
        <v>62</v>
      </c>
      <c r="P1634" s="146">
        <v>21.11</v>
      </c>
      <c r="Q1634" s="146">
        <v>0</v>
      </c>
      <c r="R1634" s="154" t="s">
        <v>1384</v>
      </c>
      <c r="S1634" s="154" t="s">
        <v>1899</v>
      </c>
      <c r="T1634" s="155" t="s">
        <v>1899</v>
      </c>
      <c r="U1634" s="155" t="s">
        <v>1899</v>
      </c>
      <c r="V1634" s="154" t="s">
        <v>1562</v>
      </c>
      <c r="W1634" s="154">
        <v>0</v>
      </c>
      <c r="X1634" s="154" t="s">
        <v>63</v>
      </c>
      <c r="Y1634" s="154" t="s">
        <v>1900</v>
      </c>
      <c r="Z1634" s="154"/>
      <c r="AA1634" s="154" t="s">
        <v>1387</v>
      </c>
      <c r="AB1634" s="154">
        <v>0</v>
      </c>
      <c r="AC1634" s="138">
        <f>IFERROR(IF(DATEDIF(#REF!,U1634,"m")&lt;=1,1,IF(AND(DATEDIF(#REF!,U1634,"m")&gt;1,DATEDIF(#REF!,U1634,"m")&lt;12),2,IF(AND(DATEDIF(#REF!,U1634,"m")&gt;=12,DATEDIF(#REF!,U1634,"m")&lt;24),3,IF(DATEDIF(#REF!,U1634,"m")&gt;=24,4,"")))),IF(E1634="r0320 - Deposits, not covered and not preferential",1,4))</f>
        <v>4</v>
      </c>
    </row>
    <row r="1635" spans="3:29" ht="48.75" thickBot="1" x14ac:dyDescent="0.3">
      <c r="C1635" s="11">
        <v>999</v>
      </c>
      <c r="D1635" s="154">
        <v>1628</v>
      </c>
      <c r="E1635" s="154" t="s">
        <v>1902</v>
      </c>
      <c r="F1635" s="154" t="s">
        <v>83</v>
      </c>
      <c r="G1635" s="154" t="s">
        <v>1903</v>
      </c>
      <c r="H1635" s="154" t="s">
        <v>1302</v>
      </c>
      <c r="I1635" s="154" t="s">
        <v>114</v>
      </c>
      <c r="J1635" s="154" t="s">
        <v>115</v>
      </c>
      <c r="K1635" s="154" t="s">
        <v>60</v>
      </c>
      <c r="L1635" s="154" t="s">
        <v>1897</v>
      </c>
      <c r="M1635" s="154" t="s">
        <v>1388</v>
      </c>
      <c r="N1635" s="154" t="s">
        <v>61</v>
      </c>
      <c r="O1635" s="154" t="s">
        <v>62</v>
      </c>
      <c r="P1635" s="146">
        <v>60569.25</v>
      </c>
      <c r="Q1635" s="146">
        <v>100.14</v>
      </c>
      <c r="R1635" s="154" t="s">
        <v>1384</v>
      </c>
      <c r="S1635" s="154" t="s">
        <v>1899</v>
      </c>
      <c r="T1635" s="155" t="s">
        <v>768</v>
      </c>
      <c r="U1635" s="155" t="s">
        <v>1899</v>
      </c>
      <c r="V1635" s="154" t="s">
        <v>1904</v>
      </c>
      <c r="W1635" s="154">
        <v>0</v>
      </c>
      <c r="X1635" s="154" t="s">
        <v>63</v>
      </c>
      <c r="Y1635" s="154" t="s">
        <v>1386</v>
      </c>
      <c r="Z1635" s="154"/>
      <c r="AA1635" s="154" t="s">
        <v>1387</v>
      </c>
      <c r="AB1635" s="154">
        <v>0</v>
      </c>
      <c r="AC1635" s="138">
        <f>IFERROR(IF(DATEDIF(#REF!,U1635,"m")&lt;=1,1,IF(AND(DATEDIF(#REF!,U1635,"m")&gt;1,DATEDIF(#REF!,U1635,"m")&lt;12),2,IF(AND(DATEDIF(#REF!,U1635,"m")&gt;=12,DATEDIF(#REF!,U1635,"m")&lt;24),3,IF(DATEDIF(#REF!,U1635,"m")&gt;=24,4,"")))),IF(E1635="r0320 - Deposits, not covered and not preferential",1,4))</f>
        <v>4</v>
      </c>
    </row>
    <row r="1636" spans="3:29" ht="36.75" thickBot="1" x14ac:dyDescent="0.3">
      <c r="C1636" s="11">
        <v>999</v>
      </c>
      <c r="D1636" s="154">
        <v>1629</v>
      </c>
      <c r="E1636" s="154" t="s">
        <v>1898</v>
      </c>
      <c r="F1636" s="154" t="s">
        <v>87</v>
      </c>
      <c r="G1636" s="154" t="s">
        <v>1402</v>
      </c>
      <c r="H1636" s="154" t="s">
        <v>1323</v>
      </c>
      <c r="I1636" s="154" t="s">
        <v>104</v>
      </c>
      <c r="J1636" s="154" t="s">
        <v>105</v>
      </c>
      <c r="K1636" s="154" t="s">
        <v>60</v>
      </c>
      <c r="L1636" s="154" t="s">
        <v>1897</v>
      </c>
      <c r="M1636" s="154" t="s">
        <v>1383</v>
      </c>
      <c r="N1636" s="154" t="s">
        <v>61</v>
      </c>
      <c r="O1636" s="154" t="s">
        <v>62</v>
      </c>
      <c r="P1636" s="146">
        <v>0.5</v>
      </c>
      <c r="Q1636" s="146">
        <v>0</v>
      </c>
      <c r="R1636" s="154" t="s">
        <v>1384</v>
      </c>
      <c r="S1636" s="154" t="s">
        <v>1899</v>
      </c>
      <c r="T1636" s="155" t="s">
        <v>1899</v>
      </c>
      <c r="U1636" s="155" t="s">
        <v>1899</v>
      </c>
      <c r="V1636" s="154" t="s">
        <v>1562</v>
      </c>
      <c r="W1636" s="154">
        <v>0</v>
      </c>
      <c r="X1636" s="154" t="s">
        <v>63</v>
      </c>
      <c r="Y1636" s="154" t="s">
        <v>1900</v>
      </c>
      <c r="Z1636" s="154"/>
      <c r="AA1636" s="154" t="s">
        <v>1387</v>
      </c>
      <c r="AB1636" s="154">
        <v>0</v>
      </c>
      <c r="AC1636" s="138">
        <f>IFERROR(IF(DATEDIF(#REF!,U1636,"m")&lt;=1,1,IF(AND(DATEDIF(#REF!,U1636,"m")&gt;1,DATEDIF(#REF!,U1636,"m")&lt;12),2,IF(AND(DATEDIF(#REF!,U1636,"m")&gt;=12,DATEDIF(#REF!,U1636,"m")&lt;24),3,IF(DATEDIF(#REF!,U1636,"m")&gt;=24,4,"")))),IF(E1636="r0320 - Deposits, not covered and not preferential",1,4))</f>
        <v>4</v>
      </c>
    </row>
    <row r="1637" spans="3:29" ht="48.75" thickBot="1" x14ac:dyDescent="0.3">
      <c r="C1637" s="11">
        <v>999</v>
      </c>
      <c r="D1637" s="154">
        <v>1630</v>
      </c>
      <c r="E1637" s="154" t="s">
        <v>1902</v>
      </c>
      <c r="F1637" s="154" t="s">
        <v>83</v>
      </c>
      <c r="G1637" s="154" t="s">
        <v>1903</v>
      </c>
      <c r="H1637" s="154" t="s">
        <v>847</v>
      </c>
      <c r="I1637" s="154" t="s">
        <v>101</v>
      </c>
      <c r="J1637" s="154" t="s">
        <v>102</v>
      </c>
      <c r="K1637" s="154" t="s">
        <v>60</v>
      </c>
      <c r="L1637" s="154" t="s">
        <v>1897</v>
      </c>
      <c r="M1637" s="154" t="s">
        <v>1388</v>
      </c>
      <c r="N1637" s="154" t="s">
        <v>61</v>
      </c>
      <c r="O1637" s="154" t="s">
        <v>62</v>
      </c>
      <c r="P1637" s="146">
        <v>49743.040000000001</v>
      </c>
      <c r="Q1637" s="146">
        <v>18.670000000000002</v>
      </c>
      <c r="R1637" s="154" t="s">
        <v>1384</v>
      </c>
      <c r="S1637" s="154" t="s">
        <v>1899</v>
      </c>
      <c r="T1637" s="155" t="s">
        <v>768</v>
      </c>
      <c r="U1637" s="155" t="s">
        <v>1899</v>
      </c>
      <c r="V1637" s="154" t="s">
        <v>1904</v>
      </c>
      <c r="W1637" s="154">
        <v>0</v>
      </c>
      <c r="X1637" s="154" t="s">
        <v>63</v>
      </c>
      <c r="Y1637" s="154" t="s">
        <v>1386</v>
      </c>
      <c r="Z1637" s="154"/>
      <c r="AA1637" s="154" t="s">
        <v>1387</v>
      </c>
      <c r="AB1637" s="154">
        <v>0</v>
      </c>
      <c r="AC1637" s="138">
        <f>IFERROR(IF(DATEDIF(#REF!,U1637,"m")&lt;=1,1,IF(AND(DATEDIF(#REF!,U1637,"m")&gt;1,DATEDIF(#REF!,U1637,"m")&lt;12),2,IF(AND(DATEDIF(#REF!,U1637,"m")&gt;=12,DATEDIF(#REF!,U1637,"m")&lt;24),3,IF(DATEDIF(#REF!,U1637,"m")&gt;=24,4,"")))),IF(E1637="r0320 - Deposits, not covered and not preferential",1,4))</f>
        <v>4</v>
      </c>
    </row>
    <row r="1638" spans="3:29" ht="36.75" thickBot="1" x14ac:dyDescent="0.3">
      <c r="C1638" s="11">
        <v>999</v>
      </c>
      <c r="D1638" s="154">
        <v>1631</v>
      </c>
      <c r="E1638" s="154" t="s">
        <v>1898</v>
      </c>
      <c r="F1638" s="154" t="s">
        <v>87</v>
      </c>
      <c r="G1638" s="154" t="s">
        <v>1402</v>
      </c>
      <c r="H1638" s="154" t="s">
        <v>1324</v>
      </c>
      <c r="I1638" s="154" t="s">
        <v>104</v>
      </c>
      <c r="J1638" s="154" t="s">
        <v>105</v>
      </c>
      <c r="K1638" s="154" t="s">
        <v>60</v>
      </c>
      <c r="L1638" s="154" t="s">
        <v>1897</v>
      </c>
      <c r="M1638" s="154" t="s">
        <v>1383</v>
      </c>
      <c r="N1638" s="154" t="s">
        <v>61</v>
      </c>
      <c r="O1638" s="154" t="s">
        <v>62</v>
      </c>
      <c r="P1638" s="146">
        <v>3.61</v>
      </c>
      <c r="Q1638" s="146">
        <v>0</v>
      </c>
      <c r="R1638" s="154" t="s">
        <v>1384</v>
      </c>
      <c r="S1638" s="154" t="s">
        <v>1899</v>
      </c>
      <c r="T1638" s="155" t="s">
        <v>1899</v>
      </c>
      <c r="U1638" s="155" t="s">
        <v>1899</v>
      </c>
      <c r="V1638" s="154" t="s">
        <v>1562</v>
      </c>
      <c r="W1638" s="154">
        <v>0</v>
      </c>
      <c r="X1638" s="154" t="s">
        <v>63</v>
      </c>
      <c r="Y1638" s="154" t="s">
        <v>1900</v>
      </c>
      <c r="Z1638" s="154"/>
      <c r="AA1638" s="154" t="s">
        <v>1387</v>
      </c>
      <c r="AB1638" s="154">
        <v>0</v>
      </c>
      <c r="AC1638" s="138">
        <f>IFERROR(IF(DATEDIF(#REF!,U1638,"m")&lt;=1,1,IF(AND(DATEDIF(#REF!,U1638,"m")&gt;1,DATEDIF(#REF!,U1638,"m")&lt;12),2,IF(AND(DATEDIF(#REF!,U1638,"m")&gt;=12,DATEDIF(#REF!,U1638,"m")&lt;24),3,IF(DATEDIF(#REF!,U1638,"m")&gt;=24,4,"")))),IF(E1638="r0320 - Deposits, not covered and not preferential",1,4))</f>
        <v>4</v>
      </c>
    </row>
    <row r="1639" spans="3:29" ht="48.75" thickBot="1" x14ac:dyDescent="0.3">
      <c r="C1639" s="11">
        <v>999</v>
      </c>
      <c r="D1639" s="154">
        <v>1632</v>
      </c>
      <c r="E1639" s="154" t="s">
        <v>1902</v>
      </c>
      <c r="F1639" s="154" t="s">
        <v>83</v>
      </c>
      <c r="G1639" s="154" t="s">
        <v>1903</v>
      </c>
      <c r="H1639" s="154" t="s">
        <v>797</v>
      </c>
      <c r="I1639" s="154" t="s">
        <v>101</v>
      </c>
      <c r="J1639" s="154" t="s">
        <v>102</v>
      </c>
      <c r="K1639" s="154" t="s">
        <v>60</v>
      </c>
      <c r="L1639" s="154" t="s">
        <v>1897</v>
      </c>
      <c r="M1639" s="154" t="s">
        <v>1388</v>
      </c>
      <c r="N1639" s="154" t="s">
        <v>61</v>
      </c>
      <c r="O1639" s="154" t="s">
        <v>62</v>
      </c>
      <c r="P1639" s="146">
        <v>705658.58</v>
      </c>
      <c r="Q1639" s="146">
        <v>134.94999999999999</v>
      </c>
      <c r="R1639" s="154" t="s">
        <v>1384</v>
      </c>
      <c r="S1639" s="154" t="s">
        <v>1899</v>
      </c>
      <c r="T1639" s="155" t="s">
        <v>768</v>
      </c>
      <c r="U1639" s="155" t="s">
        <v>1899</v>
      </c>
      <c r="V1639" s="154" t="s">
        <v>1904</v>
      </c>
      <c r="W1639" s="154">
        <v>0</v>
      </c>
      <c r="X1639" s="154" t="s">
        <v>63</v>
      </c>
      <c r="Y1639" s="154" t="s">
        <v>1386</v>
      </c>
      <c r="Z1639" s="154"/>
      <c r="AA1639" s="154" t="s">
        <v>1387</v>
      </c>
      <c r="AB1639" s="154">
        <v>0</v>
      </c>
      <c r="AC1639" s="138">
        <f>IFERROR(IF(DATEDIF(#REF!,U1639,"m")&lt;=1,1,IF(AND(DATEDIF(#REF!,U1639,"m")&gt;1,DATEDIF(#REF!,U1639,"m")&lt;12),2,IF(AND(DATEDIF(#REF!,U1639,"m")&gt;=12,DATEDIF(#REF!,U1639,"m")&lt;24),3,IF(DATEDIF(#REF!,U1639,"m")&gt;=24,4,"")))),IF(E1639="r0320 - Deposits, not covered and not preferential",1,4))</f>
        <v>4</v>
      </c>
    </row>
    <row r="1640" spans="3:29" ht="36.75" thickBot="1" x14ac:dyDescent="0.3">
      <c r="C1640" s="11">
        <v>999</v>
      </c>
      <c r="D1640" s="154">
        <v>1633</v>
      </c>
      <c r="E1640" s="154" t="s">
        <v>1898</v>
      </c>
      <c r="F1640" s="154" t="s">
        <v>87</v>
      </c>
      <c r="G1640" s="154" t="s">
        <v>1402</v>
      </c>
      <c r="H1640" s="154" t="s">
        <v>1326</v>
      </c>
      <c r="I1640" s="154" t="s">
        <v>104</v>
      </c>
      <c r="J1640" s="154" t="s">
        <v>105</v>
      </c>
      <c r="K1640" s="154" t="s">
        <v>60</v>
      </c>
      <c r="L1640" s="154" t="s">
        <v>1897</v>
      </c>
      <c r="M1640" s="154" t="s">
        <v>1383</v>
      </c>
      <c r="N1640" s="154" t="s">
        <v>61</v>
      </c>
      <c r="O1640" s="154" t="s">
        <v>62</v>
      </c>
      <c r="P1640" s="146">
        <v>3.01</v>
      </c>
      <c r="Q1640" s="146">
        <v>0</v>
      </c>
      <c r="R1640" s="154" t="s">
        <v>1384</v>
      </c>
      <c r="S1640" s="154" t="s">
        <v>1899</v>
      </c>
      <c r="T1640" s="155" t="s">
        <v>1899</v>
      </c>
      <c r="U1640" s="155" t="s">
        <v>1899</v>
      </c>
      <c r="V1640" s="154" t="s">
        <v>1562</v>
      </c>
      <c r="W1640" s="154">
        <v>0</v>
      </c>
      <c r="X1640" s="154" t="s">
        <v>63</v>
      </c>
      <c r="Y1640" s="154" t="s">
        <v>1900</v>
      </c>
      <c r="Z1640" s="154"/>
      <c r="AA1640" s="154" t="s">
        <v>1387</v>
      </c>
      <c r="AB1640" s="154">
        <v>0</v>
      </c>
      <c r="AC1640" s="138">
        <f>IFERROR(IF(DATEDIF(#REF!,U1640,"m")&lt;=1,1,IF(AND(DATEDIF(#REF!,U1640,"m")&gt;1,DATEDIF(#REF!,U1640,"m")&lt;12),2,IF(AND(DATEDIF(#REF!,U1640,"m")&gt;=12,DATEDIF(#REF!,U1640,"m")&lt;24),3,IF(DATEDIF(#REF!,U1640,"m")&gt;=24,4,"")))),IF(E1640="r0320 - Deposits, not covered and not preferential",1,4))</f>
        <v>4</v>
      </c>
    </row>
    <row r="1641" spans="3:29" ht="48.75" thickBot="1" x14ac:dyDescent="0.3">
      <c r="C1641" s="11">
        <v>999</v>
      </c>
      <c r="D1641" s="154">
        <v>1634</v>
      </c>
      <c r="E1641" s="154" t="s">
        <v>1902</v>
      </c>
      <c r="F1641" s="154" t="s">
        <v>83</v>
      </c>
      <c r="G1641" s="154" t="s">
        <v>1903</v>
      </c>
      <c r="H1641" s="154" t="s">
        <v>1286</v>
      </c>
      <c r="I1641" s="154" t="s">
        <v>101</v>
      </c>
      <c r="J1641" s="154" t="s">
        <v>102</v>
      </c>
      <c r="K1641" s="154" t="s">
        <v>60</v>
      </c>
      <c r="L1641" s="154" t="s">
        <v>1897</v>
      </c>
      <c r="M1641" s="154" t="s">
        <v>1388</v>
      </c>
      <c r="N1641" s="154" t="s">
        <v>61</v>
      </c>
      <c r="O1641" s="154" t="s">
        <v>62</v>
      </c>
      <c r="P1641" s="146">
        <v>1639637.34</v>
      </c>
      <c r="Q1641" s="146">
        <v>518.45000000000005</v>
      </c>
      <c r="R1641" s="154" t="s">
        <v>1384</v>
      </c>
      <c r="S1641" s="154" t="s">
        <v>1899</v>
      </c>
      <c r="T1641" s="155" t="s">
        <v>768</v>
      </c>
      <c r="U1641" s="155" t="s">
        <v>1899</v>
      </c>
      <c r="V1641" s="154" t="s">
        <v>1904</v>
      </c>
      <c r="W1641" s="154">
        <v>0</v>
      </c>
      <c r="X1641" s="154" t="s">
        <v>63</v>
      </c>
      <c r="Y1641" s="154" t="s">
        <v>1386</v>
      </c>
      <c r="Z1641" s="154"/>
      <c r="AA1641" s="154" t="s">
        <v>1387</v>
      </c>
      <c r="AB1641" s="154">
        <v>0</v>
      </c>
      <c r="AC1641" s="138">
        <f>IFERROR(IF(DATEDIF(#REF!,U1641,"m")&lt;=1,1,IF(AND(DATEDIF(#REF!,U1641,"m")&gt;1,DATEDIF(#REF!,U1641,"m")&lt;12),2,IF(AND(DATEDIF(#REF!,U1641,"m")&gt;=12,DATEDIF(#REF!,U1641,"m")&lt;24),3,IF(DATEDIF(#REF!,U1641,"m")&gt;=24,4,"")))),IF(E1641="r0320 - Deposits, not covered and not preferential",1,4))</f>
        <v>4</v>
      </c>
    </row>
    <row r="1642" spans="3:29" ht="36.75" thickBot="1" x14ac:dyDescent="0.3">
      <c r="C1642" s="11">
        <v>999</v>
      </c>
      <c r="D1642" s="154">
        <v>1635</v>
      </c>
      <c r="E1642" s="154" t="s">
        <v>1898</v>
      </c>
      <c r="F1642" s="154" t="s">
        <v>87</v>
      </c>
      <c r="G1642" s="154" t="s">
        <v>1402</v>
      </c>
      <c r="H1642" s="154" t="s">
        <v>1327</v>
      </c>
      <c r="I1642" s="154" t="s">
        <v>104</v>
      </c>
      <c r="J1642" s="154" t="s">
        <v>105</v>
      </c>
      <c r="K1642" s="154" t="s">
        <v>60</v>
      </c>
      <c r="L1642" s="154" t="s">
        <v>1897</v>
      </c>
      <c r="M1642" s="154" t="s">
        <v>1383</v>
      </c>
      <c r="N1642" s="154" t="s">
        <v>61</v>
      </c>
      <c r="O1642" s="154" t="s">
        <v>62</v>
      </c>
      <c r="P1642" s="146">
        <v>1.42</v>
      </c>
      <c r="Q1642" s="146">
        <v>0</v>
      </c>
      <c r="R1642" s="154" t="s">
        <v>1384</v>
      </c>
      <c r="S1642" s="154" t="s">
        <v>1899</v>
      </c>
      <c r="T1642" s="155" t="s">
        <v>1899</v>
      </c>
      <c r="U1642" s="155" t="s">
        <v>1899</v>
      </c>
      <c r="V1642" s="154" t="s">
        <v>1562</v>
      </c>
      <c r="W1642" s="154">
        <v>0</v>
      </c>
      <c r="X1642" s="154" t="s">
        <v>63</v>
      </c>
      <c r="Y1642" s="154" t="s">
        <v>1900</v>
      </c>
      <c r="Z1642" s="154"/>
      <c r="AA1642" s="154" t="s">
        <v>1387</v>
      </c>
      <c r="AB1642" s="154">
        <v>0</v>
      </c>
      <c r="AC1642" s="138">
        <f>IFERROR(IF(DATEDIF(#REF!,U1642,"m")&lt;=1,1,IF(AND(DATEDIF(#REF!,U1642,"m")&gt;1,DATEDIF(#REF!,U1642,"m")&lt;12),2,IF(AND(DATEDIF(#REF!,U1642,"m")&gt;=12,DATEDIF(#REF!,U1642,"m")&lt;24),3,IF(DATEDIF(#REF!,U1642,"m")&gt;=24,4,"")))),IF(E1642="r0320 - Deposits, not covered and not preferential",1,4))</f>
        <v>4</v>
      </c>
    </row>
    <row r="1643" spans="3:29" ht="48.75" thickBot="1" x14ac:dyDescent="0.3">
      <c r="C1643" s="11">
        <v>999</v>
      </c>
      <c r="D1643" s="154">
        <v>1636</v>
      </c>
      <c r="E1643" s="154" t="s">
        <v>1902</v>
      </c>
      <c r="F1643" s="154" t="s">
        <v>83</v>
      </c>
      <c r="G1643" s="154" t="s">
        <v>1903</v>
      </c>
      <c r="H1643" s="154" t="s">
        <v>487</v>
      </c>
      <c r="I1643" s="154" t="s">
        <v>101</v>
      </c>
      <c r="J1643" s="154" t="s">
        <v>102</v>
      </c>
      <c r="K1643" s="154" t="s">
        <v>60</v>
      </c>
      <c r="L1643" s="154" t="s">
        <v>1897</v>
      </c>
      <c r="M1643" s="154" t="s">
        <v>1388</v>
      </c>
      <c r="N1643" s="154" t="s">
        <v>61</v>
      </c>
      <c r="O1643" s="154" t="s">
        <v>62</v>
      </c>
      <c r="P1643" s="146">
        <v>1075365.01</v>
      </c>
      <c r="Q1643" s="146">
        <v>505.11</v>
      </c>
      <c r="R1643" s="154" t="s">
        <v>1384</v>
      </c>
      <c r="S1643" s="154" t="s">
        <v>1899</v>
      </c>
      <c r="T1643" s="155" t="s">
        <v>768</v>
      </c>
      <c r="U1643" s="155" t="s">
        <v>1899</v>
      </c>
      <c r="V1643" s="154" t="s">
        <v>1904</v>
      </c>
      <c r="W1643" s="154">
        <v>0</v>
      </c>
      <c r="X1643" s="154" t="s">
        <v>63</v>
      </c>
      <c r="Y1643" s="154" t="s">
        <v>1386</v>
      </c>
      <c r="Z1643" s="154"/>
      <c r="AA1643" s="154" t="s">
        <v>1387</v>
      </c>
      <c r="AB1643" s="154">
        <v>0</v>
      </c>
      <c r="AC1643" s="138">
        <f>IFERROR(IF(DATEDIF(#REF!,U1643,"m")&lt;=1,1,IF(AND(DATEDIF(#REF!,U1643,"m")&gt;1,DATEDIF(#REF!,U1643,"m")&lt;12),2,IF(AND(DATEDIF(#REF!,U1643,"m")&gt;=12,DATEDIF(#REF!,U1643,"m")&lt;24),3,IF(DATEDIF(#REF!,U1643,"m")&gt;=24,4,"")))),IF(E1643="r0320 - Deposits, not covered and not preferential",1,4))</f>
        <v>4</v>
      </c>
    </row>
    <row r="1644" spans="3:29" ht="36.75" thickBot="1" x14ac:dyDescent="0.3">
      <c r="C1644" s="11">
        <v>999</v>
      </c>
      <c r="D1644" s="154">
        <v>1637</v>
      </c>
      <c r="E1644" s="154" t="s">
        <v>1898</v>
      </c>
      <c r="F1644" s="154" t="s">
        <v>87</v>
      </c>
      <c r="G1644" s="154" t="s">
        <v>1402</v>
      </c>
      <c r="H1644" s="154" t="s">
        <v>1328</v>
      </c>
      <c r="I1644" s="154" t="s">
        <v>104</v>
      </c>
      <c r="J1644" s="154" t="s">
        <v>105</v>
      </c>
      <c r="K1644" s="154" t="s">
        <v>60</v>
      </c>
      <c r="L1644" s="154" t="s">
        <v>1897</v>
      </c>
      <c r="M1644" s="154" t="s">
        <v>1383</v>
      </c>
      <c r="N1644" s="154" t="s">
        <v>61</v>
      </c>
      <c r="O1644" s="154" t="s">
        <v>62</v>
      </c>
      <c r="P1644" s="146">
        <v>1.42</v>
      </c>
      <c r="Q1644" s="146">
        <v>0</v>
      </c>
      <c r="R1644" s="154" t="s">
        <v>1384</v>
      </c>
      <c r="S1644" s="154" t="s">
        <v>1899</v>
      </c>
      <c r="T1644" s="155" t="s">
        <v>1899</v>
      </c>
      <c r="U1644" s="155" t="s">
        <v>1899</v>
      </c>
      <c r="V1644" s="154" t="s">
        <v>1562</v>
      </c>
      <c r="W1644" s="154">
        <v>0</v>
      </c>
      <c r="X1644" s="154" t="s">
        <v>63</v>
      </c>
      <c r="Y1644" s="154" t="s">
        <v>1900</v>
      </c>
      <c r="Z1644" s="154"/>
      <c r="AA1644" s="154" t="s">
        <v>1387</v>
      </c>
      <c r="AB1644" s="154">
        <v>0</v>
      </c>
      <c r="AC1644" s="138">
        <f>IFERROR(IF(DATEDIF(#REF!,U1644,"m")&lt;=1,1,IF(AND(DATEDIF(#REF!,U1644,"m")&gt;1,DATEDIF(#REF!,U1644,"m")&lt;12),2,IF(AND(DATEDIF(#REF!,U1644,"m")&gt;=12,DATEDIF(#REF!,U1644,"m")&lt;24),3,IF(DATEDIF(#REF!,U1644,"m")&gt;=24,4,"")))),IF(E1644="r0320 - Deposits, not covered and not preferential",1,4))</f>
        <v>4</v>
      </c>
    </row>
    <row r="1645" spans="3:29" ht="36.75" thickBot="1" x14ac:dyDescent="0.3">
      <c r="C1645" s="11">
        <v>999</v>
      </c>
      <c r="D1645" s="154">
        <v>1638</v>
      </c>
      <c r="E1645" s="154" t="s">
        <v>1898</v>
      </c>
      <c r="F1645" s="154" t="s">
        <v>87</v>
      </c>
      <c r="G1645" s="154" t="s">
        <v>1402</v>
      </c>
      <c r="H1645" s="154" t="s">
        <v>1347</v>
      </c>
      <c r="I1645" s="154" t="s">
        <v>96</v>
      </c>
      <c r="J1645" s="154" t="s">
        <v>97</v>
      </c>
      <c r="K1645" s="154" t="s">
        <v>91</v>
      </c>
      <c r="L1645" s="154" t="s">
        <v>1897</v>
      </c>
      <c r="M1645" s="154" t="s">
        <v>1383</v>
      </c>
      <c r="N1645" s="154" t="s">
        <v>61</v>
      </c>
      <c r="O1645" s="154" t="s">
        <v>62</v>
      </c>
      <c r="P1645" s="146">
        <v>0.41</v>
      </c>
      <c r="Q1645" s="146">
        <v>0</v>
      </c>
      <c r="R1645" s="154" t="s">
        <v>1384</v>
      </c>
      <c r="S1645" s="154" t="s">
        <v>1899</v>
      </c>
      <c r="T1645" s="155" t="s">
        <v>1899</v>
      </c>
      <c r="U1645" s="155" t="s">
        <v>1899</v>
      </c>
      <c r="V1645" s="154" t="s">
        <v>1562</v>
      </c>
      <c r="W1645" s="154">
        <v>0</v>
      </c>
      <c r="X1645" s="154" t="s">
        <v>63</v>
      </c>
      <c r="Y1645" s="154" t="s">
        <v>1900</v>
      </c>
      <c r="Z1645" s="154"/>
      <c r="AA1645" s="154" t="s">
        <v>1387</v>
      </c>
      <c r="AB1645" s="154">
        <v>0</v>
      </c>
      <c r="AC1645" s="138">
        <f>IFERROR(IF(DATEDIF(#REF!,U1645,"m")&lt;=1,1,IF(AND(DATEDIF(#REF!,U1645,"m")&gt;1,DATEDIF(#REF!,U1645,"m")&lt;12),2,IF(AND(DATEDIF(#REF!,U1645,"m")&gt;=12,DATEDIF(#REF!,U1645,"m")&lt;24),3,IF(DATEDIF(#REF!,U1645,"m")&gt;=24,4,"")))),IF(E1645="r0320 - Deposits, not covered and not preferential",1,4))</f>
        <v>4</v>
      </c>
    </row>
    <row r="1646" spans="3:29" ht="36.75" thickBot="1" x14ac:dyDescent="0.3">
      <c r="C1646" s="11">
        <v>999</v>
      </c>
      <c r="D1646" s="154">
        <v>1639</v>
      </c>
      <c r="E1646" s="154" t="s">
        <v>1898</v>
      </c>
      <c r="F1646" s="154" t="s">
        <v>87</v>
      </c>
      <c r="G1646" s="154" t="s">
        <v>1402</v>
      </c>
      <c r="H1646" s="154" t="s">
        <v>1329</v>
      </c>
      <c r="I1646" s="154" t="s">
        <v>104</v>
      </c>
      <c r="J1646" s="154" t="s">
        <v>105</v>
      </c>
      <c r="K1646" s="154" t="s">
        <v>60</v>
      </c>
      <c r="L1646" s="154" t="s">
        <v>1897</v>
      </c>
      <c r="M1646" s="154" t="s">
        <v>1383</v>
      </c>
      <c r="N1646" s="154" t="s">
        <v>61</v>
      </c>
      <c r="O1646" s="154" t="s">
        <v>62</v>
      </c>
      <c r="P1646" s="146">
        <v>0.27</v>
      </c>
      <c r="Q1646" s="146">
        <v>0</v>
      </c>
      <c r="R1646" s="154" t="s">
        <v>1384</v>
      </c>
      <c r="S1646" s="154" t="s">
        <v>1899</v>
      </c>
      <c r="T1646" s="155" t="s">
        <v>1899</v>
      </c>
      <c r="U1646" s="155" t="s">
        <v>1899</v>
      </c>
      <c r="V1646" s="154" t="s">
        <v>1562</v>
      </c>
      <c r="W1646" s="154">
        <v>0</v>
      </c>
      <c r="X1646" s="154" t="s">
        <v>63</v>
      </c>
      <c r="Y1646" s="154" t="s">
        <v>1900</v>
      </c>
      <c r="Z1646" s="154"/>
      <c r="AA1646" s="154" t="s">
        <v>1387</v>
      </c>
      <c r="AB1646" s="154">
        <v>0</v>
      </c>
      <c r="AC1646" s="138">
        <f>IFERROR(IF(DATEDIF(#REF!,U1646,"m")&lt;=1,1,IF(AND(DATEDIF(#REF!,U1646,"m")&gt;1,DATEDIF(#REF!,U1646,"m")&lt;12),2,IF(AND(DATEDIF(#REF!,U1646,"m")&gt;=12,DATEDIF(#REF!,U1646,"m")&lt;24),3,IF(DATEDIF(#REF!,U1646,"m")&gt;=24,4,"")))),IF(E1646="r0320 - Deposits, not covered and not preferential",1,4))</f>
        <v>4</v>
      </c>
    </row>
    <row r="1647" spans="3:29" ht="36.75" thickBot="1" x14ac:dyDescent="0.3">
      <c r="C1647" s="11">
        <v>999</v>
      </c>
      <c r="D1647" s="154">
        <v>1640</v>
      </c>
      <c r="E1647" s="154" t="s">
        <v>1895</v>
      </c>
      <c r="F1647" s="154" t="s">
        <v>87</v>
      </c>
      <c r="G1647" s="154" t="s">
        <v>1896</v>
      </c>
      <c r="H1647" s="154" t="s">
        <v>57</v>
      </c>
      <c r="I1647" s="154" t="s">
        <v>679</v>
      </c>
      <c r="J1647" s="154" t="s">
        <v>680</v>
      </c>
      <c r="K1647" s="154" t="s">
        <v>91</v>
      </c>
      <c r="L1647" s="154" t="s">
        <v>1897</v>
      </c>
      <c r="M1647" s="154" t="s">
        <v>1383</v>
      </c>
      <c r="N1647" s="154" t="s">
        <v>61</v>
      </c>
      <c r="O1647" s="154" t="s">
        <v>62</v>
      </c>
      <c r="P1647" s="146">
        <v>2347.98</v>
      </c>
      <c r="Q1647" s="146">
        <v>0</v>
      </c>
      <c r="R1647" s="154" t="s">
        <v>1384</v>
      </c>
      <c r="S1647" s="154" t="s">
        <v>1385</v>
      </c>
      <c r="T1647" s="155">
        <v>44564</v>
      </c>
      <c r="U1647" s="155">
        <v>44564</v>
      </c>
      <c r="V1647" s="154" t="s">
        <v>1562</v>
      </c>
      <c r="W1647" s="154">
        <v>0</v>
      </c>
      <c r="X1647" s="154" t="s">
        <v>63</v>
      </c>
      <c r="Y1647" s="154" t="s">
        <v>1386</v>
      </c>
      <c r="Z1647" s="154"/>
      <c r="AA1647" s="154" t="s">
        <v>1387</v>
      </c>
      <c r="AB1647" s="154">
        <v>0</v>
      </c>
      <c r="AC1647" s="138">
        <f>IFERROR(IF(DATEDIF(#REF!,U1647,"m")&lt;=1,1,IF(AND(DATEDIF(#REF!,U1647,"m")&gt;1,DATEDIF(#REF!,U1647,"m")&lt;12),2,IF(AND(DATEDIF(#REF!,U1647,"m")&gt;=12,DATEDIF(#REF!,U1647,"m")&lt;24),3,IF(DATEDIF(#REF!,U1647,"m")&gt;=24,4,"")))),IF(E1647="r0320 - Deposits, not covered and not preferential",1,4))</f>
        <v>1</v>
      </c>
    </row>
    <row r="1648" spans="3:29" ht="36.75" thickBot="1" x14ac:dyDescent="0.3">
      <c r="C1648" s="11">
        <v>999</v>
      </c>
      <c r="D1648" s="154">
        <v>1641</v>
      </c>
      <c r="E1648" s="154" t="s">
        <v>1898</v>
      </c>
      <c r="F1648" s="154" t="s">
        <v>87</v>
      </c>
      <c r="G1648" s="154" t="s">
        <v>1402</v>
      </c>
      <c r="H1648" s="154" t="s">
        <v>791</v>
      </c>
      <c r="I1648" s="154" t="s">
        <v>96</v>
      </c>
      <c r="J1648" s="154" t="s">
        <v>97</v>
      </c>
      <c r="K1648" s="154" t="s">
        <v>91</v>
      </c>
      <c r="L1648" s="154" t="s">
        <v>1897</v>
      </c>
      <c r="M1648" s="154" t="s">
        <v>1383</v>
      </c>
      <c r="N1648" s="154" t="s">
        <v>61</v>
      </c>
      <c r="O1648" s="154" t="s">
        <v>62</v>
      </c>
      <c r="P1648" s="146">
        <v>5.01</v>
      </c>
      <c r="Q1648" s="146">
        <v>0</v>
      </c>
      <c r="R1648" s="154" t="s">
        <v>1384</v>
      </c>
      <c r="S1648" s="154" t="s">
        <v>1899</v>
      </c>
      <c r="T1648" s="155" t="s">
        <v>1899</v>
      </c>
      <c r="U1648" s="155" t="s">
        <v>1899</v>
      </c>
      <c r="V1648" s="154" t="s">
        <v>1562</v>
      </c>
      <c r="W1648" s="154">
        <v>0</v>
      </c>
      <c r="X1648" s="154" t="s">
        <v>63</v>
      </c>
      <c r="Y1648" s="154" t="s">
        <v>1900</v>
      </c>
      <c r="Z1648" s="154"/>
      <c r="AA1648" s="154" t="s">
        <v>1387</v>
      </c>
      <c r="AB1648" s="154">
        <v>0</v>
      </c>
      <c r="AC1648" s="138">
        <f>IFERROR(IF(DATEDIF(#REF!,U1648,"m")&lt;=1,1,IF(AND(DATEDIF(#REF!,U1648,"m")&gt;1,DATEDIF(#REF!,U1648,"m")&lt;12),2,IF(AND(DATEDIF(#REF!,U1648,"m")&gt;=12,DATEDIF(#REF!,U1648,"m")&lt;24),3,IF(DATEDIF(#REF!,U1648,"m")&gt;=24,4,"")))),IF(E1648="r0320 - Deposits, not covered and not preferential",1,4))</f>
        <v>4</v>
      </c>
    </row>
    <row r="1649" spans="3:29" ht="36.75" thickBot="1" x14ac:dyDescent="0.3">
      <c r="C1649" s="11">
        <v>999</v>
      </c>
      <c r="D1649" s="154">
        <v>1642</v>
      </c>
      <c r="E1649" s="154" t="s">
        <v>1898</v>
      </c>
      <c r="F1649" s="154" t="s">
        <v>87</v>
      </c>
      <c r="G1649" s="154" t="s">
        <v>1402</v>
      </c>
      <c r="H1649" s="154" t="s">
        <v>306</v>
      </c>
      <c r="I1649" s="154" t="s">
        <v>96</v>
      </c>
      <c r="J1649" s="154" t="s">
        <v>97</v>
      </c>
      <c r="K1649" s="154" t="s">
        <v>91</v>
      </c>
      <c r="L1649" s="154" t="s">
        <v>1897</v>
      </c>
      <c r="M1649" s="154" t="s">
        <v>1383</v>
      </c>
      <c r="N1649" s="154" t="s">
        <v>61</v>
      </c>
      <c r="O1649" s="154" t="s">
        <v>62</v>
      </c>
      <c r="P1649" s="146">
        <v>0.02</v>
      </c>
      <c r="Q1649" s="146">
        <v>0</v>
      </c>
      <c r="R1649" s="154" t="s">
        <v>1384</v>
      </c>
      <c r="S1649" s="154" t="s">
        <v>1899</v>
      </c>
      <c r="T1649" s="155" t="s">
        <v>1899</v>
      </c>
      <c r="U1649" s="155" t="s">
        <v>1899</v>
      </c>
      <c r="V1649" s="154" t="s">
        <v>1562</v>
      </c>
      <c r="W1649" s="154">
        <v>0</v>
      </c>
      <c r="X1649" s="154" t="s">
        <v>63</v>
      </c>
      <c r="Y1649" s="154" t="s">
        <v>1900</v>
      </c>
      <c r="Z1649" s="154"/>
      <c r="AA1649" s="154" t="s">
        <v>1387</v>
      </c>
      <c r="AB1649" s="154">
        <v>0</v>
      </c>
      <c r="AC1649" s="138">
        <f>IFERROR(IF(DATEDIF(#REF!,U1649,"m")&lt;=1,1,IF(AND(DATEDIF(#REF!,U1649,"m")&gt;1,DATEDIF(#REF!,U1649,"m")&lt;12),2,IF(AND(DATEDIF(#REF!,U1649,"m")&gt;=12,DATEDIF(#REF!,U1649,"m")&lt;24),3,IF(DATEDIF(#REF!,U1649,"m")&gt;=24,4,"")))),IF(E1649="r0320 - Deposits, not covered and not preferential",1,4))</f>
        <v>4</v>
      </c>
    </row>
    <row r="1650" spans="3:29" ht="36.75" thickBot="1" x14ac:dyDescent="0.3">
      <c r="C1650" s="11">
        <v>999</v>
      </c>
      <c r="D1650" s="154">
        <v>1643</v>
      </c>
      <c r="E1650" s="154" t="s">
        <v>1898</v>
      </c>
      <c r="F1650" s="154" t="s">
        <v>87</v>
      </c>
      <c r="G1650" s="154" t="s">
        <v>1402</v>
      </c>
      <c r="H1650" s="154" t="s">
        <v>1330</v>
      </c>
      <c r="I1650" s="154" t="s">
        <v>104</v>
      </c>
      <c r="J1650" s="154" t="s">
        <v>105</v>
      </c>
      <c r="K1650" s="154" t="s">
        <v>60</v>
      </c>
      <c r="L1650" s="154" t="s">
        <v>1897</v>
      </c>
      <c r="M1650" s="154" t="s">
        <v>1383</v>
      </c>
      <c r="N1650" s="154" t="s">
        <v>61</v>
      </c>
      <c r="O1650" s="154" t="s">
        <v>62</v>
      </c>
      <c r="P1650" s="146">
        <v>0.2</v>
      </c>
      <c r="Q1650" s="146">
        <v>0</v>
      </c>
      <c r="R1650" s="154" t="s">
        <v>1384</v>
      </c>
      <c r="S1650" s="154" t="s">
        <v>1899</v>
      </c>
      <c r="T1650" s="155" t="s">
        <v>1899</v>
      </c>
      <c r="U1650" s="155" t="s">
        <v>1899</v>
      </c>
      <c r="V1650" s="154" t="s">
        <v>1562</v>
      </c>
      <c r="W1650" s="154">
        <v>0</v>
      </c>
      <c r="X1650" s="154" t="s">
        <v>63</v>
      </c>
      <c r="Y1650" s="154" t="s">
        <v>1900</v>
      </c>
      <c r="Z1650" s="154"/>
      <c r="AA1650" s="154" t="s">
        <v>1387</v>
      </c>
      <c r="AB1650" s="154">
        <v>0</v>
      </c>
      <c r="AC1650" s="138">
        <f>IFERROR(IF(DATEDIF(#REF!,U1650,"m")&lt;=1,1,IF(AND(DATEDIF(#REF!,U1650,"m")&gt;1,DATEDIF(#REF!,U1650,"m")&lt;12),2,IF(AND(DATEDIF(#REF!,U1650,"m")&gt;=12,DATEDIF(#REF!,U1650,"m")&lt;24),3,IF(DATEDIF(#REF!,U1650,"m")&gt;=24,4,"")))),IF(E1650="r0320 - Deposits, not covered and not preferential",1,4))</f>
        <v>4</v>
      </c>
    </row>
    <row r="1651" spans="3:29" ht="48.75" thickBot="1" x14ac:dyDescent="0.3">
      <c r="C1651" s="11">
        <v>999</v>
      </c>
      <c r="D1651" s="154">
        <v>1644</v>
      </c>
      <c r="E1651" s="154" t="s">
        <v>1902</v>
      </c>
      <c r="F1651" s="154" t="s">
        <v>83</v>
      </c>
      <c r="G1651" s="154" t="s">
        <v>1903</v>
      </c>
      <c r="H1651" s="154" t="s">
        <v>1294</v>
      </c>
      <c r="I1651" s="154" t="s">
        <v>101</v>
      </c>
      <c r="J1651" s="154" t="s">
        <v>102</v>
      </c>
      <c r="K1651" s="154" t="s">
        <v>60</v>
      </c>
      <c r="L1651" s="154" t="s">
        <v>1897</v>
      </c>
      <c r="M1651" s="154" t="s">
        <v>1388</v>
      </c>
      <c r="N1651" s="154" t="s">
        <v>61</v>
      </c>
      <c r="O1651" s="154" t="s">
        <v>62</v>
      </c>
      <c r="P1651" s="146">
        <v>589644.78</v>
      </c>
      <c r="Q1651" s="146">
        <v>262.33</v>
      </c>
      <c r="R1651" s="154" t="s">
        <v>1384</v>
      </c>
      <c r="S1651" s="154" t="s">
        <v>1899</v>
      </c>
      <c r="T1651" s="155" t="s">
        <v>768</v>
      </c>
      <c r="U1651" s="155" t="s">
        <v>1899</v>
      </c>
      <c r="V1651" s="154" t="s">
        <v>1904</v>
      </c>
      <c r="W1651" s="154">
        <v>0</v>
      </c>
      <c r="X1651" s="154" t="s">
        <v>63</v>
      </c>
      <c r="Y1651" s="154" t="s">
        <v>1386</v>
      </c>
      <c r="Z1651" s="154"/>
      <c r="AA1651" s="154" t="s">
        <v>1387</v>
      </c>
      <c r="AB1651" s="154">
        <v>0</v>
      </c>
      <c r="AC1651" s="138">
        <f>IFERROR(IF(DATEDIF(#REF!,U1651,"m")&lt;=1,1,IF(AND(DATEDIF(#REF!,U1651,"m")&gt;1,DATEDIF(#REF!,U1651,"m")&lt;12),2,IF(AND(DATEDIF(#REF!,U1651,"m")&gt;=12,DATEDIF(#REF!,U1651,"m")&lt;24),3,IF(DATEDIF(#REF!,U1651,"m")&gt;=24,4,"")))),IF(E1651="r0320 - Deposits, not covered and not preferential",1,4))</f>
        <v>4</v>
      </c>
    </row>
    <row r="1652" spans="3:29" ht="36.75" thickBot="1" x14ac:dyDescent="0.3">
      <c r="C1652" s="11">
        <v>999</v>
      </c>
      <c r="D1652" s="154">
        <v>1645</v>
      </c>
      <c r="E1652" s="154" t="s">
        <v>1898</v>
      </c>
      <c r="F1652" s="154" t="s">
        <v>87</v>
      </c>
      <c r="G1652" s="154" t="s">
        <v>1402</v>
      </c>
      <c r="H1652" s="154" t="s">
        <v>1332</v>
      </c>
      <c r="I1652" s="154" t="s">
        <v>142</v>
      </c>
      <c r="J1652" s="154" t="s">
        <v>143</v>
      </c>
      <c r="K1652" s="154" t="s">
        <v>60</v>
      </c>
      <c r="L1652" s="154" t="s">
        <v>1897</v>
      </c>
      <c r="M1652" s="154" t="s">
        <v>1383</v>
      </c>
      <c r="N1652" s="154" t="s">
        <v>61</v>
      </c>
      <c r="O1652" s="154" t="s">
        <v>62</v>
      </c>
      <c r="P1652" s="146">
        <v>98.65</v>
      </c>
      <c r="Q1652" s="146">
        <v>0</v>
      </c>
      <c r="R1652" s="154" t="s">
        <v>1384</v>
      </c>
      <c r="S1652" s="154" t="s">
        <v>1899</v>
      </c>
      <c r="T1652" s="155" t="s">
        <v>1899</v>
      </c>
      <c r="U1652" s="155" t="s">
        <v>1899</v>
      </c>
      <c r="V1652" s="154" t="s">
        <v>1562</v>
      </c>
      <c r="W1652" s="154">
        <v>0</v>
      </c>
      <c r="X1652" s="154" t="s">
        <v>63</v>
      </c>
      <c r="Y1652" s="154" t="s">
        <v>1900</v>
      </c>
      <c r="Z1652" s="154"/>
      <c r="AA1652" s="154" t="s">
        <v>1387</v>
      </c>
      <c r="AB1652" s="154">
        <v>0</v>
      </c>
      <c r="AC1652" s="138">
        <f>IFERROR(IF(DATEDIF(#REF!,U1652,"m")&lt;=1,1,IF(AND(DATEDIF(#REF!,U1652,"m")&gt;1,DATEDIF(#REF!,U1652,"m")&lt;12),2,IF(AND(DATEDIF(#REF!,U1652,"m")&gt;=12,DATEDIF(#REF!,U1652,"m")&lt;24),3,IF(DATEDIF(#REF!,U1652,"m")&gt;=24,4,"")))),IF(E1652="r0320 - Deposits, not covered and not preferential",1,4))</f>
        <v>4</v>
      </c>
    </row>
    <row r="1653" spans="3:29" ht="48.75" thickBot="1" x14ac:dyDescent="0.3">
      <c r="C1653" s="11">
        <v>999</v>
      </c>
      <c r="D1653" s="154">
        <v>1646</v>
      </c>
      <c r="E1653" s="154" t="s">
        <v>1902</v>
      </c>
      <c r="F1653" s="154" t="s">
        <v>83</v>
      </c>
      <c r="G1653" s="154" t="s">
        <v>1903</v>
      </c>
      <c r="H1653" s="154" t="s">
        <v>318</v>
      </c>
      <c r="I1653" s="154" t="s">
        <v>101</v>
      </c>
      <c r="J1653" s="154" t="s">
        <v>102</v>
      </c>
      <c r="K1653" s="154" t="s">
        <v>60</v>
      </c>
      <c r="L1653" s="154" t="s">
        <v>1897</v>
      </c>
      <c r="M1653" s="154" t="s">
        <v>1388</v>
      </c>
      <c r="N1653" s="154" t="s">
        <v>61</v>
      </c>
      <c r="O1653" s="154" t="s">
        <v>62</v>
      </c>
      <c r="P1653" s="146">
        <v>278728.81</v>
      </c>
      <c r="Q1653" s="146">
        <v>234.31</v>
      </c>
      <c r="R1653" s="154" t="s">
        <v>1384</v>
      </c>
      <c r="S1653" s="154" t="s">
        <v>1899</v>
      </c>
      <c r="T1653" s="155" t="s">
        <v>768</v>
      </c>
      <c r="U1653" s="155" t="s">
        <v>1899</v>
      </c>
      <c r="V1653" s="154" t="s">
        <v>1904</v>
      </c>
      <c r="W1653" s="154">
        <v>0</v>
      </c>
      <c r="X1653" s="154" t="s">
        <v>63</v>
      </c>
      <c r="Y1653" s="154" t="s">
        <v>1386</v>
      </c>
      <c r="Z1653" s="154"/>
      <c r="AA1653" s="154" t="s">
        <v>1387</v>
      </c>
      <c r="AB1653" s="154">
        <v>0</v>
      </c>
      <c r="AC1653" s="138">
        <f>IFERROR(IF(DATEDIF(#REF!,U1653,"m")&lt;=1,1,IF(AND(DATEDIF(#REF!,U1653,"m")&gt;1,DATEDIF(#REF!,U1653,"m")&lt;12),2,IF(AND(DATEDIF(#REF!,U1653,"m")&gt;=12,DATEDIF(#REF!,U1653,"m")&lt;24),3,IF(DATEDIF(#REF!,U1653,"m")&gt;=24,4,"")))),IF(E1653="r0320 - Deposits, not covered and not preferential",1,4))</f>
        <v>4</v>
      </c>
    </row>
    <row r="1654" spans="3:29" ht="36.75" thickBot="1" x14ac:dyDescent="0.3">
      <c r="C1654" s="11">
        <v>999</v>
      </c>
      <c r="D1654" s="154">
        <v>1647</v>
      </c>
      <c r="E1654" s="154" t="s">
        <v>1898</v>
      </c>
      <c r="F1654" s="154" t="s">
        <v>87</v>
      </c>
      <c r="G1654" s="154" t="s">
        <v>1402</v>
      </c>
      <c r="H1654" s="154" t="s">
        <v>475</v>
      </c>
      <c r="I1654" s="154" t="s">
        <v>96</v>
      </c>
      <c r="J1654" s="154" t="s">
        <v>97</v>
      </c>
      <c r="K1654" s="154" t="s">
        <v>91</v>
      </c>
      <c r="L1654" s="154" t="s">
        <v>1897</v>
      </c>
      <c r="M1654" s="154" t="s">
        <v>1383</v>
      </c>
      <c r="N1654" s="154" t="s">
        <v>61</v>
      </c>
      <c r="O1654" s="154" t="s">
        <v>62</v>
      </c>
      <c r="P1654" s="146">
        <v>84.44</v>
      </c>
      <c r="Q1654" s="146">
        <v>0</v>
      </c>
      <c r="R1654" s="154" t="s">
        <v>1384</v>
      </c>
      <c r="S1654" s="154" t="s">
        <v>1899</v>
      </c>
      <c r="T1654" s="155" t="s">
        <v>1899</v>
      </c>
      <c r="U1654" s="155" t="s">
        <v>1899</v>
      </c>
      <c r="V1654" s="154" t="s">
        <v>1562</v>
      </c>
      <c r="W1654" s="154">
        <v>0</v>
      </c>
      <c r="X1654" s="154" t="s">
        <v>63</v>
      </c>
      <c r="Y1654" s="154" t="s">
        <v>1900</v>
      </c>
      <c r="Z1654" s="154"/>
      <c r="AA1654" s="154" t="s">
        <v>1387</v>
      </c>
      <c r="AB1654" s="154">
        <v>0</v>
      </c>
      <c r="AC1654" s="138">
        <f>IFERROR(IF(DATEDIF(#REF!,U1654,"m")&lt;=1,1,IF(AND(DATEDIF(#REF!,U1654,"m")&gt;1,DATEDIF(#REF!,U1654,"m")&lt;12),2,IF(AND(DATEDIF(#REF!,U1654,"m")&gt;=12,DATEDIF(#REF!,U1654,"m")&lt;24),3,IF(DATEDIF(#REF!,U1654,"m")&gt;=24,4,"")))),IF(E1654="r0320 - Deposits, not covered and not preferential",1,4))</f>
        <v>4</v>
      </c>
    </row>
    <row r="1655" spans="3:29" ht="48.75" thickBot="1" x14ac:dyDescent="0.3">
      <c r="C1655" s="11">
        <v>999</v>
      </c>
      <c r="D1655" s="154">
        <v>1648</v>
      </c>
      <c r="E1655" s="154" t="s">
        <v>1902</v>
      </c>
      <c r="F1655" s="154" t="s">
        <v>83</v>
      </c>
      <c r="G1655" s="154" t="s">
        <v>1903</v>
      </c>
      <c r="H1655" s="154" t="s">
        <v>1286</v>
      </c>
      <c r="I1655" s="154" t="s">
        <v>93</v>
      </c>
      <c r="J1655" s="154" t="s">
        <v>94</v>
      </c>
      <c r="K1655" s="154" t="s">
        <v>60</v>
      </c>
      <c r="L1655" s="154" t="s">
        <v>1897</v>
      </c>
      <c r="M1655" s="154" t="s">
        <v>1388</v>
      </c>
      <c r="N1655" s="154" t="s">
        <v>61</v>
      </c>
      <c r="O1655" s="154" t="s">
        <v>62</v>
      </c>
      <c r="P1655" s="146">
        <v>51382.82</v>
      </c>
      <c r="Q1655" s="146">
        <v>5.27</v>
      </c>
      <c r="R1655" s="154" t="s">
        <v>1384</v>
      </c>
      <c r="S1655" s="154" t="s">
        <v>1899</v>
      </c>
      <c r="T1655" s="155" t="s">
        <v>768</v>
      </c>
      <c r="U1655" s="155" t="s">
        <v>1899</v>
      </c>
      <c r="V1655" s="154" t="s">
        <v>1904</v>
      </c>
      <c r="W1655" s="154">
        <v>0</v>
      </c>
      <c r="X1655" s="154" t="s">
        <v>63</v>
      </c>
      <c r="Y1655" s="154" t="s">
        <v>1386</v>
      </c>
      <c r="Z1655" s="154"/>
      <c r="AA1655" s="154" t="s">
        <v>1387</v>
      </c>
      <c r="AB1655" s="154">
        <v>0</v>
      </c>
      <c r="AC1655" s="138">
        <f>IFERROR(IF(DATEDIF(#REF!,U1655,"m")&lt;=1,1,IF(AND(DATEDIF(#REF!,U1655,"m")&gt;1,DATEDIF(#REF!,U1655,"m")&lt;12),2,IF(AND(DATEDIF(#REF!,U1655,"m")&gt;=12,DATEDIF(#REF!,U1655,"m")&lt;24),3,IF(DATEDIF(#REF!,U1655,"m")&gt;=24,4,"")))),IF(E1655="r0320 - Deposits, not covered and not preferential",1,4))</f>
        <v>4</v>
      </c>
    </row>
    <row r="1656" spans="3:29" ht="36.75" thickBot="1" x14ac:dyDescent="0.3">
      <c r="C1656" s="11">
        <v>999</v>
      </c>
      <c r="D1656" s="154">
        <v>1649</v>
      </c>
      <c r="E1656" s="154" t="s">
        <v>1898</v>
      </c>
      <c r="F1656" s="154" t="s">
        <v>87</v>
      </c>
      <c r="G1656" s="154" t="s">
        <v>1402</v>
      </c>
      <c r="H1656" s="154" t="s">
        <v>1334</v>
      </c>
      <c r="I1656" s="154" t="s">
        <v>142</v>
      </c>
      <c r="J1656" s="154" t="s">
        <v>143</v>
      </c>
      <c r="K1656" s="154" t="s">
        <v>60</v>
      </c>
      <c r="L1656" s="154" t="s">
        <v>1897</v>
      </c>
      <c r="M1656" s="154" t="s">
        <v>1383</v>
      </c>
      <c r="N1656" s="154" t="s">
        <v>61</v>
      </c>
      <c r="O1656" s="154" t="s">
        <v>62</v>
      </c>
      <c r="P1656" s="146">
        <v>51.2</v>
      </c>
      <c r="Q1656" s="146">
        <v>0</v>
      </c>
      <c r="R1656" s="154" t="s">
        <v>1384</v>
      </c>
      <c r="S1656" s="154" t="s">
        <v>1899</v>
      </c>
      <c r="T1656" s="155" t="s">
        <v>1899</v>
      </c>
      <c r="U1656" s="155" t="s">
        <v>1899</v>
      </c>
      <c r="V1656" s="154" t="s">
        <v>1562</v>
      </c>
      <c r="W1656" s="154">
        <v>0</v>
      </c>
      <c r="X1656" s="154" t="s">
        <v>63</v>
      </c>
      <c r="Y1656" s="154" t="s">
        <v>1900</v>
      </c>
      <c r="Z1656" s="154"/>
      <c r="AA1656" s="154" t="s">
        <v>1387</v>
      </c>
      <c r="AB1656" s="154">
        <v>0</v>
      </c>
      <c r="AC1656" s="138">
        <f>IFERROR(IF(DATEDIF(#REF!,U1656,"m")&lt;=1,1,IF(AND(DATEDIF(#REF!,U1656,"m")&gt;1,DATEDIF(#REF!,U1656,"m")&lt;12),2,IF(AND(DATEDIF(#REF!,U1656,"m")&gt;=12,DATEDIF(#REF!,U1656,"m")&lt;24),3,IF(DATEDIF(#REF!,U1656,"m")&gt;=24,4,"")))),IF(E1656="r0320 - Deposits, not covered and not preferential",1,4))</f>
        <v>4</v>
      </c>
    </row>
    <row r="1657" spans="3:29" ht="48.75" thickBot="1" x14ac:dyDescent="0.3">
      <c r="C1657" s="11">
        <v>999</v>
      </c>
      <c r="D1657" s="154">
        <v>1650</v>
      </c>
      <c r="E1657" s="154" t="s">
        <v>1902</v>
      </c>
      <c r="F1657" s="154" t="s">
        <v>83</v>
      </c>
      <c r="G1657" s="154" t="s">
        <v>1903</v>
      </c>
      <c r="H1657" s="154" t="s">
        <v>193</v>
      </c>
      <c r="I1657" s="154" t="s">
        <v>114</v>
      </c>
      <c r="J1657" s="154" t="s">
        <v>115</v>
      </c>
      <c r="K1657" s="154" t="s">
        <v>60</v>
      </c>
      <c r="L1657" s="154" t="s">
        <v>1897</v>
      </c>
      <c r="M1657" s="154" t="s">
        <v>1388</v>
      </c>
      <c r="N1657" s="154" t="s">
        <v>61</v>
      </c>
      <c r="O1657" s="154" t="s">
        <v>62</v>
      </c>
      <c r="P1657" s="146">
        <v>223202.7</v>
      </c>
      <c r="Q1657" s="146">
        <v>-10.42</v>
      </c>
      <c r="R1657" s="154" t="s">
        <v>1384</v>
      </c>
      <c r="S1657" s="154" t="s">
        <v>1899</v>
      </c>
      <c r="T1657" s="155" t="s">
        <v>768</v>
      </c>
      <c r="U1657" s="155" t="s">
        <v>1899</v>
      </c>
      <c r="V1657" s="154" t="s">
        <v>1904</v>
      </c>
      <c r="W1657" s="154">
        <v>0</v>
      </c>
      <c r="X1657" s="154" t="s">
        <v>63</v>
      </c>
      <c r="Y1657" s="154" t="s">
        <v>1386</v>
      </c>
      <c r="Z1657" s="154"/>
      <c r="AA1657" s="154" t="s">
        <v>1387</v>
      </c>
      <c r="AB1657" s="154">
        <v>0</v>
      </c>
      <c r="AC1657" s="138">
        <f>IFERROR(IF(DATEDIF(#REF!,U1657,"m")&lt;=1,1,IF(AND(DATEDIF(#REF!,U1657,"m")&gt;1,DATEDIF(#REF!,U1657,"m")&lt;12),2,IF(AND(DATEDIF(#REF!,U1657,"m")&gt;=12,DATEDIF(#REF!,U1657,"m")&lt;24),3,IF(DATEDIF(#REF!,U1657,"m")&gt;=24,4,"")))),IF(E1657="r0320 - Deposits, not covered and not preferential",1,4))</f>
        <v>4</v>
      </c>
    </row>
    <row r="1658" spans="3:29" ht="36.75" thickBot="1" x14ac:dyDescent="0.3">
      <c r="C1658" s="11">
        <v>999</v>
      </c>
      <c r="D1658" s="154">
        <v>1651</v>
      </c>
      <c r="E1658" s="154" t="s">
        <v>1898</v>
      </c>
      <c r="F1658" s="154" t="s">
        <v>87</v>
      </c>
      <c r="G1658" s="154" t="s">
        <v>1402</v>
      </c>
      <c r="H1658" s="154" t="s">
        <v>1335</v>
      </c>
      <c r="I1658" s="154" t="s">
        <v>142</v>
      </c>
      <c r="J1658" s="154" t="s">
        <v>143</v>
      </c>
      <c r="K1658" s="154" t="s">
        <v>60</v>
      </c>
      <c r="L1658" s="154" t="s">
        <v>1897</v>
      </c>
      <c r="M1658" s="154" t="s">
        <v>1383</v>
      </c>
      <c r="N1658" s="154" t="s">
        <v>61</v>
      </c>
      <c r="O1658" s="154" t="s">
        <v>62</v>
      </c>
      <c r="P1658" s="146">
        <v>23.27</v>
      </c>
      <c r="Q1658" s="146">
        <v>0</v>
      </c>
      <c r="R1658" s="154" t="s">
        <v>1384</v>
      </c>
      <c r="S1658" s="154" t="s">
        <v>1899</v>
      </c>
      <c r="T1658" s="155" t="s">
        <v>1899</v>
      </c>
      <c r="U1658" s="155" t="s">
        <v>1899</v>
      </c>
      <c r="V1658" s="154" t="s">
        <v>1562</v>
      </c>
      <c r="W1658" s="154">
        <v>0</v>
      </c>
      <c r="X1658" s="154" t="s">
        <v>63</v>
      </c>
      <c r="Y1658" s="154" t="s">
        <v>1900</v>
      </c>
      <c r="Z1658" s="154"/>
      <c r="AA1658" s="154" t="s">
        <v>1387</v>
      </c>
      <c r="AB1658" s="154">
        <v>0</v>
      </c>
      <c r="AC1658" s="138">
        <f>IFERROR(IF(DATEDIF(#REF!,U1658,"m")&lt;=1,1,IF(AND(DATEDIF(#REF!,U1658,"m")&gt;1,DATEDIF(#REF!,U1658,"m")&lt;12),2,IF(AND(DATEDIF(#REF!,U1658,"m")&gt;=12,DATEDIF(#REF!,U1658,"m")&lt;24),3,IF(DATEDIF(#REF!,U1658,"m")&gt;=24,4,"")))),IF(E1658="r0320 - Deposits, not covered and not preferential",1,4))</f>
        <v>4</v>
      </c>
    </row>
    <row r="1659" spans="3:29" ht="36.75" thickBot="1" x14ac:dyDescent="0.3">
      <c r="C1659" s="11">
        <v>999</v>
      </c>
      <c r="D1659" s="154">
        <v>1652</v>
      </c>
      <c r="E1659" s="154" t="s">
        <v>1898</v>
      </c>
      <c r="F1659" s="154" t="s">
        <v>87</v>
      </c>
      <c r="G1659" s="154" t="s">
        <v>1402</v>
      </c>
      <c r="H1659" s="154" t="s">
        <v>1314</v>
      </c>
      <c r="I1659" s="154" t="s">
        <v>96</v>
      </c>
      <c r="J1659" s="154" t="s">
        <v>97</v>
      </c>
      <c r="K1659" s="154" t="s">
        <v>91</v>
      </c>
      <c r="L1659" s="154" t="s">
        <v>1897</v>
      </c>
      <c r="M1659" s="154" t="s">
        <v>1383</v>
      </c>
      <c r="N1659" s="154" t="s">
        <v>61</v>
      </c>
      <c r="O1659" s="154" t="s">
        <v>62</v>
      </c>
      <c r="P1659" s="146">
        <v>0.11</v>
      </c>
      <c r="Q1659" s="146">
        <v>0</v>
      </c>
      <c r="R1659" s="154" t="s">
        <v>1384</v>
      </c>
      <c r="S1659" s="154" t="s">
        <v>1899</v>
      </c>
      <c r="T1659" s="155" t="s">
        <v>1899</v>
      </c>
      <c r="U1659" s="155" t="s">
        <v>1899</v>
      </c>
      <c r="V1659" s="154" t="s">
        <v>1562</v>
      </c>
      <c r="W1659" s="154">
        <v>0</v>
      </c>
      <c r="X1659" s="154" t="s">
        <v>63</v>
      </c>
      <c r="Y1659" s="154" t="s">
        <v>1900</v>
      </c>
      <c r="Z1659" s="154"/>
      <c r="AA1659" s="154" t="s">
        <v>1387</v>
      </c>
      <c r="AB1659" s="154">
        <v>0</v>
      </c>
      <c r="AC1659" s="138">
        <f>IFERROR(IF(DATEDIF(#REF!,U1659,"m")&lt;=1,1,IF(AND(DATEDIF(#REF!,U1659,"m")&gt;1,DATEDIF(#REF!,U1659,"m")&lt;12),2,IF(AND(DATEDIF(#REF!,U1659,"m")&gt;=12,DATEDIF(#REF!,U1659,"m")&lt;24),3,IF(DATEDIF(#REF!,U1659,"m")&gt;=24,4,"")))),IF(E1659="r0320 - Deposits, not covered and not preferential",1,4))</f>
        <v>4</v>
      </c>
    </row>
    <row r="1660" spans="3:29" ht="36.75" thickBot="1" x14ac:dyDescent="0.3">
      <c r="C1660" s="11">
        <v>999</v>
      </c>
      <c r="D1660" s="154">
        <v>1653</v>
      </c>
      <c r="E1660" s="154" t="s">
        <v>1898</v>
      </c>
      <c r="F1660" s="154" t="s">
        <v>87</v>
      </c>
      <c r="G1660" s="154" t="s">
        <v>1402</v>
      </c>
      <c r="H1660" s="154" t="s">
        <v>1336</v>
      </c>
      <c r="I1660" s="154" t="s">
        <v>310</v>
      </c>
      <c r="J1660" s="154" t="s">
        <v>311</v>
      </c>
      <c r="K1660" s="154" t="s">
        <v>60</v>
      </c>
      <c r="L1660" s="154" t="s">
        <v>1897</v>
      </c>
      <c r="M1660" s="154" t="s">
        <v>1383</v>
      </c>
      <c r="N1660" s="154" t="s">
        <v>61</v>
      </c>
      <c r="O1660" s="154" t="s">
        <v>62</v>
      </c>
      <c r="P1660" s="146">
        <v>0.04</v>
      </c>
      <c r="Q1660" s="146">
        <v>0</v>
      </c>
      <c r="R1660" s="154" t="s">
        <v>1384</v>
      </c>
      <c r="S1660" s="154" t="s">
        <v>1899</v>
      </c>
      <c r="T1660" s="155" t="s">
        <v>1899</v>
      </c>
      <c r="U1660" s="155" t="s">
        <v>1899</v>
      </c>
      <c r="V1660" s="154" t="s">
        <v>1562</v>
      </c>
      <c r="W1660" s="154">
        <v>0</v>
      </c>
      <c r="X1660" s="154" t="s">
        <v>63</v>
      </c>
      <c r="Y1660" s="154" t="s">
        <v>1900</v>
      </c>
      <c r="Z1660" s="154"/>
      <c r="AA1660" s="154" t="s">
        <v>1387</v>
      </c>
      <c r="AB1660" s="154">
        <v>0</v>
      </c>
      <c r="AC1660" s="138">
        <f>IFERROR(IF(DATEDIF(#REF!,U1660,"m")&lt;=1,1,IF(AND(DATEDIF(#REF!,U1660,"m")&gt;1,DATEDIF(#REF!,U1660,"m")&lt;12),2,IF(AND(DATEDIF(#REF!,U1660,"m")&gt;=12,DATEDIF(#REF!,U1660,"m")&lt;24),3,IF(DATEDIF(#REF!,U1660,"m")&gt;=24,4,"")))),IF(E1660="r0320 - Deposits, not covered and not preferential",1,4))</f>
        <v>4</v>
      </c>
    </row>
    <row r="1661" spans="3:29" ht="36.75" thickBot="1" x14ac:dyDescent="0.3">
      <c r="C1661" s="11">
        <v>999</v>
      </c>
      <c r="D1661" s="154">
        <v>1654</v>
      </c>
      <c r="E1661" s="154" t="s">
        <v>1898</v>
      </c>
      <c r="F1661" s="154" t="s">
        <v>87</v>
      </c>
      <c r="G1661" s="154" t="s">
        <v>1402</v>
      </c>
      <c r="H1661" s="154" t="s">
        <v>1317</v>
      </c>
      <c r="I1661" s="154" t="s">
        <v>96</v>
      </c>
      <c r="J1661" s="154" t="s">
        <v>97</v>
      </c>
      <c r="K1661" s="154" t="s">
        <v>91</v>
      </c>
      <c r="L1661" s="154" t="s">
        <v>1897</v>
      </c>
      <c r="M1661" s="154" t="s">
        <v>1383</v>
      </c>
      <c r="N1661" s="154" t="s">
        <v>61</v>
      </c>
      <c r="O1661" s="154" t="s">
        <v>62</v>
      </c>
      <c r="P1661" s="146">
        <v>2.72</v>
      </c>
      <c r="Q1661" s="146">
        <v>0</v>
      </c>
      <c r="R1661" s="154" t="s">
        <v>1384</v>
      </c>
      <c r="S1661" s="154" t="s">
        <v>1899</v>
      </c>
      <c r="T1661" s="155" t="s">
        <v>1899</v>
      </c>
      <c r="U1661" s="155" t="s">
        <v>1899</v>
      </c>
      <c r="V1661" s="154" t="s">
        <v>1562</v>
      </c>
      <c r="W1661" s="154">
        <v>0</v>
      </c>
      <c r="X1661" s="154" t="s">
        <v>63</v>
      </c>
      <c r="Y1661" s="154" t="s">
        <v>1900</v>
      </c>
      <c r="Z1661" s="154"/>
      <c r="AA1661" s="154" t="s">
        <v>1387</v>
      </c>
      <c r="AB1661" s="154">
        <v>0</v>
      </c>
      <c r="AC1661" s="138">
        <f>IFERROR(IF(DATEDIF(#REF!,U1661,"m")&lt;=1,1,IF(AND(DATEDIF(#REF!,U1661,"m")&gt;1,DATEDIF(#REF!,U1661,"m")&lt;12),2,IF(AND(DATEDIF(#REF!,U1661,"m")&gt;=12,DATEDIF(#REF!,U1661,"m")&lt;24),3,IF(DATEDIF(#REF!,U1661,"m")&gt;=24,4,"")))),IF(E1661="r0320 - Deposits, not covered and not preferential",1,4))</f>
        <v>4</v>
      </c>
    </row>
    <row r="1662" spans="3:29" ht="36.75" thickBot="1" x14ac:dyDescent="0.3">
      <c r="C1662" s="11">
        <v>999</v>
      </c>
      <c r="D1662" s="154">
        <v>1655</v>
      </c>
      <c r="E1662" s="154" t="s">
        <v>1898</v>
      </c>
      <c r="F1662" s="154" t="s">
        <v>87</v>
      </c>
      <c r="G1662" s="154" t="s">
        <v>1402</v>
      </c>
      <c r="H1662" s="154" t="s">
        <v>1337</v>
      </c>
      <c r="I1662" s="154" t="s">
        <v>142</v>
      </c>
      <c r="J1662" s="154" t="s">
        <v>143</v>
      </c>
      <c r="K1662" s="154" t="s">
        <v>60</v>
      </c>
      <c r="L1662" s="154" t="s">
        <v>1897</v>
      </c>
      <c r="M1662" s="154" t="s">
        <v>1383</v>
      </c>
      <c r="N1662" s="154" t="s">
        <v>61</v>
      </c>
      <c r="O1662" s="154" t="s">
        <v>62</v>
      </c>
      <c r="P1662" s="146">
        <v>0.3</v>
      </c>
      <c r="Q1662" s="146">
        <v>0</v>
      </c>
      <c r="R1662" s="154" t="s">
        <v>1384</v>
      </c>
      <c r="S1662" s="154" t="s">
        <v>1899</v>
      </c>
      <c r="T1662" s="155" t="s">
        <v>1899</v>
      </c>
      <c r="U1662" s="155" t="s">
        <v>1899</v>
      </c>
      <c r="V1662" s="154" t="s">
        <v>1562</v>
      </c>
      <c r="W1662" s="154">
        <v>0</v>
      </c>
      <c r="X1662" s="154" t="s">
        <v>63</v>
      </c>
      <c r="Y1662" s="154" t="s">
        <v>1900</v>
      </c>
      <c r="Z1662" s="154"/>
      <c r="AA1662" s="154" t="s">
        <v>1387</v>
      </c>
      <c r="AB1662" s="154">
        <v>0</v>
      </c>
      <c r="AC1662" s="138">
        <f>IFERROR(IF(DATEDIF(#REF!,U1662,"m")&lt;=1,1,IF(AND(DATEDIF(#REF!,U1662,"m")&gt;1,DATEDIF(#REF!,U1662,"m")&lt;12),2,IF(AND(DATEDIF(#REF!,U1662,"m")&gt;=12,DATEDIF(#REF!,U1662,"m")&lt;24),3,IF(DATEDIF(#REF!,U1662,"m")&gt;=24,4,"")))),IF(E1662="r0320 - Deposits, not covered and not preferential",1,4))</f>
        <v>4</v>
      </c>
    </row>
    <row r="1663" spans="3:29" ht="48.75" thickBot="1" x14ac:dyDescent="0.3">
      <c r="C1663" s="11">
        <v>999</v>
      </c>
      <c r="D1663" s="154">
        <v>1656</v>
      </c>
      <c r="E1663" s="154" t="s">
        <v>1902</v>
      </c>
      <c r="F1663" s="154" t="s">
        <v>83</v>
      </c>
      <c r="G1663" s="154" t="s">
        <v>1903</v>
      </c>
      <c r="H1663" s="154" t="s">
        <v>193</v>
      </c>
      <c r="I1663" s="154" t="s">
        <v>101</v>
      </c>
      <c r="J1663" s="154" t="s">
        <v>102</v>
      </c>
      <c r="K1663" s="154" t="s">
        <v>60</v>
      </c>
      <c r="L1663" s="154" t="s">
        <v>1897</v>
      </c>
      <c r="M1663" s="154" t="s">
        <v>1388</v>
      </c>
      <c r="N1663" s="154" t="s">
        <v>61</v>
      </c>
      <c r="O1663" s="154" t="s">
        <v>62</v>
      </c>
      <c r="P1663" s="146">
        <v>2079597.22</v>
      </c>
      <c r="Q1663" s="146">
        <v>599.79</v>
      </c>
      <c r="R1663" s="154" t="s">
        <v>1384</v>
      </c>
      <c r="S1663" s="154" t="s">
        <v>1899</v>
      </c>
      <c r="T1663" s="155" t="s">
        <v>768</v>
      </c>
      <c r="U1663" s="155" t="s">
        <v>1899</v>
      </c>
      <c r="V1663" s="154" t="s">
        <v>1904</v>
      </c>
      <c r="W1663" s="154">
        <v>0</v>
      </c>
      <c r="X1663" s="154" t="s">
        <v>63</v>
      </c>
      <c r="Y1663" s="154" t="s">
        <v>1386</v>
      </c>
      <c r="Z1663" s="154"/>
      <c r="AA1663" s="154" t="s">
        <v>1387</v>
      </c>
      <c r="AB1663" s="154">
        <v>0</v>
      </c>
      <c r="AC1663" s="138">
        <f>IFERROR(IF(DATEDIF(#REF!,U1663,"m")&lt;=1,1,IF(AND(DATEDIF(#REF!,U1663,"m")&gt;1,DATEDIF(#REF!,U1663,"m")&lt;12),2,IF(AND(DATEDIF(#REF!,U1663,"m")&gt;=12,DATEDIF(#REF!,U1663,"m")&lt;24),3,IF(DATEDIF(#REF!,U1663,"m")&gt;=24,4,"")))),IF(E1663="r0320 - Deposits, not covered and not preferential",1,4))</f>
        <v>4</v>
      </c>
    </row>
    <row r="1664" spans="3:29" ht="36.75" thickBot="1" x14ac:dyDescent="0.3">
      <c r="C1664" s="11">
        <v>999</v>
      </c>
      <c r="D1664" s="154">
        <v>1657</v>
      </c>
      <c r="E1664" s="154" t="s">
        <v>1898</v>
      </c>
      <c r="F1664" s="154" t="s">
        <v>87</v>
      </c>
      <c r="G1664" s="154" t="s">
        <v>1402</v>
      </c>
      <c r="H1664" s="154" t="s">
        <v>740</v>
      </c>
      <c r="I1664" s="154" t="s">
        <v>96</v>
      </c>
      <c r="J1664" s="154" t="s">
        <v>97</v>
      </c>
      <c r="K1664" s="154" t="s">
        <v>91</v>
      </c>
      <c r="L1664" s="154" t="s">
        <v>1897</v>
      </c>
      <c r="M1664" s="154" t="s">
        <v>1383</v>
      </c>
      <c r="N1664" s="154" t="s">
        <v>61</v>
      </c>
      <c r="O1664" s="154" t="s">
        <v>62</v>
      </c>
      <c r="P1664" s="146">
        <v>30</v>
      </c>
      <c r="Q1664" s="146">
        <v>0</v>
      </c>
      <c r="R1664" s="154" t="s">
        <v>1384</v>
      </c>
      <c r="S1664" s="154" t="s">
        <v>1899</v>
      </c>
      <c r="T1664" s="155" t="s">
        <v>1899</v>
      </c>
      <c r="U1664" s="155" t="s">
        <v>1899</v>
      </c>
      <c r="V1664" s="154" t="s">
        <v>1562</v>
      </c>
      <c r="W1664" s="154">
        <v>0</v>
      </c>
      <c r="X1664" s="154" t="s">
        <v>63</v>
      </c>
      <c r="Y1664" s="154" t="s">
        <v>1900</v>
      </c>
      <c r="Z1664" s="154"/>
      <c r="AA1664" s="154" t="s">
        <v>1387</v>
      </c>
      <c r="AB1664" s="154">
        <v>0</v>
      </c>
      <c r="AC1664" s="138">
        <f>IFERROR(IF(DATEDIF(#REF!,U1664,"m")&lt;=1,1,IF(AND(DATEDIF(#REF!,U1664,"m")&gt;1,DATEDIF(#REF!,U1664,"m")&lt;12),2,IF(AND(DATEDIF(#REF!,U1664,"m")&gt;=12,DATEDIF(#REF!,U1664,"m")&lt;24),3,IF(DATEDIF(#REF!,U1664,"m")&gt;=24,4,"")))),IF(E1664="r0320 - Deposits, not covered and not preferential",1,4))</f>
        <v>4</v>
      </c>
    </row>
    <row r="1665" spans="3:29" ht="36.75" thickBot="1" x14ac:dyDescent="0.3">
      <c r="C1665" s="11">
        <v>999</v>
      </c>
      <c r="D1665" s="154">
        <v>1658</v>
      </c>
      <c r="E1665" s="154" t="s">
        <v>1898</v>
      </c>
      <c r="F1665" s="154" t="s">
        <v>87</v>
      </c>
      <c r="G1665" s="154" t="s">
        <v>1402</v>
      </c>
      <c r="H1665" s="154" t="s">
        <v>1275</v>
      </c>
      <c r="I1665" s="154" t="s">
        <v>96</v>
      </c>
      <c r="J1665" s="154" t="s">
        <v>97</v>
      </c>
      <c r="K1665" s="154" t="s">
        <v>91</v>
      </c>
      <c r="L1665" s="154" t="s">
        <v>1897</v>
      </c>
      <c r="M1665" s="154" t="s">
        <v>1383</v>
      </c>
      <c r="N1665" s="154" t="s">
        <v>61</v>
      </c>
      <c r="O1665" s="154" t="s">
        <v>62</v>
      </c>
      <c r="P1665" s="146">
        <v>5</v>
      </c>
      <c r="Q1665" s="146">
        <v>0</v>
      </c>
      <c r="R1665" s="154" t="s">
        <v>1384</v>
      </c>
      <c r="S1665" s="154" t="s">
        <v>1899</v>
      </c>
      <c r="T1665" s="155" t="s">
        <v>1899</v>
      </c>
      <c r="U1665" s="155" t="s">
        <v>1899</v>
      </c>
      <c r="V1665" s="154" t="s">
        <v>1562</v>
      </c>
      <c r="W1665" s="154">
        <v>0</v>
      </c>
      <c r="X1665" s="154" t="s">
        <v>63</v>
      </c>
      <c r="Y1665" s="154" t="s">
        <v>1900</v>
      </c>
      <c r="Z1665" s="154"/>
      <c r="AA1665" s="154" t="s">
        <v>1387</v>
      </c>
      <c r="AB1665" s="154">
        <v>0</v>
      </c>
      <c r="AC1665" s="138">
        <f>IFERROR(IF(DATEDIF(#REF!,U1665,"m")&lt;=1,1,IF(AND(DATEDIF(#REF!,U1665,"m")&gt;1,DATEDIF(#REF!,U1665,"m")&lt;12),2,IF(AND(DATEDIF(#REF!,U1665,"m")&gt;=12,DATEDIF(#REF!,U1665,"m")&lt;24),3,IF(DATEDIF(#REF!,U1665,"m")&gt;=24,4,"")))),IF(E1665="r0320 - Deposits, not covered and not preferential",1,4))</f>
        <v>4</v>
      </c>
    </row>
    <row r="1666" spans="3:29" ht="36.75" thickBot="1" x14ac:dyDescent="0.3">
      <c r="C1666" s="11">
        <v>999</v>
      </c>
      <c r="D1666" s="154">
        <v>1659</v>
      </c>
      <c r="E1666" s="154" t="s">
        <v>1898</v>
      </c>
      <c r="F1666" s="154" t="s">
        <v>87</v>
      </c>
      <c r="G1666" s="154" t="s">
        <v>1402</v>
      </c>
      <c r="H1666" s="154" t="s">
        <v>795</v>
      </c>
      <c r="I1666" s="154" t="s">
        <v>96</v>
      </c>
      <c r="J1666" s="154" t="s">
        <v>97</v>
      </c>
      <c r="K1666" s="154" t="s">
        <v>91</v>
      </c>
      <c r="L1666" s="154" t="s">
        <v>1897</v>
      </c>
      <c r="M1666" s="154" t="s">
        <v>1383</v>
      </c>
      <c r="N1666" s="154" t="s">
        <v>61</v>
      </c>
      <c r="O1666" s="154" t="s">
        <v>62</v>
      </c>
      <c r="P1666" s="146">
        <v>33.33</v>
      </c>
      <c r="Q1666" s="146">
        <v>0</v>
      </c>
      <c r="R1666" s="154" t="s">
        <v>1384</v>
      </c>
      <c r="S1666" s="154" t="s">
        <v>1899</v>
      </c>
      <c r="T1666" s="155" t="s">
        <v>1899</v>
      </c>
      <c r="U1666" s="155" t="s">
        <v>1899</v>
      </c>
      <c r="V1666" s="154" t="s">
        <v>1562</v>
      </c>
      <c r="W1666" s="154">
        <v>0</v>
      </c>
      <c r="X1666" s="154" t="s">
        <v>63</v>
      </c>
      <c r="Y1666" s="154" t="s">
        <v>1900</v>
      </c>
      <c r="Z1666" s="154"/>
      <c r="AA1666" s="154" t="s">
        <v>1387</v>
      </c>
      <c r="AB1666" s="154">
        <v>0</v>
      </c>
      <c r="AC1666" s="138">
        <f>IFERROR(IF(DATEDIF(#REF!,U1666,"m")&lt;=1,1,IF(AND(DATEDIF(#REF!,U1666,"m")&gt;1,DATEDIF(#REF!,U1666,"m")&lt;12),2,IF(AND(DATEDIF(#REF!,U1666,"m")&gt;=12,DATEDIF(#REF!,U1666,"m")&lt;24),3,IF(DATEDIF(#REF!,U1666,"m")&gt;=24,4,"")))),IF(E1666="r0320 - Deposits, not covered and not preferential",1,4))</f>
        <v>4</v>
      </c>
    </row>
    <row r="1667" spans="3:29" ht="36.75" thickBot="1" x14ac:dyDescent="0.3">
      <c r="C1667" s="11">
        <v>999</v>
      </c>
      <c r="D1667" s="154">
        <v>1660</v>
      </c>
      <c r="E1667" s="154" t="s">
        <v>1898</v>
      </c>
      <c r="F1667" s="154" t="s">
        <v>87</v>
      </c>
      <c r="G1667" s="154" t="s">
        <v>1402</v>
      </c>
      <c r="H1667" s="154" t="s">
        <v>1321</v>
      </c>
      <c r="I1667" s="154" t="s">
        <v>99</v>
      </c>
      <c r="J1667" s="154" t="s">
        <v>90</v>
      </c>
      <c r="K1667" s="154" t="s">
        <v>91</v>
      </c>
      <c r="L1667" s="154" t="s">
        <v>1897</v>
      </c>
      <c r="M1667" s="154" t="s">
        <v>1383</v>
      </c>
      <c r="N1667" s="154" t="s">
        <v>61</v>
      </c>
      <c r="O1667" s="154" t="s">
        <v>62</v>
      </c>
      <c r="P1667" s="146">
        <v>15.8</v>
      </c>
      <c r="Q1667" s="146">
        <v>0</v>
      </c>
      <c r="R1667" s="154" t="s">
        <v>1384</v>
      </c>
      <c r="S1667" s="154" t="s">
        <v>1899</v>
      </c>
      <c r="T1667" s="155" t="s">
        <v>1899</v>
      </c>
      <c r="U1667" s="155" t="s">
        <v>1899</v>
      </c>
      <c r="V1667" s="154" t="s">
        <v>1562</v>
      </c>
      <c r="W1667" s="154">
        <v>0</v>
      </c>
      <c r="X1667" s="154" t="s">
        <v>63</v>
      </c>
      <c r="Y1667" s="154" t="s">
        <v>1900</v>
      </c>
      <c r="Z1667" s="154"/>
      <c r="AA1667" s="154" t="s">
        <v>1387</v>
      </c>
      <c r="AB1667" s="154">
        <v>0</v>
      </c>
      <c r="AC1667" s="138">
        <f>IFERROR(IF(DATEDIF(#REF!,U1667,"m")&lt;=1,1,IF(AND(DATEDIF(#REF!,U1667,"m")&gt;1,DATEDIF(#REF!,U1667,"m")&lt;12),2,IF(AND(DATEDIF(#REF!,U1667,"m")&gt;=12,DATEDIF(#REF!,U1667,"m")&lt;24),3,IF(DATEDIF(#REF!,U1667,"m")&gt;=24,4,"")))),IF(E1667="r0320 - Deposits, not covered and not preferential",1,4))</f>
        <v>4</v>
      </c>
    </row>
    <row r="1668" spans="3:29" ht="36.75" thickBot="1" x14ac:dyDescent="0.3">
      <c r="C1668" s="11">
        <v>999</v>
      </c>
      <c r="D1668" s="154">
        <v>1661</v>
      </c>
      <c r="E1668" s="154" t="s">
        <v>1898</v>
      </c>
      <c r="F1668" s="154" t="s">
        <v>87</v>
      </c>
      <c r="G1668" s="154" t="s">
        <v>1402</v>
      </c>
      <c r="H1668" s="154" t="s">
        <v>1265</v>
      </c>
      <c r="I1668" s="154" t="s">
        <v>96</v>
      </c>
      <c r="J1668" s="154" t="s">
        <v>97</v>
      </c>
      <c r="K1668" s="154" t="s">
        <v>91</v>
      </c>
      <c r="L1668" s="154" t="s">
        <v>1897</v>
      </c>
      <c r="M1668" s="154" t="s">
        <v>1383</v>
      </c>
      <c r="N1668" s="154" t="s">
        <v>61</v>
      </c>
      <c r="O1668" s="154" t="s">
        <v>62</v>
      </c>
      <c r="P1668" s="146">
        <v>33.33</v>
      </c>
      <c r="Q1668" s="146">
        <v>0</v>
      </c>
      <c r="R1668" s="154" t="s">
        <v>1384</v>
      </c>
      <c r="S1668" s="154" t="s">
        <v>1899</v>
      </c>
      <c r="T1668" s="155" t="s">
        <v>1899</v>
      </c>
      <c r="U1668" s="155" t="s">
        <v>1899</v>
      </c>
      <c r="V1668" s="154" t="s">
        <v>1562</v>
      </c>
      <c r="W1668" s="154">
        <v>0</v>
      </c>
      <c r="X1668" s="154" t="s">
        <v>63</v>
      </c>
      <c r="Y1668" s="154" t="s">
        <v>1900</v>
      </c>
      <c r="Z1668" s="154"/>
      <c r="AA1668" s="154" t="s">
        <v>1387</v>
      </c>
      <c r="AB1668" s="154">
        <v>0</v>
      </c>
      <c r="AC1668" s="138">
        <f>IFERROR(IF(DATEDIF(#REF!,U1668,"m")&lt;=1,1,IF(AND(DATEDIF(#REF!,U1668,"m")&gt;1,DATEDIF(#REF!,U1668,"m")&lt;12),2,IF(AND(DATEDIF(#REF!,U1668,"m")&gt;=12,DATEDIF(#REF!,U1668,"m")&lt;24),3,IF(DATEDIF(#REF!,U1668,"m")&gt;=24,4,"")))),IF(E1668="r0320 - Deposits, not covered and not preferential",1,4))</f>
        <v>4</v>
      </c>
    </row>
    <row r="1669" spans="3:29" ht="48.75" thickBot="1" x14ac:dyDescent="0.3">
      <c r="C1669" s="11">
        <v>999</v>
      </c>
      <c r="D1669" s="154">
        <v>1662</v>
      </c>
      <c r="E1669" s="154" t="s">
        <v>1902</v>
      </c>
      <c r="F1669" s="154" t="s">
        <v>83</v>
      </c>
      <c r="G1669" s="154" t="s">
        <v>1903</v>
      </c>
      <c r="H1669" s="154" t="s">
        <v>207</v>
      </c>
      <c r="I1669" s="154" t="s">
        <v>101</v>
      </c>
      <c r="J1669" s="154" t="s">
        <v>102</v>
      </c>
      <c r="K1669" s="154" t="s">
        <v>60</v>
      </c>
      <c r="L1669" s="154" t="s">
        <v>1897</v>
      </c>
      <c r="M1669" s="154" t="s">
        <v>1388</v>
      </c>
      <c r="N1669" s="154" t="s">
        <v>61</v>
      </c>
      <c r="O1669" s="154" t="s">
        <v>62</v>
      </c>
      <c r="P1669" s="146">
        <v>180591.42</v>
      </c>
      <c r="Q1669" s="146">
        <v>12.21</v>
      </c>
      <c r="R1669" s="154" t="s">
        <v>1384</v>
      </c>
      <c r="S1669" s="154" t="s">
        <v>1899</v>
      </c>
      <c r="T1669" s="155" t="s">
        <v>768</v>
      </c>
      <c r="U1669" s="155" t="s">
        <v>1899</v>
      </c>
      <c r="V1669" s="154" t="s">
        <v>1904</v>
      </c>
      <c r="W1669" s="154">
        <v>0</v>
      </c>
      <c r="X1669" s="154" t="s">
        <v>63</v>
      </c>
      <c r="Y1669" s="154" t="s">
        <v>1386</v>
      </c>
      <c r="Z1669" s="154"/>
      <c r="AA1669" s="154" t="s">
        <v>1387</v>
      </c>
      <c r="AB1669" s="154">
        <v>0</v>
      </c>
      <c r="AC1669" s="138">
        <f>IFERROR(IF(DATEDIF(#REF!,U1669,"m")&lt;=1,1,IF(AND(DATEDIF(#REF!,U1669,"m")&gt;1,DATEDIF(#REF!,U1669,"m")&lt;12),2,IF(AND(DATEDIF(#REF!,U1669,"m")&gt;=12,DATEDIF(#REF!,U1669,"m")&lt;24),3,IF(DATEDIF(#REF!,U1669,"m")&gt;=24,4,"")))),IF(E1669="r0320 - Deposits, not covered and not preferential",1,4))</f>
        <v>4</v>
      </c>
    </row>
    <row r="1670" spans="3:29" ht="36.75" thickBot="1" x14ac:dyDescent="0.3">
      <c r="C1670" s="11">
        <v>999</v>
      </c>
      <c r="D1670" s="154">
        <v>1663</v>
      </c>
      <c r="E1670" s="154" t="s">
        <v>1898</v>
      </c>
      <c r="F1670" s="154" t="s">
        <v>87</v>
      </c>
      <c r="G1670" s="154" t="s">
        <v>1402</v>
      </c>
      <c r="H1670" s="154" t="s">
        <v>477</v>
      </c>
      <c r="I1670" s="154" t="s">
        <v>96</v>
      </c>
      <c r="J1670" s="154" t="s">
        <v>97</v>
      </c>
      <c r="K1670" s="154" t="s">
        <v>91</v>
      </c>
      <c r="L1670" s="154" t="s">
        <v>1897</v>
      </c>
      <c r="M1670" s="154" t="s">
        <v>1383</v>
      </c>
      <c r="N1670" s="154" t="s">
        <v>61</v>
      </c>
      <c r="O1670" s="154" t="s">
        <v>62</v>
      </c>
      <c r="P1670" s="146">
        <v>33.33</v>
      </c>
      <c r="Q1670" s="146">
        <v>0</v>
      </c>
      <c r="R1670" s="154" t="s">
        <v>1384</v>
      </c>
      <c r="S1670" s="154" t="s">
        <v>1899</v>
      </c>
      <c r="T1670" s="155" t="s">
        <v>1899</v>
      </c>
      <c r="U1670" s="155" t="s">
        <v>1899</v>
      </c>
      <c r="V1670" s="154" t="s">
        <v>1562</v>
      </c>
      <c r="W1670" s="154">
        <v>0</v>
      </c>
      <c r="X1670" s="154" t="s">
        <v>63</v>
      </c>
      <c r="Y1670" s="154" t="s">
        <v>1900</v>
      </c>
      <c r="Z1670" s="154"/>
      <c r="AA1670" s="154" t="s">
        <v>1387</v>
      </c>
      <c r="AB1670" s="154">
        <v>0</v>
      </c>
      <c r="AC1670" s="138">
        <f>IFERROR(IF(DATEDIF(#REF!,U1670,"m")&lt;=1,1,IF(AND(DATEDIF(#REF!,U1670,"m")&gt;1,DATEDIF(#REF!,U1670,"m")&lt;12),2,IF(AND(DATEDIF(#REF!,U1670,"m")&gt;=12,DATEDIF(#REF!,U1670,"m")&lt;24),3,IF(DATEDIF(#REF!,U1670,"m")&gt;=24,4,"")))),IF(E1670="r0320 - Deposits, not covered and not preferential",1,4))</f>
        <v>4</v>
      </c>
    </row>
    <row r="1671" spans="3:29" ht="48.75" thickBot="1" x14ac:dyDescent="0.3">
      <c r="C1671" s="11">
        <v>999</v>
      </c>
      <c r="D1671" s="154">
        <v>1664</v>
      </c>
      <c r="E1671" s="154" t="s">
        <v>1902</v>
      </c>
      <c r="F1671" s="154" t="s">
        <v>83</v>
      </c>
      <c r="G1671" s="154" t="s">
        <v>1903</v>
      </c>
      <c r="H1671" s="154" t="s">
        <v>1286</v>
      </c>
      <c r="I1671" s="154" t="s">
        <v>114</v>
      </c>
      <c r="J1671" s="154" t="s">
        <v>115</v>
      </c>
      <c r="K1671" s="154" t="s">
        <v>60</v>
      </c>
      <c r="L1671" s="154" t="s">
        <v>1897</v>
      </c>
      <c r="M1671" s="154" t="s">
        <v>1388</v>
      </c>
      <c r="N1671" s="154" t="s">
        <v>61</v>
      </c>
      <c r="O1671" s="154" t="s">
        <v>62</v>
      </c>
      <c r="P1671" s="146">
        <v>93867.48</v>
      </c>
      <c r="Q1671" s="146">
        <v>34.64</v>
      </c>
      <c r="R1671" s="154" t="s">
        <v>1384</v>
      </c>
      <c r="S1671" s="154" t="s">
        <v>1899</v>
      </c>
      <c r="T1671" s="155" t="s">
        <v>768</v>
      </c>
      <c r="U1671" s="155" t="s">
        <v>1899</v>
      </c>
      <c r="V1671" s="154" t="s">
        <v>1904</v>
      </c>
      <c r="W1671" s="154">
        <v>0</v>
      </c>
      <c r="X1671" s="154" t="s">
        <v>63</v>
      </c>
      <c r="Y1671" s="154" t="s">
        <v>1386</v>
      </c>
      <c r="Z1671" s="154"/>
      <c r="AA1671" s="154" t="s">
        <v>1387</v>
      </c>
      <c r="AB1671" s="154">
        <v>0</v>
      </c>
      <c r="AC1671" s="138">
        <f>IFERROR(IF(DATEDIF(#REF!,U1671,"m")&lt;=1,1,IF(AND(DATEDIF(#REF!,U1671,"m")&gt;1,DATEDIF(#REF!,U1671,"m")&lt;12),2,IF(AND(DATEDIF(#REF!,U1671,"m")&gt;=12,DATEDIF(#REF!,U1671,"m")&lt;24),3,IF(DATEDIF(#REF!,U1671,"m")&gt;=24,4,"")))),IF(E1671="r0320 - Deposits, not covered and not preferential",1,4))</f>
        <v>4</v>
      </c>
    </row>
    <row r="1672" spans="3:29" ht="36.75" thickBot="1" x14ac:dyDescent="0.3">
      <c r="C1672" s="11">
        <v>999</v>
      </c>
      <c r="D1672" s="154">
        <v>1665</v>
      </c>
      <c r="E1672" s="154" t="s">
        <v>1898</v>
      </c>
      <c r="F1672" s="154" t="s">
        <v>87</v>
      </c>
      <c r="G1672" s="154" t="s">
        <v>1402</v>
      </c>
      <c r="H1672" s="154" t="s">
        <v>796</v>
      </c>
      <c r="I1672" s="154" t="s">
        <v>96</v>
      </c>
      <c r="J1672" s="154" t="s">
        <v>97</v>
      </c>
      <c r="K1672" s="154" t="s">
        <v>91</v>
      </c>
      <c r="L1672" s="154" t="s">
        <v>1897</v>
      </c>
      <c r="M1672" s="154" t="s">
        <v>1383</v>
      </c>
      <c r="N1672" s="154" t="s">
        <v>61</v>
      </c>
      <c r="O1672" s="154" t="s">
        <v>62</v>
      </c>
      <c r="P1672" s="146">
        <v>0.24</v>
      </c>
      <c r="Q1672" s="146">
        <v>0</v>
      </c>
      <c r="R1672" s="154" t="s">
        <v>1384</v>
      </c>
      <c r="S1672" s="154" t="s">
        <v>1899</v>
      </c>
      <c r="T1672" s="155" t="s">
        <v>1899</v>
      </c>
      <c r="U1672" s="155" t="s">
        <v>1899</v>
      </c>
      <c r="V1672" s="154" t="s">
        <v>1562</v>
      </c>
      <c r="W1672" s="154">
        <v>0</v>
      </c>
      <c r="X1672" s="154" t="s">
        <v>63</v>
      </c>
      <c r="Y1672" s="154" t="s">
        <v>1900</v>
      </c>
      <c r="Z1672" s="154"/>
      <c r="AA1672" s="154" t="s">
        <v>1387</v>
      </c>
      <c r="AB1672" s="154">
        <v>0</v>
      </c>
      <c r="AC1672" s="138">
        <f>IFERROR(IF(DATEDIF(#REF!,U1672,"m")&lt;=1,1,IF(AND(DATEDIF(#REF!,U1672,"m")&gt;1,DATEDIF(#REF!,U1672,"m")&lt;12),2,IF(AND(DATEDIF(#REF!,U1672,"m")&gt;=12,DATEDIF(#REF!,U1672,"m")&lt;24),3,IF(DATEDIF(#REF!,U1672,"m")&gt;=24,4,"")))),IF(E1672="r0320 - Deposits, not covered and not preferential",1,4))</f>
        <v>4</v>
      </c>
    </row>
    <row r="1673" spans="3:29" ht="48.75" thickBot="1" x14ac:dyDescent="0.3">
      <c r="C1673" s="11">
        <v>999</v>
      </c>
      <c r="D1673" s="154">
        <v>1666</v>
      </c>
      <c r="E1673" s="154" t="s">
        <v>1902</v>
      </c>
      <c r="F1673" s="154" t="s">
        <v>83</v>
      </c>
      <c r="G1673" s="154" t="s">
        <v>1903</v>
      </c>
      <c r="H1673" s="154" t="s">
        <v>817</v>
      </c>
      <c r="I1673" s="154" t="s">
        <v>114</v>
      </c>
      <c r="J1673" s="154" t="s">
        <v>115</v>
      </c>
      <c r="K1673" s="154" t="s">
        <v>60</v>
      </c>
      <c r="L1673" s="154" t="s">
        <v>1897</v>
      </c>
      <c r="M1673" s="154" t="s">
        <v>1388</v>
      </c>
      <c r="N1673" s="154" t="s">
        <v>61</v>
      </c>
      <c r="O1673" s="154" t="s">
        <v>62</v>
      </c>
      <c r="P1673" s="146">
        <v>36190.629999999997</v>
      </c>
      <c r="Q1673" s="146">
        <v>6.84</v>
      </c>
      <c r="R1673" s="154" t="s">
        <v>1384</v>
      </c>
      <c r="S1673" s="154" t="s">
        <v>1899</v>
      </c>
      <c r="T1673" s="155" t="s">
        <v>768</v>
      </c>
      <c r="U1673" s="155" t="s">
        <v>1899</v>
      </c>
      <c r="V1673" s="154" t="s">
        <v>1904</v>
      </c>
      <c r="W1673" s="154">
        <v>0</v>
      </c>
      <c r="X1673" s="154" t="s">
        <v>63</v>
      </c>
      <c r="Y1673" s="154" t="s">
        <v>1386</v>
      </c>
      <c r="Z1673" s="154"/>
      <c r="AA1673" s="154" t="s">
        <v>1387</v>
      </c>
      <c r="AB1673" s="154">
        <v>0</v>
      </c>
      <c r="AC1673" s="138">
        <f>IFERROR(IF(DATEDIF(#REF!,U1673,"m")&lt;=1,1,IF(AND(DATEDIF(#REF!,U1673,"m")&gt;1,DATEDIF(#REF!,U1673,"m")&lt;12),2,IF(AND(DATEDIF(#REF!,U1673,"m")&gt;=12,DATEDIF(#REF!,U1673,"m")&lt;24),3,IF(DATEDIF(#REF!,U1673,"m")&gt;=24,4,"")))),IF(E1673="r0320 - Deposits, not covered and not preferential",1,4))</f>
        <v>4</v>
      </c>
    </row>
    <row r="1674" spans="3:29" ht="36.75" thickBot="1" x14ac:dyDescent="0.3">
      <c r="C1674" s="11">
        <v>999</v>
      </c>
      <c r="D1674" s="154">
        <v>1667</v>
      </c>
      <c r="E1674" s="154" t="s">
        <v>1898</v>
      </c>
      <c r="F1674" s="154" t="s">
        <v>87</v>
      </c>
      <c r="G1674" s="154" t="s">
        <v>1402</v>
      </c>
      <c r="H1674" s="154" t="s">
        <v>1266</v>
      </c>
      <c r="I1674" s="154" t="s">
        <v>96</v>
      </c>
      <c r="J1674" s="154" t="s">
        <v>97</v>
      </c>
      <c r="K1674" s="154" t="s">
        <v>91</v>
      </c>
      <c r="L1674" s="154" t="s">
        <v>1897</v>
      </c>
      <c r="M1674" s="154" t="s">
        <v>1383</v>
      </c>
      <c r="N1674" s="154" t="s">
        <v>61</v>
      </c>
      <c r="O1674" s="154" t="s">
        <v>62</v>
      </c>
      <c r="P1674" s="146">
        <v>2.79</v>
      </c>
      <c r="Q1674" s="146">
        <v>0</v>
      </c>
      <c r="R1674" s="154" t="s">
        <v>1384</v>
      </c>
      <c r="S1674" s="154" t="s">
        <v>1899</v>
      </c>
      <c r="T1674" s="155" t="s">
        <v>1899</v>
      </c>
      <c r="U1674" s="155" t="s">
        <v>1899</v>
      </c>
      <c r="V1674" s="154" t="s">
        <v>1562</v>
      </c>
      <c r="W1674" s="154">
        <v>0</v>
      </c>
      <c r="X1674" s="154" t="s">
        <v>63</v>
      </c>
      <c r="Y1674" s="154" t="s">
        <v>1900</v>
      </c>
      <c r="Z1674" s="154"/>
      <c r="AA1674" s="154" t="s">
        <v>1387</v>
      </c>
      <c r="AB1674" s="154">
        <v>0</v>
      </c>
      <c r="AC1674" s="138">
        <f>IFERROR(IF(DATEDIF(#REF!,U1674,"m")&lt;=1,1,IF(AND(DATEDIF(#REF!,U1674,"m")&gt;1,DATEDIF(#REF!,U1674,"m")&lt;12),2,IF(AND(DATEDIF(#REF!,U1674,"m")&gt;=12,DATEDIF(#REF!,U1674,"m")&lt;24),3,IF(DATEDIF(#REF!,U1674,"m")&gt;=24,4,"")))),IF(E1674="r0320 - Deposits, not covered and not preferential",1,4))</f>
        <v>4</v>
      </c>
    </row>
    <row r="1675" spans="3:29" ht="36.75" thickBot="1" x14ac:dyDescent="0.3">
      <c r="C1675" s="11">
        <v>999</v>
      </c>
      <c r="D1675" s="154">
        <v>1668</v>
      </c>
      <c r="E1675" s="154" t="s">
        <v>1898</v>
      </c>
      <c r="F1675" s="154" t="s">
        <v>87</v>
      </c>
      <c r="G1675" s="154" t="s">
        <v>1402</v>
      </c>
      <c r="H1675" s="154" t="s">
        <v>306</v>
      </c>
      <c r="I1675" s="154" t="s">
        <v>96</v>
      </c>
      <c r="J1675" s="154" t="s">
        <v>97</v>
      </c>
      <c r="K1675" s="154" t="s">
        <v>91</v>
      </c>
      <c r="L1675" s="154" t="s">
        <v>1897</v>
      </c>
      <c r="M1675" s="154" t="s">
        <v>1383</v>
      </c>
      <c r="N1675" s="154" t="s">
        <v>61</v>
      </c>
      <c r="O1675" s="154" t="s">
        <v>62</v>
      </c>
      <c r="P1675" s="146">
        <v>16.489999999999998</v>
      </c>
      <c r="Q1675" s="146">
        <v>0</v>
      </c>
      <c r="R1675" s="154" t="s">
        <v>1384</v>
      </c>
      <c r="S1675" s="154" t="s">
        <v>1899</v>
      </c>
      <c r="T1675" s="155" t="s">
        <v>1899</v>
      </c>
      <c r="U1675" s="155" t="s">
        <v>1899</v>
      </c>
      <c r="V1675" s="154" t="s">
        <v>1562</v>
      </c>
      <c r="W1675" s="154">
        <v>0</v>
      </c>
      <c r="X1675" s="154" t="s">
        <v>63</v>
      </c>
      <c r="Y1675" s="154" t="s">
        <v>1900</v>
      </c>
      <c r="Z1675" s="154"/>
      <c r="AA1675" s="154" t="s">
        <v>1387</v>
      </c>
      <c r="AB1675" s="154">
        <v>0</v>
      </c>
      <c r="AC1675" s="138">
        <f>IFERROR(IF(DATEDIF(#REF!,U1675,"m")&lt;=1,1,IF(AND(DATEDIF(#REF!,U1675,"m")&gt;1,DATEDIF(#REF!,U1675,"m")&lt;12),2,IF(AND(DATEDIF(#REF!,U1675,"m")&gt;=12,DATEDIF(#REF!,U1675,"m")&lt;24),3,IF(DATEDIF(#REF!,U1675,"m")&gt;=24,4,"")))),IF(E1675="r0320 - Deposits, not covered and not preferential",1,4))</f>
        <v>4</v>
      </c>
    </row>
    <row r="1676" spans="3:29" ht="36.75" thickBot="1" x14ac:dyDescent="0.3">
      <c r="C1676" s="11">
        <v>999</v>
      </c>
      <c r="D1676" s="154">
        <v>1669</v>
      </c>
      <c r="E1676" s="154" t="s">
        <v>1898</v>
      </c>
      <c r="F1676" s="154" t="s">
        <v>87</v>
      </c>
      <c r="G1676" s="154" t="s">
        <v>1402</v>
      </c>
      <c r="H1676" s="154" t="s">
        <v>1340</v>
      </c>
      <c r="I1676" s="154" t="s">
        <v>310</v>
      </c>
      <c r="J1676" s="154" t="s">
        <v>311</v>
      </c>
      <c r="K1676" s="154" t="s">
        <v>60</v>
      </c>
      <c r="L1676" s="154" t="s">
        <v>1897</v>
      </c>
      <c r="M1676" s="154" t="s">
        <v>1383</v>
      </c>
      <c r="N1676" s="154" t="s">
        <v>61</v>
      </c>
      <c r="O1676" s="154" t="s">
        <v>62</v>
      </c>
      <c r="P1676" s="146">
        <v>1.57</v>
      </c>
      <c r="Q1676" s="146">
        <v>0</v>
      </c>
      <c r="R1676" s="154" t="s">
        <v>1384</v>
      </c>
      <c r="S1676" s="154" t="s">
        <v>1899</v>
      </c>
      <c r="T1676" s="155" t="s">
        <v>1899</v>
      </c>
      <c r="U1676" s="155" t="s">
        <v>1899</v>
      </c>
      <c r="V1676" s="154" t="s">
        <v>1562</v>
      </c>
      <c r="W1676" s="154">
        <v>0</v>
      </c>
      <c r="X1676" s="154" t="s">
        <v>63</v>
      </c>
      <c r="Y1676" s="154" t="s">
        <v>1900</v>
      </c>
      <c r="Z1676" s="154"/>
      <c r="AA1676" s="154" t="s">
        <v>1387</v>
      </c>
      <c r="AB1676" s="154">
        <v>0</v>
      </c>
      <c r="AC1676" s="138">
        <f>IFERROR(IF(DATEDIF(#REF!,U1676,"m")&lt;=1,1,IF(AND(DATEDIF(#REF!,U1676,"m")&gt;1,DATEDIF(#REF!,U1676,"m")&lt;12),2,IF(AND(DATEDIF(#REF!,U1676,"m")&gt;=12,DATEDIF(#REF!,U1676,"m")&lt;24),3,IF(DATEDIF(#REF!,U1676,"m")&gt;=24,4,"")))),IF(E1676="r0320 - Deposits, not covered and not preferential",1,4))</f>
        <v>4</v>
      </c>
    </row>
    <row r="1677" spans="3:29" ht="36.75" thickBot="1" x14ac:dyDescent="0.3">
      <c r="C1677" s="11">
        <v>999</v>
      </c>
      <c r="D1677" s="154">
        <v>1670</v>
      </c>
      <c r="E1677" s="154" t="s">
        <v>1898</v>
      </c>
      <c r="F1677" s="154" t="s">
        <v>87</v>
      </c>
      <c r="G1677" s="154" t="s">
        <v>1402</v>
      </c>
      <c r="H1677" s="154" t="s">
        <v>1341</v>
      </c>
      <c r="I1677" s="154" t="s">
        <v>1241</v>
      </c>
      <c r="J1677" s="154" t="s">
        <v>1242</v>
      </c>
      <c r="K1677" s="154" t="s">
        <v>60</v>
      </c>
      <c r="L1677" s="154" t="s">
        <v>1897</v>
      </c>
      <c r="M1677" s="154" t="s">
        <v>1383</v>
      </c>
      <c r="N1677" s="154" t="s">
        <v>61</v>
      </c>
      <c r="O1677" s="154" t="s">
        <v>62</v>
      </c>
      <c r="P1677" s="146">
        <v>21.25</v>
      </c>
      <c r="Q1677" s="146">
        <v>0</v>
      </c>
      <c r="R1677" s="154" t="s">
        <v>1384</v>
      </c>
      <c r="S1677" s="154" t="s">
        <v>1899</v>
      </c>
      <c r="T1677" s="155" t="s">
        <v>1899</v>
      </c>
      <c r="U1677" s="155" t="s">
        <v>1899</v>
      </c>
      <c r="V1677" s="154" t="s">
        <v>1562</v>
      </c>
      <c r="W1677" s="154">
        <v>0</v>
      </c>
      <c r="X1677" s="154" t="s">
        <v>63</v>
      </c>
      <c r="Y1677" s="154" t="s">
        <v>1900</v>
      </c>
      <c r="Z1677" s="154"/>
      <c r="AA1677" s="154" t="s">
        <v>1387</v>
      </c>
      <c r="AB1677" s="154">
        <v>0</v>
      </c>
      <c r="AC1677" s="138">
        <f>IFERROR(IF(DATEDIF(#REF!,U1677,"m")&lt;=1,1,IF(AND(DATEDIF(#REF!,U1677,"m")&gt;1,DATEDIF(#REF!,U1677,"m")&lt;12),2,IF(AND(DATEDIF(#REF!,U1677,"m")&gt;=12,DATEDIF(#REF!,U1677,"m")&lt;24),3,IF(DATEDIF(#REF!,U1677,"m")&gt;=24,4,"")))),IF(E1677="r0320 - Deposits, not covered and not preferential",1,4))</f>
        <v>4</v>
      </c>
    </row>
    <row r="1678" spans="3:29" ht="36.75" thickBot="1" x14ac:dyDescent="0.3">
      <c r="C1678" s="11">
        <v>999</v>
      </c>
      <c r="D1678" s="154">
        <v>1671</v>
      </c>
      <c r="E1678" s="154" t="s">
        <v>1895</v>
      </c>
      <c r="F1678" s="154" t="s">
        <v>56</v>
      </c>
      <c r="G1678" s="154" t="s">
        <v>1896</v>
      </c>
      <c r="H1678" s="154" t="s">
        <v>57</v>
      </c>
      <c r="I1678" s="154" t="s">
        <v>290</v>
      </c>
      <c r="J1678" s="154" t="s">
        <v>291</v>
      </c>
      <c r="K1678" s="154" t="s">
        <v>60</v>
      </c>
      <c r="L1678" s="154" t="s">
        <v>1897</v>
      </c>
      <c r="M1678" s="154" t="s">
        <v>1383</v>
      </c>
      <c r="N1678" s="154" t="s">
        <v>61</v>
      </c>
      <c r="O1678" s="154" t="s">
        <v>62</v>
      </c>
      <c r="P1678" s="146">
        <v>5398.47</v>
      </c>
      <c r="Q1678" s="146">
        <v>0</v>
      </c>
      <c r="R1678" s="154" t="s">
        <v>1384</v>
      </c>
      <c r="S1678" s="154" t="s">
        <v>1385</v>
      </c>
      <c r="T1678" s="155">
        <v>44564</v>
      </c>
      <c r="U1678" s="155">
        <v>44564</v>
      </c>
      <c r="V1678" s="154" t="s">
        <v>1562</v>
      </c>
      <c r="W1678" s="154">
        <v>0</v>
      </c>
      <c r="X1678" s="154" t="s">
        <v>63</v>
      </c>
      <c r="Y1678" s="154" t="s">
        <v>1386</v>
      </c>
      <c r="Z1678" s="154"/>
      <c r="AA1678" s="154" t="s">
        <v>1387</v>
      </c>
      <c r="AB1678" s="154">
        <v>0</v>
      </c>
      <c r="AC1678" s="138">
        <f>IFERROR(IF(DATEDIF(#REF!,U1678,"m")&lt;=1,1,IF(AND(DATEDIF(#REF!,U1678,"m")&gt;1,DATEDIF(#REF!,U1678,"m")&lt;12),2,IF(AND(DATEDIF(#REF!,U1678,"m")&gt;=12,DATEDIF(#REF!,U1678,"m")&lt;24),3,IF(DATEDIF(#REF!,U1678,"m")&gt;=24,4,"")))),IF(E1678="r0320 - Deposits, not covered and not preferential",1,4))</f>
        <v>1</v>
      </c>
    </row>
    <row r="1679" spans="3:29" ht="36.75" thickBot="1" x14ac:dyDescent="0.3">
      <c r="C1679" s="11">
        <v>999</v>
      </c>
      <c r="D1679" s="154">
        <v>1672</v>
      </c>
      <c r="E1679" s="154" t="s">
        <v>1898</v>
      </c>
      <c r="F1679" s="154" t="s">
        <v>87</v>
      </c>
      <c r="G1679" s="154" t="s">
        <v>1402</v>
      </c>
      <c r="H1679" s="154" t="s">
        <v>1234</v>
      </c>
      <c r="I1679" s="154" t="s">
        <v>96</v>
      </c>
      <c r="J1679" s="154" t="s">
        <v>97</v>
      </c>
      <c r="K1679" s="154" t="s">
        <v>91</v>
      </c>
      <c r="L1679" s="154" t="s">
        <v>1897</v>
      </c>
      <c r="M1679" s="154" t="s">
        <v>1383</v>
      </c>
      <c r="N1679" s="154" t="s">
        <v>61</v>
      </c>
      <c r="O1679" s="154" t="s">
        <v>62</v>
      </c>
      <c r="P1679" s="146">
        <v>98.89</v>
      </c>
      <c r="Q1679" s="146">
        <v>0</v>
      </c>
      <c r="R1679" s="154" t="s">
        <v>1384</v>
      </c>
      <c r="S1679" s="154" t="s">
        <v>1899</v>
      </c>
      <c r="T1679" s="155" t="s">
        <v>1899</v>
      </c>
      <c r="U1679" s="155" t="s">
        <v>1899</v>
      </c>
      <c r="V1679" s="154" t="s">
        <v>1562</v>
      </c>
      <c r="W1679" s="154">
        <v>0</v>
      </c>
      <c r="X1679" s="154" t="s">
        <v>63</v>
      </c>
      <c r="Y1679" s="154" t="s">
        <v>1900</v>
      </c>
      <c r="Z1679" s="154"/>
      <c r="AA1679" s="154" t="s">
        <v>1387</v>
      </c>
      <c r="AB1679" s="154">
        <v>0</v>
      </c>
      <c r="AC1679" s="138">
        <f>IFERROR(IF(DATEDIF(#REF!,U1679,"m")&lt;=1,1,IF(AND(DATEDIF(#REF!,U1679,"m")&gt;1,DATEDIF(#REF!,U1679,"m")&lt;12),2,IF(AND(DATEDIF(#REF!,U1679,"m")&gt;=12,DATEDIF(#REF!,U1679,"m")&lt;24),3,IF(DATEDIF(#REF!,U1679,"m")&gt;=24,4,"")))),IF(E1679="r0320 - Deposits, not covered and not preferential",1,4))</f>
        <v>4</v>
      </c>
    </row>
    <row r="1680" spans="3:29" ht="36.75" thickBot="1" x14ac:dyDescent="0.3">
      <c r="C1680" s="11">
        <v>999</v>
      </c>
      <c r="D1680" s="154">
        <v>1673</v>
      </c>
      <c r="E1680" s="154" t="s">
        <v>1898</v>
      </c>
      <c r="F1680" s="154" t="s">
        <v>87</v>
      </c>
      <c r="G1680" s="154" t="s">
        <v>1402</v>
      </c>
      <c r="H1680" s="154" t="s">
        <v>498</v>
      </c>
      <c r="I1680" s="154" t="s">
        <v>96</v>
      </c>
      <c r="J1680" s="154" t="s">
        <v>97</v>
      </c>
      <c r="K1680" s="154" t="s">
        <v>91</v>
      </c>
      <c r="L1680" s="154" t="s">
        <v>1897</v>
      </c>
      <c r="M1680" s="154" t="s">
        <v>1383</v>
      </c>
      <c r="N1680" s="154" t="s">
        <v>61</v>
      </c>
      <c r="O1680" s="154" t="s">
        <v>62</v>
      </c>
      <c r="P1680" s="146">
        <v>510.4</v>
      </c>
      <c r="Q1680" s="146">
        <v>0</v>
      </c>
      <c r="R1680" s="154" t="s">
        <v>1384</v>
      </c>
      <c r="S1680" s="154" t="s">
        <v>1899</v>
      </c>
      <c r="T1680" s="155" t="s">
        <v>1899</v>
      </c>
      <c r="U1680" s="155" t="s">
        <v>1899</v>
      </c>
      <c r="V1680" s="154" t="s">
        <v>1562</v>
      </c>
      <c r="W1680" s="154">
        <v>0</v>
      </c>
      <c r="X1680" s="154" t="s">
        <v>63</v>
      </c>
      <c r="Y1680" s="154" t="s">
        <v>1900</v>
      </c>
      <c r="Z1680" s="154"/>
      <c r="AA1680" s="154" t="s">
        <v>1387</v>
      </c>
      <c r="AB1680" s="154">
        <v>0</v>
      </c>
      <c r="AC1680" s="138">
        <f>IFERROR(IF(DATEDIF(#REF!,U1680,"m")&lt;=1,1,IF(AND(DATEDIF(#REF!,U1680,"m")&gt;1,DATEDIF(#REF!,U1680,"m")&lt;12),2,IF(AND(DATEDIF(#REF!,U1680,"m")&gt;=12,DATEDIF(#REF!,U1680,"m")&lt;24),3,IF(DATEDIF(#REF!,U1680,"m")&gt;=24,4,"")))),IF(E1680="r0320 - Deposits, not covered and not preferential",1,4))</f>
        <v>4</v>
      </c>
    </row>
    <row r="1681" spans="3:29" ht="36.75" thickBot="1" x14ac:dyDescent="0.3">
      <c r="C1681" s="11">
        <v>999</v>
      </c>
      <c r="D1681" s="154">
        <v>1674</v>
      </c>
      <c r="E1681" s="154" t="s">
        <v>1898</v>
      </c>
      <c r="F1681" s="154" t="s">
        <v>87</v>
      </c>
      <c r="G1681" s="154" t="s">
        <v>1402</v>
      </c>
      <c r="H1681" s="154" t="s">
        <v>798</v>
      </c>
      <c r="I1681" s="154" t="s">
        <v>96</v>
      </c>
      <c r="J1681" s="154" t="s">
        <v>97</v>
      </c>
      <c r="K1681" s="154" t="s">
        <v>91</v>
      </c>
      <c r="L1681" s="154" t="s">
        <v>1897</v>
      </c>
      <c r="M1681" s="154" t="s">
        <v>1383</v>
      </c>
      <c r="N1681" s="154" t="s">
        <v>61</v>
      </c>
      <c r="O1681" s="154" t="s">
        <v>62</v>
      </c>
      <c r="P1681" s="146">
        <v>10.44</v>
      </c>
      <c r="Q1681" s="146">
        <v>0</v>
      </c>
      <c r="R1681" s="154" t="s">
        <v>1384</v>
      </c>
      <c r="S1681" s="154" t="s">
        <v>1899</v>
      </c>
      <c r="T1681" s="155" t="s">
        <v>1899</v>
      </c>
      <c r="U1681" s="155" t="s">
        <v>1899</v>
      </c>
      <c r="V1681" s="154" t="s">
        <v>1562</v>
      </c>
      <c r="W1681" s="154">
        <v>0</v>
      </c>
      <c r="X1681" s="154" t="s">
        <v>63</v>
      </c>
      <c r="Y1681" s="154" t="s">
        <v>1900</v>
      </c>
      <c r="Z1681" s="154"/>
      <c r="AA1681" s="154" t="s">
        <v>1387</v>
      </c>
      <c r="AB1681" s="154">
        <v>0</v>
      </c>
      <c r="AC1681" s="138">
        <f>IFERROR(IF(DATEDIF(#REF!,U1681,"m")&lt;=1,1,IF(AND(DATEDIF(#REF!,U1681,"m")&gt;1,DATEDIF(#REF!,U1681,"m")&lt;12),2,IF(AND(DATEDIF(#REF!,U1681,"m")&gt;=12,DATEDIF(#REF!,U1681,"m")&lt;24),3,IF(DATEDIF(#REF!,U1681,"m")&gt;=24,4,"")))),IF(E1681="r0320 - Deposits, not covered and not preferential",1,4))</f>
        <v>4</v>
      </c>
    </row>
    <row r="1682" spans="3:29" ht="36.75" thickBot="1" x14ac:dyDescent="0.3">
      <c r="C1682" s="11">
        <v>999</v>
      </c>
      <c r="D1682" s="154">
        <v>1675</v>
      </c>
      <c r="E1682" s="154" t="s">
        <v>1898</v>
      </c>
      <c r="F1682" s="154" t="s">
        <v>87</v>
      </c>
      <c r="G1682" s="154" t="s">
        <v>1402</v>
      </c>
      <c r="H1682" s="154" t="s">
        <v>1275</v>
      </c>
      <c r="I1682" s="154" t="s">
        <v>96</v>
      </c>
      <c r="J1682" s="154" t="s">
        <v>97</v>
      </c>
      <c r="K1682" s="154" t="s">
        <v>91</v>
      </c>
      <c r="L1682" s="154" t="s">
        <v>1897</v>
      </c>
      <c r="M1682" s="154" t="s">
        <v>1383</v>
      </c>
      <c r="N1682" s="154" t="s">
        <v>61</v>
      </c>
      <c r="O1682" s="154" t="s">
        <v>62</v>
      </c>
      <c r="P1682" s="146">
        <v>1.38</v>
      </c>
      <c r="Q1682" s="146">
        <v>0</v>
      </c>
      <c r="R1682" s="154" t="s">
        <v>1384</v>
      </c>
      <c r="S1682" s="154" t="s">
        <v>1899</v>
      </c>
      <c r="T1682" s="155" t="s">
        <v>1899</v>
      </c>
      <c r="U1682" s="155" t="s">
        <v>1899</v>
      </c>
      <c r="V1682" s="154" t="s">
        <v>1562</v>
      </c>
      <c r="W1682" s="154">
        <v>0</v>
      </c>
      <c r="X1682" s="154" t="s">
        <v>63</v>
      </c>
      <c r="Y1682" s="154" t="s">
        <v>1900</v>
      </c>
      <c r="Z1682" s="154"/>
      <c r="AA1682" s="154" t="s">
        <v>1387</v>
      </c>
      <c r="AB1682" s="154">
        <v>0</v>
      </c>
      <c r="AC1682" s="138">
        <f>IFERROR(IF(DATEDIF(#REF!,U1682,"m")&lt;=1,1,IF(AND(DATEDIF(#REF!,U1682,"m")&gt;1,DATEDIF(#REF!,U1682,"m")&lt;12),2,IF(AND(DATEDIF(#REF!,U1682,"m")&gt;=12,DATEDIF(#REF!,U1682,"m")&lt;24),3,IF(DATEDIF(#REF!,U1682,"m")&gt;=24,4,"")))),IF(E1682="r0320 - Deposits, not covered and not preferential",1,4))</f>
        <v>4</v>
      </c>
    </row>
    <row r="1683" spans="3:29" ht="36.75" thickBot="1" x14ac:dyDescent="0.3">
      <c r="C1683" s="11">
        <v>999</v>
      </c>
      <c r="D1683" s="154">
        <v>1676</v>
      </c>
      <c r="E1683" s="154" t="s">
        <v>1898</v>
      </c>
      <c r="F1683" s="154" t="s">
        <v>87</v>
      </c>
      <c r="G1683" s="154" t="s">
        <v>1402</v>
      </c>
      <c r="H1683" s="154" t="s">
        <v>1267</v>
      </c>
      <c r="I1683" s="154" t="s">
        <v>96</v>
      </c>
      <c r="J1683" s="154" t="s">
        <v>97</v>
      </c>
      <c r="K1683" s="154" t="s">
        <v>91</v>
      </c>
      <c r="L1683" s="154" t="s">
        <v>1897</v>
      </c>
      <c r="M1683" s="154" t="s">
        <v>1383</v>
      </c>
      <c r="N1683" s="154" t="s">
        <v>61</v>
      </c>
      <c r="O1683" s="154" t="s">
        <v>62</v>
      </c>
      <c r="P1683" s="146">
        <v>43.85</v>
      </c>
      <c r="Q1683" s="146">
        <v>0</v>
      </c>
      <c r="R1683" s="154" t="s">
        <v>1384</v>
      </c>
      <c r="S1683" s="154" t="s">
        <v>1899</v>
      </c>
      <c r="T1683" s="155" t="s">
        <v>1899</v>
      </c>
      <c r="U1683" s="155" t="s">
        <v>1899</v>
      </c>
      <c r="V1683" s="154" t="s">
        <v>1562</v>
      </c>
      <c r="W1683" s="154">
        <v>0</v>
      </c>
      <c r="X1683" s="154" t="s">
        <v>63</v>
      </c>
      <c r="Y1683" s="154" t="s">
        <v>1900</v>
      </c>
      <c r="Z1683" s="154"/>
      <c r="AA1683" s="154" t="s">
        <v>1387</v>
      </c>
      <c r="AB1683" s="154">
        <v>0</v>
      </c>
      <c r="AC1683" s="138">
        <f>IFERROR(IF(DATEDIF(#REF!,U1683,"m")&lt;=1,1,IF(AND(DATEDIF(#REF!,U1683,"m")&gt;1,DATEDIF(#REF!,U1683,"m")&lt;12),2,IF(AND(DATEDIF(#REF!,U1683,"m")&gt;=12,DATEDIF(#REF!,U1683,"m")&lt;24),3,IF(DATEDIF(#REF!,U1683,"m")&gt;=24,4,"")))),IF(E1683="r0320 - Deposits, not covered and not preferential",1,4))</f>
        <v>4</v>
      </c>
    </row>
    <row r="1684" spans="3:29" ht="36.75" thickBot="1" x14ac:dyDescent="0.3">
      <c r="C1684" s="11">
        <v>999</v>
      </c>
      <c r="D1684" s="154">
        <v>1677</v>
      </c>
      <c r="E1684" s="154" t="s">
        <v>1898</v>
      </c>
      <c r="F1684" s="154" t="s">
        <v>87</v>
      </c>
      <c r="G1684" s="154" t="s">
        <v>1402</v>
      </c>
      <c r="H1684" s="154" t="s">
        <v>1352</v>
      </c>
      <c r="I1684" s="154" t="s">
        <v>111</v>
      </c>
      <c r="J1684" s="154" t="s">
        <v>90</v>
      </c>
      <c r="K1684" s="154" t="s">
        <v>91</v>
      </c>
      <c r="L1684" s="154" t="s">
        <v>1897</v>
      </c>
      <c r="M1684" s="154" t="s">
        <v>1383</v>
      </c>
      <c r="N1684" s="154" t="s">
        <v>61</v>
      </c>
      <c r="O1684" s="154" t="s">
        <v>62</v>
      </c>
      <c r="P1684" s="146">
        <v>1.1399999999999999</v>
      </c>
      <c r="Q1684" s="146">
        <v>0</v>
      </c>
      <c r="R1684" s="154" t="s">
        <v>1384</v>
      </c>
      <c r="S1684" s="154" t="s">
        <v>1899</v>
      </c>
      <c r="T1684" s="155" t="s">
        <v>1899</v>
      </c>
      <c r="U1684" s="155" t="s">
        <v>1899</v>
      </c>
      <c r="V1684" s="154" t="s">
        <v>1562</v>
      </c>
      <c r="W1684" s="154">
        <v>0</v>
      </c>
      <c r="X1684" s="154" t="s">
        <v>63</v>
      </c>
      <c r="Y1684" s="154" t="s">
        <v>1900</v>
      </c>
      <c r="Z1684" s="154"/>
      <c r="AA1684" s="154" t="s">
        <v>1387</v>
      </c>
      <c r="AB1684" s="154">
        <v>0</v>
      </c>
      <c r="AC1684" s="138">
        <f>IFERROR(IF(DATEDIF(#REF!,U1684,"m")&lt;=1,1,IF(AND(DATEDIF(#REF!,U1684,"m")&gt;1,DATEDIF(#REF!,U1684,"m")&lt;12),2,IF(AND(DATEDIF(#REF!,U1684,"m")&gt;=12,DATEDIF(#REF!,U1684,"m")&lt;24),3,IF(DATEDIF(#REF!,U1684,"m")&gt;=24,4,"")))),IF(E1684="r0320 - Deposits, not covered and not preferential",1,4))</f>
        <v>4</v>
      </c>
    </row>
    <row r="1685" spans="3:29" ht="36.75" thickBot="1" x14ac:dyDescent="0.3">
      <c r="C1685" s="11">
        <v>999</v>
      </c>
      <c r="D1685" s="154">
        <v>1678</v>
      </c>
      <c r="E1685" s="154" t="s">
        <v>1898</v>
      </c>
      <c r="F1685" s="154" t="s">
        <v>87</v>
      </c>
      <c r="G1685" s="154" t="s">
        <v>1402</v>
      </c>
      <c r="H1685" s="154" t="s">
        <v>479</v>
      </c>
      <c r="I1685" s="154" t="s">
        <v>96</v>
      </c>
      <c r="J1685" s="154" t="s">
        <v>97</v>
      </c>
      <c r="K1685" s="154" t="s">
        <v>91</v>
      </c>
      <c r="L1685" s="154" t="s">
        <v>1897</v>
      </c>
      <c r="M1685" s="154" t="s">
        <v>1383</v>
      </c>
      <c r="N1685" s="154" t="s">
        <v>61</v>
      </c>
      <c r="O1685" s="154" t="s">
        <v>62</v>
      </c>
      <c r="P1685" s="146">
        <v>46.67</v>
      </c>
      <c r="Q1685" s="146">
        <v>0</v>
      </c>
      <c r="R1685" s="154" t="s">
        <v>1384</v>
      </c>
      <c r="S1685" s="154" t="s">
        <v>1899</v>
      </c>
      <c r="T1685" s="155" t="s">
        <v>1899</v>
      </c>
      <c r="U1685" s="155" t="s">
        <v>1899</v>
      </c>
      <c r="V1685" s="154" t="s">
        <v>1562</v>
      </c>
      <c r="W1685" s="154">
        <v>0</v>
      </c>
      <c r="X1685" s="154" t="s">
        <v>63</v>
      </c>
      <c r="Y1685" s="154" t="s">
        <v>1900</v>
      </c>
      <c r="Z1685" s="154"/>
      <c r="AA1685" s="154" t="s">
        <v>1387</v>
      </c>
      <c r="AB1685" s="154">
        <v>0</v>
      </c>
      <c r="AC1685" s="138">
        <f>IFERROR(IF(DATEDIF(#REF!,U1685,"m")&lt;=1,1,IF(AND(DATEDIF(#REF!,U1685,"m")&gt;1,DATEDIF(#REF!,U1685,"m")&lt;12),2,IF(AND(DATEDIF(#REF!,U1685,"m")&gt;=12,DATEDIF(#REF!,U1685,"m")&lt;24),3,IF(DATEDIF(#REF!,U1685,"m")&gt;=24,4,"")))),IF(E1685="r0320 - Deposits, not covered and not preferential",1,4))</f>
        <v>4</v>
      </c>
    </row>
    <row r="1686" spans="3:29" ht="48.75" thickBot="1" x14ac:dyDescent="0.3">
      <c r="C1686" s="11">
        <v>999</v>
      </c>
      <c r="D1686" s="154">
        <v>1679</v>
      </c>
      <c r="E1686" s="154" t="s">
        <v>1902</v>
      </c>
      <c r="F1686" s="154" t="s">
        <v>83</v>
      </c>
      <c r="G1686" s="154" t="s">
        <v>1903</v>
      </c>
      <c r="H1686" s="154" t="s">
        <v>817</v>
      </c>
      <c r="I1686" s="154" t="s">
        <v>101</v>
      </c>
      <c r="J1686" s="154" t="s">
        <v>102</v>
      </c>
      <c r="K1686" s="154" t="s">
        <v>60</v>
      </c>
      <c r="L1686" s="154" t="s">
        <v>1897</v>
      </c>
      <c r="M1686" s="154" t="s">
        <v>1388</v>
      </c>
      <c r="N1686" s="154" t="s">
        <v>61</v>
      </c>
      <c r="O1686" s="154" t="s">
        <v>62</v>
      </c>
      <c r="P1686" s="146">
        <v>1302623.19</v>
      </c>
      <c r="Q1686" s="146">
        <v>629.96</v>
      </c>
      <c r="R1686" s="154" t="s">
        <v>1384</v>
      </c>
      <c r="S1686" s="154" t="s">
        <v>1899</v>
      </c>
      <c r="T1686" s="155" t="s">
        <v>768</v>
      </c>
      <c r="U1686" s="155" t="s">
        <v>1899</v>
      </c>
      <c r="V1686" s="154" t="s">
        <v>1904</v>
      </c>
      <c r="W1686" s="154">
        <v>0</v>
      </c>
      <c r="X1686" s="154" t="s">
        <v>63</v>
      </c>
      <c r="Y1686" s="154" t="s">
        <v>1386</v>
      </c>
      <c r="Z1686" s="154"/>
      <c r="AA1686" s="154" t="s">
        <v>1387</v>
      </c>
      <c r="AB1686" s="154">
        <v>0</v>
      </c>
      <c r="AC1686" s="138">
        <f>IFERROR(IF(DATEDIF(#REF!,U1686,"m")&lt;=1,1,IF(AND(DATEDIF(#REF!,U1686,"m")&gt;1,DATEDIF(#REF!,U1686,"m")&lt;12),2,IF(AND(DATEDIF(#REF!,U1686,"m")&gt;=12,DATEDIF(#REF!,U1686,"m")&lt;24),3,IF(DATEDIF(#REF!,U1686,"m")&gt;=24,4,"")))),IF(E1686="r0320 - Deposits, not covered and not preferential",1,4))</f>
        <v>4</v>
      </c>
    </row>
    <row r="1687" spans="3:29" ht="36.75" thickBot="1" x14ac:dyDescent="0.3">
      <c r="C1687" s="11">
        <v>999</v>
      </c>
      <c r="D1687" s="154">
        <v>1680</v>
      </c>
      <c r="E1687" s="154" t="s">
        <v>1898</v>
      </c>
      <c r="F1687" s="154" t="s">
        <v>87</v>
      </c>
      <c r="G1687" s="154" t="s">
        <v>1402</v>
      </c>
      <c r="H1687" s="154" t="s">
        <v>749</v>
      </c>
      <c r="I1687" s="154" t="s">
        <v>96</v>
      </c>
      <c r="J1687" s="154" t="s">
        <v>97</v>
      </c>
      <c r="K1687" s="154" t="s">
        <v>91</v>
      </c>
      <c r="L1687" s="154" t="s">
        <v>1897</v>
      </c>
      <c r="M1687" s="154" t="s">
        <v>1383</v>
      </c>
      <c r="N1687" s="154" t="s">
        <v>61</v>
      </c>
      <c r="O1687" s="154" t="s">
        <v>62</v>
      </c>
      <c r="P1687" s="146">
        <v>158.27000000000001</v>
      </c>
      <c r="Q1687" s="146">
        <v>0</v>
      </c>
      <c r="R1687" s="154" t="s">
        <v>1384</v>
      </c>
      <c r="S1687" s="154" t="s">
        <v>1899</v>
      </c>
      <c r="T1687" s="155" t="s">
        <v>1899</v>
      </c>
      <c r="U1687" s="155" t="s">
        <v>1899</v>
      </c>
      <c r="V1687" s="154" t="s">
        <v>1562</v>
      </c>
      <c r="W1687" s="154">
        <v>0</v>
      </c>
      <c r="X1687" s="154" t="s">
        <v>63</v>
      </c>
      <c r="Y1687" s="154" t="s">
        <v>1900</v>
      </c>
      <c r="Z1687" s="154"/>
      <c r="AA1687" s="154" t="s">
        <v>1387</v>
      </c>
      <c r="AB1687" s="154">
        <v>0</v>
      </c>
      <c r="AC1687" s="138">
        <f>IFERROR(IF(DATEDIF(#REF!,U1687,"m")&lt;=1,1,IF(AND(DATEDIF(#REF!,U1687,"m")&gt;1,DATEDIF(#REF!,U1687,"m")&lt;12),2,IF(AND(DATEDIF(#REF!,U1687,"m")&gt;=12,DATEDIF(#REF!,U1687,"m")&lt;24),3,IF(DATEDIF(#REF!,U1687,"m")&gt;=24,4,"")))),IF(E1687="r0320 - Deposits, not covered and not preferential",1,4))</f>
        <v>4</v>
      </c>
    </row>
    <row r="1688" spans="3:29" ht="36.75" thickBot="1" x14ac:dyDescent="0.3">
      <c r="C1688" s="11">
        <v>999</v>
      </c>
      <c r="D1688" s="154">
        <v>1681</v>
      </c>
      <c r="E1688" s="154" t="s">
        <v>1895</v>
      </c>
      <c r="F1688" s="154" t="s">
        <v>83</v>
      </c>
      <c r="G1688" s="154" t="s">
        <v>1896</v>
      </c>
      <c r="H1688" s="154" t="s">
        <v>57</v>
      </c>
      <c r="I1688" s="154" t="s">
        <v>85</v>
      </c>
      <c r="J1688" s="154" t="s">
        <v>86</v>
      </c>
      <c r="K1688" s="154" t="s">
        <v>60</v>
      </c>
      <c r="L1688" s="154" t="s">
        <v>1897</v>
      </c>
      <c r="M1688" s="154" t="s">
        <v>1388</v>
      </c>
      <c r="N1688" s="154" t="s">
        <v>61</v>
      </c>
      <c r="O1688" s="154" t="s">
        <v>62</v>
      </c>
      <c r="P1688" s="146">
        <v>42744288.399999999</v>
      </c>
      <c r="Q1688" s="146">
        <v>0</v>
      </c>
      <c r="R1688" s="154" t="s">
        <v>1384</v>
      </c>
      <c r="S1688" s="154" t="s">
        <v>1385</v>
      </c>
      <c r="T1688" s="155">
        <v>44564</v>
      </c>
      <c r="U1688" s="155">
        <v>44564</v>
      </c>
      <c r="V1688" s="154" t="s">
        <v>1562</v>
      </c>
      <c r="W1688" s="154">
        <v>0</v>
      </c>
      <c r="X1688" s="154" t="s">
        <v>63</v>
      </c>
      <c r="Y1688" s="154" t="s">
        <v>1386</v>
      </c>
      <c r="Z1688" s="154"/>
      <c r="AA1688" s="154" t="s">
        <v>1387</v>
      </c>
      <c r="AB1688" s="154">
        <v>0</v>
      </c>
      <c r="AC1688" s="138">
        <f>IFERROR(IF(DATEDIF(#REF!,U1688,"m")&lt;=1,1,IF(AND(DATEDIF(#REF!,U1688,"m")&gt;1,DATEDIF(#REF!,U1688,"m")&lt;12),2,IF(AND(DATEDIF(#REF!,U1688,"m")&gt;=12,DATEDIF(#REF!,U1688,"m")&lt;24),3,IF(DATEDIF(#REF!,U1688,"m")&gt;=24,4,"")))),IF(E1688="r0320 - Deposits, not covered and not preferential",1,4))</f>
        <v>1</v>
      </c>
    </row>
    <row r="1689" spans="3:29" ht="36.75" thickBot="1" x14ac:dyDescent="0.3">
      <c r="C1689" s="11">
        <v>999</v>
      </c>
      <c r="D1689" s="154">
        <v>1682</v>
      </c>
      <c r="E1689" s="154" t="s">
        <v>1898</v>
      </c>
      <c r="F1689" s="154" t="s">
        <v>87</v>
      </c>
      <c r="G1689" s="154" t="s">
        <v>1402</v>
      </c>
      <c r="H1689" s="154" t="s">
        <v>800</v>
      </c>
      <c r="I1689" s="154" t="s">
        <v>96</v>
      </c>
      <c r="J1689" s="154" t="s">
        <v>97</v>
      </c>
      <c r="K1689" s="154" t="s">
        <v>91</v>
      </c>
      <c r="L1689" s="154" t="s">
        <v>1897</v>
      </c>
      <c r="M1689" s="154" t="s">
        <v>1383</v>
      </c>
      <c r="N1689" s="154" t="s">
        <v>61</v>
      </c>
      <c r="O1689" s="154" t="s">
        <v>62</v>
      </c>
      <c r="P1689" s="146">
        <v>8.89</v>
      </c>
      <c r="Q1689" s="146">
        <v>0</v>
      </c>
      <c r="R1689" s="154" t="s">
        <v>1384</v>
      </c>
      <c r="S1689" s="154" t="s">
        <v>1899</v>
      </c>
      <c r="T1689" s="155" t="s">
        <v>1899</v>
      </c>
      <c r="U1689" s="155" t="s">
        <v>1899</v>
      </c>
      <c r="V1689" s="154" t="s">
        <v>1562</v>
      </c>
      <c r="W1689" s="154">
        <v>0</v>
      </c>
      <c r="X1689" s="154" t="s">
        <v>63</v>
      </c>
      <c r="Y1689" s="154" t="s">
        <v>1900</v>
      </c>
      <c r="Z1689" s="154"/>
      <c r="AA1689" s="154" t="s">
        <v>1387</v>
      </c>
      <c r="AB1689" s="154">
        <v>0</v>
      </c>
      <c r="AC1689" s="138">
        <f>IFERROR(IF(DATEDIF(#REF!,U1689,"m")&lt;=1,1,IF(AND(DATEDIF(#REF!,U1689,"m")&gt;1,DATEDIF(#REF!,U1689,"m")&lt;12),2,IF(AND(DATEDIF(#REF!,U1689,"m")&gt;=12,DATEDIF(#REF!,U1689,"m")&lt;24),3,IF(DATEDIF(#REF!,U1689,"m")&gt;=24,4,"")))),IF(E1689="r0320 - Deposits, not covered and not preferential",1,4))</f>
        <v>4</v>
      </c>
    </row>
    <row r="1690" spans="3:29" ht="36.75" thickBot="1" x14ac:dyDescent="0.3">
      <c r="C1690" s="11">
        <v>999</v>
      </c>
      <c r="D1690" s="154">
        <v>1683</v>
      </c>
      <c r="E1690" s="154" t="s">
        <v>1898</v>
      </c>
      <c r="F1690" s="154" t="s">
        <v>87</v>
      </c>
      <c r="G1690" s="154" t="s">
        <v>1402</v>
      </c>
      <c r="H1690" s="154" t="s">
        <v>1331</v>
      </c>
      <c r="I1690" s="154" t="s">
        <v>96</v>
      </c>
      <c r="J1690" s="154" t="s">
        <v>97</v>
      </c>
      <c r="K1690" s="154" t="s">
        <v>91</v>
      </c>
      <c r="L1690" s="154" t="s">
        <v>1897</v>
      </c>
      <c r="M1690" s="154" t="s">
        <v>1383</v>
      </c>
      <c r="N1690" s="154" t="s">
        <v>61</v>
      </c>
      <c r="O1690" s="154" t="s">
        <v>62</v>
      </c>
      <c r="P1690" s="146">
        <v>0.66</v>
      </c>
      <c r="Q1690" s="146">
        <v>0</v>
      </c>
      <c r="R1690" s="154" t="s">
        <v>1384</v>
      </c>
      <c r="S1690" s="154" t="s">
        <v>1899</v>
      </c>
      <c r="T1690" s="155" t="s">
        <v>1899</v>
      </c>
      <c r="U1690" s="155" t="s">
        <v>1899</v>
      </c>
      <c r="V1690" s="154" t="s">
        <v>1562</v>
      </c>
      <c r="W1690" s="154">
        <v>0</v>
      </c>
      <c r="X1690" s="154" t="s">
        <v>63</v>
      </c>
      <c r="Y1690" s="154" t="s">
        <v>1900</v>
      </c>
      <c r="Z1690" s="154"/>
      <c r="AA1690" s="154" t="s">
        <v>1387</v>
      </c>
      <c r="AB1690" s="154">
        <v>0</v>
      </c>
      <c r="AC1690" s="138">
        <f>IFERROR(IF(DATEDIF(#REF!,U1690,"m")&lt;=1,1,IF(AND(DATEDIF(#REF!,U1690,"m")&gt;1,DATEDIF(#REF!,U1690,"m")&lt;12),2,IF(AND(DATEDIF(#REF!,U1690,"m")&gt;=12,DATEDIF(#REF!,U1690,"m")&lt;24),3,IF(DATEDIF(#REF!,U1690,"m")&gt;=24,4,"")))),IF(E1690="r0320 - Deposits, not covered and not preferential",1,4))</f>
        <v>4</v>
      </c>
    </row>
    <row r="1691" spans="3:29" ht="36.75" thickBot="1" x14ac:dyDescent="0.3">
      <c r="C1691" s="11">
        <v>999</v>
      </c>
      <c r="D1691" s="154">
        <v>1684</v>
      </c>
      <c r="E1691" s="154" t="s">
        <v>1898</v>
      </c>
      <c r="F1691" s="154" t="s">
        <v>87</v>
      </c>
      <c r="G1691" s="154" t="s">
        <v>1402</v>
      </c>
      <c r="H1691" s="154" t="s">
        <v>1269</v>
      </c>
      <c r="I1691" s="154" t="s">
        <v>96</v>
      </c>
      <c r="J1691" s="154" t="s">
        <v>97</v>
      </c>
      <c r="K1691" s="154" t="s">
        <v>91</v>
      </c>
      <c r="L1691" s="154" t="s">
        <v>1897</v>
      </c>
      <c r="M1691" s="154" t="s">
        <v>1383</v>
      </c>
      <c r="N1691" s="154" t="s">
        <v>61</v>
      </c>
      <c r="O1691" s="154" t="s">
        <v>62</v>
      </c>
      <c r="P1691" s="146">
        <v>72.22</v>
      </c>
      <c r="Q1691" s="146">
        <v>0</v>
      </c>
      <c r="R1691" s="154" t="s">
        <v>1384</v>
      </c>
      <c r="S1691" s="154" t="s">
        <v>1899</v>
      </c>
      <c r="T1691" s="155" t="s">
        <v>1899</v>
      </c>
      <c r="U1691" s="155" t="s">
        <v>1899</v>
      </c>
      <c r="V1691" s="154" t="s">
        <v>1562</v>
      </c>
      <c r="W1691" s="154">
        <v>0</v>
      </c>
      <c r="X1691" s="154" t="s">
        <v>63</v>
      </c>
      <c r="Y1691" s="154" t="s">
        <v>1900</v>
      </c>
      <c r="Z1691" s="154"/>
      <c r="AA1691" s="154" t="s">
        <v>1387</v>
      </c>
      <c r="AB1691" s="154">
        <v>0</v>
      </c>
      <c r="AC1691" s="138">
        <f>IFERROR(IF(DATEDIF(#REF!,U1691,"m")&lt;=1,1,IF(AND(DATEDIF(#REF!,U1691,"m")&gt;1,DATEDIF(#REF!,U1691,"m")&lt;12),2,IF(AND(DATEDIF(#REF!,U1691,"m")&gt;=12,DATEDIF(#REF!,U1691,"m")&lt;24),3,IF(DATEDIF(#REF!,U1691,"m")&gt;=24,4,"")))),IF(E1691="r0320 - Deposits, not covered and not preferential",1,4))</f>
        <v>4</v>
      </c>
    </row>
    <row r="1692" spans="3:29" ht="36.75" thickBot="1" x14ac:dyDescent="0.3">
      <c r="C1692" s="11">
        <v>999</v>
      </c>
      <c r="D1692" s="154">
        <v>1685</v>
      </c>
      <c r="E1692" s="154" t="s">
        <v>1898</v>
      </c>
      <c r="F1692" s="154" t="s">
        <v>87</v>
      </c>
      <c r="G1692" s="154" t="s">
        <v>1402</v>
      </c>
      <c r="H1692" s="154" t="s">
        <v>1342</v>
      </c>
      <c r="I1692" s="154" t="s">
        <v>96</v>
      </c>
      <c r="J1692" s="154" t="s">
        <v>97</v>
      </c>
      <c r="K1692" s="154" t="s">
        <v>91</v>
      </c>
      <c r="L1692" s="154" t="s">
        <v>1897</v>
      </c>
      <c r="M1692" s="154" t="s">
        <v>1383</v>
      </c>
      <c r="N1692" s="154" t="s">
        <v>61</v>
      </c>
      <c r="O1692" s="154" t="s">
        <v>62</v>
      </c>
      <c r="P1692" s="146">
        <v>9.17</v>
      </c>
      <c r="Q1692" s="146">
        <v>0</v>
      </c>
      <c r="R1692" s="154" t="s">
        <v>1384</v>
      </c>
      <c r="S1692" s="154" t="s">
        <v>1899</v>
      </c>
      <c r="T1692" s="155" t="s">
        <v>1899</v>
      </c>
      <c r="U1692" s="155" t="s">
        <v>1899</v>
      </c>
      <c r="V1692" s="154" t="s">
        <v>1562</v>
      </c>
      <c r="W1692" s="154">
        <v>0</v>
      </c>
      <c r="X1692" s="154" t="s">
        <v>63</v>
      </c>
      <c r="Y1692" s="154" t="s">
        <v>1900</v>
      </c>
      <c r="Z1692" s="154"/>
      <c r="AA1692" s="154" t="s">
        <v>1387</v>
      </c>
      <c r="AB1692" s="154">
        <v>0</v>
      </c>
      <c r="AC1692" s="138">
        <f>IFERROR(IF(DATEDIF(#REF!,U1692,"m")&lt;=1,1,IF(AND(DATEDIF(#REF!,U1692,"m")&gt;1,DATEDIF(#REF!,U1692,"m")&lt;12),2,IF(AND(DATEDIF(#REF!,U1692,"m")&gt;=12,DATEDIF(#REF!,U1692,"m")&lt;24),3,IF(DATEDIF(#REF!,U1692,"m")&gt;=24,4,"")))),IF(E1692="r0320 - Deposits, not covered and not preferential",1,4))</f>
        <v>4</v>
      </c>
    </row>
    <row r="1693" spans="3:29" ht="36.75" thickBot="1" x14ac:dyDescent="0.3">
      <c r="C1693" s="11">
        <v>999</v>
      </c>
      <c r="D1693" s="154">
        <v>1686</v>
      </c>
      <c r="E1693" s="154" t="s">
        <v>1898</v>
      </c>
      <c r="F1693" s="154" t="s">
        <v>87</v>
      </c>
      <c r="G1693" s="154" t="s">
        <v>1402</v>
      </c>
      <c r="H1693" s="154" t="s">
        <v>297</v>
      </c>
      <c r="I1693" s="154" t="s">
        <v>96</v>
      </c>
      <c r="J1693" s="154" t="s">
        <v>97</v>
      </c>
      <c r="K1693" s="154" t="s">
        <v>91</v>
      </c>
      <c r="L1693" s="154" t="s">
        <v>1897</v>
      </c>
      <c r="M1693" s="154" t="s">
        <v>1383</v>
      </c>
      <c r="N1693" s="154" t="s">
        <v>61</v>
      </c>
      <c r="O1693" s="154" t="s">
        <v>62</v>
      </c>
      <c r="P1693" s="146">
        <v>61</v>
      </c>
      <c r="Q1693" s="146">
        <v>0</v>
      </c>
      <c r="R1693" s="154" t="s">
        <v>1384</v>
      </c>
      <c r="S1693" s="154" t="s">
        <v>1899</v>
      </c>
      <c r="T1693" s="155" t="s">
        <v>1899</v>
      </c>
      <c r="U1693" s="155" t="s">
        <v>1899</v>
      </c>
      <c r="V1693" s="154" t="s">
        <v>1562</v>
      </c>
      <c r="W1693" s="154">
        <v>0</v>
      </c>
      <c r="X1693" s="154" t="s">
        <v>63</v>
      </c>
      <c r="Y1693" s="154" t="s">
        <v>1900</v>
      </c>
      <c r="Z1693" s="154"/>
      <c r="AA1693" s="154" t="s">
        <v>1387</v>
      </c>
      <c r="AB1693" s="154">
        <v>0</v>
      </c>
      <c r="AC1693" s="138">
        <f>IFERROR(IF(DATEDIF(#REF!,U1693,"m")&lt;=1,1,IF(AND(DATEDIF(#REF!,U1693,"m")&gt;1,DATEDIF(#REF!,U1693,"m")&lt;12),2,IF(AND(DATEDIF(#REF!,U1693,"m")&gt;=12,DATEDIF(#REF!,U1693,"m")&lt;24),3,IF(DATEDIF(#REF!,U1693,"m")&gt;=24,4,"")))),IF(E1693="r0320 - Deposits, not covered and not preferential",1,4))</f>
        <v>4</v>
      </c>
    </row>
    <row r="1694" spans="3:29" ht="48.75" thickBot="1" x14ac:dyDescent="0.3">
      <c r="C1694" s="11">
        <v>999</v>
      </c>
      <c r="D1694" s="154">
        <v>1687</v>
      </c>
      <c r="E1694" s="154" t="s">
        <v>1902</v>
      </c>
      <c r="F1694" s="154" t="s">
        <v>83</v>
      </c>
      <c r="G1694" s="154" t="s">
        <v>1903</v>
      </c>
      <c r="H1694" s="154" t="s">
        <v>804</v>
      </c>
      <c r="I1694" s="154" t="s">
        <v>93</v>
      </c>
      <c r="J1694" s="154" t="s">
        <v>94</v>
      </c>
      <c r="K1694" s="154" t="s">
        <v>60</v>
      </c>
      <c r="L1694" s="154" t="s">
        <v>1897</v>
      </c>
      <c r="M1694" s="154" t="s">
        <v>1388</v>
      </c>
      <c r="N1694" s="154" t="s">
        <v>61</v>
      </c>
      <c r="O1694" s="154" t="s">
        <v>62</v>
      </c>
      <c r="P1694" s="146">
        <v>132465.49</v>
      </c>
      <c r="Q1694" s="146">
        <v>13.87</v>
      </c>
      <c r="R1694" s="154" t="s">
        <v>1384</v>
      </c>
      <c r="S1694" s="154" t="s">
        <v>1899</v>
      </c>
      <c r="T1694" s="155" t="s">
        <v>768</v>
      </c>
      <c r="U1694" s="155" t="s">
        <v>1899</v>
      </c>
      <c r="V1694" s="154" t="s">
        <v>1904</v>
      </c>
      <c r="W1694" s="154">
        <v>0</v>
      </c>
      <c r="X1694" s="154" t="s">
        <v>63</v>
      </c>
      <c r="Y1694" s="154" t="s">
        <v>1386</v>
      </c>
      <c r="Z1694" s="154"/>
      <c r="AA1694" s="154" t="s">
        <v>1387</v>
      </c>
      <c r="AB1694" s="154">
        <v>0</v>
      </c>
      <c r="AC1694" s="138">
        <f>IFERROR(IF(DATEDIF(#REF!,U1694,"m")&lt;=1,1,IF(AND(DATEDIF(#REF!,U1694,"m")&gt;1,DATEDIF(#REF!,U1694,"m")&lt;12),2,IF(AND(DATEDIF(#REF!,U1694,"m")&gt;=12,DATEDIF(#REF!,U1694,"m")&lt;24),3,IF(DATEDIF(#REF!,U1694,"m")&gt;=24,4,"")))),IF(E1694="r0320 - Deposits, not covered and not preferential",1,4))</f>
        <v>4</v>
      </c>
    </row>
    <row r="1695" spans="3:29" ht="36.75" thickBot="1" x14ac:dyDescent="0.3">
      <c r="C1695" s="11">
        <v>999</v>
      </c>
      <c r="D1695" s="154">
        <v>1688</v>
      </c>
      <c r="E1695" s="154" t="s">
        <v>1898</v>
      </c>
      <c r="F1695" s="154" t="s">
        <v>87</v>
      </c>
      <c r="G1695" s="154" t="s">
        <v>1402</v>
      </c>
      <c r="H1695" s="154" t="s">
        <v>1228</v>
      </c>
      <c r="I1695" s="154" t="s">
        <v>96</v>
      </c>
      <c r="J1695" s="154" t="s">
        <v>97</v>
      </c>
      <c r="K1695" s="154" t="s">
        <v>91</v>
      </c>
      <c r="L1695" s="154" t="s">
        <v>1897</v>
      </c>
      <c r="M1695" s="154" t="s">
        <v>1383</v>
      </c>
      <c r="N1695" s="154" t="s">
        <v>61</v>
      </c>
      <c r="O1695" s="154" t="s">
        <v>62</v>
      </c>
      <c r="P1695" s="146">
        <v>196.48</v>
      </c>
      <c r="Q1695" s="146">
        <v>0</v>
      </c>
      <c r="R1695" s="154" t="s">
        <v>1384</v>
      </c>
      <c r="S1695" s="154" t="s">
        <v>1899</v>
      </c>
      <c r="T1695" s="155" t="s">
        <v>1899</v>
      </c>
      <c r="U1695" s="155" t="s">
        <v>1899</v>
      </c>
      <c r="V1695" s="154" t="s">
        <v>1562</v>
      </c>
      <c r="W1695" s="154">
        <v>0</v>
      </c>
      <c r="X1695" s="154" t="s">
        <v>63</v>
      </c>
      <c r="Y1695" s="154" t="s">
        <v>1900</v>
      </c>
      <c r="Z1695" s="154"/>
      <c r="AA1695" s="154" t="s">
        <v>1387</v>
      </c>
      <c r="AB1695" s="154">
        <v>0</v>
      </c>
      <c r="AC1695" s="138">
        <f>IFERROR(IF(DATEDIF(#REF!,U1695,"m")&lt;=1,1,IF(AND(DATEDIF(#REF!,U1695,"m")&gt;1,DATEDIF(#REF!,U1695,"m")&lt;12),2,IF(AND(DATEDIF(#REF!,U1695,"m")&gt;=12,DATEDIF(#REF!,U1695,"m")&lt;24),3,IF(DATEDIF(#REF!,U1695,"m")&gt;=24,4,"")))),IF(E1695="r0320 - Deposits, not covered and not preferential",1,4))</f>
        <v>4</v>
      </c>
    </row>
    <row r="1696" spans="3:29" ht="36.75" thickBot="1" x14ac:dyDescent="0.3">
      <c r="C1696" s="11">
        <v>999</v>
      </c>
      <c r="D1696" s="154">
        <v>1689</v>
      </c>
      <c r="E1696" s="154" t="s">
        <v>1898</v>
      </c>
      <c r="F1696" s="154" t="s">
        <v>87</v>
      </c>
      <c r="G1696" s="154" t="s">
        <v>1402</v>
      </c>
      <c r="H1696" s="154" t="s">
        <v>1317</v>
      </c>
      <c r="I1696" s="154" t="s">
        <v>96</v>
      </c>
      <c r="J1696" s="154" t="s">
        <v>97</v>
      </c>
      <c r="K1696" s="154" t="s">
        <v>91</v>
      </c>
      <c r="L1696" s="154" t="s">
        <v>1897</v>
      </c>
      <c r="M1696" s="154" t="s">
        <v>1383</v>
      </c>
      <c r="N1696" s="154" t="s">
        <v>61</v>
      </c>
      <c r="O1696" s="154" t="s">
        <v>62</v>
      </c>
      <c r="P1696" s="146">
        <v>0.01</v>
      </c>
      <c r="Q1696" s="146">
        <v>0</v>
      </c>
      <c r="R1696" s="154" t="s">
        <v>1384</v>
      </c>
      <c r="S1696" s="154" t="s">
        <v>1899</v>
      </c>
      <c r="T1696" s="155" t="s">
        <v>1899</v>
      </c>
      <c r="U1696" s="155" t="s">
        <v>1899</v>
      </c>
      <c r="V1696" s="154" t="s">
        <v>1562</v>
      </c>
      <c r="W1696" s="154">
        <v>0</v>
      </c>
      <c r="X1696" s="154" t="s">
        <v>63</v>
      </c>
      <c r="Y1696" s="154" t="s">
        <v>1900</v>
      </c>
      <c r="Z1696" s="154"/>
      <c r="AA1696" s="154" t="s">
        <v>1387</v>
      </c>
      <c r="AB1696" s="154">
        <v>0</v>
      </c>
      <c r="AC1696" s="138">
        <f>IFERROR(IF(DATEDIF(#REF!,U1696,"m")&lt;=1,1,IF(AND(DATEDIF(#REF!,U1696,"m")&gt;1,DATEDIF(#REF!,U1696,"m")&lt;12),2,IF(AND(DATEDIF(#REF!,U1696,"m")&gt;=12,DATEDIF(#REF!,U1696,"m")&lt;24),3,IF(DATEDIF(#REF!,U1696,"m")&gt;=24,4,"")))),IF(E1696="r0320 - Deposits, not covered and not preferential",1,4))</f>
        <v>4</v>
      </c>
    </row>
    <row r="1697" spans="3:29" ht="36.75" thickBot="1" x14ac:dyDescent="0.3">
      <c r="C1697" s="11">
        <v>999</v>
      </c>
      <c r="D1697" s="154">
        <v>1690</v>
      </c>
      <c r="E1697" s="154" t="s">
        <v>1898</v>
      </c>
      <c r="F1697" s="154" t="s">
        <v>87</v>
      </c>
      <c r="G1697" s="154" t="s">
        <v>1402</v>
      </c>
      <c r="H1697" s="154" t="s">
        <v>1270</v>
      </c>
      <c r="I1697" s="154" t="s">
        <v>96</v>
      </c>
      <c r="J1697" s="154" t="s">
        <v>97</v>
      </c>
      <c r="K1697" s="154" t="s">
        <v>91</v>
      </c>
      <c r="L1697" s="154" t="s">
        <v>1897</v>
      </c>
      <c r="M1697" s="154" t="s">
        <v>1383</v>
      </c>
      <c r="N1697" s="154" t="s">
        <v>61</v>
      </c>
      <c r="O1697" s="154" t="s">
        <v>62</v>
      </c>
      <c r="P1697" s="146">
        <v>2.21</v>
      </c>
      <c r="Q1697" s="146">
        <v>0</v>
      </c>
      <c r="R1697" s="154" t="s">
        <v>1384</v>
      </c>
      <c r="S1697" s="154" t="s">
        <v>1899</v>
      </c>
      <c r="T1697" s="155" t="s">
        <v>1899</v>
      </c>
      <c r="U1697" s="155" t="s">
        <v>1899</v>
      </c>
      <c r="V1697" s="154" t="s">
        <v>1562</v>
      </c>
      <c r="W1697" s="154">
        <v>0</v>
      </c>
      <c r="X1697" s="154" t="s">
        <v>63</v>
      </c>
      <c r="Y1697" s="154" t="s">
        <v>1900</v>
      </c>
      <c r="Z1697" s="154"/>
      <c r="AA1697" s="154" t="s">
        <v>1387</v>
      </c>
      <c r="AB1697" s="154">
        <v>0</v>
      </c>
      <c r="AC1697" s="138">
        <f>IFERROR(IF(DATEDIF(#REF!,U1697,"m")&lt;=1,1,IF(AND(DATEDIF(#REF!,U1697,"m")&gt;1,DATEDIF(#REF!,U1697,"m")&lt;12),2,IF(AND(DATEDIF(#REF!,U1697,"m")&gt;=12,DATEDIF(#REF!,U1697,"m")&lt;24),3,IF(DATEDIF(#REF!,U1697,"m")&gt;=24,4,"")))),IF(E1697="r0320 - Deposits, not covered and not preferential",1,4))</f>
        <v>4</v>
      </c>
    </row>
    <row r="1698" spans="3:29" ht="36.75" thickBot="1" x14ac:dyDescent="0.3">
      <c r="C1698" s="11">
        <v>999</v>
      </c>
      <c r="D1698" s="154">
        <v>1691</v>
      </c>
      <c r="E1698" s="154" t="s">
        <v>1898</v>
      </c>
      <c r="F1698" s="154" t="s">
        <v>87</v>
      </c>
      <c r="G1698" s="154" t="s">
        <v>1402</v>
      </c>
      <c r="H1698" s="154" t="s">
        <v>498</v>
      </c>
      <c r="I1698" s="154" t="s">
        <v>96</v>
      </c>
      <c r="J1698" s="154" t="s">
        <v>97</v>
      </c>
      <c r="K1698" s="154" t="s">
        <v>91</v>
      </c>
      <c r="L1698" s="154" t="s">
        <v>1897</v>
      </c>
      <c r="M1698" s="154" t="s">
        <v>1383</v>
      </c>
      <c r="N1698" s="154" t="s">
        <v>61</v>
      </c>
      <c r="O1698" s="154" t="s">
        <v>62</v>
      </c>
      <c r="P1698" s="146">
        <v>1.3</v>
      </c>
      <c r="Q1698" s="146">
        <v>0</v>
      </c>
      <c r="R1698" s="154" t="s">
        <v>1384</v>
      </c>
      <c r="S1698" s="154" t="s">
        <v>1899</v>
      </c>
      <c r="T1698" s="155" t="s">
        <v>1899</v>
      </c>
      <c r="U1698" s="155" t="s">
        <v>1899</v>
      </c>
      <c r="V1698" s="154" t="s">
        <v>1562</v>
      </c>
      <c r="W1698" s="154">
        <v>0</v>
      </c>
      <c r="X1698" s="154" t="s">
        <v>63</v>
      </c>
      <c r="Y1698" s="154" t="s">
        <v>1900</v>
      </c>
      <c r="Z1698" s="154"/>
      <c r="AA1698" s="154" t="s">
        <v>1387</v>
      </c>
      <c r="AB1698" s="154">
        <v>0</v>
      </c>
      <c r="AC1698" s="138">
        <f>IFERROR(IF(DATEDIF(#REF!,U1698,"m")&lt;=1,1,IF(AND(DATEDIF(#REF!,U1698,"m")&gt;1,DATEDIF(#REF!,U1698,"m")&lt;12),2,IF(AND(DATEDIF(#REF!,U1698,"m")&gt;=12,DATEDIF(#REF!,U1698,"m")&lt;24),3,IF(DATEDIF(#REF!,U1698,"m")&gt;=24,4,"")))),IF(E1698="r0320 - Deposits, not covered and not preferential",1,4))</f>
        <v>4</v>
      </c>
    </row>
    <row r="1699" spans="3:29" ht="36.75" thickBot="1" x14ac:dyDescent="0.3">
      <c r="C1699" s="11">
        <v>999</v>
      </c>
      <c r="D1699" s="154">
        <v>1692</v>
      </c>
      <c r="E1699" s="154" t="s">
        <v>1898</v>
      </c>
      <c r="F1699" s="154" t="s">
        <v>87</v>
      </c>
      <c r="G1699" s="154" t="s">
        <v>1402</v>
      </c>
      <c r="H1699" s="154" t="s">
        <v>480</v>
      </c>
      <c r="I1699" s="154" t="s">
        <v>96</v>
      </c>
      <c r="J1699" s="154" t="s">
        <v>97</v>
      </c>
      <c r="K1699" s="154" t="s">
        <v>91</v>
      </c>
      <c r="L1699" s="154" t="s">
        <v>1897</v>
      </c>
      <c r="M1699" s="154" t="s">
        <v>1383</v>
      </c>
      <c r="N1699" s="154" t="s">
        <v>61</v>
      </c>
      <c r="O1699" s="154" t="s">
        <v>62</v>
      </c>
      <c r="P1699" s="146">
        <v>13.63</v>
      </c>
      <c r="Q1699" s="146">
        <v>0</v>
      </c>
      <c r="R1699" s="154" t="s">
        <v>1384</v>
      </c>
      <c r="S1699" s="154" t="s">
        <v>1899</v>
      </c>
      <c r="T1699" s="155" t="s">
        <v>1899</v>
      </c>
      <c r="U1699" s="155" t="s">
        <v>1899</v>
      </c>
      <c r="V1699" s="154" t="s">
        <v>1562</v>
      </c>
      <c r="W1699" s="154">
        <v>0</v>
      </c>
      <c r="X1699" s="154" t="s">
        <v>63</v>
      </c>
      <c r="Y1699" s="154" t="s">
        <v>1900</v>
      </c>
      <c r="Z1699" s="154"/>
      <c r="AA1699" s="154" t="s">
        <v>1387</v>
      </c>
      <c r="AB1699" s="154">
        <v>0</v>
      </c>
      <c r="AC1699" s="138">
        <f>IFERROR(IF(DATEDIF(#REF!,U1699,"m")&lt;=1,1,IF(AND(DATEDIF(#REF!,U1699,"m")&gt;1,DATEDIF(#REF!,U1699,"m")&lt;12),2,IF(AND(DATEDIF(#REF!,U1699,"m")&gt;=12,DATEDIF(#REF!,U1699,"m")&lt;24),3,IF(DATEDIF(#REF!,U1699,"m")&gt;=24,4,"")))),IF(E1699="r0320 - Deposits, not covered and not preferential",1,4))</f>
        <v>4</v>
      </c>
    </row>
    <row r="1700" spans="3:29" ht="36.75" thickBot="1" x14ac:dyDescent="0.3">
      <c r="C1700" s="11">
        <v>999</v>
      </c>
      <c r="D1700" s="154">
        <v>1693</v>
      </c>
      <c r="E1700" s="154" t="s">
        <v>1898</v>
      </c>
      <c r="F1700" s="154" t="s">
        <v>87</v>
      </c>
      <c r="G1700" s="154" t="s">
        <v>1402</v>
      </c>
      <c r="H1700" s="154" t="s">
        <v>195</v>
      </c>
      <c r="I1700" s="154" t="s">
        <v>96</v>
      </c>
      <c r="J1700" s="154" t="s">
        <v>97</v>
      </c>
      <c r="K1700" s="154" t="s">
        <v>91</v>
      </c>
      <c r="L1700" s="154" t="s">
        <v>1897</v>
      </c>
      <c r="M1700" s="154" t="s">
        <v>1383</v>
      </c>
      <c r="N1700" s="154" t="s">
        <v>61</v>
      </c>
      <c r="O1700" s="154" t="s">
        <v>62</v>
      </c>
      <c r="P1700" s="146">
        <v>0.03</v>
      </c>
      <c r="Q1700" s="146">
        <v>0</v>
      </c>
      <c r="R1700" s="154" t="s">
        <v>1384</v>
      </c>
      <c r="S1700" s="154" t="s">
        <v>1899</v>
      </c>
      <c r="T1700" s="155" t="s">
        <v>1899</v>
      </c>
      <c r="U1700" s="155" t="s">
        <v>1899</v>
      </c>
      <c r="V1700" s="154" t="s">
        <v>1562</v>
      </c>
      <c r="W1700" s="154">
        <v>0</v>
      </c>
      <c r="X1700" s="154" t="s">
        <v>63</v>
      </c>
      <c r="Y1700" s="154" t="s">
        <v>1900</v>
      </c>
      <c r="Z1700" s="154"/>
      <c r="AA1700" s="154" t="s">
        <v>1387</v>
      </c>
      <c r="AB1700" s="154">
        <v>0</v>
      </c>
      <c r="AC1700" s="138">
        <f>IFERROR(IF(DATEDIF(#REF!,U1700,"m")&lt;=1,1,IF(AND(DATEDIF(#REF!,U1700,"m")&gt;1,DATEDIF(#REF!,U1700,"m")&lt;12),2,IF(AND(DATEDIF(#REF!,U1700,"m")&gt;=12,DATEDIF(#REF!,U1700,"m")&lt;24),3,IF(DATEDIF(#REF!,U1700,"m")&gt;=24,4,"")))),IF(E1700="r0320 - Deposits, not covered and not preferential",1,4))</f>
        <v>4</v>
      </c>
    </row>
    <row r="1701" spans="3:29" ht="36.75" thickBot="1" x14ac:dyDescent="0.3">
      <c r="C1701" s="11">
        <v>999</v>
      </c>
      <c r="D1701" s="154">
        <v>1694</v>
      </c>
      <c r="E1701" s="154" t="s">
        <v>1898</v>
      </c>
      <c r="F1701" s="154" t="s">
        <v>87</v>
      </c>
      <c r="G1701" s="154" t="s">
        <v>1402</v>
      </c>
      <c r="H1701" s="154" t="s">
        <v>1348</v>
      </c>
      <c r="I1701" s="154" t="s">
        <v>142</v>
      </c>
      <c r="J1701" s="154" t="s">
        <v>143</v>
      </c>
      <c r="K1701" s="154" t="s">
        <v>60</v>
      </c>
      <c r="L1701" s="154" t="s">
        <v>1897</v>
      </c>
      <c r="M1701" s="154" t="s">
        <v>1383</v>
      </c>
      <c r="N1701" s="154" t="s">
        <v>61</v>
      </c>
      <c r="O1701" s="154" t="s">
        <v>62</v>
      </c>
      <c r="P1701" s="146">
        <v>9.64</v>
      </c>
      <c r="Q1701" s="146">
        <v>0</v>
      </c>
      <c r="R1701" s="154" t="s">
        <v>1384</v>
      </c>
      <c r="S1701" s="154" t="s">
        <v>1899</v>
      </c>
      <c r="T1701" s="155" t="s">
        <v>1899</v>
      </c>
      <c r="U1701" s="155" t="s">
        <v>1899</v>
      </c>
      <c r="V1701" s="154" t="s">
        <v>1562</v>
      </c>
      <c r="W1701" s="154">
        <v>0</v>
      </c>
      <c r="X1701" s="154" t="s">
        <v>63</v>
      </c>
      <c r="Y1701" s="154" t="s">
        <v>1900</v>
      </c>
      <c r="Z1701" s="154"/>
      <c r="AA1701" s="154" t="s">
        <v>1387</v>
      </c>
      <c r="AB1701" s="154">
        <v>0</v>
      </c>
      <c r="AC1701" s="138">
        <f>IFERROR(IF(DATEDIF(#REF!,U1701,"m")&lt;=1,1,IF(AND(DATEDIF(#REF!,U1701,"m")&gt;1,DATEDIF(#REF!,U1701,"m")&lt;12),2,IF(AND(DATEDIF(#REF!,U1701,"m")&gt;=12,DATEDIF(#REF!,U1701,"m")&lt;24),3,IF(DATEDIF(#REF!,U1701,"m")&gt;=24,4,"")))),IF(E1701="r0320 - Deposits, not covered and not preferential",1,4))</f>
        <v>4</v>
      </c>
    </row>
    <row r="1702" spans="3:29" ht="48.75" thickBot="1" x14ac:dyDescent="0.3">
      <c r="C1702" s="11">
        <v>999</v>
      </c>
      <c r="D1702" s="154">
        <v>1695</v>
      </c>
      <c r="E1702" s="154" t="s">
        <v>1902</v>
      </c>
      <c r="F1702" s="154" t="s">
        <v>83</v>
      </c>
      <c r="G1702" s="154" t="s">
        <v>1903</v>
      </c>
      <c r="H1702" s="154" t="s">
        <v>1319</v>
      </c>
      <c r="I1702" s="154" t="s">
        <v>93</v>
      </c>
      <c r="J1702" s="154" t="s">
        <v>94</v>
      </c>
      <c r="K1702" s="154" t="s">
        <v>60</v>
      </c>
      <c r="L1702" s="154" t="s">
        <v>1897</v>
      </c>
      <c r="M1702" s="154" t="s">
        <v>1388</v>
      </c>
      <c r="N1702" s="154" t="s">
        <v>61</v>
      </c>
      <c r="O1702" s="154" t="s">
        <v>62</v>
      </c>
      <c r="P1702" s="146">
        <v>57127.72</v>
      </c>
      <c r="Q1702" s="146">
        <v>3.14</v>
      </c>
      <c r="R1702" s="154" t="s">
        <v>1384</v>
      </c>
      <c r="S1702" s="154" t="s">
        <v>1899</v>
      </c>
      <c r="T1702" s="155" t="s">
        <v>768</v>
      </c>
      <c r="U1702" s="155" t="s">
        <v>1899</v>
      </c>
      <c r="V1702" s="154" t="s">
        <v>1904</v>
      </c>
      <c r="W1702" s="154">
        <v>0</v>
      </c>
      <c r="X1702" s="154" t="s">
        <v>63</v>
      </c>
      <c r="Y1702" s="154" t="s">
        <v>1386</v>
      </c>
      <c r="Z1702" s="154"/>
      <c r="AA1702" s="154" t="s">
        <v>1387</v>
      </c>
      <c r="AB1702" s="154">
        <v>0</v>
      </c>
      <c r="AC1702" s="138">
        <f>IFERROR(IF(DATEDIF(#REF!,U1702,"m")&lt;=1,1,IF(AND(DATEDIF(#REF!,U1702,"m")&gt;1,DATEDIF(#REF!,U1702,"m")&lt;12),2,IF(AND(DATEDIF(#REF!,U1702,"m")&gt;=12,DATEDIF(#REF!,U1702,"m")&lt;24),3,IF(DATEDIF(#REF!,U1702,"m")&gt;=24,4,"")))),IF(E1702="r0320 - Deposits, not covered and not preferential",1,4))</f>
        <v>4</v>
      </c>
    </row>
    <row r="1703" spans="3:29" ht="36.75" thickBot="1" x14ac:dyDescent="0.3">
      <c r="C1703" s="11">
        <v>999</v>
      </c>
      <c r="D1703" s="154">
        <v>1696</v>
      </c>
      <c r="E1703" s="154" t="s">
        <v>1898</v>
      </c>
      <c r="F1703" s="154" t="s">
        <v>83</v>
      </c>
      <c r="G1703" s="154" t="s">
        <v>1402</v>
      </c>
      <c r="H1703" s="154" t="s">
        <v>454</v>
      </c>
      <c r="I1703" s="154" t="s">
        <v>85</v>
      </c>
      <c r="J1703" s="154" t="s">
        <v>86</v>
      </c>
      <c r="K1703" s="154" t="s">
        <v>60</v>
      </c>
      <c r="L1703" s="154" t="s">
        <v>1897</v>
      </c>
      <c r="M1703" s="154" t="s">
        <v>1388</v>
      </c>
      <c r="N1703" s="154" t="s">
        <v>61</v>
      </c>
      <c r="O1703" s="154" t="s">
        <v>62</v>
      </c>
      <c r="P1703" s="146">
        <v>1948.32</v>
      </c>
      <c r="Q1703" s="146">
        <v>0</v>
      </c>
      <c r="R1703" s="154" t="s">
        <v>1384</v>
      </c>
      <c r="S1703" s="154" t="s">
        <v>1899</v>
      </c>
      <c r="T1703" s="155" t="s">
        <v>1899</v>
      </c>
      <c r="U1703" s="155" t="s">
        <v>1899</v>
      </c>
      <c r="V1703" s="154" t="s">
        <v>1562</v>
      </c>
      <c r="W1703" s="154">
        <v>0</v>
      </c>
      <c r="X1703" s="154" t="s">
        <v>63</v>
      </c>
      <c r="Y1703" s="154" t="s">
        <v>1900</v>
      </c>
      <c r="Z1703" s="154"/>
      <c r="AA1703" s="154" t="s">
        <v>1387</v>
      </c>
      <c r="AB1703" s="154">
        <v>0</v>
      </c>
      <c r="AC1703" s="138">
        <f>IFERROR(IF(DATEDIF(#REF!,U1703,"m")&lt;=1,1,IF(AND(DATEDIF(#REF!,U1703,"m")&gt;1,DATEDIF(#REF!,U1703,"m")&lt;12),2,IF(AND(DATEDIF(#REF!,U1703,"m")&gt;=12,DATEDIF(#REF!,U1703,"m")&lt;24),3,IF(DATEDIF(#REF!,U1703,"m")&gt;=24,4,"")))),IF(E1703="r0320 - Deposits, not covered and not preferential",1,4))</f>
        <v>4</v>
      </c>
    </row>
    <row r="1704" spans="3:29" ht="48.75" thickBot="1" x14ac:dyDescent="0.3">
      <c r="C1704" s="11">
        <v>999</v>
      </c>
      <c r="D1704" s="154">
        <v>1697</v>
      </c>
      <c r="E1704" s="154" t="s">
        <v>1902</v>
      </c>
      <c r="F1704" s="154" t="s">
        <v>83</v>
      </c>
      <c r="G1704" s="154" t="s">
        <v>1903</v>
      </c>
      <c r="H1704" s="154" t="s">
        <v>1291</v>
      </c>
      <c r="I1704" s="154" t="s">
        <v>93</v>
      </c>
      <c r="J1704" s="154" t="s">
        <v>94</v>
      </c>
      <c r="K1704" s="154" t="s">
        <v>60</v>
      </c>
      <c r="L1704" s="154" t="s">
        <v>1897</v>
      </c>
      <c r="M1704" s="154" t="s">
        <v>1388</v>
      </c>
      <c r="N1704" s="154" t="s">
        <v>61</v>
      </c>
      <c r="O1704" s="154" t="s">
        <v>62</v>
      </c>
      <c r="P1704" s="146">
        <v>38074.339999999997</v>
      </c>
      <c r="Q1704" s="146">
        <v>0</v>
      </c>
      <c r="R1704" s="154" t="s">
        <v>1384</v>
      </c>
      <c r="S1704" s="154" t="s">
        <v>1899</v>
      </c>
      <c r="T1704" s="155" t="s">
        <v>768</v>
      </c>
      <c r="U1704" s="155" t="s">
        <v>1899</v>
      </c>
      <c r="V1704" s="154" t="s">
        <v>1904</v>
      </c>
      <c r="W1704" s="154">
        <v>0</v>
      </c>
      <c r="X1704" s="154" t="s">
        <v>63</v>
      </c>
      <c r="Y1704" s="154" t="s">
        <v>1386</v>
      </c>
      <c r="Z1704" s="154"/>
      <c r="AA1704" s="154" t="s">
        <v>1387</v>
      </c>
      <c r="AB1704" s="154">
        <v>0</v>
      </c>
      <c r="AC1704" s="138">
        <f>IFERROR(IF(DATEDIF(#REF!,U1704,"m")&lt;=1,1,IF(AND(DATEDIF(#REF!,U1704,"m")&gt;1,DATEDIF(#REF!,U1704,"m")&lt;12),2,IF(AND(DATEDIF(#REF!,U1704,"m")&gt;=12,DATEDIF(#REF!,U1704,"m")&lt;24),3,IF(DATEDIF(#REF!,U1704,"m")&gt;=24,4,"")))),IF(E1704="r0320 - Deposits, not covered and not preferential",1,4))</f>
        <v>4</v>
      </c>
    </row>
    <row r="1705" spans="3:29" ht="36.75" thickBot="1" x14ac:dyDescent="0.3">
      <c r="C1705" s="11">
        <v>999</v>
      </c>
      <c r="D1705" s="154">
        <v>1698</v>
      </c>
      <c r="E1705" s="154" t="s">
        <v>1898</v>
      </c>
      <c r="F1705" s="154" t="s">
        <v>83</v>
      </c>
      <c r="G1705" s="154" t="s">
        <v>1402</v>
      </c>
      <c r="H1705" s="154" t="s">
        <v>802</v>
      </c>
      <c r="I1705" s="154" t="s">
        <v>85</v>
      </c>
      <c r="J1705" s="154" t="s">
        <v>86</v>
      </c>
      <c r="K1705" s="154" t="s">
        <v>60</v>
      </c>
      <c r="L1705" s="154" t="s">
        <v>1897</v>
      </c>
      <c r="M1705" s="154" t="s">
        <v>1388</v>
      </c>
      <c r="N1705" s="154" t="s">
        <v>61</v>
      </c>
      <c r="O1705" s="154" t="s">
        <v>62</v>
      </c>
      <c r="P1705" s="146">
        <v>396.67</v>
      </c>
      <c r="Q1705" s="146">
        <v>0</v>
      </c>
      <c r="R1705" s="154" t="s">
        <v>1384</v>
      </c>
      <c r="S1705" s="154" t="s">
        <v>1899</v>
      </c>
      <c r="T1705" s="155" t="s">
        <v>1899</v>
      </c>
      <c r="U1705" s="155" t="s">
        <v>1899</v>
      </c>
      <c r="V1705" s="154" t="s">
        <v>1562</v>
      </c>
      <c r="W1705" s="154">
        <v>0</v>
      </c>
      <c r="X1705" s="154" t="s">
        <v>63</v>
      </c>
      <c r="Y1705" s="154" t="s">
        <v>1900</v>
      </c>
      <c r="Z1705" s="154"/>
      <c r="AA1705" s="154" t="s">
        <v>1387</v>
      </c>
      <c r="AB1705" s="154">
        <v>0</v>
      </c>
      <c r="AC1705" s="138">
        <f>IFERROR(IF(DATEDIF(#REF!,U1705,"m")&lt;=1,1,IF(AND(DATEDIF(#REF!,U1705,"m")&gt;1,DATEDIF(#REF!,U1705,"m")&lt;12),2,IF(AND(DATEDIF(#REF!,U1705,"m")&gt;=12,DATEDIF(#REF!,U1705,"m")&lt;24),3,IF(DATEDIF(#REF!,U1705,"m")&gt;=24,4,"")))),IF(E1705="r0320 - Deposits, not covered and not preferential",1,4))</f>
        <v>4</v>
      </c>
    </row>
    <row r="1706" spans="3:29" ht="36.75" thickBot="1" x14ac:dyDescent="0.3">
      <c r="C1706" s="11">
        <v>999</v>
      </c>
      <c r="D1706" s="154">
        <v>1699</v>
      </c>
      <c r="E1706" s="154" t="s">
        <v>1898</v>
      </c>
      <c r="F1706" s="154" t="s">
        <v>87</v>
      </c>
      <c r="G1706" s="154" t="s">
        <v>1402</v>
      </c>
      <c r="H1706" s="154" t="s">
        <v>1339</v>
      </c>
      <c r="I1706" s="154" t="s">
        <v>99</v>
      </c>
      <c r="J1706" s="154" t="s">
        <v>90</v>
      </c>
      <c r="K1706" s="154" t="s">
        <v>91</v>
      </c>
      <c r="L1706" s="154" t="s">
        <v>1897</v>
      </c>
      <c r="M1706" s="154" t="s">
        <v>1383</v>
      </c>
      <c r="N1706" s="154" t="s">
        <v>61</v>
      </c>
      <c r="O1706" s="154" t="s">
        <v>62</v>
      </c>
      <c r="P1706" s="146">
        <v>4.01</v>
      </c>
      <c r="Q1706" s="146">
        <v>0</v>
      </c>
      <c r="R1706" s="154" t="s">
        <v>1384</v>
      </c>
      <c r="S1706" s="154" t="s">
        <v>1899</v>
      </c>
      <c r="T1706" s="155" t="s">
        <v>1899</v>
      </c>
      <c r="U1706" s="155" t="s">
        <v>1899</v>
      </c>
      <c r="V1706" s="154" t="s">
        <v>1562</v>
      </c>
      <c r="W1706" s="154">
        <v>0</v>
      </c>
      <c r="X1706" s="154" t="s">
        <v>63</v>
      </c>
      <c r="Y1706" s="154" t="s">
        <v>1900</v>
      </c>
      <c r="Z1706" s="154"/>
      <c r="AA1706" s="154" t="s">
        <v>1387</v>
      </c>
      <c r="AB1706" s="154">
        <v>0</v>
      </c>
      <c r="AC1706" s="138">
        <f>IFERROR(IF(DATEDIF(#REF!,U1706,"m")&lt;=1,1,IF(AND(DATEDIF(#REF!,U1706,"m")&gt;1,DATEDIF(#REF!,U1706,"m")&lt;12),2,IF(AND(DATEDIF(#REF!,U1706,"m")&gt;=12,DATEDIF(#REF!,U1706,"m")&lt;24),3,IF(DATEDIF(#REF!,U1706,"m")&gt;=24,4,"")))),IF(E1706="r0320 - Deposits, not covered and not preferential",1,4))</f>
        <v>4</v>
      </c>
    </row>
    <row r="1707" spans="3:29" ht="36.75" thickBot="1" x14ac:dyDescent="0.3">
      <c r="C1707" s="11">
        <v>999</v>
      </c>
      <c r="D1707" s="154">
        <v>1700</v>
      </c>
      <c r="E1707" s="154" t="s">
        <v>1898</v>
      </c>
      <c r="F1707" s="154" t="s">
        <v>83</v>
      </c>
      <c r="G1707" s="154" t="s">
        <v>1402</v>
      </c>
      <c r="H1707" s="154" t="s">
        <v>1272</v>
      </c>
      <c r="I1707" s="154" t="s">
        <v>85</v>
      </c>
      <c r="J1707" s="154" t="s">
        <v>86</v>
      </c>
      <c r="K1707" s="154" t="s">
        <v>60</v>
      </c>
      <c r="L1707" s="154" t="s">
        <v>1897</v>
      </c>
      <c r="M1707" s="154" t="s">
        <v>1388</v>
      </c>
      <c r="N1707" s="154" t="s">
        <v>61</v>
      </c>
      <c r="O1707" s="154" t="s">
        <v>62</v>
      </c>
      <c r="P1707" s="146">
        <v>360.01</v>
      </c>
      <c r="Q1707" s="146">
        <v>0</v>
      </c>
      <c r="R1707" s="154" t="s">
        <v>1384</v>
      </c>
      <c r="S1707" s="154" t="s">
        <v>1899</v>
      </c>
      <c r="T1707" s="155" t="s">
        <v>1899</v>
      </c>
      <c r="U1707" s="155" t="s">
        <v>1899</v>
      </c>
      <c r="V1707" s="154" t="s">
        <v>1562</v>
      </c>
      <c r="W1707" s="154">
        <v>0</v>
      </c>
      <c r="X1707" s="154" t="s">
        <v>63</v>
      </c>
      <c r="Y1707" s="154" t="s">
        <v>1900</v>
      </c>
      <c r="Z1707" s="154"/>
      <c r="AA1707" s="154" t="s">
        <v>1387</v>
      </c>
      <c r="AB1707" s="154">
        <v>0</v>
      </c>
      <c r="AC1707" s="138">
        <f>IFERROR(IF(DATEDIF(#REF!,U1707,"m")&lt;=1,1,IF(AND(DATEDIF(#REF!,U1707,"m")&gt;1,DATEDIF(#REF!,U1707,"m")&lt;12),2,IF(AND(DATEDIF(#REF!,U1707,"m")&gt;=12,DATEDIF(#REF!,U1707,"m")&lt;24),3,IF(DATEDIF(#REF!,U1707,"m")&gt;=24,4,"")))),IF(E1707="r0320 - Deposits, not covered and not preferential",1,4))</f>
        <v>4</v>
      </c>
    </row>
    <row r="1708" spans="3:29" ht="36.75" thickBot="1" x14ac:dyDescent="0.3">
      <c r="C1708" s="11">
        <v>999</v>
      </c>
      <c r="D1708" s="154">
        <v>1701</v>
      </c>
      <c r="E1708" s="154" t="s">
        <v>1898</v>
      </c>
      <c r="F1708" s="154" t="s">
        <v>87</v>
      </c>
      <c r="G1708" s="154" t="s">
        <v>1402</v>
      </c>
      <c r="H1708" s="154" t="s">
        <v>859</v>
      </c>
      <c r="I1708" s="154" t="s">
        <v>96</v>
      </c>
      <c r="J1708" s="154" t="s">
        <v>97</v>
      </c>
      <c r="K1708" s="154" t="s">
        <v>91</v>
      </c>
      <c r="L1708" s="154" t="s">
        <v>1897</v>
      </c>
      <c r="M1708" s="154" t="s">
        <v>1383</v>
      </c>
      <c r="N1708" s="154" t="s">
        <v>61</v>
      </c>
      <c r="O1708" s="154" t="s">
        <v>62</v>
      </c>
      <c r="P1708" s="146">
        <v>0.08</v>
      </c>
      <c r="Q1708" s="146">
        <v>0</v>
      </c>
      <c r="R1708" s="154" t="s">
        <v>1384</v>
      </c>
      <c r="S1708" s="154" t="s">
        <v>1899</v>
      </c>
      <c r="T1708" s="155" t="s">
        <v>1899</v>
      </c>
      <c r="U1708" s="155" t="s">
        <v>1899</v>
      </c>
      <c r="V1708" s="154" t="s">
        <v>1562</v>
      </c>
      <c r="W1708" s="154">
        <v>0</v>
      </c>
      <c r="X1708" s="154" t="s">
        <v>63</v>
      </c>
      <c r="Y1708" s="154" t="s">
        <v>1900</v>
      </c>
      <c r="Z1708" s="154"/>
      <c r="AA1708" s="154" t="s">
        <v>1387</v>
      </c>
      <c r="AB1708" s="154">
        <v>0</v>
      </c>
      <c r="AC1708" s="138">
        <f>IFERROR(IF(DATEDIF(#REF!,U1708,"m")&lt;=1,1,IF(AND(DATEDIF(#REF!,U1708,"m")&gt;1,DATEDIF(#REF!,U1708,"m")&lt;12),2,IF(AND(DATEDIF(#REF!,U1708,"m")&gt;=12,DATEDIF(#REF!,U1708,"m")&lt;24),3,IF(DATEDIF(#REF!,U1708,"m")&gt;=24,4,"")))),IF(E1708="r0320 - Deposits, not covered and not preferential",1,4))</f>
        <v>4</v>
      </c>
    </row>
    <row r="1709" spans="3:29" ht="36.75" thickBot="1" x14ac:dyDescent="0.3">
      <c r="C1709" s="11">
        <v>999</v>
      </c>
      <c r="D1709" s="154">
        <v>1702</v>
      </c>
      <c r="E1709" s="154" t="s">
        <v>1898</v>
      </c>
      <c r="F1709" s="154" t="s">
        <v>83</v>
      </c>
      <c r="G1709" s="154" t="s">
        <v>1402</v>
      </c>
      <c r="H1709" s="154" t="s">
        <v>84</v>
      </c>
      <c r="I1709" s="154" t="s">
        <v>85</v>
      </c>
      <c r="J1709" s="154" t="s">
        <v>86</v>
      </c>
      <c r="K1709" s="154" t="s">
        <v>60</v>
      </c>
      <c r="L1709" s="154" t="s">
        <v>1897</v>
      </c>
      <c r="M1709" s="154" t="s">
        <v>1388</v>
      </c>
      <c r="N1709" s="154" t="s">
        <v>61</v>
      </c>
      <c r="O1709" s="154" t="s">
        <v>62</v>
      </c>
      <c r="P1709" s="146">
        <v>33.17</v>
      </c>
      <c r="Q1709" s="146">
        <v>0</v>
      </c>
      <c r="R1709" s="154" t="s">
        <v>1384</v>
      </c>
      <c r="S1709" s="154" t="s">
        <v>1899</v>
      </c>
      <c r="T1709" s="155" t="s">
        <v>1899</v>
      </c>
      <c r="U1709" s="155" t="s">
        <v>1899</v>
      </c>
      <c r="V1709" s="154" t="s">
        <v>1562</v>
      </c>
      <c r="W1709" s="154">
        <v>0</v>
      </c>
      <c r="X1709" s="154" t="s">
        <v>63</v>
      </c>
      <c r="Y1709" s="154" t="s">
        <v>1900</v>
      </c>
      <c r="Z1709" s="154"/>
      <c r="AA1709" s="154" t="s">
        <v>1387</v>
      </c>
      <c r="AB1709" s="154">
        <v>0</v>
      </c>
      <c r="AC1709" s="138">
        <f>IFERROR(IF(DATEDIF(#REF!,U1709,"m")&lt;=1,1,IF(AND(DATEDIF(#REF!,U1709,"m")&gt;1,DATEDIF(#REF!,U1709,"m")&lt;12),2,IF(AND(DATEDIF(#REF!,U1709,"m")&gt;=12,DATEDIF(#REF!,U1709,"m")&lt;24),3,IF(DATEDIF(#REF!,U1709,"m")&gt;=24,4,"")))),IF(E1709="r0320 - Deposits, not covered and not preferential",1,4))</f>
        <v>4</v>
      </c>
    </row>
    <row r="1710" spans="3:29" ht="36.75" thickBot="1" x14ac:dyDescent="0.3">
      <c r="C1710" s="11">
        <v>999</v>
      </c>
      <c r="D1710" s="154">
        <v>1703</v>
      </c>
      <c r="E1710" s="154" t="s">
        <v>1898</v>
      </c>
      <c r="F1710" s="154" t="s">
        <v>83</v>
      </c>
      <c r="G1710" s="154" t="s">
        <v>1402</v>
      </c>
      <c r="H1710" s="154" t="s">
        <v>57</v>
      </c>
      <c r="I1710" s="154" t="s">
        <v>89</v>
      </c>
      <c r="J1710" s="154" t="s">
        <v>90</v>
      </c>
      <c r="K1710" s="154" t="s">
        <v>91</v>
      </c>
      <c r="L1710" s="154" t="s">
        <v>1901</v>
      </c>
      <c r="M1710" s="154" t="s">
        <v>1383</v>
      </c>
      <c r="N1710" s="154" t="s">
        <v>61</v>
      </c>
      <c r="O1710" s="154" t="s">
        <v>62</v>
      </c>
      <c r="P1710" s="146">
        <v>6111.68</v>
      </c>
      <c r="Q1710" s="146">
        <v>0</v>
      </c>
      <c r="R1710" s="154" t="s">
        <v>1384</v>
      </c>
      <c r="S1710" s="154" t="s">
        <v>1899</v>
      </c>
      <c r="T1710" s="155" t="s">
        <v>1899</v>
      </c>
      <c r="U1710" s="155" t="s">
        <v>1899</v>
      </c>
      <c r="V1710" s="154" t="s">
        <v>1562</v>
      </c>
      <c r="W1710" s="154">
        <v>0</v>
      </c>
      <c r="X1710" s="154" t="s">
        <v>63</v>
      </c>
      <c r="Y1710" s="154" t="s">
        <v>1900</v>
      </c>
      <c r="Z1710" s="154"/>
      <c r="AA1710" s="154" t="s">
        <v>1387</v>
      </c>
      <c r="AB1710" s="154">
        <v>0</v>
      </c>
      <c r="AC1710" s="138">
        <f>IFERROR(IF(DATEDIF(#REF!,U1710,"m")&lt;=1,1,IF(AND(DATEDIF(#REF!,U1710,"m")&gt;1,DATEDIF(#REF!,U1710,"m")&lt;12),2,IF(AND(DATEDIF(#REF!,U1710,"m")&gt;=12,DATEDIF(#REF!,U1710,"m")&lt;24),3,IF(DATEDIF(#REF!,U1710,"m")&gt;=24,4,"")))),IF(E1710="r0320 - Deposits, not covered and not preferential",1,4))</f>
        <v>4</v>
      </c>
    </row>
    <row r="1711" spans="3:29" ht="36.75" thickBot="1" x14ac:dyDescent="0.3">
      <c r="C1711" s="11">
        <v>999</v>
      </c>
      <c r="D1711" s="154">
        <v>1704</v>
      </c>
      <c r="E1711" s="154" t="s">
        <v>1898</v>
      </c>
      <c r="F1711" s="154" t="s">
        <v>83</v>
      </c>
      <c r="G1711" s="154" t="s">
        <v>1402</v>
      </c>
      <c r="H1711" s="154" t="s">
        <v>1351</v>
      </c>
      <c r="I1711" s="154" t="s">
        <v>153</v>
      </c>
      <c r="J1711" s="154" t="s">
        <v>154</v>
      </c>
      <c r="K1711" s="154" t="s">
        <v>60</v>
      </c>
      <c r="L1711" s="154" t="s">
        <v>1897</v>
      </c>
      <c r="M1711" s="154" t="s">
        <v>1388</v>
      </c>
      <c r="N1711" s="154" t="s">
        <v>61</v>
      </c>
      <c r="O1711" s="154" t="s">
        <v>62</v>
      </c>
      <c r="P1711" s="146">
        <v>7353.74</v>
      </c>
      <c r="Q1711" s="146">
        <v>0</v>
      </c>
      <c r="R1711" s="154" t="s">
        <v>1384</v>
      </c>
      <c r="S1711" s="154" t="s">
        <v>1899</v>
      </c>
      <c r="T1711" s="155" t="s">
        <v>1899</v>
      </c>
      <c r="U1711" s="155" t="s">
        <v>1899</v>
      </c>
      <c r="V1711" s="154" t="s">
        <v>1562</v>
      </c>
      <c r="W1711" s="154">
        <v>0</v>
      </c>
      <c r="X1711" s="154" t="s">
        <v>63</v>
      </c>
      <c r="Y1711" s="154" t="s">
        <v>1900</v>
      </c>
      <c r="Z1711" s="154"/>
      <c r="AA1711" s="154" t="s">
        <v>1387</v>
      </c>
      <c r="AB1711" s="154">
        <v>0</v>
      </c>
      <c r="AC1711" s="138">
        <f>IFERROR(IF(DATEDIF(#REF!,U1711,"m")&lt;=1,1,IF(AND(DATEDIF(#REF!,U1711,"m")&gt;1,DATEDIF(#REF!,U1711,"m")&lt;12),2,IF(AND(DATEDIF(#REF!,U1711,"m")&gt;=12,DATEDIF(#REF!,U1711,"m")&lt;24),3,IF(DATEDIF(#REF!,U1711,"m")&gt;=24,4,"")))),IF(E1711="r0320 - Deposits, not covered and not preferential",1,4))</f>
        <v>4</v>
      </c>
    </row>
    <row r="1712" spans="3:29" ht="36.75" thickBot="1" x14ac:dyDescent="0.3">
      <c r="C1712" s="11">
        <v>999</v>
      </c>
      <c r="D1712" s="154">
        <v>1705</v>
      </c>
      <c r="E1712" s="154" t="s">
        <v>1898</v>
      </c>
      <c r="F1712" s="154" t="s">
        <v>83</v>
      </c>
      <c r="G1712" s="154" t="s">
        <v>1402</v>
      </c>
      <c r="H1712" s="154" t="s">
        <v>878</v>
      </c>
      <c r="I1712" s="154" t="s">
        <v>153</v>
      </c>
      <c r="J1712" s="154" t="s">
        <v>154</v>
      </c>
      <c r="K1712" s="154" t="s">
        <v>60</v>
      </c>
      <c r="L1712" s="154" t="s">
        <v>1897</v>
      </c>
      <c r="M1712" s="154" t="s">
        <v>1388</v>
      </c>
      <c r="N1712" s="154" t="s">
        <v>61</v>
      </c>
      <c r="O1712" s="154" t="s">
        <v>62</v>
      </c>
      <c r="P1712" s="146">
        <v>43370.31</v>
      </c>
      <c r="Q1712" s="146">
        <v>0</v>
      </c>
      <c r="R1712" s="154" t="s">
        <v>1384</v>
      </c>
      <c r="S1712" s="154" t="s">
        <v>1899</v>
      </c>
      <c r="T1712" s="155" t="s">
        <v>1899</v>
      </c>
      <c r="U1712" s="155" t="s">
        <v>1899</v>
      </c>
      <c r="V1712" s="154" t="s">
        <v>1562</v>
      </c>
      <c r="W1712" s="154">
        <v>0</v>
      </c>
      <c r="X1712" s="154" t="s">
        <v>63</v>
      </c>
      <c r="Y1712" s="154" t="s">
        <v>1900</v>
      </c>
      <c r="Z1712" s="154"/>
      <c r="AA1712" s="154" t="s">
        <v>1387</v>
      </c>
      <c r="AB1712" s="154">
        <v>0</v>
      </c>
      <c r="AC1712" s="138">
        <f>IFERROR(IF(DATEDIF(#REF!,U1712,"m")&lt;=1,1,IF(AND(DATEDIF(#REF!,U1712,"m")&gt;1,DATEDIF(#REF!,U1712,"m")&lt;12),2,IF(AND(DATEDIF(#REF!,U1712,"m")&gt;=12,DATEDIF(#REF!,U1712,"m")&lt;24),3,IF(DATEDIF(#REF!,U1712,"m")&gt;=24,4,"")))),IF(E1712="r0320 - Deposits, not covered and not preferential",1,4))</f>
        <v>4</v>
      </c>
    </row>
    <row r="1713" spans="3:29" ht="48.75" thickBot="1" x14ac:dyDescent="0.3">
      <c r="C1713" s="11">
        <v>999</v>
      </c>
      <c r="D1713" s="154">
        <v>1706</v>
      </c>
      <c r="E1713" s="154" t="s">
        <v>1902</v>
      </c>
      <c r="F1713" s="154" t="s">
        <v>83</v>
      </c>
      <c r="G1713" s="154" t="s">
        <v>1903</v>
      </c>
      <c r="H1713" s="154" t="s">
        <v>835</v>
      </c>
      <c r="I1713" s="154" t="s">
        <v>101</v>
      </c>
      <c r="J1713" s="154" t="s">
        <v>102</v>
      </c>
      <c r="K1713" s="154" t="s">
        <v>60</v>
      </c>
      <c r="L1713" s="154" t="s">
        <v>1897</v>
      </c>
      <c r="M1713" s="154" t="s">
        <v>1388</v>
      </c>
      <c r="N1713" s="154" t="s">
        <v>61</v>
      </c>
      <c r="O1713" s="154" t="s">
        <v>62</v>
      </c>
      <c r="P1713" s="146">
        <v>26316.39</v>
      </c>
      <c r="Q1713" s="146">
        <v>41.93</v>
      </c>
      <c r="R1713" s="154" t="s">
        <v>1384</v>
      </c>
      <c r="S1713" s="154" t="s">
        <v>1899</v>
      </c>
      <c r="T1713" s="155" t="s">
        <v>768</v>
      </c>
      <c r="U1713" s="155" t="s">
        <v>1899</v>
      </c>
      <c r="V1713" s="154" t="s">
        <v>1904</v>
      </c>
      <c r="W1713" s="154">
        <v>0</v>
      </c>
      <c r="X1713" s="154" t="s">
        <v>63</v>
      </c>
      <c r="Y1713" s="154" t="s">
        <v>1386</v>
      </c>
      <c r="Z1713" s="154"/>
      <c r="AA1713" s="154" t="s">
        <v>1387</v>
      </c>
      <c r="AB1713" s="154">
        <v>0</v>
      </c>
      <c r="AC1713" s="138">
        <f>IFERROR(IF(DATEDIF(#REF!,U1713,"m")&lt;=1,1,IF(AND(DATEDIF(#REF!,U1713,"m")&gt;1,DATEDIF(#REF!,U1713,"m")&lt;12),2,IF(AND(DATEDIF(#REF!,U1713,"m")&gt;=12,DATEDIF(#REF!,U1713,"m")&lt;24),3,IF(DATEDIF(#REF!,U1713,"m")&gt;=24,4,"")))),IF(E1713="r0320 - Deposits, not covered and not preferential",1,4))</f>
        <v>4</v>
      </c>
    </row>
    <row r="1714" spans="3:29" ht="36.75" thickBot="1" x14ac:dyDescent="0.3">
      <c r="C1714" s="11">
        <v>999</v>
      </c>
      <c r="D1714" s="154">
        <v>1707</v>
      </c>
      <c r="E1714" s="154" t="s">
        <v>1898</v>
      </c>
      <c r="F1714" s="154" t="s">
        <v>83</v>
      </c>
      <c r="G1714" s="154" t="s">
        <v>1402</v>
      </c>
      <c r="H1714" s="154" t="s">
        <v>861</v>
      </c>
      <c r="I1714" s="154" t="s">
        <v>153</v>
      </c>
      <c r="J1714" s="154" t="s">
        <v>154</v>
      </c>
      <c r="K1714" s="154" t="s">
        <v>60</v>
      </c>
      <c r="L1714" s="154" t="s">
        <v>1897</v>
      </c>
      <c r="M1714" s="154" t="s">
        <v>1388</v>
      </c>
      <c r="N1714" s="154" t="s">
        <v>61</v>
      </c>
      <c r="O1714" s="154" t="s">
        <v>62</v>
      </c>
      <c r="P1714" s="146">
        <v>37657.26</v>
      </c>
      <c r="Q1714" s="146">
        <v>0</v>
      </c>
      <c r="R1714" s="154" t="s">
        <v>1384</v>
      </c>
      <c r="S1714" s="154" t="s">
        <v>1899</v>
      </c>
      <c r="T1714" s="155" t="s">
        <v>1899</v>
      </c>
      <c r="U1714" s="155" t="s">
        <v>1899</v>
      </c>
      <c r="V1714" s="154" t="s">
        <v>1562</v>
      </c>
      <c r="W1714" s="154">
        <v>0</v>
      </c>
      <c r="X1714" s="154" t="s">
        <v>63</v>
      </c>
      <c r="Y1714" s="154" t="s">
        <v>1900</v>
      </c>
      <c r="Z1714" s="154"/>
      <c r="AA1714" s="154" t="s">
        <v>1387</v>
      </c>
      <c r="AB1714" s="154">
        <v>0</v>
      </c>
      <c r="AC1714" s="138">
        <f>IFERROR(IF(DATEDIF(#REF!,U1714,"m")&lt;=1,1,IF(AND(DATEDIF(#REF!,U1714,"m")&gt;1,DATEDIF(#REF!,U1714,"m")&lt;12),2,IF(AND(DATEDIF(#REF!,U1714,"m")&gt;=12,DATEDIF(#REF!,U1714,"m")&lt;24),3,IF(DATEDIF(#REF!,U1714,"m")&gt;=24,4,"")))),IF(E1714="r0320 - Deposits, not covered and not preferential",1,4))</f>
        <v>4</v>
      </c>
    </row>
    <row r="1715" spans="3:29" ht="36.75" thickBot="1" x14ac:dyDescent="0.3">
      <c r="C1715" s="11">
        <v>999</v>
      </c>
      <c r="D1715" s="154">
        <v>1708</v>
      </c>
      <c r="E1715" s="154" t="s">
        <v>1898</v>
      </c>
      <c r="F1715" s="154" t="s">
        <v>87</v>
      </c>
      <c r="G1715" s="154" t="s">
        <v>1402</v>
      </c>
      <c r="H1715" s="154" t="s">
        <v>1338</v>
      </c>
      <c r="I1715" s="154" t="s">
        <v>96</v>
      </c>
      <c r="J1715" s="154" t="s">
        <v>97</v>
      </c>
      <c r="K1715" s="154" t="s">
        <v>91</v>
      </c>
      <c r="L1715" s="154" t="s">
        <v>1897</v>
      </c>
      <c r="M1715" s="154" t="s">
        <v>1383</v>
      </c>
      <c r="N1715" s="154" t="s">
        <v>61</v>
      </c>
      <c r="O1715" s="154" t="s">
        <v>62</v>
      </c>
      <c r="P1715" s="146">
        <v>3.69</v>
      </c>
      <c r="Q1715" s="146">
        <v>0</v>
      </c>
      <c r="R1715" s="154" t="s">
        <v>1384</v>
      </c>
      <c r="S1715" s="154" t="s">
        <v>1899</v>
      </c>
      <c r="T1715" s="155" t="s">
        <v>1899</v>
      </c>
      <c r="U1715" s="155" t="s">
        <v>1899</v>
      </c>
      <c r="V1715" s="154" t="s">
        <v>1562</v>
      </c>
      <c r="W1715" s="154">
        <v>0</v>
      </c>
      <c r="X1715" s="154" t="s">
        <v>63</v>
      </c>
      <c r="Y1715" s="154" t="s">
        <v>1900</v>
      </c>
      <c r="Z1715" s="154"/>
      <c r="AA1715" s="154" t="s">
        <v>1387</v>
      </c>
      <c r="AB1715" s="154">
        <v>0</v>
      </c>
      <c r="AC1715" s="138">
        <f>IFERROR(IF(DATEDIF(#REF!,U1715,"m")&lt;=1,1,IF(AND(DATEDIF(#REF!,U1715,"m")&gt;1,DATEDIF(#REF!,U1715,"m")&lt;12),2,IF(AND(DATEDIF(#REF!,U1715,"m")&gt;=12,DATEDIF(#REF!,U1715,"m")&lt;24),3,IF(DATEDIF(#REF!,U1715,"m")&gt;=24,4,"")))),IF(E1715="r0320 - Deposits, not covered and not preferential",1,4))</f>
        <v>4</v>
      </c>
    </row>
    <row r="1716" spans="3:29" ht="48.75" thickBot="1" x14ac:dyDescent="0.3">
      <c r="C1716" s="11">
        <v>999</v>
      </c>
      <c r="D1716" s="154">
        <v>1709</v>
      </c>
      <c r="E1716" s="154" t="s">
        <v>1902</v>
      </c>
      <c r="F1716" s="154" t="s">
        <v>83</v>
      </c>
      <c r="G1716" s="154" t="s">
        <v>1903</v>
      </c>
      <c r="H1716" s="154" t="s">
        <v>1349</v>
      </c>
      <c r="I1716" s="154" t="s">
        <v>101</v>
      </c>
      <c r="J1716" s="154" t="s">
        <v>102</v>
      </c>
      <c r="K1716" s="154" t="s">
        <v>60</v>
      </c>
      <c r="L1716" s="154" t="s">
        <v>1897</v>
      </c>
      <c r="M1716" s="154" t="s">
        <v>1388</v>
      </c>
      <c r="N1716" s="154" t="s">
        <v>61</v>
      </c>
      <c r="O1716" s="154" t="s">
        <v>62</v>
      </c>
      <c r="P1716" s="146">
        <v>61703.44</v>
      </c>
      <c r="Q1716" s="146">
        <v>22.48</v>
      </c>
      <c r="R1716" s="154" t="s">
        <v>1384</v>
      </c>
      <c r="S1716" s="154" t="s">
        <v>1899</v>
      </c>
      <c r="T1716" s="155" t="s">
        <v>768</v>
      </c>
      <c r="U1716" s="155" t="s">
        <v>1899</v>
      </c>
      <c r="V1716" s="154" t="s">
        <v>1904</v>
      </c>
      <c r="W1716" s="154">
        <v>0</v>
      </c>
      <c r="X1716" s="154" t="s">
        <v>63</v>
      </c>
      <c r="Y1716" s="154" t="s">
        <v>1386</v>
      </c>
      <c r="Z1716" s="154"/>
      <c r="AA1716" s="154" t="s">
        <v>1387</v>
      </c>
      <c r="AB1716" s="154">
        <v>0</v>
      </c>
      <c r="AC1716" s="138">
        <f>IFERROR(IF(DATEDIF(#REF!,U1716,"m")&lt;=1,1,IF(AND(DATEDIF(#REF!,U1716,"m")&gt;1,DATEDIF(#REF!,U1716,"m")&lt;12),2,IF(AND(DATEDIF(#REF!,U1716,"m")&gt;=12,DATEDIF(#REF!,U1716,"m")&lt;24),3,IF(DATEDIF(#REF!,U1716,"m")&gt;=24,4,"")))),IF(E1716="r0320 - Deposits, not covered and not preferential",1,4))</f>
        <v>4</v>
      </c>
    </row>
    <row r="1717" spans="3:29" ht="48.75" thickBot="1" x14ac:dyDescent="0.3">
      <c r="C1717" s="11">
        <v>999</v>
      </c>
      <c r="D1717" s="154">
        <v>1710</v>
      </c>
      <c r="E1717" s="154" t="s">
        <v>1902</v>
      </c>
      <c r="F1717" s="154" t="s">
        <v>83</v>
      </c>
      <c r="G1717" s="154" t="s">
        <v>1903</v>
      </c>
      <c r="H1717" s="154" t="s">
        <v>207</v>
      </c>
      <c r="I1717" s="154" t="s">
        <v>93</v>
      </c>
      <c r="J1717" s="154" t="s">
        <v>94</v>
      </c>
      <c r="K1717" s="154" t="s">
        <v>60</v>
      </c>
      <c r="L1717" s="154" t="s">
        <v>1897</v>
      </c>
      <c r="M1717" s="154" t="s">
        <v>1388</v>
      </c>
      <c r="N1717" s="154" t="s">
        <v>61</v>
      </c>
      <c r="O1717" s="154" t="s">
        <v>62</v>
      </c>
      <c r="P1717" s="146">
        <v>313219.86</v>
      </c>
      <c r="Q1717" s="146">
        <v>41.75</v>
      </c>
      <c r="R1717" s="154" t="s">
        <v>1384</v>
      </c>
      <c r="S1717" s="154" t="s">
        <v>1899</v>
      </c>
      <c r="T1717" s="155" t="s">
        <v>768</v>
      </c>
      <c r="U1717" s="155" t="s">
        <v>1899</v>
      </c>
      <c r="V1717" s="154" t="s">
        <v>1904</v>
      </c>
      <c r="W1717" s="154">
        <v>0</v>
      </c>
      <c r="X1717" s="154" t="s">
        <v>63</v>
      </c>
      <c r="Y1717" s="154" t="s">
        <v>1386</v>
      </c>
      <c r="Z1717" s="154"/>
      <c r="AA1717" s="154" t="s">
        <v>1387</v>
      </c>
      <c r="AB1717" s="154">
        <v>0</v>
      </c>
      <c r="AC1717" s="138">
        <f>IFERROR(IF(DATEDIF(#REF!,U1717,"m")&lt;=1,1,IF(AND(DATEDIF(#REF!,U1717,"m")&gt;1,DATEDIF(#REF!,U1717,"m")&lt;12),2,IF(AND(DATEDIF(#REF!,U1717,"m")&gt;=12,DATEDIF(#REF!,U1717,"m")&lt;24),3,IF(DATEDIF(#REF!,U1717,"m")&gt;=24,4,"")))),IF(E1717="r0320 - Deposits, not covered and not preferential",1,4))</f>
        <v>4</v>
      </c>
    </row>
    <row r="1718" spans="3:29" ht="36.75" thickBot="1" x14ac:dyDescent="0.3">
      <c r="C1718" s="11">
        <v>999</v>
      </c>
      <c r="D1718" s="154">
        <v>1711</v>
      </c>
      <c r="E1718" s="154" t="s">
        <v>1898</v>
      </c>
      <c r="F1718" s="154" t="s">
        <v>87</v>
      </c>
      <c r="G1718" s="154" t="s">
        <v>1402</v>
      </c>
      <c r="H1718" s="154" t="s">
        <v>210</v>
      </c>
      <c r="I1718" s="154" t="s">
        <v>96</v>
      </c>
      <c r="J1718" s="154" t="s">
        <v>97</v>
      </c>
      <c r="K1718" s="154" t="s">
        <v>91</v>
      </c>
      <c r="L1718" s="154" t="s">
        <v>1897</v>
      </c>
      <c r="M1718" s="154" t="s">
        <v>1383</v>
      </c>
      <c r="N1718" s="154" t="s">
        <v>61</v>
      </c>
      <c r="O1718" s="154" t="s">
        <v>62</v>
      </c>
      <c r="P1718" s="146">
        <v>275</v>
      </c>
      <c r="Q1718" s="146">
        <v>0</v>
      </c>
      <c r="R1718" s="154" t="s">
        <v>1384</v>
      </c>
      <c r="S1718" s="154" t="s">
        <v>1899</v>
      </c>
      <c r="T1718" s="155" t="s">
        <v>1899</v>
      </c>
      <c r="U1718" s="155" t="s">
        <v>1899</v>
      </c>
      <c r="V1718" s="154" t="s">
        <v>1562</v>
      </c>
      <c r="W1718" s="154">
        <v>0</v>
      </c>
      <c r="X1718" s="154" t="s">
        <v>63</v>
      </c>
      <c r="Y1718" s="154" t="s">
        <v>1900</v>
      </c>
      <c r="Z1718" s="154"/>
      <c r="AA1718" s="154" t="s">
        <v>1387</v>
      </c>
      <c r="AB1718" s="154">
        <v>0</v>
      </c>
      <c r="AC1718" s="138">
        <f>IFERROR(IF(DATEDIF(#REF!,U1718,"m")&lt;=1,1,IF(AND(DATEDIF(#REF!,U1718,"m")&gt;1,DATEDIF(#REF!,U1718,"m")&lt;12),2,IF(AND(DATEDIF(#REF!,U1718,"m")&gt;=12,DATEDIF(#REF!,U1718,"m")&lt;24),3,IF(DATEDIF(#REF!,U1718,"m")&gt;=24,4,"")))),IF(E1718="r0320 - Deposits, not covered and not preferential",1,4))</f>
        <v>4</v>
      </c>
    </row>
    <row r="1719" spans="3:29" ht="48.75" thickBot="1" x14ac:dyDescent="0.3">
      <c r="C1719" s="11">
        <v>999</v>
      </c>
      <c r="D1719" s="154">
        <v>1712</v>
      </c>
      <c r="E1719" s="154" t="s">
        <v>1902</v>
      </c>
      <c r="F1719" s="154" t="s">
        <v>83</v>
      </c>
      <c r="G1719" s="154" t="s">
        <v>1903</v>
      </c>
      <c r="H1719" s="154" t="s">
        <v>1319</v>
      </c>
      <c r="I1719" s="154" t="s">
        <v>114</v>
      </c>
      <c r="J1719" s="154" t="s">
        <v>115</v>
      </c>
      <c r="K1719" s="154" t="s">
        <v>60</v>
      </c>
      <c r="L1719" s="154" t="s">
        <v>1897</v>
      </c>
      <c r="M1719" s="154" t="s">
        <v>1388</v>
      </c>
      <c r="N1719" s="154" t="s">
        <v>61</v>
      </c>
      <c r="O1719" s="154" t="s">
        <v>62</v>
      </c>
      <c r="P1719" s="146">
        <v>21891.27</v>
      </c>
      <c r="Q1719" s="146">
        <v>11.11</v>
      </c>
      <c r="R1719" s="154" t="s">
        <v>1384</v>
      </c>
      <c r="S1719" s="154" t="s">
        <v>1899</v>
      </c>
      <c r="T1719" s="155" t="s">
        <v>768</v>
      </c>
      <c r="U1719" s="155" t="s">
        <v>1899</v>
      </c>
      <c r="V1719" s="154" t="s">
        <v>1904</v>
      </c>
      <c r="W1719" s="154">
        <v>0</v>
      </c>
      <c r="X1719" s="154" t="s">
        <v>63</v>
      </c>
      <c r="Y1719" s="154" t="s">
        <v>1386</v>
      </c>
      <c r="Z1719" s="154"/>
      <c r="AA1719" s="154" t="s">
        <v>1387</v>
      </c>
      <c r="AB1719" s="154">
        <v>0</v>
      </c>
      <c r="AC1719" s="138">
        <f>IFERROR(IF(DATEDIF(#REF!,U1719,"m")&lt;=1,1,IF(AND(DATEDIF(#REF!,U1719,"m")&gt;1,DATEDIF(#REF!,U1719,"m")&lt;12),2,IF(AND(DATEDIF(#REF!,U1719,"m")&gt;=12,DATEDIF(#REF!,U1719,"m")&lt;24),3,IF(DATEDIF(#REF!,U1719,"m")&gt;=24,4,"")))),IF(E1719="r0320 - Deposits, not covered and not preferential",1,4))</f>
        <v>4</v>
      </c>
    </row>
    <row r="1720" spans="3:29" ht="48.75" thickBot="1" x14ac:dyDescent="0.3">
      <c r="C1720" s="11">
        <v>999</v>
      </c>
      <c r="D1720" s="154">
        <v>1713</v>
      </c>
      <c r="E1720" s="154" t="s">
        <v>1902</v>
      </c>
      <c r="F1720" s="154" t="s">
        <v>83</v>
      </c>
      <c r="G1720" s="154" t="s">
        <v>1903</v>
      </c>
      <c r="H1720" s="154" t="s">
        <v>523</v>
      </c>
      <c r="I1720" s="154" t="s">
        <v>101</v>
      </c>
      <c r="J1720" s="154" t="s">
        <v>102</v>
      </c>
      <c r="K1720" s="154" t="s">
        <v>60</v>
      </c>
      <c r="L1720" s="154" t="s">
        <v>1897</v>
      </c>
      <c r="M1720" s="154" t="s">
        <v>1388</v>
      </c>
      <c r="N1720" s="154" t="s">
        <v>61</v>
      </c>
      <c r="O1720" s="154" t="s">
        <v>62</v>
      </c>
      <c r="P1720" s="146">
        <v>87664.86</v>
      </c>
      <c r="Q1720" s="146">
        <v>279.73</v>
      </c>
      <c r="R1720" s="154" t="s">
        <v>1384</v>
      </c>
      <c r="S1720" s="154" t="s">
        <v>1899</v>
      </c>
      <c r="T1720" s="155" t="s">
        <v>768</v>
      </c>
      <c r="U1720" s="155" t="s">
        <v>1899</v>
      </c>
      <c r="V1720" s="154" t="s">
        <v>1904</v>
      </c>
      <c r="W1720" s="154">
        <v>0</v>
      </c>
      <c r="X1720" s="154" t="s">
        <v>63</v>
      </c>
      <c r="Y1720" s="154" t="s">
        <v>1386</v>
      </c>
      <c r="Z1720" s="154"/>
      <c r="AA1720" s="154" t="s">
        <v>1387</v>
      </c>
      <c r="AB1720" s="154">
        <v>0</v>
      </c>
      <c r="AC1720" s="138">
        <f>IFERROR(IF(DATEDIF(#REF!,U1720,"m")&lt;=1,1,IF(AND(DATEDIF(#REF!,U1720,"m")&gt;1,DATEDIF(#REF!,U1720,"m")&lt;12),2,IF(AND(DATEDIF(#REF!,U1720,"m")&gt;=12,DATEDIF(#REF!,U1720,"m")&lt;24),3,IF(DATEDIF(#REF!,U1720,"m")&gt;=24,4,"")))),IF(E1720="r0320 - Deposits, not covered and not preferential",1,4))</f>
        <v>4</v>
      </c>
    </row>
    <row r="1721" spans="3:29" ht="36.75" thickBot="1" x14ac:dyDescent="0.3">
      <c r="C1721" s="11">
        <v>999</v>
      </c>
      <c r="D1721" s="154">
        <v>1714</v>
      </c>
      <c r="E1721" s="154" t="s">
        <v>1898</v>
      </c>
      <c r="F1721" s="154" t="s">
        <v>87</v>
      </c>
      <c r="G1721" s="154" t="s">
        <v>1402</v>
      </c>
      <c r="H1721" s="154" t="s">
        <v>447</v>
      </c>
      <c r="I1721" s="154" t="s">
        <v>108</v>
      </c>
      <c r="J1721" s="154" t="s">
        <v>90</v>
      </c>
      <c r="K1721" s="154" t="s">
        <v>91</v>
      </c>
      <c r="L1721" s="154" t="s">
        <v>1897</v>
      </c>
      <c r="M1721" s="154" t="s">
        <v>1383</v>
      </c>
      <c r="N1721" s="154" t="s">
        <v>61</v>
      </c>
      <c r="O1721" s="154" t="s">
        <v>62</v>
      </c>
      <c r="P1721" s="146">
        <v>0.43</v>
      </c>
      <c r="Q1721" s="146">
        <v>0</v>
      </c>
      <c r="R1721" s="154" t="s">
        <v>1384</v>
      </c>
      <c r="S1721" s="154" t="s">
        <v>1899</v>
      </c>
      <c r="T1721" s="155" t="s">
        <v>1899</v>
      </c>
      <c r="U1721" s="155" t="s">
        <v>1899</v>
      </c>
      <c r="V1721" s="154" t="s">
        <v>1562</v>
      </c>
      <c r="W1721" s="154">
        <v>0</v>
      </c>
      <c r="X1721" s="154" t="s">
        <v>63</v>
      </c>
      <c r="Y1721" s="154" t="s">
        <v>1900</v>
      </c>
      <c r="Z1721" s="154"/>
      <c r="AA1721" s="154" t="s">
        <v>1387</v>
      </c>
      <c r="AB1721" s="154">
        <v>0</v>
      </c>
      <c r="AC1721" s="138">
        <f>IFERROR(IF(DATEDIF(#REF!,U1721,"m")&lt;=1,1,IF(AND(DATEDIF(#REF!,U1721,"m")&gt;1,DATEDIF(#REF!,U1721,"m")&lt;12),2,IF(AND(DATEDIF(#REF!,U1721,"m")&gt;=12,DATEDIF(#REF!,U1721,"m")&lt;24),3,IF(DATEDIF(#REF!,U1721,"m")&gt;=24,4,"")))),IF(E1721="r0320 - Deposits, not covered and not preferential",1,4))</f>
        <v>4</v>
      </c>
    </row>
    <row r="1722" spans="3:29" ht="36.75" thickBot="1" x14ac:dyDescent="0.3">
      <c r="C1722" s="11">
        <v>999</v>
      </c>
      <c r="D1722" s="154">
        <v>1715</v>
      </c>
      <c r="E1722" s="154" t="s">
        <v>1898</v>
      </c>
      <c r="F1722" s="154" t="s">
        <v>83</v>
      </c>
      <c r="G1722" s="154" t="s">
        <v>1402</v>
      </c>
      <c r="H1722" s="154" t="s">
        <v>57</v>
      </c>
      <c r="I1722" s="154" t="s">
        <v>99</v>
      </c>
      <c r="J1722" s="154" t="s">
        <v>90</v>
      </c>
      <c r="K1722" s="154" t="s">
        <v>91</v>
      </c>
      <c r="L1722" s="154" t="s">
        <v>1897</v>
      </c>
      <c r="M1722" s="154" t="s">
        <v>1383</v>
      </c>
      <c r="N1722" s="154" t="s">
        <v>61</v>
      </c>
      <c r="O1722" s="154" t="s">
        <v>62</v>
      </c>
      <c r="P1722" s="146">
        <v>6.404E-3</v>
      </c>
      <c r="Q1722" s="146">
        <v>0</v>
      </c>
      <c r="R1722" s="154" t="s">
        <v>768</v>
      </c>
      <c r="S1722" s="154" t="s">
        <v>1899</v>
      </c>
      <c r="T1722" s="155" t="s">
        <v>1899</v>
      </c>
      <c r="U1722" s="155" t="s">
        <v>1899</v>
      </c>
      <c r="V1722" s="154" t="s">
        <v>1562</v>
      </c>
      <c r="W1722" s="154">
        <v>0</v>
      </c>
      <c r="X1722" s="154" t="s">
        <v>63</v>
      </c>
      <c r="Y1722" s="154" t="s">
        <v>1900</v>
      </c>
      <c r="Z1722" s="154"/>
      <c r="AA1722" s="154" t="s">
        <v>1387</v>
      </c>
      <c r="AB1722" s="154">
        <v>0</v>
      </c>
      <c r="AC1722" s="138">
        <f>IFERROR(IF(DATEDIF(#REF!,U1722,"m")&lt;=1,1,IF(AND(DATEDIF(#REF!,U1722,"m")&gt;1,DATEDIF(#REF!,U1722,"m")&lt;12),2,IF(AND(DATEDIF(#REF!,U1722,"m")&gt;=12,DATEDIF(#REF!,U1722,"m")&lt;24),3,IF(DATEDIF(#REF!,U1722,"m")&gt;=24,4,"")))),IF(E1722="r0320 - Deposits, not covered and not preferential",1,4))</f>
        <v>4</v>
      </c>
    </row>
    <row r="1723" spans="3:29" ht="36.75" thickBot="1" x14ac:dyDescent="0.3">
      <c r="C1723" s="11">
        <v>999</v>
      </c>
      <c r="D1723" s="154">
        <v>1716</v>
      </c>
      <c r="E1723" s="154" t="s">
        <v>1895</v>
      </c>
      <c r="F1723" s="154" t="s">
        <v>83</v>
      </c>
      <c r="G1723" s="154" t="s">
        <v>1896</v>
      </c>
      <c r="H1723" s="154" t="s">
        <v>57</v>
      </c>
      <c r="I1723" s="154" t="s">
        <v>1245</v>
      </c>
      <c r="J1723" s="154" t="s">
        <v>1246</v>
      </c>
      <c r="K1723" s="154" t="s">
        <v>60</v>
      </c>
      <c r="L1723" s="154" t="s">
        <v>1897</v>
      </c>
      <c r="M1723" s="154" t="s">
        <v>1383</v>
      </c>
      <c r="N1723" s="154" t="s">
        <v>61</v>
      </c>
      <c r="O1723" s="154" t="s">
        <v>62</v>
      </c>
      <c r="P1723" s="146">
        <v>35906.82</v>
      </c>
      <c r="Q1723" s="146">
        <v>0</v>
      </c>
      <c r="R1723" s="154" t="s">
        <v>1384</v>
      </c>
      <c r="S1723" s="154" t="s">
        <v>1385</v>
      </c>
      <c r="T1723" s="155">
        <v>44564</v>
      </c>
      <c r="U1723" s="155">
        <v>44564</v>
      </c>
      <c r="V1723" s="154" t="s">
        <v>1562</v>
      </c>
      <c r="W1723" s="154">
        <v>0</v>
      </c>
      <c r="X1723" s="154" t="s">
        <v>63</v>
      </c>
      <c r="Y1723" s="154" t="s">
        <v>1386</v>
      </c>
      <c r="Z1723" s="154"/>
      <c r="AA1723" s="154" t="s">
        <v>1387</v>
      </c>
      <c r="AB1723" s="154">
        <v>0</v>
      </c>
      <c r="AC1723" s="138">
        <f>IFERROR(IF(DATEDIF(#REF!,U1723,"m")&lt;=1,1,IF(AND(DATEDIF(#REF!,U1723,"m")&gt;1,DATEDIF(#REF!,U1723,"m")&lt;12),2,IF(AND(DATEDIF(#REF!,U1723,"m")&gt;=12,DATEDIF(#REF!,U1723,"m")&lt;24),3,IF(DATEDIF(#REF!,U1723,"m")&gt;=24,4,"")))),IF(E1723="r0320 - Deposits, not covered and not preferential",1,4))</f>
        <v>1</v>
      </c>
    </row>
    <row r="1724" spans="3:29" ht="36.75" thickBot="1" x14ac:dyDescent="0.3">
      <c r="C1724" s="11">
        <v>999</v>
      </c>
      <c r="D1724" s="154">
        <v>1717</v>
      </c>
      <c r="E1724" s="154" t="s">
        <v>1898</v>
      </c>
      <c r="F1724" s="154" t="s">
        <v>87</v>
      </c>
      <c r="G1724" s="154" t="s">
        <v>1402</v>
      </c>
      <c r="H1724" s="154" t="s">
        <v>342</v>
      </c>
      <c r="I1724" s="154" t="s">
        <v>111</v>
      </c>
      <c r="J1724" s="154" t="s">
        <v>90</v>
      </c>
      <c r="K1724" s="154" t="s">
        <v>91</v>
      </c>
      <c r="L1724" s="154" t="s">
        <v>1897</v>
      </c>
      <c r="M1724" s="154" t="s">
        <v>1383</v>
      </c>
      <c r="N1724" s="154" t="s">
        <v>61</v>
      </c>
      <c r="O1724" s="154" t="s">
        <v>62</v>
      </c>
      <c r="P1724" s="146">
        <v>0.05</v>
      </c>
      <c r="Q1724" s="146">
        <v>0</v>
      </c>
      <c r="R1724" s="154" t="s">
        <v>1384</v>
      </c>
      <c r="S1724" s="154" t="s">
        <v>1899</v>
      </c>
      <c r="T1724" s="155" t="s">
        <v>1899</v>
      </c>
      <c r="U1724" s="155" t="s">
        <v>1899</v>
      </c>
      <c r="V1724" s="154" t="s">
        <v>1562</v>
      </c>
      <c r="W1724" s="154">
        <v>0</v>
      </c>
      <c r="X1724" s="154" t="s">
        <v>63</v>
      </c>
      <c r="Y1724" s="154" t="s">
        <v>1900</v>
      </c>
      <c r="Z1724" s="154"/>
      <c r="AA1724" s="154" t="s">
        <v>1387</v>
      </c>
      <c r="AB1724" s="154">
        <v>0</v>
      </c>
      <c r="AC1724" s="138">
        <f>IFERROR(IF(DATEDIF(#REF!,U1724,"m")&lt;=1,1,IF(AND(DATEDIF(#REF!,U1724,"m")&gt;1,DATEDIF(#REF!,U1724,"m")&lt;12),2,IF(AND(DATEDIF(#REF!,U1724,"m")&gt;=12,DATEDIF(#REF!,U1724,"m")&lt;24),3,IF(DATEDIF(#REF!,U1724,"m")&gt;=24,4,"")))),IF(E1724="r0320 - Deposits, not covered and not preferential",1,4))</f>
        <v>4</v>
      </c>
    </row>
    <row r="1725" spans="3:29" ht="48.75" thickBot="1" x14ac:dyDescent="0.3">
      <c r="C1725" s="11">
        <v>999</v>
      </c>
      <c r="D1725" s="154">
        <v>1718</v>
      </c>
      <c r="E1725" s="154" t="s">
        <v>1902</v>
      </c>
      <c r="F1725" s="154" t="s">
        <v>83</v>
      </c>
      <c r="G1725" s="154" t="s">
        <v>1903</v>
      </c>
      <c r="H1725" s="154" t="s">
        <v>444</v>
      </c>
      <c r="I1725" s="154" t="s">
        <v>114</v>
      </c>
      <c r="J1725" s="154" t="s">
        <v>115</v>
      </c>
      <c r="K1725" s="154" t="s">
        <v>60</v>
      </c>
      <c r="L1725" s="154" t="s">
        <v>1897</v>
      </c>
      <c r="M1725" s="154" t="s">
        <v>1388</v>
      </c>
      <c r="N1725" s="154" t="s">
        <v>61</v>
      </c>
      <c r="O1725" s="154" t="s">
        <v>62</v>
      </c>
      <c r="P1725" s="146">
        <v>52145.7</v>
      </c>
      <c r="Q1725" s="146">
        <v>-0.03</v>
      </c>
      <c r="R1725" s="154" t="s">
        <v>1384</v>
      </c>
      <c r="S1725" s="154" t="s">
        <v>1899</v>
      </c>
      <c r="T1725" s="155" t="s">
        <v>768</v>
      </c>
      <c r="U1725" s="155" t="s">
        <v>1899</v>
      </c>
      <c r="V1725" s="154" t="s">
        <v>1904</v>
      </c>
      <c r="W1725" s="154">
        <v>0</v>
      </c>
      <c r="X1725" s="154" t="s">
        <v>63</v>
      </c>
      <c r="Y1725" s="154" t="s">
        <v>1386</v>
      </c>
      <c r="Z1725" s="154"/>
      <c r="AA1725" s="154" t="s">
        <v>1387</v>
      </c>
      <c r="AB1725" s="154">
        <v>0</v>
      </c>
      <c r="AC1725" s="138">
        <f>IFERROR(IF(DATEDIF(#REF!,U1725,"m")&lt;=1,1,IF(AND(DATEDIF(#REF!,U1725,"m")&gt;1,DATEDIF(#REF!,U1725,"m")&lt;12),2,IF(AND(DATEDIF(#REF!,U1725,"m")&gt;=12,DATEDIF(#REF!,U1725,"m")&lt;24),3,IF(DATEDIF(#REF!,U1725,"m")&gt;=24,4,"")))),IF(E1725="r0320 - Deposits, not covered and not preferential",1,4))</f>
        <v>4</v>
      </c>
    </row>
    <row r="1726" spans="3:29" ht="36.75" thickBot="1" x14ac:dyDescent="0.3">
      <c r="C1726" s="11">
        <v>999</v>
      </c>
      <c r="D1726" s="154">
        <v>1719</v>
      </c>
      <c r="E1726" s="154" t="s">
        <v>1898</v>
      </c>
      <c r="F1726" s="154" t="s">
        <v>87</v>
      </c>
      <c r="G1726" s="154" t="s">
        <v>1402</v>
      </c>
      <c r="H1726" s="154" t="s">
        <v>1086</v>
      </c>
      <c r="I1726" s="154" t="s">
        <v>111</v>
      </c>
      <c r="J1726" s="154" t="s">
        <v>90</v>
      </c>
      <c r="K1726" s="154" t="s">
        <v>91</v>
      </c>
      <c r="L1726" s="154" t="s">
        <v>1897</v>
      </c>
      <c r="M1726" s="154" t="s">
        <v>1383</v>
      </c>
      <c r="N1726" s="154" t="s">
        <v>61</v>
      </c>
      <c r="O1726" s="154" t="s">
        <v>62</v>
      </c>
      <c r="P1726" s="146">
        <v>0.31</v>
      </c>
      <c r="Q1726" s="146">
        <v>0</v>
      </c>
      <c r="R1726" s="154" t="s">
        <v>1384</v>
      </c>
      <c r="S1726" s="154" t="s">
        <v>1899</v>
      </c>
      <c r="T1726" s="155" t="s">
        <v>1899</v>
      </c>
      <c r="U1726" s="155" t="s">
        <v>1899</v>
      </c>
      <c r="V1726" s="154" t="s">
        <v>1562</v>
      </c>
      <c r="W1726" s="154">
        <v>0</v>
      </c>
      <c r="X1726" s="154" t="s">
        <v>63</v>
      </c>
      <c r="Y1726" s="154" t="s">
        <v>1900</v>
      </c>
      <c r="Z1726" s="154"/>
      <c r="AA1726" s="154" t="s">
        <v>1387</v>
      </c>
      <c r="AB1726" s="154">
        <v>0</v>
      </c>
      <c r="AC1726" s="138">
        <f>IFERROR(IF(DATEDIF(#REF!,U1726,"m")&lt;=1,1,IF(AND(DATEDIF(#REF!,U1726,"m")&gt;1,DATEDIF(#REF!,U1726,"m")&lt;12),2,IF(AND(DATEDIF(#REF!,U1726,"m")&gt;=12,DATEDIF(#REF!,U1726,"m")&lt;24),3,IF(DATEDIF(#REF!,U1726,"m")&gt;=24,4,"")))),IF(E1726="r0320 - Deposits, not covered and not preferential",1,4))</f>
        <v>4</v>
      </c>
    </row>
    <row r="1727" spans="3:29" ht="36.75" thickBot="1" x14ac:dyDescent="0.3">
      <c r="C1727" s="11">
        <v>999</v>
      </c>
      <c r="D1727" s="154">
        <v>1720</v>
      </c>
      <c r="E1727" s="154" t="s">
        <v>1898</v>
      </c>
      <c r="F1727" s="154" t="s">
        <v>87</v>
      </c>
      <c r="G1727" s="154" t="s">
        <v>1402</v>
      </c>
      <c r="H1727" s="154" t="s">
        <v>1003</v>
      </c>
      <c r="I1727" s="154" t="s">
        <v>99</v>
      </c>
      <c r="J1727" s="154" t="s">
        <v>90</v>
      </c>
      <c r="K1727" s="154" t="s">
        <v>91</v>
      </c>
      <c r="L1727" s="154" t="s">
        <v>1897</v>
      </c>
      <c r="M1727" s="154" t="s">
        <v>1383</v>
      </c>
      <c r="N1727" s="154" t="s">
        <v>61</v>
      </c>
      <c r="O1727" s="154" t="s">
        <v>62</v>
      </c>
      <c r="P1727" s="146">
        <v>0.02</v>
      </c>
      <c r="Q1727" s="146">
        <v>0</v>
      </c>
      <c r="R1727" s="154" t="s">
        <v>1384</v>
      </c>
      <c r="S1727" s="154" t="s">
        <v>1899</v>
      </c>
      <c r="T1727" s="155" t="s">
        <v>1899</v>
      </c>
      <c r="U1727" s="155" t="s">
        <v>1899</v>
      </c>
      <c r="V1727" s="154" t="s">
        <v>1562</v>
      </c>
      <c r="W1727" s="154">
        <v>0</v>
      </c>
      <c r="X1727" s="154" t="s">
        <v>63</v>
      </c>
      <c r="Y1727" s="154" t="s">
        <v>1900</v>
      </c>
      <c r="Z1727" s="154"/>
      <c r="AA1727" s="154" t="s">
        <v>1387</v>
      </c>
      <c r="AB1727" s="154">
        <v>0</v>
      </c>
      <c r="AC1727" s="138">
        <f>IFERROR(IF(DATEDIF(#REF!,U1727,"m")&lt;=1,1,IF(AND(DATEDIF(#REF!,U1727,"m")&gt;1,DATEDIF(#REF!,U1727,"m")&lt;12),2,IF(AND(DATEDIF(#REF!,U1727,"m")&gt;=12,DATEDIF(#REF!,U1727,"m")&lt;24),3,IF(DATEDIF(#REF!,U1727,"m")&gt;=24,4,"")))),IF(E1727="r0320 - Deposits, not covered and not preferential",1,4))</f>
        <v>4</v>
      </c>
    </row>
    <row r="1728" spans="3:29" ht="36.75" thickBot="1" x14ac:dyDescent="0.3">
      <c r="C1728" s="11">
        <v>999</v>
      </c>
      <c r="D1728" s="154">
        <v>1721</v>
      </c>
      <c r="E1728" s="154" t="s">
        <v>1898</v>
      </c>
      <c r="F1728" s="154" t="s">
        <v>87</v>
      </c>
      <c r="G1728" s="154" t="s">
        <v>1402</v>
      </c>
      <c r="H1728" s="154" t="s">
        <v>967</v>
      </c>
      <c r="I1728" s="154" t="s">
        <v>99</v>
      </c>
      <c r="J1728" s="154" t="s">
        <v>90</v>
      </c>
      <c r="K1728" s="154" t="s">
        <v>91</v>
      </c>
      <c r="L1728" s="154" t="s">
        <v>1897</v>
      </c>
      <c r="M1728" s="154" t="s">
        <v>1383</v>
      </c>
      <c r="N1728" s="154" t="s">
        <v>61</v>
      </c>
      <c r="O1728" s="154" t="s">
        <v>62</v>
      </c>
      <c r="P1728" s="146">
        <v>0.76</v>
      </c>
      <c r="Q1728" s="146">
        <v>0</v>
      </c>
      <c r="R1728" s="154" t="s">
        <v>1384</v>
      </c>
      <c r="S1728" s="154" t="s">
        <v>1899</v>
      </c>
      <c r="T1728" s="155" t="s">
        <v>1899</v>
      </c>
      <c r="U1728" s="155" t="s">
        <v>1899</v>
      </c>
      <c r="V1728" s="154" t="s">
        <v>1562</v>
      </c>
      <c r="W1728" s="154">
        <v>0</v>
      </c>
      <c r="X1728" s="154" t="s">
        <v>63</v>
      </c>
      <c r="Y1728" s="154" t="s">
        <v>1900</v>
      </c>
      <c r="Z1728" s="154"/>
      <c r="AA1728" s="154" t="s">
        <v>1387</v>
      </c>
      <c r="AB1728" s="154">
        <v>0</v>
      </c>
      <c r="AC1728" s="138">
        <f>IFERROR(IF(DATEDIF(#REF!,U1728,"m")&lt;=1,1,IF(AND(DATEDIF(#REF!,U1728,"m")&gt;1,DATEDIF(#REF!,U1728,"m")&lt;12),2,IF(AND(DATEDIF(#REF!,U1728,"m")&gt;=12,DATEDIF(#REF!,U1728,"m")&lt;24),3,IF(DATEDIF(#REF!,U1728,"m")&gt;=24,4,"")))),IF(E1728="r0320 - Deposits, not covered and not preferential",1,4))</f>
        <v>4</v>
      </c>
    </row>
    <row r="1729" spans="3:29" ht="36.75" thickBot="1" x14ac:dyDescent="0.3">
      <c r="C1729" s="11">
        <v>999</v>
      </c>
      <c r="D1729" s="154">
        <v>1722</v>
      </c>
      <c r="E1729" s="154" t="s">
        <v>1898</v>
      </c>
      <c r="F1729" s="154" t="s">
        <v>87</v>
      </c>
      <c r="G1729" s="154" t="s">
        <v>1402</v>
      </c>
      <c r="H1729" s="154" t="s">
        <v>139</v>
      </c>
      <c r="I1729" s="154" t="s">
        <v>96</v>
      </c>
      <c r="J1729" s="154" t="s">
        <v>97</v>
      </c>
      <c r="K1729" s="154" t="s">
        <v>91</v>
      </c>
      <c r="L1729" s="154" t="s">
        <v>1897</v>
      </c>
      <c r="M1729" s="154" t="s">
        <v>1383</v>
      </c>
      <c r="N1729" s="154" t="s">
        <v>61</v>
      </c>
      <c r="O1729" s="154" t="s">
        <v>62</v>
      </c>
      <c r="P1729" s="146">
        <v>12.02</v>
      </c>
      <c r="Q1729" s="146">
        <v>0</v>
      </c>
      <c r="R1729" s="154" t="s">
        <v>1384</v>
      </c>
      <c r="S1729" s="154" t="s">
        <v>1899</v>
      </c>
      <c r="T1729" s="155" t="s">
        <v>1899</v>
      </c>
      <c r="U1729" s="155" t="s">
        <v>1899</v>
      </c>
      <c r="V1729" s="154" t="s">
        <v>1562</v>
      </c>
      <c r="W1729" s="154">
        <v>0</v>
      </c>
      <c r="X1729" s="154" t="s">
        <v>63</v>
      </c>
      <c r="Y1729" s="154" t="s">
        <v>1900</v>
      </c>
      <c r="Z1729" s="154"/>
      <c r="AA1729" s="154" t="s">
        <v>1387</v>
      </c>
      <c r="AB1729" s="154">
        <v>0</v>
      </c>
      <c r="AC1729" s="138">
        <f>IFERROR(IF(DATEDIF(#REF!,U1729,"m")&lt;=1,1,IF(AND(DATEDIF(#REF!,U1729,"m")&gt;1,DATEDIF(#REF!,U1729,"m")&lt;12),2,IF(AND(DATEDIF(#REF!,U1729,"m")&gt;=12,DATEDIF(#REF!,U1729,"m")&lt;24),3,IF(DATEDIF(#REF!,U1729,"m")&gt;=24,4,"")))),IF(E1729="r0320 - Deposits, not covered and not preferential",1,4))</f>
        <v>4</v>
      </c>
    </row>
    <row r="1730" spans="3:29" ht="36.75" thickBot="1" x14ac:dyDescent="0.3">
      <c r="C1730" s="11">
        <v>999</v>
      </c>
      <c r="D1730" s="154">
        <v>1723</v>
      </c>
      <c r="E1730" s="154" t="s">
        <v>1898</v>
      </c>
      <c r="F1730" s="154" t="s">
        <v>87</v>
      </c>
      <c r="G1730" s="154" t="s">
        <v>1402</v>
      </c>
      <c r="H1730" s="154" t="s">
        <v>1223</v>
      </c>
      <c r="I1730" s="154" t="s">
        <v>89</v>
      </c>
      <c r="J1730" s="154" t="s">
        <v>90</v>
      </c>
      <c r="K1730" s="154" t="s">
        <v>91</v>
      </c>
      <c r="L1730" s="154" t="s">
        <v>1901</v>
      </c>
      <c r="M1730" s="154" t="s">
        <v>1383</v>
      </c>
      <c r="N1730" s="154" t="s">
        <v>61</v>
      </c>
      <c r="O1730" s="154" t="s">
        <v>62</v>
      </c>
      <c r="P1730" s="146">
        <v>0.18</v>
      </c>
      <c r="Q1730" s="146">
        <v>0</v>
      </c>
      <c r="R1730" s="154" t="s">
        <v>1384</v>
      </c>
      <c r="S1730" s="154" t="s">
        <v>1899</v>
      </c>
      <c r="T1730" s="155" t="s">
        <v>1899</v>
      </c>
      <c r="U1730" s="155" t="s">
        <v>1899</v>
      </c>
      <c r="V1730" s="154" t="s">
        <v>1562</v>
      </c>
      <c r="W1730" s="154">
        <v>0</v>
      </c>
      <c r="X1730" s="154" t="s">
        <v>63</v>
      </c>
      <c r="Y1730" s="154" t="s">
        <v>1900</v>
      </c>
      <c r="Z1730" s="154"/>
      <c r="AA1730" s="154" t="s">
        <v>1387</v>
      </c>
      <c r="AB1730" s="154">
        <v>0</v>
      </c>
      <c r="AC1730" s="138">
        <f>IFERROR(IF(DATEDIF(#REF!,U1730,"m")&lt;=1,1,IF(AND(DATEDIF(#REF!,U1730,"m")&gt;1,DATEDIF(#REF!,U1730,"m")&lt;12),2,IF(AND(DATEDIF(#REF!,U1730,"m")&gt;=12,DATEDIF(#REF!,U1730,"m")&lt;24),3,IF(DATEDIF(#REF!,U1730,"m")&gt;=24,4,"")))),IF(E1730="r0320 - Deposits, not covered and not preferential",1,4))</f>
        <v>4</v>
      </c>
    </row>
    <row r="1731" spans="3:29" ht="48.75" thickBot="1" x14ac:dyDescent="0.3">
      <c r="C1731" s="11">
        <v>999</v>
      </c>
      <c r="D1731" s="154">
        <v>1724</v>
      </c>
      <c r="E1731" s="154" t="s">
        <v>1902</v>
      </c>
      <c r="F1731" s="154" t="s">
        <v>83</v>
      </c>
      <c r="G1731" s="154" t="s">
        <v>1903</v>
      </c>
      <c r="H1731" s="154" t="s">
        <v>1378</v>
      </c>
      <c r="I1731" s="154" t="s">
        <v>829</v>
      </c>
      <c r="J1731" s="154" t="s">
        <v>830</v>
      </c>
      <c r="K1731" s="154" t="s">
        <v>60</v>
      </c>
      <c r="L1731" s="154" t="s">
        <v>1897</v>
      </c>
      <c r="M1731" s="154" t="s">
        <v>1388</v>
      </c>
      <c r="N1731" s="154" t="s">
        <v>61</v>
      </c>
      <c r="O1731" s="154" t="s">
        <v>62</v>
      </c>
      <c r="P1731" s="146">
        <v>-2320767.5699999998</v>
      </c>
      <c r="Q1731" s="146">
        <v>0</v>
      </c>
      <c r="R1731" s="154" t="s">
        <v>1384</v>
      </c>
      <c r="S1731" s="154" t="s">
        <v>1942</v>
      </c>
      <c r="T1731" s="155">
        <v>40169</v>
      </c>
      <c r="U1731" s="155" t="s">
        <v>1943</v>
      </c>
      <c r="V1731" s="154" t="s">
        <v>1904</v>
      </c>
      <c r="W1731" s="154">
        <v>0</v>
      </c>
      <c r="X1731" s="154" t="s">
        <v>63</v>
      </c>
      <c r="Y1731" s="154" t="s">
        <v>1386</v>
      </c>
      <c r="Z1731" s="154"/>
      <c r="AA1731" s="154" t="s">
        <v>1387</v>
      </c>
      <c r="AB1731" s="154">
        <v>0</v>
      </c>
      <c r="AC1731" s="138">
        <f>IFERROR(IF(DATEDIF(#REF!,U1731,"m")&lt;=1,1,IF(AND(DATEDIF(#REF!,U1731,"m")&gt;1,DATEDIF(#REF!,U1731,"m")&lt;12),2,IF(AND(DATEDIF(#REF!,U1731,"m")&gt;=12,DATEDIF(#REF!,U1731,"m")&lt;24),3,IF(DATEDIF(#REF!,U1731,"m")&gt;=24,4,"")))),IF(E1731="r0320 - Deposits, not covered and not preferential",1,4))</f>
        <v>4</v>
      </c>
    </row>
    <row r="1732" spans="3:29" ht="48.75" thickBot="1" x14ac:dyDescent="0.3">
      <c r="C1732" s="11">
        <v>999</v>
      </c>
      <c r="D1732" s="154">
        <v>1725</v>
      </c>
      <c r="E1732" s="154" t="s">
        <v>1902</v>
      </c>
      <c r="F1732" s="154" t="s">
        <v>83</v>
      </c>
      <c r="G1732" s="154" t="s">
        <v>1903</v>
      </c>
      <c r="H1732" s="154" t="s">
        <v>1370</v>
      </c>
      <c r="I1732" s="154" t="s">
        <v>829</v>
      </c>
      <c r="J1732" s="154" t="s">
        <v>830</v>
      </c>
      <c r="K1732" s="154" t="s">
        <v>60</v>
      </c>
      <c r="L1732" s="154" t="s">
        <v>1897</v>
      </c>
      <c r="M1732" s="154" t="s">
        <v>1388</v>
      </c>
      <c r="N1732" s="154" t="s">
        <v>61</v>
      </c>
      <c r="O1732" s="154" t="s">
        <v>62</v>
      </c>
      <c r="P1732" s="146">
        <v>-2755291.72</v>
      </c>
      <c r="Q1732" s="146">
        <v>0</v>
      </c>
      <c r="R1732" s="154" t="s">
        <v>1384</v>
      </c>
      <c r="S1732" s="154" t="s">
        <v>1926</v>
      </c>
      <c r="T1732" s="155">
        <v>39752</v>
      </c>
      <c r="U1732" s="155" t="s">
        <v>1927</v>
      </c>
      <c r="V1732" s="154" t="s">
        <v>1904</v>
      </c>
      <c r="W1732" s="154">
        <v>0</v>
      </c>
      <c r="X1732" s="154" t="s">
        <v>63</v>
      </c>
      <c r="Y1732" s="154" t="s">
        <v>1386</v>
      </c>
      <c r="Z1732" s="154"/>
      <c r="AA1732" s="154" t="s">
        <v>1387</v>
      </c>
      <c r="AB1732" s="154">
        <v>0</v>
      </c>
      <c r="AC1732" s="138">
        <f>IFERROR(IF(DATEDIF(#REF!,U1732,"m")&lt;=1,1,IF(AND(DATEDIF(#REF!,U1732,"m")&gt;1,DATEDIF(#REF!,U1732,"m")&lt;12),2,IF(AND(DATEDIF(#REF!,U1732,"m")&gt;=12,DATEDIF(#REF!,U1732,"m")&lt;24),3,IF(DATEDIF(#REF!,U1732,"m")&gt;=24,4,"")))),IF(E1732="r0320 - Deposits, not covered and not preferential",1,4))</f>
        <v>4</v>
      </c>
    </row>
    <row r="1733" spans="3:29" ht="48.75" thickBot="1" x14ac:dyDescent="0.3">
      <c r="C1733" s="11">
        <v>999</v>
      </c>
      <c r="D1733" s="154">
        <v>1726</v>
      </c>
      <c r="E1733" s="154" t="s">
        <v>1902</v>
      </c>
      <c r="F1733" s="154" t="s">
        <v>83</v>
      </c>
      <c r="G1733" s="154" t="s">
        <v>1903</v>
      </c>
      <c r="H1733" s="154" t="s">
        <v>1375</v>
      </c>
      <c r="I1733" s="154" t="s">
        <v>829</v>
      </c>
      <c r="J1733" s="154" t="s">
        <v>830</v>
      </c>
      <c r="K1733" s="154" t="s">
        <v>60</v>
      </c>
      <c r="L1733" s="154" t="s">
        <v>1897</v>
      </c>
      <c r="M1733" s="154" t="s">
        <v>1388</v>
      </c>
      <c r="N1733" s="154" t="s">
        <v>61</v>
      </c>
      <c r="O1733" s="154" t="s">
        <v>62</v>
      </c>
      <c r="P1733" s="146">
        <v>-1927167.93</v>
      </c>
      <c r="Q1733" s="146">
        <v>0</v>
      </c>
      <c r="R1733" s="154" t="s">
        <v>1384</v>
      </c>
      <c r="S1733" s="154" t="s">
        <v>1936</v>
      </c>
      <c r="T1733" s="155">
        <v>39513</v>
      </c>
      <c r="U1733" s="155" t="s">
        <v>1937</v>
      </c>
      <c r="V1733" s="154" t="s">
        <v>1904</v>
      </c>
      <c r="W1733" s="154">
        <v>0</v>
      </c>
      <c r="X1733" s="154" t="s">
        <v>63</v>
      </c>
      <c r="Y1733" s="154" t="s">
        <v>1386</v>
      </c>
      <c r="Z1733" s="154"/>
      <c r="AA1733" s="154" t="s">
        <v>1387</v>
      </c>
      <c r="AB1733" s="154">
        <v>0</v>
      </c>
      <c r="AC1733" s="138">
        <f>IFERROR(IF(DATEDIF(#REF!,U1733,"m")&lt;=1,1,IF(AND(DATEDIF(#REF!,U1733,"m")&gt;1,DATEDIF(#REF!,U1733,"m")&lt;12),2,IF(AND(DATEDIF(#REF!,U1733,"m")&gt;=12,DATEDIF(#REF!,U1733,"m")&lt;24),3,IF(DATEDIF(#REF!,U1733,"m")&gt;=24,4,"")))),IF(E1733="r0320 - Deposits, not covered and not preferential",1,4))</f>
        <v>4</v>
      </c>
    </row>
    <row r="1734" spans="3:29" ht="48.75" thickBot="1" x14ac:dyDescent="0.3">
      <c r="C1734" s="11">
        <v>999</v>
      </c>
      <c r="D1734" s="154">
        <v>1727</v>
      </c>
      <c r="E1734" s="154" t="s">
        <v>1902</v>
      </c>
      <c r="F1734" s="154" t="s">
        <v>83</v>
      </c>
      <c r="G1734" s="154" t="s">
        <v>1903</v>
      </c>
      <c r="H1734" s="154" t="s">
        <v>1371</v>
      </c>
      <c r="I1734" s="154" t="s">
        <v>829</v>
      </c>
      <c r="J1734" s="154" t="s">
        <v>830</v>
      </c>
      <c r="K1734" s="154" t="s">
        <v>60</v>
      </c>
      <c r="L1734" s="154" t="s">
        <v>1897</v>
      </c>
      <c r="M1734" s="154" t="s">
        <v>1388</v>
      </c>
      <c r="N1734" s="154" t="s">
        <v>61</v>
      </c>
      <c r="O1734" s="154" t="s">
        <v>62</v>
      </c>
      <c r="P1734" s="146">
        <v>-2125317.0499999998</v>
      </c>
      <c r="Q1734" s="146">
        <v>0</v>
      </c>
      <c r="R1734" s="154" t="s">
        <v>1384</v>
      </c>
      <c r="S1734" s="154" t="s">
        <v>1928</v>
      </c>
      <c r="T1734" s="155">
        <v>40504</v>
      </c>
      <c r="U1734" s="155" t="s">
        <v>1929</v>
      </c>
      <c r="V1734" s="154" t="s">
        <v>1904</v>
      </c>
      <c r="W1734" s="154">
        <v>0</v>
      </c>
      <c r="X1734" s="154" t="s">
        <v>63</v>
      </c>
      <c r="Y1734" s="154" t="s">
        <v>1386</v>
      </c>
      <c r="Z1734" s="154"/>
      <c r="AA1734" s="154" t="s">
        <v>1387</v>
      </c>
      <c r="AB1734" s="154">
        <v>0</v>
      </c>
      <c r="AC1734" s="138">
        <f>IFERROR(IF(DATEDIF(#REF!,U1734,"m")&lt;=1,1,IF(AND(DATEDIF(#REF!,U1734,"m")&gt;1,DATEDIF(#REF!,U1734,"m")&lt;12),2,IF(AND(DATEDIF(#REF!,U1734,"m")&gt;=12,DATEDIF(#REF!,U1734,"m")&lt;24),3,IF(DATEDIF(#REF!,U1734,"m")&gt;=24,4,"")))),IF(E1734="r0320 - Deposits, not covered and not preferential",1,4))</f>
        <v>4</v>
      </c>
    </row>
    <row r="1735" spans="3:29" ht="36.75" thickBot="1" x14ac:dyDescent="0.3">
      <c r="C1735" s="11">
        <v>999</v>
      </c>
      <c r="D1735" s="154">
        <v>1728</v>
      </c>
      <c r="E1735" s="154" t="s">
        <v>1946</v>
      </c>
      <c r="F1735" s="154" t="s">
        <v>83</v>
      </c>
      <c r="G1735" s="154" t="s">
        <v>1913</v>
      </c>
      <c r="H1735" s="154" t="s">
        <v>1362</v>
      </c>
      <c r="I1735" s="154" t="s">
        <v>1025</v>
      </c>
      <c r="J1735" s="154" t="s">
        <v>1026</v>
      </c>
      <c r="K1735" s="154" t="s">
        <v>60</v>
      </c>
      <c r="L1735" s="154" t="s">
        <v>1901</v>
      </c>
      <c r="M1735" s="154" t="s">
        <v>1388</v>
      </c>
      <c r="N1735" s="154" t="s">
        <v>61</v>
      </c>
      <c r="O1735" s="154" t="s">
        <v>62</v>
      </c>
      <c r="P1735" s="146">
        <v>135000000</v>
      </c>
      <c r="Q1735" s="146">
        <v>0</v>
      </c>
      <c r="R1735" s="154" t="s">
        <v>1384</v>
      </c>
      <c r="S1735" s="154" t="s">
        <v>1947</v>
      </c>
      <c r="T1735" s="155" t="s">
        <v>1947</v>
      </c>
      <c r="U1735" s="155" t="s">
        <v>1915</v>
      </c>
      <c r="V1735" s="154" t="s">
        <v>1562</v>
      </c>
      <c r="W1735" s="154">
        <v>0</v>
      </c>
      <c r="X1735" s="154" t="s">
        <v>63</v>
      </c>
      <c r="Y1735" s="154" t="s">
        <v>1900</v>
      </c>
      <c r="Z1735" s="154"/>
      <c r="AA1735" s="154" t="s">
        <v>1387</v>
      </c>
      <c r="AB1735" s="154">
        <v>0</v>
      </c>
      <c r="AC1735" s="138">
        <f>IFERROR(IF(DATEDIF(#REF!,U1735,"m")&lt;=1,1,IF(AND(DATEDIF(#REF!,U1735,"m")&gt;1,DATEDIF(#REF!,U1735,"m")&lt;12),2,IF(AND(DATEDIF(#REF!,U1735,"m")&gt;=12,DATEDIF(#REF!,U1735,"m")&lt;24),3,IF(DATEDIF(#REF!,U1735,"m")&gt;=24,4,"")))),IF(E1735="r0320 - Deposits, not covered and not preferential",1,4))</f>
        <v>4</v>
      </c>
    </row>
    <row r="1736" spans="3:29" ht="36.75" thickBot="1" x14ac:dyDescent="0.3">
      <c r="C1736" s="11">
        <v>999</v>
      </c>
      <c r="D1736" s="154">
        <v>1729</v>
      </c>
      <c r="E1736" s="154" t="s">
        <v>1912</v>
      </c>
      <c r="F1736" s="154" t="s">
        <v>83</v>
      </c>
      <c r="G1736" s="154" t="s">
        <v>1913</v>
      </c>
      <c r="H1736" s="154" t="s">
        <v>1362</v>
      </c>
      <c r="I1736" s="154" t="s">
        <v>89</v>
      </c>
      <c r="J1736" s="154" t="s">
        <v>1363</v>
      </c>
      <c r="K1736" s="154" t="s">
        <v>60</v>
      </c>
      <c r="L1736" s="154" t="s">
        <v>1901</v>
      </c>
      <c r="M1736" s="154" t="s">
        <v>1388</v>
      </c>
      <c r="N1736" s="154" t="s">
        <v>61</v>
      </c>
      <c r="O1736" s="154" t="s">
        <v>62</v>
      </c>
      <c r="P1736" s="146">
        <v>-2208122.0099999998</v>
      </c>
      <c r="Q1736" s="146">
        <v>0</v>
      </c>
      <c r="R1736" s="154" t="s">
        <v>1384</v>
      </c>
      <c r="S1736" s="154" t="s">
        <v>1914</v>
      </c>
      <c r="T1736" s="155" t="s">
        <v>1914</v>
      </c>
      <c r="U1736" s="155" t="s">
        <v>1915</v>
      </c>
      <c r="V1736" s="154" t="s">
        <v>1562</v>
      </c>
      <c r="W1736" s="154">
        <v>0</v>
      </c>
      <c r="X1736" s="154" t="s">
        <v>63</v>
      </c>
      <c r="Y1736" s="154" t="s">
        <v>1900</v>
      </c>
      <c r="Z1736" s="154"/>
      <c r="AA1736" s="154" t="s">
        <v>2651</v>
      </c>
      <c r="AB1736" s="154">
        <v>0</v>
      </c>
      <c r="AC1736" s="138">
        <f>IFERROR(IF(DATEDIF(#REF!,U1736,"m")&lt;=1,1,IF(AND(DATEDIF(#REF!,U1736,"m")&gt;1,DATEDIF(#REF!,U1736,"m")&lt;12),2,IF(AND(DATEDIF(#REF!,U1736,"m")&gt;=12,DATEDIF(#REF!,U1736,"m")&lt;24),3,IF(DATEDIF(#REF!,U1736,"m")&gt;=24,4,"")))),IF(E1736="r0320 - Deposits, not covered and not preferential",1,4))</f>
        <v>4</v>
      </c>
    </row>
    <row r="1737" spans="3:29" ht="36.75" thickBot="1" x14ac:dyDescent="0.3">
      <c r="C1737" s="11">
        <v>999</v>
      </c>
      <c r="D1737" s="154">
        <v>1730</v>
      </c>
      <c r="E1737" s="154" t="s">
        <v>1912</v>
      </c>
      <c r="F1737" s="154" t="s">
        <v>83</v>
      </c>
      <c r="G1737" s="154" t="s">
        <v>1913</v>
      </c>
      <c r="H1737" s="154" t="s">
        <v>1362</v>
      </c>
      <c r="I1737" s="154" t="s">
        <v>768</v>
      </c>
      <c r="J1737" s="154" t="s">
        <v>1381</v>
      </c>
      <c r="K1737" s="154" t="s">
        <v>60</v>
      </c>
      <c r="L1737" s="154" t="s">
        <v>1897</v>
      </c>
      <c r="M1737" s="154" t="s">
        <v>1383</v>
      </c>
      <c r="N1737" s="154" t="s">
        <v>61</v>
      </c>
      <c r="O1737" s="154" t="s">
        <v>62</v>
      </c>
      <c r="P1737" s="146">
        <v>527396</v>
      </c>
      <c r="Q1737" s="146">
        <v>0</v>
      </c>
      <c r="R1737" s="154" t="s">
        <v>1384</v>
      </c>
      <c r="S1737" s="154" t="s">
        <v>1914</v>
      </c>
      <c r="T1737" s="155" t="s">
        <v>1914</v>
      </c>
      <c r="U1737" s="155" t="s">
        <v>1915</v>
      </c>
      <c r="V1737" s="154" t="s">
        <v>1562</v>
      </c>
      <c r="W1737" s="154">
        <v>0</v>
      </c>
      <c r="X1737" s="154" t="s">
        <v>63</v>
      </c>
      <c r="Y1737" s="154" t="s">
        <v>1900</v>
      </c>
      <c r="Z1737" s="154"/>
      <c r="AA1737" s="154" t="s">
        <v>2651</v>
      </c>
      <c r="AB1737" s="154">
        <v>0</v>
      </c>
      <c r="AC1737" s="138">
        <f>IFERROR(IF(DATEDIF(#REF!,U1737,"m")&lt;=1,1,IF(AND(DATEDIF(#REF!,U1737,"m")&gt;1,DATEDIF(#REF!,U1737,"m")&lt;12),2,IF(AND(DATEDIF(#REF!,U1737,"m")&gt;=12,DATEDIF(#REF!,U1737,"m")&lt;24),3,IF(DATEDIF(#REF!,U1737,"m")&gt;=24,4,"")))),IF(E1737="r0320 - Deposits, not covered and not preferential",1,4))</f>
        <v>4</v>
      </c>
    </row>
    <row r="1738" spans="3:29" ht="36.75" thickBot="1" x14ac:dyDescent="0.3">
      <c r="C1738" s="11">
        <v>999</v>
      </c>
      <c r="D1738" s="154">
        <v>1731</v>
      </c>
      <c r="E1738" s="154" t="s">
        <v>1895</v>
      </c>
      <c r="F1738" s="154" t="s">
        <v>83</v>
      </c>
      <c r="G1738" s="154" t="s">
        <v>1896</v>
      </c>
      <c r="H1738" s="154" t="s">
        <v>1364</v>
      </c>
      <c r="I1738" s="154" t="s">
        <v>89</v>
      </c>
      <c r="J1738" s="154" t="s">
        <v>1363</v>
      </c>
      <c r="K1738" s="154" t="s">
        <v>60</v>
      </c>
      <c r="L1738" s="154" t="s">
        <v>1901</v>
      </c>
      <c r="M1738" s="154" t="s">
        <v>1388</v>
      </c>
      <c r="N1738" s="154" t="s">
        <v>61</v>
      </c>
      <c r="O1738" s="154" t="s">
        <v>62</v>
      </c>
      <c r="P1738" s="146">
        <v>0</v>
      </c>
      <c r="Q1738" s="146">
        <v>-1352575.71</v>
      </c>
      <c r="R1738" s="154" t="s">
        <v>1384</v>
      </c>
      <c r="S1738" s="154" t="s">
        <v>1916</v>
      </c>
      <c r="T1738" s="155">
        <v>44132</v>
      </c>
      <c r="U1738" s="155" t="s">
        <v>1917</v>
      </c>
      <c r="V1738" s="154" t="s">
        <v>1562</v>
      </c>
      <c r="W1738" s="154">
        <v>0</v>
      </c>
      <c r="X1738" s="154" t="s">
        <v>63</v>
      </c>
      <c r="Y1738" s="154" t="s">
        <v>1386</v>
      </c>
      <c r="Z1738" s="154"/>
      <c r="AA1738" s="154" t="s">
        <v>1387</v>
      </c>
      <c r="AB1738" s="154">
        <v>0</v>
      </c>
      <c r="AC1738" s="138">
        <f>IFERROR(IF(DATEDIF(#REF!,U1738,"m")&lt;=1,1,IF(AND(DATEDIF(#REF!,U1738,"m")&gt;1,DATEDIF(#REF!,U1738,"m")&lt;12),2,IF(AND(DATEDIF(#REF!,U1738,"m")&gt;=12,DATEDIF(#REF!,U1738,"m")&lt;24),3,IF(DATEDIF(#REF!,U1738,"m")&gt;=24,4,"")))),IF(E1738="r0320 - Deposits, not covered and not preferential",1,4))</f>
        <v>1</v>
      </c>
    </row>
    <row r="1739" spans="3:29" ht="36.75" thickBot="1" x14ac:dyDescent="0.3">
      <c r="C1739" s="11">
        <v>999</v>
      </c>
      <c r="D1739" s="154">
        <v>1732</v>
      </c>
      <c r="E1739" s="154" t="s">
        <v>1895</v>
      </c>
      <c r="F1739" s="154" t="s">
        <v>83</v>
      </c>
      <c r="G1739" s="154" t="s">
        <v>1896</v>
      </c>
      <c r="H1739" s="154" t="s">
        <v>1365</v>
      </c>
      <c r="I1739" s="154" t="s">
        <v>89</v>
      </c>
      <c r="J1739" s="154" t="s">
        <v>1363</v>
      </c>
      <c r="K1739" s="154" t="s">
        <v>60</v>
      </c>
      <c r="L1739" s="154" t="s">
        <v>1901</v>
      </c>
      <c r="M1739" s="154" t="s">
        <v>1388</v>
      </c>
      <c r="N1739" s="154" t="s">
        <v>61</v>
      </c>
      <c r="O1739" s="154" t="s">
        <v>62</v>
      </c>
      <c r="P1739" s="146">
        <v>117412.159635</v>
      </c>
      <c r="Q1739" s="146">
        <v>2652.2668920000001</v>
      </c>
      <c r="R1739" s="154" t="s">
        <v>1384</v>
      </c>
      <c r="S1739" s="154" t="s">
        <v>1918</v>
      </c>
      <c r="T1739" s="155">
        <v>43822</v>
      </c>
      <c r="U1739" s="155" t="s">
        <v>1919</v>
      </c>
      <c r="V1739" s="154" t="s">
        <v>1562</v>
      </c>
      <c r="W1739" s="154">
        <v>0</v>
      </c>
      <c r="X1739" s="154" t="s">
        <v>63</v>
      </c>
      <c r="Y1739" s="154" t="s">
        <v>1386</v>
      </c>
      <c r="Z1739" s="154"/>
      <c r="AA1739" s="154" t="s">
        <v>1387</v>
      </c>
      <c r="AB1739" s="154">
        <v>0</v>
      </c>
      <c r="AC1739" s="138">
        <f>IFERROR(IF(DATEDIF(#REF!,U1739,"m")&lt;=1,1,IF(AND(DATEDIF(#REF!,U1739,"m")&gt;1,DATEDIF(#REF!,U1739,"m")&lt;12),2,IF(AND(DATEDIF(#REF!,U1739,"m")&gt;=12,DATEDIF(#REF!,U1739,"m")&lt;24),3,IF(DATEDIF(#REF!,U1739,"m")&gt;=24,4,"")))),IF(E1739="r0320 - Deposits, not covered and not preferential",1,4))</f>
        <v>1</v>
      </c>
    </row>
    <row r="1740" spans="3:29" ht="36.75" thickBot="1" x14ac:dyDescent="0.3">
      <c r="C1740" s="11">
        <v>999</v>
      </c>
      <c r="D1740" s="154">
        <v>1733</v>
      </c>
      <c r="E1740" s="154" t="s">
        <v>1895</v>
      </c>
      <c r="F1740" s="154" t="s">
        <v>83</v>
      </c>
      <c r="G1740" s="154" t="s">
        <v>1896</v>
      </c>
      <c r="H1740" s="154" t="s">
        <v>1366</v>
      </c>
      <c r="I1740" s="154" t="s">
        <v>96</v>
      </c>
      <c r="J1740" s="154" t="s">
        <v>1367</v>
      </c>
      <c r="K1740" s="154" t="s">
        <v>60</v>
      </c>
      <c r="L1740" s="154" t="s">
        <v>1897</v>
      </c>
      <c r="M1740" s="154" t="s">
        <v>1383</v>
      </c>
      <c r="N1740" s="154" t="s">
        <v>61</v>
      </c>
      <c r="O1740" s="154" t="s">
        <v>62</v>
      </c>
      <c r="P1740" s="146">
        <v>14900000</v>
      </c>
      <c r="Q1740" s="146">
        <v>-69240.918648000006</v>
      </c>
      <c r="R1740" s="154" t="s">
        <v>1384</v>
      </c>
      <c r="S1740" s="154" t="s">
        <v>1920</v>
      </c>
      <c r="T1740" s="155">
        <v>43005</v>
      </c>
      <c r="U1740" s="155" t="s">
        <v>1921</v>
      </c>
      <c r="V1740" s="154" t="s">
        <v>1562</v>
      </c>
      <c r="W1740" s="154">
        <v>0</v>
      </c>
      <c r="X1740" s="154" t="s">
        <v>63</v>
      </c>
      <c r="Y1740" s="154" t="s">
        <v>1386</v>
      </c>
      <c r="Z1740" s="154"/>
      <c r="AA1740" s="154" t="s">
        <v>1387</v>
      </c>
      <c r="AB1740" s="154">
        <v>0</v>
      </c>
      <c r="AC1740" s="138">
        <f>IFERROR(IF(DATEDIF(#REF!,U1740,"m")&lt;=1,1,IF(AND(DATEDIF(#REF!,U1740,"m")&gt;1,DATEDIF(#REF!,U1740,"m")&lt;12),2,IF(AND(DATEDIF(#REF!,U1740,"m")&gt;=12,DATEDIF(#REF!,U1740,"m")&lt;24),3,IF(DATEDIF(#REF!,U1740,"m")&gt;=24,4,"")))),IF(E1740="r0320 - Deposits, not covered and not preferential",1,4))</f>
        <v>1</v>
      </c>
    </row>
    <row r="1741" spans="3:29" ht="36.75" thickBot="1" x14ac:dyDescent="0.3">
      <c r="C1741" s="11">
        <v>999</v>
      </c>
      <c r="D1741" s="154">
        <v>1734</v>
      </c>
      <c r="E1741" s="154" t="s">
        <v>1895</v>
      </c>
      <c r="F1741" s="154" t="s">
        <v>83</v>
      </c>
      <c r="G1741" s="154" t="s">
        <v>1896</v>
      </c>
      <c r="H1741" s="154" t="s">
        <v>1368</v>
      </c>
      <c r="I1741" s="154" t="s">
        <v>89</v>
      </c>
      <c r="J1741" s="154" t="s">
        <v>1363</v>
      </c>
      <c r="K1741" s="154" t="s">
        <v>60</v>
      </c>
      <c r="L1741" s="154" t="s">
        <v>1901</v>
      </c>
      <c r="M1741" s="154" t="s">
        <v>1388</v>
      </c>
      <c r="N1741" s="154" t="s">
        <v>61</v>
      </c>
      <c r="O1741" s="154" t="s">
        <v>62</v>
      </c>
      <c r="P1741" s="146">
        <v>0</v>
      </c>
      <c r="Q1741" s="146">
        <v>-1766347.3</v>
      </c>
      <c r="R1741" s="154" t="s">
        <v>1384</v>
      </c>
      <c r="S1741" s="154" t="s">
        <v>1922</v>
      </c>
      <c r="T1741" s="155">
        <v>43647</v>
      </c>
      <c r="U1741" s="155" t="s">
        <v>1923</v>
      </c>
      <c r="V1741" s="154" t="s">
        <v>1562</v>
      </c>
      <c r="W1741" s="154">
        <v>0</v>
      </c>
      <c r="X1741" s="154" t="s">
        <v>63</v>
      </c>
      <c r="Y1741" s="154" t="s">
        <v>1386</v>
      </c>
      <c r="Z1741" s="154"/>
      <c r="AA1741" s="154" t="s">
        <v>1387</v>
      </c>
      <c r="AB1741" s="154">
        <v>0</v>
      </c>
      <c r="AC1741" s="138">
        <f>IFERROR(IF(DATEDIF(#REF!,U1741,"m")&lt;=1,1,IF(AND(DATEDIF(#REF!,U1741,"m")&gt;1,DATEDIF(#REF!,U1741,"m")&lt;12),2,IF(AND(DATEDIF(#REF!,U1741,"m")&gt;=12,DATEDIF(#REF!,U1741,"m")&lt;24),3,IF(DATEDIF(#REF!,U1741,"m")&gt;=24,4,"")))),IF(E1741="r0320 - Deposits, not covered and not preferential",1,4))</f>
        <v>1</v>
      </c>
    </row>
    <row r="1742" spans="3:29" ht="36.75" thickBot="1" x14ac:dyDescent="0.3">
      <c r="C1742" s="11">
        <v>999</v>
      </c>
      <c r="D1742" s="154">
        <v>1735</v>
      </c>
      <c r="E1742" s="154" t="s">
        <v>1895</v>
      </c>
      <c r="F1742" s="154" t="s">
        <v>83</v>
      </c>
      <c r="G1742" s="154" t="s">
        <v>1896</v>
      </c>
      <c r="H1742" s="154" t="s">
        <v>1369</v>
      </c>
      <c r="I1742" s="154" t="s">
        <v>89</v>
      </c>
      <c r="J1742" s="154" t="s">
        <v>1363</v>
      </c>
      <c r="K1742" s="154" t="s">
        <v>60</v>
      </c>
      <c r="L1742" s="154" t="s">
        <v>1901</v>
      </c>
      <c r="M1742" s="154" t="s">
        <v>1388</v>
      </c>
      <c r="N1742" s="154" t="s">
        <v>61</v>
      </c>
      <c r="O1742" s="154" t="s">
        <v>62</v>
      </c>
      <c r="P1742" s="146">
        <v>0</v>
      </c>
      <c r="Q1742" s="146">
        <v>-301061.57</v>
      </c>
      <c r="R1742" s="154" t="s">
        <v>1384</v>
      </c>
      <c r="S1742" s="154" t="s">
        <v>1924</v>
      </c>
      <c r="T1742" s="155">
        <v>42478</v>
      </c>
      <c r="U1742" s="155" t="s">
        <v>1925</v>
      </c>
      <c r="V1742" s="154" t="s">
        <v>1562</v>
      </c>
      <c r="W1742" s="154">
        <v>0</v>
      </c>
      <c r="X1742" s="154" t="s">
        <v>63</v>
      </c>
      <c r="Y1742" s="154" t="s">
        <v>1386</v>
      </c>
      <c r="Z1742" s="154"/>
      <c r="AA1742" s="154" t="s">
        <v>1387</v>
      </c>
      <c r="AB1742" s="154">
        <v>0</v>
      </c>
      <c r="AC1742" s="138">
        <f>IFERROR(IF(DATEDIF(#REF!,U1742,"m")&lt;=1,1,IF(AND(DATEDIF(#REF!,U1742,"m")&gt;1,DATEDIF(#REF!,U1742,"m")&lt;12),2,IF(AND(DATEDIF(#REF!,U1742,"m")&gt;=12,DATEDIF(#REF!,U1742,"m")&lt;24),3,IF(DATEDIF(#REF!,U1742,"m")&gt;=24,4,"")))),IF(E1742="r0320 - Deposits, not covered and not preferential",1,4))</f>
        <v>1</v>
      </c>
    </row>
    <row r="1743" spans="3:29" ht="48.75" thickBot="1" x14ac:dyDescent="0.3">
      <c r="C1743" s="11">
        <v>999</v>
      </c>
      <c r="D1743" s="154">
        <v>1736</v>
      </c>
      <c r="E1743" s="154" t="s">
        <v>1902</v>
      </c>
      <c r="F1743" s="154" t="s">
        <v>83</v>
      </c>
      <c r="G1743" s="154" t="s">
        <v>1903</v>
      </c>
      <c r="H1743" s="154" t="s">
        <v>1359</v>
      </c>
      <c r="I1743" s="154" t="s">
        <v>829</v>
      </c>
      <c r="J1743" s="154" t="s">
        <v>830</v>
      </c>
      <c r="K1743" s="154" t="s">
        <v>60</v>
      </c>
      <c r="L1743" s="154" t="s">
        <v>1897</v>
      </c>
      <c r="M1743" s="154" t="s">
        <v>1388</v>
      </c>
      <c r="N1743" s="154" t="s">
        <v>61</v>
      </c>
      <c r="O1743" s="154" t="s">
        <v>62</v>
      </c>
      <c r="P1743" s="146">
        <v>-2834347.23</v>
      </c>
      <c r="Q1743" s="146">
        <v>0</v>
      </c>
      <c r="R1743" s="154" t="s">
        <v>1384</v>
      </c>
      <c r="S1743" s="154" t="s">
        <v>1906</v>
      </c>
      <c r="T1743" s="155">
        <v>39861</v>
      </c>
      <c r="U1743" s="155" t="s">
        <v>1907</v>
      </c>
      <c r="V1743" s="154" t="s">
        <v>1904</v>
      </c>
      <c r="W1743" s="154">
        <v>0</v>
      </c>
      <c r="X1743" s="154" t="s">
        <v>63</v>
      </c>
      <c r="Y1743" s="154" t="s">
        <v>1386</v>
      </c>
      <c r="Z1743" s="154"/>
      <c r="AA1743" s="154" t="s">
        <v>1387</v>
      </c>
      <c r="AB1743" s="154">
        <v>0</v>
      </c>
      <c r="AC1743" s="138">
        <f>IFERROR(IF(DATEDIF(#REF!,U1743,"m")&lt;=1,1,IF(AND(DATEDIF(#REF!,U1743,"m")&gt;1,DATEDIF(#REF!,U1743,"m")&lt;12),2,IF(AND(DATEDIF(#REF!,U1743,"m")&gt;=12,DATEDIF(#REF!,U1743,"m")&lt;24),3,IF(DATEDIF(#REF!,U1743,"m")&gt;=24,4,"")))),IF(E1743="r0320 - Deposits, not covered and not preferential",1,4))</f>
        <v>4</v>
      </c>
    </row>
    <row r="1744" spans="3:29" ht="48.75" thickBot="1" x14ac:dyDescent="0.3">
      <c r="C1744" s="11">
        <v>999</v>
      </c>
      <c r="D1744" s="154">
        <v>1737</v>
      </c>
      <c r="E1744" s="154" t="s">
        <v>1902</v>
      </c>
      <c r="F1744" s="154" t="s">
        <v>83</v>
      </c>
      <c r="G1744" s="154" t="s">
        <v>1903</v>
      </c>
      <c r="H1744" s="154" t="s">
        <v>1361</v>
      </c>
      <c r="I1744" s="154" t="s">
        <v>829</v>
      </c>
      <c r="J1744" s="154" t="s">
        <v>830</v>
      </c>
      <c r="K1744" s="154" t="s">
        <v>60</v>
      </c>
      <c r="L1744" s="154" t="s">
        <v>1897</v>
      </c>
      <c r="M1744" s="154" t="s">
        <v>1388</v>
      </c>
      <c r="N1744" s="154" t="s">
        <v>61</v>
      </c>
      <c r="O1744" s="154" t="s">
        <v>62</v>
      </c>
      <c r="P1744" s="146">
        <v>-10791626.300000001</v>
      </c>
      <c r="Q1744" s="146">
        <v>0</v>
      </c>
      <c r="R1744" s="154" t="s">
        <v>1384</v>
      </c>
      <c r="S1744" s="154" t="s">
        <v>1910</v>
      </c>
      <c r="T1744" s="155">
        <v>43109</v>
      </c>
      <c r="U1744" s="155" t="s">
        <v>1911</v>
      </c>
      <c r="V1744" s="154" t="s">
        <v>1904</v>
      </c>
      <c r="W1744" s="154">
        <v>0</v>
      </c>
      <c r="X1744" s="154" t="s">
        <v>63</v>
      </c>
      <c r="Y1744" s="154" t="s">
        <v>1386</v>
      </c>
      <c r="Z1744" s="154"/>
      <c r="AA1744" s="154" t="s">
        <v>1387</v>
      </c>
      <c r="AB1744" s="154">
        <v>0</v>
      </c>
      <c r="AC1744" s="138">
        <f>IFERROR(IF(DATEDIF(#REF!,U1744,"m")&lt;=1,1,IF(AND(DATEDIF(#REF!,U1744,"m")&gt;1,DATEDIF(#REF!,U1744,"m")&lt;12),2,IF(AND(DATEDIF(#REF!,U1744,"m")&gt;=12,DATEDIF(#REF!,U1744,"m")&lt;24),3,IF(DATEDIF(#REF!,U1744,"m")&gt;=24,4,"")))),IF(E1744="r0320 - Deposits, not covered and not preferential",1,4))</f>
        <v>4</v>
      </c>
    </row>
    <row r="1745" spans="3:29" ht="36.75" thickBot="1" x14ac:dyDescent="0.3">
      <c r="C1745" s="11">
        <v>999</v>
      </c>
      <c r="D1745" s="154">
        <v>1738</v>
      </c>
      <c r="E1745" s="154" t="s">
        <v>1912</v>
      </c>
      <c r="F1745" s="154" t="s">
        <v>83</v>
      </c>
      <c r="G1745" s="154" t="s">
        <v>1913</v>
      </c>
      <c r="H1745" s="154" t="s">
        <v>1362</v>
      </c>
      <c r="I1745" s="154" t="s">
        <v>1025</v>
      </c>
      <c r="J1745" s="154" t="s">
        <v>1026</v>
      </c>
      <c r="K1745" s="154" t="s">
        <v>60</v>
      </c>
      <c r="L1745" s="154" t="s">
        <v>1901</v>
      </c>
      <c r="M1745" s="154" t="s">
        <v>1388</v>
      </c>
      <c r="N1745" s="154" t="s">
        <v>61</v>
      </c>
      <c r="O1745" s="154" t="s">
        <v>62</v>
      </c>
      <c r="P1745" s="146">
        <v>1241179513</v>
      </c>
      <c r="Q1745" s="146">
        <v>0</v>
      </c>
      <c r="R1745" s="154" t="s">
        <v>1384</v>
      </c>
      <c r="S1745" s="154" t="s">
        <v>1914</v>
      </c>
      <c r="T1745" s="155" t="s">
        <v>1914</v>
      </c>
      <c r="U1745" s="155" t="s">
        <v>1915</v>
      </c>
      <c r="V1745" s="154" t="s">
        <v>1562</v>
      </c>
      <c r="W1745" s="154">
        <v>0</v>
      </c>
      <c r="X1745" s="154" t="s">
        <v>63</v>
      </c>
      <c r="Y1745" s="154" t="s">
        <v>1900</v>
      </c>
      <c r="Z1745" s="154"/>
      <c r="AA1745" s="154" t="s">
        <v>2651</v>
      </c>
      <c r="AB1745" s="154">
        <v>0</v>
      </c>
      <c r="AC1745" s="138">
        <f>IFERROR(IF(DATEDIF(#REF!,U1745,"m")&lt;=1,1,IF(AND(DATEDIF(#REF!,U1745,"m")&gt;1,DATEDIF(#REF!,U1745,"m")&lt;12),2,IF(AND(DATEDIF(#REF!,U1745,"m")&gt;=12,DATEDIF(#REF!,U1745,"m")&lt;24),3,IF(DATEDIF(#REF!,U1745,"m")&gt;=24,4,"")))),IF(E1745="r0320 - Deposits, not covered and not preferential",1,4))</f>
        <v>4</v>
      </c>
    </row>
    <row r="1746" spans="3:29" ht="48.75" thickBot="1" x14ac:dyDescent="0.3">
      <c r="C1746" s="11">
        <v>999</v>
      </c>
      <c r="D1746" s="154">
        <v>1739</v>
      </c>
      <c r="E1746" s="154" t="s">
        <v>2008</v>
      </c>
      <c r="F1746" s="154" t="s">
        <v>83</v>
      </c>
      <c r="G1746" s="154" t="s">
        <v>2009</v>
      </c>
      <c r="H1746" s="154" t="s">
        <v>1376</v>
      </c>
      <c r="I1746" s="154" t="s">
        <v>1025</v>
      </c>
      <c r="J1746" s="154" t="s">
        <v>1026</v>
      </c>
      <c r="K1746" s="154" t="s">
        <v>60</v>
      </c>
      <c r="L1746" s="154" t="s">
        <v>1901</v>
      </c>
      <c r="M1746" s="154" t="s">
        <v>1388</v>
      </c>
      <c r="N1746" s="154" t="s">
        <v>61</v>
      </c>
      <c r="O1746" s="154" t="s">
        <v>62</v>
      </c>
      <c r="P1746" s="146">
        <v>320000000</v>
      </c>
      <c r="Q1746" s="146">
        <v>13869.59</v>
      </c>
      <c r="R1746" s="154" t="s">
        <v>1384</v>
      </c>
      <c r="S1746" s="154" t="s">
        <v>1938</v>
      </c>
      <c r="T1746" s="155" t="s">
        <v>1938</v>
      </c>
      <c r="U1746" s="155" t="s">
        <v>1939</v>
      </c>
      <c r="V1746" s="154" t="s">
        <v>1562</v>
      </c>
      <c r="W1746" s="154">
        <v>0</v>
      </c>
      <c r="X1746" s="154" t="s">
        <v>63</v>
      </c>
      <c r="Y1746" s="154" t="s">
        <v>1900</v>
      </c>
      <c r="Z1746" s="154"/>
      <c r="AA1746" s="154" t="s">
        <v>1387</v>
      </c>
      <c r="AB1746" s="154">
        <v>0</v>
      </c>
      <c r="AC1746" s="138">
        <f>IFERROR(IF(DATEDIF(#REF!,U1746,"m")&lt;=1,1,IF(AND(DATEDIF(#REF!,U1746,"m")&gt;1,DATEDIF(#REF!,U1746,"m")&lt;12),2,IF(AND(DATEDIF(#REF!,U1746,"m")&gt;=12,DATEDIF(#REF!,U1746,"m")&lt;24),3,IF(DATEDIF(#REF!,U1746,"m")&gt;=24,4,"")))),IF(E1746="r0320 - Deposits, not covered and not preferential",1,4))</f>
        <v>4</v>
      </c>
    </row>
    <row r="1747" spans="3:29" ht="36.75" thickBot="1" x14ac:dyDescent="0.3">
      <c r="C1747" s="11">
        <v>999</v>
      </c>
      <c r="D1747" s="154">
        <v>1740</v>
      </c>
      <c r="E1747" s="154" t="s">
        <v>1895</v>
      </c>
      <c r="F1747" s="154" t="s">
        <v>83</v>
      </c>
      <c r="G1747" s="154" t="s">
        <v>1896</v>
      </c>
      <c r="H1747" s="154" t="s">
        <v>1379</v>
      </c>
      <c r="I1747" s="154" t="s">
        <v>89</v>
      </c>
      <c r="J1747" s="154" t="s">
        <v>1363</v>
      </c>
      <c r="K1747" s="154" t="s">
        <v>60</v>
      </c>
      <c r="L1747" s="154" t="s">
        <v>1901</v>
      </c>
      <c r="M1747" s="154" t="s">
        <v>1388</v>
      </c>
      <c r="N1747" s="154" t="s">
        <v>61</v>
      </c>
      <c r="O1747" s="154" t="s">
        <v>62</v>
      </c>
      <c r="P1747" s="146">
        <v>0</v>
      </c>
      <c r="Q1747" s="146">
        <v>-904564.84</v>
      </c>
      <c r="R1747" s="154" t="s">
        <v>1384</v>
      </c>
      <c r="S1747" s="154" t="s">
        <v>1944</v>
      </c>
      <c r="T1747" s="155">
        <v>43077</v>
      </c>
      <c r="U1747" s="155" t="s">
        <v>1945</v>
      </c>
      <c r="V1747" s="154" t="s">
        <v>1562</v>
      </c>
      <c r="W1747" s="154">
        <v>0</v>
      </c>
      <c r="X1747" s="154" t="s">
        <v>63</v>
      </c>
      <c r="Y1747" s="154" t="s">
        <v>1386</v>
      </c>
      <c r="Z1747" s="154"/>
      <c r="AA1747" s="154" t="s">
        <v>1387</v>
      </c>
      <c r="AB1747" s="154">
        <v>0</v>
      </c>
      <c r="AC1747" s="138">
        <f>IFERROR(IF(DATEDIF(#REF!,U1747,"m")&lt;=1,1,IF(AND(DATEDIF(#REF!,U1747,"m")&gt;1,DATEDIF(#REF!,U1747,"m")&lt;12),2,IF(AND(DATEDIF(#REF!,U1747,"m")&gt;=12,DATEDIF(#REF!,U1747,"m")&lt;24),3,IF(DATEDIF(#REF!,U1747,"m")&gt;=24,4,"")))),IF(E1747="r0320 - Deposits, not covered and not preferential",1,4))</f>
        <v>1</v>
      </c>
    </row>
    <row r="1748" spans="3:29" ht="36.75" thickBot="1" x14ac:dyDescent="0.3">
      <c r="C1748" s="11">
        <v>999</v>
      </c>
      <c r="D1748" s="154">
        <v>1741</v>
      </c>
      <c r="E1748" s="154" t="s">
        <v>1895</v>
      </c>
      <c r="F1748" s="154" t="s">
        <v>83</v>
      </c>
      <c r="G1748" s="154" t="s">
        <v>1896</v>
      </c>
      <c r="H1748" s="154" t="s">
        <v>1377</v>
      </c>
      <c r="I1748" s="154" t="s">
        <v>89</v>
      </c>
      <c r="J1748" s="154" t="s">
        <v>1363</v>
      </c>
      <c r="K1748" s="154" t="s">
        <v>60</v>
      </c>
      <c r="L1748" s="154" t="s">
        <v>1901</v>
      </c>
      <c r="M1748" s="154" t="s">
        <v>1388</v>
      </c>
      <c r="N1748" s="154" t="s">
        <v>61</v>
      </c>
      <c r="O1748" s="154" t="s">
        <v>62</v>
      </c>
      <c r="P1748" s="146">
        <v>0</v>
      </c>
      <c r="Q1748" s="146">
        <v>-301340.7</v>
      </c>
      <c r="R1748" s="154" t="s">
        <v>1384</v>
      </c>
      <c r="S1748" s="154" t="s">
        <v>1940</v>
      </c>
      <c r="T1748" s="155">
        <v>42578</v>
      </c>
      <c r="U1748" s="155" t="s">
        <v>1941</v>
      </c>
      <c r="V1748" s="154" t="s">
        <v>1562</v>
      </c>
      <c r="W1748" s="154">
        <v>0</v>
      </c>
      <c r="X1748" s="154" t="s">
        <v>63</v>
      </c>
      <c r="Y1748" s="154" t="s">
        <v>1386</v>
      </c>
      <c r="Z1748" s="154"/>
      <c r="AA1748" s="154" t="s">
        <v>1387</v>
      </c>
      <c r="AB1748" s="154">
        <v>0</v>
      </c>
      <c r="AC1748" s="138">
        <f>IFERROR(IF(DATEDIF(#REF!,U1748,"m")&lt;=1,1,IF(AND(DATEDIF(#REF!,U1748,"m")&gt;1,DATEDIF(#REF!,U1748,"m")&lt;12),2,IF(AND(DATEDIF(#REF!,U1748,"m")&gt;=12,DATEDIF(#REF!,U1748,"m")&lt;24),3,IF(DATEDIF(#REF!,U1748,"m")&gt;=24,4,"")))),IF(E1748="r0320 - Deposits, not covered and not preferential",1,4))</f>
        <v>1</v>
      </c>
    </row>
    <row r="1749" spans="3:29" ht="36.75" thickBot="1" x14ac:dyDescent="0.3">
      <c r="C1749" s="11">
        <v>999</v>
      </c>
      <c r="D1749" s="154">
        <v>1742</v>
      </c>
      <c r="E1749" s="154" t="s">
        <v>1912</v>
      </c>
      <c r="F1749" s="154" t="s">
        <v>56</v>
      </c>
      <c r="G1749" s="154" t="s">
        <v>1913</v>
      </c>
      <c r="H1749" s="154" t="s">
        <v>1362</v>
      </c>
      <c r="I1749" s="154" t="s">
        <v>68</v>
      </c>
      <c r="J1749" s="154" t="s">
        <v>69</v>
      </c>
      <c r="K1749" s="154" t="s">
        <v>60</v>
      </c>
      <c r="L1749" s="154" t="s">
        <v>1897</v>
      </c>
      <c r="M1749" s="154" t="s">
        <v>1388</v>
      </c>
      <c r="N1749" s="154" t="s">
        <v>61</v>
      </c>
      <c r="O1749" s="154" t="s">
        <v>62</v>
      </c>
      <c r="P1749" s="146">
        <v>14593315</v>
      </c>
      <c r="Q1749" s="146">
        <v>0</v>
      </c>
      <c r="R1749" s="154" t="s">
        <v>1384</v>
      </c>
      <c r="S1749" s="154" t="s">
        <v>1914</v>
      </c>
      <c r="T1749" s="155" t="s">
        <v>1914</v>
      </c>
      <c r="U1749" s="155" t="s">
        <v>1915</v>
      </c>
      <c r="V1749" s="154" t="s">
        <v>1562</v>
      </c>
      <c r="W1749" s="154">
        <v>0</v>
      </c>
      <c r="X1749" s="154" t="s">
        <v>63</v>
      </c>
      <c r="Y1749" s="154" t="s">
        <v>1900</v>
      </c>
      <c r="Z1749" s="154"/>
      <c r="AA1749" s="154" t="s">
        <v>2651</v>
      </c>
      <c r="AB1749" s="154">
        <v>0</v>
      </c>
      <c r="AC1749" s="138">
        <f>IFERROR(IF(DATEDIF(#REF!,U1749,"m")&lt;=1,1,IF(AND(DATEDIF(#REF!,U1749,"m")&gt;1,DATEDIF(#REF!,U1749,"m")&lt;12),2,IF(AND(DATEDIF(#REF!,U1749,"m")&gt;=12,DATEDIF(#REF!,U1749,"m")&lt;24),3,IF(DATEDIF(#REF!,U1749,"m")&gt;=24,4,"")))),IF(E1749="r0320 - Deposits, not covered and not preferential",1,4))</f>
        <v>4</v>
      </c>
    </row>
    <row r="1750" spans="3:29" ht="36.75" thickBot="1" x14ac:dyDescent="0.3">
      <c r="C1750" s="11">
        <v>999</v>
      </c>
      <c r="D1750" s="154">
        <v>1743</v>
      </c>
      <c r="E1750" s="154" t="s">
        <v>1895</v>
      </c>
      <c r="F1750" s="154" t="s">
        <v>83</v>
      </c>
      <c r="G1750" s="154" t="s">
        <v>1896</v>
      </c>
      <c r="H1750" s="154" t="s">
        <v>1372</v>
      </c>
      <c r="I1750" s="154" t="s">
        <v>89</v>
      </c>
      <c r="J1750" s="154" t="s">
        <v>1363</v>
      </c>
      <c r="K1750" s="154" t="s">
        <v>60</v>
      </c>
      <c r="L1750" s="154" t="s">
        <v>1901</v>
      </c>
      <c r="M1750" s="154" t="s">
        <v>1388</v>
      </c>
      <c r="N1750" s="154" t="s">
        <v>61</v>
      </c>
      <c r="O1750" s="154" t="s">
        <v>62</v>
      </c>
      <c r="P1750" s="146">
        <v>0</v>
      </c>
      <c r="Q1750" s="146">
        <v>-602976.27</v>
      </c>
      <c r="R1750" s="154" t="s">
        <v>1384</v>
      </c>
      <c r="S1750" s="154" t="s">
        <v>1930</v>
      </c>
      <c r="T1750" s="155">
        <v>43915</v>
      </c>
      <c r="U1750" s="155" t="s">
        <v>1931</v>
      </c>
      <c r="V1750" s="154" t="s">
        <v>1562</v>
      </c>
      <c r="W1750" s="154">
        <v>0</v>
      </c>
      <c r="X1750" s="154" t="s">
        <v>63</v>
      </c>
      <c r="Y1750" s="154" t="s">
        <v>1386</v>
      </c>
      <c r="Z1750" s="154"/>
      <c r="AA1750" s="154" t="s">
        <v>1387</v>
      </c>
      <c r="AB1750" s="154">
        <v>0</v>
      </c>
      <c r="AC1750" s="138">
        <f>IFERROR(IF(DATEDIF(#REF!,U1750,"m")&lt;=1,1,IF(AND(DATEDIF(#REF!,U1750,"m")&gt;1,DATEDIF(#REF!,U1750,"m")&lt;12),2,IF(AND(DATEDIF(#REF!,U1750,"m")&gt;=12,DATEDIF(#REF!,U1750,"m")&lt;24),3,IF(DATEDIF(#REF!,U1750,"m")&gt;=24,4,"")))),IF(E1750="r0320 - Deposits, not covered and not preferential",1,4))</f>
        <v>1</v>
      </c>
    </row>
    <row r="1751" spans="3:29" ht="36.75" thickBot="1" x14ac:dyDescent="0.3">
      <c r="C1751" s="11">
        <v>999</v>
      </c>
      <c r="D1751" s="154">
        <v>1744</v>
      </c>
      <c r="E1751" s="154" t="s">
        <v>1895</v>
      </c>
      <c r="F1751" s="154" t="s">
        <v>83</v>
      </c>
      <c r="G1751" s="154" t="s">
        <v>1896</v>
      </c>
      <c r="H1751" s="154" t="s">
        <v>1374</v>
      </c>
      <c r="I1751" s="154" t="s">
        <v>89</v>
      </c>
      <c r="J1751" s="154" t="s">
        <v>1363</v>
      </c>
      <c r="K1751" s="154" t="s">
        <v>60</v>
      </c>
      <c r="L1751" s="154" t="s">
        <v>1901</v>
      </c>
      <c r="M1751" s="154" t="s">
        <v>1388</v>
      </c>
      <c r="N1751" s="154" t="s">
        <v>61</v>
      </c>
      <c r="O1751" s="154" t="s">
        <v>62</v>
      </c>
      <c r="P1751" s="146">
        <v>0</v>
      </c>
      <c r="Q1751" s="146">
        <v>-150128.53</v>
      </c>
      <c r="R1751" s="154" t="s">
        <v>1384</v>
      </c>
      <c r="S1751" s="154" t="s">
        <v>1934</v>
      </c>
      <c r="T1751" s="155">
        <v>42068</v>
      </c>
      <c r="U1751" s="155" t="s">
        <v>1935</v>
      </c>
      <c r="V1751" s="154" t="s">
        <v>1562</v>
      </c>
      <c r="W1751" s="154">
        <v>0</v>
      </c>
      <c r="X1751" s="154" t="s">
        <v>63</v>
      </c>
      <c r="Y1751" s="154" t="s">
        <v>1386</v>
      </c>
      <c r="Z1751" s="154"/>
      <c r="AA1751" s="154" t="s">
        <v>1387</v>
      </c>
      <c r="AB1751" s="154">
        <v>0</v>
      </c>
      <c r="AC1751" s="138">
        <f>IFERROR(IF(DATEDIF(#REF!,U1751,"m")&lt;=1,1,IF(AND(DATEDIF(#REF!,U1751,"m")&gt;1,DATEDIF(#REF!,U1751,"m")&lt;12),2,IF(AND(DATEDIF(#REF!,U1751,"m")&gt;=12,DATEDIF(#REF!,U1751,"m")&lt;24),3,IF(DATEDIF(#REF!,U1751,"m")&gt;=24,4,"")))),IF(E1751="r0320 - Deposits, not covered and not preferential",1,4))</f>
        <v>1</v>
      </c>
    </row>
    <row r="1752" spans="3:29" ht="36.75" thickBot="1" x14ac:dyDescent="0.3">
      <c r="C1752" s="11">
        <v>999</v>
      </c>
      <c r="D1752" s="154">
        <v>1745</v>
      </c>
      <c r="E1752" s="154" t="s">
        <v>1912</v>
      </c>
      <c r="F1752" s="154" t="s">
        <v>83</v>
      </c>
      <c r="G1752" s="154" t="s">
        <v>1913</v>
      </c>
      <c r="H1752" s="154" t="s">
        <v>1362</v>
      </c>
      <c r="I1752" s="154" t="s">
        <v>89</v>
      </c>
      <c r="J1752" s="154" t="s">
        <v>1363</v>
      </c>
      <c r="K1752" s="154" t="s">
        <v>60</v>
      </c>
      <c r="L1752" s="154" t="s">
        <v>1901</v>
      </c>
      <c r="M1752" s="154" t="s">
        <v>1388</v>
      </c>
      <c r="N1752" s="154" t="s">
        <v>61</v>
      </c>
      <c r="O1752" s="154" t="s">
        <v>62</v>
      </c>
      <c r="P1752" s="146">
        <v>423060</v>
      </c>
      <c r="Q1752" s="146">
        <v>0</v>
      </c>
      <c r="R1752" s="154" t="s">
        <v>1384</v>
      </c>
      <c r="S1752" s="154" t="s">
        <v>1914</v>
      </c>
      <c r="T1752" s="155" t="s">
        <v>1914</v>
      </c>
      <c r="U1752" s="155" t="s">
        <v>1915</v>
      </c>
      <c r="V1752" s="154" t="s">
        <v>1562</v>
      </c>
      <c r="W1752" s="154">
        <v>0</v>
      </c>
      <c r="X1752" s="154" t="s">
        <v>63</v>
      </c>
      <c r="Y1752" s="154" t="s">
        <v>1900</v>
      </c>
      <c r="Z1752" s="154"/>
      <c r="AA1752" s="154" t="s">
        <v>2651</v>
      </c>
      <c r="AB1752" s="154">
        <v>0</v>
      </c>
      <c r="AC1752" s="138">
        <f>IFERROR(IF(DATEDIF(#REF!,U1752,"m")&lt;=1,1,IF(AND(DATEDIF(#REF!,U1752,"m")&gt;1,DATEDIF(#REF!,U1752,"m")&lt;12),2,IF(AND(DATEDIF(#REF!,U1752,"m")&gt;=12,DATEDIF(#REF!,U1752,"m")&lt;24),3,IF(DATEDIF(#REF!,U1752,"m")&gt;=24,4,"")))),IF(E1752="r0320 - Deposits, not covered and not preferential",1,4))</f>
        <v>4</v>
      </c>
    </row>
    <row r="1753" spans="3:29" ht="48.75" thickBot="1" x14ac:dyDescent="0.3">
      <c r="C1753" s="11">
        <v>999</v>
      </c>
      <c r="D1753" s="154">
        <v>1746</v>
      </c>
      <c r="E1753" s="154" t="s">
        <v>1902</v>
      </c>
      <c r="F1753" s="154" t="s">
        <v>83</v>
      </c>
      <c r="G1753" s="154" t="s">
        <v>1903</v>
      </c>
      <c r="H1753" s="154" t="s">
        <v>1360</v>
      </c>
      <c r="I1753" s="154" t="s">
        <v>829</v>
      </c>
      <c r="J1753" s="154" t="s">
        <v>830</v>
      </c>
      <c r="K1753" s="154" t="s">
        <v>60</v>
      </c>
      <c r="L1753" s="154" t="s">
        <v>1897</v>
      </c>
      <c r="M1753" s="154" t="s">
        <v>1388</v>
      </c>
      <c r="N1753" s="154" t="s">
        <v>61</v>
      </c>
      <c r="O1753" s="154" t="s">
        <v>62</v>
      </c>
      <c r="P1753" s="146">
        <v>-1246378.78</v>
      </c>
      <c r="Q1753" s="146">
        <v>0</v>
      </c>
      <c r="R1753" s="154" t="s">
        <v>1384</v>
      </c>
      <c r="S1753" s="154" t="s">
        <v>1908</v>
      </c>
      <c r="T1753" s="155">
        <v>39654</v>
      </c>
      <c r="U1753" s="155" t="s">
        <v>1909</v>
      </c>
      <c r="V1753" s="154" t="s">
        <v>1904</v>
      </c>
      <c r="W1753" s="154">
        <v>0</v>
      </c>
      <c r="X1753" s="154" t="s">
        <v>63</v>
      </c>
      <c r="Y1753" s="154" t="s">
        <v>1386</v>
      </c>
      <c r="Z1753" s="154"/>
      <c r="AA1753" s="154" t="s">
        <v>1387</v>
      </c>
      <c r="AB1753" s="154">
        <v>0</v>
      </c>
      <c r="AC1753" s="138">
        <f>IFERROR(IF(DATEDIF(#REF!,U1753,"m")&lt;=1,1,IF(AND(DATEDIF(#REF!,U1753,"m")&gt;1,DATEDIF(#REF!,U1753,"m")&lt;12),2,IF(AND(DATEDIF(#REF!,U1753,"m")&gt;=12,DATEDIF(#REF!,U1753,"m")&lt;24),3,IF(DATEDIF(#REF!,U1753,"m")&gt;=24,4,"")))),IF(E1753="r0320 - Deposits, not covered and not preferential",1,4))</f>
        <v>4</v>
      </c>
    </row>
    <row r="1754" spans="3:29" ht="36.75" thickBot="1" x14ac:dyDescent="0.3">
      <c r="C1754" s="11">
        <v>999</v>
      </c>
      <c r="D1754" s="154">
        <v>1747</v>
      </c>
      <c r="E1754" s="154" t="s">
        <v>1895</v>
      </c>
      <c r="F1754" s="154" t="s">
        <v>83</v>
      </c>
      <c r="G1754" s="154" t="s">
        <v>1896</v>
      </c>
      <c r="H1754" s="154" t="s">
        <v>1373</v>
      </c>
      <c r="I1754" s="154" t="s">
        <v>89</v>
      </c>
      <c r="J1754" s="154" t="s">
        <v>1363</v>
      </c>
      <c r="K1754" s="154" t="s">
        <v>60</v>
      </c>
      <c r="L1754" s="154" t="s">
        <v>1901</v>
      </c>
      <c r="M1754" s="154" t="s">
        <v>1388</v>
      </c>
      <c r="N1754" s="154" t="s">
        <v>61</v>
      </c>
      <c r="O1754" s="154" t="s">
        <v>62</v>
      </c>
      <c r="P1754" s="146">
        <v>0</v>
      </c>
      <c r="Q1754" s="146">
        <v>-1205875.71</v>
      </c>
      <c r="R1754" s="154" t="s">
        <v>1384</v>
      </c>
      <c r="S1754" s="154" t="s">
        <v>1932</v>
      </c>
      <c r="T1754" s="155">
        <v>42836</v>
      </c>
      <c r="U1754" s="155" t="s">
        <v>1933</v>
      </c>
      <c r="V1754" s="154" t="s">
        <v>1562</v>
      </c>
      <c r="W1754" s="154">
        <v>0</v>
      </c>
      <c r="X1754" s="154" t="s">
        <v>63</v>
      </c>
      <c r="Y1754" s="154" t="s">
        <v>1386</v>
      </c>
      <c r="Z1754" s="154"/>
      <c r="AA1754" s="154" t="s">
        <v>1387</v>
      </c>
      <c r="AB1754" s="154">
        <v>0</v>
      </c>
      <c r="AC1754" s="138">
        <f>IFERROR(IF(DATEDIF(#REF!,U1754,"m")&lt;=1,1,IF(AND(DATEDIF(#REF!,U1754,"m")&gt;1,DATEDIF(#REF!,U1754,"m")&lt;12),2,IF(AND(DATEDIF(#REF!,U1754,"m")&gt;=12,DATEDIF(#REF!,U1754,"m")&lt;24),3,IF(DATEDIF(#REF!,U1754,"m")&gt;=24,4,"")))),IF(E1754="r0320 - Deposits, not covered and not preferential",1,4))</f>
        <v>1</v>
      </c>
    </row>
    <row r="1755" spans="3:29" ht="36.75" thickBot="1" x14ac:dyDescent="0.3">
      <c r="C1755" s="11">
        <v>999</v>
      </c>
      <c r="D1755" s="154">
        <v>1748</v>
      </c>
      <c r="E1755" s="154" t="s">
        <v>2007</v>
      </c>
      <c r="F1755" s="154" t="s">
        <v>260</v>
      </c>
      <c r="G1755" s="154" t="s">
        <v>1402</v>
      </c>
      <c r="H1755" s="154" t="s">
        <v>1365</v>
      </c>
      <c r="I1755" s="154" t="s">
        <v>262</v>
      </c>
      <c r="J1755" s="154" t="s">
        <v>263</v>
      </c>
      <c r="K1755" s="154" t="s">
        <v>91</v>
      </c>
      <c r="L1755" s="154" t="s">
        <v>1897</v>
      </c>
      <c r="M1755" s="154" t="s">
        <v>1388</v>
      </c>
      <c r="N1755" s="154" t="s">
        <v>61</v>
      </c>
      <c r="O1755" s="154" t="s">
        <v>62</v>
      </c>
      <c r="P1755" s="146">
        <v>8209741.6103649996</v>
      </c>
      <c r="Q1755" s="146">
        <v>185452.903108</v>
      </c>
      <c r="R1755" s="154" t="s">
        <v>1384</v>
      </c>
      <c r="S1755" s="154" t="s">
        <v>1918</v>
      </c>
      <c r="T1755" s="155" t="s">
        <v>1918</v>
      </c>
      <c r="U1755" s="155" t="s">
        <v>1919</v>
      </c>
      <c r="V1755" s="154" t="s">
        <v>1562</v>
      </c>
      <c r="W1755" s="154">
        <v>0</v>
      </c>
      <c r="X1755" s="154" t="s">
        <v>63</v>
      </c>
      <c r="Y1755" s="154" t="s">
        <v>1900</v>
      </c>
      <c r="Z1755" s="154"/>
      <c r="AA1755" s="154" t="s">
        <v>1387</v>
      </c>
      <c r="AB1755" s="154">
        <v>0</v>
      </c>
      <c r="AC1755" s="138">
        <f>IFERROR(IF(DATEDIF(#REF!,U1755,"m")&lt;=1,1,IF(AND(DATEDIF(#REF!,U1755,"m")&gt;1,DATEDIF(#REF!,U1755,"m")&lt;12),2,IF(AND(DATEDIF(#REF!,U1755,"m")&gt;=12,DATEDIF(#REF!,U1755,"m")&lt;24),3,IF(DATEDIF(#REF!,U1755,"m")&gt;=24,4,"")))),IF(E1755="r0320 - Deposits, not covered and not preferential",1,4))</f>
        <v>4</v>
      </c>
    </row>
    <row r="1756" spans="3:29" ht="36.75" thickBot="1" x14ac:dyDescent="0.3">
      <c r="C1756" s="11"/>
      <c r="D1756" s="154">
        <v>1749</v>
      </c>
      <c r="E1756" s="154" t="s">
        <v>1912</v>
      </c>
      <c r="F1756" s="154" t="s">
        <v>83</v>
      </c>
      <c r="G1756" s="154" t="s">
        <v>1913</v>
      </c>
      <c r="H1756" s="154" t="s">
        <v>1380</v>
      </c>
      <c r="I1756" s="154" t="s">
        <v>768</v>
      </c>
      <c r="J1756" s="154" t="s">
        <v>1381</v>
      </c>
      <c r="K1756" s="154" t="s">
        <v>60</v>
      </c>
      <c r="L1756" s="154" t="s">
        <v>1897</v>
      </c>
      <c r="M1756" s="154" t="s">
        <v>1383</v>
      </c>
      <c r="N1756" s="154" t="s">
        <v>61</v>
      </c>
      <c r="O1756" s="154" t="s">
        <v>62</v>
      </c>
      <c r="P1756" s="146">
        <v>193389953.68000001</v>
      </c>
      <c r="Q1756" s="146">
        <v>0</v>
      </c>
      <c r="R1756" s="154" t="s">
        <v>768</v>
      </c>
      <c r="S1756" s="154" t="s">
        <v>1899</v>
      </c>
      <c r="T1756" s="155" t="s">
        <v>1899</v>
      </c>
      <c r="U1756" s="155" t="s">
        <v>1899</v>
      </c>
      <c r="V1756" s="154" t="s">
        <v>1562</v>
      </c>
      <c r="W1756" s="154">
        <v>0</v>
      </c>
      <c r="X1756" s="154" t="s">
        <v>63</v>
      </c>
      <c r="Y1756" s="154" t="s">
        <v>1900</v>
      </c>
      <c r="Z1756" s="154"/>
      <c r="AA1756" s="154" t="s">
        <v>1387</v>
      </c>
      <c r="AB1756" s="154">
        <v>0</v>
      </c>
      <c r="AC1756" s="138">
        <f>IFERROR(IF(DATEDIF(#REF!,U1756,"m")&lt;=1,1,IF(AND(DATEDIF(#REF!,U1756,"m")&gt;1,DATEDIF(#REF!,U1756,"m")&lt;12),2,IF(AND(DATEDIF(#REF!,U1756,"m")&gt;=12,DATEDIF(#REF!,U1756,"m")&lt;24),3,IF(DATEDIF(#REF!,U1756,"m")&gt;=24,4,"")))),IF(E1756="r0320 - Deposits, not covered and not preferential",1,4))</f>
        <v>4</v>
      </c>
    </row>
    <row r="1757" spans="3:29" ht="36.75" thickBot="1" x14ac:dyDescent="0.3">
      <c r="C1757" s="11"/>
      <c r="D1757" s="154">
        <v>1750</v>
      </c>
      <c r="E1757" s="154" t="s">
        <v>1895</v>
      </c>
      <c r="F1757" s="154" t="s">
        <v>56</v>
      </c>
      <c r="G1757" s="154" t="s">
        <v>1896</v>
      </c>
      <c r="H1757" s="154" t="s">
        <v>57</v>
      </c>
      <c r="I1757" s="154" t="s">
        <v>74</v>
      </c>
      <c r="J1757" s="154" t="s">
        <v>75</v>
      </c>
      <c r="K1757" s="154" t="s">
        <v>60</v>
      </c>
      <c r="L1757" s="154" t="s">
        <v>1897</v>
      </c>
      <c r="M1757" s="154" t="s">
        <v>1383</v>
      </c>
      <c r="N1757" s="154" t="s">
        <v>61</v>
      </c>
      <c r="O1757" s="154" t="s">
        <v>62</v>
      </c>
      <c r="P1757" s="146">
        <v>100000</v>
      </c>
      <c r="Q1757" s="146">
        <v>0</v>
      </c>
      <c r="R1757" s="154" t="s">
        <v>768</v>
      </c>
      <c r="S1757" s="154" t="s">
        <v>1899</v>
      </c>
      <c r="T1757" s="155" t="s">
        <v>768</v>
      </c>
      <c r="U1757" s="155" t="s">
        <v>1899</v>
      </c>
      <c r="V1757" s="154" t="s">
        <v>1562</v>
      </c>
      <c r="W1757" s="154">
        <v>0</v>
      </c>
      <c r="X1757" s="154" t="s">
        <v>63</v>
      </c>
      <c r="Y1757" s="154" t="s">
        <v>1386</v>
      </c>
      <c r="Z1757" s="154"/>
      <c r="AA1757" s="154" t="s">
        <v>1387</v>
      </c>
      <c r="AB1757" s="154">
        <v>0</v>
      </c>
      <c r="AC1757" s="138">
        <f>IFERROR(IF(DATEDIF(#REF!,U1757,"m")&lt;=1,1,IF(AND(DATEDIF(#REF!,U1757,"m")&gt;1,DATEDIF(#REF!,U1757,"m")&lt;12),2,IF(AND(DATEDIF(#REF!,U1757,"m")&gt;=12,DATEDIF(#REF!,U1757,"m")&lt;24),3,IF(DATEDIF(#REF!,U1757,"m")&gt;=24,4,"")))),IF(E1757="r0320 - Deposits, not covered and not preferential",1,4))</f>
        <v>1</v>
      </c>
    </row>
    <row r="1758" spans="3:29" ht="36.75" thickBot="1" x14ac:dyDescent="0.3">
      <c r="C1758" s="11"/>
      <c r="D1758" s="154">
        <v>1751</v>
      </c>
      <c r="E1758" s="154" t="s">
        <v>1382</v>
      </c>
      <c r="F1758" s="154" t="s">
        <v>56</v>
      </c>
      <c r="G1758" s="154" t="s">
        <v>1948</v>
      </c>
      <c r="H1758" s="154" t="s">
        <v>57</v>
      </c>
      <c r="I1758" s="154" t="s">
        <v>58</v>
      </c>
      <c r="J1758" s="154" t="s">
        <v>59</v>
      </c>
      <c r="K1758" s="154" t="s">
        <v>60</v>
      </c>
      <c r="L1758" s="154" t="s">
        <v>1897</v>
      </c>
      <c r="M1758" s="154" t="s">
        <v>1383</v>
      </c>
      <c r="N1758" s="154" t="s">
        <v>61</v>
      </c>
      <c r="O1758" s="154" t="s">
        <v>62</v>
      </c>
      <c r="P1758" s="146">
        <v>100000</v>
      </c>
      <c r="Q1758" s="146">
        <v>0</v>
      </c>
      <c r="R1758" s="154" t="s">
        <v>1384</v>
      </c>
      <c r="S1758" s="154" t="s">
        <v>1385</v>
      </c>
      <c r="T1758" s="155">
        <v>44564</v>
      </c>
      <c r="U1758" s="155">
        <v>44564</v>
      </c>
      <c r="V1758" s="154" t="s">
        <v>1562</v>
      </c>
      <c r="W1758" s="154">
        <v>0</v>
      </c>
      <c r="X1758" s="154" t="s">
        <v>63</v>
      </c>
      <c r="Y1758" s="154" t="s">
        <v>1386</v>
      </c>
      <c r="Z1758" s="154"/>
      <c r="AA1758" s="154" t="s">
        <v>1387</v>
      </c>
      <c r="AB1758" s="154">
        <v>0</v>
      </c>
      <c r="AC1758" s="138">
        <f>IFERROR(IF(DATEDIF(#REF!,U1758,"m")&lt;=1,1,IF(AND(DATEDIF(#REF!,U1758,"m")&gt;1,DATEDIF(#REF!,U1758,"m")&lt;12),2,IF(AND(DATEDIF(#REF!,U1758,"m")&gt;=12,DATEDIF(#REF!,U1758,"m")&lt;24),3,IF(DATEDIF(#REF!,U1758,"m")&gt;=24,4,"")))),IF(E1758="r0320 - Deposits, not covered and not preferential",1,4))</f>
        <v>4</v>
      </c>
    </row>
    <row r="1759" spans="3:29" ht="36.75" thickBot="1" x14ac:dyDescent="0.3">
      <c r="C1759" s="11"/>
      <c r="D1759" s="154">
        <v>1752</v>
      </c>
      <c r="E1759" s="154" t="s">
        <v>1382</v>
      </c>
      <c r="F1759" s="154" t="s">
        <v>56</v>
      </c>
      <c r="G1759" s="154" t="s">
        <v>1948</v>
      </c>
      <c r="H1759" s="154" t="s">
        <v>57</v>
      </c>
      <c r="I1759" s="154" t="s">
        <v>70</v>
      </c>
      <c r="J1759" s="154" t="s">
        <v>71</v>
      </c>
      <c r="K1759" s="154" t="s">
        <v>60</v>
      </c>
      <c r="L1759" s="154" t="s">
        <v>1897</v>
      </c>
      <c r="M1759" s="154" t="s">
        <v>1383</v>
      </c>
      <c r="N1759" s="154" t="s">
        <v>61</v>
      </c>
      <c r="O1759" s="154" t="s">
        <v>62</v>
      </c>
      <c r="P1759" s="146">
        <v>100000</v>
      </c>
      <c r="Q1759" s="146">
        <v>0</v>
      </c>
      <c r="R1759" s="154" t="s">
        <v>1384</v>
      </c>
      <c r="S1759" s="154" t="s">
        <v>1385</v>
      </c>
      <c r="T1759" s="155">
        <v>44564</v>
      </c>
      <c r="U1759" s="155">
        <v>44564</v>
      </c>
      <c r="V1759" s="154" t="s">
        <v>1562</v>
      </c>
      <c r="W1759" s="154">
        <v>0</v>
      </c>
      <c r="X1759" s="154" t="s">
        <v>63</v>
      </c>
      <c r="Y1759" s="154" t="s">
        <v>1386</v>
      </c>
      <c r="Z1759" s="154"/>
      <c r="AA1759" s="154" t="s">
        <v>1387</v>
      </c>
      <c r="AB1759" s="154">
        <v>0</v>
      </c>
      <c r="AC1759" s="138">
        <f>IFERROR(IF(DATEDIF(#REF!,U1759,"m")&lt;=1,1,IF(AND(DATEDIF(#REF!,U1759,"m")&gt;1,DATEDIF(#REF!,U1759,"m")&lt;12),2,IF(AND(DATEDIF(#REF!,U1759,"m")&gt;=12,DATEDIF(#REF!,U1759,"m")&lt;24),3,IF(DATEDIF(#REF!,U1759,"m")&gt;=24,4,"")))),IF(E1759="r0320 - Deposits, not covered and not preferential",1,4))</f>
        <v>4</v>
      </c>
    </row>
    <row r="1760" spans="3:29" ht="36.75" thickBot="1" x14ac:dyDescent="0.3">
      <c r="C1760" s="11"/>
      <c r="D1760" s="154">
        <v>1753</v>
      </c>
      <c r="E1760" s="154" t="s">
        <v>1382</v>
      </c>
      <c r="F1760" s="154" t="s">
        <v>56</v>
      </c>
      <c r="G1760" s="154" t="s">
        <v>1948</v>
      </c>
      <c r="H1760" s="154" t="s">
        <v>57</v>
      </c>
      <c r="I1760" s="154" t="s">
        <v>64</v>
      </c>
      <c r="J1760" s="154" t="s">
        <v>65</v>
      </c>
      <c r="K1760" s="154" t="s">
        <v>60</v>
      </c>
      <c r="L1760" s="154" t="s">
        <v>1897</v>
      </c>
      <c r="M1760" s="154" t="s">
        <v>1383</v>
      </c>
      <c r="N1760" s="154" t="s">
        <v>61</v>
      </c>
      <c r="O1760" s="154" t="s">
        <v>62</v>
      </c>
      <c r="P1760" s="146">
        <v>100000</v>
      </c>
      <c r="Q1760" s="146">
        <v>0</v>
      </c>
      <c r="R1760" s="154" t="s">
        <v>1384</v>
      </c>
      <c r="S1760" s="154" t="s">
        <v>1385</v>
      </c>
      <c r="T1760" s="155">
        <v>44564</v>
      </c>
      <c r="U1760" s="155">
        <v>44564</v>
      </c>
      <c r="V1760" s="154" t="s">
        <v>1562</v>
      </c>
      <c r="W1760" s="154">
        <v>0</v>
      </c>
      <c r="X1760" s="154" t="s">
        <v>63</v>
      </c>
      <c r="Y1760" s="154" t="s">
        <v>1386</v>
      </c>
      <c r="Z1760" s="154"/>
      <c r="AA1760" s="154" t="s">
        <v>1387</v>
      </c>
      <c r="AB1760" s="154">
        <v>0</v>
      </c>
      <c r="AC1760" s="138">
        <f>IFERROR(IF(DATEDIF(#REF!,U1760,"m")&lt;=1,1,IF(AND(DATEDIF(#REF!,U1760,"m")&gt;1,DATEDIF(#REF!,U1760,"m")&lt;12),2,IF(AND(DATEDIF(#REF!,U1760,"m")&gt;=12,DATEDIF(#REF!,U1760,"m")&lt;24),3,IF(DATEDIF(#REF!,U1760,"m")&gt;=24,4,"")))),IF(E1760="r0320 - Deposits, not covered and not preferential",1,4))</f>
        <v>4</v>
      </c>
    </row>
    <row r="1761" spans="3:29" ht="36.75" thickBot="1" x14ac:dyDescent="0.3">
      <c r="C1761" s="11"/>
      <c r="D1761" s="154">
        <v>1754</v>
      </c>
      <c r="E1761" s="154" t="s">
        <v>1382</v>
      </c>
      <c r="F1761" s="154" t="s">
        <v>56</v>
      </c>
      <c r="G1761" s="154" t="s">
        <v>1948</v>
      </c>
      <c r="H1761" s="154" t="s">
        <v>57</v>
      </c>
      <c r="I1761" s="154" t="s">
        <v>72</v>
      </c>
      <c r="J1761" s="154" t="s">
        <v>73</v>
      </c>
      <c r="K1761" s="154" t="s">
        <v>60</v>
      </c>
      <c r="L1761" s="154" t="s">
        <v>1897</v>
      </c>
      <c r="M1761" s="154" t="s">
        <v>1383</v>
      </c>
      <c r="N1761" s="154" t="s">
        <v>61</v>
      </c>
      <c r="O1761" s="154" t="s">
        <v>62</v>
      </c>
      <c r="P1761" s="146">
        <v>100000</v>
      </c>
      <c r="Q1761" s="146">
        <v>0</v>
      </c>
      <c r="R1761" s="154" t="s">
        <v>1384</v>
      </c>
      <c r="S1761" s="154" t="s">
        <v>1385</v>
      </c>
      <c r="T1761" s="155">
        <v>44564</v>
      </c>
      <c r="U1761" s="155">
        <v>44564</v>
      </c>
      <c r="V1761" s="154" t="s">
        <v>1562</v>
      </c>
      <c r="W1761" s="154">
        <v>0</v>
      </c>
      <c r="X1761" s="154" t="s">
        <v>63</v>
      </c>
      <c r="Y1761" s="154" t="s">
        <v>1386</v>
      </c>
      <c r="Z1761" s="154"/>
      <c r="AA1761" s="154" t="s">
        <v>1387</v>
      </c>
      <c r="AB1761" s="154">
        <v>0</v>
      </c>
      <c r="AC1761" s="138">
        <f>IFERROR(IF(DATEDIF(#REF!,U1761,"m")&lt;=1,1,IF(AND(DATEDIF(#REF!,U1761,"m")&gt;1,DATEDIF(#REF!,U1761,"m")&lt;12),2,IF(AND(DATEDIF(#REF!,U1761,"m")&gt;=12,DATEDIF(#REF!,U1761,"m")&lt;24),3,IF(DATEDIF(#REF!,U1761,"m")&gt;=24,4,"")))),IF(E1761="r0320 - Deposits, not covered and not preferential",1,4))</f>
        <v>4</v>
      </c>
    </row>
    <row r="1762" spans="3:29" ht="36.75" thickBot="1" x14ac:dyDescent="0.3">
      <c r="C1762" s="11"/>
      <c r="D1762" s="154">
        <v>1755</v>
      </c>
      <c r="E1762" s="154" t="s">
        <v>1382</v>
      </c>
      <c r="F1762" s="154" t="s">
        <v>56</v>
      </c>
      <c r="G1762" s="154" t="s">
        <v>1948</v>
      </c>
      <c r="H1762" s="154" t="s">
        <v>57</v>
      </c>
      <c r="I1762" s="154" t="s">
        <v>66</v>
      </c>
      <c r="J1762" s="154" t="s">
        <v>67</v>
      </c>
      <c r="K1762" s="154" t="s">
        <v>60</v>
      </c>
      <c r="L1762" s="154" t="s">
        <v>1897</v>
      </c>
      <c r="M1762" s="154" t="s">
        <v>1388</v>
      </c>
      <c r="N1762" s="154" t="s">
        <v>61</v>
      </c>
      <c r="O1762" s="154" t="s">
        <v>62</v>
      </c>
      <c r="P1762" s="146">
        <v>100000</v>
      </c>
      <c r="Q1762" s="146">
        <v>0</v>
      </c>
      <c r="R1762" s="154" t="s">
        <v>1384</v>
      </c>
      <c r="S1762" s="154" t="s">
        <v>1385</v>
      </c>
      <c r="T1762" s="155">
        <v>44564</v>
      </c>
      <c r="U1762" s="155">
        <v>44564</v>
      </c>
      <c r="V1762" s="154" t="s">
        <v>1562</v>
      </c>
      <c r="W1762" s="154">
        <v>0</v>
      </c>
      <c r="X1762" s="154" t="s">
        <v>63</v>
      </c>
      <c r="Y1762" s="154" t="s">
        <v>1386</v>
      </c>
      <c r="Z1762" s="154"/>
      <c r="AA1762" s="154" t="s">
        <v>1387</v>
      </c>
      <c r="AB1762" s="154">
        <v>0</v>
      </c>
      <c r="AC1762" s="138">
        <f>IFERROR(IF(DATEDIF(#REF!,U1762,"m")&lt;=1,1,IF(AND(DATEDIF(#REF!,U1762,"m")&gt;1,DATEDIF(#REF!,U1762,"m")&lt;12),2,IF(AND(DATEDIF(#REF!,U1762,"m")&gt;=12,DATEDIF(#REF!,U1762,"m")&lt;24),3,IF(DATEDIF(#REF!,U1762,"m")&gt;=24,4,"")))),IF(E1762="r0320 - Deposits, not covered and not preferential",1,4))</f>
        <v>4</v>
      </c>
    </row>
    <row r="1763" spans="3:29" ht="36.75" thickBot="1" x14ac:dyDescent="0.3">
      <c r="C1763" s="11"/>
      <c r="D1763" s="154">
        <v>1756</v>
      </c>
      <c r="E1763" s="154" t="s">
        <v>1382</v>
      </c>
      <c r="F1763" s="154" t="s">
        <v>56</v>
      </c>
      <c r="G1763" s="154" t="s">
        <v>1948</v>
      </c>
      <c r="H1763" s="154" t="s">
        <v>57</v>
      </c>
      <c r="I1763" s="154" t="s">
        <v>68</v>
      </c>
      <c r="J1763" s="154" t="s">
        <v>69</v>
      </c>
      <c r="K1763" s="154" t="s">
        <v>60</v>
      </c>
      <c r="L1763" s="154" t="s">
        <v>1897</v>
      </c>
      <c r="M1763" s="154" t="s">
        <v>1383</v>
      </c>
      <c r="N1763" s="154" t="s">
        <v>61</v>
      </c>
      <c r="O1763" s="154" t="s">
        <v>62</v>
      </c>
      <c r="P1763" s="146">
        <v>100000</v>
      </c>
      <c r="Q1763" s="146">
        <v>0</v>
      </c>
      <c r="R1763" s="154" t="s">
        <v>1384</v>
      </c>
      <c r="S1763" s="154" t="s">
        <v>1385</v>
      </c>
      <c r="T1763" s="155">
        <v>44564</v>
      </c>
      <c r="U1763" s="155">
        <v>44564</v>
      </c>
      <c r="V1763" s="154" t="s">
        <v>1562</v>
      </c>
      <c r="W1763" s="154">
        <v>0</v>
      </c>
      <c r="X1763" s="154" t="s">
        <v>63</v>
      </c>
      <c r="Y1763" s="154" t="s">
        <v>1386</v>
      </c>
      <c r="Z1763" s="154"/>
      <c r="AA1763" s="154" t="s">
        <v>1387</v>
      </c>
      <c r="AB1763" s="154">
        <v>0</v>
      </c>
      <c r="AC1763" s="138">
        <f>IFERROR(IF(DATEDIF(#REF!,U1763,"m")&lt;=1,1,IF(AND(DATEDIF(#REF!,U1763,"m")&gt;1,DATEDIF(#REF!,U1763,"m")&lt;12),2,IF(AND(DATEDIF(#REF!,U1763,"m")&gt;=12,DATEDIF(#REF!,U1763,"m")&lt;24),3,IF(DATEDIF(#REF!,U1763,"m")&gt;=24,4,"")))),IF(E1763="r0320 - Deposits, not covered and not preferential",1,4))</f>
        <v>4</v>
      </c>
    </row>
    <row r="1764" spans="3:29" ht="36.75" thickBot="1" x14ac:dyDescent="0.3">
      <c r="C1764" s="11"/>
      <c r="D1764" s="154">
        <v>1757</v>
      </c>
      <c r="E1764" s="154" t="s">
        <v>1382</v>
      </c>
      <c r="F1764" s="154" t="s">
        <v>56</v>
      </c>
      <c r="G1764" s="154" t="s">
        <v>1948</v>
      </c>
      <c r="H1764" s="154" t="s">
        <v>57</v>
      </c>
      <c r="I1764" s="154" t="s">
        <v>76</v>
      </c>
      <c r="J1764" s="154" t="s">
        <v>77</v>
      </c>
      <c r="K1764" s="154" t="s">
        <v>60</v>
      </c>
      <c r="L1764" s="154" t="s">
        <v>1897</v>
      </c>
      <c r="M1764" s="154" t="s">
        <v>1388</v>
      </c>
      <c r="N1764" s="154" t="s">
        <v>61</v>
      </c>
      <c r="O1764" s="154" t="s">
        <v>62</v>
      </c>
      <c r="P1764" s="146">
        <v>100000</v>
      </c>
      <c r="Q1764" s="146">
        <v>0</v>
      </c>
      <c r="R1764" s="154" t="s">
        <v>1384</v>
      </c>
      <c r="S1764" s="154" t="s">
        <v>1385</v>
      </c>
      <c r="T1764" s="155">
        <v>44564</v>
      </c>
      <c r="U1764" s="155">
        <v>44564</v>
      </c>
      <c r="V1764" s="154" t="s">
        <v>1562</v>
      </c>
      <c r="W1764" s="154">
        <v>0</v>
      </c>
      <c r="X1764" s="154" t="s">
        <v>63</v>
      </c>
      <c r="Y1764" s="154" t="s">
        <v>1386</v>
      </c>
      <c r="Z1764" s="154"/>
      <c r="AA1764" s="154" t="s">
        <v>1387</v>
      </c>
      <c r="AB1764" s="154">
        <v>0</v>
      </c>
      <c r="AC1764" s="138">
        <f>IFERROR(IF(DATEDIF(#REF!,U1764,"m")&lt;=1,1,IF(AND(DATEDIF(#REF!,U1764,"m")&gt;1,DATEDIF(#REF!,U1764,"m")&lt;12),2,IF(AND(DATEDIF(#REF!,U1764,"m")&gt;=12,DATEDIF(#REF!,U1764,"m")&lt;24),3,IF(DATEDIF(#REF!,U1764,"m")&gt;=24,4,"")))),IF(E1764="r0320 - Deposits, not covered and not preferential",1,4))</f>
        <v>4</v>
      </c>
    </row>
    <row r="1765" spans="3:29" ht="36.75" thickBot="1" x14ac:dyDescent="0.3">
      <c r="C1765" s="11"/>
      <c r="D1765" s="154">
        <v>1758</v>
      </c>
      <c r="E1765" s="154" t="s">
        <v>1382</v>
      </c>
      <c r="F1765" s="154" t="s">
        <v>56</v>
      </c>
      <c r="G1765" s="154" t="s">
        <v>1948</v>
      </c>
      <c r="H1765" s="154" t="s">
        <v>57</v>
      </c>
      <c r="I1765" s="154" t="s">
        <v>78</v>
      </c>
      <c r="J1765" s="154" t="s">
        <v>79</v>
      </c>
      <c r="K1765" s="154" t="s">
        <v>60</v>
      </c>
      <c r="L1765" s="154" t="s">
        <v>1897</v>
      </c>
      <c r="M1765" s="154" t="s">
        <v>1383</v>
      </c>
      <c r="N1765" s="154" t="s">
        <v>61</v>
      </c>
      <c r="O1765" s="154" t="s">
        <v>62</v>
      </c>
      <c r="P1765" s="146">
        <v>20485.88</v>
      </c>
      <c r="Q1765" s="146">
        <v>0</v>
      </c>
      <c r="R1765" s="154" t="s">
        <v>1384</v>
      </c>
      <c r="S1765" s="154" t="s">
        <v>1385</v>
      </c>
      <c r="T1765" s="155">
        <v>44564</v>
      </c>
      <c r="U1765" s="155">
        <v>44564</v>
      </c>
      <c r="V1765" s="154" t="s">
        <v>1562</v>
      </c>
      <c r="W1765" s="154">
        <v>0</v>
      </c>
      <c r="X1765" s="154" t="s">
        <v>63</v>
      </c>
      <c r="Y1765" s="154" t="s">
        <v>1386</v>
      </c>
      <c r="Z1765" s="154"/>
      <c r="AA1765" s="154" t="s">
        <v>1387</v>
      </c>
      <c r="AB1765" s="154">
        <v>0</v>
      </c>
      <c r="AC1765" s="138">
        <f>IFERROR(IF(DATEDIF(#REF!,U1765,"m")&lt;=1,1,IF(AND(DATEDIF(#REF!,U1765,"m")&gt;1,DATEDIF(#REF!,U1765,"m")&lt;12),2,IF(AND(DATEDIF(#REF!,U1765,"m")&gt;=12,DATEDIF(#REF!,U1765,"m")&lt;24),3,IF(DATEDIF(#REF!,U1765,"m")&gt;=24,4,"")))),IF(E1765="r0320 - Deposits, not covered and not preferential",1,4))</f>
        <v>4</v>
      </c>
    </row>
    <row r="1766" spans="3:29" ht="36.75" thickBot="1" x14ac:dyDescent="0.3">
      <c r="C1766" s="11"/>
      <c r="D1766" s="154">
        <v>1759</v>
      </c>
      <c r="E1766" s="154" t="s">
        <v>1382</v>
      </c>
      <c r="F1766" s="154" t="s">
        <v>80</v>
      </c>
      <c r="G1766" s="154" t="s">
        <v>1948</v>
      </c>
      <c r="H1766" s="154" t="s">
        <v>57</v>
      </c>
      <c r="I1766" s="154" t="s">
        <v>81</v>
      </c>
      <c r="J1766" s="154" t="s">
        <v>82</v>
      </c>
      <c r="K1766" s="154" t="s">
        <v>60</v>
      </c>
      <c r="L1766" s="154" t="s">
        <v>1897</v>
      </c>
      <c r="M1766" s="154" t="s">
        <v>1383</v>
      </c>
      <c r="N1766" s="154" t="s">
        <v>61</v>
      </c>
      <c r="O1766" s="154" t="s">
        <v>62</v>
      </c>
      <c r="P1766" s="146">
        <v>11782.67</v>
      </c>
      <c r="Q1766" s="146">
        <v>0</v>
      </c>
      <c r="R1766" s="154" t="s">
        <v>1384</v>
      </c>
      <c r="S1766" s="154" t="s">
        <v>1385</v>
      </c>
      <c r="T1766" s="155">
        <v>44564</v>
      </c>
      <c r="U1766" s="155">
        <v>44564</v>
      </c>
      <c r="V1766" s="154" t="s">
        <v>1562</v>
      </c>
      <c r="W1766" s="154">
        <v>0</v>
      </c>
      <c r="X1766" s="154" t="s">
        <v>63</v>
      </c>
      <c r="Y1766" s="154" t="s">
        <v>1386</v>
      </c>
      <c r="Z1766" s="154"/>
      <c r="AA1766" s="154" t="s">
        <v>1387</v>
      </c>
      <c r="AB1766" s="154">
        <v>0</v>
      </c>
      <c r="AC1766" s="138">
        <f>IFERROR(IF(DATEDIF(#REF!,U1766,"m")&lt;=1,1,IF(AND(DATEDIF(#REF!,U1766,"m")&gt;1,DATEDIF(#REF!,U1766,"m")&lt;12),2,IF(AND(DATEDIF(#REF!,U1766,"m")&gt;=12,DATEDIF(#REF!,U1766,"m")&lt;24),3,IF(DATEDIF(#REF!,U1766,"m")&gt;=24,4,"")))),IF(E1766="r0320 - Deposits, not covered and not preferential",1,4))</f>
        <v>4</v>
      </c>
    </row>
  </sheetData>
  <autoFilter ref="A7:AC1232" xr:uid="{00000000-0009-0000-0000-000001000000}"/>
  <mergeCells count="5">
    <mergeCell ref="A1:AB1"/>
    <mergeCell ref="D4:AB4"/>
    <mergeCell ref="E5:F5"/>
    <mergeCell ref="G5:AB5"/>
    <mergeCell ref="AC5:AC6"/>
  </mergeCells>
  <conditionalFormatting sqref="D8:AB8">
    <cfRule type="expression" dxfId="547" priority="249">
      <formula>LEN(TRIM(D8))=0</formula>
    </cfRule>
  </conditionalFormatting>
  <conditionalFormatting sqref="D8:AB8">
    <cfRule type="expression" dxfId="546" priority="246">
      <formula>LEN(TRIM(D8))=0</formula>
    </cfRule>
  </conditionalFormatting>
  <conditionalFormatting sqref="D8:AB8">
    <cfRule type="expression" dxfId="545" priority="245">
      <formula>LEN(TRIM(D8))=0</formula>
    </cfRule>
  </conditionalFormatting>
  <conditionalFormatting sqref="D8:AB8">
    <cfRule type="expression" dxfId="544" priority="244">
      <formula>LEN(TRIM(D8))=0</formula>
    </cfRule>
  </conditionalFormatting>
  <conditionalFormatting sqref="M8">
    <cfRule type="expression" dxfId="543" priority="239">
      <formula>LEN(TRIM(M8))=0</formula>
    </cfRule>
  </conditionalFormatting>
  <conditionalFormatting sqref="M8">
    <cfRule type="expression" dxfId="542" priority="238">
      <formula>LEN(TRIM(M8))=0</formula>
    </cfRule>
  </conditionalFormatting>
  <conditionalFormatting sqref="M8">
    <cfRule type="expression" dxfId="541" priority="237">
      <formula>LEN(TRIM(M8))=0</formula>
    </cfRule>
  </conditionalFormatting>
  <conditionalFormatting sqref="D8:AB8">
    <cfRule type="expression" dxfId="540" priority="234">
      <formula>LEN(TRIM(D8))=0</formula>
    </cfRule>
  </conditionalFormatting>
  <conditionalFormatting sqref="D8:AB8">
    <cfRule type="expression" dxfId="539" priority="233">
      <formula>LEN(TRIM(D8))=0</formula>
    </cfRule>
  </conditionalFormatting>
  <conditionalFormatting sqref="D8:AB8">
    <cfRule type="expression" dxfId="538" priority="232">
      <formula>LEN(TRIM(D8))=0</formula>
    </cfRule>
  </conditionalFormatting>
  <conditionalFormatting sqref="D8:AB8">
    <cfRule type="expression" dxfId="537" priority="231">
      <formula>LEN(TRIM(D8))=0</formula>
    </cfRule>
  </conditionalFormatting>
  <conditionalFormatting sqref="D8:AB8">
    <cfRule type="expression" dxfId="536" priority="230">
      <formula>LEN(TRIM(D8))=0</formula>
    </cfRule>
  </conditionalFormatting>
  <conditionalFormatting sqref="D8:AB8">
    <cfRule type="expression" dxfId="535" priority="229">
      <formula>LEN(TRIM(D8))=0</formula>
    </cfRule>
  </conditionalFormatting>
  <conditionalFormatting sqref="D8:AB8">
    <cfRule type="expression" dxfId="534" priority="228">
      <formula>LEN(TRIM(D8))=0</formula>
    </cfRule>
  </conditionalFormatting>
  <conditionalFormatting sqref="D8:AB8">
    <cfRule type="expression" dxfId="533" priority="227">
      <formula>LEN(TRIM(D8))=0</formula>
    </cfRule>
  </conditionalFormatting>
  <conditionalFormatting sqref="D8:AB8">
    <cfRule type="expression" dxfId="532" priority="226">
      <formula>LEN(TRIM(D8))=0</formula>
    </cfRule>
  </conditionalFormatting>
  <conditionalFormatting sqref="D8:AB8">
    <cfRule type="expression" dxfId="531" priority="225">
      <formula>LEN(TRIM(D8))=0</formula>
    </cfRule>
  </conditionalFormatting>
  <conditionalFormatting sqref="E8">
    <cfRule type="expression" dxfId="530" priority="224">
      <formula>LEN(TRIM(E8))=0</formula>
    </cfRule>
  </conditionalFormatting>
  <conditionalFormatting sqref="E8">
    <cfRule type="expression" dxfId="529" priority="221">
      <formula>LEN(TRIM(E8))=0</formula>
    </cfRule>
  </conditionalFormatting>
  <conditionalFormatting sqref="E8">
    <cfRule type="expression" dxfId="528" priority="220">
      <formula>LEN(TRIM(E8))=0</formula>
    </cfRule>
  </conditionalFormatting>
  <conditionalFormatting sqref="E8">
    <cfRule type="expression" dxfId="527" priority="219">
      <formula>LEN(TRIM(E8))=0</formula>
    </cfRule>
  </conditionalFormatting>
  <conditionalFormatting sqref="E8">
    <cfRule type="expression" dxfId="526" priority="216">
      <formula>LEN(TRIM(E8))=0</formula>
    </cfRule>
  </conditionalFormatting>
  <conditionalFormatting sqref="E8">
    <cfRule type="expression" dxfId="525" priority="215">
      <formula>LEN(TRIM(E8))=0</formula>
    </cfRule>
  </conditionalFormatting>
  <conditionalFormatting sqref="E8">
    <cfRule type="expression" dxfId="524" priority="214">
      <formula>LEN(TRIM(E8))=0</formula>
    </cfRule>
  </conditionalFormatting>
  <conditionalFormatting sqref="E8">
    <cfRule type="expression" dxfId="523" priority="213">
      <formula>LEN(TRIM(E8))=0</formula>
    </cfRule>
  </conditionalFormatting>
  <conditionalFormatting sqref="E8">
    <cfRule type="expression" dxfId="522" priority="212">
      <formula>LEN(TRIM(E8))=0</formula>
    </cfRule>
  </conditionalFormatting>
  <conditionalFormatting sqref="E8">
    <cfRule type="expression" dxfId="521" priority="211">
      <formula>LEN(TRIM(E8))=0</formula>
    </cfRule>
  </conditionalFormatting>
  <conditionalFormatting sqref="E8">
    <cfRule type="expression" dxfId="520" priority="210">
      <formula>LEN(TRIM(E8))=0</formula>
    </cfRule>
  </conditionalFormatting>
  <conditionalFormatting sqref="E8">
    <cfRule type="expression" dxfId="519" priority="209">
      <formula>LEN(TRIM(E8))=0</formula>
    </cfRule>
  </conditionalFormatting>
  <conditionalFormatting sqref="E8">
    <cfRule type="expression" dxfId="518" priority="208">
      <formula>LEN(TRIM(E8))=0</formula>
    </cfRule>
  </conditionalFormatting>
  <conditionalFormatting sqref="E8">
    <cfRule type="expression" dxfId="517" priority="207">
      <formula>LEN(TRIM(E8))=0</formula>
    </cfRule>
  </conditionalFormatting>
  <conditionalFormatting sqref="E8">
    <cfRule type="expression" dxfId="516" priority="204">
      <formula>LEN(TRIM(E8))=0</formula>
    </cfRule>
  </conditionalFormatting>
  <conditionalFormatting sqref="E8">
    <cfRule type="expression" dxfId="515" priority="203">
      <formula>LEN(TRIM(E8))=0</formula>
    </cfRule>
  </conditionalFormatting>
  <conditionalFormatting sqref="E8">
    <cfRule type="expression" dxfId="514" priority="202">
      <formula>LEN(TRIM(E8))=0</formula>
    </cfRule>
  </conditionalFormatting>
  <conditionalFormatting sqref="E8">
    <cfRule type="expression" dxfId="513" priority="199">
      <formula>LEN(TRIM(E8))=0</formula>
    </cfRule>
  </conditionalFormatting>
  <conditionalFormatting sqref="E8">
    <cfRule type="expression" dxfId="512" priority="198">
      <formula>LEN(TRIM(E8))=0</formula>
    </cfRule>
  </conditionalFormatting>
  <conditionalFormatting sqref="E8">
    <cfRule type="expression" dxfId="511" priority="197">
      <formula>LEN(TRIM(E8))=0</formula>
    </cfRule>
  </conditionalFormatting>
  <conditionalFormatting sqref="E8">
    <cfRule type="expression" dxfId="510" priority="196">
      <formula>LEN(TRIM(E8))=0</formula>
    </cfRule>
  </conditionalFormatting>
  <conditionalFormatting sqref="E8">
    <cfRule type="expression" dxfId="509" priority="195">
      <formula>LEN(TRIM(E8))=0</formula>
    </cfRule>
  </conditionalFormatting>
  <conditionalFormatting sqref="E8">
    <cfRule type="expression" dxfId="508" priority="194">
      <formula>LEN(TRIM(E8))=0</formula>
    </cfRule>
  </conditionalFormatting>
  <conditionalFormatting sqref="E8">
    <cfRule type="expression" dxfId="507" priority="193">
      <formula>LEN(TRIM(E8))=0</formula>
    </cfRule>
  </conditionalFormatting>
  <conditionalFormatting sqref="E8">
    <cfRule type="expression" dxfId="506" priority="192">
      <formula>LEN(TRIM(E8))=0</formula>
    </cfRule>
  </conditionalFormatting>
  <conditionalFormatting sqref="E8">
    <cfRule type="expression" dxfId="505" priority="191">
      <formula>LEN(TRIM(E8))=0</formula>
    </cfRule>
  </conditionalFormatting>
  <conditionalFormatting sqref="D8:AB8">
    <cfRule type="expression" dxfId="504" priority="190">
      <formula>LEN(TRIM(D8))=0</formula>
    </cfRule>
  </conditionalFormatting>
  <conditionalFormatting sqref="E8">
    <cfRule type="expression" dxfId="503" priority="189">
      <formula>LEN(TRIM(E8))=0</formula>
    </cfRule>
  </conditionalFormatting>
  <conditionalFormatting sqref="E8">
    <cfRule type="expression" dxfId="502" priority="186">
      <formula>LEN(TRIM(E8))=0</formula>
    </cfRule>
  </conditionalFormatting>
  <conditionalFormatting sqref="E8">
    <cfRule type="expression" dxfId="501" priority="185">
      <formula>LEN(TRIM(E8))=0</formula>
    </cfRule>
  </conditionalFormatting>
  <conditionalFormatting sqref="E8">
    <cfRule type="expression" dxfId="500" priority="184">
      <formula>LEN(TRIM(E8))=0</formula>
    </cfRule>
  </conditionalFormatting>
  <conditionalFormatting sqref="E8">
    <cfRule type="expression" dxfId="499" priority="181">
      <formula>LEN(TRIM(E8))=0</formula>
    </cfRule>
  </conditionalFormatting>
  <conditionalFormatting sqref="E8">
    <cfRule type="expression" dxfId="498" priority="180">
      <formula>LEN(TRIM(E8))=0</formula>
    </cfRule>
  </conditionalFormatting>
  <conditionalFormatting sqref="E8">
    <cfRule type="expression" dxfId="497" priority="179">
      <formula>LEN(TRIM(E8))=0</formula>
    </cfRule>
  </conditionalFormatting>
  <conditionalFormatting sqref="E8">
    <cfRule type="expression" dxfId="496" priority="178">
      <formula>LEN(TRIM(E8))=0</formula>
    </cfRule>
  </conditionalFormatting>
  <conditionalFormatting sqref="E8">
    <cfRule type="expression" dxfId="495" priority="177">
      <formula>LEN(TRIM(E8))=0</formula>
    </cfRule>
  </conditionalFormatting>
  <conditionalFormatting sqref="E8">
    <cfRule type="expression" dxfId="494" priority="176">
      <formula>LEN(TRIM(E8))=0</formula>
    </cfRule>
  </conditionalFormatting>
  <conditionalFormatting sqref="E8">
    <cfRule type="expression" dxfId="493" priority="175">
      <formula>LEN(TRIM(E8))=0</formula>
    </cfRule>
  </conditionalFormatting>
  <conditionalFormatting sqref="E8">
    <cfRule type="expression" dxfId="492" priority="174">
      <formula>LEN(TRIM(E8))=0</formula>
    </cfRule>
  </conditionalFormatting>
  <conditionalFormatting sqref="E8">
    <cfRule type="expression" dxfId="491" priority="173">
      <formula>LEN(TRIM(E8))=0</formula>
    </cfRule>
  </conditionalFormatting>
  <conditionalFormatting sqref="E8">
    <cfRule type="expression" dxfId="490" priority="172">
      <formula>LEN(TRIM(E8))=0</formula>
    </cfRule>
  </conditionalFormatting>
  <conditionalFormatting sqref="E8">
    <cfRule type="expression" dxfId="489" priority="171">
      <formula>LEN(TRIM(E8))=0</formula>
    </cfRule>
  </conditionalFormatting>
  <conditionalFormatting sqref="E8">
    <cfRule type="expression" dxfId="488" priority="168">
      <formula>LEN(TRIM(E8))=0</formula>
    </cfRule>
  </conditionalFormatting>
  <conditionalFormatting sqref="E8">
    <cfRule type="expression" dxfId="487" priority="167">
      <formula>LEN(TRIM(E8))=0</formula>
    </cfRule>
  </conditionalFormatting>
  <conditionalFormatting sqref="E8">
    <cfRule type="expression" dxfId="486" priority="166">
      <formula>LEN(TRIM(E8))=0</formula>
    </cfRule>
  </conditionalFormatting>
  <conditionalFormatting sqref="E8">
    <cfRule type="expression" dxfId="485" priority="163">
      <formula>LEN(TRIM(E8))=0</formula>
    </cfRule>
  </conditionalFormatting>
  <conditionalFormatting sqref="E8">
    <cfRule type="expression" dxfId="484" priority="162">
      <formula>LEN(TRIM(E8))=0</formula>
    </cfRule>
  </conditionalFormatting>
  <conditionalFormatting sqref="E8">
    <cfRule type="expression" dxfId="483" priority="161">
      <formula>LEN(TRIM(E8))=0</formula>
    </cfRule>
  </conditionalFormatting>
  <conditionalFormatting sqref="E8">
    <cfRule type="expression" dxfId="482" priority="160">
      <formula>LEN(TRIM(E8))=0</formula>
    </cfRule>
  </conditionalFormatting>
  <conditionalFormatting sqref="E8">
    <cfRule type="expression" dxfId="481" priority="159">
      <formula>LEN(TRIM(E8))=0</formula>
    </cfRule>
  </conditionalFormatting>
  <conditionalFormatting sqref="E8">
    <cfRule type="expression" dxfId="480" priority="158">
      <formula>LEN(TRIM(E8))=0</formula>
    </cfRule>
  </conditionalFormatting>
  <conditionalFormatting sqref="E8">
    <cfRule type="expression" dxfId="479" priority="157">
      <formula>LEN(TRIM(E8))=0</formula>
    </cfRule>
  </conditionalFormatting>
  <conditionalFormatting sqref="E8">
    <cfRule type="expression" dxfId="478" priority="156">
      <formula>LEN(TRIM(E8))=0</formula>
    </cfRule>
  </conditionalFormatting>
  <conditionalFormatting sqref="E8">
    <cfRule type="expression" dxfId="477" priority="155">
      <formula>LEN(TRIM(E8))=0</formula>
    </cfRule>
  </conditionalFormatting>
  <conditionalFormatting sqref="E8">
    <cfRule type="expression" dxfId="476" priority="154">
      <formula>LEN(TRIM(E8))=0</formula>
    </cfRule>
  </conditionalFormatting>
  <conditionalFormatting sqref="E8">
    <cfRule type="expression" dxfId="475" priority="151">
      <formula>LEN(TRIM(E8))=0</formula>
    </cfRule>
  </conditionalFormatting>
  <conditionalFormatting sqref="E8">
    <cfRule type="expression" dxfId="474" priority="150">
      <formula>LEN(TRIM(E8))=0</formula>
    </cfRule>
  </conditionalFormatting>
  <conditionalFormatting sqref="E8">
    <cfRule type="expression" dxfId="473" priority="149">
      <formula>LEN(TRIM(E8))=0</formula>
    </cfRule>
  </conditionalFormatting>
  <conditionalFormatting sqref="E8">
    <cfRule type="expression" dxfId="472" priority="146">
      <formula>LEN(TRIM(E8))=0</formula>
    </cfRule>
  </conditionalFormatting>
  <conditionalFormatting sqref="E8">
    <cfRule type="expression" dxfId="471" priority="145">
      <formula>LEN(TRIM(E8))=0</formula>
    </cfRule>
  </conditionalFormatting>
  <conditionalFormatting sqref="E8">
    <cfRule type="expression" dxfId="470" priority="144">
      <formula>LEN(TRIM(E8))=0</formula>
    </cfRule>
  </conditionalFormatting>
  <conditionalFormatting sqref="E8">
    <cfRule type="expression" dxfId="469" priority="143">
      <formula>LEN(TRIM(E8))=0</formula>
    </cfRule>
  </conditionalFormatting>
  <conditionalFormatting sqref="E8">
    <cfRule type="expression" dxfId="468" priority="142">
      <formula>LEN(TRIM(E8))=0</formula>
    </cfRule>
  </conditionalFormatting>
  <conditionalFormatting sqref="E8">
    <cfRule type="expression" dxfId="467" priority="141">
      <formula>LEN(TRIM(E8))=0</formula>
    </cfRule>
  </conditionalFormatting>
  <conditionalFormatting sqref="E8">
    <cfRule type="expression" dxfId="466" priority="140">
      <formula>LEN(TRIM(E8))=0</formula>
    </cfRule>
  </conditionalFormatting>
  <conditionalFormatting sqref="E8">
    <cfRule type="expression" dxfId="465" priority="139">
      <formula>LEN(TRIM(E8))=0</formula>
    </cfRule>
  </conditionalFormatting>
  <conditionalFormatting sqref="E8">
    <cfRule type="expression" dxfId="464" priority="138">
      <formula>LEN(TRIM(E8))=0</formula>
    </cfRule>
  </conditionalFormatting>
  <conditionalFormatting sqref="E8">
    <cfRule type="expression" dxfId="463" priority="137">
      <formula>LEN(TRIM(E8))=0</formula>
    </cfRule>
  </conditionalFormatting>
  <conditionalFormatting sqref="D8:AB8">
    <cfRule type="expression" dxfId="462" priority="136">
      <formula>LEN(TRIM(D8))=0</formula>
    </cfRule>
  </conditionalFormatting>
  <conditionalFormatting sqref="D8:AB8">
    <cfRule type="expression" dxfId="461" priority="135">
      <formula>LEN(TRIM(D8))=0</formula>
    </cfRule>
  </conditionalFormatting>
  <conditionalFormatting sqref="D8:AB8">
    <cfRule type="expression" dxfId="460" priority="134">
      <formula>LEN(TRIM(D8))=0</formula>
    </cfRule>
  </conditionalFormatting>
  <conditionalFormatting sqref="D8:AB8">
    <cfRule type="expression" dxfId="459" priority="133">
      <formula>LEN(TRIM(D8))=0</formula>
    </cfRule>
  </conditionalFormatting>
  <conditionalFormatting sqref="D8:AB8">
    <cfRule type="expression" dxfId="458" priority="132">
      <formula>LEN(TRIM(D8))=0</formula>
    </cfRule>
  </conditionalFormatting>
  <conditionalFormatting sqref="D8:AB8">
    <cfRule type="expression" dxfId="457" priority="131">
      <formula>LEN(TRIM(D8))=0</formula>
    </cfRule>
  </conditionalFormatting>
  <conditionalFormatting sqref="D8:AB8">
    <cfRule type="expression" dxfId="456" priority="130">
      <formula>LEN(TRIM(D8))=0</formula>
    </cfRule>
  </conditionalFormatting>
  <conditionalFormatting sqref="D8:AB8">
    <cfRule type="expression" dxfId="455" priority="129">
      <formula>LEN(TRIM(D8))=0</formula>
    </cfRule>
  </conditionalFormatting>
  <conditionalFormatting sqref="D8:AB8">
    <cfRule type="expression" dxfId="454" priority="128">
      <formula>LEN(TRIM(D8))=0</formula>
    </cfRule>
  </conditionalFormatting>
  <conditionalFormatting sqref="D8:AB8">
    <cfRule type="expression" dxfId="453" priority="127">
      <formula>LEN(TRIM(D8))=0</formula>
    </cfRule>
  </conditionalFormatting>
  <conditionalFormatting sqref="D8:AB8">
    <cfRule type="expression" dxfId="452" priority="126">
      <formula>LEN(TRIM(D8))=0</formula>
    </cfRule>
  </conditionalFormatting>
  <conditionalFormatting sqref="D9:AB1766">
    <cfRule type="expression" dxfId="451" priority="125">
      <formula>LEN(TRIM(D9))=0</formula>
    </cfRule>
  </conditionalFormatting>
  <conditionalFormatting sqref="D9:AB1766">
    <cfRule type="expression" dxfId="450" priority="122">
      <formula>LEN(TRIM(D9))=0</formula>
    </cfRule>
  </conditionalFormatting>
  <conditionalFormatting sqref="D9:AB1766">
    <cfRule type="expression" dxfId="449" priority="119">
      <formula>LEN(TRIM(D9))=0</formula>
    </cfRule>
  </conditionalFormatting>
  <conditionalFormatting sqref="M9:M1766">
    <cfRule type="expression" dxfId="448" priority="118">
      <formula>LEN(TRIM(M9))=0</formula>
    </cfRule>
  </conditionalFormatting>
  <conditionalFormatting sqref="M9:M1766">
    <cfRule type="expression" dxfId="447" priority="115">
      <formula>LEN(TRIM(M9))=0</formula>
    </cfRule>
  </conditionalFormatting>
  <conditionalFormatting sqref="M9:M1766">
    <cfRule type="expression" dxfId="446" priority="112">
      <formula>LEN(TRIM(M9))=0</formula>
    </cfRule>
  </conditionalFormatting>
  <conditionalFormatting sqref="D9:AB1766">
    <cfRule type="expression" dxfId="445" priority="111">
      <formula>LEN(TRIM(D9))=0</formula>
    </cfRule>
  </conditionalFormatting>
  <conditionalFormatting sqref="D9:AB1766">
    <cfRule type="expression" dxfId="444" priority="110">
      <formula>LEN(TRIM(D9))=0</formula>
    </cfRule>
  </conditionalFormatting>
  <conditionalFormatting sqref="D9:AB1766">
    <cfRule type="expression" dxfId="443" priority="109">
      <formula>LEN(TRIM(D9))=0</formula>
    </cfRule>
  </conditionalFormatting>
  <conditionalFormatting sqref="D9:AB1766">
    <cfRule type="expression" dxfId="442" priority="108">
      <formula>LEN(TRIM(D9))=0</formula>
    </cfRule>
  </conditionalFormatting>
  <conditionalFormatting sqref="D9:AB1766">
    <cfRule type="expression" dxfId="441" priority="107">
      <formula>LEN(TRIM(D9))=0</formula>
    </cfRule>
  </conditionalFormatting>
  <conditionalFormatting sqref="D9:AB1766">
    <cfRule type="expression" dxfId="440" priority="106">
      <formula>LEN(TRIM(D9))=0</formula>
    </cfRule>
  </conditionalFormatting>
  <conditionalFormatting sqref="D9:AB1766">
    <cfRule type="expression" dxfId="439" priority="105">
      <formula>LEN(TRIM(D9))=0</formula>
    </cfRule>
  </conditionalFormatting>
  <conditionalFormatting sqref="D9:AB1766">
    <cfRule type="expression" dxfId="438" priority="104">
      <formula>LEN(TRIM(D9))=0</formula>
    </cfRule>
  </conditionalFormatting>
  <conditionalFormatting sqref="D9:AB1766">
    <cfRule type="expression" dxfId="437" priority="103">
      <formula>LEN(TRIM(D9))=0</formula>
    </cfRule>
  </conditionalFormatting>
  <conditionalFormatting sqref="D9:AB1766">
    <cfRule type="expression" dxfId="436" priority="102">
      <formula>LEN(TRIM(D9))=0</formula>
    </cfRule>
  </conditionalFormatting>
  <conditionalFormatting sqref="D9:AB1766">
    <cfRule type="expression" dxfId="435" priority="101">
      <formula>LEN(TRIM(D9))=0</formula>
    </cfRule>
  </conditionalFormatting>
  <conditionalFormatting sqref="E9:E1766">
    <cfRule type="expression" dxfId="434" priority="100">
      <formula>LEN(TRIM(E9))=0</formula>
    </cfRule>
  </conditionalFormatting>
  <conditionalFormatting sqref="E9:E1766">
    <cfRule type="expression" dxfId="433" priority="97">
      <formula>LEN(TRIM(E9))=0</formula>
    </cfRule>
  </conditionalFormatting>
  <conditionalFormatting sqref="E9:E1766">
    <cfRule type="expression" dxfId="432" priority="94">
      <formula>LEN(TRIM(E9))=0</formula>
    </cfRule>
  </conditionalFormatting>
  <conditionalFormatting sqref="E9:E1766">
    <cfRule type="expression" dxfId="431" priority="93">
      <formula>LEN(TRIM(E9))=0</formula>
    </cfRule>
  </conditionalFormatting>
  <conditionalFormatting sqref="E9:E1766">
    <cfRule type="expression" dxfId="430" priority="92">
      <formula>LEN(TRIM(E9))=0</formula>
    </cfRule>
  </conditionalFormatting>
  <conditionalFormatting sqref="E9:E1766">
    <cfRule type="expression" dxfId="429" priority="91">
      <formula>LEN(TRIM(E9))=0</formula>
    </cfRule>
  </conditionalFormatting>
  <conditionalFormatting sqref="E9:E1766">
    <cfRule type="expression" dxfId="428" priority="90">
      <formula>LEN(TRIM(E9))=0</formula>
    </cfRule>
  </conditionalFormatting>
  <conditionalFormatting sqref="E9:E1766">
    <cfRule type="expression" dxfId="427" priority="89">
      <formula>LEN(TRIM(E9))=0</formula>
    </cfRule>
  </conditionalFormatting>
  <conditionalFormatting sqref="E9:E1766">
    <cfRule type="expression" dxfId="426" priority="88">
      <formula>LEN(TRIM(E9))=0</formula>
    </cfRule>
  </conditionalFormatting>
  <conditionalFormatting sqref="E9:E1766">
    <cfRule type="expression" dxfId="425" priority="87">
      <formula>LEN(TRIM(E9))=0</formula>
    </cfRule>
  </conditionalFormatting>
  <conditionalFormatting sqref="E9:E1766">
    <cfRule type="expression" dxfId="424" priority="86">
      <formula>LEN(TRIM(E9))=0</formula>
    </cfRule>
  </conditionalFormatting>
  <conditionalFormatting sqref="E9:E1766">
    <cfRule type="expression" dxfId="423" priority="85">
      <formula>LEN(TRIM(E9))=0</formula>
    </cfRule>
  </conditionalFormatting>
  <conditionalFormatting sqref="E9:E1766">
    <cfRule type="expression" dxfId="422" priority="84">
      <formula>LEN(TRIM(E9))=0</formula>
    </cfRule>
  </conditionalFormatting>
  <conditionalFormatting sqref="E9:E1766">
    <cfRule type="expression" dxfId="421" priority="83">
      <formula>LEN(TRIM(E9))=0</formula>
    </cfRule>
  </conditionalFormatting>
  <conditionalFormatting sqref="E9:E1766">
    <cfRule type="expression" dxfId="420" priority="80">
      <formula>LEN(TRIM(E9))=0</formula>
    </cfRule>
  </conditionalFormatting>
  <conditionalFormatting sqref="E9:E1766">
    <cfRule type="expression" dxfId="419" priority="77">
      <formula>LEN(TRIM(E9))=0</formula>
    </cfRule>
  </conditionalFormatting>
  <conditionalFormatting sqref="E9:E1766">
    <cfRule type="expression" dxfId="418" priority="76">
      <formula>LEN(TRIM(E9))=0</formula>
    </cfRule>
  </conditionalFormatting>
  <conditionalFormatting sqref="E9:E1766">
    <cfRule type="expression" dxfId="417" priority="75">
      <formula>LEN(TRIM(E9))=0</formula>
    </cfRule>
  </conditionalFormatting>
  <conditionalFormatting sqref="E9:E1766">
    <cfRule type="expression" dxfId="416" priority="74">
      <formula>LEN(TRIM(E9))=0</formula>
    </cfRule>
  </conditionalFormatting>
  <conditionalFormatting sqref="E9:E1766">
    <cfRule type="expression" dxfId="415" priority="73">
      <formula>LEN(TRIM(E9))=0</formula>
    </cfRule>
  </conditionalFormatting>
  <conditionalFormatting sqref="E9:E1766">
    <cfRule type="expression" dxfId="414" priority="72">
      <formula>LEN(TRIM(E9))=0</formula>
    </cfRule>
  </conditionalFormatting>
  <conditionalFormatting sqref="E9:E1766">
    <cfRule type="expression" dxfId="413" priority="71">
      <formula>LEN(TRIM(E9))=0</formula>
    </cfRule>
  </conditionalFormatting>
  <conditionalFormatting sqref="E9:E1766">
    <cfRule type="expression" dxfId="412" priority="70">
      <formula>LEN(TRIM(E9))=0</formula>
    </cfRule>
  </conditionalFormatting>
  <conditionalFormatting sqref="E9:E1766">
    <cfRule type="expression" dxfId="411" priority="69">
      <formula>LEN(TRIM(E9))=0</formula>
    </cfRule>
  </conditionalFormatting>
  <conditionalFormatting sqref="E9:E1766">
    <cfRule type="expression" dxfId="410" priority="68">
      <formula>LEN(TRIM(E9))=0</formula>
    </cfRule>
  </conditionalFormatting>
  <conditionalFormatting sqref="E9:E1766">
    <cfRule type="expression" dxfId="409" priority="67">
      <formula>LEN(TRIM(E9))=0</formula>
    </cfRule>
  </conditionalFormatting>
  <conditionalFormatting sqref="D9:AB1766">
    <cfRule type="expression" dxfId="408" priority="66">
      <formula>LEN(TRIM(D9))=0</formula>
    </cfRule>
  </conditionalFormatting>
  <conditionalFormatting sqref="E9:E1766">
    <cfRule type="expression" dxfId="407" priority="65">
      <formula>LEN(TRIM(E9))=0</formula>
    </cfRule>
  </conditionalFormatting>
  <conditionalFormatting sqref="E9:E1766">
    <cfRule type="expression" dxfId="406" priority="62">
      <formula>LEN(TRIM(E9))=0</formula>
    </cfRule>
  </conditionalFormatting>
  <conditionalFormatting sqref="E9:E1766">
    <cfRule type="expression" dxfId="405" priority="59">
      <formula>LEN(TRIM(E9))=0</formula>
    </cfRule>
  </conditionalFormatting>
  <conditionalFormatting sqref="E9:E1766">
    <cfRule type="expression" dxfId="404" priority="58">
      <formula>LEN(TRIM(E9))=0</formula>
    </cfRule>
  </conditionalFormatting>
  <conditionalFormatting sqref="E9:E1766">
    <cfRule type="expression" dxfId="403" priority="57">
      <formula>LEN(TRIM(E9))=0</formula>
    </cfRule>
  </conditionalFormatting>
  <conditionalFormatting sqref="E9:E1766">
    <cfRule type="expression" dxfId="402" priority="56">
      <formula>LEN(TRIM(E9))=0</formula>
    </cfRule>
  </conditionalFormatting>
  <conditionalFormatting sqref="E9:E1766">
    <cfRule type="expression" dxfId="401" priority="55">
      <formula>LEN(TRIM(E9))=0</formula>
    </cfRule>
  </conditionalFormatting>
  <conditionalFormatting sqref="E9:E1766">
    <cfRule type="expression" dxfId="400" priority="54">
      <formula>LEN(TRIM(E9))=0</formula>
    </cfRule>
  </conditionalFormatting>
  <conditionalFormatting sqref="E9:E1766">
    <cfRule type="expression" dxfId="399" priority="53">
      <formula>LEN(TRIM(E9))=0</formula>
    </cfRule>
  </conditionalFormatting>
  <conditionalFormatting sqref="E9:E1766">
    <cfRule type="expression" dxfId="398" priority="52">
      <formula>LEN(TRIM(E9))=0</formula>
    </cfRule>
  </conditionalFormatting>
  <conditionalFormatting sqref="E9:E1766">
    <cfRule type="expression" dxfId="397" priority="51">
      <formula>LEN(TRIM(E9))=0</formula>
    </cfRule>
  </conditionalFormatting>
  <conditionalFormatting sqref="E9:E1766">
    <cfRule type="expression" dxfId="396" priority="50">
      <formula>LEN(TRIM(E9))=0</formula>
    </cfRule>
  </conditionalFormatting>
  <conditionalFormatting sqref="E9:E1766">
    <cfRule type="expression" dxfId="395" priority="49">
      <formula>LEN(TRIM(E9))=0</formula>
    </cfRule>
  </conditionalFormatting>
  <conditionalFormatting sqref="E9:E1766">
    <cfRule type="expression" dxfId="394" priority="48">
      <formula>LEN(TRIM(E9))=0</formula>
    </cfRule>
  </conditionalFormatting>
  <conditionalFormatting sqref="E9:E1766">
    <cfRule type="expression" dxfId="393" priority="47">
      <formula>LEN(TRIM(E9))=0</formula>
    </cfRule>
  </conditionalFormatting>
  <conditionalFormatting sqref="E9:E1766">
    <cfRule type="expression" dxfId="392" priority="44">
      <formula>LEN(TRIM(E9))=0</formula>
    </cfRule>
  </conditionalFormatting>
  <conditionalFormatting sqref="E9:E1766">
    <cfRule type="expression" dxfId="391" priority="41">
      <formula>LEN(TRIM(E9))=0</formula>
    </cfRule>
  </conditionalFormatting>
  <conditionalFormatting sqref="E9:E1766">
    <cfRule type="expression" dxfId="390" priority="40">
      <formula>LEN(TRIM(E9))=0</formula>
    </cfRule>
  </conditionalFormatting>
  <conditionalFormatting sqref="E9:E1766">
    <cfRule type="expression" dxfId="389" priority="39">
      <formula>LEN(TRIM(E9))=0</formula>
    </cfRule>
  </conditionalFormatting>
  <conditionalFormatting sqref="E9:E1766">
    <cfRule type="expression" dxfId="388" priority="38">
      <formula>LEN(TRIM(E9))=0</formula>
    </cfRule>
  </conditionalFormatting>
  <conditionalFormatting sqref="E9:E1766">
    <cfRule type="expression" dxfId="387" priority="37">
      <formula>LEN(TRIM(E9))=0</formula>
    </cfRule>
  </conditionalFormatting>
  <conditionalFormatting sqref="E9:E1766">
    <cfRule type="expression" dxfId="386" priority="36">
      <formula>LEN(TRIM(E9))=0</formula>
    </cfRule>
  </conditionalFormatting>
  <conditionalFormatting sqref="E9:E1766">
    <cfRule type="expression" dxfId="385" priority="35">
      <formula>LEN(TRIM(E9))=0</formula>
    </cfRule>
  </conditionalFormatting>
  <conditionalFormatting sqref="E9:E1766">
    <cfRule type="expression" dxfId="384" priority="34">
      <formula>LEN(TRIM(E9))=0</formula>
    </cfRule>
  </conditionalFormatting>
  <conditionalFormatting sqref="E9:E1766">
    <cfRule type="expression" dxfId="383" priority="33">
      <formula>LEN(TRIM(E9))=0</formula>
    </cfRule>
  </conditionalFormatting>
  <conditionalFormatting sqref="E9:E1766">
    <cfRule type="expression" dxfId="382" priority="32">
      <formula>LEN(TRIM(E9))=0</formula>
    </cfRule>
  </conditionalFormatting>
  <conditionalFormatting sqref="E9:E1766">
    <cfRule type="expression" dxfId="381" priority="31">
      <formula>LEN(TRIM(E9))=0</formula>
    </cfRule>
  </conditionalFormatting>
  <conditionalFormatting sqref="E9:E1766">
    <cfRule type="expression" dxfId="380" priority="30">
      <formula>LEN(TRIM(E9))=0</formula>
    </cfRule>
  </conditionalFormatting>
  <conditionalFormatting sqref="E9:E1766">
    <cfRule type="expression" dxfId="379" priority="27">
      <formula>LEN(TRIM(E9))=0</formula>
    </cfRule>
  </conditionalFormatting>
  <conditionalFormatting sqref="E9:E1766">
    <cfRule type="expression" dxfId="378" priority="24">
      <formula>LEN(TRIM(E9))=0</formula>
    </cfRule>
  </conditionalFormatting>
  <conditionalFormatting sqref="E9:E1766">
    <cfRule type="expression" dxfId="377" priority="23">
      <formula>LEN(TRIM(E9))=0</formula>
    </cfRule>
  </conditionalFormatting>
  <conditionalFormatting sqref="E9:E1766">
    <cfRule type="expression" dxfId="376" priority="22">
      <formula>LEN(TRIM(E9))=0</formula>
    </cfRule>
  </conditionalFormatting>
  <conditionalFormatting sqref="E9:E1766">
    <cfRule type="expression" dxfId="375" priority="21">
      <formula>LEN(TRIM(E9))=0</formula>
    </cfRule>
  </conditionalFormatting>
  <conditionalFormatting sqref="E9:E1766">
    <cfRule type="expression" dxfId="374" priority="20">
      <formula>LEN(TRIM(E9))=0</formula>
    </cfRule>
  </conditionalFormatting>
  <conditionalFormatting sqref="E9:E1766">
    <cfRule type="expression" dxfId="373" priority="19">
      <formula>LEN(TRIM(E9))=0</formula>
    </cfRule>
  </conditionalFormatting>
  <conditionalFormatting sqref="E9:E1766">
    <cfRule type="expression" dxfId="372" priority="18">
      <formula>LEN(TRIM(E9))=0</formula>
    </cfRule>
  </conditionalFormatting>
  <conditionalFormatting sqref="E9:E1766">
    <cfRule type="expression" dxfId="371" priority="17">
      <formula>LEN(TRIM(E9))=0</formula>
    </cfRule>
  </conditionalFormatting>
  <conditionalFormatting sqref="E9:E1766">
    <cfRule type="expression" dxfId="370" priority="16">
      <formula>LEN(TRIM(E9))=0</formula>
    </cfRule>
  </conditionalFormatting>
  <conditionalFormatting sqref="E9:E1766">
    <cfRule type="expression" dxfId="369" priority="15">
      <formula>LEN(TRIM(E9))=0</formula>
    </cfRule>
  </conditionalFormatting>
  <conditionalFormatting sqref="E9:E1766">
    <cfRule type="expression" dxfId="368" priority="14">
      <formula>LEN(TRIM(E9))=0</formula>
    </cfRule>
  </conditionalFormatting>
  <conditionalFormatting sqref="E9:E1766">
    <cfRule type="expression" dxfId="367" priority="13">
      <formula>LEN(TRIM(E9))=0</formula>
    </cfRule>
  </conditionalFormatting>
  <conditionalFormatting sqref="D9:AB1766">
    <cfRule type="expression" dxfId="366" priority="12">
      <formula>LEN(TRIM(D9))=0</formula>
    </cfRule>
  </conditionalFormatting>
  <conditionalFormatting sqref="D9:AB1766">
    <cfRule type="expression" dxfId="365" priority="11">
      <formula>LEN(TRIM(D9))=0</formula>
    </cfRule>
  </conditionalFormatting>
  <conditionalFormatting sqref="D9:AB1766">
    <cfRule type="expression" dxfId="364" priority="10">
      <formula>LEN(TRIM(D9))=0</formula>
    </cfRule>
  </conditionalFormatting>
  <conditionalFormatting sqref="D9:AB1766">
    <cfRule type="expression" dxfId="363" priority="9">
      <formula>LEN(TRIM(D9))=0</formula>
    </cfRule>
  </conditionalFormatting>
  <conditionalFormatting sqref="D9:AB1766">
    <cfRule type="expression" dxfId="362" priority="8">
      <formula>LEN(TRIM(D9))=0</formula>
    </cfRule>
  </conditionalFormatting>
  <conditionalFormatting sqref="D9:AB1766">
    <cfRule type="expression" dxfId="361" priority="7">
      <formula>LEN(TRIM(D9))=0</formula>
    </cfRule>
  </conditionalFormatting>
  <conditionalFormatting sqref="D9:AB1766">
    <cfRule type="expression" dxfId="360" priority="6">
      <formula>LEN(TRIM(D9))=0</formula>
    </cfRule>
  </conditionalFormatting>
  <conditionalFormatting sqref="D9:AB1766">
    <cfRule type="expression" dxfId="359" priority="5">
      <formula>LEN(TRIM(D9))=0</formula>
    </cfRule>
  </conditionalFormatting>
  <conditionalFormatting sqref="D9:AB1766">
    <cfRule type="expression" dxfId="358" priority="4">
      <formula>LEN(TRIM(D9))=0</formula>
    </cfRule>
  </conditionalFormatting>
  <conditionalFormatting sqref="D9:AB1766">
    <cfRule type="expression" dxfId="357" priority="3">
      <formula>LEN(TRIM(D9))=0</formula>
    </cfRule>
  </conditionalFormatting>
  <conditionalFormatting sqref="D9:AB1766">
    <cfRule type="expression" dxfId="356" priority="2">
      <formula>LEN(TRIM(D9))=0</formula>
    </cfRule>
  </conditionalFormatting>
  <conditionalFormatting sqref="D8:AB8">
    <cfRule type="expression" dxfId="355" priority="247">
      <formula>LEN(TRIM(D8))=0</formula>
    </cfRule>
    <cfRule type="expression" dxfId="354" priority="248">
      <formula>LEN(TRIM(D8))=0</formula>
    </cfRule>
  </conditionalFormatting>
  <conditionalFormatting sqref="D8:AB8">
    <cfRule type="expression" dxfId="353" priority="243">
      <formula>LEN(TRIM(D8))=0</formula>
    </cfRule>
  </conditionalFormatting>
  <conditionalFormatting sqref="M8">
    <cfRule type="expression" dxfId="352" priority="242">
      <formula>LEN(TRIM(M8))=0</formula>
    </cfRule>
  </conditionalFormatting>
  <conditionalFormatting sqref="M8">
    <cfRule type="expression" dxfId="351" priority="240">
      <formula>LEN(TRIM(M8))=0</formula>
    </cfRule>
    <cfRule type="expression" dxfId="350" priority="241">
      <formula>LEN(TRIM(M8))=0</formula>
    </cfRule>
  </conditionalFormatting>
  <conditionalFormatting sqref="M8">
    <cfRule type="expression" dxfId="349" priority="236">
      <formula>LEN(TRIM(M8))=0</formula>
    </cfRule>
  </conditionalFormatting>
  <conditionalFormatting sqref="D8:AB8">
    <cfRule type="expression" dxfId="348" priority="235">
      <formula>LEN(TRIM(D8))=0</formula>
    </cfRule>
  </conditionalFormatting>
  <conditionalFormatting sqref="E8">
    <cfRule type="expression" dxfId="347" priority="222">
      <formula>LEN(TRIM(E8))=0</formula>
    </cfRule>
    <cfRule type="expression" dxfId="346" priority="223">
      <formula>LEN(TRIM(E8))=0</formula>
    </cfRule>
  </conditionalFormatting>
  <conditionalFormatting sqref="E8">
    <cfRule type="expression" dxfId="345" priority="218">
      <formula>LEN(TRIM(E8))=0</formula>
    </cfRule>
  </conditionalFormatting>
  <conditionalFormatting sqref="E8">
    <cfRule type="expression" dxfId="344" priority="217">
      <formula>LEN(TRIM(E8))=0</formula>
    </cfRule>
  </conditionalFormatting>
  <conditionalFormatting sqref="E8">
    <cfRule type="expression" dxfId="343" priority="205">
      <formula>LEN(TRIM(E8))=0</formula>
    </cfRule>
    <cfRule type="expression" dxfId="342" priority="206">
      <formula>LEN(TRIM(E8))=0</formula>
    </cfRule>
  </conditionalFormatting>
  <conditionalFormatting sqref="E8">
    <cfRule type="expression" dxfId="341" priority="201">
      <formula>LEN(TRIM(E8))=0</formula>
    </cfRule>
  </conditionalFormatting>
  <conditionalFormatting sqref="E8">
    <cfRule type="expression" dxfId="340" priority="200">
      <formula>LEN(TRIM(E8))=0</formula>
    </cfRule>
  </conditionalFormatting>
  <conditionalFormatting sqref="E8">
    <cfRule type="expression" dxfId="339" priority="187">
      <formula>LEN(TRIM(E8))=0</formula>
    </cfRule>
    <cfRule type="expression" dxfId="338" priority="188">
      <formula>LEN(TRIM(E8))=0</formula>
    </cfRule>
  </conditionalFormatting>
  <conditionalFormatting sqref="E8">
    <cfRule type="expression" dxfId="337" priority="183">
      <formula>LEN(TRIM(E8))=0</formula>
    </cfRule>
  </conditionalFormatting>
  <conditionalFormatting sqref="E8">
    <cfRule type="expression" dxfId="336" priority="182">
      <formula>LEN(TRIM(E8))=0</formula>
    </cfRule>
  </conditionalFormatting>
  <conditionalFormatting sqref="E8">
    <cfRule type="expression" dxfId="335" priority="169">
      <formula>LEN(TRIM(E8))=0</formula>
    </cfRule>
    <cfRule type="expression" dxfId="334" priority="170">
      <formula>LEN(TRIM(E8))=0</formula>
    </cfRule>
  </conditionalFormatting>
  <conditionalFormatting sqref="E8">
    <cfRule type="expression" dxfId="333" priority="165">
      <formula>LEN(TRIM(E8))=0</formula>
    </cfRule>
  </conditionalFormatting>
  <conditionalFormatting sqref="E8">
    <cfRule type="expression" dxfId="332" priority="164">
      <formula>LEN(TRIM(E8))=0</formula>
    </cfRule>
  </conditionalFormatting>
  <conditionalFormatting sqref="E8">
    <cfRule type="expression" dxfId="331" priority="152">
      <formula>LEN(TRIM(E8))=0</formula>
    </cfRule>
    <cfRule type="expression" dxfId="330" priority="153">
      <formula>LEN(TRIM(E8))=0</formula>
    </cfRule>
  </conditionalFormatting>
  <conditionalFormatting sqref="E8">
    <cfRule type="expression" dxfId="329" priority="148">
      <formula>LEN(TRIM(E8))=0</formula>
    </cfRule>
  </conditionalFormatting>
  <conditionalFormatting sqref="E8">
    <cfRule type="expression" dxfId="328" priority="147">
      <formula>LEN(TRIM(E8))=0</formula>
    </cfRule>
  </conditionalFormatting>
  <conditionalFormatting sqref="D9:AB1766">
    <cfRule type="expression" dxfId="327" priority="123">
      <formula>LEN(TRIM(D9))=0</formula>
    </cfRule>
    <cfRule type="expression" dxfId="326" priority="124">
      <formula>LEN(TRIM(D9))=0</formula>
    </cfRule>
  </conditionalFormatting>
  <conditionalFormatting sqref="D9:AB1766">
    <cfRule type="expression" dxfId="325" priority="121">
      <formula>LEN(TRIM(D9))=0</formula>
    </cfRule>
  </conditionalFormatting>
  <conditionalFormatting sqref="D9:AB1766">
    <cfRule type="expression" dxfId="324" priority="120">
      <formula>LEN(TRIM(D9))=0</formula>
    </cfRule>
  </conditionalFormatting>
  <conditionalFormatting sqref="M9:M1766">
    <cfRule type="expression" dxfId="323" priority="116">
      <formula>LEN(TRIM(M9))=0</formula>
    </cfRule>
    <cfRule type="expression" dxfId="322" priority="117">
      <formula>LEN(TRIM(M9))=0</formula>
    </cfRule>
  </conditionalFormatting>
  <conditionalFormatting sqref="M9:M1766">
    <cfRule type="expression" dxfId="321" priority="114">
      <formula>LEN(TRIM(M9))=0</formula>
    </cfRule>
  </conditionalFormatting>
  <conditionalFormatting sqref="M9:M1766">
    <cfRule type="expression" dxfId="320" priority="113">
      <formula>LEN(TRIM(M9))=0</formula>
    </cfRule>
  </conditionalFormatting>
  <conditionalFormatting sqref="E9:E1766">
    <cfRule type="expression" dxfId="319" priority="98">
      <formula>LEN(TRIM(E9))=0</formula>
    </cfRule>
    <cfRule type="expression" dxfId="318" priority="99">
      <formula>LEN(TRIM(E9))=0</formula>
    </cfRule>
  </conditionalFormatting>
  <conditionalFormatting sqref="E9:E1766">
    <cfRule type="expression" dxfId="317" priority="96">
      <formula>LEN(TRIM(E9))=0</formula>
    </cfRule>
  </conditionalFormatting>
  <conditionalFormatting sqref="E9:E1766">
    <cfRule type="expression" dxfId="316" priority="95">
      <formula>LEN(TRIM(E9))=0</formula>
    </cfRule>
  </conditionalFormatting>
  <conditionalFormatting sqref="E9:E1766">
    <cfRule type="expression" dxfId="315" priority="81">
      <formula>LEN(TRIM(E9))=0</formula>
    </cfRule>
    <cfRule type="expression" dxfId="314" priority="82">
      <formula>LEN(TRIM(E9))=0</formula>
    </cfRule>
  </conditionalFormatting>
  <conditionalFormatting sqref="E9:E1766">
    <cfRule type="expression" dxfId="313" priority="79">
      <formula>LEN(TRIM(E9))=0</formula>
    </cfRule>
  </conditionalFormatting>
  <conditionalFormatting sqref="E9:E1766">
    <cfRule type="expression" dxfId="312" priority="78">
      <formula>LEN(TRIM(E9))=0</formula>
    </cfRule>
  </conditionalFormatting>
  <conditionalFormatting sqref="E9:E1766">
    <cfRule type="expression" dxfId="311" priority="63">
      <formula>LEN(TRIM(E9))=0</formula>
    </cfRule>
    <cfRule type="expression" dxfId="310" priority="64">
      <formula>LEN(TRIM(E9))=0</formula>
    </cfRule>
  </conditionalFormatting>
  <conditionalFormatting sqref="E9:E1766">
    <cfRule type="expression" dxfId="309" priority="61">
      <formula>LEN(TRIM(E9))=0</formula>
    </cfRule>
  </conditionalFormatting>
  <conditionalFormatting sqref="E9:E1766">
    <cfRule type="expression" dxfId="308" priority="60">
      <formula>LEN(TRIM(E9))=0</formula>
    </cfRule>
  </conditionalFormatting>
  <conditionalFormatting sqref="E9:E1766">
    <cfRule type="expression" dxfId="307" priority="45">
      <formula>LEN(TRIM(E9))=0</formula>
    </cfRule>
    <cfRule type="expression" dxfId="306" priority="46">
      <formula>LEN(TRIM(E9))=0</formula>
    </cfRule>
  </conditionalFormatting>
  <conditionalFormatting sqref="E9:E1766">
    <cfRule type="expression" dxfId="305" priority="43">
      <formula>LEN(TRIM(E9))=0</formula>
    </cfRule>
  </conditionalFormatting>
  <conditionalFormatting sqref="E9:E1766">
    <cfRule type="expression" dxfId="304" priority="42">
      <formula>LEN(TRIM(E9))=0</formula>
    </cfRule>
  </conditionalFormatting>
  <conditionalFormatting sqref="E9:E1766">
    <cfRule type="expression" dxfId="303" priority="28">
      <formula>LEN(TRIM(E9))=0</formula>
    </cfRule>
    <cfRule type="expression" dxfId="302" priority="29">
      <formula>LEN(TRIM(E9))=0</formula>
    </cfRule>
  </conditionalFormatting>
  <conditionalFormatting sqref="E9:E1766">
    <cfRule type="expression" dxfId="301" priority="26">
      <formula>LEN(TRIM(E9))=0</formula>
    </cfRule>
  </conditionalFormatting>
  <conditionalFormatting sqref="E9:E1766">
    <cfRule type="expression" dxfId="300" priority="25">
      <formula>LEN(TRIM(E9))=0</formula>
    </cfRule>
  </conditionalFormatting>
  <conditionalFormatting sqref="D8:AB1766">
    <cfRule type="expression" dxfId="299" priority="1">
      <formula>LEN(TRIM(D8))=0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83D8-445F-48CE-A59D-9EF3B3CC9700}">
  <sheetPr codeName="Sheet3"/>
  <dimension ref="A1:R107"/>
  <sheetViews>
    <sheetView showGridLines="0" workbookViewId="0">
      <selection sqref="A1:XFD1048576"/>
    </sheetView>
  </sheetViews>
  <sheetFormatPr defaultRowHeight="15" x14ac:dyDescent="0.25"/>
  <cols>
    <col min="1" max="1" width="5.5703125" style="2" customWidth="1"/>
    <col min="2" max="2" width="25.28515625" style="2" bestFit="1" customWidth="1"/>
    <col min="3" max="3" width="4" style="2" bestFit="1" customWidth="1"/>
    <col min="4" max="16" width="20.5703125" style="2" customWidth="1"/>
    <col min="17" max="17" width="25.5703125" style="1" customWidth="1"/>
    <col min="18" max="18" width="16" style="2" bestFit="1" customWidth="1"/>
    <col min="19" max="19" width="9.140625" style="2"/>
    <col min="20" max="20" width="14.28515625" style="2" bestFit="1" customWidth="1"/>
    <col min="21" max="16384" width="9.140625" style="2"/>
  </cols>
  <sheetData>
    <row r="1" spans="1:18" x14ac:dyDescent="0.25">
      <c r="A1" s="198" t="s">
        <v>1389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4" spans="1:18" x14ac:dyDescent="0.25">
      <c r="D4" s="200" t="s">
        <v>1</v>
      </c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2"/>
    </row>
    <row r="5" spans="1:18" ht="15" customHeight="1" x14ac:dyDescent="0.25">
      <c r="D5" s="4" t="s">
        <v>2</v>
      </c>
      <c r="E5" s="203" t="s">
        <v>1390</v>
      </c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4"/>
      <c r="Q5" s="207"/>
    </row>
    <row r="6" spans="1:18" ht="60" x14ac:dyDescent="0.25">
      <c r="D6" s="5"/>
      <c r="E6" s="6" t="s">
        <v>7</v>
      </c>
      <c r="F6" s="6" t="s">
        <v>8</v>
      </c>
      <c r="G6" s="6" t="s">
        <v>1391</v>
      </c>
      <c r="H6" s="6" t="s">
        <v>1392</v>
      </c>
      <c r="I6" s="6" t="s">
        <v>11</v>
      </c>
      <c r="J6" s="6" t="s">
        <v>1393</v>
      </c>
      <c r="K6" s="6" t="s">
        <v>14</v>
      </c>
      <c r="L6" s="6" t="s">
        <v>1394</v>
      </c>
      <c r="M6" s="6" t="s">
        <v>1395</v>
      </c>
      <c r="N6" s="6" t="s">
        <v>1396</v>
      </c>
      <c r="O6" s="6" t="s">
        <v>1397</v>
      </c>
      <c r="P6" s="6" t="s">
        <v>1398</v>
      </c>
      <c r="Q6" s="207"/>
    </row>
    <row r="7" spans="1:18" ht="15.75" thickBot="1" x14ac:dyDescent="0.3">
      <c r="D7" s="7" t="s">
        <v>29</v>
      </c>
      <c r="E7" s="7" t="s">
        <v>30</v>
      </c>
      <c r="F7" s="7" t="s">
        <v>32</v>
      </c>
      <c r="G7" s="7" t="s">
        <v>1399</v>
      </c>
      <c r="H7" s="7" t="s">
        <v>33</v>
      </c>
      <c r="I7" s="7" t="s">
        <v>34</v>
      </c>
      <c r="J7" s="8" t="s">
        <v>1400</v>
      </c>
      <c r="K7" s="7" t="s">
        <v>35</v>
      </c>
      <c r="L7" s="8" t="s">
        <v>39</v>
      </c>
      <c r="M7" s="7" t="s">
        <v>40</v>
      </c>
      <c r="N7" s="7" t="s">
        <v>41</v>
      </c>
      <c r="O7" s="8" t="s">
        <v>42</v>
      </c>
      <c r="P7" s="7" t="s">
        <v>43</v>
      </c>
    </row>
    <row r="8" spans="1:18" ht="36.75" thickBot="1" x14ac:dyDescent="0.3">
      <c r="A8" s="9" t="s">
        <v>54</v>
      </c>
      <c r="B8" s="10" t="s">
        <v>1401</v>
      </c>
      <c r="C8" s="11">
        <v>999</v>
      </c>
      <c r="D8" s="12">
        <v>1</v>
      </c>
      <c r="E8" s="12" t="s">
        <v>1402</v>
      </c>
      <c r="F8" s="12" t="s">
        <v>1403</v>
      </c>
      <c r="G8" s="12" t="s">
        <v>1404</v>
      </c>
      <c r="H8" s="12" t="s">
        <v>97</v>
      </c>
      <c r="I8" s="12" t="s">
        <v>91</v>
      </c>
      <c r="J8" s="12" t="s">
        <v>1949</v>
      </c>
      <c r="K8" s="12" t="s">
        <v>1405</v>
      </c>
      <c r="L8" s="12" t="s">
        <v>1406</v>
      </c>
      <c r="M8" s="13">
        <v>1066.44</v>
      </c>
      <c r="N8" s="12" t="s">
        <v>1387</v>
      </c>
      <c r="O8" s="13" t="s">
        <v>768</v>
      </c>
      <c r="P8" s="12" t="s">
        <v>1407</v>
      </c>
      <c r="Q8" s="15"/>
    </row>
    <row r="9" spans="1:18" s="1" customFormat="1" ht="36.75" thickBot="1" x14ac:dyDescent="0.3">
      <c r="B9" s="16"/>
      <c r="C9" s="11">
        <v>999</v>
      </c>
      <c r="D9" s="12">
        <v>2</v>
      </c>
      <c r="E9" s="12" t="s">
        <v>1402</v>
      </c>
      <c r="F9" s="12" t="s">
        <v>1403</v>
      </c>
      <c r="G9" s="12" t="s">
        <v>1408</v>
      </c>
      <c r="H9" s="12" t="s">
        <v>90</v>
      </c>
      <c r="I9" s="12" t="s">
        <v>91</v>
      </c>
      <c r="J9" s="12" t="s">
        <v>1949</v>
      </c>
      <c r="K9" s="12" t="s">
        <v>1405</v>
      </c>
      <c r="L9" s="12" t="s">
        <v>1406</v>
      </c>
      <c r="M9" s="13">
        <v>66521</v>
      </c>
      <c r="N9" s="12" t="s">
        <v>1387</v>
      </c>
      <c r="O9" s="13" t="s">
        <v>768</v>
      </c>
      <c r="P9" s="12" t="s">
        <v>1407</v>
      </c>
      <c r="Q9" s="17"/>
      <c r="R9" s="18"/>
    </row>
    <row r="10" spans="1:18" s="1" customFormat="1" ht="36.75" thickBot="1" x14ac:dyDescent="0.3">
      <c r="B10" s="16"/>
      <c r="C10" s="11">
        <v>999</v>
      </c>
      <c r="D10" s="12">
        <v>3</v>
      </c>
      <c r="E10" s="12" t="s">
        <v>1402</v>
      </c>
      <c r="F10" s="12" t="s">
        <v>1409</v>
      </c>
      <c r="G10" s="12" t="s">
        <v>1408</v>
      </c>
      <c r="H10" s="12" t="s">
        <v>90</v>
      </c>
      <c r="I10" s="12" t="s">
        <v>91</v>
      </c>
      <c r="J10" s="12" t="s">
        <v>1949</v>
      </c>
      <c r="K10" s="12" t="s">
        <v>1405</v>
      </c>
      <c r="L10" s="12" t="s">
        <v>1406</v>
      </c>
      <c r="M10" s="13">
        <v>22400</v>
      </c>
      <c r="N10" s="12" t="s">
        <v>1387</v>
      </c>
      <c r="O10" s="13" t="s">
        <v>768</v>
      </c>
      <c r="P10" s="12" t="s">
        <v>1407</v>
      </c>
      <c r="Q10" s="17"/>
      <c r="R10" s="18"/>
    </row>
    <row r="11" spans="1:18" s="1" customFormat="1" ht="36.75" thickBot="1" x14ac:dyDescent="0.3">
      <c r="B11" s="16"/>
      <c r="C11" s="11">
        <v>999</v>
      </c>
      <c r="D11" s="12">
        <v>4</v>
      </c>
      <c r="E11" s="12" t="s">
        <v>1402</v>
      </c>
      <c r="F11" s="12" t="s">
        <v>1410</v>
      </c>
      <c r="G11" s="12" t="s">
        <v>1408</v>
      </c>
      <c r="H11" s="12" t="s">
        <v>90</v>
      </c>
      <c r="I11" s="12" t="s">
        <v>91</v>
      </c>
      <c r="J11" s="12" t="s">
        <v>1949</v>
      </c>
      <c r="K11" s="12" t="s">
        <v>1405</v>
      </c>
      <c r="L11" s="12" t="s">
        <v>1406</v>
      </c>
      <c r="M11" s="13">
        <v>283100</v>
      </c>
      <c r="N11" s="12" t="s">
        <v>1387</v>
      </c>
      <c r="O11" s="13" t="s">
        <v>768</v>
      </c>
      <c r="P11" s="12" t="s">
        <v>1407</v>
      </c>
      <c r="Q11" s="17"/>
      <c r="R11" s="18"/>
    </row>
    <row r="12" spans="1:18" s="1" customFormat="1" ht="36.75" thickBot="1" x14ac:dyDescent="0.3">
      <c r="B12" s="16"/>
      <c r="C12" s="11">
        <v>999</v>
      </c>
      <c r="D12" s="12">
        <v>5</v>
      </c>
      <c r="E12" s="12" t="s">
        <v>1402</v>
      </c>
      <c r="F12" s="12" t="s">
        <v>1411</v>
      </c>
      <c r="G12" s="12" t="s">
        <v>1408</v>
      </c>
      <c r="H12" s="12" t="s">
        <v>90</v>
      </c>
      <c r="I12" s="12" t="s">
        <v>91</v>
      </c>
      <c r="J12" s="12" t="s">
        <v>1949</v>
      </c>
      <c r="K12" s="12" t="s">
        <v>1405</v>
      </c>
      <c r="L12" s="12" t="s">
        <v>1406</v>
      </c>
      <c r="M12" s="13">
        <v>369094.40000000002</v>
      </c>
      <c r="N12" s="12" t="s">
        <v>1387</v>
      </c>
      <c r="O12" s="13" t="s">
        <v>768</v>
      </c>
      <c r="P12" s="12" t="s">
        <v>1407</v>
      </c>
      <c r="Q12" s="17"/>
      <c r="R12" s="18"/>
    </row>
    <row r="13" spans="1:18" ht="36.75" thickBot="1" x14ac:dyDescent="0.3">
      <c r="C13" s="11">
        <v>999</v>
      </c>
      <c r="D13" s="12">
        <v>6</v>
      </c>
      <c r="E13" s="12" t="s">
        <v>1402</v>
      </c>
      <c r="F13" s="12" t="s">
        <v>1412</v>
      </c>
      <c r="G13" s="12" t="s">
        <v>1408</v>
      </c>
      <c r="H13" s="12" t="s">
        <v>90</v>
      </c>
      <c r="I13" s="12" t="s">
        <v>91</v>
      </c>
      <c r="J13" s="12" t="s">
        <v>1949</v>
      </c>
      <c r="K13" s="12" t="s">
        <v>1405</v>
      </c>
      <c r="L13" s="12" t="s">
        <v>1406</v>
      </c>
      <c r="M13" s="13">
        <v>200000</v>
      </c>
      <c r="N13" s="12" t="s">
        <v>1387</v>
      </c>
      <c r="O13" s="13" t="s">
        <v>768</v>
      </c>
      <c r="P13" s="12" t="s">
        <v>1407</v>
      </c>
      <c r="Q13" s="14"/>
    </row>
    <row r="14" spans="1:18" ht="36.75" thickBot="1" x14ac:dyDescent="0.3">
      <c r="C14" s="11">
        <v>999</v>
      </c>
      <c r="D14" s="12">
        <v>7</v>
      </c>
      <c r="E14" s="12" t="s">
        <v>1402</v>
      </c>
      <c r="F14" s="12" t="s">
        <v>1413</v>
      </c>
      <c r="G14" s="12" t="s">
        <v>1408</v>
      </c>
      <c r="H14" s="12" t="s">
        <v>90</v>
      </c>
      <c r="I14" s="12" t="s">
        <v>91</v>
      </c>
      <c r="J14" s="12" t="s">
        <v>1949</v>
      </c>
      <c r="K14" s="12" t="s">
        <v>1405</v>
      </c>
      <c r="L14" s="12" t="s">
        <v>1406</v>
      </c>
      <c r="M14" s="13">
        <v>108000</v>
      </c>
      <c r="N14" s="12" t="s">
        <v>1387</v>
      </c>
      <c r="O14" s="13" t="s">
        <v>768</v>
      </c>
      <c r="P14" s="12" t="s">
        <v>1407</v>
      </c>
    </row>
    <row r="15" spans="1:18" ht="36.75" thickBot="1" x14ac:dyDescent="0.3">
      <c r="C15" s="11">
        <v>999</v>
      </c>
      <c r="D15" s="12">
        <v>8</v>
      </c>
      <c r="E15" s="12" t="s">
        <v>1402</v>
      </c>
      <c r="F15" s="12" t="s">
        <v>1414</v>
      </c>
      <c r="G15" s="12" t="s">
        <v>1408</v>
      </c>
      <c r="H15" s="12" t="s">
        <v>90</v>
      </c>
      <c r="I15" s="12" t="s">
        <v>91</v>
      </c>
      <c r="J15" s="12" t="s">
        <v>1949</v>
      </c>
      <c r="K15" s="12" t="s">
        <v>1405</v>
      </c>
      <c r="L15" s="12" t="s">
        <v>1406</v>
      </c>
      <c r="M15" s="13">
        <v>468000</v>
      </c>
      <c r="N15" s="12" t="s">
        <v>1387</v>
      </c>
      <c r="O15" s="13" t="s">
        <v>768</v>
      </c>
      <c r="P15" s="12" t="s">
        <v>1407</v>
      </c>
    </row>
    <row r="16" spans="1:18" ht="36.75" thickBot="1" x14ac:dyDescent="0.3">
      <c r="C16" s="11">
        <v>999</v>
      </c>
      <c r="D16" s="12">
        <v>9</v>
      </c>
      <c r="E16" s="12" t="s">
        <v>1402</v>
      </c>
      <c r="F16" s="12" t="s">
        <v>1415</v>
      </c>
      <c r="G16" s="12" t="s">
        <v>1408</v>
      </c>
      <c r="H16" s="12" t="s">
        <v>90</v>
      </c>
      <c r="I16" s="12" t="s">
        <v>91</v>
      </c>
      <c r="J16" s="12" t="s">
        <v>1949</v>
      </c>
      <c r="K16" s="12" t="s">
        <v>1405</v>
      </c>
      <c r="L16" s="12" t="s">
        <v>1406</v>
      </c>
      <c r="M16" s="13">
        <v>43338.1</v>
      </c>
      <c r="N16" s="12" t="s">
        <v>1387</v>
      </c>
      <c r="O16" s="13" t="s">
        <v>768</v>
      </c>
      <c r="P16" s="12" t="s">
        <v>1407</v>
      </c>
    </row>
    <row r="17" spans="3:16" ht="36.75" thickBot="1" x14ac:dyDescent="0.3">
      <c r="C17" s="11">
        <v>999</v>
      </c>
      <c r="D17" s="12">
        <v>10</v>
      </c>
      <c r="E17" s="12" t="s">
        <v>1402</v>
      </c>
      <c r="F17" s="12" t="s">
        <v>1416</v>
      </c>
      <c r="G17" s="12" t="s">
        <v>1408</v>
      </c>
      <c r="H17" s="12" t="s">
        <v>90</v>
      </c>
      <c r="I17" s="12" t="s">
        <v>91</v>
      </c>
      <c r="J17" s="12" t="s">
        <v>1949</v>
      </c>
      <c r="K17" s="12" t="s">
        <v>1405</v>
      </c>
      <c r="L17" s="12" t="s">
        <v>1406</v>
      </c>
      <c r="M17" s="13">
        <v>101731.98</v>
      </c>
      <c r="N17" s="12" t="s">
        <v>1387</v>
      </c>
      <c r="O17" s="13" t="s">
        <v>768</v>
      </c>
      <c r="P17" s="12" t="s">
        <v>1407</v>
      </c>
    </row>
    <row r="18" spans="3:16" ht="36.75" thickBot="1" x14ac:dyDescent="0.3">
      <c r="C18" s="11">
        <v>999</v>
      </c>
      <c r="D18" s="12">
        <v>11</v>
      </c>
      <c r="E18" s="12" t="s">
        <v>1402</v>
      </c>
      <c r="F18" s="12" t="s">
        <v>1417</v>
      </c>
      <c r="G18" s="12" t="s">
        <v>1408</v>
      </c>
      <c r="H18" s="12" t="s">
        <v>90</v>
      </c>
      <c r="I18" s="12" t="s">
        <v>91</v>
      </c>
      <c r="J18" s="12" t="s">
        <v>1949</v>
      </c>
      <c r="K18" s="12" t="s">
        <v>1405</v>
      </c>
      <c r="L18" s="12" t="s">
        <v>1406</v>
      </c>
      <c r="M18" s="13">
        <v>54272.5</v>
      </c>
      <c r="N18" s="12" t="s">
        <v>1387</v>
      </c>
      <c r="O18" s="13" t="s">
        <v>768</v>
      </c>
      <c r="P18" s="12" t="s">
        <v>1407</v>
      </c>
    </row>
    <row r="19" spans="3:16" ht="36.75" thickBot="1" x14ac:dyDescent="0.3">
      <c r="C19" s="11">
        <v>999</v>
      </c>
      <c r="D19" s="12">
        <v>12</v>
      </c>
      <c r="E19" s="12" t="s">
        <v>1402</v>
      </c>
      <c r="F19" s="12" t="s">
        <v>1418</v>
      </c>
      <c r="G19" s="12" t="s">
        <v>1408</v>
      </c>
      <c r="H19" s="12" t="s">
        <v>90</v>
      </c>
      <c r="I19" s="12" t="s">
        <v>91</v>
      </c>
      <c r="J19" s="12" t="s">
        <v>1949</v>
      </c>
      <c r="K19" s="12" t="s">
        <v>1405</v>
      </c>
      <c r="L19" s="12" t="s">
        <v>1406</v>
      </c>
      <c r="M19" s="13">
        <v>70160</v>
      </c>
      <c r="N19" s="12" t="s">
        <v>1387</v>
      </c>
      <c r="O19" s="13" t="s">
        <v>768</v>
      </c>
      <c r="P19" s="12" t="s">
        <v>1407</v>
      </c>
    </row>
    <row r="20" spans="3:16" ht="36.75" thickBot="1" x14ac:dyDescent="0.3">
      <c r="C20" s="11">
        <v>999</v>
      </c>
      <c r="D20" s="12">
        <v>13</v>
      </c>
      <c r="E20" s="12" t="s">
        <v>1402</v>
      </c>
      <c r="F20" s="12" t="s">
        <v>1419</v>
      </c>
      <c r="G20" s="12" t="s">
        <v>1408</v>
      </c>
      <c r="H20" s="12" t="s">
        <v>90</v>
      </c>
      <c r="I20" s="12" t="s">
        <v>91</v>
      </c>
      <c r="J20" s="12" t="s">
        <v>1949</v>
      </c>
      <c r="K20" s="12" t="s">
        <v>1405</v>
      </c>
      <c r="L20" s="12" t="s">
        <v>1406</v>
      </c>
      <c r="M20" s="13">
        <v>6609.56</v>
      </c>
      <c r="N20" s="12" t="s">
        <v>1387</v>
      </c>
      <c r="O20" s="13" t="s">
        <v>768</v>
      </c>
      <c r="P20" s="12" t="s">
        <v>1407</v>
      </c>
    </row>
    <row r="21" spans="3:16" ht="36.75" thickBot="1" x14ac:dyDescent="0.3">
      <c r="C21" s="11">
        <v>999</v>
      </c>
      <c r="D21" s="12">
        <v>14</v>
      </c>
      <c r="E21" s="12" t="s">
        <v>1402</v>
      </c>
      <c r="F21" s="12" t="s">
        <v>1420</v>
      </c>
      <c r="G21" s="12" t="s">
        <v>1408</v>
      </c>
      <c r="H21" s="12" t="s">
        <v>90</v>
      </c>
      <c r="I21" s="12" t="s">
        <v>91</v>
      </c>
      <c r="J21" s="12" t="s">
        <v>1949</v>
      </c>
      <c r="K21" s="12" t="s">
        <v>1405</v>
      </c>
      <c r="L21" s="12" t="s">
        <v>1406</v>
      </c>
      <c r="M21" s="13">
        <v>544240</v>
      </c>
      <c r="N21" s="12" t="s">
        <v>1387</v>
      </c>
      <c r="O21" s="13" t="s">
        <v>768</v>
      </c>
      <c r="P21" s="12" t="s">
        <v>1407</v>
      </c>
    </row>
    <row r="22" spans="3:16" ht="36.75" thickBot="1" x14ac:dyDescent="0.3">
      <c r="C22" s="11">
        <v>999</v>
      </c>
      <c r="D22" s="12">
        <v>15</v>
      </c>
      <c r="E22" s="12" t="s">
        <v>1402</v>
      </c>
      <c r="F22" s="12" t="s">
        <v>1421</v>
      </c>
      <c r="G22" s="12" t="s">
        <v>1408</v>
      </c>
      <c r="H22" s="12" t="s">
        <v>90</v>
      </c>
      <c r="I22" s="12" t="s">
        <v>91</v>
      </c>
      <c r="J22" s="12" t="s">
        <v>1949</v>
      </c>
      <c r="K22" s="12" t="s">
        <v>1405</v>
      </c>
      <c r="L22" s="12" t="s">
        <v>1406</v>
      </c>
      <c r="M22" s="13">
        <v>870001</v>
      </c>
      <c r="N22" s="12" t="s">
        <v>1387</v>
      </c>
      <c r="O22" s="13" t="s">
        <v>768</v>
      </c>
      <c r="P22" s="12" t="s">
        <v>1407</v>
      </c>
    </row>
    <row r="23" spans="3:16" ht="36.75" thickBot="1" x14ac:dyDescent="0.3">
      <c r="C23" s="11">
        <v>999</v>
      </c>
      <c r="D23" s="12">
        <v>16</v>
      </c>
      <c r="E23" s="12" t="s">
        <v>1402</v>
      </c>
      <c r="F23" s="12" t="s">
        <v>1422</v>
      </c>
      <c r="G23" s="12" t="s">
        <v>1408</v>
      </c>
      <c r="H23" s="12" t="s">
        <v>90</v>
      </c>
      <c r="I23" s="12" t="s">
        <v>91</v>
      </c>
      <c r="J23" s="12" t="s">
        <v>1949</v>
      </c>
      <c r="K23" s="12" t="s">
        <v>1405</v>
      </c>
      <c r="L23" s="12" t="s">
        <v>1406</v>
      </c>
      <c r="M23" s="13">
        <v>108160</v>
      </c>
      <c r="N23" s="12" t="s">
        <v>1387</v>
      </c>
      <c r="O23" s="13" t="s">
        <v>768</v>
      </c>
      <c r="P23" s="12" t="s">
        <v>1407</v>
      </c>
    </row>
    <row r="24" spans="3:16" ht="36.75" thickBot="1" x14ac:dyDescent="0.3">
      <c r="C24" s="11">
        <v>999</v>
      </c>
      <c r="D24" s="12">
        <v>17</v>
      </c>
      <c r="E24" s="12" t="s">
        <v>1402</v>
      </c>
      <c r="F24" s="12" t="s">
        <v>1423</v>
      </c>
      <c r="G24" s="12" t="s">
        <v>1408</v>
      </c>
      <c r="H24" s="12" t="s">
        <v>90</v>
      </c>
      <c r="I24" s="12" t="s">
        <v>91</v>
      </c>
      <c r="J24" s="12" t="s">
        <v>1949</v>
      </c>
      <c r="K24" s="12" t="s">
        <v>1405</v>
      </c>
      <c r="L24" s="12" t="s">
        <v>1406</v>
      </c>
      <c r="M24" s="13">
        <v>772224</v>
      </c>
      <c r="N24" s="12" t="s">
        <v>1387</v>
      </c>
      <c r="O24" s="13" t="s">
        <v>768</v>
      </c>
      <c r="P24" s="12" t="s">
        <v>1407</v>
      </c>
    </row>
    <row r="25" spans="3:16" ht="36.75" thickBot="1" x14ac:dyDescent="0.3">
      <c r="C25" s="11">
        <v>999</v>
      </c>
      <c r="D25" s="12">
        <v>18</v>
      </c>
      <c r="E25" s="12" t="s">
        <v>1402</v>
      </c>
      <c r="F25" s="12" t="s">
        <v>1424</v>
      </c>
      <c r="G25" s="12" t="s">
        <v>1408</v>
      </c>
      <c r="H25" s="12" t="s">
        <v>90</v>
      </c>
      <c r="I25" s="12" t="s">
        <v>91</v>
      </c>
      <c r="J25" s="12" t="s">
        <v>1949</v>
      </c>
      <c r="K25" s="12" t="s">
        <v>1405</v>
      </c>
      <c r="L25" s="12" t="s">
        <v>1406</v>
      </c>
      <c r="M25" s="13">
        <v>76752</v>
      </c>
      <c r="N25" s="12" t="s">
        <v>1387</v>
      </c>
      <c r="O25" s="13" t="s">
        <v>768</v>
      </c>
      <c r="P25" s="12" t="s">
        <v>1407</v>
      </c>
    </row>
    <row r="26" spans="3:16" ht="36.75" thickBot="1" x14ac:dyDescent="0.3">
      <c r="C26" s="11">
        <v>999</v>
      </c>
      <c r="D26" s="12">
        <v>19</v>
      </c>
      <c r="E26" s="12" t="s">
        <v>1402</v>
      </c>
      <c r="F26" s="12" t="s">
        <v>1425</v>
      </c>
      <c r="G26" s="12" t="s">
        <v>1408</v>
      </c>
      <c r="H26" s="12" t="s">
        <v>90</v>
      </c>
      <c r="I26" s="12" t="s">
        <v>91</v>
      </c>
      <c r="J26" s="12" t="s">
        <v>1949</v>
      </c>
      <c r="K26" s="12" t="s">
        <v>1405</v>
      </c>
      <c r="L26" s="12" t="s">
        <v>1406</v>
      </c>
      <c r="M26" s="13">
        <v>76752</v>
      </c>
      <c r="N26" s="12" t="s">
        <v>1387</v>
      </c>
      <c r="O26" s="13" t="s">
        <v>768</v>
      </c>
      <c r="P26" s="12" t="s">
        <v>1407</v>
      </c>
    </row>
    <row r="27" spans="3:16" ht="36.75" thickBot="1" x14ac:dyDescent="0.3">
      <c r="C27" s="11">
        <v>999</v>
      </c>
      <c r="D27" s="12">
        <v>20</v>
      </c>
      <c r="E27" s="12" t="s">
        <v>1402</v>
      </c>
      <c r="F27" s="12" t="s">
        <v>1426</v>
      </c>
      <c r="G27" s="12" t="s">
        <v>1408</v>
      </c>
      <c r="H27" s="12" t="s">
        <v>90</v>
      </c>
      <c r="I27" s="12" t="s">
        <v>91</v>
      </c>
      <c r="J27" s="12" t="s">
        <v>1949</v>
      </c>
      <c r="K27" s="12" t="s">
        <v>1405</v>
      </c>
      <c r="L27" s="12" t="s">
        <v>1406</v>
      </c>
      <c r="M27" s="13">
        <v>204030</v>
      </c>
      <c r="N27" s="12" t="s">
        <v>1387</v>
      </c>
      <c r="O27" s="13" t="s">
        <v>768</v>
      </c>
      <c r="P27" s="12" t="s">
        <v>1407</v>
      </c>
    </row>
    <row r="28" spans="3:16" ht="36.75" thickBot="1" x14ac:dyDescent="0.3">
      <c r="C28" s="11">
        <v>999</v>
      </c>
      <c r="D28" s="12">
        <v>21</v>
      </c>
      <c r="E28" s="12" t="s">
        <v>1402</v>
      </c>
      <c r="F28" s="12" t="s">
        <v>1427</v>
      </c>
      <c r="G28" s="12" t="s">
        <v>1408</v>
      </c>
      <c r="H28" s="12" t="s">
        <v>90</v>
      </c>
      <c r="I28" s="12" t="s">
        <v>91</v>
      </c>
      <c r="J28" s="12" t="s">
        <v>1949</v>
      </c>
      <c r="K28" s="12" t="s">
        <v>1405</v>
      </c>
      <c r="L28" s="12" t="s">
        <v>1406</v>
      </c>
      <c r="M28" s="13">
        <v>513553.5</v>
      </c>
      <c r="N28" s="12" t="s">
        <v>1387</v>
      </c>
      <c r="O28" s="13" t="s">
        <v>768</v>
      </c>
      <c r="P28" s="12" t="s">
        <v>1407</v>
      </c>
    </row>
    <row r="29" spans="3:16" ht="36.75" thickBot="1" x14ac:dyDescent="0.3">
      <c r="C29" s="11">
        <v>999</v>
      </c>
      <c r="D29" s="12">
        <v>22</v>
      </c>
      <c r="E29" s="12" t="s">
        <v>1402</v>
      </c>
      <c r="F29" s="12" t="s">
        <v>1428</v>
      </c>
      <c r="G29" s="12" t="s">
        <v>1408</v>
      </c>
      <c r="H29" s="12" t="s">
        <v>90</v>
      </c>
      <c r="I29" s="12" t="s">
        <v>91</v>
      </c>
      <c r="J29" s="12" t="s">
        <v>1949</v>
      </c>
      <c r="K29" s="12" t="s">
        <v>1405</v>
      </c>
      <c r="L29" s="12" t="s">
        <v>1406</v>
      </c>
      <c r="M29" s="13">
        <v>2250</v>
      </c>
      <c r="N29" s="12" t="s">
        <v>1387</v>
      </c>
      <c r="O29" s="13" t="s">
        <v>768</v>
      </c>
      <c r="P29" s="12" t="s">
        <v>1407</v>
      </c>
    </row>
    <row r="30" spans="3:16" ht="36.75" thickBot="1" x14ac:dyDescent="0.3">
      <c r="C30" s="11">
        <v>999</v>
      </c>
      <c r="D30" s="12">
        <v>23</v>
      </c>
      <c r="E30" s="12" t="s">
        <v>1402</v>
      </c>
      <c r="F30" s="12" t="s">
        <v>1429</v>
      </c>
      <c r="G30" s="12" t="s">
        <v>1408</v>
      </c>
      <c r="H30" s="12" t="s">
        <v>90</v>
      </c>
      <c r="I30" s="12" t="s">
        <v>91</v>
      </c>
      <c r="J30" s="12" t="s">
        <v>1949</v>
      </c>
      <c r="K30" s="12" t="s">
        <v>1405</v>
      </c>
      <c r="L30" s="12" t="s">
        <v>1406</v>
      </c>
      <c r="M30" s="13">
        <v>10000</v>
      </c>
      <c r="N30" s="12" t="s">
        <v>1387</v>
      </c>
      <c r="O30" s="13" t="s">
        <v>768</v>
      </c>
      <c r="P30" s="12" t="s">
        <v>1407</v>
      </c>
    </row>
    <row r="31" spans="3:16" ht="36.75" thickBot="1" x14ac:dyDescent="0.3">
      <c r="C31" s="11">
        <v>999</v>
      </c>
      <c r="D31" s="12">
        <v>24</v>
      </c>
      <c r="E31" s="12" t="s">
        <v>1402</v>
      </c>
      <c r="F31" s="12" t="s">
        <v>1430</v>
      </c>
      <c r="G31" s="12" t="s">
        <v>1408</v>
      </c>
      <c r="H31" s="12" t="s">
        <v>90</v>
      </c>
      <c r="I31" s="12" t="s">
        <v>91</v>
      </c>
      <c r="J31" s="12" t="s">
        <v>1949</v>
      </c>
      <c r="K31" s="12" t="s">
        <v>1405</v>
      </c>
      <c r="L31" s="12" t="s">
        <v>1406</v>
      </c>
      <c r="M31" s="13">
        <v>40000</v>
      </c>
      <c r="N31" s="12" t="s">
        <v>1387</v>
      </c>
      <c r="O31" s="13" t="s">
        <v>768</v>
      </c>
      <c r="P31" s="12" t="s">
        <v>1407</v>
      </c>
    </row>
    <row r="32" spans="3:16" ht="36.75" thickBot="1" x14ac:dyDescent="0.3">
      <c r="C32" s="11">
        <v>999</v>
      </c>
      <c r="D32" s="12">
        <v>25</v>
      </c>
      <c r="E32" s="12" t="s">
        <v>1402</v>
      </c>
      <c r="F32" s="12" t="s">
        <v>1431</v>
      </c>
      <c r="G32" s="12" t="s">
        <v>1408</v>
      </c>
      <c r="H32" s="12" t="s">
        <v>90</v>
      </c>
      <c r="I32" s="12" t="s">
        <v>91</v>
      </c>
      <c r="J32" s="12" t="s">
        <v>1949</v>
      </c>
      <c r="K32" s="12" t="s">
        <v>1405</v>
      </c>
      <c r="L32" s="12" t="s">
        <v>1406</v>
      </c>
      <c r="M32" s="13">
        <v>335260.26</v>
      </c>
      <c r="N32" s="12" t="s">
        <v>1387</v>
      </c>
      <c r="O32" s="13" t="s">
        <v>768</v>
      </c>
      <c r="P32" s="12" t="s">
        <v>1407</v>
      </c>
    </row>
    <row r="33" spans="3:16" ht="36.75" thickBot="1" x14ac:dyDescent="0.3">
      <c r="C33" s="11">
        <v>999</v>
      </c>
      <c r="D33" s="12">
        <v>26</v>
      </c>
      <c r="E33" s="12" t="s">
        <v>1402</v>
      </c>
      <c r="F33" s="12" t="s">
        <v>1432</v>
      </c>
      <c r="G33" s="12" t="s">
        <v>1408</v>
      </c>
      <c r="H33" s="12" t="s">
        <v>90</v>
      </c>
      <c r="I33" s="12" t="s">
        <v>91</v>
      </c>
      <c r="J33" s="12" t="s">
        <v>1949</v>
      </c>
      <c r="K33" s="12" t="s">
        <v>1405</v>
      </c>
      <c r="L33" s="12" t="s">
        <v>1406</v>
      </c>
      <c r="M33" s="13">
        <v>45200</v>
      </c>
      <c r="N33" s="12" t="s">
        <v>1387</v>
      </c>
      <c r="O33" s="13" t="s">
        <v>768</v>
      </c>
      <c r="P33" s="12" t="s">
        <v>1407</v>
      </c>
    </row>
    <row r="34" spans="3:16" ht="36.75" thickBot="1" x14ac:dyDescent="0.3">
      <c r="C34" s="11">
        <v>999</v>
      </c>
      <c r="D34" s="12">
        <v>27</v>
      </c>
      <c r="E34" s="12" t="s">
        <v>1402</v>
      </c>
      <c r="F34" s="12" t="s">
        <v>1433</v>
      </c>
      <c r="G34" s="12" t="s">
        <v>1408</v>
      </c>
      <c r="H34" s="12" t="s">
        <v>90</v>
      </c>
      <c r="I34" s="12" t="s">
        <v>91</v>
      </c>
      <c r="J34" s="12" t="s">
        <v>1949</v>
      </c>
      <c r="K34" s="12" t="s">
        <v>1405</v>
      </c>
      <c r="L34" s="12" t="s">
        <v>1406</v>
      </c>
      <c r="M34" s="13">
        <v>134910</v>
      </c>
      <c r="N34" s="12" t="s">
        <v>1387</v>
      </c>
      <c r="O34" s="13" t="s">
        <v>768</v>
      </c>
      <c r="P34" s="12" t="s">
        <v>1407</v>
      </c>
    </row>
    <row r="35" spans="3:16" ht="36.75" thickBot="1" x14ac:dyDescent="0.3">
      <c r="C35" s="11">
        <v>999</v>
      </c>
      <c r="D35" s="12">
        <v>28</v>
      </c>
      <c r="E35" s="12" t="s">
        <v>1402</v>
      </c>
      <c r="F35" s="12" t="s">
        <v>1434</v>
      </c>
      <c r="G35" s="12" t="s">
        <v>1408</v>
      </c>
      <c r="H35" s="12" t="s">
        <v>90</v>
      </c>
      <c r="I35" s="12" t="s">
        <v>91</v>
      </c>
      <c r="J35" s="12" t="s">
        <v>1949</v>
      </c>
      <c r="K35" s="12" t="s">
        <v>1405</v>
      </c>
      <c r="L35" s="12" t="s">
        <v>1406</v>
      </c>
      <c r="M35" s="13">
        <v>171000</v>
      </c>
      <c r="N35" s="12" t="s">
        <v>1387</v>
      </c>
      <c r="O35" s="13" t="s">
        <v>768</v>
      </c>
      <c r="P35" s="12" t="s">
        <v>1407</v>
      </c>
    </row>
    <row r="36" spans="3:16" ht="36.75" thickBot="1" x14ac:dyDescent="0.3">
      <c r="C36" s="11">
        <v>999</v>
      </c>
      <c r="D36" s="12">
        <v>29</v>
      </c>
      <c r="E36" s="12" t="s">
        <v>1402</v>
      </c>
      <c r="F36" s="12" t="s">
        <v>1435</v>
      </c>
      <c r="G36" s="12" t="s">
        <v>1408</v>
      </c>
      <c r="H36" s="12" t="s">
        <v>90</v>
      </c>
      <c r="I36" s="12" t="s">
        <v>91</v>
      </c>
      <c r="J36" s="12" t="s">
        <v>1949</v>
      </c>
      <c r="K36" s="12" t="s">
        <v>1405</v>
      </c>
      <c r="L36" s="12" t="s">
        <v>1406</v>
      </c>
      <c r="M36" s="13">
        <v>943000</v>
      </c>
      <c r="N36" s="12" t="s">
        <v>1387</v>
      </c>
      <c r="O36" s="13" t="s">
        <v>768</v>
      </c>
      <c r="P36" s="12" t="s">
        <v>1407</v>
      </c>
    </row>
    <row r="37" spans="3:16" ht="36.75" thickBot="1" x14ac:dyDescent="0.3">
      <c r="C37" s="11">
        <v>999</v>
      </c>
      <c r="D37" s="12">
        <v>30</v>
      </c>
      <c r="E37" s="12" t="s">
        <v>1402</v>
      </c>
      <c r="F37" s="12" t="s">
        <v>1436</v>
      </c>
      <c r="G37" s="12" t="s">
        <v>1408</v>
      </c>
      <c r="H37" s="12" t="s">
        <v>90</v>
      </c>
      <c r="I37" s="12" t="s">
        <v>91</v>
      </c>
      <c r="J37" s="12" t="s">
        <v>1949</v>
      </c>
      <c r="K37" s="12" t="s">
        <v>1405</v>
      </c>
      <c r="L37" s="12" t="s">
        <v>1406</v>
      </c>
      <c r="M37" s="13">
        <v>1161000</v>
      </c>
      <c r="N37" s="12" t="s">
        <v>1387</v>
      </c>
      <c r="O37" s="13" t="s">
        <v>768</v>
      </c>
      <c r="P37" s="12" t="s">
        <v>1407</v>
      </c>
    </row>
    <row r="38" spans="3:16" ht="36.75" thickBot="1" x14ac:dyDescent="0.3">
      <c r="C38" s="11">
        <v>999</v>
      </c>
      <c r="D38" s="12">
        <v>31</v>
      </c>
      <c r="E38" s="12" t="s">
        <v>1402</v>
      </c>
      <c r="F38" s="12" t="s">
        <v>1437</v>
      </c>
      <c r="G38" s="12" t="s">
        <v>1408</v>
      </c>
      <c r="H38" s="12" t="s">
        <v>90</v>
      </c>
      <c r="I38" s="12" t="s">
        <v>91</v>
      </c>
      <c r="J38" s="12" t="s">
        <v>1949</v>
      </c>
      <c r="K38" s="12" t="s">
        <v>1405</v>
      </c>
      <c r="L38" s="12" t="s">
        <v>1406</v>
      </c>
      <c r="M38" s="13">
        <v>6784200</v>
      </c>
      <c r="N38" s="12" t="s">
        <v>1387</v>
      </c>
      <c r="O38" s="13" t="s">
        <v>768</v>
      </c>
      <c r="P38" s="12" t="s">
        <v>1407</v>
      </c>
    </row>
    <row r="39" spans="3:16" ht="36.75" thickBot="1" x14ac:dyDescent="0.3">
      <c r="C39" s="11">
        <v>999</v>
      </c>
      <c r="D39" s="12">
        <v>32</v>
      </c>
      <c r="E39" s="12" t="s">
        <v>1402</v>
      </c>
      <c r="F39" s="12" t="s">
        <v>1438</v>
      </c>
      <c r="G39" s="12" t="s">
        <v>1408</v>
      </c>
      <c r="H39" s="12" t="s">
        <v>90</v>
      </c>
      <c r="I39" s="12" t="s">
        <v>91</v>
      </c>
      <c r="J39" s="12" t="s">
        <v>1949</v>
      </c>
      <c r="K39" s="12" t="s">
        <v>1405</v>
      </c>
      <c r="L39" s="12" t="s">
        <v>1406</v>
      </c>
      <c r="M39" s="13">
        <v>1182600</v>
      </c>
      <c r="N39" s="12" t="s">
        <v>1387</v>
      </c>
      <c r="O39" s="13" t="s">
        <v>768</v>
      </c>
      <c r="P39" s="12" t="s">
        <v>1407</v>
      </c>
    </row>
    <row r="40" spans="3:16" ht="36.75" thickBot="1" x14ac:dyDescent="0.3">
      <c r="C40" s="11">
        <v>999</v>
      </c>
      <c r="D40" s="12">
        <v>33</v>
      </c>
      <c r="E40" s="12" t="s">
        <v>1402</v>
      </c>
      <c r="F40" s="12" t="s">
        <v>1439</v>
      </c>
      <c r="G40" s="12" t="s">
        <v>1408</v>
      </c>
      <c r="H40" s="12" t="s">
        <v>90</v>
      </c>
      <c r="I40" s="12" t="s">
        <v>91</v>
      </c>
      <c r="J40" s="12" t="s">
        <v>1949</v>
      </c>
      <c r="K40" s="12" t="s">
        <v>1405</v>
      </c>
      <c r="L40" s="12" t="s">
        <v>1406</v>
      </c>
      <c r="M40" s="13">
        <v>9000000</v>
      </c>
      <c r="N40" s="12" t="s">
        <v>1387</v>
      </c>
      <c r="O40" s="13" t="s">
        <v>768</v>
      </c>
      <c r="P40" s="12" t="s">
        <v>1407</v>
      </c>
    </row>
    <row r="41" spans="3:16" ht="36.75" thickBot="1" x14ac:dyDescent="0.3">
      <c r="C41" s="11">
        <v>999</v>
      </c>
      <c r="D41" s="12">
        <v>34</v>
      </c>
      <c r="E41" s="12" t="s">
        <v>1402</v>
      </c>
      <c r="F41" s="12" t="s">
        <v>1440</v>
      </c>
      <c r="G41" s="12" t="s">
        <v>1408</v>
      </c>
      <c r="H41" s="12" t="s">
        <v>90</v>
      </c>
      <c r="I41" s="12" t="s">
        <v>91</v>
      </c>
      <c r="J41" s="12" t="s">
        <v>1949</v>
      </c>
      <c r="K41" s="12" t="s">
        <v>1405</v>
      </c>
      <c r="L41" s="12" t="s">
        <v>1406</v>
      </c>
      <c r="M41" s="13">
        <v>28800</v>
      </c>
      <c r="N41" s="12" t="s">
        <v>1387</v>
      </c>
      <c r="O41" s="13" t="s">
        <v>768</v>
      </c>
      <c r="P41" s="12" t="s">
        <v>1407</v>
      </c>
    </row>
    <row r="42" spans="3:16" ht="36.75" thickBot="1" x14ac:dyDescent="0.3">
      <c r="C42" s="11">
        <v>999</v>
      </c>
      <c r="D42" s="12">
        <v>35</v>
      </c>
      <c r="E42" s="12" t="s">
        <v>1402</v>
      </c>
      <c r="F42" s="12" t="s">
        <v>1441</v>
      </c>
      <c r="G42" s="12" t="s">
        <v>1408</v>
      </c>
      <c r="H42" s="12" t="s">
        <v>90</v>
      </c>
      <c r="I42" s="12" t="s">
        <v>91</v>
      </c>
      <c r="J42" s="12" t="s">
        <v>1949</v>
      </c>
      <c r="K42" s="12" t="s">
        <v>1405</v>
      </c>
      <c r="L42" s="12" t="s">
        <v>1406</v>
      </c>
      <c r="M42" s="13">
        <v>40500</v>
      </c>
      <c r="N42" s="12" t="s">
        <v>1387</v>
      </c>
      <c r="O42" s="13" t="s">
        <v>768</v>
      </c>
      <c r="P42" s="12" t="s">
        <v>1407</v>
      </c>
    </row>
    <row r="43" spans="3:16" ht="36.75" thickBot="1" x14ac:dyDescent="0.3">
      <c r="C43" s="11">
        <v>999</v>
      </c>
      <c r="D43" s="12">
        <v>36</v>
      </c>
      <c r="E43" s="12" t="s">
        <v>1402</v>
      </c>
      <c r="F43" s="12" t="s">
        <v>1442</v>
      </c>
      <c r="G43" s="12" t="s">
        <v>1408</v>
      </c>
      <c r="H43" s="12" t="s">
        <v>90</v>
      </c>
      <c r="I43" s="12" t="s">
        <v>91</v>
      </c>
      <c r="J43" s="12" t="s">
        <v>1949</v>
      </c>
      <c r="K43" s="12" t="s">
        <v>1405</v>
      </c>
      <c r="L43" s="12" t="s">
        <v>1406</v>
      </c>
      <c r="M43" s="13">
        <v>4451532.4800000004</v>
      </c>
      <c r="N43" s="12" t="s">
        <v>1387</v>
      </c>
      <c r="O43" s="13" t="s">
        <v>768</v>
      </c>
      <c r="P43" s="12" t="s">
        <v>1407</v>
      </c>
    </row>
    <row r="44" spans="3:16" ht="36.75" thickBot="1" x14ac:dyDescent="0.3">
      <c r="C44" s="11">
        <v>999</v>
      </c>
      <c r="D44" s="12">
        <v>37</v>
      </c>
      <c r="E44" s="12" t="s">
        <v>1402</v>
      </c>
      <c r="F44" s="12" t="s">
        <v>1443</v>
      </c>
      <c r="G44" s="12" t="s">
        <v>1408</v>
      </c>
      <c r="H44" s="12" t="s">
        <v>90</v>
      </c>
      <c r="I44" s="12" t="s">
        <v>91</v>
      </c>
      <c r="J44" s="12" t="s">
        <v>1949</v>
      </c>
      <c r="K44" s="12" t="s">
        <v>1405</v>
      </c>
      <c r="L44" s="12" t="s">
        <v>1406</v>
      </c>
      <c r="M44" s="13">
        <v>824000</v>
      </c>
      <c r="N44" s="12" t="s">
        <v>1387</v>
      </c>
      <c r="O44" s="13" t="s">
        <v>768</v>
      </c>
      <c r="P44" s="12" t="s">
        <v>1407</v>
      </c>
    </row>
    <row r="45" spans="3:16" ht="36.75" thickBot="1" x14ac:dyDescent="0.3">
      <c r="C45" s="11">
        <v>999</v>
      </c>
      <c r="D45" s="12">
        <v>38</v>
      </c>
      <c r="E45" s="12" t="s">
        <v>1402</v>
      </c>
      <c r="F45" s="12" t="s">
        <v>1444</v>
      </c>
      <c r="G45" s="12" t="s">
        <v>1408</v>
      </c>
      <c r="H45" s="12" t="s">
        <v>90</v>
      </c>
      <c r="I45" s="12" t="s">
        <v>91</v>
      </c>
      <c r="J45" s="12" t="s">
        <v>1949</v>
      </c>
      <c r="K45" s="12" t="s">
        <v>1405</v>
      </c>
      <c r="L45" s="12" t="s">
        <v>1406</v>
      </c>
      <c r="M45" s="13">
        <v>307200</v>
      </c>
      <c r="N45" s="12" t="s">
        <v>1387</v>
      </c>
      <c r="O45" s="13" t="s">
        <v>768</v>
      </c>
      <c r="P45" s="12" t="s">
        <v>1407</v>
      </c>
    </row>
    <row r="46" spans="3:16" ht="36.75" thickBot="1" x14ac:dyDescent="0.3">
      <c r="C46" s="11">
        <v>999</v>
      </c>
      <c r="D46" s="12">
        <v>39</v>
      </c>
      <c r="E46" s="12" t="s">
        <v>1402</v>
      </c>
      <c r="F46" s="12" t="s">
        <v>1445</v>
      </c>
      <c r="G46" s="12" t="s">
        <v>1408</v>
      </c>
      <c r="H46" s="12" t="s">
        <v>90</v>
      </c>
      <c r="I46" s="12" t="s">
        <v>91</v>
      </c>
      <c r="J46" s="12" t="s">
        <v>1949</v>
      </c>
      <c r="K46" s="12" t="s">
        <v>1405</v>
      </c>
      <c r="L46" s="12" t="s">
        <v>1406</v>
      </c>
      <c r="M46" s="13">
        <v>1225500</v>
      </c>
      <c r="N46" s="12" t="s">
        <v>1387</v>
      </c>
      <c r="O46" s="13" t="s">
        <v>768</v>
      </c>
      <c r="P46" s="12" t="s">
        <v>1407</v>
      </c>
    </row>
    <row r="47" spans="3:16" ht="36.75" thickBot="1" x14ac:dyDescent="0.3">
      <c r="C47" s="11">
        <v>999</v>
      </c>
      <c r="D47" s="12">
        <v>40</v>
      </c>
      <c r="E47" s="12" t="s">
        <v>1402</v>
      </c>
      <c r="F47" s="12" t="s">
        <v>1446</v>
      </c>
      <c r="G47" s="12" t="s">
        <v>1408</v>
      </c>
      <c r="H47" s="12" t="s">
        <v>90</v>
      </c>
      <c r="I47" s="12" t="s">
        <v>91</v>
      </c>
      <c r="J47" s="12" t="s">
        <v>1949</v>
      </c>
      <c r="K47" s="12" t="s">
        <v>1405</v>
      </c>
      <c r="L47" s="12" t="s">
        <v>1406</v>
      </c>
      <c r="M47" s="13">
        <v>235000</v>
      </c>
      <c r="N47" s="12" t="s">
        <v>1387</v>
      </c>
      <c r="O47" s="13" t="s">
        <v>768</v>
      </c>
      <c r="P47" s="12" t="s">
        <v>1407</v>
      </c>
    </row>
    <row r="48" spans="3:16" ht="36.75" thickBot="1" x14ac:dyDescent="0.3">
      <c r="C48" s="11">
        <v>999</v>
      </c>
      <c r="D48" s="12">
        <v>41</v>
      </c>
      <c r="E48" s="12" t="s">
        <v>1402</v>
      </c>
      <c r="F48" s="12" t="s">
        <v>1447</v>
      </c>
      <c r="G48" s="12" t="s">
        <v>1408</v>
      </c>
      <c r="H48" s="12" t="s">
        <v>90</v>
      </c>
      <c r="I48" s="12" t="s">
        <v>91</v>
      </c>
      <c r="J48" s="12" t="s">
        <v>1949</v>
      </c>
      <c r="K48" s="12" t="s">
        <v>1405</v>
      </c>
      <c r="L48" s="12" t="s">
        <v>1406</v>
      </c>
      <c r="M48" s="13">
        <v>98000</v>
      </c>
      <c r="N48" s="12" t="s">
        <v>1387</v>
      </c>
      <c r="O48" s="13" t="s">
        <v>768</v>
      </c>
      <c r="P48" s="12" t="s">
        <v>1407</v>
      </c>
    </row>
    <row r="49" spans="3:16" ht="36.75" thickBot="1" x14ac:dyDescent="0.3">
      <c r="C49" s="11">
        <v>999</v>
      </c>
      <c r="D49" s="12">
        <v>42</v>
      </c>
      <c r="E49" s="12" t="s">
        <v>1402</v>
      </c>
      <c r="F49" s="12" t="s">
        <v>1448</v>
      </c>
      <c r="G49" s="12" t="s">
        <v>1408</v>
      </c>
      <c r="H49" s="12" t="s">
        <v>90</v>
      </c>
      <c r="I49" s="12" t="s">
        <v>91</v>
      </c>
      <c r="J49" s="12" t="s">
        <v>1949</v>
      </c>
      <c r="K49" s="12" t="s">
        <v>1405</v>
      </c>
      <c r="L49" s="12" t="s">
        <v>1406</v>
      </c>
      <c r="M49" s="13">
        <v>423955.03</v>
      </c>
      <c r="N49" s="12" t="s">
        <v>1387</v>
      </c>
      <c r="O49" s="13" t="s">
        <v>768</v>
      </c>
      <c r="P49" s="12" t="s">
        <v>1407</v>
      </c>
    </row>
    <row r="50" spans="3:16" ht="36.75" thickBot="1" x14ac:dyDescent="0.3">
      <c r="C50" s="11">
        <v>999</v>
      </c>
      <c r="D50" s="12">
        <v>43</v>
      </c>
      <c r="E50" s="12" t="s">
        <v>1402</v>
      </c>
      <c r="F50" s="12" t="s">
        <v>1449</v>
      </c>
      <c r="G50" s="12" t="s">
        <v>1408</v>
      </c>
      <c r="H50" s="12" t="s">
        <v>90</v>
      </c>
      <c r="I50" s="12" t="s">
        <v>91</v>
      </c>
      <c r="J50" s="12" t="s">
        <v>1949</v>
      </c>
      <c r="K50" s="12" t="s">
        <v>1405</v>
      </c>
      <c r="L50" s="12" t="s">
        <v>1406</v>
      </c>
      <c r="M50" s="13">
        <v>27382.27</v>
      </c>
      <c r="N50" s="12" t="s">
        <v>1387</v>
      </c>
      <c r="O50" s="13" t="s">
        <v>768</v>
      </c>
      <c r="P50" s="12" t="s">
        <v>1407</v>
      </c>
    </row>
    <row r="51" spans="3:16" ht="36.75" thickBot="1" x14ac:dyDescent="0.3">
      <c r="C51" s="11">
        <v>999</v>
      </c>
      <c r="D51" s="12">
        <v>44</v>
      </c>
      <c r="E51" s="12" t="s">
        <v>1402</v>
      </c>
      <c r="F51" s="12" t="s">
        <v>1450</v>
      </c>
      <c r="G51" s="12" t="s">
        <v>1408</v>
      </c>
      <c r="H51" s="12" t="s">
        <v>90</v>
      </c>
      <c r="I51" s="12" t="s">
        <v>91</v>
      </c>
      <c r="J51" s="12" t="s">
        <v>1949</v>
      </c>
      <c r="K51" s="12" t="s">
        <v>1405</v>
      </c>
      <c r="L51" s="12" t="s">
        <v>1406</v>
      </c>
      <c r="M51" s="13">
        <v>136000</v>
      </c>
      <c r="N51" s="12" t="s">
        <v>1387</v>
      </c>
      <c r="O51" s="13" t="s">
        <v>768</v>
      </c>
      <c r="P51" s="12" t="s">
        <v>1407</v>
      </c>
    </row>
    <row r="52" spans="3:16" ht="36.75" thickBot="1" x14ac:dyDescent="0.3">
      <c r="C52" s="11">
        <v>999</v>
      </c>
      <c r="D52" s="12">
        <v>45</v>
      </c>
      <c r="E52" s="12" t="s">
        <v>1402</v>
      </c>
      <c r="F52" s="12" t="s">
        <v>1451</v>
      </c>
      <c r="G52" s="12" t="s">
        <v>1408</v>
      </c>
      <c r="H52" s="12" t="s">
        <v>90</v>
      </c>
      <c r="I52" s="12" t="s">
        <v>91</v>
      </c>
      <c r="J52" s="12" t="s">
        <v>1949</v>
      </c>
      <c r="K52" s="12" t="s">
        <v>1405</v>
      </c>
      <c r="L52" s="12" t="s">
        <v>1406</v>
      </c>
      <c r="M52" s="13">
        <v>44320</v>
      </c>
      <c r="N52" s="12" t="s">
        <v>1387</v>
      </c>
      <c r="O52" s="13" t="s">
        <v>768</v>
      </c>
      <c r="P52" s="12" t="s">
        <v>1407</v>
      </c>
    </row>
    <row r="53" spans="3:16" ht="36.75" thickBot="1" x14ac:dyDescent="0.3">
      <c r="C53" s="11">
        <v>999</v>
      </c>
      <c r="D53" s="12">
        <v>46</v>
      </c>
      <c r="E53" s="12" t="s">
        <v>1402</v>
      </c>
      <c r="F53" s="12" t="s">
        <v>1452</v>
      </c>
      <c r="G53" s="12" t="s">
        <v>1408</v>
      </c>
      <c r="H53" s="12" t="s">
        <v>90</v>
      </c>
      <c r="I53" s="12" t="s">
        <v>91</v>
      </c>
      <c r="J53" s="12" t="s">
        <v>1949</v>
      </c>
      <c r="K53" s="12" t="s">
        <v>1405</v>
      </c>
      <c r="L53" s="12" t="s">
        <v>1406</v>
      </c>
      <c r="M53" s="13">
        <v>376900</v>
      </c>
      <c r="N53" s="12" t="s">
        <v>1387</v>
      </c>
      <c r="O53" s="13" t="s">
        <v>768</v>
      </c>
      <c r="P53" s="12" t="s">
        <v>1407</v>
      </c>
    </row>
    <row r="54" spans="3:16" ht="36.75" thickBot="1" x14ac:dyDescent="0.3">
      <c r="C54" s="11">
        <v>999</v>
      </c>
      <c r="D54" s="12">
        <v>47</v>
      </c>
      <c r="E54" s="12" t="s">
        <v>1402</v>
      </c>
      <c r="F54" s="12" t="s">
        <v>1453</v>
      </c>
      <c r="G54" s="12" t="s">
        <v>1408</v>
      </c>
      <c r="H54" s="12" t="s">
        <v>90</v>
      </c>
      <c r="I54" s="12" t="s">
        <v>91</v>
      </c>
      <c r="J54" s="12" t="s">
        <v>1949</v>
      </c>
      <c r="K54" s="12" t="s">
        <v>1405</v>
      </c>
      <c r="L54" s="12" t="s">
        <v>1406</v>
      </c>
      <c r="M54" s="13">
        <v>161100</v>
      </c>
      <c r="N54" s="12" t="s">
        <v>1387</v>
      </c>
      <c r="O54" s="13" t="s">
        <v>768</v>
      </c>
      <c r="P54" s="12" t="s">
        <v>1407</v>
      </c>
    </row>
    <row r="55" spans="3:16" ht="36.75" thickBot="1" x14ac:dyDescent="0.3">
      <c r="C55" s="11">
        <v>999</v>
      </c>
      <c r="D55" s="12">
        <v>48</v>
      </c>
      <c r="E55" s="12" t="s">
        <v>1402</v>
      </c>
      <c r="F55" s="12" t="s">
        <v>1454</v>
      </c>
      <c r="G55" s="12" t="s">
        <v>1408</v>
      </c>
      <c r="H55" s="12" t="s">
        <v>90</v>
      </c>
      <c r="I55" s="12" t="s">
        <v>91</v>
      </c>
      <c r="J55" s="12" t="s">
        <v>1949</v>
      </c>
      <c r="K55" s="12" t="s">
        <v>1405</v>
      </c>
      <c r="L55" s="12" t="s">
        <v>1406</v>
      </c>
      <c r="M55" s="13">
        <v>39066</v>
      </c>
      <c r="N55" s="12" t="s">
        <v>1387</v>
      </c>
      <c r="O55" s="13" t="s">
        <v>768</v>
      </c>
      <c r="P55" s="12" t="s">
        <v>1407</v>
      </c>
    </row>
    <row r="56" spans="3:16" ht="36.75" thickBot="1" x14ac:dyDescent="0.3">
      <c r="C56" s="11">
        <v>999</v>
      </c>
      <c r="D56" s="12">
        <v>49</v>
      </c>
      <c r="E56" s="12" t="s">
        <v>1402</v>
      </c>
      <c r="F56" s="12" t="s">
        <v>1455</v>
      </c>
      <c r="G56" s="12" t="s">
        <v>1408</v>
      </c>
      <c r="H56" s="12" t="s">
        <v>90</v>
      </c>
      <c r="I56" s="12" t="s">
        <v>91</v>
      </c>
      <c r="J56" s="12" t="s">
        <v>1949</v>
      </c>
      <c r="K56" s="12" t="s">
        <v>1405</v>
      </c>
      <c r="L56" s="12" t="s">
        <v>1406</v>
      </c>
      <c r="M56" s="13">
        <v>51040</v>
      </c>
      <c r="N56" s="12" t="s">
        <v>1387</v>
      </c>
      <c r="O56" s="13" t="s">
        <v>768</v>
      </c>
      <c r="P56" s="12" t="s">
        <v>1407</v>
      </c>
    </row>
    <row r="57" spans="3:16" ht="36.75" thickBot="1" x14ac:dyDescent="0.3">
      <c r="C57" s="11">
        <v>999</v>
      </c>
      <c r="D57" s="12">
        <v>50</v>
      </c>
      <c r="E57" s="12" t="s">
        <v>1402</v>
      </c>
      <c r="F57" s="12" t="s">
        <v>1456</v>
      </c>
      <c r="G57" s="12" t="s">
        <v>1408</v>
      </c>
      <c r="H57" s="12" t="s">
        <v>90</v>
      </c>
      <c r="I57" s="12" t="s">
        <v>91</v>
      </c>
      <c r="J57" s="12" t="s">
        <v>1949</v>
      </c>
      <c r="K57" s="12" t="s">
        <v>1405</v>
      </c>
      <c r="L57" s="12" t="s">
        <v>1406</v>
      </c>
      <c r="M57" s="13">
        <v>58160</v>
      </c>
      <c r="N57" s="12" t="s">
        <v>1387</v>
      </c>
      <c r="O57" s="13" t="s">
        <v>768</v>
      </c>
      <c r="P57" s="12" t="s">
        <v>1407</v>
      </c>
    </row>
    <row r="58" spans="3:16" ht="36.75" thickBot="1" x14ac:dyDescent="0.3">
      <c r="C58" s="11">
        <v>999</v>
      </c>
      <c r="D58" s="12">
        <v>51</v>
      </c>
      <c r="E58" s="12" t="s">
        <v>1402</v>
      </c>
      <c r="F58" s="12" t="s">
        <v>1457</v>
      </c>
      <c r="G58" s="12" t="s">
        <v>1408</v>
      </c>
      <c r="H58" s="12" t="s">
        <v>90</v>
      </c>
      <c r="I58" s="12" t="s">
        <v>91</v>
      </c>
      <c r="J58" s="12" t="s">
        <v>1949</v>
      </c>
      <c r="K58" s="12" t="s">
        <v>1405</v>
      </c>
      <c r="L58" s="12" t="s">
        <v>1406</v>
      </c>
      <c r="M58" s="13">
        <v>571611.15</v>
      </c>
      <c r="N58" s="12" t="s">
        <v>1387</v>
      </c>
      <c r="O58" s="13" t="s">
        <v>768</v>
      </c>
      <c r="P58" s="12" t="s">
        <v>1407</v>
      </c>
    </row>
    <row r="59" spans="3:16" ht="36.75" thickBot="1" x14ac:dyDescent="0.3">
      <c r="C59" s="11">
        <v>999</v>
      </c>
      <c r="D59" s="12">
        <v>52</v>
      </c>
      <c r="E59" s="12" t="s">
        <v>1402</v>
      </c>
      <c r="F59" s="12" t="s">
        <v>1458</v>
      </c>
      <c r="G59" s="12" t="s">
        <v>1408</v>
      </c>
      <c r="H59" s="12" t="s">
        <v>90</v>
      </c>
      <c r="I59" s="12" t="s">
        <v>91</v>
      </c>
      <c r="J59" s="12" t="s">
        <v>1949</v>
      </c>
      <c r="K59" s="12" t="s">
        <v>1405</v>
      </c>
      <c r="L59" s="12" t="s">
        <v>1406</v>
      </c>
      <c r="M59" s="13">
        <v>13000</v>
      </c>
      <c r="N59" s="12" t="s">
        <v>1387</v>
      </c>
      <c r="O59" s="13" t="s">
        <v>768</v>
      </c>
      <c r="P59" s="12" t="s">
        <v>1407</v>
      </c>
    </row>
    <row r="60" spans="3:16" ht="36.75" thickBot="1" x14ac:dyDescent="0.3">
      <c r="C60" s="11">
        <v>999</v>
      </c>
      <c r="D60" s="12">
        <v>53</v>
      </c>
      <c r="E60" s="12" t="s">
        <v>1402</v>
      </c>
      <c r="F60" s="12" t="s">
        <v>1459</v>
      </c>
      <c r="G60" s="12" t="s">
        <v>1408</v>
      </c>
      <c r="H60" s="12" t="s">
        <v>90</v>
      </c>
      <c r="I60" s="12" t="s">
        <v>91</v>
      </c>
      <c r="J60" s="12" t="s">
        <v>1949</v>
      </c>
      <c r="K60" s="12" t="s">
        <v>1405</v>
      </c>
      <c r="L60" s="12" t="s">
        <v>1406</v>
      </c>
      <c r="M60" s="13">
        <v>2592000</v>
      </c>
      <c r="N60" s="12" t="s">
        <v>1387</v>
      </c>
      <c r="O60" s="13" t="s">
        <v>768</v>
      </c>
      <c r="P60" s="12" t="s">
        <v>1407</v>
      </c>
    </row>
    <row r="61" spans="3:16" ht="36.75" thickBot="1" x14ac:dyDescent="0.3">
      <c r="C61" s="11">
        <v>999</v>
      </c>
      <c r="D61" s="12">
        <v>54</v>
      </c>
      <c r="E61" s="12" t="s">
        <v>1402</v>
      </c>
      <c r="F61" s="12" t="s">
        <v>1460</v>
      </c>
      <c r="G61" s="12" t="s">
        <v>1408</v>
      </c>
      <c r="H61" s="12" t="s">
        <v>90</v>
      </c>
      <c r="I61" s="12" t="s">
        <v>91</v>
      </c>
      <c r="J61" s="12" t="s">
        <v>1949</v>
      </c>
      <c r="K61" s="12" t="s">
        <v>1405</v>
      </c>
      <c r="L61" s="12" t="s">
        <v>1406</v>
      </c>
      <c r="M61" s="13">
        <v>265000</v>
      </c>
      <c r="N61" s="12" t="s">
        <v>1387</v>
      </c>
      <c r="O61" s="13" t="s">
        <v>768</v>
      </c>
      <c r="P61" s="12" t="s">
        <v>1407</v>
      </c>
    </row>
    <row r="62" spans="3:16" ht="36.75" thickBot="1" x14ac:dyDescent="0.3">
      <c r="C62" s="11">
        <v>999</v>
      </c>
      <c r="D62" s="12">
        <v>55</v>
      </c>
      <c r="E62" s="12" t="s">
        <v>1402</v>
      </c>
      <c r="F62" s="12" t="s">
        <v>1461</v>
      </c>
      <c r="G62" s="12" t="s">
        <v>1408</v>
      </c>
      <c r="H62" s="12" t="s">
        <v>90</v>
      </c>
      <c r="I62" s="12" t="s">
        <v>91</v>
      </c>
      <c r="J62" s="12" t="s">
        <v>1949</v>
      </c>
      <c r="K62" s="12" t="s">
        <v>1405</v>
      </c>
      <c r="L62" s="12" t="s">
        <v>1406</v>
      </c>
      <c r="M62" s="13">
        <v>32000</v>
      </c>
      <c r="N62" s="12" t="s">
        <v>1387</v>
      </c>
      <c r="O62" s="13" t="s">
        <v>768</v>
      </c>
      <c r="P62" s="12" t="s">
        <v>1407</v>
      </c>
    </row>
    <row r="63" spans="3:16" ht="36.75" thickBot="1" x14ac:dyDescent="0.3">
      <c r="C63" s="11">
        <v>999</v>
      </c>
      <c r="D63" s="12">
        <v>56</v>
      </c>
      <c r="E63" s="12" t="s">
        <v>1402</v>
      </c>
      <c r="F63" s="12" t="s">
        <v>1462</v>
      </c>
      <c r="G63" s="12" t="s">
        <v>1408</v>
      </c>
      <c r="H63" s="12" t="s">
        <v>90</v>
      </c>
      <c r="I63" s="12" t="s">
        <v>91</v>
      </c>
      <c r="J63" s="12" t="s">
        <v>1949</v>
      </c>
      <c r="K63" s="12" t="s">
        <v>1405</v>
      </c>
      <c r="L63" s="12" t="s">
        <v>1406</v>
      </c>
      <c r="M63" s="13">
        <v>38400</v>
      </c>
      <c r="N63" s="12" t="s">
        <v>1387</v>
      </c>
      <c r="O63" s="13" t="s">
        <v>768</v>
      </c>
      <c r="P63" s="12" t="s">
        <v>1407</v>
      </c>
    </row>
    <row r="64" spans="3:16" ht="36.75" thickBot="1" x14ac:dyDescent="0.3">
      <c r="C64" s="11">
        <v>999</v>
      </c>
      <c r="D64" s="12">
        <v>57</v>
      </c>
      <c r="E64" s="12" t="s">
        <v>1402</v>
      </c>
      <c r="F64" s="12" t="s">
        <v>1463</v>
      </c>
      <c r="G64" s="12" t="s">
        <v>1408</v>
      </c>
      <c r="H64" s="12" t="s">
        <v>90</v>
      </c>
      <c r="I64" s="12" t="s">
        <v>91</v>
      </c>
      <c r="J64" s="12" t="s">
        <v>1949</v>
      </c>
      <c r="K64" s="12" t="s">
        <v>1405</v>
      </c>
      <c r="L64" s="12" t="s">
        <v>1406</v>
      </c>
      <c r="M64" s="13">
        <v>120000</v>
      </c>
      <c r="N64" s="12" t="s">
        <v>1387</v>
      </c>
      <c r="O64" s="13" t="s">
        <v>768</v>
      </c>
      <c r="P64" s="12" t="s">
        <v>1407</v>
      </c>
    </row>
    <row r="65" spans="3:16" ht="36.75" thickBot="1" x14ac:dyDescent="0.3">
      <c r="C65" s="11">
        <v>999</v>
      </c>
      <c r="D65" s="12">
        <v>58</v>
      </c>
      <c r="E65" s="12" t="s">
        <v>1402</v>
      </c>
      <c r="F65" s="12" t="s">
        <v>1464</v>
      </c>
      <c r="G65" s="12" t="s">
        <v>1408</v>
      </c>
      <c r="H65" s="12" t="s">
        <v>90</v>
      </c>
      <c r="I65" s="12" t="s">
        <v>91</v>
      </c>
      <c r="J65" s="12" t="s">
        <v>1949</v>
      </c>
      <c r="K65" s="12" t="s">
        <v>1405</v>
      </c>
      <c r="L65" s="12" t="s">
        <v>1406</v>
      </c>
      <c r="M65" s="13">
        <v>82441.5</v>
      </c>
      <c r="N65" s="12" t="s">
        <v>1387</v>
      </c>
      <c r="O65" s="13" t="s">
        <v>768</v>
      </c>
      <c r="P65" s="12" t="s">
        <v>1407</v>
      </c>
    </row>
    <row r="66" spans="3:16" ht="36.75" thickBot="1" x14ac:dyDescent="0.3">
      <c r="C66" s="11">
        <v>999</v>
      </c>
      <c r="D66" s="12">
        <v>59</v>
      </c>
      <c r="E66" s="12" t="s">
        <v>1402</v>
      </c>
      <c r="F66" s="12" t="s">
        <v>1465</v>
      </c>
      <c r="G66" s="12" t="s">
        <v>1408</v>
      </c>
      <c r="H66" s="12" t="s">
        <v>90</v>
      </c>
      <c r="I66" s="12" t="s">
        <v>91</v>
      </c>
      <c r="J66" s="12" t="s">
        <v>1949</v>
      </c>
      <c r="K66" s="12" t="s">
        <v>1405</v>
      </c>
      <c r="L66" s="12" t="s">
        <v>1406</v>
      </c>
      <c r="M66" s="13">
        <v>20700</v>
      </c>
      <c r="N66" s="12" t="s">
        <v>1387</v>
      </c>
      <c r="O66" s="13" t="s">
        <v>768</v>
      </c>
      <c r="P66" s="12" t="s">
        <v>1407</v>
      </c>
    </row>
    <row r="67" spans="3:16" ht="36.75" thickBot="1" x14ac:dyDescent="0.3">
      <c r="C67" s="11">
        <v>999</v>
      </c>
      <c r="D67" s="12">
        <v>60</v>
      </c>
      <c r="E67" s="12" t="s">
        <v>1402</v>
      </c>
      <c r="F67" s="12" t="s">
        <v>1466</v>
      </c>
      <c r="G67" s="12" t="s">
        <v>1408</v>
      </c>
      <c r="H67" s="12" t="s">
        <v>90</v>
      </c>
      <c r="I67" s="12" t="s">
        <v>91</v>
      </c>
      <c r="J67" s="12" t="s">
        <v>1949</v>
      </c>
      <c r="K67" s="12" t="s">
        <v>1405</v>
      </c>
      <c r="L67" s="12" t="s">
        <v>1406</v>
      </c>
      <c r="M67" s="13">
        <v>1014000</v>
      </c>
      <c r="N67" s="12" t="s">
        <v>1387</v>
      </c>
      <c r="O67" s="13" t="s">
        <v>768</v>
      </c>
      <c r="P67" s="12" t="s">
        <v>1407</v>
      </c>
    </row>
    <row r="68" spans="3:16" ht="36.75" thickBot="1" x14ac:dyDescent="0.3">
      <c r="C68" s="11">
        <v>999</v>
      </c>
      <c r="D68" s="12">
        <v>61</v>
      </c>
      <c r="E68" s="12" t="s">
        <v>1402</v>
      </c>
      <c r="F68" s="12" t="s">
        <v>1467</v>
      </c>
      <c r="G68" s="12" t="s">
        <v>1408</v>
      </c>
      <c r="H68" s="12" t="s">
        <v>90</v>
      </c>
      <c r="I68" s="12" t="s">
        <v>91</v>
      </c>
      <c r="J68" s="12" t="s">
        <v>1949</v>
      </c>
      <c r="K68" s="12" t="s">
        <v>1405</v>
      </c>
      <c r="L68" s="12" t="s">
        <v>1406</v>
      </c>
      <c r="M68" s="13">
        <v>179360</v>
      </c>
      <c r="N68" s="12" t="s">
        <v>1387</v>
      </c>
      <c r="O68" s="13" t="s">
        <v>768</v>
      </c>
      <c r="P68" s="12" t="s">
        <v>1407</v>
      </c>
    </row>
    <row r="69" spans="3:16" ht="36.75" thickBot="1" x14ac:dyDescent="0.3">
      <c r="C69" s="11">
        <v>999</v>
      </c>
      <c r="D69" s="12">
        <v>62</v>
      </c>
      <c r="E69" s="12" t="s">
        <v>1402</v>
      </c>
      <c r="F69" s="12" t="s">
        <v>1468</v>
      </c>
      <c r="G69" s="12" t="s">
        <v>1408</v>
      </c>
      <c r="H69" s="12" t="s">
        <v>90</v>
      </c>
      <c r="I69" s="12" t="s">
        <v>91</v>
      </c>
      <c r="J69" s="12" t="s">
        <v>1949</v>
      </c>
      <c r="K69" s="12" t="s">
        <v>1405</v>
      </c>
      <c r="L69" s="12" t="s">
        <v>1406</v>
      </c>
      <c r="M69" s="13">
        <v>157950</v>
      </c>
      <c r="N69" s="12" t="s">
        <v>1387</v>
      </c>
      <c r="O69" s="13" t="s">
        <v>768</v>
      </c>
      <c r="P69" s="12" t="s">
        <v>1407</v>
      </c>
    </row>
    <row r="70" spans="3:16" ht="36.75" thickBot="1" x14ac:dyDescent="0.3">
      <c r="C70" s="11">
        <v>999</v>
      </c>
      <c r="D70" s="12">
        <v>63</v>
      </c>
      <c r="E70" s="12" t="s">
        <v>1402</v>
      </c>
      <c r="F70" s="12" t="s">
        <v>1469</v>
      </c>
      <c r="G70" s="12" t="s">
        <v>1408</v>
      </c>
      <c r="H70" s="12" t="s">
        <v>90</v>
      </c>
      <c r="I70" s="12" t="s">
        <v>91</v>
      </c>
      <c r="J70" s="12" t="s">
        <v>1949</v>
      </c>
      <c r="K70" s="12" t="s">
        <v>1405</v>
      </c>
      <c r="L70" s="12" t="s">
        <v>1406</v>
      </c>
      <c r="M70" s="13">
        <v>116550</v>
      </c>
      <c r="N70" s="12" t="s">
        <v>1387</v>
      </c>
      <c r="O70" s="13" t="s">
        <v>768</v>
      </c>
      <c r="P70" s="12" t="s">
        <v>1407</v>
      </c>
    </row>
    <row r="71" spans="3:16" ht="36.75" thickBot="1" x14ac:dyDescent="0.3">
      <c r="C71" s="11">
        <v>999</v>
      </c>
      <c r="D71" s="12">
        <v>64</v>
      </c>
      <c r="E71" s="12" t="s">
        <v>1402</v>
      </c>
      <c r="F71" s="12" t="s">
        <v>1470</v>
      </c>
      <c r="G71" s="12" t="s">
        <v>1408</v>
      </c>
      <c r="H71" s="12" t="s">
        <v>90</v>
      </c>
      <c r="I71" s="12" t="s">
        <v>91</v>
      </c>
      <c r="J71" s="12" t="s">
        <v>1949</v>
      </c>
      <c r="K71" s="12" t="s">
        <v>1405</v>
      </c>
      <c r="L71" s="12" t="s">
        <v>1406</v>
      </c>
      <c r="M71" s="13">
        <v>72000</v>
      </c>
      <c r="N71" s="12" t="s">
        <v>1387</v>
      </c>
      <c r="O71" s="13" t="s">
        <v>768</v>
      </c>
      <c r="P71" s="12" t="s">
        <v>1407</v>
      </c>
    </row>
    <row r="72" spans="3:16" ht="36.75" thickBot="1" x14ac:dyDescent="0.3">
      <c r="C72" s="11">
        <v>999</v>
      </c>
      <c r="D72" s="12">
        <v>65</v>
      </c>
      <c r="E72" s="12" t="s">
        <v>1402</v>
      </c>
      <c r="F72" s="12" t="s">
        <v>1471</v>
      </c>
      <c r="G72" s="12" t="s">
        <v>1408</v>
      </c>
      <c r="H72" s="12" t="s">
        <v>90</v>
      </c>
      <c r="I72" s="12" t="s">
        <v>91</v>
      </c>
      <c r="J72" s="12" t="s">
        <v>1949</v>
      </c>
      <c r="K72" s="12" t="s">
        <v>1405</v>
      </c>
      <c r="L72" s="12" t="s">
        <v>1406</v>
      </c>
      <c r="M72" s="13">
        <v>176000</v>
      </c>
      <c r="N72" s="12" t="s">
        <v>1387</v>
      </c>
      <c r="O72" s="13" t="s">
        <v>768</v>
      </c>
      <c r="P72" s="12" t="s">
        <v>1407</v>
      </c>
    </row>
    <row r="73" spans="3:16" ht="36.75" thickBot="1" x14ac:dyDescent="0.3">
      <c r="C73" s="11">
        <v>999</v>
      </c>
      <c r="D73" s="12">
        <v>66</v>
      </c>
      <c r="E73" s="12" t="s">
        <v>1402</v>
      </c>
      <c r="F73" s="12" t="s">
        <v>1472</v>
      </c>
      <c r="G73" s="12" t="s">
        <v>1408</v>
      </c>
      <c r="H73" s="12" t="s">
        <v>90</v>
      </c>
      <c r="I73" s="12" t="s">
        <v>91</v>
      </c>
      <c r="J73" s="12" t="s">
        <v>1949</v>
      </c>
      <c r="K73" s="12" t="s">
        <v>1405</v>
      </c>
      <c r="L73" s="12" t="s">
        <v>1406</v>
      </c>
      <c r="M73" s="13">
        <v>1251000</v>
      </c>
      <c r="N73" s="12" t="s">
        <v>1387</v>
      </c>
      <c r="O73" s="13" t="s">
        <v>768</v>
      </c>
      <c r="P73" s="12" t="s">
        <v>1407</v>
      </c>
    </row>
    <row r="74" spans="3:16" ht="36.75" thickBot="1" x14ac:dyDescent="0.3">
      <c r="C74" s="11">
        <v>999</v>
      </c>
      <c r="D74" s="12">
        <v>67</v>
      </c>
      <c r="E74" s="12" t="s">
        <v>1402</v>
      </c>
      <c r="F74" s="12" t="s">
        <v>1473</v>
      </c>
      <c r="G74" s="12" t="s">
        <v>1408</v>
      </c>
      <c r="H74" s="12" t="s">
        <v>90</v>
      </c>
      <c r="I74" s="12" t="s">
        <v>91</v>
      </c>
      <c r="J74" s="12" t="s">
        <v>1949</v>
      </c>
      <c r="K74" s="12" t="s">
        <v>1405</v>
      </c>
      <c r="L74" s="12" t="s">
        <v>1406</v>
      </c>
      <c r="M74" s="13">
        <v>202434.06</v>
      </c>
      <c r="N74" s="12" t="s">
        <v>1387</v>
      </c>
      <c r="O74" s="13" t="s">
        <v>768</v>
      </c>
      <c r="P74" s="12" t="s">
        <v>1407</v>
      </c>
    </row>
    <row r="75" spans="3:16" ht="36.75" thickBot="1" x14ac:dyDescent="0.3">
      <c r="C75" s="11">
        <v>999</v>
      </c>
      <c r="D75" s="12">
        <v>68</v>
      </c>
      <c r="E75" s="12" t="s">
        <v>1402</v>
      </c>
      <c r="F75" s="12" t="s">
        <v>1474</v>
      </c>
      <c r="G75" s="12" t="s">
        <v>1408</v>
      </c>
      <c r="H75" s="12" t="s">
        <v>90</v>
      </c>
      <c r="I75" s="12" t="s">
        <v>91</v>
      </c>
      <c r="J75" s="12" t="s">
        <v>1949</v>
      </c>
      <c r="K75" s="12" t="s">
        <v>1405</v>
      </c>
      <c r="L75" s="12" t="s">
        <v>1406</v>
      </c>
      <c r="M75" s="13">
        <v>160212.57</v>
      </c>
      <c r="N75" s="12" t="s">
        <v>1387</v>
      </c>
      <c r="O75" s="13" t="s">
        <v>768</v>
      </c>
      <c r="P75" s="12" t="s">
        <v>1407</v>
      </c>
    </row>
    <row r="76" spans="3:16" ht="36.75" thickBot="1" x14ac:dyDescent="0.3">
      <c r="C76" s="11">
        <v>999</v>
      </c>
      <c r="D76" s="12">
        <v>69</v>
      </c>
      <c r="E76" s="12" t="s">
        <v>1402</v>
      </c>
      <c r="F76" s="12" t="s">
        <v>1475</v>
      </c>
      <c r="G76" s="12" t="s">
        <v>1408</v>
      </c>
      <c r="H76" s="12" t="s">
        <v>90</v>
      </c>
      <c r="I76" s="12" t="s">
        <v>91</v>
      </c>
      <c r="J76" s="12" t="s">
        <v>1949</v>
      </c>
      <c r="K76" s="12" t="s">
        <v>1405</v>
      </c>
      <c r="L76" s="12" t="s">
        <v>1406</v>
      </c>
      <c r="M76" s="13">
        <v>45245.62</v>
      </c>
      <c r="N76" s="12" t="s">
        <v>1387</v>
      </c>
      <c r="O76" s="13" t="s">
        <v>768</v>
      </c>
      <c r="P76" s="12" t="s">
        <v>1407</v>
      </c>
    </row>
    <row r="77" spans="3:16" ht="36.75" thickBot="1" x14ac:dyDescent="0.3">
      <c r="C77" s="11">
        <v>999</v>
      </c>
      <c r="D77" s="12">
        <v>70</v>
      </c>
      <c r="E77" s="12" t="s">
        <v>1402</v>
      </c>
      <c r="F77" s="12" t="s">
        <v>1476</v>
      </c>
      <c r="G77" s="12" t="s">
        <v>1408</v>
      </c>
      <c r="H77" s="12" t="s">
        <v>90</v>
      </c>
      <c r="I77" s="12" t="s">
        <v>91</v>
      </c>
      <c r="J77" s="12" t="s">
        <v>1949</v>
      </c>
      <c r="K77" s="12" t="s">
        <v>1405</v>
      </c>
      <c r="L77" s="12" t="s">
        <v>1406</v>
      </c>
      <c r="M77" s="13">
        <v>1499068.95</v>
      </c>
      <c r="N77" s="12" t="s">
        <v>1387</v>
      </c>
      <c r="O77" s="13" t="s">
        <v>768</v>
      </c>
      <c r="P77" s="12" t="s">
        <v>1407</v>
      </c>
    </row>
    <row r="78" spans="3:16" ht="36.75" thickBot="1" x14ac:dyDescent="0.3">
      <c r="C78" s="11">
        <v>999</v>
      </c>
      <c r="D78" s="12">
        <v>71</v>
      </c>
      <c r="E78" s="12" t="s">
        <v>1402</v>
      </c>
      <c r="F78" s="12" t="s">
        <v>1477</v>
      </c>
      <c r="G78" s="12" t="s">
        <v>1408</v>
      </c>
      <c r="H78" s="12" t="s">
        <v>90</v>
      </c>
      <c r="I78" s="12" t="s">
        <v>91</v>
      </c>
      <c r="J78" s="12" t="s">
        <v>1949</v>
      </c>
      <c r="K78" s="12" t="s">
        <v>1405</v>
      </c>
      <c r="L78" s="12" t="s">
        <v>1406</v>
      </c>
      <c r="M78" s="13">
        <v>447000</v>
      </c>
      <c r="N78" s="12" t="s">
        <v>1387</v>
      </c>
      <c r="O78" s="13" t="s">
        <v>768</v>
      </c>
      <c r="P78" s="12" t="s">
        <v>1407</v>
      </c>
    </row>
    <row r="79" spans="3:16" ht="36.75" thickBot="1" x14ac:dyDescent="0.3">
      <c r="C79" s="11">
        <v>999</v>
      </c>
      <c r="D79" s="12">
        <v>72</v>
      </c>
      <c r="E79" s="12" t="s">
        <v>1402</v>
      </c>
      <c r="F79" s="12" t="s">
        <v>1478</v>
      </c>
      <c r="G79" s="12" t="s">
        <v>1408</v>
      </c>
      <c r="H79" s="12" t="s">
        <v>90</v>
      </c>
      <c r="I79" s="12" t="s">
        <v>91</v>
      </c>
      <c r="J79" s="12" t="s">
        <v>1949</v>
      </c>
      <c r="K79" s="12" t="s">
        <v>1405</v>
      </c>
      <c r="L79" s="12" t="s">
        <v>1406</v>
      </c>
      <c r="M79" s="13">
        <v>68920</v>
      </c>
      <c r="N79" s="12" t="s">
        <v>1387</v>
      </c>
      <c r="O79" s="13" t="s">
        <v>768</v>
      </c>
      <c r="P79" s="12" t="s">
        <v>1407</v>
      </c>
    </row>
    <row r="80" spans="3:16" ht="36.75" thickBot="1" x14ac:dyDescent="0.3">
      <c r="C80" s="11">
        <v>999</v>
      </c>
      <c r="D80" s="12">
        <v>73</v>
      </c>
      <c r="E80" s="12" t="s">
        <v>1402</v>
      </c>
      <c r="F80" s="12" t="s">
        <v>1479</v>
      </c>
      <c r="G80" s="12" t="s">
        <v>1408</v>
      </c>
      <c r="H80" s="12" t="s">
        <v>90</v>
      </c>
      <c r="I80" s="12" t="s">
        <v>91</v>
      </c>
      <c r="J80" s="12" t="s">
        <v>1949</v>
      </c>
      <c r="K80" s="12" t="s">
        <v>1405</v>
      </c>
      <c r="L80" s="12" t="s">
        <v>1406</v>
      </c>
      <c r="M80" s="13">
        <v>6254467.2000000002</v>
      </c>
      <c r="N80" s="12" t="s">
        <v>1387</v>
      </c>
      <c r="O80" s="13" t="s">
        <v>768</v>
      </c>
      <c r="P80" s="12" t="s">
        <v>1407</v>
      </c>
    </row>
    <row r="81" spans="3:16" ht="36.75" thickBot="1" x14ac:dyDescent="0.3">
      <c r="C81" s="11">
        <v>999</v>
      </c>
      <c r="D81" s="12">
        <v>74</v>
      </c>
      <c r="E81" s="12" t="s">
        <v>1402</v>
      </c>
      <c r="F81" s="12" t="s">
        <v>1480</v>
      </c>
      <c r="G81" s="12" t="s">
        <v>1408</v>
      </c>
      <c r="H81" s="12" t="s">
        <v>90</v>
      </c>
      <c r="I81" s="12" t="s">
        <v>91</v>
      </c>
      <c r="J81" s="12" t="s">
        <v>1949</v>
      </c>
      <c r="K81" s="12" t="s">
        <v>1405</v>
      </c>
      <c r="L81" s="12" t="s">
        <v>1406</v>
      </c>
      <c r="M81" s="13">
        <v>608102.64</v>
      </c>
      <c r="N81" s="12" t="s">
        <v>1387</v>
      </c>
      <c r="O81" s="13" t="s">
        <v>768</v>
      </c>
      <c r="P81" s="12" t="s">
        <v>1407</v>
      </c>
    </row>
    <row r="82" spans="3:16" ht="36.75" thickBot="1" x14ac:dyDescent="0.3">
      <c r="C82" s="11">
        <v>999</v>
      </c>
      <c r="D82" s="12">
        <v>75</v>
      </c>
      <c r="E82" s="12" t="s">
        <v>1402</v>
      </c>
      <c r="F82" s="12" t="s">
        <v>1481</v>
      </c>
      <c r="G82" s="12" t="s">
        <v>1408</v>
      </c>
      <c r="H82" s="12" t="s">
        <v>90</v>
      </c>
      <c r="I82" s="12" t="s">
        <v>91</v>
      </c>
      <c r="J82" s="12" t="s">
        <v>1949</v>
      </c>
      <c r="K82" s="12" t="s">
        <v>1405</v>
      </c>
      <c r="L82" s="12" t="s">
        <v>1406</v>
      </c>
      <c r="M82" s="13">
        <v>47280</v>
      </c>
      <c r="N82" s="12" t="s">
        <v>1387</v>
      </c>
      <c r="O82" s="13" t="s">
        <v>768</v>
      </c>
      <c r="P82" s="12" t="s">
        <v>1407</v>
      </c>
    </row>
    <row r="83" spans="3:16" ht="36.75" thickBot="1" x14ac:dyDescent="0.3">
      <c r="C83" s="11">
        <v>999</v>
      </c>
      <c r="D83" s="12">
        <v>76</v>
      </c>
      <c r="E83" s="12" t="s">
        <v>1402</v>
      </c>
      <c r="F83" s="12" t="s">
        <v>1482</v>
      </c>
      <c r="G83" s="12" t="s">
        <v>1408</v>
      </c>
      <c r="H83" s="12" t="s">
        <v>90</v>
      </c>
      <c r="I83" s="12" t="s">
        <v>91</v>
      </c>
      <c r="J83" s="12" t="s">
        <v>1949</v>
      </c>
      <c r="K83" s="12" t="s">
        <v>1405</v>
      </c>
      <c r="L83" s="12" t="s">
        <v>1406</v>
      </c>
      <c r="M83" s="13">
        <v>59720</v>
      </c>
      <c r="N83" s="12" t="s">
        <v>1387</v>
      </c>
      <c r="O83" s="13" t="s">
        <v>768</v>
      </c>
      <c r="P83" s="12" t="s">
        <v>1407</v>
      </c>
    </row>
    <row r="84" spans="3:16" ht="36.75" thickBot="1" x14ac:dyDescent="0.3">
      <c r="C84" s="11">
        <v>999</v>
      </c>
      <c r="D84" s="12">
        <v>77</v>
      </c>
      <c r="E84" s="12" t="s">
        <v>1402</v>
      </c>
      <c r="F84" s="12" t="s">
        <v>1483</v>
      </c>
      <c r="G84" s="12" t="s">
        <v>1408</v>
      </c>
      <c r="H84" s="12" t="s">
        <v>90</v>
      </c>
      <c r="I84" s="12" t="s">
        <v>91</v>
      </c>
      <c r="J84" s="12" t="s">
        <v>1949</v>
      </c>
      <c r="K84" s="12" t="s">
        <v>1405</v>
      </c>
      <c r="L84" s="12" t="s">
        <v>1406</v>
      </c>
      <c r="M84" s="13">
        <v>87028.13</v>
      </c>
      <c r="N84" s="12" t="s">
        <v>1387</v>
      </c>
      <c r="O84" s="13" t="s">
        <v>768</v>
      </c>
      <c r="P84" s="12" t="s">
        <v>1407</v>
      </c>
    </row>
    <row r="85" spans="3:16" ht="36.75" thickBot="1" x14ac:dyDescent="0.3">
      <c r="C85" s="11">
        <v>999</v>
      </c>
      <c r="D85" s="12">
        <v>78</v>
      </c>
      <c r="E85" s="12" t="s">
        <v>1402</v>
      </c>
      <c r="F85" s="12" t="s">
        <v>1484</v>
      </c>
      <c r="G85" s="12" t="s">
        <v>1408</v>
      </c>
      <c r="H85" s="12" t="s">
        <v>90</v>
      </c>
      <c r="I85" s="12" t="s">
        <v>91</v>
      </c>
      <c r="J85" s="12" t="s">
        <v>1949</v>
      </c>
      <c r="K85" s="12" t="s">
        <v>1405</v>
      </c>
      <c r="L85" s="12" t="s">
        <v>1406</v>
      </c>
      <c r="M85" s="13">
        <v>76860.850000000006</v>
      </c>
      <c r="N85" s="12" t="s">
        <v>1387</v>
      </c>
      <c r="O85" s="13" t="s">
        <v>768</v>
      </c>
      <c r="P85" s="12" t="s">
        <v>1407</v>
      </c>
    </row>
    <row r="86" spans="3:16" ht="36.75" thickBot="1" x14ac:dyDescent="0.3">
      <c r="C86" s="11">
        <v>999</v>
      </c>
      <c r="D86" s="12">
        <v>79</v>
      </c>
      <c r="E86" s="12" t="s">
        <v>1402</v>
      </c>
      <c r="F86" s="12" t="s">
        <v>1485</v>
      </c>
      <c r="G86" s="12" t="s">
        <v>1408</v>
      </c>
      <c r="H86" s="12" t="s">
        <v>90</v>
      </c>
      <c r="I86" s="12" t="s">
        <v>91</v>
      </c>
      <c r="J86" s="12" t="s">
        <v>1949</v>
      </c>
      <c r="K86" s="12" t="s">
        <v>1405</v>
      </c>
      <c r="L86" s="12" t="s">
        <v>1406</v>
      </c>
      <c r="M86" s="13">
        <v>1006200</v>
      </c>
      <c r="N86" s="12" t="s">
        <v>1387</v>
      </c>
      <c r="O86" s="13" t="s">
        <v>768</v>
      </c>
      <c r="P86" s="12" t="s">
        <v>1407</v>
      </c>
    </row>
    <row r="87" spans="3:16" ht="36.75" thickBot="1" x14ac:dyDescent="0.3">
      <c r="C87" s="11">
        <v>999</v>
      </c>
      <c r="D87" s="12">
        <v>80</v>
      </c>
      <c r="E87" s="12" t="s">
        <v>1402</v>
      </c>
      <c r="F87" s="12" t="s">
        <v>1486</v>
      </c>
      <c r="G87" s="12" t="s">
        <v>1408</v>
      </c>
      <c r="H87" s="12" t="s">
        <v>90</v>
      </c>
      <c r="I87" s="12" t="s">
        <v>91</v>
      </c>
      <c r="J87" s="12" t="s">
        <v>1949</v>
      </c>
      <c r="K87" s="12" t="s">
        <v>1405</v>
      </c>
      <c r="L87" s="12" t="s">
        <v>1406</v>
      </c>
      <c r="M87" s="13">
        <v>120000</v>
      </c>
      <c r="N87" s="12" t="s">
        <v>1387</v>
      </c>
      <c r="O87" s="13" t="s">
        <v>768</v>
      </c>
      <c r="P87" s="12" t="s">
        <v>1407</v>
      </c>
    </row>
    <row r="88" spans="3:16" ht="36.75" thickBot="1" x14ac:dyDescent="0.3">
      <c r="C88" s="11">
        <v>999</v>
      </c>
      <c r="D88" s="12">
        <v>81</v>
      </c>
      <c r="E88" s="12" t="s">
        <v>1402</v>
      </c>
      <c r="F88" s="12" t="s">
        <v>1487</v>
      </c>
      <c r="G88" s="12" t="s">
        <v>1408</v>
      </c>
      <c r="H88" s="12" t="s">
        <v>90</v>
      </c>
      <c r="I88" s="12" t="s">
        <v>91</v>
      </c>
      <c r="J88" s="12" t="s">
        <v>1949</v>
      </c>
      <c r="K88" s="12" t="s">
        <v>1405</v>
      </c>
      <c r="L88" s="12" t="s">
        <v>1406</v>
      </c>
      <c r="M88" s="13">
        <v>844191</v>
      </c>
      <c r="N88" s="12" t="s">
        <v>1387</v>
      </c>
      <c r="O88" s="13" t="s">
        <v>768</v>
      </c>
      <c r="P88" s="12" t="s">
        <v>1407</v>
      </c>
    </row>
    <row r="89" spans="3:16" ht="36.75" thickBot="1" x14ac:dyDescent="0.3">
      <c r="C89" s="11">
        <v>999</v>
      </c>
      <c r="D89" s="12">
        <v>82</v>
      </c>
      <c r="E89" s="12" t="s">
        <v>1402</v>
      </c>
      <c r="F89" s="12" t="s">
        <v>1488</v>
      </c>
      <c r="G89" s="12" t="s">
        <v>1408</v>
      </c>
      <c r="H89" s="12" t="s">
        <v>90</v>
      </c>
      <c r="I89" s="12" t="s">
        <v>91</v>
      </c>
      <c r="J89" s="12" t="s">
        <v>1949</v>
      </c>
      <c r="K89" s="12" t="s">
        <v>1405</v>
      </c>
      <c r="L89" s="12" t="s">
        <v>1406</v>
      </c>
      <c r="M89" s="13">
        <v>205768</v>
      </c>
      <c r="N89" s="12" t="s">
        <v>1387</v>
      </c>
      <c r="O89" s="13" t="s">
        <v>768</v>
      </c>
      <c r="P89" s="12" t="s">
        <v>1407</v>
      </c>
    </row>
    <row r="90" spans="3:16" ht="36.75" thickBot="1" x14ac:dyDescent="0.3">
      <c r="C90" s="11">
        <v>999</v>
      </c>
      <c r="D90" s="12">
        <v>83</v>
      </c>
      <c r="E90" s="12" t="s">
        <v>1402</v>
      </c>
      <c r="F90" s="12" t="s">
        <v>1489</v>
      </c>
      <c r="G90" s="12" t="s">
        <v>1408</v>
      </c>
      <c r="H90" s="12" t="s">
        <v>90</v>
      </c>
      <c r="I90" s="12" t="s">
        <v>91</v>
      </c>
      <c r="J90" s="12" t="s">
        <v>1949</v>
      </c>
      <c r="K90" s="12" t="s">
        <v>1405</v>
      </c>
      <c r="L90" s="12" t="s">
        <v>1406</v>
      </c>
      <c r="M90" s="13">
        <v>38868</v>
      </c>
      <c r="N90" s="12" t="s">
        <v>1387</v>
      </c>
      <c r="O90" s="13" t="s">
        <v>768</v>
      </c>
      <c r="P90" s="12" t="s">
        <v>1407</v>
      </c>
    </row>
    <row r="91" spans="3:16" ht="36.75" thickBot="1" x14ac:dyDescent="0.3">
      <c r="C91" s="11">
        <v>999</v>
      </c>
      <c r="D91" s="12">
        <v>84</v>
      </c>
      <c r="E91" s="12" t="s">
        <v>1402</v>
      </c>
      <c r="F91" s="12" t="s">
        <v>1490</v>
      </c>
      <c r="G91" s="12" t="s">
        <v>1408</v>
      </c>
      <c r="H91" s="12" t="s">
        <v>90</v>
      </c>
      <c r="I91" s="12" t="s">
        <v>91</v>
      </c>
      <c r="J91" s="12" t="s">
        <v>1949</v>
      </c>
      <c r="K91" s="12" t="s">
        <v>1405</v>
      </c>
      <c r="L91" s="12" t="s">
        <v>1406</v>
      </c>
      <c r="M91" s="13">
        <v>166500</v>
      </c>
      <c r="N91" s="12" t="s">
        <v>1387</v>
      </c>
      <c r="O91" s="13" t="s">
        <v>768</v>
      </c>
      <c r="P91" s="12" t="s">
        <v>1407</v>
      </c>
    </row>
    <row r="92" spans="3:16" ht="36.75" thickBot="1" x14ac:dyDescent="0.3">
      <c r="C92" s="11">
        <v>999</v>
      </c>
      <c r="D92" s="12">
        <v>85</v>
      </c>
      <c r="E92" s="12" t="s">
        <v>1402</v>
      </c>
      <c r="F92" s="12" t="s">
        <v>1491</v>
      </c>
      <c r="G92" s="12" t="s">
        <v>1408</v>
      </c>
      <c r="H92" s="12" t="s">
        <v>90</v>
      </c>
      <c r="I92" s="12" t="s">
        <v>91</v>
      </c>
      <c r="J92" s="12" t="s">
        <v>1949</v>
      </c>
      <c r="K92" s="12" t="s">
        <v>1405</v>
      </c>
      <c r="L92" s="12" t="s">
        <v>1406</v>
      </c>
      <c r="M92" s="13">
        <v>613800</v>
      </c>
      <c r="N92" s="12" t="s">
        <v>1387</v>
      </c>
      <c r="O92" s="13" t="s">
        <v>768</v>
      </c>
      <c r="P92" s="12" t="s">
        <v>1407</v>
      </c>
    </row>
    <row r="93" spans="3:16" ht="36.75" thickBot="1" x14ac:dyDescent="0.3">
      <c r="C93" s="11">
        <v>999</v>
      </c>
      <c r="D93" s="12">
        <v>86</v>
      </c>
      <c r="E93" s="12" t="s">
        <v>1402</v>
      </c>
      <c r="F93" s="12" t="s">
        <v>1492</v>
      </c>
      <c r="G93" s="12" t="s">
        <v>1408</v>
      </c>
      <c r="H93" s="12" t="s">
        <v>90</v>
      </c>
      <c r="I93" s="12" t="s">
        <v>91</v>
      </c>
      <c r="J93" s="12" t="s">
        <v>1949</v>
      </c>
      <c r="K93" s="12" t="s">
        <v>1405</v>
      </c>
      <c r="L93" s="12" t="s">
        <v>1406</v>
      </c>
      <c r="M93" s="13">
        <v>392423.9</v>
      </c>
      <c r="N93" s="12" t="s">
        <v>1387</v>
      </c>
      <c r="O93" s="13" t="s">
        <v>768</v>
      </c>
      <c r="P93" s="12" t="s">
        <v>1407</v>
      </c>
    </row>
    <row r="94" spans="3:16" ht="36.75" thickBot="1" x14ac:dyDescent="0.3">
      <c r="C94" s="11">
        <v>999</v>
      </c>
      <c r="D94" s="12">
        <v>87</v>
      </c>
      <c r="E94" s="12" t="s">
        <v>1402</v>
      </c>
      <c r="F94" s="12" t="s">
        <v>1493</v>
      </c>
      <c r="G94" s="12" t="s">
        <v>1408</v>
      </c>
      <c r="H94" s="12" t="s">
        <v>90</v>
      </c>
      <c r="I94" s="12" t="s">
        <v>91</v>
      </c>
      <c r="J94" s="12" t="s">
        <v>1949</v>
      </c>
      <c r="K94" s="12" t="s">
        <v>1405</v>
      </c>
      <c r="L94" s="12" t="s">
        <v>1406</v>
      </c>
      <c r="M94" s="13">
        <v>50000</v>
      </c>
      <c r="N94" s="12" t="s">
        <v>1387</v>
      </c>
      <c r="O94" s="13" t="s">
        <v>768</v>
      </c>
      <c r="P94" s="12" t="s">
        <v>1407</v>
      </c>
    </row>
    <row r="95" spans="3:16" ht="36.75" thickBot="1" x14ac:dyDescent="0.3">
      <c r="C95" s="11">
        <v>999</v>
      </c>
      <c r="D95" s="12">
        <v>88</v>
      </c>
      <c r="E95" s="12" t="s">
        <v>1402</v>
      </c>
      <c r="F95" s="12" t="s">
        <v>1494</v>
      </c>
      <c r="G95" s="12" t="s">
        <v>1408</v>
      </c>
      <c r="H95" s="12" t="s">
        <v>90</v>
      </c>
      <c r="I95" s="12" t="s">
        <v>91</v>
      </c>
      <c r="J95" s="12" t="s">
        <v>1949</v>
      </c>
      <c r="K95" s="12" t="s">
        <v>1405</v>
      </c>
      <c r="L95" s="12" t="s">
        <v>1406</v>
      </c>
      <c r="M95" s="13">
        <v>224000</v>
      </c>
      <c r="N95" s="12" t="s">
        <v>1387</v>
      </c>
      <c r="O95" s="13" t="s">
        <v>768</v>
      </c>
      <c r="P95" s="12" t="s">
        <v>1407</v>
      </c>
    </row>
    <row r="96" spans="3:16" ht="36.75" thickBot="1" x14ac:dyDescent="0.3">
      <c r="C96" s="11">
        <v>999</v>
      </c>
      <c r="D96" s="12">
        <v>89</v>
      </c>
      <c r="E96" s="12" t="s">
        <v>1402</v>
      </c>
      <c r="F96" s="12" t="s">
        <v>1495</v>
      </c>
      <c r="G96" s="12" t="s">
        <v>1408</v>
      </c>
      <c r="H96" s="12" t="s">
        <v>90</v>
      </c>
      <c r="I96" s="12" t="s">
        <v>91</v>
      </c>
      <c r="J96" s="12" t="s">
        <v>1949</v>
      </c>
      <c r="K96" s="12" t="s">
        <v>1405</v>
      </c>
      <c r="L96" s="12" t="s">
        <v>1406</v>
      </c>
      <c r="M96" s="13">
        <v>927373.6</v>
      </c>
      <c r="N96" s="12" t="s">
        <v>1387</v>
      </c>
      <c r="O96" s="13" t="s">
        <v>768</v>
      </c>
      <c r="P96" s="12" t="s">
        <v>1407</v>
      </c>
    </row>
    <row r="97" spans="3:16" ht="36.75" thickBot="1" x14ac:dyDescent="0.3">
      <c r="C97" s="11">
        <v>999</v>
      </c>
      <c r="D97" s="12">
        <v>90</v>
      </c>
      <c r="E97" s="12" t="s">
        <v>1402</v>
      </c>
      <c r="F97" s="12" t="s">
        <v>1496</v>
      </c>
      <c r="G97" s="12" t="s">
        <v>1408</v>
      </c>
      <c r="H97" s="12" t="s">
        <v>90</v>
      </c>
      <c r="I97" s="12" t="s">
        <v>91</v>
      </c>
      <c r="J97" s="12" t="s">
        <v>1949</v>
      </c>
      <c r="K97" s="12" t="s">
        <v>1405</v>
      </c>
      <c r="L97" s="12" t="s">
        <v>1406</v>
      </c>
      <c r="M97" s="13">
        <v>423212.42</v>
      </c>
      <c r="N97" s="12" t="s">
        <v>1387</v>
      </c>
      <c r="O97" s="13" t="s">
        <v>768</v>
      </c>
      <c r="P97" s="12" t="s">
        <v>1407</v>
      </c>
    </row>
    <row r="98" spans="3:16" ht="36.75" thickBot="1" x14ac:dyDescent="0.3">
      <c r="C98" s="11">
        <v>999</v>
      </c>
      <c r="D98" s="12">
        <v>91</v>
      </c>
      <c r="E98" s="12" t="s">
        <v>1402</v>
      </c>
      <c r="F98" s="12" t="s">
        <v>1497</v>
      </c>
      <c r="G98" s="12" t="s">
        <v>1408</v>
      </c>
      <c r="H98" s="12" t="s">
        <v>90</v>
      </c>
      <c r="I98" s="12" t="s">
        <v>91</v>
      </c>
      <c r="J98" s="12" t="s">
        <v>1949</v>
      </c>
      <c r="K98" s="12" t="s">
        <v>1405</v>
      </c>
      <c r="L98" s="12" t="s">
        <v>1406</v>
      </c>
      <c r="M98" s="13">
        <v>64160</v>
      </c>
      <c r="N98" s="12" t="s">
        <v>1387</v>
      </c>
      <c r="O98" s="13" t="s">
        <v>768</v>
      </c>
      <c r="P98" s="12" t="s">
        <v>1407</v>
      </c>
    </row>
    <row r="99" spans="3:16" ht="36.75" thickBot="1" x14ac:dyDescent="0.3">
      <c r="C99" s="11">
        <v>999</v>
      </c>
      <c r="D99" s="12">
        <v>92</v>
      </c>
      <c r="E99" s="12" t="s">
        <v>1402</v>
      </c>
      <c r="F99" s="12" t="s">
        <v>1498</v>
      </c>
      <c r="G99" s="12" t="s">
        <v>1408</v>
      </c>
      <c r="H99" s="12" t="s">
        <v>90</v>
      </c>
      <c r="I99" s="12" t="s">
        <v>91</v>
      </c>
      <c r="J99" s="12" t="s">
        <v>1949</v>
      </c>
      <c r="K99" s="12" t="s">
        <v>1405</v>
      </c>
      <c r="L99" s="12" t="s">
        <v>1406</v>
      </c>
      <c r="M99" s="13">
        <v>4655000</v>
      </c>
      <c r="N99" s="12" t="s">
        <v>1387</v>
      </c>
      <c r="O99" s="13" t="s">
        <v>768</v>
      </c>
      <c r="P99" s="12" t="s">
        <v>1407</v>
      </c>
    </row>
    <row r="100" spans="3:16" ht="36.75" thickBot="1" x14ac:dyDescent="0.3">
      <c r="C100" s="11">
        <v>999</v>
      </c>
      <c r="D100" s="12">
        <v>93</v>
      </c>
      <c r="E100" s="12" t="s">
        <v>1402</v>
      </c>
      <c r="F100" s="12" t="s">
        <v>1499</v>
      </c>
      <c r="G100" s="12" t="s">
        <v>1408</v>
      </c>
      <c r="H100" s="12" t="s">
        <v>90</v>
      </c>
      <c r="I100" s="12" t="s">
        <v>91</v>
      </c>
      <c r="J100" s="12" t="s">
        <v>1949</v>
      </c>
      <c r="K100" s="12" t="s">
        <v>1405</v>
      </c>
      <c r="L100" s="12" t="s">
        <v>1406</v>
      </c>
      <c r="M100" s="13">
        <v>1121400</v>
      </c>
      <c r="N100" s="12" t="s">
        <v>1387</v>
      </c>
      <c r="O100" s="13" t="s">
        <v>768</v>
      </c>
      <c r="P100" s="12" t="s">
        <v>1407</v>
      </c>
    </row>
    <row r="101" spans="3:16" ht="36.75" thickBot="1" x14ac:dyDescent="0.3">
      <c r="C101" s="11">
        <v>999</v>
      </c>
      <c r="D101" s="12">
        <v>94</v>
      </c>
      <c r="E101" s="12" t="s">
        <v>1402</v>
      </c>
      <c r="F101" s="12" t="s">
        <v>1500</v>
      </c>
      <c r="G101" s="12" t="s">
        <v>1408</v>
      </c>
      <c r="H101" s="12" t="s">
        <v>90</v>
      </c>
      <c r="I101" s="12" t="s">
        <v>91</v>
      </c>
      <c r="J101" s="12" t="s">
        <v>1949</v>
      </c>
      <c r="K101" s="12" t="s">
        <v>1405</v>
      </c>
      <c r="L101" s="12" t="s">
        <v>1406</v>
      </c>
      <c r="M101" s="13">
        <v>365840</v>
      </c>
      <c r="N101" s="12" t="s">
        <v>1387</v>
      </c>
      <c r="O101" s="13" t="s">
        <v>768</v>
      </c>
      <c r="P101" s="12" t="s">
        <v>1407</v>
      </c>
    </row>
    <row r="102" spans="3:16" ht="36.75" thickBot="1" x14ac:dyDescent="0.3">
      <c r="C102" s="11">
        <v>999</v>
      </c>
      <c r="D102" s="12">
        <v>95</v>
      </c>
      <c r="E102" s="12" t="s">
        <v>1402</v>
      </c>
      <c r="F102" s="12" t="s">
        <v>1501</v>
      </c>
      <c r="G102" s="12" t="s">
        <v>1408</v>
      </c>
      <c r="H102" s="12" t="s">
        <v>90</v>
      </c>
      <c r="I102" s="12" t="s">
        <v>91</v>
      </c>
      <c r="J102" s="12" t="s">
        <v>1949</v>
      </c>
      <c r="K102" s="12" t="s">
        <v>1405</v>
      </c>
      <c r="L102" s="12" t="s">
        <v>1406</v>
      </c>
      <c r="M102" s="13">
        <v>124000</v>
      </c>
      <c r="N102" s="12" t="s">
        <v>1387</v>
      </c>
      <c r="O102" s="13" t="s">
        <v>768</v>
      </c>
      <c r="P102" s="12" t="s">
        <v>1407</v>
      </c>
    </row>
    <row r="103" spans="3:16" ht="36.75" thickBot="1" x14ac:dyDescent="0.3">
      <c r="C103" s="11">
        <v>999</v>
      </c>
      <c r="D103" s="12">
        <v>96</v>
      </c>
      <c r="E103" s="12" t="s">
        <v>1402</v>
      </c>
      <c r="F103" s="12" t="s">
        <v>1403</v>
      </c>
      <c r="G103" s="12" t="s">
        <v>1408</v>
      </c>
      <c r="H103" s="12" t="s">
        <v>90</v>
      </c>
      <c r="I103" s="12" t="s">
        <v>91</v>
      </c>
      <c r="J103" s="12" t="s">
        <v>1949</v>
      </c>
      <c r="K103" s="12" t="s">
        <v>1405</v>
      </c>
      <c r="L103" s="12" t="s">
        <v>1406</v>
      </c>
      <c r="M103" s="13">
        <v>4794</v>
      </c>
      <c r="N103" s="12" t="s">
        <v>1387</v>
      </c>
      <c r="O103" s="13" t="s">
        <v>768</v>
      </c>
      <c r="P103" s="12" t="s">
        <v>1407</v>
      </c>
    </row>
    <row r="104" spans="3:16" ht="36.75" thickBot="1" x14ac:dyDescent="0.3">
      <c r="C104" s="11">
        <v>999</v>
      </c>
      <c r="D104" s="12">
        <v>97</v>
      </c>
      <c r="E104" s="12" t="s">
        <v>1402</v>
      </c>
      <c r="F104" s="12" t="s">
        <v>1409</v>
      </c>
      <c r="G104" s="12" t="s">
        <v>1408</v>
      </c>
      <c r="H104" s="12" t="s">
        <v>90</v>
      </c>
      <c r="I104" s="12" t="s">
        <v>91</v>
      </c>
      <c r="J104" s="12" t="s">
        <v>1949</v>
      </c>
      <c r="K104" s="12" t="s">
        <v>1405</v>
      </c>
      <c r="L104" s="12" t="s">
        <v>1406</v>
      </c>
      <c r="M104" s="13">
        <v>45667</v>
      </c>
      <c r="N104" s="12" t="s">
        <v>1387</v>
      </c>
      <c r="O104" s="13" t="s">
        <v>768</v>
      </c>
      <c r="P104" s="12" t="s">
        <v>1407</v>
      </c>
    </row>
    <row r="105" spans="3:16" ht="36.75" thickBot="1" x14ac:dyDescent="0.3">
      <c r="C105" s="11">
        <v>999</v>
      </c>
      <c r="D105" s="12">
        <v>98</v>
      </c>
      <c r="E105" s="12" t="s">
        <v>1402</v>
      </c>
      <c r="F105" s="12" t="s">
        <v>1409</v>
      </c>
      <c r="G105" s="12" t="s">
        <v>1502</v>
      </c>
      <c r="H105" s="12" t="s">
        <v>86</v>
      </c>
      <c r="I105" s="12" t="s">
        <v>60</v>
      </c>
      <c r="J105" s="12" t="s">
        <v>1950</v>
      </c>
      <c r="K105" s="12" t="s">
        <v>1405</v>
      </c>
      <c r="L105" s="12" t="s">
        <v>1406</v>
      </c>
      <c r="M105" s="13">
        <v>60000000</v>
      </c>
      <c r="N105" s="12" t="s">
        <v>1387</v>
      </c>
      <c r="O105" s="13" t="s">
        <v>768</v>
      </c>
      <c r="P105" s="12" t="s">
        <v>1407</v>
      </c>
    </row>
    <row r="106" spans="3:16" ht="36.75" thickBot="1" x14ac:dyDescent="0.3">
      <c r="C106" s="11">
        <v>999</v>
      </c>
      <c r="D106" s="12">
        <v>99</v>
      </c>
      <c r="E106" s="12" t="s">
        <v>1402</v>
      </c>
      <c r="F106" s="12" t="s">
        <v>1410</v>
      </c>
      <c r="G106" s="12" t="s">
        <v>1502</v>
      </c>
      <c r="H106" s="12" t="s">
        <v>86</v>
      </c>
      <c r="I106" s="12" t="s">
        <v>60</v>
      </c>
      <c r="J106" s="12" t="s">
        <v>1950</v>
      </c>
      <c r="K106" s="12" t="s">
        <v>1405</v>
      </c>
      <c r="L106" s="12" t="s">
        <v>1406</v>
      </c>
      <c r="M106" s="13">
        <v>100000000</v>
      </c>
      <c r="N106" s="12" t="s">
        <v>1387</v>
      </c>
      <c r="O106" s="13" t="s">
        <v>768</v>
      </c>
      <c r="P106" s="12" t="s">
        <v>1407</v>
      </c>
    </row>
    <row r="107" spans="3:16" ht="36.75" thickBot="1" x14ac:dyDescent="0.3">
      <c r="C107" s="11">
        <v>999</v>
      </c>
      <c r="D107" s="12">
        <v>100</v>
      </c>
      <c r="E107" s="12" t="s">
        <v>1402</v>
      </c>
      <c r="F107" s="12" t="s">
        <v>1411</v>
      </c>
      <c r="G107" s="12" t="s">
        <v>1502</v>
      </c>
      <c r="H107" s="12" t="s">
        <v>86</v>
      </c>
      <c r="I107" s="12" t="s">
        <v>60</v>
      </c>
      <c r="J107" s="12" t="s">
        <v>1950</v>
      </c>
      <c r="K107" s="12" t="s">
        <v>1405</v>
      </c>
      <c r="L107" s="12" t="s">
        <v>1406</v>
      </c>
      <c r="M107" s="13">
        <v>140000000</v>
      </c>
      <c r="N107" s="12" t="s">
        <v>1387</v>
      </c>
      <c r="O107" s="13" t="s">
        <v>768</v>
      </c>
      <c r="P107" s="12" t="s">
        <v>1407</v>
      </c>
    </row>
  </sheetData>
  <mergeCells count="4">
    <mergeCell ref="A1:P1"/>
    <mergeCell ref="D4:P4"/>
    <mergeCell ref="E5:P5"/>
    <mergeCell ref="Q5:Q6"/>
  </mergeCells>
  <conditionalFormatting sqref="D8:P9 D13:E107 P13:P107 H13:N107">
    <cfRule type="expression" dxfId="47" priority="9">
      <formula>LEN(TRIM(D8))=0</formula>
    </cfRule>
  </conditionalFormatting>
  <conditionalFormatting sqref="D8:P9 D13:E107 P13:P107 H13:N107">
    <cfRule type="expression" dxfId="46" priority="8">
      <formula>LEN(TRIM(D8))=0</formula>
    </cfRule>
  </conditionalFormatting>
  <conditionalFormatting sqref="D10:P12">
    <cfRule type="expression" dxfId="45" priority="7">
      <formula>LEN(TRIM(D10))=0</formula>
    </cfRule>
  </conditionalFormatting>
  <conditionalFormatting sqref="D10:P12">
    <cfRule type="expression" dxfId="44" priority="6">
      <formula>LEN(TRIM(D10))=0</formula>
    </cfRule>
  </conditionalFormatting>
  <conditionalFormatting sqref="D8:P107">
    <cfRule type="expression" dxfId="43" priority="5">
      <formula>LEN(TRIM(D8))=0</formula>
    </cfRule>
  </conditionalFormatting>
  <conditionalFormatting sqref="F13:G107">
    <cfRule type="expression" dxfId="42" priority="4">
      <formula>LEN(TRIM(F13))=0</formula>
    </cfRule>
  </conditionalFormatting>
  <conditionalFormatting sqref="F13:G107">
    <cfRule type="expression" dxfId="41" priority="3">
      <formula>LEN(TRIM(F13))=0</formula>
    </cfRule>
  </conditionalFormatting>
  <conditionalFormatting sqref="O13:O107">
    <cfRule type="expression" dxfId="40" priority="2">
      <formula>LEN(TRIM(O13))=0</formula>
    </cfRule>
  </conditionalFormatting>
  <conditionalFormatting sqref="O13:O107">
    <cfRule type="expression" dxfId="39" priority="1">
      <formula>LEN(TRIM(O13))=0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5C89-FD7E-4543-A55E-1013D7AF9E1D}">
  <sheetPr codeName="Sheet4">
    <outlinePr summaryBelow="0" summaryRight="0"/>
    <pageSetUpPr fitToPage="1"/>
  </sheetPr>
  <dimension ref="A1:Q941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XFD1048576"/>
    </sheetView>
  </sheetViews>
  <sheetFormatPr defaultRowHeight="15" x14ac:dyDescent="0.25"/>
  <cols>
    <col min="1" max="1" width="5.5703125" style="20" customWidth="1"/>
    <col min="2" max="2" width="25.28515625" style="20" bestFit="1" customWidth="1"/>
    <col min="3" max="3" width="3.85546875" style="20" bestFit="1" customWidth="1"/>
    <col min="4" max="16" width="20.5703125" style="20" customWidth="1"/>
    <col min="17" max="17" width="25.5703125" style="19" customWidth="1"/>
    <col min="18" max="16384" width="9.140625" style="20"/>
  </cols>
  <sheetData>
    <row r="1" spans="1:17" x14ac:dyDescent="0.25">
      <c r="A1" s="208" t="s">
        <v>1503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3" spans="1:17" x14ac:dyDescent="0.25">
      <c r="J3" s="20" t="s">
        <v>1951</v>
      </c>
    </row>
    <row r="4" spans="1:17" x14ac:dyDescent="0.25">
      <c r="D4" s="210" t="s">
        <v>1</v>
      </c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7" ht="15" customHeight="1" x14ac:dyDescent="0.25">
      <c r="D5" s="21" t="s">
        <v>2</v>
      </c>
      <c r="E5" s="213" t="s">
        <v>1504</v>
      </c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  <c r="Q5" s="216"/>
    </row>
    <row r="6" spans="1:17" ht="60" x14ac:dyDescent="0.25">
      <c r="D6" s="22"/>
      <c r="E6" s="23" t="s">
        <v>7</v>
      </c>
      <c r="F6" s="23" t="s">
        <v>8</v>
      </c>
      <c r="G6" s="23" t="s">
        <v>1505</v>
      </c>
      <c r="H6" s="23" t="s">
        <v>1506</v>
      </c>
      <c r="I6" s="23" t="s">
        <v>11</v>
      </c>
      <c r="J6" s="23" t="s">
        <v>1507</v>
      </c>
      <c r="K6" s="23" t="s">
        <v>14</v>
      </c>
      <c r="L6" s="23" t="s">
        <v>1394</v>
      </c>
      <c r="M6" s="23" t="s">
        <v>1395</v>
      </c>
      <c r="N6" s="23" t="s">
        <v>1396</v>
      </c>
      <c r="O6" s="23" t="s">
        <v>1508</v>
      </c>
      <c r="P6" s="23" t="s">
        <v>1398</v>
      </c>
      <c r="Q6" s="216"/>
    </row>
    <row r="7" spans="1:17" ht="15.75" thickBot="1" x14ac:dyDescent="0.3">
      <c r="D7" s="24" t="s">
        <v>29</v>
      </c>
      <c r="E7" s="24" t="s">
        <v>30</v>
      </c>
      <c r="F7" s="24" t="s">
        <v>32</v>
      </c>
      <c r="G7" s="24" t="s">
        <v>1399</v>
      </c>
      <c r="H7" s="24" t="s">
        <v>33</v>
      </c>
      <c r="I7" s="24" t="s">
        <v>34</v>
      </c>
      <c r="J7" s="24" t="s">
        <v>1400</v>
      </c>
      <c r="K7" s="24" t="s">
        <v>35</v>
      </c>
      <c r="L7" s="24" t="s">
        <v>39</v>
      </c>
      <c r="M7" s="24" t="s">
        <v>40</v>
      </c>
      <c r="N7" s="24" t="s">
        <v>41</v>
      </c>
      <c r="O7" s="24" t="s">
        <v>42</v>
      </c>
      <c r="P7" s="24" t="s">
        <v>43</v>
      </c>
    </row>
    <row r="8" spans="1:17" ht="36.75" thickBot="1" x14ac:dyDescent="0.3">
      <c r="A8" s="25" t="s">
        <v>54</v>
      </c>
      <c r="B8" s="26" t="s">
        <v>1504</v>
      </c>
      <c r="C8" s="27" t="s">
        <v>1509</v>
      </c>
      <c r="D8" s="28">
        <v>1</v>
      </c>
      <c r="E8" s="28" t="s">
        <v>1402</v>
      </c>
      <c r="F8" s="28" t="s">
        <v>1254</v>
      </c>
      <c r="G8" s="28" t="s">
        <v>1952</v>
      </c>
      <c r="H8" s="28" t="s">
        <v>1256</v>
      </c>
      <c r="I8" s="28" t="s">
        <v>60</v>
      </c>
      <c r="J8" s="28" t="s">
        <v>1951</v>
      </c>
      <c r="K8" s="28" t="s">
        <v>1405</v>
      </c>
      <c r="L8" s="28" t="s">
        <v>1406</v>
      </c>
      <c r="M8" s="28">
        <v>35000</v>
      </c>
      <c r="N8" s="28" t="s">
        <v>1387</v>
      </c>
      <c r="O8" s="28">
        <v>0</v>
      </c>
      <c r="P8" s="29" t="s">
        <v>1407</v>
      </c>
      <c r="Q8" s="30"/>
    </row>
    <row r="9" spans="1:17" ht="36.75" thickBot="1" x14ac:dyDescent="0.3">
      <c r="C9" s="27" t="s">
        <v>1509</v>
      </c>
      <c r="D9" s="28">
        <v>2</v>
      </c>
      <c r="E9" s="28" t="s">
        <v>1402</v>
      </c>
      <c r="F9" s="28" t="s">
        <v>865</v>
      </c>
      <c r="G9" s="28" t="s">
        <v>1953</v>
      </c>
      <c r="H9" s="28" t="s">
        <v>238</v>
      </c>
      <c r="I9" s="28" t="s">
        <v>60</v>
      </c>
      <c r="J9" s="28" t="s">
        <v>1951</v>
      </c>
      <c r="K9" s="28" t="s">
        <v>1405</v>
      </c>
      <c r="L9" s="28" t="s">
        <v>1406</v>
      </c>
      <c r="M9" s="28">
        <v>28371504.105597999</v>
      </c>
      <c r="N9" s="28" t="s">
        <v>1387</v>
      </c>
      <c r="O9" s="28">
        <v>0</v>
      </c>
      <c r="P9" s="29" t="s">
        <v>1407</v>
      </c>
    </row>
    <row r="10" spans="1:17" ht="36.75" thickBot="1" x14ac:dyDescent="0.3">
      <c r="C10" s="27" t="s">
        <v>1509</v>
      </c>
      <c r="D10" s="28">
        <v>3</v>
      </c>
      <c r="E10" s="28" t="s">
        <v>1402</v>
      </c>
      <c r="F10" s="28" t="s">
        <v>745</v>
      </c>
      <c r="G10" s="28" t="s">
        <v>1953</v>
      </c>
      <c r="H10" s="28" t="s">
        <v>238</v>
      </c>
      <c r="I10" s="28" t="s">
        <v>60</v>
      </c>
      <c r="J10" s="28" t="s">
        <v>1951</v>
      </c>
      <c r="K10" s="28" t="s">
        <v>1405</v>
      </c>
      <c r="L10" s="28" t="s">
        <v>1406</v>
      </c>
      <c r="M10" s="28">
        <v>4932235.4670670005</v>
      </c>
      <c r="N10" s="28" t="s">
        <v>1387</v>
      </c>
      <c r="O10" s="28">
        <v>0</v>
      </c>
      <c r="P10" s="29" t="s">
        <v>1407</v>
      </c>
    </row>
    <row r="11" spans="1:17" ht="36.75" thickBot="1" x14ac:dyDescent="0.3">
      <c r="C11" s="27" t="s">
        <v>1509</v>
      </c>
      <c r="D11" s="28">
        <v>4</v>
      </c>
      <c r="E11" s="28" t="s">
        <v>1402</v>
      </c>
      <c r="F11" s="28" t="s">
        <v>1276</v>
      </c>
      <c r="G11" s="28" t="s">
        <v>1953</v>
      </c>
      <c r="H11" s="28" t="s">
        <v>238</v>
      </c>
      <c r="I11" s="28" t="s">
        <v>60</v>
      </c>
      <c r="J11" s="28" t="s">
        <v>1951</v>
      </c>
      <c r="K11" s="28" t="s">
        <v>1405</v>
      </c>
      <c r="L11" s="28" t="s">
        <v>1406</v>
      </c>
      <c r="M11" s="28">
        <v>9979936.2087229993</v>
      </c>
      <c r="N11" s="28" t="s">
        <v>1387</v>
      </c>
      <c r="O11" s="28">
        <v>0</v>
      </c>
      <c r="P11" s="29" t="s">
        <v>1407</v>
      </c>
    </row>
    <row r="12" spans="1:17" ht="36.75" thickBot="1" x14ac:dyDescent="0.3">
      <c r="C12" s="27" t="s">
        <v>1509</v>
      </c>
      <c r="D12" s="28">
        <v>5</v>
      </c>
      <c r="E12" s="28" t="s">
        <v>1402</v>
      </c>
      <c r="F12" s="28" t="s">
        <v>490</v>
      </c>
      <c r="G12" s="28" t="s">
        <v>1953</v>
      </c>
      <c r="H12" s="28" t="s">
        <v>238</v>
      </c>
      <c r="I12" s="28" t="s">
        <v>60</v>
      </c>
      <c r="J12" s="28" t="s">
        <v>1951</v>
      </c>
      <c r="K12" s="28" t="s">
        <v>1405</v>
      </c>
      <c r="L12" s="28" t="s">
        <v>1406</v>
      </c>
      <c r="M12" s="28">
        <v>20296594.119725</v>
      </c>
      <c r="N12" s="28" t="s">
        <v>1387</v>
      </c>
      <c r="O12" s="28">
        <v>0</v>
      </c>
      <c r="P12" s="29" t="s">
        <v>1407</v>
      </c>
    </row>
    <row r="13" spans="1:17" ht="36.75" thickBot="1" x14ac:dyDescent="0.3">
      <c r="C13" s="27" t="s">
        <v>1509</v>
      </c>
      <c r="D13" s="28">
        <v>6</v>
      </c>
      <c r="E13" s="28" t="s">
        <v>1402</v>
      </c>
      <c r="F13" s="28" t="s">
        <v>1260</v>
      </c>
      <c r="G13" s="28" t="s">
        <v>104</v>
      </c>
      <c r="H13" s="28" t="s">
        <v>105</v>
      </c>
      <c r="I13" s="28" t="s">
        <v>60</v>
      </c>
      <c r="J13" s="28" t="s">
        <v>1951</v>
      </c>
      <c r="K13" s="28" t="s">
        <v>1405</v>
      </c>
      <c r="L13" s="28" t="s">
        <v>1406</v>
      </c>
      <c r="M13" s="28">
        <v>12707.5</v>
      </c>
      <c r="N13" s="28" t="s">
        <v>1387</v>
      </c>
      <c r="O13" s="28">
        <v>0</v>
      </c>
      <c r="P13" s="29" t="s">
        <v>1407</v>
      </c>
    </row>
    <row r="14" spans="1:17" ht="36.75" thickBot="1" x14ac:dyDescent="0.3">
      <c r="C14" s="27" t="s">
        <v>1509</v>
      </c>
      <c r="D14" s="28">
        <v>7</v>
      </c>
      <c r="E14" s="28" t="s">
        <v>1402</v>
      </c>
      <c r="F14" s="28" t="s">
        <v>1323</v>
      </c>
      <c r="G14" s="28" t="s">
        <v>104</v>
      </c>
      <c r="H14" s="28" t="s">
        <v>105</v>
      </c>
      <c r="I14" s="28" t="s">
        <v>60</v>
      </c>
      <c r="J14" s="28" t="s">
        <v>1951</v>
      </c>
      <c r="K14" s="28" t="s">
        <v>1405</v>
      </c>
      <c r="L14" s="28" t="s">
        <v>1406</v>
      </c>
      <c r="M14" s="28">
        <v>12970</v>
      </c>
      <c r="N14" s="28" t="s">
        <v>1387</v>
      </c>
      <c r="O14" s="28">
        <v>0</v>
      </c>
      <c r="P14" s="29" t="s">
        <v>1407</v>
      </c>
    </row>
    <row r="15" spans="1:17" ht="36.75" thickBot="1" x14ac:dyDescent="0.3">
      <c r="C15" s="27" t="s">
        <v>1509</v>
      </c>
      <c r="D15" s="28">
        <v>8</v>
      </c>
      <c r="E15" s="28" t="s">
        <v>1402</v>
      </c>
      <c r="F15" s="28" t="s">
        <v>473</v>
      </c>
      <c r="G15" s="28" t="s">
        <v>104</v>
      </c>
      <c r="H15" s="28" t="s">
        <v>105</v>
      </c>
      <c r="I15" s="28" t="s">
        <v>60</v>
      </c>
      <c r="J15" s="28" t="s">
        <v>1951</v>
      </c>
      <c r="K15" s="28" t="s">
        <v>1405</v>
      </c>
      <c r="L15" s="28" t="s">
        <v>1406</v>
      </c>
      <c r="M15" s="28">
        <v>182159.86</v>
      </c>
      <c r="N15" s="28" t="s">
        <v>1387</v>
      </c>
      <c r="O15" s="28">
        <v>0</v>
      </c>
      <c r="P15" s="29" t="s">
        <v>1407</v>
      </c>
    </row>
    <row r="16" spans="1:17" ht="36.75" thickBot="1" x14ac:dyDescent="0.3">
      <c r="C16" s="27" t="s">
        <v>1509</v>
      </c>
      <c r="D16" s="28">
        <v>9</v>
      </c>
      <c r="E16" s="28" t="s">
        <v>1402</v>
      </c>
      <c r="F16" s="28" t="s">
        <v>1324</v>
      </c>
      <c r="G16" s="28" t="s">
        <v>104</v>
      </c>
      <c r="H16" s="28" t="s">
        <v>105</v>
      </c>
      <c r="I16" s="28" t="s">
        <v>60</v>
      </c>
      <c r="J16" s="28" t="s">
        <v>1951</v>
      </c>
      <c r="K16" s="28" t="s">
        <v>1405</v>
      </c>
      <c r="L16" s="28" t="s">
        <v>1406</v>
      </c>
      <c r="M16" s="28">
        <v>93990.5</v>
      </c>
      <c r="N16" s="28" t="s">
        <v>1387</v>
      </c>
      <c r="O16" s="28">
        <v>0</v>
      </c>
      <c r="P16" s="29" t="s">
        <v>1407</v>
      </c>
    </row>
    <row r="17" spans="3:16" ht="36.75" thickBot="1" x14ac:dyDescent="0.3">
      <c r="C17" s="27" t="s">
        <v>1509</v>
      </c>
      <c r="D17" s="28">
        <v>10</v>
      </c>
      <c r="E17" s="28" t="s">
        <v>1402</v>
      </c>
      <c r="F17" s="28" t="s">
        <v>453</v>
      </c>
      <c r="G17" s="28" t="s">
        <v>104</v>
      </c>
      <c r="H17" s="28" t="s">
        <v>105</v>
      </c>
      <c r="I17" s="28" t="s">
        <v>60</v>
      </c>
      <c r="J17" s="28" t="s">
        <v>1951</v>
      </c>
      <c r="K17" s="28" t="s">
        <v>1405</v>
      </c>
      <c r="L17" s="28" t="s">
        <v>1406</v>
      </c>
      <c r="M17" s="28">
        <v>56790</v>
      </c>
      <c r="N17" s="28" t="s">
        <v>1387</v>
      </c>
      <c r="O17" s="28">
        <v>0</v>
      </c>
      <c r="P17" s="29" t="s">
        <v>1407</v>
      </c>
    </row>
    <row r="18" spans="3:16" ht="36.75" thickBot="1" x14ac:dyDescent="0.3">
      <c r="C18" s="27" t="s">
        <v>1509</v>
      </c>
      <c r="D18" s="28">
        <v>11</v>
      </c>
      <c r="E18" s="28" t="s">
        <v>1402</v>
      </c>
      <c r="F18" s="28" t="s">
        <v>1326</v>
      </c>
      <c r="G18" s="28" t="s">
        <v>104</v>
      </c>
      <c r="H18" s="28" t="s">
        <v>105</v>
      </c>
      <c r="I18" s="28" t="s">
        <v>60</v>
      </c>
      <c r="J18" s="28" t="s">
        <v>1951</v>
      </c>
      <c r="K18" s="28" t="s">
        <v>1405</v>
      </c>
      <c r="L18" s="28" t="s">
        <v>1406</v>
      </c>
      <c r="M18" s="28">
        <v>78200</v>
      </c>
      <c r="N18" s="28" t="s">
        <v>1387</v>
      </c>
      <c r="O18" s="28">
        <v>0</v>
      </c>
      <c r="P18" s="29" t="s">
        <v>1407</v>
      </c>
    </row>
    <row r="19" spans="3:16" ht="36.75" thickBot="1" x14ac:dyDescent="0.3">
      <c r="C19" s="27" t="s">
        <v>1509</v>
      </c>
      <c r="D19" s="28">
        <v>12</v>
      </c>
      <c r="E19" s="28" t="s">
        <v>1402</v>
      </c>
      <c r="F19" s="28" t="s">
        <v>789</v>
      </c>
      <c r="G19" s="28" t="s">
        <v>104</v>
      </c>
      <c r="H19" s="28" t="s">
        <v>105</v>
      </c>
      <c r="I19" s="28" t="s">
        <v>60</v>
      </c>
      <c r="J19" s="28" t="s">
        <v>1951</v>
      </c>
      <c r="K19" s="28" t="s">
        <v>1405</v>
      </c>
      <c r="L19" s="28" t="s">
        <v>1406</v>
      </c>
      <c r="M19" s="28">
        <v>126698.5</v>
      </c>
      <c r="N19" s="28" t="s">
        <v>1387</v>
      </c>
      <c r="O19" s="28">
        <v>0</v>
      </c>
      <c r="P19" s="29" t="s">
        <v>1407</v>
      </c>
    </row>
    <row r="20" spans="3:16" ht="36.75" thickBot="1" x14ac:dyDescent="0.3">
      <c r="C20" s="27" t="s">
        <v>1509</v>
      </c>
      <c r="D20" s="28">
        <v>13</v>
      </c>
      <c r="E20" s="28" t="s">
        <v>1402</v>
      </c>
      <c r="F20" s="28" t="s">
        <v>1327</v>
      </c>
      <c r="G20" s="28" t="s">
        <v>104</v>
      </c>
      <c r="H20" s="28" t="s">
        <v>105</v>
      </c>
      <c r="I20" s="28" t="s">
        <v>60</v>
      </c>
      <c r="J20" s="28" t="s">
        <v>1951</v>
      </c>
      <c r="K20" s="28" t="s">
        <v>1405</v>
      </c>
      <c r="L20" s="28" t="s">
        <v>1406</v>
      </c>
      <c r="M20" s="28">
        <v>36816.75</v>
      </c>
      <c r="N20" s="28" t="s">
        <v>1387</v>
      </c>
      <c r="O20" s="28">
        <v>0</v>
      </c>
      <c r="P20" s="29" t="s">
        <v>1407</v>
      </c>
    </row>
    <row r="21" spans="3:16" ht="36.75" thickBot="1" x14ac:dyDescent="0.3">
      <c r="C21" s="27" t="s">
        <v>1509</v>
      </c>
      <c r="D21" s="28">
        <v>14</v>
      </c>
      <c r="E21" s="28" t="s">
        <v>1402</v>
      </c>
      <c r="F21" s="28" t="s">
        <v>1261</v>
      </c>
      <c r="G21" s="28" t="s">
        <v>104</v>
      </c>
      <c r="H21" s="28" t="s">
        <v>105</v>
      </c>
      <c r="I21" s="28" t="s">
        <v>60</v>
      </c>
      <c r="J21" s="28" t="s">
        <v>1951</v>
      </c>
      <c r="K21" s="28" t="s">
        <v>1405</v>
      </c>
      <c r="L21" s="28" t="s">
        <v>1406</v>
      </c>
      <c r="M21" s="28">
        <v>18394</v>
      </c>
      <c r="N21" s="28" t="s">
        <v>1387</v>
      </c>
      <c r="O21" s="28">
        <v>0</v>
      </c>
      <c r="P21" s="29" t="s">
        <v>1407</v>
      </c>
    </row>
    <row r="22" spans="3:16" ht="36.75" thickBot="1" x14ac:dyDescent="0.3">
      <c r="C22" s="27" t="s">
        <v>1509</v>
      </c>
      <c r="D22" s="28">
        <v>15</v>
      </c>
      <c r="E22" s="28" t="s">
        <v>1402</v>
      </c>
      <c r="F22" s="28" t="s">
        <v>1328</v>
      </c>
      <c r="G22" s="28" t="s">
        <v>104</v>
      </c>
      <c r="H22" s="28" t="s">
        <v>105</v>
      </c>
      <c r="I22" s="28" t="s">
        <v>60</v>
      </c>
      <c r="J22" s="28" t="s">
        <v>1951</v>
      </c>
      <c r="K22" s="28" t="s">
        <v>1405</v>
      </c>
      <c r="L22" s="28" t="s">
        <v>1406</v>
      </c>
      <c r="M22" s="28">
        <v>37043.65</v>
      </c>
      <c r="N22" s="28" t="s">
        <v>1387</v>
      </c>
      <c r="O22" s="28">
        <v>0</v>
      </c>
      <c r="P22" s="29" t="s">
        <v>1407</v>
      </c>
    </row>
    <row r="23" spans="3:16" ht="36.75" thickBot="1" x14ac:dyDescent="0.3">
      <c r="C23" s="27" t="s">
        <v>1509</v>
      </c>
      <c r="D23" s="28">
        <v>16</v>
      </c>
      <c r="E23" s="28" t="s">
        <v>1402</v>
      </c>
      <c r="F23" s="28" t="s">
        <v>145</v>
      </c>
      <c r="G23" s="28" t="s">
        <v>104</v>
      </c>
      <c r="H23" s="28" t="s">
        <v>105</v>
      </c>
      <c r="I23" s="28" t="s">
        <v>60</v>
      </c>
      <c r="J23" s="28" t="s">
        <v>1951</v>
      </c>
      <c r="K23" s="28" t="s">
        <v>1405</v>
      </c>
      <c r="L23" s="28" t="s">
        <v>1406</v>
      </c>
      <c r="M23" s="28">
        <v>30343.3</v>
      </c>
      <c r="N23" s="28" t="s">
        <v>1387</v>
      </c>
      <c r="O23" s="28">
        <v>0</v>
      </c>
      <c r="P23" s="29" t="s">
        <v>1407</v>
      </c>
    </row>
    <row r="24" spans="3:16" ht="36.75" thickBot="1" x14ac:dyDescent="0.3">
      <c r="C24" s="27" t="s">
        <v>1509</v>
      </c>
      <c r="D24" s="28">
        <v>17</v>
      </c>
      <c r="E24" s="28" t="s">
        <v>1402</v>
      </c>
      <c r="F24" s="28" t="s">
        <v>1329</v>
      </c>
      <c r="G24" s="28" t="s">
        <v>104</v>
      </c>
      <c r="H24" s="28" t="s">
        <v>105</v>
      </c>
      <c r="I24" s="28" t="s">
        <v>60</v>
      </c>
      <c r="J24" s="28" t="s">
        <v>1951</v>
      </c>
      <c r="K24" s="28" t="s">
        <v>1405</v>
      </c>
      <c r="L24" s="28" t="s">
        <v>1406</v>
      </c>
      <c r="M24" s="28">
        <v>7000</v>
      </c>
      <c r="N24" s="28" t="s">
        <v>1387</v>
      </c>
      <c r="O24" s="28">
        <v>0</v>
      </c>
      <c r="P24" s="29" t="s">
        <v>1407</v>
      </c>
    </row>
    <row r="25" spans="3:16" ht="36.75" thickBot="1" x14ac:dyDescent="0.3">
      <c r="C25" s="27" t="s">
        <v>1509</v>
      </c>
      <c r="D25" s="28">
        <v>18</v>
      </c>
      <c r="E25" s="28" t="s">
        <v>1402</v>
      </c>
      <c r="F25" s="28" t="s">
        <v>1233</v>
      </c>
      <c r="G25" s="28" t="s">
        <v>104</v>
      </c>
      <c r="H25" s="28" t="s">
        <v>105</v>
      </c>
      <c r="I25" s="28" t="s">
        <v>60</v>
      </c>
      <c r="J25" s="28" t="s">
        <v>1951</v>
      </c>
      <c r="K25" s="28" t="s">
        <v>1405</v>
      </c>
      <c r="L25" s="28" t="s">
        <v>1406</v>
      </c>
      <c r="M25" s="28">
        <v>74837.5</v>
      </c>
      <c r="N25" s="28" t="s">
        <v>1387</v>
      </c>
      <c r="O25" s="28">
        <v>0</v>
      </c>
      <c r="P25" s="29" t="s">
        <v>1407</v>
      </c>
    </row>
    <row r="26" spans="3:16" ht="36.75" thickBot="1" x14ac:dyDescent="0.3">
      <c r="C26" s="27" t="s">
        <v>1509</v>
      </c>
      <c r="D26" s="28">
        <v>19</v>
      </c>
      <c r="E26" s="28" t="s">
        <v>1402</v>
      </c>
      <c r="F26" s="28" t="s">
        <v>1330</v>
      </c>
      <c r="G26" s="28" t="s">
        <v>104</v>
      </c>
      <c r="H26" s="28" t="s">
        <v>105</v>
      </c>
      <c r="I26" s="28" t="s">
        <v>60</v>
      </c>
      <c r="J26" s="28" t="s">
        <v>1951</v>
      </c>
      <c r="K26" s="28" t="s">
        <v>1405</v>
      </c>
      <c r="L26" s="28" t="s">
        <v>1406</v>
      </c>
      <c r="M26" s="28">
        <v>5194</v>
      </c>
      <c r="N26" s="28" t="s">
        <v>1387</v>
      </c>
      <c r="O26" s="28">
        <v>0</v>
      </c>
      <c r="P26" s="29" t="s">
        <v>1407</v>
      </c>
    </row>
    <row r="27" spans="3:16" ht="36.75" thickBot="1" x14ac:dyDescent="0.3">
      <c r="C27" s="27" t="s">
        <v>1509</v>
      </c>
      <c r="D27" s="28">
        <v>20</v>
      </c>
      <c r="E27" s="28" t="s">
        <v>1402</v>
      </c>
      <c r="F27" s="28" t="s">
        <v>1262</v>
      </c>
      <c r="G27" s="28" t="s">
        <v>104</v>
      </c>
      <c r="H27" s="28" t="s">
        <v>105</v>
      </c>
      <c r="I27" s="28" t="s">
        <v>60</v>
      </c>
      <c r="J27" s="28" t="s">
        <v>1951</v>
      </c>
      <c r="K27" s="28" t="s">
        <v>1405</v>
      </c>
      <c r="L27" s="28" t="s">
        <v>1406</v>
      </c>
      <c r="M27" s="28">
        <v>43699</v>
      </c>
      <c r="N27" s="28" t="s">
        <v>1387</v>
      </c>
      <c r="O27" s="28">
        <v>0</v>
      </c>
      <c r="P27" s="29" t="s">
        <v>1407</v>
      </c>
    </row>
    <row r="28" spans="3:16" ht="36.75" thickBot="1" x14ac:dyDescent="0.3">
      <c r="C28" s="27" t="s">
        <v>1509</v>
      </c>
      <c r="D28" s="28">
        <v>21</v>
      </c>
      <c r="E28" s="28" t="s">
        <v>1402</v>
      </c>
      <c r="F28" s="28" t="s">
        <v>1264</v>
      </c>
      <c r="G28" s="28" t="s">
        <v>104</v>
      </c>
      <c r="H28" s="28" t="s">
        <v>105</v>
      </c>
      <c r="I28" s="28" t="s">
        <v>60</v>
      </c>
      <c r="J28" s="28" t="s">
        <v>1951</v>
      </c>
      <c r="K28" s="28" t="s">
        <v>1405</v>
      </c>
      <c r="L28" s="28" t="s">
        <v>1406</v>
      </c>
      <c r="M28" s="28">
        <v>12143.8</v>
      </c>
      <c r="N28" s="28" t="s">
        <v>1387</v>
      </c>
      <c r="O28" s="28">
        <v>0</v>
      </c>
      <c r="P28" s="29" t="s">
        <v>1407</v>
      </c>
    </row>
    <row r="29" spans="3:16" ht="36.75" thickBot="1" x14ac:dyDescent="0.3">
      <c r="C29" s="27" t="s">
        <v>1509</v>
      </c>
      <c r="D29" s="28">
        <v>22</v>
      </c>
      <c r="E29" s="28" t="s">
        <v>1402</v>
      </c>
      <c r="F29" s="28" t="s">
        <v>294</v>
      </c>
      <c r="G29" s="28" t="s">
        <v>104</v>
      </c>
      <c r="H29" s="28" t="s">
        <v>105</v>
      </c>
      <c r="I29" s="28" t="s">
        <v>60</v>
      </c>
      <c r="J29" s="28" t="s">
        <v>1951</v>
      </c>
      <c r="K29" s="28" t="s">
        <v>1405</v>
      </c>
      <c r="L29" s="28" t="s">
        <v>1406</v>
      </c>
      <c r="M29" s="28">
        <v>100602.5</v>
      </c>
      <c r="N29" s="28" t="s">
        <v>1387</v>
      </c>
      <c r="O29" s="28">
        <v>0</v>
      </c>
      <c r="P29" s="29" t="s">
        <v>1407</v>
      </c>
    </row>
    <row r="30" spans="3:16" ht="36.75" thickBot="1" x14ac:dyDescent="0.3">
      <c r="C30" s="27" t="s">
        <v>1509</v>
      </c>
      <c r="D30" s="28">
        <v>23</v>
      </c>
      <c r="E30" s="28" t="s">
        <v>1402</v>
      </c>
      <c r="F30" s="28" t="s">
        <v>103</v>
      </c>
      <c r="G30" s="28" t="s">
        <v>104</v>
      </c>
      <c r="H30" s="28" t="s">
        <v>105</v>
      </c>
      <c r="I30" s="28" t="s">
        <v>60</v>
      </c>
      <c r="J30" s="28" t="s">
        <v>1951</v>
      </c>
      <c r="K30" s="28" t="s">
        <v>1405</v>
      </c>
      <c r="L30" s="28" t="s">
        <v>1406</v>
      </c>
      <c r="M30" s="28">
        <v>95602.5</v>
      </c>
      <c r="N30" s="28" t="s">
        <v>1387</v>
      </c>
      <c r="O30" s="28">
        <v>0</v>
      </c>
      <c r="P30" s="29" t="s">
        <v>1407</v>
      </c>
    </row>
    <row r="31" spans="3:16" ht="36.75" thickBot="1" x14ac:dyDescent="0.3">
      <c r="C31" s="27" t="s">
        <v>1509</v>
      </c>
      <c r="D31" s="28">
        <v>24</v>
      </c>
      <c r="E31" s="28" t="s">
        <v>1402</v>
      </c>
      <c r="F31" s="28" t="s">
        <v>515</v>
      </c>
      <c r="G31" s="28" t="s">
        <v>1954</v>
      </c>
      <c r="H31" s="28" t="s">
        <v>311</v>
      </c>
      <c r="I31" s="28" t="s">
        <v>60</v>
      </c>
      <c r="J31" s="28" t="s">
        <v>1951</v>
      </c>
      <c r="K31" s="28" t="s">
        <v>1405</v>
      </c>
      <c r="L31" s="28" t="s">
        <v>1406</v>
      </c>
      <c r="M31" s="28">
        <v>176462</v>
      </c>
      <c r="N31" s="28" t="s">
        <v>1387</v>
      </c>
      <c r="O31" s="28">
        <v>0</v>
      </c>
      <c r="P31" s="29" t="s">
        <v>1407</v>
      </c>
    </row>
    <row r="32" spans="3:16" ht="36.75" thickBot="1" x14ac:dyDescent="0.3">
      <c r="C32" s="27" t="s">
        <v>1509</v>
      </c>
      <c r="D32" s="28">
        <v>25</v>
      </c>
      <c r="E32" s="28" t="s">
        <v>1402</v>
      </c>
      <c r="F32" s="28" t="s">
        <v>836</v>
      </c>
      <c r="G32" s="28" t="s">
        <v>1954</v>
      </c>
      <c r="H32" s="28" t="s">
        <v>311</v>
      </c>
      <c r="I32" s="28" t="s">
        <v>60</v>
      </c>
      <c r="J32" s="28" t="s">
        <v>1951</v>
      </c>
      <c r="K32" s="28" t="s">
        <v>1405</v>
      </c>
      <c r="L32" s="28" t="s">
        <v>1406</v>
      </c>
      <c r="M32" s="28">
        <v>2500000</v>
      </c>
      <c r="N32" s="28" t="s">
        <v>1387</v>
      </c>
      <c r="O32" s="28">
        <v>0</v>
      </c>
      <c r="P32" s="29" t="s">
        <v>1407</v>
      </c>
    </row>
    <row r="33" spans="3:16" ht="36.75" thickBot="1" x14ac:dyDescent="0.3">
      <c r="C33" s="27" t="s">
        <v>1509</v>
      </c>
      <c r="D33" s="28">
        <v>26</v>
      </c>
      <c r="E33" s="28" t="s">
        <v>1402</v>
      </c>
      <c r="F33" s="28" t="s">
        <v>816</v>
      </c>
      <c r="G33" s="28" t="s">
        <v>1954</v>
      </c>
      <c r="H33" s="28" t="s">
        <v>311</v>
      </c>
      <c r="I33" s="28" t="s">
        <v>60</v>
      </c>
      <c r="J33" s="28" t="s">
        <v>1951</v>
      </c>
      <c r="K33" s="28" t="s">
        <v>1405</v>
      </c>
      <c r="L33" s="28" t="s">
        <v>1406</v>
      </c>
      <c r="M33" s="28">
        <v>489000</v>
      </c>
      <c r="N33" s="28" t="s">
        <v>1387</v>
      </c>
      <c r="O33" s="28">
        <v>0</v>
      </c>
      <c r="P33" s="29" t="s">
        <v>1407</v>
      </c>
    </row>
    <row r="34" spans="3:16" ht="36.75" thickBot="1" x14ac:dyDescent="0.3">
      <c r="C34" s="27" t="s">
        <v>1509</v>
      </c>
      <c r="D34" s="28">
        <v>27</v>
      </c>
      <c r="E34" s="28" t="s">
        <v>1402</v>
      </c>
      <c r="F34" s="28" t="s">
        <v>820</v>
      </c>
      <c r="G34" s="28" t="s">
        <v>1954</v>
      </c>
      <c r="H34" s="28" t="s">
        <v>311</v>
      </c>
      <c r="I34" s="28" t="s">
        <v>60</v>
      </c>
      <c r="J34" s="28" t="s">
        <v>1951</v>
      </c>
      <c r="K34" s="28" t="s">
        <v>1405</v>
      </c>
      <c r="L34" s="28" t="s">
        <v>1406</v>
      </c>
      <c r="M34" s="28">
        <v>110191.36</v>
      </c>
      <c r="N34" s="28" t="s">
        <v>1387</v>
      </c>
      <c r="O34" s="28">
        <v>0</v>
      </c>
      <c r="P34" s="29" t="s">
        <v>1407</v>
      </c>
    </row>
    <row r="35" spans="3:16" ht="36.75" thickBot="1" x14ac:dyDescent="0.3">
      <c r="C35" s="27" t="s">
        <v>1509</v>
      </c>
      <c r="D35" s="28">
        <v>28</v>
      </c>
      <c r="E35" s="28" t="s">
        <v>1402</v>
      </c>
      <c r="F35" s="28" t="s">
        <v>1279</v>
      </c>
      <c r="G35" s="28" t="s">
        <v>1954</v>
      </c>
      <c r="H35" s="28" t="s">
        <v>311</v>
      </c>
      <c r="I35" s="28" t="s">
        <v>60</v>
      </c>
      <c r="J35" s="28" t="s">
        <v>1951</v>
      </c>
      <c r="K35" s="28" t="s">
        <v>1405</v>
      </c>
      <c r="L35" s="28" t="s">
        <v>1406</v>
      </c>
      <c r="M35" s="28">
        <v>15000</v>
      </c>
      <c r="N35" s="28" t="s">
        <v>1387</v>
      </c>
      <c r="O35" s="28">
        <v>0</v>
      </c>
      <c r="P35" s="29" t="s">
        <v>1407</v>
      </c>
    </row>
    <row r="36" spans="3:16" ht="36.75" thickBot="1" x14ac:dyDescent="0.3">
      <c r="C36" s="27" t="s">
        <v>1509</v>
      </c>
      <c r="D36" s="28">
        <v>29</v>
      </c>
      <c r="E36" s="28" t="s">
        <v>1402</v>
      </c>
      <c r="F36" s="28" t="s">
        <v>831</v>
      </c>
      <c r="G36" s="28" t="s">
        <v>1954</v>
      </c>
      <c r="H36" s="28" t="s">
        <v>311</v>
      </c>
      <c r="I36" s="28" t="s">
        <v>60</v>
      </c>
      <c r="J36" s="28" t="s">
        <v>1951</v>
      </c>
      <c r="K36" s="28" t="s">
        <v>1405</v>
      </c>
      <c r="L36" s="28" t="s">
        <v>1406</v>
      </c>
      <c r="M36" s="28">
        <v>13032</v>
      </c>
      <c r="N36" s="28" t="s">
        <v>1387</v>
      </c>
      <c r="O36" s="28">
        <v>0</v>
      </c>
      <c r="P36" s="29" t="s">
        <v>1407</v>
      </c>
    </row>
    <row r="37" spans="3:16" ht="36.75" thickBot="1" x14ac:dyDescent="0.3">
      <c r="C37" s="27" t="s">
        <v>1509</v>
      </c>
      <c r="D37" s="28">
        <v>30</v>
      </c>
      <c r="E37" s="28" t="s">
        <v>1402</v>
      </c>
      <c r="F37" s="28" t="s">
        <v>1280</v>
      </c>
      <c r="G37" s="28" t="s">
        <v>1954</v>
      </c>
      <c r="H37" s="28" t="s">
        <v>311</v>
      </c>
      <c r="I37" s="28" t="s">
        <v>60</v>
      </c>
      <c r="J37" s="28" t="s">
        <v>1951</v>
      </c>
      <c r="K37" s="28" t="s">
        <v>1405</v>
      </c>
      <c r="L37" s="28" t="s">
        <v>1406</v>
      </c>
      <c r="M37" s="28">
        <v>123353.57</v>
      </c>
      <c r="N37" s="28" t="s">
        <v>1387</v>
      </c>
      <c r="O37" s="28">
        <v>0</v>
      </c>
      <c r="P37" s="29" t="s">
        <v>1407</v>
      </c>
    </row>
    <row r="38" spans="3:16" ht="36.75" thickBot="1" x14ac:dyDescent="0.3">
      <c r="C38" s="27" t="s">
        <v>1509</v>
      </c>
      <c r="D38" s="28">
        <v>31</v>
      </c>
      <c r="E38" s="28" t="s">
        <v>1402</v>
      </c>
      <c r="F38" s="28" t="s">
        <v>309</v>
      </c>
      <c r="G38" s="28" t="s">
        <v>1954</v>
      </c>
      <c r="H38" s="28" t="s">
        <v>311</v>
      </c>
      <c r="I38" s="28" t="s">
        <v>60</v>
      </c>
      <c r="J38" s="28" t="s">
        <v>1951</v>
      </c>
      <c r="K38" s="28" t="s">
        <v>1405</v>
      </c>
      <c r="L38" s="28" t="s">
        <v>1406</v>
      </c>
      <c r="M38" s="28">
        <v>123353.57</v>
      </c>
      <c r="N38" s="28" t="s">
        <v>1387</v>
      </c>
      <c r="O38" s="28">
        <v>0</v>
      </c>
      <c r="P38" s="29" t="s">
        <v>1407</v>
      </c>
    </row>
    <row r="39" spans="3:16" ht="36.75" thickBot="1" x14ac:dyDescent="0.3">
      <c r="C39" s="27" t="s">
        <v>1509</v>
      </c>
      <c r="D39" s="28">
        <v>32</v>
      </c>
      <c r="E39" s="28" t="s">
        <v>1402</v>
      </c>
      <c r="F39" s="28" t="s">
        <v>1336</v>
      </c>
      <c r="G39" s="28" t="s">
        <v>1954</v>
      </c>
      <c r="H39" s="28" t="s">
        <v>311</v>
      </c>
      <c r="I39" s="28" t="s">
        <v>60</v>
      </c>
      <c r="J39" s="28" t="s">
        <v>1951</v>
      </c>
      <c r="K39" s="28" t="s">
        <v>1405</v>
      </c>
      <c r="L39" s="28" t="s">
        <v>1406</v>
      </c>
      <c r="M39" s="28">
        <v>13507.8</v>
      </c>
      <c r="N39" s="28" t="s">
        <v>1387</v>
      </c>
      <c r="O39" s="28">
        <v>0</v>
      </c>
      <c r="P39" s="29" t="s">
        <v>1407</v>
      </c>
    </row>
    <row r="40" spans="3:16" ht="36.75" thickBot="1" x14ac:dyDescent="0.3">
      <c r="C40" s="27" t="s">
        <v>1509</v>
      </c>
      <c r="D40" s="28">
        <v>33</v>
      </c>
      <c r="E40" s="28" t="s">
        <v>1402</v>
      </c>
      <c r="F40" s="28" t="s">
        <v>1340</v>
      </c>
      <c r="G40" s="28" t="s">
        <v>1954</v>
      </c>
      <c r="H40" s="28" t="s">
        <v>311</v>
      </c>
      <c r="I40" s="28" t="s">
        <v>60</v>
      </c>
      <c r="J40" s="28" t="s">
        <v>1951</v>
      </c>
      <c r="K40" s="28" t="s">
        <v>1405</v>
      </c>
      <c r="L40" s="28" t="s">
        <v>1406</v>
      </c>
      <c r="M40" s="28">
        <v>138390</v>
      </c>
      <c r="N40" s="28" t="s">
        <v>1387</v>
      </c>
      <c r="O40" s="28">
        <v>0</v>
      </c>
      <c r="P40" s="29" t="s">
        <v>1407</v>
      </c>
    </row>
    <row r="41" spans="3:16" ht="36.75" thickBot="1" x14ac:dyDescent="0.3">
      <c r="C41" s="27" t="s">
        <v>1509</v>
      </c>
      <c r="D41" s="28">
        <v>34</v>
      </c>
      <c r="E41" s="28" t="s">
        <v>1402</v>
      </c>
      <c r="F41" s="28" t="s">
        <v>801</v>
      </c>
      <c r="G41" s="28" t="s">
        <v>1954</v>
      </c>
      <c r="H41" s="28" t="s">
        <v>311</v>
      </c>
      <c r="I41" s="28" t="s">
        <v>60</v>
      </c>
      <c r="J41" s="28" t="s">
        <v>1951</v>
      </c>
      <c r="K41" s="28" t="s">
        <v>1405</v>
      </c>
      <c r="L41" s="28" t="s">
        <v>1406</v>
      </c>
      <c r="M41" s="28">
        <v>78095</v>
      </c>
      <c r="N41" s="28" t="s">
        <v>1387</v>
      </c>
      <c r="O41" s="28">
        <v>0</v>
      </c>
      <c r="P41" s="29" t="s">
        <v>1407</v>
      </c>
    </row>
    <row r="42" spans="3:16" ht="36.75" thickBot="1" x14ac:dyDescent="0.3">
      <c r="C42" s="27" t="s">
        <v>1509</v>
      </c>
      <c r="D42" s="28">
        <v>35</v>
      </c>
      <c r="E42" s="28" t="s">
        <v>1402</v>
      </c>
      <c r="F42" s="28" t="s">
        <v>1314</v>
      </c>
      <c r="G42" s="28" t="s">
        <v>1404</v>
      </c>
      <c r="H42" s="28" t="s">
        <v>97</v>
      </c>
      <c r="I42" s="28" t="s">
        <v>91</v>
      </c>
      <c r="J42" s="28" t="s">
        <v>1951</v>
      </c>
      <c r="K42" s="28" t="s">
        <v>1405</v>
      </c>
      <c r="L42" s="28" t="s">
        <v>1406</v>
      </c>
      <c r="M42" s="28">
        <v>34895.839999999997</v>
      </c>
      <c r="N42" s="28" t="s">
        <v>1387</v>
      </c>
      <c r="O42" s="28">
        <v>0</v>
      </c>
      <c r="P42" s="29" t="s">
        <v>1407</v>
      </c>
    </row>
    <row r="43" spans="3:16" ht="36.75" thickBot="1" x14ac:dyDescent="0.3">
      <c r="C43" s="27" t="s">
        <v>1509</v>
      </c>
      <c r="D43" s="28">
        <v>36</v>
      </c>
      <c r="E43" s="28" t="s">
        <v>1402</v>
      </c>
      <c r="F43" s="28" t="s">
        <v>306</v>
      </c>
      <c r="G43" s="28" t="s">
        <v>1404</v>
      </c>
      <c r="H43" s="28" t="s">
        <v>97</v>
      </c>
      <c r="I43" s="28" t="s">
        <v>91</v>
      </c>
      <c r="J43" s="28" t="s">
        <v>1951</v>
      </c>
      <c r="K43" s="28" t="s">
        <v>1405</v>
      </c>
      <c r="L43" s="28" t="s">
        <v>1406</v>
      </c>
      <c r="M43" s="28">
        <v>1458.43</v>
      </c>
      <c r="N43" s="28" t="s">
        <v>1387</v>
      </c>
      <c r="O43" s="28">
        <v>0</v>
      </c>
      <c r="P43" s="29" t="s">
        <v>1407</v>
      </c>
    </row>
    <row r="44" spans="3:16" ht="36.75" thickBot="1" x14ac:dyDescent="0.3">
      <c r="C44" s="27" t="s">
        <v>1509</v>
      </c>
      <c r="D44" s="28">
        <v>37</v>
      </c>
      <c r="E44" s="28" t="s">
        <v>1402</v>
      </c>
      <c r="F44" s="28" t="s">
        <v>1275</v>
      </c>
      <c r="G44" s="28" t="s">
        <v>1404</v>
      </c>
      <c r="H44" s="28" t="s">
        <v>97</v>
      </c>
      <c r="I44" s="28" t="s">
        <v>91</v>
      </c>
      <c r="J44" s="28" t="s">
        <v>1951</v>
      </c>
      <c r="K44" s="28" t="s">
        <v>1405</v>
      </c>
      <c r="L44" s="28" t="s">
        <v>1406</v>
      </c>
      <c r="M44" s="28">
        <v>24000</v>
      </c>
      <c r="N44" s="28" t="s">
        <v>1387</v>
      </c>
      <c r="O44" s="28">
        <v>0</v>
      </c>
      <c r="P44" s="29" t="s">
        <v>1407</v>
      </c>
    </row>
    <row r="45" spans="3:16" ht="36.75" thickBot="1" x14ac:dyDescent="0.3">
      <c r="C45" s="27" t="s">
        <v>1509</v>
      </c>
      <c r="D45" s="28">
        <v>38</v>
      </c>
      <c r="E45" s="28" t="s">
        <v>1402</v>
      </c>
      <c r="F45" s="28" t="s">
        <v>1331</v>
      </c>
      <c r="G45" s="28" t="s">
        <v>1404</v>
      </c>
      <c r="H45" s="28" t="s">
        <v>97</v>
      </c>
      <c r="I45" s="28" t="s">
        <v>91</v>
      </c>
      <c r="J45" s="28" t="s">
        <v>1951</v>
      </c>
      <c r="K45" s="28" t="s">
        <v>1405</v>
      </c>
      <c r="L45" s="28" t="s">
        <v>1406</v>
      </c>
      <c r="M45" s="28">
        <v>6500</v>
      </c>
      <c r="N45" s="28" t="s">
        <v>1387</v>
      </c>
      <c r="O45" s="28">
        <v>0</v>
      </c>
      <c r="P45" s="29" t="s">
        <v>1407</v>
      </c>
    </row>
    <row r="46" spans="3:16" ht="36.75" thickBot="1" x14ac:dyDescent="0.3">
      <c r="C46" s="27" t="s">
        <v>1509</v>
      </c>
      <c r="D46" s="28">
        <v>39</v>
      </c>
      <c r="E46" s="28" t="s">
        <v>1402</v>
      </c>
      <c r="F46" s="28" t="s">
        <v>498</v>
      </c>
      <c r="G46" s="28" t="s">
        <v>1404</v>
      </c>
      <c r="H46" s="28" t="s">
        <v>97</v>
      </c>
      <c r="I46" s="28" t="s">
        <v>91</v>
      </c>
      <c r="J46" s="28" t="s">
        <v>1951</v>
      </c>
      <c r="K46" s="28" t="s">
        <v>1405</v>
      </c>
      <c r="L46" s="28" t="s">
        <v>1406</v>
      </c>
      <c r="M46" s="28">
        <v>83520.78</v>
      </c>
      <c r="N46" s="28" t="s">
        <v>1387</v>
      </c>
      <c r="O46" s="28">
        <v>0</v>
      </c>
      <c r="P46" s="29" t="s">
        <v>1407</v>
      </c>
    </row>
    <row r="47" spans="3:16" ht="36.75" thickBot="1" x14ac:dyDescent="0.3">
      <c r="C47" s="27" t="s">
        <v>1509</v>
      </c>
      <c r="D47" s="28">
        <v>40</v>
      </c>
      <c r="E47" s="28" t="s">
        <v>1402</v>
      </c>
      <c r="F47" s="28" t="s">
        <v>1338</v>
      </c>
      <c r="G47" s="28" t="s">
        <v>1404</v>
      </c>
      <c r="H47" s="28" t="s">
        <v>97</v>
      </c>
      <c r="I47" s="28" t="s">
        <v>91</v>
      </c>
      <c r="J47" s="28" t="s">
        <v>1951</v>
      </c>
      <c r="K47" s="28" t="s">
        <v>1405</v>
      </c>
      <c r="L47" s="28" t="s">
        <v>1406</v>
      </c>
      <c r="M47" s="28">
        <v>106218.01</v>
      </c>
      <c r="N47" s="28" t="s">
        <v>1387</v>
      </c>
      <c r="O47" s="28">
        <v>0</v>
      </c>
      <c r="P47" s="29" t="s">
        <v>1407</v>
      </c>
    </row>
    <row r="48" spans="3:16" ht="36.75" thickBot="1" x14ac:dyDescent="0.3">
      <c r="C48" s="27" t="s">
        <v>1509</v>
      </c>
      <c r="D48" s="28">
        <v>41</v>
      </c>
      <c r="E48" s="28" t="s">
        <v>1402</v>
      </c>
      <c r="F48" s="28" t="s">
        <v>1317</v>
      </c>
      <c r="G48" s="28" t="s">
        <v>1404</v>
      </c>
      <c r="H48" s="28" t="s">
        <v>97</v>
      </c>
      <c r="I48" s="28" t="s">
        <v>91</v>
      </c>
      <c r="J48" s="28" t="s">
        <v>1951</v>
      </c>
      <c r="K48" s="28" t="s">
        <v>1405</v>
      </c>
      <c r="L48" s="28" t="s">
        <v>1406</v>
      </c>
      <c r="M48" s="28">
        <v>4278.93</v>
      </c>
      <c r="N48" s="28" t="s">
        <v>1387</v>
      </c>
      <c r="O48" s="28">
        <v>0</v>
      </c>
      <c r="P48" s="29" t="s">
        <v>1407</v>
      </c>
    </row>
    <row r="49" spans="3:16" ht="36.75" thickBot="1" x14ac:dyDescent="0.3">
      <c r="C49" s="27" t="s">
        <v>1509</v>
      </c>
      <c r="D49" s="28">
        <v>42</v>
      </c>
      <c r="E49" s="28" t="s">
        <v>1402</v>
      </c>
      <c r="F49" s="28" t="s">
        <v>1342</v>
      </c>
      <c r="G49" s="28" t="s">
        <v>1404</v>
      </c>
      <c r="H49" s="28" t="s">
        <v>97</v>
      </c>
      <c r="I49" s="28" t="s">
        <v>91</v>
      </c>
      <c r="J49" s="28" t="s">
        <v>1951</v>
      </c>
      <c r="K49" s="28" t="s">
        <v>1405</v>
      </c>
      <c r="L49" s="28" t="s">
        <v>1406</v>
      </c>
      <c r="M49" s="28">
        <v>1819.99</v>
      </c>
      <c r="N49" s="28" t="s">
        <v>1387</v>
      </c>
      <c r="O49" s="28">
        <v>0</v>
      </c>
      <c r="P49" s="29" t="s">
        <v>1407</v>
      </c>
    </row>
    <row r="50" spans="3:16" ht="36.75" thickBot="1" x14ac:dyDescent="0.3">
      <c r="C50" s="27" t="s">
        <v>1509</v>
      </c>
      <c r="D50" s="28">
        <v>43</v>
      </c>
      <c r="E50" s="28" t="s">
        <v>1402</v>
      </c>
      <c r="F50" s="28" t="s">
        <v>205</v>
      </c>
      <c r="G50" s="28" t="s">
        <v>1404</v>
      </c>
      <c r="H50" s="28" t="s">
        <v>97</v>
      </c>
      <c r="I50" s="28" t="s">
        <v>91</v>
      </c>
      <c r="J50" s="28" t="s">
        <v>1951</v>
      </c>
      <c r="K50" s="28" t="s">
        <v>1405</v>
      </c>
      <c r="L50" s="28" t="s">
        <v>1406</v>
      </c>
      <c r="M50" s="28">
        <v>8762.34</v>
      </c>
      <c r="N50" s="28" t="s">
        <v>1387</v>
      </c>
      <c r="O50" s="28">
        <v>0</v>
      </c>
      <c r="P50" s="29" t="s">
        <v>1407</v>
      </c>
    </row>
    <row r="51" spans="3:16" ht="36.75" thickBot="1" x14ac:dyDescent="0.3">
      <c r="C51" s="27" t="s">
        <v>1509</v>
      </c>
      <c r="D51" s="28">
        <v>44</v>
      </c>
      <c r="E51" s="28" t="s">
        <v>1402</v>
      </c>
      <c r="F51" s="28" t="s">
        <v>1347</v>
      </c>
      <c r="G51" s="28" t="s">
        <v>1404</v>
      </c>
      <c r="H51" s="28" t="s">
        <v>97</v>
      </c>
      <c r="I51" s="28" t="s">
        <v>91</v>
      </c>
      <c r="J51" s="28" t="s">
        <v>1951</v>
      </c>
      <c r="K51" s="28" t="s">
        <v>1405</v>
      </c>
      <c r="L51" s="28" t="s">
        <v>1406</v>
      </c>
      <c r="M51" s="28">
        <v>131297.35999999999</v>
      </c>
      <c r="N51" s="28" t="s">
        <v>1387</v>
      </c>
      <c r="O51" s="28">
        <v>0</v>
      </c>
      <c r="P51" s="29" t="s">
        <v>1407</v>
      </c>
    </row>
    <row r="52" spans="3:16" ht="36.75" thickBot="1" x14ac:dyDescent="0.3">
      <c r="C52" s="27" t="s">
        <v>1509</v>
      </c>
      <c r="D52" s="28">
        <v>45</v>
      </c>
      <c r="E52" s="28" t="s">
        <v>1402</v>
      </c>
      <c r="F52" s="28" t="s">
        <v>822</v>
      </c>
      <c r="G52" s="28" t="s">
        <v>1404</v>
      </c>
      <c r="H52" s="28" t="s">
        <v>97</v>
      </c>
      <c r="I52" s="28" t="s">
        <v>91</v>
      </c>
      <c r="J52" s="28" t="s">
        <v>1951</v>
      </c>
      <c r="K52" s="28" t="s">
        <v>1405</v>
      </c>
      <c r="L52" s="28" t="s">
        <v>1406</v>
      </c>
      <c r="M52" s="28">
        <v>3942.03</v>
      </c>
      <c r="N52" s="28" t="s">
        <v>1387</v>
      </c>
      <c r="O52" s="28">
        <v>0</v>
      </c>
      <c r="P52" s="29" t="s">
        <v>1407</v>
      </c>
    </row>
    <row r="53" spans="3:16" ht="36.75" thickBot="1" x14ac:dyDescent="0.3">
      <c r="C53" s="27" t="s">
        <v>1509</v>
      </c>
      <c r="D53" s="28">
        <v>46</v>
      </c>
      <c r="E53" s="28" t="s">
        <v>1402</v>
      </c>
      <c r="F53" s="28" t="s">
        <v>95</v>
      </c>
      <c r="G53" s="28" t="s">
        <v>1404</v>
      </c>
      <c r="H53" s="28" t="s">
        <v>97</v>
      </c>
      <c r="I53" s="28" t="s">
        <v>91</v>
      </c>
      <c r="J53" s="28" t="s">
        <v>1951</v>
      </c>
      <c r="K53" s="28" t="s">
        <v>1405</v>
      </c>
      <c r="L53" s="28" t="s">
        <v>1406</v>
      </c>
      <c r="M53" s="28">
        <v>14500</v>
      </c>
      <c r="N53" s="28" t="s">
        <v>1387</v>
      </c>
      <c r="O53" s="28">
        <v>0</v>
      </c>
      <c r="P53" s="29" t="s">
        <v>1407</v>
      </c>
    </row>
    <row r="54" spans="3:16" ht="36.75" thickBot="1" x14ac:dyDescent="0.3">
      <c r="C54" s="27" t="s">
        <v>1509</v>
      </c>
      <c r="D54" s="28">
        <v>47</v>
      </c>
      <c r="E54" s="28" t="s">
        <v>1402</v>
      </c>
      <c r="F54" s="28" t="s">
        <v>888</v>
      </c>
      <c r="G54" s="28" t="s">
        <v>1404</v>
      </c>
      <c r="H54" s="28" t="s">
        <v>97</v>
      </c>
      <c r="I54" s="28" t="s">
        <v>91</v>
      </c>
      <c r="J54" s="28" t="s">
        <v>1951</v>
      </c>
      <c r="K54" s="28" t="s">
        <v>1405</v>
      </c>
      <c r="L54" s="28" t="s">
        <v>1406</v>
      </c>
      <c r="M54" s="28">
        <v>4762</v>
      </c>
      <c r="N54" s="28" t="s">
        <v>1387</v>
      </c>
      <c r="O54" s="28">
        <v>0</v>
      </c>
      <c r="P54" s="29" t="s">
        <v>1407</v>
      </c>
    </row>
    <row r="55" spans="3:16" ht="36.75" thickBot="1" x14ac:dyDescent="0.3">
      <c r="C55" s="27" t="s">
        <v>1509</v>
      </c>
      <c r="D55" s="28">
        <v>48</v>
      </c>
      <c r="E55" s="28" t="s">
        <v>1402</v>
      </c>
      <c r="F55" s="28" t="s">
        <v>333</v>
      </c>
      <c r="G55" s="28" t="s">
        <v>1404</v>
      </c>
      <c r="H55" s="28" t="s">
        <v>97</v>
      </c>
      <c r="I55" s="28" t="s">
        <v>91</v>
      </c>
      <c r="J55" s="28" t="s">
        <v>1951</v>
      </c>
      <c r="K55" s="28" t="s">
        <v>1405</v>
      </c>
      <c r="L55" s="28" t="s">
        <v>1406</v>
      </c>
      <c r="M55" s="28">
        <v>64000</v>
      </c>
      <c r="N55" s="28" t="s">
        <v>1387</v>
      </c>
      <c r="O55" s="28">
        <v>0</v>
      </c>
      <c r="P55" s="29" t="s">
        <v>1407</v>
      </c>
    </row>
    <row r="56" spans="3:16" ht="36.75" thickBot="1" x14ac:dyDescent="0.3">
      <c r="C56" s="27" t="s">
        <v>1509</v>
      </c>
      <c r="D56" s="28">
        <v>49</v>
      </c>
      <c r="E56" s="28" t="s">
        <v>1402</v>
      </c>
      <c r="F56" s="28" t="s">
        <v>873</v>
      </c>
      <c r="G56" s="28" t="s">
        <v>1404</v>
      </c>
      <c r="H56" s="28" t="s">
        <v>97</v>
      </c>
      <c r="I56" s="28" t="s">
        <v>91</v>
      </c>
      <c r="J56" s="28" t="s">
        <v>1951</v>
      </c>
      <c r="K56" s="28" t="s">
        <v>1405</v>
      </c>
      <c r="L56" s="28" t="s">
        <v>1406</v>
      </c>
      <c r="M56" s="28">
        <v>10600</v>
      </c>
      <c r="N56" s="28" t="s">
        <v>1387</v>
      </c>
      <c r="O56" s="28">
        <v>0</v>
      </c>
      <c r="P56" s="29" t="s">
        <v>1407</v>
      </c>
    </row>
    <row r="57" spans="3:16" ht="36.75" thickBot="1" x14ac:dyDescent="0.3">
      <c r="C57" s="27" t="s">
        <v>1509</v>
      </c>
      <c r="D57" s="28">
        <v>50</v>
      </c>
      <c r="E57" s="28" t="s">
        <v>1402</v>
      </c>
      <c r="F57" s="28" t="s">
        <v>214</v>
      </c>
      <c r="G57" s="28" t="s">
        <v>1404</v>
      </c>
      <c r="H57" s="28" t="s">
        <v>97</v>
      </c>
      <c r="I57" s="28" t="s">
        <v>91</v>
      </c>
      <c r="J57" s="28" t="s">
        <v>1951</v>
      </c>
      <c r="K57" s="28" t="s">
        <v>1405</v>
      </c>
      <c r="L57" s="28" t="s">
        <v>1406</v>
      </c>
      <c r="M57" s="28">
        <v>400000</v>
      </c>
      <c r="N57" s="28" t="s">
        <v>1387</v>
      </c>
      <c r="O57" s="28">
        <v>0</v>
      </c>
      <c r="P57" s="29" t="s">
        <v>1407</v>
      </c>
    </row>
    <row r="58" spans="3:16" ht="36.75" thickBot="1" x14ac:dyDescent="0.3">
      <c r="C58" s="27" t="s">
        <v>1509</v>
      </c>
      <c r="D58" s="28">
        <v>51</v>
      </c>
      <c r="E58" s="28" t="s">
        <v>1402</v>
      </c>
      <c r="F58" s="28" t="s">
        <v>892</v>
      </c>
      <c r="G58" s="28" t="s">
        <v>1404</v>
      </c>
      <c r="H58" s="28" t="s">
        <v>97</v>
      </c>
      <c r="I58" s="28" t="s">
        <v>91</v>
      </c>
      <c r="J58" s="28" t="s">
        <v>1951</v>
      </c>
      <c r="K58" s="28" t="s">
        <v>1405</v>
      </c>
      <c r="L58" s="28" t="s">
        <v>1406</v>
      </c>
      <c r="M58" s="28">
        <v>581.80999999999995</v>
      </c>
      <c r="N58" s="28" t="s">
        <v>1387</v>
      </c>
      <c r="O58" s="28">
        <v>0</v>
      </c>
      <c r="P58" s="29" t="s">
        <v>1407</v>
      </c>
    </row>
    <row r="59" spans="3:16" ht="36.75" thickBot="1" x14ac:dyDescent="0.3">
      <c r="C59" s="27" t="s">
        <v>1509</v>
      </c>
      <c r="D59" s="28">
        <v>52</v>
      </c>
      <c r="E59" s="28" t="s">
        <v>1402</v>
      </c>
      <c r="F59" s="28" t="s">
        <v>125</v>
      </c>
      <c r="G59" s="28" t="s">
        <v>1404</v>
      </c>
      <c r="H59" s="28" t="s">
        <v>97</v>
      </c>
      <c r="I59" s="28" t="s">
        <v>91</v>
      </c>
      <c r="J59" s="28" t="s">
        <v>1951</v>
      </c>
      <c r="K59" s="28" t="s">
        <v>1405</v>
      </c>
      <c r="L59" s="28" t="s">
        <v>1406</v>
      </c>
      <c r="M59" s="28">
        <v>3852.53</v>
      </c>
      <c r="N59" s="28" t="s">
        <v>1387</v>
      </c>
      <c r="O59" s="28">
        <v>0</v>
      </c>
      <c r="P59" s="29" t="s">
        <v>1407</v>
      </c>
    </row>
    <row r="60" spans="3:16" ht="36.75" thickBot="1" x14ac:dyDescent="0.3">
      <c r="C60" s="27" t="s">
        <v>1509</v>
      </c>
      <c r="D60" s="28">
        <v>53</v>
      </c>
      <c r="E60" s="28" t="s">
        <v>1402</v>
      </c>
      <c r="F60" s="28" t="s">
        <v>337</v>
      </c>
      <c r="G60" s="28" t="s">
        <v>1404</v>
      </c>
      <c r="H60" s="28" t="s">
        <v>97</v>
      </c>
      <c r="I60" s="28" t="s">
        <v>91</v>
      </c>
      <c r="J60" s="28" t="s">
        <v>1951</v>
      </c>
      <c r="K60" s="28" t="s">
        <v>1405</v>
      </c>
      <c r="L60" s="28" t="s">
        <v>1406</v>
      </c>
      <c r="M60" s="28">
        <v>10000</v>
      </c>
      <c r="N60" s="28" t="s">
        <v>1387</v>
      </c>
      <c r="O60" s="28">
        <v>0</v>
      </c>
      <c r="P60" s="29" t="s">
        <v>1407</v>
      </c>
    </row>
    <row r="61" spans="3:16" ht="36.75" thickBot="1" x14ac:dyDescent="0.3">
      <c r="C61" s="27" t="s">
        <v>1509</v>
      </c>
      <c r="D61" s="28">
        <v>54</v>
      </c>
      <c r="E61" s="28" t="s">
        <v>1402</v>
      </c>
      <c r="F61" s="28" t="s">
        <v>541</v>
      </c>
      <c r="G61" s="28" t="s">
        <v>1404</v>
      </c>
      <c r="H61" s="28" t="s">
        <v>97</v>
      </c>
      <c r="I61" s="28" t="s">
        <v>91</v>
      </c>
      <c r="J61" s="28" t="s">
        <v>1951</v>
      </c>
      <c r="K61" s="28" t="s">
        <v>1405</v>
      </c>
      <c r="L61" s="28" t="s">
        <v>1406</v>
      </c>
      <c r="M61" s="28">
        <v>93411.25</v>
      </c>
      <c r="N61" s="28" t="s">
        <v>1387</v>
      </c>
      <c r="O61" s="28">
        <v>0</v>
      </c>
      <c r="P61" s="29" t="s">
        <v>1407</v>
      </c>
    </row>
    <row r="62" spans="3:16" ht="36.75" thickBot="1" x14ac:dyDescent="0.3">
      <c r="C62" s="27" t="s">
        <v>1509</v>
      </c>
      <c r="D62" s="28">
        <v>55</v>
      </c>
      <c r="E62" s="28" t="s">
        <v>1402</v>
      </c>
      <c r="F62" s="28" t="s">
        <v>336</v>
      </c>
      <c r="G62" s="28" t="s">
        <v>1404</v>
      </c>
      <c r="H62" s="28" t="s">
        <v>97</v>
      </c>
      <c r="I62" s="28" t="s">
        <v>91</v>
      </c>
      <c r="J62" s="28" t="s">
        <v>1951</v>
      </c>
      <c r="K62" s="28" t="s">
        <v>1405</v>
      </c>
      <c r="L62" s="28" t="s">
        <v>1406</v>
      </c>
      <c r="M62" s="28">
        <v>50000</v>
      </c>
      <c r="N62" s="28" t="s">
        <v>1387</v>
      </c>
      <c r="O62" s="28">
        <v>0</v>
      </c>
      <c r="P62" s="29" t="s">
        <v>1407</v>
      </c>
    </row>
    <row r="63" spans="3:16" ht="36.75" thickBot="1" x14ac:dyDescent="0.3">
      <c r="C63" s="27" t="s">
        <v>1509</v>
      </c>
      <c r="D63" s="28">
        <v>56</v>
      </c>
      <c r="E63" s="28" t="s">
        <v>1402</v>
      </c>
      <c r="F63" s="28" t="s">
        <v>544</v>
      </c>
      <c r="G63" s="28" t="s">
        <v>1404</v>
      </c>
      <c r="H63" s="28" t="s">
        <v>97</v>
      </c>
      <c r="I63" s="28" t="s">
        <v>91</v>
      </c>
      <c r="J63" s="28" t="s">
        <v>1951</v>
      </c>
      <c r="K63" s="28" t="s">
        <v>1405</v>
      </c>
      <c r="L63" s="28" t="s">
        <v>1406</v>
      </c>
      <c r="M63" s="28">
        <v>5970.12</v>
      </c>
      <c r="N63" s="28" t="s">
        <v>1387</v>
      </c>
      <c r="O63" s="28">
        <v>0</v>
      </c>
      <c r="P63" s="29" t="s">
        <v>1407</v>
      </c>
    </row>
    <row r="64" spans="3:16" ht="36.75" thickBot="1" x14ac:dyDescent="0.3">
      <c r="C64" s="27" t="s">
        <v>1509</v>
      </c>
      <c r="D64" s="28">
        <v>57</v>
      </c>
      <c r="E64" s="28" t="s">
        <v>1402</v>
      </c>
      <c r="F64" s="28" t="s">
        <v>909</v>
      </c>
      <c r="G64" s="28" t="s">
        <v>1404</v>
      </c>
      <c r="H64" s="28" t="s">
        <v>97</v>
      </c>
      <c r="I64" s="28" t="s">
        <v>91</v>
      </c>
      <c r="J64" s="28" t="s">
        <v>1951</v>
      </c>
      <c r="K64" s="28" t="s">
        <v>1405</v>
      </c>
      <c r="L64" s="28" t="s">
        <v>1406</v>
      </c>
      <c r="M64" s="28">
        <v>50000</v>
      </c>
      <c r="N64" s="28" t="s">
        <v>1387</v>
      </c>
      <c r="O64" s="28">
        <v>0</v>
      </c>
      <c r="P64" s="29" t="s">
        <v>1407</v>
      </c>
    </row>
    <row r="65" spans="3:16" ht="36.75" thickBot="1" x14ac:dyDescent="0.3">
      <c r="C65" s="27" t="s">
        <v>1509</v>
      </c>
      <c r="D65" s="28">
        <v>58</v>
      </c>
      <c r="E65" s="28" t="s">
        <v>1402</v>
      </c>
      <c r="F65" s="28" t="s">
        <v>219</v>
      </c>
      <c r="G65" s="28" t="s">
        <v>1404</v>
      </c>
      <c r="H65" s="28" t="s">
        <v>97</v>
      </c>
      <c r="I65" s="28" t="s">
        <v>91</v>
      </c>
      <c r="J65" s="28" t="s">
        <v>1951</v>
      </c>
      <c r="K65" s="28" t="s">
        <v>1405</v>
      </c>
      <c r="L65" s="28" t="s">
        <v>1406</v>
      </c>
      <c r="M65" s="28">
        <v>289.05</v>
      </c>
      <c r="N65" s="28" t="s">
        <v>1387</v>
      </c>
      <c r="O65" s="28">
        <v>0</v>
      </c>
      <c r="P65" s="29" t="s">
        <v>1407</v>
      </c>
    </row>
    <row r="66" spans="3:16" ht="36.75" thickBot="1" x14ac:dyDescent="0.3">
      <c r="C66" s="27" t="s">
        <v>1509</v>
      </c>
      <c r="D66" s="28">
        <v>59</v>
      </c>
      <c r="E66" s="28" t="s">
        <v>1402</v>
      </c>
      <c r="F66" s="28" t="s">
        <v>1955</v>
      </c>
      <c r="G66" s="28" t="s">
        <v>1404</v>
      </c>
      <c r="H66" s="28" t="s">
        <v>97</v>
      </c>
      <c r="I66" s="28" t="s">
        <v>91</v>
      </c>
      <c r="J66" s="28" t="s">
        <v>1951</v>
      </c>
      <c r="K66" s="28" t="s">
        <v>1405</v>
      </c>
      <c r="L66" s="28" t="s">
        <v>1406</v>
      </c>
      <c r="M66" s="28">
        <v>401.13</v>
      </c>
      <c r="N66" s="28" t="s">
        <v>1387</v>
      </c>
      <c r="O66" s="28">
        <v>0</v>
      </c>
      <c r="P66" s="29" t="s">
        <v>1407</v>
      </c>
    </row>
    <row r="67" spans="3:16" ht="36.75" thickBot="1" x14ac:dyDescent="0.3">
      <c r="C67" s="27" t="s">
        <v>1509</v>
      </c>
      <c r="D67" s="28">
        <v>60</v>
      </c>
      <c r="E67" s="28" t="s">
        <v>1402</v>
      </c>
      <c r="F67" s="28" t="s">
        <v>915</v>
      </c>
      <c r="G67" s="28" t="s">
        <v>1404</v>
      </c>
      <c r="H67" s="28" t="s">
        <v>97</v>
      </c>
      <c r="I67" s="28" t="s">
        <v>91</v>
      </c>
      <c r="J67" s="28" t="s">
        <v>1951</v>
      </c>
      <c r="K67" s="28" t="s">
        <v>1405</v>
      </c>
      <c r="L67" s="28" t="s">
        <v>1406</v>
      </c>
      <c r="M67" s="28">
        <v>70940.850000000006</v>
      </c>
      <c r="N67" s="28" t="s">
        <v>1387</v>
      </c>
      <c r="O67" s="28">
        <v>0</v>
      </c>
      <c r="P67" s="29" t="s">
        <v>1407</v>
      </c>
    </row>
    <row r="68" spans="3:16" ht="36.75" thickBot="1" x14ac:dyDescent="0.3">
      <c r="C68" s="27" t="s">
        <v>1509</v>
      </c>
      <c r="D68" s="28">
        <v>61</v>
      </c>
      <c r="E68" s="28" t="s">
        <v>1402</v>
      </c>
      <c r="F68" s="28" t="s">
        <v>481</v>
      </c>
      <c r="G68" s="28" t="s">
        <v>1404</v>
      </c>
      <c r="H68" s="28" t="s">
        <v>97</v>
      </c>
      <c r="I68" s="28" t="s">
        <v>91</v>
      </c>
      <c r="J68" s="28" t="s">
        <v>1951</v>
      </c>
      <c r="K68" s="28" t="s">
        <v>1405</v>
      </c>
      <c r="L68" s="28" t="s">
        <v>1406</v>
      </c>
      <c r="M68" s="28">
        <v>17544.07</v>
      </c>
      <c r="N68" s="28" t="s">
        <v>1387</v>
      </c>
      <c r="O68" s="28">
        <v>0</v>
      </c>
      <c r="P68" s="29" t="s">
        <v>1407</v>
      </c>
    </row>
    <row r="69" spans="3:16" ht="36.75" thickBot="1" x14ac:dyDescent="0.3">
      <c r="C69" s="27" t="s">
        <v>1509</v>
      </c>
      <c r="D69" s="28">
        <v>62</v>
      </c>
      <c r="E69" s="28" t="s">
        <v>1402</v>
      </c>
      <c r="F69" s="28" t="s">
        <v>919</v>
      </c>
      <c r="G69" s="28" t="s">
        <v>1404</v>
      </c>
      <c r="H69" s="28" t="s">
        <v>97</v>
      </c>
      <c r="I69" s="28" t="s">
        <v>91</v>
      </c>
      <c r="J69" s="28" t="s">
        <v>1951</v>
      </c>
      <c r="K69" s="28" t="s">
        <v>1405</v>
      </c>
      <c r="L69" s="28" t="s">
        <v>1406</v>
      </c>
      <c r="M69" s="28">
        <v>831977.2</v>
      </c>
      <c r="N69" s="28" t="s">
        <v>1387</v>
      </c>
      <c r="O69" s="28">
        <v>0</v>
      </c>
      <c r="P69" s="29" t="s">
        <v>1407</v>
      </c>
    </row>
    <row r="70" spans="3:16" ht="36.75" thickBot="1" x14ac:dyDescent="0.3">
      <c r="C70" s="27" t="s">
        <v>1509</v>
      </c>
      <c r="D70" s="28">
        <v>63</v>
      </c>
      <c r="E70" s="28" t="s">
        <v>1402</v>
      </c>
      <c r="F70" s="28" t="s">
        <v>344</v>
      </c>
      <c r="G70" s="28" t="s">
        <v>1404</v>
      </c>
      <c r="H70" s="28" t="s">
        <v>97</v>
      </c>
      <c r="I70" s="28" t="s">
        <v>91</v>
      </c>
      <c r="J70" s="28" t="s">
        <v>1951</v>
      </c>
      <c r="K70" s="28" t="s">
        <v>1405</v>
      </c>
      <c r="L70" s="28" t="s">
        <v>1406</v>
      </c>
      <c r="M70" s="28">
        <v>548087.1</v>
      </c>
      <c r="N70" s="28" t="s">
        <v>1387</v>
      </c>
      <c r="O70" s="28">
        <v>0</v>
      </c>
      <c r="P70" s="29" t="s">
        <v>1407</v>
      </c>
    </row>
    <row r="71" spans="3:16" ht="36.75" thickBot="1" x14ac:dyDescent="0.3">
      <c r="C71" s="27" t="s">
        <v>1509</v>
      </c>
      <c r="D71" s="28">
        <v>64</v>
      </c>
      <c r="E71" s="28" t="s">
        <v>1402</v>
      </c>
      <c r="F71" s="28" t="s">
        <v>924</v>
      </c>
      <c r="G71" s="28" t="s">
        <v>1404</v>
      </c>
      <c r="H71" s="28" t="s">
        <v>97</v>
      </c>
      <c r="I71" s="28" t="s">
        <v>91</v>
      </c>
      <c r="J71" s="28" t="s">
        <v>1951</v>
      </c>
      <c r="K71" s="28" t="s">
        <v>1405</v>
      </c>
      <c r="L71" s="28" t="s">
        <v>1406</v>
      </c>
      <c r="M71" s="28">
        <v>7774.54</v>
      </c>
      <c r="N71" s="28" t="s">
        <v>1387</v>
      </c>
      <c r="O71" s="28">
        <v>0</v>
      </c>
      <c r="P71" s="29" t="s">
        <v>1407</v>
      </c>
    </row>
    <row r="72" spans="3:16" ht="36.75" thickBot="1" x14ac:dyDescent="0.3">
      <c r="C72" s="27" t="s">
        <v>1509</v>
      </c>
      <c r="D72" s="28">
        <v>65</v>
      </c>
      <c r="E72" s="28" t="s">
        <v>1402</v>
      </c>
      <c r="F72" s="28" t="s">
        <v>911</v>
      </c>
      <c r="G72" s="28" t="s">
        <v>1404</v>
      </c>
      <c r="H72" s="28" t="s">
        <v>97</v>
      </c>
      <c r="I72" s="28" t="s">
        <v>91</v>
      </c>
      <c r="J72" s="28" t="s">
        <v>1951</v>
      </c>
      <c r="K72" s="28" t="s">
        <v>1405</v>
      </c>
      <c r="L72" s="28" t="s">
        <v>1406</v>
      </c>
      <c r="M72" s="28">
        <v>2407128.2999999998</v>
      </c>
      <c r="N72" s="28" t="s">
        <v>1387</v>
      </c>
      <c r="O72" s="28">
        <v>0</v>
      </c>
      <c r="P72" s="29" t="s">
        <v>1407</v>
      </c>
    </row>
    <row r="73" spans="3:16" ht="36.75" thickBot="1" x14ac:dyDescent="0.3">
      <c r="C73" s="27" t="s">
        <v>1509</v>
      </c>
      <c r="D73" s="28">
        <v>66</v>
      </c>
      <c r="E73" s="28" t="s">
        <v>1402</v>
      </c>
      <c r="F73" s="28" t="s">
        <v>928</v>
      </c>
      <c r="G73" s="28" t="s">
        <v>1404</v>
      </c>
      <c r="H73" s="28" t="s">
        <v>97</v>
      </c>
      <c r="I73" s="28" t="s">
        <v>91</v>
      </c>
      <c r="J73" s="28" t="s">
        <v>1951</v>
      </c>
      <c r="K73" s="28" t="s">
        <v>1405</v>
      </c>
      <c r="L73" s="28" t="s">
        <v>1406</v>
      </c>
      <c r="M73" s="28">
        <v>94010.87</v>
      </c>
      <c r="N73" s="28" t="s">
        <v>1387</v>
      </c>
      <c r="O73" s="28">
        <v>0</v>
      </c>
      <c r="P73" s="29" t="s">
        <v>1407</v>
      </c>
    </row>
    <row r="74" spans="3:16" ht="36.75" thickBot="1" x14ac:dyDescent="0.3">
      <c r="C74" s="27" t="s">
        <v>1509</v>
      </c>
      <c r="D74" s="28">
        <v>67</v>
      </c>
      <c r="E74" s="28" t="s">
        <v>1402</v>
      </c>
      <c r="F74" s="28" t="s">
        <v>161</v>
      </c>
      <c r="G74" s="28" t="s">
        <v>1404</v>
      </c>
      <c r="H74" s="28" t="s">
        <v>97</v>
      </c>
      <c r="I74" s="28" t="s">
        <v>91</v>
      </c>
      <c r="J74" s="28" t="s">
        <v>1951</v>
      </c>
      <c r="K74" s="28" t="s">
        <v>1405</v>
      </c>
      <c r="L74" s="28" t="s">
        <v>1406</v>
      </c>
      <c r="M74" s="28">
        <v>177407.97</v>
      </c>
      <c r="N74" s="28" t="s">
        <v>1387</v>
      </c>
      <c r="O74" s="28">
        <v>0</v>
      </c>
      <c r="P74" s="29" t="s">
        <v>1407</v>
      </c>
    </row>
    <row r="75" spans="3:16" ht="36.75" thickBot="1" x14ac:dyDescent="0.3">
      <c r="C75" s="27" t="s">
        <v>1509</v>
      </c>
      <c r="D75" s="28">
        <v>68</v>
      </c>
      <c r="E75" s="28" t="s">
        <v>1402</v>
      </c>
      <c r="F75" s="28" t="s">
        <v>932</v>
      </c>
      <c r="G75" s="28" t="s">
        <v>1404</v>
      </c>
      <c r="H75" s="28" t="s">
        <v>97</v>
      </c>
      <c r="I75" s="28" t="s">
        <v>91</v>
      </c>
      <c r="J75" s="28" t="s">
        <v>1951</v>
      </c>
      <c r="K75" s="28" t="s">
        <v>1405</v>
      </c>
      <c r="L75" s="28" t="s">
        <v>1406</v>
      </c>
      <c r="M75" s="28">
        <v>20626.84</v>
      </c>
      <c r="N75" s="28" t="s">
        <v>1387</v>
      </c>
      <c r="O75" s="28">
        <v>0</v>
      </c>
      <c r="P75" s="29" t="s">
        <v>1407</v>
      </c>
    </row>
    <row r="76" spans="3:16" ht="36.75" thickBot="1" x14ac:dyDescent="0.3">
      <c r="C76" s="27" t="s">
        <v>1509</v>
      </c>
      <c r="D76" s="28">
        <v>69</v>
      </c>
      <c r="E76" s="28" t="s">
        <v>1402</v>
      </c>
      <c r="F76" s="28" t="s">
        <v>542</v>
      </c>
      <c r="G76" s="28" t="s">
        <v>1404</v>
      </c>
      <c r="H76" s="28" t="s">
        <v>97</v>
      </c>
      <c r="I76" s="28" t="s">
        <v>91</v>
      </c>
      <c r="J76" s="28" t="s">
        <v>1951</v>
      </c>
      <c r="K76" s="28" t="s">
        <v>1405</v>
      </c>
      <c r="L76" s="28" t="s">
        <v>1406</v>
      </c>
      <c r="M76" s="28">
        <v>403793</v>
      </c>
      <c r="N76" s="28" t="s">
        <v>1387</v>
      </c>
      <c r="O76" s="28">
        <v>0</v>
      </c>
      <c r="P76" s="29" t="s">
        <v>1407</v>
      </c>
    </row>
    <row r="77" spans="3:16" ht="36.75" thickBot="1" x14ac:dyDescent="0.3">
      <c r="C77" s="27" t="s">
        <v>1509</v>
      </c>
      <c r="D77" s="28">
        <v>70</v>
      </c>
      <c r="E77" s="28" t="s">
        <v>1402</v>
      </c>
      <c r="F77" s="28" t="s">
        <v>936</v>
      </c>
      <c r="G77" s="28" t="s">
        <v>1404</v>
      </c>
      <c r="H77" s="28" t="s">
        <v>97</v>
      </c>
      <c r="I77" s="28" t="s">
        <v>91</v>
      </c>
      <c r="J77" s="28" t="s">
        <v>1951</v>
      </c>
      <c r="K77" s="28" t="s">
        <v>1405</v>
      </c>
      <c r="L77" s="28" t="s">
        <v>1406</v>
      </c>
      <c r="M77" s="28">
        <v>984196.48</v>
      </c>
      <c r="N77" s="28" t="s">
        <v>1387</v>
      </c>
      <c r="O77" s="28">
        <v>0</v>
      </c>
      <c r="P77" s="29" t="s">
        <v>1407</v>
      </c>
    </row>
    <row r="78" spans="3:16" ht="36.75" thickBot="1" x14ac:dyDescent="0.3">
      <c r="C78" s="27" t="s">
        <v>1509</v>
      </c>
      <c r="D78" s="28">
        <v>71</v>
      </c>
      <c r="E78" s="28" t="s">
        <v>1402</v>
      </c>
      <c r="F78" s="28" t="s">
        <v>352</v>
      </c>
      <c r="G78" s="28" t="s">
        <v>1404</v>
      </c>
      <c r="H78" s="28" t="s">
        <v>97</v>
      </c>
      <c r="I78" s="28" t="s">
        <v>91</v>
      </c>
      <c r="J78" s="28" t="s">
        <v>1951</v>
      </c>
      <c r="K78" s="28" t="s">
        <v>1405</v>
      </c>
      <c r="L78" s="28" t="s">
        <v>1406</v>
      </c>
      <c r="M78" s="28">
        <v>59966.67</v>
      </c>
      <c r="N78" s="28" t="s">
        <v>1387</v>
      </c>
      <c r="O78" s="28">
        <v>0</v>
      </c>
      <c r="P78" s="29" t="s">
        <v>1407</v>
      </c>
    </row>
    <row r="79" spans="3:16" ht="36.75" thickBot="1" x14ac:dyDescent="0.3">
      <c r="C79" s="27" t="s">
        <v>1509</v>
      </c>
      <c r="D79" s="28">
        <v>72</v>
      </c>
      <c r="E79" s="28" t="s">
        <v>1402</v>
      </c>
      <c r="F79" s="28" t="s">
        <v>940</v>
      </c>
      <c r="G79" s="28" t="s">
        <v>1404</v>
      </c>
      <c r="H79" s="28" t="s">
        <v>97</v>
      </c>
      <c r="I79" s="28" t="s">
        <v>91</v>
      </c>
      <c r="J79" s="28" t="s">
        <v>1951</v>
      </c>
      <c r="K79" s="28" t="s">
        <v>1405</v>
      </c>
      <c r="L79" s="28" t="s">
        <v>1406</v>
      </c>
      <c r="M79" s="28">
        <v>262577.24</v>
      </c>
      <c r="N79" s="28" t="s">
        <v>1387</v>
      </c>
      <c r="O79" s="28">
        <v>0</v>
      </c>
      <c r="P79" s="29" t="s">
        <v>1407</v>
      </c>
    </row>
    <row r="80" spans="3:16" ht="36.75" thickBot="1" x14ac:dyDescent="0.3">
      <c r="C80" s="27" t="s">
        <v>1509</v>
      </c>
      <c r="D80" s="28">
        <v>73</v>
      </c>
      <c r="E80" s="28" t="s">
        <v>1402</v>
      </c>
      <c r="F80" s="28" t="s">
        <v>929</v>
      </c>
      <c r="G80" s="28" t="s">
        <v>1404</v>
      </c>
      <c r="H80" s="28" t="s">
        <v>97</v>
      </c>
      <c r="I80" s="28" t="s">
        <v>91</v>
      </c>
      <c r="J80" s="28" t="s">
        <v>1951</v>
      </c>
      <c r="K80" s="28" t="s">
        <v>1405</v>
      </c>
      <c r="L80" s="28" t="s">
        <v>1406</v>
      </c>
      <c r="M80" s="28">
        <v>36352.519999999997</v>
      </c>
      <c r="N80" s="28" t="s">
        <v>1387</v>
      </c>
      <c r="O80" s="28">
        <v>0</v>
      </c>
      <c r="P80" s="29" t="s">
        <v>1407</v>
      </c>
    </row>
    <row r="81" spans="3:16" ht="36.75" thickBot="1" x14ac:dyDescent="0.3">
      <c r="C81" s="27" t="s">
        <v>1509</v>
      </c>
      <c r="D81" s="28">
        <v>74</v>
      </c>
      <c r="E81" s="28" t="s">
        <v>1402</v>
      </c>
      <c r="F81" s="28" t="s">
        <v>943</v>
      </c>
      <c r="G81" s="28" t="s">
        <v>1404</v>
      </c>
      <c r="H81" s="28" t="s">
        <v>97</v>
      </c>
      <c r="I81" s="28" t="s">
        <v>91</v>
      </c>
      <c r="J81" s="28" t="s">
        <v>1951</v>
      </c>
      <c r="K81" s="28" t="s">
        <v>1405</v>
      </c>
      <c r="L81" s="28" t="s">
        <v>1406</v>
      </c>
      <c r="M81" s="28">
        <v>200</v>
      </c>
      <c r="N81" s="28" t="s">
        <v>1387</v>
      </c>
      <c r="O81" s="28">
        <v>0</v>
      </c>
      <c r="P81" s="29" t="s">
        <v>1407</v>
      </c>
    </row>
    <row r="82" spans="3:16" ht="36.75" thickBot="1" x14ac:dyDescent="0.3">
      <c r="C82" s="27" t="s">
        <v>1509</v>
      </c>
      <c r="D82" s="28">
        <v>75</v>
      </c>
      <c r="E82" s="28" t="s">
        <v>1402</v>
      </c>
      <c r="F82" s="28" t="s">
        <v>227</v>
      </c>
      <c r="G82" s="28" t="s">
        <v>1404</v>
      </c>
      <c r="H82" s="28" t="s">
        <v>97</v>
      </c>
      <c r="I82" s="28" t="s">
        <v>91</v>
      </c>
      <c r="J82" s="28" t="s">
        <v>1951</v>
      </c>
      <c r="K82" s="28" t="s">
        <v>1405</v>
      </c>
      <c r="L82" s="28" t="s">
        <v>1406</v>
      </c>
      <c r="M82" s="28">
        <v>1750</v>
      </c>
      <c r="N82" s="28" t="s">
        <v>1387</v>
      </c>
      <c r="O82" s="28">
        <v>0</v>
      </c>
      <c r="P82" s="29" t="s">
        <v>1407</v>
      </c>
    </row>
    <row r="83" spans="3:16" ht="36.75" thickBot="1" x14ac:dyDescent="0.3">
      <c r="C83" s="27" t="s">
        <v>1509</v>
      </c>
      <c r="D83" s="28">
        <v>76</v>
      </c>
      <c r="E83" s="28" t="s">
        <v>1402</v>
      </c>
      <c r="F83" s="28" t="s">
        <v>946</v>
      </c>
      <c r="G83" s="28" t="s">
        <v>1404</v>
      </c>
      <c r="H83" s="28" t="s">
        <v>97</v>
      </c>
      <c r="I83" s="28" t="s">
        <v>91</v>
      </c>
      <c r="J83" s="28" t="s">
        <v>1951</v>
      </c>
      <c r="K83" s="28" t="s">
        <v>1405</v>
      </c>
      <c r="L83" s="28" t="s">
        <v>1406</v>
      </c>
      <c r="M83" s="28">
        <v>21935.66</v>
      </c>
      <c r="N83" s="28" t="s">
        <v>1387</v>
      </c>
      <c r="O83" s="28">
        <v>0</v>
      </c>
      <c r="P83" s="29" t="s">
        <v>1407</v>
      </c>
    </row>
    <row r="84" spans="3:16" ht="36.75" thickBot="1" x14ac:dyDescent="0.3">
      <c r="C84" s="27" t="s">
        <v>1509</v>
      </c>
      <c r="D84" s="28">
        <v>77</v>
      </c>
      <c r="E84" s="28" t="s">
        <v>1402</v>
      </c>
      <c r="F84" s="28" t="s">
        <v>139</v>
      </c>
      <c r="G84" s="28" t="s">
        <v>1404</v>
      </c>
      <c r="H84" s="28" t="s">
        <v>97</v>
      </c>
      <c r="I84" s="28" t="s">
        <v>91</v>
      </c>
      <c r="J84" s="28" t="s">
        <v>1951</v>
      </c>
      <c r="K84" s="28" t="s">
        <v>1405</v>
      </c>
      <c r="L84" s="28" t="s">
        <v>1406</v>
      </c>
      <c r="M84" s="28">
        <v>131735.04000000001</v>
      </c>
      <c r="N84" s="28" t="s">
        <v>1387</v>
      </c>
      <c r="O84" s="28">
        <v>0</v>
      </c>
      <c r="P84" s="29" t="s">
        <v>1407</v>
      </c>
    </row>
    <row r="85" spans="3:16" ht="36.75" thickBot="1" x14ac:dyDescent="0.3">
      <c r="C85" s="27" t="s">
        <v>1509</v>
      </c>
      <c r="D85" s="28">
        <v>78</v>
      </c>
      <c r="E85" s="28" t="s">
        <v>1402</v>
      </c>
      <c r="F85" s="28" t="s">
        <v>230</v>
      </c>
      <c r="G85" s="28" t="s">
        <v>1404</v>
      </c>
      <c r="H85" s="28" t="s">
        <v>97</v>
      </c>
      <c r="I85" s="28" t="s">
        <v>91</v>
      </c>
      <c r="J85" s="28" t="s">
        <v>1951</v>
      </c>
      <c r="K85" s="28" t="s">
        <v>1405</v>
      </c>
      <c r="L85" s="28" t="s">
        <v>1406</v>
      </c>
      <c r="M85" s="28">
        <v>51065.91</v>
      </c>
      <c r="N85" s="28" t="s">
        <v>1387</v>
      </c>
      <c r="O85" s="28">
        <v>0</v>
      </c>
      <c r="P85" s="29" t="s">
        <v>1407</v>
      </c>
    </row>
    <row r="86" spans="3:16" ht="36.75" thickBot="1" x14ac:dyDescent="0.3">
      <c r="C86" s="27" t="s">
        <v>1509</v>
      </c>
      <c r="D86" s="28">
        <v>79</v>
      </c>
      <c r="E86" s="28" t="s">
        <v>1402</v>
      </c>
      <c r="F86" s="28" t="s">
        <v>899</v>
      </c>
      <c r="G86" s="28" t="s">
        <v>1404</v>
      </c>
      <c r="H86" s="28" t="s">
        <v>97</v>
      </c>
      <c r="I86" s="28" t="s">
        <v>91</v>
      </c>
      <c r="J86" s="28" t="s">
        <v>1951</v>
      </c>
      <c r="K86" s="28" t="s">
        <v>1405</v>
      </c>
      <c r="L86" s="28" t="s">
        <v>1406</v>
      </c>
      <c r="M86" s="28">
        <v>51610.1</v>
      </c>
      <c r="N86" s="28" t="s">
        <v>1387</v>
      </c>
      <c r="O86" s="28">
        <v>0</v>
      </c>
      <c r="P86" s="29" t="s">
        <v>1407</v>
      </c>
    </row>
    <row r="87" spans="3:16" ht="36.75" thickBot="1" x14ac:dyDescent="0.3">
      <c r="C87" s="27" t="s">
        <v>1509</v>
      </c>
      <c r="D87" s="28">
        <v>80</v>
      </c>
      <c r="E87" s="28" t="s">
        <v>1402</v>
      </c>
      <c r="F87" s="28" t="s">
        <v>363</v>
      </c>
      <c r="G87" s="28" t="s">
        <v>1404</v>
      </c>
      <c r="H87" s="28" t="s">
        <v>97</v>
      </c>
      <c r="I87" s="28" t="s">
        <v>91</v>
      </c>
      <c r="J87" s="28" t="s">
        <v>1951</v>
      </c>
      <c r="K87" s="28" t="s">
        <v>1405</v>
      </c>
      <c r="L87" s="28" t="s">
        <v>1406</v>
      </c>
      <c r="M87" s="28">
        <v>66663.97</v>
      </c>
      <c r="N87" s="28" t="s">
        <v>1387</v>
      </c>
      <c r="O87" s="28">
        <v>0</v>
      </c>
      <c r="P87" s="29" t="s">
        <v>1407</v>
      </c>
    </row>
    <row r="88" spans="3:16" ht="36.75" thickBot="1" x14ac:dyDescent="0.3">
      <c r="C88" s="27" t="s">
        <v>1509</v>
      </c>
      <c r="D88" s="28">
        <v>81</v>
      </c>
      <c r="E88" s="28" t="s">
        <v>1402</v>
      </c>
      <c r="F88" s="28" t="s">
        <v>231</v>
      </c>
      <c r="G88" s="28" t="s">
        <v>1404</v>
      </c>
      <c r="H88" s="28" t="s">
        <v>97</v>
      </c>
      <c r="I88" s="28" t="s">
        <v>91</v>
      </c>
      <c r="J88" s="28" t="s">
        <v>1951</v>
      </c>
      <c r="K88" s="28" t="s">
        <v>1405</v>
      </c>
      <c r="L88" s="28" t="s">
        <v>1406</v>
      </c>
      <c r="M88" s="28">
        <v>7966.67</v>
      </c>
      <c r="N88" s="28" t="s">
        <v>1387</v>
      </c>
      <c r="O88" s="28">
        <v>0</v>
      </c>
      <c r="P88" s="29" t="s">
        <v>1407</v>
      </c>
    </row>
    <row r="89" spans="3:16" ht="36.75" thickBot="1" x14ac:dyDescent="0.3">
      <c r="C89" s="27" t="s">
        <v>1509</v>
      </c>
      <c r="D89" s="28">
        <v>82</v>
      </c>
      <c r="E89" s="28" t="s">
        <v>1402</v>
      </c>
      <c r="F89" s="28" t="s">
        <v>1289</v>
      </c>
      <c r="G89" s="28" t="s">
        <v>1404</v>
      </c>
      <c r="H89" s="28" t="s">
        <v>97</v>
      </c>
      <c r="I89" s="28" t="s">
        <v>91</v>
      </c>
      <c r="J89" s="28" t="s">
        <v>1951</v>
      </c>
      <c r="K89" s="28" t="s">
        <v>1405</v>
      </c>
      <c r="L89" s="28" t="s">
        <v>1406</v>
      </c>
      <c r="M89" s="28">
        <v>1066.44</v>
      </c>
      <c r="N89" s="28" t="s">
        <v>1387</v>
      </c>
      <c r="O89" s="28">
        <v>0</v>
      </c>
      <c r="P89" s="29" t="s">
        <v>1407</v>
      </c>
    </row>
    <row r="90" spans="3:16" ht="36.75" thickBot="1" x14ac:dyDescent="0.3">
      <c r="C90" s="27" t="s">
        <v>1509</v>
      </c>
      <c r="D90" s="28">
        <v>83</v>
      </c>
      <c r="E90" s="28" t="s">
        <v>1402</v>
      </c>
      <c r="F90" s="28" t="s">
        <v>1346</v>
      </c>
      <c r="G90" s="28" t="s">
        <v>1404</v>
      </c>
      <c r="H90" s="28" t="s">
        <v>97</v>
      </c>
      <c r="I90" s="28" t="s">
        <v>91</v>
      </c>
      <c r="J90" s="28" t="s">
        <v>1951</v>
      </c>
      <c r="K90" s="28" t="s">
        <v>1405</v>
      </c>
      <c r="L90" s="28" t="s">
        <v>1406</v>
      </c>
      <c r="M90" s="28">
        <v>122513.44</v>
      </c>
      <c r="N90" s="28" t="s">
        <v>1387</v>
      </c>
      <c r="O90" s="28">
        <v>0</v>
      </c>
      <c r="P90" s="29" t="s">
        <v>1407</v>
      </c>
    </row>
    <row r="91" spans="3:16" ht="36.75" thickBot="1" x14ac:dyDescent="0.3">
      <c r="C91" s="27" t="s">
        <v>1509</v>
      </c>
      <c r="D91" s="28">
        <v>84</v>
      </c>
      <c r="E91" s="28" t="s">
        <v>1402</v>
      </c>
      <c r="F91" s="28" t="s">
        <v>322</v>
      </c>
      <c r="G91" s="28" t="s">
        <v>1404</v>
      </c>
      <c r="H91" s="28" t="s">
        <v>97</v>
      </c>
      <c r="I91" s="28" t="s">
        <v>91</v>
      </c>
      <c r="J91" s="28" t="s">
        <v>1951</v>
      </c>
      <c r="K91" s="28" t="s">
        <v>1405</v>
      </c>
      <c r="L91" s="28" t="s">
        <v>1406</v>
      </c>
      <c r="M91" s="28">
        <v>5714.29</v>
      </c>
      <c r="N91" s="28" t="s">
        <v>1387</v>
      </c>
      <c r="O91" s="28">
        <v>0</v>
      </c>
      <c r="P91" s="29" t="s">
        <v>1407</v>
      </c>
    </row>
    <row r="92" spans="3:16" ht="36.75" thickBot="1" x14ac:dyDescent="0.3">
      <c r="C92" s="27" t="s">
        <v>1509</v>
      </c>
      <c r="D92" s="28">
        <v>85</v>
      </c>
      <c r="E92" s="28" t="s">
        <v>1402</v>
      </c>
      <c r="F92" s="28" t="s">
        <v>316</v>
      </c>
      <c r="G92" s="28" t="s">
        <v>1404</v>
      </c>
      <c r="H92" s="28" t="s">
        <v>97</v>
      </c>
      <c r="I92" s="28" t="s">
        <v>91</v>
      </c>
      <c r="J92" s="28" t="s">
        <v>1951</v>
      </c>
      <c r="K92" s="28" t="s">
        <v>1405</v>
      </c>
      <c r="L92" s="28" t="s">
        <v>1406</v>
      </c>
      <c r="M92" s="28">
        <v>1077186.02</v>
      </c>
      <c r="N92" s="28" t="s">
        <v>1387</v>
      </c>
      <c r="O92" s="28">
        <v>0</v>
      </c>
      <c r="P92" s="29" t="s">
        <v>1407</v>
      </c>
    </row>
    <row r="93" spans="3:16" ht="36.75" thickBot="1" x14ac:dyDescent="0.3">
      <c r="C93" s="27" t="s">
        <v>1509</v>
      </c>
      <c r="D93" s="28">
        <v>86</v>
      </c>
      <c r="E93" s="28" t="s">
        <v>1402</v>
      </c>
      <c r="F93" s="28" t="s">
        <v>195</v>
      </c>
      <c r="G93" s="28" t="s">
        <v>1404</v>
      </c>
      <c r="H93" s="28" t="s">
        <v>97</v>
      </c>
      <c r="I93" s="28" t="s">
        <v>91</v>
      </c>
      <c r="J93" s="28" t="s">
        <v>1951</v>
      </c>
      <c r="K93" s="28" t="s">
        <v>1405</v>
      </c>
      <c r="L93" s="28" t="s">
        <v>1406</v>
      </c>
      <c r="M93" s="28">
        <v>11097.88</v>
      </c>
      <c r="N93" s="28" t="s">
        <v>1387</v>
      </c>
      <c r="O93" s="28">
        <v>0</v>
      </c>
      <c r="P93" s="29" t="s">
        <v>1407</v>
      </c>
    </row>
    <row r="94" spans="3:16" ht="36.75" thickBot="1" x14ac:dyDescent="0.3">
      <c r="C94" s="27" t="s">
        <v>1509</v>
      </c>
      <c r="D94" s="28">
        <v>87</v>
      </c>
      <c r="E94" s="28" t="s">
        <v>1402</v>
      </c>
      <c r="F94" s="28" t="s">
        <v>859</v>
      </c>
      <c r="G94" s="28" t="s">
        <v>1404</v>
      </c>
      <c r="H94" s="28" t="s">
        <v>97</v>
      </c>
      <c r="I94" s="28" t="s">
        <v>91</v>
      </c>
      <c r="J94" s="28" t="s">
        <v>1951</v>
      </c>
      <c r="K94" s="28" t="s">
        <v>1405</v>
      </c>
      <c r="L94" s="28" t="s">
        <v>1406</v>
      </c>
      <c r="M94" s="28">
        <v>25000</v>
      </c>
      <c r="N94" s="28" t="s">
        <v>1387</v>
      </c>
      <c r="O94" s="28">
        <v>0</v>
      </c>
      <c r="P94" s="29" t="s">
        <v>1407</v>
      </c>
    </row>
    <row r="95" spans="3:16" ht="36.75" thickBot="1" x14ac:dyDescent="0.3">
      <c r="C95" s="27" t="s">
        <v>1509</v>
      </c>
      <c r="D95" s="28">
        <v>88</v>
      </c>
      <c r="E95" s="28" t="s">
        <v>1402</v>
      </c>
      <c r="F95" s="28" t="s">
        <v>209</v>
      </c>
      <c r="G95" s="28" t="s">
        <v>1404</v>
      </c>
      <c r="H95" s="28" t="s">
        <v>97</v>
      </c>
      <c r="I95" s="28" t="s">
        <v>91</v>
      </c>
      <c r="J95" s="28" t="s">
        <v>1951</v>
      </c>
      <c r="K95" s="28" t="s">
        <v>1405</v>
      </c>
      <c r="L95" s="28" t="s">
        <v>1406</v>
      </c>
      <c r="M95" s="28">
        <v>19686</v>
      </c>
      <c r="N95" s="28" t="s">
        <v>1387</v>
      </c>
      <c r="O95" s="28">
        <v>0</v>
      </c>
      <c r="P95" s="29" t="s">
        <v>1407</v>
      </c>
    </row>
    <row r="96" spans="3:16" ht="36.75" thickBot="1" x14ac:dyDescent="0.3">
      <c r="C96" s="27" t="s">
        <v>1509</v>
      </c>
      <c r="D96" s="28">
        <v>89</v>
      </c>
      <c r="E96" s="28" t="s">
        <v>1402</v>
      </c>
      <c r="F96" s="28" t="s">
        <v>1325</v>
      </c>
      <c r="G96" s="28" t="s">
        <v>1404</v>
      </c>
      <c r="H96" s="28" t="s">
        <v>97</v>
      </c>
      <c r="I96" s="28" t="s">
        <v>91</v>
      </c>
      <c r="J96" s="28" t="s">
        <v>1951</v>
      </c>
      <c r="K96" s="28" t="s">
        <v>1405</v>
      </c>
      <c r="L96" s="28" t="s">
        <v>1406</v>
      </c>
      <c r="M96" s="28">
        <v>900000</v>
      </c>
      <c r="N96" s="28" t="s">
        <v>1387</v>
      </c>
      <c r="O96" s="28">
        <v>0</v>
      </c>
      <c r="P96" s="29" t="s">
        <v>1407</v>
      </c>
    </row>
    <row r="97" spans="3:16" ht="36.75" thickBot="1" x14ac:dyDescent="0.3">
      <c r="C97" s="27" t="s">
        <v>1509</v>
      </c>
      <c r="D97" s="28">
        <v>90</v>
      </c>
      <c r="E97" s="28" t="s">
        <v>1402</v>
      </c>
      <c r="F97" s="28" t="s">
        <v>210</v>
      </c>
      <c r="G97" s="28" t="s">
        <v>1404</v>
      </c>
      <c r="H97" s="28" t="s">
        <v>97</v>
      </c>
      <c r="I97" s="28" t="s">
        <v>91</v>
      </c>
      <c r="J97" s="28" t="s">
        <v>1951</v>
      </c>
      <c r="K97" s="28" t="s">
        <v>1405</v>
      </c>
      <c r="L97" s="28" t="s">
        <v>1406</v>
      </c>
      <c r="M97" s="28">
        <v>1800000</v>
      </c>
      <c r="N97" s="28" t="s">
        <v>1387</v>
      </c>
      <c r="O97" s="28">
        <v>0</v>
      </c>
      <c r="P97" s="29" t="s">
        <v>1407</v>
      </c>
    </row>
    <row r="98" spans="3:16" ht="36.75" thickBot="1" x14ac:dyDescent="0.3">
      <c r="C98" s="27" t="s">
        <v>1509</v>
      </c>
      <c r="D98" s="28">
        <v>91</v>
      </c>
      <c r="E98" s="28" t="s">
        <v>1402</v>
      </c>
      <c r="F98" s="28" t="s">
        <v>522</v>
      </c>
      <c r="G98" s="28" t="s">
        <v>1404</v>
      </c>
      <c r="H98" s="28" t="s">
        <v>97</v>
      </c>
      <c r="I98" s="28" t="s">
        <v>91</v>
      </c>
      <c r="J98" s="28" t="s">
        <v>1951</v>
      </c>
      <c r="K98" s="28" t="s">
        <v>1405</v>
      </c>
      <c r="L98" s="28" t="s">
        <v>1406</v>
      </c>
      <c r="M98" s="28">
        <v>4052.81</v>
      </c>
      <c r="N98" s="28" t="s">
        <v>1387</v>
      </c>
      <c r="O98" s="28">
        <v>0</v>
      </c>
      <c r="P98" s="29" t="s">
        <v>1407</v>
      </c>
    </row>
    <row r="99" spans="3:16" ht="36.75" thickBot="1" x14ac:dyDescent="0.3">
      <c r="C99" s="27" t="s">
        <v>1509</v>
      </c>
      <c r="D99" s="28">
        <v>92</v>
      </c>
      <c r="E99" s="28" t="s">
        <v>1402</v>
      </c>
      <c r="F99" s="28" t="s">
        <v>1257</v>
      </c>
      <c r="G99" s="28" t="s">
        <v>1404</v>
      </c>
      <c r="H99" s="28" t="s">
        <v>97</v>
      </c>
      <c r="I99" s="28" t="s">
        <v>91</v>
      </c>
      <c r="J99" s="28" t="s">
        <v>1951</v>
      </c>
      <c r="K99" s="28" t="s">
        <v>1405</v>
      </c>
      <c r="L99" s="28" t="s">
        <v>1406</v>
      </c>
      <c r="M99" s="28">
        <v>30000</v>
      </c>
      <c r="N99" s="28" t="s">
        <v>1387</v>
      </c>
      <c r="O99" s="28">
        <v>0</v>
      </c>
      <c r="P99" s="29" t="s">
        <v>1407</v>
      </c>
    </row>
    <row r="100" spans="3:16" ht="36.75" thickBot="1" x14ac:dyDescent="0.3">
      <c r="C100" s="27" t="s">
        <v>1509</v>
      </c>
      <c r="D100" s="28">
        <v>93</v>
      </c>
      <c r="E100" s="28" t="s">
        <v>1402</v>
      </c>
      <c r="F100" s="28" t="s">
        <v>786</v>
      </c>
      <c r="G100" s="28" t="s">
        <v>1404</v>
      </c>
      <c r="H100" s="28" t="s">
        <v>97</v>
      </c>
      <c r="I100" s="28" t="s">
        <v>91</v>
      </c>
      <c r="J100" s="28" t="s">
        <v>1951</v>
      </c>
      <c r="K100" s="28" t="s">
        <v>1405</v>
      </c>
      <c r="L100" s="28" t="s">
        <v>1406</v>
      </c>
      <c r="M100" s="28">
        <v>35836.379999999997</v>
      </c>
      <c r="N100" s="28" t="s">
        <v>1387</v>
      </c>
      <c r="O100" s="28">
        <v>0</v>
      </c>
      <c r="P100" s="29" t="s">
        <v>1407</v>
      </c>
    </row>
    <row r="101" spans="3:16" ht="36.75" thickBot="1" x14ac:dyDescent="0.3">
      <c r="C101" s="27" t="s">
        <v>1509</v>
      </c>
      <c r="D101" s="28">
        <v>94</v>
      </c>
      <c r="E101" s="28" t="s">
        <v>1402</v>
      </c>
      <c r="F101" s="28" t="s">
        <v>497</v>
      </c>
      <c r="G101" s="28" t="s">
        <v>1404</v>
      </c>
      <c r="H101" s="28" t="s">
        <v>97</v>
      </c>
      <c r="I101" s="28" t="s">
        <v>91</v>
      </c>
      <c r="J101" s="28" t="s">
        <v>1951</v>
      </c>
      <c r="K101" s="28" t="s">
        <v>1405</v>
      </c>
      <c r="L101" s="28" t="s">
        <v>1406</v>
      </c>
      <c r="M101" s="28">
        <v>35450.36</v>
      </c>
      <c r="N101" s="28" t="s">
        <v>1387</v>
      </c>
      <c r="O101" s="28">
        <v>0</v>
      </c>
      <c r="P101" s="29" t="s">
        <v>1407</v>
      </c>
    </row>
    <row r="102" spans="3:16" ht="36.75" thickBot="1" x14ac:dyDescent="0.3">
      <c r="C102" s="27" t="s">
        <v>1509</v>
      </c>
      <c r="D102" s="28">
        <v>95</v>
      </c>
      <c r="E102" s="28" t="s">
        <v>1402</v>
      </c>
      <c r="F102" s="28" t="s">
        <v>499</v>
      </c>
      <c r="G102" s="28" t="s">
        <v>1404</v>
      </c>
      <c r="H102" s="28" t="s">
        <v>97</v>
      </c>
      <c r="I102" s="28" t="s">
        <v>91</v>
      </c>
      <c r="J102" s="28" t="s">
        <v>1951</v>
      </c>
      <c r="K102" s="28" t="s">
        <v>1405</v>
      </c>
      <c r="L102" s="28" t="s">
        <v>1406</v>
      </c>
      <c r="M102" s="28">
        <v>120000</v>
      </c>
      <c r="N102" s="28" t="s">
        <v>1387</v>
      </c>
      <c r="O102" s="28">
        <v>0</v>
      </c>
      <c r="P102" s="29" t="s">
        <v>1407</v>
      </c>
    </row>
    <row r="103" spans="3:16" ht="36.75" thickBot="1" x14ac:dyDescent="0.3">
      <c r="C103" s="27" t="s">
        <v>1509</v>
      </c>
      <c r="D103" s="28">
        <v>96</v>
      </c>
      <c r="E103" s="28" t="s">
        <v>1402</v>
      </c>
      <c r="F103" s="28" t="s">
        <v>500</v>
      </c>
      <c r="G103" s="28" t="s">
        <v>1404</v>
      </c>
      <c r="H103" s="28" t="s">
        <v>97</v>
      </c>
      <c r="I103" s="28" t="s">
        <v>91</v>
      </c>
      <c r="J103" s="28" t="s">
        <v>1951</v>
      </c>
      <c r="K103" s="28" t="s">
        <v>1405</v>
      </c>
      <c r="L103" s="28" t="s">
        <v>1406</v>
      </c>
      <c r="M103" s="28">
        <v>10000</v>
      </c>
      <c r="N103" s="28" t="s">
        <v>1387</v>
      </c>
      <c r="O103" s="28">
        <v>0</v>
      </c>
      <c r="P103" s="29" t="s">
        <v>1407</v>
      </c>
    </row>
    <row r="104" spans="3:16" ht="36.75" thickBot="1" x14ac:dyDescent="0.3">
      <c r="C104" s="27" t="s">
        <v>1509</v>
      </c>
      <c r="D104" s="28">
        <v>97</v>
      </c>
      <c r="E104" s="28" t="s">
        <v>1402</v>
      </c>
      <c r="F104" s="28" t="s">
        <v>502</v>
      </c>
      <c r="G104" s="28" t="s">
        <v>1404</v>
      </c>
      <c r="H104" s="28" t="s">
        <v>97</v>
      </c>
      <c r="I104" s="28" t="s">
        <v>91</v>
      </c>
      <c r="J104" s="28" t="s">
        <v>1951</v>
      </c>
      <c r="K104" s="28" t="s">
        <v>1405</v>
      </c>
      <c r="L104" s="28" t="s">
        <v>1406</v>
      </c>
      <c r="M104" s="28">
        <v>3000</v>
      </c>
      <c r="N104" s="28" t="s">
        <v>1387</v>
      </c>
      <c r="O104" s="28">
        <v>0</v>
      </c>
      <c r="P104" s="29" t="s">
        <v>1407</v>
      </c>
    </row>
    <row r="105" spans="3:16" ht="36.75" thickBot="1" x14ac:dyDescent="0.3">
      <c r="C105" s="27" t="s">
        <v>1509</v>
      </c>
      <c r="D105" s="28">
        <v>98</v>
      </c>
      <c r="E105" s="28" t="s">
        <v>1402</v>
      </c>
      <c r="F105" s="28" t="s">
        <v>504</v>
      </c>
      <c r="G105" s="28" t="s">
        <v>1404</v>
      </c>
      <c r="H105" s="28" t="s">
        <v>97</v>
      </c>
      <c r="I105" s="28" t="s">
        <v>91</v>
      </c>
      <c r="J105" s="28" t="s">
        <v>1951</v>
      </c>
      <c r="K105" s="28" t="s">
        <v>1405</v>
      </c>
      <c r="L105" s="28" t="s">
        <v>1406</v>
      </c>
      <c r="M105" s="28">
        <v>15000</v>
      </c>
      <c r="N105" s="28" t="s">
        <v>1387</v>
      </c>
      <c r="O105" s="28">
        <v>0</v>
      </c>
      <c r="P105" s="29" t="s">
        <v>1407</v>
      </c>
    </row>
    <row r="106" spans="3:16" ht="36.75" thickBot="1" x14ac:dyDescent="0.3">
      <c r="C106" s="27" t="s">
        <v>1509</v>
      </c>
      <c r="D106" s="28">
        <v>99</v>
      </c>
      <c r="E106" s="28" t="s">
        <v>1402</v>
      </c>
      <c r="F106" s="28" t="s">
        <v>506</v>
      </c>
      <c r="G106" s="28" t="s">
        <v>1404</v>
      </c>
      <c r="H106" s="28" t="s">
        <v>97</v>
      </c>
      <c r="I106" s="28" t="s">
        <v>91</v>
      </c>
      <c r="J106" s="28" t="s">
        <v>1951</v>
      </c>
      <c r="K106" s="28" t="s">
        <v>1405</v>
      </c>
      <c r="L106" s="28" t="s">
        <v>1406</v>
      </c>
      <c r="M106" s="28">
        <v>36226.58</v>
      </c>
      <c r="N106" s="28" t="s">
        <v>1387</v>
      </c>
      <c r="O106" s="28">
        <v>0</v>
      </c>
      <c r="P106" s="29" t="s">
        <v>1407</v>
      </c>
    </row>
    <row r="107" spans="3:16" ht="36.75" thickBot="1" x14ac:dyDescent="0.3">
      <c r="C107" s="27" t="s">
        <v>1509</v>
      </c>
      <c r="D107" s="28">
        <v>100</v>
      </c>
      <c r="E107" s="28" t="s">
        <v>1402</v>
      </c>
      <c r="F107" s="28" t="s">
        <v>764</v>
      </c>
      <c r="G107" s="28" t="s">
        <v>1404</v>
      </c>
      <c r="H107" s="28" t="s">
        <v>97</v>
      </c>
      <c r="I107" s="28" t="s">
        <v>91</v>
      </c>
      <c r="J107" s="28" t="s">
        <v>1951</v>
      </c>
      <c r="K107" s="28" t="s">
        <v>1405</v>
      </c>
      <c r="L107" s="28" t="s">
        <v>1406</v>
      </c>
      <c r="M107" s="28">
        <v>78839.100000000006</v>
      </c>
      <c r="N107" s="28" t="s">
        <v>1387</v>
      </c>
      <c r="O107" s="28">
        <v>0</v>
      </c>
      <c r="P107" s="29" t="s">
        <v>1407</v>
      </c>
    </row>
    <row r="108" spans="3:16" ht="36.75" thickBot="1" x14ac:dyDescent="0.3">
      <c r="C108" s="27" t="s">
        <v>1509</v>
      </c>
      <c r="D108" s="28">
        <v>101</v>
      </c>
      <c r="E108" s="28" t="s">
        <v>1402</v>
      </c>
      <c r="F108" s="28" t="s">
        <v>508</v>
      </c>
      <c r="G108" s="28" t="s">
        <v>1404</v>
      </c>
      <c r="H108" s="28" t="s">
        <v>97</v>
      </c>
      <c r="I108" s="28" t="s">
        <v>91</v>
      </c>
      <c r="J108" s="28" t="s">
        <v>1951</v>
      </c>
      <c r="K108" s="28" t="s">
        <v>1405</v>
      </c>
      <c r="L108" s="28" t="s">
        <v>1406</v>
      </c>
      <c r="M108" s="28">
        <v>13283.67</v>
      </c>
      <c r="N108" s="28" t="s">
        <v>1387</v>
      </c>
      <c r="O108" s="28">
        <v>0</v>
      </c>
      <c r="P108" s="29" t="s">
        <v>1407</v>
      </c>
    </row>
    <row r="109" spans="3:16" ht="36.75" thickBot="1" x14ac:dyDescent="0.3">
      <c r="C109" s="27" t="s">
        <v>1509</v>
      </c>
      <c r="D109" s="28">
        <v>102</v>
      </c>
      <c r="E109" s="28" t="s">
        <v>1402</v>
      </c>
      <c r="F109" s="28" t="s">
        <v>187</v>
      </c>
      <c r="G109" s="28" t="s">
        <v>1404</v>
      </c>
      <c r="H109" s="28" t="s">
        <v>97</v>
      </c>
      <c r="I109" s="28" t="s">
        <v>91</v>
      </c>
      <c r="J109" s="28" t="s">
        <v>1951</v>
      </c>
      <c r="K109" s="28" t="s">
        <v>1405</v>
      </c>
      <c r="L109" s="28" t="s">
        <v>1406</v>
      </c>
      <c r="M109" s="28">
        <v>11900</v>
      </c>
      <c r="N109" s="28" t="s">
        <v>1387</v>
      </c>
      <c r="O109" s="28">
        <v>0</v>
      </c>
      <c r="P109" s="29" t="s">
        <v>1407</v>
      </c>
    </row>
    <row r="110" spans="3:16" ht="36.75" thickBot="1" x14ac:dyDescent="0.3">
      <c r="C110" s="27" t="s">
        <v>1509</v>
      </c>
      <c r="D110" s="28">
        <v>103</v>
      </c>
      <c r="E110" s="28" t="s">
        <v>1402</v>
      </c>
      <c r="F110" s="28" t="s">
        <v>511</v>
      </c>
      <c r="G110" s="28" t="s">
        <v>1404</v>
      </c>
      <c r="H110" s="28" t="s">
        <v>97</v>
      </c>
      <c r="I110" s="28" t="s">
        <v>91</v>
      </c>
      <c r="J110" s="28" t="s">
        <v>1951</v>
      </c>
      <c r="K110" s="28" t="s">
        <v>1405</v>
      </c>
      <c r="L110" s="28" t="s">
        <v>1406</v>
      </c>
      <c r="M110" s="28">
        <v>9000</v>
      </c>
      <c r="N110" s="28" t="s">
        <v>1387</v>
      </c>
      <c r="O110" s="28">
        <v>0</v>
      </c>
      <c r="P110" s="29" t="s">
        <v>1407</v>
      </c>
    </row>
    <row r="111" spans="3:16" ht="36.75" thickBot="1" x14ac:dyDescent="0.3">
      <c r="C111" s="27" t="s">
        <v>1509</v>
      </c>
      <c r="D111" s="28">
        <v>104</v>
      </c>
      <c r="E111" s="28" t="s">
        <v>1402</v>
      </c>
      <c r="F111" s="28" t="s">
        <v>513</v>
      </c>
      <c r="G111" s="28" t="s">
        <v>1404</v>
      </c>
      <c r="H111" s="28" t="s">
        <v>97</v>
      </c>
      <c r="I111" s="28" t="s">
        <v>91</v>
      </c>
      <c r="J111" s="28" t="s">
        <v>1951</v>
      </c>
      <c r="K111" s="28" t="s">
        <v>1405</v>
      </c>
      <c r="L111" s="28" t="s">
        <v>1406</v>
      </c>
      <c r="M111" s="28">
        <v>18260.41</v>
      </c>
      <c r="N111" s="28" t="s">
        <v>1387</v>
      </c>
      <c r="O111" s="28">
        <v>0</v>
      </c>
      <c r="P111" s="29" t="s">
        <v>1407</v>
      </c>
    </row>
    <row r="112" spans="3:16" ht="36.75" thickBot="1" x14ac:dyDescent="0.3">
      <c r="C112" s="27" t="s">
        <v>1509</v>
      </c>
      <c r="D112" s="28">
        <v>105</v>
      </c>
      <c r="E112" s="28" t="s">
        <v>1402</v>
      </c>
      <c r="F112" s="28" t="s">
        <v>517</v>
      </c>
      <c r="G112" s="28" t="s">
        <v>1404</v>
      </c>
      <c r="H112" s="28" t="s">
        <v>97</v>
      </c>
      <c r="I112" s="28" t="s">
        <v>91</v>
      </c>
      <c r="J112" s="28" t="s">
        <v>1951</v>
      </c>
      <c r="K112" s="28" t="s">
        <v>1405</v>
      </c>
      <c r="L112" s="28" t="s">
        <v>1406</v>
      </c>
      <c r="M112" s="28">
        <v>15000</v>
      </c>
      <c r="N112" s="28" t="s">
        <v>1387</v>
      </c>
      <c r="O112" s="28">
        <v>0</v>
      </c>
      <c r="P112" s="29" t="s">
        <v>1407</v>
      </c>
    </row>
    <row r="113" spans="3:16" ht="36.75" thickBot="1" x14ac:dyDescent="0.3">
      <c r="C113" s="27" t="s">
        <v>1509</v>
      </c>
      <c r="D113" s="28">
        <v>106</v>
      </c>
      <c r="E113" s="28" t="s">
        <v>1402</v>
      </c>
      <c r="F113" s="28" t="s">
        <v>518</v>
      </c>
      <c r="G113" s="28" t="s">
        <v>1404</v>
      </c>
      <c r="H113" s="28" t="s">
        <v>97</v>
      </c>
      <c r="I113" s="28" t="s">
        <v>91</v>
      </c>
      <c r="J113" s="28" t="s">
        <v>1951</v>
      </c>
      <c r="K113" s="28" t="s">
        <v>1405</v>
      </c>
      <c r="L113" s="28" t="s">
        <v>1406</v>
      </c>
      <c r="M113" s="28">
        <v>374945.01</v>
      </c>
      <c r="N113" s="28" t="s">
        <v>1387</v>
      </c>
      <c r="O113" s="28">
        <v>0</v>
      </c>
      <c r="P113" s="29" t="s">
        <v>1407</v>
      </c>
    </row>
    <row r="114" spans="3:16" ht="36.75" thickBot="1" x14ac:dyDescent="0.3">
      <c r="C114" s="27" t="s">
        <v>1509</v>
      </c>
      <c r="D114" s="28">
        <v>107</v>
      </c>
      <c r="E114" s="28" t="s">
        <v>1402</v>
      </c>
      <c r="F114" s="28" t="s">
        <v>1293</v>
      </c>
      <c r="G114" s="28" t="s">
        <v>1404</v>
      </c>
      <c r="H114" s="28" t="s">
        <v>97</v>
      </c>
      <c r="I114" s="28" t="s">
        <v>91</v>
      </c>
      <c r="J114" s="28" t="s">
        <v>1951</v>
      </c>
      <c r="K114" s="28" t="s">
        <v>1405</v>
      </c>
      <c r="L114" s="28" t="s">
        <v>1406</v>
      </c>
      <c r="M114" s="28">
        <v>1722035</v>
      </c>
      <c r="N114" s="28" t="s">
        <v>1387</v>
      </c>
      <c r="O114" s="28">
        <v>0</v>
      </c>
      <c r="P114" s="29" t="s">
        <v>1407</v>
      </c>
    </row>
    <row r="115" spans="3:16" ht="36.75" thickBot="1" x14ac:dyDescent="0.3">
      <c r="C115" s="27" t="s">
        <v>1509</v>
      </c>
      <c r="D115" s="28">
        <v>108</v>
      </c>
      <c r="E115" s="28" t="s">
        <v>1402</v>
      </c>
      <c r="F115" s="28" t="s">
        <v>1247</v>
      </c>
      <c r="G115" s="28" t="s">
        <v>1404</v>
      </c>
      <c r="H115" s="28" t="s">
        <v>97</v>
      </c>
      <c r="I115" s="28" t="s">
        <v>91</v>
      </c>
      <c r="J115" s="28" t="s">
        <v>1951</v>
      </c>
      <c r="K115" s="28" t="s">
        <v>1405</v>
      </c>
      <c r="L115" s="28" t="s">
        <v>1406</v>
      </c>
      <c r="M115" s="28">
        <v>24294.36</v>
      </c>
      <c r="N115" s="28" t="s">
        <v>1387</v>
      </c>
      <c r="O115" s="28">
        <v>0</v>
      </c>
      <c r="P115" s="29" t="s">
        <v>1407</v>
      </c>
    </row>
    <row r="116" spans="3:16" ht="36.75" thickBot="1" x14ac:dyDescent="0.3">
      <c r="C116" s="27" t="s">
        <v>1509</v>
      </c>
      <c r="D116" s="28">
        <v>109</v>
      </c>
      <c r="E116" s="28" t="s">
        <v>1402</v>
      </c>
      <c r="F116" s="28" t="s">
        <v>287</v>
      </c>
      <c r="G116" s="28" t="s">
        <v>1404</v>
      </c>
      <c r="H116" s="28" t="s">
        <v>97</v>
      </c>
      <c r="I116" s="28" t="s">
        <v>91</v>
      </c>
      <c r="J116" s="28" t="s">
        <v>1951</v>
      </c>
      <c r="K116" s="28" t="s">
        <v>1405</v>
      </c>
      <c r="L116" s="28" t="s">
        <v>1406</v>
      </c>
      <c r="M116" s="28">
        <v>92769.77</v>
      </c>
      <c r="N116" s="28" t="s">
        <v>1387</v>
      </c>
      <c r="O116" s="28">
        <v>0</v>
      </c>
      <c r="P116" s="29" t="s">
        <v>1407</v>
      </c>
    </row>
    <row r="117" spans="3:16" ht="36.75" thickBot="1" x14ac:dyDescent="0.3">
      <c r="C117" s="27" t="s">
        <v>1509</v>
      </c>
      <c r="D117" s="28">
        <v>110</v>
      </c>
      <c r="E117" s="28" t="s">
        <v>1402</v>
      </c>
      <c r="F117" s="28" t="s">
        <v>449</v>
      </c>
      <c r="G117" s="28" t="s">
        <v>1404</v>
      </c>
      <c r="H117" s="28" t="s">
        <v>97</v>
      </c>
      <c r="I117" s="28" t="s">
        <v>91</v>
      </c>
      <c r="J117" s="28" t="s">
        <v>1951</v>
      </c>
      <c r="K117" s="28" t="s">
        <v>1405</v>
      </c>
      <c r="L117" s="28" t="s">
        <v>1406</v>
      </c>
      <c r="M117" s="28">
        <v>71930.92</v>
      </c>
      <c r="N117" s="28" t="s">
        <v>1387</v>
      </c>
      <c r="O117" s="28">
        <v>0</v>
      </c>
      <c r="P117" s="29" t="s">
        <v>1407</v>
      </c>
    </row>
    <row r="118" spans="3:16" ht="36.75" thickBot="1" x14ac:dyDescent="0.3">
      <c r="C118" s="27" t="s">
        <v>1509</v>
      </c>
      <c r="D118" s="28">
        <v>111</v>
      </c>
      <c r="E118" s="28" t="s">
        <v>1402</v>
      </c>
      <c r="F118" s="28" t="s">
        <v>466</v>
      </c>
      <c r="G118" s="28" t="s">
        <v>1404</v>
      </c>
      <c r="H118" s="28" t="s">
        <v>97</v>
      </c>
      <c r="I118" s="28" t="s">
        <v>91</v>
      </c>
      <c r="J118" s="28" t="s">
        <v>1951</v>
      </c>
      <c r="K118" s="28" t="s">
        <v>1405</v>
      </c>
      <c r="L118" s="28" t="s">
        <v>1406</v>
      </c>
      <c r="M118" s="28">
        <v>1549800</v>
      </c>
      <c r="N118" s="28" t="s">
        <v>1387</v>
      </c>
      <c r="O118" s="28">
        <v>0</v>
      </c>
      <c r="P118" s="29" t="s">
        <v>1407</v>
      </c>
    </row>
    <row r="119" spans="3:16" ht="36.75" thickBot="1" x14ac:dyDescent="0.3">
      <c r="C119" s="27" t="s">
        <v>1509</v>
      </c>
      <c r="D119" s="28">
        <v>112</v>
      </c>
      <c r="E119" s="28" t="s">
        <v>1402</v>
      </c>
      <c r="F119" s="28" t="s">
        <v>1249</v>
      </c>
      <c r="G119" s="28" t="s">
        <v>1404</v>
      </c>
      <c r="H119" s="28" t="s">
        <v>97</v>
      </c>
      <c r="I119" s="28" t="s">
        <v>91</v>
      </c>
      <c r="J119" s="28" t="s">
        <v>1951</v>
      </c>
      <c r="K119" s="28" t="s">
        <v>1405</v>
      </c>
      <c r="L119" s="28" t="s">
        <v>1406</v>
      </c>
      <c r="M119" s="28">
        <v>80449.67</v>
      </c>
      <c r="N119" s="28" t="s">
        <v>1387</v>
      </c>
      <c r="O119" s="28">
        <v>0</v>
      </c>
      <c r="P119" s="29" t="s">
        <v>1407</v>
      </c>
    </row>
    <row r="120" spans="3:16" ht="36.75" thickBot="1" x14ac:dyDescent="0.3">
      <c r="C120" s="27" t="s">
        <v>1509</v>
      </c>
      <c r="D120" s="28">
        <v>113</v>
      </c>
      <c r="E120" s="28" t="s">
        <v>1402</v>
      </c>
      <c r="F120" s="28" t="s">
        <v>120</v>
      </c>
      <c r="G120" s="28" t="s">
        <v>1404</v>
      </c>
      <c r="H120" s="28" t="s">
        <v>97</v>
      </c>
      <c r="I120" s="28" t="s">
        <v>91</v>
      </c>
      <c r="J120" s="28" t="s">
        <v>1951</v>
      </c>
      <c r="K120" s="28" t="s">
        <v>1405</v>
      </c>
      <c r="L120" s="28" t="s">
        <v>1406</v>
      </c>
      <c r="M120" s="28">
        <v>20847.580000000002</v>
      </c>
      <c r="N120" s="28" t="s">
        <v>1387</v>
      </c>
      <c r="O120" s="28">
        <v>0</v>
      </c>
      <c r="P120" s="29" t="s">
        <v>1407</v>
      </c>
    </row>
    <row r="121" spans="3:16" ht="36.75" thickBot="1" x14ac:dyDescent="0.3">
      <c r="C121" s="27" t="s">
        <v>1509</v>
      </c>
      <c r="D121" s="28">
        <v>114</v>
      </c>
      <c r="E121" s="28" t="s">
        <v>1402</v>
      </c>
      <c r="F121" s="28" t="s">
        <v>746</v>
      </c>
      <c r="G121" s="28" t="s">
        <v>1404</v>
      </c>
      <c r="H121" s="28" t="s">
        <v>97</v>
      </c>
      <c r="I121" s="28" t="s">
        <v>91</v>
      </c>
      <c r="J121" s="28" t="s">
        <v>1951</v>
      </c>
      <c r="K121" s="28" t="s">
        <v>1405</v>
      </c>
      <c r="L121" s="28" t="s">
        <v>1406</v>
      </c>
      <c r="M121" s="28">
        <v>20000</v>
      </c>
      <c r="N121" s="28" t="s">
        <v>1387</v>
      </c>
      <c r="O121" s="28">
        <v>0</v>
      </c>
      <c r="P121" s="29" t="s">
        <v>1407</v>
      </c>
    </row>
    <row r="122" spans="3:16" ht="36.75" thickBot="1" x14ac:dyDescent="0.3">
      <c r="C122" s="27" t="s">
        <v>1509</v>
      </c>
      <c r="D122" s="28">
        <v>115</v>
      </c>
      <c r="E122" s="28" t="s">
        <v>1402</v>
      </c>
      <c r="F122" s="28" t="s">
        <v>468</v>
      </c>
      <c r="G122" s="28" t="s">
        <v>1404</v>
      </c>
      <c r="H122" s="28" t="s">
        <v>97</v>
      </c>
      <c r="I122" s="28" t="s">
        <v>91</v>
      </c>
      <c r="J122" s="28" t="s">
        <v>1951</v>
      </c>
      <c r="K122" s="28" t="s">
        <v>1405</v>
      </c>
      <c r="L122" s="28" t="s">
        <v>1406</v>
      </c>
      <c r="M122" s="28">
        <v>40690.44</v>
      </c>
      <c r="N122" s="28" t="s">
        <v>1387</v>
      </c>
      <c r="O122" s="28">
        <v>0</v>
      </c>
      <c r="P122" s="29" t="s">
        <v>1407</v>
      </c>
    </row>
    <row r="123" spans="3:16" ht="36.75" thickBot="1" x14ac:dyDescent="0.3">
      <c r="C123" s="27" t="s">
        <v>1509</v>
      </c>
      <c r="D123" s="28">
        <v>116</v>
      </c>
      <c r="E123" s="28" t="s">
        <v>1402</v>
      </c>
      <c r="F123" s="28" t="s">
        <v>1251</v>
      </c>
      <c r="G123" s="28" t="s">
        <v>1404</v>
      </c>
      <c r="H123" s="28" t="s">
        <v>97</v>
      </c>
      <c r="I123" s="28" t="s">
        <v>91</v>
      </c>
      <c r="J123" s="28" t="s">
        <v>1951</v>
      </c>
      <c r="K123" s="28" t="s">
        <v>1405</v>
      </c>
      <c r="L123" s="28" t="s">
        <v>1406</v>
      </c>
      <c r="M123" s="28">
        <v>120175.08</v>
      </c>
      <c r="N123" s="28" t="s">
        <v>1387</v>
      </c>
      <c r="O123" s="28">
        <v>0</v>
      </c>
      <c r="P123" s="29" t="s">
        <v>1407</v>
      </c>
    </row>
    <row r="124" spans="3:16" ht="36.75" thickBot="1" x14ac:dyDescent="0.3">
      <c r="C124" s="27" t="s">
        <v>1509</v>
      </c>
      <c r="D124" s="28">
        <v>117</v>
      </c>
      <c r="E124" s="28" t="s">
        <v>1402</v>
      </c>
      <c r="F124" s="28" t="s">
        <v>289</v>
      </c>
      <c r="G124" s="28" t="s">
        <v>1404</v>
      </c>
      <c r="H124" s="28" t="s">
        <v>97</v>
      </c>
      <c r="I124" s="28" t="s">
        <v>91</v>
      </c>
      <c r="J124" s="28" t="s">
        <v>1951</v>
      </c>
      <c r="K124" s="28" t="s">
        <v>1405</v>
      </c>
      <c r="L124" s="28" t="s">
        <v>1406</v>
      </c>
      <c r="M124" s="28">
        <v>34505.120000000003</v>
      </c>
      <c r="N124" s="28" t="s">
        <v>1387</v>
      </c>
      <c r="O124" s="28">
        <v>0</v>
      </c>
      <c r="P124" s="29" t="s">
        <v>1407</v>
      </c>
    </row>
    <row r="125" spans="3:16" ht="36.75" thickBot="1" x14ac:dyDescent="0.3">
      <c r="C125" s="27" t="s">
        <v>1509</v>
      </c>
      <c r="D125" s="28">
        <v>118</v>
      </c>
      <c r="E125" s="28" t="s">
        <v>1402</v>
      </c>
      <c r="F125" s="28" t="s">
        <v>1232</v>
      </c>
      <c r="G125" s="28" t="s">
        <v>1404</v>
      </c>
      <c r="H125" s="28" t="s">
        <v>97</v>
      </c>
      <c r="I125" s="28" t="s">
        <v>91</v>
      </c>
      <c r="J125" s="28" t="s">
        <v>1951</v>
      </c>
      <c r="K125" s="28" t="s">
        <v>1405</v>
      </c>
      <c r="L125" s="28" t="s">
        <v>1406</v>
      </c>
      <c r="M125" s="28">
        <v>11283</v>
      </c>
      <c r="N125" s="28" t="s">
        <v>1387</v>
      </c>
      <c r="O125" s="28">
        <v>0</v>
      </c>
      <c r="P125" s="29" t="s">
        <v>1407</v>
      </c>
    </row>
    <row r="126" spans="3:16" ht="36.75" thickBot="1" x14ac:dyDescent="0.3">
      <c r="C126" s="27" t="s">
        <v>1509</v>
      </c>
      <c r="D126" s="28">
        <v>119</v>
      </c>
      <c r="E126" s="28" t="s">
        <v>1402</v>
      </c>
      <c r="F126" s="28" t="s">
        <v>1309</v>
      </c>
      <c r="G126" s="28" t="s">
        <v>1404</v>
      </c>
      <c r="H126" s="28" t="s">
        <v>97</v>
      </c>
      <c r="I126" s="28" t="s">
        <v>91</v>
      </c>
      <c r="J126" s="28" t="s">
        <v>1951</v>
      </c>
      <c r="K126" s="28" t="s">
        <v>1405</v>
      </c>
      <c r="L126" s="28" t="s">
        <v>1406</v>
      </c>
      <c r="M126" s="28">
        <v>22596.98</v>
      </c>
      <c r="N126" s="28" t="s">
        <v>1387</v>
      </c>
      <c r="O126" s="28">
        <v>0</v>
      </c>
      <c r="P126" s="29" t="s">
        <v>1407</v>
      </c>
    </row>
    <row r="127" spans="3:16" ht="36.75" thickBot="1" x14ac:dyDescent="0.3">
      <c r="C127" s="27" t="s">
        <v>1509</v>
      </c>
      <c r="D127" s="28">
        <v>120</v>
      </c>
      <c r="E127" s="28" t="s">
        <v>1402</v>
      </c>
      <c r="F127" s="28" t="s">
        <v>470</v>
      </c>
      <c r="G127" s="28" t="s">
        <v>1404</v>
      </c>
      <c r="H127" s="28" t="s">
        <v>97</v>
      </c>
      <c r="I127" s="28" t="s">
        <v>91</v>
      </c>
      <c r="J127" s="28" t="s">
        <v>1951</v>
      </c>
      <c r="K127" s="28" t="s">
        <v>1405</v>
      </c>
      <c r="L127" s="28" t="s">
        <v>1406</v>
      </c>
      <c r="M127" s="28">
        <v>50000</v>
      </c>
      <c r="N127" s="28" t="s">
        <v>1387</v>
      </c>
      <c r="O127" s="28">
        <v>0</v>
      </c>
      <c r="P127" s="29" t="s">
        <v>1407</v>
      </c>
    </row>
    <row r="128" spans="3:16" ht="36.75" thickBot="1" x14ac:dyDescent="0.3">
      <c r="C128" s="27" t="s">
        <v>1509</v>
      </c>
      <c r="D128" s="28">
        <v>121</v>
      </c>
      <c r="E128" s="28" t="s">
        <v>1402</v>
      </c>
      <c r="F128" s="28" t="s">
        <v>192</v>
      </c>
      <c r="G128" s="28" t="s">
        <v>1404</v>
      </c>
      <c r="H128" s="28" t="s">
        <v>97</v>
      </c>
      <c r="I128" s="28" t="s">
        <v>91</v>
      </c>
      <c r="J128" s="28" t="s">
        <v>1951</v>
      </c>
      <c r="K128" s="28" t="s">
        <v>1405</v>
      </c>
      <c r="L128" s="28" t="s">
        <v>1406</v>
      </c>
      <c r="M128" s="28">
        <v>34750</v>
      </c>
      <c r="N128" s="28" t="s">
        <v>1387</v>
      </c>
      <c r="O128" s="28">
        <v>0</v>
      </c>
      <c r="P128" s="29" t="s">
        <v>1407</v>
      </c>
    </row>
    <row r="129" spans="3:16" ht="36.75" thickBot="1" x14ac:dyDescent="0.3">
      <c r="C129" s="27" t="s">
        <v>1509</v>
      </c>
      <c r="D129" s="28">
        <v>122</v>
      </c>
      <c r="E129" s="28" t="s">
        <v>1402</v>
      </c>
      <c r="F129" s="28" t="s">
        <v>747</v>
      </c>
      <c r="G129" s="28" t="s">
        <v>1404</v>
      </c>
      <c r="H129" s="28" t="s">
        <v>97</v>
      </c>
      <c r="I129" s="28" t="s">
        <v>91</v>
      </c>
      <c r="J129" s="28" t="s">
        <v>1951</v>
      </c>
      <c r="K129" s="28" t="s">
        <v>1405</v>
      </c>
      <c r="L129" s="28" t="s">
        <v>1406</v>
      </c>
      <c r="M129" s="28">
        <v>36000</v>
      </c>
      <c r="N129" s="28" t="s">
        <v>1387</v>
      </c>
      <c r="O129" s="28">
        <v>0</v>
      </c>
      <c r="P129" s="29" t="s">
        <v>1407</v>
      </c>
    </row>
    <row r="130" spans="3:16" ht="36.75" thickBot="1" x14ac:dyDescent="0.3">
      <c r="C130" s="27" t="s">
        <v>1509</v>
      </c>
      <c r="D130" s="28">
        <v>123</v>
      </c>
      <c r="E130" s="28" t="s">
        <v>1402</v>
      </c>
      <c r="F130" s="28" t="s">
        <v>472</v>
      </c>
      <c r="G130" s="28" t="s">
        <v>1404</v>
      </c>
      <c r="H130" s="28" t="s">
        <v>97</v>
      </c>
      <c r="I130" s="28" t="s">
        <v>91</v>
      </c>
      <c r="J130" s="28" t="s">
        <v>1951</v>
      </c>
      <c r="K130" s="28" t="s">
        <v>1405</v>
      </c>
      <c r="L130" s="28" t="s">
        <v>1406</v>
      </c>
      <c r="M130" s="28">
        <v>12500</v>
      </c>
      <c r="N130" s="28" t="s">
        <v>1387</v>
      </c>
      <c r="O130" s="28">
        <v>0</v>
      </c>
      <c r="P130" s="29" t="s">
        <v>1407</v>
      </c>
    </row>
    <row r="131" spans="3:16" ht="36.75" thickBot="1" x14ac:dyDescent="0.3">
      <c r="C131" s="27" t="s">
        <v>1509</v>
      </c>
      <c r="D131" s="28">
        <v>124</v>
      </c>
      <c r="E131" s="28" t="s">
        <v>1402</v>
      </c>
      <c r="F131" s="28" t="s">
        <v>1259</v>
      </c>
      <c r="G131" s="28" t="s">
        <v>1404</v>
      </c>
      <c r="H131" s="28" t="s">
        <v>97</v>
      </c>
      <c r="I131" s="28" t="s">
        <v>91</v>
      </c>
      <c r="J131" s="28" t="s">
        <v>1951</v>
      </c>
      <c r="K131" s="28" t="s">
        <v>1405</v>
      </c>
      <c r="L131" s="28" t="s">
        <v>1406</v>
      </c>
      <c r="M131" s="28">
        <v>135823.88</v>
      </c>
      <c r="N131" s="28" t="s">
        <v>1387</v>
      </c>
      <c r="O131" s="28">
        <v>0</v>
      </c>
      <c r="P131" s="29" t="s">
        <v>1407</v>
      </c>
    </row>
    <row r="132" spans="3:16" ht="36.75" thickBot="1" x14ac:dyDescent="0.3">
      <c r="C132" s="27" t="s">
        <v>1509</v>
      </c>
      <c r="D132" s="28">
        <v>125</v>
      </c>
      <c r="E132" s="28" t="s">
        <v>1402</v>
      </c>
      <c r="F132" s="28" t="s">
        <v>292</v>
      </c>
      <c r="G132" s="28" t="s">
        <v>1404</v>
      </c>
      <c r="H132" s="28" t="s">
        <v>97</v>
      </c>
      <c r="I132" s="28" t="s">
        <v>91</v>
      </c>
      <c r="J132" s="28" t="s">
        <v>1951</v>
      </c>
      <c r="K132" s="28" t="s">
        <v>1405</v>
      </c>
      <c r="L132" s="28" t="s">
        <v>1406</v>
      </c>
      <c r="M132" s="28">
        <v>17188.099999999999</v>
      </c>
      <c r="N132" s="28" t="s">
        <v>1387</v>
      </c>
      <c r="O132" s="28">
        <v>0</v>
      </c>
      <c r="P132" s="29" t="s">
        <v>1407</v>
      </c>
    </row>
    <row r="133" spans="3:16" ht="36.75" thickBot="1" x14ac:dyDescent="0.3">
      <c r="C133" s="27" t="s">
        <v>1509</v>
      </c>
      <c r="D133" s="28">
        <v>126</v>
      </c>
      <c r="E133" s="28" t="s">
        <v>1402</v>
      </c>
      <c r="F133" s="28" t="s">
        <v>325</v>
      </c>
      <c r="G133" s="28" t="s">
        <v>1404</v>
      </c>
      <c r="H133" s="28" t="s">
        <v>97</v>
      </c>
      <c r="I133" s="28" t="s">
        <v>91</v>
      </c>
      <c r="J133" s="28" t="s">
        <v>1951</v>
      </c>
      <c r="K133" s="28" t="s">
        <v>1405</v>
      </c>
      <c r="L133" s="28" t="s">
        <v>1406</v>
      </c>
      <c r="M133" s="28">
        <v>22094.880000000001</v>
      </c>
      <c r="N133" s="28" t="s">
        <v>1387</v>
      </c>
      <c r="O133" s="28">
        <v>0</v>
      </c>
      <c r="P133" s="29" t="s">
        <v>1407</v>
      </c>
    </row>
    <row r="134" spans="3:16" ht="36.75" thickBot="1" x14ac:dyDescent="0.3">
      <c r="C134" s="27" t="s">
        <v>1509</v>
      </c>
      <c r="D134" s="28">
        <v>127</v>
      </c>
      <c r="E134" s="28" t="s">
        <v>1402</v>
      </c>
      <c r="F134" s="28" t="s">
        <v>833</v>
      </c>
      <c r="G134" s="28" t="s">
        <v>1404</v>
      </c>
      <c r="H134" s="28" t="s">
        <v>97</v>
      </c>
      <c r="I134" s="28" t="s">
        <v>91</v>
      </c>
      <c r="J134" s="28" t="s">
        <v>1951</v>
      </c>
      <c r="K134" s="28" t="s">
        <v>1405</v>
      </c>
      <c r="L134" s="28" t="s">
        <v>1406</v>
      </c>
      <c r="M134" s="28">
        <v>19247</v>
      </c>
      <c r="N134" s="28" t="s">
        <v>1387</v>
      </c>
      <c r="O134" s="28">
        <v>0</v>
      </c>
      <c r="P134" s="29" t="s">
        <v>1407</v>
      </c>
    </row>
    <row r="135" spans="3:16" ht="36.75" thickBot="1" x14ac:dyDescent="0.3">
      <c r="C135" s="27" t="s">
        <v>1509</v>
      </c>
      <c r="D135" s="28">
        <v>128</v>
      </c>
      <c r="E135" s="28" t="s">
        <v>1402</v>
      </c>
      <c r="F135" s="28" t="s">
        <v>459</v>
      </c>
      <c r="G135" s="28" t="s">
        <v>1404</v>
      </c>
      <c r="H135" s="28" t="s">
        <v>97</v>
      </c>
      <c r="I135" s="28" t="s">
        <v>91</v>
      </c>
      <c r="J135" s="28" t="s">
        <v>1951</v>
      </c>
      <c r="K135" s="28" t="s">
        <v>1405</v>
      </c>
      <c r="L135" s="28" t="s">
        <v>1406</v>
      </c>
      <c r="M135" s="28">
        <v>18000</v>
      </c>
      <c r="N135" s="28" t="s">
        <v>1387</v>
      </c>
      <c r="O135" s="28">
        <v>0</v>
      </c>
      <c r="P135" s="29" t="s">
        <v>1407</v>
      </c>
    </row>
    <row r="136" spans="3:16" ht="36.75" thickBot="1" x14ac:dyDescent="0.3">
      <c r="C136" s="27" t="s">
        <v>1509</v>
      </c>
      <c r="D136" s="28">
        <v>129</v>
      </c>
      <c r="E136" s="28" t="s">
        <v>1402</v>
      </c>
      <c r="F136" s="28" t="s">
        <v>838</v>
      </c>
      <c r="G136" s="28" t="s">
        <v>1404</v>
      </c>
      <c r="H136" s="28" t="s">
        <v>97</v>
      </c>
      <c r="I136" s="28" t="s">
        <v>91</v>
      </c>
      <c r="J136" s="28" t="s">
        <v>1951</v>
      </c>
      <c r="K136" s="28" t="s">
        <v>1405</v>
      </c>
      <c r="L136" s="28" t="s">
        <v>1406</v>
      </c>
      <c r="M136" s="28">
        <v>224021.88</v>
      </c>
      <c r="N136" s="28" t="s">
        <v>1387</v>
      </c>
      <c r="O136" s="28">
        <v>0</v>
      </c>
      <c r="P136" s="29" t="s">
        <v>1407</v>
      </c>
    </row>
    <row r="137" spans="3:16" ht="36.75" thickBot="1" x14ac:dyDescent="0.3">
      <c r="C137" s="27" t="s">
        <v>1509</v>
      </c>
      <c r="D137" s="28">
        <v>130</v>
      </c>
      <c r="E137" s="28" t="s">
        <v>1402</v>
      </c>
      <c r="F137" s="28" t="s">
        <v>840</v>
      </c>
      <c r="G137" s="28" t="s">
        <v>1404</v>
      </c>
      <c r="H137" s="28" t="s">
        <v>97</v>
      </c>
      <c r="I137" s="28" t="s">
        <v>91</v>
      </c>
      <c r="J137" s="28" t="s">
        <v>1951</v>
      </c>
      <c r="K137" s="28" t="s">
        <v>1405</v>
      </c>
      <c r="L137" s="28" t="s">
        <v>1406</v>
      </c>
      <c r="M137" s="28">
        <v>23523.74</v>
      </c>
      <c r="N137" s="28" t="s">
        <v>1387</v>
      </c>
      <c r="O137" s="28">
        <v>0</v>
      </c>
      <c r="P137" s="29" t="s">
        <v>1407</v>
      </c>
    </row>
    <row r="138" spans="3:16" ht="36.75" thickBot="1" x14ac:dyDescent="0.3">
      <c r="C138" s="27" t="s">
        <v>1509</v>
      </c>
      <c r="D138" s="28">
        <v>131</v>
      </c>
      <c r="E138" s="28" t="s">
        <v>1402</v>
      </c>
      <c r="F138" s="28" t="s">
        <v>846</v>
      </c>
      <c r="G138" s="28" t="s">
        <v>1404</v>
      </c>
      <c r="H138" s="28" t="s">
        <v>97</v>
      </c>
      <c r="I138" s="28" t="s">
        <v>91</v>
      </c>
      <c r="J138" s="28" t="s">
        <v>1951</v>
      </c>
      <c r="K138" s="28" t="s">
        <v>1405</v>
      </c>
      <c r="L138" s="28" t="s">
        <v>1406</v>
      </c>
      <c r="M138" s="28">
        <v>14100</v>
      </c>
      <c r="N138" s="28" t="s">
        <v>1387</v>
      </c>
      <c r="O138" s="28">
        <v>0</v>
      </c>
      <c r="P138" s="29" t="s">
        <v>1407</v>
      </c>
    </row>
    <row r="139" spans="3:16" ht="36.75" thickBot="1" x14ac:dyDescent="0.3">
      <c r="C139" s="27" t="s">
        <v>1509</v>
      </c>
      <c r="D139" s="28">
        <v>132</v>
      </c>
      <c r="E139" s="28" t="s">
        <v>1402</v>
      </c>
      <c r="F139" s="28" t="s">
        <v>744</v>
      </c>
      <c r="G139" s="28" t="s">
        <v>1404</v>
      </c>
      <c r="H139" s="28" t="s">
        <v>97</v>
      </c>
      <c r="I139" s="28" t="s">
        <v>91</v>
      </c>
      <c r="J139" s="28" t="s">
        <v>1951</v>
      </c>
      <c r="K139" s="28" t="s">
        <v>1405</v>
      </c>
      <c r="L139" s="28" t="s">
        <v>1406</v>
      </c>
      <c r="M139" s="28">
        <v>20633.830000000002</v>
      </c>
      <c r="N139" s="28" t="s">
        <v>1387</v>
      </c>
      <c r="O139" s="28">
        <v>0</v>
      </c>
      <c r="P139" s="29" t="s">
        <v>1407</v>
      </c>
    </row>
    <row r="140" spans="3:16" ht="36.75" thickBot="1" x14ac:dyDescent="0.3">
      <c r="C140" s="27" t="s">
        <v>1509</v>
      </c>
      <c r="D140" s="28">
        <v>133</v>
      </c>
      <c r="E140" s="28" t="s">
        <v>1402</v>
      </c>
      <c r="F140" s="28" t="s">
        <v>848</v>
      </c>
      <c r="G140" s="28" t="s">
        <v>1404</v>
      </c>
      <c r="H140" s="28" t="s">
        <v>97</v>
      </c>
      <c r="I140" s="28" t="s">
        <v>91</v>
      </c>
      <c r="J140" s="28" t="s">
        <v>1951</v>
      </c>
      <c r="K140" s="28" t="s">
        <v>1405</v>
      </c>
      <c r="L140" s="28" t="s">
        <v>1406</v>
      </c>
      <c r="M140" s="28">
        <v>18900.59</v>
      </c>
      <c r="N140" s="28" t="s">
        <v>1387</v>
      </c>
      <c r="O140" s="28">
        <v>0</v>
      </c>
      <c r="P140" s="29" t="s">
        <v>1407</v>
      </c>
    </row>
    <row r="141" spans="3:16" ht="36.75" thickBot="1" x14ac:dyDescent="0.3">
      <c r="C141" s="27" t="s">
        <v>1509</v>
      </c>
      <c r="D141" s="28">
        <v>134</v>
      </c>
      <c r="E141" s="28" t="s">
        <v>1402</v>
      </c>
      <c r="F141" s="28" t="s">
        <v>461</v>
      </c>
      <c r="G141" s="28" t="s">
        <v>1404</v>
      </c>
      <c r="H141" s="28" t="s">
        <v>97</v>
      </c>
      <c r="I141" s="28" t="s">
        <v>91</v>
      </c>
      <c r="J141" s="28" t="s">
        <v>1951</v>
      </c>
      <c r="K141" s="28" t="s">
        <v>1405</v>
      </c>
      <c r="L141" s="28" t="s">
        <v>1406</v>
      </c>
      <c r="M141" s="28">
        <v>80000</v>
      </c>
      <c r="N141" s="28" t="s">
        <v>1387</v>
      </c>
      <c r="O141" s="28">
        <v>0</v>
      </c>
      <c r="P141" s="29" t="s">
        <v>1407</v>
      </c>
    </row>
    <row r="142" spans="3:16" ht="36.75" thickBot="1" x14ac:dyDescent="0.3">
      <c r="C142" s="27" t="s">
        <v>1509</v>
      </c>
      <c r="D142" s="28">
        <v>135</v>
      </c>
      <c r="E142" s="28" t="s">
        <v>1402</v>
      </c>
      <c r="F142" s="28" t="s">
        <v>849</v>
      </c>
      <c r="G142" s="28" t="s">
        <v>1404</v>
      </c>
      <c r="H142" s="28" t="s">
        <v>97</v>
      </c>
      <c r="I142" s="28" t="s">
        <v>91</v>
      </c>
      <c r="J142" s="28" t="s">
        <v>1951</v>
      </c>
      <c r="K142" s="28" t="s">
        <v>1405</v>
      </c>
      <c r="L142" s="28" t="s">
        <v>1406</v>
      </c>
      <c r="M142" s="28">
        <v>33939.660000000003</v>
      </c>
      <c r="N142" s="28" t="s">
        <v>1387</v>
      </c>
      <c r="O142" s="28">
        <v>0</v>
      </c>
      <c r="P142" s="29" t="s">
        <v>1407</v>
      </c>
    </row>
    <row r="143" spans="3:16" ht="36.75" thickBot="1" x14ac:dyDescent="0.3">
      <c r="C143" s="27" t="s">
        <v>1509</v>
      </c>
      <c r="D143" s="28">
        <v>136</v>
      </c>
      <c r="E143" s="28" t="s">
        <v>1402</v>
      </c>
      <c r="F143" s="28" t="s">
        <v>851</v>
      </c>
      <c r="G143" s="28" t="s">
        <v>1404</v>
      </c>
      <c r="H143" s="28" t="s">
        <v>97</v>
      </c>
      <c r="I143" s="28" t="s">
        <v>91</v>
      </c>
      <c r="J143" s="28" t="s">
        <v>1951</v>
      </c>
      <c r="K143" s="28" t="s">
        <v>1405</v>
      </c>
      <c r="L143" s="28" t="s">
        <v>1406</v>
      </c>
      <c r="M143" s="28">
        <v>990000</v>
      </c>
      <c r="N143" s="28" t="s">
        <v>1387</v>
      </c>
      <c r="O143" s="28">
        <v>0</v>
      </c>
      <c r="P143" s="29" t="s">
        <v>1407</v>
      </c>
    </row>
    <row r="144" spans="3:16" ht="36.75" thickBot="1" x14ac:dyDescent="0.3">
      <c r="C144" s="27" t="s">
        <v>1509</v>
      </c>
      <c r="D144" s="28">
        <v>137</v>
      </c>
      <c r="E144" s="28" t="s">
        <v>1402</v>
      </c>
      <c r="F144" s="28" t="s">
        <v>852</v>
      </c>
      <c r="G144" s="28" t="s">
        <v>1404</v>
      </c>
      <c r="H144" s="28" t="s">
        <v>97</v>
      </c>
      <c r="I144" s="28" t="s">
        <v>91</v>
      </c>
      <c r="J144" s="28" t="s">
        <v>1951</v>
      </c>
      <c r="K144" s="28" t="s">
        <v>1405</v>
      </c>
      <c r="L144" s="28" t="s">
        <v>1406</v>
      </c>
      <c r="M144" s="28">
        <v>794000</v>
      </c>
      <c r="N144" s="28" t="s">
        <v>1387</v>
      </c>
      <c r="O144" s="28">
        <v>0</v>
      </c>
      <c r="P144" s="29" t="s">
        <v>1407</v>
      </c>
    </row>
    <row r="145" spans="3:16" ht="36.75" thickBot="1" x14ac:dyDescent="0.3">
      <c r="C145" s="27" t="s">
        <v>1509</v>
      </c>
      <c r="D145" s="28">
        <v>138</v>
      </c>
      <c r="E145" s="28" t="s">
        <v>1402</v>
      </c>
      <c r="F145" s="28" t="s">
        <v>285</v>
      </c>
      <c r="G145" s="28" t="s">
        <v>1404</v>
      </c>
      <c r="H145" s="28" t="s">
        <v>97</v>
      </c>
      <c r="I145" s="28" t="s">
        <v>91</v>
      </c>
      <c r="J145" s="28" t="s">
        <v>1951</v>
      </c>
      <c r="K145" s="28" t="s">
        <v>1405</v>
      </c>
      <c r="L145" s="28" t="s">
        <v>1406</v>
      </c>
      <c r="M145" s="28">
        <v>346000</v>
      </c>
      <c r="N145" s="28" t="s">
        <v>1387</v>
      </c>
      <c r="O145" s="28">
        <v>0</v>
      </c>
      <c r="P145" s="29" t="s">
        <v>1407</v>
      </c>
    </row>
    <row r="146" spans="3:16" ht="36.75" thickBot="1" x14ac:dyDescent="0.3">
      <c r="C146" s="27" t="s">
        <v>1509</v>
      </c>
      <c r="D146" s="28">
        <v>139</v>
      </c>
      <c r="E146" s="28" t="s">
        <v>1402</v>
      </c>
      <c r="F146" s="28" t="s">
        <v>854</v>
      </c>
      <c r="G146" s="28" t="s">
        <v>1404</v>
      </c>
      <c r="H146" s="28" t="s">
        <v>97</v>
      </c>
      <c r="I146" s="28" t="s">
        <v>91</v>
      </c>
      <c r="J146" s="28" t="s">
        <v>1951</v>
      </c>
      <c r="K146" s="28" t="s">
        <v>1405</v>
      </c>
      <c r="L146" s="28" t="s">
        <v>1406</v>
      </c>
      <c r="M146" s="28">
        <v>45500</v>
      </c>
      <c r="N146" s="28" t="s">
        <v>1387</v>
      </c>
      <c r="O146" s="28">
        <v>0</v>
      </c>
      <c r="P146" s="29" t="s">
        <v>1407</v>
      </c>
    </row>
    <row r="147" spans="3:16" ht="36.75" thickBot="1" x14ac:dyDescent="0.3">
      <c r="C147" s="27" t="s">
        <v>1509</v>
      </c>
      <c r="D147" s="28">
        <v>140</v>
      </c>
      <c r="E147" s="28" t="s">
        <v>1402</v>
      </c>
      <c r="F147" s="28" t="s">
        <v>855</v>
      </c>
      <c r="G147" s="28" t="s">
        <v>1404</v>
      </c>
      <c r="H147" s="28" t="s">
        <v>97</v>
      </c>
      <c r="I147" s="28" t="s">
        <v>91</v>
      </c>
      <c r="J147" s="28" t="s">
        <v>1951</v>
      </c>
      <c r="K147" s="28" t="s">
        <v>1405</v>
      </c>
      <c r="L147" s="28" t="s">
        <v>1406</v>
      </c>
      <c r="M147" s="28">
        <v>33452.75</v>
      </c>
      <c r="N147" s="28" t="s">
        <v>1387</v>
      </c>
      <c r="O147" s="28">
        <v>0</v>
      </c>
      <c r="P147" s="29" t="s">
        <v>1407</v>
      </c>
    </row>
    <row r="148" spans="3:16" ht="36.75" thickBot="1" x14ac:dyDescent="0.3">
      <c r="C148" s="27" t="s">
        <v>1509</v>
      </c>
      <c r="D148" s="28">
        <v>141</v>
      </c>
      <c r="E148" s="28" t="s">
        <v>1402</v>
      </c>
      <c r="F148" s="28" t="s">
        <v>856</v>
      </c>
      <c r="G148" s="28" t="s">
        <v>1404</v>
      </c>
      <c r="H148" s="28" t="s">
        <v>97</v>
      </c>
      <c r="I148" s="28" t="s">
        <v>91</v>
      </c>
      <c r="J148" s="28" t="s">
        <v>1951</v>
      </c>
      <c r="K148" s="28" t="s">
        <v>1405</v>
      </c>
      <c r="L148" s="28" t="s">
        <v>1406</v>
      </c>
      <c r="M148" s="28">
        <v>95000</v>
      </c>
      <c r="N148" s="28" t="s">
        <v>1387</v>
      </c>
      <c r="O148" s="28">
        <v>0</v>
      </c>
      <c r="P148" s="29" t="s">
        <v>1407</v>
      </c>
    </row>
    <row r="149" spans="3:16" ht="36.75" thickBot="1" x14ac:dyDescent="0.3">
      <c r="C149" s="27" t="s">
        <v>1509</v>
      </c>
      <c r="D149" s="28">
        <v>142</v>
      </c>
      <c r="E149" s="28" t="s">
        <v>1402</v>
      </c>
      <c r="F149" s="28" t="s">
        <v>463</v>
      </c>
      <c r="G149" s="28" t="s">
        <v>1404</v>
      </c>
      <c r="H149" s="28" t="s">
        <v>97</v>
      </c>
      <c r="I149" s="28" t="s">
        <v>91</v>
      </c>
      <c r="J149" s="28" t="s">
        <v>1951</v>
      </c>
      <c r="K149" s="28" t="s">
        <v>1405</v>
      </c>
      <c r="L149" s="28" t="s">
        <v>1406</v>
      </c>
      <c r="M149" s="28">
        <v>22804.84</v>
      </c>
      <c r="N149" s="28" t="s">
        <v>1387</v>
      </c>
      <c r="O149" s="28">
        <v>0</v>
      </c>
      <c r="P149" s="29" t="s">
        <v>1407</v>
      </c>
    </row>
    <row r="150" spans="3:16" ht="36.75" thickBot="1" x14ac:dyDescent="0.3">
      <c r="C150" s="27" t="s">
        <v>1509</v>
      </c>
      <c r="D150" s="28">
        <v>143</v>
      </c>
      <c r="E150" s="28" t="s">
        <v>1402</v>
      </c>
      <c r="F150" s="28" t="s">
        <v>857</v>
      </c>
      <c r="G150" s="28" t="s">
        <v>1404</v>
      </c>
      <c r="H150" s="28" t="s">
        <v>97</v>
      </c>
      <c r="I150" s="28" t="s">
        <v>91</v>
      </c>
      <c r="J150" s="28" t="s">
        <v>1951</v>
      </c>
      <c r="K150" s="28" t="s">
        <v>1405</v>
      </c>
      <c r="L150" s="28" t="s">
        <v>1406</v>
      </c>
      <c r="M150" s="28">
        <v>30000</v>
      </c>
      <c r="N150" s="28" t="s">
        <v>1387</v>
      </c>
      <c r="O150" s="28">
        <v>0</v>
      </c>
      <c r="P150" s="29" t="s">
        <v>1407</v>
      </c>
    </row>
    <row r="151" spans="3:16" ht="36.75" thickBot="1" x14ac:dyDescent="0.3">
      <c r="C151" s="27" t="s">
        <v>1509</v>
      </c>
      <c r="D151" s="28">
        <v>144</v>
      </c>
      <c r="E151" s="28" t="s">
        <v>1402</v>
      </c>
      <c r="F151" s="28" t="s">
        <v>858</v>
      </c>
      <c r="G151" s="28" t="s">
        <v>1404</v>
      </c>
      <c r="H151" s="28" t="s">
        <v>97</v>
      </c>
      <c r="I151" s="28" t="s">
        <v>91</v>
      </c>
      <c r="J151" s="28" t="s">
        <v>1951</v>
      </c>
      <c r="K151" s="28" t="s">
        <v>1405</v>
      </c>
      <c r="L151" s="28" t="s">
        <v>1406</v>
      </c>
      <c r="M151" s="28">
        <v>1104.17</v>
      </c>
      <c r="N151" s="28" t="s">
        <v>1387</v>
      </c>
      <c r="O151" s="28">
        <v>0</v>
      </c>
      <c r="P151" s="29" t="s">
        <v>1407</v>
      </c>
    </row>
    <row r="152" spans="3:16" ht="36.75" thickBot="1" x14ac:dyDescent="0.3">
      <c r="C152" s="27" t="s">
        <v>1509</v>
      </c>
      <c r="D152" s="28">
        <v>145</v>
      </c>
      <c r="E152" s="28" t="s">
        <v>1402</v>
      </c>
      <c r="F152" s="28" t="s">
        <v>860</v>
      </c>
      <c r="G152" s="28" t="s">
        <v>1404</v>
      </c>
      <c r="H152" s="28" t="s">
        <v>97</v>
      </c>
      <c r="I152" s="28" t="s">
        <v>91</v>
      </c>
      <c r="J152" s="28" t="s">
        <v>1951</v>
      </c>
      <c r="K152" s="28" t="s">
        <v>1405</v>
      </c>
      <c r="L152" s="28" t="s">
        <v>1406</v>
      </c>
      <c r="M152" s="28">
        <v>25500</v>
      </c>
      <c r="N152" s="28" t="s">
        <v>1387</v>
      </c>
      <c r="O152" s="28">
        <v>0</v>
      </c>
      <c r="P152" s="29" t="s">
        <v>1407</v>
      </c>
    </row>
    <row r="153" spans="3:16" ht="36.75" thickBot="1" x14ac:dyDescent="0.3">
      <c r="C153" s="27" t="s">
        <v>1509</v>
      </c>
      <c r="D153" s="28">
        <v>146</v>
      </c>
      <c r="E153" s="28" t="s">
        <v>1402</v>
      </c>
      <c r="F153" s="28" t="s">
        <v>190</v>
      </c>
      <c r="G153" s="28" t="s">
        <v>1404</v>
      </c>
      <c r="H153" s="28" t="s">
        <v>97</v>
      </c>
      <c r="I153" s="28" t="s">
        <v>91</v>
      </c>
      <c r="J153" s="28" t="s">
        <v>1951</v>
      </c>
      <c r="K153" s="28" t="s">
        <v>1405</v>
      </c>
      <c r="L153" s="28" t="s">
        <v>1406</v>
      </c>
      <c r="M153" s="28">
        <v>550000</v>
      </c>
      <c r="N153" s="28" t="s">
        <v>1387</v>
      </c>
      <c r="O153" s="28">
        <v>0</v>
      </c>
      <c r="P153" s="29" t="s">
        <v>1407</v>
      </c>
    </row>
    <row r="154" spans="3:16" ht="36.75" thickBot="1" x14ac:dyDescent="0.3">
      <c r="C154" s="27" t="s">
        <v>1509</v>
      </c>
      <c r="D154" s="28">
        <v>147</v>
      </c>
      <c r="E154" s="28" t="s">
        <v>1402</v>
      </c>
      <c r="F154" s="28" t="s">
        <v>863</v>
      </c>
      <c r="G154" s="28" t="s">
        <v>1404</v>
      </c>
      <c r="H154" s="28" t="s">
        <v>97</v>
      </c>
      <c r="I154" s="28" t="s">
        <v>91</v>
      </c>
      <c r="J154" s="28" t="s">
        <v>1951</v>
      </c>
      <c r="K154" s="28" t="s">
        <v>1405</v>
      </c>
      <c r="L154" s="28" t="s">
        <v>1406</v>
      </c>
      <c r="M154" s="28">
        <v>59474.02</v>
      </c>
      <c r="N154" s="28" t="s">
        <v>1387</v>
      </c>
      <c r="O154" s="28">
        <v>0</v>
      </c>
      <c r="P154" s="29" t="s">
        <v>1407</v>
      </c>
    </row>
    <row r="155" spans="3:16" ht="36.75" thickBot="1" x14ac:dyDescent="0.3">
      <c r="C155" s="27" t="s">
        <v>1509</v>
      </c>
      <c r="D155" s="28">
        <v>148</v>
      </c>
      <c r="E155" s="28" t="s">
        <v>1402</v>
      </c>
      <c r="F155" s="28" t="s">
        <v>866</v>
      </c>
      <c r="G155" s="28" t="s">
        <v>1404</v>
      </c>
      <c r="H155" s="28" t="s">
        <v>97</v>
      </c>
      <c r="I155" s="28" t="s">
        <v>91</v>
      </c>
      <c r="J155" s="28" t="s">
        <v>1951</v>
      </c>
      <c r="K155" s="28" t="s">
        <v>1405</v>
      </c>
      <c r="L155" s="28" t="s">
        <v>1406</v>
      </c>
      <c r="M155" s="28">
        <v>38115</v>
      </c>
      <c r="N155" s="28" t="s">
        <v>1387</v>
      </c>
      <c r="O155" s="28">
        <v>0</v>
      </c>
      <c r="P155" s="29" t="s">
        <v>1407</v>
      </c>
    </row>
    <row r="156" spans="3:16" ht="36.75" thickBot="1" x14ac:dyDescent="0.3">
      <c r="C156" s="27" t="s">
        <v>1509</v>
      </c>
      <c r="D156" s="28">
        <v>149</v>
      </c>
      <c r="E156" s="28" t="s">
        <v>1402</v>
      </c>
      <c r="F156" s="28" t="s">
        <v>464</v>
      </c>
      <c r="G156" s="28" t="s">
        <v>1404</v>
      </c>
      <c r="H156" s="28" t="s">
        <v>97</v>
      </c>
      <c r="I156" s="28" t="s">
        <v>91</v>
      </c>
      <c r="J156" s="28" t="s">
        <v>1951</v>
      </c>
      <c r="K156" s="28" t="s">
        <v>1405</v>
      </c>
      <c r="L156" s="28" t="s">
        <v>1406</v>
      </c>
      <c r="M156" s="28">
        <v>18165.150000000001</v>
      </c>
      <c r="N156" s="28" t="s">
        <v>1387</v>
      </c>
      <c r="O156" s="28">
        <v>0</v>
      </c>
      <c r="P156" s="29" t="s">
        <v>1407</v>
      </c>
    </row>
    <row r="157" spans="3:16" ht="36.75" thickBot="1" x14ac:dyDescent="0.3">
      <c r="C157" s="27" t="s">
        <v>1509</v>
      </c>
      <c r="D157" s="28">
        <v>150</v>
      </c>
      <c r="E157" s="28" t="s">
        <v>1402</v>
      </c>
      <c r="F157" s="28" t="s">
        <v>807</v>
      </c>
      <c r="G157" s="28" t="s">
        <v>1404</v>
      </c>
      <c r="H157" s="28" t="s">
        <v>97</v>
      </c>
      <c r="I157" s="28" t="s">
        <v>91</v>
      </c>
      <c r="J157" s="28" t="s">
        <v>1951</v>
      </c>
      <c r="K157" s="28" t="s">
        <v>1405</v>
      </c>
      <c r="L157" s="28" t="s">
        <v>1406</v>
      </c>
      <c r="M157" s="28">
        <v>81816.899999999994</v>
      </c>
      <c r="N157" s="28" t="s">
        <v>1387</v>
      </c>
      <c r="O157" s="28">
        <v>0</v>
      </c>
      <c r="P157" s="29" t="s">
        <v>1407</v>
      </c>
    </row>
    <row r="158" spans="3:16" ht="36.75" thickBot="1" x14ac:dyDescent="0.3">
      <c r="C158" s="27" t="s">
        <v>1509</v>
      </c>
      <c r="D158" s="28">
        <v>151</v>
      </c>
      <c r="E158" s="28" t="s">
        <v>1402</v>
      </c>
      <c r="F158" s="28" t="s">
        <v>196</v>
      </c>
      <c r="G158" s="28" t="s">
        <v>1404</v>
      </c>
      <c r="H158" s="28" t="s">
        <v>97</v>
      </c>
      <c r="I158" s="28" t="s">
        <v>91</v>
      </c>
      <c r="J158" s="28" t="s">
        <v>1951</v>
      </c>
      <c r="K158" s="28" t="s">
        <v>1405</v>
      </c>
      <c r="L158" s="28" t="s">
        <v>1406</v>
      </c>
      <c r="M158" s="28">
        <v>1457.7</v>
      </c>
      <c r="N158" s="28" t="s">
        <v>1387</v>
      </c>
      <c r="O158" s="28">
        <v>0</v>
      </c>
      <c r="P158" s="29" t="s">
        <v>1407</v>
      </c>
    </row>
    <row r="159" spans="3:16" ht="36.75" thickBot="1" x14ac:dyDescent="0.3">
      <c r="C159" s="27" t="s">
        <v>1509</v>
      </c>
      <c r="D159" s="28">
        <v>152</v>
      </c>
      <c r="E159" s="28" t="s">
        <v>1402</v>
      </c>
      <c r="F159" s="28" t="s">
        <v>809</v>
      </c>
      <c r="G159" s="28" t="s">
        <v>1404</v>
      </c>
      <c r="H159" s="28" t="s">
        <v>97</v>
      </c>
      <c r="I159" s="28" t="s">
        <v>91</v>
      </c>
      <c r="J159" s="28" t="s">
        <v>1951</v>
      </c>
      <c r="K159" s="28" t="s">
        <v>1405</v>
      </c>
      <c r="L159" s="28" t="s">
        <v>1406</v>
      </c>
      <c r="M159" s="28">
        <v>542339.29</v>
      </c>
      <c r="N159" s="28" t="s">
        <v>1387</v>
      </c>
      <c r="O159" s="28">
        <v>0</v>
      </c>
      <c r="P159" s="29" t="s">
        <v>1407</v>
      </c>
    </row>
    <row r="160" spans="3:16" ht="36.75" thickBot="1" x14ac:dyDescent="0.3">
      <c r="C160" s="27" t="s">
        <v>1509</v>
      </c>
      <c r="D160" s="28">
        <v>153</v>
      </c>
      <c r="E160" s="28" t="s">
        <v>1402</v>
      </c>
      <c r="F160" s="28" t="s">
        <v>485</v>
      </c>
      <c r="G160" s="28" t="s">
        <v>1404</v>
      </c>
      <c r="H160" s="28" t="s">
        <v>97</v>
      </c>
      <c r="I160" s="28" t="s">
        <v>91</v>
      </c>
      <c r="J160" s="28" t="s">
        <v>1951</v>
      </c>
      <c r="K160" s="28" t="s">
        <v>1405</v>
      </c>
      <c r="L160" s="28" t="s">
        <v>1406</v>
      </c>
      <c r="M160" s="28">
        <v>122180</v>
      </c>
      <c r="N160" s="28" t="s">
        <v>1387</v>
      </c>
      <c r="O160" s="28">
        <v>0</v>
      </c>
      <c r="P160" s="29" t="s">
        <v>1407</v>
      </c>
    </row>
    <row r="161" spans="3:16" ht="36.75" thickBot="1" x14ac:dyDescent="0.3">
      <c r="C161" s="27" t="s">
        <v>1509</v>
      </c>
      <c r="D161" s="28">
        <v>154</v>
      </c>
      <c r="E161" s="28" t="s">
        <v>1402</v>
      </c>
      <c r="F161" s="28" t="s">
        <v>301</v>
      </c>
      <c r="G161" s="28" t="s">
        <v>1404</v>
      </c>
      <c r="H161" s="28" t="s">
        <v>97</v>
      </c>
      <c r="I161" s="28" t="s">
        <v>91</v>
      </c>
      <c r="J161" s="28" t="s">
        <v>1951</v>
      </c>
      <c r="K161" s="28" t="s">
        <v>1405</v>
      </c>
      <c r="L161" s="28" t="s">
        <v>1406</v>
      </c>
      <c r="M161" s="28">
        <v>8500</v>
      </c>
      <c r="N161" s="28" t="s">
        <v>1387</v>
      </c>
      <c r="O161" s="28">
        <v>0</v>
      </c>
      <c r="P161" s="29" t="s">
        <v>1407</v>
      </c>
    </row>
    <row r="162" spans="3:16" ht="36.75" thickBot="1" x14ac:dyDescent="0.3">
      <c r="C162" s="27" t="s">
        <v>1509</v>
      </c>
      <c r="D162" s="28">
        <v>155</v>
      </c>
      <c r="E162" s="28" t="s">
        <v>1402</v>
      </c>
      <c r="F162" s="28" t="s">
        <v>739</v>
      </c>
      <c r="G162" s="28" t="s">
        <v>1404</v>
      </c>
      <c r="H162" s="28" t="s">
        <v>97</v>
      </c>
      <c r="I162" s="28" t="s">
        <v>91</v>
      </c>
      <c r="J162" s="28" t="s">
        <v>1951</v>
      </c>
      <c r="K162" s="28" t="s">
        <v>1405</v>
      </c>
      <c r="L162" s="28" t="s">
        <v>1406</v>
      </c>
      <c r="M162" s="28">
        <v>60000</v>
      </c>
      <c r="N162" s="28" t="s">
        <v>1387</v>
      </c>
      <c r="O162" s="28">
        <v>0</v>
      </c>
      <c r="P162" s="29" t="s">
        <v>1407</v>
      </c>
    </row>
    <row r="163" spans="3:16" ht="36.75" thickBot="1" x14ac:dyDescent="0.3">
      <c r="C163" s="27" t="s">
        <v>1509</v>
      </c>
      <c r="D163" s="28">
        <v>156</v>
      </c>
      <c r="E163" s="28" t="s">
        <v>1402</v>
      </c>
      <c r="F163" s="28" t="s">
        <v>486</v>
      </c>
      <c r="G163" s="28" t="s">
        <v>1404</v>
      </c>
      <c r="H163" s="28" t="s">
        <v>97</v>
      </c>
      <c r="I163" s="28" t="s">
        <v>91</v>
      </c>
      <c r="J163" s="28" t="s">
        <v>1951</v>
      </c>
      <c r="K163" s="28" t="s">
        <v>1405</v>
      </c>
      <c r="L163" s="28" t="s">
        <v>1406</v>
      </c>
      <c r="M163" s="28">
        <v>4013233.53</v>
      </c>
      <c r="N163" s="28" t="s">
        <v>1387</v>
      </c>
      <c r="O163" s="28">
        <v>0</v>
      </c>
      <c r="P163" s="29" t="s">
        <v>1407</v>
      </c>
    </row>
    <row r="164" spans="3:16" ht="36.75" thickBot="1" x14ac:dyDescent="0.3">
      <c r="C164" s="27" t="s">
        <v>1509</v>
      </c>
      <c r="D164" s="28">
        <v>157</v>
      </c>
      <c r="E164" s="28" t="s">
        <v>1402</v>
      </c>
      <c r="F164" s="28" t="s">
        <v>456</v>
      </c>
      <c r="G164" s="28" t="s">
        <v>1404</v>
      </c>
      <c r="H164" s="28" t="s">
        <v>97</v>
      </c>
      <c r="I164" s="28" t="s">
        <v>91</v>
      </c>
      <c r="J164" s="28" t="s">
        <v>1951</v>
      </c>
      <c r="K164" s="28" t="s">
        <v>1405</v>
      </c>
      <c r="L164" s="28" t="s">
        <v>1406</v>
      </c>
      <c r="M164" s="28">
        <v>196823</v>
      </c>
      <c r="N164" s="28" t="s">
        <v>1387</v>
      </c>
      <c r="O164" s="28">
        <v>0</v>
      </c>
      <c r="P164" s="29" t="s">
        <v>1407</v>
      </c>
    </row>
    <row r="165" spans="3:16" ht="36.75" thickBot="1" x14ac:dyDescent="0.3">
      <c r="C165" s="27" t="s">
        <v>1509</v>
      </c>
      <c r="D165" s="28">
        <v>158</v>
      </c>
      <c r="E165" s="28" t="s">
        <v>1402</v>
      </c>
      <c r="F165" s="28" t="s">
        <v>147</v>
      </c>
      <c r="G165" s="28" t="s">
        <v>1404</v>
      </c>
      <c r="H165" s="28" t="s">
        <v>97</v>
      </c>
      <c r="I165" s="28" t="s">
        <v>91</v>
      </c>
      <c r="J165" s="28" t="s">
        <v>1951</v>
      </c>
      <c r="K165" s="28" t="s">
        <v>1405</v>
      </c>
      <c r="L165" s="28" t="s">
        <v>1406</v>
      </c>
      <c r="M165" s="28">
        <v>49205.75</v>
      </c>
      <c r="N165" s="28" t="s">
        <v>1387</v>
      </c>
      <c r="O165" s="28">
        <v>0</v>
      </c>
      <c r="P165" s="29" t="s">
        <v>1407</v>
      </c>
    </row>
    <row r="166" spans="3:16" ht="36.75" thickBot="1" x14ac:dyDescent="0.3">
      <c r="C166" s="27" t="s">
        <v>1509</v>
      </c>
      <c r="D166" s="28">
        <v>159</v>
      </c>
      <c r="E166" s="28" t="s">
        <v>1402</v>
      </c>
      <c r="F166" s="28" t="s">
        <v>813</v>
      </c>
      <c r="G166" s="28" t="s">
        <v>1404</v>
      </c>
      <c r="H166" s="28" t="s">
        <v>97</v>
      </c>
      <c r="I166" s="28" t="s">
        <v>91</v>
      </c>
      <c r="J166" s="28" t="s">
        <v>1951</v>
      </c>
      <c r="K166" s="28" t="s">
        <v>1405</v>
      </c>
      <c r="L166" s="28" t="s">
        <v>1406</v>
      </c>
      <c r="M166" s="28">
        <v>23182.560000000001</v>
      </c>
      <c r="N166" s="28" t="s">
        <v>1387</v>
      </c>
      <c r="O166" s="28">
        <v>0</v>
      </c>
      <c r="P166" s="29" t="s">
        <v>1407</v>
      </c>
    </row>
    <row r="167" spans="3:16" ht="36.75" thickBot="1" x14ac:dyDescent="0.3">
      <c r="C167" s="27" t="s">
        <v>1509</v>
      </c>
      <c r="D167" s="28">
        <v>160</v>
      </c>
      <c r="E167" s="28" t="s">
        <v>1402</v>
      </c>
      <c r="F167" s="28" t="s">
        <v>488</v>
      </c>
      <c r="G167" s="28" t="s">
        <v>1404</v>
      </c>
      <c r="H167" s="28" t="s">
        <v>97</v>
      </c>
      <c r="I167" s="28" t="s">
        <v>91</v>
      </c>
      <c r="J167" s="28" t="s">
        <v>1951</v>
      </c>
      <c r="K167" s="28" t="s">
        <v>1405</v>
      </c>
      <c r="L167" s="28" t="s">
        <v>1406</v>
      </c>
      <c r="M167" s="28">
        <v>11750</v>
      </c>
      <c r="N167" s="28" t="s">
        <v>1387</v>
      </c>
      <c r="O167" s="28">
        <v>0</v>
      </c>
      <c r="P167" s="29" t="s">
        <v>1407</v>
      </c>
    </row>
    <row r="168" spans="3:16" ht="36.75" thickBot="1" x14ac:dyDescent="0.3">
      <c r="C168" s="27" t="s">
        <v>1509</v>
      </c>
      <c r="D168" s="28">
        <v>161</v>
      </c>
      <c r="E168" s="28" t="s">
        <v>1402</v>
      </c>
      <c r="F168" s="28" t="s">
        <v>754</v>
      </c>
      <c r="G168" s="28" t="s">
        <v>1404</v>
      </c>
      <c r="H168" s="28" t="s">
        <v>97</v>
      </c>
      <c r="I168" s="28" t="s">
        <v>91</v>
      </c>
      <c r="J168" s="28" t="s">
        <v>1951</v>
      </c>
      <c r="K168" s="28" t="s">
        <v>1405</v>
      </c>
      <c r="L168" s="28" t="s">
        <v>1406</v>
      </c>
      <c r="M168" s="28">
        <v>9314.65</v>
      </c>
      <c r="N168" s="28" t="s">
        <v>1387</v>
      </c>
      <c r="O168" s="28">
        <v>0</v>
      </c>
      <c r="P168" s="29" t="s">
        <v>1407</v>
      </c>
    </row>
    <row r="169" spans="3:16" ht="36.75" thickBot="1" x14ac:dyDescent="0.3">
      <c r="C169" s="27" t="s">
        <v>1509</v>
      </c>
      <c r="D169" s="28">
        <v>162</v>
      </c>
      <c r="E169" s="28" t="s">
        <v>1402</v>
      </c>
      <c r="F169" s="28" t="s">
        <v>303</v>
      </c>
      <c r="G169" s="28" t="s">
        <v>1404</v>
      </c>
      <c r="H169" s="28" t="s">
        <v>97</v>
      </c>
      <c r="I169" s="28" t="s">
        <v>91</v>
      </c>
      <c r="J169" s="28" t="s">
        <v>1951</v>
      </c>
      <c r="K169" s="28" t="s">
        <v>1405</v>
      </c>
      <c r="L169" s="28" t="s">
        <v>1406</v>
      </c>
      <c r="M169" s="28">
        <v>16098.1</v>
      </c>
      <c r="N169" s="28" t="s">
        <v>1387</v>
      </c>
      <c r="O169" s="28">
        <v>0</v>
      </c>
      <c r="P169" s="29" t="s">
        <v>1407</v>
      </c>
    </row>
    <row r="170" spans="3:16" ht="36.75" thickBot="1" x14ac:dyDescent="0.3">
      <c r="C170" s="27" t="s">
        <v>1509</v>
      </c>
      <c r="D170" s="28">
        <v>163</v>
      </c>
      <c r="E170" s="28" t="s">
        <v>1402</v>
      </c>
      <c r="F170" s="28" t="s">
        <v>189</v>
      </c>
      <c r="G170" s="28" t="s">
        <v>1404</v>
      </c>
      <c r="H170" s="28" t="s">
        <v>97</v>
      </c>
      <c r="I170" s="28" t="s">
        <v>91</v>
      </c>
      <c r="J170" s="28" t="s">
        <v>1951</v>
      </c>
      <c r="K170" s="28" t="s">
        <v>1405</v>
      </c>
      <c r="L170" s="28" t="s">
        <v>1406</v>
      </c>
      <c r="M170" s="28">
        <v>150000</v>
      </c>
      <c r="N170" s="28" t="s">
        <v>1387</v>
      </c>
      <c r="O170" s="28">
        <v>0</v>
      </c>
      <c r="P170" s="29" t="s">
        <v>1407</v>
      </c>
    </row>
    <row r="171" spans="3:16" ht="36.75" thickBot="1" x14ac:dyDescent="0.3">
      <c r="C171" s="27" t="s">
        <v>1509</v>
      </c>
      <c r="D171" s="28">
        <v>164</v>
      </c>
      <c r="E171" s="28" t="s">
        <v>1402</v>
      </c>
      <c r="F171" s="28" t="s">
        <v>198</v>
      </c>
      <c r="G171" s="28" t="s">
        <v>1404</v>
      </c>
      <c r="H171" s="28" t="s">
        <v>97</v>
      </c>
      <c r="I171" s="28" t="s">
        <v>91</v>
      </c>
      <c r="J171" s="28" t="s">
        <v>1951</v>
      </c>
      <c r="K171" s="28" t="s">
        <v>1405</v>
      </c>
      <c r="L171" s="28" t="s">
        <v>1406</v>
      </c>
      <c r="M171" s="28">
        <v>30000</v>
      </c>
      <c r="N171" s="28" t="s">
        <v>1387</v>
      </c>
      <c r="O171" s="28">
        <v>0</v>
      </c>
      <c r="P171" s="29" t="s">
        <v>1407</v>
      </c>
    </row>
    <row r="172" spans="3:16" ht="36.75" thickBot="1" x14ac:dyDescent="0.3">
      <c r="C172" s="27" t="s">
        <v>1509</v>
      </c>
      <c r="D172" s="28">
        <v>165</v>
      </c>
      <c r="E172" s="28" t="s">
        <v>1402</v>
      </c>
      <c r="F172" s="28" t="s">
        <v>818</v>
      </c>
      <c r="G172" s="28" t="s">
        <v>1404</v>
      </c>
      <c r="H172" s="28" t="s">
        <v>97</v>
      </c>
      <c r="I172" s="28" t="s">
        <v>91</v>
      </c>
      <c r="J172" s="28" t="s">
        <v>1951</v>
      </c>
      <c r="K172" s="28" t="s">
        <v>1405</v>
      </c>
      <c r="L172" s="28" t="s">
        <v>1406</v>
      </c>
      <c r="M172" s="28">
        <v>137855.19</v>
      </c>
      <c r="N172" s="28" t="s">
        <v>1387</v>
      </c>
      <c r="O172" s="28">
        <v>0</v>
      </c>
      <c r="P172" s="29" t="s">
        <v>1407</v>
      </c>
    </row>
    <row r="173" spans="3:16" ht="36.75" thickBot="1" x14ac:dyDescent="0.3">
      <c r="C173" s="27" t="s">
        <v>1509</v>
      </c>
      <c r="D173" s="28">
        <v>166</v>
      </c>
      <c r="E173" s="28" t="s">
        <v>1402</v>
      </c>
      <c r="F173" s="28" t="s">
        <v>492</v>
      </c>
      <c r="G173" s="28" t="s">
        <v>1404</v>
      </c>
      <c r="H173" s="28" t="s">
        <v>97</v>
      </c>
      <c r="I173" s="28" t="s">
        <v>91</v>
      </c>
      <c r="J173" s="28" t="s">
        <v>1951</v>
      </c>
      <c r="K173" s="28" t="s">
        <v>1405</v>
      </c>
      <c r="L173" s="28" t="s">
        <v>1406</v>
      </c>
      <c r="M173" s="28">
        <v>61590</v>
      </c>
      <c r="N173" s="28" t="s">
        <v>1387</v>
      </c>
      <c r="O173" s="28">
        <v>0</v>
      </c>
      <c r="P173" s="29" t="s">
        <v>1407</v>
      </c>
    </row>
    <row r="174" spans="3:16" ht="36.75" thickBot="1" x14ac:dyDescent="0.3">
      <c r="C174" s="27" t="s">
        <v>1509</v>
      </c>
      <c r="D174" s="28">
        <v>167</v>
      </c>
      <c r="E174" s="28" t="s">
        <v>1402</v>
      </c>
      <c r="F174" s="28" t="s">
        <v>755</v>
      </c>
      <c r="G174" s="28" t="s">
        <v>1404</v>
      </c>
      <c r="H174" s="28" t="s">
        <v>97</v>
      </c>
      <c r="I174" s="28" t="s">
        <v>91</v>
      </c>
      <c r="J174" s="28" t="s">
        <v>1951</v>
      </c>
      <c r="K174" s="28" t="s">
        <v>1405</v>
      </c>
      <c r="L174" s="28" t="s">
        <v>1406</v>
      </c>
      <c r="M174" s="28">
        <v>61590</v>
      </c>
      <c r="N174" s="28" t="s">
        <v>1387</v>
      </c>
      <c r="O174" s="28">
        <v>0</v>
      </c>
      <c r="P174" s="29" t="s">
        <v>1407</v>
      </c>
    </row>
    <row r="175" spans="3:16" ht="36.75" thickBot="1" x14ac:dyDescent="0.3">
      <c r="C175" s="27" t="s">
        <v>1509</v>
      </c>
      <c r="D175" s="28">
        <v>168</v>
      </c>
      <c r="E175" s="28" t="s">
        <v>1402</v>
      </c>
      <c r="F175" s="28" t="s">
        <v>305</v>
      </c>
      <c r="G175" s="28" t="s">
        <v>1404</v>
      </c>
      <c r="H175" s="28" t="s">
        <v>97</v>
      </c>
      <c r="I175" s="28" t="s">
        <v>91</v>
      </c>
      <c r="J175" s="28" t="s">
        <v>1951</v>
      </c>
      <c r="K175" s="28" t="s">
        <v>1405</v>
      </c>
      <c r="L175" s="28" t="s">
        <v>1406</v>
      </c>
      <c r="M175" s="28">
        <v>61590</v>
      </c>
      <c r="N175" s="28" t="s">
        <v>1387</v>
      </c>
      <c r="O175" s="28">
        <v>0</v>
      </c>
      <c r="P175" s="29" t="s">
        <v>1407</v>
      </c>
    </row>
    <row r="176" spans="3:16" ht="36.75" thickBot="1" x14ac:dyDescent="0.3">
      <c r="C176" s="27" t="s">
        <v>1509</v>
      </c>
      <c r="D176" s="28">
        <v>169</v>
      </c>
      <c r="E176" s="28" t="s">
        <v>1402</v>
      </c>
      <c r="F176" s="28" t="s">
        <v>458</v>
      </c>
      <c r="G176" s="28" t="s">
        <v>1404</v>
      </c>
      <c r="H176" s="28" t="s">
        <v>97</v>
      </c>
      <c r="I176" s="28" t="s">
        <v>91</v>
      </c>
      <c r="J176" s="28" t="s">
        <v>1951</v>
      </c>
      <c r="K176" s="28" t="s">
        <v>1405</v>
      </c>
      <c r="L176" s="28" t="s">
        <v>1406</v>
      </c>
      <c r="M176" s="28">
        <v>32563.06</v>
      </c>
      <c r="N176" s="28" t="s">
        <v>1387</v>
      </c>
      <c r="O176" s="28">
        <v>0</v>
      </c>
      <c r="P176" s="29" t="s">
        <v>1407</v>
      </c>
    </row>
    <row r="177" spans="3:16" ht="36.75" thickBot="1" x14ac:dyDescent="0.3">
      <c r="C177" s="27" t="s">
        <v>1509</v>
      </c>
      <c r="D177" s="28">
        <v>170</v>
      </c>
      <c r="E177" s="28" t="s">
        <v>1402</v>
      </c>
      <c r="F177" s="28" t="s">
        <v>821</v>
      </c>
      <c r="G177" s="28" t="s">
        <v>1404</v>
      </c>
      <c r="H177" s="28" t="s">
        <v>97</v>
      </c>
      <c r="I177" s="28" t="s">
        <v>91</v>
      </c>
      <c r="J177" s="28" t="s">
        <v>1951</v>
      </c>
      <c r="K177" s="28" t="s">
        <v>1405</v>
      </c>
      <c r="L177" s="28" t="s">
        <v>1406</v>
      </c>
      <c r="M177" s="28">
        <v>6289.15</v>
      </c>
      <c r="N177" s="28" t="s">
        <v>1387</v>
      </c>
      <c r="O177" s="28">
        <v>0</v>
      </c>
      <c r="P177" s="29" t="s">
        <v>1407</v>
      </c>
    </row>
    <row r="178" spans="3:16" ht="36.75" thickBot="1" x14ac:dyDescent="0.3">
      <c r="C178" s="27" t="s">
        <v>1509</v>
      </c>
      <c r="D178" s="28">
        <v>171</v>
      </c>
      <c r="E178" s="28" t="s">
        <v>1402</v>
      </c>
      <c r="F178" s="28" t="s">
        <v>823</v>
      </c>
      <c r="G178" s="28" t="s">
        <v>1404</v>
      </c>
      <c r="H178" s="28" t="s">
        <v>97</v>
      </c>
      <c r="I178" s="28" t="s">
        <v>91</v>
      </c>
      <c r="J178" s="28" t="s">
        <v>1951</v>
      </c>
      <c r="K178" s="28" t="s">
        <v>1405</v>
      </c>
      <c r="L178" s="28" t="s">
        <v>1406</v>
      </c>
      <c r="M178" s="28">
        <v>20000</v>
      </c>
      <c r="N178" s="28" t="s">
        <v>1387</v>
      </c>
      <c r="O178" s="28">
        <v>0</v>
      </c>
      <c r="P178" s="29" t="s">
        <v>1407</v>
      </c>
    </row>
    <row r="179" spans="3:16" ht="36.75" thickBot="1" x14ac:dyDescent="0.3">
      <c r="C179" s="27" t="s">
        <v>1509</v>
      </c>
      <c r="D179" s="28">
        <v>172</v>
      </c>
      <c r="E179" s="28" t="s">
        <v>1402</v>
      </c>
      <c r="F179" s="28" t="s">
        <v>494</v>
      </c>
      <c r="G179" s="28" t="s">
        <v>1404</v>
      </c>
      <c r="H179" s="28" t="s">
        <v>97</v>
      </c>
      <c r="I179" s="28" t="s">
        <v>91</v>
      </c>
      <c r="J179" s="28" t="s">
        <v>1951</v>
      </c>
      <c r="K179" s="28" t="s">
        <v>1405</v>
      </c>
      <c r="L179" s="28" t="s">
        <v>1406</v>
      </c>
      <c r="M179" s="28">
        <v>19304.919999999998</v>
      </c>
      <c r="N179" s="28" t="s">
        <v>1387</v>
      </c>
      <c r="O179" s="28">
        <v>0</v>
      </c>
      <c r="P179" s="29" t="s">
        <v>1407</v>
      </c>
    </row>
    <row r="180" spans="3:16" ht="36.75" thickBot="1" x14ac:dyDescent="0.3">
      <c r="C180" s="27" t="s">
        <v>1509</v>
      </c>
      <c r="D180" s="28">
        <v>173</v>
      </c>
      <c r="E180" s="28" t="s">
        <v>1402</v>
      </c>
      <c r="F180" s="28" t="s">
        <v>825</v>
      </c>
      <c r="G180" s="28" t="s">
        <v>1404</v>
      </c>
      <c r="H180" s="28" t="s">
        <v>97</v>
      </c>
      <c r="I180" s="28" t="s">
        <v>91</v>
      </c>
      <c r="J180" s="28" t="s">
        <v>1951</v>
      </c>
      <c r="K180" s="28" t="s">
        <v>1405</v>
      </c>
      <c r="L180" s="28" t="s">
        <v>1406</v>
      </c>
      <c r="M180" s="28">
        <v>26286.959999999999</v>
      </c>
      <c r="N180" s="28" t="s">
        <v>1387</v>
      </c>
      <c r="O180" s="28">
        <v>0</v>
      </c>
      <c r="P180" s="29" t="s">
        <v>1407</v>
      </c>
    </row>
    <row r="181" spans="3:16" ht="36.75" thickBot="1" x14ac:dyDescent="0.3">
      <c r="C181" s="27" t="s">
        <v>1509</v>
      </c>
      <c r="D181" s="28">
        <v>174</v>
      </c>
      <c r="E181" s="28" t="s">
        <v>1402</v>
      </c>
      <c r="F181" s="28" t="s">
        <v>307</v>
      </c>
      <c r="G181" s="28" t="s">
        <v>1404</v>
      </c>
      <c r="H181" s="28" t="s">
        <v>97</v>
      </c>
      <c r="I181" s="28" t="s">
        <v>91</v>
      </c>
      <c r="J181" s="28" t="s">
        <v>1951</v>
      </c>
      <c r="K181" s="28" t="s">
        <v>1405</v>
      </c>
      <c r="L181" s="28" t="s">
        <v>1406</v>
      </c>
      <c r="M181" s="28">
        <v>12725</v>
      </c>
      <c r="N181" s="28" t="s">
        <v>1387</v>
      </c>
      <c r="O181" s="28">
        <v>0</v>
      </c>
      <c r="P181" s="29" t="s">
        <v>1407</v>
      </c>
    </row>
    <row r="182" spans="3:16" ht="36.75" thickBot="1" x14ac:dyDescent="0.3">
      <c r="C182" s="27" t="s">
        <v>1509</v>
      </c>
      <c r="D182" s="28">
        <v>175</v>
      </c>
      <c r="E182" s="28" t="s">
        <v>1402</v>
      </c>
      <c r="F182" s="28" t="s">
        <v>826</v>
      </c>
      <c r="G182" s="28" t="s">
        <v>1404</v>
      </c>
      <c r="H182" s="28" t="s">
        <v>97</v>
      </c>
      <c r="I182" s="28" t="s">
        <v>91</v>
      </c>
      <c r="J182" s="28" t="s">
        <v>1951</v>
      </c>
      <c r="K182" s="28" t="s">
        <v>1405</v>
      </c>
      <c r="L182" s="28" t="s">
        <v>1406</v>
      </c>
      <c r="M182" s="28">
        <v>76350</v>
      </c>
      <c r="N182" s="28" t="s">
        <v>1387</v>
      </c>
      <c r="O182" s="28">
        <v>0</v>
      </c>
      <c r="P182" s="29" t="s">
        <v>1407</v>
      </c>
    </row>
    <row r="183" spans="3:16" ht="36.75" thickBot="1" x14ac:dyDescent="0.3">
      <c r="C183" s="27" t="s">
        <v>1509</v>
      </c>
      <c r="D183" s="28">
        <v>176</v>
      </c>
      <c r="E183" s="28" t="s">
        <v>1402</v>
      </c>
      <c r="F183" s="28" t="s">
        <v>283</v>
      </c>
      <c r="G183" s="28" t="s">
        <v>1404</v>
      </c>
      <c r="H183" s="28" t="s">
        <v>97</v>
      </c>
      <c r="I183" s="28" t="s">
        <v>91</v>
      </c>
      <c r="J183" s="28" t="s">
        <v>1951</v>
      </c>
      <c r="K183" s="28" t="s">
        <v>1405</v>
      </c>
      <c r="L183" s="28" t="s">
        <v>1406</v>
      </c>
      <c r="M183" s="28">
        <v>100509.73</v>
      </c>
      <c r="N183" s="28" t="s">
        <v>1387</v>
      </c>
      <c r="O183" s="28">
        <v>0</v>
      </c>
      <c r="P183" s="29" t="s">
        <v>1407</v>
      </c>
    </row>
    <row r="184" spans="3:16" ht="36.75" thickBot="1" x14ac:dyDescent="0.3">
      <c r="C184" s="27" t="s">
        <v>1509</v>
      </c>
      <c r="D184" s="28">
        <v>177</v>
      </c>
      <c r="E184" s="28" t="s">
        <v>1402</v>
      </c>
      <c r="F184" s="28" t="s">
        <v>828</v>
      </c>
      <c r="G184" s="28" t="s">
        <v>1404</v>
      </c>
      <c r="H184" s="28" t="s">
        <v>97</v>
      </c>
      <c r="I184" s="28" t="s">
        <v>91</v>
      </c>
      <c r="J184" s="28" t="s">
        <v>1951</v>
      </c>
      <c r="K184" s="28" t="s">
        <v>1405</v>
      </c>
      <c r="L184" s="28" t="s">
        <v>1406</v>
      </c>
      <c r="M184" s="28">
        <v>41400</v>
      </c>
      <c r="N184" s="28" t="s">
        <v>1387</v>
      </c>
      <c r="O184" s="28">
        <v>0</v>
      </c>
      <c r="P184" s="29" t="s">
        <v>1407</v>
      </c>
    </row>
    <row r="185" spans="3:16" ht="36.75" thickBot="1" x14ac:dyDescent="0.3">
      <c r="C185" s="27" t="s">
        <v>1509</v>
      </c>
      <c r="D185" s="28">
        <v>178</v>
      </c>
      <c r="E185" s="28" t="s">
        <v>1402</v>
      </c>
      <c r="F185" s="28" t="s">
        <v>496</v>
      </c>
      <c r="G185" s="28" t="s">
        <v>1404</v>
      </c>
      <c r="H185" s="28" t="s">
        <v>97</v>
      </c>
      <c r="I185" s="28" t="s">
        <v>91</v>
      </c>
      <c r="J185" s="28" t="s">
        <v>1951</v>
      </c>
      <c r="K185" s="28" t="s">
        <v>1405</v>
      </c>
      <c r="L185" s="28" t="s">
        <v>1406</v>
      </c>
      <c r="M185" s="28">
        <v>400000</v>
      </c>
      <c r="N185" s="28" t="s">
        <v>1387</v>
      </c>
      <c r="O185" s="28">
        <v>0</v>
      </c>
      <c r="P185" s="29" t="s">
        <v>1407</v>
      </c>
    </row>
    <row r="186" spans="3:16" ht="36.75" thickBot="1" x14ac:dyDescent="0.3">
      <c r="C186" s="27" t="s">
        <v>1509</v>
      </c>
      <c r="D186" s="28">
        <v>179</v>
      </c>
      <c r="E186" s="28" t="s">
        <v>1402</v>
      </c>
      <c r="F186" s="28" t="s">
        <v>761</v>
      </c>
      <c r="G186" s="28" t="s">
        <v>1404</v>
      </c>
      <c r="H186" s="28" t="s">
        <v>97</v>
      </c>
      <c r="I186" s="28" t="s">
        <v>91</v>
      </c>
      <c r="J186" s="28" t="s">
        <v>1951</v>
      </c>
      <c r="K186" s="28" t="s">
        <v>1405</v>
      </c>
      <c r="L186" s="28" t="s">
        <v>1406</v>
      </c>
      <c r="M186" s="28">
        <v>100000</v>
      </c>
      <c r="N186" s="28" t="s">
        <v>1387</v>
      </c>
      <c r="O186" s="28">
        <v>0</v>
      </c>
      <c r="P186" s="29" t="s">
        <v>1407</v>
      </c>
    </row>
    <row r="187" spans="3:16" ht="36.75" thickBot="1" x14ac:dyDescent="0.3">
      <c r="C187" s="27" t="s">
        <v>1509</v>
      </c>
      <c r="D187" s="28">
        <v>180</v>
      </c>
      <c r="E187" s="28" t="s">
        <v>1402</v>
      </c>
      <c r="F187" s="28" t="s">
        <v>1274</v>
      </c>
      <c r="G187" s="28" t="s">
        <v>1404</v>
      </c>
      <c r="H187" s="28" t="s">
        <v>97</v>
      </c>
      <c r="I187" s="28" t="s">
        <v>91</v>
      </c>
      <c r="J187" s="28" t="s">
        <v>1951</v>
      </c>
      <c r="K187" s="28" t="s">
        <v>1405</v>
      </c>
      <c r="L187" s="28" t="s">
        <v>1406</v>
      </c>
      <c r="M187" s="28">
        <v>11000</v>
      </c>
      <c r="N187" s="28" t="s">
        <v>1387</v>
      </c>
      <c r="O187" s="28">
        <v>0</v>
      </c>
      <c r="P187" s="29" t="s">
        <v>1407</v>
      </c>
    </row>
    <row r="188" spans="3:16" ht="36.75" thickBot="1" x14ac:dyDescent="0.3">
      <c r="C188" s="27" t="s">
        <v>1509</v>
      </c>
      <c r="D188" s="28">
        <v>181</v>
      </c>
      <c r="E188" s="28" t="s">
        <v>1402</v>
      </c>
      <c r="F188" s="28" t="s">
        <v>788</v>
      </c>
      <c r="G188" s="28" t="s">
        <v>1404</v>
      </c>
      <c r="H188" s="28" t="s">
        <v>97</v>
      </c>
      <c r="I188" s="28" t="s">
        <v>91</v>
      </c>
      <c r="J188" s="28" t="s">
        <v>1951</v>
      </c>
      <c r="K188" s="28" t="s">
        <v>1405</v>
      </c>
      <c r="L188" s="28" t="s">
        <v>1406</v>
      </c>
      <c r="M188" s="28">
        <v>100000</v>
      </c>
      <c r="N188" s="28" t="s">
        <v>1387</v>
      </c>
      <c r="O188" s="28">
        <v>0</v>
      </c>
      <c r="P188" s="29" t="s">
        <v>1407</v>
      </c>
    </row>
    <row r="189" spans="3:16" ht="36.75" thickBot="1" x14ac:dyDescent="0.3">
      <c r="C189" s="27" t="s">
        <v>1509</v>
      </c>
      <c r="D189" s="28">
        <v>182</v>
      </c>
      <c r="E189" s="28" t="s">
        <v>1402</v>
      </c>
      <c r="F189" s="28" t="s">
        <v>791</v>
      </c>
      <c r="G189" s="28" t="s">
        <v>1404</v>
      </c>
      <c r="H189" s="28" t="s">
        <v>97</v>
      </c>
      <c r="I189" s="28" t="s">
        <v>91</v>
      </c>
      <c r="J189" s="28" t="s">
        <v>1951</v>
      </c>
      <c r="K189" s="28" t="s">
        <v>1405</v>
      </c>
      <c r="L189" s="28" t="s">
        <v>1406</v>
      </c>
      <c r="M189" s="28">
        <v>130650</v>
      </c>
      <c r="N189" s="28" t="s">
        <v>1387</v>
      </c>
      <c r="O189" s="28">
        <v>0</v>
      </c>
      <c r="P189" s="29" t="s">
        <v>1407</v>
      </c>
    </row>
    <row r="190" spans="3:16" ht="36.75" thickBot="1" x14ac:dyDescent="0.3">
      <c r="C190" s="27" t="s">
        <v>1509</v>
      </c>
      <c r="D190" s="28">
        <v>183</v>
      </c>
      <c r="E190" s="28" t="s">
        <v>1402</v>
      </c>
      <c r="F190" s="28" t="s">
        <v>475</v>
      </c>
      <c r="G190" s="28" t="s">
        <v>1404</v>
      </c>
      <c r="H190" s="28" t="s">
        <v>97</v>
      </c>
      <c r="I190" s="28" t="s">
        <v>91</v>
      </c>
      <c r="J190" s="28" t="s">
        <v>1951</v>
      </c>
      <c r="K190" s="28" t="s">
        <v>1405</v>
      </c>
      <c r="L190" s="28" t="s">
        <v>1406</v>
      </c>
      <c r="M190" s="28">
        <v>13078.13</v>
      </c>
      <c r="N190" s="28" t="s">
        <v>1387</v>
      </c>
      <c r="O190" s="28">
        <v>0</v>
      </c>
      <c r="P190" s="29" t="s">
        <v>1407</v>
      </c>
    </row>
    <row r="191" spans="3:16" ht="36.75" thickBot="1" x14ac:dyDescent="0.3">
      <c r="C191" s="27" t="s">
        <v>1509</v>
      </c>
      <c r="D191" s="28">
        <v>184</v>
      </c>
      <c r="E191" s="28" t="s">
        <v>1402</v>
      </c>
      <c r="F191" s="28" t="s">
        <v>740</v>
      </c>
      <c r="G191" s="28" t="s">
        <v>1404</v>
      </c>
      <c r="H191" s="28" t="s">
        <v>97</v>
      </c>
      <c r="I191" s="28" t="s">
        <v>91</v>
      </c>
      <c r="J191" s="28" t="s">
        <v>1951</v>
      </c>
      <c r="K191" s="28" t="s">
        <v>1405</v>
      </c>
      <c r="L191" s="28" t="s">
        <v>1406</v>
      </c>
      <c r="M191" s="28">
        <v>30248.14</v>
      </c>
      <c r="N191" s="28" t="s">
        <v>1387</v>
      </c>
      <c r="O191" s="28">
        <v>0</v>
      </c>
      <c r="P191" s="29" t="s">
        <v>1407</v>
      </c>
    </row>
    <row r="192" spans="3:16" ht="36.75" thickBot="1" x14ac:dyDescent="0.3">
      <c r="C192" s="27" t="s">
        <v>1509</v>
      </c>
      <c r="D192" s="28">
        <v>185</v>
      </c>
      <c r="E192" s="28" t="s">
        <v>1402</v>
      </c>
      <c r="F192" s="28" t="s">
        <v>795</v>
      </c>
      <c r="G192" s="28" t="s">
        <v>1404</v>
      </c>
      <c r="H192" s="28" t="s">
        <v>97</v>
      </c>
      <c r="I192" s="28" t="s">
        <v>91</v>
      </c>
      <c r="J192" s="28" t="s">
        <v>1951</v>
      </c>
      <c r="K192" s="28" t="s">
        <v>1405</v>
      </c>
      <c r="L192" s="28" t="s">
        <v>1406</v>
      </c>
      <c r="M192" s="28">
        <v>19740</v>
      </c>
      <c r="N192" s="28" t="s">
        <v>1387</v>
      </c>
      <c r="O192" s="28">
        <v>0</v>
      </c>
      <c r="P192" s="29" t="s">
        <v>1407</v>
      </c>
    </row>
    <row r="193" spans="3:16" ht="36.75" thickBot="1" x14ac:dyDescent="0.3">
      <c r="C193" s="27" t="s">
        <v>1509</v>
      </c>
      <c r="D193" s="28">
        <v>186</v>
      </c>
      <c r="E193" s="28" t="s">
        <v>1402</v>
      </c>
      <c r="F193" s="28" t="s">
        <v>1265</v>
      </c>
      <c r="G193" s="28" t="s">
        <v>1404</v>
      </c>
      <c r="H193" s="28" t="s">
        <v>97</v>
      </c>
      <c r="I193" s="28" t="s">
        <v>91</v>
      </c>
      <c r="J193" s="28" t="s">
        <v>1951</v>
      </c>
      <c r="K193" s="28" t="s">
        <v>1405</v>
      </c>
      <c r="L193" s="28" t="s">
        <v>1406</v>
      </c>
      <c r="M193" s="28">
        <v>121908.9</v>
      </c>
      <c r="N193" s="28" t="s">
        <v>1387</v>
      </c>
      <c r="O193" s="28">
        <v>0</v>
      </c>
      <c r="P193" s="29" t="s">
        <v>1407</v>
      </c>
    </row>
    <row r="194" spans="3:16" ht="36.75" thickBot="1" x14ac:dyDescent="0.3">
      <c r="C194" s="27" t="s">
        <v>1509</v>
      </c>
      <c r="D194" s="28">
        <v>187</v>
      </c>
      <c r="E194" s="28" t="s">
        <v>1402</v>
      </c>
      <c r="F194" s="28" t="s">
        <v>477</v>
      </c>
      <c r="G194" s="28" t="s">
        <v>1404</v>
      </c>
      <c r="H194" s="28" t="s">
        <v>97</v>
      </c>
      <c r="I194" s="28" t="s">
        <v>91</v>
      </c>
      <c r="J194" s="28" t="s">
        <v>1951</v>
      </c>
      <c r="K194" s="28" t="s">
        <v>1405</v>
      </c>
      <c r="L194" s="28" t="s">
        <v>1406</v>
      </c>
      <c r="M194" s="28">
        <v>80000</v>
      </c>
      <c r="N194" s="28" t="s">
        <v>1387</v>
      </c>
      <c r="O194" s="28">
        <v>0</v>
      </c>
      <c r="P194" s="29" t="s">
        <v>1407</v>
      </c>
    </row>
    <row r="195" spans="3:16" ht="36.75" thickBot="1" x14ac:dyDescent="0.3">
      <c r="C195" s="27" t="s">
        <v>1509</v>
      </c>
      <c r="D195" s="28">
        <v>188</v>
      </c>
      <c r="E195" s="28" t="s">
        <v>1402</v>
      </c>
      <c r="F195" s="28" t="s">
        <v>796</v>
      </c>
      <c r="G195" s="28" t="s">
        <v>1404</v>
      </c>
      <c r="H195" s="28" t="s">
        <v>97</v>
      </c>
      <c r="I195" s="28" t="s">
        <v>91</v>
      </c>
      <c r="J195" s="28" t="s">
        <v>1951</v>
      </c>
      <c r="K195" s="28" t="s">
        <v>1405</v>
      </c>
      <c r="L195" s="28" t="s">
        <v>1406</v>
      </c>
      <c r="M195" s="28">
        <v>6366.2</v>
      </c>
      <c r="N195" s="28" t="s">
        <v>1387</v>
      </c>
      <c r="O195" s="28">
        <v>0</v>
      </c>
      <c r="P195" s="29" t="s">
        <v>1407</v>
      </c>
    </row>
    <row r="196" spans="3:16" ht="36.75" thickBot="1" x14ac:dyDescent="0.3">
      <c r="C196" s="27" t="s">
        <v>1509</v>
      </c>
      <c r="D196" s="28">
        <v>189</v>
      </c>
      <c r="E196" s="28" t="s">
        <v>1402</v>
      </c>
      <c r="F196" s="28" t="s">
        <v>1266</v>
      </c>
      <c r="G196" s="28" t="s">
        <v>1404</v>
      </c>
      <c r="H196" s="28" t="s">
        <v>97</v>
      </c>
      <c r="I196" s="28" t="s">
        <v>91</v>
      </c>
      <c r="J196" s="28" t="s">
        <v>1951</v>
      </c>
      <c r="K196" s="28" t="s">
        <v>1405</v>
      </c>
      <c r="L196" s="28" t="s">
        <v>1406</v>
      </c>
      <c r="M196" s="28">
        <v>72727.27</v>
      </c>
      <c r="N196" s="28" t="s">
        <v>1387</v>
      </c>
      <c r="O196" s="28">
        <v>0</v>
      </c>
      <c r="P196" s="29" t="s">
        <v>1407</v>
      </c>
    </row>
    <row r="197" spans="3:16" ht="36.75" thickBot="1" x14ac:dyDescent="0.3">
      <c r="C197" s="27" t="s">
        <v>1509</v>
      </c>
      <c r="D197" s="28">
        <v>190</v>
      </c>
      <c r="E197" s="28" t="s">
        <v>1402</v>
      </c>
      <c r="F197" s="28" t="s">
        <v>1234</v>
      </c>
      <c r="G197" s="28" t="s">
        <v>1404</v>
      </c>
      <c r="H197" s="28" t="s">
        <v>97</v>
      </c>
      <c r="I197" s="28" t="s">
        <v>91</v>
      </c>
      <c r="J197" s="28" t="s">
        <v>1951</v>
      </c>
      <c r="K197" s="28" t="s">
        <v>1405</v>
      </c>
      <c r="L197" s="28" t="s">
        <v>1406</v>
      </c>
      <c r="M197" s="28">
        <v>35877.120000000003</v>
      </c>
      <c r="N197" s="28" t="s">
        <v>1387</v>
      </c>
      <c r="O197" s="28">
        <v>0</v>
      </c>
      <c r="P197" s="29" t="s">
        <v>1407</v>
      </c>
    </row>
    <row r="198" spans="3:16" ht="36.75" thickBot="1" x14ac:dyDescent="0.3">
      <c r="C198" s="27" t="s">
        <v>1509</v>
      </c>
      <c r="D198" s="28">
        <v>191</v>
      </c>
      <c r="E198" s="28" t="s">
        <v>1402</v>
      </c>
      <c r="F198" s="28" t="s">
        <v>798</v>
      </c>
      <c r="G198" s="28" t="s">
        <v>1404</v>
      </c>
      <c r="H198" s="28" t="s">
        <v>97</v>
      </c>
      <c r="I198" s="28" t="s">
        <v>91</v>
      </c>
      <c r="J198" s="28" t="s">
        <v>1951</v>
      </c>
      <c r="K198" s="28" t="s">
        <v>1405</v>
      </c>
      <c r="L198" s="28" t="s">
        <v>1406</v>
      </c>
      <c r="M198" s="28">
        <v>234971.63</v>
      </c>
      <c r="N198" s="28" t="s">
        <v>1387</v>
      </c>
      <c r="O198" s="28">
        <v>0</v>
      </c>
      <c r="P198" s="29" t="s">
        <v>1407</v>
      </c>
    </row>
    <row r="199" spans="3:16" ht="36.75" thickBot="1" x14ac:dyDescent="0.3">
      <c r="C199" s="27" t="s">
        <v>1509</v>
      </c>
      <c r="D199" s="28">
        <v>192</v>
      </c>
      <c r="E199" s="28" t="s">
        <v>1402</v>
      </c>
      <c r="F199" s="28" t="s">
        <v>1267</v>
      </c>
      <c r="G199" s="28" t="s">
        <v>1404</v>
      </c>
      <c r="H199" s="28" t="s">
        <v>97</v>
      </c>
      <c r="I199" s="28" t="s">
        <v>91</v>
      </c>
      <c r="J199" s="28" t="s">
        <v>1951</v>
      </c>
      <c r="K199" s="28" t="s">
        <v>1405</v>
      </c>
      <c r="L199" s="28" t="s">
        <v>1406</v>
      </c>
      <c r="M199" s="28">
        <v>112755.52</v>
      </c>
      <c r="N199" s="28" t="s">
        <v>1387</v>
      </c>
      <c r="O199" s="28">
        <v>0</v>
      </c>
      <c r="P199" s="29" t="s">
        <v>1407</v>
      </c>
    </row>
    <row r="200" spans="3:16" ht="36.75" thickBot="1" x14ac:dyDescent="0.3">
      <c r="C200" s="27" t="s">
        <v>1509</v>
      </c>
      <c r="D200" s="28">
        <v>193</v>
      </c>
      <c r="E200" s="28" t="s">
        <v>1402</v>
      </c>
      <c r="F200" s="28" t="s">
        <v>479</v>
      </c>
      <c r="G200" s="28" t="s">
        <v>1404</v>
      </c>
      <c r="H200" s="28" t="s">
        <v>97</v>
      </c>
      <c r="I200" s="28" t="s">
        <v>91</v>
      </c>
      <c r="J200" s="28" t="s">
        <v>1951</v>
      </c>
      <c r="K200" s="28" t="s">
        <v>1405</v>
      </c>
      <c r="L200" s="28" t="s">
        <v>1406</v>
      </c>
      <c r="M200" s="28">
        <v>86527.21</v>
      </c>
      <c r="N200" s="28" t="s">
        <v>1387</v>
      </c>
      <c r="O200" s="28">
        <v>0</v>
      </c>
      <c r="P200" s="29" t="s">
        <v>1407</v>
      </c>
    </row>
    <row r="201" spans="3:16" ht="36.75" thickBot="1" x14ac:dyDescent="0.3">
      <c r="C201" s="27" t="s">
        <v>1509</v>
      </c>
      <c r="D201" s="28">
        <v>194</v>
      </c>
      <c r="E201" s="28" t="s">
        <v>1402</v>
      </c>
      <c r="F201" s="28" t="s">
        <v>749</v>
      </c>
      <c r="G201" s="28" t="s">
        <v>1404</v>
      </c>
      <c r="H201" s="28" t="s">
        <v>97</v>
      </c>
      <c r="I201" s="28" t="s">
        <v>91</v>
      </c>
      <c r="J201" s="28" t="s">
        <v>1951</v>
      </c>
      <c r="K201" s="28" t="s">
        <v>1405</v>
      </c>
      <c r="L201" s="28" t="s">
        <v>1406</v>
      </c>
      <c r="M201" s="28">
        <v>49034.78</v>
      </c>
      <c r="N201" s="28" t="s">
        <v>1387</v>
      </c>
      <c r="O201" s="28">
        <v>0</v>
      </c>
      <c r="P201" s="29" t="s">
        <v>1407</v>
      </c>
    </row>
    <row r="202" spans="3:16" ht="36.75" thickBot="1" x14ac:dyDescent="0.3">
      <c r="C202" s="27" t="s">
        <v>1509</v>
      </c>
      <c r="D202" s="28">
        <v>195</v>
      </c>
      <c r="E202" s="28" t="s">
        <v>1402</v>
      </c>
      <c r="F202" s="28" t="s">
        <v>800</v>
      </c>
      <c r="G202" s="28" t="s">
        <v>1404</v>
      </c>
      <c r="H202" s="28" t="s">
        <v>97</v>
      </c>
      <c r="I202" s="28" t="s">
        <v>91</v>
      </c>
      <c r="J202" s="28" t="s">
        <v>1951</v>
      </c>
      <c r="K202" s="28" t="s">
        <v>1405</v>
      </c>
      <c r="L202" s="28" t="s">
        <v>1406</v>
      </c>
      <c r="M202" s="28">
        <v>1829</v>
      </c>
      <c r="N202" s="28" t="s">
        <v>1387</v>
      </c>
      <c r="O202" s="28">
        <v>0</v>
      </c>
      <c r="P202" s="29" t="s">
        <v>1407</v>
      </c>
    </row>
    <row r="203" spans="3:16" ht="36.75" thickBot="1" x14ac:dyDescent="0.3">
      <c r="C203" s="27" t="s">
        <v>1509</v>
      </c>
      <c r="D203" s="28">
        <v>196</v>
      </c>
      <c r="E203" s="28" t="s">
        <v>1402</v>
      </c>
      <c r="F203" s="28" t="s">
        <v>1269</v>
      </c>
      <c r="G203" s="28" t="s">
        <v>1404</v>
      </c>
      <c r="H203" s="28" t="s">
        <v>97</v>
      </c>
      <c r="I203" s="28" t="s">
        <v>91</v>
      </c>
      <c r="J203" s="28" t="s">
        <v>1951</v>
      </c>
      <c r="K203" s="28" t="s">
        <v>1405</v>
      </c>
      <c r="L203" s="28" t="s">
        <v>1406</v>
      </c>
      <c r="M203" s="28">
        <v>50000</v>
      </c>
      <c r="N203" s="28" t="s">
        <v>1387</v>
      </c>
      <c r="O203" s="28">
        <v>0</v>
      </c>
      <c r="P203" s="29" t="s">
        <v>1407</v>
      </c>
    </row>
    <row r="204" spans="3:16" ht="36.75" thickBot="1" x14ac:dyDescent="0.3">
      <c r="C204" s="27" t="s">
        <v>1509</v>
      </c>
      <c r="D204" s="28">
        <v>197</v>
      </c>
      <c r="E204" s="28" t="s">
        <v>1402</v>
      </c>
      <c r="F204" s="28" t="s">
        <v>297</v>
      </c>
      <c r="G204" s="28" t="s">
        <v>1404</v>
      </c>
      <c r="H204" s="28" t="s">
        <v>97</v>
      </c>
      <c r="I204" s="28" t="s">
        <v>91</v>
      </c>
      <c r="J204" s="28" t="s">
        <v>1951</v>
      </c>
      <c r="K204" s="28" t="s">
        <v>1405</v>
      </c>
      <c r="L204" s="28" t="s">
        <v>1406</v>
      </c>
      <c r="M204" s="28">
        <v>40000</v>
      </c>
      <c r="N204" s="28" t="s">
        <v>1387</v>
      </c>
      <c r="O204" s="28">
        <v>0</v>
      </c>
      <c r="P204" s="29" t="s">
        <v>1407</v>
      </c>
    </row>
    <row r="205" spans="3:16" ht="36.75" thickBot="1" x14ac:dyDescent="0.3">
      <c r="C205" s="27" t="s">
        <v>1509</v>
      </c>
      <c r="D205" s="28">
        <v>198</v>
      </c>
      <c r="E205" s="28" t="s">
        <v>1402</v>
      </c>
      <c r="F205" s="28" t="s">
        <v>1228</v>
      </c>
      <c r="G205" s="28" t="s">
        <v>1404</v>
      </c>
      <c r="H205" s="28" t="s">
        <v>97</v>
      </c>
      <c r="I205" s="28" t="s">
        <v>91</v>
      </c>
      <c r="J205" s="28" t="s">
        <v>1951</v>
      </c>
      <c r="K205" s="28" t="s">
        <v>1405</v>
      </c>
      <c r="L205" s="28" t="s">
        <v>1406</v>
      </c>
      <c r="M205" s="28">
        <v>196694.1</v>
      </c>
      <c r="N205" s="28" t="s">
        <v>1387</v>
      </c>
      <c r="O205" s="28">
        <v>0</v>
      </c>
      <c r="P205" s="29" t="s">
        <v>1407</v>
      </c>
    </row>
    <row r="206" spans="3:16" ht="36.75" thickBot="1" x14ac:dyDescent="0.3">
      <c r="C206" s="27" t="s">
        <v>1509</v>
      </c>
      <c r="D206" s="28">
        <v>199</v>
      </c>
      <c r="E206" s="28" t="s">
        <v>1402</v>
      </c>
      <c r="F206" s="28" t="s">
        <v>1270</v>
      </c>
      <c r="G206" s="28" t="s">
        <v>1404</v>
      </c>
      <c r="H206" s="28" t="s">
        <v>97</v>
      </c>
      <c r="I206" s="28" t="s">
        <v>91</v>
      </c>
      <c r="J206" s="28" t="s">
        <v>1951</v>
      </c>
      <c r="K206" s="28" t="s">
        <v>1405</v>
      </c>
      <c r="L206" s="28" t="s">
        <v>1406</v>
      </c>
      <c r="M206" s="28">
        <v>29415.06</v>
      </c>
      <c r="N206" s="28" t="s">
        <v>1387</v>
      </c>
      <c r="O206" s="28">
        <v>0</v>
      </c>
      <c r="P206" s="29" t="s">
        <v>1407</v>
      </c>
    </row>
    <row r="207" spans="3:16" ht="36.75" thickBot="1" x14ac:dyDescent="0.3">
      <c r="C207" s="27" t="s">
        <v>1509</v>
      </c>
      <c r="D207" s="28">
        <v>200</v>
      </c>
      <c r="E207" s="28" t="s">
        <v>1402</v>
      </c>
      <c r="F207" s="28" t="s">
        <v>480</v>
      </c>
      <c r="G207" s="28" t="s">
        <v>1404</v>
      </c>
      <c r="H207" s="28" t="s">
        <v>97</v>
      </c>
      <c r="I207" s="28" t="s">
        <v>91</v>
      </c>
      <c r="J207" s="28" t="s">
        <v>1951</v>
      </c>
      <c r="K207" s="28" t="s">
        <v>1405</v>
      </c>
      <c r="L207" s="28" t="s">
        <v>1406</v>
      </c>
      <c r="M207" s="28">
        <v>142500</v>
      </c>
      <c r="N207" s="28" t="s">
        <v>1387</v>
      </c>
      <c r="O207" s="28">
        <v>0</v>
      </c>
      <c r="P207" s="29" t="s">
        <v>1407</v>
      </c>
    </row>
    <row r="208" spans="3:16" ht="36.75" thickBot="1" x14ac:dyDescent="0.3">
      <c r="C208" s="27" t="s">
        <v>1509</v>
      </c>
      <c r="D208" s="28">
        <v>201</v>
      </c>
      <c r="E208" s="28" t="s">
        <v>1402</v>
      </c>
      <c r="F208" s="28" t="s">
        <v>1235</v>
      </c>
      <c r="G208" s="28" t="s">
        <v>1408</v>
      </c>
      <c r="H208" s="28" t="s">
        <v>90</v>
      </c>
      <c r="I208" s="28" t="s">
        <v>91</v>
      </c>
      <c r="J208" s="28" t="s">
        <v>1951</v>
      </c>
      <c r="K208" s="28" t="s">
        <v>1405</v>
      </c>
      <c r="L208" s="28" t="s">
        <v>1406</v>
      </c>
      <c r="M208" s="28">
        <v>17825000</v>
      </c>
      <c r="N208" s="28" t="s">
        <v>1387</v>
      </c>
      <c r="O208" s="28">
        <v>0</v>
      </c>
      <c r="P208" s="29" t="s">
        <v>1407</v>
      </c>
    </row>
    <row r="209" spans="3:16" ht="36.75" thickBot="1" x14ac:dyDescent="0.3">
      <c r="C209" s="27" t="s">
        <v>1509</v>
      </c>
      <c r="D209" s="28">
        <v>202</v>
      </c>
      <c r="E209" s="28" t="s">
        <v>1402</v>
      </c>
      <c r="F209" s="28" t="s">
        <v>335</v>
      </c>
      <c r="G209" s="28" t="s">
        <v>1408</v>
      </c>
      <c r="H209" s="28" t="s">
        <v>90</v>
      </c>
      <c r="I209" s="28" t="s">
        <v>91</v>
      </c>
      <c r="J209" s="28" t="s">
        <v>1951</v>
      </c>
      <c r="K209" s="28" t="s">
        <v>1405</v>
      </c>
      <c r="L209" s="28" t="s">
        <v>1406</v>
      </c>
      <c r="M209" s="28">
        <v>11502885</v>
      </c>
      <c r="N209" s="28" t="s">
        <v>1387</v>
      </c>
      <c r="O209" s="28">
        <v>0</v>
      </c>
      <c r="P209" s="29" t="s">
        <v>1407</v>
      </c>
    </row>
    <row r="210" spans="3:16" ht="36.75" thickBot="1" x14ac:dyDescent="0.3">
      <c r="C210" s="27" t="s">
        <v>1509</v>
      </c>
      <c r="D210" s="28">
        <v>203</v>
      </c>
      <c r="E210" s="28" t="s">
        <v>1402</v>
      </c>
      <c r="F210" s="28" t="s">
        <v>867</v>
      </c>
      <c r="G210" s="28" t="s">
        <v>1408</v>
      </c>
      <c r="H210" s="28" t="s">
        <v>90</v>
      </c>
      <c r="I210" s="28" t="s">
        <v>91</v>
      </c>
      <c r="J210" s="28" t="s">
        <v>1951</v>
      </c>
      <c r="K210" s="28" t="s">
        <v>1405</v>
      </c>
      <c r="L210" s="28" t="s">
        <v>1406</v>
      </c>
      <c r="M210" s="28">
        <v>3080480</v>
      </c>
      <c r="N210" s="28" t="s">
        <v>1387</v>
      </c>
      <c r="O210" s="28">
        <v>0</v>
      </c>
      <c r="P210" s="29" t="s">
        <v>1407</v>
      </c>
    </row>
    <row r="211" spans="3:16" ht="36.75" thickBot="1" x14ac:dyDescent="0.3">
      <c r="C211" s="27" t="s">
        <v>1509</v>
      </c>
      <c r="D211" s="28">
        <v>204</v>
      </c>
      <c r="E211" s="28" t="s">
        <v>1402</v>
      </c>
      <c r="F211" s="28" t="s">
        <v>539</v>
      </c>
      <c r="G211" s="28" t="s">
        <v>1408</v>
      </c>
      <c r="H211" s="28" t="s">
        <v>90</v>
      </c>
      <c r="I211" s="28" t="s">
        <v>91</v>
      </c>
      <c r="J211" s="28" t="s">
        <v>1951</v>
      </c>
      <c r="K211" s="28" t="s">
        <v>1405</v>
      </c>
      <c r="L211" s="28" t="s">
        <v>1406</v>
      </c>
      <c r="M211" s="28">
        <v>620054.63</v>
      </c>
      <c r="N211" s="28" t="s">
        <v>1387</v>
      </c>
      <c r="O211" s="28">
        <v>0</v>
      </c>
      <c r="P211" s="29" t="s">
        <v>1407</v>
      </c>
    </row>
    <row r="212" spans="3:16" ht="36.75" thickBot="1" x14ac:dyDescent="0.3">
      <c r="C212" s="27" t="s">
        <v>1509</v>
      </c>
      <c r="D212" s="28">
        <v>205</v>
      </c>
      <c r="E212" s="28" t="s">
        <v>1402</v>
      </c>
      <c r="F212" s="28" t="s">
        <v>914</v>
      </c>
      <c r="G212" s="28" t="s">
        <v>1408</v>
      </c>
      <c r="H212" s="28" t="s">
        <v>90</v>
      </c>
      <c r="I212" s="28" t="s">
        <v>91</v>
      </c>
      <c r="J212" s="28" t="s">
        <v>1951</v>
      </c>
      <c r="K212" s="28" t="s">
        <v>1405</v>
      </c>
      <c r="L212" s="28" t="s">
        <v>1406</v>
      </c>
      <c r="M212" s="28">
        <v>48000</v>
      </c>
      <c r="N212" s="28" t="s">
        <v>1387</v>
      </c>
      <c r="O212" s="28">
        <v>0</v>
      </c>
      <c r="P212" s="29" t="s">
        <v>1407</v>
      </c>
    </row>
    <row r="213" spans="3:16" ht="36.75" thickBot="1" x14ac:dyDescent="0.3">
      <c r="C213" s="27" t="s">
        <v>1509</v>
      </c>
      <c r="D213" s="28">
        <v>206</v>
      </c>
      <c r="E213" s="28" t="s">
        <v>1402</v>
      </c>
      <c r="F213" s="28" t="s">
        <v>921</v>
      </c>
      <c r="G213" s="28" t="s">
        <v>1408</v>
      </c>
      <c r="H213" s="28" t="s">
        <v>90</v>
      </c>
      <c r="I213" s="28" t="s">
        <v>91</v>
      </c>
      <c r="J213" s="28" t="s">
        <v>1951</v>
      </c>
      <c r="K213" s="28" t="s">
        <v>1405</v>
      </c>
      <c r="L213" s="28" t="s">
        <v>1406</v>
      </c>
      <c r="M213" s="28">
        <v>38383.71</v>
      </c>
      <c r="N213" s="28" t="s">
        <v>1387</v>
      </c>
      <c r="O213" s="28">
        <v>0</v>
      </c>
      <c r="P213" s="29" t="s">
        <v>1407</v>
      </c>
    </row>
    <row r="214" spans="3:16" ht="36.75" thickBot="1" x14ac:dyDescent="0.3">
      <c r="C214" s="27" t="s">
        <v>1509</v>
      </c>
      <c r="D214" s="28">
        <v>207</v>
      </c>
      <c r="E214" s="28" t="s">
        <v>1402</v>
      </c>
      <c r="F214" s="28" t="s">
        <v>948</v>
      </c>
      <c r="G214" s="28" t="s">
        <v>1408</v>
      </c>
      <c r="H214" s="28" t="s">
        <v>90</v>
      </c>
      <c r="I214" s="28" t="s">
        <v>91</v>
      </c>
      <c r="J214" s="28" t="s">
        <v>1951</v>
      </c>
      <c r="K214" s="28" t="s">
        <v>1405</v>
      </c>
      <c r="L214" s="28" t="s">
        <v>1406</v>
      </c>
      <c r="M214" s="28">
        <v>55023.6</v>
      </c>
      <c r="N214" s="28" t="s">
        <v>1387</v>
      </c>
      <c r="O214" s="28">
        <v>0</v>
      </c>
      <c r="P214" s="29" t="s">
        <v>1407</v>
      </c>
    </row>
    <row r="215" spans="3:16" ht="36.75" thickBot="1" x14ac:dyDescent="0.3">
      <c r="C215" s="27" t="s">
        <v>1509</v>
      </c>
      <c r="D215" s="28">
        <v>208</v>
      </c>
      <c r="E215" s="28" t="s">
        <v>1402</v>
      </c>
      <c r="F215" s="28" t="s">
        <v>586</v>
      </c>
      <c r="G215" s="28" t="s">
        <v>1408</v>
      </c>
      <c r="H215" s="28" t="s">
        <v>90</v>
      </c>
      <c r="I215" s="28" t="s">
        <v>91</v>
      </c>
      <c r="J215" s="28" t="s">
        <v>1951</v>
      </c>
      <c r="K215" s="28" t="s">
        <v>1405</v>
      </c>
      <c r="L215" s="28" t="s">
        <v>1406</v>
      </c>
      <c r="M215" s="28">
        <v>65635.990000000005</v>
      </c>
      <c r="N215" s="28" t="s">
        <v>1387</v>
      </c>
      <c r="O215" s="28">
        <v>0</v>
      </c>
      <c r="P215" s="29" t="s">
        <v>1407</v>
      </c>
    </row>
    <row r="216" spans="3:16" ht="36.75" thickBot="1" x14ac:dyDescent="0.3">
      <c r="C216" s="27" t="s">
        <v>1509</v>
      </c>
      <c r="D216" s="28">
        <v>209</v>
      </c>
      <c r="E216" s="28" t="s">
        <v>1402</v>
      </c>
      <c r="F216" s="28" t="s">
        <v>581</v>
      </c>
      <c r="G216" s="28" t="s">
        <v>1408</v>
      </c>
      <c r="H216" s="28" t="s">
        <v>90</v>
      </c>
      <c r="I216" s="28" t="s">
        <v>91</v>
      </c>
      <c r="J216" s="28" t="s">
        <v>1951</v>
      </c>
      <c r="K216" s="28" t="s">
        <v>1405</v>
      </c>
      <c r="L216" s="28" t="s">
        <v>1406</v>
      </c>
      <c r="M216" s="28">
        <v>74819.69</v>
      </c>
      <c r="N216" s="28" t="s">
        <v>1387</v>
      </c>
      <c r="O216" s="28">
        <v>0</v>
      </c>
      <c r="P216" s="29" t="s">
        <v>1407</v>
      </c>
    </row>
    <row r="217" spans="3:16" ht="36.75" thickBot="1" x14ac:dyDescent="0.3">
      <c r="C217" s="27" t="s">
        <v>1509</v>
      </c>
      <c r="D217" s="28">
        <v>210</v>
      </c>
      <c r="E217" s="28" t="s">
        <v>1402</v>
      </c>
      <c r="F217" s="28" t="s">
        <v>1213</v>
      </c>
      <c r="G217" s="28" t="s">
        <v>1408</v>
      </c>
      <c r="H217" s="28" t="s">
        <v>90</v>
      </c>
      <c r="I217" s="28" t="s">
        <v>91</v>
      </c>
      <c r="J217" s="28" t="s">
        <v>1951</v>
      </c>
      <c r="K217" s="28" t="s">
        <v>1405</v>
      </c>
      <c r="L217" s="28" t="s">
        <v>1406</v>
      </c>
      <c r="M217" s="28">
        <v>1814.79</v>
      </c>
      <c r="N217" s="28" t="s">
        <v>1387</v>
      </c>
      <c r="O217" s="28">
        <v>0</v>
      </c>
      <c r="P217" s="29" t="s">
        <v>1407</v>
      </c>
    </row>
    <row r="218" spans="3:16" ht="36.75" thickBot="1" x14ac:dyDescent="0.3">
      <c r="C218" s="27" t="s">
        <v>1509</v>
      </c>
      <c r="D218" s="28">
        <v>211</v>
      </c>
      <c r="E218" s="28" t="s">
        <v>1402</v>
      </c>
      <c r="F218" s="28" t="s">
        <v>728</v>
      </c>
      <c r="G218" s="28" t="s">
        <v>1408</v>
      </c>
      <c r="H218" s="28" t="s">
        <v>90</v>
      </c>
      <c r="I218" s="28" t="s">
        <v>91</v>
      </c>
      <c r="J218" s="28" t="s">
        <v>1951</v>
      </c>
      <c r="K218" s="28" t="s">
        <v>1405</v>
      </c>
      <c r="L218" s="28" t="s">
        <v>1406</v>
      </c>
      <c r="M218" s="28">
        <v>10774.04</v>
      </c>
      <c r="N218" s="28" t="s">
        <v>1387</v>
      </c>
      <c r="O218" s="28">
        <v>0</v>
      </c>
      <c r="P218" s="29" t="s">
        <v>1407</v>
      </c>
    </row>
    <row r="219" spans="3:16" ht="36.75" thickBot="1" x14ac:dyDescent="0.3">
      <c r="C219" s="27" t="s">
        <v>1509</v>
      </c>
      <c r="D219" s="28">
        <v>212</v>
      </c>
      <c r="E219" s="28" t="s">
        <v>1402</v>
      </c>
      <c r="F219" s="28" t="s">
        <v>1206</v>
      </c>
      <c r="G219" s="28" t="s">
        <v>1408</v>
      </c>
      <c r="H219" s="28" t="s">
        <v>90</v>
      </c>
      <c r="I219" s="28" t="s">
        <v>91</v>
      </c>
      <c r="J219" s="28" t="s">
        <v>1951</v>
      </c>
      <c r="K219" s="28" t="s">
        <v>1405</v>
      </c>
      <c r="L219" s="28" t="s">
        <v>1406</v>
      </c>
      <c r="M219" s="28">
        <v>12000</v>
      </c>
      <c r="N219" s="28" t="s">
        <v>1387</v>
      </c>
      <c r="O219" s="28">
        <v>0</v>
      </c>
      <c r="P219" s="29" t="s">
        <v>1407</v>
      </c>
    </row>
    <row r="220" spans="3:16" ht="36.75" thickBot="1" x14ac:dyDescent="0.3">
      <c r="C220" s="27" t="s">
        <v>1509</v>
      </c>
      <c r="D220" s="28">
        <v>213</v>
      </c>
      <c r="E220" s="28" t="s">
        <v>1402</v>
      </c>
      <c r="F220" s="28" t="s">
        <v>1217</v>
      </c>
      <c r="G220" s="28" t="s">
        <v>1408</v>
      </c>
      <c r="H220" s="28" t="s">
        <v>90</v>
      </c>
      <c r="I220" s="28" t="s">
        <v>91</v>
      </c>
      <c r="J220" s="28" t="s">
        <v>1951</v>
      </c>
      <c r="K220" s="28" t="s">
        <v>1405</v>
      </c>
      <c r="L220" s="28" t="s">
        <v>1406</v>
      </c>
      <c r="M220" s="28">
        <v>244386.44</v>
      </c>
      <c r="N220" s="28" t="s">
        <v>1387</v>
      </c>
      <c r="O220" s="28">
        <v>0</v>
      </c>
      <c r="P220" s="29" t="s">
        <v>1407</v>
      </c>
    </row>
    <row r="221" spans="3:16" ht="36.75" thickBot="1" x14ac:dyDescent="0.3">
      <c r="C221" s="27" t="s">
        <v>1509</v>
      </c>
      <c r="D221" s="28">
        <v>214</v>
      </c>
      <c r="E221" s="28" t="s">
        <v>1402</v>
      </c>
      <c r="F221" s="28" t="s">
        <v>710</v>
      </c>
      <c r="G221" s="28" t="s">
        <v>1408</v>
      </c>
      <c r="H221" s="28" t="s">
        <v>90</v>
      </c>
      <c r="I221" s="28" t="s">
        <v>91</v>
      </c>
      <c r="J221" s="28" t="s">
        <v>1951</v>
      </c>
      <c r="K221" s="28" t="s">
        <v>1405</v>
      </c>
      <c r="L221" s="28" t="s">
        <v>1406</v>
      </c>
      <c r="M221" s="28">
        <v>663000</v>
      </c>
      <c r="N221" s="28" t="s">
        <v>1387</v>
      </c>
      <c r="O221" s="28">
        <v>0</v>
      </c>
      <c r="P221" s="29" t="s">
        <v>1407</v>
      </c>
    </row>
    <row r="222" spans="3:16" ht="36.75" thickBot="1" x14ac:dyDescent="0.3">
      <c r="C222" s="27" t="s">
        <v>1509</v>
      </c>
      <c r="D222" s="28">
        <v>215</v>
      </c>
      <c r="E222" s="28" t="s">
        <v>1402</v>
      </c>
      <c r="F222" s="28" t="s">
        <v>1181</v>
      </c>
      <c r="G222" s="28" t="s">
        <v>1408</v>
      </c>
      <c r="H222" s="28" t="s">
        <v>90</v>
      </c>
      <c r="I222" s="28" t="s">
        <v>91</v>
      </c>
      <c r="J222" s="28" t="s">
        <v>1951</v>
      </c>
      <c r="K222" s="28" t="s">
        <v>1405</v>
      </c>
      <c r="L222" s="28" t="s">
        <v>1406</v>
      </c>
      <c r="M222" s="28">
        <v>484162.4</v>
      </c>
      <c r="N222" s="28" t="s">
        <v>1387</v>
      </c>
      <c r="O222" s="28">
        <v>0</v>
      </c>
      <c r="P222" s="29" t="s">
        <v>1407</v>
      </c>
    </row>
    <row r="223" spans="3:16" ht="36.75" thickBot="1" x14ac:dyDescent="0.3">
      <c r="C223" s="27" t="s">
        <v>1509</v>
      </c>
      <c r="D223" s="28">
        <v>216</v>
      </c>
      <c r="E223" s="28" t="s">
        <v>1402</v>
      </c>
      <c r="F223" s="28" t="s">
        <v>137</v>
      </c>
      <c r="G223" s="28" t="s">
        <v>1408</v>
      </c>
      <c r="H223" s="28" t="s">
        <v>90</v>
      </c>
      <c r="I223" s="28" t="s">
        <v>91</v>
      </c>
      <c r="J223" s="28" t="s">
        <v>1951</v>
      </c>
      <c r="K223" s="28" t="s">
        <v>1405</v>
      </c>
      <c r="L223" s="28" t="s">
        <v>1406</v>
      </c>
      <c r="M223" s="28">
        <v>36000</v>
      </c>
      <c r="N223" s="28" t="s">
        <v>1387</v>
      </c>
      <c r="O223" s="28">
        <v>0</v>
      </c>
      <c r="P223" s="29" t="s">
        <v>1407</v>
      </c>
    </row>
    <row r="224" spans="3:16" ht="36.75" thickBot="1" x14ac:dyDescent="0.3">
      <c r="C224" s="27" t="s">
        <v>1509</v>
      </c>
      <c r="D224" s="28">
        <v>217</v>
      </c>
      <c r="E224" s="28" t="s">
        <v>1402</v>
      </c>
      <c r="F224" s="28" t="s">
        <v>430</v>
      </c>
      <c r="G224" s="28" t="s">
        <v>1408</v>
      </c>
      <c r="H224" s="28" t="s">
        <v>90</v>
      </c>
      <c r="I224" s="28" t="s">
        <v>91</v>
      </c>
      <c r="J224" s="28" t="s">
        <v>1951</v>
      </c>
      <c r="K224" s="28" t="s">
        <v>1405</v>
      </c>
      <c r="L224" s="28" t="s">
        <v>1406</v>
      </c>
      <c r="M224" s="28">
        <v>256000</v>
      </c>
      <c r="N224" s="28" t="s">
        <v>1387</v>
      </c>
      <c r="O224" s="28">
        <v>0</v>
      </c>
      <c r="P224" s="29" t="s">
        <v>1407</v>
      </c>
    </row>
    <row r="225" spans="3:16" ht="36.75" thickBot="1" x14ac:dyDescent="0.3">
      <c r="C225" s="27" t="s">
        <v>1509</v>
      </c>
      <c r="D225" s="28">
        <v>218</v>
      </c>
      <c r="E225" s="28" t="s">
        <v>1402</v>
      </c>
      <c r="F225" s="28" t="s">
        <v>712</v>
      </c>
      <c r="G225" s="28" t="s">
        <v>1408</v>
      </c>
      <c r="H225" s="28" t="s">
        <v>90</v>
      </c>
      <c r="I225" s="28" t="s">
        <v>91</v>
      </c>
      <c r="J225" s="28" t="s">
        <v>1951</v>
      </c>
      <c r="K225" s="28" t="s">
        <v>1405</v>
      </c>
      <c r="L225" s="28" t="s">
        <v>1406</v>
      </c>
      <c r="M225" s="28">
        <v>98421.119999999995</v>
      </c>
      <c r="N225" s="28" t="s">
        <v>1387</v>
      </c>
      <c r="O225" s="28">
        <v>0</v>
      </c>
      <c r="P225" s="29" t="s">
        <v>1407</v>
      </c>
    </row>
    <row r="226" spans="3:16" ht="36.75" thickBot="1" x14ac:dyDescent="0.3">
      <c r="C226" s="27" t="s">
        <v>1509</v>
      </c>
      <c r="D226" s="28">
        <v>219</v>
      </c>
      <c r="E226" s="28" t="s">
        <v>1402</v>
      </c>
      <c r="F226" s="28" t="s">
        <v>1184</v>
      </c>
      <c r="G226" s="28" t="s">
        <v>1408</v>
      </c>
      <c r="H226" s="28" t="s">
        <v>90</v>
      </c>
      <c r="I226" s="28" t="s">
        <v>91</v>
      </c>
      <c r="J226" s="28" t="s">
        <v>1951</v>
      </c>
      <c r="K226" s="28" t="s">
        <v>1405</v>
      </c>
      <c r="L226" s="28" t="s">
        <v>1406</v>
      </c>
      <c r="M226" s="28">
        <v>3000</v>
      </c>
      <c r="N226" s="28" t="s">
        <v>1387</v>
      </c>
      <c r="O226" s="28">
        <v>0</v>
      </c>
      <c r="P226" s="29" t="s">
        <v>1407</v>
      </c>
    </row>
    <row r="227" spans="3:16" ht="36.75" thickBot="1" x14ac:dyDescent="0.3">
      <c r="C227" s="27" t="s">
        <v>1509</v>
      </c>
      <c r="D227" s="28">
        <v>220</v>
      </c>
      <c r="E227" s="28" t="s">
        <v>1402</v>
      </c>
      <c r="F227" s="28" t="s">
        <v>435</v>
      </c>
      <c r="G227" s="28" t="s">
        <v>1408</v>
      </c>
      <c r="H227" s="28" t="s">
        <v>90</v>
      </c>
      <c r="I227" s="28" t="s">
        <v>91</v>
      </c>
      <c r="J227" s="28" t="s">
        <v>1951</v>
      </c>
      <c r="K227" s="28" t="s">
        <v>1405</v>
      </c>
      <c r="L227" s="28" t="s">
        <v>1406</v>
      </c>
      <c r="M227" s="28">
        <v>876476.51</v>
      </c>
      <c r="N227" s="28" t="s">
        <v>1387</v>
      </c>
      <c r="O227" s="28">
        <v>0</v>
      </c>
      <c r="P227" s="29" t="s">
        <v>1407</v>
      </c>
    </row>
    <row r="228" spans="3:16" ht="36.75" thickBot="1" x14ac:dyDescent="0.3">
      <c r="C228" s="27" t="s">
        <v>1509</v>
      </c>
      <c r="D228" s="28">
        <v>221</v>
      </c>
      <c r="E228" s="28" t="s">
        <v>1402</v>
      </c>
      <c r="F228" s="28" t="s">
        <v>685</v>
      </c>
      <c r="G228" s="28" t="s">
        <v>1408</v>
      </c>
      <c r="H228" s="28" t="s">
        <v>90</v>
      </c>
      <c r="I228" s="28" t="s">
        <v>91</v>
      </c>
      <c r="J228" s="28" t="s">
        <v>1951</v>
      </c>
      <c r="K228" s="28" t="s">
        <v>1405</v>
      </c>
      <c r="L228" s="28" t="s">
        <v>1406</v>
      </c>
      <c r="M228" s="28">
        <v>33698.25</v>
      </c>
      <c r="N228" s="28" t="s">
        <v>1387</v>
      </c>
      <c r="O228" s="28">
        <v>0</v>
      </c>
      <c r="P228" s="29" t="s">
        <v>1407</v>
      </c>
    </row>
    <row r="229" spans="3:16" ht="36.75" thickBot="1" x14ac:dyDescent="0.3">
      <c r="C229" s="27" t="s">
        <v>1509</v>
      </c>
      <c r="D229" s="28">
        <v>222</v>
      </c>
      <c r="E229" s="28" t="s">
        <v>1402</v>
      </c>
      <c r="F229" s="28" t="s">
        <v>714</v>
      </c>
      <c r="G229" s="28" t="s">
        <v>1408</v>
      </c>
      <c r="H229" s="28" t="s">
        <v>90</v>
      </c>
      <c r="I229" s="28" t="s">
        <v>91</v>
      </c>
      <c r="J229" s="28" t="s">
        <v>1951</v>
      </c>
      <c r="K229" s="28" t="s">
        <v>1405</v>
      </c>
      <c r="L229" s="28" t="s">
        <v>1406</v>
      </c>
      <c r="M229" s="28">
        <v>22400</v>
      </c>
      <c r="N229" s="28" t="s">
        <v>1387</v>
      </c>
      <c r="O229" s="28">
        <v>0</v>
      </c>
      <c r="P229" s="29" t="s">
        <v>1407</v>
      </c>
    </row>
    <row r="230" spans="3:16" ht="36.75" thickBot="1" x14ac:dyDescent="0.3">
      <c r="C230" s="27" t="s">
        <v>1509</v>
      </c>
      <c r="D230" s="28">
        <v>223</v>
      </c>
      <c r="E230" s="28" t="s">
        <v>1402</v>
      </c>
      <c r="F230" s="28" t="s">
        <v>1187</v>
      </c>
      <c r="G230" s="28" t="s">
        <v>1408</v>
      </c>
      <c r="H230" s="28" t="s">
        <v>90</v>
      </c>
      <c r="I230" s="28" t="s">
        <v>91</v>
      </c>
      <c r="J230" s="28" t="s">
        <v>1951</v>
      </c>
      <c r="K230" s="28" t="s">
        <v>1405</v>
      </c>
      <c r="L230" s="28" t="s">
        <v>1406</v>
      </c>
      <c r="M230" s="28">
        <v>283100</v>
      </c>
      <c r="N230" s="28" t="s">
        <v>1387</v>
      </c>
      <c r="O230" s="28">
        <v>0</v>
      </c>
      <c r="P230" s="29" t="s">
        <v>1407</v>
      </c>
    </row>
    <row r="231" spans="3:16" ht="36.75" thickBot="1" x14ac:dyDescent="0.3">
      <c r="C231" s="27" t="s">
        <v>1509</v>
      </c>
      <c r="D231" s="28">
        <v>224</v>
      </c>
      <c r="E231" s="28" t="s">
        <v>1402</v>
      </c>
      <c r="F231" s="28" t="s">
        <v>270</v>
      </c>
      <c r="G231" s="28" t="s">
        <v>1408</v>
      </c>
      <c r="H231" s="28" t="s">
        <v>90</v>
      </c>
      <c r="I231" s="28" t="s">
        <v>91</v>
      </c>
      <c r="J231" s="28" t="s">
        <v>1951</v>
      </c>
      <c r="K231" s="28" t="s">
        <v>1405</v>
      </c>
      <c r="L231" s="28" t="s">
        <v>1406</v>
      </c>
      <c r="M231" s="28">
        <v>2026400</v>
      </c>
      <c r="N231" s="28" t="s">
        <v>1387</v>
      </c>
      <c r="O231" s="28">
        <v>0</v>
      </c>
      <c r="P231" s="29" t="s">
        <v>1407</v>
      </c>
    </row>
    <row r="232" spans="3:16" ht="36.75" thickBot="1" x14ac:dyDescent="0.3">
      <c r="C232" s="27" t="s">
        <v>1509</v>
      </c>
      <c r="D232" s="28">
        <v>225</v>
      </c>
      <c r="E232" s="28" t="s">
        <v>1402</v>
      </c>
      <c r="F232" s="28" t="s">
        <v>707</v>
      </c>
      <c r="G232" s="28" t="s">
        <v>1408</v>
      </c>
      <c r="H232" s="28" t="s">
        <v>90</v>
      </c>
      <c r="I232" s="28" t="s">
        <v>91</v>
      </c>
      <c r="J232" s="28" t="s">
        <v>1951</v>
      </c>
      <c r="K232" s="28" t="s">
        <v>1405</v>
      </c>
      <c r="L232" s="28" t="s">
        <v>1406</v>
      </c>
      <c r="M232" s="28">
        <v>369094.40000000002</v>
      </c>
      <c r="N232" s="28" t="s">
        <v>1387</v>
      </c>
      <c r="O232" s="28">
        <v>0</v>
      </c>
      <c r="P232" s="29" t="s">
        <v>1407</v>
      </c>
    </row>
    <row r="233" spans="3:16" ht="36.75" thickBot="1" x14ac:dyDescent="0.3">
      <c r="C233" s="27" t="s">
        <v>1509</v>
      </c>
      <c r="D233" s="28">
        <v>226</v>
      </c>
      <c r="E233" s="28" t="s">
        <v>1402</v>
      </c>
      <c r="F233" s="28" t="s">
        <v>716</v>
      </c>
      <c r="G233" s="28" t="s">
        <v>1408</v>
      </c>
      <c r="H233" s="28" t="s">
        <v>90</v>
      </c>
      <c r="I233" s="28" t="s">
        <v>91</v>
      </c>
      <c r="J233" s="28" t="s">
        <v>1951</v>
      </c>
      <c r="K233" s="28" t="s">
        <v>1405</v>
      </c>
      <c r="L233" s="28" t="s">
        <v>1406</v>
      </c>
      <c r="M233" s="28">
        <v>224000</v>
      </c>
      <c r="N233" s="28" t="s">
        <v>1387</v>
      </c>
      <c r="O233" s="28">
        <v>0</v>
      </c>
      <c r="P233" s="29" t="s">
        <v>1407</v>
      </c>
    </row>
    <row r="234" spans="3:16" ht="36.75" thickBot="1" x14ac:dyDescent="0.3">
      <c r="C234" s="27" t="s">
        <v>1509</v>
      </c>
      <c r="D234" s="28">
        <v>227</v>
      </c>
      <c r="E234" s="28" t="s">
        <v>1402</v>
      </c>
      <c r="F234" s="28" t="s">
        <v>1190</v>
      </c>
      <c r="G234" s="28" t="s">
        <v>1408</v>
      </c>
      <c r="H234" s="28" t="s">
        <v>90</v>
      </c>
      <c r="I234" s="28" t="s">
        <v>91</v>
      </c>
      <c r="J234" s="28" t="s">
        <v>1951</v>
      </c>
      <c r="K234" s="28" t="s">
        <v>1405</v>
      </c>
      <c r="L234" s="28" t="s">
        <v>1406</v>
      </c>
      <c r="M234" s="28">
        <v>927373.6</v>
      </c>
      <c r="N234" s="28" t="s">
        <v>1387</v>
      </c>
      <c r="O234" s="28">
        <v>0</v>
      </c>
      <c r="P234" s="29" t="s">
        <v>1407</v>
      </c>
    </row>
    <row r="235" spans="3:16" ht="36.75" thickBot="1" x14ac:dyDescent="0.3">
      <c r="C235" s="27" t="s">
        <v>1509</v>
      </c>
      <c r="D235" s="28">
        <v>228</v>
      </c>
      <c r="E235" s="28" t="s">
        <v>1402</v>
      </c>
      <c r="F235" s="28" t="s">
        <v>437</v>
      </c>
      <c r="G235" s="28" t="s">
        <v>1408</v>
      </c>
      <c r="H235" s="28" t="s">
        <v>90</v>
      </c>
      <c r="I235" s="28" t="s">
        <v>91</v>
      </c>
      <c r="J235" s="28" t="s">
        <v>1951</v>
      </c>
      <c r="K235" s="28" t="s">
        <v>1405</v>
      </c>
      <c r="L235" s="28" t="s">
        <v>1406</v>
      </c>
      <c r="M235" s="28">
        <v>799243.2</v>
      </c>
      <c r="N235" s="28" t="s">
        <v>1387</v>
      </c>
      <c r="O235" s="28">
        <v>0</v>
      </c>
      <c r="P235" s="29" t="s">
        <v>1407</v>
      </c>
    </row>
    <row r="236" spans="3:16" ht="36.75" thickBot="1" x14ac:dyDescent="0.3">
      <c r="C236" s="27" t="s">
        <v>1509</v>
      </c>
      <c r="D236" s="28">
        <v>229</v>
      </c>
      <c r="E236" s="28" t="s">
        <v>1402</v>
      </c>
      <c r="F236" s="28" t="s">
        <v>1168</v>
      </c>
      <c r="G236" s="28" t="s">
        <v>1408</v>
      </c>
      <c r="H236" s="28" t="s">
        <v>90</v>
      </c>
      <c r="I236" s="28" t="s">
        <v>91</v>
      </c>
      <c r="J236" s="28" t="s">
        <v>1951</v>
      </c>
      <c r="K236" s="28" t="s">
        <v>1405</v>
      </c>
      <c r="L236" s="28" t="s">
        <v>1406</v>
      </c>
      <c r="M236" s="28">
        <v>67600</v>
      </c>
      <c r="N236" s="28" t="s">
        <v>1387</v>
      </c>
      <c r="O236" s="28">
        <v>0</v>
      </c>
      <c r="P236" s="29" t="s">
        <v>1407</v>
      </c>
    </row>
    <row r="237" spans="3:16" ht="36.75" thickBot="1" x14ac:dyDescent="0.3">
      <c r="C237" s="27" t="s">
        <v>1509</v>
      </c>
      <c r="D237" s="28">
        <v>230</v>
      </c>
      <c r="E237" s="28" t="s">
        <v>1402</v>
      </c>
      <c r="F237" s="28" t="s">
        <v>718</v>
      </c>
      <c r="G237" s="28" t="s">
        <v>1408</v>
      </c>
      <c r="H237" s="28" t="s">
        <v>90</v>
      </c>
      <c r="I237" s="28" t="s">
        <v>91</v>
      </c>
      <c r="J237" s="28" t="s">
        <v>1951</v>
      </c>
      <c r="K237" s="28" t="s">
        <v>1405</v>
      </c>
      <c r="L237" s="28" t="s">
        <v>1406</v>
      </c>
      <c r="M237" s="28">
        <v>1134424.21</v>
      </c>
      <c r="N237" s="28" t="s">
        <v>1387</v>
      </c>
      <c r="O237" s="28">
        <v>0</v>
      </c>
      <c r="P237" s="29" t="s">
        <v>1407</v>
      </c>
    </row>
    <row r="238" spans="3:16" ht="36.75" thickBot="1" x14ac:dyDescent="0.3">
      <c r="C238" s="27" t="s">
        <v>1509</v>
      </c>
      <c r="D238" s="28">
        <v>231</v>
      </c>
      <c r="E238" s="28" t="s">
        <v>1402</v>
      </c>
      <c r="F238" s="28" t="s">
        <v>1193</v>
      </c>
      <c r="G238" s="28" t="s">
        <v>1408</v>
      </c>
      <c r="H238" s="28" t="s">
        <v>90</v>
      </c>
      <c r="I238" s="28" t="s">
        <v>91</v>
      </c>
      <c r="J238" s="28" t="s">
        <v>1951</v>
      </c>
      <c r="K238" s="28" t="s">
        <v>1405</v>
      </c>
      <c r="L238" s="28" t="s">
        <v>1406</v>
      </c>
      <c r="M238" s="28">
        <v>423212.42</v>
      </c>
      <c r="N238" s="28" t="s">
        <v>1387</v>
      </c>
      <c r="O238" s="28">
        <v>0</v>
      </c>
      <c r="P238" s="29" t="s">
        <v>1407</v>
      </c>
    </row>
    <row r="239" spans="3:16" ht="36.75" thickBot="1" x14ac:dyDescent="0.3">
      <c r="C239" s="27" t="s">
        <v>1509</v>
      </c>
      <c r="D239" s="28">
        <v>232</v>
      </c>
      <c r="E239" s="28" t="s">
        <v>1402</v>
      </c>
      <c r="F239" s="28" t="s">
        <v>183</v>
      </c>
      <c r="G239" s="28" t="s">
        <v>1408</v>
      </c>
      <c r="H239" s="28" t="s">
        <v>90</v>
      </c>
      <c r="I239" s="28" t="s">
        <v>91</v>
      </c>
      <c r="J239" s="28" t="s">
        <v>1951</v>
      </c>
      <c r="K239" s="28" t="s">
        <v>1405</v>
      </c>
      <c r="L239" s="28" t="s">
        <v>1406</v>
      </c>
      <c r="M239" s="28">
        <v>64160</v>
      </c>
      <c r="N239" s="28" t="s">
        <v>1387</v>
      </c>
      <c r="O239" s="28">
        <v>0</v>
      </c>
      <c r="P239" s="29" t="s">
        <v>1407</v>
      </c>
    </row>
    <row r="240" spans="3:16" ht="36.75" thickBot="1" x14ac:dyDescent="0.3">
      <c r="C240" s="27" t="s">
        <v>1509</v>
      </c>
      <c r="D240" s="28">
        <v>233</v>
      </c>
      <c r="E240" s="28" t="s">
        <v>1402</v>
      </c>
      <c r="F240" s="28" t="s">
        <v>269</v>
      </c>
      <c r="G240" s="28" t="s">
        <v>1408</v>
      </c>
      <c r="H240" s="28" t="s">
        <v>90</v>
      </c>
      <c r="I240" s="28" t="s">
        <v>91</v>
      </c>
      <c r="J240" s="28" t="s">
        <v>1951</v>
      </c>
      <c r="K240" s="28" t="s">
        <v>1405</v>
      </c>
      <c r="L240" s="28" t="s">
        <v>1406</v>
      </c>
      <c r="M240" s="28">
        <v>4655000</v>
      </c>
      <c r="N240" s="28" t="s">
        <v>1387</v>
      </c>
      <c r="O240" s="28">
        <v>0</v>
      </c>
      <c r="P240" s="29" t="s">
        <v>1407</v>
      </c>
    </row>
    <row r="241" spans="3:16" ht="36.75" thickBot="1" x14ac:dyDescent="0.3">
      <c r="C241" s="27" t="s">
        <v>1509</v>
      </c>
      <c r="D241" s="28">
        <v>234</v>
      </c>
      <c r="E241" s="28" t="s">
        <v>1402</v>
      </c>
      <c r="F241" s="28" t="s">
        <v>720</v>
      </c>
      <c r="G241" s="28" t="s">
        <v>1408</v>
      </c>
      <c r="H241" s="28" t="s">
        <v>90</v>
      </c>
      <c r="I241" s="28" t="s">
        <v>91</v>
      </c>
      <c r="J241" s="28" t="s">
        <v>1951</v>
      </c>
      <c r="K241" s="28" t="s">
        <v>1405</v>
      </c>
      <c r="L241" s="28" t="s">
        <v>1406</v>
      </c>
      <c r="M241" s="28">
        <v>1121400</v>
      </c>
      <c r="N241" s="28" t="s">
        <v>1387</v>
      </c>
      <c r="O241" s="28">
        <v>0</v>
      </c>
      <c r="P241" s="29" t="s">
        <v>1407</v>
      </c>
    </row>
    <row r="242" spans="3:16" ht="36.75" thickBot="1" x14ac:dyDescent="0.3">
      <c r="C242" s="27" t="s">
        <v>1509</v>
      </c>
      <c r="D242" s="28">
        <v>235</v>
      </c>
      <c r="E242" s="28" t="s">
        <v>1402</v>
      </c>
      <c r="F242" s="28" t="s">
        <v>1196</v>
      </c>
      <c r="G242" s="28" t="s">
        <v>1408</v>
      </c>
      <c r="H242" s="28" t="s">
        <v>90</v>
      </c>
      <c r="I242" s="28" t="s">
        <v>91</v>
      </c>
      <c r="J242" s="28" t="s">
        <v>1951</v>
      </c>
      <c r="K242" s="28" t="s">
        <v>1405</v>
      </c>
      <c r="L242" s="28" t="s">
        <v>1406</v>
      </c>
      <c r="M242" s="28">
        <v>202434.06</v>
      </c>
      <c r="N242" s="28" t="s">
        <v>1387</v>
      </c>
      <c r="O242" s="28">
        <v>0</v>
      </c>
      <c r="P242" s="29" t="s">
        <v>1407</v>
      </c>
    </row>
    <row r="243" spans="3:16" ht="36.75" thickBot="1" x14ac:dyDescent="0.3">
      <c r="C243" s="27" t="s">
        <v>1509</v>
      </c>
      <c r="D243" s="28">
        <v>236</v>
      </c>
      <c r="E243" s="28" t="s">
        <v>1402</v>
      </c>
      <c r="F243" s="28" t="s">
        <v>439</v>
      </c>
      <c r="G243" s="28" t="s">
        <v>1408</v>
      </c>
      <c r="H243" s="28" t="s">
        <v>90</v>
      </c>
      <c r="I243" s="28" t="s">
        <v>91</v>
      </c>
      <c r="J243" s="28" t="s">
        <v>1951</v>
      </c>
      <c r="K243" s="28" t="s">
        <v>1405</v>
      </c>
      <c r="L243" s="28" t="s">
        <v>1406</v>
      </c>
      <c r="M243" s="28">
        <v>160212.57</v>
      </c>
      <c r="N243" s="28" t="s">
        <v>1387</v>
      </c>
      <c r="O243" s="28">
        <v>0</v>
      </c>
      <c r="P243" s="29" t="s">
        <v>1407</v>
      </c>
    </row>
    <row r="244" spans="3:16" ht="36.75" thickBot="1" x14ac:dyDescent="0.3">
      <c r="C244" s="27" t="s">
        <v>1509</v>
      </c>
      <c r="D244" s="28">
        <v>237</v>
      </c>
      <c r="E244" s="28" t="s">
        <v>1402</v>
      </c>
      <c r="F244" s="28" t="s">
        <v>1356</v>
      </c>
      <c r="G244" s="28" t="s">
        <v>1408</v>
      </c>
      <c r="H244" s="28" t="s">
        <v>90</v>
      </c>
      <c r="I244" s="28" t="s">
        <v>91</v>
      </c>
      <c r="J244" s="28" t="s">
        <v>1951</v>
      </c>
      <c r="K244" s="28" t="s">
        <v>1405</v>
      </c>
      <c r="L244" s="28" t="s">
        <v>1406</v>
      </c>
      <c r="M244" s="28">
        <v>45245.62</v>
      </c>
      <c r="N244" s="28" t="s">
        <v>1387</v>
      </c>
      <c r="O244" s="28">
        <v>0</v>
      </c>
      <c r="P244" s="29" t="s">
        <v>1407</v>
      </c>
    </row>
    <row r="245" spans="3:16" ht="36.75" thickBot="1" x14ac:dyDescent="0.3">
      <c r="C245" s="27" t="s">
        <v>1509</v>
      </c>
      <c r="D245" s="28">
        <v>238</v>
      </c>
      <c r="E245" s="28" t="s">
        <v>1402</v>
      </c>
      <c r="F245" s="28" t="s">
        <v>722</v>
      </c>
      <c r="G245" s="28" t="s">
        <v>1408</v>
      </c>
      <c r="H245" s="28" t="s">
        <v>90</v>
      </c>
      <c r="I245" s="28" t="s">
        <v>91</v>
      </c>
      <c r="J245" s="28" t="s">
        <v>1951</v>
      </c>
      <c r="K245" s="28" t="s">
        <v>1405</v>
      </c>
      <c r="L245" s="28" t="s">
        <v>1406</v>
      </c>
      <c r="M245" s="28">
        <v>1499068.95</v>
      </c>
      <c r="N245" s="28" t="s">
        <v>1387</v>
      </c>
      <c r="O245" s="28">
        <v>0</v>
      </c>
      <c r="P245" s="29" t="s">
        <v>1407</v>
      </c>
    </row>
    <row r="246" spans="3:16" ht="36.75" thickBot="1" x14ac:dyDescent="0.3">
      <c r="C246" s="27" t="s">
        <v>1509</v>
      </c>
      <c r="D246" s="28">
        <v>239</v>
      </c>
      <c r="E246" s="28" t="s">
        <v>1402</v>
      </c>
      <c r="F246" s="28" t="s">
        <v>1199</v>
      </c>
      <c r="G246" s="28" t="s">
        <v>1408</v>
      </c>
      <c r="H246" s="28" t="s">
        <v>90</v>
      </c>
      <c r="I246" s="28" t="s">
        <v>91</v>
      </c>
      <c r="J246" s="28" t="s">
        <v>1951</v>
      </c>
      <c r="K246" s="28" t="s">
        <v>1405</v>
      </c>
      <c r="L246" s="28" t="s">
        <v>1406</v>
      </c>
      <c r="M246" s="28">
        <v>477000</v>
      </c>
      <c r="N246" s="28" t="s">
        <v>1387</v>
      </c>
      <c r="O246" s="28">
        <v>0</v>
      </c>
      <c r="P246" s="29" t="s">
        <v>1407</v>
      </c>
    </row>
    <row r="247" spans="3:16" ht="36.75" thickBot="1" x14ac:dyDescent="0.3">
      <c r="C247" s="27" t="s">
        <v>1509</v>
      </c>
      <c r="D247" s="28">
        <v>240</v>
      </c>
      <c r="E247" s="28" t="s">
        <v>1402</v>
      </c>
      <c r="F247" s="28" t="s">
        <v>271</v>
      </c>
      <c r="G247" s="28" t="s">
        <v>1408</v>
      </c>
      <c r="H247" s="28" t="s">
        <v>90</v>
      </c>
      <c r="I247" s="28" t="s">
        <v>91</v>
      </c>
      <c r="J247" s="28" t="s">
        <v>1951</v>
      </c>
      <c r="K247" s="28" t="s">
        <v>1405</v>
      </c>
      <c r="L247" s="28" t="s">
        <v>1406</v>
      </c>
      <c r="M247" s="28">
        <v>68920</v>
      </c>
      <c r="N247" s="28" t="s">
        <v>1387</v>
      </c>
      <c r="O247" s="28">
        <v>0</v>
      </c>
      <c r="P247" s="29" t="s">
        <v>1407</v>
      </c>
    </row>
    <row r="248" spans="3:16" ht="36.75" thickBot="1" x14ac:dyDescent="0.3">
      <c r="C248" s="27" t="s">
        <v>1509</v>
      </c>
      <c r="D248" s="28">
        <v>241</v>
      </c>
      <c r="E248" s="28" t="s">
        <v>1402</v>
      </c>
      <c r="F248" s="28" t="s">
        <v>715</v>
      </c>
      <c r="G248" s="28" t="s">
        <v>1408</v>
      </c>
      <c r="H248" s="28" t="s">
        <v>90</v>
      </c>
      <c r="I248" s="28" t="s">
        <v>91</v>
      </c>
      <c r="J248" s="28" t="s">
        <v>1951</v>
      </c>
      <c r="K248" s="28" t="s">
        <v>1405</v>
      </c>
      <c r="L248" s="28" t="s">
        <v>1406</v>
      </c>
      <c r="M248" s="28">
        <v>6254467.2000000002</v>
      </c>
      <c r="N248" s="28" t="s">
        <v>1387</v>
      </c>
      <c r="O248" s="28">
        <v>0</v>
      </c>
      <c r="P248" s="29" t="s">
        <v>1407</v>
      </c>
    </row>
    <row r="249" spans="3:16" ht="36.75" thickBot="1" x14ac:dyDescent="0.3">
      <c r="C249" s="27" t="s">
        <v>1509</v>
      </c>
      <c r="D249" s="28">
        <v>242</v>
      </c>
      <c r="E249" s="28" t="s">
        <v>1402</v>
      </c>
      <c r="F249" s="28" t="s">
        <v>724</v>
      </c>
      <c r="G249" s="28" t="s">
        <v>1408</v>
      </c>
      <c r="H249" s="28" t="s">
        <v>90</v>
      </c>
      <c r="I249" s="28" t="s">
        <v>91</v>
      </c>
      <c r="J249" s="28" t="s">
        <v>1951</v>
      </c>
      <c r="K249" s="28" t="s">
        <v>1405</v>
      </c>
      <c r="L249" s="28" t="s">
        <v>1406</v>
      </c>
      <c r="M249" s="28">
        <v>608102.64</v>
      </c>
      <c r="N249" s="28" t="s">
        <v>1387</v>
      </c>
      <c r="O249" s="28">
        <v>0</v>
      </c>
      <c r="P249" s="29" t="s">
        <v>1407</v>
      </c>
    </row>
    <row r="250" spans="3:16" ht="36.75" thickBot="1" x14ac:dyDescent="0.3">
      <c r="C250" s="27" t="s">
        <v>1509</v>
      </c>
      <c r="D250" s="28">
        <v>243</v>
      </c>
      <c r="E250" s="28" t="s">
        <v>1402</v>
      </c>
      <c r="F250" s="28" t="s">
        <v>1201</v>
      </c>
      <c r="G250" s="28" t="s">
        <v>1408</v>
      </c>
      <c r="H250" s="28" t="s">
        <v>90</v>
      </c>
      <c r="I250" s="28" t="s">
        <v>91</v>
      </c>
      <c r="J250" s="28" t="s">
        <v>1951</v>
      </c>
      <c r="K250" s="28" t="s">
        <v>1405</v>
      </c>
      <c r="L250" s="28" t="s">
        <v>1406</v>
      </c>
      <c r="M250" s="28">
        <v>47280</v>
      </c>
      <c r="N250" s="28" t="s">
        <v>1387</v>
      </c>
      <c r="O250" s="28">
        <v>0</v>
      </c>
      <c r="P250" s="29" t="s">
        <v>1407</v>
      </c>
    </row>
    <row r="251" spans="3:16" ht="36.75" thickBot="1" x14ac:dyDescent="0.3">
      <c r="C251" s="27" t="s">
        <v>1509</v>
      </c>
      <c r="D251" s="28">
        <v>244</v>
      </c>
      <c r="E251" s="28" t="s">
        <v>1402</v>
      </c>
      <c r="F251" s="28" t="s">
        <v>441</v>
      </c>
      <c r="G251" s="28" t="s">
        <v>1408</v>
      </c>
      <c r="H251" s="28" t="s">
        <v>90</v>
      </c>
      <c r="I251" s="28" t="s">
        <v>91</v>
      </c>
      <c r="J251" s="28" t="s">
        <v>1951</v>
      </c>
      <c r="K251" s="28" t="s">
        <v>1405</v>
      </c>
      <c r="L251" s="28" t="s">
        <v>1406</v>
      </c>
      <c r="M251" s="28">
        <v>59720</v>
      </c>
      <c r="N251" s="28" t="s">
        <v>1387</v>
      </c>
      <c r="O251" s="28">
        <v>0</v>
      </c>
      <c r="P251" s="29" t="s">
        <v>1407</v>
      </c>
    </row>
    <row r="252" spans="3:16" ht="36.75" thickBot="1" x14ac:dyDescent="0.3">
      <c r="C252" s="27" t="s">
        <v>1509</v>
      </c>
      <c r="D252" s="28">
        <v>245</v>
      </c>
      <c r="E252" s="28" t="s">
        <v>1402</v>
      </c>
      <c r="F252" s="28" t="s">
        <v>1180</v>
      </c>
      <c r="G252" s="28" t="s">
        <v>1408</v>
      </c>
      <c r="H252" s="28" t="s">
        <v>90</v>
      </c>
      <c r="I252" s="28" t="s">
        <v>91</v>
      </c>
      <c r="J252" s="28" t="s">
        <v>1951</v>
      </c>
      <c r="K252" s="28" t="s">
        <v>1405</v>
      </c>
      <c r="L252" s="28" t="s">
        <v>1406</v>
      </c>
      <c r="M252" s="28">
        <v>87028.13</v>
      </c>
      <c r="N252" s="28" t="s">
        <v>1387</v>
      </c>
      <c r="O252" s="28">
        <v>0</v>
      </c>
      <c r="P252" s="29" t="s">
        <v>1407</v>
      </c>
    </row>
    <row r="253" spans="3:16" ht="36.75" thickBot="1" x14ac:dyDescent="0.3">
      <c r="C253" s="27" t="s">
        <v>1509</v>
      </c>
      <c r="D253" s="28">
        <v>246</v>
      </c>
      <c r="E253" s="28" t="s">
        <v>1402</v>
      </c>
      <c r="F253" s="28" t="s">
        <v>726</v>
      </c>
      <c r="G253" s="28" t="s">
        <v>1408</v>
      </c>
      <c r="H253" s="28" t="s">
        <v>90</v>
      </c>
      <c r="I253" s="28" t="s">
        <v>91</v>
      </c>
      <c r="J253" s="28" t="s">
        <v>1951</v>
      </c>
      <c r="K253" s="28" t="s">
        <v>1405</v>
      </c>
      <c r="L253" s="28" t="s">
        <v>1406</v>
      </c>
      <c r="M253" s="28">
        <v>76860.850000000006</v>
      </c>
      <c r="N253" s="28" t="s">
        <v>1387</v>
      </c>
      <c r="O253" s="28">
        <v>0</v>
      </c>
      <c r="P253" s="29" t="s">
        <v>1407</v>
      </c>
    </row>
    <row r="254" spans="3:16" ht="36.75" thickBot="1" x14ac:dyDescent="0.3">
      <c r="C254" s="27" t="s">
        <v>1509</v>
      </c>
      <c r="D254" s="28">
        <v>247</v>
      </c>
      <c r="E254" s="28" t="s">
        <v>1402</v>
      </c>
      <c r="F254" s="28" t="s">
        <v>1204</v>
      </c>
      <c r="G254" s="28" t="s">
        <v>1408</v>
      </c>
      <c r="H254" s="28" t="s">
        <v>90</v>
      </c>
      <c r="I254" s="28" t="s">
        <v>91</v>
      </c>
      <c r="J254" s="28" t="s">
        <v>1951</v>
      </c>
      <c r="K254" s="28" t="s">
        <v>1405</v>
      </c>
      <c r="L254" s="28" t="s">
        <v>1406</v>
      </c>
      <c r="M254" s="28">
        <v>1006200</v>
      </c>
      <c r="N254" s="28" t="s">
        <v>1387</v>
      </c>
      <c r="O254" s="28">
        <v>0</v>
      </c>
      <c r="P254" s="29" t="s">
        <v>1407</v>
      </c>
    </row>
    <row r="255" spans="3:16" ht="36.75" thickBot="1" x14ac:dyDescent="0.3">
      <c r="C255" s="27" t="s">
        <v>1509</v>
      </c>
      <c r="D255" s="28">
        <v>248</v>
      </c>
      <c r="E255" s="28" t="s">
        <v>1402</v>
      </c>
      <c r="F255" s="28" t="s">
        <v>118</v>
      </c>
      <c r="G255" s="28" t="s">
        <v>1408</v>
      </c>
      <c r="H255" s="28" t="s">
        <v>90</v>
      </c>
      <c r="I255" s="28" t="s">
        <v>91</v>
      </c>
      <c r="J255" s="28" t="s">
        <v>1951</v>
      </c>
      <c r="K255" s="28" t="s">
        <v>1405</v>
      </c>
      <c r="L255" s="28" t="s">
        <v>1406</v>
      </c>
      <c r="M255" s="28">
        <v>120000</v>
      </c>
      <c r="N255" s="28" t="s">
        <v>1387</v>
      </c>
      <c r="O255" s="28">
        <v>0</v>
      </c>
      <c r="P255" s="29" t="s">
        <v>1407</v>
      </c>
    </row>
    <row r="256" spans="3:16" ht="36.75" thickBot="1" x14ac:dyDescent="0.3">
      <c r="C256" s="27" t="s">
        <v>1509</v>
      </c>
      <c r="D256" s="28">
        <v>249</v>
      </c>
      <c r="E256" s="28" t="s">
        <v>1402</v>
      </c>
      <c r="F256" s="28" t="s">
        <v>438</v>
      </c>
      <c r="G256" s="28" t="s">
        <v>1408</v>
      </c>
      <c r="H256" s="28" t="s">
        <v>90</v>
      </c>
      <c r="I256" s="28" t="s">
        <v>91</v>
      </c>
      <c r="J256" s="28" t="s">
        <v>1951</v>
      </c>
      <c r="K256" s="28" t="s">
        <v>1405</v>
      </c>
      <c r="L256" s="28" t="s">
        <v>1406</v>
      </c>
      <c r="M256" s="28">
        <v>844191</v>
      </c>
      <c r="N256" s="28" t="s">
        <v>1387</v>
      </c>
      <c r="O256" s="28">
        <v>0</v>
      </c>
      <c r="P256" s="29" t="s">
        <v>1407</v>
      </c>
    </row>
    <row r="257" spans="3:16" ht="36.75" thickBot="1" x14ac:dyDescent="0.3">
      <c r="C257" s="27" t="s">
        <v>1509</v>
      </c>
      <c r="D257" s="28">
        <v>250</v>
      </c>
      <c r="E257" s="28" t="s">
        <v>1402</v>
      </c>
      <c r="F257" s="28" t="s">
        <v>727</v>
      </c>
      <c r="G257" s="28" t="s">
        <v>1408</v>
      </c>
      <c r="H257" s="28" t="s">
        <v>90</v>
      </c>
      <c r="I257" s="28" t="s">
        <v>91</v>
      </c>
      <c r="J257" s="28" t="s">
        <v>1951</v>
      </c>
      <c r="K257" s="28" t="s">
        <v>1405</v>
      </c>
      <c r="L257" s="28" t="s">
        <v>1406</v>
      </c>
      <c r="M257" s="28">
        <v>205768</v>
      </c>
      <c r="N257" s="28" t="s">
        <v>1387</v>
      </c>
      <c r="O257" s="28">
        <v>0</v>
      </c>
      <c r="P257" s="29" t="s">
        <v>1407</v>
      </c>
    </row>
    <row r="258" spans="3:16" ht="36.75" thickBot="1" x14ac:dyDescent="0.3">
      <c r="C258" s="27" t="s">
        <v>1509</v>
      </c>
      <c r="D258" s="28">
        <v>251</v>
      </c>
      <c r="E258" s="28" t="s">
        <v>1402</v>
      </c>
      <c r="F258" s="28" t="s">
        <v>1207</v>
      </c>
      <c r="G258" s="28" t="s">
        <v>1408</v>
      </c>
      <c r="H258" s="28" t="s">
        <v>90</v>
      </c>
      <c r="I258" s="28" t="s">
        <v>91</v>
      </c>
      <c r="J258" s="28" t="s">
        <v>1951</v>
      </c>
      <c r="K258" s="28" t="s">
        <v>1405</v>
      </c>
      <c r="L258" s="28" t="s">
        <v>1406</v>
      </c>
      <c r="M258" s="28">
        <v>38868</v>
      </c>
      <c r="N258" s="28" t="s">
        <v>1387</v>
      </c>
      <c r="O258" s="28">
        <v>0</v>
      </c>
      <c r="P258" s="29" t="s">
        <v>1407</v>
      </c>
    </row>
    <row r="259" spans="3:16" ht="36.75" thickBot="1" x14ac:dyDescent="0.3">
      <c r="C259" s="27" t="s">
        <v>1509</v>
      </c>
      <c r="D259" s="28">
        <v>252</v>
      </c>
      <c r="E259" s="28" t="s">
        <v>1402</v>
      </c>
      <c r="F259" s="28" t="s">
        <v>443</v>
      </c>
      <c r="G259" s="28" t="s">
        <v>1408</v>
      </c>
      <c r="H259" s="28" t="s">
        <v>90</v>
      </c>
      <c r="I259" s="28" t="s">
        <v>91</v>
      </c>
      <c r="J259" s="28" t="s">
        <v>1951</v>
      </c>
      <c r="K259" s="28" t="s">
        <v>1405</v>
      </c>
      <c r="L259" s="28" t="s">
        <v>1406</v>
      </c>
      <c r="M259" s="28">
        <v>166500</v>
      </c>
      <c r="N259" s="28" t="s">
        <v>1387</v>
      </c>
      <c r="O259" s="28">
        <v>0</v>
      </c>
      <c r="P259" s="29" t="s">
        <v>1407</v>
      </c>
    </row>
    <row r="260" spans="3:16" ht="36.75" thickBot="1" x14ac:dyDescent="0.3">
      <c r="C260" s="27" t="s">
        <v>1509</v>
      </c>
      <c r="D260" s="28">
        <v>253</v>
      </c>
      <c r="E260" s="28" t="s">
        <v>1402</v>
      </c>
      <c r="F260" s="28" t="s">
        <v>180</v>
      </c>
      <c r="G260" s="28" t="s">
        <v>1408</v>
      </c>
      <c r="H260" s="28" t="s">
        <v>90</v>
      </c>
      <c r="I260" s="28" t="s">
        <v>91</v>
      </c>
      <c r="J260" s="28" t="s">
        <v>1951</v>
      </c>
      <c r="K260" s="28" t="s">
        <v>1405</v>
      </c>
      <c r="L260" s="28" t="s">
        <v>1406</v>
      </c>
      <c r="M260" s="28">
        <v>613800</v>
      </c>
      <c r="N260" s="28" t="s">
        <v>1387</v>
      </c>
      <c r="O260" s="28">
        <v>0</v>
      </c>
      <c r="P260" s="29" t="s">
        <v>1407</v>
      </c>
    </row>
    <row r="261" spans="3:16" ht="36.75" thickBot="1" x14ac:dyDescent="0.3">
      <c r="C261" s="27" t="s">
        <v>1509</v>
      </c>
      <c r="D261" s="28">
        <v>254</v>
      </c>
      <c r="E261" s="28" t="s">
        <v>1402</v>
      </c>
      <c r="F261" s="28" t="s">
        <v>729</v>
      </c>
      <c r="G261" s="28" t="s">
        <v>1408</v>
      </c>
      <c r="H261" s="28" t="s">
        <v>90</v>
      </c>
      <c r="I261" s="28" t="s">
        <v>91</v>
      </c>
      <c r="J261" s="28" t="s">
        <v>1951</v>
      </c>
      <c r="K261" s="28" t="s">
        <v>1405</v>
      </c>
      <c r="L261" s="28" t="s">
        <v>1406</v>
      </c>
      <c r="M261" s="28">
        <v>392423.9</v>
      </c>
      <c r="N261" s="28" t="s">
        <v>1387</v>
      </c>
      <c r="O261" s="28">
        <v>0</v>
      </c>
      <c r="P261" s="29" t="s">
        <v>1407</v>
      </c>
    </row>
    <row r="262" spans="3:16" ht="36.75" thickBot="1" x14ac:dyDescent="0.3">
      <c r="C262" s="27" t="s">
        <v>1509</v>
      </c>
      <c r="D262" s="28">
        <v>255</v>
      </c>
      <c r="E262" s="28" t="s">
        <v>1402</v>
      </c>
      <c r="F262" s="28" t="s">
        <v>1209</v>
      </c>
      <c r="G262" s="28" t="s">
        <v>1408</v>
      </c>
      <c r="H262" s="28" t="s">
        <v>90</v>
      </c>
      <c r="I262" s="28" t="s">
        <v>91</v>
      </c>
      <c r="J262" s="28" t="s">
        <v>1951</v>
      </c>
      <c r="K262" s="28" t="s">
        <v>1405</v>
      </c>
      <c r="L262" s="28" t="s">
        <v>1406</v>
      </c>
      <c r="M262" s="28">
        <v>50000</v>
      </c>
      <c r="N262" s="28" t="s">
        <v>1387</v>
      </c>
      <c r="O262" s="28">
        <v>0</v>
      </c>
      <c r="P262" s="29" t="s">
        <v>1407</v>
      </c>
    </row>
    <row r="263" spans="3:16" ht="36.75" thickBot="1" x14ac:dyDescent="0.3">
      <c r="C263" s="27" t="s">
        <v>1509</v>
      </c>
      <c r="D263" s="28">
        <v>256</v>
      </c>
      <c r="E263" s="28" t="s">
        <v>1402</v>
      </c>
      <c r="F263" s="28" t="s">
        <v>273</v>
      </c>
      <c r="G263" s="28" t="s">
        <v>1408</v>
      </c>
      <c r="H263" s="28" t="s">
        <v>90</v>
      </c>
      <c r="I263" s="28" t="s">
        <v>91</v>
      </c>
      <c r="J263" s="28" t="s">
        <v>1951</v>
      </c>
      <c r="K263" s="28" t="s">
        <v>1405</v>
      </c>
      <c r="L263" s="28" t="s">
        <v>1406</v>
      </c>
      <c r="M263" s="28">
        <v>200000</v>
      </c>
      <c r="N263" s="28" t="s">
        <v>1387</v>
      </c>
      <c r="O263" s="28">
        <v>0</v>
      </c>
      <c r="P263" s="29" t="s">
        <v>1407</v>
      </c>
    </row>
    <row r="264" spans="3:16" ht="36.75" thickBot="1" x14ac:dyDescent="0.3">
      <c r="C264" s="27" t="s">
        <v>1509</v>
      </c>
      <c r="D264" s="28">
        <v>257</v>
      </c>
      <c r="E264" s="28" t="s">
        <v>1402</v>
      </c>
      <c r="F264" s="28" t="s">
        <v>723</v>
      </c>
      <c r="G264" s="28" t="s">
        <v>1408</v>
      </c>
      <c r="H264" s="28" t="s">
        <v>90</v>
      </c>
      <c r="I264" s="28" t="s">
        <v>91</v>
      </c>
      <c r="J264" s="28" t="s">
        <v>1951</v>
      </c>
      <c r="K264" s="28" t="s">
        <v>1405</v>
      </c>
      <c r="L264" s="28" t="s">
        <v>1406</v>
      </c>
      <c r="M264" s="28">
        <v>108000</v>
      </c>
      <c r="N264" s="28" t="s">
        <v>1387</v>
      </c>
      <c r="O264" s="28">
        <v>0</v>
      </c>
      <c r="P264" s="29" t="s">
        <v>1407</v>
      </c>
    </row>
    <row r="265" spans="3:16" ht="36.75" thickBot="1" x14ac:dyDescent="0.3">
      <c r="C265" s="27" t="s">
        <v>1509</v>
      </c>
      <c r="D265" s="28">
        <v>258</v>
      </c>
      <c r="E265" s="28" t="s">
        <v>1402</v>
      </c>
      <c r="F265" s="28" t="s">
        <v>731</v>
      </c>
      <c r="G265" s="28" t="s">
        <v>1408</v>
      </c>
      <c r="H265" s="28" t="s">
        <v>90</v>
      </c>
      <c r="I265" s="28" t="s">
        <v>91</v>
      </c>
      <c r="J265" s="28" t="s">
        <v>1951</v>
      </c>
      <c r="K265" s="28" t="s">
        <v>1405</v>
      </c>
      <c r="L265" s="28" t="s">
        <v>1406</v>
      </c>
      <c r="M265" s="28">
        <v>468000</v>
      </c>
      <c r="N265" s="28" t="s">
        <v>1387</v>
      </c>
      <c r="O265" s="28">
        <v>0</v>
      </c>
      <c r="P265" s="29" t="s">
        <v>1407</v>
      </c>
    </row>
    <row r="266" spans="3:16" ht="36.75" thickBot="1" x14ac:dyDescent="0.3">
      <c r="C266" s="27" t="s">
        <v>1509</v>
      </c>
      <c r="D266" s="28">
        <v>259</v>
      </c>
      <c r="E266" s="28" t="s">
        <v>1402</v>
      </c>
      <c r="F266" s="28" t="s">
        <v>1212</v>
      </c>
      <c r="G266" s="28" t="s">
        <v>1408</v>
      </c>
      <c r="H266" s="28" t="s">
        <v>90</v>
      </c>
      <c r="I266" s="28" t="s">
        <v>91</v>
      </c>
      <c r="J266" s="28" t="s">
        <v>1951</v>
      </c>
      <c r="K266" s="28" t="s">
        <v>1405</v>
      </c>
      <c r="L266" s="28" t="s">
        <v>1406</v>
      </c>
      <c r="M266" s="28">
        <v>43338.1</v>
      </c>
      <c r="N266" s="28" t="s">
        <v>1387</v>
      </c>
      <c r="O266" s="28">
        <v>0</v>
      </c>
      <c r="P266" s="29" t="s">
        <v>1407</v>
      </c>
    </row>
    <row r="267" spans="3:16" ht="36.75" thickBot="1" x14ac:dyDescent="0.3">
      <c r="C267" s="27" t="s">
        <v>1509</v>
      </c>
      <c r="D267" s="28">
        <v>260</v>
      </c>
      <c r="E267" s="28" t="s">
        <v>1402</v>
      </c>
      <c r="F267" s="28" t="s">
        <v>445</v>
      </c>
      <c r="G267" s="28" t="s">
        <v>1408</v>
      </c>
      <c r="H267" s="28" t="s">
        <v>90</v>
      </c>
      <c r="I267" s="28" t="s">
        <v>91</v>
      </c>
      <c r="J267" s="28" t="s">
        <v>1951</v>
      </c>
      <c r="K267" s="28" t="s">
        <v>1405</v>
      </c>
      <c r="L267" s="28" t="s">
        <v>1406</v>
      </c>
      <c r="M267" s="28">
        <v>101731.98</v>
      </c>
      <c r="N267" s="28" t="s">
        <v>1387</v>
      </c>
      <c r="O267" s="28">
        <v>0</v>
      </c>
      <c r="P267" s="29" t="s">
        <v>1407</v>
      </c>
    </row>
    <row r="268" spans="3:16" ht="36.75" thickBot="1" x14ac:dyDescent="0.3">
      <c r="C268" s="27" t="s">
        <v>1509</v>
      </c>
      <c r="D268" s="28">
        <v>261</v>
      </c>
      <c r="E268" s="28" t="s">
        <v>1402</v>
      </c>
      <c r="F268" s="28" t="s">
        <v>1192</v>
      </c>
      <c r="G268" s="28" t="s">
        <v>1408</v>
      </c>
      <c r="H268" s="28" t="s">
        <v>90</v>
      </c>
      <c r="I268" s="28" t="s">
        <v>91</v>
      </c>
      <c r="J268" s="28" t="s">
        <v>1951</v>
      </c>
      <c r="K268" s="28" t="s">
        <v>1405</v>
      </c>
      <c r="L268" s="28" t="s">
        <v>1406</v>
      </c>
      <c r="M268" s="28">
        <v>54272.5</v>
      </c>
      <c r="N268" s="28" t="s">
        <v>1387</v>
      </c>
      <c r="O268" s="28">
        <v>0</v>
      </c>
      <c r="P268" s="29" t="s">
        <v>1407</v>
      </c>
    </row>
    <row r="269" spans="3:16" ht="36.75" thickBot="1" x14ac:dyDescent="0.3">
      <c r="C269" s="27" t="s">
        <v>1509</v>
      </c>
      <c r="D269" s="28">
        <v>262</v>
      </c>
      <c r="E269" s="28" t="s">
        <v>1402</v>
      </c>
      <c r="F269" s="28" t="s">
        <v>733</v>
      </c>
      <c r="G269" s="28" t="s">
        <v>1408</v>
      </c>
      <c r="H269" s="28" t="s">
        <v>90</v>
      </c>
      <c r="I269" s="28" t="s">
        <v>91</v>
      </c>
      <c r="J269" s="28" t="s">
        <v>1951</v>
      </c>
      <c r="K269" s="28" t="s">
        <v>1405</v>
      </c>
      <c r="L269" s="28" t="s">
        <v>1406</v>
      </c>
      <c r="M269" s="28">
        <v>70160</v>
      </c>
      <c r="N269" s="28" t="s">
        <v>1387</v>
      </c>
      <c r="O269" s="28">
        <v>0</v>
      </c>
      <c r="P269" s="29" t="s">
        <v>1407</v>
      </c>
    </row>
    <row r="270" spans="3:16" ht="36.75" thickBot="1" x14ac:dyDescent="0.3">
      <c r="C270" s="27" t="s">
        <v>1509</v>
      </c>
      <c r="D270" s="28">
        <v>263</v>
      </c>
      <c r="E270" s="28" t="s">
        <v>1402</v>
      </c>
      <c r="F270" s="28" t="s">
        <v>1215</v>
      </c>
      <c r="G270" s="28" t="s">
        <v>1408</v>
      </c>
      <c r="H270" s="28" t="s">
        <v>90</v>
      </c>
      <c r="I270" s="28" t="s">
        <v>91</v>
      </c>
      <c r="J270" s="28" t="s">
        <v>1951</v>
      </c>
      <c r="K270" s="28" t="s">
        <v>1405</v>
      </c>
      <c r="L270" s="28" t="s">
        <v>1406</v>
      </c>
      <c r="M270" s="28">
        <v>6609.56</v>
      </c>
      <c r="N270" s="28" t="s">
        <v>1387</v>
      </c>
      <c r="O270" s="28">
        <v>0</v>
      </c>
      <c r="P270" s="29" t="s">
        <v>1407</v>
      </c>
    </row>
    <row r="271" spans="3:16" ht="36.75" thickBot="1" x14ac:dyDescent="0.3">
      <c r="C271" s="27" t="s">
        <v>1509</v>
      </c>
      <c r="D271" s="28">
        <v>264</v>
      </c>
      <c r="E271" s="28" t="s">
        <v>1402</v>
      </c>
      <c r="F271" s="28" t="s">
        <v>185</v>
      </c>
      <c r="G271" s="28" t="s">
        <v>1408</v>
      </c>
      <c r="H271" s="28" t="s">
        <v>90</v>
      </c>
      <c r="I271" s="28" t="s">
        <v>91</v>
      </c>
      <c r="J271" s="28" t="s">
        <v>1951</v>
      </c>
      <c r="K271" s="28" t="s">
        <v>1405</v>
      </c>
      <c r="L271" s="28" t="s">
        <v>1406</v>
      </c>
      <c r="M271" s="28">
        <v>544240</v>
      </c>
      <c r="N271" s="28" t="s">
        <v>1387</v>
      </c>
      <c r="O271" s="28">
        <v>0</v>
      </c>
      <c r="P271" s="29" t="s">
        <v>1407</v>
      </c>
    </row>
    <row r="272" spans="3:16" ht="36.75" thickBot="1" x14ac:dyDescent="0.3">
      <c r="C272" s="27" t="s">
        <v>1509</v>
      </c>
      <c r="D272" s="28">
        <v>265</v>
      </c>
      <c r="E272" s="28" t="s">
        <v>1402</v>
      </c>
      <c r="F272" s="28" t="s">
        <v>184</v>
      </c>
      <c r="G272" s="28" t="s">
        <v>1408</v>
      </c>
      <c r="H272" s="28" t="s">
        <v>90</v>
      </c>
      <c r="I272" s="28" t="s">
        <v>91</v>
      </c>
      <c r="J272" s="28" t="s">
        <v>1951</v>
      </c>
      <c r="K272" s="28" t="s">
        <v>1405</v>
      </c>
      <c r="L272" s="28" t="s">
        <v>1406</v>
      </c>
      <c r="M272" s="28">
        <v>870001</v>
      </c>
      <c r="N272" s="28" t="s">
        <v>1387</v>
      </c>
      <c r="O272" s="28">
        <v>0</v>
      </c>
      <c r="P272" s="29" t="s">
        <v>1407</v>
      </c>
    </row>
    <row r="273" spans="3:16" ht="36.75" thickBot="1" x14ac:dyDescent="0.3">
      <c r="C273" s="27" t="s">
        <v>1509</v>
      </c>
      <c r="D273" s="28">
        <v>266</v>
      </c>
      <c r="E273" s="28" t="s">
        <v>1402</v>
      </c>
      <c r="F273" s="28" t="s">
        <v>734</v>
      </c>
      <c r="G273" s="28" t="s">
        <v>1408</v>
      </c>
      <c r="H273" s="28" t="s">
        <v>90</v>
      </c>
      <c r="I273" s="28" t="s">
        <v>91</v>
      </c>
      <c r="J273" s="28" t="s">
        <v>1951</v>
      </c>
      <c r="K273" s="28" t="s">
        <v>1405</v>
      </c>
      <c r="L273" s="28" t="s">
        <v>1406</v>
      </c>
      <c r="M273" s="28">
        <v>108160</v>
      </c>
      <c r="N273" s="28" t="s">
        <v>1387</v>
      </c>
      <c r="O273" s="28">
        <v>0</v>
      </c>
      <c r="P273" s="29" t="s">
        <v>1407</v>
      </c>
    </row>
    <row r="274" spans="3:16" ht="36.75" thickBot="1" x14ac:dyDescent="0.3">
      <c r="C274" s="27" t="s">
        <v>1509</v>
      </c>
      <c r="D274" s="28">
        <v>267</v>
      </c>
      <c r="E274" s="28" t="s">
        <v>1402</v>
      </c>
      <c r="F274" s="28" t="s">
        <v>1216</v>
      </c>
      <c r="G274" s="28" t="s">
        <v>1408</v>
      </c>
      <c r="H274" s="28" t="s">
        <v>90</v>
      </c>
      <c r="I274" s="28" t="s">
        <v>91</v>
      </c>
      <c r="J274" s="28" t="s">
        <v>1951</v>
      </c>
      <c r="K274" s="28" t="s">
        <v>1405</v>
      </c>
      <c r="L274" s="28" t="s">
        <v>1406</v>
      </c>
      <c r="M274" s="28">
        <v>772224</v>
      </c>
      <c r="N274" s="28" t="s">
        <v>1387</v>
      </c>
      <c r="O274" s="28">
        <v>0</v>
      </c>
      <c r="P274" s="29" t="s">
        <v>1407</v>
      </c>
    </row>
    <row r="275" spans="3:16" ht="36.75" thickBot="1" x14ac:dyDescent="0.3">
      <c r="C275" s="27" t="s">
        <v>1509</v>
      </c>
      <c r="D275" s="28">
        <v>268</v>
      </c>
      <c r="E275" s="28" t="s">
        <v>1402</v>
      </c>
      <c r="F275" s="28" t="s">
        <v>447</v>
      </c>
      <c r="G275" s="28" t="s">
        <v>1408</v>
      </c>
      <c r="H275" s="28" t="s">
        <v>90</v>
      </c>
      <c r="I275" s="28" t="s">
        <v>91</v>
      </c>
      <c r="J275" s="28" t="s">
        <v>1951</v>
      </c>
      <c r="K275" s="28" t="s">
        <v>1405</v>
      </c>
      <c r="L275" s="28" t="s">
        <v>1406</v>
      </c>
      <c r="M275" s="28">
        <v>76752</v>
      </c>
      <c r="N275" s="28" t="s">
        <v>1387</v>
      </c>
      <c r="O275" s="28">
        <v>0</v>
      </c>
      <c r="P275" s="29" t="s">
        <v>1407</v>
      </c>
    </row>
    <row r="276" spans="3:16" ht="36.75" thickBot="1" x14ac:dyDescent="0.3">
      <c r="C276" s="27" t="s">
        <v>1509</v>
      </c>
      <c r="D276" s="28">
        <v>269</v>
      </c>
      <c r="E276" s="28" t="s">
        <v>1402</v>
      </c>
      <c r="F276" s="28" t="s">
        <v>1135</v>
      </c>
      <c r="G276" s="28" t="s">
        <v>1408</v>
      </c>
      <c r="H276" s="28" t="s">
        <v>90</v>
      </c>
      <c r="I276" s="28" t="s">
        <v>91</v>
      </c>
      <c r="J276" s="28" t="s">
        <v>1951</v>
      </c>
      <c r="K276" s="28" t="s">
        <v>1405</v>
      </c>
      <c r="L276" s="28" t="s">
        <v>1406</v>
      </c>
      <c r="M276" s="28">
        <v>76752</v>
      </c>
      <c r="N276" s="28" t="s">
        <v>1387</v>
      </c>
      <c r="O276" s="28">
        <v>0</v>
      </c>
      <c r="P276" s="29" t="s">
        <v>1407</v>
      </c>
    </row>
    <row r="277" spans="3:16" ht="36.75" thickBot="1" x14ac:dyDescent="0.3">
      <c r="C277" s="27" t="s">
        <v>1509</v>
      </c>
      <c r="D277" s="28">
        <v>270</v>
      </c>
      <c r="E277" s="28" t="s">
        <v>1402</v>
      </c>
      <c r="F277" s="28" t="s">
        <v>736</v>
      </c>
      <c r="G277" s="28" t="s">
        <v>1408</v>
      </c>
      <c r="H277" s="28" t="s">
        <v>90</v>
      </c>
      <c r="I277" s="28" t="s">
        <v>91</v>
      </c>
      <c r="J277" s="28" t="s">
        <v>1951</v>
      </c>
      <c r="K277" s="28" t="s">
        <v>1405</v>
      </c>
      <c r="L277" s="28" t="s">
        <v>1406</v>
      </c>
      <c r="M277" s="28">
        <v>204030</v>
      </c>
      <c r="N277" s="28" t="s">
        <v>1387</v>
      </c>
      <c r="O277" s="28">
        <v>0</v>
      </c>
      <c r="P277" s="29" t="s">
        <v>1407</v>
      </c>
    </row>
    <row r="278" spans="3:16" ht="36.75" thickBot="1" x14ac:dyDescent="0.3">
      <c r="C278" s="27" t="s">
        <v>1509</v>
      </c>
      <c r="D278" s="28">
        <v>271</v>
      </c>
      <c r="E278" s="28" t="s">
        <v>1402</v>
      </c>
      <c r="F278" s="28" t="s">
        <v>298</v>
      </c>
      <c r="G278" s="28" t="s">
        <v>1408</v>
      </c>
      <c r="H278" s="28" t="s">
        <v>90</v>
      </c>
      <c r="I278" s="28" t="s">
        <v>91</v>
      </c>
      <c r="J278" s="28" t="s">
        <v>1951</v>
      </c>
      <c r="K278" s="28" t="s">
        <v>1405</v>
      </c>
      <c r="L278" s="28" t="s">
        <v>1406</v>
      </c>
      <c r="M278" s="28">
        <v>481431.31</v>
      </c>
      <c r="N278" s="28" t="s">
        <v>1387</v>
      </c>
      <c r="O278" s="28">
        <v>0</v>
      </c>
      <c r="P278" s="29" t="s">
        <v>1407</v>
      </c>
    </row>
    <row r="279" spans="3:16" ht="36.75" thickBot="1" x14ac:dyDescent="0.3">
      <c r="C279" s="27" t="s">
        <v>1509</v>
      </c>
      <c r="D279" s="28">
        <v>272</v>
      </c>
      <c r="E279" s="28" t="s">
        <v>1402</v>
      </c>
      <c r="F279" s="28" t="s">
        <v>868</v>
      </c>
      <c r="G279" s="28" t="s">
        <v>1408</v>
      </c>
      <c r="H279" s="28" t="s">
        <v>90</v>
      </c>
      <c r="I279" s="28" t="s">
        <v>91</v>
      </c>
      <c r="J279" s="28" t="s">
        <v>1951</v>
      </c>
      <c r="K279" s="28" t="s">
        <v>1405</v>
      </c>
      <c r="L279" s="28" t="s">
        <v>1406</v>
      </c>
      <c r="M279" s="28">
        <v>2250</v>
      </c>
      <c r="N279" s="28" t="s">
        <v>1387</v>
      </c>
      <c r="O279" s="28">
        <v>0</v>
      </c>
      <c r="P279" s="29" t="s">
        <v>1407</v>
      </c>
    </row>
    <row r="280" spans="3:16" ht="36.75" thickBot="1" x14ac:dyDescent="0.3">
      <c r="C280" s="27" t="s">
        <v>1509</v>
      </c>
      <c r="D280" s="28">
        <v>273</v>
      </c>
      <c r="E280" s="28" t="s">
        <v>1402</v>
      </c>
      <c r="F280" s="28" t="s">
        <v>1297</v>
      </c>
      <c r="G280" s="28" t="s">
        <v>1408</v>
      </c>
      <c r="H280" s="28" t="s">
        <v>90</v>
      </c>
      <c r="I280" s="28" t="s">
        <v>91</v>
      </c>
      <c r="J280" s="28" t="s">
        <v>1951</v>
      </c>
      <c r="K280" s="28" t="s">
        <v>1405</v>
      </c>
      <c r="L280" s="28" t="s">
        <v>1406</v>
      </c>
      <c r="M280" s="28">
        <v>8335.4699999999993</v>
      </c>
      <c r="N280" s="28" t="s">
        <v>1387</v>
      </c>
      <c r="O280" s="28">
        <v>0</v>
      </c>
      <c r="P280" s="29" t="s">
        <v>1407</v>
      </c>
    </row>
    <row r="281" spans="3:16" ht="36.75" thickBot="1" x14ac:dyDescent="0.3">
      <c r="C281" s="27" t="s">
        <v>1509</v>
      </c>
      <c r="D281" s="28">
        <v>274</v>
      </c>
      <c r="E281" s="28" t="s">
        <v>1402</v>
      </c>
      <c r="F281" s="28" t="s">
        <v>146</v>
      </c>
      <c r="G281" s="28" t="s">
        <v>1408</v>
      </c>
      <c r="H281" s="28" t="s">
        <v>90</v>
      </c>
      <c r="I281" s="28" t="s">
        <v>91</v>
      </c>
      <c r="J281" s="28" t="s">
        <v>1951</v>
      </c>
      <c r="K281" s="28" t="s">
        <v>1405</v>
      </c>
      <c r="L281" s="28" t="s">
        <v>1406</v>
      </c>
      <c r="M281" s="28">
        <v>4987.9799999999996</v>
      </c>
      <c r="N281" s="28" t="s">
        <v>1387</v>
      </c>
      <c r="O281" s="28">
        <v>0</v>
      </c>
      <c r="P281" s="29" t="s">
        <v>1407</v>
      </c>
    </row>
    <row r="282" spans="3:16" ht="36.75" thickBot="1" x14ac:dyDescent="0.3">
      <c r="C282" s="27" t="s">
        <v>1509</v>
      </c>
      <c r="D282" s="28">
        <v>275</v>
      </c>
      <c r="E282" s="28" t="s">
        <v>1402</v>
      </c>
      <c r="F282" s="28" t="s">
        <v>319</v>
      </c>
      <c r="G282" s="28" t="s">
        <v>1408</v>
      </c>
      <c r="H282" s="28" t="s">
        <v>90</v>
      </c>
      <c r="I282" s="28" t="s">
        <v>91</v>
      </c>
      <c r="J282" s="28" t="s">
        <v>1951</v>
      </c>
      <c r="K282" s="28" t="s">
        <v>1405</v>
      </c>
      <c r="L282" s="28" t="s">
        <v>1406</v>
      </c>
      <c r="M282" s="28">
        <v>10000</v>
      </c>
      <c r="N282" s="28" t="s">
        <v>1387</v>
      </c>
      <c r="O282" s="28">
        <v>0</v>
      </c>
      <c r="P282" s="29" t="s">
        <v>1407</v>
      </c>
    </row>
    <row r="283" spans="3:16" ht="36.75" thickBot="1" x14ac:dyDescent="0.3">
      <c r="C283" s="27" t="s">
        <v>1509</v>
      </c>
      <c r="D283" s="28">
        <v>276</v>
      </c>
      <c r="E283" s="28" t="s">
        <v>1402</v>
      </c>
      <c r="F283" s="28" t="s">
        <v>773</v>
      </c>
      <c r="G283" s="28" t="s">
        <v>1408</v>
      </c>
      <c r="H283" s="28" t="s">
        <v>90</v>
      </c>
      <c r="I283" s="28" t="s">
        <v>91</v>
      </c>
      <c r="J283" s="28" t="s">
        <v>1951</v>
      </c>
      <c r="K283" s="28" t="s">
        <v>1405</v>
      </c>
      <c r="L283" s="28" t="s">
        <v>1406</v>
      </c>
      <c r="M283" s="28">
        <v>27673.85</v>
      </c>
      <c r="N283" s="28" t="s">
        <v>1387</v>
      </c>
      <c r="O283" s="28">
        <v>0</v>
      </c>
      <c r="P283" s="29" t="s">
        <v>1407</v>
      </c>
    </row>
    <row r="284" spans="3:16" ht="36.75" thickBot="1" x14ac:dyDescent="0.3">
      <c r="C284" s="27" t="s">
        <v>1509</v>
      </c>
      <c r="D284" s="28">
        <v>277</v>
      </c>
      <c r="E284" s="28" t="s">
        <v>1402</v>
      </c>
      <c r="F284" s="28" t="s">
        <v>1308</v>
      </c>
      <c r="G284" s="28" t="s">
        <v>1408</v>
      </c>
      <c r="H284" s="28" t="s">
        <v>90</v>
      </c>
      <c r="I284" s="28" t="s">
        <v>91</v>
      </c>
      <c r="J284" s="28" t="s">
        <v>1951</v>
      </c>
      <c r="K284" s="28" t="s">
        <v>1405</v>
      </c>
      <c r="L284" s="28" t="s">
        <v>1406</v>
      </c>
      <c r="M284" s="28">
        <v>2592000</v>
      </c>
      <c r="N284" s="28" t="s">
        <v>1387</v>
      </c>
      <c r="O284" s="28">
        <v>0</v>
      </c>
      <c r="P284" s="29" t="s">
        <v>1407</v>
      </c>
    </row>
    <row r="285" spans="3:16" ht="36.75" thickBot="1" x14ac:dyDescent="0.3">
      <c r="C285" s="27" t="s">
        <v>1509</v>
      </c>
      <c r="D285" s="28">
        <v>278</v>
      </c>
      <c r="E285" s="28" t="s">
        <v>1402</v>
      </c>
      <c r="F285" s="28" t="s">
        <v>520</v>
      </c>
      <c r="G285" s="28" t="s">
        <v>1408</v>
      </c>
      <c r="H285" s="28" t="s">
        <v>90</v>
      </c>
      <c r="I285" s="28" t="s">
        <v>91</v>
      </c>
      <c r="J285" s="28" t="s">
        <v>1951</v>
      </c>
      <c r="K285" s="28" t="s">
        <v>1405</v>
      </c>
      <c r="L285" s="28" t="s">
        <v>1406</v>
      </c>
      <c r="M285" s="28">
        <v>265000</v>
      </c>
      <c r="N285" s="28" t="s">
        <v>1387</v>
      </c>
      <c r="O285" s="28">
        <v>0</v>
      </c>
      <c r="P285" s="29" t="s">
        <v>1407</v>
      </c>
    </row>
    <row r="286" spans="3:16" ht="36.75" thickBot="1" x14ac:dyDescent="0.3">
      <c r="C286" s="27" t="s">
        <v>1509</v>
      </c>
      <c r="D286" s="28">
        <v>279</v>
      </c>
      <c r="E286" s="28" t="s">
        <v>1402</v>
      </c>
      <c r="F286" s="28" t="s">
        <v>315</v>
      </c>
      <c r="G286" s="28" t="s">
        <v>1408</v>
      </c>
      <c r="H286" s="28" t="s">
        <v>90</v>
      </c>
      <c r="I286" s="28" t="s">
        <v>91</v>
      </c>
      <c r="J286" s="28" t="s">
        <v>1951</v>
      </c>
      <c r="K286" s="28" t="s">
        <v>1405</v>
      </c>
      <c r="L286" s="28" t="s">
        <v>1406</v>
      </c>
      <c r="M286" s="28">
        <v>1680000</v>
      </c>
      <c r="N286" s="28" t="s">
        <v>1387</v>
      </c>
      <c r="O286" s="28">
        <v>0</v>
      </c>
      <c r="P286" s="29" t="s">
        <v>1407</v>
      </c>
    </row>
    <row r="287" spans="3:16" ht="36.75" thickBot="1" x14ac:dyDescent="0.3">
      <c r="C287" s="27" t="s">
        <v>1509</v>
      </c>
      <c r="D287" s="28">
        <v>280</v>
      </c>
      <c r="E287" s="28" t="s">
        <v>1402</v>
      </c>
      <c r="F287" s="28" t="s">
        <v>1288</v>
      </c>
      <c r="G287" s="28" t="s">
        <v>1408</v>
      </c>
      <c r="H287" s="28" t="s">
        <v>90</v>
      </c>
      <c r="I287" s="28" t="s">
        <v>91</v>
      </c>
      <c r="J287" s="28" t="s">
        <v>1951</v>
      </c>
      <c r="K287" s="28" t="s">
        <v>1405</v>
      </c>
      <c r="L287" s="28" t="s">
        <v>1406</v>
      </c>
      <c r="M287" s="28">
        <v>260000</v>
      </c>
      <c r="N287" s="28" t="s">
        <v>1387</v>
      </c>
      <c r="O287" s="28">
        <v>0</v>
      </c>
      <c r="P287" s="29" t="s">
        <v>1407</v>
      </c>
    </row>
    <row r="288" spans="3:16" ht="36.75" thickBot="1" x14ac:dyDescent="0.3">
      <c r="C288" s="27" t="s">
        <v>1509</v>
      </c>
      <c r="D288" s="28">
        <v>281</v>
      </c>
      <c r="E288" s="28" t="s">
        <v>1402</v>
      </c>
      <c r="F288" s="28" t="s">
        <v>323</v>
      </c>
      <c r="G288" s="28" t="s">
        <v>1408</v>
      </c>
      <c r="H288" s="28" t="s">
        <v>90</v>
      </c>
      <c r="I288" s="28" t="s">
        <v>91</v>
      </c>
      <c r="J288" s="28" t="s">
        <v>1951</v>
      </c>
      <c r="K288" s="28" t="s">
        <v>1405</v>
      </c>
      <c r="L288" s="28" t="s">
        <v>1406</v>
      </c>
      <c r="M288" s="28">
        <v>40000</v>
      </c>
      <c r="N288" s="28" t="s">
        <v>1387</v>
      </c>
      <c r="O288" s="28">
        <v>0</v>
      </c>
      <c r="P288" s="29" t="s">
        <v>1407</v>
      </c>
    </row>
    <row r="289" spans="3:16" ht="36.75" thickBot="1" x14ac:dyDescent="0.3">
      <c r="C289" s="27" t="s">
        <v>1509</v>
      </c>
      <c r="D289" s="28">
        <v>282</v>
      </c>
      <c r="E289" s="28" t="s">
        <v>1402</v>
      </c>
      <c r="F289" s="28" t="s">
        <v>1248</v>
      </c>
      <c r="G289" s="28" t="s">
        <v>1408</v>
      </c>
      <c r="H289" s="28" t="s">
        <v>90</v>
      </c>
      <c r="I289" s="28" t="s">
        <v>91</v>
      </c>
      <c r="J289" s="28" t="s">
        <v>1951</v>
      </c>
      <c r="K289" s="28" t="s">
        <v>1405</v>
      </c>
      <c r="L289" s="28" t="s">
        <v>1406</v>
      </c>
      <c r="M289" s="28">
        <v>335260.26</v>
      </c>
      <c r="N289" s="28" t="s">
        <v>1387</v>
      </c>
      <c r="O289" s="28">
        <v>0</v>
      </c>
      <c r="P289" s="29" t="s">
        <v>1407</v>
      </c>
    </row>
    <row r="290" spans="3:16" ht="36.75" thickBot="1" x14ac:dyDescent="0.3">
      <c r="C290" s="27" t="s">
        <v>1509</v>
      </c>
      <c r="D290" s="28">
        <v>283</v>
      </c>
      <c r="E290" s="28" t="s">
        <v>1402</v>
      </c>
      <c r="F290" s="28" t="s">
        <v>1301</v>
      </c>
      <c r="G290" s="28" t="s">
        <v>1408</v>
      </c>
      <c r="H290" s="28" t="s">
        <v>90</v>
      </c>
      <c r="I290" s="28" t="s">
        <v>91</v>
      </c>
      <c r="J290" s="28" t="s">
        <v>1951</v>
      </c>
      <c r="K290" s="28" t="s">
        <v>1405</v>
      </c>
      <c r="L290" s="28" t="s">
        <v>1406</v>
      </c>
      <c r="M290" s="28">
        <v>45200</v>
      </c>
      <c r="N290" s="28" t="s">
        <v>1387</v>
      </c>
      <c r="O290" s="28">
        <v>0</v>
      </c>
      <c r="P290" s="29" t="s">
        <v>1407</v>
      </c>
    </row>
    <row r="291" spans="3:16" ht="36.75" thickBot="1" x14ac:dyDescent="0.3">
      <c r="C291" s="27" t="s">
        <v>1509</v>
      </c>
      <c r="D291" s="28">
        <v>284</v>
      </c>
      <c r="E291" s="28" t="s">
        <v>1402</v>
      </c>
      <c r="F291" s="28" t="s">
        <v>779</v>
      </c>
      <c r="G291" s="28" t="s">
        <v>1408</v>
      </c>
      <c r="H291" s="28" t="s">
        <v>90</v>
      </c>
      <c r="I291" s="28" t="s">
        <v>91</v>
      </c>
      <c r="J291" s="28" t="s">
        <v>1951</v>
      </c>
      <c r="K291" s="28" t="s">
        <v>1405</v>
      </c>
      <c r="L291" s="28" t="s">
        <v>1406</v>
      </c>
      <c r="M291" s="28">
        <v>134910</v>
      </c>
      <c r="N291" s="28" t="s">
        <v>1387</v>
      </c>
      <c r="O291" s="28">
        <v>0</v>
      </c>
      <c r="P291" s="29" t="s">
        <v>1407</v>
      </c>
    </row>
    <row r="292" spans="3:16" ht="36.75" thickBot="1" x14ac:dyDescent="0.3">
      <c r="C292" s="27" t="s">
        <v>1509</v>
      </c>
      <c r="D292" s="28">
        <v>285</v>
      </c>
      <c r="E292" s="28" t="s">
        <v>1402</v>
      </c>
      <c r="F292" s="28" t="s">
        <v>1313</v>
      </c>
      <c r="G292" s="28" t="s">
        <v>1408</v>
      </c>
      <c r="H292" s="28" t="s">
        <v>90</v>
      </c>
      <c r="I292" s="28" t="s">
        <v>91</v>
      </c>
      <c r="J292" s="28" t="s">
        <v>1951</v>
      </c>
      <c r="K292" s="28" t="s">
        <v>1405</v>
      </c>
      <c r="L292" s="28" t="s">
        <v>1406</v>
      </c>
      <c r="M292" s="28">
        <v>171000</v>
      </c>
      <c r="N292" s="28" t="s">
        <v>1387</v>
      </c>
      <c r="O292" s="28">
        <v>0</v>
      </c>
      <c r="P292" s="29" t="s">
        <v>1407</v>
      </c>
    </row>
    <row r="293" spans="3:16" ht="36.75" thickBot="1" x14ac:dyDescent="0.3">
      <c r="C293" s="27" t="s">
        <v>1509</v>
      </c>
      <c r="D293" s="28">
        <v>286</v>
      </c>
      <c r="E293" s="28" t="s">
        <v>1402</v>
      </c>
      <c r="F293" s="28" t="s">
        <v>1162</v>
      </c>
      <c r="G293" s="28" t="s">
        <v>1408</v>
      </c>
      <c r="H293" s="28" t="s">
        <v>90</v>
      </c>
      <c r="I293" s="28" t="s">
        <v>91</v>
      </c>
      <c r="J293" s="28" t="s">
        <v>1951</v>
      </c>
      <c r="K293" s="28" t="s">
        <v>1405</v>
      </c>
      <c r="L293" s="28" t="s">
        <v>1406</v>
      </c>
      <c r="M293" s="28">
        <v>945000</v>
      </c>
      <c r="N293" s="28" t="s">
        <v>1387</v>
      </c>
      <c r="O293" s="28">
        <v>0</v>
      </c>
      <c r="P293" s="29" t="s">
        <v>1407</v>
      </c>
    </row>
    <row r="294" spans="3:16" ht="36.75" thickBot="1" x14ac:dyDescent="0.3">
      <c r="C294" s="27" t="s">
        <v>1509</v>
      </c>
      <c r="D294" s="28">
        <v>287</v>
      </c>
      <c r="E294" s="28" t="s">
        <v>1402</v>
      </c>
      <c r="F294" s="28" t="s">
        <v>313</v>
      </c>
      <c r="G294" s="28" t="s">
        <v>1408</v>
      </c>
      <c r="H294" s="28" t="s">
        <v>90</v>
      </c>
      <c r="I294" s="28" t="s">
        <v>91</v>
      </c>
      <c r="J294" s="28" t="s">
        <v>1951</v>
      </c>
      <c r="K294" s="28" t="s">
        <v>1405</v>
      </c>
      <c r="L294" s="28" t="s">
        <v>1406</v>
      </c>
      <c r="M294" s="28">
        <v>1161000</v>
      </c>
      <c r="N294" s="28" t="s">
        <v>1387</v>
      </c>
      <c r="O294" s="28">
        <v>0</v>
      </c>
      <c r="P294" s="29" t="s">
        <v>1407</v>
      </c>
    </row>
    <row r="295" spans="3:16" ht="36.75" thickBot="1" x14ac:dyDescent="0.3">
      <c r="C295" s="27" t="s">
        <v>1509</v>
      </c>
      <c r="D295" s="28">
        <v>288</v>
      </c>
      <c r="E295" s="28" t="s">
        <v>1402</v>
      </c>
      <c r="F295" s="28" t="s">
        <v>1285</v>
      </c>
      <c r="G295" s="28" t="s">
        <v>1408</v>
      </c>
      <c r="H295" s="28" t="s">
        <v>90</v>
      </c>
      <c r="I295" s="28" t="s">
        <v>91</v>
      </c>
      <c r="J295" s="28" t="s">
        <v>1951</v>
      </c>
      <c r="K295" s="28" t="s">
        <v>1405</v>
      </c>
      <c r="L295" s="28" t="s">
        <v>1406</v>
      </c>
      <c r="M295" s="28">
        <v>5601600</v>
      </c>
      <c r="N295" s="28" t="s">
        <v>1387</v>
      </c>
      <c r="O295" s="28">
        <v>0</v>
      </c>
      <c r="P295" s="29" t="s">
        <v>1407</v>
      </c>
    </row>
    <row r="296" spans="3:16" ht="36.75" thickBot="1" x14ac:dyDescent="0.3">
      <c r="C296" s="27" t="s">
        <v>1509</v>
      </c>
      <c r="D296" s="28">
        <v>289</v>
      </c>
      <c r="E296" s="28" t="s">
        <v>1402</v>
      </c>
      <c r="F296" s="28" t="s">
        <v>317</v>
      </c>
      <c r="G296" s="28" t="s">
        <v>1408</v>
      </c>
      <c r="H296" s="28" t="s">
        <v>90</v>
      </c>
      <c r="I296" s="28" t="s">
        <v>91</v>
      </c>
      <c r="J296" s="28" t="s">
        <v>1951</v>
      </c>
      <c r="K296" s="28" t="s">
        <v>1405</v>
      </c>
      <c r="L296" s="28" t="s">
        <v>1406</v>
      </c>
      <c r="M296" s="28">
        <v>1182600</v>
      </c>
      <c r="N296" s="28" t="s">
        <v>1387</v>
      </c>
      <c r="O296" s="28">
        <v>0</v>
      </c>
      <c r="P296" s="29" t="s">
        <v>1407</v>
      </c>
    </row>
    <row r="297" spans="3:16" ht="36.75" thickBot="1" x14ac:dyDescent="0.3">
      <c r="C297" s="27" t="s">
        <v>1509</v>
      </c>
      <c r="D297" s="28">
        <v>290</v>
      </c>
      <c r="E297" s="28" t="s">
        <v>1402</v>
      </c>
      <c r="F297" s="28" t="s">
        <v>766</v>
      </c>
      <c r="G297" s="28" t="s">
        <v>1408</v>
      </c>
      <c r="H297" s="28" t="s">
        <v>90</v>
      </c>
      <c r="I297" s="28" t="s">
        <v>91</v>
      </c>
      <c r="J297" s="28" t="s">
        <v>1951</v>
      </c>
      <c r="K297" s="28" t="s">
        <v>1405</v>
      </c>
      <c r="L297" s="28" t="s">
        <v>1406</v>
      </c>
      <c r="M297" s="28">
        <v>9000000</v>
      </c>
      <c r="N297" s="28" t="s">
        <v>1387</v>
      </c>
      <c r="O297" s="28">
        <v>0</v>
      </c>
      <c r="P297" s="29" t="s">
        <v>1407</v>
      </c>
    </row>
    <row r="298" spans="3:16" ht="36.75" thickBot="1" x14ac:dyDescent="0.3">
      <c r="C298" s="27" t="s">
        <v>1509</v>
      </c>
      <c r="D298" s="28">
        <v>291</v>
      </c>
      <c r="E298" s="28" t="s">
        <v>1402</v>
      </c>
      <c r="F298" s="28" t="s">
        <v>321</v>
      </c>
      <c r="G298" s="28" t="s">
        <v>1408</v>
      </c>
      <c r="H298" s="28" t="s">
        <v>90</v>
      </c>
      <c r="I298" s="28" t="s">
        <v>91</v>
      </c>
      <c r="J298" s="28" t="s">
        <v>1951</v>
      </c>
      <c r="K298" s="28" t="s">
        <v>1405</v>
      </c>
      <c r="L298" s="28" t="s">
        <v>1406</v>
      </c>
      <c r="M298" s="28">
        <v>28800</v>
      </c>
      <c r="N298" s="28" t="s">
        <v>1387</v>
      </c>
      <c r="O298" s="28">
        <v>0</v>
      </c>
      <c r="P298" s="29" t="s">
        <v>1407</v>
      </c>
    </row>
    <row r="299" spans="3:16" ht="36.75" thickBot="1" x14ac:dyDescent="0.3">
      <c r="C299" s="27" t="s">
        <v>1509</v>
      </c>
      <c r="D299" s="28">
        <v>292</v>
      </c>
      <c r="E299" s="28" t="s">
        <v>1402</v>
      </c>
      <c r="F299" s="28" t="s">
        <v>1292</v>
      </c>
      <c r="G299" s="28" t="s">
        <v>1408</v>
      </c>
      <c r="H299" s="28" t="s">
        <v>90</v>
      </c>
      <c r="I299" s="28" t="s">
        <v>91</v>
      </c>
      <c r="J299" s="28" t="s">
        <v>1951</v>
      </c>
      <c r="K299" s="28" t="s">
        <v>1405</v>
      </c>
      <c r="L299" s="28" t="s">
        <v>1406</v>
      </c>
      <c r="M299" s="28">
        <v>40500</v>
      </c>
      <c r="N299" s="28" t="s">
        <v>1387</v>
      </c>
      <c r="O299" s="28">
        <v>0</v>
      </c>
      <c r="P299" s="29" t="s">
        <v>1407</v>
      </c>
    </row>
    <row r="300" spans="3:16" ht="36.75" thickBot="1" x14ac:dyDescent="0.3">
      <c r="C300" s="27" t="s">
        <v>1509</v>
      </c>
      <c r="D300" s="28">
        <v>293</v>
      </c>
      <c r="E300" s="28" t="s">
        <v>1402</v>
      </c>
      <c r="F300" s="28" t="s">
        <v>1295</v>
      </c>
      <c r="G300" s="28" t="s">
        <v>1408</v>
      </c>
      <c r="H300" s="28" t="s">
        <v>90</v>
      </c>
      <c r="I300" s="28" t="s">
        <v>91</v>
      </c>
      <c r="J300" s="28" t="s">
        <v>1951</v>
      </c>
      <c r="K300" s="28" t="s">
        <v>1405</v>
      </c>
      <c r="L300" s="28" t="s">
        <v>1406</v>
      </c>
      <c r="M300" s="28">
        <v>4451532.4800000004</v>
      </c>
      <c r="N300" s="28" t="s">
        <v>1387</v>
      </c>
      <c r="O300" s="28">
        <v>0</v>
      </c>
      <c r="P300" s="29" t="s">
        <v>1407</v>
      </c>
    </row>
    <row r="301" spans="3:16" ht="36.75" thickBot="1" x14ac:dyDescent="0.3">
      <c r="C301" s="27" t="s">
        <v>1509</v>
      </c>
      <c r="D301" s="28">
        <v>294</v>
      </c>
      <c r="E301" s="28" t="s">
        <v>1402</v>
      </c>
      <c r="F301" s="28" t="s">
        <v>452</v>
      </c>
      <c r="G301" s="28" t="s">
        <v>1408</v>
      </c>
      <c r="H301" s="28" t="s">
        <v>90</v>
      </c>
      <c r="I301" s="28" t="s">
        <v>91</v>
      </c>
      <c r="J301" s="28" t="s">
        <v>1951</v>
      </c>
      <c r="K301" s="28" t="s">
        <v>1405</v>
      </c>
      <c r="L301" s="28" t="s">
        <v>1406</v>
      </c>
      <c r="M301" s="28">
        <v>824000</v>
      </c>
      <c r="N301" s="28" t="s">
        <v>1387</v>
      </c>
      <c r="O301" s="28">
        <v>0</v>
      </c>
      <c r="P301" s="29" t="s">
        <v>1407</v>
      </c>
    </row>
    <row r="302" spans="3:16" ht="36.75" thickBot="1" x14ac:dyDescent="0.3">
      <c r="C302" s="27" t="s">
        <v>1509</v>
      </c>
      <c r="D302" s="28">
        <v>295</v>
      </c>
      <c r="E302" s="28" t="s">
        <v>1402</v>
      </c>
      <c r="F302" s="28" t="s">
        <v>1299</v>
      </c>
      <c r="G302" s="28" t="s">
        <v>1408</v>
      </c>
      <c r="H302" s="28" t="s">
        <v>90</v>
      </c>
      <c r="I302" s="28" t="s">
        <v>91</v>
      </c>
      <c r="J302" s="28" t="s">
        <v>1951</v>
      </c>
      <c r="K302" s="28" t="s">
        <v>1405</v>
      </c>
      <c r="L302" s="28" t="s">
        <v>1406</v>
      </c>
      <c r="M302" s="28">
        <v>307200</v>
      </c>
      <c r="N302" s="28" t="s">
        <v>1387</v>
      </c>
      <c r="O302" s="28">
        <v>0</v>
      </c>
      <c r="P302" s="29" t="s">
        <v>1407</v>
      </c>
    </row>
    <row r="303" spans="3:16" ht="36.75" thickBot="1" x14ac:dyDescent="0.3">
      <c r="C303" s="27" t="s">
        <v>1509</v>
      </c>
      <c r="D303" s="28">
        <v>296</v>
      </c>
      <c r="E303" s="28" t="s">
        <v>1402</v>
      </c>
      <c r="F303" s="28" t="s">
        <v>776</v>
      </c>
      <c r="G303" s="28" t="s">
        <v>1408</v>
      </c>
      <c r="H303" s="28" t="s">
        <v>90</v>
      </c>
      <c r="I303" s="28" t="s">
        <v>91</v>
      </c>
      <c r="J303" s="28" t="s">
        <v>1951</v>
      </c>
      <c r="K303" s="28" t="s">
        <v>1405</v>
      </c>
      <c r="L303" s="28" t="s">
        <v>1406</v>
      </c>
      <c r="M303" s="28">
        <v>1225500</v>
      </c>
      <c r="N303" s="28" t="s">
        <v>1387</v>
      </c>
      <c r="O303" s="28">
        <v>0</v>
      </c>
      <c r="P303" s="29" t="s">
        <v>1407</v>
      </c>
    </row>
    <row r="304" spans="3:16" ht="36.75" thickBot="1" x14ac:dyDescent="0.3">
      <c r="C304" s="27" t="s">
        <v>1509</v>
      </c>
      <c r="D304" s="28">
        <v>297</v>
      </c>
      <c r="E304" s="28" t="s">
        <v>1402</v>
      </c>
      <c r="F304" s="28" t="s">
        <v>1305</v>
      </c>
      <c r="G304" s="28" t="s">
        <v>1408</v>
      </c>
      <c r="H304" s="28" t="s">
        <v>90</v>
      </c>
      <c r="I304" s="28" t="s">
        <v>91</v>
      </c>
      <c r="J304" s="28" t="s">
        <v>1951</v>
      </c>
      <c r="K304" s="28" t="s">
        <v>1405</v>
      </c>
      <c r="L304" s="28" t="s">
        <v>1406</v>
      </c>
      <c r="M304" s="28">
        <v>235000</v>
      </c>
      <c r="N304" s="28" t="s">
        <v>1387</v>
      </c>
      <c r="O304" s="28">
        <v>0</v>
      </c>
      <c r="P304" s="29" t="s">
        <v>1407</v>
      </c>
    </row>
    <row r="305" spans="3:16" ht="36.75" thickBot="1" x14ac:dyDescent="0.3">
      <c r="C305" s="27" t="s">
        <v>1509</v>
      </c>
      <c r="D305" s="28">
        <v>298</v>
      </c>
      <c r="E305" s="28" t="s">
        <v>1402</v>
      </c>
      <c r="F305" s="28" t="s">
        <v>1253</v>
      </c>
      <c r="G305" s="28" t="s">
        <v>1408</v>
      </c>
      <c r="H305" s="28" t="s">
        <v>90</v>
      </c>
      <c r="I305" s="28" t="s">
        <v>91</v>
      </c>
      <c r="J305" s="28" t="s">
        <v>1951</v>
      </c>
      <c r="K305" s="28" t="s">
        <v>1405</v>
      </c>
      <c r="L305" s="28" t="s">
        <v>1406</v>
      </c>
      <c r="M305" s="28">
        <v>1075200</v>
      </c>
      <c r="N305" s="28" t="s">
        <v>1387</v>
      </c>
      <c r="O305" s="28">
        <v>0</v>
      </c>
      <c r="P305" s="29" t="s">
        <v>1407</v>
      </c>
    </row>
    <row r="306" spans="3:16" ht="36.75" thickBot="1" x14ac:dyDescent="0.3">
      <c r="C306" s="27" t="s">
        <v>1509</v>
      </c>
      <c r="D306" s="28">
        <v>299</v>
      </c>
      <c r="E306" s="28" t="s">
        <v>1402</v>
      </c>
      <c r="F306" s="28" t="s">
        <v>1311</v>
      </c>
      <c r="G306" s="28" t="s">
        <v>1408</v>
      </c>
      <c r="H306" s="28" t="s">
        <v>90</v>
      </c>
      <c r="I306" s="28" t="s">
        <v>91</v>
      </c>
      <c r="J306" s="28" t="s">
        <v>1951</v>
      </c>
      <c r="K306" s="28" t="s">
        <v>1405</v>
      </c>
      <c r="L306" s="28" t="s">
        <v>1406</v>
      </c>
      <c r="M306" s="28">
        <v>98000</v>
      </c>
      <c r="N306" s="28" t="s">
        <v>1387</v>
      </c>
      <c r="O306" s="28">
        <v>0</v>
      </c>
      <c r="P306" s="29" t="s">
        <v>1407</v>
      </c>
    </row>
    <row r="307" spans="3:16" ht="36.75" thickBot="1" x14ac:dyDescent="0.3">
      <c r="C307" s="27" t="s">
        <v>1509</v>
      </c>
      <c r="D307" s="28">
        <v>300</v>
      </c>
      <c r="E307" s="28" t="s">
        <v>1402</v>
      </c>
      <c r="F307" s="28" t="s">
        <v>785</v>
      </c>
      <c r="G307" s="28" t="s">
        <v>1408</v>
      </c>
      <c r="H307" s="28" t="s">
        <v>90</v>
      </c>
      <c r="I307" s="28" t="s">
        <v>91</v>
      </c>
      <c r="J307" s="28" t="s">
        <v>1951</v>
      </c>
      <c r="K307" s="28" t="s">
        <v>1405</v>
      </c>
      <c r="L307" s="28" t="s">
        <v>1406</v>
      </c>
      <c r="M307" s="28">
        <v>98000</v>
      </c>
      <c r="N307" s="28" t="s">
        <v>1387</v>
      </c>
      <c r="O307" s="28">
        <v>0</v>
      </c>
      <c r="P307" s="29" t="s">
        <v>1407</v>
      </c>
    </row>
    <row r="308" spans="3:16" ht="36.75" thickBot="1" x14ac:dyDescent="0.3">
      <c r="C308" s="27" t="s">
        <v>1509</v>
      </c>
      <c r="D308" s="28">
        <v>301</v>
      </c>
      <c r="E308" s="28" t="s">
        <v>1402</v>
      </c>
      <c r="F308" s="28" t="s">
        <v>1318</v>
      </c>
      <c r="G308" s="28" t="s">
        <v>1408</v>
      </c>
      <c r="H308" s="28" t="s">
        <v>90</v>
      </c>
      <c r="I308" s="28" t="s">
        <v>91</v>
      </c>
      <c r="J308" s="28" t="s">
        <v>1951</v>
      </c>
      <c r="K308" s="28" t="s">
        <v>1405</v>
      </c>
      <c r="L308" s="28" t="s">
        <v>1406</v>
      </c>
      <c r="M308" s="28">
        <v>479597.68</v>
      </c>
      <c r="N308" s="28" t="s">
        <v>1387</v>
      </c>
      <c r="O308" s="28">
        <v>0</v>
      </c>
      <c r="P308" s="29" t="s">
        <v>1407</v>
      </c>
    </row>
    <row r="309" spans="3:16" ht="36.75" thickBot="1" x14ac:dyDescent="0.3">
      <c r="C309" s="27" t="s">
        <v>1509</v>
      </c>
      <c r="D309" s="28">
        <v>302</v>
      </c>
      <c r="E309" s="28" t="s">
        <v>1402</v>
      </c>
      <c r="F309" s="28" t="s">
        <v>870</v>
      </c>
      <c r="G309" s="28" t="s">
        <v>1408</v>
      </c>
      <c r="H309" s="28" t="s">
        <v>90</v>
      </c>
      <c r="I309" s="28" t="s">
        <v>91</v>
      </c>
      <c r="J309" s="28" t="s">
        <v>1951</v>
      </c>
      <c r="K309" s="28" t="s">
        <v>1405</v>
      </c>
      <c r="L309" s="28" t="s">
        <v>1406</v>
      </c>
      <c r="M309" s="28">
        <v>365840</v>
      </c>
      <c r="N309" s="28" t="s">
        <v>1387</v>
      </c>
      <c r="O309" s="28">
        <v>0</v>
      </c>
      <c r="P309" s="29" t="s">
        <v>1407</v>
      </c>
    </row>
    <row r="310" spans="3:16" ht="36.75" thickBot="1" x14ac:dyDescent="0.3">
      <c r="C310" s="27" t="s">
        <v>1509</v>
      </c>
      <c r="D310" s="28">
        <v>303</v>
      </c>
      <c r="E310" s="28" t="s">
        <v>1402</v>
      </c>
      <c r="F310" s="28" t="s">
        <v>149</v>
      </c>
      <c r="G310" s="28" t="s">
        <v>1408</v>
      </c>
      <c r="H310" s="28" t="s">
        <v>90</v>
      </c>
      <c r="I310" s="28" t="s">
        <v>91</v>
      </c>
      <c r="J310" s="28" t="s">
        <v>1951</v>
      </c>
      <c r="K310" s="28" t="s">
        <v>1405</v>
      </c>
      <c r="L310" s="28" t="s">
        <v>1406</v>
      </c>
      <c r="M310" s="28">
        <v>420000</v>
      </c>
      <c r="N310" s="28" t="s">
        <v>1387</v>
      </c>
      <c r="O310" s="28">
        <v>0</v>
      </c>
      <c r="P310" s="29" t="s">
        <v>1407</v>
      </c>
    </row>
    <row r="311" spans="3:16" ht="36.75" thickBot="1" x14ac:dyDescent="0.3">
      <c r="C311" s="27" t="s">
        <v>1509</v>
      </c>
      <c r="D311" s="28">
        <v>304</v>
      </c>
      <c r="E311" s="28" t="s">
        <v>1402</v>
      </c>
      <c r="F311" s="28" t="s">
        <v>1283</v>
      </c>
      <c r="G311" s="28" t="s">
        <v>1408</v>
      </c>
      <c r="H311" s="28" t="s">
        <v>90</v>
      </c>
      <c r="I311" s="28" t="s">
        <v>91</v>
      </c>
      <c r="J311" s="28" t="s">
        <v>1951</v>
      </c>
      <c r="K311" s="28" t="s">
        <v>1405</v>
      </c>
      <c r="L311" s="28" t="s">
        <v>1406</v>
      </c>
      <c r="M311" s="28">
        <v>124000</v>
      </c>
      <c r="N311" s="28" t="s">
        <v>1387</v>
      </c>
      <c r="O311" s="28">
        <v>0</v>
      </c>
      <c r="P311" s="29" t="s">
        <v>1407</v>
      </c>
    </row>
    <row r="312" spans="3:16" ht="36.75" thickBot="1" x14ac:dyDescent="0.3">
      <c r="C312" s="27" t="s">
        <v>1509</v>
      </c>
      <c r="D312" s="28">
        <v>305</v>
      </c>
      <c r="E312" s="28" t="s">
        <v>1402</v>
      </c>
      <c r="F312" s="28" t="s">
        <v>204</v>
      </c>
      <c r="G312" s="28" t="s">
        <v>1408</v>
      </c>
      <c r="H312" s="28" t="s">
        <v>90</v>
      </c>
      <c r="I312" s="28" t="s">
        <v>91</v>
      </c>
      <c r="J312" s="28" t="s">
        <v>1951</v>
      </c>
      <c r="K312" s="28" t="s">
        <v>1405</v>
      </c>
      <c r="L312" s="28" t="s">
        <v>1406</v>
      </c>
      <c r="M312" s="28">
        <v>32000</v>
      </c>
      <c r="N312" s="28" t="s">
        <v>1387</v>
      </c>
      <c r="O312" s="28">
        <v>0</v>
      </c>
      <c r="P312" s="29" t="s">
        <v>1407</v>
      </c>
    </row>
    <row r="313" spans="3:16" ht="36.75" thickBot="1" x14ac:dyDescent="0.3">
      <c r="C313" s="27" t="s">
        <v>1509</v>
      </c>
      <c r="D313" s="28">
        <v>306</v>
      </c>
      <c r="E313" s="28" t="s">
        <v>1402</v>
      </c>
      <c r="F313" s="28" t="s">
        <v>762</v>
      </c>
      <c r="G313" s="28" t="s">
        <v>1408</v>
      </c>
      <c r="H313" s="28" t="s">
        <v>90</v>
      </c>
      <c r="I313" s="28" t="s">
        <v>91</v>
      </c>
      <c r="J313" s="28" t="s">
        <v>1951</v>
      </c>
      <c r="K313" s="28" t="s">
        <v>1405</v>
      </c>
      <c r="L313" s="28" t="s">
        <v>1406</v>
      </c>
      <c r="M313" s="28">
        <v>38400</v>
      </c>
      <c r="N313" s="28" t="s">
        <v>1387</v>
      </c>
      <c r="O313" s="28">
        <v>0</v>
      </c>
      <c r="P313" s="29" t="s">
        <v>1407</v>
      </c>
    </row>
    <row r="314" spans="3:16" ht="36.75" thickBot="1" x14ac:dyDescent="0.3">
      <c r="C314" s="27" t="s">
        <v>1509</v>
      </c>
      <c r="D314" s="28">
        <v>307</v>
      </c>
      <c r="E314" s="28" t="s">
        <v>1402</v>
      </c>
      <c r="F314" s="28" t="s">
        <v>107</v>
      </c>
      <c r="G314" s="28" t="s">
        <v>1408</v>
      </c>
      <c r="H314" s="28" t="s">
        <v>90</v>
      </c>
      <c r="I314" s="28" t="s">
        <v>91</v>
      </c>
      <c r="J314" s="28" t="s">
        <v>1951</v>
      </c>
      <c r="K314" s="28" t="s">
        <v>1405</v>
      </c>
      <c r="L314" s="28" t="s">
        <v>1406</v>
      </c>
      <c r="M314" s="28">
        <v>120000</v>
      </c>
      <c r="N314" s="28" t="s">
        <v>1387</v>
      </c>
      <c r="O314" s="28">
        <v>0</v>
      </c>
      <c r="P314" s="29" t="s">
        <v>1407</v>
      </c>
    </row>
    <row r="315" spans="3:16" ht="36.75" thickBot="1" x14ac:dyDescent="0.3">
      <c r="C315" s="27" t="s">
        <v>1509</v>
      </c>
      <c r="D315" s="28">
        <v>308</v>
      </c>
      <c r="E315" s="28" t="s">
        <v>1402</v>
      </c>
      <c r="F315" s="28" t="s">
        <v>1287</v>
      </c>
      <c r="G315" s="28" t="s">
        <v>1408</v>
      </c>
      <c r="H315" s="28" t="s">
        <v>90</v>
      </c>
      <c r="I315" s="28" t="s">
        <v>91</v>
      </c>
      <c r="J315" s="28" t="s">
        <v>1951</v>
      </c>
      <c r="K315" s="28" t="s">
        <v>1405</v>
      </c>
      <c r="L315" s="28" t="s">
        <v>1406</v>
      </c>
      <c r="M315" s="28">
        <v>82441.5</v>
      </c>
      <c r="N315" s="28" t="s">
        <v>1387</v>
      </c>
      <c r="O315" s="28">
        <v>0</v>
      </c>
      <c r="P315" s="29" t="s">
        <v>1407</v>
      </c>
    </row>
    <row r="316" spans="3:16" ht="36.75" thickBot="1" x14ac:dyDescent="0.3">
      <c r="C316" s="27" t="s">
        <v>1509</v>
      </c>
      <c r="D316" s="28">
        <v>309</v>
      </c>
      <c r="E316" s="28" t="s">
        <v>1402</v>
      </c>
      <c r="F316" s="28" t="s">
        <v>206</v>
      </c>
      <c r="G316" s="28" t="s">
        <v>1408</v>
      </c>
      <c r="H316" s="28" t="s">
        <v>90</v>
      </c>
      <c r="I316" s="28" t="s">
        <v>91</v>
      </c>
      <c r="J316" s="28" t="s">
        <v>1951</v>
      </c>
      <c r="K316" s="28" t="s">
        <v>1405</v>
      </c>
      <c r="L316" s="28" t="s">
        <v>1406</v>
      </c>
      <c r="M316" s="28">
        <v>20700</v>
      </c>
      <c r="N316" s="28" t="s">
        <v>1387</v>
      </c>
      <c r="O316" s="28">
        <v>0</v>
      </c>
      <c r="P316" s="29" t="s">
        <v>1407</v>
      </c>
    </row>
    <row r="317" spans="3:16" ht="36.75" thickBot="1" x14ac:dyDescent="0.3">
      <c r="C317" s="27" t="s">
        <v>1509</v>
      </c>
      <c r="D317" s="28">
        <v>310</v>
      </c>
      <c r="E317" s="28" t="s">
        <v>1402</v>
      </c>
      <c r="F317" s="28" t="s">
        <v>1244</v>
      </c>
      <c r="G317" s="28" t="s">
        <v>1408</v>
      </c>
      <c r="H317" s="28" t="s">
        <v>90</v>
      </c>
      <c r="I317" s="28" t="s">
        <v>91</v>
      </c>
      <c r="J317" s="28" t="s">
        <v>1951</v>
      </c>
      <c r="K317" s="28" t="s">
        <v>1405</v>
      </c>
      <c r="L317" s="28" t="s">
        <v>1406</v>
      </c>
      <c r="M317" s="28">
        <v>811200</v>
      </c>
      <c r="N317" s="28" t="s">
        <v>1387</v>
      </c>
      <c r="O317" s="28">
        <v>0</v>
      </c>
      <c r="P317" s="29" t="s">
        <v>1407</v>
      </c>
    </row>
    <row r="318" spans="3:16" ht="36.75" thickBot="1" x14ac:dyDescent="0.3">
      <c r="C318" s="27" t="s">
        <v>1509</v>
      </c>
      <c r="D318" s="28">
        <v>311</v>
      </c>
      <c r="E318" s="28" t="s">
        <v>1402</v>
      </c>
      <c r="F318" s="28" t="s">
        <v>151</v>
      </c>
      <c r="G318" s="28" t="s">
        <v>1408</v>
      </c>
      <c r="H318" s="28" t="s">
        <v>90</v>
      </c>
      <c r="I318" s="28" t="s">
        <v>91</v>
      </c>
      <c r="J318" s="28" t="s">
        <v>1951</v>
      </c>
      <c r="K318" s="28" t="s">
        <v>1405</v>
      </c>
      <c r="L318" s="28" t="s">
        <v>1406</v>
      </c>
      <c r="M318" s="28">
        <v>179360</v>
      </c>
      <c r="N318" s="28" t="s">
        <v>1387</v>
      </c>
      <c r="O318" s="28">
        <v>0</v>
      </c>
      <c r="P318" s="29" t="s">
        <v>1407</v>
      </c>
    </row>
    <row r="319" spans="3:16" ht="36.75" thickBot="1" x14ac:dyDescent="0.3">
      <c r="C319" s="27" t="s">
        <v>1509</v>
      </c>
      <c r="D319" s="28">
        <v>312</v>
      </c>
      <c r="E319" s="28" t="s">
        <v>1402</v>
      </c>
      <c r="F319" s="28" t="s">
        <v>1290</v>
      </c>
      <c r="G319" s="28" t="s">
        <v>1408</v>
      </c>
      <c r="H319" s="28" t="s">
        <v>90</v>
      </c>
      <c r="I319" s="28" t="s">
        <v>91</v>
      </c>
      <c r="J319" s="28" t="s">
        <v>1951</v>
      </c>
      <c r="K319" s="28" t="s">
        <v>1405</v>
      </c>
      <c r="L319" s="28" t="s">
        <v>1406</v>
      </c>
      <c r="M319" s="28">
        <v>157950</v>
      </c>
      <c r="N319" s="28" t="s">
        <v>1387</v>
      </c>
      <c r="O319" s="28">
        <v>0</v>
      </c>
      <c r="P319" s="29" t="s">
        <v>1407</v>
      </c>
    </row>
    <row r="320" spans="3:16" ht="36.75" thickBot="1" x14ac:dyDescent="0.3">
      <c r="C320" s="27" t="s">
        <v>1509</v>
      </c>
      <c r="D320" s="28">
        <v>313</v>
      </c>
      <c r="E320" s="28" t="s">
        <v>1402</v>
      </c>
      <c r="F320" s="28" t="s">
        <v>208</v>
      </c>
      <c r="G320" s="28" t="s">
        <v>1408</v>
      </c>
      <c r="H320" s="28" t="s">
        <v>90</v>
      </c>
      <c r="I320" s="28" t="s">
        <v>91</v>
      </c>
      <c r="J320" s="28" t="s">
        <v>1951</v>
      </c>
      <c r="K320" s="28" t="s">
        <v>1405</v>
      </c>
      <c r="L320" s="28" t="s">
        <v>1406</v>
      </c>
      <c r="M320" s="28">
        <v>116550</v>
      </c>
      <c r="N320" s="28" t="s">
        <v>1387</v>
      </c>
      <c r="O320" s="28">
        <v>0</v>
      </c>
      <c r="P320" s="29" t="s">
        <v>1407</v>
      </c>
    </row>
    <row r="321" spans="3:16" ht="36.75" thickBot="1" x14ac:dyDescent="0.3">
      <c r="C321" s="27" t="s">
        <v>1509</v>
      </c>
      <c r="D321" s="28">
        <v>314</v>
      </c>
      <c r="E321" s="28" t="s">
        <v>1402</v>
      </c>
      <c r="F321" s="28" t="s">
        <v>769</v>
      </c>
      <c r="G321" s="28" t="s">
        <v>1408</v>
      </c>
      <c r="H321" s="28" t="s">
        <v>90</v>
      </c>
      <c r="I321" s="28" t="s">
        <v>91</v>
      </c>
      <c r="J321" s="28" t="s">
        <v>1951</v>
      </c>
      <c r="K321" s="28" t="s">
        <v>1405</v>
      </c>
      <c r="L321" s="28" t="s">
        <v>1406</v>
      </c>
      <c r="M321" s="28">
        <v>72000</v>
      </c>
      <c r="N321" s="28" t="s">
        <v>1387</v>
      </c>
      <c r="O321" s="28">
        <v>0</v>
      </c>
      <c r="P321" s="29" t="s">
        <v>1407</v>
      </c>
    </row>
    <row r="322" spans="3:16" ht="36.75" thickBot="1" x14ac:dyDescent="0.3">
      <c r="C322" s="27" t="s">
        <v>1509</v>
      </c>
      <c r="D322" s="28">
        <v>315</v>
      </c>
      <c r="E322" s="28" t="s">
        <v>1402</v>
      </c>
      <c r="F322" s="28" t="s">
        <v>124</v>
      </c>
      <c r="G322" s="28" t="s">
        <v>1408</v>
      </c>
      <c r="H322" s="28" t="s">
        <v>90</v>
      </c>
      <c r="I322" s="28" t="s">
        <v>91</v>
      </c>
      <c r="J322" s="28" t="s">
        <v>1951</v>
      </c>
      <c r="K322" s="28" t="s">
        <v>1405</v>
      </c>
      <c r="L322" s="28" t="s">
        <v>1406</v>
      </c>
      <c r="M322" s="28">
        <v>176000</v>
      </c>
      <c r="N322" s="28" t="s">
        <v>1387</v>
      </c>
      <c r="O322" s="28">
        <v>0</v>
      </c>
      <c r="P322" s="29" t="s">
        <v>1407</v>
      </c>
    </row>
    <row r="323" spans="3:16" ht="36.75" thickBot="1" x14ac:dyDescent="0.3">
      <c r="C323" s="27" t="s">
        <v>1509</v>
      </c>
      <c r="D323" s="28">
        <v>316</v>
      </c>
      <c r="E323" s="28" t="s">
        <v>1402</v>
      </c>
      <c r="F323" s="28" t="s">
        <v>771</v>
      </c>
      <c r="G323" s="28" t="s">
        <v>1408</v>
      </c>
      <c r="H323" s="28" t="s">
        <v>90</v>
      </c>
      <c r="I323" s="28" t="s">
        <v>91</v>
      </c>
      <c r="J323" s="28" t="s">
        <v>1951</v>
      </c>
      <c r="K323" s="28" t="s">
        <v>1405</v>
      </c>
      <c r="L323" s="28" t="s">
        <v>1406</v>
      </c>
      <c r="M323" s="28">
        <v>1251000</v>
      </c>
      <c r="N323" s="28" t="s">
        <v>1387</v>
      </c>
      <c r="O323" s="28">
        <v>0</v>
      </c>
      <c r="P323" s="29" t="s">
        <v>1407</v>
      </c>
    </row>
    <row r="324" spans="3:16" ht="36.75" thickBot="1" x14ac:dyDescent="0.3">
      <c r="C324" s="27" t="s">
        <v>1509</v>
      </c>
      <c r="D324" s="28">
        <v>317</v>
      </c>
      <c r="E324" s="28" t="s">
        <v>1402</v>
      </c>
      <c r="F324" s="28" t="s">
        <v>1296</v>
      </c>
      <c r="G324" s="28" t="s">
        <v>1408</v>
      </c>
      <c r="H324" s="28" t="s">
        <v>90</v>
      </c>
      <c r="I324" s="28" t="s">
        <v>91</v>
      </c>
      <c r="J324" s="28" t="s">
        <v>1951</v>
      </c>
      <c r="K324" s="28" t="s">
        <v>1405</v>
      </c>
      <c r="L324" s="28" t="s">
        <v>1406</v>
      </c>
      <c r="M324" s="28">
        <v>27382.27</v>
      </c>
      <c r="N324" s="28" t="s">
        <v>1387</v>
      </c>
      <c r="O324" s="28">
        <v>0</v>
      </c>
      <c r="P324" s="29" t="s">
        <v>1407</v>
      </c>
    </row>
    <row r="325" spans="3:16" ht="36.75" thickBot="1" x14ac:dyDescent="0.3">
      <c r="C325" s="27" t="s">
        <v>1509</v>
      </c>
      <c r="D325" s="28">
        <v>318</v>
      </c>
      <c r="E325" s="28" t="s">
        <v>1402</v>
      </c>
      <c r="F325" s="28" t="s">
        <v>1231</v>
      </c>
      <c r="G325" s="28" t="s">
        <v>1408</v>
      </c>
      <c r="H325" s="28" t="s">
        <v>90</v>
      </c>
      <c r="I325" s="28" t="s">
        <v>91</v>
      </c>
      <c r="J325" s="28" t="s">
        <v>1951</v>
      </c>
      <c r="K325" s="28" t="s">
        <v>1405</v>
      </c>
      <c r="L325" s="28" t="s">
        <v>1406</v>
      </c>
      <c r="M325" s="28">
        <v>136000</v>
      </c>
      <c r="N325" s="28" t="s">
        <v>1387</v>
      </c>
      <c r="O325" s="28">
        <v>0</v>
      </c>
      <c r="P325" s="29" t="s">
        <v>1407</v>
      </c>
    </row>
    <row r="326" spans="3:16" ht="36.75" thickBot="1" x14ac:dyDescent="0.3">
      <c r="C326" s="27" t="s">
        <v>1509</v>
      </c>
      <c r="D326" s="28">
        <v>319</v>
      </c>
      <c r="E326" s="28" t="s">
        <v>1402</v>
      </c>
      <c r="F326" s="28" t="s">
        <v>1298</v>
      </c>
      <c r="G326" s="28" t="s">
        <v>1408</v>
      </c>
      <c r="H326" s="28" t="s">
        <v>90</v>
      </c>
      <c r="I326" s="28" t="s">
        <v>91</v>
      </c>
      <c r="J326" s="28" t="s">
        <v>1951</v>
      </c>
      <c r="K326" s="28" t="s">
        <v>1405</v>
      </c>
      <c r="L326" s="28" t="s">
        <v>1406</v>
      </c>
      <c r="M326" s="28">
        <v>44320</v>
      </c>
      <c r="N326" s="28" t="s">
        <v>1387</v>
      </c>
      <c r="O326" s="28">
        <v>0</v>
      </c>
      <c r="P326" s="29" t="s">
        <v>1407</v>
      </c>
    </row>
    <row r="327" spans="3:16" ht="36.75" thickBot="1" x14ac:dyDescent="0.3">
      <c r="C327" s="27" t="s">
        <v>1509</v>
      </c>
      <c r="D327" s="28">
        <v>320</v>
      </c>
      <c r="E327" s="28" t="s">
        <v>1402</v>
      </c>
      <c r="F327" s="28" t="s">
        <v>774</v>
      </c>
      <c r="G327" s="28" t="s">
        <v>1408</v>
      </c>
      <c r="H327" s="28" t="s">
        <v>90</v>
      </c>
      <c r="I327" s="28" t="s">
        <v>91</v>
      </c>
      <c r="J327" s="28" t="s">
        <v>1951</v>
      </c>
      <c r="K327" s="28" t="s">
        <v>1405</v>
      </c>
      <c r="L327" s="28" t="s">
        <v>1406</v>
      </c>
      <c r="M327" s="28">
        <v>376900</v>
      </c>
      <c r="N327" s="28" t="s">
        <v>1387</v>
      </c>
      <c r="O327" s="28">
        <v>0</v>
      </c>
      <c r="P327" s="29" t="s">
        <v>1407</v>
      </c>
    </row>
    <row r="328" spans="3:16" ht="36.75" thickBot="1" x14ac:dyDescent="0.3">
      <c r="C328" s="27" t="s">
        <v>1509</v>
      </c>
      <c r="D328" s="28">
        <v>321</v>
      </c>
      <c r="E328" s="28" t="s">
        <v>1402</v>
      </c>
      <c r="F328" s="28" t="s">
        <v>1300</v>
      </c>
      <c r="G328" s="28" t="s">
        <v>1408</v>
      </c>
      <c r="H328" s="28" t="s">
        <v>90</v>
      </c>
      <c r="I328" s="28" t="s">
        <v>91</v>
      </c>
      <c r="J328" s="28" t="s">
        <v>1951</v>
      </c>
      <c r="K328" s="28" t="s">
        <v>1405</v>
      </c>
      <c r="L328" s="28" t="s">
        <v>1406</v>
      </c>
      <c r="M328" s="28">
        <v>161100</v>
      </c>
      <c r="N328" s="28" t="s">
        <v>1387</v>
      </c>
      <c r="O328" s="28">
        <v>0</v>
      </c>
      <c r="P328" s="29" t="s">
        <v>1407</v>
      </c>
    </row>
    <row r="329" spans="3:16" ht="36.75" thickBot="1" x14ac:dyDescent="0.3">
      <c r="C329" s="27" t="s">
        <v>1509</v>
      </c>
      <c r="D329" s="28">
        <v>322</v>
      </c>
      <c r="E329" s="28" t="s">
        <v>1402</v>
      </c>
      <c r="F329" s="28" t="s">
        <v>1250</v>
      </c>
      <c r="G329" s="28" t="s">
        <v>1408</v>
      </c>
      <c r="H329" s="28" t="s">
        <v>90</v>
      </c>
      <c r="I329" s="28" t="s">
        <v>91</v>
      </c>
      <c r="J329" s="28" t="s">
        <v>1951</v>
      </c>
      <c r="K329" s="28" t="s">
        <v>1405</v>
      </c>
      <c r="L329" s="28" t="s">
        <v>1406</v>
      </c>
      <c r="M329" s="28">
        <v>39066</v>
      </c>
      <c r="N329" s="28" t="s">
        <v>1387</v>
      </c>
      <c r="O329" s="28">
        <v>0</v>
      </c>
      <c r="P329" s="29" t="s">
        <v>1407</v>
      </c>
    </row>
    <row r="330" spans="3:16" ht="36.75" thickBot="1" x14ac:dyDescent="0.3">
      <c r="C330" s="27" t="s">
        <v>1509</v>
      </c>
      <c r="D330" s="28">
        <v>323</v>
      </c>
      <c r="E330" s="28" t="s">
        <v>1402</v>
      </c>
      <c r="F330" s="28" t="s">
        <v>1303</v>
      </c>
      <c r="G330" s="28" t="s">
        <v>1408</v>
      </c>
      <c r="H330" s="28" t="s">
        <v>90</v>
      </c>
      <c r="I330" s="28" t="s">
        <v>91</v>
      </c>
      <c r="J330" s="28" t="s">
        <v>1951</v>
      </c>
      <c r="K330" s="28" t="s">
        <v>1405</v>
      </c>
      <c r="L330" s="28" t="s">
        <v>1406</v>
      </c>
      <c r="M330" s="28">
        <v>51040</v>
      </c>
      <c r="N330" s="28" t="s">
        <v>1387</v>
      </c>
      <c r="O330" s="28">
        <v>0</v>
      </c>
      <c r="P330" s="29" t="s">
        <v>1407</v>
      </c>
    </row>
    <row r="331" spans="3:16" ht="36.75" thickBot="1" x14ac:dyDescent="0.3">
      <c r="C331" s="27" t="s">
        <v>1509</v>
      </c>
      <c r="D331" s="28">
        <v>324</v>
      </c>
      <c r="E331" s="28" t="s">
        <v>1402</v>
      </c>
      <c r="F331" s="28" t="s">
        <v>777</v>
      </c>
      <c r="G331" s="28" t="s">
        <v>1408</v>
      </c>
      <c r="H331" s="28" t="s">
        <v>90</v>
      </c>
      <c r="I331" s="28" t="s">
        <v>91</v>
      </c>
      <c r="J331" s="28" t="s">
        <v>1951</v>
      </c>
      <c r="K331" s="28" t="s">
        <v>1405</v>
      </c>
      <c r="L331" s="28" t="s">
        <v>1406</v>
      </c>
      <c r="M331" s="28">
        <v>58160</v>
      </c>
      <c r="N331" s="28" t="s">
        <v>1387</v>
      </c>
      <c r="O331" s="28">
        <v>0</v>
      </c>
      <c r="P331" s="29" t="s">
        <v>1407</v>
      </c>
    </row>
    <row r="332" spans="3:16" ht="36.75" thickBot="1" x14ac:dyDescent="0.3">
      <c r="C332" s="27" t="s">
        <v>1509</v>
      </c>
      <c r="D332" s="28">
        <v>325</v>
      </c>
      <c r="E332" s="28" t="s">
        <v>1402</v>
      </c>
      <c r="F332" s="28" t="s">
        <v>1306</v>
      </c>
      <c r="G332" s="28" t="s">
        <v>1408</v>
      </c>
      <c r="H332" s="28" t="s">
        <v>90</v>
      </c>
      <c r="I332" s="28" t="s">
        <v>91</v>
      </c>
      <c r="J332" s="28" t="s">
        <v>1951</v>
      </c>
      <c r="K332" s="28" t="s">
        <v>1405</v>
      </c>
      <c r="L332" s="28" t="s">
        <v>1406</v>
      </c>
      <c r="M332" s="28">
        <v>571611.15</v>
      </c>
      <c r="N332" s="28" t="s">
        <v>1387</v>
      </c>
      <c r="O332" s="28">
        <v>0</v>
      </c>
      <c r="P332" s="29" t="s">
        <v>1407</v>
      </c>
    </row>
    <row r="333" spans="3:16" ht="36.75" thickBot="1" x14ac:dyDescent="0.3">
      <c r="C333" s="27" t="s">
        <v>1509</v>
      </c>
      <c r="D333" s="28">
        <v>326</v>
      </c>
      <c r="E333" s="28" t="s">
        <v>1402</v>
      </c>
      <c r="F333" s="28" t="s">
        <v>280</v>
      </c>
      <c r="G333" s="28" t="s">
        <v>1408</v>
      </c>
      <c r="H333" s="28" t="s">
        <v>90</v>
      </c>
      <c r="I333" s="28" t="s">
        <v>91</v>
      </c>
      <c r="J333" s="28" t="s">
        <v>1951</v>
      </c>
      <c r="K333" s="28" t="s">
        <v>1405</v>
      </c>
      <c r="L333" s="28" t="s">
        <v>1406</v>
      </c>
      <c r="M333" s="28">
        <v>13000</v>
      </c>
      <c r="N333" s="28" t="s">
        <v>1387</v>
      </c>
      <c r="O333" s="28">
        <v>0</v>
      </c>
      <c r="P333" s="29" t="s">
        <v>1407</v>
      </c>
    </row>
    <row r="334" spans="3:16" ht="36.75" thickBot="1" x14ac:dyDescent="0.3">
      <c r="C334" s="27" t="s">
        <v>1509</v>
      </c>
      <c r="D334" s="28">
        <v>327</v>
      </c>
      <c r="E334" s="28" t="s">
        <v>1402</v>
      </c>
      <c r="F334" s="28" t="s">
        <v>1310</v>
      </c>
      <c r="G334" s="28" t="s">
        <v>1408</v>
      </c>
      <c r="H334" s="28" t="s">
        <v>90</v>
      </c>
      <c r="I334" s="28" t="s">
        <v>91</v>
      </c>
      <c r="J334" s="28" t="s">
        <v>1951</v>
      </c>
      <c r="K334" s="28" t="s">
        <v>1405</v>
      </c>
      <c r="L334" s="28" t="s">
        <v>1406</v>
      </c>
      <c r="M334" s="28">
        <v>448.92</v>
      </c>
      <c r="N334" s="28" t="s">
        <v>1387</v>
      </c>
      <c r="O334" s="28">
        <v>0</v>
      </c>
      <c r="P334" s="29" t="s">
        <v>1407</v>
      </c>
    </row>
    <row r="335" spans="3:16" ht="36.75" thickBot="1" x14ac:dyDescent="0.3">
      <c r="C335" s="27" t="s">
        <v>1509</v>
      </c>
      <c r="D335" s="28">
        <v>328</v>
      </c>
      <c r="E335" s="28" t="s">
        <v>1402</v>
      </c>
      <c r="F335" s="28" t="s">
        <v>781</v>
      </c>
      <c r="G335" s="28" t="s">
        <v>1408</v>
      </c>
      <c r="H335" s="28" t="s">
        <v>90</v>
      </c>
      <c r="I335" s="28" t="s">
        <v>91</v>
      </c>
      <c r="J335" s="28" t="s">
        <v>1951</v>
      </c>
      <c r="K335" s="28" t="s">
        <v>1405</v>
      </c>
      <c r="L335" s="28" t="s">
        <v>1406</v>
      </c>
      <c r="M335" s="28">
        <v>423955.03</v>
      </c>
      <c r="N335" s="28" t="s">
        <v>1387</v>
      </c>
      <c r="O335" s="28">
        <v>0</v>
      </c>
      <c r="P335" s="29" t="s">
        <v>1407</v>
      </c>
    </row>
    <row r="336" spans="3:16" ht="36.75" thickBot="1" x14ac:dyDescent="0.3">
      <c r="C336" s="27" t="s">
        <v>1509</v>
      </c>
      <c r="D336" s="28">
        <v>329</v>
      </c>
      <c r="E336" s="28" t="s">
        <v>1402</v>
      </c>
      <c r="F336" s="28" t="s">
        <v>1312</v>
      </c>
      <c r="G336" s="28" t="s">
        <v>1408</v>
      </c>
      <c r="H336" s="28" t="s">
        <v>90</v>
      </c>
      <c r="I336" s="28" t="s">
        <v>91</v>
      </c>
      <c r="J336" s="28" t="s">
        <v>1951</v>
      </c>
      <c r="K336" s="28" t="s">
        <v>1405</v>
      </c>
      <c r="L336" s="28" t="s">
        <v>1406</v>
      </c>
      <c r="M336" s="28">
        <v>64712.46</v>
      </c>
      <c r="N336" s="28" t="s">
        <v>1387</v>
      </c>
      <c r="O336" s="28">
        <v>0</v>
      </c>
      <c r="P336" s="29" t="s">
        <v>1407</v>
      </c>
    </row>
    <row r="337" spans="3:16" ht="36.75" thickBot="1" x14ac:dyDescent="0.3">
      <c r="C337" s="27" t="s">
        <v>1509</v>
      </c>
      <c r="D337" s="28">
        <v>330</v>
      </c>
      <c r="E337" s="28" t="s">
        <v>1402</v>
      </c>
      <c r="F337" s="28" t="s">
        <v>1321</v>
      </c>
      <c r="G337" s="28" t="s">
        <v>1408</v>
      </c>
      <c r="H337" s="28" t="s">
        <v>90</v>
      </c>
      <c r="I337" s="28" t="s">
        <v>91</v>
      </c>
      <c r="J337" s="28" t="s">
        <v>1951</v>
      </c>
      <c r="K337" s="28" t="s">
        <v>1405</v>
      </c>
      <c r="L337" s="28" t="s">
        <v>1406</v>
      </c>
      <c r="M337" s="28">
        <v>540022.24</v>
      </c>
      <c r="N337" s="28" t="s">
        <v>1387</v>
      </c>
      <c r="O337" s="28">
        <v>0</v>
      </c>
      <c r="P337" s="29" t="s">
        <v>1407</v>
      </c>
    </row>
    <row r="338" spans="3:16" ht="36.75" thickBot="1" x14ac:dyDescent="0.3">
      <c r="C338" s="27" t="s">
        <v>1509</v>
      </c>
      <c r="D338" s="28">
        <v>331</v>
      </c>
      <c r="E338" s="28" t="s">
        <v>1402</v>
      </c>
      <c r="F338" s="28" t="s">
        <v>1322</v>
      </c>
      <c r="G338" s="28" t="s">
        <v>1408</v>
      </c>
      <c r="H338" s="28" t="s">
        <v>90</v>
      </c>
      <c r="I338" s="28" t="s">
        <v>91</v>
      </c>
      <c r="J338" s="28" t="s">
        <v>1951</v>
      </c>
      <c r="K338" s="28" t="s">
        <v>1405</v>
      </c>
      <c r="L338" s="28" t="s">
        <v>1406</v>
      </c>
      <c r="M338" s="28">
        <v>983545.86</v>
      </c>
      <c r="N338" s="28" t="s">
        <v>1387</v>
      </c>
      <c r="O338" s="28">
        <v>0</v>
      </c>
      <c r="P338" s="29" t="s">
        <v>1407</v>
      </c>
    </row>
    <row r="339" spans="3:16" ht="36.75" thickBot="1" x14ac:dyDescent="0.3">
      <c r="C339" s="27" t="s">
        <v>1509</v>
      </c>
      <c r="D339" s="28">
        <v>332</v>
      </c>
      <c r="E339" s="28" t="s">
        <v>1402</v>
      </c>
      <c r="F339" s="28" t="s">
        <v>1339</v>
      </c>
      <c r="G339" s="28" t="s">
        <v>1408</v>
      </c>
      <c r="H339" s="28" t="s">
        <v>90</v>
      </c>
      <c r="I339" s="28" t="s">
        <v>91</v>
      </c>
      <c r="J339" s="28" t="s">
        <v>1951</v>
      </c>
      <c r="K339" s="28" t="s">
        <v>1405</v>
      </c>
      <c r="L339" s="28" t="s">
        <v>1406</v>
      </c>
      <c r="M339" s="28">
        <v>137189.37</v>
      </c>
      <c r="N339" s="28" t="s">
        <v>1387</v>
      </c>
      <c r="O339" s="28">
        <v>0</v>
      </c>
      <c r="P339" s="29" t="s">
        <v>1407</v>
      </c>
    </row>
    <row r="340" spans="3:16" ht="36.75" thickBot="1" x14ac:dyDescent="0.3">
      <c r="C340" s="27" t="s">
        <v>1509</v>
      </c>
      <c r="D340" s="28">
        <v>333</v>
      </c>
      <c r="E340" s="28" t="s">
        <v>1402</v>
      </c>
      <c r="F340" s="28" t="s">
        <v>327</v>
      </c>
      <c r="G340" s="28" t="s">
        <v>1408</v>
      </c>
      <c r="H340" s="28" t="s">
        <v>90</v>
      </c>
      <c r="I340" s="28" t="s">
        <v>91</v>
      </c>
      <c r="J340" s="28" t="s">
        <v>1951</v>
      </c>
      <c r="K340" s="28" t="s">
        <v>1405</v>
      </c>
      <c r="L340" s="28" t="s">
        <v>1406</v>
      </c>
      <c r="M340" s="28">
        <v>39307.699999999997</v>
      </c>
      <c r="N340" s="28" t="s">
        <v>1387</v>
      </c>
      <c r="O340" s="28">
        <v>0</v>
      </c>
      <c r="P340" s="29" t="s">
        <v>1407</v>
      </c>
    </row>
    <row r="341" spans="3:16" ht="36.75" thickBot="1" x14ac:dyDescent="0.3">
      <c r="C341" s="27" t="s">
        <v>1509</v>
      </c>
      <c r="D341" s="28">
        <v>334</v>
      </c>
      <c r="E341" s="28" t="s">
        <v>1402</v>
      </c>
      <c r="F341" s="28" t="s">
        <v>351</v>
      </c>
      <c r="G341" s="28" t="s">
        <v>1408</v>
      </c>
      <c r="H341" s="28" t="s">
        <v>90</v>
      </c>
      <c r="I341" s="28" t="s">
        <v>91</v>
      </c>
      <c r="J341" s="28" t="s">
        <v>1951</v>
      </c>
      <c r="K341" s="28" t="s">
        <v>1405</v>
      </c>
      <c r="L341" s="28" t="s">
        <v>1406</v>
      </c>
      <c r="M341" s="28">
        <v>4738.58</v>
      </c>
      <c r="N341" s="28" t="s">
        <v>1387</v>
      </c>
      <c r="O341" s="28">
        <v>0</v>
      </c>
      <c r="P341" s="29" t="s">
        <v>1407</v>
      </c>
    </row>
    <row r="342" spans="3:16" ht="36.75" thickBot="1" x14ac:dyDescent="0.3">
      <c r="C342" s="27" t="s">
        <v>1509</v>
      </c>
      <c r="D342" s="28">
        <v>335</v>
      </c>
      <c r="E342" s="28" t="s">
        <v>1402</v>
      </c>
      <c r="F342" s="28" t="s">
        <v>350</v>
      </c>
      <c r="G342" s="28" t="s">
        <v>1408</v>
      </c>
      <c r="H342" s="28" t="s">
        <v>90</v>
      </c>
      <c r="I342" s="28" t="s">
        <v>91</v>
      </c>
      <c r="J342" s="28" t="s">
        <v>1951</v>
      </c>
      <c r="K342" s="28" t="s">
        <v>1405</v>
      </c>
      <c r="L342" s="28" t="s">
        <v>1406</v>
      </c>
      <c r="M342" s="28">
        <v>14963.94</v>
      </c>
      <c r="N342" s="28" t="s">
        <v>1387</v>
      </c>
      <c r="O342" s="28">
        <v>0</v>
      </c>
      <c r="P342" s="29" t="s">
        <v>1407</v>
      </c>
    </row>
    <row r="343" spans="3:16" ht="36.75" thickBot="1" x14ac:dyDescent="0.3">
      <c r="C343" s="27" t="s">
        <v>1509</v>
      </c>
      <c r="D343" s="28">
        <v>336</v>
      </c>
      <c r="E343" s="28" t="s">
        <v>1402</v>
      </c>
      <c r="F343" s="28" t="s">
        <v>562</v>
      </c>
      <c r="G343" s="28" t="s">
        <v>1408</v>
      </c>
      <c r="H343" s="28" t="s">
        <v>90</v>
      </c>
      <c r="I343" s="28" t="s">
        <v>91</v>
      </c>
      <c r="J343" s="28" t="s">
        <v>1951</v>
      </c>
      <c r="K343" s="28" t="s">
        <v>1405</v>
      </c>
      <c r="L343" s="28" t="s">
        <v>1406</v>
      </c>
      <c r="M343" s="28">
        <v>24939.89</v>
      </c>
      <c r="N343" s="28" t="s">
        <v>1387</v>
      </c>
      <c r="O343" s="28">
        <v>0</v>
      </c>
      <c r="P343" s="29" t="s">
        <v>1407</v>
      </c>
    </row>
    <row r="344" spans="3:16" ht="36.75" thickBot="1" x14ac:dyDescent="0.3">
      <c r="C344" s="27" t="s">
        <v>1509</v>
      </c>
      <c r="D344" s="28">
        <v>337</v>
      </c>
      <c r="E344" s="28" t="s">
        <v>1402</v>
      </c>
      <c r="F344" s="28" t="s">
        <v>548</v>
      </c>
      <c r="G344" s="28" t="s">
        <v>1408</v>
      </c>
      <c r="H344" s="28" t="s">
        <v>90</v>
      </c>
      <c r="I344" s="28" t="s">
        <v>91</v>
      </c>
      <c r="J344" s="28" t="s">
        <v>1951</v>
      </c>
      <c r="K344" s="28" t="s">
        <v>1405</v>
      </c>
      <c r="L344" s="28" t="s">
        <v>1406</v>
      </c>
      <c r="M344" s="28">
        <v>238375.52</v>
      </c>
      <c r="N344" s="28" t="s">
        <v>1387</v>
      </c>
      <c r="O344" s="28">
        <v>0</v>
      </c>
      <c r="P344" s="29" t="s">
        <v>1407</v>
      </c>
    </row>
    <row r="345" spans="3:16" ht="36.75" thickBot="1" x14ac:dyDescent="0.3">
      <c r="C345" s="27" t="s">
        <v>1509</v>
      </c>
      <c r="D345" s="28">
        <v>338</v>
      </c>
      <c r="E345" s="28" t="s">
        <v>1402</v>
      </c>
      <c r="F345" s="28" t="s">
        <v>931</v>
      </c>
      <c r="G345" s="28" t="s">
        <v>1408</v>
      </c>
      <c r="H345" s="28" t="s">
        <v>90</v>
      </c>
      <c r="I345" s="28" t="s">
        <v>91</v>
      </c>
      <c r="J345" s="28" t="s">
        <v>1951</v>
      </c>
      <c r="K345" s="28" t="s">
        <v>1405</v>
      </c>
      <c r="L345" s="28" t="s">
        <v>1406</v>
      </c>
      <c r="M345" s="28">
        <v>2493.9899999999998</v>
      </c>
      <c r="N345" s="28" t="s">
        <v>1387</v>
      </c>
      <c r="O345" s="28">
        <v>0</v>
      </c>
      <c r="P345" s="29" t="s">
        <v>1407</v>
      </c>
    </row>
    <row r="346" spans="3:16" ht="36.75" thickBot="1" x14ac:dyDescent="0.3">
      <c r="C346" s="27" t="s">
        <v>1509</v>
      </c>
      <c r="D346" s="28">
        <v>339</v>
      </c>
      <c r="E346" s="28" t="s">
        <v>1402</v>
      </c>
      <c r="F346" s="28" t="s">
        <v>355</v>
      </c>
      <c r="G346" s="28" t="s">
        <v>1408</v>
      </c>
      <c r="H346" s="28" t="s">
        <v>90</v>
      </c>
      <c r="I346" s="28" t="s">
        <v>91</v>
      </c>
      <c r="J346" s="28" t="s">
        <v>1951</v>
      </c>
      <c r="K346" s="28" t="s">
        <v>1405</v>
      </c>
      <c r="L346" s="28" t="s">
        <v>1406</v>
      </c>
      <c r="M346" s="28">
        <v>2493.9899999999998</v>
      </c>
      <c r="N346" s="28" t="s">
        <v>1387</v>
      </c>
      <c r="O346" s="28">
        <v>0</v>
      </c>
      <c r="P346" s="29" t="s">
        <v>1407</v>
      </c>
    </row>
    <row r="347" spans="3:16" ht="36.75" thickBot="1" x14ac:dyDescent="0.3">
      <c r="C347" s="27" t="s">
        <v>1509</v>
      </c>
      <c r="D347" s="28">
        <v>340</v>
      </c>
      <c r="E347" s="28" t="s">
        <v>1402</v>
      </c>
      <c r="F347" s="28" t="s">
        <v>354</v>
      </c>
      <c r="G347" s="28" t="s">
        <v>1408</v>
      </c>
      <c r="H347" s="28" t="s">
        <v>90</v>
      </c>
      <c r="I347" s="28" t="s">
        <v>91</v>
      </c>
      <c r="J347" s="28" t="s">
        <v>1951</v>
      </c>
      <c r="K347" s="28" t="s">
        <v>1405</v>
      </c>
      <c r="L347" s="28" t="s">
        <v>1406</v>
      </c>
      <c r="M347" s="28">
        <v>3725.65</v>
      </c>
      <c r="N347" s="28" t="s">
        <v>1387</v>
      </c>
      <c r="O347" s="28">
        <v>0</v>
      </c>
      <c r="P347" s="29" t="s">
        <v>1407</v>
      </c>
    </row>
    <row r="348" spans="3:16" ht="36.75" thickBot="1" x14ac:dyDescent="0.3">
      <c r="C348" s="27" t="s">
        <v>1509</v>
      </c>
      <c r="D348" s="28">
        <v>341</v>
      </c>
      <c r="E348" s="28" t="s">
        <v>1402</v>
      </c>
      <c r="F348" s="28" t="s">
        <v>1956</v>
      </c>
      <c r="G348" s="28" t="s">
        <v>1408</v>
      </c>
      <c r="H348" s="28" t="s">
        <v>90</v>
      </c>
      <c r="I348" s="28" t="s">
        <v>91</v>
      </c>
      <c r="J348" s="28" t="s">
        <v>1951</v>
      </c>
      <c r="K348" s="28" t="s">
        <v>1405</v>
      </c>
      <c r="L348" s="28" t="s">
        <v>1406</v>
      </c>
      <c r="M348" s="28">
        <v>512.82000000000005</v>
      </c>
      <c r="N348" s="28" t="s">
        <v>1387</v>
      </c>
      <c r="O348" s="28">
        <v>0</v>
      </c>
      <c r="P348" s="29" t="s">
        <v>1407</v>
      </c>
    </row>
    <row r="349" spans="3:16" ht="36.75" thickBot="1" x14ac:dyDescent="0.3">
      <c r="C349" s="27" t="s">
        <v>1509</v>
      </c>
      <c r="D349" s="28">
        <v>342</v>
      </c>
      <c r="E349" s="28" t="s">
        <v>1402</v>
      </c>
      <c r="F349" s="28" t="s">
        <v>570</v>
      </c>
      <c r="G349" s="28" t="s">
        <v>1408</v>
      </c>
      <c r="H349" s="28" t="s">
        <v>90</v>
      </c>
      <c r="I349" s="28" t="s">
        <v>91</v>
      </c>
      <c r="J349" s="28" t="s">
        <v>1951</v>
      </c>
      <c r="K349" s="28" t="s">
        <v>1405</v>
      </c>
      <c r="L349" s="28" t="s">
        <v>1406</v>
      </c>
      <c r="M349" s="28">
        <v>1506.37</v>
      </c>
      <c r="N349" s="28" t="s">
        <v>1387</v>
      </c>
      <c r="O349" s="28">
        <v>0</v>
      </c>
      <c r="P349" s="29" t="s">
        <v>1407</v>
      </c>
    </row>
    <row r="350" spans="3:16" ht="36.75" thickBot="1" x14ac:dyDescent="0.3">
      <c r="C350" s="27" t="s">
        <v>1509</v>
      </c>
      <c r="D350" s="28">
        <v>343</v>
      </c>
      <c r="E350" s="28" t="s">
        <v>1402</v>
      </c>
      <c r="F350" s="28" t="s">
        <v>223</v>
      </c>
      <c r="G350" s="28" t="s">
        <v>1408</v>
      </c>
      <c r="H350" s="28" t="s">
        <v>90</v>
      </c>
      <c r="I350" s="28" t="s">
        <v>91</v>
      </c>
      <c r="J350" s="28" t="s">
        <v>1951</v>
      </c>
      <c r="K350" s="28" t="s">
        <v>1405</v>
      </c>
      <c r="L350" s="28" t="s">
        <v>1406</v>
      </c>
      <c r="M350" s="28">
        <v>1723.3</v>
      </c>
      <c r="N350" s="28" t="s">
        <v>1387</v>
      </c>
      <c r="O350" s="28">
        <v>0</v>
      </c>
      <c r="P350" s="29" t="s">
        <v>1407</v>
      </c>
    </row>
    <row r="351" spans="3:16" ht="36.75" thickBot="1" x14ac:dyDescent="0.3">
      <c r="C351" s="27" t="s">
        <v>1509</v>
      </c>
      <c r="D351" s="28">
        <v>344</v>
      </c>
      <c r="E351" s="28" t="s">
        <v>1402</v>
      </c>
      <c r="F351" s="28" t="s">
        <v>128</v>
      </c>
      <c r="G351" s="28" t="s">
        <v>1408</v>
      </c>
      <c r="H351" s="28" t="s">
        <v>90</v>
      </c>
      <c r="I351" s="28" t="s">
        <v>91</v>
      </c>
      <c r="J351" s="28" t="s">
        <v>1951</v>
      </c>
      <c r="K351" s="28" t="s">
        <v>1405</v>
      </c>
      <c r="L351" s="28" t="s">
        <v>1406</v>
      </c>
      <c r="M351" s="28">
        <v>1224.55</v>
      </c>
      <c r="N351" s="28" t="s">
        <v>1387</v>
      </c>
      <c r="O351" s="28">
        <v>0</v>
      </c>
      <c r="P351" s="29" t="s">
        <v>1407</v>
      </c>
    </row>
    <row r="352" spans="3:16" ht="36.75" thickBot="1" x14ac:dyDescent="0.3">
      <c r="C352" s="27" t="s">
        <v>1509</v>
      </c>
      <c r="D352" s="28">
        <v>345</v>
      </c>
      <c r="E352" s="28" t="s">
        <v>1402</v>
      </c>
      <c r="F352" s="28" t="s">
        <v>1957</v>
      </c>
      <c r="G352" s="28" t="s">
        <v>1408</v>
      </c>
      <c r="H352" s="28" t="s">
        <v>90</v>
      </c>
      <c r="I352" s="28" t="s">
        <v>91</v>
      </c>
      <c r="J352" s="28" t="s">
        <v>1951</v>
      </c>
      <c r="K352" s="28" t="s">
        <v>1405</v>
      </c>
      <c r="L352" s="28" t="s">
        <v>1406</v>
      </c>
      <c r="M352" s="28">
        <v>449.3</v>
      </c>
      <c r="N352" s="28" t="s">
        <v>1387</v>
      </c>
      <c r="O352" s="28">
        <v>0</v>
      </c>
      <c r="P352" s="29" t="s">
        <v>1407</v>
      </c>
    </row>
    <row r="353" spans="3:16" ht="36.75" thickBot="1" x14ac:dyDescent="0.3">
      <c r="C353" s="27" t="s">
        <v>1509</v>
      </c>
      <c r="D353" s="28">
        <v>346</v>
      </c>
      <c r="E353" s="28" t="s">
        <v>1402</v>
      </c>
      <c r="F353" s="28" t="s">
        <v>569</v>
      </c>
      <c r="G353" s="28" t="s">
        <v>1408</v>
      </c>
      <c r="H353" s="28" t="s">
        <v>90</v>
      </c>
      <c r="I353" s="28" t="s">
        <v>91</v>
      </c>
      <c r="J353" s="28" t="s">
        <v>1951</v>
      </c>
      <c r="K353" s="28" t="s">
        <v>1405</v>
      </c>
      <c r="L353" s="28" t="s">
        <v>1406</v>
      </c>
      <c r="M353" s="28">
        <v>2875.3</v>
      </c>
      <c r="N353" s="28" t="s">
        <v>1387</v>
      </c>
      <c r="O353" s="28">
        <v>0</v>
      </c>
      <c r="P353" s="29" t="s">
        <v>1407</v>
      </c>
    </row>
    <row r="354" spans="3:16" ht="36.75" thickBot="1" x14ac:dyDescent="0.3">
      <c r="C354" s="27" t="s">
        <v>1509</v>
      </c>
      <c r="D354" s="28">
        <v>347</v>
      </c>
      <c r="E354" s="28" t="s">
        <v>1402</v>
      </c>
      <c r="F354" s="28" t="s">
        <v>572</v>
      </c>
      <c r="G354" s="28" t="s">
        <v>1408</v>
      </c>
      <c r="H354" s="28" t="s">
        <v>90</v>
      </c>
      <c r="I354" s="28" t="s">
        <v>91</v>
      </c>
      <c r="J354" s="28" t="s">
        <v>1951</v>
      </c>
      <c r="K354" s="28" t="s">
        <v>1405</v>
      </c>
      <c r="L354" s="28" t="s">
        <v>1406</v>
      </c>
      <c r="M354" s="28">
        <v>14963.94</v>
      </c>
      <c r="N354" s="28" t="s">
        <v>1387</v>
      </c>
      <c r="O354" s="28">
        <v>0</v>
      </c>
      <c r="P354" s="29" t="s">
        <v>1407</v>
      </c>
    </row>
    <row r="355" spans="3:16" ht="36.75" thickBot="1" x14ac:dyDescent="0.3">
      <c r="C355" s="27" t="s">
        <v>1509</v>
      </c>
      <c r="D355" s="28">
        <v>348</v>
      </c>
      <c r="E355" s="28" t="s">
        <v>1402</v>
      </c>
      <c r="F355" s="28" t="s">
        <v>935</v>
      </c>
      <c r="G355" s="28" t="s">
        <v>1408</v>
      </c>
      <c r="H355" s="28" t="s">
        <v>90</v>
      </c>
      <c r="I355" s="28" t="s">
        <v>91</v>
      </c>
      <c r="J355" s="28" t="s">
        <v>1951</v>
      </c>
      <c r="K355" s="28" t="s">
        <v>1405</v>
      </c>
      <c r="L355" s="28" t="s">
        <v>1406</v>
      </c>
      <c r="M355" s="28">
        <v>1666.64</v>
      </c>
      <c r="N355" s="28" t="s">
        <v>1387</v>
      </c>
      <c r="O355" s="28">
        <v>0</v>
      </c>
      <c r="P355" s="29" t="s">
        <v>1407</v>
      </c>
    </row>
    <row r="356" spans="3:16" ht="36.75" thickBot="1" x14ac:dyDescent="0.3">
      <c r="C356" s="27" t="s">
        <v>1509</v>
      </c>
      <c r="D356" s="28">
        <v>349</v>
      </c>
      <c r="E356" s="28" t="s">
        <v>1402</v>
      </c>
      <c r="F356" s="28" t="s">
        <v>1958</v>
      </c>
      <c r="G356" s="28" t="s">
        <v>1408</v>
      </c>
      <c r="H356" s="28" t="s">
        <v>90</v>
      </c>
      <c r="I356" s="28" t="s">
        <v>91</v>
      </c>
      <c r="J356" s="28" t="s">
        <v>1951</v>
      </c>
      <c r="K356" s="28" t="s">
        <v>1405</v>
      </c>
      <c r="L356" s="28" t="s">
        <v>1406</v>
      </c>
      <c r="M356" s="28">
        <v>613.71</v>
      </c>
      <c r="N356" s="28" t="s">
        <v>1387</v>
      </c>
      <c r="O356" s="28">
        <v>0</v>
      </c>
      <c r="P356" s="29" t="s">
        <v>1407</v>
      </c>
    </row>
    <row r="357" spans="3:16" ht="36.75" thickBot="1" x14ac:dyDescent="0.3">
      <c r="C357" s="27" t="s">
        <v>1509</v>
      </c>
      <c r="D357" s="28">
        <v>350</v>
      </c>
      <c r="E357" s="28" t="s">
        <v>1402</v>
      </c>
      <c r="F357" s="28" t="s">
        <v>357</v>
      </c>
      <c r="G357" s="28" t="s">
        <v>1408</v>
      </c>
      <c r="H357" s="28" t="s">
        <v>90</v>
      </c>
      <c r="I357" s="28" t="s">
        <v>91</v>
      </c>
      <c r="J357" s="28" t="s">
        <v>1951</v>
      </c>
      <c r="K357" s="28" t="s">
        <v>1405</v>
      </c>
      <c r="L357" s="28" t="s">
        <v>1406</v>
      </c>
      <c r="M357" s="28">
        <v>1404.83</v>
      </c>
      <c r="N357" s="28" t="s">
        <v>1387</v>
      </c>
      <c r="O357" s="28">
        <v>0</v>
      </c>
      <c r="P357" s="29" t="s">
        <v>1407</v>
      </c>
    </row>
    <row r="358" spans="3:16" ht="36.75" thickBot="1" x14ac:dyDescent="0.3">
      <c r="C358" s="27" t="s">
        <v>1509</v>
      </c>
      <c r="D358" s="28">
        <v>351</v>
      </c>
      <c r="E358" s="28" t="s">
        <v>1402</v>
      </c>
      <c r="F358" s="28" t="s">
        <v>1959</v>
      </c>
      <c r="G358" s="28" t="s">
        <v>1408</v>
      </c>
      <c r="H358" s="28" t="s">
        <v>90</v>
      </c>
      <c r="I358" s="28" t="s">
        <v>91</v>
      </c>
      <c r="J358" s="28" t="s">
        <v>1951</v>
      </c>
      <c r="K358" s="28" t="s">
        <v>1405</v>
      </c>
      <c r="L358" s="28" t="s">
        <v>1406</v>
      </c>
      <c r="M358" s="28">
        <v>102.25</v>
      </c>
      <c r="N358" s="28" t="s">
        <v>1387</v>
      </c>
      <c r="O358" s="28">
        <v>0</v>
      </c>
      <c r="P358" s="29" t="s">
        <v>1407</v>
      </c>
    </row>
    <row r="359" spans="3:16" ht="36.75" thickBot="1" x14ac:dyDescent="0.3">
      <c r="C359" s="27" t="s">
        <v>1509</v>
      </c>
      <c r="D359" s="28">
        <v>352</v>
      </c>
      <c r="E359" s="28" t="s">
        <v>1402</v>
      </c>
      <c r="F359" s="28" t="s">
        <v>163</v>
      </c>
      <c r="G359" s="28" t="s">
        <v>1408</v>
      </c>
      <c r="H359" s="28" t="s">
        <v>90</v>
      </c>
      <c r="I359" s="28" t="s">
        <v>91</v>
      </c>
      <c r="J359" s="28" t="s">
        <v>1951</v>
      </c>
      <c r="K359" s="28" t="s">
        <v>1405</v>
      </c>
      <c r="L359" s="28" t="s">
        <v>1406</v>
      </c>
      <c r="M359" s="28">
        <v>2799.02</v>
      </c>
      <c r="N359" s="28" t="s">
        <v>1387</v>
      </c>
      <c r="O359" s="28">
        <v>0</v>
      </c>
      <c r="P359" s="29" t="s">
        <v>1407</v>
      </c>
    </row>
    <row r="360" spans="3:16" ht="36.75" thickBot="1" x14ac:dyDescent="0.3">
      <c r="C360" s="27" t="s">
        <v>1509</v>
      </c>
      <c r="D360" s="28">
        <v>353</v>
      </c>
      <c r="E360" s="28" t="s">
        <v>1402</v>
      </c>
      <c r="F360" s="28" t="s">
        <v>574</v>
      </c>
      <c r="G360" s="28" t="s">
        <v>1408</v>
      </c>
      <c r="H360" s="28" t="s">
        <v>90</v>
      </c>
      <c r="I360" s="28" t="s">
        <v>91</v>
      </c>
      <c r="J360" s="28" t="s">
        <v>1951</v>
      </c>
      <c r="K360" s="28" t="s">
        <v>1405</v>
      </c>
      <c r="L360" s="28" t="s">
        <v>1406</v>
      </c>
      <c r="M360" s="28">
        <v>2076.0100000000002</v>
      </c>
      <c r="N360" s="28" t="s">
        <v>1387</v>
      </c>
      <c r="O360" s="28">
        <v>0</v>
      </c>
      <c r="P360" s="29" t="s">
        <v>1407</v>
      </c>
    </row>
    <row r="361" spans="3:16" ht="36.75" thickBot="1" x14ac:dyDescent="0.3">
      <c r="C361" s="27" t="s">
        <v>1509</v>
      </c>
      <c r="D361" s="28">
        <v>354</v>
      </c>
      <c r="E361" s="28" t="s">
        <v>1402</v>
      </c>
      <c r="F361" s="28" t="s">
        <v>916</v>
      </c>
      <c r="G361" s="28" t="s">
        <v>1408</v>
      </c>
      <c r="H361" s="28" t="s">
        <v>90</v>
      </c>
      <c r="I361" s="28" t="s">
        <v>91</v>
      </c>
      <c r="J361" s="28" t="s">
        <v>1951</v>
      </c>
      <c r="K361" s="28" t="s">
        <v>1405</v>
      </c>
      <c r="L361" s="28" t="s">
        <v>1406</v>
      </c>
      <c r="M361" s="28">
        <v>1698.08</v>
      </c>
      <c r="N361" s="28" t="s">
        <v>1387</v>
      </c>
      <c r="O361" s="28">
        <v>0</v>
      </c>
      <c r="P361" s="29" t="s">
        <v>1407</v>
      </c>
    </row>
    <row r="362" spans="3:16" ht="36.75" thickBot="1" x14ac:dyDescent="0.3">
      <c r="C362" s="27" t="s">
        <v>1509</v>
      </c>
      <c r="D362" s="28">
        <v>355</v>
      </c>
      <c r="E362" s="28" t="s">
        <v>1402</v>
      </c>
      <c r="F362" s="28" t="s">
        <v>228</v>
      </c>
      <c r="G362" s="28" t="s">
        <v>1408</v>
      </c>
      <c r="H362" s="28" t="s">
        <v>90</v>
      </c>
      <c r="I362" s="28" t="s">
        <v>91</v>
      </c>
      <c r="J362" s="28" t="s">
        <v>1951</v>
      </c>
      <c r="K362" s="28" t="s">
        <v>1405</v>
      </c>
      <c r="L362" s="28" t="s">
        <v>1406</v>
      </c>
      <c r="M362" s="28">
        <v>897.99</v>
      </c>
      <c r="N362" s="28" t="s">
        <v>1387</v>
      </c>
      <c r="O362" s="28">
        <v>0</v>
      </c>
      <c r="P362" s="29" t="s">
        <v>1407</v>
      </c>
    </row>
    <row r="363" spans="3:16" ht="36.75" thickBot="1" x14ac:dyDescent="0.3">
      <c r="C363" s="27" t="s">
        <v>1509</v>
      </c>
      <c r="D363" s="28">
        <v>356</v>
      </c>
      <c r="E363" s="28" t="s">
        <v>1402</v>
      </c>
      <c r="F363" s="28" t="s">
        <v>956</v>
      </c>
      <c r="G363" s="28" t="s">
        <v>1408</v>
      </c>
      <c r="H363" s="28" t="s">
        <v>90</v>
      </c>
      <c r="I363" s="28" t="s">
        <v>91</v>
      </c>
      <c r="J363" s="28" t="s">
        <v>1951</v>
      </c>
      <c r="K363" s="28" t="s">
        <v>1405</v>
      </c>
      <c r="L363" s="28" t="s">
        <v>1406</v>
      </c>
      <c r="M363" s="28">
        <v>33389.589999999997</v>
      </c>
      <c r="N363" s="28" t="s">
        <v>1387</v>
      </c>
      <c r="O363" s="28">
        <v>0</v>
      </c>
      <c r="P363" s="29" t="s">
        <v>1407</v>
      </c>
    </row>
    <row r="364" spans="3:16" ht="36.75" thickBot="1" x14ac:dyDescent="0.3">
      <c r="C364" s="27" t="s">
        <v>1509</v>
      </c>
      <c r="D364" s="28">
        <v>357</v>
      </c>
      <c r="E364" s="28" t="s">
        <v>1402</v>
      </c>
      <c r="F364" s="28" t="s">
        <v>531</v>
      </c>
      <c r="G364" s="28" t="s">
        <v>1408</v>
      </c>
      <c r="H364" s="28" t="s">
        <v>90</v>
      </c>
      <c r="I364" s="28" t="s">
        <v>91</v>
      </c>
      <c r="J364" s="28" t="s">
        <v>1951</v>
      </c>
      <c r="K364" s="28" t="s">
        <v>1405</v>
      </c>
      <c r="L364" s="28" t="s">
        <v>1406</v>
      </c>
      <c r="M364" s="28">
        <v>41948.9</v>
      </c>
      <c r="N364" s="28" t="s">
        <v>1387</v>
      </c>
      <c r="O364" s="28">
        <v>0</v>
      </c>
      <c r="P364" s="29" t="s">
        <v>1407</v>
      </c>
    </row>
    <row r="365" spans="3:16" ht="36.75" thickBot="1" x14ac:dyDescent="0.3">
      <c r="C365" s="27" t="s">
        <v>1509</v>
      </c>
      <c r="D365" s="28">
        <v>358</v>
      </c>
      <c r="E365" s="28" t="s">
        <v>1402</v>
      </c>
      <c r="F365" s="28" t="s">
        <v>959</v>
      </c>
      <c r="G365" s="28" t="s">
        <v>1408</v>
      </c>
      <c r="H365" s="28" t="s">
        <v>90</v>
      </c>
      <c r="I365" s="28" t="s">
        <v>91</v>
      </c>
      <c r="J365" s="28" t="s">
        <v>1951</v>
      </c>
      <c r="K365" s="28" t="s">
        <v>1405</v>
      </c>
      <c r="L365" s="28" t="s">
        <v>1406</v>
      </c>
      <c r="M365" s="28">
        <v>9093.09</v>
      </c>
      <c r="N365" s="28" t="s">
        <v>1387</v>
      </c>
      <c r="O365" s="28">
        <v>0</v>
      </c>
      <c r="P365" s="29" t="s">
        <v>1407</v>
      </c>
    </row>
    <row r="366" spans="3:16" ht="36.75" thickBot="1" x14ac:dyDescent="0.3">
      <c r="C366" s="27" t="s">
        <v>1509</v>
      </c>
      <c r="D366" s="28">
        <v>359</v>
      </c>
      <c r="E366" s="28" t="s">
        <v>1402</v>
      </c>
      <c r="F366" s="28" t="s">
        <v>872</v>
      </c>
      <c r="G366" s="28" t="s">
        <v>1408</v>
      </c>
      <c r="H366" s="28" t="s">
        <v>90</v>
      </c>
      <c r="I366" s="28" t="s">
        <v>91</v>
      </c>
      <c r="J366" s="28" t="s">
        <v>1951</v>
      </c>
      <c r="K366" s="28" t="s">
        <v>1405</v>
      </c>
      <c r="L366" s="28" t="s">
        <v>1406</v>
      </c>
      <c r="M366" s="28">
        <v>8599.2800000000007</v>
      </c>
      <c r="N366" s="28" t="s">
        <v>1387</v>
      </c>
      <c r="O366" s="28">
        <v>0</v>
      </c>
      <c r="P366" s="29" t="s">
        <v>1407</v>
      </c>
    </row>
    <row r="367" spans="3:16" ht="36.75" thickBot="1" x14ac:dyDescent="0.3">
      <c r="C367" s="27" t="s">
        <v>1509</v>
      </c>
      <c r="D367" s="28">
        <v>360</v>
      </c>
      <c r="E367" s="28" t="s">
        <v>1402</v>
      </c>
      <c r="F367" s="28" t="s">
        <v>961</v>
      </c>
      <c r="G367" s="28" t="s">
        <v>1408</v>
      </c>
      <c r="H367" s="28" t="s">
        <v>90</v>
      </c>
      <c r="I367" s="28" t="s">
        <v>91</v>
      </c>
      <c r="J367" s="28" t="s">
        <v>1951</v>
      </c>
      <c r="K367" s="28" t="s">
        <v>1405</v>
      </c>
      <c r="L367" s="28" t="s">
        <v>1406</v>
      </c>
      <c r="M367" s="28">
        <v>15401.85</v>
      </c>
      <c r="N367" s="28" t="s">
        <v>1387</v>
      </c>
      <c r="O367" s="28">
        <v>0</v>
      </c>
      <c r="P367" s="29" t="s">
        <v>1407</v>
      </c>
    </row>
    <row r="368" spans="3:16" ht="36.75" thickBot="1" x14ac:dyDescent="0.3">
      <c r="C368" s="27" t="s">
        <v>1509</v>
      </c>
      <c r="D368" s="28">
        <v>361</v>
      </c>
      <c r="E368" s="28" t="s">
        <v>1402</v>
      </c>
      <c r="F368" s="28" t="s">
        <v>869</v>
      </c>
      <c r="G368" s="28" t="s">
        <v>1408</v>
      </c>
      <c r="H368" s="28" t="s">
        <v>90</v>
      </c>
      <c r="I368" s="28" t="s">
        <v>91</v>
      </c>
      <c r="J368" s="28" t="s">
        <v>1951</v>
      </c>
      <c r="K368" s="28" t="s">
        <v>1405</v>
      </c>
      <c r="L368" s="28" t="s">
        <v>1406</v>
      </c>
      <c r="M368" s="28">
        <v>17144.759999999998</v>
      </c>
      <c r="N368" s="28" t="s">
        <v>1387</v>
      </c>
      <c r="O368" s="28">
        <v>0</v>
      </c>
      <c r="P368" s="29" t="s">
        <v>1407</v>
      </c>
    </row>
    <row r="369" spans="3:16" ht="36.75" thickBot="1" x14ac:dyDescent="0.3">
      <c r="C369" s="27" t="s">
        <v>1509</v>
      </c>
      <c r="D369" s="28">
        <v>362</v>
      </c>
      <c r="E369" s="28" t="s">
        <v>1402</v>
      </c>
      <c r="F369" s="28" t="s">
        <v>962</v>
      </c>
      <c r="G369" s="28" t="s">
        <v>1408</v>
      </c>
      <c r="H369" s="28" t="s">
        <v>90</v>
      </c>
      <c r="I369" s="28" t="s">
        <v>91</v>
      </c>
      <c r="J369" s="28" t="s">
        <v>1951</v>
      </c>
      <c r="K369" s="28" t="s">
        <v>1405</v>
      </c>
      <c r="L369" s="28" t="s">
        <v>1406</v>
      </c>
      <c r="M369" s="28">
        <v>9975.9599999999991</v>
      </c>
      <c r="N369" s="28" t="s">
        <v>1387</v>
      </c>
      <c r="O369" s="28">
        <v>0</v>
      </c>
      <c r="P369" s="29" t="s">
        <v>1407</v>
      </c>
    </row>
    <row r="370" spans="3:16" ht="36.75" thickBot="1" x14ac:dyDescent="0.3">
      <c r="C370" s="27" t="s">
        <v>1509</v>
      </c>
      <c r="D370" s="28">
        <v>363</v>
      </c>
      <c r="E370" s="28" t="s">
        <v>1402</v>
      </c>
      <c r="F370" s="28" t="s">
        <v>957</v>
      </c>
      <c r="G370" s="28" t="s">
        <v>1408</v>
      </c>
      <c r="H370" s="28" t="s">
        <v>90</v>
      </c>
      <c r="I370" s="28" t="s">
        <v>91</v>
      </c>
      <c r="J370" s="28" t="s">
        <v>1951</v>
      </c>
      <c r="K370" s="28" t="s">
        <v>1405</v>
      </c>
      <c r="L370" s="28" t="s">
        <v>1406</v>
      </c>
      <c r="M370" s="28">
        <v>7481.97</v>
      </c>
      <c r="N370" s="28" t="s">
        <v>1387</v>
      </c>
      <c r="O370" s="28">
        <v>0</v>
      </c>
      <c r="P370" s="29" t="s">
        <v>1407</v>
      </c>
    </row>
    <row r="371" spans="3:16" ht="36.75" thickBot="1" x14ac:dyDescent="0.3">
      <c r="C371" s="27" t="s">
        <v>1509</v>
      </c>
      <c r="D371" s="28">
        <v>364</v>
      </c>
      <c r="E371" s="28" t="s">
        <v>1402</v>
      </c>
      <c r="F371" s="28" t="s">
        <v>1960</v>
      </c>
      <c r="G371" s="28" t="s">
        <v>1408</v>
      </c>
      <c r="H371" s="28" t="s">
        <v>90</v>
      </c>
      <c r="I371" s="28" t="s">
        <v>91</v>
      </c>
      <c r="J371" s="28" t="s">
        <v>1951</v>
      </c>
      <c r="K371" s="28" t="s">
        <v>1405</v>
      </c>
      <c r="L371" s="28" t="s">
        <v>1406</v>
      </c>
      <c r="M371" s="28">
        <v>209.75</v>
      </c>
      <c r="N371" s="28" t="s">
        <v>1387</v>
      </c>
      <c r="O371" s="28">
        <v>0</v>
      </c>
      <c r="P371" s="29" t="s">
        <v>1407</v>
      </c>
    </row>
    <row r="372" spans="3:16" ht="36.75" thickBot="1" x14ac:dyDescent="0.3">
      <c r="C372" s="27" t="s">
        <v>1509</v>
      </c>
      <c r="D372" s="28">
        <v>365</v>
      </c>
      <c r="E372" s="28" t="s">
        <v>1402</v>
      </c>
      <c r="F372" s="28" t="s">
        <v>964</v>
      </c>
      <c r="G372" s="28" t="s">
        <v>1408</v>
      </c>
      <c r="H372" s="28" t="s">
        <v>90</v>
      </c>
      <c r="I372" s="28" t="s">
        <v>91</v>
      </c>
      <c r="J372" s="28" t="s">
        <v>1951</v>
      </c>
      <c r="K372" s="28" t="s">
        <v>1405</v>
      </c>
      <c r="L372" s="28" t="s">
        <v>1406</v>
      </c>
      <c r="M372" s="28">
        <v>1246.8599999999999</v>
      </c>
      <c r="N372" s="28" t="s">
        <v>1387</v>
      </c>
      <c r="O372" s="28">
        <v>0</v>
      </c>
      <c r="P372" s="29" t="s">
        <v>1407</v>
      </c>
    </row>
    <row r="373" spans="3:16" ht="36.75" thickBot="1" x14ac:dyDescent="0.3">
      <c r="C373" s="27" t="s">
        <v>1509</v>
      </c>
      <c r="D373" s="28">
        <v>366</v>
      </c>
      <c r="E373" s="28" t="s">
        <v>1402</v>
      </c>
      <c r="F373" s="28" t="s">
        <v>1961</v>
      </c>
      <c r="G373" s="28" t="s">
        <v>1408</v>
      </c>
      <c r="H373" s="28" t="s">
        <v>90</v>
      </c>
      <c r="I373" s="28" t="s">
        <v>91</v>
      </c>
      <c r="J373" s="28" t="s">
        <v>1951</v>
      </c>
      <c r="K373" s="28" t="s">
        <v>1405</v>
      </c>
      <c r="L373" s="28" t="s">
        <v>1406</v>
      </c>
      <c r="M373" s="28">
        <v>382.35</v>
      </c>
      <c r="N373" s="28" t="s">
        <v>1387</v>
      </c>
      <c r="O373" s="28">
        <v>0</v>
      </c>
      <c r="P373" s="29" t="s">
        <v>1407</v>
      </c>
    </row>
    <row r="374" spans="3:16" ht="36.75" thickBot="1" x14ac:dyDescent="0.3">
      <c r="C374" s="27" t="s">
        <v>1509</v>
      </c>
      <c r="D374" s="28">
        <v>367</v>
      </c>
      <c r="E374" s="28" t="s">
        <v>1402</v>
      </c>
      <c r="F374" s="28" t="s">
        <v>1962</v>
      </c>
      <c r="G374" s="28" t="s">
        <v>1408</v>
      </c>
      <c r="H374" s="28" t="s">
        <v>90</v>
      </c>
      <c r="I374" s="28" t="s">
        <v>91</v>
      </c>
      <c r="J374" s="28" t="s">
        <v>1951</v>
      </c>
      <c r="K374" s="28" t="s">
        <v>1405</v>
      </c>
      <c r="L374" s="28" t="s">
        <v>1406</v>
      </c>
      <c r="M374" s="28">
        <v>551.34</v>
      </c>
      <c r="N374" s="28" t="s">
        <v>1387</v>
      </c>
      <c r="O374" s="28">
        <v>0</v>
      </c>
      <c r="P374" s="29" t="s">
        <v>1407</v>
      </c>
    </row>
    <row r="375" spans="3:16" ht="36.75" thickBot="1" x14ac:dyDescent="0.3">
      <c r="C375" s="27" t="s">
        <v>1509</v>
      </c>
      <c r="D375" s="28">
        <v>368</v>
      </c>
      <c r="E375" s="28" t="s">
        <v>1402</v>
      </c>
      <c r="F375" s="28" t="s">
        <v>960</v>
      </c>
      <c r="G375" s="28" t="s">
        <v>1408</v>
      </c>
      <c r="H375" s="28" t="s">
        <v>90</v>
      </c>
      <c r="I375" s="28" t="s">
        <v>91</v>
      </c>
      <c r="J375" s="28" t="s">
        <v>1951</v>
      </c>
      <c r="K375" s="28" t="s">
        <v>1405</v>
      </c>
      <c r="L375" s="28" t="s">
        <v>1406</v>
      </c>
      <c r="M375" s="28">
        <v>17457.93</v>
      </c>
      <c r="N375" s="28" t="s">
        <v>1387</v>
      </c>
      <c r="O375" s="28">
        <v>0</v>
      </c>
      <c r="P375" s="29" t="s">
        <v>1407</v>
      </c>
    </row>
    <row r="376" spans="3:16" ht="36.75" thickBot="1" x14ac:dyDescent="0.3">
      <c r="C376" s="27" t="s">
        <v>1509</v>
      </c>
      <c r="D376" s="28">
        <v>369</v>
      </c>
      <c r="E376" s="28" t="s">
        <v>1402</v>
      </c>
      <c r="F376" s="28" t="s">
        <v>966</v>
      </c>
      <c r="G376" s="28" t="s">
        <v>1408</v>
      </c>
      <c r="H376" s="28" t="s">
        <v>90</v>
      </c>
      <c r="I376" s="28" t="s">
        <v>91</v>
      </c>
      <c r="J376" s="28" t="s">
        <v>1951</v>
      </c>
      <c r="K376" s="28" t="s">
        <v>1405</v>
      </c>
      <c r="L376" s="28" t="s">
        <v>1406</v>
      </c>
      <c r="M376" s="28">
        <v>23478.28</v>
      </c>
      <c r="N376" s="28" t="s">
        <v>1387</v>
      </c>
      <c r="O376" s="28">
        <v>0</v>
      </c>
      <c r="P376" s="29" t="s">
        <v>1407</v>
      </c>
    </row>
    <row r="377" spans="3:16" ht="36.75" thickBot="1" x14ac:dyDescent="0.3">
      <c r="C377" s="27" t="s">
        <v>1509</v>
      </c>
      <c r="D377" s="28">
        <v>370</v>
      </c>
      <c r="E377" s="28" t="s">
        <v>1402</v>
      </c>
      <c r="F377" s="28" t="s">
        <v>362</v>
      </c>
      <c r="G377" s="28" t="s">
        <v>1408</v>
      </c>
      <c r="H377" s="28" t="s">
        <v>90</v>
      </c>
      <c r="I377" s="28" t="s">
        <v>91</v>
      </c>
      <c r="J377" s="28" t="s">
        <v>1951</v>
      </c>
      <c r="K377" s="28" t="s">
        <v>1405</v>
      </c>
      <c r="L377" s="28" t="s">
        <v>1406</v>
      </c>
      <c r="M377" s="28">
        <v>94870.14</v>
      </c>
      <c r="N377" s="28" t="s">
        <v>1387</v>
      </c>
      <c r="O377" s="28">
        <v>0</v>
      </c>
      <c r="P377" s="29" t="s">
        <v>1407</v>
      </c>
    </row>
    <row r="378" spans="3:16" ht="36.75" thickBot="1" x14ac:dyDescent="0.3">
      <c r="C378" s="27" t="s">
        <v>1509</v>
      </c>
      <c r="D378" s="28">
        <v>371</v>
      </c>
      <c r="E378" s="28" t="s">
        <v>1402</v>
      </c>
      <c r="F378" s="28" t="s">
        <v>968</v>
      </c>
      <c r="G378" s="28" t="s">
        <v>1408</v>
      </c>
      <c r="H378" s="28" t="s">
        <v>90</v>
      </c>
      <c r="I378" s="28" t="s">
        <v>91</v>
      </c>
      <c r="J378" s="28" t="s">
        <v>1951</v>
      </c>
      <c r="K378" s="28" t="s">
        <v>1405</v>
      </c>
      <c r="L378" s="28" t="s">
        <v>1406</v>
      </c>
      <c r="M378" s="28">
        <v>6197.26</v>
      </c>
      <c r="N378" s="28" t="s">
        <v>1387</v>
      </c>
      <c r="O378" s="28">
        <v>0</v>
      </c>
      <c r="P378" s="29" t="s">
        <v>1407</v>
      </c>
    </row>
    <row r="379" spans="3:16" ht="36.75" thickBot="1" x14ac:dyDescent="0.3">
      <c r="C379" s="27" t="s">
        <v>1509</v>
      </c>
      <c r="D379" s="28">
        <v>372</v>
      </c>
      <c r="E379" s="28" t="s">
        <v>1402</v>
      </c>
      <c r="F379" s="28" t="s">
        <v>963</v>
      </c>
      <c r="G379" s="28" t="s">
        <v>1408</v>
      </c>
      <c r="H379" s="28" t="s">
        <v>90</v>
      </c>
      <c r="I379" s="28" t="s">
        <v>91</v>
      </c>
      <c r="J379" s="28" t="s">
        <v>1951</v>
      </c>
      <c r="K379" s="28" t="s">
        <v>1405</v>
      </c>
      <c r="L379" s="28" t="s">
        <v>1406</v>
      </c>
      <c r="M379" s="28">
        <v>2019.29</v>
      </c>
      <c r="N379" s="28" t="s">
        <v>1387</v>
      </c>
      <c r="O379" s="28">
        <v>0</v>
      </c>
      <c r="P379" s="29" t="s">
        <v>1407</v>
      </c>
    </row>
    <row r="380" spans="3:16" ht="36.75" thickBot="1" x14ac:dyDescent="0.3">
      <c r="C380" s="27" t="s">
        <v>1509</v>
      </c>
      <c r="D380" s="28">
        <v>373</v>
      </c>
      <c r="E380" s="28" t="s">
        <v>1402</v>
      </c>
      <c r="F380" s="28" t="s">
        <v>1963</v>
      </c>
      <c r="G380" s="28" t="s">
        <v>1408</v>
      </c>
      <c r="H380" s="28" t="s">
        <v>90</v>
      </c>
      <c r="I380" s="28" t="s">
        <v>91</v>
      </c>
      <c r="J380" s="28" t="s">
        <v>1951</v>
      </c>
      <c r="K380" s="28" t="s">
        <v>1405</v>
      </c>
      <c r="L380" s="28" t="s">
        <v>1406</v>
      </c>
      <c r="M380" s="28">
        <v>759.83</v>
      </c>
      <c r="N380" s="28" t="s">
        <v>1387</v>
      </c>
      <c r="O380" s="28">
        <v>0</v>
      </c>
      <c r="P380" s="29" t="s">
        <v>1407</v>
      </c>
    </row>
    <row r="381" spans="3:16" ht="36.75" thickBot="1" x14ac:dyDescent="0.3">
      <c r="C381" s="27" t="s">
        <v>1509</v>
      </c>
      <c r="D381" s="28">
        <v>374</v>
      </c>
      <c r="E381" s="28" t="s">
        <v>1402</v>
      </c>
      <c r="F381" s="28" t="s">
        <v>970</v>
      </c>
      <c r="G381" s="28" t="s">
        <v>1408</v>
      </c>
      <c r="H381" s="28" t="s">
        <v>90</v>
      </c>
      <c r="I381" s="28" t="s">
        <v>91</v>
      </c>
      <c r="J381" s="28" t="s">
        <v>1951</v>
      </c>
      <c r="K381" s="28" t="s">
        <v>1405</v>
      </c>
      <c r="L381" s="28" t="s">
        <v>1406</v>
      </c>
      <c r="M381" s="28">
        <v>997.6</v>
      </c>
      <c r="N381" s="28" t="s">
        <v>1387</v>
      </c>
      <c r="O381" s="28">
        <v>0</v>
      </c>
      <c r="P381" s="29" t="s">
        <v>1407</v>
      </c>
    </row>
    <row r="382" spans="3:16" ht="36.75" thickBot="1" x14ac:dyDescent="0.3">
      <c r="C382" s="27" t="s">
        <v>1509</v>
      </c>
      <c r="D382" s="28">
        <v>375</v>
      </c>
      <c r="E382" s="28" t="s">
        <v>1402</v>
      </c>
      <c r="F382" s="28" t="s">
        <v>951</v>
      </c>
      <c r="G382" s="28" t="s">
        <v>1408</v>
      </c>
      <c r="H382" s="28" t="s">
        <v>90</v>
      </c>
      <c r="I382" s="28" t="s">
        <v>91</v>
      </c>
      <c r="J382" s="28" t="s">
        <v>1951</v>
      </c>
      <c r="K382" s="28" t="s">
        <v>1405</v>
      </c>
      <c r="L382" s="28" t="s">
        <v>1406</v>
      </c>
      <c r="M382" s="28">
        <v>666.28</v>
      </c>
      <c r="N382" s="28" t="s">
        <v>1387</v>
      </c>
      <c r="O382" s="28">
        <v>0</v>
      </c>
      <c r="P382" s="29" t="s">
        <v>1407</v>
      </c>
    </row>
    <row r="383" spans="3:16" ht="36.75" thickBot="1" x14ac:dyDescent="0.3">
      <c r="C383" s="27" t="s">
        <v>1509</v>
      </c>
      <c r="D383" s="28">
        <v>376</v>
      </c>
      <c r="E383" s="28" t="s">
        <v>1402</v>
      </c>
      <c r="F383" s="28" t="s">
        <v>972</v>
      </c>
      <c r="G383" s="28" t="s">
        <v>1408</v>
      </c>
      <c r="H383" s="28" t="s">
        <v>90</v>
      </c>
      <c r="I383" s="28" t="s">
        <v>91</v>
      </c>
      <c r="J383" s="28" t="s">
        <v>1951</v>
      </c>
      <c r="K383" s="28" t="s">
        <v>1405</v>
      </c>
      <c r="L383" s="28" t="s">
        <v>1406</v>
      </c>
      <c r="M383" s="28">
        <v>1332.56</v>
      </c>
      <c r="N383" s="28" t="s">
        <v>1387</v>
      </c>
      <c r="O383" s="28">
        <v>0</v>
      </c>
      <c r="P383" s="29" t="s">
        <v>1407</v>
      </c>
    </row>
    <row r="384" spans="3:16" ht="36.75" thickBot="1" x14ac:dyDescent="0.3">
      <c r="C384" s="27" t="s">
        <v>1509</v>
      </c>
      <c r="D384" s="28">
        <v>377</v>
      </c>
      <c r="E384" s="28" t="s">
        <v>1402</v>
      </c>
      <c r="F384" s="28" t="s">
        <v>1964</v>
      </c>
      <c r="G384" s="28" t="s">
        <v>1408</v>
      </c>
      <c r="H384" s="28" t="s">
        <v>90</v>
      </c>
      <c r="I384" s="28" t="s">
        <v>91</v>
      </c>
      <c r="J384" s="28" t="s">
        <v>1951</v>
      </c>
      <c r="K384" s="28" t="s">
        <v>1405</v>
      </c>
      <c r="L384" s="28" t="s">
        <v>1406</v>
      </c>
      <c r="M384" s="28">
        <v>692.63</v>
      </c>
      <c r="N384" s="28" t="s">
        <v>1387</v>
      </c>
      <c r="O384" s="28">
        <v>0</v>
      </c>
      <c r="P384" s="29" t="s">
        <v>1407</v>
      </c>
    </row>
    <row r="385" spans="3:16" ht="36.75" thickBot="1" x14ac:dyDescent="0.3">
      <c r="C385" s="27" t="s">
        <v>1509</v>
      </c>
      <c r="D385" s="28">
        <v>378</v>
      </c>
      <c r="E385" s="28" t="s">
        <v>1402</v>
      </c>
      <c r="F385" s="28" t="s">
        <v>1965</v>
      </c>
      <c r="G385" s="28" t="s">
        <v>1408</v>
      </c>
      <c r="H385" s="28" t="s">
        <v>90</v>
      </c>
      <c r="I385" s="28" t="s">
        <v>91</v>
      </c>
      <c r="J385" s="28" t="s">
        <v>1951</v>
      </c>
      <c r="K385" s="28" t="s">
        <v>1405</v>
      </c>
      <c r="L385" s="28" t="s">
        <v>1406</v>
      </c>
      <c r="M385" s="28">
        <v>346.32</v>
      </c>
      <c r="N385" s="28" t="s">
        <v>1387</v>
      </c>
      <c r="O385" s="28">
        <v>0</v>
      </c>
      <c r="P385" s="29" t="s">
        <v>1407</v>
      </c>
    </row>
    <row r="386" spans="3:16" ht="36.75" thickBot="1" x14ac:dyDescent="0.3">
      <c r="C386" s="27" t="s">
        <v>1509</v>
      </c>
      <c r="D386" s="28">
        <v>379</v>
      </c>
      <c r="E386" s="28" t="s">
        <v>1402</v>
      </c>
      <c r="F386" s="28" t="s">
        <v>967</v>
      </c>
      <c r="G386" s="28" t="s">
        <v>1408</v>
      </c>
      <c r="H386" s="28" t="s">
        <v>90</v>
      </c>
      <c r="I386" s="28" t="s">
        <v>91</v>
      </c>
      <c r="J386" s="28" t="s">
        <v>1951</v>
      </c>
      <c r="K386" s="28" t="s">
        <v>1405</v>
      </c>
      <c r="L386" s="28" t="s">
        <v>1406</v>
      </c>
      <c r="M386" s="28">
        <v>25908.62</v>
      </c>
      <c r="N386" s="28" t="s">
        <v>1387</v>
      </c>
      <c r="O386" s="28">
        <v>0</v>
      </c>
      <c r="P386" s="29" t="s">
        <v>1407</v>
      </c>
    </row>
    <row r="387" spans="3:16" ht="36.75" thickBot="1" x14ac:dyDescent="0.3">
      <c r="C387" s="27" t="s">
        <v>1509</v>
      </c>
      <c r="D387" s="28">
        <v>380</v>
      </c>
      <c r="E387" s="28" t="s">
        <v>1402</v>
      </c>
      <c r="F387" s="28" t="s">
        <v>974</v>
      </c>
      <c r="G387" s="28" t="s">
        <v>1408</v>
      </c>
      <c r="H387" s="28" t="s">
        <v>90</v>
      </c>
      <c r="I387" s="28" t="s">
        <v>91</v>
      </c>
      <c r="J387" s="28" t="s">
        <v>1951</v>
      </c>
      <c r="K387" s="28" t="s">
        <v>1405</v>
      </c>
      <c r="L387" s="28" t="s">
        <v>1406</v>
      </c>
      <c r="M387" s="28">
        <v>5538.81</v>
      </c>
      <c r="N387" s="28" t="s">
        <v>1387</v>
      </c>
      <c r="O387" s="28">
        <v>0</v>
      </c>
      <c r="P387" s="29" t="s">
        <v>1407</v>
      </c>
    </row>
    <row r="388" spans="3:16" ht="36.75" thickBot="1" x14ac:dyDescent="0.3">
      <c r="C388" s="27" t="s">
        <v>1509</v>
      </c>
      <c r="D388" s="28">
        <v>381</v>
      </c>
      <c r="E388" s="28" t="s">
        <v>1402</v>
      </c>
      <c r="F388" s="28" t="s">
        <v>949</v>
      </c>
      <c r="G388" s="28" t="s">
        <v>1408</v>
      </c>
      <c r="H388" s="28" t="s">
        <v>90</v>
      </c>
      <c r="I388" s="28" t="s">
        <v>91</v>
      </c>
      <c r="J388" s="28" t="s">
        <v>1951</v>
      </c>
      <c r="K388" s="28" t="s">
        <v>1405</v>
      </c>
      <c r="L388" s="28" t="s">
        <v>1406</v>
      </c>
      <c r="M388" s="28">
        <v>14897.29</v>
      </c>
      <c r="N388" s="28" t="s">
        <v>1387</v>
      </c>
      <c r="O388" s="28">
        <v>0</v>
      </c>
      <c r="P388" s="29" t="s">
        <v>1407</v>
      </c>
    </row>
    <row r="389" spans="3:16" ht="36.75" thickBot="1" x14ac:dyDescent="0.3">
      <c r="C389" s="27" t="s">
        <v>1509</v>
      </c>
      <c r="D389" s="28">
        <v>382</v>
      </c>
      <c r="E389" s="28" t="s">
        <v>1402</v>
      </c>
      <c r="F389" s="28" t="s">
        <v>1966</v>
      </c>
      <c r="G389" s="28" t="s">
        <v>1408</v>
      </c>
      <c r="H389" s="28" t="s">
        <v>90</v>
      </c>
      <c r="I389" s="28" t="s">
        <v>91</v>
      </c>
      <c r="J389" s="28" t="s">
        <v>1951</v>
      </c>
      <c r="K389" s="28" t="s">
        <v>1405</v>
      </c>
      <c r="L389" s="28" t="s">
        <v>1406</v>
      </c>
      <c r="M389" s="28">
        <v>504.72</v>
      </c>
      <c r="N389" s="28" t="s">
        <v>1387</v>
      </c>
      <c r="O389" s="28">
        <v>0</v>
      </c>
      <c r="P389" s="29" t="s">
        <v>1407</v>
      </c>
    </row>
    <row r="390" spans="3:16" ht="36.75" thickBot="1" x14ac:dyDescent="0.3">
      <c r="C390" s="27" t="s">
        <v>1509</v>
      </c>
      <c r="D390" s="28">
        <v>383</v>
      </c>
      <c r="E390" s="28" t="s">
        <v>1402</v>
      </c>
      <c r="F390" s="28" t="s">
        <v>976</v>
      </c>
      <c r="G390" s="28" t="s">
        <v>1408</v>
      </c>
      <c r="H390" s="28" t="s">
        <v>90</v>
      </c>
      <c r="I390" s="28" t="s">
        <v>91</v>
      </c>
      <c r="J390" s="28" t="s">
        <v>1951</v>
      </c>
      <c r="K390" s="28" t="s">
        <v>1405</v>
      </c>
      <c r="L390" s="28" t="s">
        <v>1406</v>
      </c>
      <c r="M390" s="28">
        <v>1628.2</v>
      </c>
      <c r="N390" s="28" t="s">
        <v>1387</v>
      </c>
      <c r="O390" s="28">
        <v>0</v>
      </c>
      <c r="P390" s="29" t="s">
        <v>1407</v>
      </c>
    </row>
    <row r="391" spans="3:16" ht="36.75" thickBot="1" x14ac:dyDescent="0.3">
      <c r="C391" s="27" t="s">
        <v>1509</v>
      </c>
      <c r="D391" s="28">
        <v>384</v>
      </c>
      <c r="E391" s="28" t="s">
        <v>1402</v>
      </c>
      <c r="F391" s="28" t="s">
        <v>1967</v>
      </c>
      <c r="G391" s="28" t="s">
        <v>1408</v>
      </c>
      <c r="H391" s="28" t="s">
        <v>90</v>
      </c>
      <c r="I391" s="28" t="s">
        <v>91</v>
      </c>
      <c r="J391" s="28" t="s">
        <v>1951</v>
      </c>
      <c r="K391" s="28" t="s">
        <v>1405</v>
      </c>
      <c r="L391" s="28" t="s">
        <v>1406</v>
      </c>
      <c r="M391" s="28">
        <v>252.36</v>
      </c>
      <c r="N391" s="28" t="s">
        <v>1387</v>
      </c>
      <c r="O391" s="28">
        <v>0</v>
      </c>
      <c r="P391" s="29" t="s">
        <v>1407</v>
      </c>
    </row>
    <row r="392" spans="3:16" ht="36.75" thickBot="1" x14ac:dyDescent="0.3">
      <c r="C392" s="27" t="s">
        <v>1509</v>
      </c>
      <c r="D392" s="28">
        <v>385</v>
      </c>
      <c r="E392" s="28" t="s">
        <v>1402</v>
      </c>
      <c r="F392" s="28" t="s">
        <v>1968</v>
      </c>
      <c r="G392" s="28" t="s">
        <v>1408</v>
      </c>
      <c r="H392" s="28" t="s">
        <v>90</v>
      </c>
      <c r="I392" s="28" t="s">
        <v>91</v>
      </c>
      <c r="J392" s="28" t="s">
        <v>1951</v>
      </c>
      <c r="K392" s="28" t="s">
        <v>1405</v>
      </c>
      <c r="L392" s="28" t="s">
        <v>1406</v>
      </c>
      <c r="M392" s="28">
        <v>814.1</v>
      </c>
      <c r="N392" s="28" t="s">
        <v>1387</v>
      </c>
      <c r="O392" s="28">
        <v>0</v>
      </c>
      <c r="P392" s="29" t="s">
        <v>1407</v>
      </c>
    </row>
    <row r="393" spans="3:16" ht="36.75" thickBot="1" x14ac:dyDescent="0.3">
      <c r="C393" s="27" t="s">
        <v>1509</v>
      </c>
      <c r="D393" s="28">
        <v>386</v>
      </c>
      <c r="E393" s="28" t="s">
        <v>1402</v>
      </c>
      <c r="F393" s="28" t="s">
        <v>1969</v>
      </c>
      <c r="G393" s="28" t="s">
        <v>1408</v>
      </c>
      <c r="H393" s="28" t="s">
        <v>90</v>
      </c>
      <c r="I393" s="28" t="s">
        <v>91</v>
      </c>
      <c r="J393" s="28" t="s">
        <v>1951</v>
      </c>
      <c r="K393" s="28" t="s">
        <v>1405</v>
      </c>
      <c r="L393" s="28" t="s">
        <v>1406</v>
      </c>
      <c r="M393" s="28">
        <v>608.53</v>
      </c>
      <c r="N393" s="28" t="s">
        <v>1387</v>
      </c>
      <c r="O393" s="28">
        <v>0</v>
      </c>
      <c r="P393" s="29" t="s">
        <v>1407</v>
      </c>
    </row>
    <row r="394" spans="3:16" ht="36.75" thickBot="1" x14ac:dyDescent="0.3">
      <c r="C394" s="27" t="s">
        <v>1509</v>
      </c>
      <c r="D394" s="28">
        <v>387</v>
      </c>
      <c r="E394" s="28" t="s">
        <v>1402</v>
      </c>
      <c r="F394" s="28" t="s">
        <v>971</v>
      </c>
      <c r="G394" s="28" t="s">
        <v>1408</v>
      </c>
      <c r="H394" s="28" t="s">
        <v>90</v>
      </c>
      <c r="I394" s="28" t="s">
        <v>91</v>
      </c>
      <c r="J394" s="28" t="s">
        <v>1951</v>
      </c>
      <c r="K394" s="28" t="s">
        <v>1405</v>
      </c>
      <c r="L394" s="28" t="s">
        <v>1406</v>
      </c>
      <c r="M394" s="28">
        <v>1743.06</v>
      </c>
      <c r="N394" s="28" t="s">
        <v>1387</v>
      </c>
      <c r="O394" s="28">
        <v>0</v>
      </c>
      <c r="P394" s="29" t="s">
        <v>1407</v>
      </c>
    </row>
    <row r="395" spans="3:16" ht="36.75" thickBot="1" x14ac:dyDescent="0.3">
      <c r="C395" s="27" t="s">
        <v>1509</v>
      </c>
      <c r="D395" s="28">
        <v>388</v>
      </c>
      <c r="E395" s="28" t="s">
        <v>1402</v>
      </c>
      <c r="F395" s="28" t="s">
        <v>977</v>
      </c>
      <c r="G395" s="28" t="s">
        <v>1408</v>
      </c>
      <c r="H395" s="28" t="s">
        <v>90</v>
      </c>
      <c r="I395" s="28" t="s">
        <v>91</v>
      </c>
      <c r="J395" s="28" t="s">
        <v>1951</v>
      </c>
      <c r="K395" s="28" t="s">
        <v>1405</v>
      </c>
      <c r="L395" s="28" t="s">
        <v>1406</v>
      </c>
      <c r="M395" s="28">
        <v>1234.52</v>
      </c>
      <c r="N395" s="28" t="s">
        <v>1387</v>
      </c>
      <c r="O395" s="28">
        <v>0</v>
      </c>
      <c r="P395" s="29" t="s">
        <v>1407</v>
      </c>
    </row>
    <row r="396" spans="3:16" ht="36.75" thickBot="1" x14ac:dyDescent="0.3">
      <c r="C396" s="27" t="s">
        <v>1509</v>
      </c>
      <c r="D396" s="28">
        <v>389</v>
      </c>
      <c r="E396" s="28" t="s">
        <v>1402</v>
      </c>
      <c r="F396" s="28" t="s">
        <v>1358</v>
      </c>
      <c r="G396" s="28" t="s">
        <v>1408</v>
      </c>
      <c r="H396" s="28" t="s">
        <v>90</v>
      </c>
      <c r="I396" s="28" t="s">
        <v>91</v>
      </c>
      <c r="J396" s="28" t="s">
        <v>1951</v>
      </c>
      <c r="K396" s="28" t="s">
        <v>1405</v>
      </c>
      <c r="L396" s="28" t="s">
        <v>1406</v>
      </c>
      <c r="M396" s="28">
        <v>2439.4899999999998</v>
      </c>
      <c r="N396" s="28" t="s">
        <v>1387</v>
      </c>
      <c r="O396" s="28">
        <v>0</v>
      </c>
      <c r="P396" s="29" t="s">
        <v>1407</v>
      </c>
    </row>
    <row r="397" spans="3:16" ht="36.75" thickBot="1" x14ac:dyDescent="0.3">
      <c r="C397" s="27" t="s">
        <v>1509</v>
      </c>
      <c r="D397" s="28">
        <v>390</v>
      </c>
      <c r="E397" s="28" t="s">
        <v>1402</v>
      </c>
      <c r="F397" s="28" t="s">
        <v>979</v>
      </c>
      <c r="G397" s="28" t="s">
        <v>1408</v>
      </c>
      <c r="H397" s="28" t="s">
        <v>90</v>
      </c>
      <c r="I397" s="28" t="s">
        <v>91</v>
      </c>
      <c r="J397" s="28" t="s">
        <v>1951</v>
      </c>
      <c r="K397" s="28" t="s">
        <v>1405</v>
      </c>
      <c r="L397" s="28" t="s">
        <v>1406</v>
      </c>
      <c r="M397" s="28">
        <v>5507.74</v>
      </c>
      <c r="N397" s="28" t="s">
        <v>1387</v>
      </c>
      <c r="O397" s="28">
        <v>0</v>
      </c>
      <c r="P397" s="29" t="s">
        <v>1407</v>
      </c>
    </row>
    <row r="398" spans="3:16" ht="36.75" thickBot="1" x14ac:dyDescent="0.3">
      <c r="C398" s="27" t="s">
        <v>1509</v>
      </c>
      <c r="D398" s="28">
        <v>391</v>
      </c>
      <c r="E398" s="28" t="s">
        <v>1402</v>
      </c>
      <c r="F398" s="28" t="s">
        <v>975</v>
      </c>
      <c r="G398" s="28" t="s">
        <v>1408</v>
      </c>
      <c r="H398" s="28" t="s">
        <v>90</v>
      </c>
      <c r="I398" s="28" t="s">
        <v>91</v>
      </c>
      <c r="J398" s="28" t="s">
        <v>1951</v>
      </c>
      <c r="K398" s="28" t="s">
        <v>1405</v>
      </c>
      <c r="L398" s="28" t="s">
        <v>1406</v>
      </c>
      <c r="M398" s="28">
        <v>9103.76</v>
      </c>
      <c r="N398" s="28" t="s">
        <v>1387</v>
      </c>
      <c r="O398" s="28">
        <v>0</v>
      </c>
      <c r="P398" s="29" t="s">
        <v>1407</v>
      </c>
    </row>
    <row r="399" spans="3:16" ht="36.75" thickBot="1" x14ac:dyDescent="0.3">
      <c r="C399" s="27" t="s">
        <v>1509</v>
      </c>
      <c r="D399" s="28">
        <v>392</v>
      </c>
      <c r="E399" s="28" t="s">
        <v>1402</v>
      </c>
      <c r="F399" s="28" t="s">
        <v>1970</v>
      </c>
      <c r="G399" s="28" t="s">
        <v>1408</v>
      </c>
      <c r="H399" s="28" t="s">
        <v>90</v>
      </c>
      <c r="I399" s="28" t="s">
        <v>91</v>
      </c>
      <c r="J399" s="28" t="s">
        <v>1951</v>
      </c>
      <c r="K399" s="28" t="s">
        <v>1405</v>
      </c>
      <c r="L399" s="28" t="s">
        <v>1406</v>
      </c>
      <c r="M399" s="28">
        <v>498.71</v>
      </c>
      <c r="N399" s="28" t="s">
        <v>1387</v>
      </c>
      <c r="O399" s="28">
        <v>0</v>
      </c>
      <c r="P399" s="29" t="s">
        <v>1407</v>
      </c>
    </row>
    <row r="400" spans="3:16" ht="36.75" thickBot="1" x14ac:dyDescent="0.3">
      <c r="C400" s="27" t="s">
        <v>1509</v>
      </c>
      <c r="D400" s="28">
        <v>393</v>
      </c>
      <c r="E400" s="28" t="s">
        <v>1402</v>
      </c>
      <c r="F400" s="28" t="s">
        <v>1971</v>
      </c>
      <c r="G400" s="28" t="s">
        <v>1408</v>
      </c>
      <c r="H400" s="28" t="s">
        <v>90</v>
      </c>
      <c r="I400" s="28" t="s">
        <v>91</v>
      </c>
      <c r="J400" s="28" t="s">
        <v>1951</v>
      </c>
      <c r="K400" s="28" t="s">
        <v>1405</v>
      </c>
      <c r="L400" s="28" t="s">
        <v>1406</v>
      </c>
      <c r="M400" s="28">
        <v>383.21</v>
      </c>
      <c r="N400" s="28" t="s">
        <v>1387</v>
      </c>
      <c r="O400" s="28">
        <v>0</v>
      </c>
      <c r="P400" s="29" t="s">
        <v>1407</v>
      </c>
    </row>
    <row r="401" spans="3:16" ht="36.75" thickBot="1" x14ac:dyDescent="0.3">
      <c r="C401" s="27" t="s">
        <v>1509</v>
      </c>
      <c r="D401" s="28">
        <v>394</v>
      </c>
      <c r="E401" s="28" t="s">
        <v>1402</v>
      </c>
      <c r="F401" s="28" t="s">
        <v>1972</v>
      </c>
      <c r="G401" s="28" t="s">
        <v>1408</v>
      </c>
      <c r="H401" s="28" t="s">
        <v>90</v>
      </c>
      <c r="I401" s="28" t="s">
        <v>91</v>
      </c>
      <c r="J401" s="28" t="s">
        <v>1951</v>
      </c>
      <c r="K401" s="28" t="s">
        <v>1405</v>
      </c>
      <c r="L401" s="28" t="s">
        <v>1406</v>
      </c>
      <c r="M401" s="28">
        <v>504.56</v>
      </c>
      <c r="N401" s="28" t="s">
        <v>1387</v>
      </c>
      <c r="O401" s="28">
        <v>0</v>
      </c>
      <c r="P401" s="29" t="s">
        <v>1407</v>
      </c>
    </row>
    <row r="402" spans="3:16" ht="36.75" thickBot="1" x14ac:dyDescent="0.3">
      <c r="C402" s="27" t="s">
        <v>1509</v>
      </c>
      <c r="D402" s="28">
        <v>395</v>
      </c>
      <c r="E402" s="28" t="s">
        <v>1402</v>
      </c>
      <c r="F402" s="28" t="s">
        <v>1973</v>
      </c>
      <c r="G402" s="28" t="s">
        <v>1408</v>
      </c>
      <c r="H402" s="28" t="s">
        <v>90</v>
      </c>
      <c r="I402" s="28" t="s">
        <v>91</v>
      </c>
      <c r="J402" s="28" t="s">
        <v>1951</v>
      </c>
      <c r="K402" s="28" t="s">
        <v>1405</v>
      </c>
      <c r="L402" s="28" t="s">
        <v>1406</v>
      </c>
      <c r="M402" s="28">
        <v>388.75</v>
      </c>
      <c r="N402" s="28" t="s">
        <v>1387</v>
      </c>
      <c r="O402" s="28">
        <v>0</v>
      </c>
      <c r="P402" s="29" t="s">
        <v>1407</v>
      </c>
    </row>
    <row r="403" spans="3:16" ht="36.75" thickBot="1" x14ac:dyDescent="0.3">
      <c r="C403" s="27" t="s">
        <v>1509</v>
      </c>
      <c r="D403" s="28">
        <v>396</v>
      </c>
      <c r="E403" s="28" t="s">
        <v>1402</v>
      </c>
      <c r="F403" s="28" t="s">
        <v>1974</v>
      </c>
      <c r="G403" s="28" t="s">
        <v>1408</v>
      </c>
      <c r="H403" s="28" t="s">
        <v>90</v>
      </c>
      <c r="I403" s="28" t="s">
        <v>91</v>
      </c>
      <c r="J403" s="28" t="s">
        <v>1951</v>
      </c>
      <c r="K403" s="28" t="s">
        <v>1405</v>
      </c>
      <c r="L403" s="28" t="s">
        <v>1406</v>
      </c>
      <c r="M403" s="28">
        <v>529.11</v>
      </c>
      <c r="N403" s="28" t="s">
        <v>1387</v>
      </c>
      <c r="O403" s="28">
        <v>0</v>
      </c>
      <c r="P403" s="29" t="s">
        <v>1407</v>
      </c>
    </row>
    <row r="404" spans="3:16" ht="36.75" thickBot="1" x14ac:dyDescent="0.3">
      <c r="C404" s="27" t="s">
        <v>1509</v>
      </c>
      <c r="D404" s="28">
        <v>397</v>
      </c>
      <c r="E404" s="28" t="s">
        <v>1402</v>
      </c>
      <c r="F404" s="28" t="s">
        <v>1975</v>
      </c>
      <c r="G404" s="28" t="s">
        <v>1408</v>
      </c>
      <c r="H404" s="28" t="s">
        <v>90</v>
      </c>
      <c r="I404" s="28" t="s">
        <v>91</v>
      </c>
      <c r="J404" s="28" t="s">
        <v>1951</v>
      </c>
      <c r="K404" s="28" t="s">
        <v>1405</v>
      </c>
      <c r="L404" s="28" t="s">
        <v>1406</v>
      </c>
      <c r="M404" s="28">
        <v>732.57</v>
      </c>
      <c r="N404" s="28" t="s">
        <v>1387</v>
      </c>
      <c r="O404" s="28">
        <v>0</v>
      </c>
      <c r="P404" s="29" t="s">
        <v>1407</v>
      </c>
    </row>
    <row r="405" spans="3:16" ht="36.75" thickBot="1" x14ac:dyDescent="0.3">
      <c r="C405" s="27" t="s">
        <v>1509</v>
      </c>
      <c r="D405" s="28">
        <v>398</v>
      </c>
      <c r="E405" s="28" t="s">
        <v>1402</v>
      </c>
      <c r="F405" s="28" t="s">
        <v>236</v>
      </c>
      <c r="G405" s="28" t="s">
        <v>1408</v>
      </c>
      <c r="H405" s="28" t="s">
        <v>90</v>
      </c>
      <c r="I405" s="28" t="s">
        <v>91</v>
      </c>
      <c r="J405" s="28" t="s">
        <v>1951</v>
      </c>
      <c r="K405" s="28" t="s">
        <v>1405</v>
      </c>
      <c r="L405" s="28" t="s">
        <v>1406</v>
      </c>
      <c r="M405" s="28">
        <v>15021.21</v>
      </c>
      <c r="N405" s="28" t="s">
        <v>1387</v>
      </c>
      <c r="O405" s="28">
        <v>0</v>
      </c>
      <c r="P405" s="29" t="s">
        <v>1407</v>
      </c>
    </row>
    <row r="406" spans="3:16" ht="36.75" thickBot="1" x14ac:dyDescent="0.3">
      <c r="C406" s="27" t="s">
        <v>1509</v>
      </c>
      <c r="D406" s="28">
        <v>399</v>
      </c>
      <c r="E406" s="28" t="s">
        <v>1402</v>
      </c>
      <c r="F406" s="28" t="s">
        <v>596</v>
      </c>
      <c r="G406" s="28" t="s">
        <v>1408</v>
      </c>
      <c r="H406" s="28" t="s">
        <v>90</v>
      </c>
      <c r="I406" s="28" t="s">
        <v>91</v>
      </c>
      <c r="J406" s="28" t="s">
        <v>1951</v>
      </c>
      <c r="K406" s="28" t="s">
        <v>1405</v>
      </c>
      <c r="L406" s="28" t="s">
        <v>1406</v>
      </c>
      <c r="M406" s="28">
        <v>6772.71</v>
      </c>
      <c r="N406" s="28" t="s">
        <v>1387</v>
      </c>
      <c r="O406" s="28">
        <v>0</v>
      </c>
      <c r="P406" s="29" t="s">
        <v>1407</v>
      </c>
    </row>
    <row r="407" spans="3:16" ht="36.75" thickBot="1" x14ac:dyDescent="0.3">
      <c r="C407" s="27" t="s">
        <v>1509</v>
      </c>
      <c r="D407" s="28">
        <v>400</v>
      </c>
      <c r="E407" s="28" t="s">
        <v>1402</v>
      </c>
      <c r="F407" s="28" t="s">
        <v>603</v>
      </c>
      <c r="G407" s="28" t="s">
        <v>1408</v>
      </c>
      <c r="H407" s="28" t="s">
        <v>90</v>
      </c>
      <c r="I407" s="28" t="s">
        <v>91</v>
      </c>
      <c r="J407" s="28" t="s">
        <v>1951</v>
      </c>
      <c r="K407" s="28" t="s">
        <v>1405</v>
      </c>
      <c r="L407" s="28" t="s">
        <v>1406</v>
      </c>
      <c r="M407" s="28">
        <v>3081.83</v>
      </c>
      <c r="N407" s="28" t="s">
        <v>1387</v>
      </c>
      <c r="O407" s="28">
        <v>0</v>
      </c>
      <c r="P407" s="29" t="s">
        <v>1407</v>
      </c>
    </row>
    <row r="408" spans="3:16" ht="36.75" thickBot="1" x14ac:dyDescent="0.3">
      <c r="C408" s="27" t="s">
        <v>1509</v>
      </c>
      <c r="D408" s="28">
        <v>401</v>
      </c>
      <c r="E408" s="28" t="s">
        <v>1402</v>
      </c>
      <c r="F408" s="28" t="s">
        <v>991</v>
      </c>
      <c r="G408" s="28" t="s">
        <v>1408</v>
      </c>
      <c r="H408" s="28" t="s">
        <v>90</v>
      </c>
      <c r="I408" s="28" t="s">
        <v>91</v>
      </c>
      <c r="J408" s="28" t="s">
        <v>1951</v>
      </c>
      <c r="K408" s="28" t="s">
        <v>1405</v>
      </c>
      <c r="L408" s="28" t="s">
        <v>1406</v>
      </c>
      <c r="M408" s="28">
        <v>1006.47</v>
      </c>
      <c r="N408" s="28" t="s">
        <v>1387</v>
      </c>
      <c r="O408" s="28">
        <v>0</v>
      </c>
      <c r="P408" s="29" t="s">
        <v>1407</v>
      </c>
    </row>
    <row r="409" spans="3:16" ht="36.75" thickBot="1" x14ac:dyDescent="0.3">
      <c r="C409" s="27" t="s">
        <v>1509</v>
      </c>
      <c r="D409" s="28">
        <v>402</v>
      </c>
      <c r="E409" s="28" t="s">
        <v>1402</v>
      </c>
      <c r="F409" s="28" t="s">
        <v>1976</v>
      </c>
      <c r="G409" s="28" t="s">
        <v>1408</v>
      </c>
      <c r="H409" s="28" t="s">
        <v>90</v>
      </c>
      <c r="I409" s="28" t="s">
        <v>91</v>
      </c>
      <c r="J409" s="28" t="s">
        <v>1951</v>
      </c>
      <c r="K409" s="28" t="s">
        <v>1405</v>
      </c>
      <c r="L409" s="28" t="s">
        <v>1406</v>
      </c>
      <c r="M409" s="28">
        <v>244.53</v>
      </c>
      <c r="N409" s="28" t="s">
        <v>1387</v>
      </c>
      <c r="O409" s="28">
        <v>0</v>
      </c>
      <c r="P409" s="29" t="s">
        <v>1407</v>
      </c>
    </row>
    <row r="410" spans="3:16" ht="36.75" thickBot="1" x14ac:dyDescent="0.3">
      <c r="C410" s="27" t="s">
        <v>1509</v>
      </c>
      <c r="D410" s="28">
        <v>403</v>
      </c>
      <c r="E410" s="28" t="s">
        <v>1402</v>
      </c>
      <c r="F410" s="28" t="s">
        <v>1977</v>
      </c>
      <c r="G410" s="28" t="s">
        <v>1408</v>
      </c>
      <c r="H410" s="28" t="s">
        <v>90</v>
      </c>
      <c r="I410" s="28" t="s">
        <v>91</v>
      </c>
      <c r="J410" s="28" t="s">
        <v>1951</v>
      </c>
      <c r="K410" s="28" t="s">
        <v>1405</v>
      </c>
      <c r="L410" s="28" t="s">
        <v>1406</v>
      </c>
      <c r="M410" s="28">
        <v>227.31</v>
      </c>
      <c r="N410" s="28" t="s">
        <v>1387</v>
      </c>
      <c r="O410" s="28">
        <v>0</v>
      </c>
      <c r="P410" s="29" t="s">
        <v>1407</v>
      </c>
    </row>
    <row r="411" spans="3:16" ht="36.75" thickBot="1" x14ac:dyDescent="0.3">
      <c r="C411" s="27" t="s">
        <v>1509</v>
      </c>
      <c r="D411" s="28">
        <v>404</v>
      </c>
      <c r="E411" s="28" t="s">
        <v>1402</v>
      </c>
      <c r="F411" s="28" t="s">
        <v>1978</v>
      </c>
      <c r="G411" s="28" t="s">
        <v>1408</v>
      </c>
      <c r="H411" s="28" t="s">
        <v>90</v>
      </c>
      <c r="I411" s="28" t="s">
        <v>91</v>
      </c>
      <c r="J411" s="28" t="s">
        <v>1951</v>
      </c>
      <c r="K411" s="28" t="s">
        <v>1405</v>
      </c>
      <c r="L411" s="28" t="s">
        <v>1406</v>
      </c>
      <c r="M411" s="28">
        <v>571.29999999999995</v>
      </c>
      <c r="N411" s="28" t="s">
        <v>1387</v>
      </c>
      <c r="O411" s="28">
        <v>0</v>
      </c>
      <c r="P411" s="29" t="s">
        <v>1407</v>
      </c>
    </row>
    <row r="412" spans="3:16" ht="36.75" thickBot="1" x14ac:dyDescent="0.3">
      <c r="C412" s="27" t="s">
        <v>1509</v>
      </c>
      <c r="D412" s="28">
        <v>405</v>
      </c>
      <c r="E412" s="28" t="s">
        <v>1402</v>
      </c>
      <c r="F412" s="28" t="s">
        <v>1979</v>
      </c>
      <c r="G412" s="28" t="s">
        <v>1408</v>
      </c>
      <c r="H412" s="28" t="s">
        <v>90</v>
      </c>
      <c r="I412" s="28" t="s">
        <v>91</v>
      </c>
      <c r="J412" s="28" t="s">
        <v>1951</v>
      </c>
      <c r="K412" s="28" t="s">
        <v>1405</v>
      </c>
      <c r="L412" s="28" t="s">
        <v>1406</v>
      </c>
      <c r="M412" s="28">
        <v>674.34</v>
      </c>
      <c r="N412" s="28" t="s">
        <v>1387</v>
      </c>
      <c r="O412" s="28">
        <v>0</v>
      </c>
      <c r="P412" s="29" t="s">
        <v>1407</v>
      </c>
    </row>
    <row r="413" spans="3:16" ht="36.75" thickBot="1" x14ac:dyDescent="0.3">
      <c r="C413" s="27" t="s">
        <v>1509</v>
      </c>
      <c r="D413" s="28">
        <v>406</v>
      </c>
      <c r="E413" s="28" t="s">
        <v>1402</v>
      </c>
      <c r="F413" s="28" t="s">
        <v>373</v>
      </c>
      <c r="G413" s="28" t="s">
        <v>1408</v>
      </c>
      <c r="H413" s="28" t="s">
        <v>90</v>
      </c>
      <c r="I413" s="28" t="s">
        <v>91</v>
      </c>
      <c r="J413" s="28" t="s">
        <v>1951</v>
      </c>
      <c r="K413" s="28" t="s">
        <v>1405</v>
      </c>
      <c r="L413" s="28" t="s">
        <v>1406</v>
      </c>
      <c r="M413" s="28">
        <v>661.69</v>
      </c>
      <c r="N413" s="28" t="s">
        <v>1387</v>
      </c>
      <c r="O413" s="28">
        <v>0</v>
      </c>
      <c r="P413" s="29" t="s">
        <v>1407</v>
      </c>
    </row>
    <row r="414" spans="3:16" ht="36.75" thickBot="1" x14ac:dyDescent="0.3">
      <c r="C414" s="27" t="s">
        <v>1509</v>
      </c>
      <c r="D414" s="28">
        <v>407</v>
      </c>
      <c r="E414" s="28" t="s">
        <v>1402</v>
      </c>
      <c r="F414" s="28" t="s">
        <v>1980</v>
      </c>
      <c r="G414" s="28" t="s">
        <v>1408</v>
      </c>
      <c r="H414" s="28" t="s">
        <v>90</v>
      </c>
      <c r="I414" s="28" t="s">
        <v>91</v>
      </c>
      <c r="J414" s="28" t="s">
        <v>1951</v>
      </c>
      <c r="K414" s="28" t="s">
        <v>1405</v>
      </c>
      <c r="L414" s="28" t="s">
        <v>1406</v>
      </c>
      <c r="M414" s="28">
        <v>748.2</v>
      </c>
      <c r="N414" s="28" t="s">
        <v>1387</v>
      </c>
      <c r="O414" s="28">
        <v>0</v>
      </c>
      <c r="P414" s="29" t="s">
        <v>1407</v>
      </c>
    </row>
    <row r="415" spans="3:16" ht="36.75" thickBot="1" x14ac:dyDescent="0.3">
      <c r="C415" s="27" t="s">
        <v>1509</v>
      </c>
      <c r="D415" s="28">
        <v>408</v>
      </c>
      <c r="E415" s="28" t="s">
        <v>1402</v>
      </c>
      <c r="F415" s="28" t="s">
        <v>575</v>
      </c>
      <c r="G415" s="28" t="s">
        <v>1408</v>
      </c>
      <c r="H415" s="28" t="s">
        <v>90</v>
      </c>
      <c r="I415" s="28" t="s">
        <v>91</v>
      </c>
      <c r="J415" s="28" t="s">
        <v>1951</v>
      </c>
      <c r="K415" s="28" t="s">
        <v>1405</v>
      </c>
      <c r="L415" s="28" t="s">
        <v>1406</v>
      </c>
      <c r="M415" s="28">
        <v>2439.58</v>
      </c>
      <c r="N415" s="28" t="s">
        <v>1387</v>
      </c>
      <c r="O415" s="28">
        <v>0</v>
      </c>
      <c r="P415" s="29" t="s">
        <v>1407</v>
      </c>
    </row>
    <row r="416" spans="3:16" ht="36.75" thickBot="1" x14ac:dyDescent="0.3">
      <c r="C416" s="27" t="s">
        <v>1509</v>
      </c>
      <c r="D416" s="28">
        <v>409</v>
      </c>
      <c r="E416" s="28" t="s">
        <v>1402</v>
      </c>
      <c r="F416" s="28" t="s">
        <v>605</v>
      </c>
      <c r="G416" s="28" t="s">
        <v>1408</v>
      </c>
      <c r="H416" s="28" t="s">
        <v>90</v>
      </c>
      <c r="I416" s="28" t="s">
        <v>91</v>
      </c>
      <c r="J416" s="28" t="s">
        <v>1951</v>
      </c>
      <c r="K416" s="28" t="s">
        <v>1405</v>
      </c>
      <c r="L416" s="28" t="s">
        <v>1406</v>
      </c>
      <c r="M416" s="28">
        <v>2856.56</v>
      </c>
      <c r="N416" s="28" t="s">
        <v>1387</v>
      </c>
      <c r="O416" s="28">
        <v>0</v>
      </c>
      <c r="P416" s="29" t="s">
        <v>1407</v>
      </c>
    </row>
    <row r="417" spans="3:16" ht="36.75" thickBot="1" x14ac:dyDescent="0.3">
      <c r="C417" s="27" t="s">
        <v>1509</v>
      </c>
      <c r="D417" s="28">
        <v>410</v>
      </c>
      <c r="E417" s="28" t="s">
        <v>1402</v>
      </c>
      <c r="F417" s="28" t="s">
        <v>994</v>
      </c>
      <c r="G417" s="28" t="s">
        <v>1408</v>
      </c>
      <c r="H417" s="28" t="s">
        <v>90</v>
      </c>
      <c r="I417" s="28" t="s">
        <v>91</v>
      </c>
      <c r="J417" s="28" t="s">
        <v>1951</v>
      </c>
      <c r="K417" s="28" t="s">
        <v>1405</v>
      </c>
      <c r="L417" s="28" t="s">
        <v>1406</v>
      </c>
      <c r="M417" s="28">
        <v>3913.85</v>
      </c>
      <c r="N417" s="28" t="s">
        <v>1387</v>
      </c>
      <c r="O417" s="28">
        <v>0</v>
      </c>
      <c r="P417" s="29" t="s">
        <v>1407</v>
      </c>
    </row>
    <row r="418" spans="3:16" ht="36.75" thickBot="1" x14ac:dyDescent="0.3">
      <c r="C418" s="27" t="s">
        <v>1509</v>
      </c>
      <c r="D418" s="28">
        <v>411</v>
      </c>
      <c r="E418" s="28" t="s">
        <v>1402</v>
      </c>
      <c r="F418" s="28" t="s">
        <v>167</v>
      </c>
      <c r="G418" s="28" t="s">
        <v>1408</v>
      </c>
      <c r="H418" s="28" t="s">
        <v>90</v>
      </c>
      <c r="I418" s="28" t="s">
        <v>91</v>
      </c>
      <c r="J418" s="28" t="s">
        <v>1951</v>
      </c>
      <c r="K418" s="28" t="s">
        <v>1405</v>
      </c>
      <c r="L418" s="28" t="s">
        <v>1406</v>
      </c>
      <c r="M418" s="28">
        <v>5832.16</v>
      </c>
      <c r="N418" s="28" t="s">
        <v>1387</v>
      </c>
      <c r="O418" s="28">
        <v>0</v>
      </c>
      <c r="P418" s="29" t="s">
        <v>1407</v>
      </c>
    </row>
    <row r="419" spans="3:16" ht="36.75" thickBot="1" x14ac:dyDescent="0.3">
      <c r="C419" s="27" t="s">
        <v>1509</v>
      </c>
      <c r="D419" s="28">
        <v>412</v>
      </c>
      <c r="E419" s="28" t="s">
        <v>1402</v>
      </c>
      <c r="F419" s="28" t="s">
        <v>235</v>
      </c>
      <c r="G419" s="28" t="s">
        <v>1408</v>
      </c>
      <c r="H419" s="28" t="s">
        <v>90</v>
      </c>
      <c r="I419" s="28" t="s">
        <v>91</v>
      </c>
      <c r="J419" s="28" t="s">
        <v>1951</v>
      </c>
      <c r="K419" s="28" t="s">
        <v>1405</v>
      </c>
      <c r="L419" s="28" t="s">
        <v>1406</v>
      </c>
      <c r="M419" s="28">
        <v>9746.01</v>
      </c>
      <c r="N419" s="28" t="s">
        <v>1387</v>
      </c>
      <c r="O419" s="28">
        <v>0</v>
      </c>
      <c r="P419" s="29" t="s">
        <v>1407</v>
      </c>
    </row>
    <row r="420" spans="3:16" ht="36.75" thickBot="1" x14ac:dyDescent="0.3">
      <c r="C420" s="27" t="s">
        <v>1509</v>
      </c>
      <c r="D420" s="28">
        <v>413</v>
      </c>
      <c r="E420" s="28" t="s">
        <v>1402</v>
      </c>
      <c r="F420" s="28" t="s">
        <v>606</v>
      </c>
      <c r="G420" s="28" t="s">
        <v>1408</v>
      </c>
      <c r="H420" s="28" t="s">
        <v>90</v>
      </c>
      <c r="I420" s="28" t="s">
        <v>91</v>
      </c>
      <c r="J420" s="28" t="s">
        <v>1951</v>
      </c>
      <c r="K420" s="28" t="s">
        <v>1405</v>
      </c>
      <c r="L420" s="28" t="s">
        <v>1406</v>
      </c>
      <c r="M420" s="28">
        <v>4260.37</v>
      </c>
      <c r="N420" s="28" t="s">
        <v>1387</v>
      </c>
      <c r="O420" s="28">
        <v>0</v>
      </c>
      <c r="P420" s="29" t="s">
        <v>1407</v>
      </c>
    </row>
    <row r="421" spans="3:16" ht="36.75" thickBot="1" x14ac:dyDescent="0.3">
      <c r="C421" s="27" t="s">
        <v>1509</v>
      </c>
      <c r="D421" s="28">
        <v>414</v>
      </c>
      <c r="E421" s="28" t="s">
        <v>1402</v>
      </c>
      <c r="F421" s="28" t="s">
        <v>997</v>
      </c>
      <c r="G421" s="28" t="s">
        <v>1408</v>
      </c>
      <c r="H421" s="28" t="s">
        <v>90</v>
      </c>
      <c r="I421" s="28" t="s">
        <v>91</v>
      </c>
      <c r="J421" s="28" t="s">
        <v>1951</v>
      </c>
      <c r="K421" s="28" t="s">
        <v>1405</v>
      </c>
      <c r="L421" s="28" t="s">
        <v>1406</v>
      </c>
      <c r="M421" s="28">
        <v>3870.39</v>
      </c>
      <c r="N421" s="28" t="s">
        <v>1387</v>
      </c>
      <c r="O421" s="28">
        <v>0</v>
      </c>
      <c r="P421" s="29" t="s">
        <v>1407</v>
      </c>
    </row>
    <row r="422" spans="3:16" ht="36.75" thickBot="1" x14ac:dyDescent="0.3">
      <c r="C422" s="27" t="s">
        <v>1509</v>
      </c>
      <c r="D422" s="28">
        <v>415</v>
      </c>
      <c r="E422" s="28" t="s">
        <v>1402</v>
      </c>
      <c r="F422" s="28" t="s">
        <v>375</v>
      </c>
      <c r="G422" s="28" t="s">
        <v>1408</v>
      </c>
      <c r="H422" s="28" t="s">
        <v>90</v>
      </c>
      <c r="I422" s="28" t="s">
        <v>91</v>
      </c>
      <c r="J422" s="28" t="s">
        <v>1951</v>
      </c>
      <c r="K422" s="28" t="s">
        <v>1405</v>
      </c>
      <c r="L422" s="28" t="s">
        <v>1406</v>
      </c>
      <c r="M422" s="28">
        <v>1971.3</v>
      </c>
      <c r="N422" s="28" t="s">
        <v>1387</v>
      </c>
      <c r="O422" s="28">
        <v>0</v>
      </c>
      <c r="P422" s="29" t="s">
        <v>1407</v>
      </c>
    </row>
    <row r="423" spans="3:16" ht="36.75" thickBot="1" x14ac:dyDescent="0.3">
      <c r="C423" s="27" t="s">
        <v>1509</v>
      </c>
      <c r="D423" s="28">
        <v>416</v>
      </c>
      <c r="E423" s="28" t="s">
        <v>1402</v>
      </c>
      <c r="F423" s="28" t="s">
        <v>1981</v>
      </c>
      <c r="G423" s="28" t="s">
        <v>1408</v>
      </c>
      <c r="H423" s="28" t="s">
        <v>90</v>
      </c>
      <c r="I423" s="28" t="s">
        <v>91</v>
      </c>
      <c r="J423" s="28" t="s">
        <v>1951</v>
      </c>
      <c r="K423" s="28" t="s">
        <v>1405</v>
      </c>
      <c r="L423" s="28" t="s">
        <v>1406</v>
      </c>
      <c r="M423" s="28">
        <v>494.5</v>
      </c>
      <c r="N423" s="28" t="s">
        <v>1387</v>
      </c>
      <c r="O423" s="28">
        <v>0</v>
      </c>
      <c r="P423" s="29" t="s">
        <v>1407</v>
      </c>
    </row>
    <row r="424" spans="3:16" ht="36.75" thickBot="1" x14ac:dyDescent="0.3">
      <c r="C424" s="27" t="s">
        <v>1509</v>
      </c>
      <c r="D424" s="28">
        <v>417</v>
      </c>
      <c r="E424" s="28" t="s">
        <v>1402</v>
      </c>
      <c r="F424" s="28" t="s">
        <v>965</v>
      </c>
      <c r="G424" s="28" t="s">
        <v>1408</v>
      </c>
      <c r="H424" s="28" t="s">
        <v>90</v>
      </c>
      <c r="I424" s="28" t="s">
        <v>91</v>
      </c>
      <c r="J424" s="28" t="s">
        <v>1951</v>
      </c>
      <c r="K424" s="28" t="s">
        <v>1405</v>
      </c>
      <c r="L424" s="28" t="s">
        <v>1406</v>
      </c>
      <c r="M424" s="28">
        <v>8135.39</v>
      </c>
      <c r="N424" s="28" t="s">
        <v>1387</v>
      </c>
      <c r="O424" s="28">
        <v>0</v>
      </c>
      <c r="P424" s="29" t="s">
        <v>1407</v>
      </c>
    </row>
    <row r="425" spans="3:16" ht="36.75" thickBot="1" x14ac:dyDescent="0.3">
      <c r="C425" s="27" t="s">
        <v>1509</v>
      </c>
      <c r="D425" s="28">
        <v>418</v>
      </c>
      <c r="E425" s="28" t="s">
        <v>1402</v>
      </c>
      <c r="F425" s="28" t="s">
        <v>608</v>
      </c>
      <c r="G425" s="28" t="s">
        <v>1408</v>
      </c>
      <c r="H425" s="28" t="s">
        <v>90</v>
      </c>
      <c r="I425" s="28" t="s">
        <v>91</v>
      </c>
      <c r="J425" s="28" t="s">
        <v>1951</v>
      </c>
      <c r="K425" s="28" t="s">
        <v>1405</v>
      </c>
      <c r="L425" s="28" t="s">
        <v>1406</v>
      </c>
      <c r="M425" s="28">
        <v>1013.67</v>
      </c>
      <c r="N425" s="28" t="s">
        <v>1387</v>
      </c>
      <c r="O425" s="28">
        <v>0</v>
      </c>
      <c r="P425" s="29" t="s">
        <v>1407</v>
      </c>
    </row>
    <row r="426" spans="3:16" ht="36.75" thickBot="1" x14ac:dyDescent="0.3">
      <c r="C426" s="27" t="s">
        <v>1509</v>
      </c>
      <c r="D426" s="28">
        <v>419</v>
      </c>
      <c r="E426" s="28" t="s">
        <v>1402</v>
      </c>
      <c r="F426" s="28" t="s">
        <v>999</v>
      </c>
      <c r="G426" s="28" t="s">
        <v>1408</v>
      </c>
      <c r="H426" s="28" t="s">
        <v>90</v>
      </c>
      <c r="I426" s="28" t="s">
        <v>91</v>
      </c>
      <c r="J426" s="28" t="s">
        <v>1951</v>
      </c>
      <c r="K426" s="28" t="s">
        <v>1405</v>
      </c>
      <c r="L426" s="28" t="s">
        <v>1406</v>
      </c>
      <c r="M426" s="28">
        <v>863.99</v>
      </c>
      <c r="N426" s="28" t="s">
        <v>1387</v>
      </c>
      <c r="O426" s="28">
        <v>0</v>
      </c>
      <c r="P426" s="29" t="s">
        <v>1407</v>
      </c>
    </row>
    <row r="427" spans="3:16" ht="36.75" thickBot="1" x14ac:dyDescent="0.3">
      <c r="C427" s="27" t="s">
        <v>1509</v>
      </c>
      <c r="D427" s="28">
        <v>420</v>
      </c>
      <c r="E427" s="28" t="s">
        <v>1402</v>
      </c>
      <c r="F427" s="28" t="s">
        <v>239</v>
      </c>
      <c r="G427" s="28" t="s">
        <v>1408</v>
      </c>
      <c r="H427" s="28" t="s">
        <v>90</v>
      </c>
      <c r="I427" s="28" t="s">
        <v>91</v>
      </c>
      <c r="J427" s="28" t="s">
        <v>1951</v>
      </c>
      <c r="K427" s="28" t="s">
        <v>1405</v>
      </c>
      <c r="L427" s="28" t="s">
        <v>1406</v>
      </c>
      <c r="M427" s="28">
        <v>3370.88</v>
      </c>
      <c r="N427" s="28" t="s">
        <v>1387</v>
      </c>
      <c r="O427" s="28">
        <v>0</v>
      </c>
      <c r="P427" s="29" t="s">
        <v>1407</v>
      </c>
    </row>
    <row r="428" spans="3:16" ht="36.75" thickBot="1" x14ac:dyDescent="0.3">
      <c r="C428" s="27" t="s">
        <v>1509</v>
      </c>
      <c r="D428" s="28">
        <v>421</v>
      </c>
      <c r="E428" s="28" t="s">
        <v>1402</v>
      </c>
      <c r="F428" s="28" t="s">
        <v>1982</v>
      </c>
      <c r="G428" s="28" t="s">
        <v>1408</v>
      </c>
      <c r="H428" s="28" t="s">
        <v>90</v>
      </c>
      <c r="I428" s="28" t="s">
        <v>91</v>
      </c>
      <c r="J428" s="28" t="s">
        <v>1951</v>
      </c>
      <c r="K428" s="28" t="s">
        <v>1405</v>
      </c>
      <c r="L428" s="28" t="s">
        <v>1406</v>
      </c>
      <c r="M428" s="28">
        <v>265.77</v>
      </c>
      <c r="N428" s="28" t="s">
        <v>1387</v>
      </c>
      <c r="O428" s="28">
        <v>0</v>
      </c>
      <c r="P428" s="29" t="s">
        <v>1407</v>
      </c>
    </row>
    <row r="429" spans="3:16" ht="36.75" thickBot="1" x14ac:dyDescent="0.3">
      <c r="C429" s="27" t="s">
        <v>1509</v>
      </c>
      <c r="D429" s="28">
        <v>422</v>
      </c>
      <c r="E429" s="28" t="s">
        <v>1402</v>
      </c>
      <c r="F429" s="28" t="s">
        <v>602</v>
      </c>
      <c r="G429" s="28" t="s">
        <v>1408</v>
      </c>
      <c r="H429" s="28" t="s">
        <v>90</v>
      </c>
      <c r="I429" s="28" t="s">
        <v>91</v>
      </c>
      <c r="J429" s="28" t="s">
        <v>1951</v>
      </c>
      <c r="K429" s="28" t="s">
        <v>1405</v>
      </c>
      <c r="L429" s="28" t="s">
        <v>1406</v>
      </c>
      <c r="M429" s="28">
        <v>1488.91</v>
      </c>
      <c r="N429" s="28" t="s">
        <v>1387</v>
      </c>
      <c r="O429" s="28">
        <v>0</v>
      </c>
      <c r="P429" s="29" t="s">
        <v>1407</v>
      </c>
    </row>
    <row r="430" spans="3:16" ht="36.75" thickBot="1" x14ac:dyDescent="0.3">
      <c r="C430" s="27" t="s">
        <v>1509</v>
      </c>
      <c r="D430" s="28">
        <v>423</v>
      </c>
      <c r="E430" s="28" t="s">
        <v>1402</v>
      </c>
      <c r="F430" s="28" t="s">
        <v>610</v>
      </c>
      <c r="G430" s="28" t="s">
        <v>1408</v>
      </c>
      <c r="H430" s="28" t="s">
        <v>90</v>
      </c>
      <c r="I430" s="28" t="s">
        <v>91</v>
      </c>
      <c r="J430" s="28" t="s">
        <v>1951</v>
      </c>
      <c r="K430" s="28" t="s">
        <v>1405</v>
      </c>
      <c r="L430" s="28" t="s">
        <v>1406</v>
      </c>
      <c r="M430" s="28">
        <v>3649.77</v>
      </c>
      <c r="N430" s="28" t="s">
        <v>1387</v>
      </c>
      <c r="O430" s="28">
        <v>0</v>
      </c>
      <c r="P430" s="29" t="s">
        <v>1407</v>
      </c>
    </row>
    <row r="431" spans="3:16" ht="36.75" thickBot="1" x14ac:dyDescent="0.3">
      <c r="C431" s="27" t="s">
        <v>1509</v>
      </c>
      <c r="D431" s="28">
        <v>424</v>
      </c>
      <c r="E431" s="28" t="s">
        <v>1402</v>
      </c>
      <c r="F431" s="28" t="s">
        <v>1983</v>
      </c>
      <c r="G431" s="28" t="s">
        <v>1408</v>
      </c>
      <c r="H431" s="28" t="s">
        <v>90</v>
      </c>
      <c r="I431" s="28" t="s">
        <v>91</v>
      </c>
      <c r="J431" s="28" t="s">
        <v>1951</v>
      </c>
      <c r="K431" s="28" t="s">
        <v>1405</v>
      </c>
      <c r="L431" s="28" t="s">
        <v>1406</v>
      </c>
      <c r="M431" s="28">
        <v>244.05</v>
      </c>
      <c r="N431" s="28" t="s">
        <v>1387</v>
      </c>
      <c r="O431" s="28">
        <v>0</v>
      </c>
      <c r="P431" s="29" t="s">
        <v>1407</v>
      </c>
    </row>
    <row r="432" spans="3:16" ht="36.75" thickBot="1" x14ac:dyDescent="0.3">
      <c r="C432" s="27" t="s">
        <v>1509</v>
      </c>
      <c r="D432" s="28">
        <v>425</v>
      </c>
      <c r="E432" s="28" t="s">
        <v>1402</v>
      </c>
      <c r="F432" s="28" t="s">
        <v>1984</v>
      </c>
      <c r="G432" s="28" t="s">
        <v>1408</v>
      </c>
      <c r="H432" s="28" t="s">
        <v>90</v>
      </c>
      <c r="I432" s="28" t="s">
        <v>91</v>
      </c>
      <c r="J432" s="28" t="s">
        <v>1951</v>
      </c>
      <c r="K432" s="28" t="s">
        <v>1405</v>
      </c>
      <c r="L432" s="28" t="s">
        <v>1406</v>
      </c>
      <c r="M432" s="28">
        <v>249.4</v>
      </c>
      <c r="N432" s="28" t="s">
        <v>1387</v>
      </c>
      <c r="O432" s="28">
        <v>0</v>
      </c>
      <c r="P432" s="29" t="s">
        <v>1407</v>
      </c>
    </row>
    <row r="433" spans="3:16" ht="36.75" thickBot="1" x14ac:dyDescent="0.3">
      <c r="C433" s="27" t="s">
        <v>1509</v>
      </c>
      <c r="D433" s="28">
        <v>426</v>
      </c>
      <c r="E433" s="28" t="s">
        <v>1402</v>
      </c>
      <c r="F433" s="28" t="s">
        <v>1003</v>
      </c>
      <c r="G433" s="28" t="s">
        <v>1408</v>
      </c>
      <c r="H433" s="28" t="s">
        <v>90</v>
      </c>
      <c r="I433" s="28" t="s">
        <v>91</v>
      </c>
      <c r="J433" s="28" t="s">
        <v>1951</v>
      </c>
      <c r="K433" s="28" t="s">
        <v>1405</v>
      </c>
      <c r="L433" s="28" t="s">
        <v>1406</v>
      </c>
      <c r="M433" s="28">
        <v>4095.83</v>
      </c>
      <c r="N433" s="28" t="s">
        <v>1387</v>
      </c>
      <c r="O433" s="28">
        <v>0</v>
      </c>
      <c r="P433" s="29" t="s">
        <v>1407</v>
      </c>
    </row>
    <row r="434" spans="3:16" ht="36.75" thickBot="1" x14ac:dyDescent="0.3">
      <c r="C434" s="27" t="s">
        <v>1509</v>
      </c>
      <c r="D434" s="28">
        <v>427</v>
      </c>
      <c r="E434" s="28" t="s">
        <v>1402</v>
      </c>
      <c r="F434" s="28" t="s">
        <v>377</v>
      </c>
      <c r="G434" s="28" t="s">
        <v>1408</v>
      </c>
      <c r="H434" s="28" t="s">
        <v>90</v>
      </c>
      <c r="I434" s="28" t="s">
        <v>91</v>
      </c>
      <c r="J434" s="28" t="s">
        <v>1951</v>
      </c>
      <c r="K434" s="28" t="s">
        <v>1405</v>
      </c>
      <c r="L434" s="28" t="s">
        <v>1406</v>
      </c>
      <c r="M434" s="28">
        <v>12805.43</v>
      </c>
      <c r="N434" s="28" t="s">
        <v>1387</v>
      </c>
      <c r="O434" s="28">
        <v>0</v>
      </c>
      <c r="P434" s="29" t="s">
        <v>1407</v>
      </c>
    </row>
    <row r="435" spans="3:16" ht="36.75" thickBot="1" x14ac:dyDescent="0.3">
      <c r="C435" s="27" t="s">
        <v>1509</v>
      </c>
      <c r="D435" s="28">
        <v>428</v>
      </c>
      <c r="E435" s="28" t="s">
        <v>1402</v>
      </c>
      <c r="F435" s="28" t="s">
        <v>980</v>
      </c>
      <c r="G435" s="28" t="s">
        <v>1408</v>
      </c>
      <c r="H435" s="28" t="s">
        <v>90</v>
      </c>
      <c r="I435" s="28" t="s">
        <v>91</v>
      </c>
      <c r="J435" s="28" t="s">
        <v>1951</v>
      </c>
      <c r="K435" s="28" t="s">
        <v>1405</v>
      </c>
      <c r="L435" s="28" t="s">
        <v>1406</v>
      </c>
      <c r="M435" s="28">
        <v>56969.36</v>
      </c>
      <c r="N435" s="28" t="s">
        <v>1387</v>
      </c>
      <c r="O435" s="28">
        <v>0</v>
      </c>
      <c r="P435" s="29" t="s">
        <v>1407</v>
      </c>
    </row>
    <row r="436" spans="3:16" ht="36.75" thickBot="1" x14ac:dyDescent="0.3">
      <c r="C436" s="27" t="s">
        <v>1509</v>
      </c>
      <c r="D436" s="28">
        <v>429</v>
      </c>
      <c r="E436" s="28" t="s">
        <v>1402</v>
      </c>
      <c r="F436" s="28" t="s">
        <v>612</v>
      </c>
      <c r="G436" s="28" t="s">
        <v>1408</v>
      </c>
      <c r="H436" s="28" t="s">
        <v>90</v>
      </c>
      <c r="I436" s="28" t="s">
        <v>91</v>
      </c>
      <c r="J436" s="28" t="s">
        <v>1951</v>
      </c>
      <c r="K436" s="28" t="s">
        <v>1405</v>
      </c>
      <c r="L436" s="28" t="s">
        <v>1406</v>
      </c>
      <c r="M436" s="28">
        <v>11222.95</v>
      </c>
      <c r="N436" s="28" t="s">
        <v>1387</v>
      </c>
      <c r="O436" s="28">
        <v>0</v>
      </c>
      <c r="P436" s="29" t="s">
        <v>1407</v>
      </c>
    </row>
    <row r="437" spans="3:16" ht="36.75" thickBot="1" x14ac:dyDescent="0.3">
      <c r="C437" s="27" t="s">
        <v>1509</v>
      </c>
      <c r="D437" s="28">
        <v>430</v>
      </c>
      <c r="E437" s="28" t="s">
        <v>1402</v>
      </c>
      <c r="F437" s="28" t="s">
        <v>1006</v>
      </c>
      <c r="G437" s="28" t="s">
        <v>1408</v>
      </c>
      <c r="H437" s="28" t="s">
        <v>90</v>
      </c>
      <c r="I437" s="28" t="s">
        <v>91</v>
      </c>
      <c r="J437" s="28" t="s">
        <v>1951</v>
      </c>
      <c r="K437" s="28" t="s">
        <v>1405</v>
      </c>
      <c r="L437" s="28" t="s">
        <v>1406</v>
      </c>
      <c r="M437" s="28">
        <v>1408.87</v>
      </c>
      <c r="N437" s="28" t="s">
        <v>1387</v>
      </c>
      <c r="O437" s="28">
        <v>0</v>
      </c>
      <c r="P437" s="29" t="s">
        <v>1407</v>
      </c>
    </row>
    <row r="438" spans="3:16" ht="36.75" thickBot="1" x14ac:dyDescent="0.3">
      <c r="C438" s="27" t="s">
        <v>1509</v>
      </c>
      <c r="D438" s="28">
        <v>431</v>
      </c>
      <c r="E438" s="28" t="s">
        <v>1402</v>
      </c>
      <c r="F438" s="28" t="s">
        <v>112</v>
      </c>
      <c r="G438" s="28" t="s">
        <v>1408</v>
      </c>
      <c r="H438" s="28" t="s">
        <v>90</v>
      </c>
      <c r="I438" s="28" t="s">
        <v>91</v>
      </c>
      <c r="J438" s="28" t="s">
        <v>1951</v>
      </c>
      <c r="K438" s="28" t="s">
        <v>1405</v>
      </c>
      <c r="L438" s="28" t="s">
        <v>1406</v>
      </c>
      <c r="M438" s="28">
        <v>1426.56</v>
      </c>
      <c r="N438" s="28" t="s">
        <v>1387</v>
      </c>
      <c r="O438" s="28">
        <v>0</v>
      </c>
      <c r="P438" s="29" t="s">
        <v>1407</v>
      </c>
    </row>
    <row r="439" spans="3:16" ht="36.75" thickBot="1" x14ac:dyDescent="0.3">
      <c r="C439" s="27" t="s">
        <v>1509</v>
      </c>
      <c r="D439" s="28">
        <v>432</v>
      </c>
      <c r="E439" s="28" t="s">
        <v>1402</v>
      </c>
      <c r="F439" s="28" t="s">
        <v>374</v>
      </c>
      <c r="G439" s="28" t="s">
        <v>1408</v>
      </c>
      <c r="H439" s="28" t="s">
        <v>90</v>
      </c>
      <c r="I439" s="28" t="s">
        <v>91</v>
      </c>
      <c r="J439" s="28" t="s">
        <v>1951</v>
      </c>
      <c r="K439" s="28" t="s">
        <v>1405</v>
      </c>
      <c r="L439" s="28" t="s">
        <v>1406</v>
      </c>
      <c r="M439" s="28">
        <v>1721.87</v>
      </c>
      <c r="N439" s="28" t="s">
        <v>1387</v>
      </c>
      <c r="O439" s="28">
        <v>0</v>
      </c>
      <c r="P439" s="29" t="s">
        <v>1407</v>
      </c>
    </row>
    <row r="440" spans="3:16" ht="36.75" thickBot="1" x14ac:dyDescent="0.3">
      <c r="C440" s="27" t="s">
        <v>1509</v>
      </c>
      <c r="D440" s="28">
        <v>433</v>
      </c>
      <c r="E440" s="28" t="s">
        <v>1402</v>
      </c>
      <c r="F440" s="28" t="s">
        <v>1985</v>
      </c>
      <c r="G440" s="28" t="s">
        <v>1408</v>
      </c>
      <c r="H440" s="28" t="s">
        <v>90</v>
      </c>
      <c r="I440" s="28" t="s">
        <v>91</v>
      </c>
      <c r="J440" s="28" t="s">
        <v>1951</v>
      </c>
      <c r="K440" s="28" t="s">
        <v>1405</v>
      </c>
      <c r="L440" s="28" t="s">
        <v>1406</v>
      </c>
      <c r="M440" s="28">
        <v>370.98</v>
      </c>
      <c r="N440" s="28" t="s">
        <v>1387</v>
      </c>
      <c r="O440" s="28">
        <v>0</v>
      </c>
      <c r="P440" s="29" t="s">
        <v>1407</v>
      </c>
    </row>
    <row r="441" spans="3:16" ht="36.75" thickBot="1" x14ac:dyDescent="0.3">
      <c r="C441" s="27" t="s">
        <v>1509</v>
      </c>
      <c r="D441" s="28">
        <v>434</v>
      </c>
      <c r="E441" s="28" t="s">
        <v>1402</v>
      </c>
      <c r="F441" s="28" t="s">
        <v>1986</v>
      </c>
      <c r="G441" s="28" t="s">
        <v>1408</v>
      </c>
      <c r="H441" s="28" t="s">
        <v>90</v>
      </c>
      <c r="I441" s="28" t="s">
        <v>91</v>
      </c>
      <c r="J441" s="28" t="s">
        <v>1951</v>
      </c>
      <c r="K441" s="28" t="s">
        <v>1405</v>
      </c>
      <c r="L441" s="28" t="s">
        <v>1406</v>
      </c>
      <c r="M441" s="28">
        <v>501.3</v>
      </c>
      <c r="N441" s="28" t="s">
        <v>1387</v>
      </c>
      <c r="O441" s="28">
        <v>0</v>
      </c>
      <c r="P441" s="29" t="s">
        <v>1407</v>
      </c>
    </row>
    <row r="442" spans="3:16" ht="36.75" thickBot="1" x14ac:dyDescent="0.3">
      <c r="C442" s="27" t="s">
        <v>1509</v>
      </c>
      <c r="D442" s="28">
        <v>435</v>
      </c>
      <c r="E442" s="28" t="s">
        <v>1402</v>
      </c>
      <c r="F442" s="28" t="s">
        <v>614</v>
      </c>
      <c r="G442" s="28" t="s">
        <v>1408</v>
      </c>
      <c r="H442" s="28" t="s">
        <v>90</v>
      </c>
      <c r="I442" s="28" t="s">
        <v>91</v>
      </c>
      <c r="J442" s="28" t="s">
        <v>1951</v>
      </c>
      <c r="K442" s="28" t="s">
        <v>1405</v>
      </c>
      <c r="L442" s="28" t="s">
        <v>1406</v>
      </c>
      <c r="M442" s="28">
        <v>23942.3</v>
      </c>
      <c r="N442" s="28" t="s">
        <v>1387</v>
      </c>
      <c r="O442" s="28">
        <v>0</v>
      </c>
      <c r="P442" s="29" t="s">
        <v>1407</v>
      </c>
    </row>
    <row r="443" spans="3:16" ht="36.75" thickBot="1" x14ac:dyDescent="0.3">
      <c r="C443" s="27" t="s">
        <v>1509</v>
      </c>
      <c r="D443" s="28">
        <v>436</v>
      </c>
      <c r="E443" s="28" t="s">
        <v>1402</v>
      </c>
      <c r="F443" s="28" t="s">
        <v>1009</v>
      </c>
      <c r="G443" s="28" t="s">
        <v>1408</v>
      </c>
      <c r="H443" s="28" t="s">
        <v>90</v>
      </c>
      <c r="I443" s="28" t="s">
        <v>91</v>
      </c>
      <c r="J443" s="28" t="s">
        <v>1951</v>
      </c>
      <c r="K443" s="28" t="s">
        <v>1405</v>
      </c>
      <c r="L443" s="28" t="s">
        <v>1406</v>
      </c>
      <c r="M443" s="28">
        <v>6683.89</v>
      </c>
      <c r="N443" s="28" t="s">
        <v>1387</v>
      </c>
      <c r="O443" s="28">
        <v>0</v>
      </c>
      <c r="P443" s="29" t="s">
        <v>1407</v>
      </c>
    </row>
    <row r="444" spans="3:16" ht="36.75" thickBot="1" x14ac:dyDescent="0.3">
      <c r="C444" s="27" t="s">
        <v>1509</v>
      </c>
      <c r="D444" s="28">
        <v>437</v>
      </c>
      <c r="E444" s="28" t="s">
        <v>1402</v>
      </c>
      <c r="F444" s="28" t="s">
        <v>379</v>
      </c>
      <c r="G444" s="28" t="s">
        <v>1408</v>
      </c>
      <c r="H444" s="28" t="s">
        <v>90</v>
      </c>
      <c r="I444" s="28" t="s">
        <v>91</v>
      </c>
      <c r="J444" s="28" t="s">
        <v>1951</v>
      </c>
      <c r="K444" s="28" t="s">
        <v>1405</v>
      </c>
      <c r="L444" s="28" t="s">
        <v>1406</v>
      </c>
      <c r="M444" s="28">
        <v>7041.45</v>
      </c>
      <c r="N444" s="28" t="s">
        <v>1387</v>
      </c>
      <c r="O444" s="28">
        <v>0</v>
      </c>
      <c r="P444" s="29" t="s">
        <v>1407</v>
      </c>
    </row>
    <row r="445" spans="3:16" ht="36.75" thickBot="1" x14ac:dyDescent="0.3">
      <c r="C445" s="27" t="s">
        <v>1509</v>
      </c>
      <c r="D445" s="28">
        <v>438</v>
      </c>
      <c r="E445" s="28" t="s">
        <v>1402</v>
      </c>
      <c r="F445" s="28" t="s">
        <v>579</v>
      </c>
      <c r="G445" s="28" t="s">
        <v>1408</v>
      </c>
      <c r="H445" s="28" t="s">
        <v>90</v>
      </c>
      <c r="I445" s="28" t="s">
        <v>91</v>
      </c>
      <c r="J445" s="28" t="s">
        <v>1951</v>
      </c>
      <c r="K445" s="28" t="s">
        <v>1405</v>
      </c>
      <c r="L445" s="28" t="s">
        <v>1406</v>
      </c>
      <c r="M445" s="28">
        <v>229.45</v>
      </c>
      <c r="N445" s="28" t="s">
        <v>1387</v>
      </c>
      <c r="O445" s="28">
        <v>0</v>
      </c>
      <c r="P445" s="29" t="s">
        <v>1407</v>
      </c>
    </row>
    <row r="446" spans="3:16" ht="36.75" thickBot="1" x14ac:dyDescent="0.3">
      <c r="C446" s="27" t="s">
        <v>1509</v>
      </c>
      <c r="D446" s="28">
        <v>439</v>
      </c>
      <c r="E446" s="28" t="s">
        <v>1402</v>
      </c>
      <c r="F446" s="28" t="s">
        <v>616</v>
      </c>
      <c r="G446" s="28" t="s">
        <v>1408</v>
      </c>
      <c r="H446" s="28" t="s">
        <v>90</v>
      </c>
      <c r="I446" s="28" t="s">
        <v>91</v>
      </c>
      <c r="J446" s="28" t="s">
        <v>1951</v>
      </c>
      <c r="K446" s="28" t="s">
        <v>1405</v>
      </c>
      <c r="L446" s="28" t="s">
        <v>1406</v>
      </c>
      <c r="M446" s="28">
        <v>3042.67</v>
      </c>
      <c r="N446" s="28" t="s">
        <v>1387</v>
      </c>
      <c r="O446" s="28">
        <v>0</v>
      </c>
      <c r="P446" s="29" t="s">
        <v>1407</v>
      </c>
    </row>
    <row r="447" spans="3:16" ht="36.75" thickBot="1" x14ac:dyDescent="0.3">
      <c r="C447" s="27" t="s">
        <v>1509</v>
      </c>
      <c r="D447" s="28">
        <v>440</v>
      </c>
      <c r="E447" s="28" t="s">
        <v>1402</v>
      </c>
      <c r="F447" s="28" t="s">
        <v>1987</v>
      </c>
      <c r="G447" s="28" t="s">
        <v>1408</v>
      </c>
      <c r="H447" s="28" t="s">
        <v>90</v>
      </c>
      <c r="I447" s="28" t="s">
        <v>91</v>
      </c>
      <c r="J447" s="28" t="s">
        <v>1951</v>
      </c>
      <c r="K447" s="28" t="s">
        <v>1405</v>
      </c>
      <c r="L447" s="28" t="s">
        <v>1406</v>
      </c>
      <c r="M447" s="28">
        <v>664.02</v>
      </c>
      <c r="N447" s="28" t="s">
        <v>1387</v>
      </c>
      <c r="O447" s="28">
        <v>0</v>
      </c>
      <c r="P447" s="29" t="s">
        <v>1407</v>
      </c>
    </row>
    <row r="448" spans="3:16" ht="36.75" thickBot="1" x14ac:dyDescent="0.3">
      <c r="C448" s="27" t="s">
        <v>1509</v>
      </c>
      <c r="D448" s="28">
        <v>441</v>
      </c>
      <c r="E448" s="28" t="s">
        <v>1402</v>
      </c>
      <c r="F448" s="28" t="s">
        <v>637</v>
      </c>
      <c r="G448" s="28" t="s">
        <v>1408</v>
      </c>
      <c r="H448" s="28" t="s">
        <v>90</v>
      </c>
      <c r="I448" s="28" t="s">
        <v>91</v>
      </c>
      <c r="J448" s="28" t="s">
        <v>1951</v>
      </c>
      <c r="K448" s="28" t="s">
        <v>1405</v>
      </c>
      <c r="L448" s="28" t="s">
        <v>1406</v>
      </c>
      <c r="M448" s="28">
        <v>1126.96</v>
      </c>
      <c r="N448" s="28" t="s">
        <v>1387</v>
      </c>
      <c r="O448" s="28">
        <v>0</v>
      </c>
      <c r="P448" s="29" t="s">
        <v>1407</v>
      </c>
    </row>
    <row r="449" spans="3:16" ht="36.75" thickBot="1" x14ac:dyDescent="0.3">
      <c r="C449" s="27" t="s">
        <v>1509</v>
      </c>
      <c r="D449" s="28">
        <v>442</v>
      </c>
      <c r="E449" s="28" t="s">
        <v>1402</v>
      </c>
      <c r="F449" s="28" t="s">
        <v>1046</v>
      </c>
      <c r="G449" s="28" t="s">
        <v>1408</v>
      </c>
      <c r="H449" s="28" t="s">
        <v>90</v>
      </c>
      <c r="I449" s="28" t="s">
        <v>91</v>
      </c>
      <c r="J449" s="28" t="s">
        <v>1951</v>
      </c>
      <c r="K449" s="28" t="s">
        <v>1405</v>
      </c>
      <c r="L449" s="28" t="s">
        <v>1406</v>
      </c>
      <c r="M449" s="28">
        <v>1195.71</v>
      </c>
      <c r="N449" s="28" t="s">
        <v>1387</v>
      </c>
      <c r="O449" s="28">
        <v>0</v>
      </c>
      <c r="P449" s="29" t="s">
        <v>1407</v>
      </c>
    </row>
    <row r="450" spans="3:16" ht="36.75" thickBot="1" x14ac:dyDescent="0.3">
      <c r="C450" s="27" t="s">
        <v>1509</v>
      </c>
      <c r="D450" s="28">
        <v>443</v>
      </c>
      <c r="E450" s="28" t="s">
        <v>1402</v>
      </c>
      <c r="F450" s="28" t="s">
        <v>391</v>
      </c>
      <c r="G450" s="28" t="s">
        <v>1408</v>
      </c>
      <c r="H450" s="28" t="s">
        <v>90</v>
      </c>
      <c r="I450" s="28" t="s">
        <v>91</v>
      </c>
      <c r="J450" s="28" t="s">
        <v>1951</v>
      </c>
      <c r="K450" s="28" t="s">
        <v>1405</v>
      </c>
      <c r="L450" s="28" t="s">
        <v>1406</v>
      </c>
      <c r="M450" s="28">
        <v>2536.2399999999998</v>
      </c>
      <c r="N450" s="28" t="s">
        <v>1387</v>
      </c>
      <c r="O450" s="28">
        <v>0</v>
      </c>
      <c r="P450" s="29" t="s">
        <v>1407</v>
      </c>
    </row>
    <row r="451" spans="3:16" ht="36.75" thickBot="1" x14ac:dyDescent="0.3">
      <c r="C451" s="27" t="s">
        <v>1509</v>
      </c>
      <c r="D451" s="28">
        <v>444</v>
      </c>
      <c r="E451" s="28" t="s">
        <v>1402</v>
      </c>
      <c r="F451" s="28" t="s">
        <v>599</v>
      </c>
      <c r="G451" s="28" t="s">
        <v>1408</v>
      </c>
      <c r="H451" s="28" t="s">
        <v>90</v>
      </c>
      <c r="I451" s="28" t="s">
        <v>91</v>
      </c>
      <c r="J451" s="28" t="s">
        <v>1951</v>
      </c>
      <c r="K451" s="28" t="s">
        <v>1405</v>
      </c>
      <c r="L451" s="28" t="s">
        <v>1406</v>
      </c>
      <c r="M451" s="28">
        <v>17107</v>
      </c>
      <c r="N451" s="28" t="s">
        <v>1387</v>
      </c>
      <c r="O451" s="28">
        <v>0</v>
      </c>
      <c r="P451" s="29" t="s">
        <v>1407</v>
      </c>
    </row>
    <row r="452" spans="3:16" ht="36.75" thickBot="1" x14ac:dyDescent="0.3">
      <c r="C452" s="27" t="s">
        <v>1509</v>
      </c>
      <c r="D452" s="28">
        <v>445</v>
      </c>
      <c r="E452" s="28" t="s">
        <v>1402</v>
      </c>
      <c r="F452" s="28" t="s">
        <v>639</v>
      </c>
      <c r="G452" s="28" t="s">
        <v>1408</v>
      </c>
      <c r="H452" s="28" t="s">
        <v>90</v>
      </c>
      <c r="I452" s="28" t="s">
        <v>91</v>
      </c>
      <c r="J452" s="28" t="s">
        <v>1951</v>
      </c>
      <c r="K452" s="28" t="s">
        <v>1405</v>
      </c>
      <c r="L452" s="28" t="s">
        <v>1406</v>
      </c>
      <c r="M452" s="28">
        <v>4965.3100000000004</v>
      </c>
      <c r="N452" s="28" t="s">
        <v>1387</v>
      </c>
      <c r="O452" s="28">
        <v>0</v>
      </c>
      <c r="P452" s="29" t="s">
        <v>1407</v>
      </c>
    </row>
    <row r="453" spans="3:16" ht="36.75" thickBot="1" x14ac:dyDescent="0.3">
      <c r="C453" s="27" t="s">
        <v>1509</v>
      </c>
      <c r="D453" s="28">
        <v>446</v>
      </c>
      <c r="E453" s="28" t="s">
        <v>1402</v>
      </c>
      <c r="F453" s="28" t="s">
        <v>1049</v>
      </c>
      <c r="G453" s="28" t="s">
        <v>1408</v>
      </c>
      <c r="H453" s="28" t="s">
        <v>90</v>
      </c>
      <c r="I453" s="28" t="s">
        <v>91</v>
      </c>
      <c r="J453" s="28" t="s">
        <v>1951</v>
      </c>
      <c r="K453" s="28" t="s">
        <v>1405</v>
      </c>
      <c r="L453" s="28" t="s">
        <v>1406</v>
      </c>
      <c r="M453" s="28">
        <v>4956.6400000000003</v>
      </c>
      <c r="N453" s="28" t="s">
        <v>1387</v>
      </c>
      <c r="O453" s="28">
        <v>0</v>
      </c>
      <c r="P453" s="29" t="s">
        <v>1407</v>
      </c>
    </row>
    <row r="454" spans="3:16" ht="36.75" thickBot="1" x14ac:dyDescent="0.3">
      <c r="C454" s="27" t="s">
        <v>1509</v>
      </c>
      <c r="D454" s="28">
        <v>447</v>
      </c>
      <c r="E454" s="28" t="s">
        <v>1402</v>
      </c>
      <c r="F454" s="28" t="s">
        <v>1988</v>
      </c>
      <c r="G454" s="28" t="s">
        <v>1408</v>
      </c>
      <c r="H454" s="28" t="s">
        <v>90</v>
      </c>
      <c r="I454" s="28" t="s">
        <v>91</v>
      </c>
      <c r="J454" s="28" t="s">
        <v>1951</v>
      </c>
      <c r="K454" s="28" t="s">
        <v>1405</v>
      </c>
      <c r="L454" s="28" t="s">
        <v>1406</v>
      </c>
      <c r="M454" s="28">
        <v>297.39999999999998</v>
      </c>
      <c r="N454" s="28" t="s">
        <v>1387</v>
      </c>
      <c r="O454" s="28">
        <v>0</v>
      </c>
      <c r="P454" s="29" t="s">
        <v>1407</v>
      </c>
    </row>
    <row r="455" spans="3:16" ht="36.75" thickBot="1" x14ac:dyDescent="0.3">
      <c r="C455" s="27" t="s">
        <v>1509</v>
      </c>
      <c r="D455" s="28">
        <v>448</v>
      </c>
      <c r="E455" s="28" t="s">
        <v>1402</v>
      </c>
      <c r="F455" s="28" t="s">
        <v>247</v>
      </c>
      <c r="G455" s="28" t="s">
        <v>1408</v>
      </c>
      <c r="H455" s="28" t="s">
        <v>90</v>
      </c>
      <c r="I455" s="28" t="s">
        <v>91</v>
      </c>
      <c r="J455" s="28" t="s">
        <v>1951</v>
      </c>
      <c r="K455" s="28" t="s">
        <v>1405</v>
      </c>
      <c r="L455" s="28" t="s">
        <v>1406</v>
      </c>
      <c r="M455" s="28">
        <v>4752.16</v>
      </c>
      <c r="N455" s="28" t="s">
        <v>1387</v>
      </c>
      <c r="O455" s="28">
        <v>0</v>
      </c>
      <c r="P455" s="29" t="s">
        <v>1407</v>
      </c>
    </row>
    <row r="456" spans="3:16" ht="36.75" thickBot="1" x14ac:dyDescent="0.3">
      <c r="C456" s="27" t="s">
        <v>1509</v>
      </c>
      <c r="D456" s="28">
        <v>449</v>
      </c>
      <c r="E456" s="28" t="s">
        <v>1402</v>
      </c>
      <c r="F456" s="28" t="s">
        <v>1989</v>
      </c>
      <c r="G456" s="28" t="s">
        <v>1408</v>
      </c>
      <c r="H456" s="28" t="s">
        <v>90</v>
      </c>
      <c r="I456" s="28" t="s">
        <v>91</v>
      </c>
      <c r="J456" s="28" t="s">
        <v>1951</v>
      </c>
      <c r="K456" s="28" t="s">
        <v>1405</v>
      </c>
      <c r="L456" s="28" t="s">
        <v>1406</v>
      </c>
      <c r="M456" s="28">
        <v>606.72</v>
      </c>
      <c r="N456" s="28" t="s">
        <v>1387</v>
      </c>
      <c r="O456" s="28">
        <v>0</v>
      </c>
      <c r="P456" s="29" t="s">
        <v>1407</v>
      </c>
    </row>
    <row r="457" spans="3:16" ht="36.75" thickBot="1" x14ac:dyDescent="0.3">
      <c r="C457" s="27" t="s">
        <v>1509</v>
      </c>
      <c r="D457" s="28">
        <v>450</v>
      </c>
      <c r="E457" s="28" t="s">
        <v>1402</v>
      </c>
      <c r="F457" s="28" t="s">
        <v>1990</v>
      </c>
      <c r="G457" s="28" t="s">
        <v>1408</v>
      </c>
      <c r="H457" s="28" t="s">
        <v>90</v>
      </c>
      <c r="I457" s="28" t="s">
        <v>91</v>
      </c>
      <c r="J457" s="28" t="s">
        <v>1951</v>
      </c>
      <c r="K457" s="28" t="s">
        <v>1405</v>
      </c>
      <c r="L457" s="28" t="s">
        <v>1406</v>
      </c>
      <c r="M457" s="28">
        <v>448.92</v>
      </c>
      <c r="N457" s="28" t="s">
        <v>1387</v>
      </c>
      <c r="O457" s="28">
        <v>0</v>
      </c>
      <c r="P457" s="29" t="s">
        <v>1407</v>
      </c>
    </row>
    <row r="458" spans="3:16" ht="36.75" thickBot="1" x14ac:dyDescent="0.3">
      <c r="C458" s="27" t="s">
        <v>1509</v>
      </c>
      <c r="D458" s="28">
        <v>451</v>
      </c>
      <c r="E458" s="28" t="s">
        <v>1402</v>
      </c>
      <c r="F458" s="28" t="s">
        <v>1991</v>
      </c>
      <c r="G458" s="28" t="s">
        <v>1408</v>
      </c>
      <c r="H458" s="28" t="s">
        <v>90</v>
      </c>
      <c r="I458" s="28" t="s">
        <v>91</v>
      </c>
      <c r="J458" s="28" t="s">
        <v>1951</v>
      </c>
      <c r="K458" s="28" t="s">
        <v>1405</v>
      </c>
      <c r="L458" s="28" t="s">
        <v>1406</v>
      </c>
      <c r="M458" s="28">
        <v>267.99</v>
      </c>
      <c r="N458" s="28" t="s">
        <v>1387</v>
      </c>
      <c r="O458" s="28">
        <v>0</v>
      </c>
      <c r="P458" s="29" t="s">
        <v>1407</v>
      </c>
    </row>
    <row r="459" spans="3:16" ht="36.75" thickBot="1" x14ac:dyDescent="0.3">
      <c r="C459" s="27" t="s">
        <v>1509</v>
      </c>
      <c r="D459" s="28">
        <v>452</v>
      </c>
      <c r="E459" s="28" t="s">
        <v>1402</v>
      </c>
      <c r="F459" s="28" t="s">
        <v>632</v>
      </c>
      <c r="G459" s="28" t="s">
        <v>1408</v>
      </c>
      <c r="H459" s="28" t="s">
        <v>90</v>
      </c>
      <c r="I459" s="28" t="s">
        <v>91</v>
      </c>
      <c r="J459" s="28" t="s">
        <v>1951</v>
      </c>
      <c r="K459" s="28" t="s">
        <v>1405</v>
      </c>
      <c r="L459" s="28" t="s">
        <v>1406</v>
      </c>
      <c r="M459" s="28">
        <v>2945.15</v>
      </c>
      <c r="N459" s="28" t="s">
        <v>1387</v>
      </c>
      <c r="O459" s="28">
        <v>0</v>
      </c>
      <c r="P459" s="29" t="s">
        <v>1407</v>
      </c>
    </row>
    <row r="460" spans="3:16" ht="36.75" thickBot="1" x14ac:dyDescent="0.3">
      <c r="C460" s="27" t="s">
        <v>1509</v>
      </c>
      <c r="D460" s="28">
        <v>453</v>
      </c>
      <c r="E460" s="28" t="s">
        <v>1402</v>
      </c>
      <c r="F460" s="28" t="s">
        <v>641</v>
      </c>
      <c r="G460" s="28" t="s">
        <v>1408</v>
      </c>
      <c r="H460" s="28" t="s">
        <v>90</v>
      </c>
      <c r="I460" s="28" t="s">
        <v>91</v>
      </c>
      <c r="J460" s="28" t="s">
        <v>1951</v>
      </c>
      <c r="K460" s="28" t="s">
        <v>1405</v>
      </c>
      <c r="L460" s="28" t="s">
        <v>1406</v>
      </c>
      <c r="M460" s="28">
        <v>668.5</v>
      </c>
      <c r="N460" s="28" t="s">
        <v>1387</v>
      </c>
      <c r="O460" s="28">
        <v>0</v>
      </c>
      <c r="P460" s="29" t="s">
        <v>1407</v>
      </c>
    </row>
    <row r="461" spans="3:16" ht="36.75" thickBot="1" x14ac:dyDescent="0.3">
      <c r="C461" s="27" t="s">
        <v>1509</v>
      </c>
      <c r="D461" s="28">
        <v>454</v>
      </c>
      <c r="E461" s="28" t="s">
        <v>1402</v>
      </c>
      <c r="F461" s="28" t="s">
        <v>1052</v>
      </c>
      <c r="G461" s="28" t="s">
        <v>1408</v>
      </c>
      <c r="H461" s="28" t="s">
        <v>90</v>
      </c>
      <c r="I461" s="28" t="s">
        <v>91</v>
      </c>
      <c r="J461" s="28" t="s">
        <v>1951</v>
      </c>
      <c r="K461" s="28" t="s">
        <v>1405</v>
      </c>
      <c r="L461" s="28" t="s">
        <v>1406</v>
      </c>
      <c r="M461" s="28">
        <v>922.2</v>
      </c>
      <c r="N461" s="28" t="s">
        <v>1387</v>
      </c>
      <c r="O461" s="28">
        <v>0</v>
      </c>
      <c r="P461" s="29" t="s">
        <v>1407</v>
      </c>
    </row>
    <row r="462" spans="3:16" ht="36.75" thickBot="1" x14ac:dyDescent="0.3">
      <c r="C462" s="27" t="s">
        <v>1509</v>
      </c>
      <c r="D462" s="28">
        <v>455</v>
      </c>
      <c r="E462" s="28" t="s">
        <v>1402</v>
      </c>
      <c r="F462" s="28" t="s">
        <v>1992</v>
      </c>
      <c r="G462" s="28" t="s">
        <v>1408</v>
      </c>
      <c r="H462" s="28" t="s">
        <v>90</v>
      </c>
      <c r="I462" s="28" t="s">
        <v>91</v>
      </c>
      <c r="J462" s="28" t="s">
        <v>1951</v>
      </c>
      <c r="K462" s="28" t="s">
        <v>1405</v>
      </c>
      <c r="L462" s="28" t="s">
        <v>1406</v>
      </c>
      <c r="M462" s="28">
        <v>232.67</v>
      </c>
      <c r="N462" s="28" t="s">
        <v>1387</v>
      </c>
      <c r="O462" s="28">
        <v>0</v>
      </c>
      <c r="P462" s="29" t="s">
        <v>1407</v>
      </c>
    </row>
    <row r="463" spans="3:16" ht="36.75" thickBot="1" x14ac:dyDescent="0.3">
      <c r="C463" s="27" t="s">
        <v>1509</v>
      </c>
      <c r="D463" s="28">
        <v>456</v>
      </c>
      <c r="E463" s="28" t="s">
        <v>1402</v>
      </c>
      <c r="F463" s="28" t="s">
        <v>1993</v>
      </c>
      <c r="G463" s="28" t="s">
        <v>1408</v>
      </c>
      <c r="H463" s="28" t="s">
        <v>90</v>
      </c>
      <c r="I463" s="28" t="s">
        <v>91</v>
      </c>
      <c r="J463" s="28" t="s">
        <v>1951</v>
      </c>
      <c r="K463" s="28" t="s">
        <v>1405</v>
      </c>
      <c r="L463" s="28" t="s">
        <v>1406</v>
      </c>
      <c r="M463" s="28">
        <v>680.47</v>
      </c>
      <c r="N463" s="28" t="s">
        <v>1387</v>
      </c>
      <c r="O463" s="28">
        <v>0</v>
      </c>
      <c r="P463" s="29" t="s">
        <v>1407</v>
      </c>
    </row>
    <row r="464" spans="3:16" ht="36.75" thickBot="1" x14ac:dyDescent="0.3">
      <c r="C464" s="27" t="s">
        <v>1509</v>
      </c>
      <c r="D464" s="28">
        <v>457</v>
      </c>
      <c r="E464" s="28" t="s">
        <v>1402</v>
      </c>
      <c r="F464" s="28" t="s">
        <v>393</v>
      </c>
      <c r="G464" s="28" t="s">
        <v>1408</v>
      </c>
      <c r="H464" s="28" t="s">
        <v>90</v>
      </c>
      <c r="I464" s="28" t="s">
        <v>91</v>
      </c>
      <c r="J464" s="28" t="s">
        <v>1951</v>
      </c>
      <c r="K464" s="28" t="s">
        <v>1405</v>
      </c>
      <c r="L464" s="28" t="s">
        <v>1406</v>
      </c>
      <c r="M464" s="28">
        <v>1262.8900000000001</v>
      </c>
      <c r="N464" s="28" t="s">
        <v>1387</v>
      </c>
      <c r="O464" s="28">
        <v>0</v>
      </c>
      <c r="P464" s="29" t="s">
        <v>1407</v>
      </c>
    </row>
    <row r="465" spans="3:16" ht="36.75" thickBot="1" x14ac:dyDescent="0.3">
      <c r="C465" s="27" t="s">
        <v>1509</v>
      </c>
      <c r="D465" s="28">
        <v>458</v>
      </c>
      <c r="E465" s="28" t="s">
        <v>1402</v>
      </c>
      <c r="F465" s="28" t="s">
        <v>1029</v>
      </c>
      <c r="G465" s="28" t="s">
        <v>1408</v>
      </c>
      <c r="H465" s="28" t="s">
        <v>90</v>
      </c>
      <c r="I465" s="28" t="s">
        <v>91</v>
      </c>
      <c r="J465" s="28" t="s">
        <v>1951</v>
      </c>
      <c r="K465" s="28" t="s">
        <v>1405</v>
      </c>
      <c r="L465" s="28" t="s">
        <v>1406</v>
      </c>
      <c r="M465" s="28">
        <v>873</v>
      </c>
      <c r="N465" s="28" t="s">
        <v>1387</v>
      </c>
      <c r="O465" s="28">
        <v>0</v>
      </c>
      <c r="P465" s="29" t="s">
        <v>1407</v>
      </c>
    </row>
    <row r="466" spans="3:16" ht="36.75" thickBot="1" x14ac:dyDescent="0.3">
      <c r="C466" s="27" t="s">
        <v>1509</v>
      </c>
      <c r="D466" s="28">
        <v>459</v>
      </c>
      <c r="E466" s="28" t="s">
        <v>1402</v>
      </c>
      <c r="F466" s="28" t="s">
        <v>1994</v>
      </c>
      <c r="G466" s="28" t="s">
        <v>1408</v>
      </c>
      <c r="H466" s="28" t="s">
        <v>90</v>
      </c>
      <c r="I466" s="28" t="s">
        <v>91</v>
      </c>
      <c r="J466" s="28" t="s">
        <v>1951</v>
      </c>
      <c r="K466" s="28" t="s">
        <v>1405</v>
      </c>
      <c r="L466" s="28" t="s">
        <v>1406</v>
      </c>
      <c r="M466" s="28">
        <v>380.51</v>
      </c>
      <c r="N466" s="28" t="s">
        <v>1387</v>
      </c>
      <c r="O466" s="28">
        <v>0</v>
      </c>
      <c r="P466" s="29" t="s">
        <v>1407</v>
      </c>
    </row>
    <row r="467" spans="3:16" ht="36.75" thickBot="1" x14ac:dyDescent="0.3">
      <c r="C467" s="27" t="s">
        <v>1509</v>
      </c>
      <c r="D467" s="28">
        <v>460</v>
      </c>
      <c r="E467" s="28" t="s">
        <v>1402</v>
      </c>
      <c r="F467" s="28" t="s">
        <v>1995</v>
      </c>
      <c r="G467" s="28" t="s">
        <v>1408</v>
      </c>
      <c r="H467" s="28" t="s">
        <v>90</v>
      </c>
      <c r="I467" s="28" t="s">
        <v>91</v>
      </c>
      <c r="J467" s="28" t="s">
        <v>1951</v>
      </c>
      <c r="K467" s="28" t="s">
        <v>1405</v>
      </c>
      <c r="L467" s="28" t="s">
        <v>1406</v>
      </c>
      <c r="M467" s="28">
        <v>602.53</v>
      </c>
      <c r="N467" s="28" t="s">
        <v>1387</v>
      </c>
      <c r="O467" s="28">
        <v>0</v>
      </c>
      <c r="P467" s="29" t="s">
        <v>1407</v>
      </c>
    </row>
    <row r="468" spans="3:16" ht="36.75" thickBot="1" x14ac:dyDescent="0.3">
      <c r="C468" s="27" t="s">
        <v>1509</v>
      </c>
      <c r="D468" s="28">
        <v>461</v>
      </c>
      <c r="E468" s="28" t="s">
        <v>1402</v>
      </c>
      <c r="F468" s="28" t="s">
        <v>1996</v>
      </c>
      <c r="G468" s="28" t="s">
        <v>1408</v>
      </c>
      <c r="H468" s="28" t="s">
        <v>90</v>
      </c>
      <c r="I468" s="28" t="s">
        <v>91</v>
      </c>
      <c r="J468" s="28" t="s">
        <v>1951</v>
      </c>
      <c r="K468" s="28" t="s">
        <v>1405</v>
      </c>
      <c r="L468" s="28" t="s">
        <v>1406</v>
      </c>
      <c r="M468" s="28">
        <v>387.45</v>
      </c>
      <c r="N468" s="28" t="s">
        <v>1387</v>
      </c>
      <c r="O468" s="28">
        <v>0</v>
      </c>
      <c r="P468" s="29" t="s">
        <v>1407</v>
      </c>
    </row>
    <row r="469" spans="3:16" ht="36.75" thickBot="1" x14ac:dyDescent="0.3">
      <c r="C469" s="27" t="s">
        <v>1509</v>
      </c>
      <c r="D469" s="28">
        <v>462</v>
      </c>
      <c r="E469" s="28" t="s">
        <v>1402</v>
      </c>
      <c r="F469" s="28" t="s">
        <v>643</v>
      </c>
      <c r="G469" s="28" t="s">
        <v>1408</v>
      </c>
      <c r="H469" s="28" t="s">
        <v>90</v>
      </c>
      <c r="I469" s="28" t="s">
        <v>91</v>
      </c>
      <c r="J469" s="28" t="s">
        <v>1951</v>
      </c>
      <c r="K469" s="28" t="s">
        <v>1405</v>
      </c>
      <c r="L469" s="28" t="s">
        <v>1406</v>
      </c>
      <c r="M469" s="28">
        <v>1652.71</v>
      </c>
      <c r="N469" s="28" t="s">
        <v>1387</v>
      </c>
      <c r="O469" s="28">
        <v>0</v>
      </c>
      <c r="P469" s="29" t="s">
        <v>1407</v>
      </c>
    </row>
    <row r="470" spans="3:16" ht="36.75" thickBot="1" x14ac:dyDescent="0.3">
      <c r="C470" s="27" t="s">
        <v>1509</v>
      </c>
      <c r="D470" s="28">
        <v>463</v>
      </c>
      <c r="E470" s="28" t="s">
        <v>1402</v>
      </c>
      <c r="F470" s="28" t="s">
        <v>1055</v>
      </c>
      <c r="G470" s="28" t="s">
        <v>1408</v>
      </c>
      <c r="H470" s="28" t="s">
        <v>90</v>
      </c>
      <c r="I470" s="28" t="s">
        <v>91</v>
      </c>
      <c r="J470" s="28" t="s">
        <v>1951</v>
      </c>
      <c r="K470" s="28" t="s">
        <v>1405</v>
      </c>
      <c r="L470" s="28" t="s">
        <v>1406</v>
      </c>
      <c r="M470" s="28">
        <v>249.4</v>
      </c>
      <c r="N470" s="28" t="s">
        <v>1387</v>
      </c>
      <c r="O470" s="28">
        <v>0</v>
      </c>
      <c r="P470" s="29" t="s">
        <v>1407</v>
      </c>
    </row>
    <row r="471" spans="3:16" ht="36.75" thickBot="1" x14ac:dyDescent="0.3">
      <c r="C471" s="27" t="s">
        <v>1509</v>
      </c>
      <c r="D471" s="28">
        <v>464</v>
      </c>
      <c r="E471" s="28" t="s">
        <v>1402</v>
      </c>
      <c r="F471" s="28" t="s">
        <v>98</v>
      </c>
      <c r="G471" s="28" t="s">
        <v>1408</v>
      </c>
      <c r="H471" s="28" t="s">
        <v>90</v>
      </c>
      <c r="I471" s="28" t="s">
        <v>91</v>
      </c>
      <c r="J471" s="28" t="s">
        <v>1951</v>
      </c>
      <c r="K471" s="28" t="s">
        <v>1405</v>
      </c>
      <c r="L471" s="28" t="s">
        <v>1406</v>
      </c>
      <c r="M471" s="28">
        <v>2423.81</v>
      </c>
      <c r="N471" s="28" t="s">
        <v>1387</v>
      </c>
      <c r="O471" s="28">
        <v>0</v>
      </c>
      <c r="P471" s="29" t="s">
        <v>1407</v>
      </c>
    </row>
    <row r="472" spans="3:16" ht="36.75" thickBot="1" x14ac:dyDescent="0.3">
      <c r="C472" s="27" t="s">
        <v>1509</v>
      </c>
      <c r="D472" s="28">
        <v>465</v>
      </c>
      <c r="E472" s="28" t="s">
        <v>1402</v>
      </c>
      <c r="F472" s="28" t="s">
        <v>390</v>
      </c>
      <c r="G472" s="28" t="s">
        <v>1408</v>
      </c>
      <c r="H472" s="28" t="s">
        <v>90</v>
      </c>
      <c r="I472" s="28" t="s">
        <v>91</v>
      </c>
      <c r="J472" s="28" t="s">
        <v>1951</v>
      </c>
      <c r="K472" s="28" t="s">
        <v>1405</v>
      </c>
      <c r="L472" s="28" t="s">
        <v>1406</v>
      </c>
      <c r="M472" s="28">
        <v>2901.21</v>
      </c>
      <c r="N472" s="28" t="s">
        <v>1387</v>
      </c>
      <c r="O472" s="28">
        <v>0</v>
      </c>
      <c r="P472" s="29" t="s">
        <v>1407</v>
      </c>
    </row>
    <row r="473" spans="3:16" ht="36.75" thickBot="1" x14ac:dyDescent="0.3">
      <c r="C473" s="27" t="s">
        <v>1509</v>
      </c>
      <c r="D473" s="28">
        <v>466</v>
      </c>
      <c r="E473" s="28" t="s">
        <v>1402</v>
      </c>
      <c r="F473" s="28" t="s">
        <v>644</v>
      </c>
      <c r="G473" s="28" t="s">
        <v>1408</v>
      </c>
      <c r="H473" s="28" t="s">
        <v>90</v>
      </c>
      <c r="I473" s="28" t="s">
        <v>91</v>
      </c>
      <c r="J473" s="28" t="s">
        <v>1951</v>
      </c>
      <c r="K473" s="28" t="s">
        <v>1405</v>
      </c>
      <c r="L473" s="28" t="s">
        <v>1406</v>
      </c>
      <c r="M473" s="28">
        <v>2423.81</v>
      </c>
      <c r="N473" s="28" t="s">
        <v>1387</v>
      </c>
      <c r="O473" s="28">
        <v>0</v>
      </c>
      <c r="P473" s="29" t="s">
        <v>1407</v>
      </c>
    </row>
    <row r="474" spans="3:16" ht="36.75" thickBot="1" x14ac:dyDescent="0.3">
      <c r="C474" s="27" t="s">
        <v>1509</v>
      </c>
      <c r="D474" s="28">
        <v>467</v>
      </c>
      <c r="E474" s="28" t="s">
        <v>1402</v>
      </c>
      <c r="F474" s="28" t="s">
        <v>1058</v>
      </c>
      <c r="G474" s="28" t="s">
        <v>1408</v>
      </c>
      <c r="H474" s="28" t="s">
        <v>90</v>
      </c>
      <c r="I474" s="28" t="s">
        <v>91</v>
      </c>
      <c r="J474" s="28" t="s">
        <v>1951</v>
      </c>
      <c r="K474" s="28" t="s">
        <v>1405</v>
      </c>
      <c r="L474" s="28" t="s">
        <v>1406</v>
      </c>
      <c r="M474" s="28">
        <v>2901.21</v>
      </c>
      <c r="N474" s="28" t="s">
        <v>1387</v>
      </c>
      <c r="O474" s="28">
        <v>0</v>
      </c>
      <c r="P474" s="29" t="s">
        <v>1407</v>
      </c>
    </row>
    <row r="475" spans="3:16" ht="36.75" thickBot="1" x14ac:dyDescent="0.3">
      <c r="C475" s="27" t="s">
        <v>1509</v>
      </c>
      <c r="D475" s="28">
        <v>468</v>
      </c>
      <c r="E475" s="28" t="s">
        <v>1402</v>
      </c>
      <c r="F475" s="28" t="s">
        <v>395</v>
      </c>
      <c r="G475" s="28" t="s">
        <v>1408</v>
      </c>
      <c r="H475" s="28" t="s">
        <v>90</v>
      </c>
      <c r="I475" s="28" t="s">
        <v>91</v>
      </c>
      <c r="J475" s="28" t="s">
        <v>1951</v>
      </c>
      <c r="K475" s="28" t="s">
        <v>1405</v>
      </c>
      <c r="L475" s="28" t="s">
        <v>1406</v>
      </c>
      <c r="M475" s="28">
        <v>1756.83</v>
      </c>
      <c r="N475" s="28" t="s">
        <v>1387</v>
      </c>
      <c r="O475" s="28">
        <v>0</v>
      </c>
      <c r="P475" s="29" t="s">
        <v>1407</v>
      </c>
    </row>
    <row r="476" spans="3:16" ht="36.75" thickBot="1" x14ac:dyDescent="0.3">
      <c r="C476" s="27" t="s">
        <v>1509</v>
      </c>
      <c r="D476" s="28">
        <v>469</v>
      </c>
      <c r="E476" s="28" t="s">
        <v>1402</v>
      </c>
      <c r="F476" s="28" t="s">
        <v>378</v>
      </c>
      <c r="G476" s="28" t="s">
        <v>1408</v>
      </c>
      <c r="H476" s="28" t="s">
        <v>90</v>
      </c>
      <c r="I476" s="28" t="s">
        <v>91</v>
      </c>
      <c r="J476" s="28" t="s">
        <v>1951</v>
      </c>
      <c r="K476" s="28" t="s">
        <v>1405</v>
      </c>
      <c r="L476" s="28" t="s">
        <v>1406</v>
      </c>
      <c r="M476" s="28">
        <v>1756.83</v>
      </c>
      <c r="N476" s="28" t="s">
        <v>1387</v>
      </c>
      <c r="O476" s="28">
        <v>0</v>
      </c>
      <c r="P476" s="29" t="s">
        <v>1407</v>
      </c>
    </row>
    <row r="477" spans="3:16" ht="36.75" thickBot="1" x14ac:dyDescent="0.3">
      <c r="C477" s="27" t="s">
        <v>1509</v>
      </c>
      <c r="D477" s="28">
        <v>470</v>
      </c>
      <c r="E477" s="28" t="s">
        <v>1402</v>
      </c>
      <c r="F477" s="28" t="s">
        <v>646</v>
      </c>
      <c r="G477" s="28" t="s">
        <v>1408</v>
      </c>
      <c r="H477" s="28" t="s">
        <v>90</v>
      </c>
      <c r="I477" s="28" t="s">
        <v>91</v>
      </c>
      <c r="J477" s="28" t="s">
        <v>1951</v>
      </c>
      <c r="K477" s="28" t="s">
        <v>1405</v>
      </c>
      <c r="L477" s="28" t="s">
        <v>1406</v>
      </c>
      <c r="M477" s="28">
        <v>35210.14</v>
      </c>
      <c r="N477" s="28" t="s">
        <v>1387</v>
      </c>
      <c r="O477" s="28">
        <v>0</v>
      </c>
      <c r="P477" s="29" t="s">
        <v>1407</v>
      </c>
    </row>
    <row r="478" spans="3:16" ht="36.75" thickBot="1" x14ac:dyDescent="0.3">
      <c r="C478" s="27" t="s">
        <v>1509</v>
      </c>
      <c r="D478" s="28">
        <v>471</v>
      </c>
      <c r="E478" s="28" t="s">
        <v>1402</v>
      </c>
      <c r="F478" s="28" t="s">
        <v>122</v>
      </c>
      <c r="G478" s="28" t="s">
        <v>1408</v>
      </c>
      <c r="H478" s="28" t="s">
        <v>90</v>
      </c>
      <c r="I478" s="28" t="s">
        <v>91</v>
      </c>
      <c r="J478" s="28" t="s">
        <v>1951</v>
      </c>
      <c r="K478" s="28" t="s">
        <v>1405</v>
      </c>
      <c r="L478" s="28" t="s">
        <v>1406</v>
      </c>
      <c r="M478" s="28">
        <v>91943.801871999996</v>
      </c>
      <c r="N478" s="28" t="s">
        <v>1387</v>
      </c>
      <c r="O478" s="28">
        <v>0</v>
      </c>
      <c r="P478" s="29" t="s">
        <v>1407</v>
      </c>
    </row>
    <row r="479" spans="3:16" ht="36.75" thickBot="1" x14ac:dyDescent="0.3">
      <c r="C479" s="27" t="s">
        <v>1509</v>
      </c>
      <c r="D479" s="28">
        <v>472</v>
      </c>
      <c r="E479" s="28" t="s">
        <v>1402</v>
      </c>
      <c r="F479" s="28" t="s">
        <v>1352</v>
      </c>
      <c r="G479" s="28" t="s">
        <v>1408</v>
      </c>
      <c r="H479" s="28" t="s">
        <v>90</v>
      </c>
      <c r="I479" s="28" t="s">
        <v>91</v>
      </c>
      <c r="J479" s="28" t="s">
        <v>1951</v>
      </c>
      <c r="K479" s="28" t="s">
        <v>1405</v>
      </c>
      <c r="L479" s="28" t="s">
        <v>1406</v>
      </c>
      <c r="M479" s="28">
        <v>194631.82058999999</v>
      </c>
      <c r="N479" s="28" t="s">
        <v>1387</v>
      </c>
      <c r="O479" s="28">
        <v>0</v>
      </c>
      <c r="P479" s="29" t="s">
        <v>1407</v>
      </c>
    </row>
    <row r="480" spans="3:16" ht="36.75" thickBot="1" x14ac:dyDescent="0.3">
      <c r="C480" s="27" t="s">
        <v>1509</v>
      </c>
      <c r="D480" s="28">
        <v>473</v>
      </c>
      <c r="E480" s="28" t="s">
        <v>1402</v>
      </c>
      <c r="F480" s="28" t="s">
        <v>326</v>
      </c>
      <c r="G480" s="28" t="s">
        <v>1408</v>
      </c>
      <c r="H480" s="28" t="s">
        <v>90</v>
      </c>
      <c r="I480" s="28" t="s">
        <v>91</v>
      </c>
      <c r="J480" s="28" t="s">
        <v>1951</v>
      </c>
      <c r="K480" s="28" t="s">
        <v>1405</v>
      </c>
      <c r="L480" s="28" t="s">
        <v>1406</v>
      </c>
      <c r="M480" s="28">
        <v>9975.9599999999991</v>
      </c>
      <c r="N480" s="28" t="s">
        <v>1387</v>
      </c>
      <c r="O480" s="28">
        <v>0</v>
      </c>
      <c r="P480" s="29" t="s">
        <v>1407</v>
      </c>
    </row>
    <row r="481" spans="3:16" ht="36.75" thickBot="1" x14ac:dyDescent="0.3">
      <c r="C481" s="27" t="s">
        <v>1509</v>
      </c>
      <c r="D481" s="28">
        <v>474</v>
      </c>
      <c r="E481" s="28" t="s">
        <v>1402</v>
      </c>
      <c r="F481" s="28" t="s">
        <v>524</v>
      </c>
      <c r="G481" s="28" t="s">
        <v>1408</v>
      </c>
      <c r="H481" s="28" t="s">
        <v>90</v>
      </c>
      <c r="I481" s="28" t="s">
        <v>91</v>
      </c>
      <c r="J481" s="28" t="s">
        <v>1951</v>
      </c>
      <c r="K481" s="28" t="s">
        <v>1405</v>
      </c>
      <c r="L481" s="28" t="s">
        <v>1406</v>
      </c>
      <c r="M481" s="28">
        <v>3100.93</v>
      </c>
      <c r="N481" s="28" t="s">
        <v>1387</v>
      </c>
      <c r="O481" s="28">
        <v>0</v>
      </c>
      <c r="P481" s="29" t="s">
        <v>1407</v>
      </c>
    </row>
    <row r="482" spans="3:16" ht="36.75" thickBot="1" x14ac:dyDescent="0.3">
      <c r="C482" s="27" t="s">
        <v>1509</v>
      </c>
      <c r="D482" s="28">
        <v>475</v>
      </c>
      <c r="E482" s="28" t="s">
        <v>1402</v>
      </c>
      <c r="F482" s="28" t="s">
        <v>525</v>
      </c>
      <c r="G482" s="28" t="s">
        <v>1408</v>
      </c>
      <c r="H482" s="28" t="s">
        <v>90</v>
      </c>
      <c r="I482" s="28" t="s">
        <v>91</v>
      </c>
      <c r="J482" s="28" t="s">
        <v>1951</v>
      </c>
      <c r="K482" s="28" t="s">
        <v>1405</v>
      </c>
      <c r="L482" s="28" t="s">
        <v>1406</v>
      </c>
      <c r="M482" s="28">
        <v>26487.727352999998</v>
      </c>
      <c r="N482" s="28" t="s">
        <v>1387</v>
      </c>
      <c r="O482" s="28">
        <v>0</v>
      </c>
      <c r="P482" s="29" t="s">
        <v>1407</v>
      </c>
    </row>
    <row r="483" spans="3:16" ht="36.75" thickBot="1" x14ac:dyDescent="0.3">
      <c r="C483" s="27" t="s">
        <v>1509</v>
      </c>
      <c r="D483" s="28">
        <v>476</v>
      </c>
      <c r="E483" s="28" t="s">
        <v>1402</v>
      </c>
      <c r="F483" s="28" t="s">
        <v>159</v>
      </c>
      <c r="G483" s="28" t="s">
        <v>1408</v>
      </c>
      <c r="H483" s="28" t="s">
        <v>90</v>
      </c>
      <c r="I483" s="28" t="s">
        <v>91</v>
      </c>
      <c r="J483" s="28" t="s">
        <v>1951</v>
      </c>
      <c r="K483" s="28" t="s">
        <v>1405</v>
      </c>
      <c r="L483" s="28" t="s">
        <v>1406</v>
      </c>
      <c r="M483" s="28">
        <v>1665.98</v>
      </c>
      <c r="N483" s="28" t="s">
        <v>1387</v>
      </c>
      <c r="O483" s="28">
        <v>0</v>
      </c>
      <c r="P483" s="29" t="s">
        <v>1407</v>
      </c>
    </row>
    <row r="484" spans="3:16" ht="36.75" thickBot="1" x14ac:dyDescent="0.3">
      <c r="C484" s="27" t="s">
        <v>1509</v>
      </c>
      <c r="D484" s="28">
        <v>477</v>
      </c>
      <c r="E484" s="28" t="s">
        <v>1402</v>
      </c>
      <c r="F484" s="28" t="s">
        <v>910</v>
      </c>
      <c r="G484" s="28" t="s">
        <v>1408</v>
      </c>
      <c r="H484" s="28" t="s">
        <v>90</v>
      </c>
      <c r="I484" s="28" t="s">
        <v>91</v>
      </c>
      <c r="J484" s="28" t="s">
        <v>1951</v>
      </c>
      <c r="K484" s="28" t="s">
        <v>1405</v>
      </c>
      <c r="L484" s="28" t="s">
        <v>1406</v>
      </c>
      <c r="M484" s="28">
        <v>24939.89</v>
      </c>
      <c r="N484" s="28" t="s">
        <v>1387</v>
      </c>
      <c r="O484" s="28">
        <v>0</v>
      </c>
      <c r="P484" s="29" t="s">
        <v>1407</v>
      </c>
    </row>
    <row r="485" spans="3:16" ht="36.75" thickBot="1" x14ac:dyDescent="0.3">
      <c r="C485" s="27" t="s">
        <v>1509</v>
      </c>
      <c r="D485" s="28">
        <v>478</v>
      </c>
      <c r="E485" s="28" t="s">
        <v>1402</v>
      </c>
      <c r="F485" s="28" t="s">
        <v>879</v>
      </c>
      <c r="G485" s="28" t="s">
        <v>1408</v>
      </c>
      <c r="H485" s="28" t="s">
        <v>90</v>
      </c>
      <c r="I485" s="28" t="s">
        <v>91</v>
      </c>
      <c r="J485" s="28" t="s">
        <v>1951</v>
      </c>
      <c r="K485" s="28" t="s">
        <v>1405</v>
      </c>
      <c r="L485" s="28" t="s">
        <v>1406</v>
      </c>
      <c r="M485" s="28">
        <v>224459.05</v>
      </c>
      <c r="N485" s="28" t="s">
        <v>1387</v>
      </c>
      <c r="O485" s="28">
        <v>0</v>
      </c>
      <c r="P485" s="29" t="s">
        <v>1407</v>
      </c>
    </row>
    <row r="486" spans="3:16" ht="36.75" thickBot="1" x14ac:dyDescent="0.3">
      <c r="C486" s="27" t="s">
        <v>1509</v>
      </c>
      <c r="D486" s="28">
        <v>479</v>
      </c>
      <c r="E486" s="28" t="s">
        <v>1402</v>
      </c>
      <c r="F486" s="28" t="s">
        <v>220</v>
      </c>
      <c r="G486" s="28" t="s">
        <v>1408</v>
      </c>
      <c r="H486" s="28" t="s">
        <v>90</v>
      </c>
      <c r="I486" s="28" t="s">
        <v>91</v>
      </c>
      <c r="J486" s="28" t="s">
        <v>1951</v>
      </c>
      <c r="K486" s="28" t="s">
        <v>1405</v>
      </c>
      <c r="L486" s="28" t="s">
        <v>1406</v>
      </c>
      <c r="M486" s="28">
        <v>274338.84000000003</v>
      </c>
      <c r="N486" s="28" t="s">
        <v>1387</v>
      </c>
      <c r="O486" s="28">
        <v>0</v>
      </c>
      <c r="P486" s="29" t="s">
        <v>1407</v>
      </c>
    </row>
    <row r="487" spans="3:16" ht="36.75" thickBot="1" x14ac:dyDescent="0.3">
      <c r="C487" s="27" t="s">
        <v>1509</v>
      </c>
      <c r="D487" s="28">
        <v>480</v>
      </c>
      <c r="E487" s="28" t="s">
        <v>1402</v>
      </c>
      <c r="F487" s="28" t="s">
        <v>543</v>
      </c>
      <c r="G487" s="28" t="s">
        <v>1408</v>
      </c>
      <c r="H487" s="28" t="s">
        <v>90</v>
      </c>
      <c r="I487" s="28" t="s">
        <v>91</v>
      </c>
      <c r="J487" s="28" t="s">
        <v>1951</v>
      </c>
      <c r="K487" s="28" t="s">
        <v>1405</v>
      </c>
      <c r="L487" s="28" t="s">
        <v>1406</v>
      </c>
      <c r="M487" s="28">
        <v>1977.73</v>
      </c>
      <c r="N487" s="28" t="s">
        <v>1387</v>
      </c>
      <c r="O487" s="28">
        <v>0</v>
      </c>
      <c r="P487" s="29" t="s">
        <v>1407</v>
      </c>
    </row>
    <row r="488" spans="3:16" ht="36.75" thickBot="1" x14ac:dyDescent="0.3">
      <c r="C488" s="27" t="s">
        <v>1509</v>
      </c>
      <c r="D488" s="28">
        <v>481</v>
      </c>
      <c r="E488" s="28" t="s">
        <v>1402</v>
      </c>
      <c r="F488" s="28" t="s">
        <v>545</v>
      </c>
      <c r="G488" s="28" t="s">
        <v>1408</v>
      </c>
      <c r="H488" s="28" t="s">
        <v>90</v>
      </c>
      <c r="I488" s="28" t="s">
        <v>91</v>
      </c>
      <c r="J488" s="28" t="s">
        <v>1951</v>
      </c>
      <c r="K488" s="28" t="s">
        <v>1405</v>
      </c>
      <c r="L488" s="28" t="s">
        <v>1406</v>
      </c>
      <c r="M488" s="28">
        <v>224459.05</v>
      </c>
      <c r="N488" s="28" t="s">
        <v>1387</v>
      </c>
      <c r="O488" s="28">
        <v>0</v>
      </c>
      <c r="P488" s="29" t="s">
        <v>1407</v>
      </c>
    </row>
    <row r="489" spans="3:16" ht="36.75" thickBot="1" x14ac:dyDescent="0.3">
      <c r="C489" s="27" t="s">
        <v>1509</v>
      </c>
      <c r="D489" s="28">
        <v>482</v>
      </c>
      <c r="E489" s="28" t="s">
        <v>1402</v>
      </c>
      <c r="F489" s="28" t="s">
        <v>904</v>
      </c>
      <c r="G489" s="28" t="s">
        <v>1408</v>
      </c>
      <c r="H489" s="28" t="s">
        <v>90</v>
      </c>
      <c r="I489" s="28" t="s">
        <v>91</v>
      </c>
      <c r="J489" s="28" t="s">
        <v>1951</v>
      </c>
      <c r="K489" s="28" t="s">
        <v>1405</v>
      </c>
      <c r="L489" s="28" t="s">
        <v>1406</v>
      </c>
      <c r="M489" s="28">
        <v>72543.520000000004</v>
      </c>
      <c r="N489" s="28" t="s">
        <v>1387</v>
      </c>
      <c r="O489" s="28">
        <v>0</v>
      </c>
      <c r="P489" s="29" t="s">
        <v>1407</v>
      </c>
    </row>
    <row r="490" spans="3:16" ht="36.75" thickBot="1" x14ac:dyDescent="0.3">
      <c r="C490" s="27" t="s">
        <v>1509</v>
      </c>
      <c r="D490" s="28">
        <v>483</v>
      </c>
      <c r="E490" s="28" t="s">
        <v>1402</v>
      </c>
      <c r="F490" s="28" t="s">
        <v>343</v>
      </c>
      <c r="G490" s="28" t="s">
        <v>1408</v>
      </c>
      <c r="H490" s="28" t="s">
        <v>90</v>
      </c>
      <c r="I490" s="28" t="s">
        <v>91</v>
      </c>
      <c r="J490" s="28" t="s">
        <v>1951</v>
      </c>
      <c r="K490" s="28" t="s">
        <v>1405</v>
      </c>
      <c r="L490" s="28" t="s">
        <v>1406</v>
      </c>
      <c r="M490" s="28">
        <v>1478.94</v>
      </c>
      <c r="N490" s="28" t="s">
        <v>1387</v>
      </c>
      <c r="O490" s="28">
        <v>0</v>
      </c>
      <c r="P490" s="29" t="s">
        <v>1407</v>
      </c>
    </row>
    <row r="491" spans="3:16" ht="36.75" thickBot="1" x14ac:dyDescent="0.3">
      <c r="C491" s="27" t="s">
        <v>1509</v>
      </c>
      <c r="D491" s="28">
        <v>484</v>
      </c>
      <c r="E491" s="28" t="s">
        <v>1402</v>
      </c>
      <c r="F491" s="28" t="s">
        <v>342</v>
      </c>
      <c r="G491" s="28" t="s">
        <v>1408</v>
      </c>
      <c r="H491" s="28" t="s">
        <v>90</v>
      </c>
      <c r="I491" s="28" t="s">
        <v>91</v>
      </c>
      <c r="J491" s="28" t="s">
        <v>1951</v>
      </c>
      <c r="K491" s="28" t="s">
        <v>1405</v>
      </c>
      <c r="L491" s="28" t="s">
        <v>1406</v>
      </c>
      <c r="M491" s="28">
        <v>1603.64</v>
      </c>
      <c r="N491" s="28" t="s">
        <v>1387</v>
      </c>
      <c r="O491" s="28">
        <v>0</v>
      </c>
      <c r="P491" s="29" t="s">
        <v>1407</v>
      </c>
    </row>
    <row r="492" spans="3:16" ht="36.75" thickBot="1" x14ac:dyDescent="0.3">
      <c r="C492" s="27" t="s">
        <v>1509</v>
      </c>
      <c r="D492" s="28">
        <v>485</v>
      </c>
      <c r="E492" s="28" t="s">
        <v>1402</v>
      </c>
      <c r="F492" s="28" t="s">
        <v>547</v>
      </c>
      <c r="G492" s="28" t="s">
        <v>1408</v>
      </c>
      <c r="H492" s="28" t="s">
        <v>90</v>
      </c>
      <c r="I492" s="28" t="s">
        <v>91</v>
      </c>
      <c r="J492" s="28" t="s">
        <v>1951</v>
      </c>
      <c r="K492" s="28" t="s">
        <v>1405</v>
      </c>
      <c r="L492" s="28" t="s">
        <v>1406</v>
      </c>
      <c r="M492" s="28">
        <v>64864.32</v>
      </c>
      <c r="N492" s="28" t="s">
        <v>1387</v>
      </c>
      <c r="O492" s="28">
        <v>0</v>
      </c>
      <c r="P492" s="29" t="s">
        <v>1407</v>
      </c>
    </row>
    <row r="493" spans="3:16" ht="36.75" thickBot="1" x14ac:dyDescent="0.3">
      <c r="C493" s="27" t="s">
        <v>1509</v>
      </c>
      <c r="D493" s="28">
        <v>486</v>
      </c>
      <c r="E493" s="28" t="s">
        <v>1402</v>
      </c>
      <c r="F493" s="28" t="s">
        <v>534</v>
      </c>
      <c r="G493" s="28" t="s">
        <v>1408</v>
      </c>
      <c r="H493" s="28" t="s">
        <v>90</v>
      </c>
      <c r="I493" s="28" t="s">
        <v>91</v>
      </c>
      <c r="J493" s="28" t="s">
        <v>1951</v>
      </c>
      <c r="K493" s="28" t="s">
        <v>1405</v>
      </c>
      <c r="L493" s="28" t="s">
        <v>1406</v>
      </c>
      <c r="M493" s="28">
        <v>4135.03</v>
      </c>
      <c r="N493" s="28" t="s">
        <v>1387</v>
      </c>
      <c r="O493" s="28">
        <v>0</v>
      </c>
      <c r="P493" s="29" t="s">
        <v>1407</v>
      </c>
    </row>
    <row r="494" spans="3:16" ht="36.75" thickBot="1" x14ac:dyDescent="0.3">
      <c r="C494" s="27" t="s">
        <v>1509</v>
      </c>
      <c r="D494" s="28">
        <v>487</v>
      </c>
      <c r="E494" s="28" t="s">
        <v>1402</v>
      </c>
      <c r="F494" s="28" t="s">
        <v>160</v>
      </c>
      <c r="G494" s="28" t="s">
        <v>1408</v>
      </c>
      <c r="H494" s="28" t="s">
        <v>90</v>
      </c>
      <c r="I494" s="28" t="s">
        <v>91</v>
      </c>
      <c r="J494" s="28" t="s">
        <v>1951</v>
      </c>
      <c r="K494" s="28" t="s">
        <v>1405</v>
      </c>
      <c r="L494" s="28" t="s">
        <v>1406</v>
      </c>
      <c r="M494" s="28">
        <v>2464.06</v>
      </c>
      <c r="N494" s="28" t="s">
        <v>1387</v>
      </c>
      <c r="O494" s="28">
        <v>0</v>
      </c>
      <c r="P494" s="29" t="s">
        <v>1407</v>
      </c>
    </row>
    <row r="495" spans="3:16" ht="36.75" thickBot="1" x14ac:dyDescent="0.3">
      <c r="C495" s="27" t="s">
        <v>1509</v>
      </c>
      <c r="D495" s="28">
        <v>488</v>
      </c>
      <c r="E495" s="28" t="s">
        <v>1402</v>
      </c>
      <c r="F495" s="28" t="s">
        <v>546</v>
      </c>
      <c r="G495" s="28" t="s">
        <v>1408</v>
      </c>
      <c r="H495" s="28" t="s">
        <v>90</v>
      </c>
      <c r="I495" s="28" t="s">
        <v>91</v>
      </c>
      <c r="J495" s="28" t="s">
        <v>1951</v>
      </c>
      <c r="K495" s="28" t="s">
        <v>1405</v>
      </c>
      <c r="L495" s="28" t="s">
        <v>1406</v>
      </c>
      <c r="M495" s="28">
        <v>2102.4299999999998</v>
      </c>
      <c r="N495" s="28" t="s">
        <v>1387</v>
      </c>
      <c r="O495" s="28">
        <v>0</v>
      </c>
      <c r="P495" s="29" t="s">
        <v>1407</v>
      </c>
    </row>
    <row r="496" spans="3:16" ht="36.75" thickBot="1" x14ac:dyDescent="0.3">
      <c r="C496" s="27" t="s">
        <v>1509</v>
      </c>
      <c r="D496" s="28">
        <v>489</v>
      </c>
      <c r="E496" s="28" t="s">
        <v>1402</v>
      </c>
      <c r="F496" s="28" t="s">
        <v>549</v>
      </c>
      <c r="G496" s="28" t="s">
        <v>1408</v>
      </c>
      <c r="H496" s="28" t="s">
        <v>90</v>
      </c>
      <c r="I496" s="28" t="s">
        <v>91</v>
      </c>
      <c r="J496" s="28" t="s">
        <v>1951</v>
      </c>
      <c r="K496" s="28" t="s">
        <v>1405</v>
      </c>
      <c r="L496" s="28" t="s">
        <v>1406</v>
      </c>
      <c r="M496" s="28">
        <v>32837.660000000003</v>
      </c>
      <c r="N496" s="28" t="s">
        <v>1387</v>
      </c>
      <c r="O496" s="28">
        <v>0</v>
      </c>
      <c r="P496" s="29" t="s">
        <v>1407</v>
      </c>
    </row>
    <row r="497" spans="3:16" ht="36.75" thickBot="1" x14ac:dyDescent="0.3">
      <c r="C497" s="27" t="s">
        <v>1509</v>
      </c>
      <c r="D497" s="28">
        <v>490</v>
      </c>
      <c r="E497" s="28" t="s">
        <v>1402</v>
      </c>
      <c r="F497" s="28" t="s">
        <v>907</v>
      </c>
      <c r="G497" s="28" t="s">
        <v>1408</v>
      </c>
      <c r="H497" s="28" t="s">
        <v>90</v>
      </c>
      <c r="I497" s="28" t="s">
        <v>91</v>
      </c>
      <c r="J497" s="28" t="s">
        <v>1951</v>
      </c>
      <c r="K497" s="28" t="s">
        <v>1405</v>
      </c>
      <c r="L497" s="28" t="s">
        <v>1406</v>
      </c>
      <c r="M497" s="28">
        <v>1940.32</v>
      </c>
      <c r="N497" s="28" t="s">
        <v>1387</v>
      </c>
      <c r="O497" s="28">
        <v>0</v>
      </c>
      <c r="P497" s="29" t="s">
        <v>1407</v>
      </c>
    </row>
    <row r="498" spans="3:16" ht="36.75" thickBot="1" x14ac:dyDescent="0.3">
      <c r="C498" s="27" t="s">
        <v>1509</v>
      </c>
      <c r="D498" s="28">
        <v>491</v>
      </c>
      <c r="E498" s="28" t="s">
        <v>1402</v>
      </c>
      <c r="F498" s="28" t="s">
        <v>345</v>
      </c>
      <c r="G498" s="28" t="s">
        <v>1408</v>
      </c>
      <c r="H498" s="28" t="s">
        <v>90</v>
      </c>
      <c r="I498" s="28" t="s">
        <v>91</v>
      </c>
      <c r="J498" s="28" t="s">
        <v>1951</v>
      </c>
      <c r="K498" s="28" t="s">
        <v>1405</v>
      </c>
      <c r="L498" s="28" t="s">
        <v>1406</v>
      </c>
      <c r="M498" s="28">
        <v>1179.6600000000001</v>
      </c>
      <c r="N498" s="28" t="s">
        <v>1387</v>
      </c>
      <c r="O498" s="28">
        <v>0</v>
      </c>
      <c r="P498" s="29" t="s">
        <v>1407</v>
      </c>
    </row>
    <row r="499" spans="3:16" ht="36.75" thickBot="1" x14ac:dyDescent="0.3">
      <c r="C499" s="27" t="s">
        <v>1509</v>
      </c>
      <c r="D499" s="28">
        <v>492</v>
      </c>
      <c r="E499" s="28" t="s">
        <v>1402</v>
      </c>
      <c r="F499" s="28" t="s">
        <v>221</v>
      </c>
      <c r="G499" s="28" t="s">
        <v>1408</v>
      </c>
      <c r="H499" s="28" t="s">
        <v>90</v>
      </c>
      <c r="I499" s="28" t="s">
        <v>91</v>
      </c>
      <c r="J499" s="28" t="s">
        <v>1951</v>
      </c>
      <c r="K499" s="28" t="s">
        <v>1405</v>
      </c>
      <c r="L499" s="28" t="s">
        <v>1406</v>
      </c>
      <c r="M499" s="28">
        <v>1175.92</v>
      </c>
      <c r="N499" s="28" t="s">
        <v>1387</v>
      </c>
      <c r="O499" s="28">
        <v>0</v>
      </c>
      <c r="P499" s="29" t="s">
        <v>1407</v>
      </c>
    </row>
    <row r="500" spans="3:16" ht="36.75" thickBot="1" x14ac:dyDescent="0.3">
      <c r="C500" s="27" t="s">
        <v>1509</v>
      </c>
      <c r="D500" s="28">
        <v>493</v>
      </c>
      <c r="E500" s="28" t="s">
        <v>1402</v>
      </c>
      <c r="F500" s="28" t="s">
        <v>551</v>
      </c>
      <c r="G500" s="28" t="s">
        <v>1408</v>
      </c>
      <c r="H500" s="28" t="s">
        <v>90</v>
      </c>
      <c r="I500" s="28" t="s">
        <v>91</v>
      </c>
      <c r="J500" s="28" t="s">
        <v>1951</v>
      </c>
      <c r="K500" s="28" t="s">
        <v>1405</v>
      </c>
      <c r="L500" s="28" t="s">
        <v>1406</v>
      </c>
      <c r="M500" s="28">
        <v>3208.02</v>
      </c>
      <c r="N500" s="28" t="s">
        <v>1387</v>
      </c>
      <c r="O500" s="28">
        <v>0</v>
      </c>
      <c r="P500" s="29" t="s">
        <v>1407</v>
      </c>
    </row>
    <row r="501" spans="3:16" ht="36.75" thickBot="1" x14ac:dyDescent="0.3">
      <c r="C501" s="27" t="s">
        <v>1509</v>
      </c>
      <c r="D501" s="28">
        <v>494</v>
      </c>
      <c r="E501" s="28" t="s">
        <v>1402</v>
      </c>
      <c r="F501" s="28" t="s">
        <v>529</v>
      </c>
      <c r="G501" s="28" t="s">
        <v>1408</v>
      </c>
      <c r="H501" s="28" t="s">
        <v>90</v>
      </c>
      <c r="I501" s="28" t="s">
        <v>91</v>
      </c>
      <c r="J501" s="28" t="s">
        <v>1951</v>
      </c>
      <c r="K501" s="28" t="s">
        <v>1405</v>
      </c>
      <c r="L501" s="28" t="s">
        <v>1406</v>
      </c>
      <c r="M501" s="28">
        <v>448.92</v>
      </c>
      <c r="N501" s="28" t="s">
        <v>1387</v>
      </c>
      <c r="O501" s="28">
        <v>0</v>
      </c>
      <c r="P501" s="29" t="s">
        <v>1407</v>
      </c>
    </row>
    <row r="502" spans="3:16" ht="36.75" thickBot="1" x14ac:dyDescent="0.3">
      <c r="C502" s="27" t="s">
        <v>1509</v>
      </c>
      <c r="D502" s="28">
        <v>495</v>
      </c>
      <c r="E502" s="28" t="s">
        <v>1402</v>
      </c>
      <c r="F502" s="28" t="s">
        <v>222</v>
      </c>
      <c r="G502" s="28" t="s">
        <v>1408</v>
      </c>
      <c r="H502" s="28" t="s">
        <v>90</v>
      </c>
      <c r="I502" s="28" t="s">
        <v>91</v>
      </c>
      <c r="J502" s="28" t="s">
        <v>1951</v>
      </c>
      <c r="K502" s="28" t="s">
        <v>1405</v>
      </c>
      <c r="L502" s="28" t="s">
        <v>1406</v>
      </c>
      <c r="M502" s="28">
        <v>49879.79</v>
      </c>
      <c r="N502" s="28" t="s">
        <v>1387</v>
      </c>
      <c r="O502" s="28">
        <v>0</v>
      </c>
      <c r="P502" s="29" t="s">
        <v>1407</v>
      </c>
    </row>
    <row r="503" spans="3:16" ht="36.75" thickBot="1" x14ac:dyDescent="0.3">
      <c r="C503" s="27" t="s">
        <v>1509</v>
      </c>
      <c r="D503" s="28">
        <v>496</v>
      </c>
      <c r="E503" s="28" t="s">
        <v>1402</v>
      </c>
      <c r="F503" s="28" t="s">
        <v>550</v>
      </c>
      <c r="G503" s="28" t="s">
        <v>1408</v>
      </c>
      <c r="H503" s="28" t="s">
        <v>90</v>
      </c>
      <c r="I503" s="28" t="s">
        <v>91</v>
      </c>
      <c r="J503" s="28" t="s">
        <v>1951</v>
      </c>
      <c r="K503" s="28" t="s">
        <v>1405</v>
      </c>
      <c r="L503" s="28" t="s">
        <v>1406</v>
      </c>
      <c r="M503" s="28">
        <v>37409.839999999997</v>
      </c>
      <c r="N503" s="28" t="s">
        <v>1387</v>
      </c>
      <c r="O503" s="28">
        <v>0</v>
      </c>
      <c r="P503" s="29" t="s">
        <v>1407</v>
      </c>
    </row>
    <row r="504" spans="3:16" ht="36.75" thickBot="1" x14ac:dyDescent="0.3">
      <c r="C504" s="27" t="s">
        <v>1509</v>
      </c>
      <c r="D504" s="28">
        <v>497</v>
      </c>
      <c r="E504" s="28" t="s">
        <v>1402</v>
      </c>
      <c r="F504" s="28" t="s">
        <v>553</v>
      </c>
      <c r="G504" s="28" t="s">
        <v>1408</v>
      </c>
      <c r="H504" s="28" t="s">
        <v>90</v>
      </c>
      <c r="I504" s="28" t="s">
        <v>91</v>
      </c>
      <c r="J504" s="28" t="s">
        <v>1951</v>
      </c>
      <c r="K504" s="28" t="s">
        <v>1405</v>
      </c>
      <c r="L504" s="28" t="s">
        <v>1406</v>
      </c>
      <c r="M504" s="28">
        <v>52373.78</v>
      </c>
      <c r="N504" s="28" t="s">
        <v>1387</v>
      </c>
      <c r="O504" s="28">
        <v>0</v>
      </c>
      <c r="P504" s="29" t="s">
        <v>1407</v>
      </c>
    </row>
    <row r="505" spans="3:16" ht="36.75" thickBot="1" x14ac:dyDescent="0.3">
      <c r="C505" s="27" t="s">
        <v>1509</v>
      </c>
      <c r="D505" s="28">
        <v>498</v>
      </c>
      <c r="E505" s="28" t="s">
        <v>1402</v>
      </c>
      <c r="F505" s="28" t="s">
        <v>913</v>
      </c>
      <c r="G505" s="28" t="s">
        <v>1408</v>
      </c>
      <c r="H505" s="28" t="s">
        <v>90</v>
      </c>
      <c r="I505" s="28" t="s">
        <v>91</v>
      </c>
      <c r="J505" s="28" t="s">
        <v>1951</v>
      </c>
      <c r="K505" s="28" t="s">
        <v>1405</v>
      </c>
      <c r="L505" s="28" t="s">
        <v>1406</v>
      </c>
      <c r="M505" s="28">
        <v>64843.73</v>
      </c>
      <c r="N505" s="28" t="s">
        <v>1387</v>
      </c>
      <c r="O505" s="28">
        <v>0</v>
      </c>
      <c r="P505" s="29" t="s">
        <v>1407</v>
      </c>
    </row>
    <row r="506" spans="3:16" ht="36.75" thickBot="1" x14ac:dyDescent="0.3">
      <c r="C506" s="27" t="s">
        <v>1509</v>
      </c>
      <c r="D506" s="28">
        <v>499</v>
      </c>
      <c r="E506" s="28" t="s">
        <v>1402</v>
      </c>
      <c r="F506" s="28" t="s">
        <v>347</v>
      </c>
      <c r="G506" s="28" t="s">
        <v>1408</v>
      </c>
      <c r="H506" s="28" t="s">
        <v>90</v>
      </c>
      <c r="I506" s="28" t="s">
        <v>91</v>
      </c>
      <c r="J506" s="28" t="s">
        <v>1951</v>
      </c>
      <c r="K506" s="28" t="s">
        <v>1405</v>
      </c>
      <c r="L506" s="28" t="s">
        <v>1406</v>
      </c>
      <c r="M506" s="28">
        <v>174579.26</v>
      </c>
      <c r="N506" s="28" t="s">
        <v>1387</v>
      </c>
      <c r="O506" s="28">
        <v>0</v>
      </c>
      <c r="P506" s="29" t="s">
        <v>1407</v>
      </c>
    </row>
    <row r="507" spans="3:16" ht="36.75" thickBot="1" x14ac:dyDescent="0.3">
      <c r="C507" s="27" t="s">
        <v>1509</v>
      </c>
      <c r="D507" s="28">
        <v>500</v>
      </c>
      <c r="E507" s="28" t="s">
        <v>1402</v>
      </c>
      <c r="F507" s="28" t="s">
        <v>346</v>
      </c>
      <c r="G507" s="28" t="s">
        <v>1408</v>
      </c>
      <c r="H507" s="28" t="s">
        <v>90</v>
      </c>
      <c r="I507" s="28" t="s">
        <v>91</v>
      </c>
      <c r="J507" s="28" t="s">
        <v>1951</v>
      </c>
      <c r="K507" s="28" t="s">
        <v>1405</v>
      </c>
      <c r="L507" s="28" t="s">
        <v>1406</v>
      </c>
      <c r="M507" s="28">
        <v>1298.73</v>
      </c>
      <c r="N507" s="28" t="s">
        <v>1387</v>
      </c>
      <c r="O507" s="28">
        <v>0</v>
      </c>
      <c r="P507" s="29" t="s">
        <v>1407</v>
      </c>
    </row>
    <row r="508" spans="3:16" ht="36.75" thickBot="1" x14ac:dyDescent="0.3">
      <c r="C508" s="27" t="s">
        <v>1509</v>
      </c>
      <c r="D508" s="28">
        <v>501</v>
      </c>
      <c r="E508" s="28" t="s">
        <v>1402</v>
      </c>
      <c r="F508" s="28" t="s">
        <v>555</v>
      </c>
      <c r="G508" s="28" t="s">
        <v>1408</v>
      </c>
      <c r="H508" s="28" t="s">
        <v>90</v>
      </c>
      <c r="I508" s="28" t="s">
        <v>91</v>
      </c>
      <c r="J508" s="28" t="s">
        <v>1951</v>
      </c>
      <c r="K508" s="28" t="s">
        <v>1405</v>
      </c>
      <c r="L508" s="28" t="s">
        <v>1406</v>
      </c>
      <c r="M508" s="28">
        <v>4489.18</v>
      </c>
      <c r="N508" s="28" t="s">
        <v>1387</v>
      </c>
      <c r="O508" s="28">
        <v>0</v>
      </c>
      <c r="P508" s="29" t="s">
        <v>1407</v>
      </c>
    </row>
    <row r="509" spans="3:16" ht="36.75" thickBot="1" x14ac:dyDescent="0.3">
      <c r="C509" s="27" t="s">
        <v>1509</v>
      </c>
      <c r="D509" s="28">
        <v>502</v>
      </c>
      <c r="E509" s="28" t="s">
        <v>1402</v>
      </c>
      <c r="F509" s="28" t="s">
        <v>340</v>
      </c>
      <c r="G509" s="28" t="s">
        <v>1408</v>
      </c>
      <c r="H509" s="28" t="s">
        <v>90</v>
      </c>
      <c r="I509" s="28" t="s">
        <v>91</v>
      </c>
      <c r="J509" s="28" t="s">
        <v>1951</v>
      </c>
      <c r="K509" s="28" t="s">
        <v>1405</v>
      </c>
      <c r="L509" s="28" t="s">
        <v>1406</v>
      </c>
      <c r="M509" s="28">
        <v>7592.75</v>
      </c>
      <c r="N509" s="28" t="s">
        <v>1387</v>
      </c>
      <c r="O509" s="28">
        <v>0</v>
      </c>
      <c r="P509" s="29" t="s">
        <v>1407</v>
      </c>
    </row>
    <row r="510" spans="3:16" ht="36.75" thickBot="1" x14ac:dyDescent="0.3">
      <c r="C510" s="27" t="s">
        <v>1509</v>
      </c>
      <c r="D510" s="28">
        <v>503</v>
      </c>
      <c r="E510" s="28" t="s">
        <v>1402</v>
      </c>
      <c r="F510" s="28" t="s">
        <v>110</v>
      </c>
      <c r="G510" s="28" t="s">
        <v>1408</v>
      </c>
      <c r="H510" s="28" t="s">
        <v>90</v>
      </c>
      <c r="I510" s="28" t="s">
        <v>91</v>
      </c>
      <c r="J510" s="28" t="s">
        <v>1951</v>
      </c>
      <c r="K510" s="28" t="s">
        <v>1405</v>
      </c>
      <c r="L510" s="28" t="s">
        <v>1406</v>
      </c>
      <c r="M510" s="28">
        <v>19951.919999999998</v>
      </c>
      <c r="N510" s="28" t="s">
        <v>1387</v>
      </c>
      <c r="O510" s="28">
        <v>0</v>
      </c>
      <c r="P510" s="29" t="s">
        <v>1407</v>
      </c>
    </row>
    <row r="511" spans="3:16" ht="36.75" thickBot="1" x14ac:dyDescent="0.3">
      <c r="C511" s="27" t="s">
        <v>1509</v>
      </c>
      <c r="D511" s="28">
        <v>504</v>
      </c>
      <c r="E511" s="28" t="s">
        <v>1402</v>
      </c>
      <c r="F511" s="28" t="s">
        <v>554</v>
      </c>
      <c r="G511" s="28" t="s">
        <v>1408</v>
      </c>
      <c r="H511" s="28" t="s">
        <v>90</v>
      </c>
      <c r="I511" s="28" t="s">
        <v>91</v>
      </c>
      <c r="J511" s="28" t="s">
        <v>1951</v>
      </c>
      <c r="K511" s="28" t="s">
        <v>1405</v>
      </c>
      <c r="L511" s="28" t="s">
        <v>1406</v>
      </c>
      <c r="M511" s="28">
        <v>22445.91</v>
      </c>
      <c r="N511" s="28" t="s">
        <v>1387</v>
      </c>
      <c r="O511" s="28">
        <v>0</v>
      </c>
      <c r="P511" s="29" t="s">
        <v>1407</v>
      </c>
    </row>
    <row r="512" spans="3:16" ht="36.75" thickBot="1" x14ac:dyDescent="0.3">
      <c r="C512" s="27" t="s">
        <v>1509</v>
      </c>
      <c r="D512" s="28">
        <v>505</v>
      </c>
      <c r="E512" s="28" t="s">
        <v>1402</v>
      </c>
      <c r="F512" s="28" t="s">
        <v>349</v>
      </c>
      <c r="G512" s="28" t="s">
        <v>1408</v>
      </c>
      <c r="H512" s="28" t="s">
        <v>90</v>
      </c>
      <c r="I512" s="28" t="s">
        <v>91</v>
      </c>
      <c r="J512" s="28" t="s">
        <v>1951</v>
      </c>
      <c r="K512" s="28" t="s">
        <v>1405</v>
      </c>
      <c r="L512" s="28" t="s">
        <v>1406</v>
      </c>
      <c r="M512" s="28">
        <v>10931.16</v>
      </c>
      <c r="N512" s="28" t="s">
        <v>1387</v>
      </c>
      <c r="O512" s="28">
        <v>0</v>
      </c>
      <c r="P512" s="29" t="s">
        <v>1407</v>
      </c>
    </row>
    <row r="513" spans="3:16" ht="36.75" thickBot="1" x14ac:dyDescent="0.3">
      <c r="C513" s="27" t="s">
        <v>1509</v>
      </c>
      <c r="D513" s="28">
        <v>506</v>
      </c>
      <c r="E513" s="28" t="s">
        <v>1402</v>
      </c>
      <c r="F513" s="28" t="s">
        <v>127</v>
      </c>
      <c r="G513" s="28" t="s">
        <v>1408</v>
      </c>
      <c r="H513" s="28" t="s">
        <v>90</v>
      </c>
      <c r="I513" s="28" t="s">
        <v>91</v>
      </c>
      <c r="J513" s="28" t="s">
        <v>1951</v>
      </c>
      <c r="K513" s="28" t="s">
        <v>1405</v>
      </c>
      <c r="L513" s="28" t="s">
        <v>1406</v>
      </c>
      <c r="M513" s="28">
        <v>65586.94</v>
      </c>
      <c r="N513" s="28" t="s">
        <v>1387</v>
      </c>
      <c r="O513" s="28">
        <v>0</v>
      </c>
      <c r="P513" s="29" t="s">
        <v>1407</v>
      </c>
    </row>
    <row r="514" spans="3:16" ht="36.75" thickBot="1" x14ac:dyDescent="0.3">
      <c r="C514" s="27" t="s">
        <v>1509</v>
      </c>
      <c r="D514" s="28">
        <v>507</v>
      </c>
      <c r="E514" s="28" t="s">
        <v>1402</v>
      </c>
      <c r="F514" s="28" t="s">
        <v>560</v>
      </c>
      <c r="G514" s="28" t="s">
        <v>1408</v>
      </c>
      <c r="H514" s="28" t="s">
        <v>90</v>
      </c>
      <c r="I514" s="28" t="s">
        <v>91</v>
      </c>
      <c r="J514" s="28" t="s">
        <v>1951</v>
      </c>
      <c r="K514" s="28" t="s">
        <v>1405</v>
      </c>
      <c r="L514" s="28" t="s">
        <v>1406</v>
      </c>
      <c r="M514" s="28">
        <v>14870.78</v>
      </c>
      <c r="N514" s="28" t="s">
        <v>1387</v>
      </c>
      <c r="O514" s="28">
        <v>0</v>
      </c>
      <c r="P514" s="29" t="s">
        <v>1407</v>
      </c>
    </row>
    <row r="515" spans="3:16" ht="36.75" thickBot="1" x14ac:dyDescent="0.3">
      <c r="C515" s="27" t="s">
        <v>1509</v>
      </c>
      <c r="D515" s="28">
        <v>508</v>
      </c>
      <c r="E515" s="28" t="s">
        <v>1402</v>
      </c>
      <c r="F515" s="28" t="s">
        <v>923</v>
      </c>
      <c r="G515" s="28" t="s">
        <v>1408</v>
      </c>
      <c r="H515" s="28" t="s">
        <v>90</v>
      </c>
      <c r="I515" s="28" t="s">
        <v>91</v>
      </c>
      <c r="J515" s="28" t="s">
        <v>1951</v>
      </c>
      <c r="K515" s="28" t="s">
        <v>1405</v>
      </c>
      <c r="L515" s="28" t="s">
        <v>1406</v>
      </c>
      <c r="M515" s="28">
        <v>522764.5</v>
      </c>
      <c r="N515" s="28" t="s">
        <v>1387</v>
      </c>
      <c r="O515" s="28">
        <v>0</v>
      </c>
      <c r="P515" s="29" t="s">
        <v>1407</v>
      </c>
    </row>
    <row r="516" spans="3:16" ht="36.75" thickBot="1" x14ac:dyDescent="0.3">
      <c r="C516" s="27" t="s">
        <v>1509</v>
      </c>
      <c r="D516" s="28">
        <v>509</v>
      </c>
      <c r="E516" s="28" t="s">
        <v>1402</v>
      </c>
      <c r="F516" s="28" t="s">
        <v>653</v>
      </c>
      <c r="G516" s="28" t="s">
        <v>1408</v>
      </c>
      <c r="H516" s="28" t="s">
        <v>90</v>
      </c>
      <c r="I516" s="28" t="s">
        <v>91</v>
      </c>
      <c r="J516" s="28" t="s">
        <v>1951</v>
      </c>
      <c r="K516" s="28" t="s">
        <v>1405</v>
      </c>
      <c r="L516" s="28" t="s">
        <v>1406</v>
      </c>
      <c r="M516" s="28">
        <v>11525.44</v>
      </c>
      <c r="N516" s="28" t="s">
        <v>1387</v>
      </c>
      <c r="O516" s="28">
        <v>0</v>
      </c>
      <c r="P516" s="29" t="s">
        <v>1407</v>
      </c>
    </row>
    <row r="517" spans="3:16" ht="36.75" thickBot="1" x14ac:dyDescent="0.3">
      <c r="C517" s="27" t="s">
        <v>1509</v>
      </c>
      <c r="D517" s="28">
        <v>510</v>
      </c>
      <c r="E517" s="28" t="s">
        <v>1402</v>
      </c>
      <c r="F517" s="28" t="s">
        <v>398</v>
      </c>
      <c r="G517" s="28" t="s">
        <v>1408</v>
      </c>
      <c r="H517" s="28" t="s">
        <v>90</v>
      </c>
      <c r="I517" s="28" t="s">
        <v>91</v>
      </c>
      <c r="J517" s="28" t="s">
        <v>1951</v>
      </c>
      <c r="K517" s="28" t="s">
        <v>1405</v>
      </c>
      <c r="L517" s="28" t="s">
        <v>1406</v>
      </c>
      <c r="M517" s="28">
        <v>10973.55</v>
      </c>
      <c r="N517" s="28" t="s">
        <v>1387</v>
      </c>
      <c r="O517" s="28">
        <v>0</v>
      </c>
      <c r="P517" s="29" t="s">
        <v>1407</v>
      </c>
    </row>
    <row r="518" spans="3:16" ht="36.75" thickBot="1" x14ac:dyDescent="0.3">
      <c r="C518" s="27" t="s">
        <v>1509</v>
      </c>
      <c r="D518" s="28">
        <v>511</v>
      </c>
      <c r="E518" s="28" t="s">
        <v>1402</v>
      </c>
      <c r="F518" s="28" t="s">
        <v>659</v>
      </c>
      <c r="G518" s="28" t="s">
        <v>1408</v>
      </c>
      <c r="H518" s="28" t="s">
        <v>90</v>
      </c>
      <c r="I518" s="28" t="s">
        <v>91</v>
      </c>
      <c r="J518" s="28" t="s">
        <v>1951</v>
      </c>
      <c r="K518" s="28" t="s">
        <v>1405</v>
      </c>
      <c r="L518" s="28" t="s">
        <v>1406</v>
      </c>
      <c r="M518" s="28">
        <v>934.85</v>
      </c>
      <c r="N518" s="28" t="s">
        <v>1387</v>
      </c>
      <c r="O518" s="28">
        <v>0</v>
      </c>
      <c r="P518" s="29" t="s">
        <v>1407</v>
      </c>
    </row>
    <row r="519" spans="3:16" ht="36.75" thickBot="1" x14ac:dyDescent="0.3">
      <c r="C519" s="27" t="s">
        <v>1509</v>
      </c>
      <c r="D519" s="28">
        <v>512</v>
      </c>
      <c r="E519" s="28" t="s">
        <v>1402</v>
      </c>
      <c r="F519" s="28" t="s">
        <v>1086</v>
      </c>
      <c r="G519" s="28" t="s">
        <v>1408</v>
      </c>
      <c r="H519" s="28" t="s">
        <v>90</v>
      </c>
      <c r="I519" s="28" t="s">
        <v>91</v>
      </c>
      <c r="J519" s="28" t="s">
        <v>1951</v>
      </c>
      <c r="K519" s="28" t="s">
        <v>1405</v>
      </c>
      <c r="L519" s="28" t="s">
        <v>1406</v>
      </c>
      <c r="M519" s="28">
        <v>10582.5</v>
      </c>
      <c r="N519" s="28" t="s">
        <v>1387</v>
      </c>
      <c r="O519" s="28">
        <v>0</v>
      </c>
      <c r="P519" s="29" t="s">
        <v>1407</v>
      </c>
    </row>
    <row r="520" spans="3:16" ht="36.75" thickBot="1" x14ac:dyDescent="0.3">
      <c r="C520" s="27" t="s">
        <v>1509</v>
      </c>
      <c r="D520" s="28">
        <v>513</v>
      </c>
      <c r="E520" s="28" t="s">
        <v>1402</v>
      </c>
      <c r="F520" s="28" t="s">
        <v>1115</v>
      </c>
      <c r="G520" s="28" t="s">
        <v>1408</v>
      </c>
      <c r="H520" s="28" t="s">
        <v>90</v>
      </c>
      <c r="I520" s="28" t="s">
        <v>91</v>
      </c>
      <c r="J520" s="28" t="s">
        <v>1951</v>
      </c>
      <c r="K520" s="28" t="s">
        <v>1405</v>
      </c>
      <c r="L520" s="28" t="s">
        <v>1406</v>
      </c>
      <c r="M520" s="28">
        <v>11410.9</v>
      </c>
      <c r="N520" s="28" t="s">
        <v>1387</v>
      </c>
      <c r="O520" s="28">
        <v>0</v>
      </c>
      <c r="P520" s="29" t="s">
        <v>1407</v>
      </c>
    </row>
    <row r="521" spans="3:16" ht="36.75" thickBot="1" x14ac:dyDescent="0.3">
      <c r="C521" s="27" t="s">
        <v>1509</v>
      </c>
      <c r="D521" s="28">
        <v>514</v>
      </c>
      <c r="E521" s="28" t="s">
        <v>1402</v>
      </c>
      <c r="F521" s="28" t="s">
        <v>1129</v>
      </c>
      <c r="G521" s="28" t="s">
        <v>1408</v>
      </c>
      <c r="H521" s="28" t="s">
        <v>90</v>
      </c>
      <c r="I521" s="28" t="s">
        <v>91</v>
      </c>
      <c r="J521" s="28" t="s">
        <v>1951</v>
      </c>
      <c r="K521" s="28" t="s">
        <v>1405</v>
      </c>
      <c r="L521" s="28" t="s">
        <v>1406</v>
      </c>
      <c r="M521" s="28">
        <v>46655.89</v>
      </c>
      <c r="N521" s="28" t="s">
        <v>1387</v>
      </c>
      <c r="O521" s="28">
        <v>0</v>
      </c>
      <c r="P521" s="29" t="s">
        <v>1407</v>
      </c>
    </row>
    <row r="522" spans="3:16" ht="36.75" thickBot="1" x14ac:dyDescent="0.3">
      <c r="C522" s="27" t="s">
        <v>1509</v>
      </c>
      <c r="D522" s="28">
        <v>515</v>
      </c>
      <c r="E522" s="28" t="s">
        <v>1402</v>
      </c>
      <c r="F522" s="28" t="s">
        <v>693</v>
      </c>
      <c r="G522" s="28" t="s">
        <v>1408</v>
      </c>
      <c r="H522" s="28" t="s">
        <v>90</v>
      </c>
      <c r="I522" s="28" t="s">
        <v>91</v>
      </c>
      <c r="J522" s="28" t="s">
        <v>1951</v>
      </c>
      <c r="K522" s="28" t="s">
        <v>1405</v>
      </c>
      <c r="L522" s="28" t="s">
        <v>1406</v>
      </c>
      <c r="M522" s="28">
        <v>7047.14</v>
      </c>
      <c r="N522" s="28" t="s">
        <v>1387</v>
      </c>
      <c r="O522" s="28">
        <v>0</v>
      </c>
      <c r="P522" s="29" t="s">
        <v>1407</v>
      </c>
    </row>
    <row r="523" spans="3:16" ht="36.75" thickBot="1" x14ac:dyDescent="0.3">
      <c r="C523" s="27" t="s">
        <v>1509</v>
      </c>
      <c r="D523" s="28">
        <v>516</v>
      </c>
      <c r="E523" s="28" t="s">
        <v>1402</v>
      </c>
      <c r="F523" s="28" t="s">
        <v>1142</v>
      </c>
      <c r="G523" s="28" t="s">
        <v>1408</v>
      </c>
      <c r="H523" s="28" t="s">
        <v>90</v>
      </c>
      <c r="I523" s="28" t="s">
        <v>91</v>
      </c>
      <c r="J523" s="28" t="s">
        <v>1951</v>
      </c>
      <c r="K523" s="28" t="s">
        <v>1405</v>
      </c>
      <c r="L523" s="28" t="s">
        <v>1406</v>
      </c>
      <c r="M523" s="28">
        <v>87954.83</v>
      </c>
      <c r="N523" s="28" t="s">
        <v>1387</v>
      </c>
      <c r="O523" s="28">
        <v>0</v>
      </c>
      <c r="P523" s="29" t="s">
        <v>1407</v>
      </c>
    </row>
    <row r="524" spans="3:16" ht="36.75" thickBot="1" x14ac:dyDescent="0.3">
      <c r="C524" s="27" t="s">
        <v>1509</v>
      </c>
      <c r="D524" s="28">
        <v>517</v>
      </c>
      <c r="E524" s="28" t="s">
        <v>1402</v>
      </c>
      <c r="F524" s="28" t="s">
        <v>703</v>
      </c>
      <c r="G524" s="28" t="s">
        <v>1408</v>
      </c>
      <c r="H524" s="28" t="s">
        <v>90</v>
      </c>
      <c r="I524" s="28" t="s">
        <v>91</v>
      </c>
      <c r="J524" s="28" t="s">
        <v>1951</v>
      </c>
      <c r="K524" s="28" t="s">
        <v>1405</v>
      </c>
      <c r="L524" s="28" t="s">
        <v>1406</v>
      </c>
      <c r="M524" s="28">
        <v>44896.11</v>
      </c>
      <c r="N524" s="28" t="s">
        <v>1387</v>
      </c>
      <c r="O524" s="28">
        <v>0</v>
      </c>
      <c r="P524" s="29" t="s">
        <v>1407</v>
      </c>
    </row>
    <row r="525" spans="3:16" ht="36.75" thickBot="1" x14ac:dyDescent="0.3">
      <c r="C525" s="27" t="s">
        <v>1509</v>
      </c>
      <c r="D525" s="28">
        <v>518</v>
      </c>
      <c r="E525" s="28" t="s">
        <v>1402</v>
      </c>
      <c r="F525" s="28" t="s">
        <v>117</v>
      </c>
      <c r="G525" s="28" t="s">
        <v>1408</v>
      </c>
      <c r="H525" s="28" t="s">
        <v>90</v>
      </c>
      <c r="I525" s="28" t="s">
        <v>91</v>
      </c>
      <c r="J525" s="28" t="s">
        <v>1951</v>
      </c>
      <c r="K525" s="28" t="s">
        <v>1405</v>
      </c>
      <c r="L525" s="28" t="s">
        <v>1406</v>
      </c>
      <c r="M525" s="28">
        <v>17208.53</v>
      </c>
      <c r="N525" s="28" t="s">
        <v>1387</v>
      </c>
      <c r="O525" s="28">
        <v>0</v>
      </c>
      <c r="P525" s="29" t="s">
        <v>1407</v>
      </c>
    </row>
    <row r="526" spans="3:16" ht="36.75" thickBot="1" x14ac:dyDescent="0.3">
      <c r="C526" s="27" t="s">
        <v>1509</v>
      </c>
      <c r="D526" s="28">
        <v>519</v>
      </c>
      <c r="E526" s="28" t="s">
        <v>1402</v>
      </c>
      <c r="F526" s="28" t="s">
        <v>704</v>
      </c>
      <c r="G526" s="28" t="s">
        <v>1408</v>
      </c>
      <c r="H526" s="28" t="s">
        <v>90</v>
      </c>
      <c r="I526" s="28" t="s">
        <v>91</v>
      </c>
      <c r="J526" s="28" t="s">
        <v>1951</v>
      </c>
      <c r="K526" s="28" t="s">
        <v>1405</v>
      </c>
      <c r="L526" s="28" t="s">
        <v>1406</v>
      </c>
      <c r="M526" s="28">
        <v>29927.87</v>
      </c>
      <c r="N526" s="28" t="s">
        <v>1387</v>
      </c>
      <c r="O526" s="28">
        <v>0</v>
      </c>
      <c r="P526" s="29" t="s">
        <v>1407</v>
      </c>
    </row>
    <row r="527" spans="3:16" ht="36.75" thickBot="1" x14ac:dyDescent="0.3">
      <c r="C527" s="27" t="s">
        <v>1509</v>
      </c>
      <c r="D527" s="28">
        <v>520</v>
      </c>
      <c r="E527" s="28" t="s">
        <v>1402</v>
      </c>
      <c r="F527" s="28" t="s">
        <v>1171</v>
      </c>
      <c r="G527" s="28" t="s">
        <v>1408</v>
      </c>
      <c r="H527" s="28" t="s">
        <v>90</v>
      </c>
      <c r="I527" s="28" t="s">
        <v>91</v>
      </c>
      <c r="J527" s="28" t="s">
        <v>1951</v>
      </c>
      <c r="K527" s="28" t="s">
        <v>1405</v>
      </c>
      <c r="L527" s="28" t="s">
        <v>1406</v>
      </c>
      <c r="M527" s="28">
        <v>7481.97</v>
      </c>
      <c r="N527" s="28" t="s">
        <v>1387</v>
      </c>
      <c r="O527" s="28">
        <v>0</v>
      </c>
      <c r="P527" s="29" t="s">
        <v>1407</v>
      </c>
    </row>
    <row r="528" spans="3:16" ht="36.75" thickBot="1" x14ac:dyDescent="0.3">
      <c r="C528" s="27" t="s">
        <v>1509</v>
      </c>
      <c r="D528" s="28">
        <v>521</v>
      </c>
      <c r="E528" s="28" t="s">
        <v>1402</v>
      </c>
      <c r="F528" s="28" t="s">
        <v>431</v>
      </c>
      <c r="G528" s="28" t="s">
        <v>1408</v>
      </c>
      <c r="H528" s="28" t="s">
        <v>90</v>
      </c>
      <c r="I528" s="28" t="s">
        <v>91</v>
      </c>
      <c r="J528" s="28" t="s">
        <v>1951</v>
      </c>
      <c r="K528" s="28" t="s">
        <v>1405</v>
      </c>
      <c r="L528" s="28" t="s">
        <v>1406</v>
      </c>
      <c r="M528" s="28">
        <v>5985.57</v>
      </c>
      <c r="N528" s="28" t="s">
        <v>1387</v>
      </c>
      <c r="O528" s="28">
        <v>0</v>
      </c>
      <c r="P528" s="29" t="s">
        <v>1407</v>
      </c>
    </row>
    <row r="529" spans="3:16" ht="36.75" thickBot="1" x14ac:dyDescent="0.3">
      <c r="C529" s="27" t="s">
        <v>1509</v>
      </c>
      <c r="D529" s="28">
        <v>522</v>
      </c>
      <c r="E529" s="28" t="s">
        <v>1402</v>
      </c>
      <c r="F529" s="28" t="s">
        <v>1174</v>
      </c>
      <c r="G529" s="28" t="s">
        <v>1408</v>
      </c>
      <c r="H529" s="28" t="s">
        <v>90</v>
      </c>
      <c r="I529" s="28" t="s">
        <v>91</v>
      </c>
      <c r="J529" s="28" t="s">
        <v>1951</v>
      </c>
      <c r="K529" s="28" t="s">
        <v>1405</v>
      </c>
      <c r="L529" s="28" t="s">
        <v>1406</v>
      </c>
      <c r="M529" s="28">
        <v>401563.74</v>
      </c>
      <c r="N529" s="28" t="s">
        <v>1387</v>
      </c>
      <c r="O529" s="28">
        <v>0</v>
      </c>
      <c r="P529" s="29" t="s">
        <v>1407</v>
      </c>
    </row>
    <row r="530" spans="3:16" ht="36.75" thickBot="1" x14ac:dyDescent="0.3">
      <c r="C530" s="27" t="s">
        <v>1509</v>
      </c>
      <c r="D530" s="28">
        <v>523</v>
      </c>
      <c r="E530" s="28" t="s">
        <v>1402</v>
      </c>
      <c r="F530" s="28" t="s">
        <v>268</v>
      </c>
      <c r="G530" s="28" t="s">
        <v>1408</v>
      </c>
      <c r="H530" s="28" t="s">
        <v>90</v>
      </c>
      <c r="I530" s="28" t="s">
        <v>91</v>
      </c>
      <c r="J530" s="28" t="s">
        <v>1951</v>
      </c>
      <c r="K530" s="28" t="s">
        <v>1405</v>
      </c>
      <c r="L530" s="28" t="s">
        <v>1406</v>
      </c>
      <c r="M530" s="28">
        <v>164243.43</v>
      </c>
      <c r="N530" s="28" t="s">
        <v>1387</v>
      </c>
      <c r="O530" s="28">
        <v>0</v>
      </c>
      <c r="P530" s="29" t="s">
        <v>1407</v>
      </c>
    </row>
    <row r="531" spans="3:16" ht="36.75" thickBot="1" x14ac:dyDescent="0.3">
      <c r="C531" s="27" t="s">
        <v>1509</v>
      </c>
      <c r="D531" s="28">
        <v>524</v>
      </c>
      <c r="E531" s="28" t="s">
        <v>1402</v>
      </c>
      <c r="F531" s="28" t="s">
        <v>700</v>
      </c>
      <c r="G531" s="28" t="s">
        <v>1408</v>
      </c>
      <c r="H531" s="28" t="s">
        <v>90</v>
      </c>
      <c r="I531" s="28" t="s">
        <v>91</v>
      </c>
      <c r="J531" s="28" t="s">
        <v>1951</v>
      </c>
      <c r="K531" s="28" t="s">
        <v>1405</v>
      </c>
      <c r="L531" s="28" t="s">
        <v>1406</v>
      </c>
      <c r="M531" s="28">
        <v>24939.89</v>
      </c>
      <c r="N531" s="28" t="s">
        <v>1387</v>
      </c>
      <c r="O531" s="28">
        <v>0</v>
      </c>
      <c r="P531" s="29" t="s">
        <v>1407</v>
      </c>
    </row>
    <row r="532" spans="3:16" ht="36.75" thickBot="1" x14ac:dyDescent="0.3">
      <c r="C532" s="27" t="s">
        <v>1509</v>
      </c>
      <c r="D532" s="28">
        <v>525</v>
      </c>
      <c r="E532" s="28" t="s">
        <v>1402</v>
      </c>
      <c r="F532" s="28" t="s">
        <v>708</v>
      </c>
      <c r="G532" s="28" t="s">
        <v>1408</v>
      </c>
      <c r="H532" s="28" t="s">
        <v>90</v>
      </c>
      <c r="I532" s="28" t="s">
        <v>91</v>
      </c>
      <c r="J532" s="28" t="s">
        <v>1951</v>
      </c>
      <c r="K532" s="28" t="s">
        <v>1405</v>
      </c>
      <c r="L532" s="28" t="s">
        <v>1406</v>
      </c>
      <c r="M532" s="28">
        <v>3637059.69</v>
      </c>
      <c r="N532" s="28" t="s">
        <v>1387</v>
      </c>
      <c r="O532" s="28">
        <v>0</v>
      </c>
      <c r="P532" s="29" t="s">
        <v>1407</v>
      </c>
    </row>
    <row r="533" spans="3:16" ht="36.75" thickBot="1" x14ac:dyDescent="0.3">
      <c r="C533" s="27" t="s">
        <v>1509</v>
      </c>
      <c r="D533" s="28">
        <v>526</v>
      </c>
      <c r="E533" s="28" t="s">
        <v>1402</v>
      </c>
      <c r="F533" s="28" t="s">
        <v>905</v>
      </c>
      <c r="G533" s="28" t="s">
        <v>89</v>
      </c>
      <c r="H533" s="28" t="s">
        <v>90</v>
      </c>
      <c r="I533" s="28" t="s">
        <v>91</v>
      </c>
      <c r="J533" s="28" t="s">
        <v>1951</v>
      </c>
      <c r="K533" s="28" t="s">
        <v>1405</v>
      </c>
      <c r="L533" s="28" t="s">
        <v>1406</v>
      </c>
      <c r="M533" s="28">
        <v>5355273.5</v>
      </c>
      <c r="N533" s="28" t="s">
        <v>1387</v>
      </c>
      <c r="O533" s="28">
        <v>0</v>
      </c>
      <c r="P533" s="29" t="s">
        <v>1407</v>
      </c>
    </row>
    <row r="534" spans="3:16" ht="36.75" thickBot="1" x14ac:dyDescent="0.3">
      <c r="C534" s="27" t="s">
        <v>1509</v>
      </c>
      <c r="D534" s="28">
        <v>527</v>
      </c>
      <c r="E534" s="28" t="s">
        <v>1402</v>
      </c>
      <c r="F534" s="28" t="s">
        <v>365</v>
      </c>
      <c r="G534" s="28" t="s">
        <v>89</v>
      </c>
      <c r="H534" s="28" t="s">
        <v>90</v>
      </c>
      <c r="I534" s="28" t="s">
        <v>91</v>
      </c>
      <c r="J534" s="28" t="s">
        <v>1951</v>
      </c>
      <c r="K534" s="28" t="s">
        <v>1405</v>
      </c>
      <c r="L534" s="28" t="s">
        <v>1406</v>
      </c>
      <c r="M534" s="28">
        <v>8766.3799999999992</v>
      </c>
      <c r="N534" s="28" t="s">
        <v>1387</v>
      </c>
      <c r="O534" s="28">
        <v>0</v>
      </c>
      <c r="P534" s="29" t="s">
        <v>1407</v>
      </c>
    </row>
    <row r="535" spans="3:16" ht="36.75" thickBot="1" x14ac:dyDescent="0.3">
      <c r="C535" s="27" t="s">
        <v>1509</v>
      </c>
      <c r="D535" s="28">
        <v>528</v>
      </c>
      <c r="E535" s="28" t="s">
        <v>1402</v>
      </c>
      <c r="F535" s="28" t="s">
        <v>165</v>
      </c>
      <c r="G535" s="28" t="s">
        <v>89</v>
      </c>
      <c r="H535" s="28" t="s">
        <v>90</v>
      </c>
      <c r="I535" s="28" t="s">
        <v>91</v>
      </c>
      <c r="J535" s="28" t="s">
        <v>1951</v>
      </c>
      <c r="K535" s="28" t="s">
        <v>1405</v>
      </c>
      <c r="L535" s="28" t="s">
        <v>1406</v>
      </c>
      <c r="M535" s="28">
        <v>208534.5</v>
      </c>
      <c r="N535" s="28" t="s">
        <v>1387</v>
      </c>
      <c r="O535" s="28">
        <v>0</v>
      </c>
      <c r="P535" s="29" t="s">
        <v>1407</v>
      </c>
    </row>
    <row r="536" spans="3:16" ht="36.75" thickBot="1" x14ac:dyDescent="0.3">
      <c r="C536" s="27" t="s">
        <v>1509</v>
      </c>
      <c r="D536" s="28">
        <v>529</v>
      </c>
      <c r="E536" s="28" t="s">
        <v>1402</v>
      </c>
      <c r="F536" s="28" t="s">
        <v>590</v>
      </c>
      <c r="G536" s="28" t="s">
        <v>89</v>
      </c>
      <c r="H536" s="28" t="s">
        <v>90</v>
      </c>
      <c r="I536" s="28" t="s">
        <v>91</v>
      </c>
      <c r="J536" s="28" t="s">
        <v>1951</v>
      </c>
      <c r="K536" s="28" t="s">
        <v>1405</v>
      </c>
      <c r="L536" s="28" t="s">
        <v>1406</v>
      </c>
      <c r="M536" s="28">
        <v>816816</v>
      </c>
      <c r="N536" s="28" t="s">
        <v>1387</v>
      </c>
      <c r="O536" s="28">
        <v>0</v>
      </c>
      <c r="P536" s="29" t="s">
        <v>1407</v>
      </c>
    </row>
    <row r="537" spans="3:16" ht="36.75" thickBot="1" x14ac:dyDescent="0.3">
      <c r="C537" s="27" t="s">
        <v>1509</v>
      </c>
      <c r="D537" s="28">
        <v>530</v>
      </c>
      <c r="E537" s="28" t="s">
        <v>1402</v>
      </c>
      <c r="F537" s="28" t="s">
        <v>367</v>
      </c>
      <c r="G537" s="28" t="s">
        <v>89</v>
      </c>
      <c r="H537" s="28" t="s">
        <v>90</v>
      </c>
      <c r="I537" s="28" t="s">
        <v>91</v>
      </c>
      <c r="J537" s="28" t="s">
        <v>1951</v>
      </c>
      <c r="K537" s="28" t="s">
        <v>1405</v>
      </c>
      <c r="L537" s="28" t="s">
        <v>1406</v>
      </c>
      <c r="M537" s="28">
        <v>48000</v>
      </c>
      <c r="N537" s="28" t="s">
        <v>1387</v>
      </c>
      <c r="O537" s="28">
        <v>0</v>
      </c>
      <c r="P537" s="29" t="s">
        <v>1407</v>
      </c>
    </row>
    <row r="538" spans="3:16" ht="36.75" thickBot="1" x14ac:dyDescent="0.3">
      <c r="C538" s="27" t="s">
        <v>1509</v>
      </c>
      <c r="D538" s="28">
        <v>531</v>
      </c>
      <c r="E538" s="28" t="s">
        <v>1402</v>
      </c>
      <c r="F538" s="28" t="s">
        <v>955</v>
      </c>
      <c r="G538" s="28" t="s">
        <v>89</v>
      </c>
      <c r="H538" s="28" t="s">
        <v>90</v>
      </c>
      <c r="I538" s="28" t="s">
        <v>91</v>
      </c>
      <c r="J538" s="28" t="s">
        <v>1951</v>
      </c>
      <c r="K538" s="28" t="s">
        <v>1405</v>
      </c>
      <c r="L538" s="28" t="s">
        <v>1406</v>
      </c>
      <c r="M538" s="28">
        <v>14824.52</v>
      </c>
      <c r="N538" s="28" t="s">
        <v>1387</v>
      </c>
      <c r="O538" s="28">
        <v>0</v>
      </c>
      <c r="P538" s="29" t="s">
        <v>1407</v>
      </c>
    </row>
    <row r="539" spans="3:16" ht="36.75" thickBot="1" x14ac:dyDescent="0.3">
      <c r="C539" s="27" t="s">
        <v>1509</v>
      </c>
      <c r="D539" s="28">
        <v>532</v>
      </c>
      <c r="E539" s="28" t="s">
        <v>1402</v>
      </c>
      <c r="F539" s="28" t="s">
        <v>234</v>
      </c>
      <c r="G539" s="28" t="s">
        <v>89</v>
      </c>
      <c r="H539" s="28" t="s">
        <v>90</v>
      </c>
      <c r="I539" s="28" t="s">
        <v>91</v>
      </c>
      <c r="J539" s="28" t="s">
        <v>1951</v>
      </c>
      <c r="K539" s="28" t="s">
        <v>1405</v>
      </c>
      <c r="L539" s="28" t="s">
        <v>1406</v>
      </c>
      <c r="M539" s="28">
        <v>65230.13</v>
      </c>
      <c r="N539" s="28" t="s">
        <v>1387</v>
      </c>
      <c r="O539" s="28">
        <v>0</v>
      </c>
      <c r="P539" s="29" t="s">
        <v>1407</v>
      </c>
    </row>
    <row r="540" spans="3:16" ht="36.75" thickBot="1" x14ac:dyDescent="0.3">
      <c r="C540" s="27" t="s">
        <v>1509</v>
      </c>
      <c r="D540" s="28">
        <v>533</v>
      </c>
      <c r="E540" s="28" t="s">
        <v>1402</v>
      </c>
      <c r="F540" s="28" t="s">
        <v>593</v>
      </c>
      <c r="G540" s="28" t="s">
        <v>89</v>
      </c>
      <c r="H540" s="28" t="s">
        <v>90</v>
      </c>
      <c r="I540" s="28" t="s">
        <v>91</v>
      </c>
      <c r="J540" s="28" t="s">
        <v>1951</v>
      </c>
      <c r="K540" s="28" t="s">
        <v>1405</v>
      </c>
      <c r="L540" s="28" t="s">
        <v>1406</v>
      </c>
      <c r="M540" s="28">
        <v>108097.65</v>
      </c>
      <c r="N540" s="28" t="s">
        <v>1387</v>
      </c>
      <c r="O540" s="28">
        <v>0</v>
      </c>
      <c r="P540" s="29" t="s">
        <v>1407</v>
      </c>
    </row>
    <row r="541" spans="3:16" ht="36.75" thickBot="1" x14ac:dyDescent="0.3">
      <c r="C541" s="27" t="s">
        <v>1509</v>
      </c>
      <c r="D541" s="28">
        <v>534</v>
      </c>
      <c r="E541" s="28" t="s">
        <v>1402</v>
      </c>
      <c r="F541" s="28" t="s">
        <v>369</v>
      </c>
      <c r="G541" s="28" t="s">
        <v>89</v>
      </c>
      <c r="H541" s="28" t="s">
        <v>90</v>
      </c>
      <c r="I541" s="28" t="s">
        <v>91</v>
      </c>
      <c r="J541" s="28" t="s">
        <v>1951</v>
      </c>
      <c r="K541" s="28" t="s">
        <v>1405</v>
      </c>
      <c r="L541" s="28" t="s">
        <v>1406</v>
      </c>
      <c r="M541" s="28">
        <v>1428800</v>
      </c>
      <c r="N541" s="28" t="s">
        <v>1387</v>
      </c>
      <c r="O541" s="28">
        <v>0</v>
      </c>
      <c r="P541" s="29" t="s">
        <v>1407</v>
      </c>
    </row>
    <row r="542" spans="3:16" ht="36.75" thickBot="1" x14ac:dyDescent="0.3">
      <c r="C542" s="27" t="s">
        <v>1509</v>
      </c>
      <c r="D542" s="28">
        <v>535</v>
      </c>
      <c r="E542" s="28" t="s">
        <v>1402</v>
      </c>
      <c r="F542" s="28" t="s">
        <v>969</v>
      </c>
      <c r="G542" s="28" t="s">
        <v>89</v>
      </c>
      <c r="H542" s="28" t="s">
        <v>90</v>
      </c>
      <c r="I542" s="28" t="s">
        <v>91</v>
      </c>
      <c r="J542" s="28" t="s">
        <v>1951</v>
      </c>
      <c r="K542" s="28" t="s">
        <v>1405</v>
      </c>
      <c r="L542" s="28" t="s">
        <v>1406</v>
      </c>
      <c r="M542" s="28">
        <v>169212</v>
      </c>
      <c r="N542" s="28" t="s">
        <v>1387</v>
      </c>
      <c r="O542" s="28">
        <v>0</v>
      </c>
      <c r="P542" s="29" t="s">
        <v>1407</v>
      </c>
    </row>
    <row r="543" spans="3:16" ht="36.75" thickBot="1" x14ac:dyDescent="0.3">
      <c r="C543" s="27" t="s">
        <v>1509</v>
      </c>
      <c r="D543" s="28">
        <v>536</v>
      </c>
      <c r="E543" s="28" t="s">
        <v>1402</v>
      </c>
      <c r="F543" s="28" t="s">
        <v>129</v>
      </c>
      <c r="G543" s="28" t="s">
        <v>89</v>
      </c>
      <c r="H543" s="28" t="s">
        <v>90</v>
      </c>
      <c r="I543" s="28" t="s">
        <v>91</v>
      </c>
      <c r="J543" s="28" t="s">
        <v>1951</v>
      </c>
      <c r="K543" s="28" t="s">
        <v>1405</v>
      </c>
      <c r="L543" s="28" t="s">
        <v>1406</v>
      </c>
      <c r="M543" s="28">
        <v>607500</v>
      </c>
      <c r="N543" s="28" t="s">
        <v>1387</v>
      </c>
      <c r="O543" s="28">
        <v>0</v>
      </c>
      <c r="P543" s="29" t="s">
        <v>1407</v>
      </c>
    </row>
    <row r="544" spans="3:16" ht="36.75" thickBot="1" x14ac:dyDescent="0.3">
      <c r="C544" s="27" t="s">
        <v>1509</v>
      </c>
      <c r="D544" s="28">
        <v>537</v>
      </c>
      <c r="E544" s="28" t="s">
        <v>1402</v>
      </c>
      <c r="F544" s="28" t="s">
        <v>945</v>
      </c>
      <c r="G544" s="28" t="s">
        <v>89</v>
      </c>
      <c r="H544" s="28" t="s">
        <v>90</v>
      </c>
      <c r="I544" s="28" t="s">
        <v>91</v>
      </c>
      <c r="J544" s="28" t="s">
        <v>1951</v>
      </c>
      <c r="K544" s="28" t="s">
        <v>1405</v>
      </c>
      <c r="L544" s="28" t="s">
        <v>1406</v>
      </c>
      <c r="M544" s="28">
        <v>1045280</v>
      </c>
      <c r="N544" s="28" t="s">
        <v>1387</v>
      </c>
      <c r="O544" s="28">
        <v>0</v>
      </c>
      <c r="P544" s="29" t="s">
        <v>1407</v>
      </c>
    </row>
    <row r="545" spans="3:16" ht="36.75" thickBot="1" x14ac:dyDescent="0.3">
      <c r="C545" s="27" t="s">
        <v>1509</v>
      </c>
      <c r="D545" s="28">
        <v>538</v>
      </c>
      <c r="E545" s="28" t="s">
        <v>1402</v>
      </c>
      <c r="F545" s="28" t="s">
        <v>600</v>
      </c>
      <c r="G545" s="28" t="s">
        <v>89</v>
      </c>
      <c r="H545" s="28" t="s">
        <v>90</v>
      </c>
      <c r="I545" s="28" t="s">
        <v>91</v>
      </c>
      <c r="J545" s="28" t="s">
        <v>1951</v>
      </c>
      <c r="K545" s="28" t="s">
        <v>1405</v>
      </c>
      <c r="L545" s="28" t="s">
        <v>1406</v>
      </c>
      <c r="M545" s="28">
        <v>810280.8</v>
      </c>
      <c r="N545" s="28" t="s">
        <v>1387</v>
      </c>
      <c r="O545" s="28">
        <v>0</v>
      </c>
      <c r="P545" s="29" t="s">
        <v>1407</v>
      </c>
    </row>
    <row r="546" spans="3:16" ht="36.75" thickBot="1" x14ac:dyDescent="0.3">
      <c r="C546" s="27" t="s">
        <v>1509</v>
      </c>
      <c r="D546" s="28">
        <v>539</v>
      </c>
      <c r="E546" s="28" t="s">
        <v>1402</v>
      </c>
      <c r="F546" s="28" t="s">
        <v>995</v>
      </c>
      <c r="G546" s="28" t="s">
        <v>89</v>
      </c>
      <c r="H546" s="28" t="s">
        <v>90</v>
      </c>
      <c r="I546" s="28" t="s">
        <v>91</v>
      </c>
      <c r="J546" s="28" t="s">
        <v>1951</v>
      </c>
      <c r="K546" s="28" t="s">
        <v>1405</v>
      </c>
      <c r="L546" s="28" t="s">
        <v>1406</v>
      </c>
      <c r="M546" s="28">
        <v>13063.67</v>
      </c>
      <c r="N546" s="28" t="s">
        <v>1387</v>
      </c>
      <c r="O546" s="28">
        <v>0</v>
      </c>
      <c r="P546" s="29" t="s">
        <v>1407</v>
      </c>
    </row>
    <row r="547" spans="3:16" ht="36.75" thickBot="1" x14ac:dyDescent="0.3">
      <c r="C547" s="27" t="s">
        <v>1509</v>
      </c>
      <c r="D547" s="28">
        <v>540</v>
      </c>
      <c r="E547" s="28" t="s">
        <v>1402</v>
      </c>
      <c r="F547" s="28" t="s">
        <v>1000</v>
      </c>
      <c r="G547" s="28" t="s">
        <v>89</v>
      </c>
      <c r="H547" s="28" t="s">
        <v>90</v>
      </c>
      <c r="I547" s="28" t="s">
        <v>91</v>
      </c>
      <c r="J547" s="28" t="s">
        <v>1951</v>
      </c>
      <c r="K547" s="28" t="s">
        <v>1405</v>
      </c>
      <c r="L547" s="28" t="s">
        <v>1406</v>
      </c>
      <c r="M547" s="28">
        <v>2200000</v>
      </c>
      <c r="N547" s="28" t="s">
        <v>1387</v>
      </c>
      <c r="O547" s="28">
        <v>0</v>
      </c>
      <c r="P547" s="29" t="s">
        <v>1407</v>
      </c>
    </row>
    <row r="548" spans="3:16" ht="36.75" thickBot="1" x14ac:dyDescent="0.3">
      <c r="C548" s="27" t="s">
        <v>1509</v>
      </c>
      <c r="D548" s="28">
        <v>541</v>
      </c>
      <c r="E548" s="28" t="s">
        <v>1402</v>
      </c>
      <c r="F548" s="28" t="s">
        <v>1357</v>
      </c>
      <c r="G548" s="28" t="s">
        <v>89</v>
      </c>
      <c r="H548" s="28" t="s">
        <v>90</v>
      </c>
      <c r="I548" s="28" t="s">
        <v>91</v>
      </c>
      <c r="J548" s="28" t="s">
        <v>1951</v>
      </c>
      <c r="K548" s="28" t="s">
        <v>1405</v>
      </c>
      <c r="L548" s="28" t="s">
        <v>1406</v>
      </c>
      <c r="M548" s="28">
        <v>180000</v>
      </c>
      <c r="N548" s="28" t="s">
        <v>1387</v>
      </c>
      <c r="O548" s="28">
        <v>0</v>
      </c>
      <c r="P548" s="29" t="s">
        <v>1407</v>
      </c>
    </row>
    <row r="549" spans="3:16" ht="36.75" thickBot="1" x14ac:dyDescent="0.3">
      <c r="C549" s="27" t="s">
        <v>1509</v>
      </c>
      <c r="D549" s="28">
        <v>542</v>
      </c>
      <c r="E549" s="28" t="s">
        <v>1402</v>
      </c>
      <c r="F549" s="28" t="s">
        <v>1004</v>
      </c>
      <c r="G549" s="28" t="s">
        <v>89</v>
      </c>
      <c r="H549" s="28" t="s">
        <v>90</v>
      </c>
      <c r="I549" s="28" t="s">
        <v>91</v>
      </c>
      <c r="J549" s="28" t="s">
        <v>1951</v>
      </c>
      <c r="K549" s="28" t="s">
        <v>1405</v>
      </c>
      <c r="L549" s="28" t="s">
        <v>1406</v>
      </c>
      <c r="M549" s="28">
        <v>161520</v>
      </c>
      <c r="N549" s="28" t="s">
        <v>1387</v>
      </c>
      <c r="O549" s="28">
        <v>0</v>
      </c>
      <c r="P549" s="29" t="s">
        <v>1407</v>
      </c>
    </row>
    <row r="550" spans="3:16" ht="36.75" thickBot="1" x14ac:dyDescent="0.3">
      <c r="C550" s="27" t="s">
        <v>1509</v>
      </c>
      <c r="D550" s="28">
        <v>543</v>
      </c>
      <c r="E550" s="28" t="s">
        <v>1402</v>
      </c>
      <c r="F550" s="28" t="s">
        <v>1007</v>
      </c>
      <c r="G550" s="28" t="s">
        <v>89</v>
      </c>
      <c r="H550" s="28" t="s">
        <v>90</v>
      </c>
      <c r="I550" s="28" t="s">
        <v>91</v>
      </c>
      <c r="J550" s="28" t="s">
        <v>1951</v>
      </c>
      <c r="K550" s="28" t="s">
        <v>1405</v>
      </c>
      <c r="L550" s="28" t="s">
        <v>1406</v>
      </c>
      <c r="M550" s="28">
        <v>356320</v>
      </c>
      <c r="N550" s="28" t="s">
        <v>1387</v>
      </c>
      <c r="O550" s="28">
        <v>0</v>
      </c>
      <c r="P550" s="29" t="s">
        <v>1407</v>
      </c>
    </row>
    <row r="551" spans="3:16" ht="36.75" thickBot="1" x14ac:dyDescent="0.3">
      <c r="C551" s="27" t="s">
        <v>1509</v>
      </c>
      <c r="D551" s="28">
        <v>544</v>
      </c>
      <c r="E551" s="28" t="s">
        <v>1402</v>
      </c>
      <c r="F551" s="28" t="s">
        <v>996</v>
      </c>
      <c r="G551" s="28" t="s">
        <v>89</v>
      </c>
      <c r="H551" s="28" t="s">
        <v>90</v>
      </c>
      <c r="I551" s="28" t="s">
        <v>91</v>
      </c>
      <c r="J551" s="28" t="s">
        <v>1951</v>
      </c>
      <c r="K551" s="28" t="s">
        <v>1405</v>
      </c>
      <c r="L551" s="28" t="s">
        <v>1406</v>
      </c>
      <c r="M551" s="28">
        <v>38756</v>
      </c>
      <c r="N551" s="28" t="s">
        <v>1387</v>
      </c>
      <c r="O551" s="28">
        <v>0</v>
      </c>
      <c r="P551" s="29" t="s">
        <v>1407</v>
      </c>
    </row>
    <row r="552" spans="3:16" ht="36.75" thickBot="1" x14ac:dyDescent="0.3">
      <c r="C552" s="27" t="s">
        <v>1509</v>
      </c>
      <c r="D552" s="28">
        <v>545</v>
      </c>
      <c r="E552" s="28" t="s">
        <v>1402</v>
      </c>
      <c r="F552" s="28" t="s">
        <v>1014</v>
      </c>
      <c r="G552" s="28" t="s">
        <v>89</v>
      </c>
      <c r="H552" s="28" t="s">
        <v>90</v>
      </c>
      <c r="I552" s="28" t="s">
        <v>91</v>
      </c>
      <c r="J552" s="28" t="s">
        <v>1951</v>
      </c>
      <c r="K552" s="28" t="s">
        <v>1405</v>
      </c>
      <c r="L552" s="28" t="s">
        <v>1406</v>
      </c>
      <c r="M552" s="28">
        <v>76000</v>
      </c>
      <c r="N552" s="28" t="s">
        <v>1387</v>
      </c>
      <c r="O552" s="28">
        <v>0</v>
      </c>
      <c r="P552" s="29" t="s">
        <v>1407</v>
      </c>
    </row>
    <row r="553" spans="3:16" ht="36.75" thickBot="1" x14ac:dyDescent="0.3">
      <c r="C553" s="27" t="s">
        <v>1509</v>
      </c>
      <c r="D553" s="28">
        <v>546</v>
      </c>
      <c r="E553" s="28" t="s">
        <v>1402</v>
      </c>
      <c r="F553" s="28" t="s">
        <v>615</v>
      </c>
      <c r="G553" s="28" t="s">
        <v>89</v>
      </c>
      <c r="H553" s="28" t="s">
        <v>90</v>
      </c>
      <c r="I553" s="28" t="s">
        <v>91</v>
      </c>
      <c r="J553" s="28" t="s">
        <v>1951</v>
      </c>
      <c r="K553" s="28" t="s">
        <v>1405</v>
      </c>
      <c r="L553" s="28" t="s">
        <v>1406</v>
      </c>
      <c r="M553" s="28">
        <v>234180.02</v>
      </c>
      <c r="N553" s="28" t="s">
        <v>1387</v>
      </c>
      <c r="O553" s="28">
        <v>0</v>
      </c>
      <c r="P553" s="29" t="s">
        <v>1407</v>
      </c>
    </row>
    <row r="554" spans="3:16" ht="36.75" thickBot="1" x14ac:dyDescent="0.3">
      <c r="C554" s="27" t="s">
        <v>1509</v>
      </c>
      <c r="D554" s="28">
        <v>547</v>
      </c>
      <c r="E554" s="28" t="s">
        <v>1402</v>
      </c>
      <c r="F554" s="28" t="s">
        <v>619</v>
      </c>
      <c r="G554" s="28" t="s">
        <v>89</v>
      </c>
      <c r="H554" s="28" t="s">
        <v>90</v>
      </c>
      <c r="I554" s="28" t="s">
        <v>91</v>
      </c>
      <c r="J554" s="28" t="s">
        <v>1951</v>
      </c>
      <c r="K554" s="28" t="s">
        <v>1405</v>
      </c>
      <c r="L554" s="28" t="s">
        <v>1406</v>
      </c>
      <c r="M554" s="28">
        <v>48000</v>
      </c>
      <c r="N554" s="28" t="s">
        <v>1387</v>
      </c>
      <c r="O554" s="28">
        <v>0</v>
      </c>
      <c r="P554" s="29" t="s">
        <v>1407</v>
      </c>
    </row>
    <row r="555" spans="3:16" ht="36.75" thickBot="1" x14ac:dyDescent="0.3">
      <c r="C555" s="27" t="s">
        <v>1509</v>
      </c>
      <c r="D555" s="28">
        <v>548</v>
      </c>
      <c r="E555" s="28" t="s">
        <v>1402</v>
      </c>
      <c r="F555" s="28" t="s">
        <v>1023</v>
      </c>
      <c r="G555" s="28" t="s">
        <v>89</v>
      </c>
      <c r="H555" s="28" t="s">
        <v>90</v>
      </c>
      <c r="I555" s="28" t="s">
        <v>91</v>
      </c>
      <c r="J555" s="28" t="s">
        <v>1951</v>
      </c>
      <c r="K555" s="28" t="s">
        <v>1405</v>
      </c>
      <c r="L555" s="28" t="s">
        <v>1406</v>
      </c>
      <c r="M555" s="28">
        <v>88000</v>
      </c>
      <c r="N555" s="28" t="s">
        <v>1387</v>
      </c>
      <c r="O555" s="28">
        <v>0</v>
      </c>
      <c r="P555" s="29" t="s">
        <v>1407</v>
      </c>
    </row>
    <row r="556" spans="3:16" ht="36.75" thickBot="1" x14ac:dyDescent="0.3">
      <c r="C556" s="27" t="s">
        <v>1509</v>
      </c>
      <c r="D556" s="28">
        <v>549</v>
      </c>
      <c r="E556" s="28" t="s">
        <v>1402</v>
      </c>
      <c r="F556" s="28" t="s">
        <v>356</v>
      </c>
      <c r="G556" s="28" t="s">
        <v>89</v>
      </c>
      <c r="H556" s="28" t="s">
        <v>90</v>
      </c>
      <c r="I556" s="28" t="s">
        <v>91</v>
      </c>
      <c r="J556" s="28" t="s">
        <v>1951</v>
      </c>
      <c r="K556" s="28" t="s">
        <v>1405</v>
      </c>
      <c r="L556" s="28" t="s">
        <v>1406</v>
      </c>
      <c r="M556" s="28">
        <v>299360</v>
      </c>
      <c r="N556" s="28" t="s">
        <v>1387</v>
      </c>
      <c r="O556" s="28">
        <v>0</v>
      </c>
      <c r="P556" s="29" t="s">
        <v>1407</v>
      </c>
    </row>
    <row r="557" spans="3:16" ht="36.75" thickBot="1" x14ac:dyDescent="0.3">
      <c r="C557" s="27" t="s">
        <v>1509</v>
      </c>
      <c r="D557" s="28">
        <v>550</v>
      </c>
      <c r="E557" s="28" t="s">
        <v>1402</v>
      </c>
      <c r="F557" s="28" t="s">
        <v>622</v>
      </c>
      <c r="G557" s="28" t="s">
        <v>89</v>
      </c>
      <c r="H557" s="28" t="s">
        <v>90</v>
      </c>
      <c r="I557" s="28" t="s">
        <v>91</v>
      </c>
      <c r="J557" s="28" t="s">
        <v>1951</v>
      </c>
      <c r="K557" s="28" t="s">
        <v>1405</v>
      </c>
      <c r="L557" s="28" t="s">
        <v>1406</v>
      </c>
      <c r="M557" s="28">
        <v>120800</v>
      </c>
      <c r="N557" s="28" t="s">
        <v>1387</v>
      </c>
      <c r="O557" s="28">
        <v>0</v>
      </c>
      <c r="P557" s="29" t="s">
        <v>1407</v>
      </c>
    </row>
    <row r="558" spans="3:16" ht="36.75" thickBot="1" x14ac:dyDescent="0.3">
      <c r="C558" s="27" t="s">
        <v>1509</v>
      </c>
      <c r="D558" s="28">
        <v>551</v>
      </c>
      <c r="E558" s="28" t="s">
        <v>1402</v>
      </c>
      <c r="F558" s="28" t="s">
        <v>1031</v>
      </c>
      <c r="G558" s="28" t="s">
        <v>89</v>
      </c>
      <c r="H558" s="28" t="s">
        <v>90</v>
      </c>
      <c r="I558" s="28" t="s">
        <v>91</v>
      </c>
      <c r="J558" s="28" t="s">
        <v>1951</v>
      </c>
      <c r="K558" s="28" t="s">
        <v>1405</v>
      </c>
      <c r="L558" s="28" t="s">
        <v>1406</v>
      </c>
      <c r="M558" s="28">
        <v>43260.01</v>
      </c>
      <c r="N558" s="28" t="s">
        <v>1387</v>
      </c>
      <c r="O558" s="28">
        <v>0</v>
      </c>
      <c r="P558" s="29" t="s">
        <v>1407</v>
      </c>
    </row>
    <row r="559" spans="3:16" ht="36.75" thickBot="1" x14ac:dyDescent="0.3">
      <c r="C559" s="27" t="s">
        <v>1509</v>
      </c>
      <c r="D559" s="28">
        <v>552</v>
      </c>
      <c r="E559" s="28" t="s">
        <v>1402</v>
      </c>
      <c r="F559" s="28" t="s">
        <v>626</v>
      </c>
      <c r="G559" s="28" t="s">
        <v>89</v>
      </c>
      <c r="H559" s="28" t="s">
        <v>90</v>
      </c>
      <c r="I559" s="28" t="s">
        <v>91</v>
      </c>
      <c r="J559" s="28" t="s">
        <v>1951</v>
      </c>
      <c r="K559" s="28" t="s">
        <v>1405</v>
      </c>
      <c r="L559" s="28" t="s">
        <v>1406</v>
      </c>
      <c r="M559" s="28">
        <v>1435500</v>
      </c>
      <c r="N559" s="28" t="s">
        <v>1387</v>
      </c>
      <c r="O559" s="28">
        <v>0</v>
      </c>
      <c r="P559" s="29" t="s">
        <v>1407</v>
      </c>
    </row>
    <row r="560" spans="3:16" ht="36.75" thickBot="1" x14ac:dyDescent="0.3">
      <c r="C560" s="27" t="s">
        <v>1509</v>
      </c>
      <c r="D560" s="28">
        <v>553</v>
      </c>
      <c r="E560" s="28" t="s">
        <v>1402</v>
      </c>
      <c r="F560" s="28" t="s">
        <v>1044</v>
      </c>
      <c r="G560" s="28" t="s">
        <v>89</v>
      </c>
      <c r="H560" s="28" t="s">
        <v>90</v>
      </c>
      <c r="I560" s="28" t="s">
        <v>91</v>
      </c>
      <c r="J560" s="28" t="s">
        <v>1951</v>
      </c>
      <c r="K560" s="28" t="s">
        <v>1405</v>
      </c>
      <c r="L560" s="28" t="s">
        <v>1406</v>
      </c>
      <c r="M560" s="28">
        <v>255680</v>
      </c>
      <c r="N560" s="28" t="s">
        <v>1387</v>
      </c>
      <c r="O560" s="28">
        <v>0</v>
      </c>
      <c r="P560" s="29" t="s">
        <v>1407</v>
      </c>
    </row>
    <row r="561" spans="3:16" ht="36.75" thickBot="1" x14ac:dyDescent="0.3">
      <c r="C561" s="27" t="s">
        <v>1509</v>
      </c>
      <c r="D561" s="28">
        <v>554</v>
      </c>
      <c r="E561" s="28" t="s">
        <v>1402</v>
      </c>
      <c r="F561" s="28" t="s">
        <v>1053</v>
      </c>
      <c r="G561" s="28" t="s">
        <v>89</v>
      </c>
      <c r="H561" s="28" t="s">
        <v>90</v>
      </c>
      <c r="I561" s="28" t="s">
        <v>91</v>
      </c>
      <c r="J561" s="28" t="s">
        <v>1951</v>
      </c>
      <c r="K561" s="28" t="s">
        <v>1405</v>
      </c>
      <c r="L561" s="28" t="s">
        <v>1406</v>
      </c>
      <c r="M561" s="28">
        <v>2366400</v>
      </c>
      <c r="N561" s="28" t="s">
        <v>1387</v>
      </c>
      <c r="O561" s="28">
        <v>0</v>
      </c>
      <c r="P561" s="29" t="s">
        <v>1407</v>
      </c>
    </row>
    <row r="562" spans="3:16" ht="36.75" thickBot="1" x14ac:dyDescent="0.3">
      <c r="C562" s="27" t="s">
        <v>1509</v>
      </c>
      <c r="D562" s="28">
        <v>555</v>
      </c>
      <c r="E562" s="28" t="s">
        <v>1402</v>
      </c>
      <c r="F562" s="28" t="s">
        <v>638</v>
      </c>
      <c r="G562" s="28" t="s">
        <v>89</v>
      </c>
      <c r="H562" s="28" t="s">
        <v>90</v>
      </c>
      <c r="I562" s="28" t="s">
        <v>91</v>
      </c>
      <c r="J562" s="28" t="s">
        <v>1951</v>
      </c>
      <c r="K562" s="28" t="s">
        <v>1405</v>
      </c>
      <c r="L562" s="28" t="s">
        <v>1406</v>
      </c>
      <c r="M562" s="28">
        <v>36400</v>
      </c>
      <c r="N562" s="28" t="s">
        <v>1387</v>
      </c>
      <c r="O562" s="28">
        <v>0</v>
      </c>
      <c r="P562" s="29" t="s">
        <v>1407</v>
      </c>
    </row>
    <row r="563" spans="3:16" ht="36.75" thickBot="1" x14ac:dyDescent="0.3">
      <c r="C563" s="27" t="s">
        <v>1509</v>
      </c>
      <c r="D563" s="28">
        <v>556</v>
      </c>
      <c r="E563" s="28" t="s">
        <v>1402</v>
      </c>
      <c r="F563" s="28" t="s">
        <v>1056</v>
      </c>
      <c r="G563" s="28" t="s">
        <v>89</v>
      </c>
      <c r="H563" s="28" t="s">
        <v>90</v>
      </c>
      <c r="I563" s="28" t="s">
        <v>91</v>
      </c>
      <c r="J563" s="28" t="s">
        <v>1951</v>
      </c>
      <c r="K563" s="28" t="s">
        <v>1405</v>
      </c>
      <c r="L563" s="28" t="s">
        <v>1406</v>
      </c>
      <c r="M563" s="28">
        <v>95600</v>
      </c>
      <c r="N563" s="28" t="s">
        <v>1387</v>
      </c>
      <c r="O563" s="28">
        <v>0</v>
      </c>
      <c r="P563" s="29" t="s">
        <v>1407</v>
      </c>
    </row>
    <row r="564" spans="3:16" ht="36.75" thickBot="1" x14ac:dyDescent="0.3">
      <c r="C564" s="27" t="s">
        <v>1509</v>
      </c>
      <c r="D564" s="28">
        <v>557</v>
      </c>
      <c r="E564" s="28" t="s">
        <v>1402</v>
      </c>
      <c r="F564" s="28" t="s">
        <v>1045</v>
      </c>
      <c r="G564" s="28" t="s">
        <v>89</v>
      </c>
      <c r="H564" s="28" t="s">
        <v>90</v>
      </c>
      <c r="I564" s="28" t="s">
        <v>91</v>
      </c>
      <c r="J564" s="28" t="s">
        <v>1951</v>
      </c>
      <c r="K564" s="28" t="s">
        <v>1405</v>
      </c>
      <c r="L564" s="28" t="s">
        <v>1406</v>
      </c>
      <c r="M564" s="28">
        <v>44391.08</v>
      </c>
      <c r="N564" s="28" t="s">
        <v>1387</v>
      </c>
      <c r="O564" s="28">
        <v>0</v>
      </c>
      <c r="P564" s="29" t="s">
        <v>1407</v>
      </c>
    </row>
    <row r="565" spans="3:16" ht="36.75" thickBot="1" x14ac:dyDescent="0.3">
      <c r="C565" s="27" t="s">
        <v>1509</v>
      </c>
      <c r="D565" s="28">
        <v>558</v>
      </c>
      <c r="E565" s="28" t="s">
        <v>1402</v>
      </c>
      <c r="F565" s="28" t="s">
        <v>1059</v>
      </c>
      <c r="G565" s="28" t="s">
        <v>89</v>
      </c>
      <c r="H565" s="28" t="s">
        <v>90</v>
      </c>
      <c r="I565" s="28" t="s">
        <v>91</v>
      </c>
      <c r="J565" s="28" t="s">
        <v>1951</v>
      </c>
      <c r="K565" s="28" t="s">
        <v>1405</v>
      </c>
      <c r="L565" s="28" t="s">
        <v>1406</v>
      </c>
      <c r="M565" s="28">
        <v>27320</v>
      </c>
      <c r="N565" s="28" t="s">
        <v>1387</v>
      </c>
      <c r="O565" s="28">
        <v>0</v>
      </c>
      <c r="P565" s="29" t="s">
        <v>1407</v>
      </c>
    </row>
    <row r="566" spans="3:16" ht="36.75" thickBot="1" x14ac:dyDescent="0.3">
      <c r="C566" s="27" t="s">
        <v>1509</v>
      </c>
      <c r="D566" s="28">
        <v>559</v>
      </c>
      <c r="E566" s="28" t="s">
        <v>1402</v>
      </c>
      <c r="F566" s="28" t="s">
        <v>642</v>
      </c>
      <c r="G566" s="28" t="s">
        <v>89</v>
      </c>
      <c r="H566" s="28" t="s">
        <v>90</v>
      </c>
      <c r="I566" s="28" t="s">
        <v>91</v>
      </c>
      <c r="J566" s="28" t="s">
        <v>1951</v>
      </c>
      <c r="K566" s="28" t="s">
        <v>1405</v>
      </c>
      <c r="L566" s="28" t="s">
        <v>1406</v>
      </c>
      <c r="M566" s="28">
        <v>296800</v>
      </c>
      <c r="N566" s="28" t="s">
        <v>1387</v>
      </c>
      <c r="O566" s="28">
        <v>0</v>
      </c>
      <c r="P566" s="29" t="s">
        <v>1407</v>
      </c>
    </row>
    <row r="567" spans="3:16" ht="36.75" thickBot="1" x14ac:dyDescent="0.3">
      <c r="C567" s="27" t="s">
        <v>1509</v>
      </c>
      <c r="D567" s="28">
        <v>560</v>
      </c>
      <c r="E567" s="28" t="s">
        <v>1402</v>
      </c>
      <c r="F567" s="28" t="s">
        <v>1061</v>
      </c>
      <c r="G567" s="28" t="s">
        <v>89</v>
      </c>
      <c r="H567" s="28" t="s">
        <v>90</v>
      </c>
      <c r="I567" s="28" t="s">
        <v>91</v>
      </c>
      <c r="J567" s="28" t="s">
        <v>1951</v>
      </c>
      <c r="K567" s="28" t="s">
        <v>1405</v>
      </c>
      <c r="L567" s="28" t="s">
        <v>1406</v>
      </c>
      <c r="M567" s="28">
        <v>297680</v>
      </c>
      <c r="N567" s="28" t="s">
        <v>1387</v>
      </c>
      <c r="O567" s="28">
        <v>0</v>
      </c>
      <c r="P567" s="29" t="s">
        <v>1407</v>
      </c>
    </row>
    <row r="568" spans="3:16" ht="36.75" thickBot="1" x14ac:dyDescent="0.3">
      <c r="C568" s="27" t="s">
        <v>1509</v>
      </c>
      <c r="D568" s="28">
        <v>561</v>
      </c>
      <c r="E568" s="28" t="s">
        <v>1402</v>
      </c>
      <c r="F568" s="28" t="s">
        <v>386</v>
      </c>
      <c r="G568" s="28" t="s">
        <v>89</v>
      </c>
      <c r="H568" s="28" t="s">
        <v>90</v>
      </c>
      <c r="I568" s="28" t="s">
        <v>91</v>
      </c>
      <c r="J568" s="28" t="s">
        <v>1951</v>
      </c>
      <c r="K568" s="28" t="s">
        <v>1405</v>
      </c>
      <c r="L568" s="28" t="s">
        <v>1406</v>
      </c>
      <c r="M568" s="28">
        <v>92087.76</v>
      </c>
      <c r="N568" s="28" t="s">
        <v>1387</v>
      </c>
      <c r="O568" s="28">
        <v>0</v>
      </c>
      <c r="P568" s="29" t="s">
        <v>1407</v>
      </c>
    </row>
    <row r="569" spans="3:16" ht="36.75" thickBot="1" x14ac:dyDescent="0.3">
      <c r="C569" s="27" t="s">
        <v>1509</v>
      </c>
      <c r="D569" s="28">
        <v>562</v>
      </c>
      <c r="E569" s="28" t="s">
        <v>1402</v>
      </c>
      <c r="F569" s="28" t="s">
        <v>645</v>
      </c>
      <c r="G569" s="28" t="s">
        <v>89</v>
      </c>
      <c r="H569" s="28" t="s">
        <v>90</v>
      </c>
      <c r="I569" s="28" t="s">
        <v>91</v>
      </c>
      <c r="J569" s="28" t="s">
        <v>1951</v>
      </c>
      <c r="K569" s="28" t="s">
        <v>1405</v>
      </c>
      <c r="L569" s="28" t="s">
        <v>1406</v>
      </c>
      <c r="M569" s="28">
        <v>162000</v>
      </c>
      <c r="N569" s="28" t="s">
        <v>1387</v>
      </c>
      <c r="O569" s="28">
        <v>0</v>
      </c>
      <c r="P569" s="29" t="s">
        <v>1407</v>
      </c>
    </row>
    <row r="570" spans="3:16" ht="36.75" thickBot="1" x14ac:dyDescent="0.3">
      <c r="C570" s="27" t="s">
        <v>1509</v>
      </c>
      <c r="D570" s="28">
        <v>563</v>
      </c>
      <c r="E570" s="28" t="s">
        <v>1402</v>
      </c>
      <c r="F570" s="28" t="s">
        <v>1057</v>
      </c>
      <c r="G570" s="28" t="s">
        <v>89</v>
      </c>
      <c r="H570" s="28" t="s">
        <v>90</v>
      </c>
      <c r="I570" s="28" t="s">
        <v>91</v>
      </c>
      <c r="J570" s="28" t="s">
        <v>1951</v>
      </c>
      <c r="K570" s="28" t="s">
        <v>1405</v>
      </c>
      <c r="L570" s="28" t="s">
        <v>1406</v>
      </c>
      <c r="M570" s="28">
        <v>104800</v>
      </c>
      <c r="N570" s="28" t="s">
        <v>1387</v>
      </c>
      <c r="O570" s="28">
        <v>0</v>
      </c>
      <c r="P570" s="29" t="s">
        <v>1407</v>
      </c>
    </row>
    <row r="571" spans="3:16" ht="36.75" thickBot="1" x14ac:dyDescent="0.3">
      <c r="C571" s="27" t="s">
        <v>1509</v>
      </c>
      <c r="D571" s="28">
        <v>564</v>
      </c>
      <c r="E571" s="28" t="s">
        <v>1402</v>
      </c>
      <c r="F571" s="28" t="s">
        <v>1070</v>
      </c>
      <c r="G571" s="28" t="s">
        <v>89</v>
      </c>
      <c r="H571" s="28" t="s">
        <v>90</v>
      </c>
      <c r="I571" s="28" t="s">
        <v>91</v>
      </c>
      <c r="J571" s="28" t="s">
        <v>1951</v>
      </c>
      <c r="K571" s="28" t="s">
        <v>1405</v>
      </c>
      <c r="L571" s="28" t="s">
        <v>1406</v>
      </c>
      <c r="M571" s="28">
        <v>67600</v>
      </c>
      <c r="N571" s="28" t="s">
        <v>1387</v>
      </c>
      <c r="O571" s="28">
        <v>0</v>
      </c>
      <c r="P571" s="29" t="s">
        <v>1407</v>
      </c>
    </row>
    <row r="572" spans="3:16" ht="36.75" thickBot="1" x14ac:dyDescent="0.3">
      <c r="C572" s="27" t="s">
        <v>1509</v>
      </c>
      <c r="D572" s="28">
        <v>565</v>
      </c>
      <c r="E572" s="28" t="s">
        <v>1402</v>
      </c>
      <c r="F572" s="28" t="s">
        <v>1021</v>
      </c>
      <c r="G572" s="28" t="s">
        <v>89</v>
      </c>
      <c r="H572" s="28" t="s">
        <v>90</v>
      </c>
      <c r="I572" s="28" t="s">
        <v>91</v>
      </c>
      <c r="J572" s="28" t="s">
        <v>1951</v>
      </c>
      <c r="K572" s="28" t="s">
        <v>1405</v>
      </c>
      <c r="L572" s="28" t="s">
        <v>1406</v>
      </c>
      <c r="M572" s="28">
        <v>128000</v>
      </c>
      <c r="N572" s="28" t="s">
        <v>1387</v>
      </c>
      <c r="O572" s="28">
        <v>0</v>
      </c>
      <c r="P572" s="29" t="s">
        <v>1407</v>
      </c>
    </row>
    <row r="573" spans="3:16" ht="36.75" thickBot="1" x14ac:dyDescent="0.3">
      <c r="C573" s="27" t="s">
        <v>1509</v>
      </c>
      <c r="D573" s="28">
        <v>566</v>
      </c>
      <c r="E573" s="28" t="s">
        <v>1402</v>
      </c>
      <c r="F573" s="28" t="s">
        <v>1076</v>
      </c>
      <c r="G573" s="28" t="s">
        <v>89</v>
      </c>
      <c r="H573" s="28" t="s">
        <v>90</v>
      </c>
      <c r="I573" s="28" t="s">
        <v>91</v>
      </c>
      <c r="J573" s="28" t="s">
        <v>1951</v>
      </c>
      <c r="K573" s="28" t="s">
        <v>1405</v>
      </c>
      <c r="L573" s="28" t="s">
        <v>1406</v>
      </c>
      <c r="M573" s="28">
        <v>272800</v>
      </c>
      <c r="N573" s="28" t="s">
        <v>1387</v>
      </c>
      <c r="O573" s="28">
        <v>0</v>
      </c>
      <c r="P573" s="29" t="s">
        <v>1407</v>
      </c>
    </row>
    <row r="574" spans="3:16" ht="36.75" thickBot="1" x14ac:dyDescent="0.3">
      <c r="C574" s="27" t="s">
        <v>1509</v>
      </c>
      <c r="D574" s="28">
        <v>567</v>
      </c>
      <c r="E574" s="28" t="s">
        <v>1402</v>
      </c>
      <c r="F574" s="28" t="s">
        <v>652</v>
      </c>
      <c r="G574" s="28" t="s">
        <v>89</v>
      </c>
      <c r="H574" s="28" t="s">
        <v>90</v>
      </c>
      <c r="I574" s="28" t="s">
        <v>91</v>
      </c>
      <c r="J574" s="28" t="s">
        <v>1951</v>
      </c>
      <c r="K574" s="28" t="s">
        <v>1405</v>
      </c>
      <c r="L574" s="28" t="s">
        <v>1406</v>
      </c>
      <c r="M574" s="28">
        <v>723680</v>
      </c>
      <c r="N574" s="28" t="s">
        <v>1387</v>
      </c>
      <c r="O574" s="28">
        <v>0</v>
      </c>
      <c r="P574" s="29" t="s">
        <v>1407</v>
      </c>
    </row>
    <row r="575" spans="3:16" ht="36.75" thickBot="1" x14ac:dyDescent="0.3">
      <c r="C575" s="27" t="s">
        <v>1509</v>
      </c>
      <c r="D575" s="28">
        <v>568</v>
      </c>
      <c r="E575" s="28" t="s">
        <v>1402</v>
      </c>
      <c r="F575" s="28" t="s">
        <v>1079</v>
      </c>
      <c r="G575" s="28" t="s">
        <v>89</v>
      </c>
      <c r="H575" s="28" t="s">
        <v>90</v>
      </c>
      <c r="I575" s="28" t="s">
        <v>91</v>
      </c>
      <c r="J575" s="28" t="s">
        <v>1951</v>
      </c>
      <c r="K575" s="28" t="s">
        <v>1405</v>
      </c>
      <c r="L575" s="28" t="s">
        <v>1406</v>
      </c>
      <c r="M575" s="28">
        <v>527300</v>
      </c>
      <c r="N575" s="28" t="s">
        <v>1387</v>
      </c>
      <c r="O575" s="28">
        <v>0</v>
      </c>
      <c r="P575" s="29" t="s">
        <v>1407</v>
      </c>
    </row>
    <row r="576" spans="3:16" ht="36.75" thickBot="1" x14ac:dyDescent="0.3">
      <c r="C576" s="27" t="s">
        <v>1509</v>
      </c>
      <c r="D576" s="28">
        <v>569</v>
      </c>
      <c r="E576" s="28" t="s">
        <v>1402</v>
      </c>
      <c r="F576" s="28" t="s">
        <v>1068</v>
      </c>
      <c r="G576" s="28" t="s">
        <v>89</v>
      </c>
      <c r="H576" s="28" t="s">
        <v>90</v>
      </c>
      <c r="I576" s="28" t="s">
        <v>91</v>
      </c>
      <c r="J576" s="28" t="s">
        <v>1951</v>
      </c>
      <c r="K576" s="28" t="s">
        <v>1405</v>
      </c>
      <c r="L576" s="28" t="s">
        <v>1406</v>
      </c>
      <c r="M576" s="28">
        <v>37840</v>
      </c>
      <c r="N576" s="28" t="s">
        <v>1387</v>
      </c>
      <c r="O576" s="28">
        <v>0</v>
      </c>
      <c r="P576" s="29" t="s">
        <v>1407</v>
      </c>
    </row>
    <row r="577" spans="3:16" ht="36.75" thickBot="1" x14ac:dyDescent="0.3">
      <c r="C577" s="27" t="s">
        <v>1509</v>
      </c>
      <c r="D577" s="28">
        <v>570</v>
      </c>
      <c r="E577" s="28" t="s">
        <v>1402</v>
      </c>
      <c r="F577" s="28" t="s">
        <v>1082</v>
      </c>
      <c r="G577" s="28" t="s">
        <v>89</v>
      </c>
      <c r="H577" s="28" t="s">
        <v>90</v>
      </c>
      <c r="I577" s="28" t="s">
        <v>91</v>
      </c>
      <c r="J577" s="28" t="s">
        <v>1951</v>
      </c>
      <c r="K577" s="28" t="s">
        <v>1405</v>
      </c>
      <c r="L577" s="28" t="s">
        <v>1406</v>
      </c>
      <c r="M577" s="28">
        <v>58480</v>
      </c>
      <c r="N577" s="28" t="s">
        <v>1387</v>
      </c>
      <c r="O577" s="28">
        <v>0</v>
      </c>
      <c r="P577" s="29" t="s">
        <v>1407</v>
      </c>
    </row>
    <row r="578" spans="3:16" ht="36.75" thickBot="1" x14ac:dyDescent="0.3">
      <c r="C578" s="27" t="s">
        <v>1509</v>
      </c>
      <c r="D578" s="28">
        <v>571</v>
      </c>
      <c r="E578" s="28" t="s">
        <v>1402</v>
      </c>
      <c r="F578" s="28" t="s">
        <v>656</v>
      </c>
      <c r="G578" s="28" t="s">
        <v>89</v>
      </c>
      <c r="H578" s="28" t="s">
        <v>90</v>
      </c>
      <c r="I578" s="28" t="s">
        <v>91</v>
      </c>
      <c r="J578" s="28" t="s">
        <v>1951</v>
      </c>
      <c r="K578" s="28" t="s">
        <v>1405</v>
      </c>
      <c r="L578" s="28" t="s">
        <v>1406</v>
      </c>
      <c r="M578" s="28">
        <v>180680</v>
      </c>
      <c r="N578" s="28" t="s">
        <v>1387</v>
      </c>
      <c r="O578" s="28">
        <v>0</v>
      </c>
      <c r="P578" s="29" t="s">
        <v>1407</v>
      </c>
    </row>
    <row r="579" spans="3:16" ht="36.75" thickBot="1" x14ac:dyDescent="0.3">
      <c r="C579" s="27" t="s">
        <v>1509</v>
      </c>
      <c r="D579" s="28">
        <v>572</v>
      </c>
      <c r="E579" s="28" t="s">
        <v>1402</v>
      </c>
      <c r="F579" s="28" t="s">
        <v>1084</v>
      </c>
      <c r="G579" s="28" t="s">
        <v>89</v>
      </c>
      <c r="H579" s="28" t="s">
        <v>90</v>
      </c>
      <c r="I579" s="28" t="s">
        <v>91</v>
      </c>
      <c r="J579" s="28" t="s">
        <v>1951</v>
      </c>
      <c r="K579" s="28" t="s">
        <v>1405</v>
      </c>
      <c r="L579" s="28" t="s">
        <v>1406</v>
      </c>
      <c r="M579" s="28">
        <v>180680</v>
      </c>
      <c r="N579" s="28" t="s">
        <v>1387</v>
      </c>
      <c r="O579" s="28">
        <v>0</v>
      </c>
      <c r="P579" s="29" t="s">
        <v>1407</v>
      </c>
    </row>
    <row r="580" spans="3:16" ht="36.75" thickBot="1" x14ac:dyDescent="0.3">
      <c r="C580" s="27" t="s">
        <v>1509</v>
      </c>
      <c r="D580" s="28">
        <v>573</v>
      </c>
      <c r="E580" s="28" t="s">
        <v>1402</v>
      </c>
      <c r="F580" s="28" t="s">
        <v>172</v>
      </c>
      <c r="G580" s="28" t="s">
        <v>89</v>
      </c>
      <c r="H580" s="28" t="s">
        <v>90</v>
      </c>
      <c r="I580" s="28" t="s">
        <v>91</v>
      </c>
      <c r="J580" s="28" t="s">
        <v>1951</v>
      </c>
      <c r="K580" s="28" t="s">
        <v>1405</v>
      </c>
      <c r="L580" s="28" t="s">
        <v>1406</v>
      </c>
      <c r="M580" s="28">
        <v>607888</v>
      </c>
      <c r="N580" s="28" t="s">
        <v>1387</v>
      </c>
      <c r="O580" s="28">
        <v>0</v>
      </c>
      <c r="P580" s="29" t="s">
        <v>1407</v>
      </c>
    </row>
    <row r="581" spans="3:16" ht="36.75" thickBot="1" x14ac:dyDescent="0.3">
      <c r="C581" s="27" t="s">
        <v>1509</v>
      </c>
      <c r="D581" s="28">
        <v>574</v>
      </c>
      <c r="E581" s="28" t="s">
        <v>1402</v>
      </c>
      <c r="F581" s="28" t="s">
        <v>660</v>
      </c>
      <c r="G581" s="28" t="s">
        <v>89</v>
      </c>
      <c r="H581" s="28" t="s">
        <v>90</v>
      </c>
      <c r="I581" s="28" t="s">
        <v>91</v>
      </c>
      <c r="J581" s="28" t="s">
        <v>1951</v>
      </c>
      <c r="K581" s="28" t="s">
        <v>1405</v>
      </c>
      <c r="L581" s="28" t="s">
        <v>1406</v>
      </c>
      <c r="M581" s="28">
        <v>1010636.59</v>
      </c>
      <c r="N581" s="28" t="s">
        <v>1387</v>
      </c>
      <c r="O581" s="28">
        <v>0</v>
      </c>
      <c r="P581" s="29" t="s">
        <v>1407</v>
      </c>
    </row>
    <row r="582" spans="3:16" ht="36.75" thickBot="1" x14ac:dyDescent="0.3">
      <c r="C582" s="27" t="s">
        <v>1509</v>
      </c>
      <c r="D582" s="28">
        <v>575</v>
      </c>
      <c r="E582" s="28" t="s">
        <v>1402</v>
      </c>
      <c r="F582" s="28" t="s">
        <v>1080</v>
      </c>
      <c r="G582" s="28" t="s">
        <v>89</v>
      </c>
      <c r="H582" s="28" t="s">
        <v>90</v>
      </c>
      <c r="I582" s="28" t="s">
        <v>91</v>
      </c>
      <c r="J582" s="28" t="s">
        <v>1951</v>
      </c>
      <c r="K582" s="28" t="s">
        <v>1405</v>
      </c>
      <c r="L582" s="28" t="s">
        <v>1406</v>
      </c>
      <c r="M582" s="28">
        <v>280000</v>
      </c>
      <c r="N582" s="28" t="s">
        <v>1387</v>
      </c>
      <c r="O582" s="28">
        <v>0</v>
      </c>
      <c r="P582" s="29" t="s">
        <v>1407</v>
      </c>
    </row>
    <row r="583" spans="3:16" ht="36.75" thickBot="1" x14ac:dyDescent="0.3">
      <c r="C583" s="27" t="s">
        <v>1509</v>
      </c>
      <c r="D583" s="28">
        <v>576</v>
      </c>
      <c r="E583" s="28" t="s">
        <v>1402</v>
      </c>
      <c r="F583" s="28" t="s">
        <v>1093</v>
      </c>
      <c r="G583" s="28" t="s">
        <v>89</v>
      </c>
      <c r="H583" s="28" t="s">
        <v>90</v>
      </c>
      <c r="I583" s="28" t="s">
        <v>91</v>
      </c>
      <c r="J583" s="28" t="s">
        <v>1951</v>
      </c>
      <c r="K583" s="28" t="s">
        <v>1405</v>
      </c>
      <c r="L583" s="28" t="s">
        <v>1406</v>
      </c>
      <c r="M583" s="28">
        <v>124267.2</v>
      </c>
      <c r="N583" s="28" t="s">
        <v>1387</v>
      </c>
      <c r="O583" s="28">
        <v>0</v>
      </c>
      <c r="P583" s="29" t="s">
        <v>1407</v>
      </c>
    </row>
    <row r="584" spans="3:16" ht="36.75" thickBot="1" x14ac:dyDescent="0.3">
      <c r="C584" s="27" t="s">
        <v>1509</v>
      </c>
      <c r="D584" s="28">
        <v>577</v>
      </c>
      <c r="E584" s="28" t="s">
        <v>1402</v>
      </c>
      <c r="F584" s="28" t="s">
        <v>664</v>
      </c>
      <c r="G584" s="28" t="s">
        <v>89</v>
      </c>
      <c r="H584" s="28" t="s">
        <v>90</v>
      </c>
      <c r="I584" s="28" t="s">
        <v>91</v>
      </c>
      <c r="J584" s="28" t="s">
        <v>1951</v>
      </c>
      <c r="K584" s="28" t="s">
        <v>1405</v>
      </c>
      <c r="L584" s="28" t="s">
        <v>1406</v>
      </c>
      <c r="M584" s="28">
        <v>60000</v>
      </c>
      <c r="N584" s="28" t="s">
        <v>1387</v>
      </c>
      <c r="O584" s="28">
        <v>0</v>
      </c>
      <c r="P584" s="29" t="s">
        <v>1407</v>
      </c>
    </row>
    <row r="585" spans="3:16" ht="36.75" thickBot="1" x14ac:dyDescent="0.3">
      <c r="C585" s="27" t="s">
        <v>1509</v>
      </c>
      <c r="D585" s="28">
        <v>578</v>
      </c>
      <c r="E585" s="28" t="s">
        <v>1402</v>
      </c>
      <c r="F585" s="28" t="s">
        <v>1095</v>
      </c>
      <c r="G585" s="28" t="s">
        <v>89</v>
      </c>
      <c r="H585" s="28" t="s">
        <v>90</v>
      </c>
      <c r="I585" s="28" t="s">
        <v>91</v>
      </c>
      <c r="J585" s="28" t="s">
        <v>1951</v>
      </c>
      <c r="K585" s="28" t="s">
        <v>1405</v>
      </c>
      <c r="L585" s="28" t="s">
        <v>1406</v>
      </c>
      <c r="M585" s="28">
        <v>60000</v>
      </c>
      <c r="N585" s="28" t="s">
        <v>1387</v>
      </c>
      <c r="O585" s="28">
        <v>0</v>
      </c>
      <c r="P585" s="29" t="s">
        <v>1407</v>
      </c>
    </row>
    <row r="586" spans="3:16" ht="36.75" thickBot="1" x14ac:dyDescent="0.3">
      <c r="C586" s="27" t="s">
        <v>1509</v>
      </c>
      <c r="D586" s="28">
        <v>579</v>
      </c>
      <c r="E586" s="28" t="s">
        <v>1402</v>
      </c>
      <c r="F586" s="28" t="s">
        <v>253</v>
      </c>
      <c r="G586" s="28" t="s">
        <v>89</v>
      </c>
      <c r="H586" s="28" t="s">
        <v>90</v>
      </c>
      <c r="I586" s="28" t="s">
        <v>91</v>
      </c>
      <c r="J586" s="28" t="s">
        <v>1951</v>
      </c>
      <c r="K586" s="28" t="s">
        <v>1405</v>
      </c>
      <c r="L586" s="28" t="s">
        <v>1406</v>
      </c>
      <c r="M586" s="28">
        <v>18599.47</v>
      </c>
      <c r="N586" s="28" t="s">
        <v>1387</v>
      </c>
      <c r="O586" s="28">
        <v>0</v>
      </c>
      <c r="P586" s="29" t="s">
        <v>1407</v>
      </c>
    </row>
    <row r="587" spans="3:16" ht="36.75" thickBot="1" x14ac:dyDescent="0.3">
      <c r="C587" s="27" t="s">
        <v>1509</v>
      </c>
      <c r="D587" s="28">
        <v>580</v>
      </c>
      <c r="E587" s="28" t="s">
        <v>1402</v>
      </c>
      <c r="F587" s="28" t="s">
        <v>668</v>
      </c>
      <c r="G587" s="28" t="s">
        <v>89</v>
      </c>
      <c r="H587" s="28" t="s">
        <v>90</v>
      </c>
      <c r="I587" s="28" t="s">
        <v>91</v>
      </c>
      <c r="J587" s="28" t="s">
        <v>1951</v>
      </c>
      <c r="K587" s="28" t="s">
        <v>1405</v>
      </c>
      <c r="L587" s="28" t="s">
        <v>1406</v>
      </c>
      <c r="M587" s="28">
        <v>77715</v>
      </c>
      <c r="N587" s="28" t="s">
        <v>1387</v>
      </c>
      <c r="O587" s="28">
        <v>0</v>
      </c>
      <c r="P587" s="29" t="s">
        <v>1407</v>
      </c>
    </row>
    <row r="588" spans="3:16" ht="36.75" thickBot="1" x14ac:dyDescent="0.3">
      <c r="C588" s="27" t="s">
        <v>1509</v>
      </c>
      <c r="D588" s="28">
        <v>581</v>
      </c>
      <c r="E588" s="28" t="s">
        <v>1402</v>
      </c>
      <c r="F588" s="28" t="s">
        <v>409</v>
      </c>
      <c r="G588" s="28" t="s">
        <v>89</v>
      </c>
      <c r="H588" s="28" t="s">
        <v>90</v>
      </c>
      <c r="I588" s="28" t="s">
        <v>91</v>
      </c>
      <c r="J588" s="28" t="s">
        <v>1951</v>
      </c>
      <c r="K588" s="28" t="s">
        <v>1405</v>
      </c>
      <c r="L588" s="28" t="s">
        <v>1406</v>
      </c>
      <c r="M588" s="28">
        <v>77715</v>
      </c>
      <c r="N588" s="28" t="s">
        <v>1387</v>
      </c>
      <c r="O588" s="28">
        <v>0</v>
      </c>
      <c r="P588" s="29" t="s">
        <v>1407</v>
      </c>
    </row>
    <row r="589" spans="3:16" ht="36.75" thickBot="1" x14ac:dyDescent="0.3">
      <c r="C589" s="27" t="s">
        <v>1509</v>
      </c>
      <c r="D589" s="28">
        <v>582</v>
      </c>
      <c r="E589" s="28" t="s">
        <v>1402</v>
      </c>
      <c r="F589" s="28" t="s">
        <v>1091</v>
      </c>
      <c r="G589" s="28" t="s">
        <v>89</v>
      </c>
      <c r="H589" s="28" t="s">
        <v>90</v>
      </c>
      <c r="I589" s="28" t="s">
        <v>91</v>
      </c>
      <c r="J589" s="28" t="s">
        <v>1951</v>
      </c>
      <c r="K589" s="28" t="s">
        <v>1405</v>
      </c>
      <c r="L589" s="28" t="s">
        <v>1406</v>
      </c>
      <c r="M589" s="28">
        <v>55200</v>
      </c>
      <c r="N589" s="28" t="s">
        <v>1387</v>
      </c>
      <c r="O589" s="28">
        <v>0</v>
      </c>
      <c r="P589" s="29" t="s">
        <v>1407</v>
      </c>
    </row>
    <row r="590" spans="3:16" ht="36.75" thickBot="1" x14ac:dyDescent="0.3">
      <c r="C590" s="27" t="s">
        <v>1509</v>
      </c>
      <c r="D590" s="28">
        <v>583</v>
      </c>
      <c r="E590" s="28" t="s">
        <v>1402</v>
      </c>
      <c r="F590" s="28" t="s">
        <v>116</v>
      </c>
      <c r="G590" s="28" t="s">
        <v>89</v>
      </c>
      <c r="H590" s="28" t="s">
        <v>90</v>
      </c>
      <c r="I590" s="28" t="s">
        <v>91</v>
      </c>
      <c r="J590" s="28" t="s">
        <v>1951</v>
      </c>
      <c r="K590" s="28" t="s">
        <v>1405</v>
      </c>
      <c r="L590" s="28" t="s">
        <v>1406</v>
      </c>
      <c r="M590" s="28">
        <v>308960</v>
      </c>
      <c r="N590" s="28" t="s">
        <v>1387</v>
      </c>
      <c r="O590" s="28">
        <v>0</v>
      </c>
      <c r="P590" s="29" t="s">
        <v>1407</v>
      </c>
    </row>
    <row r="591" spans="3:16" ht="36.75" thickBot="1" x14ac:dyDescent="0.3">
      <c r="C591" s="27" t="s">
        <v>1509</v>
      </c>
      <c r="D591" s="28">
        <v>584</v>
      </c>
      <c r="E591" s="28" t="s">
        <v>1402</v>
      </c>
      <c r="F591" s="28" t="s">
        <v>671</v>
      </c>
      <c r="G591" s="28" t="s">
        <v>89</v>
      </c>
      <c r="H591" s="28" t="s">
        <v>90</v>
      </c>
      <c r="I591" s="28" t="s">
        <v>91</v>
      </c>
      <c r="J591" s="28" t="s">
        <v>1951</v>
      </c>
      <c r="K591" s="28" t="s">
        <v>1405</v>
      </c>
      <c r="L591" s="28" t="s">
        <v>1406</v>
      </c>
      <c r="M591" s="28">
        <v>19520</v>
      </c>
      <c r="N591" s="28" t="s">
        <v>1387</v>
      </c>
      <c r="O591" s="28">
        <v>0</v>
      </c>
      <c r="P591" s="29" t="s">
        <v>1407</v>
      </c>
    </row>
    <row r="592" spans="3:16" ht="36.75" thickBot="1" x14ac:dyDescent="0.3">
      <c r="C592" s="27" t="s">
        <v>1509</v>
      </c>
      <c r="D592" s="28">
        <v>585</v>
      </c>
      <c r="E592" s="28" t="s">
        <v>1402</v>
      </c>
      <c r="F592" s="28" t="s">
        <v>411</v>
      </c>
      <c r="G592" s="28" t="s">
        <v>89</v>
      </c>
      <c r="H592" s="28" t="s">
        <v>90</v>
      </c>
      <c r="I592" s="28" t="s">
        <v>91</v>
      </c>
      <c r="J592" s="28" t="s">
        <v>1951</v>
      </c>
      <c r="K592" s="28" t="s">
        <v>1405</v>
      </c>
      <c r="L592" s="28" t="s">
        <v>1406</v>
      </c>
      <c r="M592" s="28">
        <v>26000</v>
      </c>
      <c r="N592" s="28" t="s">
        <v>1387</v>
      </c>
      <c r="O592" s="28">
        <v>0</v>
      </c>
      <c r="P592" s="29" t="s">
        <v>1407</v>
      </c>
    </row>
    <row r="593" spans="3:16" ht="36.75" thickBot="1" x14ac:dyDescent="0.3">
      <c r="C593" s="27" t="s">
        <v>1509</v>
      </c>
      <c r="D593" s="28">
        <v>586</v>
      </c>
      <c r="E593" s="28" t="s">
        <v>1402</v>
      </c>
      <c r="F593" s="28" t="s">
        <v>402</v>
      </c>
      <c r="G593" s="28" t="s">
        <v>89</v>
      </c>
      <c r="H593" s="28" t="s">
        <v>90</v>
      </c>
      <c r="I593" s="28" t="s">
        <v>91</v>
      </c>
      <c r="J593" s="28" t="s">
        <v>1951</v>
      </c>
      <c r="K593" s="28" t="s">
        <v>1405</v>
      </c>
      <c r="L593" s="28" t="s">
        <v>1406</v>
      </c>
      <c r="M593" s="28">
        <v>26000</v>
      </c>
      <c r="N593" s="28" t="s">
        <v>1387</v>
      </c>
      <c r="O593" s="28">
        <v>0</v>
      </c>
      <c r="P593" s="29" t="s">
        <v>1407</v>
      </c>
    </row>
    <row r="594" spans="3:16" ht="36.75" thickBot="1" x14ac:dyDescent="0.3">
      <c r="C594" s="27" t="s">
        <v>1509</v>
      </c>
      <c r="D594" s="28">
        <v>587</v>
      </c>
      <c r="E594" s="28" t="s">
        <v>1402</v>
      </c>
      <c r="F594" s="28" t="s">
        <v>255</v>
      </c>
      <c r="G594" s="28" t="s">
        <v>89</v>
      </c>
      <c r="H594" s="28" t="s">
        <v>90</v>
      </c>
      <c r="I594" s="28" t="s">
        <v>91</v>
      </c>
      <c r="J594" s="28" t="s">
        <v>1951</v>
      </c>
      <c r="K594" s="28" t="s">
        <v>1405</v>
      </c>
      <c r="L594" s="28" t="s">
        <v>1406</v>
      </c>
      <c r="M594" s="28">
        <v>342944.5</v>
      </c>
      <c r="N594" s="28" t="s">
        <v>1387</v>
      </c>
      <c r="O594" s="28">
        <v>0</v>
      </c>
      <c r="P594" s="29" t="s">
        <v>1407</v>
      </c>
    </row>
    <row r="595" spans="3:16" ht="36.75" thickBot="1" x14ac:dyDescent="0.3">
      <c r="C595" s="27" t="s">
        <v>1509</v>
      </c>
      <c r="D595" s="28">
        <v>588</v>
      </c>
      <c r="E595" s="28" t="s">
        <v>1402</v>
      </c>
      <c r="F595" s="28" t="s">
        <v>673</v>
      </c>
      <c r="G595" s="28" t="s">
        <v>89</v>
      </c>
      <c r="H595" s="28" t="s">
        <v>90</v>
      </c>
      <c r="I595" s="28" t="s">
        <v>91</v>
      </c>
      <c r="J595" s="28" t="s">
        <v>1951</v>
      </c>
      <c r="K595" s="28" t="s">
        <v>1405</v>
      </c>
      <c r="L595" s="28" t="s">
        <v>1406</v>
      </c>
      <c r="M595" s="28">
        <v>519995.56</v>
      </c>
      <c r="N595" s="28" t="s">
        <v>1387</v>
      </c>
      <c r="O595" s="28">
        <v>0</v>
      </c>
      <c r="P595" s="29" t="s">
        <v>1407</v>
      </c>
    </row>
    <row r="596" spans="3:16" ht="36.75" thickBot="1" x14ac:dyDescent="0.3">
      <c r="C596" s="27" t="s">
        <v>1509</v>
      </c>
      <c r="D596" s="28">
        <v>589</v>
      </c>
      <c r="E596" s="28" t="s">
        <v>1402</v>
      </c>
      <c r="F596" s="28" t="s">
        <v>413</v>
      </c>
      <c r="G596" s="28" t="s">
        <v>89</v>
      </c>
      <c r="H596" s="28" t="s">
        <v>90</v>
      </c>
      <c r="I596" s="28" t="s">
        <v>91</v>
      </c>
      <c r="J596" s="28" t="s">
        <v>1951</v>
      </c>
      <c r="K596" s="28" t="s">
        <v>1405</v>
      </c>
      <c r="L596" s="28" t="s">
        <v>1406</v>
      </c>
      <c r="M596" s="28">
        <v>1077696.75</v>
      </c>
      <c r="N596" s="28" t="s">
        <v>1387</v>
      </c>
      <c r="O596" s="28">
        <v>0</v>
      </c>
      <c r="P596" s="29" t="s">
        <v>1407</v>
      </c>
    </row>
    <row r="597" spans="3:16" ht="36.75" thickBot="1" x14ac:dyDescent="0.3">
      <c r="C597" s="27" t="s">
        <v>1509</v>
      </c>
      <c r="D597" s="28">
        <v>590</v>
      </c>
      <c r="E597" s="28" t="s">
        <v>1402</v>
      </c>
      <c r="F597" s="28" t="s">
        <v>1101</v>
      </c>
      <c r="G597" s="28" t="s">
        <v>89</v>
      </c>
      <c r="H597" s="28" t="s">
        <v>90</v>
      </c>
      <c r="I597" s="28" t="s">
        <v>91</v>
      </c>
      <c r="J597" s="28" t="s">
        <v>1951</v>
      </c>
      <c r="K597" s="28" t="s">
        <v>1405</v>
      </c>
      <c r="L597" s="28" t="s">
        <v>1406</v>
      </c>
      <c r="M597" s="28">
        <v>44000</v>
      </c>
      <c r="N597" s="28" t="s">
        <v>1387</v>
      </c>
      <c r="O597" s="28">
        <v>0</v>
      </c>
      <c r="P597" s="29" t="s">
        <v>1407</v>
      </c>
    </row>
    <row r="598" spans="3:16" ht="36.75" thickBot="1" x14ac:dyDescent="0.3">
      <c r="C598" s="27" t="s">
        <v>1509</v>
      </c>
      <c r="D598" s="28">
        <v>591</v>
      </c>
      <c r="E598" s="28" t="s">
        <v>1402</v>
      </c>
      <c r="F598" s="28" t="s">
        <v>177</v>
      </c>
      <c r="G598" s="28" t="s">
        <v>89</v>
      </c>
      <c r="H598" s="28" t="s">
        <v>90</v>
      </c>
      <c r="I598" s="28" t="s">
        <v>91</v>
      </c>
      <c r="J598" s="28" t="s">
        <v>1951</v>
      </c>
      <c r="K598" s="28" t="s">
        <v>1405</v>
      </c>
      <c r="L598" s="28" t="s">
        <v>1406</v>
      </c>
      <c r="M598" s="28">
        <v>5089147.1500000004</v>
      </c>
      <c r="N598" s="28" t="s">
        <v>1387</v>
      </c>
      <c r="O598" s="28">
        <v>0</v>
      </c>
      <c r="P598" s="29" t="s">
        <v>1407</v>
      </c>
    </row>
    <row r="599" spans="3:16" ht="36.75" thickBot="1" x14ac:dyDescent="0.3">
      <c r="C599" s="27" t="s">
        <v>1509</v>
      </c>
      <c r="D599" s="28">
        <v>592</v>
      </c>
      <c r="E599" s="28" t="s">
        <v>1402</v>
      </c>
      <c r="F599" s="28" t="s">
        <v>677</v>
      </c>
      <c r="G599" s="28" t="s">
        <v>89</v>
      </c>
      <c r="H599" s="28" t="s">
        <v>90</v>
      </c>
      <c r="I599" s="28" t="s">
        <v>91</v>
      </c>
      <c r="J599" s="28" t="s">
        <v>1951</v>
      </c>
      <c r="K599" s="28" t="s">
        <v>1405</v>
      </c>
      <c r="L599" s="28" t="s">
        <v>1406</v>
      </c>
      <c r="M599" s="28">
        <v>63200</v>
      </c>
      <c r="N599" s="28" t="s">
        <v>1387</v>
      </c>
      <c r="O599" s="28">
        <v>0</v>
      </c>
      <c r="P599" s="29" t="s">
        <v>1407</v>
      </c>
    </row>
    <row r="600" spans="3:16" ht="36.75" thickBot="1" x14ac:dyDescent="0.3">
      <c r="C600" s="27" t="s">
        <v>1509</v>
      </c>
      <c r="D600" s="28">
        <v>593</v>
      </c>
      <c r="E600" s="28" t="s">
        <v>1402</v>
      </c>
      <c r="F600" s="28" t="s">
        <v>1071</v>
      </c>
      <c r="G600" s="28" t="s">
        <v>89</v>
      </c>
      <c r="H600" s="28" t="s">
        <v>90</v>
      </c>
      <c r="I600" s="28" t="s">
        <v>91</v>
      </c>
      <c r="J600" s="28" t="s">
        <v>1951</v>
      </c>
      <c r="K600" s="28" t="s">
        <v>1405</v>
      </c>
      <c r="L600" s="28" t="s">
        <v>1406</v>
      </c>
      <c r="M600" s="28">
        <v>2132680.5</v>
      </c>
      <c r="N600" s="28" t="s">
        <v>1387</v>
      </c>
      <c r="O600" s="28">
        <v>0</v>
      </c>
      <c r="P600" s="29" t="s">
        <v>1407</v>
      </c>
    </row>
    <row r="601" spans="3:16" ht="36.75" thickBot="1" x14ac:dyDescent="0.3">
      <c r="C601" s="27" t="s">
        <v>1509</v>
      </c>
      <c r="D601" s="28">
        <v>594</v>
      </c>
      <c r="E601" s="28" t="s">
        <v>1402</v>
      </c>
      <c r="F601" s="28" t="s">
        <v>257</v>
      </c>
      <c r="G601" s="28" t="s">
        <v>89</v>
      </c>
      <c r="H601" s="28" t="s">
        <v>90</v>
      </c>
      <c r="I601" s="28" t="s">
        <v>91</v>
      </c>
      <c r="J601" s="28" t="s">
        <v>1951</v>
      </c>
      <c r="K601" s="28" t="s">
        <v>1405</v>
      </c>
      <c r="L601" s="28" t="s">
        <v>1406</v>
      </c>
      <c r="M601" s="28">
        <v>132320</v>
      </c>
      <c r="N601" s="28" t="s">
        <v>1387</v>
      </c>
      <c r="O601" s="28">
        <v>0</v>
      </c>
      <c r="P601" s="29" t="s">
        <v>1407</v>
      </c>
    </row>
    <row r="602" spans="3:16" ht="36.75" thickBot="1" x14ac:dyDescent="0.3">
      <c r="C602" s="27" t="s">
        <v>1509</v>
      </c>
      <c r="D602" s="28">
        <v>595</v>
      </c>
      <c r="E602" s="28" t="s">
        <v>1402</v>
      </c>
      <c r="F602" s="28" t="s">
        <v>681</v>
      </c>
      <c r="G602" s="28" t="s">
        <v>89</v>
      </c>
      <c r="H602" s="28" t="s">
        <v>90</v>
      </c>
      <c r="I602" s="28" t="s">
        <v>91</v>
      </c>
      <c r="J602" s="28" t="s">
        <v>1951</v>
      </c>
      <c r="K602" s="28" t="s">
        <v>1405</v>
      </c>
      <c r="L602" s="28" t="s">
        <v>1406</v>
      </c>
      <c r="M602" s="28">
        <v>33600</v>
      </c>
      <c r="N602" s="28" t="s">
        <v>1387</v>
      </c>
      <c r="O602" s="28">
        <v>0</v>
      </c>
      <c r="P602" s="29" t="s">
        <v>1407</v>
      </c>
    </row>
    <row r="603" spans="3:16" ht="36.75" thickBot="1" x14ac:dyDescent="0.3">
      <c r="C603" s="27" t="s">
        <v>1509</v>
      </c>
      <c r="D603" s="28">
        <v>596</v>
      </c>
      <c r="E603" s="28" t="s">
        <v>1402</v>
      </c>
      <c r="F603" s="28" t="s">
        <v>417</v>
      </c>
      <c r="G603" s="28" t="s">
        <v>89</v>
      </c>
      <c r="H603" s="28" t="s">
        <v>90</v>
      </c>
      <c r="I603" s="28" t="s">
        <v>91</v>
      </c>
      <c r="J603" s="28" t="s">
        <v>1951</v>
      </c>
      <c r="K603" s="28" t="s">
        <v>1405</v>
      </c>
      <c r="L603" s="28" t="s">
        <v>1406</v>
      </c>
      <c r="M603" s="28">
        <v>5000</v>
      </c>
      <c r="N603" s="28" t="s">
        <v>1387</v>
      </c>
      <c r="O603" s="28">
        <v>0</v>
      </c>
      <c r="P603" s="29" t="s">
        <v>1407</v>
      </c>
    </row>
    <row r="604" spans="3:16" ht="36.75" thickBot="1" x14ac:dyDescent="0.3">
      <c r="C604" s="27" t="s">
        <v>1509</v>
      </c>
      <c r="D604" s="28">
        <v>597</v>
      </c>
      <c r="E604" s="28" t="s">
        <v>1402</v>
      </c>
      <c r="F604" s="28" t="s">
        <v>1116</v>
      </c>
      <c r="G604" s="28" t="s">
        <v>89</v>
      </c>
      <c r="H604" s="28" t="s">
        <v>90</v>
      </c>
      <c r="I604" s="28" t="s">
        <v>91</v>
      </c>
      <c r="J604" s="28" t="s">
        <v>1951</v>
      </c>
      <c r="K604" s="28" t="s">
        <v>1405</v>
      </c>
      <c r="L604" s="28" t="s">
        <v>1406</v>
      </c>
      <c r="M604" s="28">
        <v>271256</v>
      </c>
      <c r="N604" s="28" t="s">
        <v>1387</v>
      </c>
      <c r="O604" s="28">
        <v>0</v>
      </c>
      <c r="P604" s="29" t="s">
        <v>1407</v>
      </c>
    </row>
    <row r="605" spans="3:16" ht="36.75" thickBot="1" x14ac:dyDescent="0.3">
      <c r="C605" s="27" t="s">
        <v>1509</v>
      </c>
      <c r="D605" s="28">
        <v>598</v>
      </c>
      <c r="E605" s="28" t="s">
        <v>1402</v>
      </c>
      <c r="F605" s="28" t="s">
        <v>135</v>
      </c>
      <c r="G605" s="28" t="s">
        <v>89</v>
      </c>
      <c r="H605" s="28" t="s">
        <v>90</v>
      </c>
      <c r="I605" s="28" t="s">
        <v>91</v>
      </c>
      <c r="J605" s="28" t="s">
        <v>1951</v>
      </c>
      <c r="K605" s="28" t="s">
        <v>1405</v>
      </c>
      <c r="L605" s="28" t="s">
        <v>1406</v>
      </c>
      <c r="M605" s="28">
        <v>324800</v>
      </c>
      <c r="N605" s="28" t="s">
        <v>1387</v>
      </c>
      <c r="O605" s="28">
        <v>0</v>
      </c>
      <c r="P605" s="29" t="s">
        <v>1407</v>
      </c>
    </row>
    <row r="606" spans="3:16" ht="36.75" thickBot="1" x14ac:dyDescent="0.3">
      <c r="C606" s="27" t="s">
        <v>1509</v>
      </c>
      <c r="D606" s="28">
        <v>599</v>
      </c>
      <c r="E606" s="28" t="s">
        <v>1402</v>
      </c>
      <c r="F606" s="28" t="s">
        <v>684</v>
      </c>
      <c r="G606" s="28" t="s">
        <v>89</v>
      </c>
      <c r="H606" s="28" t="s">
        <v>90</v>
      </c>
      <c r="I606" s="28" t="s">
        <v>91</v>
      </c>
      <c r="J606" s="28" t="s">
        <v>1951</v>
      </c>
      <c r="K606" s="28" t="s">
        <v>1405</v>
      </c>
      <c r="L606" s="28" t="s">
        <v>1406</v>
      </c>
      <c r="M606" s="28">
        <v>454640</v>
      </c>
      <c r="N606" s="28" t="s">
        <v>1387</v>
      </c>
      <c r="O606" s="28">
        <v>0</v>
      </c>
      <c r="P606" s="29" t="s">
        <v>1407</v>
      </c>
    </row>
    <row r="607" spans="3:16" ht="36.75" thickBot="1" x14ac:dyDescent="0.3">
      <c r="C607" s="27" t="s">
        <v>1509</v>
      </c>
      <c r="D607" s="28">
        <v>600</v>
      </c>
      <c r="E607" s="28" t="s">
        <v>1402</v>
      </c>
      <c r="F607" s="28" t="s">
        <v>419</v>
      </c>
      <c r="G607" s="28" t="s">
        <v>89</v>
      </c>
      <c r="H607" s="28" t="s">
        <v>90</v>
      </c>
      <c r="I607" s="28" t="s">
        <v>91</v>
      </c>
      <c r="J607" s="28" t="s">
        <v>1951</v>
      </c>
      <c r="K607" s="28" t="s">
        <v>1405</v>
      </c>
      <c r="L607" s="28" t="s">
        <v>1406</v>
      </c>
      <c r="M607" s="28">
        <v>57333.33</v>
      </c>
      <c r="N607" s="28" t="s">
        <v>1387</v>
      </c>
      <c r="O607" s="28">
        <v>0</v>
      </c>
      <c r="P607" s="29" t="s">
        <v>1407</v>
      </c>
    </row>
    <row r="608" spans="3:16" ht="36.75" thickBot="1" x14ac:dyDescent="0.3">
      <c r="C608" s="27" t="s">
        <v>1509</v>
      </c>
      <c r="D608" s="28">
        <v>601</v>
      </c>
      <c r="E608" s="28" t="s">
        <v>1402</v>
      </c>
      <c r="F608" s="28" t="s">
        <v>254</v>
      </c>
      <c r="G608" s="28" t="s">
        <v>89</v>
      </c>
      <c r="H608" s="28" t="s">
        <v>90</v>
      </c>
      <c r="I608" s="28" t="s">
        <v>91</v>
      </c>
      <c r="J608" s="28" t="s">
        <v>1951</v>
      </c>
      <c r="K608" s="28" t="s">
        <v>1405</v>
      </c>
      <c r="L608" s="28" t="s">
        <v>1406</v>
      </c>
      <c r="M608" s="28">
        <v>57333.33</v>
      </c>
      <c r="N608" s="28" t="s">
        <v>1387</v>
      </c>
      <c r="O608" s="28">
        <v>0</v>
      </c>
      <c r="P608" s="29" t="s">
        <v>1407</v>
      </c>
    </row>
    <row r="609" spans="3:16" ht="36.75" thickBot="1" x14ac:dyDescent="0.3">
      <c r="C609" s="27" t="s">
        <v>1509</v>
      </c>
      <c r="D609" s="28">
        <v>602</v>
      </c>
      <c r="E609" s="28" t="s">
        <v>1402</v>
      </c>
      <c r="F609" s="28" t="s">
        <v>259</v>
      </c>
      <c r="G609" s="28" t="s">
        <v>89</v>
      </c>
      <c r="H609" s="28" t="s">
        <v>90</v>
      </c>
      <c r="I609" s="28" t="s">
        <v>91</v>
      </c>
      <c r="J609" s="28" t="s">
        <v>1951</v>
      </c>
      <c r="K609" s="28" t="s">
        <v>1405</v>
      </c>
      <c r="L609" s="28" t="s">
        <v>1406</v>
      </c>
      <c r="M609" s="28">
        <v>3127215.72</v>
      </c>
      <c r="N609" s="28" t="s">
        <v>1387</v>
      </c>
      <c r="O609" s="28">
        <v>0</v>
      </c>
      <c r="P609" s="29" t="s">
        <v>1407</v>
      </c>
    </row>
    <row r="610" spans="3:16" ht="36.75" thickBot="1" x14ac:dyDescent="0.3">
      <c r="C610" s="27" t="s">
        <v>1509</v>
      </c>
      <c r="D610" s="28">
        <v>603</v>
      </c>
      <c r="E610" s="28" t="s">
        <v>1402</v>
      </c>
      <c r="F610" s="28" t="s">
        <v>686</v>
      </c>
      <c r="G610" s="28" t="s">
        <v>89</v>
      </c>
      <c r="H610" s="28" t="s">
        <v>90</v>
      </c>
      <c r="I610" s="28" t="s">
        <v>91</v>
      </c>
      <c r="J610" s="28" t="s">
        <v>1951</v>
      </c>
      <c r="K610" s="28" t="s">
        <v>1405</v>
      </c>
      <c r="L610" s="28" t="s">
        <v>1406</v>
      </c>
      <c r="M610" s="28">
        <v>148960</v>
      </c>
      <c r="N610" s="28" t="s">
        <v>1387</v>
      </c>
      <c r="O610" s="28">
        <v>0</v>
      </c>
      <c r="P610" s="29" t="s">
        <v>1407</v>
      </c>
    </row>
    <row r="611" spans="3:16" ht="36.75" thickBot="1" x14ac:dyDescent="0.3">
      <c r="C611" s="27" t="s">
        <v>1509</v>
      </c>
      <c r="D611" s="28">
        <v>604</v>
      </c>
      <c r="E611" s="28" t="s">
        <v>1402</v>
      </c>
      <c r="F611" s="28" t="s">
        <v>421</v>
      </c>
      <c r="G611" s="28" t="s">
        <v>89</v>
      </c>
      <c r="H611" s="28" t="s">
        <v>90</v>
      </c>
      <c r="I611" s="28" t="s">
        <v>91</v>
      </c>
      <c r="J611" s="28" t="s">
        <v>1951</v>
      </c>
      <c r="K611" s="28" t="s">
        <v>1405</v>
      </c>
      <c r="L611" s="28" t="s">
        <v>1406</v>
      </c>
      <c r="M611" s="28">
        <v>24712.29</v>
      </c>
      <c r="N611" s="28" t="s">
        <v>1387</v>
      </c>
      <c r="O611" s="28">
        <v>0</v>
      </c>
      <c r="P611" s="29" t="s">
        <v>1407</v>
      </c>
    </row>
    <row r="612" spans="3:16" ht="36.75" thickBot="1" x14ac:dyDescent="0.3">
      <c r="C612" s="27" t="s">
        <v>1509</v>
      </c>
      <c r="D612" s="28">
        <v>605</v>
      </c>
      <c r="E612" s="28" t="s">
        <v>1402</v>
      </c>
      <c r="F612" s="28" t="s">
        <v>1131</v>
      </c>
      <c r="G612" s="28" t="s">
        <v>89</v>
      </c>
      <c r="H612" s="28" t="s">
        <v>90</v>
      </c>
      <c r="I612" s="28" t="s">
        <v>91</v>
      </c>
      <c r="J612" s="28" t="s">
        <v>1951</v>
      </c>
      <c r="K612" s="28" t="s">
        <v>1405</v>
      </c>
      <c r="L612" s="28" t="s">
        <v>1406</v>
      </c>
      <c r="M612" s="28">
        <v>24712.28</v>
      </c>
      <c r="N612" s="28" t="s">
        <v>1387</v>
      </c>
      <c r="O612" s="28">
        <v>0</v>
      </c>
      <c r="P612" s="29" t="s">
        <v>1407</v>
      </c>
    </row>
    <row r="613" spans="3:16" ht="36.75" thickBot="1" x14ac:dyDescent="0.3">
      <c r="C613" s="27" t="s">
        <v>1509</v>
      </c>
      <c r="D613" s="28">
        <v>606</v>
      </c>
      <c r="E613" s="28" t="s">
        <v>1402</v>
      </c>
      <c r="F613" s="28" t="s">
        <v>179</v>
      </c>
      <c r="G613" s="28" t="s">
        <v>89</v>
      </c>
      <c r="H613" s="28" t="s">
        <v>90</v>
      </c>
      <c r="I613" s="28" t="s">
        <v>91</v>
      </c>
      <c r="J613" s="28" t="s">
        <v>1951</v>
      </c>
      <c r="K613" s="28" t="s">
        <v>1405</v>
      </c>
      <c r="L613" s="28" t="s">
        <v>1406</v>
      </c>
      <c r="M613" s="28">
        <v>62400</v>
      </c>
      <c r="N613" s="28" t="s">
        <v>1387</v>
      </c>
      <c r="O613" s="28">
        <v>0</v>
      </c>
      <c r="P613" s="29" t="s">
        <v>1407</v>
      </c>
    </row>
    <row r="614" spans="3:16" ht="36.75" thickBot="1" x14ac:dyDescent="0.3">
      <c r="C614" s="27" t="s">
        <v>1509</v>
      </c>
      <c r="D614" s="28">
        <v>607</v>
      </c>
      <c r="E614" s="28" t="s">
        <v>1402</v>
      </c>
      <c r="F614" s="28" t="s">
        <v>688</v>
      </c>
      <c r="G614" s="28" t="s">
        <v>89</v>
      </c>
      <c r="H614" s="28" t="s">
        <v>90</v>
      </c>
      <c r="I614" s="28" t="s">
        <v>91</v>
      </c>
      <c r="J614" s="28" t="s">
        <v>1951</v>
      </c>
      <c r="K614" s="28" t="s">
        <v>1405</v>
      </c>
      <c r="L614" s="28" t="s">
        <v>1406</v>
      </c>
      <c r="M614" s="28">
        <v>176000</v>
      </c>
      <c r="N614" s="28" t="s">
        <v>1387</v>
      </c>
      <c r="O614" s="28">
        <v>0</v>
      </c>
      <c r="P614" s="29" t="s">
        <v>1407</v>
      </c>
    </row>
    <row r="615" spans="3:16" ht="36.75" thickBot="1" x14ac:dyDescent="0.3">
      <c r="C615" s="27" t="s">
        <v>1509</v>
      </c>
      <c r="D615" s="28">
        <v>608</v>
      </c>
      <c r="E615" s="28" t="s">
        <v>1402</v>
      </c>
      <c r="F615" s="28" t="s">
        <v>423</v>
      </c>
      <c r="G615" s="28" t="s">
        <v>89</v>
      </c>
      <c r="H615" s="28" t="s">
        <v>90</v>
      </c>
      <c r="I615" s="28" t="s">
        <v>91</v>
      </c>
      <c r="J615" s="28" t="s">
        <v>1951</v>
      </c>
      <c r="K615" s="28" t="s">
        <v>1405</v>
      </c>
      <c r="L615" s="28" t="s">
        <v>1406</v>
      </c>
      <c r="M615" s="28">
        <v>52400</v>
      </c>
      <c r="N615" s="28" t="s">
        <v>1387</v>
      </c>
      <c r="O615" s="28">
        <v>0</v>
      </c>
      <c r="P615" s="29" t="s">
        <v>1407</v>
      </c>
    </row>
    <row r="616" spans="3:16" ht="36.75" thickBot="1" x14ac:dyDescent="0.3">
      <c r="C616" s="27" t="s">
        <v>1509</v>
      </c>
      <c r="D616" s="28">
        <v>609</v>
      </c>
      <c r="E616" s="28" t="s">
        <v>1402</v>
      </c>
      <c r="F616" s="28" t="s">
        <v>613</v>
      </c>
      <c r="G616" s="28" t="s">
        <v>89</v>
      </c>
      <c r="H616" s="28" t="s">
        <v>90</v>
      </c>
      <c r="I616" s="28" t="s">
        <v>91</v>
      </c>
      <c r="J616" s="28" t="s">
        <v>1951</v>
      </c>
      <c r="K616" s="28" t="s">
        <v>1405</v>
      </c>
      <c r="L616" s="28" t="s">
        <v>1406</v>
      </c>
      <c r="M616" s="28">
        <v>51120</v>
      </c>
      <c r="N616" s="28" t="s">
        <v>1387</v>
      </c>
      <c r="O616" s="28">
        <v>0</v>
      </c>
      <c r="P616" s="29" t="s">
        <v>1407</v>
      </c>
    </row>
    <row r="617" spans="3:16" ht="36.75" thickBot="1" x14ac:dyDescent="0.3">
      <c r="C617" s="27" t="s">
        <v>1509</v>
      </c>
      <c r="D617" s="28">
        <v>610</v>
      </c>
      <c r="E617" s="28" t="s">
        <v>1402</v>
      </c>
      <c r="F617" s="28" t="s">
        <v>1156</v>
      </c>
      <c r="G617" s="28" t="s">
        <v>89</v>
      </c>
      <c r="H617" s="28" t="s">
        <v>90</v>
      </c>
      <c r="I617" s="28" t="s">
        <v>91</v>
      </c>
      <c r="J617" s="28" t="s">
        <v>1951</v>
      </c>
      <c r="K617" s="28" t="s">
        <v>1405</v>
      </c>
      <c r="L617" s="28" t="s">
        <v>1406</v>
      </c>
      <c r="M617" s="28">
        <v>88480</v>
      </c>
      <c r="N617" s="28" t="s">
        <v>1387</v>
      </c>
      <c r="O617" s="28">
        <v>0</v>
      </c>
      <c r="P617" s="29" t="s">
        <v>1407</v>
      </c>
    </row>
    <row r="618" spans="3:16" ht="36.75" thickBot="1" x14ac:dyDescent="0.3">
      <c r="C618" s="27" t="s">
        <v>1509</v>
      </c>
      <c r="D618" s="28">
        <v>611</v>
      </c>
      <c r="E618" s="28" t="s">
        <v>1402</v>
      </c>
      <c r="F618" s="28" t="s">
        <v>691</v>
      </c>
      <c r="G618" s="28" t="s">
        <v>89</v>
      </c>
      <c r="H618" s="28" t="s">
        <v>90</v>
      </c>
      <c r="I618" s="28" t="s">
        <v>91</v>
      </c>
      <c r="J618" s="28" t="s">
        <v>1951</v>
      </c>
      <c r="K618" s="28" t="s">
        <v>1405</v>
      </c>
      <c r="L618" s="28" t="s">
        <v>1406</v>
      </c>
      <c r="M618" s="28">
        <v>445600</v>
      </c>
      <c r="N618" s="28" t="s">
        <v>1387</v>
      </c>
      <c r="O618" s="28">
        <v>0</v>
      </c>
      <c r="P618" s="29" t="s">
        <v>1407</v>
      </c>
    </row>
    <row r="619" spans="3:16" ht="36.75" thickBot="1" x14ac:dyDescent="0.3">
      <c r="C619" s="27" t="s">
        <v>1509</v>
      </c>
      <c r="D619" s="28">
        <v>612</v>
      </c>
      <c r="E619" s="28" t="s">
        <v>1402</v>
      </c>
      <c r="F619" s="28" t="s">
        <v>1158</v>
      </c>
      <c r="G619" s="28" t="s">
        <v>89</v>
      </c>
      <c r="H619" s="28" t="s">
        <v>90</v>
      </c>
      <c r="I619" s="28" t="s">
        <v>91</v>
      </c>
      <c r="J619" s="28" t="s">
        <v>1951</v>
      </c>
      <c r="K619" s="28" t="s">
        <v>1405</v>
      </c>
      <c r="L619" s="28" t="s">
        <v>1406</v>
      </c>
      <c r="M619" s="28">
        <v>55112.69</v>
      </c>
      <c r="N619" s="28" t="s">
        <v>1387</v>
      </c>
      <c r="O619" s="28">
        <v>0</v>
      </c>
      <c r="P619" s="29" t="s">
        <v>1407</v>
      </c>
    </row>
    <row r="620" spans="3:16" ht="36.75" thickBot="1" x14ac:dyDescent="0.3">
      <c r="C620" s="27" t="s">
        <v>1509</v>
      </c>
      <c r="D620" s="28">
        <v>613</v>
      </c>
      <c r="E620" s="28" t="s">
        <v>1402</v>
      </c>
      <c r="F620" s="28" t="s">
        <v>1146</v>
      </c>
      <c r="G620" s="28" t="s">
        <v>89</v>
      </c>
      <c r="H620" s="28" t="s">
        <v>90</v>
      </c>
      <c r="I620" s="28" t="s">
        <v>91</v>
      </c>
      <c r="J620" s="28" t="s">
        <v>1951</v>
      </c>
      <c r="K620" s="28" t="s">
        <v>1405</v>
      </c>
      <c r="L620" s="28" t="s">
        <v>1406</v>
      </c>
      <c r="M620" s="28">
        <v>27000</v>
      </c>
      <c r="N620" s="28" t="s">
        <v>1387</v>
      </c>
      <c r="O620" s="28">
        <v>0</v>
      </c>
      <c r="P620" s="29" t="s">
        <v>1407</v>
      </c>
    </row>
    <row r="621" spans="3:16" ht="36.75" thickBot="1" x14ac:dyDescent="0.3">
      <c r="C621" s="27" t="s">
        <v>1509</v>
      </c>
      <c r="D621" s="28">
        <v>614</v>
      </c>
      <c r="E621" s="28" t="s">
        <v>1402</v>
      </c>
      <c r="F621" s="28" t="s">
        <v>1161</v>
      </c>
      <c r="G621" s="28" t="s">
        <v>89</v>
      </c>
      <c r="H621" s="28" t="s">
        <v>90</v>
      </c>
      <c r="I621" s="28" t="s">
        <v>91</v>
      </c>
      <c r="J621" s="28" t="s">
        <v>1951</v>
      </c>
      <c r="K621" s="28" t="s">
        <v>1405</v>
      </c>
      <c r="L621" s="28" t="s">
        <v>1406</v>
      </c>
      <c r="M621" s="28">
        <v>54800</v>
      </c>
      <c r="N621" s="28" t="s">
        <v>1387</v>
      </c>
      <c r="O621" s="28">
        <v>0</v>
      </c>
      <c r="P621" s="29" t="s">
        <v>1407</v>
      </c>
    </row>
    <row r="622" spans="3:16" ht="36.75" thickBot="1" x14ac:dyDescent="0.3">
      <c r="C622" s="27" t="s">
        <v>1509</v>
      </c>
      <c r="D622" s="28">
        <v>615</v>
      </c>
      <c r="E622" s="28" t="s">
        <v>1402</v>
      </c>
      <c r="F622" s="28" t="s">
        <v>695</v>
      </c>
      <c r="G622" s="28" t="s">
        <v>89</v>
      </c>
      <c r="H622" s="28" t="s">
        <v>90</v>
      </c>
      <c r="I622" s="28" t="s">
        <v>91</v>
      </c>
      <c r="J622" s="28" t="s">
        <v>1951</v>
      </c>
      <c r="K622" s="28" t="s">
        <v>1405</v>
      </c>
      <c r="L622" s="28" t="s">
        <v>1406</v>
      </c>
      <c r="M622" s="28">
        <v>87963.27</v>
      </c>
      <c r="N622" s="28" t="s">
        <v>1387</v>
      </c>
      <c r="O622" s="28">
        <v>0</v>
      </c>
      <c r="P622" s="29" t="s">
        <v>1407</v>
      </c>
    </row>
    <row r="623" spans="3:16" ht="36.75" thickBot="1" x14ac:dyDescent="0.3">
      <c r="C623" s="27" t="s">
        <v>1509</v>
      </c>
      <c r="D623" s="28">
        <v>616</v>
      </c>
      <c r="E623" s="28" t="s">
        <v>1402</v>
      </c>
      <c r="F623" s="28" t="s">
        <v>1164</v>
      </c>
      <c r="G623" s="28" t="s">
        <v>89</v>
      </c>
      <c r="H623" s="28" t="s">
        <v>90</v>
      </c>
      <c r="I623" s="28" t="s">
        <v>91</v>
      </c>
      <c r="J623" s="28" t="s">
        <v>1951</v>
      </c>
      <c r="K623" s="28" t="s">
        <v>1405</v>
      </c>
      <c r="L623" s="28" t="s">
        <v>1406</v>
      </c>
      <c r="M623" s="28">
        <v>27377.93</v>
      </c>
      <c r="N623" s="28" t="s">
        <v>1387</v>
      </c>
      <c r="O623" s="28">
        <v>0</v>
      </c>
      <c r="P623" s="29" t="s">
        <v>1407</v>
      </c>
    </row>
    <row r="624" spans="3:16" ht="36.75" thickBot="1" x14ac:dyDescent="0.3">
      <c r="C624" s="27" t="s">
        <v>1509</v>
      </c>
      <c r="D624" s="28">
        <v>617</v>
      </c>
      <c r="E624" s="28" t="s">
        <v>1402</v>
      </c>
      <c r="F624" s="28" t="s">
        <v>418</v>
      </c>
      <c r="G624" s="28" t="s">
        <v>89</v>
      </c>
      <c r="H624" s="28" t="s">
        <v>90</v>
      </c>
      <c r="I624" s="28" t="s">
        <v>91</v>
      </c>
      <c r="J624" s="28" t="s">
        <v>1951</v>
      </c>
      <c r="K624" s="28" t="s">
        <v>1405</v>
      </c>
      <c r="L624" s="28" t="s">
        <v>1406</v>
      </c>
      <c r="M624" s="28">
        <v>312000</v>
      </c>
      <c r="N624" s="28" t="s">
        <v>1387</v>
      </c>
      <c r="O624" s="28">
        <v>0</v>
      </c>
      <c r="P624" s="29" t="s">
        <v>1407</v>
      </c>
    </row>
    <row r="625" spans="3:16" ht="36.75" thickBot="1" x14ac:dyDescent="0.3">
      <c r="C625" s="27" t="s">
        <v>1509</v>
      </c>
      <c r="D625" s="28">
        <v>618</v>
      </c>
      <c r="E625" s="28" t="s">
        <v>1402</v>
      </c>
      <c r="F625" s="28" t="s">
        <v>1167</v>
      </c>
      <c r="G625" s="28" t="s">
        <v>89</v>
      </c>
      <c r="H625" s="28" t="s">
        <v>90</v>
      </c>
      <c r="I625" s="28" t="s">
        <v>91</v>
      </c>
      <c r="J625" s="28" t="s">
        <v>1951</v>
      </c>
      <c r="K625" s="28" t="s">
        <v>1405</v>
      </c>
      <c r="L625" s="28" t="s">
        <v>1406</v>
      </c>
      <c r="M625" s="28">
        <v>109333.81</v>
      </c>
      <c r="N625" s="28" t="s">
        <v>1387</v>
      </c>
      <c r="O625" s="28">
        <v>0</v>
      </c>
      <c r="P625" s="29" t="s">
        <v>1407</v>
      </c>
    </row>
    <row r="626" spans="3:16" ht="36.75" thickBot="1" x14ac:dyDescent="0.3">
      <c r="C626" s="27" t="s">
        <v>1509</v>
      </c>
      <c r="D626" s="28">
        <v>619</v>
      </c>
      <c r="E626" s="28" t="s">
        <v>1402</v>
      </c>
      <c r="F626" s="28" t="s">
        <v>698</v>
      </c>
      <c r="G626" s="28" t="s">
        <v>89</v>
      </c>
      <c r="H626" s="28" t="s">
        <v>90</v>
      </c>
      <c r="I626" s="28" t="s">
        <v>91</v>
      </c>
      <c r="J626" s="28" t="s">
        <v>1951</v>
      </c>
      <c r="K626" s="28" t="s">
        <v>1405</v>
      </c>
      <c r="L626" s="28" t="s">
        <v>1406</v>
      </c>
      <c r="M626" s="28">
        <v>107040</v>
      </c>
      <c r="N626" s="28" t="s">
        <v>1387</v>
      </c>
      <c r="O626" s="28">
        <v>0</v>
      </c>
      <c r="P626" s="29" t="s">
        <v>1407</v>
      </c>
    </row>
    <row r="627" spans="3:16" ht="36.75" thickBot="1" x14ac:dyDescent="0.3">
      <c r="C627" s="27" t="s">
        <v>1509</v>
      </c>
      <c r="D627" s="28">
        <v>620</v>
      </c>
      <c r="E627" s="28" t="s">
        <v>1402</v>
      </c>
      <c r="F627" s="28" t="s">
        <v>1169</v>
      </c>
      <c r="G627" s="28" t="s">
        <v>89</v>
      </c>
      <c r="H627" s="28" t="s">
        <v>90</v>
      </c>
      <c r="I627" s="28" t="s">
        <v>91</v>
      </c>
      <c r="J627" s="28" t="s">
        <v>1951</v>
      </c>
      <c r="K627" s="28" t="s">
        <v>1405</v>
      </c>
      <c r="L627" s="28" t="s">
        <v>1406</v>
      </c>
      <c r="M627" s="28">
        <v>22671.439999999999</v>
      </c>
      <c r="N627" s="28" t="s">
        <v>1387</v>
      </c>
      <c r="O627" s="28">
        <v>0</v>
      </c>
      <c r="P627" s="29" t="s">
        <v>1407</v>
      </c>
    </row>
    <row r="628" spans="3:16" ht="36.75" thickBot="1" x14ac:dyDescent="0.3">
      <c r="C628" s="27" t="s">
        <v>1509</v>
      </c>
      <c r="D628" s="28">
        <v>621</v>
      </c>
      <c r="E628" s="28" t="s">
        <v>1402</v>
      </c>
      <c r="F628" s="28" t="s">
        <v>1159</v>
      </c>
      <c r="G628" s="28" t="s">
        <v>89</v>
      </c>
      <c r="H628" s="28" t="s">
        <v>90</v>
      </c>
      <c r="I628" s="28" t="s">
        <v>91</v>
      </c>
      <c r="J628" s="28" t="s">
        <v>1951</v>
      </c>
      <c r="K628" s="28" t="s">
        <v>1405</v>
      </c>
      <c r="L628" s="28" t="s">
        <v>1406</v>
      </c>
      <c r="M628" s="28">
        <v>329400</v>
      </c>
      <c r="N628" s="28" t="s">
        <v>1387</v>
      </c>
      <c r="O628" s="28">
        <v>0</v>
      </c>
      <c r="P628" s="29" t="s">
        <v>1407</v>
      </c>
    </row>
    <row r="629" spans="3:16" ht="36.75" thickBot="1" x14ac:dyDescent="0.3">
      <c r="C629" s="27" t="s">
        <v>1509</v>
      </c>
      <c r="D629" s="28">
        <v>622</v>
      </c>
      <c r="E629" s="28" t="s">
        <v>1402</v>
      </c>
      <c r="F629" s="28" t="s">
        <v>1172</v>
      </c>
      <c r="G629" s="28" t="s">
        <v>89</v>
      </c>
      <c r="H629" s="28" t="s">
        <v>90</v>
      </c>
      <c r="I629" s="28" t="s">
        <v>91</v>
      </c>
      <c r="J629" s="28" t="s">
        <v>1951</v>
      </c>
      <c r="K629" s="28" t="s">
        <v>1405</v>
      </c>
      <c r="L629" s="28" t="s">
        <v>1406</v>
      </c>
      <c r="M629" s="28">
        <v>96080</v>
      </c>
      <c r="N629" s="28" t="s">
        <v>1387</v>
      </c>
      <c r="O629" s="28">
        <v>0</v>
      </c>
      <c r="P629" s="29" t="s">
        <v>1407</v>
      </c>
    </row>
    <row r="630" spans="3:16" ht="36.75" thickBot="1" x14ac:dyDescent="0.3">
      <c r="C630" s="27" t="s">
        <v>1509</v>
      </c>
      <c r="D630" s="28">
        <v>623</v>
      </c>
      <c r="E630" s="28" t="s">
        <v>1402</v>
      </c>
      <c r="F630" s="28" t="s">
        <v>702</v>
      </c>
      <c r="G630" s="28" t="s">
        <v>89</v>
      </c>
      <c r="H630" s="28" t="s">
        <v>90</v>
      </c>
      <c r="I630" s="28" t="s">
        <v>91</v>
      </c>
      <c r="J630" s="28" t="s">
        <v>1951</v>
      </c>
      <c r="K630" s="28" t="s">
        <v>1405</v>
      </c>
      <c r="L630" s="28" t="s">
        <v>1406</v>
      </c>
      <c r="M630" s="28">
        <v>52094.79</v>
      </c>
      <c r="N630" s="28" t="s">
        <v>1387</v>
      </c>
      <c r="O630" s="28">
        <v>0</v>
      </c>
      <c r="P630" s="29" t="s">
        <v>1407</v>
      </c>
    </row>
    <row r="631" spans="3:16" ht="36.75" thickBot="1" x14ac:dyDescent="0.3">
      <c r="C631" s="27" t="s">
        <v>1509</v>
      </c>
      <c r="D631" s="28">
        <v>624</v>
      </c>
      <c r="E631" s="28" t="s">
        <v>1402</v>
      </c>
      <c r="F631" s="28" t="s">
        <v>1175</v>
      </c>
      <c r="G631" s="28" t="s">
        <v>89</v>
      </c>
      <c r="H631" s="28" t="s">
        <v>90</v>
      </c>
      <c r="I631" s="28" t="s">
        <v>91</v>
      </c>
      <c r="J631" s="28" t="s">
        <v>1951</v>
      </c>
      <c r="K631" s="28" t="s">
        <v>1405</v>
      </c>
      <c r="L631" s="28" t="s">
        <v>1406</v>
      </c>
      <c r="M631" s="28">
        <v>136240</v>
      </c>
      <c r="N631" s="28" t="s">
        <v>1387</v>
      </c>
      <c r="O631" s="28">
        <v>0</v>
      </c>
      <c r="P631" s="29" t="s">
        <v>1407</v>
      </c>
    </row>
    <row r="632" spans="3:16" ht="36.75" thickBot="1" x14ac:dyDescent="0.3">
      <c r="C632" s="27" t="s">
        <v>1509</v>
      </c>
      <c r="D632" s="28">
        <v>625</v>
      </c>
      <c r="E632" s="28" t="s">
        <v>1402</v>
      </c>
      <c r="F632" s="28" t="s">
        <v>1120</v>
      </c>
      <c r="G632" s="28" t="s">
        <v>89</v>
      </c>
      <c r="H632" s="28" t="s">
        <v>90</v>
      </c>
      <c r="I632" s="28" t="s">
        <v>91</v>
      </c>
      <c r="J632" s="28" t="s">
        <v>1951</v>
      </c>
      <c r="K632" s="28" t="s">
        <v>1405</v>
      </c>
      <c r="L632" s="28" t="s">
        <v>1406</v>
      </c>
      <c r="M632" s="28">
        <v>122220</v>
      </c>
      <c r="N632" s="28" t="s">
        <v>1387</v>
      </c>
      <c r="O632" s="28">
        <v>0</v>
      </c>
      <c r="P632" s="29" t="s">
        <v>1407</v>
      </c>
    </row>
    <row r="633" spans="3:16" ht="36.75" thickBot="1" x14ac:dyDescent="0.3">
      <c r="C633" s="27" t="s">
        <v>1509</v>
      </c>
      <c r="D633" s="28">
        <v>626</v>
      </c>
      <c r="E633" s="28" t="s">
        <v>1402</v>
      </c>
      <c r="F633" s="28" t="s">
        <v>1179</v>
      </c>
      <c r="G633" s="28" t="s">
        <v>89</v>
      </c>
      <c r="H633" s="28" t="s">
        <v>90</v>
      </c>
      <c r="I633" s="28" t="s">
        <v>91</v>
      </c>
      <c r="J633" s="28" t="s">
        <v>1951</v>
      </c>
      <c r="K633" s="28" t="s">
        <v>1405</v>
      </c>
      <c r="L633" s="28" t="s">
        <v>1406</v>
      </c>
      <c r="M633" s="28">
        <v>2029140</v>
      </c>
      <c r="N633" s="28" t="s">
        <v>1387</v>
      </c>
      <c r="O633" s="28">
        <v>0</v>
      </c>
      <c r="P633" s="29" t="s">
        <v>1407</v>
      </c>
    </row>
    <row r="634" spans="3:16" ht="36.75" thickBot="1" x14ac:dyDescent="0.3">
      <c r="C634" s="27" t="s">
        <v>1509</v>
      </c>
      <c r="D634" s="28">
        <v>627</v>
      </c>
      <c r="E634" s="28" t="s">
        <v>1402</v>
      </c>
      <c r="F634" s="28" t="s">
        <v>705</v>
      </c>
      <c r="G634" s="28" t="s">
        <v>89</v>
      </c>
      <c r="H634" s="28" t="s">
        <v>90</v>
      </c>
      <c r="I634" s="28" t="s">
        <v>91</v>
      </c>
      <c r="J634" s="28" t="s">
        <v>1951</v>
      </c>
      <c r="K634" s="28" t="s">
        <v>1405</v>
      </c>
      <c r="L634" s="28" t="s">
        <v>1406</v>
      </c>
      <c r="M634" s="28">
        <v>387142.66</v>
      </c>
      <c r="N634" s="28" t="s">
        <v>1387</v>
      </c>
      <c r="O634" s="28">
        <v>0</v>
      </c>
      <c r="P634" s="29" t="s">
        <v>1407</v>
      </c>
    </row>
    <row r="635" spans="3:16" ht="36.75" thickBot="1" x14ac:dyDescent="0.3">
      <c r="C635" s="27" t="s">
        <v>1509</v>
      </c>
      <c r="D635" s="28">
        <v>628</v>
      </c>
      <c r="E635" s="28" t="s">
        <v>1402</v>
      </c>
      <c r="F635" s="28" t="s">
        <v>1182</v>
      </c>
      <c r="G635" s="28" t="s">
        <v>89</v>
      </c>
      <c r="H635" s="28" t="s">
        <v>90</v>
      </c>
      <c r="I635" s="28" t="s">
        <v>91</v>
      </c>
      <c r="J635" s="28" t="s">
        <v>1951</v>
      </c>
      <c r="K635" s="28" t="s">
        <v>1405</v>
      </c>
      <c r="L635" s="28" t="s">
        <v>1406</v>
      </c>
      <c r="M635" s="28">
        <v>180215</v>
      </c>
      <c r="N635" s="28" t="s">
        <v>1387</v>
      </c>
      <c r="O635" s="28">
        <v>0</v>
      </c>
      <c r="P635" s="29" t="s">
        <v>1407</v>
      </c>
    </row>
    <row r="636" spans="3:16" ht="36.75" thickBot="1" x14ac:dyDescent="0.3">
      <c r="C636" s="27" t="s">
        <v>1509</v>
      </c>
      <c r="D636" s="28">
        <v>629</v>
      </c>
      <c r="E636" s="28" t="s">
        <v>1402</v>
      </c>
      <c r="F636" s="28" t="s">
        <v>1170</v>
      </c>
      <c r="G636" s="28" t="s">
        <v>89</v>
      </c>
      <c r="H636" s="28" t="s">
        <v>90</v>
      </c>
      <c r="I636" s="28" t="s">
        <v>91</v>
      </c>
      <c r="J636" s="28" t="s">
        <v>1951</v>
      </c>
      <c r="K636" s="28" t="s">
        <v>1405</v>
      </c>
      <c r="L636" s="28" t="s">
        <v>1406</v>
      </c>
      <c r="M636" s="28">
        <v>2000001.8</v>
      </c>
      <c r="N636" s="28" t="s">
        <v>1387</v>
      </c>
      <c r="O636" s="28">
        <v>0</v>
      </c>
      <c r="P636" s="29" t="s">
        <v>1407</v>
      </c>
    </row>
    <row r="637" spans="3:16" ht="36.75" thickBot="1" x14ac:dyDescent="0.3">
      <c r="C637" s="27" t="s">
        <v>1509</v>
      </c>
      <c r="D637" s="28">
        <v>630</v>
      </c>
      <c r="E637" s="28" t="s">
        <v>1402</v>
      </c>
      <c r="F637" s="28" t="s">
        <v>1185</v>
      </c>
      <c r="G637" s="28" t="s">
        <v>89</v>
      </c>
      <c r="H637" s="28" t="s">
        <v>90</v>
      </c>
      <c r="I637" s="28" t="s">
        <v>91</v>
      </c>
      <c r="J637" s="28" t="s">
        <v>1951</v>
      </c>
      <c r="K637" s="28" t="s">
        <v>1405</v>
      </c>
      <c r="L637" s="28" t="s">
        <v>1406</v>
      </c>
      <c r="M637" s="28">
        <v>29456.69</v>
      </c>
      <c r="N637" s="28" t="s">
        <v>1387</v>
      </c>
      <c r="O637" s="28">
        <v>0</v>
      </c>
      <c r="P637" s="29" t="s">
        <v>1407</v>
      </c>
    </row>
    <row r="638" spans="3:16" ht="36.75" thickBot="1" x14ac:dyDescent="0.3">
      <c r="C638" s="27" t="s">
        <v>1509</v>
      </c>
      <c r="D638" s="28">
        <v>631</v>
      </c>
      <c r="E638" s="28" t="s">
        <v>1402</v>
      </c>
      <c r="F638" s="28" t="s">
        <v>709</v>
      </c>
      <c r="G638" s="28" t="s">
        <v>89</v>
      </c>
      <c r="H638" s="28" t="s">
        <v>90</v>
      </c>
      <c r="I638" s="28" t="s">
        <v>91</v>
      </c>
      <c r="J638" s="28" t="s">
        <v>1951</v>
      </c>
      <c r="K638" s="28" t="s">
        <v>1405</v>
      </c>
      <c r="L638" s="28" t="s">
        <v>1406</v>
      </c>
      <c r="M638" s="28">
        <v>83522.38</v>
      </c>
      <c r="N638" s="28" t="s">
        <v>1387</v>
      </c>
      <c r="O638" s="28">
        <v>0</v>
      </c>
      <c r="P638" s="29" t="s">
        <v>1407</v>
      </c>
    </row>
    <row r="639" spans="3:16" ht="36.75" thickBot="1" x14ac:dyDescent="0.3">
      <c r="C639" s="27" t="s">
        <v>1509</v>
      </c>
      <c r="D639" s="28">
        <v>632</v>
      </c>
      <c r="E639" s="28" t="s">
        <v>1402</v>
      </c>
      <c r="F639" s="28" t="s">
        <v>136</v>
      </c>
      <c r="G639" s="28" t="s">
        <v>89</v>
      </c>
      <c r="H639" s="28" t="s">
        <v>90</v>
      </c>
      <c r="I639" s="28" t="s">
        <v>91</v>
      </c>
      <c r="J639" s="28" t="s">
        <v>1951</v>
      </c>
      <c r="K639" s="28" t="s">
        <v>1405</v>
      </c>
      <c r="L639" s="28" t="s">
        <v>1406</v>
      </c>
      <c r="M639" s="28">
        <v>81040</v>
      </c>
      <c r="N639" s="28" t="s">
        <v>1387</v>
      </c>
      <c r="O639" s="28">
        <v>0</v>
      </c>
      <c r="P639" s="29" t="s">
        <v>1407</v>
      </c>
    </row>
    <row r="640" spans="3:16" ht="36.75" thickBot="1" x14ac:dyDescent="0.3">
      <c r="C640" s="27" t="s">
        <v>1509</v>
      </c>
      <c r="D640" s="28">
        <v>633</v>
      </c>
      <c r="E640" s="28" t="s">
        <v>1402</v>
      </c>
      <c r="F640" s="28" t="s">
        <v>1191</v>
      </c>
      <c r="G640" s="28" t="s">
        <v>89</v>
      </c>
      <c r="H640" s="28" t="s">
        <v>90</v>
      </c>
      <c r="I640" s="28" t="s">
        <v>91</v>
      </c>
      <c r="J640" s="28" t="s">
        <v>1951</v>
      </c>
      <c r="K640" s="28" t="s">
        <v>1405</v>
      </c>
      <c r="L640" s="28" t="s">
        <v>1406</v>
      </c>
      <c r="M640" s="28">
        <v>366807.31</v>
      </c>
      <c r="N640" s="28" t="s">
        <v>1387</v>
      </c>
      <c r="O640" s="28">
        <v>0</v>
      </c>
      <c r="P640" s="29" t="s">
        <v>1407</v>
      </c>
    </row>
    <row r="641" spans="3:16" ht="36.75" thickBot="1" x14ac:dyDescent="0.3">
      <c r="C641" s="27" t="s">
        <v>1509</v>
      </c>
      <c r="D641" s="28">
        <v>634</v>
      </c>
      <c r="E641" s="28" t="s">
        <v>1402</v>
      </c>
      <c r="F641" s="28" t="s">
        <v>713</v>
      </c>
      <c r="G641" s="28" t="s">
        <v>89</v>
      </c>
      <c r="H641" s="28" t="s">
        <v>90</v>
      </c>
      <c r="I641" s="28" t="s">
        <v>91</v>
      </c>
      <c r="J641" s="28" t="s">
        <v>1951</v>
      </c>
      <c r="K641" s="28" t="s">
        <v>1405</v>
      </c>
      <c r="L641" s="28" t="s">
        <v>1406</v>
      </c>
      <c r="M641" s="28">
        <v>86800</v>
      </c>
      <c r="N641" s="28" t="s">
        <v>1387</v>
      </c>
      <c r="O641" s="28">
        <v>0</v>
      </c>
      <c r="P641" s="29" t="s">
        <v>1407</v>
      </c>
    </row>
    <row r="642" spans="3:16" ht="36.75" thickBot="1" x14ac:dyDescent="0.3">
      <c r="C642" s="27" t="s">
        <v>1509</v>
      </c>
      <c r="D642" s="28">
        <v>635</v>
      </c>
      <c r="E642" s="28" t="s">
        <v>1402</v>
      </c>
      <c r="F642" s="28" t="s">
        <v>1194</v>
      </c>
      <c r="G642" s="28" t="s">
        <v>89</v>
      </c>
      <c r="H642" s="28" t="s">
        <v>90</v>
      </c>
      <c r="I642" s="28" t="s">
        <v>91</v>
      </c>
      <c r="J642" s="28" t="s">
        <v>1951</v>
      </c>
      <c r="K642" s="28" t="s">
        <v>1405</v>
      </c>
      <c r="L642" s="28" t="s">
        <v>1406</v>
      </c>
      <c r="M642" s="28">
        <v>22000</v>
      </c>
      <c r="N642" s="28" t="s">
        <v>1387</v>
      </c>
      <c r="O642" s="28">
        <v>0</v>
      </c>
      <c r="P642" s="29" t="s">
        <v>1407</v>
      </c>
    </row>
    <row r="643" spans="3:16" ht="36.75" thickBot="1" x14ac:dyDescent="0.3">
      <c r="C643" s="27" t="s">
        <v>1509</v>
      </c>
      <c r="D643" s="28">
        <v>636</v>
      </c>
      <c r="E643" s="28" t="s">
        <v>1402</v>
      </c>
      <c r="F643" s="28" t="s">
        <v>1183</v>
      </c>
      <c r="G643" s="28" t="s">
        <v>89</v>
      </c>
      <c r="H643" s="28" t="s">
        <v>90</v>
      </c>
      <c r="I643" s="28" t="s">
        <v>91</v>
      </c>
      <c r="J643" s="28" t="s">
        <v>1951</v>
      </c>
      <c r="K643" s="28" t="s">
        <v>1405</v>
      </c>
      <c r="L643" s="28" t="s">
        <v>1406</v>
      </c>
      <c r="M643" s="28">
        <v>35760</v>
      </c>
      <c r="N643" s="28" t="s">
        <v>1387</v>
      </c>
      <c r="O643" s="28">
        <v>0</v>
      </c>
      <c r="P643" s="29" t="s">
        <v>1407</v>
      </c>
    </row>
    <row r="644" spans="3:16" ht="36.75" thickBot="1" x14ac:dyDescent="0.3">
      <c r="C644" s="27" t="s">
        <v>1509</v>
      </c>
      <c r="D644" s="28">
        <v>637</v>
      </c>
      <c r="E644" s="28" t="s">
        <v>1402</v>
      </c>
      <c r="F644" s="28" t="s">
        <v>717</v>
      </c>
      <c r="G644" s="28" t="s">
        <v>89</v>
      </c>
      <c r="H644" s="28" t="s">
        <v>90</v>
      </c>
      <c r="I644" s="28" t="s">
        <v>91</v>
      </c>
      <c r="J644" s="28" t="s">
        <v>1951</v>
      </c>
      <c r="K644" s="28" t="s">
        <v>1405</v>
      </c>
      <c r="L644" s="28" t="s">
        <v>1406</v>
      </c>
      <c r="M644" s="28">
        <v>104120.7</v>
      </c>
      <c r="N644" s="28" t="s">
        <v>1387</v>
      </c>
      <c r="O644" s="28">
        <v>0</v>
      </c>
      <c r="P644" s="29" t="s">
        <v>1407</v>
      </c>
    </row>
    <row r="645" spans="3:16" ht="36.75" thickBot="1" x14ac:dyDescent="0.3">
      <c r="C645" s="27" t="s">
        <v>1509</v>
      </c>
      <c r="D645" s="28">
        <v>638</v>
      </c>
      <c r="E645" s="28" t="s">
        <v>1402</v>
      </c>
      <c r="F645" s="28" t="s">
        <v>1200</v>
      </c>
      <c r="G645" s="28" t="s">
        <v>89</v>
      </c>
      <c r="H645" s="28" t="s">
        <v>90</v>
      </c>
      <c r="I645" s="28" t="s">
        <v>91</v>
      </c>
      <c r="J645" s="28" t="s">
        <v>1951</v>
      </c>
      <c r="K645" s="28" t="s">
        <v>1405</v>
      </c>
      <c r="L645" s="28" t="s">
        <v>1406</v>
      </c>
      <c r="M645" s="28">
        <v>117212.23</v>
      </c>
      <c r="N645" s="28" t="s">
        <v>1387</v>
      </c>
      <c r="O645" s="28">
        <v>0</v>
      </c>
      <c r="P645" s="29" t="s">
        <v>1407</v>
      </c>
    </row>
    <row r="646" spans="3:16" ht="36.75" thickBot="1" x14ac:dyDescent="0.3">
      <c r="C646" s="27" t="s">
        <v>1509</v>
      </c>
      <c r="D646" s="28">
        <v>639</v>
      </c>
      <c r="E646" s="28" t="s">
        <v>1402</v>
      </c>
      <c r="F646" s="28" t="s">
        <v>672</v>
      </c>
      <c r="G646" s="28" t="s">
        <v>89</v>
      </c>
      <c r="H646" s="28" t="s">
        <v>90</v>
      </c>
      <c r="I646" s="28" t="s">
        <v>91</v>
      </c>
      <c r="J646" s="28" t="s">
        <v>1951</v>
      </c>
      <c r="K646" s="28" t="s">
        <v>1405</v>
      </c>
      <c r="L646" s="28" t="s">
        <v>1406</v>
      </c>
      <c r="M646" s="28">
        <v>584320</v>
      </c>
      <c r="N646" s="28" t="s">
        <v>1387</v>
      </c>
      <c r="O646" s="28">
        <v>0</v>
      </c>
      <c r="P646" s="29" t="s">
        <v>1407</v>
      </c>
    </row>
    <row r="647" spans="3:16" ht="36.75" thickBot="1" x14ac:dyDescent="0.3">
      <c r="C647" s="27" t="s">
        <v>1509</v>
      </c>
      <c r="D647" s="28">
        <v>640</v>
      </c>
      <c r="E647" s="28" t="s">
        <v>1402</v>
      </c>
      <c r="F647" s="28" t="s">
        <v>1202</v>
      </c>
      <c r="G647" s="28" t="s">
        <v>89</v>
      </c>
      <c r="H647" s="28" t="s">
        <v>90</v>
      </c>
      <c r="I647" s="28" t="s">
        <v>91</v>
      </c>
      <c r="J647" s="28" t="s">
        <v>1951</v>
      </c>
      <c r="K647" s="28" t="s">
        <v>1405</v>
      </c>
      <c r="L647" s="28" t="s">
        <v>1406</v>
      </c>
      <c r="M647" s="28">
        <v>48000</v>
      </c>
      <c r="N647" s="28" t="s">
        <v>1387</v>
      </c>
      <c r="O647" s="28">
        <v>0</v>
      </c>
      <c r="P647" s="29" t="s">
        <v>1407</v>
      </c>
    </row>
    <row r="648" spans="3:16" ht="36.75" thickBot="1" x14ac:dyDescent="0.3">
      <c r="C648" s="27" t="s">
        <v>1509</v>
      </c>
      <c r="D648" s="28">
        <v>641</v>
      </c>
      <c r="E648" s="28" t="s">
        <v>1402</v>
      </c>
      <c r="F648" s="28" t="s">
        <v>721</v>
      </c>
      <c r="G648" s="28" t="s">
        <v>89</v>
      </c>
      <c r="H648" s="28" t="s">
        <v>90</v>
      </c>
      <c r="I648" s="28" t="s">
        <v>91</v>
      </c>
      <c r="J648" s="28" t="s">
        <v>1951</v>
      </c>
      <c r="K648" s="28" t="s">
        <v>1405</v>
      </c>
      <c r="L648" s="28" t="s">
        <v>1406</v>
      </c>
      <c r="M648" s="28">
        <v>32880</v>
      </c>
      <c r="N648" s="28" t="s">
        <v>1387</v>
      </c>
      <c r="O648" s="28">
        <v>0</v>
      </c>
      <c r="P648" s="29" t="s">
        <v>1407</v>
      </c>
    </row>
    <row r="649" spans="3:16" ht="36.75" thickBot="1" x14ac:dyDescent="0.3">
      <c r="C649" s="27" t="s">
        <v>1509</v>
      </c>
      <c r="D649" s="28">
        <v>642</v>
      </c>
      <c r="E649" s="28" t="s">
        <v>1402</v>
      </c>
      <c r="F649" s="28" t="s">
        <v>1205</v>
      </c>
      <c r="G649" s="28" t="s">
        <v>89</v>
      </c>
      <c r="H649" s="28" t="s">
        <v>90</v>
      </c>
      <c r="I649" s="28" t="s">
        <v>91</v>
      </c>
      <c r="J649" s="28" t="s">
        <v>1951</v>
      </c>
      <c r="K649" s="28" t="s">
        <v>1405</v>
      </c>
      <c r="L649" s="28" t="s">
        <v>1406</v>
      </c>
      <c r="M649" s="28">
        <v>82400</v>
      </c>
      <c r="N649" s="28" t="s">
        <v>1387</v>
      </c>
      <c r="O649" s="28">
        <v>0</v>
      </c>
      <c r="P649" s="29" t="s">
        <v>1407</v>
      </c>
    </row>
    <row r="650" spans="3:16" ht="36.75" thickBot="1" x14ac:dyDescent="0.3">
      <c r="C650" s="27" t="s">
        <v>1509</v>
      </c>
      <c r="D650" s="28">
        <v>643</v>
      </c>
      <c r="E650" s="28" t="s">
        <v>1402</v>
      </c>
      <c r="F650" s="28" t="s">
        <v>1195</v>
      </c>
      <c r="G650" s="28" t="s">
        <v>89</v>
      </c>
      <c r="H650" s="28" t="s">
        <v>90</v>
      </c>
      <c r="I650" s="28" t="s">
        <v>91</v>
      </c>
      <c r="J650" s="28" t="s">
        <v>1951</v>
      </c>
      <c r="K650" s="28" t="s">
        <v>1405</v>
      </c>
      <c r="L650" s="28" t="s">
        <v>1406</v>
      </c>
      <c r="M650" s="28">
        <v>293600</v>
      </c>
      <c r="N650" s="28" t="s">
        <v>1387</v>
      </c>
      <c r="O650" s="28">
        <v>0</v>
      </c>
      <c r="P650" s="29" t="s">
        <v>1407</v>
      </c>
    </row>
    <row r="651" spans="3:16" ht="36.75" thickBot="1" x14ac:dyDescent="0.3">
      <c r="C651" s="27" t="s">
        <v>1509</v>
      </c>
      <c r="D651" s="28">
        <v>644</v>
      </c>
      <c r="E651" s="28" t="s">
        <v>1402</v>
      </c>
      <c r="F651" s="28" t="s">
        <v>1208</v>
      </c>
      <c r="G651" s="28" t="s">
        <v>89</v>
      </c>
      <c r="H651" s="28" t="s">
        <v>90</v>
      </c>
      <c r="I651" s="28" t="s">
        <v>91</v>
      </c>
      <c r="J651" s="28" t="s">
        <v>1951</v>
      </c>
      <c r="K651" s="28" t="s">
        <v>1405</v>
      </c>
      <c r="L651" s="28" t="s">
        <v>1406</v>
      </c>
      <c r="M651" s="28">
        <v>165680</v>
      </c>
      <c r="N651" s="28" t="s">
        <v>1387</v>
      </c>
      <c r="O651" s="28">
        <v>0</v>
      </c>
      <c r="P651" s="29" t="s">
        <v>1407</v>
      </c>
    </row>
    <row r="652" spans="3:16" ht="36.75" thickBot="1" x14ac:dyDescent="0.3">
      <c r="C652" s="27" t="s">
        <v>1509</v>
      </c>
      <c r="D652" s="28">
        <v>645</v>
      </c>
      <c r="E652" s="28" t="s">
        <v>1402</v>
      </c>
      <c r="F652" s="28" t="s">
        <v>725</v>
      </c>
      <c r="G652" s="28" t="s">
        <v>89</v>
      </c>
      <c r="H652" s="28" t="s">
        <v>90</v>
      </c>
      <c r="I652" s="28" t="s">
        <v>91</v>
      </c>
      <c r="J652" s="28" t="s">
        <v>1951</v>
      </c>
      <c r="K652" s="28" t="s">
        <v>1405</v>
      </c>
      <c r="L652" s="28" t="s">
        <v>1406</v>
      </c>
      <c r="M652" s="28">
        <v>53740.46</v>
      </c>
      <c r="N652" s="28" t="s">
        <v>1387</v>
      </c>
      <c r="O652" s="28">
        <v>0</v>
      </c>
      <c r="P652" s="29" t="s">
        <v>1407</v>
      </c>
    </row>
    <row r="653" spans="3:16" ht="36.75" thickBot="1" x14ac:dyDescent="0.3">
      <c r="C653" s="27" t="s">
        <v>1509</v>
      </c>
      <c r="D653" s="28">
        <v>646</v>
      </c>
      <c r="E653" s="28" t="s">
        <v>1402</v>
      </c>
      <c r="F653" s="28" t="s">
        <v>1210</v>
      </c>
      <c r="G653" s="28" t="s">
        <v>89</v>
      </c>
      <c r="H653" s="28" t="s">
        <v>90</v>
      </c>
      <c r="I653" s="28" t="s">
        <v>91</v>
      </c>
      <c r="J653" s="28" t="s">
        <v>1951</v>
      </c>
      <c r="K653" s="28" t="s">
        <v>1405</v>
      </c>
      <c r="L653" s="28" t="s">
        <v>1406</v>
      </c>
      <c r="M653" s="28">
        <v>35450.910000000003</v>
      </c>
      <c r="N653" s="28" t="s">
        <v>1387</v>
      </c>
      <c r="O653" s="28">
        <v>0</v>
      </c>
      <c r="P653" s="29" t="s">
        <v>1407</v>
      </c>
    </row>
    <row r="654" spans="3:16" ht="36.75" thickBot="1" x14ac:dyDescent="0.3">
      <c r="C654" s="27" t="s">
        <v>1509</v>
      </c>
      <c r="D654" s="28">
        <v>647</v>
      </c>
      <c r="E654" s="28" t="s">
        <v>1402</v>
      </c>
      <c r="F654" s="28" t="s">
        <v>434</v>
      </c>
      <c r="G654" s="28" t="s">
        <v>89</v>
      </c>
      <c r="H654" s="28" t="s">
        <v>90</v>
      </c>
      <c r="I654" s="28" t="s">
        <v>91</v>
      </c>
      <c r="J654" s="28" t="s">
        <v>1951</v>
      </c>
      <c r="K654" s="28" t="s">
        <v>1405</v>
      </c>
      <c r="L654" s="28" t="s">
        <v>1406</v>
      </c>
      <c r="M654" s="28">
        <v>35450.910000000003</v>
      </c>
      <c r="N654" s="28" t="s">
        <v>1387</v>
      </c>
      <c r="O654" s="28">
        <v>0</v>
      </c>
      <c r="P654" s="29" t="s">
        <v>1407</v>
      </c>
    </row>
    <row r="655" spans="3:16" ht="36.75" thickBot="1" x14ac:dyDescent="0.3">
      <c r="C655" s="27" t="s">
        <v>1509</v>
      </c>
      <c r="D655" s="28">
        <v>648</v>
      </c>
      <c r="E655" s="28" t="s">
        <v>1402</v>
      </c>
      <c r="F655" s="28" t="s">
        <v>732</v>
      </c>
      <c r="G655" s="28" t="s">
        <v>89</v>
      </c>
      <c r="H655" s="28" t="s">
        <v>90</v>
      </c>
      <c r="I655" s="28" t="s">
        <v>91</v>
      </c>
      <c r="J655" s="28" t="s">
        <v>1951</v>
      </c>
      <c r="K655" s="28" t="s">
        <v>1405</v>
      </c>
      <c r="L655" s="28" t="s">
        <v>1406</v>
      </c>
      <c r="M655" s="28">
        <v>194018</v>
      </c>
      <c r="N655" s="28" t="s">
        <v>1387</v>
      </c>
      <c r="O655" s="28">
        <v>0</v>
      </c>
      <c r="P655" s="29" t="s">
        <v>1407</v>
      </c>
    </row>
    <row r="656" spans="3:16" ht="36.75" thickBot="1" x14ac:dyDescent="0.3">
      <c r="C656" s="27" t="s">
        <v>1509</v>
      </c>
      <c r="D656" s="28">
        <v>649</v>
      </c>
      <c r="E656" s="28" t="s">
        <v>1402</v>
      </c>
      <c r="F656" s="28" t="s">
        <v>1173</v>
      </c>
      <c r="G656" s="28" t="s">
        <v>89</v>
      </c>
      <c r="H656" s="28" t="s">
        <v>90</v>
      </c>
      <c r="I656" s="28" t="s">
        <v>91</v>
      </c>
      <c r="J656" s="28" t="s">
        <v>1951</v>
      </c>
      <c r="K656" s="28" t="s">
        <v>1405</v>
      </c>
      <c r="L656" s="28" t="s">
        <v>1406</v>
      </c>
      <c r="M656" s="28">
        <v>36600</v>
      </c>
      <c r="N656" s="28" t="s">
        <v>1387</v>
      </c>
      <c r="O656" s="28">
        <v>0</v>
      </c>
      <c r="P656" s="29" t="s">
        <v>1407</v>
      </c>
    </row>
    <row r="657" spans="3:16" ht="36.75" thickBot="1" x14ac:dyDescent="0.3">
      <c r="C657" s="27" t="s">
        <v>1509</v>
      </c>
      <c r="D657" s="28">
        <v>650</v>
      </c>
      <c r="E657" s="28" t="s">
        <v>1402</v>
      </c>
      <c r="F657" s="28" t="s">
        <v>162</v>
      </c>
      <c r="G657" s="28" t="s">
        <v>89</v>
      </c>
      <c r="H657" s="28" t="s">
        <v>90</v>
      </c>
      <c r="I657" s="28" t="s">
        <v>91</v>
      </c>
      <c r="J657" s="28" t="s">
        <v>1951</v>
      </c>
      <c r="K657" s="28" t="s">
        <v>1405</v>
      </c>
      <c r="L657" s="28" t="s">
        <v>1406</v>
      </c>
      <c r="M657" s="28">
        <v>3262.14</v>
      </c>
      <c r="N657" s="28" t="s">
        <v>1387</v>
      </c>
      <c r="O657" s="28">
        <v>0</v>
      </c>
      <c r="P657" s="29" t="s">
        <v>1407</v>
      </c>
    </row>
    <row r="658" spans="3:16" ht="36.75" thickBot="1" x14ac:dyDescent="0.3">
      <c r="C658" s="27" t="s">
        <v>1509</v>
      </c>
      <c r="D658" s="28">
        <v>651</v>
      </c>
      <c r="E658" s="28" t="s">
        <v>1402</v>
      </c>
      <c r="F658" s="28" t="s">
        <v>561</v>
      </c>
      <c r="G658" s="28" t="s">
        <v>89</v>
      </c>
      <c r="H658" s="28" t="s">
        <v>90</v>
      </c>
      <c r="I658" s="28" t="s">
        <v>91</v>
      </c>
      <c r="J658" s="28" t="s">
        <v>1951</v>
      </c>
      <c r="K658" s="28" t="s">
        <v>1405</v>
      </c>
      <c r="L658" s="28" t="s">
        <v>1406</v>
      </c>
      <c r="M658" s="28">
        <v>11193.02</v>
      </c>
      <c r="N658" s="28" t="s">
        <v>1387</v>
      </c>
      <c r="O658" s="28">
        <v>0</v>
      </c>
      <c r="P658" s="29" t="s">
        <v>1407</v>
      </c>
    </row>
    <row r="659" spans="3:16" ht="36.75" thickBot="1" x14ac:dyDescent="0.3">
      <c r="C659" s="27" t="s">
        <v>1509</v>
      </c>
      <c r="D659" s="28">
        <v>652</v>
      </c>
      <c r="E659" s="28" t="s">
        <v>1402</v>
      </c>
      <c r="F659" s="28" t="s">
        <v>564</v>
      </c>
      <c r="G659" s="28" t="s">
        <v>89</v>
      </c>
      <c r="H659" s="28" t="s">
        <v>90</v>
      </c>
      <c r="I659" s="28" t="s">
        <v>91</v>
      </c>
      <c r="J659" s="28" t="s">
        <v>1951</v>
      </c>
      <c r="K659" s="28" t="s">
        <v>1405</v>
      </c>
      <c r="L659" s="28" t="s">
        <v>1406</v>
      </c>
      <c r="M659" s="28">
        <v>4239.78</v>
      </c>
      <c r="N659" s="28" t="s">
        <v>1387</v>
      </c>
      <c r="O659" s="28">
        <v>0</v>
      </c>
      <c r="P659" s="29" t="s">
        <v>1407</v>
      </c>
    </row>
    <row r="660" spans="3:16" ht="36.75" thickBot="1" x14ac:dyDescent="0.3">
      <c r="C660" s="27" t="s">
        <v>1509</v>
      </c>
      <c r="D660" s="28">
        <v>653</v>
      </c>
      <c r="E660" s="28" t="s">
        <v>1402</v>
      </c>
      <c r="F660" s="28" t="s">
        <v>927</v>
      </c>
      <c r="G660" s="28" t="s">
        <v>89</v>
      </c>
      <c r="H660" s="28" t="s">
        <v>90</v>
      </c>
      <c r="I660" s="28" t="s">
        <v>91</v>
      </c>
      <c r="J660" s="28" t="s">
        <v>1951</v>
      </c>
      <c r="K660" s="28" t="s">
        <v>1405</v>
      </c>
      <c r="L660" s="28" t="s">
        <v>1406</v>
      </c>
      <c r="M660" s="28">
        <v>3164.87</v>
      </c>
      <c r="N660" s="28" t="s">
        <v>1387</v>
      </c>
      <c r="O660" s="28">
        <v>0</v>
      </c>
      <c r="P660" s="29" t="s">
        <v>1407</v>
      </c>
    </row>
    <row r="661" spans="3:16" ht="36.75" thickBot="1" x14ac:dyDescent="0.3">
      <c r="C661" s="27" t="s">
        <v>1509</v>
      </c>
      <c r="D661" s="28">
        <v>654</v>
      </c>
      <c r="E661" s="28" t="s">
        <v>1402</v>
      </c>
      <c r="F661" s="28" t="s">
        <v>353</v>
      </c>
      <c r="G661" s="28" t="s">
        <v>89</v>
      </c>
      <c r="H661" s="28" t="s">
        <v>90</v>
      </c>
      <c r="I661" s="28" t="s">
        <v>91</v>
      </c>
      <c r="J661" s="28" t="s">
        <v>1951</v>
      </c>
      <c r="K661" s="28" t="s">
        <v>1405</v>
      </c>
      <c r="L661" s="28" t="s">
        <v>1406</v>
      </c>
      <c r="M661" s="28">
        <v>8200.24</v>
      </c>
      <c r="N661" s="28" t="s">
        <v>1387</v>
      </c>
      <c r="O661" s="28">
        <v>0</v>
      </c>
      <c r="P661" s="29" t="s">
        <v>1407</v>
      </c>
    </row>
    <row r="662" spans="3:16" ht="36.75" thickBot="1" x14ac:dyDescent="0.3">
      <c r="C662" s="27" t="s">
        <v>1509</v>
      </c>
      <c r="D662" s="28">
        <v>655</v>
      </c>
      <c r="E662" s="28" t="s">
        <v>1402</v>
      </c>
      <c r="F662" s="28" t="s">
        <v>225</v>
      </c>
      <c r="G662" s="28" t="s">
        <v>89</v>
      </c>
      <c r="H662" s="28" t="s">
        <v>90</v>
      </c>
      <c r="I662" s="28" t="s">
        <v>91</v>
      </c>
      <c r="J662" s="28" t="s">
        <v>1951</v>
      </c>
      <c r="K662" s="28" t="s">
        <v>1405</v>
      </c>
      <c r="L662" s="28" t="s">
        <v>1406</v>
      </c>
      <c r="M662" s="28">
        <v>4623.8599999999997</v>
      </c>
      <c r="N662" s="28" t="s">
        <v>1387</v>
      </c>
      <c r="O662" s="28">
        <v>0</v>
      </c>
      <c r="P662" s="29" t="s">
        <v>1407</v>
      </c>
    </row>
    <row r="663" spans="3:16" ht="36.75" thickBot="1" x14ac:dyDescent="0.3">
      <c r="C663" s="27" t="s">
        <v>1509</v>
      </c>
      <c r="D663" s="28">
        <v>656</v>
      </c>
      <c r="E663" s="28" t="s">
        <v>1402</v>
      </c>
      <c r="F663" s="28" t="s">
        <v>566</v>
      </c>
      <c r="G663" s="28" t="s">
        <v>89</v>
      </c>
      <c r="H663" s="28" t="s">
        <v>90</v>
      </c>
      <c r="I663" s="28" t="s">
        <v>91</v>
      </c>
      <c r="J663" s="28" t="s">
        <v>1951</v>
      </c>
      <c r="K663" s="28" t="s">
        <v>1405</v>
      </c>
      <c r="L663" s="28" t="s">
        <v>1406</v>
      </c>
      <c r="M663" s="28">
        <v>10851.35</v>
      </c>
      <c r="N663" s="28" t="s">
        <v>1387</v>
      </c>
      <c r="O663" s="28">
        <v>0</v>
      </c>
      <c r="P663" s="29" t="s">
        <v>1407</v>
      </c>
    </row>
    <row r="664" spans="3:16" ht="36.75" thickBot="1" x14ac:dyDescent="0.3">
      <c r="C664" s="27" t="s">
        <v>1509</v>
      </c>
      <c r="D664" s="28">
        <v>657</v>
      </c>
      <c r="E664" s="28" t="s">
        <v>1402</v>
      </c>
      <c r="F664" s="28" t="s">
        <v>332</v>
      </c>
      <c r="G664" s="28" t="s">
        <v>89</v>
      </c>
      <c r="H664" s="28" t="s">
        <v>90</v>
      </c>
      <c r="I664" s="28" t="s">
        <v>91</v>
      </c>
      <c r="J664" s="28" t="s">
        <v>1951</v>
      </c>
      <c r="K664" s="28" t="s">
        <v>1405</v>
      </c>
      <c r="L664" s="28" t="s">
        <v>1406</v>
      </c>
      <c r="M664" s="28">
        <v>7878.51</v>
      </c>
      <c r="N664" s="28" t="s">
        <v>1387</v>
      </c>
      <c r="O664" s="28">
        <v>0</v>
      </c>
      <c r="P664" s="29" t="s">
        <v>1407</v>
      </c>
    </row>
    <row r="665" spans="3:16" ht="36.75" thickBot="1" x14ac:dyDescent="0.3">
      <c r="C665" s="27" t="s">
        <v>1509</v>
      </c>
      <c r="D665" s="28">
        <v>658</v>
      </c>
      <c r="E665" s="28" t="s">
        <v>1402</v>
      </c>
      <c r="F665" s="28" t="s">
        <v>226</v>
      </c>
      <c r="G665" s="28" t="s">
        <v>89</v>
      </c>
      <c r="H665" s="28" t="s">
        <v>90</v>
      </c>
      <c r="I665" s="28" t="s">
        <v>91</v>
      </c>
      <c r="J665" s="28" t="s">
        <v>1951</v>
      </c>
      <c r="K665" s="28" t="s">
        <v>1405</v>
      </c>
      <c r="L665" s="28" t="s">
        <v>1406</v>
      </c>
      <c r="M665" s="28">
        <v>3501.56</v>
      </c>
      <c r="N665" s="28" t="s">
        <v>1387</v>
      </c>
      <c r="O665" s="28">
        <v>0</v>
      </c>
      <c r="P665" s="29" t="s">
        <v>1407</v>
      </c>
    </row>
    <row r="666" spans="3:16" ht="36.75" thickBot="1" x14ac:dyDescent="0.3">
      <c r="C666" s="27" t="s">
        <v>1509</v>
      </c>
      <c r="D666" s="28">
        <v>659</v>
      </c>
      <c r="E666" s="28" t="s">
        <v>1402</v>
      </c>
      <c r="F666" s="28" t="s">
        <v>565</v>
      </c>
      <c r="G666" s="28" t="s">
        <v>89</v>
      </c>
      <c r="H666" s="28" t="s">
        <v>90</v>
      </c>
      <c r="I666" s="28" t="s">
        <v>91</v>
      </c>
      <c r="J666" s="28" t="s">
        <v>1951</v>
      </c>
      <c r="K666" s="28" t="s">
        <v>1405</v>
      </c>
      <c r="L666" s="28" t="s">
        <v>1406</v>
      </c>
      <c r="M666" s="28">
        <v>3860.7</v>
      </c>
      <c r="N666" s="28" t="s">
        <v>1387</v>
      </c>
      <c r="O666" s="28">
        <v>0</v>
      </c>
      <c r="P666" s="29" t="s">
        <v>1407</v>
      </c>
    </row>
    <row r="667" spans="3:16" ht="36.75" thickBot="1" x14ac:dyDescent="0.3">
      <c r="C667" s="27" t="s">
        <v>1509</v>
      </c>
      <c r="D667" s="28">
        <v>660</v>
      </c>
      <c r="E667" s="28" t="s">
        <v>1402</v>
      </c>
      <c r="F667" s="28" t="s">
        <v>568</v>
      </c>
      <c r="G667" s="28" t="s">
        <v>89</v>
      </c>
      <c r="H667" s="28" t="s">
        <v>90</v>
      </c>
      <c r="I667" s="28" t="s">
        <v>91</v>
      </c>
      <c r="J667" s="28" t="s">
        <v>1951</v>
      </c>
      <c r="K667" s="28" t="s">
        <v>1405</v>
      </c>
      <c r="L667" s="28" t="s">
        <v>1406</v>
      </c>
      <c r="M667" s="28">
        <v>48453.23</v>
      </c>
      <c r="N667" s="28" t="s">
        <v>1387</v>
      </c>
      <c r="O667" s="28">
        <v>0</v>
      </c>
      <c r="P667" s="29" t="s">
        <v>1407</v>
      </c>
    </row>
    <row r="668" spans="3:16" ht="36.75" thickBot="1" x14ac:dyDescent="0.3">
      <c r="C668" s="27" t="s">
        <v>1509</v>
      </c>
      <c r="D668" s="28">
        <v>661</v>
      </c>
      <c r="E668" s="28" t="s">
        <v>1402</v>
      </c>
      <c r="F668" s="28" t="s">
        <v>573</v>
      </c>
      <c r="G668" s="28" t="s">
        <v>89</v>
      </c>
      <c r="H668" s="28" t="s">
        <v>90</v>
      </c>
      <c r="I668" s="28" t="s">
        <v>91</v>
      </c>
      <c r="J668" s="28" t="s">
        <v>1951</v>
      </c>
      <c r="K668" s="28" t="s">
        <v>1405</v>
      </c>
      <c r="L668" s="28" t="s">
        <v>1406</v>
      </c>
      <c r="M668" s="28">
        <v>24226.61</v>
      </c>
      <c r="N668" s="28" t="s">
        <v>1387</v>
      </c>
      <c r="O668" s="28">
        <v>0</v>
      </c>
      <c r="P668" s="29" t="s">
        <v>1407</v>
      </c>
    </row>
    <row r="669" spans="3:16" ht="36.75" thickBot="1" x14ac:dyDescent="0.3">
      <c r="C669" s="27" t="s">
        <v>1509</v>
      </c>
      <c r="D669" s="28">
        <v>662</v>
      </c>
      <c r="E669" s="28" t="s">
        <v>1402</v>
      </c>
      <c r="F669" s="28" t="s">
        <v>576</v>
      </c>
      <c r="G669" s="28" t="s">
        <v>89</v>
      </c>
      <c r="H669" s="28" t="s">
        <v>90</v>
      </c>
      <c r="I669" s="28" t="s">
        <v>91</v>
      </c>
      <c r="J669" s="28" t="s">
        <v>1951</v>
      </c>
      <c r="K669" s="28" t="s">
        <v>1405</v>
      </c>
      <c r="L669" s="28" t="s">
        <v>1406</v>
      </c>
      <c r="M669" s="28">
        <v>3785.88</v>
      </c>
      <c r="N669" s="28" t="s">
        <v>1387</v>
      </c>
      <c r="O669" s="28">
        <v>0</v>
      </c>
      <c r="P669" s="29" t="s">
        <v>1407</v>
      </c>
    </row>
    <row r="670" spans="3:16" ht="36.75" thickBot="1" x14ac:dyDescent="0.3">
      <c r="C670" s="27" t="s">
        <v>1509</v>
      </c>
      <c r="D670" s="28">
        <v>663</v>
      </c>
      <c r="E670" s="28" t="s">
        <v>1402</v>
      </c>
      <c r="F670" s="28" t="s">
        <v>939</v>
      </c>
      <c r="G670" s="28" t="s">
        <v>89</v>
      </c>
      <c r="H670" s="28" t="s">
        <v>90</v>
      </c>
      <c r="I670" s="28" t="s">
        <v>91</v>
      </c>
      <c r="J670" s="28" t="s">
        <v>1951</v>
      </c>
      <c r="K670" s="28" t="s">
        <v>1405</v>
      </c>
      <c r="L670" s="28" t="s">
        <v>1406</v>
      </c>
      <c r="M670" s="28">
        <v>8462.11</v>
      </c>
      <c r="N670" s="28" t="s">
        <v>1387</v>
      </c>
      <c r="O670" s="28">
        <v>0</v>
      </c>
      <c r="P670" s="29" t="s">
        <v>1407</v>
      </c>
    </row>
    <row r="671" spans="3:16" ht="36.75" thickBot="1" x14ac:dyDescent="0.3">
      <c r="C671" s="27" t="s">
        <v>1509</v>
      </c>
      <c r="D671" s="28">
        <v>664</v>
      </c>
      <c r="E671" s="28" t="s">
        <v>1402</v>
      </c>
      <c r="F671" s="28" t="s">
        <v>359</v>
      </c>
      <c r="G671" s="28" t="s">
        <v>89</v>
      </c>
      <c r="H671" s="28" t="s">
        <v>90</v>
      </c>
      <c r="I671" s="28" t="s">
        <v>91</v>
      </c>
      <c r="J671" s="28" t="s">
        <v>1951</v>
      </c>
      <c r="K671" s="28" t="s">
        <v>1405</v>
      </c>
      <c r="L671" s="28" t="s">
        <v>1406</v>
      </c>
      <c r="M671" s="28">
        <v>32875.769999999997</v>
      </c>
      <c r="N671" s="28" t="s">
        <v>1387</v>
      </c>
      <c r="O671" s="28">
        <v>0</v>
      </c>
      <c r="P671" s="29" t="s">
        <v>1407</v>
      </c>
    </row>
    <row r="672" spans="3:16" ht="36.75" thickBot="1" x14ac:dyDescent="0.3">
      <c r="C672" s="27" t="s">
        <v>1509</v>
      </c>
      <c r="D672" s="28">
        <v>665</v>
      </c>
      <c r="E672" s="28" t="s">
        <v>1402</v>
      </c>
      <c r="F672" s="28" t="s">
        <v>358</v>
      </c>
      <c r="G672" s="28" t="s">
        <v>89</v>
      </c>
      <c r="H672" s="28" t="s">
        <v>90</v>
      </c>
      <c r="I672" s="28" t="s">
        <v>91</v>
      </c>
      <c r="J672" s="28" t="s">
        <v>1951</v>
      </c>
      <c r="K672" s="28" t="s">
        <v>1405</v>
      </c>
      <c r="L672" s="28" t="s">
        <v>1406</v>
      </c>
      <c r="M672" s="28">
        <v>3763.43</v>
      </c>
      <c r="N672" s="28" t="s">
        <v>1387</v>
      </c>
      <c r="O672" s="28">
        <v>0</v>
      </c>
      <c r="P672" s="29" t="s">
        <v>1407</v>
      </c>
    </row>
    <row r="673" spans="3:16" ht="36.75" thickBot="1" x14ac:dyDescent="0.3">
      <c r="C673" s="27" t="s">
        <v>1509</v>
      </c>
      <c r="D673" s="28">
        <v>666</v>
      </c>
      <c r="E673" s="28" t="s">
        <v>1402</v>
      </c>
      <c r="F673" s="28" t="s">
        <v>578</v>
      </c>
      <c r="G673" s="28" t="s">
        <v>89</v>
      </c>
      <c r="H673" s="28" t="s">
        <v>90</v>
      </c>
      <c r="I673" s="28" t="s">
        <v>91</v>
      </c>
      <c r="J673" s="28" t="s">
        <v>1951</v>
      </c>
      <c r="K673" s="28" t="s">
        <v>1405</v>
      </c>
      <c r="L673" s="28" t="s">
        <v>1406</v>
      </c>
      <c r="M673" s="28">
        <v>787.6</v>
      </c>
      <c r="N673" s="28" t="s">
        <v>1387</v>
      </c>
      <c r="O673" s="28">
        <v>0</v>
      </c>
      <c r="P673" s="29" t="s">
        <v>1407</v>
      </c>
    </row>
    <row r="674" spans="3:16" ht="36.75" thickBot="1" x14ac:dyDescent="0.3">
      <c r="C674" s="27" t="s">
        <v>1509</v>
      </c>
      <c r="D674" s="28">
        <v>667</v>
      </c>
      <c r="E674" s="28" t="s">
        <v>1402</v>
      </c>
      <c r="F674" s="28" t="s">
        <v>563</v>
      </c>
      <c r="G674" s="28" t="s">
        <v>89</v>
      </c>
      <c r="H674" s="28" t="s">
        <v>90</v>
      </c>
      <c r="I674" s="28" t="s">
        <v>91</v>
      </c>
      <c r="J674" s="28" t="s">
        <v>1951</v>
      </c>
      <c r="K674" s="28" t="s">
        <v>1405</v>
      </c>
      <c r="L674" s="28" t="s">
        <v>1406</v>
      </c>
      <c r="M674" s="28">
        <v>149639.37</v>
      </c>
      <c r="N674" s="28" t="s">
        <v>1387</v>
      </c>
      <c r="O674" s="28">
        <v>0</v>
      </c>
      <c r="P674" s="29" t="s">
        <v>1407</v>
      </c>
    </row>
    <row r="675" spans="3:16" ht="36.75" thickBot="1" x14ac:dyDescent="0.3">
      <c r="C675" s="27" t="s">
        <v>1509</v>
      </c>
      <c r="D675" s="28">
        <v>668</v>
      </c>
      <c r="E675" s="28" t="s">
        <v>1402</v>
      </c>
      <c r="F675" s="28" t="s">
        <v>164</v>
      </c>
      <c r="G675" s="28" t="s">
        <v>89</v>
      </c>
      <c r="H675" s="28" t="s">
        <v>90</v>
      </c>
      <c r="I675" s="28" t="s">
        <v>91</v>
      </c>
      <c r="J675" s="28" t="s">
        <v>1951</v>
      </c>
      <c r="K675" s="28" t="s">
        <v>1405</v>
      </c>
      <c r="L675" s="28" t="s">
        <v>1406</v>
      </c>
      <c r="M675" s="28">
        <v>6329.75</v>
      </c>
      <c r="N675" s="28" t="s">
        <v>1387</v>
      </c>
      <c r="O675" s="28">
        <v>0</v>
      </c>
      <c r="P675" s="29" t="s">
        <v>1407</v>
      </c>
    </row>
    <row r="676" spans="3:16" ht="36.75" thickBot="1" x14ac:dyDescent="0.3">
      <c r="C676" s="27" t="s">
        <v>1509</v>
      </c>
      <c r="D676" s="28">
        <v>669</v>
      </c>
      <c r="E676" s="28" t="s">
        <v>1402</v>
      </c>
      <c r="F676" s="28" t="s">
        <v>577</v>
      </c>
      <c r="G676" s="28" t="s">
        <v>89</v>
      </c>
      <c r="H676" s="28" t="s">
        <v>90</v>
      </c>
      <c r="I676" s="28" t="s">
        <v>91</v>
      </c>
      <c r="J676" s="28" t="s">
        <v>1951</v>
      </c>
      <c r="K676" s="28" t="s">
        <v>1405</v>
      </c>
      <c r="L676" s="28" t="s">
        <v>1406</v>
      </c>
      <c r="M676" s="28">
        <v>15786.95</v>
      </c>
      <c r="N676" s="28" t="s">
        <v>1387</v>
      </c>
      <c r="O676" s="28">
        <v>0</v>
      </c>
      <c r="P676" s="29" t="s">
        <v>1407</v>
      </c>
    </row>
    <row r="677" spans="3:16" ht="36.75" thickBot="1" x14ac:dyDescent="0.3">
      <c r="C677" s="27" t="s">
        <v>1509</v>
      </c>
      <c r="D677" s="28">
        <v>670</v>
      </c>
      <c r="E677" s="28" t="s">
        <v>1402</v>
      </c>
      <c r="F677" s="28" t="s">
        <v>580</v>
      </c>
      <c r="G677" s="28" t="s">
        <v>89</v>
      </c>
      <c r="H677" s="28" t="s">
        <v>90</v>
      </c>
      <c r="I677" s="28" t="s">
        <v>91</v>
      </c>
      <c r="J677" s="28" t="s">
        <v>1951</v>
      </c>
      <c r="K677" s="28" t="s">
        <v>1405</v>
      </c>
      <c r="L677" s="28" t="s">
        <v>1406</v>
      </c>
      <c r="M677" s="28">
        <v>17028.96</v>
      </c>
      <c r="N677" s="28" t="s">
        <v>1387</v>
      </c>
      <c r="O677" s="28">
        <v>0</v>
      </c>
      <c r="P677" s="29" t="s">
        <v>1407</v>
      </c>
    </row>
    <row r="678" spans="3:16" ht="36.75" thickBot="1" x14ac:dyDescent="0.3">
      <c r="C678" s="27" t="s">
        <v>1509</v>
      </c>
      <c r="D678" s="28">
        <v>671</v>
      </c>
      <c r="E678" s="28" t="s">
        <v>1402</v>
      </c>
      <c r="F678" s="28" t="s">
        <v>942</v>
      </c>
      <c r="G678" s="28" t="s">
        <v>89</v>
      </c>
      <c r="H678" s="28" t="s">
        <v>90</v>
      </c>
      <c r="I678" s="28" t="s">
        <v>91</v>
      </c>
      <c r="J678" s="28" t="s">
        <v>1951</v>
      </c>
      <c r="K678" s="28" t="s">
        <v>1405</v>
      </c>
      <c r="L678" s="28" t="s">
        <v>1406</v>
      </c>
      <c r="M678" s="28">
        <v>3486.6</v>
      </c>
      <c r="N678" s="28" t="s">
        <v>1387</v>
      </c>
      <c r="O678" s="28">
        <v>0</v>
      </c>
      <c r="P678" s="29" t="s">
        <v>1407</v>
      </c>
    </row>
    <row r="679" spans="3:16" ht="36.75" thickBot="1" x14ac:dyDescent="0.3">
      <c r="C679" s="27" t="s">
        <v>1509</v>
      </c>
      <c r="D679" s="28">
        <v>672</v>
      </c>
      <c r="E679" s="28" t="s">
        <v>1402</v>
      </c>
      <c r="F679" s="28" t="s">
        <v>361</v>
      </c>
      <c r="G679" s="28" t="s">
        <v>89</v>
      </c>
      <c r="H679" s="28" t="s">
        <v>90</v>
      </c>
      <c r="I679" s="28" t="s">
        <v>91</v>
      </c>
      <c r="J679" s="28" t="s">
        <v>1951</v>
      </c>
      <c r="K679" s="28" t="s">
        <v>1405</v>
      </c>
      <c r="L679" s="28" t="s">
        <v>1406</v>
      </c>
      <c r="M679" s="28">
        <v>4010.34</v>
      </c>
      <c r="N679" s="28" t="s">
        <v>1387</v>
      </c>
      <c r="O679" s="28">
        <v>0</v>
      </c>
      <c r="P679" s="29" t="s">
        <v>1407</v>
      </c>
    </row>
    <row r="680" spans="3:16" ht="36.75" thickBot="1" x14ac:dyDescent="0.3">
      <c r="C680" s="27" t="s">
        <v>1509</v>
      </c>
      <c r="D680" s="28">
        <v>673</v>
      </c>
      <c r="E680" s="28" t="s">
        <v>1402</v>
      </c>
      <c r="F680" s="28" t="s">
        <v>229</v>
      </c>
      <c r="G680" s="28" t="s">
        <v>89</v>
      </c>
      <c r="H680" s="28" t="s">
        <v>90</v>
      </c>
      <c r="I680" s="28" t="s">
        <v>91</v>
      </c>
      <c r="J680" s="28" t="s">
        <v>1951</v>
      </c>
      <c r="K680" s="28" t="s">
        <v>1405</v>
      </c>
      <c r="L680" s="28" t="s">
        <v>1406</v>
      </c>
      <c r="M680" s="28">
        <v>4309.6099999999997</v>
      </c>
      <c r="N680" s="28" t="s">
        <v>1387</v>
      </c>
      <c r="O680" s="28">
        <v>0</v>
      </c>
      <c r="P680" s="29" t="s">
        <v>1407</v>
      </c>
    </row>
    <row r="681" spans="3:16" ht="36.75" thickBot="1" x14ac:dyDescent="0.3">
      <c r="C681" s="27" t="s">
        <v>1509</v>
      </c>
      <c r="D681" s="28">
        <v>674</v>
      </c>
      <c r="E681" s="28" t="s">
        <v>1402</v>
      </c>
      <c r="F681" s="28" t="s">
        <v>582</v>
      </c>
      <c r="G681" s="28" t="s">
        <v>89</v>
      </c>
      <c r="H681" s="28" t="s">
        <v>90</v>
      </c>
      <c r="I681" s="28" t="s">
        <v>91</v>
      </c>
      <c r="J681" s="28" t="s">
        <v>1951</v>
      </c>
      <c r="K681" s="28" t="s">
        <v>1405</v>
      </c>
      <c r="L681" s="28" t="s">
        <v>1406</v>
      </c>
      <c r="M681" s="28">
        <v>9621.81</v>
      </c>
      <c r="N681" s="28" t="s">
        <v>1387</v>
      </c>
      <c r="O681" s="28">
        <v>0</v>
      </c>
      <c r="P681" s="29" t="s">
        <v>1407</v>
      </c>
    </row>
    <row r="682" spans="3:16" ht="36.75" thickBot="1" x14ac:dyDescent="0.3">
      <c r="C682" s="27" t="s">
        <v>1509</v>
      </c>
      <c r="D682" s="28">
        <v>675</v>
      </c>
      <c r="E682" s="28" t="s">
        <v>1402</v>
      </c>
      <c r="F682" s="28" t="s">
        <v>1226</v>
      </c>
      <c r="G682" s="28" t="s">
        <v>89</v>
      </c>
      <c r="H682" s="28" t="s">
        <v>90</v>
      </c>
      <c r="I682" s="28" t="s">
        <v>91</v>
      </c>
      <c r="J682" s="28" t="s">
        <v>1951</v>
      </c>
      <c r="K682" s="28" t="s">
        <v>1405</v>
      </c>
      <c r="L682" s="28" t="s">
        <v>1406</v>
      </c>
      <c r="M682" s="28">
        <v>19498.009999999998</v>
      </c>
      <c r="N682" s="28" t="s">
        <v>1387</v>
      </c>
      <c r="O682" s="28">
        <v>0</v>
      </c>
      <c r="P682" s="29" t="s">
        <v>1407</v>
      </c>
    </row>
    <row r="683" spans="3:16" ht="36.75" thickBot="1" x14ac:dyDescent="0.3">
      <c r="C683" s="27" t="s">
        <v>1509</v>
      </c>
      <c r="D683" s="28">
        <v>676</v>
      </c>
      <c r="E683" s="28" t="s">
        <v>1402</v>
      </c>
      <c r="F683" s="28" t="s">
        <v>1223</v>
      </c>
      <c r="G683" s="28" t="s">
        <v>89</v>
      </c>
      <c r="H683" s="28" t="s">
        <v>90</v>
      </c>
      <c r="I683" s="28" t="s">
        <v>91</v>
      </c>
      <c r="J683" s="28" t="s">
        <v>1951</v>
      </c>
      <c r="K683" s="28" t="s">
        <v>1405</v>
      </c>
      <c r="L683" s="28" t="s">
        <v>1406</v>
      </c>
      <c r="M683" s="28">
        <v>6120.25</v>
      </c>
      <c r="N683" s="28" t="s">
        <v>1387</v>
      </c>
      <c r="O683" s="28">
        <v>0</v>
      </c>
      <c r="P683" s="29" t="s">
        <v>1407</v>
      </c>
    </row>
    <row r="684" spans="3:16" ht="36.75" thickBot="1" x14ac:dyDescent="0.3">
      <c r="C684" s="27" t="s">
        <v>1509</v>
      </c>
      <c r="D684" s="28">
        <v>677</v>
      </c>
      <c r="E684" s="28" t="s">
        <v>1402</v>
      </c>
      <c r="F684" s="28" t="s">
        <v>669</v>
      </c>
      <c r="G684" s="28" t="s">
        <v>89</v>
      </c>
      <c r="H684" s="28" t="s">
        <v>90</v>
      </c>
      <c r="I684" s="28" t="s">
        <v>91</v>
      </c>
      <c r="J684" s="28" t="s">
        <v>1951</v>
      </c>
      <c r="K684" s="28" t="s">
        <v>1405</v>
      </c>
      <c r="L684" s="28" t="s">
        <v>1406</v>
      </c>
      <c r="M684" s="28">
        <v>4758.53</v>
      </c>
      <c r="N684" s="28" t="s">
        <v>1387</v>
      </c>
      <c r="O684" s="28">
        <v>0</v>
      </c>
      <c r="P684" s="29" t="s">
        <v>1407</v>
      </c>
    </row>
    <row r="685" spans="3:16" ht="36.75" thickBot="1" x14ac:dyDescent="0.3">
      <c r="C685" s="27" t="s">
        <v>1509</v>
      </c>
      <c r="D685" s="28">
        <v>678</v>
      </c>
      <c r="E685" s="28" t="s">
        <v>1402</v>
      </c>
      <c r="F685" s="28" t="s">
        <v>1002</v>
      </c>
      <c r="G685" s="28" t="s">
        <v>89</v>
      </c>
      <c r="H685" s="28" t="s">
        <v>90</v>
      </c>
      <c r="I685" s="28" t="s">
        <v>91</v>
      </c>
      <c r="J685" s="28" t="s">
        <v>1951</v>
      </c>
      <c r="K685" s="28" t="s">
        <v>1405</v>
      </c>
      <c r="L685" s="28" t="s">
        <v>1406</v>
      </c>
      <c r="M685" s="28">
        <v>3636.24</v>
      </c>
      <c r="N685" s="28" t="s">
        <v>1387</v>
      </c>
      <c r="O685" s="28">
        <v>0</v>
      </c>
      <c r="P685" s="29" t="s">
        <v>1407</v>
      </c>
    </row>
    <row r="686" spans="3:16" ht="36.75" thickBot="1" x14ac:dyDescent="0.3">
      <c r="C686" s="27" t="s">
        <v>1509</v>
      </c>
      <c r="D686" s="28">
        <v>679</v>
      </c>
      <c r="E686" s="28" t="s">
        <v>1402</v>
      </c>
      <c r="F686" s="28" t="s">
        <v>953</v>
      </c>
      <c r="G686" s="28" t="s">
        <v>89</v>
      </c>
      <c r="H686" s="28" t="s">
        <v>90</v>
      </c>
      <c r="I686" s="28" t="s">
        <v>91</v>
      </c>
      <c r="J686" s="28" t="s">
        <v>1951</v>
      </c>
      <c r="K686" s="28" t="s">
        <v>1405</v>
      </c>
      <c r="L686" s="28" t="s">
        <v>1406</v>
      </c>
      <c r="M686" s="28">
        <v>3486.6</v>
      </c>
      <c r="N686" s="28" t="s">
        <v>1387</v>
      </c>
      <c r="O686" s="28">
        <v>0</v>
      </c>
      <c r="P686" s="29" t="s">
        <v>1407</v>
      </c>
    </row>
    <row r="687" spans="3:16" ht="36.75" thickBot="1" x14ac:dyDescent="0.3">
      <c r="C687" s="27" t="s">
        <v>1509</v>
      </c>
      <c r="D687" s="28">
        <v>680</v>
      </c>
      <c r="E687" s="28" t="s">
        <v>1402</v>
      </c>
      <c r="F687" s="28" t="s">
        <v>954</v>
      </c>
      <c r="G687" s="28" t="s">
        <v>89</v>
      </c>
      <c r="H687" s="28" t="s">
        <v>90</v>
      </c>
      <c r="I687" s="28" t="s">
        <v>91</v>
      </c>
      <c r="J687" s="28" t="s">
        <v>1951</v>
      </c>
      <c r="K687" s="28" t="s">
        <v>1405</v>
      </c>
      <c r="L687" s="28" t="s">
        <v>1406</v>
      </c>
      <c r="M687" s="28">
        <v>4249.76</v>
      </c>
      <c r="N687" s="28" t="s">
        <v>1387</v>
      </c>
      <c r="O687" s="28">
        <v>0</v>
      </c>
      <c r="P687" s="29" t="s">
        <v>1407</v>
      </c>
    </row>
    <row r="688" spans="3:16" ht="36.75" thickBot="1" x14ac:dyDescent="0.3">
      <c r="C688" s="27" t="s">
        <v>1509</v>
      </c>
      <c r="D688" s="28">
        <v>681</v>
      </c>
      <c r="E688" s="28" t="s">
        <v>1402</v>
      </c>
      <c r="F688" s="28" t="s">
        <v>952</v>
      </c>
      <c r="G688" s="28" t="s">
        <v>89</v>
      </c>
      <c r="H688" s="28" t="s">
        <v>90</v>
      </c>
      <c r="I688" s="28" t="s">
        <v>91</v>
      </c>
      <c r="J688" s="28" t="s">
        <v>1951</v>
      </c>
      <c r="K688" s="28" t="s">
        <v>1405</v>
      </c>
      <c r="L688" s="28" t="s">
        <v>1406</v>
      </c>
      <c r="M688" s="28">
        <v>6681.4</v>
      </c>
      <c r="N688" s="28" t="s">
        <v>1387</v>
      </c>
      <c r="O688" s="28">
        <v>0</v>
      </c>
      <c r="P688" s="29" t="s">
        <v>1407</v>
      </c>
    </row>
    <row r="689" spans="3:16" ht="36.75" thickBot="1" x14ac:dyDescent="0.3">
      <c r="C689" s="27" t="s">
        <v>1509</v>
      </c>
      <c r="D689" s="28">
        <v>682</v>
      </c>
      <c r="E689" s="28" t="s">
        <v>1402</v>
      </c>
      <c r="F689" s="28" t="s">
        <v>1011</v>
      </c>
      <c r="G689" s="28" t="s">
        <v>89</v>
      </c>
      <c r="H689" s="28" t="s">
        <v>90</v>
      </c>
      <c r="I689" s="28" t="s">
        <v>91</v>
      </c>
      <c r="J689" s="28" t="s">
        <v>1951</v>
      </c>
      <c r="K689" s="28" t="s">
        <v>1405</v>
      </c>
      <c r="L689" s="28" t="s">
        <v>1406</v>
      </c>
      <c r="M689" s="28">
        <v>2603.73</v>
      </c>
      <c r="N689" s="28" t="s">
        <v>1387</v>
      </c>
      <c r="O689" s="28">
        <v>0</v>
      </c>
      <c r="P689" s="29" t="s">
        <v>1407</v>
      </c>
    </row>
    <row r="690" spans="3:16" ht="36.75" thickBot="1" x14ac:dyDescent="0.3">
      <c r="C690" s="27" t="s">
        <v>1509</v>
      </c>
      <c r="D690" s="28">
        <v>683</v>
      </c>
      <c r="E690" s="28" t="s">
        <v>1402</v>
      </c>
      <c r="F690" s="28" t="s">
        <v>241</v>
      </c>
      <c r="G690" s="28" t="s">
        <v>89</v>
      </c>
      <c r="H690" s="28" t="s">
        <v>90</v>
      </c>
      <c r="I690" s="28" t="s">
        <v>91</v>
      </c>
      <c r="J690" s="28" t="s">
        <v>1951</v>
      </c>
      <c r="K690" s="28" t="s">
        <v>1405</v>
      </c>
      <c r="L690" s="28" t="s">
        <v>1406</v>
      </c>
      <c r="M690" s="28">
        <v>2325.65</v>
      </c>
      <c r="N690" s="28" t="s">
        <v>1387</v>
      </c>
      <c r="O690" s="28">
        <v>0</v>
      </c>
      <c r="P690" s="29" t="s">
        <v>1407</v>
      </c>
    </row>
    <row r="691" spans="3:16" ht="36.75" thickBot="1" x14ac:dyDescent="0.3">
      <c r="C691" s="27" t="s">
        <v>1509</v>
      </c>
      <c r="D691" s="28">
        <v>684</v>
      </c>
      <c r="E691" s="28" t="s">
        <v>1402</v>
      </c>
      <c r="F691" s="28" t="s">
        <v>609</v>
      </c>
      <c r="G691" s="28" t="s">
        <v>89</v>
      </c>
      <c r="H691" s="28" t="s">
        <v>90</v>
      </c>
      <c r="I691" s="28" t="s">
        <v>91</v>
      </c>
      <c r="J691" s="28" t="s">
        <v>1951</v>
      </c>
      <c r="K691" s="28" t="s">
        <v>1405</v>
      </c>
      <c r="L691" s="28" t="s">
        <v>1406</v>
      </c>
      <c r="M691" s="28">
        <v>1179.6600000000001</v>
      </c>
      <c r="N691" s="28" t="s">
        <v>1387</v>
      </c>
      <c r="O691" s="28">
        <v>0</v>
      </c>
      <c r="P691" s="29" t="s">
        <v>1407</v>
      </c>
    </row>
    <row r="692" spans="3:16" ht="36.75" thickBot="1" x14ac:dyDescent="0.3">
      <c r="C692" s="27" t="s">
        <v>1509</v>
      </c>
      <c r="D692" s="28">
        <v>685</v>
      </c>
      <c r="E692" s="28" t="s">
        <v>1402</v>
      </c>
      <c r="F692" s="28" t="s">
        <v>618</v>
      </c>
      <c r="G692" s="28" t="s">
        <v>89</v>
      </c>
      <c r="H692" s="28" t="s">
        <v>90</v>
      </c>
      <c r="I692" s="28" t="s">
        <v>91</v>
      </c>
      <c r="J692" s="28" t="s">
        <v>1951</v>
      </c>
      <c r="K692" s="28" t="s">
        <v>1405</v>
      </c>
      <c r="L692" s="28" t="s">
        <v>1406</v>
      </c>
      <c r="M692" s="28">
        <v>24939.89</v>
      </c>
      <c r="N692" s="28" t="s">
        <v>1387</v>
      </c>
      <c r="O692" s="28">
        <v>0</v>
      </c>
      <c r="P692" s="29" t="s">
        <v>1407</v>
      </c>
    </row>
    <row r="693" spans="3:16" ht="36.75" thickBot="1" x14ac:dyDescent="0.3">
      <c r="C693" s="27" t="s">
        <v>1509</v>
      </c>
      <c r="D693" s="28">
        <v>686</v>
      </c>
      <c r="E693" s="28" t="s">
        <v>1402</v>
      </c>
      <c r="F693" s="28" t="s">
        <v>1013</v>
      </c>
      <c r="G693" s="28" t="s">
        <v>89</v>
      </c>
      <c r="H693" s="28" t="s">
        <v>90</v>
      </c>
      <c r="I693" s="28" t="s">
        <v>91</v>
      </c>
      <c r="J693" s="28" t="s">
        <v>1951</v>
      </c>
      <c r="K693" s="28" t="s">
        <v>1405</v>
      </c>
      <c r="L693" s="28" t="s">
        <v>1406</v>
      </c>
      <c r="M693" s="28">
        <v>1414.09</v>
      </c>
      <c r="N693" s="28" t="s">
        <v>1387</v>
      </c>
      <c r="O693" s="28">
        <v>0</v>
      </c>
      <c r="P693" s="29" t="s">
        <v>1407</v>
      </c>
    </row>
    <row r="694" spans="3:16" ht="36.75" thickBot="1" x14ac:dyDescent="0.3">
      <c r="C694" s="27" t="s">
        <v>1509</v>
      </c>
      <c r="D694" s="28">
        <v>687</v>
      </c>
      <c r="E694" s="28" t="s">
        <v>1402</v>
      </c>
      <c r="F694" s="28" t="s">
        <v>381</v>
      </c>
      <c r="G694" s="28" t="s">
        <v>89</v>
      </c>
      <c r="H694" s="28" t="s">
        <v>90</v>
      </c>
      <c r="I694" s="28" t="s">
        <v>91</v>
      </c>
      <c r="J694" s="28" t="s">
        <v>1951</v>
      </c>
      <c r="K694" s="28" t="s">
        <v>1405</v>
      </c>
      <c r="L694" s="28" t="s">
        <v>1406</v>
      </c>
      <c r="M694" s="28">
        <v>1179.6600000000001</v>
      </c>
      <c r="N694" s="28" t="s">
        <v>1387</v>
      </c>
      <c r="O694" s="28">
        <v>0</v>
      </c>
      <c r="P694" s="29" t="s">
        <v>1407</v>
      </c>
    </row>
    <row r="695" spans="3:16" ht="36.75" thickBot="1" x14ac:dyDescent="0.3">
      <c r="C695" s="27" t="s">
        <v>1509</v>
      </c>
      <c r="D695" s="28">
        <v>688</v>
      </c>
      <c r="E695" s="28" t="s">
        <v>1402</v>
      </c>
      <c r="F695" s="28" t="s">
        <v>993</v>
      </c>
      <c r="G695" s="28" t="s">
        <v>89</v>
      </c>
      <c r="H695" s="28" t="s">
        <v>90</v>
      </c>
      <c r="I695" s="28" t="s">
        <v>91</v>
      </c>
      <c r="J695" s="28" t="s">
        <v>1951</v>
      </c>
      <c r="K695" s="28" t="s">
        <v>1405</v>
      </c>
      <c r="L695" s="28" t="s">
        <v>1406</v>
      </c>
      <c r="M695" s="28">
        <v>543.69000000000005</v>
      </c>
      <c r="N695" s="28" t="s">
        <v>1387</v>
      </c>
      <c r="O695" s="28">
        <v>0</v>
      </c>
      <c r="P695" s="29" t="s">
        <v>1407</v>
      </c>
    </row>
    <row r="696" spans="3:16" ht="36.75" thickBot="1" x14ac:dyDescent="0.3">
      <c r="C696" s="27" t="s">
        <v>1509</v>
      </c>
      <c r="D696" s="28">
        <v>689</v>
      </c>
      <c r="E696" s="28" t="s">
        <v>1402</v>
      </c>
      <c r="F696" s="28" t="s">
        <v>620</v>
      </c>
      <c r="G696" s="28" t="s">
        <v>89</v>
      </c>
      <c r="H696" s="28" t="s">
        <v>90</v>
      </c>
      <c r="I696" s="28" t="s">
        <v>91</v>
      </c>
      <c r="J696" s="28" t="s">
        <v>1951</v>
      </c>
      <c r="K696" s="28" t="s">
        <v>1405</v>
      </c>
      <c r="L696" s="28" t="s">
        <v>1406</v>
      </c>
      <c r="M696" s="28">
        <v>2536.39</v>
      </c>
      <c r="N696" s="28" t="s">
        <v>1387</v>
      </c>
      <c r="O696" s="28">
        <v>0</v>
      </c>
      <c r="P696" s="29" t="s">
        <v>1407</v>
      </c>
    </row>
    <row r="697" spans="3:16" ht="36.75" thickBot="1" x14ac:dyDescent="0.3">
      <c r="C697" s="27" t="s">
        <v>1509</v>
      </c>
      <c r="D697" s="28">
        <v>690</v>
      </c>
      <c r="E697" s="28" t="s">
        <v>1402</v>
      </c>
      <c r="F697" s="28" t="s">
        <v>1016</v>
      </c>
      <c r="G697" s="28" t="s">
        <v>89</v>
      </c>
      <c r="H697" s="28" t="s">
        <v>90</v>
      </c>
      <c r="I697" s="28" t="s">
        <v>91</v>
      </c>
      <c r="J697" s="28" t="s">
        <v>1951</v>
      </c>
      <c r="K697" s="28" t="s">
        <v>1405</v>
      </c>
      <c r="L697" s="28" t="s">
        <v>1406</v>
      </c>
      <c r="M697" s="28">
        <v>1930.35</v>
      </c>
      <c r="N697" s="28" t="s">
        <v>1387</v>
      </c>
      <c r="O697" s="28">
        <v>0</v>
      </c>
      <c r="P697" s="29" t="s">
        <v>1407</v>
      </c>
    </row>
    <row r="698" spans="3:16" ht="36.75" thickBot="1" x14ac:dyDescent="0.3">
      <c r="C698" s="27" t="s">
        <v>1509</v>
      </c>
      <c r="D698" s="28">
        <v>691</v>
      </c>
      <c r="E698" s="28" t="s">
        <v>1402</v>
      </c>
      <c r="F698" s="28" t="s">
        <v>169</v>
      </c>
      <c r="G698" s="28" t="s">
        <v>89</v>
      </c>
      <c r="H698" s="28" t="s">
        <v>90</v>
      </c>
      <c r="I698" s="28" t="s">
        <v>91</v>
      </c>
      <c r="J698" s="28" t="s">
        <v>1951</v>
      </c>
      <c r="K698" s="28" t="s">
        <v>1405</v>
      </c>
      <c r="L698" s="28" t="s">
        <v>1406</v>
      </c>
      <c r="M698" s="28">
        <v>2154.81</v>
      </c>
      <c r="N698" s="28" t="s">
        <v>1387</v>
      </c>
      <c r="O698" s="28">
        <v>0</v>
      </c>
      <c r="P698" s="29" t="s">
        <v>1407</v>
      </c>
    </row>
    <row r="699" spans="3:16" ht="36.75" thickBot="1" x14ac:dyDescent="0.3">
      <c r="C699" s="27" t="s">
        <v>1509</v>
      </c>
      <c r="D699" s="28">
        <v>692</v>
      </c>
      <c r="E699" s="28" t="s">
        <v>1402</v>
      </c>
      <c r="F699" s="28" t="s">
        <v>168</v>
      </c>
      <c r="G699" s="28" t="s">
        <v>89</v>
      </c>
      <c r="H699" s="28" t="s">
        <v>90</v>
      </c>
      <c r="I699" s="28" t="s">
        <v>91</v>
      </c>
      <c r="J699" s="28" t="s">
        <v>1951</v>
      </c>
      <c r="K699" s="28" t="s">
        <v>1405</v>
      </c>
      <c r="L699" s="28" t="s">
        <v>1406</v>
      </c>
      <c r="M699" s="28">
        <v>9756.49</v>
      </c>
      <c r="N699" s="28" t="s">
        <v>1387</v>
      </c>
      <c r="O699" s="28">
        <v>0</v>
      </c>
      <c r="P699" s="29" t="s">
        <v>1407</v>
      </c>
    </row>
    <row r="700" spans="3:16" ht="36.75" thickBot="1" x14ac:dyDescent="0.3">
      <c r="C700" s="27" t="s">
        <v>1509</v>
      </c>
      <c r="D700" s="28">
        <v>693</v>
      </c>
      <c r="E700" s="28" t="s">
        <v>1402</v>
      </c>
      <c r="F700" s="28" t="s">
        <v>621</v>
      </c>
      <c r="G700" s="28" t="s">
        <v>89</v>
      </c>
      <c r="H700" s="28" t="s">
        <v>90</v>
      </c>
      <c r="I700" s="28" t="s">
        <v>91</v>
      </c>
      <c r="J700" s="28" t="s">
        <v>1951</v>
      </c>
      <c r="K700" s="28" t="s">
        <v>1405</v>
      </c>
      <c r="L700" s="28" t="s">
        <v>1406</v>
      </c>
      <c r="M700" s="28">
        <v>1518.84</v>
      </c>
      <c r="N700" s="28" t="s">
        <v>1387</v>
      </c>
      <c r="O700" s="28">
        <v>0</v>
      </c>
      <c r="P700" s="29" t="s">
        <v>1407</v>
      </c>
    </row>
    <row r="701" spans="3:16" ht="36.75" thickBot="1" x14ac:dyDescent="0.3">
      <c r="C701" s="27" t="s">
        <v>1509</v>
      </c>
      <c r="D701" s="28">
        <v>694</v>
      </c>
      <c r="E701" s="28" t="s">
        <v>1402</v>
      </c>
      <c r="F701" s="28" t="s">
        <v>1019</v>
      </c>
      <c r="G701" s="28" t="s">
        <v>89</v>
      </c>
      <c r="H701" s="28" t="s">
        <v>90</v>
      </c>
      <c r="I701" s="28" t="s">
        <v>91</v>
      </c>
      <c r="J701" s="28" t="s">
        <v>1951</v>
      </c>
      <c r="K701" s="28" t="s">
        <v>1405</v>
      </c>
      <c r="L701" s="28" t="s">
        <v>1406</v>
      </c>
      <c r="M701" s="28">
        <v>9962.24</v>
      </c>
      <c r="N701" s="28" t="s">
        <v>1387</v>
      </c>
      <c r="O701" s="28">
        <v>0</v>
      </c>
      <c r="P701" s="29" t="s">
        <v>1407</v>
      </c>
    </row>
    <row r="702" spans="3:16" ht="36.75" thickBot="1" x14ac:dyDescent="0.3">
      <c r="C702" s="27" t="s">
        <v>1509</v>
      </c>
      <c r="D702" s="28">
        <v>695</v>
      </c>
      <c r="E702" s="28" t="s">
        <v>1402</v>
      </c>
      <c r="F702" s="28" t="s">
        <v>383</v>
      </c>
      <c r="G702" s="28" t="s">
        <v>89</v>
      </c>
      <c r="H702" s="28" t="s">
        <v>90</v>
      </c>
      <c r="I702" s="28" t="s">
        <v>91</v>
      </c>
      <c r="J702" s="28" t="s">
        <v>1951</v>
      </c>
      <c r="K702" s="28" t="s">
        <v>1405</v>
      </c>
      <c r="L702" s="28" t="s">
        <v>1406</v>
      </c>
      <c r="M702" s="28">
        <v>5678.81</v>
      </c>
      <c r="N702" s="28" t="s">
        <v>1387</v>
      </c>
      <c r="O702" s="28">
        <v>0</v>
      </c>
      <c r="P702" s="29" t="s">
        <v>1407</v>
      </c>
    </row>
    <row r="703" spans="3:16" ht="36.75" thickBot="1" x14ac:dyDescent="0.3">
      <c r="C703" s="27" t="s">
        <v>1509</v>
      </c>
      <c r="D703" s="28">
        <v>696</v>
      </c>
      <c r="E703" s="28" t="s">
        <v>1402</v>
      </c>
      <c r="F703" s="28" t="s">
        <v>944</v>
      </c>
      <c r="G703" s="28" t="s">
        <v>89</v>
      </c>
      <c r="H703" s="28" t="s">
        <v>90</v>
      </c>
      <c r="I703" s="28" t="s">
        <v>91</v>
      </c>
      <c r="J703" s="28" t="s">
        <v>1951</v>
      </c>
      <c r="K703" s="28" t="s">
        <v>1405</v>
      </c>
      <c r="L703" s="28" t="s">
        <v>1406</v>
      </c>
      <c r="M703" s="28">
        <v>3853.36</v>
      </c>
      <c r="N703" s="28" t="s">
        <v>1387</v>
      </c>
      <c r="O703" s="28">
        <v>0</v>
      </c>
      <c r="P703" s="29" t="s">
        <v>1407</v>
      </c>
    </row>
    <row r="704" spans="3:16" ht="36.75" thickBot="1" x14ac:dyDescent="0.3">
      <c r="C704" s="27" t="s">
        <v>1509</v>
      </c>
      <c r="D704" s="28">
        <v>697</v>
      </c>
      <c r="E704" s="28" t="s">
        <v>1402</v>
      </c>
      <c r="F704" s="28" t="s">
        <v>623</v>
      </c>
      <c r="G704" s="28" t="s">
        <v>89</v>
      </c>
      <c r="H704" s="28" t="s">
        <v>90</v>
      </c>
      <c r="I704" s="28" t="s">
        <v>91</v>
      </c>
      <c r="J704" s="28" t="s">
        <v>1951</v>
      </c>
      <c r="K704" s="28" t="s">
        <v>1405</v>
      </c>
      <c r="L704" s="28" t="s">
        <v>1406</v>
      </c>
      <c r="M704" s="28">
        <v>1769.49</v>
      </c>
      <c r="N704" s="28" t="s">
        <v>1387</v>
      </c>
      <c r="O704" s="28">
        <v>0</v>
      </c>
      <c r="P704" s="29" t="s">
        <v>1407</v>
      </c>
    </row>
    <row r="705" spans="3:16" ht="36.75" thickBot="1" x14ac:dyDescent="0.3">
      <c r="C705" s="27" t="s">
        <v>1509</v>
      </c>
      <c r="D705" s="28">
        <v>698</v>
      </c>
      <c r="E705" s="28" t="s">
        <v>1402</v>
      </c>
      <c r="F705" s="28" t="s">
        <v>1022</v>
      </c>
      <c r="G705" s="28" t="s">
        <v>89</v>
      </c>
      <c r="H705" s="28" t="s">
        <v>90</v>
      </c>
      <c r="I705" s="28" t="s">
        <v>91</v>
      </c>
      <c r="J705" s="28" t="s">
        <v>1951</v>
      </c>
      <c r="K705" s="28" t="s">
        <v>1405</v>
      </c>
      <c r="L705" s="28" t="s">
        <v>1406</v>
      </c>
      <c r="M705" s="28">
        <v>21645.33</v>
      </c>
      <c r="N705" s="28" t="s">
        <v>1387</v>
      </c>
      <c r="O705" s="28">
        <v>0</v>
      </c>
      <c r="P705" s="29" t="s">
        <v>1407</v>
      </c>
    </row>
    <row r="706" spans="3:16" ht="36.75" thickBot="1" x14ac:dyDescent="0.3">
      <c r="C706" s="27" t="s">
        <v>1509</v>
      </c>
      <c r="D706" s="28">
        <v>699</v>
      </c>
      <c r="E706" s="28" t="s">
        <v>1402</v>
      </c>
      <c r="F706" s="28" t="s">
        <v>242</v>
      </c>
      <c r="G706" s="28" t="s">
        <v>89</v>
      </c>
      <c r="H706" s="28" t="s">
        <v>90</v>
      </c>
      <c r="I706" s="28" t="s">
        <v>91</v>
      </c>
      <c r="J706" s="28" t="s">
        <v>1951</v>
      </c>
      <c r="K706" s="28" t="s">
        <v>1405</v>
      </c>
      <c r="L706" s="28" t="s">
        <v>1406</v>
      </c>
      <c r="M706" s="28">
        <v>4623.8599999999997</v>
      </c>
      <c r="N706" s="28" t="s">
        <v>1387</v>
      </c>
      <c r="O706" s="28">
        <v>0</v>
      </c>
      <c r="P706" s="29" t="s">
        <v>1407</v>
      </c>
    </row>
    <row r="707" spans="3:16" ht="36.75" thickBot="1" x14ac:dyDescent="0.3">
      <c r="C707" s="27" t="s">
        <v>1509</v>
      </c>
      <c r="D707" s="28">
        <v>700</v>
      </c>
      <c r="E707" s="28" t="s">
        <v>1402</v>
      </c>
      <c r="F707" s="28" t="s">
        <v>617</v>
      </c>
      <c r="G707" s="28" t="s">
        <v>89</v>
      </c>
      <c r="H707" s="28" t="s">
        <v>90</v>
      </c>
      <c r="I707" s="28" t="s">
        <v>91</v>
      </c>
      <c r="J707" s="28" t="s">
        <v>1951</v>
      </c>
      <c r="K707" s="28" t="s">
        <v>1405</v>
      </c>
      <c r="L707" s="28" t="s">
        <v>1406</v>
      </c>
      <c r="M707" s="28">
        <v>4219.83</v>
      </c>
      <c r="N707" s="28" t="s">
        <v>1387</v>
      </c>
      <c r="O707" s="28">
        <v>0</v>
      </c>
      <c r="P707" s="29" t="s">
        <v>1407</v>
      </c>
    </row>
    <row r="708" spans="3:16" ht="36.75" thickBot="1" x14ac:dyDescent="0.3">
      <c r="C708" s="27" t="s">
        <v>1509</v>
      </c>
      <c r="D708" s="28">
        <v>701</v>
      </c>
      <c r="E708" s="28" t="s">
        <v>1402</v>
      </c>
      <c r="F708" s="28" t="s">
        <v>625</v>
      </c>
      <c r="G708" s="28" t="s">
        <v>89</v>
      </c>
      <c r="H708" s="28" t="s">
        <v>90</v>
      </c>
      <c r="I708" s="28" t="s">
        <v>91</v>
      </c>
      <c r="J708" s="28" t="s">
        <v>1951</v>
      </c>
      <c r="K708" s="28" t="s">
        <v>1405</v>
      </c>
      <c r="L708" s="28" t="s">
        <v>1406</v>
      </c>
      <c r="M708" s="28">
        <v>6604.71</v>
      </c>
      <c r="N708" s="28" t="s">
        <v>1387</v>
      </c>
      <c r="O708" s="28">
        <v>0</v>
      </c>
      <c r="P708" s="29" t="s">
        <v>1407</v>
      </c>
    </row>
    <row r="709" spans="3:16" ht="36.75" thickBot="1" x14ac:dyDescent="0.3">
      <c r="C709" s="27" t="s">
        <v>1509</v>
      </c>
      <c r="D709" s="28">
        <v>702</v>
      </c>
      <c r="E709" s="28" t="s">
        <v>1402</v>
      </c>
      <c r="F709" s="28" t="s">
        <v>1027</v>
      </c>
      <c r="G709" s="28" t="s">
        <v>89</v>
      </c>
      <c r="H709" s="28" t="s">
        <v>90</v>
      </c>
      <c r="I709" s="28" t="s">
        <v>91</v>
      </c>
      <c r="J709" s="28" t="s">
        <v>1951</v>
      </c>
      <c r="K709" s="28" t="s">
        <v>1405</v>
      </c>
      <c r="L709" s="28" t="s">
        <v>1406</v>
      </c>
      <c r="M709" s="28">
        <v>3999.11</v>
      </c>
      <c r="N709" s="28" t="s">
        <v>1387</v>
      </c>
      <c r="O709" s="28">
        <v>0</v>
      </c>
      <c r="P709" s="29" t="s">
        <v>1407</v>
      </c>
    </row>
    <row r="710" spans="3:16" ht="36.75" thickBot="1" x14ac:dyDescent="0.3">
      <c r="C710" s="27" t="s">
        <v>1509</v>
      </c>
      <c r="D710" s="28">
        <v>703</v>
      </c>
      <c r="E710" s="28" t="s">
        <v>1402</v>
      </c>
      <c r="F710" s="28" t="s">
        <v>385</v>
      </c>
      <c r="G710" s="28" t="s">
        <v>89</v>
      </c>
      <c r="H710" s="28" t="s">
        <v>90</v>
      </c>
      <c r="I710" s="28" t="s">
        <v>91</v>
      </c>
      <c r="J710" s="28" t="s">
        <v>1951</v>
      </c>
      <c r="K710" s="28" t="s">
        <v>1405</v>
      </c>
      <c r="L710" s="28" t="s">
        <v>1406</v>
      </c>
      <c r="M710" s="28">
        <v>11993.6</v>
      </c>
      <c r="N710" s="28" t="s">
        <v>1387</v>
      </c>
      <c r="O710" s="28">
        <v>0</v>
      </c>
      <c r="P710" s="29" t="s">
        <v>1407</v>
      </c>
    </row>
    <row r="711" spans="3:16" ht="36.75" thickBot="1" x14ac:dyDescent="0.3">
      <c r="C711" s="27" t="s">
        <v>1509</v>
      </c>
      <c r="D711" s="28">
        <v>704</v>
      </c>
      <c r="E711" s="28" t="s">
        <v>1402</v>
      </c>
      <c r="F711" s="28" t="s">
        <v>1005</v>
      </c>
      <c r="G711" s="28" t="s">
        <v>89</v>
      </c>
      <c r="H711" s="28" t="s">
        <v>90</v>
      </c>
      <c r="I711" s="28" t="s">
        <v>91</v>
      </c>
      <c r="J711" s="28" t="s">
        <v>1951</v>
      </c>
      <c r="K711" s="28" t="s">
        <v>1405</v>
      </c>
      <c r="L711" s="28" t="s">
        <v>1406</v>
      </c>
      <c r="M711" s="28">
        <v>11993.6</v>
      </c>
      <c r="N711" s="28" t="s">
        <v>1387</v>
      </c>
      <c r="O711" s="28">
        <v>0</v>
      </c>
      <c r="P711" s="29" t="s">
        <v>1407</v>
      </c>
    </row>
    <row r="712" spans="3:16" ht="36.75" thickBot="1" x14ac:dyDescent="0.3">
      <c r="C712" s="27" t="s">
        <v>1509</v>
      </c>
      <c r="D712" s="28">
        <v>705</v>
      </c>
      <c r="E712" s="28" t="s">
        <v>1402</v>
      </c>
      <c r="F712" s="28" t="s">
        <v>627</v>
      </c>
      <c r="G712" s="28" t="s">
        <v>89</v>
      </c>
      <c r="H712" s="28" t="s">
        <v>90</v>
      </c>
      <c r="I712" s="28" t="s">
        <v>91</v>
      </c>
      <c r="J712" s="28" t="s">
        <v>1951</v>
      </c>
      <c r="K712" s="28" t="s">
        <v>1405</v>
      </c>
      <c r="L712" s="28" t="s">
        <v>1406</v>
      </c>
      <c r="M712" s="28">
        <v>6221.26</v>
      </c>
      <c r="N712" s="28" t="s">
        <v>1387</v>
      </c>
      <c r="O712" s="28">
        <v>0</v>
      </c>
      <c r="P712" s="29" t="s">
        <v>1407</v>
      </c>
    </row>
    <row r="713" spans="3:16" ht="36.75" thickBot="1" x14ac:dyDescent="0.3">
      <c r="C713" s="27" t="s">
        <v>1509</v>
      </c>
      <c r="D713" s="28">
        <v>706</v>
      </c>
      <c r="E713" s="28" t="s">
        <v>1402</v>
      </c>
      <c r="F713" s="28" t="s">
        <v>1030</v>
      </c>
      <c r="G713" s="28" t="s">
        <v>89</v>
      </c>
      <c r="H713" s="28" t="s">
        <v>90</v>
      </c>
      <c r="I713" s="28" t="s">
        <v>91</v>
      </c>
      <c r="J713" s="28" t="s">
        <v>1951</v>
      </c>
      <c r="K713" s="28" t="s">
        <v>1405</v>
      </c>
      <c r="L713" s="28" t="s">
        <v>1406</v>
      </c>
      <c r="M713" s="28">
        <v>7077.94</v>
      </c>
      <c r="N713" s="28" t="s">
        <v>1387</v>
      </c>
      <c r="O713" s="28">
        <v>0</v>
      </c>
      <c r="P713" s="29" t="s">
        <v>1407</v>
      </c>
    </row>
    <row r="714" spans="3:16" ht="36.75" thickBot="1" x14ac:dyDescent="0.3">
      <c r="C714" s="27" t="s">
        <v>1509</v>
      </c>
      <c r="D714" s="28">
        <v>707</v>
      </c>
      <c r="E714" s="28" t="s">
        <v>1402</v>
      </c>
      <c r="F714" s="28" t="s">
        <v>131</v>
      </c>
      <c r="G714" s="28" t="s">
        <v>89</v>
      </c>
      <c r="H714" s="28" t="s">
        <v>90</v>
      </c>
      <c r="I714" s="28" t="s">
        <v>91</v>
      </c>
      <c r="J714" s="28" t="s">
        <v>1951</v>
      </c>
      <c r="K714" s="28" t="s">
        <v>1405</v>
      </c>
      <c r="L714" s="28" t="s">
        <v>1406</v>
      </c>
      <c r="M714" s="28">
        <v>3860.7</v>
      </c>
      <c r="N714" s="28" t="s">
        <v>1387</v>
      </c>
      <c r="O714" s="28">
        <v>0</v>
      </c>
      <c r="P714" s="29" t="s">
        <v>1407</v>
      </c>
    </row>
    <row r="715" spans="3:16" ht="36.75" thickBot="1" x14ac:dyDescent="0.3">
      <c r="C715" s="27" t="s">
        <v>1509</v>
      </c>
      <c r="D715" s="28">
        <v>708</v>
      </c>
      <c r="E715" s="28" t="s">
        <v>1402</v>
      </c>
      <c r="F715" s="28" t="s">
        <v>382</v>
      </c>
      <c r="G715" s="28" t="s">
        <v>89</v>
      </c>
      <c r="H715" s="28" t="s">
        <v>90</v>
      </c>
      <c r="I715" s="28" t="s">
        <v>91</v>
      </c>
      <c r="J715" s="28" t="s">
        <v>1951</v>
      </c>
      <c r="K715" s="28" t="s">
        <v>1405</v>
      </c>
      <c r="L715" s="28" t="s">
        <v>1406</v>
      </c>
      <c r="M715" s="28">
        <v>8679.08</v>
      </c>
      <c r="N715" s="28" t="s">
        <v>1387</v>
      </c>
      <c r="O715" s="28">
        <v>0</v>
      </c>
      <c r="P715" s="29" t="s">
        <v>1407</v>
      </c>
    </row>
    <row r="716" spans="3:16" ht="36.75" thickBot="1" x14ac:dyDescent="0.3">
      <c r="C716" s="27" t="s">
        <v>1509</v>
      </c>
      <c r="D716" s="28">
        <v>709</v>
      </c>
      <c r="E716" s="28" t="s">
        <v>1402</v>
      </c>
      <c r="F716" s="28" t="s">
        <v>629</v>
      </c>
      <c r="G716" s="28" t="s">
        <v>89</v>
      </c>
      <c r="H716" s="28" t="s">
        <v>90</v>
      </c>
      <c r="I716" s="28" t="s">
        <v>91</v>
      </c>
      <c r="J716" s="28" t="s">
        <v>1951</v>
      </c>
      <c r="K716" s="28" t="s">
        <v>1405</v>
      </c>
      <c r="L716" s="28" t="s">
        <v>1406</v>
      </c>
      <c r="M716" s="28">
        <v>6105.29</v>
      </c>
      <c r="N716" s="28" t="s">
        <v>1387</v>
      </c>
      <c r="O716" s="28">
        <v>0</v>
      </c>
      <c r="P716" s="29" t="s">
        <v>1407</v>
      </c>
    </row>
    <row r="717" spans="3:16" ht="36.75" thickBot="1" x14ac:dyDescent="0.3">
      <c r="C717" s="27" t="s">
        <v>1509</v>
      </c>
      <c r="D717" s="28">
        <v>710</v>
      </c>
      <c r="E717" s="28" t="s">
        <v>1402</v>
      </c>
      <c r="F717" s="28" t="s">
        <v>1033</v>
      </c>
      <c r="G717" s="28" t="s">
        <v>89</v>
      </c>
      <c r="H717" s="28" t="s">
        <v>90</v>
      </c>
      <c r="I717" s="28" t="s">
        <v>91</v>
      </c>
      <c r="J717" s="28" t="s">
        <v>1951</v>
      </c>
      <c r="K717" s="28" t="s">
        <v>1405</v>
      </c>
      <c r="L717" s="28" t="s">
        <v>1406</v>
      </c>
      <c r="M717" s="28">
        <v>6254.93</v>
      </c>
      <c r="N717" s="28" t="s">
        <v>1387</v>
      </c>
      <c r="O717" s="28">
        <v>0</v>
      </c>
      <c r="P717" s="29" t="s">
        <v>1407</v>
      </c>
    </row>
    <row r="718" spans="3:16" ht="36.75" thickBot="1" x14ac:dyDescent="0.3">
      <c r="C718" s="27" t="s">
        <v>1509</v>
      </c>
      <c r="D718" s="28">
        <v>711</v>
      </c>
      <c r="E718" s="28" t="s">
        <v>1402</v>
      </c>
      <c r="F718" s="28" t="s">
        <v>387</v>
      </c>
      <c r="G718" s="28" t="s">
        <v>89</v>
      </c>
      <c r="H718" s="28" t="s">
        <v>90</v>
      </c>
      <c r="I718" s="28" t="s">
        <v>91</v>
      </c>
      <c r="J718" s="28" t="s">
        <v>1951</v>
      </c>
      <c r="K718" s="28" t="s">
        <v>1405</v>
      </c>
      <c r="L718" s="28" t="s">
        <v>1406</v>
      </c>
      <c r="M718" s="28">
        <v>7676.5</v>
      </c>
      <c r="N718" s="28" t="s">
        <v>1387</v>
      </c>
      <c r="O718" s="28">
        <v>0</v>
      </c>
      <c r="P718" s="29" t="s">
        <v>1407</v>
      </c>
    </row>
    <row r="719" spans="3:16" ht="36.75" thickBot="1" x14ac:dyDescent="0.3">
      <c r="C719" s="27" t="s">
        <v>1509</v>
      </c>
      <c r="D719" s="28">
        <v>712</v>
      </c>
      <c r="E719" s="28" t="s">
        <v>1402</v>
      </c>
      <c r="F719" s="28" t="s">
        <v>937</v>
      </c>
      <c r="G719" s="28" t="s">
        <v>89</v>
      </c>
      <c r="H719" s="28" t="s">
        <v>90</v>
      </c>
      <c r="I719" s="28" t="s">
        <v>91</v>
      </c>
      <c r="J719" s="28" t="s">
        <v>1951</v>
      </c>
      <c r="K719" s="28" t="s">
        <v>1405</v>
      </c>
      <c r="L719" s="28" t="s">
        <v>1406</v>
      </c>
      <c r="M719" s="28">
        <v>16220.91</v>
      </c>
      <c r="N719" s="28" t="s">
        <v>1387</v>
      </c>
      <c r="O719" s="28">
        <v>0</v>
      </c>
      <c r="P719" s="29" t="s">
        <v>1407</v>
      </c>
    </row>
    <row r="720" spans="3:16" ht="36.75" thickBot="1" x14ac:dyDescent="0.3">
      <c r="C720" s="27" t="s">
        <v>1509</v>
      </c>
      <c r="D720" s="28">
        <v>713</v>
      </c>
      <c r="E720" s="28" t="s">
        <v>1402</v>
      </c>
      <c r="F720" s="28" t="s">
        <v>631</v>
      </c>
      <c r="G720" s="28" t="s">
        <v>89</v>
      </c>
      <c r="H720" s="28" t="s">
        <v>90</v>
      </c>
      <c r="I720" s="28" t="s">
        <v>91</v>
      </c>
      <c r="J720" s="28" t="s">
        <v>1951</v>
      </c>
      <c r="K720" s="28" t="s">
        <v>1405</v>
      </c>
      <c r="L720" s="28" t="s">
        <v>1406</v>
      </c>
      <c r="M720" s="28">
        <v>12659.49</v>
      </c>
      <c r="N720" s="28" t="s">
        <v>1387</v>
      </c>
      <c r="O720" s="28">
        <v>0</v>
      </c>
      <c r="P720" s="29" t="s">
        <v>1407</v>
      </c>
    </row>
    <row r="721" spans="3:16" ht="36.75" thickBot="1" x14ac:dyDescent="0.3">
      <c r="C721" s="27" t="s">
        <v>1509</v>
      </c>
      <c r="D721" s="28">
        <v>714</v>
      </c>
      <c r="E721" s="28" t="s">
        <v>1402</v>
      </c>
      <c r="F721" s="28" t="s">
        <v>1036</v>
      </c>
      <c r="G721" s="28" t="s">
        <v>89</v>
      </c>
      <c r="H721" s="28" t="s">
        <v>90</v>
      </c>
      <c r="I721" s="28" t="s">
        <v>91</v>
      </c>
      <c r="J721" s="28" t="s">
        <v>1951</v>
      </c>
      <c r="K721" s="28" t="s">
        <v>1405</v>
      </c>
      <c r="L721" s="28" t="s">
        <v>1406</v>
      </c>
      <c r="M721" s="28">
        <v>4309.6099999999997</v>
      </c>
      <c r="N721" s="28" t="s">
        <v>1387</v>
      </c>
      <c r="O721" s="28">
        <v>0</v>
      </c>
      <c r="P721" s="29" t="s">
        <v>1407</v>
      </c>
    </row>
    <row r="722" spans="3:16" ht="36.75" thickBot="1" x14ac:dyDescent="0.3">
      <c r="C722" s="27" t="s">
        <v>1509</v>
      </c>
      <c r="D722" s="28">
        <v>715</v>
      </c>
      <c r="E722" s="28" t="s">
        <v>1402</v>
      </c>
      <c r="F722" s="28" t="s">
        <v>244</v>
      </c>
      <c r="G722" s="28" t="s">
        <v>89</v>
      </c>
      <c r="H722" s="28" t="s">
        <v>90</v>
      </c>
      <c r="I722" s="28" t="s">
        <v>91</v>
      </c>
      <c r="J722" s="28" t="s">
        <v>1951</v>
      </c>
      <c r="K722" s="28" t="s">
        <v>1405</v>
      </c>
      <c r="L722" s="28" t="s">
        <v>1406</v>
      </c>
      <c r="M722" s="28">
        <v>5057.8100000000004</v>
      </c>
      <c r="N722" s="28" t="s">
        <v>1387</v>
      </c>
      <c r="O722" s="28">
        <v>0</v>
      </c>
      <c r="P722" s="29" t="s">
        <v>1407</v>
      </c>
    </row>
    <row r="723" spans="3:16" ht="36.75" thickBot="1" x14ac:dyDescent="0.3">
      <c r="C723" s="27" t="s">
        <v>1509</v>
      </c>
      <c r="D723" s="28">
        <v>716</v>
      </c>
      <c r="E723" s="28" t="s">
        <v>1402</v>
      </c>
      <c r="F723" s="28" t="s">
        <v>624</v>
      </c>
      <c r="G723" s="28" t="s">
        <v>89</v>
      </c>
      <c r="H723" s="28" t="s">
        <v>90</v>
      </c>
      <c r="I723" s="28" t="s">
        <v>91</v>
      </c>
      <c r="J723" s="28" t="s">
        <v>1951</v>
      </c>
      <c r="K723" s="28" t="s">
        <v>1405</v>
      </c>
      <c r="L723" s="28" t="s">
        <v>1406</v>
      </c>
      <c r="M723" s="28">
        <v>16310.69</v>
      </c>
      <c r="N723" s="28" t="s">
        <v>1387</v>
      </c>
      <c r="O723" s="28">
        <v>0</v>
      </c>
      <c r="P723" s="29" t="s">
        <v>1407</v>
      </c>
    </row>
    <row r="724" spans="3:16" ht="36.75" thickBot="1" x14ac:dyDescent="0.3">
      <c r="C724" s="27" t="s">
        <v>1509</v>
      </c>
      <c r="D724" s="28">
        <v>717</v>
      </c>
      <c r="E724" s="28" t="s">
        <v>1402</v>
      </c>
      <c r="F724" s="28" t="s">
        <v>633</v>
      </c>
      <c r="G724" s="28" t="s">
        <v>89</v>
      </c>
      <c r="H724" s="28" t="s">
        <v>90</v>
      </c>
      <c r="I724" s="28" t="s">
        <v>91</v>
      </c>
      <c r="J724" s="28" t="s">
        <v>1951</v>
      </c>
      <c r="K724" s="28" t="s">
        <v>1405</v>
      </c>
      <c r="L724" s="28" t="s">
        <v>1406</v>
      </c>
      <c r="M724" s="28">
        <v>3711.06</v>
      </c>
      <c r="N724" s="28" t="s">
        <v>1387</v>
      </c>
      <c r="O724" s="28">
        <v>0</v>
      </c>
      <c r="P724" s="29" t="s">
        <v>1407</v>
      </c>
    </row>
    <row r="725" spans="3:16" ht="36.75" thickBot="1" x14ac:dyDescent="0.3">
      <c r="C725" s="27" t="s">
        <v>1509</v>
      </c>
      <c r="D725" s="28">
        <v>718</v>
      </c>
      <c r="E725" s="28" t="s">
        <v>1402</v>
      </c>
      <c r="F725" s="28" t="s">
        <v>1040</v>
      </c>
      <c r="G725" s="28" t="s">
        <v>89</v>
      </c>
      <c r="H725" s="28" t="s">
        <v>90</v>
      </c>
      <c r="I725" s="28" t="s">
        <v>91</v>
      </c>
      <c r="J725" s="28" t="s">
        <v>1951</v>
      </c>
      <c r="K725" s="28" t="s">
        <v>1405</v>
      </c>
      <c r="L725" s="28" t="s">
        <v>1406</v>
      </c>
      <c r="M725" s="28">
        <v>9367.42</v>
      </c>
      <c r="N725" s="28" t="s">
        <v>1387</v>
      </c>
      <c r="O725" s="28">
        <v>0</v>
      </c>
      <c r="P725" s="29" t="s">
        <v>1407</v>
      </c>
    </row>
    <row r="726" spans="3:16" ht="36.75" thickBot="1" x14ac:dyDescent="0.3">
      <c r="C726" s="27" t="s">
        <v>1509</v>
      </c>
      <c r="D726" s="28">
        <v>719</v>
      </c>
      <c r="E726" s="28" t="s">
        <v>1402</v>
      </c>
      <c r="F726" s="28" t="s">
        <v>389</v>
      </c>
      <c r="G726" s="28" t="s">
        <v>89</v>
      </c>
      <c r="H726" s="28" t="s">
        <v>90</v>
      </c>
      <c r="I726" s="28" t="s">
        <v>91</v>
      </c>
      <c r="J726" s="28" t="s">
        <v>1951</v>
      </c>
      <c r="K726" s="28" t="s">
        <v>1405</v>
      </c>
      <c r="L726" s="28" t="s">
        <v>1406</v>
      </c>
      <c r="M726" s="28">
        <v>9965.98</v>
      </c>
      <c r="N726" s="28" t="s">
        <v>1387</v>
      </c>
      <c r="O726" s="28">
        <v>0</v>
      </c>
      <c r="P726" s="29" t="s">
        <v>1407</v>
      </c>
    </row>
    <row r="727" spans="3:16" ht="36.75" thickBot="1" x14ac:dyDescent="0.3">
      <c r="C727" s="27" t="s">
        <v>1509</v>
      </c>
      <c r="D727" s="28">
        <v>720</v>
      </c>
      <c r="E727" s="28" t="s">
        <v>1402</v>
      </c>
      <c r="F727" s="28" t="s">
        <v>1015</v>
      </c>
      <c r="G727" s="28" t="s">
        <v>89</v>
      </c>
      <c r="H727" s="28" t="s">
        <v>90</v>
      </c>
      <c r="I727" s="28" t="s">
        <v>91</v>
      </c>
      <c r="J727" s="28" t="s">
        <v>1951</v>
      </c>
      <c r="K727" s="28" t="s">
        <v>1405</v>
      </c>
      <c r="L727" s="28" t="s">
        <v>1406</v>
      </c>
      <c r="M727" s="28">
        <v>4982.99</v>
      </c>
      <c r="N727" s="28" t="s">
        <v>1387</v>
      </c>
      <c r="O727" s="28">
        <v>0</v>
      </c>
      <c r="P727" s="29" t="s">
        <v>1407</v>
      </c>
    </row>
    <row r="728" spans="3:16" ht="36.75" thickBot="1" x14ac:dyDescent="0.3">
      <c r="C728" s="27" t="s">
        <v>1509</v>
      </c>
      <c r="D728" s="28">
        <v>721</v>
      </c>
      <c r="E728" s="28" t="s">
        <v>1402</v>
      </c>
      <c r="F728" s="28" t="s">
        <v>635</v>
      </c>
      <c r="G728" s="28" t="s">
        <v>89</v>
      </c>
      <c r="H728" s="28" t="s">
        <v>90</v>
      </c>
      <c r="I728" s="28" t="s">
        <v>91</v>
      </c>
      <c r="J728" s="28" t="s">
        <v>1951</v>
      </c>
      <c r="K728" s="28" t="s">
        <v>1405</v>
      </c>
      <c r="L728" s="28" t="s">
        <v>1406</v>
      </c>
      <c r="M728" s="28">
        <v>4608.8900000000003</v>
      </c>
      <c r="N728" s="28" t="s">
        <v>1387</v>
      </c>
      <c r="O728" s="28">
        <v>0</v>
      </c>
      <c r="P728" s="29" t="s">
        <v>1407</v>
      </c>
    </row>
    <row r="729" spans="3:16" ht="36.75" thickBot="1" x14ac:dyDescent="0.3">
      <c r="C729" s="27" t="s">
        <v>1509</v>
      </c>
      <c r="D729" s="28">
        <v>722</v>
      </c>
      <c r="E729" s="28" t="s">
        <v>1402</v>
      </c>
      <c r="F729" s="28" t="s">
        <v>1043</v>
      </c>
      <c r="G729" s="28" t="s">
        <v>89</v>
      </c>
      <c r="H729" s="28" t="s">
        <v>90</v>
      </c>
      <c r="I729" s="28" t="s">
        <v>91</v>
      </c>
      <c r="J729" s="28" t="s">
        <v>1951</v>
      </c>
      <c r="K729" s="28" t="s">
        <v>1405</v>
      </c>
      <c r="L729" s="28" t="s">
        <v>1406</v>
      </c>
      <c r="M729" s="28">
        <v>3711.06</v>
      </c>
      <c r="N729" s="28" t="s">
        <v>1387</v>
      </c>
      <c r="O729" s="28">
        <v>0</v>
      </c>
      <c r="P729" s="29" t="s">
        <v>1407</v>
      </c>
    </row>
    <row r="730" spans="3:16" ht="36.75" thickBot="1" x14ac:dyDescent="0.3">
      <c r="C730" s="27" t="s">
        <v>1509</v>
      </c>
      <c r="D730" s="28">
        <v>723</v>
      </c>
      <c r="E730" s="28" t="s">
        <v>1402</v>
      </c>
      <c r="F730" s="28" t="s">
        <v>171</v>
      </c>
      <c r="G730" s="28" t="s">
        <v>89</v>
      </c>
      <c r="H730" s="28" t="s">
        <v>90</v>
      </c>
      <c r="I730" s="28" t="s">
        <v>91</v>
      </c>
      <c r="J730" s="28" t="s">
        <v>1951</v>
      </c>
      <c r="K730" s="28" t="s">
        <v>1405</v>
      </c>
      <c r="L730" s="28" t="s">
        <v>1406</v>
      </c>
      <c r="M730" s="28">
        <v>13482.51</v>
      </c>
      <c r="N730" s="28" t="s">
        <v>1387</v>
      </c>
      <c r="O730" s="28">
        <v>0</v>
      </c>
      <c r="P730" s="29" t="s">
        <v>1407</v>
      </c>
    </row>
    <row r="731" spans="3:16" ht="36.75" thickBot="1" x14ac:dyDescent="0.3">
      <c r="C731" s="27" t="s">
        <v>1509</v>
      </c>
      <c r="D731" s="28">
        <v>724</v>
      </c>
      <c r="E731" s="28" t="s">
        <v>1402</v>
      </c>
      <c r="F731" s="28" t="s">
        <v>243</v>
      </c>
      <c r="G731" s="28" t="s">
        <v>89</v>
      </c>
      <c r="H731" s="28" t="s">
        <v>90</v>
      </c>
      <c r="I731" s="28" t="s">
        <v>91</v>
      </c>
      <c r="J731" s="28" t="s">
        <v>1951</v>
      </c>
      <c r="K731" s="28" t="s">
        <v>1405</v>
      </c>
      <c r="L731" s="28" t="s">
        <v>1406</v>
      </c>
      <c r="M731" s="28">
        <v>32396.92</v>
      </c>
      <c r="N731" s="28" t="s">
        <v>1387</v>
      </c>
      <c r="O731" s="28">
        <v>0</v>
      </c>
      <c r="P731" s="29" t="s">
        <v>1407</v>
      </c>
    </row>
    <row r="732" spans="3:16" ht="36.75" thickBot="1" x14ac:dyDescent="0.3">
      <c r="C732" s="27" t="s">
        <v>1509</v>
      </c>
      <c r="D732" s="28">
        <v>725</v>
      </c>
      <c r="E732" s="28" t="s">
        <v>1402</v>
      </c>
      <c r="F732" s="28" t="s">
        <v>1060</v>
      </c>
      <c r="G732" s="28" t="s">
        <v>89</v>
      </c>
      <c r="H732" s="28" t="s">
        <v>90</v>
      </c>
      <c r="I732" s="28" t="s">
        <v>91</v>
      </c>
      <c r="J732" s="28" t="s">
        <v>1951</v>
      </c>
      <c r="K732" s="28" t="s">
        <v>1405</v>
      </c>
      <c r="L732" s="28" t="s">
        <v>1406</v>
      </c>
      <c r="M732" s="28">
        <v>4010.34</v>
      </c>
      <c r="N732" s="28" t="s">
        <v>1387</v>
      </c>
      <c r="O732" s="28">
        <v>0</v>
      </c>
      <c r="P732" s="29" t="s">
        <v>1407</v>
      </c>
    </row>
    <row r="733" spans="3:16" ht="36.75" thickBot="1" x14ac:dyDescent="0.3">
      <c r="C733" s="27" t="s">
        <v>1509</v>
      </c>
      <c r="D733" s="28">
        <v>726</v>
      </c>
      <c r="E733" s="28" t="s">
        <v>1402</v>
      </c>
      <c r="F733" s="28" t="s">
        <v>249</v>
      </c>
      <c r="G733" s="28" t="s">
        <v>89</v>
      </c>
      <c r="H733" s="28" t="s">
        <v>90</v>
      </c>
      <c r="I733" s="28" t="s">
        <v>91</v>
      </c>
      <c r="J733" s="28" t="s">
        <v>1951</v>
      </c>
      <c r="K733" s="28" t="s">
        <v>1405</v>
      </c>
      <c r="L733" s="28" t="s">
        <v>1406</v>
      </c>
      <c r="M733" s="28">
        <v>17238.46</v>
      </c>
      <c r="N733" s="28" t="s">
        <v>1387</v>
      </c>
      <c r="O733" s="28">
        <v>0</v>
      </c>
      <c r="P733" s="29" t="s">
        <v>1407</v>
      </c>
    </row>
    <row r="734" spans="3:16" ht="36.75" thickBot="1" x14ac:dyDescent="0.3">
      <c r="C734" s="27" t="s">
        <v>1509</v>
      </c>
      <c r="D734" s="28">
        <v>727</v>
      </c>
      <c r="E734" s="28" t="s">
        <v>1402</v>
      </c>
      <c r="F734" s="28" t="s">
        <v>640</v>
      </c>
      <c r="G734" s="28" t="s">
        <v>89</v>
      </c>
      <c r="H734" s="28" t="s">
        <v>90</v>
      </c>
      <c r="I734" s="28" t="s">
        <v>91</v>
      </c>
      <c r="J734" s="28" t="s">
        <v>1951</v>
      </c>
      <c r="K734" s="28" t="s">
        <v>1405</v>
      </c>
      <c r="L734" s="28" t="s">
        <v>1406</v>
      </c>
      <c r="M734" s="28">
        <v>8379.7999999999993</v>
      </c>
      <c r="N734" s="28" t="s">
        <v>1387</v>
      </c>
      <c r="O734" s="28">
        <v>0</v>
      </c>
      <c r="P734" s="29" t="s">
        <v>1407</v>
      </c>
    </row>
    <row r="735" spans="3:16" ht="36.75" thickBot="1" x14ac:dyDescent="0.3">
      <c r="C735" s="27" t="s">
        <v>1509</v>
      </c>
      <c r="D735" s="28">
        <v>728</v>
      </c>
      <c r="E735" s="28" t="s">
        <v>1402</v>
      </c>
      <c r="F735" s="28" t="s">
        <v>648</v>
      </c>
      <c r="G735" s="28" t="s">
        <v>89</v>
      </c>
      <c r="H735" s="28" t="s">
        <v>90</v>
      </c>
      <c r="I735" s="28" t="s">
        <v>91</v>
      </c>
      <c r="J735" s="28" t="s">
        <v>1951</v>
      </c>
      <c r="K735" s="28" t="s">
        <v>1405</v>
      </c>
      <c r="L735" s="28" t="s">
        <v>1406</v>
      </c>
      <c r="M735" s="28">
        <v>3935.52</v>
      </c>
      <c r="N735" s="28" t="s">
        <v>1387</v>
      </c>
      <c r="O735" s="28">
        <v>0</v>
      </c>
      <c r="P735" s="29" t="s">
        <v>1407</v>
      </c>
    </row>
    <row r="736" spans="3:16" ht="36.75" thickBot="1" x14ac:dyDescent="0.3">
      <c r="C736" s="27" t="s">
        <v>1509</v>
      </c>
      <c r="D736" s="28">
        <v>729</v>
      </c>
      <c r="E736" s="28" t="s">
        <v>1402</v>
      </c>
      <c r="F736" s="28" t="s">
        <v>1063</v>
      </c>
      <c r="G736" s="28" t="s">
        <v>89</v>
      </c>
      <c r="H736" s="28" t="s">
        <v>90</v>
      </c>
      <c r="I736" s="28" t="s">
        <v>91</v>
      </c>
      <c r="J736" s="28" t="s">
        <v>1951</v>
      </c>
      <c r="K736" s="28" t="s">
        <v>1405</v>
      </c>
      <c r="L736" s="28" t="s">
        <v>1406</v>
      </c>
      <c r="M736" s="28">
        <v>9719.08</v>
      </c>
      <c r="N736" s="28" t="s">
        <v>1387</v>
      </c>
      <c r="O736" s="28">
        <v>0</v>
      </c>
      <c r="P736" s="29" t="s">
        <v>1407</v>
      </c>
    </row>
    <row r="737" spans="3:16" ht="36.75" thickBot="1" x14ac:dyDescent="0.3">
      <c r="C737" s="27" t="s">
        <v>1509</v>
      </c>
      <c r="D737" s="28">
        <v>730</v>
      </c>
      <c r="E737" s="28" t="s">
        <v>1402</v>
      </c>
      <c r="F737" s="28" t="s">
        <v>397</v>
      </c>
      <c r="G737" s="28" t="s">
        <v>89</v>
      </c>
      <c r="H737" s="28" t="s">
        <v>90</v>
      </c>
      <c r="I737" s="28" t="s">
        <v>91</v>
      </c>
      <c r="J737" s="28" t="s">
        <v>1951</v>
      </c>
      <c r="K737" s="28" t="s">
        <v>1405</v>
      </c>
      <c r="L737" s="28" t="s">
        <v>1406</v>
      </c>
      <c r="M737" s="28">
        <v>3561.42</v>
      </c>
      <c r="N737" s="28" t="s">
        <v>1387</v>
      </c>
      <c r="O737" s="28">
        <v>0</v>
      </c>
      <c r="P737" s="29" t="s">
        <v>1407</v>
      </c>
    </row>
    <row r="738" spans="3:16" ht="36.75" thickBot="1" x14ac:dyDescent="0.3">
      <c r="C738" s="27" t="s">
        <v>1509</v>
      </c>
      <c r="D738" s="28">
        <v>731</v>
      </c>
      <c r="E738" s="28" t="s">
        <v>1402</v>
      </c>
      <c r="F738" s="28" t="s">
        <v>1042</v>
      </c>
      <c r="G738" s="28" t="s">
        <v>89</v>
      </c>
      <c r="H738" s="28" t="s">
        <v>90</v>
      </c>
      <c r="I738" s="28" t="s">
        <v>91</v>
      </c>
      <c r="J738" s="28" t="s">
        <v>1951</v>
      </c>
      <c r="K738" s="28" t="s">
        <v>1405</v>
      </c>
      <c r="L738" s="28" t="s">
        <v>1406</v>
      </c>
      <c r="M738" s="28">
        <v>3711.06</v>
      </c>
      <c r="N738" s="28" t="s">
        <v>1387</v>
      </c>
      <c r="O738" s="28">
        <v>0</v>
      </c>
      <c r="P738" s="29" t="s">
        <v>1407</v>
      </c>
    </row>
    <row r="739" spans="3:16" ht="36.75" thickBot="1" x14ac:dyDescent="0.3">
      <c r="C739" s="27" t="s">
        <v>1509</v>
      </c>
      <c r="D739" s="28">
        <v>732</v>
      </c>
      <c r="E739" s="28" t="s">
        <v>1402</v>
      </c>
      <c r="F739" s="28" t="s">
        <v>650</v>
      </c>
      <c r="G739" s="28" t="s">
        <v>89</v>
      </c>
      <c r="H739" s="28" t="s">
        <v>90</v>
      </c>
      <c r="I739" s="28" t="s">
        <v>91</v>
      </c>
      <c r="J739" s="28" t="s">
        <v>1951</v>
      </c>
      <c r="K739" s="28" t="s">
        <v>1405</v>
      </c>
      <c r="L739" s="28" t="s">
        <v>1406</v>
      </c>
      <c r="M739" s="28">
        <v>5806.01</v>
      </c>
      <c r="N739" s="28" t="s">
        <v>1387</v>
      </c>
      <c r="O739" s="28">
        <v>0</v>
      </c>
      <c r="P739" s="29" t="s">
        <v>1407</v>
      </c>
    </row>
    <row r="740" spans="3:16" ht="36.75" thickBot="1" x14ac:dyDescent="0.3">
      <c r="C740" s="27" t="s">
        <v>1509</v>
      </c>
      <c r="D740" s="28">
        <v>733</v>
      </c>
      <c r="E740" s="28" t="s">
        <v>1402</v>
      </c>
      <c r="F740" s="28" t="s">
        <v>1066</v>
      </c>
      <c r="G740" s="28" t="s">
        <v>89</v>
      </c>
      <c r="H740" s="28" t="s">
        <v>90</v>
      </c>
      <c r="I740" s="28" t="s">
        <v>91</v>
      </c>
      <c r="J740" s="28" t="s">
        <v>1951</v>
      </c>
      <c r="K740" s="28" t="s">
        <v>1405</v>
      </c>
      <c r="L740" s="28" t="s">
        <v>1406</v>
      </c>
      <c r="M740" s="28">
        <v>55650.879999999997</v>
      </c>
      <c r="N740" s="28" t="s">
        <v>1387</v>
      </c>
      <c r="O740" s="28">
        <v>0</v>
      </c>
      <c r="P740" s="29" t="s">
        <v>1407</v>
      </c>
    </row>
    <row r="741" spans="3:16" ht="36.75" thickBot="1" x14ac:dyDescent="0.3">
      <c r="C741" s="27" t="s">
        <v>1509</v>
      </c>
      <c r="D741" s="28">
        <v>734</v>
      </c>
      <c r="E741" s="28" t="s">
        <v>1402</v>
      </c>
      <c r="F741" s="28" t="s">
        <v>173</v>
      </c>
      <c r="G741" s="28" t="s">
        <v>89</v>
      </c>
      <c r="H741" s="28" t="s">
        <v>90</v>
      </c>
      <c r="I741" s="28" t="s">
        <v>91</v>
      </c>
      <c r="J741" s="28" t="s">
        <v>1951</v>
      </c>
      <c r="K741" s="28" t="s">
        <v>1405</v>
      </c>
      <c r="L741" s="28" t="s">
        <v>1406</v>
      </c>
      <c r="M741" s="28">
        <v>6239.96</v>
      </c>
      <c r="N741" s="28" t="s">
        <v>1387</v>
      </c>
      <c r="O741" s="28">
        <v>0</v>
      </c>
      <c r="P741" s="29" t="s">
        <v>1407</v>
      </c>
    </row>
    <row r="742" spans="3:16" ht="36.75" thickBot="1" x14ac:dyDescent="0.3">
      <c r="C742" s="27" t="s">
        <v>1509</v>
      </c>
      <c r="D742" s="28">
        <v>735</v>
      </c>
      <c r="E742" s="28" t="s">
        <v>1402</v>
      </c>
      <c r="F742" s="28" t="s">
        <v>132</v>
      </c>
      <c r="G742" s="28" t="s">
        <v>89</v>
      </c>
      <c r="H742" s="28" t="s">
        <v>90</v>
      </c>
      <c r="I742" s="28" t="s">
        <v>91</v>
      </c>
      <c r="J742" s="28" t="s">
        <v>1951</v>
      </c>
      <c r="K742" s="28" t="s">
        <v>1405</v>
      </c>
      <c r="L742" s="28" t="s">
        <v>1406</v>
      </c>
      <c r="M742" s="28">
        <v>6629.02</v>
      </c>
      <c r="N742" s="28" t="s">
        <v>1387</v>
      </c>
      <c r="O742" s="28">
        <v>0</v>
      </c>
      <c r="P742" s="29" t="s">
        <v>1407</v>
      </c>
    </row>
    <row r="743" spans="3:16" ht="36.75" thickBot="1" x14ac:dyDescent="0.3">
      <c r="C743" s="27" t="s">
        <v>1509</v>
      </c>
      <c r="D743" s="28">
        <v>736</v>
      </c>
      <c r="E743" s="28" t="s">
        <v>1402</v>
      </c>
      <c r="F743" s="28" t="s">
        <v>651</v>
      </c>
      <c r="G743" s="28" t="s">
        <v>89</v>
      </c>
      <c r="H743" s="28" t="s">
        <v>90</v>
      </c>
      <c r="I743" s="28" t="s">
        <v>91</v>
      </c>
      <c r="J743" s="28" t="s">
        <v>1951</v>
      </c>
      <c r="K743" s="28" t="s">
        <v>1405</v>
      </c>
      <c r="L743" s="28" t="s">
        <v>1406</v>
      </c>
      <c r="M743" s="28">
        <v>3561.42</v>
      </c>
      <c r="N743" s="28" t="s">
        <v>1387</v>
      </c>
      <c r="O743" s="28">
        <v>0</v>
      </c>
      <c r="P743" s="29" t="s">
        <v>1407</v>
      </c>
    </row>
    <row r="744" spans="3:16" ht="36.75" thickBot="1" x14ac:dyDescent="0.3">
      <c r="C744" s="27" t="s">
        <v>1509</v>
      </c>
      <c r="D744" s="28">
        <v>737</v>
      </c>
      <c r="E744" s="28" t="s">
        <v>1402</v>
      </c>
      <c r="F744" s="28" t="s">
        <v>1069</v>
      </c>
      <c r="G744" s="28" t="s">
        <v>89</v>
      </c>
      <c r="H744" s="28" t="s">
        <v>90</v>
      </c>
      <c r="I744" s="28" t="s">
        <v>91</v>
      </c>
      <c r="J744" s="28" t="s">
        <v>1951</v>
      </c>
      <c r="K744" s="28" t="s">
        <v>1405</v>
      </c>
      <c r="L744" s="28" t="s">
        <v>1406</v>
      </c>
      <c r="M744" s="28">
        <v>29920.39</v>
      </c>
      <c r="N744" s="28" t="s">
        <v>1387</v>
      </c>
      <c r="O744" s="28">
        <v>0</v>
      </c>
      <c r="P744" s="29" t="s">
        <v>1407</v>
      </c>
    </row>
    <row r="745" spans="3:16" ht="36.75" thickBot="1" x14ac:dyDescent="0.3">
      <c r="C745" s="27" t="s">
        <v>1509</v>
      </c>
      <c r="D745" s="28">
        <v>738</v>
      </c>
      <c r="E745" s="28" t="s">
        <v>1402</v>
      </c>
      <c r="F745" s="28" t="s">
        <v>399</v>
      </c>
      <c r="G745" s="28" t="s">
        <v>89</v>
      </c>
      <c r="H745" s="28" t="s">
        <v>90</v>
      </c>
      <c r="I745" s="28" t="s">
        <v>91</v>
      </c>
      <c r="J745" s="28" t="s">
        <v>1951</v>
      </c>
      <c r="K745" s="28" t="s">
        <v>1405</v>
      </c>
      <c r="L745" s="28" t="s">
        <v>1406</v>
      </c>
      <c r="M745" s="28">
        <v>7137.8</v>
      </c>
      <c r="N745" s="28" t="s">
        <v>1387</v>
      </c>
      <c r="O745" s="28">
        <v>0</v>
      </c>
      <c r="P745" s="29" t="s">
        <v>1407</v>
      </c>
    </row>
    <row r="746" spans="3:16" ht="36.75" thickBot="1" x14ac:dyDescent="0.3">
      <c r="C746" s="27" t="s">
        <v>1509</v>
      </c>
      <c r="D746" s="28">
        <v>739</v>
      </c>
      <c r="E746" s="28" t="s">
        <v>1402</v>
      </c>
      <c r="F746" s="28" t="s">
        <v>947</v>
      </c>
      <c r="G746" s="28" t="s">
        <v>89</v>
      </c>
      <c r="H746" s="28" t="s">
        <v>90</v>
      </c>
      <c r="I746" s="28" t="s">
        <v>91</v>
      </c>
      <c r="J746" s="28" t="s">
        <v>1951</v>
      </c>
      <c r="K746" s="28" t="s">
        <v>1405</v>
      </c>
      <c r="L746" s="28" t="s">
        <v>1406</v>
      </c>
      <c r="M746" s="28">
        <v>59855.75</v>
      </c>
      <c r="N746" s="28" t="s">
        <v>1387</v>
      </c>
      <c r="O746" s="28">
        <v>0</v>
      </c>
      <c r="P746" s="29" t="s">
        <v>1407</v>
      </c>
    </row>
    <row r="747" spans="3:16" ht="36.75" thickBot="1" x14ac:dyDescent="0.3">
      <c r="C747" s="27" t="s">
        <v>1509</v>
      </c>
      <c r="D747" s="28">
        <v>740</v>
      </c>
      <c r="E747" s="28" t="s">
        <v>1402</v>
      </c>
      <c r="F747" s="28" t="s">
        <v>1073</v>
      </c>
      <c r="G747" s="28" t="s">
        <v>89</v>
      </c>
      <c r="H747" s="28" t="s">
        <v>90</v>
      </c>
      <c r="I747" s="28" t="s">
        <v>91</v>
      </c>
      <c r="J747" s="28" t="s">
        <v>1951</v>
      </c>
      <c r="K747" s="28" t="s">
        <v>1405</v>
      </c>
      <c r="L747" s="28" t="s">
        <v>1406</v>
      </c>
      <c r="M747" s="28">
        <v>6329.75</v>
      </c>
      <c r="N747" s="28" t="s">
        <v>1387</v>
      </c>
      <c r="O747" s="28">
        <v>0</v>
      </c>
      <c r="P747" s="29" t="s">
        <v>1407</v>
      </c>
    </row>
    <row r="748" spans="3:16" ht="36.75" thickBot="1" x14ac:dyDescent="0.3">
      <c r="C748" s="27" t="s">
        <v>1509</v>
      </c>
      <c r="D748" s="28">
        <v>741</v>
      </c>
      <c r="E748" s="28" t="s">
        <v>1402</v>
      </c>
      <c r="F748" s="28" t="s">
        <v>250</v>
      </c>
      <c r="G748" s="28" t="s">
        <v>89</v>
      </c>
      <c r="H748" s="28" t="s">
        <v>90</v>
      </c>
      <c r="I748" s="28" t="s">
        <v>91</v>
      </c>
      <c r="J748" s="28" t="s">
        <v>1951</v>
      </c>
      <c r="K748" s="28" t="s">
        <v>1405</v>
      </c>
      <c r="L748" s="28" t="s">
        <v>1406</v>
      </c>
      <c r="M748" s="28">
        <v>8918.51</v>
      </c>
      <c r="N748" s="28" t="s">
        <v>1387</v>
      </c>
      <c r="O748" s="28">
        <v>0</v>
      </c>
      <c r="P748" s="29" t="s">
        <v>1407</v>
      </c>
    </row>
    <row r="749" spans="3:16" ht="36.75" thickBot="1" x14ac:dyDescent="0.3">
      <c r="C749" s="27" t="s">
        <v>1509</v>
      </c>
      <c r="D749" s="28">
        <v>742</v>
      </c>
      <c r="E749" s="28" t="s">
        <v>1402</v>
      </c>
      <c r="F749" s="28" t="s">
        <v>647</v>
      </c>
      <c r="G749" s="28" t="s">
        <v>89</v>
      </c>
      <c r="H749" s="28" t="s">
        <v>90</v>
      </c>
      <c r="I749" s="28" t="s">
        <v>91</v>
      </c>
      <c r="J749" s="28" t="s">
        <v>1951</v>
      </c>
      <c r="K749" s="28" t="s">
        <v>1405</v>
      </c>
      <c r="L749" s="28" t="s">
        <v>1406</v>
      </c>
      <c r="M749" s="28">
        <v>3711.06</v>
      </c>
      <c r="N749" s="28" t="s">
        <v>1387</v>
      </c>
      <c r="O749" s="28">
        <v>0</v>
      </c>
      <c r="P749" s="29" t="s">
        <v>1407</v>
      </c>
    </row>
    <row r="750" spans="3:16" ht="36.75" thickBot="1" x14ac:dyDescent="0.3">
      <c r="C750" s="27" t="s">
        <v>1509</v>
      </c>
      <c r="D750" s="28">
        <v>743</v>
      </c>
      <c r="E750" s="28" t="s">
        <v>1402</v>
      </c>
      <c r="F750" s="28" t="s">
        <v>655</v>
      </c>
      <c r="G750" s="28" t="s">
        <v>89</v>
      </c>
      <c r="H750" s="28" t="s">
        <v>90</v>
      </c>
      <c r="I750" s="28" t="s">
        <v>91</v>
      </c>
      <c r="J750" s="28" t="s">
        <v>1951</v>
      </c>
      <c r="K750" s="28" t="s">
        <v>1405</v>
      </c>
      <c r="L750" s="28" t="s">
        <v>1406</v>
      </c>
      <c r="M750" s="28">
        <v>3935.52</v>
      </c>
      <c r="N750" s="28" t="s">
        <v>1387</v>
      </c>
      <c r="O750" s="28">
        <v>0</v>
      </c>
      <c r="P750" s="29" t="s">
        <v>1407</v>
      </c>
    </row>
    <row r="751" spans="3:16" ht="36.75" thickBot="1" x14ac:dyDescent="0.3">
      <c r="C751" s="27" t="s">
        <v>1509</v>
      </c>
      <c r="D751" s="28">
        <v>744</v>
      </c>
      <c r="E751" s="28" t="s">
        <v>1402</v>
      </c>
      <c r="F751" s="28" t="s">
        <v>1075</v>
      </c>
      <c r="G751" s="28" t="s">
        <v>89</v>
      </c>
      <c r="H751" s="28" t="s">
        <v>90</v>
      </c>
      <c r="I751" s="28" t="s">
        <v>91</v>
      </c>
      <c r="J751" s="28" t="s">
        <v>1951</v>
      </c>
      <c r="K751" s="28" t="s">
        <v>1405</v>
      </c>
      <c r="L751" s="28" t="s">
        <v>1406</v>
      </c>
      <c r="M751" s="28">
        <v>3935.52</v>
      </c>
      <c r="N751" s="28" t="s">
        <v>1387</v>
      </c>
      <c r="O751" s="28">
        <v>0</v>
      </c>
      <c r="P751" s="29" t="s">
        <v>1407</v>
      </c>
    </row>
    <row r="752" spans="3:16" ht="36.75" thickBot="1" x14ac:dyDescent="0.3">
      <c r="C752" s="27" t="s">
        <v>1509</v>
      </c>
      <c r="D752" s="28">
        <v>745</v>
      </c>
      <c r="E752" s="28" t="s">
        <v>1402</v>
      </c>
      <c r="F752" s="28" t="s">
        <v>401</v>
      </c>
      <c r="G752" s="28" t="s">
        <v>89</v>
      </c>
      <c r="H752" s="28" t="s">
        <v>90</v>
      </c>
      <c r="I752" s="28" t="s">
        <v>91</v>
      </c>
      <c r="J752" s="28" t="s">
        <v>1951</v>
      </c>
      <c r="K752" s="28" t="s">
        <v>1405</v>
      </c>
      <c r="L752" s="28" t="s">
        <v>1406</v>
      </c>
      <c r="M752" s="28">
        <v>11402.52</v>
      </c>
      <c r="N752" s="28" t="s">
        <v>1387</v>
      </c>
      <c r="O752" s="28">
        <v>0</v>
      </c>
      <c r="P752" s="29" t="s">
        <v>1407</v>
      </c>
    </row>
    <row r="753" spans="3:16" ht="36.75" thickBot="1" x14ac:dyDescent="0.3">
      <c r="C753" s="27" t="s">
        <v>1509</v>
      </c>
      <c r="D753" s="28">
        <v>746</v>
      </c>
      <c r="E753" s="28" t="s">
        <v>1402</v>
      </c>
      <c r="F753" s="28" t="s">
        <v>1054</v>
      </c>
      <c r="G753" s="28" t="s">
        <v>89</v>
      </c>
      <c r="H753" s="28" t="s">
        <v>90</v>
      </c>
      <c r="I753" s="28" t="s">
        <v>91</v>
      </c>
      <c r="J753" s="28" t="s">
        <v>1951</v>
      </c>
      <c r="K753" s="28" t="s">
        <v>1405</v>
      </c>
      <c r="L753" s="28" t="s">
        <v>1406</v>
      </c>
      <c r="M753" s="28">
        <v>5282.27</v>
      </c>
      <c r="N753" s="28" t="s">
        <v>1387</v>
      </c>
      <c r="O753" s="28">
        <v>0</v>
      </c>
      <c r="P753" s="29" t="s">
        <v>1407</v>
      </c>
    </row>
    <row r="754" spans="3:16" ht="36.75" thickBot="1" x14ac:dyDescent="0.3">
      <c r="C754" s="27" t="s">
        <v>1509</v>
      </c>
      <c r="D754" s="28">
        <v>747</v>
      </c>
      <c r="E754" s="28" t="s">
        <v>1402</v>
      </c>
      <c r="F754" s="28" t="s">
        <v>657</v>
      </c>
      <c r="G754" s="28" t="s">
        <v>89</v>
      </c>
      <c r="H754" s="28" t="s">
        <v>90</v>
      </c>
      <c r="I754" s="28" t="s">
        <v>91</v>
      </c>
      <c r="J754" s="28" t="s">
        <v>1951</v>
      </c>
      <c r="K754" s="28" t="s">
        <v>1405</v>
      </c>
      <c r="L754" s="28" t="s">
        <v>1406</v>
      </c>
      <c r="M754" s="28">
        <v>3711.06</v>
      </c>
      <c r="N754" s="28" t="s">
        <v>1387</v>
      </c>
      <c r="O754" s="28">
        <v>0</v>
      </c>
      <c r="P754" s="29" t="s">
        <v>1407</v>
      </c>
    </row>
    <row r="755" spans="3:16" ht="36.75" thickBot="1" x14ac:dyDescent="0.3">
      <c r="C755" s="27" t="s">
        <v>1509</v>
      </c>
      <c r="D755" s="28">
        <v>748</v>
      </c>
      <c r="E755" s="28" t="s">
        <v>1402</v>
      </c>
      <c r="F755" s="28" t="s">
        <v>1078</v>
      </c>
      <c r="G755" s="28" t="s">
        <v>89</v>
      </c>
      <c r="H755" s="28" t="s">
        <v>90</v>
      </c>
      <c r="I755" s="28" t="s">
        <v>91</v>
      </c>
      <c r="J755" s="28" t="s">
        <v>1951</v>
      </c>
      <c r="K755" s="28" t="s">
        <v>1405</v>
      </c>
      <c r="L755" s="28" t="s">
        <v>1406</v>
      </c>
      <c r="M755" s="28">
        <v>5656.37</v>
      </c>
      <c r="N755" s="28" t="s">
        <v>1387</v>
      </c>
      <c r="O755" s="28">
        <v>0</v>
      </c>
      <c r="P755" s="29" t="s">
        <v>1407</v>
      </c>
    </row>
    <row r="756" spans="3:16" ht="36.75" thickBot="1" x14ac:dyDescent="0.3">
      <c r="C756" s="27" t="s">
        <v>1509</v>
      </c>
      <c r="D756" s="28">
        <v>749</v>
      </c>
      <c r="E756" s="28" t="s">
        <v>1402</v>
      </c>
      <c r="F756" s="28" t="s">
        <v>133</v>
      </c>
      <c r="G756" s="28" t="s">
        <v>89</v>
      </c>
      <c r="H756" s="28" t="s">
        <v>90</v>
      </c>
      <c r="I756" s="28" t="s">
        <v>91</v>
      </c>
      <c r="J756" s="28" t="s">
        <v>1951</v>
      </c>
      <c r="K756" s="28" t="s">
        <v>1405</v>
      </c>
      <c r="L756" s="28" t="s">
        <v>1406</v>
      </c>
      <c r="M756" s="28">
        <v>3785.88</v>
      </c>
      <c r="N756" s="28" t="s">
        <v>1387</v>
      </c>
      <c r="O756" s="28">
        <v>0</v>
      </c>
      <c r="P756" s="29" t="s">
        <v>1407</v>
      </c>
    </row>
    <row r="757" spans="3:16" ht="36.75" thickBot="1" x14ac:dyDescent="0.3">
      <c r="C757" s="27" t="s">
        <v>1509</v>
      </c>
      <c r="D757" s="28">
        <v>750</v>
      </c>
      <c r="E757" s="28" t="s">
        <v>1402</v>
      </c>
      <c r="F757" s="28" t="s">
        <v>1081</v>
      </c>
      <c r="G757" s="28" t="s">
        <v>89</v>
      </c>
      <c r="H757" s="28" t="s">
        <v>90</v>
      </c>
      <c r="I757" s="28" t="s">
        <v>91</v>
      </c>
      <c r="J757" s="28" t="s">
        <v>1951</v>
      </c>
      <c r="K757" s="28" t="s">
        <v>1405</v>
      </c>
      <c r="L757" s="28" t="s">
        <v>1406</v>
      </c>
      <c r="M757" s="28">
        <v>18270.97</v>
      </c>
      <c r="N757" s="28" t="s">
        <v>1387</v>
      </c>
      <c r="O757" s="28">
        <v>0</v>
      </c>
      <c r="P757" s="29" t="s">
        <v>1407</v>
      </c>
    </row>
    <row r="758" spans="3:16" ht="36.75" thickBot="1" x14ac:dyDescent="0.3">
      <c r="C758" s="27" t="s">
        <v>1509</v>
      </c>
      <c r="D758" s="28">
        <v>751</v>
      </c>
      <c r="E758" s="28" t="s">
        <v>1402</v>
      </c>
      <c r="F758" s="28" t="s">
        <v>403</v>
      </c>
      <c r="G758" s="28" t="s">
        <v>89</v>
      </c>
      <c r="H758" s="28" t="s">
        <v>90</v>
      </c>
      <c r="I758" s="28" t="s">
        <v>91</v>
      </c>
      <c r="J758" s="28" t="s">
        <v>1951</v>
      </c>
      <c r="K758" s="28" t="s">
        <v>1405</v>
      </c>
      <c r="L758" s="28" t="s">
        <v>1406</v>
      </c>
      <c r="M758" s="28">
        <v>6030.47</v>
      </c>
      <c r="N758" s="28" t="s">
        <v>1387</v>
      </c>
      <c r="O758" s="28">
        <v>0</v>
      </c>
      <c r="P758" s="29" t="s">
        <v>1407</v>
      </c>
    </row>
    <row r="759" spans="3:16" ht="36.75" thickBot="1" x14ac:dyDescent="0.3">
      <c r="C759" s="27" t="s">
        <v>1509</v>
      </c>
      <c r="D759" s="28">
        <v>752</v>
      </c>
      <c r="E759" s="28" t="s">
        <v>1402</v>
      </c>
      <c r="F759" s="28" t="s">
        <v>628</v>
      </c>
      <c r="G759" s="28" t="s">
        <v>89</v>
      </c>
      <c r="H759" s="28" t="s">
        <v>90</v>
      </c>
      <c r="I759" s="28" t="s">
        <v>91</v>
      </c>
      <c r="J759" s="28" t="s">
        <v>1951</v>
      </c>
      <c r="K759" s="28" t="s">
        <v>1405</v>
      </c>
      <c r="L759" s="28" t="s">
        <v>1406</v>
      </c>
      <c r="M759" s="28">
        <v>4733.59</v>
      </c>
      <c r="N759" s="28" t="s">
        <v>1387</v>
      </c>
      <c r="O759" s="28">
        <v>0</v>
      </c>
      <c r="P759" s="29" t="s">
        <v>1407</v>
      </c>
    </row>
    <row r="760" spans="3:16" ht="36.75" thickBot="1" x14ac:dyDescent="0.3">
      <c r="C760" s="27" t="s">
        <v>1509</v>
      </c>
      <c r="D760" s="28">
        <v>753</v>
      </c>
      <c r="E760" s="28" t="s">
        <v>1402</v>
      </c>
      <c r="F760" s="28" t="s">
        <v>661</v>
      </c>
      <c r="G760" s="28" t="s">
        <v>89</v>
      </c>
      <c r="H760" s="28" t="s">
        <v>90</v>
      </c>
      <c r="I760" s="28" t="s">
        <v>91</v>
      </c>
      <c r="J760" s="28" t="s">
        <v>1951</v>
      </c>
      <c r="K760" s="28" t="s">
        <v>1405</v>
      </c>
      <c r="L760" s="28" t="s">
        <v>1406</v>
      </c>
      <c r="M760" s="28">
        <v>3262.14</v>
      </c>
      <c r="N760" s="28" t="s">
        <v>1387</v>
      </c>
      <c r="O760" s="28">
        <v>0</v>
      </c>
      <c r="P760" s="29" t="s">
        <v>1407</v>
      </c>
    </row>
    <row r="761" spans="3:16" ht="36.75" thickBot="1" x14ac:dyDescent="0.3">
      <c r="C761" s="27" t="s">
        <v>1509</v>
      </c>
      <c r="D761" s="28">
        <v>754</v>
      </c>
      <c r="E761" s="28" t="s">
        <v>1402</v>
      </c>
      <c r="F761" s="28" t="s">
        <v>1083</v>
      </c>
      <c r="G761" s="28" t="s">
        <v>89</v>
      </c>
      <c r="H761" s="28" t="s">
        <v>90</v>
      </c>
      <c r="I761" s="28" t="s">
        <v>91</v>
      </c>
      <c r="J761" s="28" t="s">
        <v>1951</v>
      </c>
      <c r="K761" s="28" t="s">
        <v>1405</v>
      </c>
      <c r="L761" s="28" t="s">
        <v>1406</v>
      </c>
      <c r="M761" s="28">
        <v>56384.11</v>
      </c>
      <c r="N761" s="28" t="s">
        <v>1387</v>
      </c>
      <c r="O761" s="28">
        <v>0</v>
      </c>
      <c r="P761" s="29" t="s">
        <v>1407</v>
      </c>
    </row>
    <row r="762" spans="3:16" ht="36.75" thickBot="1" x14ac:dyDescent="0.3">
      <c r="C762" s="27" t="s">
        <v>1509</v>
      </c>
      <c r="D762" s="28">
        <v>755</v>
      </c>
      <c r="E762" s="28" t="s">
        <v>1402</v>
      </c>
      <c r="F762" s="28" t="s">
        <v>252</v>
      </c>
      <c r="G762" s="28" t="s">
        <v>89</v>
      </c>
      <c r="H762" s="28" t="s">
        <v>90</v>
      </c>
      <c r="I762" s="28" t="s">
        <v>91</v>
      </c>
      <c r="J762" s="28" t="s">
        <v>1951</v>
      </c>
      <c r="K762" s="28" t="s">
        <v>1405</v>
      </c>
      <c r="L762" s="28" t="s">
        <v>1406</v>
      </c>
      <c r="M762" s="28">
        <v>3411.78</v>
      </c>
      <c r="N762" s="28" t="s">
        <v>1387</v>
      </c>
      <c r="O762" s="28">
        <v>0</v>
      </c>
      <c r="P762" s="29" t="s">
        <v>1407</v>
      </c>
    </row>
    <row r="763" spans="3:16" ht="36.75" thickBot="1" x14ac:dyDescent="0.3">
      <c r="C763" s="27" t="s">
        <v>1509</v>
      </c>
      <c r="D763" s="28">
        <v>756</v>
      </c>
      <c r="E763" s="28" t="s">
        <v>1402</v>
      </c>
      <c r="F763" s="28" t="s">
        <v>654</v>
      </c>
      <c r="G763" s="28" t="s">
        <v>89</v>
      </c>
      <c r="H763" s="28" t="s">
        <v>90</v>
      </c>
      <c r="I763" s="28" t="s">
        <v>91</v>
      </c>
      <c r="J763" s="28" t="s">
        <v>1951</v>
      </c>
      <c r="K763" s="28" t="s">
        <v>1405</v>
      </c>
      <c r="L763" s="28" t="s">
        <v>1406</v>
      </c>
      <c r="M763" s="28">
        <v>18270.97</v>
      </c>
      <c r="N763" s="28" t="s">
        <v>1387</v>
      </c>
      <c r="O763" s="28">
        <v>0</v>
      </c>
      <c r="P763" s="29" t="s">
        <v>1407</v>
      </c>
    </row>
    <row r="764" spans="3:16" ht="36.75" thickBot="1" x14ac:dyDescent="0.3">
      <c r="C764" s="27" t="s">
        <v>1509</v>
      </c>
      <c r="D764" s="28">
        <v>757</v>
      </c>
      <c r="E764" s="28" t="s">
        <v>1402</v>
      </c>
      <c r="F764" s="28" t="s">
        <v>663</v>
      </c>
      <c r="G764" s="28" t="s">
        <v>89</v>
      </c>
      <c r="H764" s="28" t="s">
        <v>90</v>
      </c>
      <c r="I764" s="28" t="s">
        <v>91</v>
      </c>
      <c r="J764" s="28" t="s">
        <v>1951</v>
      </c>
      <c r="K764" s="28" t="s">
        <v>1405</v>
      </c>
      <c r="L764" s="28" t="s">
        <v>1406</v>
      </c>
      <c r="M764" s="28">
        <v>4159.97</v>
      </c>
      <c r="N764" s="28" t="s">
        <v>1387</v>
      </c>
      <c r="O764" s="28">
        <v>0</v>
      </c>
      <c r="P764" s="29" t="s">
        <v>1407</v>
      </c>
    </row>
    <row r="765" spans="3:16" ht="36.75" thickBot="1" x14ac:dyDescent="0.3">
      <c r="C765" s="27" t="s">
        <v>1509</v>
      </c>
      <c r="D765" s="28">
        <v>758</v>
      </c>
      <c r="E765" s="28" t="s">
        <v>1402</v>
      </c>
      <c r="F765" s="28" t="s">
        <v>405</v>
      </c>
      <c r="G765" s="28" t="s">
        <v>89</v>
      </c>
      <c r="H765" s="28" t="s">
        <v>90</v>
      </c>
      <c r="I765" s="28" t="s">
        <v>91</v>
      </c>
      <c r="J765" s="28" t="s">
        <v>1951</v>
      </c>
      <c r="K765" s="28" t="s">
        <v>1405</v>
      </c>
      <c r="L765" s="28" t="s">
        <v>1406</v>
      </c>
      <c r="M765" s="28">
        <v>4309.6099999999997</v>
      </c>
      <c r="N765" s="28" t="s">
        <v>1387</v>
      </c>
      <c r="O765" s="28">
        <v>0</v>
      </c>
      <c r="P765" s="29" t="s">
        <v>1407</v>
      </c>
    </row>
    <row r="766" spans="3:16" ht="36.75" thickBot="1" x14ac:dyDescent="0.3">
      <c r="C766" s="27" t="s">
        <v>1509</v>
      </c>
      <c r="D766" s="28">
        <v>759</v>
      </c>
      <c r="E766" s="28" t="s">
        <v>1402</v>
      </c>
      <c r="F766" s="28" t="s">
        <v>1065</v>
      </c>
      <c r="G766" s="28" t="s">
        <v>89</v>
      </c>
      <c r="H766" s="28" t="s">
        <v>90</v>
      </c>
      <c r="I766" s="28" t="s">
        <v>91</v>
      </c>
      <c r="J766" s="28" t="s">
        <v>1951</v>
      </c>
      <c r="K766" s="28" t="s">
        <v>1405</v>
      </c>
      <c r="L766" s="28" t="s">
        <v>1406</v>
      </c>
      <c r="M766" s="28">
        <v>13183.23</v>
      </c>
      <c r="N766" s="28" t="s">
        <v>1387</v>
      </c>
      <c r="O766" s="28">
        <v>0</v>
      </c>
      <c r="P766" s="29" t="s">
        <v>1407</v>
      </c>
    </row>
    <row r="767" spans="3:16" ht="36.75" thickBot="1" x14ac:dyDescent="0.3">
      <c r="C767" s="27" t="s">
        <v>1509</v>
      </c>
      <c r="D767" s="28">
        <v>760</v>
      </c>
      <c r="E767" s="28" t="s">
        <v>1402</v>
      </c>
      <c r="F767" s="28" t="s">
        <v>665</v>
      </c>
      <c r="G767" s="28" t="s">
        <v>89</v>
      </c>
      <c r="H767" s="28" t="s">
        <v>90</v>
      </c>
      <c r="I767" s="28" t="s">
        <v>91</v>
      </c>
      <c r="J767" s="28" t="s">
        <v>1951</v>
      </c>
      <c r="K767" s="28" t="s">
        <v>1405</v>
      </c>
      <c r="L767" s="28" t="s">
        <v>1406</v>
      </c>
      <c r="M767" s="28">
        <v>10444.83</v>
      </c>
      <c r="N767" s="28" t="s">
        <v>1387</v>
      </c>
      <c r="O767" s="28">
        <v>0</v>
      </c>
      <c r="P767" s="29" t="s">
        <v>1407</v>
      </c>
    </row>
    <row r="768" spans="3:16" ht="36.75" thickBot="1" x14ac:dyDescent="0.3">
      <c r="C768" s="27" t="s">
        <v>1509</v>
      </c>
      <c r="D768" s="28">
        <v>761</v>
      </c>
      <c r="E768" s="28" t="s">
        <v>1402</v>
      </c>
      <c r="F768" s="28" t="s">
        <v>1089</v>
      </c>
      <c r="G768" s="28" t="s">
        <v>89</v>
      </c>
      <c r="H768" s="28" t="s">
        <v>90</v>
      </c>
      <c r="I768" s="28" t="s">
        <v>91</v>
      </c>
      <c r="J768" s="28" t="s">
        <v>1951</v>
      </c>
      <c r="K768" s="28" t="s">
        <v>1405</v>
      </c>
      <c r="L768" s="28" t="s">
        <v>1406</v>
      </c>
      <c r="M768" s="28">
        <v>8020.67</v>
      </c>
      <c r="N768" s="28" t="s">
        <v>1387</v>
      </c>
      <c r="O768" s="28">
        <v>0</v>
      </c>
      <c r="P768" s="29" t="s">
        <v>1407</v>
      </c>
    </row>
    <row r="769" spans="3:16" ht="36.75" thickBot="1" x14ac:dyDescent="0.3">
      <c r="C769" s="27" t="s">
        <v>1509</v>
      </c>
      <c r="D769" s="28">
        <v>762</v>
      </c>
      <c r="E769" s="28" t="s">
        <v>1402</v>
      </c>
      <c r="F769" s="28" t="s">
        <v>175</v>
      </c>
      <c r="G769" s="28" t="s">
        <v>89</v>
      </c>
      <c r="H769" s="28" t="s">
        <v>90</v>
      </c>
      <c r="I769" s="28" t="s">
        <v>91</v>
      </c>
      <c r="J769" s="28" t="s">
        <v>1951</v>
      </c>
      <c r="K769" s="28" t="s">
        <v>1405</v>
      </c>
      <c r="L769" s="28" t="s">
        <v>1406</v>
      </c>
      <c r="M769" s="28">
        <v>3411.78</v>
      </c>
      <c r="N769" s="28" t="s">
        <v>1387</v>
      </c>
      <c r="O769" s="28">
        <v>0</v>
      </c>
      <c r="P769" s="29" t="s">
        <v>1407</v>
      </c>
    </row>
    <row r="770" spans="3:16" ht="36.75" thickBot="1" x14ac:dyDescent="0.3">
      <c r="C770" s="27" t="s">
        <v>1509</v>
      </c>
      <c r="D770" s="28">
        <v>763</v>
      </c>
      <c r="E770" s="28" t="s">
        <v>1402</v>
      </c>
      <c r="F770" s="28" t="s">
        <v>251</v>
      </c>
      <c r="G770" s="28" t="s">
        <v>89</v>
      </c>
      <c r="H770" s="28" t="s">
        <v>90</v>
      </c>
      <c r="I770" s="28" t="s">
        <v>91</v>
      </c>
      <c r="J770" s="28" t="s">
        <v>1951</v>
      </c>
      <c r="K770" s="28" t="s">
        <v>1405</v>
      </c>
      <c r="L770" s="28" t="s">
        <v>1406</v>
      </c>
      <c r="M770" s="28">
        <v>3800.84</v>
      </c>
      <c r="N770" s="28" t="s">
        <v>1387</v>
      </c>
      <c r="O770" s="28">
        <v>0</v>
      </c>
      <c r="P770" s="29" t="s">
        <v>1407</v>
      </c>
    </row>
    <row r="771" spans="3:16" ht="36.75" thickBot="1" x14ac:dyDescent="0.3">
      <c r="C771" s="27" t="s">
        <v>1509</v>
      </c>
      <c r="D771" s="28">
        <v>764</v>
      </c>
      <c r="E771" s="28" t="s">
        <v>1402</v>
      </c>
      <c r="F771" s="28" t="s">
        <v>667</v>
      </c>
      <c r="G771" s="28" t="s">
        <v>89</v>
      </c>
      <c r="H771" s="28" t="s">
        <v>90</v>
      </c>
      <c r="I771" s="28" t="s">
        <v>91</v>
      </c>
      <c r="J771" s="28" t="s">
        <v>1951</v>
      </c>
      <c r="K771" s="28" t="s">
        <v>1405</v>
      </c>
      <c r="L771" s="28" t="s">
        <v>1406</v>
      </c>
      <c r="M771" s="28">
        <v>47764.89</v>
      </c>
      <c r="N771" s="28" t="s">
        <v>1387</v>
      </c>
      <c r="O771" s="28">
        <v>0</v>
      </c>
      <c r="P771" s="29" t="s">
        <v>1407</v>
      </c>
    </row>
    <row r="772" spans="3:16" ht="36.75" thickBot="1" x14ac:dyDescent="0.3">
      <c r="C772" s="27" t="s">
        <v>1509</v>
      </c>
      <c r="D772" s="28">
        <v>765</v>
      </c>
      <c r="E772" s="28" t="s">
        <v>1402</v>
      </c>
      <c r="F772" s="28" t="s">
        <v>1092</v>
      </c>
      <c r="G772" s="28" t="s">
        <v>89</v>
      </c>
      <c r="H772" s="28" t="s">
        <v>90</v>
      </c>
      <c r="I772" s="28" t="s">
        <v>91</v>
      </c>
      <c r="J772" s="28" t="s">
        <v>1951</v>
      </c>
      <c r="K772" s="28" t="s">
        <v>1405</v>
      </c>
      <c r="L772" s="28" t="s">
        <v>1406</v>
      </c>
      <c r="M772" s="28">
        <v>3112.5</v>
      </c>
      <c r="N772" s="28" t="s">
        <v>1387</v>
      </c>
      <c r="O772" s="28">
        <v>0</v>
      </c>
      <c r="P772" s="29" t="s">
        <v>1407</v>
      </c>
    </row>
    <row r="773" spans="3:16" ht="36.75" thickBot="1" x14ac:dyDescent="0.3">
      <c r="C773" s="27" t="s">
        <v>1509</v>
      </c>
      <c r="D773" s="28">
        <v>766</v>
      </c>
      <c r="E773" s="28" t="s">
        <v>1402</v>
      </c>
      <c r="F773" s="28" t="s">
        <v>407</v>
      </c>
      <c r="G773" s="28" t="s">
        <v>89</v>
      </c>
      <c r="H773" s="28" t="s">
        <v>90</v>
      </c>
      <c r="I773" s="28" t="s">
        <v>91</v>
      </c>
      <c r="J773" s="28" t="s">
        <v>1951</v>
      </c>
      <c r="K773" s="28" t="s">
        <v>1405</v>
      </c>
      <c r="L773" s="28" t="s">
        <v>1406</v>
      </c>
      <c r="M773" s="28">
        <v>3336.96</v>
      </c>
      <c r="N773" s="28" t="s">
        <v>1387</v>
      </c>
      <c r="O773" s="28">
        <v>0</v>
      </c>
      <c r="P773" s="29" t="s">
        <v>1407</v>
      </c>
    </row>
    <row r="774" spans="3:16" ht="36.75" thickBot="1" x14ac:dyDescent="0.3">
      <c r="C774" s="27" t="s">
        <v>1509</v>
      </c>
      <c r="D774" s="28">
        <v>767</v>
      </c>
      <c r="E774" s="28" t="s">
        <v>1402</v>
      </c>
      <c r="F774" s="28" t="s">
        <v>571</v>
      </c>
      <c r="G774" s="28" t="s">
        <v>89</v>
      </c>
      <c r="H774" s="28" t="s">
        <v>90</v>
      </c>
      <c r="I774" s="28" t="s">
        <v>91</v>
      </c>
      <c r="J774" s="28" t="s">
        <v>1951</v>
      </c>
      <c r="K774" s="28" t="s">
        <v>1405</v>
      </c>
      <c r="L774" s="28" t="s">
        <v>1406</v>
      </c>
      <c r="M774" s="28">
        <v>4758.53</v>
      </c>
      <c r="N774" s="28" t="s">
        <v>1387</v>
      </c>
      <c r="O774" s="28">
        <v>0</v>
      </c>
      <c r="P774" s="29" t="s">
        <v>1407</v>
      </c>
    </row>
    <row r="775" spans="3:16" ht="36.75" thickBot="1" x14ac:dyDescent="0.3">
      <c r="C775" s="27" t="s">
        <v>1509</v>
      </c>
      <c r="D775" s="28">
        <v>768</v>
      </c>
      <c r="E775" s="28" t="s">
        <v>1402</v>
      </c>
      <c r="F775" s="28" t="s">
        <v>1085</v>
      </c>
      <c r="G775" s="28" t="s">
        <v>89</v>
      </c>
      <c r="H775" s="28" t="s">
        <v>90</v>
      </c>
      <c r="I775" s="28" t="s">
        <v>91</v>
      </c>
      <c r="J775" s="28" t="s">
        <v>1951</v>
      </c>
      <c r="K775" s="28" t="s">
        <v>1405</v>
      </c>
      <c r="L775" s="28" t="s">
        <v>1406</v>
      </c>
      <c r="M775" s="28">
        <v>3770.91</v>
      </c>
      <c r="N775" s="28" t="s">
        <v>1387</v>
      </c>
      <c r="O775" s="28">
        <v>0</v>
      </c>
      <c r="P775" s="29" t="s">
        <v>1407</v>
      </c>
    </row>
    <row r="776" spans="3:16" ht="36.75" thickBot="1" x14ac:dyDescent="0.3">
      <c r="C776" s="27" t="s">
        <v>1509</v>
      </c>
      <c r="D776" s="28">
        <v>769</v>
      </c>
      <c r="E776" s="28" t="s">
        <v>1402</v>
      </c>
      <c r="F776" s="28" t="s">
        <v>1094</v>
      </c>
      <c r="G776" s="28" t="s">
        <v>89</v>
      </c>
      <c r="H776" s="28" t="s">
        <v>90</v>
      </c>
      <c r="I776" s="28" t="s">
        <v>91</v>
      </c>
      <c r="J776" s="28" t="s">
        <v>1951</v>
      </c>
      <c r="K776" s="28" t="s">
        <v>1405</v>
      </c>
      <c r="L776" s="28" t="s">
        <v>1406</v>
      </c>
      <c r="M776" s="28">
        <v>4683.71</v>
      </c>
      <c r="N776" s="28" t="s">
        <v>1387</v>
      </c>
      <c r="O776" s="28">
        <v>0</v>
      </c>
      <c r="P776" s="29" t="s">
        <v>1407</v>
      </c>
    </row>
    <row r="777" spans="3:16" ht="36.75" thickBot="1" x14ac:dyDescent="0.3">
      <c r="C777" s="27" t="s">
        <v>1509</v>
      </c>
      <c r="D777" s="28">
        <v>770</v>
      </c>
      <c r="E777" s="28" t="s">
        <v>1402</v>
      </c>
      <c r="F777" s="28" t="s">
        <v>1098</v>
      </c>
      <c r="G777" s="28" t="s">
        <v>89</v>
      </c>
      <c r="H777" s="28" t="s">
        <v>90</v>
      </c>
      <c r="I777" s="28" t="s">
        <v>91</v>
      </c>
      <c r="J777" s="28" t="s">
        <v>1951</v>
      </c>
      <c r="K777" s="28" t="s">
        <v>1405</v>
      </c>
      <c r="L777" s="28" t="s">
        <v>1406</v>
      </c>
      <c r="M777" s="28">
        <v>191059.55</v>
      </c>
      <c r="N777" s="28" t="s">
        <v>1387</v>
      </c>
      <c r="O777" s="28">
        <v>0</v>
      </c>
      <c r="P777" s="29" t="s">
        <v>1407</v>
      </c>
    </row>
    <row r="778" spans="3:16" ht="36.75" thickBot="1" x14ac:dyDescent="0.3">
      <c r="C778" s="27" t="s">
        <v>1509</v>
      </c>
      <c r="D778" s="28">
        <v>771</v>
      </c>
      <c r="E778" s="28" t="s">
        <v>1402</v>
      </c>
      <c r="F778" s="28" t="s">
        <v>662</v>
      </c>
      <c r="G778" s="28" t="s">
        <v>89</v>
      </c>
      <c r="H778" s="28" t="s">
        <v>90</v>
      </c>
      <c r="I778" s="28" t="s">
        <v>91</v>
      </c>
      <c r="J778" s="28" t="s">
        <v>1951</v>
      </c>
      <c r="K778" s="28" t="s">
        <v>1405</v>
      </c>
      <c r="L778" s="28" t="s">
        <v>1406</v>
      </c>
      <c r="M778" s="28">
        <v>95529.77</v>
      </c>
      <c r="N778" s="28" t="s">
        <v>1387</v>
      </c>
      <c r="O778" s="28">
        <v>0</v>
      </c>
      <c r="P778" s="29" t="s">
        <v>1407</v>
      </c>
    </row>
    <row r="779" spans="3:16" ht="36.75" thickBot="1" x14ac:dyDescent="0.3">
      <c r="C779" s="27" t="s">
        <v>1509</v>
      </c>
      <c r="D779" s="28">
        <v>772</v>
      </c>
      <c r="E779" s="28" t="s">
        <v>1402</v>
      </c>
      <c r="F779" s="28" t="s">
        <v>1100</v>
      </c>
      <c r="G779" s="28" t="s">
        <v>89</v>
      </c>
      <c r="H779" s="28" t="s">
        <v>90</v>
      </c>
      <c r="I779" s="28" t="s">
        <v>91</v>
      </c>
      <c r="J779" s="28" t="s">
        <v>1951</v>
      </c>
      <c r="K779" s="28" t="s">
        <v>1405</v>
      </c>
      <c r="L779" s="28" t="s">
        <v>1406</v>
      </c>
      <c r="M779" s="28">
        <v>4908.17</v>
      </c>
      <c r="N779" s="28" t="s">
        <v>1387</v>
      </c>
      <c r="O779" s="28">
        <v>0</v>
      </c>
      <c r="P779" s="29" t="s">
        <v>1407</v>
      </c>
    </row>
    <row r="780" spans="3:16" ht="36.75" thickBot="1" x14ac:dyDescent="0.3">
      <c r="C780" s="27" t="s">
        <v>1509</v>
      </c>
      <c r="D780" s="28">
        <v>773</v>
      </c>
      <c r="E780" s="28" t="s">
        <v>1402</v>
      </c>
      <c r="F780" s="28" t="s">
        <v>1096</v>
      </c>
      <c r="G780" s="28" t="s">
        <v>89</v>
      </c>
      <c r="H780" s="28" t="s">
        <v>90</v>
      </c>
      <c r="I780" s="28" t="s">
        <v>91</v>
      </c>
      <c r="J780" s="28" t="s">
        <v>1951</v>
      </c>
      <c r="K780" s="28" t="s">
        <v>1405</v>
      </c>
      <c r="L780" s="28" t="s">
        <v>1406</v>
      </c>
      <c r="M780" s="28">
        <v>3561.42</v>
      </c>
      <c r="N780" s="28" t="s">
        <v>1387</v>
      </c>
      <c r="O780" s="28">
        <v>0</v>
      </c>
      <c r="P780" s="29" t="s">
        <v>1407</v>
      </c>
    </row>
    <row r="781" spans="3:16" ht="36.75" thickBot="1" x14ac:dyDescent="0.3">
      <c r="C781" s="27" t="s">
        <v>1509</v>
      </c>
      <c r="D781" s="28">
        <v>774</v>
      </c>
      <c r="E781" s="28" t="s">
        <v>1402</v>
      </c>
      <c r="F781" s="28" t="s">
        <v>1102</v>
      </c>
      <c r="G781" s="28" t="s">
        <v>89</v>
      </c>
      <c r="H781" s="28" t="s">
        <v>90</v>
      </c>
      <c r="I781" s="28" t="s">
        <v>91</v>
      </c>
      <c r="J781" s="28" t="s">
        <v>1951</v>
      </c>
      <c r="K781" s="28" t="s">
        <v>1405</v>
      </c>
      <c r="L781" s="28" t="s">
        <v>1406</v>
      </c>
      <c r="M781" s="28">
        <v>5581.55</v>
      </c>
      <c r="N781" s="28" t="s">
        <v>1387</v>
      </c>
      <c r="O781" s="28">
        <v>0</v>
      </c>
      <c r="P781" s="29" t="s">
        <v>1407</v>
      </c>
    </row>
    <row r="782" spans="3:16" ht="36.75" thickBot="1" x14ac:dyDescent="0.3">
      <c r="C782" s="27" t="s">
        <v>1509</v>
      </c>
      <c r="D782" s="28">
        <v>775</v>
      </c>
      <c r="E782" s="28" t="s">
        <v>1402</v>
      </c>
      <c r="F782" s="28" t="s">
        <v>1077</v>
      </c>
      <c r="G782" s="28" t="s">
        <v>89</v>
      </c>
      <c r="H782" s="28" t="s">
        <v>90</v>
      </c>
      <c r="I782" s="28" t="s">
        <v>91</v>
      </c>
      <c r="J782" s="28" t="s">
        <v>1951</v>
      </c>
      <c r="K782" s="28" t="s">
        <v>1405</v>
      </c>
      <c r="L782" s="28" t="s">
        <v>1406</v>
      </c>
      <c r="M782" s="28">
        <v>10609.43</v>
      </c>
      <c r="N782" s="28" t="s">
        <v>1387</v>
      </c>
      <c r="O782" s="28">
        <v>0</v>
      </c>
      <c r="P782" s="29" t="s">
        <v>1407</v>
      </c>
    </row>
    <row r="783" spans="3:16" ht="36.75" thickBot="1" x14ac:dyDescent="0.3">
      <c r="C783" s="27" t="s">
        <v>1509</v>
      </c>
      <c r="D783" s="28">
        <v>776</v>
      </c>
      <c r="E783" s="28" t="s">
        <v>1402</v>
      </c>
      <c r="F783" s="28" t="s">
        <v>1104</v>
      </c>
      <c r="G783" s="28" t="s">
        <v>89</v>
      </c>
      <c r="H783" s="28" t="s">
        <v>90</v>
      </c>
      <c r="I783" s="28" t="s">
        <v>91</v>
      </c>
      <c r="J783" s="28" t="s">
        <v>1951</v>
      </c>
      <c r="K783" s="28" t="s">
        <v>1405</v>
      </c>
      <c r="L783" s="28" t="s">
        <v>1406</v>
      </c>
      <c r="M783" s="28">
        <v>20246.21</v>
      </c>
      <c r="N783" s="28" t="s">
        <v>1387</v>
      </c>
      <c r="O783" s="28">
        <v>0</v>
      </c>
      <c r="P783" s="29" t="s">
        <v>1407</v>
      </c>
    </row>
    <row r="784" spans="3:16" ht="36.75" thickBot="1" x14ac:dyDescent="0.3">
      <c r="C784" s="27" t="s">
        <v>1509</v>
      </c>
      <c r="D784" s="28">
        <v>777</v>
      </c>
      <c r="E784" s="28" t="s">
        <v>1402</v>
      </c>
      <c r="F784" s="28" t="s">
        <v>1099</v>
      </c>
      <c r="G784" s="28" t="s">
        <v>89</v>
      </c>
      <c r="H784" s="28" t="s">
        <v>90</v>
      </c>
      <c r="I784" s="28" t="s">
        <v>91</v>
      </c>
      <c r="J784" s="28" t="s">
        <v>1951</v>
      </c>
      <c r="K784" s="28" t="s">
        <v>1405</v>
      </c>
      <c r="L784" s="28" t="s">
        <v>1406</v>
      </c>
      <c r="M784" s="28">
        <v>32396.92</v>
      </c>
      <c r="N784" s="28" t="s">
        <v>1387</v>
      </c>
      <c r="O784" s="28">
        <v>0</v>
      </c>
      <c r="P784" s="29" t="s">
        <v>1407</v>
      </c>
    </row>
    <row r="785" spans="3:16" ht="36.75" thickBot="1" x14ac:dyDescent="0.3">
      <c r="C785" s="27" t="s">
        <v>1509</v>
      </c>
      <c r="D785" s="28">
        <v>778</v>
      </c>
      <c r="E785" s="28" t="s">
        <v>1402</v>
      </c>
      <c r="F785" s="28" t="s">
        <v>1106</v>
      </c>
      <c r="G785" s="28" t="s">
        <v>89</v>
      </c>
      <c r="H785" s="28" t="s">
        <v>90</v>
      </c>
      <c r="I785" s="28" t="s">
        <v>91</v>
      </c>
      <c r="J785" s="28" t="s">
        <v>1951</v>
      </c>
      <c r="K785" s="28" t="s">
        <v>1405</v>
      </c>
      <c r="L785" s="28" t="s">
        <v>1406</v>
      </c>
      <c r="M785" s="28">
        <v>32396.92</v>
      </c>
      <c r="N785" s="28" t="s">
        <v>1387</v>
      </c>
      <c r="O785" s="28">
        <v>0</v>
      </c>
      <c r="P785" s="29" t="s">
        <v>1407</v>
      </c>
    </row>
    <row r="786" spans="3:16" ht="36.75" thickBot="1" x14ac:dyDescent="0.3">
      <c r="C786" s="27" t="s">
        <v>1509</v>
      </c>
      <c r="D786" s="28">
        <v>779</v>
      </c>
      <c r="E786" s="28" t="s">
        <v>1402</v>
      </c>
      <c r="F786" s="28" t="s">
        <v>406</v>
      </c>
      <c r="G786" s="28" t="s">
        <v>89</v>
      </c>
      <c r="H786" s="28" t="s">
        <v>90</v>
      </c>
      <c r="I786" s="28" t="s">
        <v>91</v>
      </c>
      <c r="J786" s="28" t="s">
        <v>1951</v>
      </c>
      <c r="K786" s="28" t="s">
        <v>1405</v>
      </c>
      <c r="L786" s="28" t="s">
        <v>1406</v>
      </c>
      <c r="M786" s="28">
        <v>32396.92</v>
      </c>
      <c r="N786" s="28" t="s">
        <v>1387</v>
      </c>
      <c r="O786" s="28">
        <v>0</v>
      </c>
      <c r="P786" s="29" t="s">
        <v>1407</v>
      </c>
    </row>
    <row r="787" spans="3:16" ht="36.75" thickBot="1" x14ac:dyDescent="0.3">
      <c r="C787" s="27" t="s">
        <v>1509</v>
      </c>
      <c r="D787" s="28">
        <v>780</v>
      </c>
      <c r="E787" s="28" t="s">
        <v>1402</v>
      </c>
      <c r="F787" s="28" t="s">
        <v>1108</v>
      </c>
      <c r="G787" s="28" t="s">
        <v>89</v>
      </c>
      <c r="H787" s="28" t="s">
        <v>90</v>
      </c>
      <c r="I787" s="28" t="s">
        <v>91</v>
      </c>
      <c r="J787" s="28" t="s">
        <v>1951</v>
      </c>
      <c r="K787" s="28" t="s">
        <v>1405</v>
      </c>
      <c r="L787" s="28" t="s">
        <v>1406</v>
      </c>
      <c r="M787" s="28">
        <v>20799.87</v>
      </c>
      <c r="N787" s="28" t="s">
        <v>1387</v>
      </c>
      <c r="O787" s="28">
        <v>0</v>
      </c>
      <c r="P787" s="29" t="s">
        <v>1407</v>
      </c>
    </row>
    <row r="788" spans="3:16" ht="36.75" thickBot="1" x14ac:dyDescent="0.3">
      <c r="C788" s="27" t="s">
        <v>1509</v>
      </c>
      <c r="D788" s="28">
        <v>781</v>
      </c>
      <c r="E788" s="28" t="s">
        <v>1402</v>
      </c>
      <c r="F788" s="28" t="s">
        <v>1103</v>
      </c>
      <c r="G788" s="28" t="s">
        <v>89</v>
      </c>
      <c r="H788" s="28" t="s">
        <v>90</v>
      </c>
      <c r="I788" s="28" t="s">
        <v>91</v>
      </c>
      <c r="J788" s="28" t="s">
        <v>1951</v>
      </c>
      <c r="K788" s="28" t="s">
        <v>1405</v>
      </c>
      <c r="L788" s="28" t="s">
        <v>1406</v>
      </c>
      <c r="M788" s="28">
        <v>3785.88</v>
      </c>
      <c r="N788" s="28" t="s">
        <v>1387</v>
      </c>
      <c r="O788" s="28">
        <v>0</v>
      </c>
      <c r="P788" s="29" t="s">
        <v>1407</v>
      </c>
    </row>
    <row r="789" spans="3:16" ht="36.75" thickBot="1" x14ac:dyDescent="0.3">
      <c r="C789" s="27" t="s">
        <v>1509</v>
      </c>
      <c r="D789" s="28">
        <v>782</v>
      </c>
      <c r="E789" s="28" t="s">
        <v>1402</v>
      </c>
      <c r="F789" s="28" t="s">
        <v>1109</v>
      </c>
      <c r="G789" s="28" t="s">
        <v>89</v>
      </c>
      <c r="H789" s="28" t="s">
        <v>90</v>
      </c>
      <c r="I789" s="28" t="s">
        <v>91</v>
      </c>
      <c r="J789" s="28" t="s">
        <v>1951</v>
      </c>
      <c r="K789" s="28" t="s">
        <v>1405</v>
      </c>
      <c r="L789" s="28" t="s">
        <v>1406</v>
      </c>
      <c r="M789" s="28">
        <v>16220.91</v>
      </c>
      <c r="N789" s="28" t="s">
        <v>1387</v>
      </c>
      <c r="O789" s="28">
        <v>0</v>
      </c>
      <c r="P789" s="29" t="s">
        <v>1407</v>
      </c>
    </row>
    <row r="790" spans="3:16" ht="36.75" thickBot="1" x14ac:dyDescent="0.3">
      <c r="C790" s="27" t="s">
        <v>1509</v>
      </c>
      <c r="D790" s="28">
        <v>783</v>
      </c>
      <c r="E790" s="28" t="s">
        <v>1402</v>
      </c>
      <c r="F790" s="28" t="s">
        <v>248</v>
      </c>
      <c r="G790" s="28" t="s">
        <v>89</v>
      </c>
      <c r="H790" s="28" t="s">
        <v>90</v>
      </c>
      <c r="I790" s="28" t="s">
        <v>91</v>
      </c>
      <c r="J790" s="28" t="s">
        <v>1951</v>
      </c>
      <c r="K790" s="28" t="s">
        <v>1405</v>
      </c>
      <c r="L790" s="28" t="s">
        <v>1406</v>
      </c>
      <c r="M790" s="28">
        <v>5132.63</v>
      </c>
      <c r="N790" s="28" t="s">
        <v>1387</v>
      </c>
      <c r="O790" s="28">
        <v>0</v>
      </c>
      <c r="P790" s="29" t="s">
        <v>1407</v>
      </c>
    </row>
    <row r="791" spans="3:16" ht="36.75" thickBot="1" x14ac:dyDescent="0.3">
      <c r="C791" s="27" t="s">
        <v>1509</v>
      </c>
      <c r="D791" s="28">
        <v>784</v>
      </c>
      <c r="E791" s="28" t="s">
        <v>1402</v>
      </c>
      <c r="F791" s="28" t="s">
        <v>1111</v>
      </c>
      <c r="G791" s="28" t="s">
        <v>89</v>
      </c>
      <c r="H791" s="28" t="s">
        <v>90</v>
      </c>
      <c r="I791" s="28" t="s">
        <v>91</v>
      </c>
      <c r="J791" s="28" t="s">
        <v>1951</v>
      </c>
      <c r="K791" s="28" t="s">
        <v>1405</v>
      </c>
      <c r="L791" s="28" t="s">
        <v>1406</v>
      </c>
      <c r="M791" s="28">
        <v>3411.78</v>
      </c>
      <c r="N791" s="28" t="s">
        <v>1387</v>
      </c>
      <c r="O791" s="28">
        <v>0</v>
      </c>
      <c r="P791" s="29" t="s">
        <v>1407</v>
      </c>
    </row>
    <row r="792" spans="3:16" ht="36.75" thickBot="1" x14ac:dyDescent="0.3">
      <c r="C792" s="27" t="s">
        <v>1509</v>
      </c>
      <c r="D792" s="28">
        <v>785</v>
      </c>
      <c r="E792" s="28" t="s">
        <v>1402</v>
      </c>
      <c r="F792" s="28" t="s">
        <v>1107</v>
      </c>
      <c r="G792" s="28" t="s">
        <v>89</v>
      </c>
      <c r="H792" s="28" t="s">
        <v>90</v>
      </c>
      <c r="I792" s="28" t="s">
        <v>91</v>
      </c>
      <c r="J792" s="28" t="s">
        <v>1951</v>
      </c>
      <c r="K792" s="28" t="s">
        <v>1405</v>
      </c>
      <c r="L792" s="28" t="s">
        <v>1406</v>
      </c>
      <c r="M792" s="28">
        <v>3112.5</v>
      </c>
      <c r="N792" s="28" t="s">
        <v>1387</v>
      </c>
      <c r="O792" s="28">
        <v>0</v>
      </c>
      <c r="P792" s="29" t="s">
        <v>1407</v>
      </c>
    </row>
    <row r="793" spans="3:16" ht="36.75" thickBot="1" x14ac:dyDescent="0.3">
      <c r="C793" s="27" t="s">
        <v>1509</v>
      </c>
      <c r="D793" s="28">
        <v>786</v>
      </c>
      <c r="E793" s="28" t="s">
        <v>1402</v>
      </c>
      <c r="F793" s="28" t="s">
        <v>1113</v>
      </c>
      <c r="G793" s="28" t="s">
        <v>89</v>
      </c>
      <c r="H793" s="28" t="s">
        <v>90</v>
      </c>
      <c r="I793" s="28" t="s">
        <v>91</v>
      </c>
      <c r="J793" s="28" t="s">
        <v>1951</v>
      </c>
      <c r="K793" s="28" t="s">
        <v>1405</v>
      </c>
      <c r="L793" s="28" t="s">
        <v>1406</v>
      </c>
      <c r="M793" s="28">
        <v>4234.79</v>
      </c>
      <c r="N793" s="28" t="s">
        <v>1387</v>
      </c>
      <c r="O793" s="28">
        <v>0</v>
      </c>
      <c r="P793" s="29" t="s">
        <v>1407</v>
      </c>
    </row>
    <row r="794" spans="3:16" ht="36.75" thickBot="1" x14ac:dyDescent="0.3">
      <c r="C794" s="27" t="s">
        <v>1509</v>
      </c>
      <c r="D794" s="28">
        <v>787</v>
      </c>
      <c r="E794" s="28" t="s">
        <v>1402</v>
      </c>
      <c r="F794" s="28" t="s">
        <v>670</v>
      </c>
      <c r="G794" s="28" t="s">
        <v>89</v>
      </c>
      <c r="H794" s="28" t="s">
        <v>90</v>
      </c>
      <c r="I794" s="28" t="s">
        <v>91</v>
      </c>
      <c r="J794" s="28" t="s">
        <v>1951</v>
      </c>
      <c r="K794" s="28" t="s">
        <v>1405</v>
      </c>
      <c r="L794" s="28" t="s">
        <v>1406</v>
      </c>
      <c r="M794" s="28">
        <v>8574.34</v>
      </c>
      <c r="N794" s="28" t="s">
        <v>1387</v>
      </c>
      <c r="O794" s="28">
        <v>0</v>
      </c>
      <c r="P794" s="29" t="s">
        <v>1407</v>
      </c>
    </row>
    <row r="795" spans="3:16" ht="36.75" thickBot="1" x14ac:dyDescent="0.3">
      <c r="C795" s="27" t="s">
        <v>1509</v>
      </c>
      <c r="D795" s="28">
        <v>788</v>
      </c>
      <c r="E795" s="28" t="s">
        <v>1402</v>
      </c>
      <c r="F795" s="28" t="s">
        <v>1110</v>
      </c>
      <c r="G795" s="28" t="s">
        <v>89</v>
      </c>
      <c r="H795" s="28" t="s">
        <v>90</v>
      </c>
      <c r="I795" s="28" t="s">
        <v>91</v>
      </c>
      <c r="J795" s="28" t="s">
        <v>1951</v>
      </c>
      <c r="K795" s="28" t="s">
        <v>1405</v>
      </c>
      <c r="L795" s="28" t="s">
        <v>1406</v>
      </c>
      <c r="M795" s="28">
        <v>5820.97</v>
      </c>
      <c r="N795" s="28" t="s">
        <v>1387</v>
      </c>
      <c r="O795" s="28">
        <v>0</v>
      </c>
      <c r="P795" s="29" t="s">
        <v>1407</v>
      </c>
    </row>
    <row r="796" spans="3:16" ht="36.75" thickBot="1" x14ac:dyDescent="0.3">
      <c r="C796" s="27" t="s">
        <v>1509</v>
      </c>
      <c r="D796" s="28">
        <v>789</v>
      </c>
      <c r="E796" s="28" t="s">
        <v>1402</v>
      </c>
      <c r="F796" s="28" t="s">
        <v>1117</v>
      </c>
      <c r="G796" s="28" t="s">
        <v>89</v>
      </c>
      <c r="H796" s="28" t="s">
        <v>90</v>
      </c>
      <c r="I796" s="28" t="s">
        <v>91</v>
      </c>
      <c r="J796" s="28" t="s">
        <v>1951</v>
      </c>
      <c r="K796" s="28" t="s">
        <v>1405</v>
      </c>
      <c r="L796" s="28" t="s">
        <v>1406</v>
      </c>
      <c r="M796" s="28">
        <v>6569.17</v>
      </c>
      <c r="N796" s="28" t="s">
        <v>1387</v>
      </c>
      <c r="O796" s="28">
        <v>0</v>
      </c>
      <c r="P796" s="29" t="s">
        <v>1407</v>
      </c>
    </row>
    <row r="797" spans="3:16" ht="36.75" thickBot="1" x14ac:dyDescent="0.3">
      <c r="C797" s="27" t="s">
        <v>1509</v>
      </c>
      <c r="D797" s="28">
        <v>790</v>
      </c>
      <c r="E797" s="28" t="s">
        <v>1402</v>
      </c>
      <c r="F797" s="28" t="s">
        <v>1088</v>
      </c>
      <c r="G797" s="28" t="s">
        <v>89</v>
      </c>
      <c r="H797" s="28" t="s">
        <v>90</v>
      </c>
      <c r="I797" s="28" t="s">
        <v>91</v>
      </c>
      <c r="J797" s="28" t="s">
        <v>1951</v>
      </c>
      <c r="K797" s="28" t="s">
        <v>1405</v>
      </c>
      <c r="L797" s="28" t="s">
        <v>1406</v>
      </c>
      <c r="M797" s="28">
        <v>11357.63</v>
      </c>
      <c r="N797" s="28" t="s">
        <v>1387</v>
      </c>
      <c r="O797" s="28">
        <v>0</v>
      </c>
      <c r="P797" s="29" t="s">
        <v>1407</v>
      </c>
    </row>
    <row r="798" spans="3:16" ht="36.75" thickBot="1" x14ac:dyDescent="0.3">
      <c r="C798" s="27" t="s">
        <v>1509</v>
      </c>
      <c r="D798" s="28">
        <v>791</v>
      </c>
      <c r="E798" s="28" t="s">
        <v>1402</v>
      </c>
      <c r="F798" s="28" t="s">
        <v>1119</v>
      </c>
      <c r="G798" s="28" t="s">
        <v>89</v>
      </c>
      <c r="H798" s="28" t="s">
        <v>90</v>
      </c>
      <c r="I798" s="28" t="s">
        <v>91</v>
      </c>
      <c r="J798" s="28" t="s">
        <v>1951</v>
      </c>
      <c r="K798" s="28" t="s">
        <v>1405</v>
      </c>
      <c r="L798" s="28" t="s">
        <v>1406</v>
      </c>
      <c r="M798" s="28">
        <v>5282.27</v>
      </c>
      <c r="N798" s="28" t="s">
        <v>1387</v>
      </c>
      <c r="O798" s="28">
        <v>0</v>
      </c>
      <c r="P798" s="29" t="s">
        <v>1407</v>
      </c>
    </row>
    <row r="799" spans="3:16" ht="36.75" thickBot="1" x14ac:dyDescent="0.3">
      <c r="C799" s="27" t="s">
        <v>1509</v>
      </c>
      <c r="D799" s="28">
        <v>792</v>
      </c>
      <c r="E799" s="28" t="s">
        <v>1402</v>
      </c>
      <c r="F799" s="28" t="s">
        <v>1114</v>
      </c>
      <c r="G799" s="28" t="s">
        <v>89</v>
      </c>
      <c r="H799" s="28" t="s">
        <v>90</v>
      </c>
      <c r="I799" s="28" t="s">
        <v>91</v>
      </c>
      <c r="J799" s="28" t="s">
        <v>1951</v>
      </c>
      <c r="K799" s="28" t="s">
        <v>1405</v>
      </c>
      <c r="L799" s="28" t="s">
        <v>1406</v>
      </c>
      <c r="M799" s="28">
        <v>6254.93</v>
      </c>
      <c r="N799" s="28" t="s">
        <v>1387</v>
      </c>
      <c r="O799" s="28">
        <v>0</v>
      </c>
      <c r="P799" s="29" t="s">
        <v>1407</v>
      </c>
    </row>
    <row r="800" spans="3:16" ht="36.75" thickBot="1" x14ac:dyDescent="0.3">
      <c r="C800" s="27" t="s">
        <v>1509</v>
      </c>
      <c r="D800" s="28">
        <v>793</v>
      </c>
      <c r="E800" s="28" t="s">
        <v>1402</v>
      </c>
      <c r="F800" s="28" t="s">
        <v>1121</v>
      </c>
      <c r="G800" s="28" t="s">
        <v>89</v>
      </c>
      <c r="H800" s="28" t="s">
        <v>90</v>
      </c>
      <c r="I800" s="28" t="s">
        <v>91</v>
      </c>
      <c r="J800" s="28" t="s">
        <v>1951</v>
      </c>
      <c r="K800" s="28" t="s">
        <v>1405</v>
      </c>
      <c r="L800" s="28" t="s">
        <v>1406</v>
      </c>
      <c r="M800" s="28">
        <v>7751.32</v>
      </c>
      <c r="N800" s="28" t="s">
        <v>1387</v>
      </c>
      <c r="O800" s="28">
        <v>0</v>
      </c>
      <c r="P800" s="29" t="s">
        <v>1407</v>
      </c>
    </row>
    <row r="801" spans="3:16" ht="36.75" thickBot="1" x14ac:dyDescent="0.3">
      <c r="C801" s="27" t="s">
        <v>1509</v>
      </c>
      <c r="D801" s="28">
        <v>794</v>
      </c>
      <c r="E801" s="28" t="s">
        <v>1402</v>
      </c>
      <c r="F801" s="28" t="s">
        <v>176</v>
      </c>
      <c r="G801" s="28" t="s">
        <v>89</v>
      </c>
      <c r="H801" s="28" t="s">
        <v>90</v>
      </c>
      <c r="I801" s="28" t="s">
        <v>91</v>
      </c>
      <c r="J801" s="28" t="s">
        <v>1951</v>
      </c>
      <c r="K801" s="28" t="s">
        <v>1405</v>
      </c>
      <c r="L801" s="28" t="s">
        <v>1406</v>
      </c>
      <c r="M801" s="28">
        <v>4908.17</v>
      </c>
      <c r="N801" s="28" t="s">
        <v>1387</v>
      </c>
      <c r="O801" s="28">
        <v>0</v>
      </c>
      <c r="P801" s="29" t="s">
        <v>1407</v>
      </c>
    </row>
    <row r="802" spans="3:16" ht="36.75" thickBot="1" x14ac:dyDescent="0.3">
      <c r="C802" s="27" t="s">
        <v>1509</v>
      </c>
      <c r="D802" s="28">
        <v>795</v>
      </c>
      <c r="E802" s="28" t="s">
        <v>1402</v>
      </c>
      <c r="F802" s="28" t="s">
        <v>1123</v>
      </c>
      <c r="G802" s="28" t="s">
        <v>89</v>
      </c>
      <c r="H802" s="28" t="s">
        <v>90</v>
      </c>
      <c r="I802" s="28" t="s">
        <v>91</v>
      </c>
      <c r="J802" s="28" t="s">
        <v>1951</v>
      </c>
      <c r="K802" s="28" t="s">
        <v>1405</v>
      </c>
      <c r="L802" s="28" t="s">
        <v>1406</v>
      </c>
      <c r="M802" s="28">
        <v>4384.43</v>
      </c>
      <c r="N802" s="28" t="s">
        <v>1387</v>
      </c>
      <c r="O802" s="28">
        <v>0</v>
      </c>
      <c r="P802" s="29" t="s">
        <v>1407</v>
      </c>
    </row>
    <row r="803" spans="3:16" ht="36.75" thickBot="1" x14ac:dyDescent="0.3">
      <c r="C803" s="27" t="s">
        <v>1509</v>
      </c>
      <c r="D803" s="28">
        <v>796</v>
      </c>
      <c r="E803" s="28" t="s">
        <v>1402</v>
      </c>
      <c r="F803" s="28" t="s">
        <v>1118</v>
      </c>
      <c r="G803" s="28" t="s">
        <v>89</v>
      </c>
      <c r="H803" s="28" t="s">
        <v>90</v>
      </c>
      <c r="I803" s="28" t="s">
        <v>91</v>
      </c>
      <c r="J803" s="28" t="s">
        <v>1951</v>
      </c>
      <c r="K803" s="28" t="s">
        <v>1405</v>
      </c>
      <c r="L803" s="28" t="s">
        <v>1406</v>
      </c>
      <c r="M803" s="28">
        <v>3711.06</v>
      </c>
      <c r="N803" s="28" t="s">
        <v>1387</v>
      </c>
      <c r="O803" s="28">
        <v>0</v>
      </c>
      <c r="P803" s="29" t="s">
        <v>1407</v>
      </c>
    </row>
    <row r="804" spans="3:16" ht="36.75" thickBot="1" x14ac:dyDescent="0.3">
      <c r="C804" s="27" t="s">
        <v>1509</v>
      </c>
      <c r="D804" s="28">
        <v>797</v>
      </c>
      <c r="E804" s="28" t="s">
        <v>1402</v>
      </c>
      <c r="F804" s="28" t="s">
        <v>1124</v>
      </c>
      <c r="G804" s="28" t="s">
        <v>89</v>
      </c>
      <c r="H804" s="28" t="s">
        <v>90</v>
      </c>
      <c r="I804" s="28" t="s">
        <v>91</v>
      </c>
      <c r="J804" s="28" t="s">
        <v>1951</v>
      </c>
      <c r="K804" s="28" t="s">
        <v>1405</v>
      </c>
      <c r="L804" s="28" t="s">
        <v>1406</v>
      </c>
      <c r="M804" s="28">
        <v>5431.91</v>
      </c>
      <c r="N804" s="28" t="s">
        <v>1387</v>
      </c>
      <c r="O804" s="28">
        <v>0</v>
      </c>
      <c r="P804" s="29" t="s">
        <v>1407</v>
      </c>
    </row>
    <row r="805" spans="3:16" ht="36.75" thickBot="1" x14ac:dyDescent="0.3">
      <c r="C805" s="27" t="s">
        <v>1509</v>
      </c>
      <c r="D805" s="28">
        <v>798</v>
      </c>
      <c r="E805" s="28" t="s">
        <v>1402</v>
      </c>
      <c r="F805" s="28" t="s">
        <v>348</v>
      </c>
      <c r="G805" s="28" t="s">
        <v>89</v>
      </c>
      <c r="H805" s="28" t="s">
        <v>90</v>
      </c>
      <c r="I805" s="28" t="s">
        <v>91</v>
      </c>
      <c r="J805" s="28" t="s">
        <v>1951</v>
      </c>
      <c r="K805" s="28" t="s">
        <v>1405</v>
      </c>
      <c r="L805" s="28" t="s">
        <v>1406</v>
      </c>
      <c r="M805" s="28">
        <v>37230.28</v>
      </c>
      <c r="N805" s="28" t="s">
        <v>1387</v>
      </c>
      <c r="O805" s="28">
        <v>0</v>
      </c>
      <c r="P805" s="29" t="s">
        <v>1407</v>
      </c>
    </row>
    <row r="806" spans="3:16" ht="36.75" thickBot="1" x14ac:dyDescent="0.3">
      <c r="C806" s="27" t="s">
        <v>1509</v>
      </c>
      <c r="D806" s="28">
        <v>799</v>
      </c>
      <c r="E806" s="28" t="s">
        <v>1402</v>
      </c>
      <c r="F806" s="28" t="s">
        <v>1126</v>
      </c>
      <c r="G806" s="28" t="s">
        <v>89</v>
      </c>
      <c r="H806" s="28" t="s">
        <v>90</v>
      </c>
      <c r="I806" s="28" t="s">
        <v>91</v>
      </c>
      <c r="J806" s="28" t="s">
        <v>1951</v>
      </c>
      <c r="K806" s="28" t="s">
        <v>1405</v>
      </c>
      <c r="L806" s="28" t="s">
        <v>1406</v>
      </c>
      <c r="M806" s="28">
        <v>113037.58</v>
      </c>
      <c r="N806" s="28" t="s">
        <v>1387</v>
      </c>
      <c r="O806" s="28">
        <v>0</v>
      </c>
      <c r="P806" s="29" t="s">
        <v>1407</v>
      </c>
    </row>
    <row r="807" spans="3:16" ht="36.75" thickBot="1" x14ac:dyDescent="0.3">
      <c r="C807" s="27" t="s">
        <v>1509</v>
      </c>
      <c r="D807" s="28">
        <v>800</v>
      </c>
      <c r="E807" s="28" t="s">
        <v>1402</v>
      </c>
      <c r="F807" s="28" t="s">
        <v>1122</v>
      </c>
      <c r="G807" s="28" t="s">
        <v>89</v>
      </c>
      <c r="H807" s="28" t="s">
        <v>90</v>
      </c>
      <c r="I807" s="28" t="s">
        <v>91</v>
      </c>
      <c r="J807" s="28" t="s">
        <v>1951</v>
      </c>
      <c r="K807" s="28" t="s">
        <v>1405</v>
      </c>
      <c r="L807" s="28" t="s">
        <v>1406</v>
      </c>
      <c r="M807" s="28">
        <v>22715.26</v>
      </c>
      <c r="N807" s="28" t="s">
        <v>1387</v>
      </c>
      <c r="O807" s="28">
        <v>0</v>
      </c>
      <c r="P807" s="29" t="s">
        <v>1407</v>
      </c>
    </row>
    <row r="808" spans="3:16" ht="36.75" thickBot="1" x14ac:dyDescent="0.3">
      <c r="C808" s="27" t="s">
        <v>1509</v>
      </c>
      <c r="D808" s="28">
        <v>801</v>
      </c>
      <c r="E808" s="28" t="s">
        <v>1402</v>
      </c>
      <c r="F808" s="28" t="s">
        <v>1128</v>
      </c>
      <c r="G808" s="28" t="s">
        <v>89</v>
      </c>
      <c r="H808" s="28" t="s">
        <v>90</v>
      </c>
      <c r="I808" s="28" t="s">
        <v>91</v>
      </c>
      <c r="J808" s="28" t="s">
        <v>1951</v>
      </c>
      <c r="K808" s="28" t="s">
        <v>1405</v>
      </c>
      <c r="L808" s="28" t="s">
        <v>1406</v>
      </c>
      <c r="M808" s="28">
        <v>7452.04</v>
      </c>
      <c r="N808" s="28" t="s">
        <v>1387</v>
      </c>
      <c r="O808" s="28">
        <v>0</v>
      </c>
      <c r="P808" s="29" t="s">
        <v>1407</v>
      </c>
    </row>
    <row r="809" spans="3:16" ht="36.75" thickBot="1" x14ac:dyDescent="0.3">
      <c r="C809" s="27" t="s">
        <v>1509</v>
      </c>
      <c r="D809" s="28">
        <v>802</v>
      </c>
      <c r="E809" s="28" t="s">
        <v>1402</v>
      </c>
      <c r="F809" s="28" t="s">
        <v>676</v>
      </c>
      <c r="G809" s="28" t="s">
        <v>89</v>
      </c>
      <c r="H809" s="28" t="s">
        <v>90</v>
      </c>
      <c r="I809" s="28" t="s">
        <v>91</v>
      </c>
      <c r="J809" s="28" t="s">
        <v>1951</v>
      </c>
      <c r="K809" s="28" t="s">
        <v>1405</v>
      </c>
      <c r="L809" s="28" t="s">
        <v>1406</v>
      </c>
      <c r="M809" s="28">
        <v>4833.3500000000004</v>
      </c>
      <c r="N809" s="28" t="s">
        <v>1387</v>
      </c>
      <c r="O809" s="28">
        <v>0</v>
      </c>
      <c r="P809" s="29" t="s">
        <v>1407</v>
      </c>
    </row>
    <row r="810" spans="3:16" ht="36.75" thickBot="1" x14ac:dyDescent="0.3">
      <c r="C810" s="27" t="s">
        <v>1509</v>
      </c>
      <c r="D810" s="28">
        <v>803</v>
      </c>
      <c r="E810" s="28" t="s">
        <v>1402</v>
      </c>
      <c r="F810" s="28" t="s">
        <v>1130</v>
      </c>
      <c r="G810" s="28" t="s">
        <v>89</v>
      </c>
      <c r="H810" s="28" t="s">
        <v>90</v>
      </c>
      <c r="I810" s="28" t="s">
        <v>91</v>
      </c>
      <c r="J810" s="28" t="s">
        <v>1951</v>
      </c>
      <c r="K810" s="28" t="s">
        <v>1405</v>
      </c>
      <c r="L810" s="28" t="s">
        <v>1406</v>
      </c>
      <c r="M810" s="28">
        <v>9030.74</v>
      </c>
      <c r="N810" s="28" t="s">
        <v>1387</v>
      </c>
      <c r="O810" s="28">
        <v>0</v>
      </c>
      <c r="P810" s="29" t="s">
        <v>1407</v>
      </c>
    </row>
    <row r="811" spans="3:16" ht="36.75" thickBot="1" x14ac:dyDescent="0.3">
      <c r="C811" s="27" t="s">
        <v>1509</v>
      </c>
      <c r="D811" s="28">
        <v>804</v>
      </c>
      <c r="E811" s="28" t="s">
        <v>1402</v>
      </c>
      <c r="F811" s="28" t="s">
        <v>1125</v>
      </c>
      <c r="G811" s="28" t="s">
        <v>89</v>
      </c>
      <c r="H811" s="28" t="s">
        <v>90</v>
      </c>
      <c r="I811" s="28" t="s">
        <v>91</v>
      </c>
      <c r="J811" s="28" t="s">
        <v>1951</v>
      </c>
      <c r="K811" s="28" t="s">
        <v>1405</v>
      </c>
      <c r="L811" s="28" t="s">
        <v>1406</v>
      </c>
      <c r="M811" s="28">
        <v>12539.78</v>
      </c>
      <c r="N811" s="28" t="s">
        <v>1387</v>
      </c>
      <c r="O811" s="28">
        <v>0</v>
      </c>
      <c r="P811" s="29" t="s">
        <v>1407</v>
      </c>
    </row>
    <row r="812" spans="3:16" ht="36.75" thickBot="1" x14ac:dyDescent="0.3">
      <c r="C812" s="27" t="s">
        <v>1509</v>
      </c>
      <c r="D812" s="28">
        <v>805</v>
      </c>
      <c r="E812" s="28" t="s">
        <v>1402</v>
      </c>
      <c r="F812" s="28" t="s">
        <v>1132</v>
      </c>
      <c r="G812" s="28" t="s">
        <v>89</v>
      </c>
      <c r="H812" s="28" t="s">
        <v>90</v>
      </c>
      <c r="I812" s="28" t="s">
        <v>91</v>
      </c>
      <c r="J812" s="28" t="s">
        <v>1951</v>
      </c>
      <c r="K812" s="28" t="s">
        <v>1405</v>
      </c>
      <c r="L812" s="28" t="s">
        <v>1406</v>
      </c>
      <c r="M812" s="28">
        <v>7227.58</v>
      </c>
      <c r="N812" s="28" t="s">
        <v>1387</v>
      </c>
      <c r="O812" s="28">
        <v>0</v>
      </c>
      <c r="P812" s="29" t="s">
        <v>1407</v>
      </c>
    </row>
    <row r="813" spans="3:16" ht="36.75" thickBot="1" x14ac:dyDescent="0.3">
      <c r="C813" s="27" t="s">
        <v>1509</v>
      </c>
      <c r="D813" s="28">
        <v>806</v>
      </c>
      <c r="E813" s="28" t="s">
        <v>1402</v>
      </c>
      <c r="F813" s="28" t="s">
        <v>1097</v>
      </c>
      <c r="G813" s="28" t="s">
        <v>89</v>
      </c>
      <c r="H813" s="28" t="s">
        <v>90</v>
      </c>
      <c r="I813" s="28" t="s">
        <v>91</v>
      </c>
      <c r="J813" s="28" t="s">
        <v>1951</v>
      </c>
      <c r="K813" s="28" t="s">
        <v>1405</v>
      </c>
      <c r="L813" s="28" t="s">
        <v>1406</v>
      </c>
      <c r="M813" s="28">
        <v>4459.25</v>
      </c>
      <c r="N813" s="28" t="s">
        <v>1387</v>
      </c>
      <c r="O813" s="28">
        <v>0</v>
      </c>
      <c r="P813" s="29" t="s">
        <v>1407</v>
      </c>
    </row>
    <row r="814" spans="3:16" ht="36.75" thickBot="1" x14ac:dyDescent="0.3">
      <c r="C814" s="27" t="s">
        <v>1509</v>
      </c>
      <c r="D814" s="28">
        <v>807</v>
      </c>
      <c r="E814" s="28" t="s">
        <v>1402</v>
      </c>
      <c r="F814" s="28" t="s">
        <v>1134</v>
      </c>
      <c r="G814" s="28" t="s">
        <v>89</v>
      </c>
      <c r="H814" s="28" t="s">
        <v>90</v>
      </c>
      <c r="I814" s="28" t="s">
        <v>91</v>
      </c>
      <c r="J814" s="28" t="s">
        <v>1951</v>
      </c>
      <c r="K814" s="28" t="s">
        <v>1405</v>
      </c>
      <c r="L814" s="28" t="s">
        <v>1406</v>
      </c>
      <c r="M814" s="28">
        <v>8873.61</v>
      </c>
      <c r="N814" s="28" t="s">
        <v>1387</v>
      </c>
      <c r="O814" s="28">
        <v>0</v>
      </c>
      <c r="P814" s="29" t="s">
        <v>1407</v>
      </c>
    </row>
    <row r="815" spans="3:16" ht="36.75" thickBot="1" x14ac:dyDescent="0.3">
      <c r="C815" s="27" t="s">
        <v>1509</v>
      </c>
      <c r="D815" s="28">
        <v>808</v>
      </c>
      <c r="E815" s="28" t="s">
        <v>1402</v>
      </c>
      <c r="F815" s="28" t="s">
        <v>1136</v>
      </c>
      <c r="G815" s="28" t="s">
        <v>89</v>
      </c>
      <c r="H815" s="28" t="s">
        <v>90</v>
      </c>
      <c r="I815" s="28" t="s">
        <v>91</v>
      </c>
      <c r="J815" s="28" t="s">
        <v>1951</v>
      </c>
      <c r="K815" s="28" t="s">
        <v>1405</v>
      </c>
      <c r="L815" s="28" t="s">
        <v>1406</v>
      </c>
      <c r="M815" s="28">
        <v>5506.73</v>
      </c>
      <c r="N815" s="28" t="s">
        <v>1387</v>
      </c>
      <c r="O815" s="28">
        <v>0</v>
      </c>
      <c r="P815" s="29" t="s">
        <v>1407</v>
      </c>
    </row>
    <row r="816" spans="3:16" ht="36.75" thickBot="1" x14ac:dyDescent="0.3">
      <c r="C816" s="27" t="s">
        <v>1509</v>
      </c>
      <c r="D816" s="28">
        <v>809</v>
      </c>
      <c r="E816" s="28" t="s">
        <v>1402</v>
      </c>
      <c r="F816" s="28" t="s">
        <v>414</v>
      </c>
      <c r="G816" s="28" t="s">
        <v>89</v>
      </c>
      <c r="H816" s="28" t="s">
        <v>90</v>
      </c>
      <c r="I816" s="28" t="s">
        <v>91</v>
      </c>
      <c r="J816" s="28" t="s">
        <v>1951</v>
      </c>
      <c r="K816" s="28" t="s">
        <v>1405</v>
      </c>
      <c r="L816" s="28" t="s">
        <v>1406</v>
      </c>
      <c r="M816" s="28">
        <v>8574.34</v>
      </c>
      <c r="N816" s="28" t="s">
        <v>1387</v>
      </c>
      <c r="O816" s="28">
        <v>0</v>
      </c>
      <c r="P816" s="29" t="s">
        <v>1407</v>
      </c>
    </row>
    <row r="817" spans="3:16" ht="36.75" thickBot="1" x14ac:dyDescent="0.3">
      <c r="C817" s="27" t="s">
        <v>1509</v>
      </c>
      <c r="D817" s="28">
        <v>810</v>
      </c>
      <c r="E817" s="28" t="s">
        <v>1402</v>
      </c>
      <c r="F817" s="28" t="s">
        <v>1138</v>
      </c>
      <c r="G817" s="28" t="s">
        <v>89</v>
      </c>
      <c r="H817" s="28" t="s">
        <v>90</v>
      </c>
      <c r="I817" s="28" t="s">
        <v>91</v>
      </c>
      <c r="J817" s="28" t="s">
        <v>1951</v>
      </c>
      <c r="K817" s="28" t="s">
        <v>1405</v>
      </c>
      <c r="L817" s="28" t="s">
        <v>1406</v>
      </c>
      <c r="M817" s="28">
        <v>4608.8900000000003</v>
      </c>
      <c r="N817" s="28" t="s">
        <v>1387</v>
      </c>
      <c r="O817" s="28">
        <v>0</v>
      </c>
      <c r="P817" s="29" t="s">
        <v>1407</v>
      </c>
    </row>
    <row r="818" spans="3:16" ht="36.75" thickBot="1" x14ac:dyDescent="0.3">
      <c r="C818" s="27" t="s">
        <v>1509</v>
      </c>
      <c r="D818" s="28">
        <v>811</v>
      </c>
      <c r="E818" s="28" t="s">
        <v>1402</v>
      </c>
      <c r="F818" s="28" t="s">
        <v>1133</v>
      </c>
      <c r="G818" s="28" t="s">
        <v>89</v>
      </c>
      <c r="H818" s="28" t="s">
        <v>90</v>
      </c>
      <c r="I818" s="28" t="s">
        <v>91</v>
      </c>
      <c r="J818" s="28" t="s">
        <v>1951</v>
      </c>
      <c r="K818" s="28" t="s">
        <v>1405</v>
      </c>
      <c r="L818" s="28" t="s">
        <v>1406</v>
      </c>
      <c r="M818" s="28">
        <v>3785.88</v>
      </c>
      <c r="N818" s="28" t="s">
        <v>1387</v>
      </c>
      <c r="O818" s="28">
        <v>0</v>
      </c>
      <c r="P818" s="29" t="s">
        <v>1407</v>
      </c>
    </row>
    <row r="819" spans="3:16" ht="36.75" thickBot="1" x14ac:dyDescent="0.3">
      <c r="C819" s="27" t="s">
        <v>1509</v>
      </c>
      <c r="D819" s="28">
        <v>812</v>
      </c>
      <c r="E819" s="28" t="s">
        <v>1402</v>
      </c>
      <c r="F819" s="28" t="s">
        <v>1139</v>
      </c>
      <c r="G819" s="28" t="s">
        <v>89</v>
      </c>
      <c r="H819" s="28" t="s">
        <v>90</v>
      </c>
      <c r="I819" s="28" t="s">
        <v>91</v>
      </c>
      <c r="J819" s="28" t="s">
        <v>1951</v>
      </c>
      <c r="K819" s="28" t="s">
        <v>1405</v>
      </c>
      <c r="L819" s="28" t="s">
        <v>1406</v>
      </c>
      <c r="M819" s="28">
        <v>4534.07</v>
      </c>
      <c r="N819" s="28" t="s">
        <v>1387</v>
      </c>
      <c r="O819" s="28">
        <v>0</v>
      </c>
      <c r="P819" s="29" t="s">
        <v>1407</v>
      </c>
    </row>
    <row r="820" spans="3:16" ht="36.75" thickBot="1" x14ac:dyDescent="0.3">
      <c r="C820" s="27" t="s">
        <v>1509</v>
      </c>
      <c r="D820" s="28">
        <v>813</v>
      </c>
      <c r="E820" s="28" t="s">
        <v>1402</v>
      </c>
      <c r="F820" s="28" t="s">
        <v>658</v>
      </c>
      <c r="G820" s="28" t="s">
        <v>89</v>
      </c>
      <c r="H820" s="28" t="s">
        <v>90</v>
      </c>
      <c r="I820" s="28" t="s">
        <v>91</v>
      </c>
      <c r="J820" s="28" t="s">
        <v>1951</v>
      </c>
      <c r="K820" s="28" t="s">
        <v>1405</v>
      </c>
      <c r="L820" s="28" t="s">
        <v>1406</v>
      </c>
      <c r="M820" s="28">
        <v>3486.6</v>
      </c>
      <c r="N820" s="28" t="s">
        <v>1387</v>
      </c>
      <c r="O820" s="28">
        <v>0</v>
      </c>
      <c r="P820" s="29" t="s">
        <v>1407</v>
      </c>
    </row>
    <row r="821" spans="3:16" ht="36.75" thickBot="1" x14ac:dyDescent="0.3">
      <c r="C821" s="27" t="s">
        <v>1509</v>
      </c>
      <c r="D821" s="28">
        <v>814</v>
      </c>
      <c r="E821" s="28" t="s">
        <v>1402</v>
      </c>
      <c r="F821" s="28" t="s">
        <v>1141</v>
      </c>
      <c r="G821" s="28" t="s">
        <v>89</v>
      </c>
      <c r="H821" s="28" t="s">
        <v>90</v>
      </c>
      <c r="I821" s="28" t="s">
        <v>91</v>
      </c>
      <c r="J821" s="28" t="s">
        <v>1951</v>
      </c>
      <c r="K821" s="28" t="s">
        <v>1405</v>
      </c>
      <c r="L821" s="28" t="s">
        <v>1406</v>
      </c>
      <c r="M821" s="28">
        <v>3935.52</v>
      </c>
      <c r="N821" s="28" t="s">
        <v>1387</v>
      </c>
      <c r="O821" s="28">
        <v>0</v>
      </c>
      <c r="P821" s="29" t="s">
        <v>1407</v>
      </c>
    </row>
    <row r="822" spans="3:16" ht="36.75" thickBot="1" x14ac:dyDescent="0.3">
      <c r="C822" s="27" t="s">
        <v>1509</v>
      </c>
      <c r="D822" s="28">
        <v>815</v>
      </c>
      <c r="E822" s="28" t="s">
        <v>1402</v>
      </c>
      <c r="F822" s="28" t="s">
        <v>1137</v>
      </c>
      <c r="G822" s="28" t="s">
        <v>89</v>
      </c>
      <c r="H822" s="28" t="s">
        <v>90</v>
      </c>
      <c r="I822" s="28" t="s">
        <v>91</v>
      </c>
      <c r="J822" s="28" t="s">
        <v>1951</v>
      </c>
      <c r="K822" s="28" t="s">
        <v>1405</v>
      </c>
      <c r="L822" s="28" t="s">
        <v>1406</v>
      </c>
      <c r="M822" s="28">
        <v>3411.78</v>
      </c>
      <c r="N822" s="28" t="s">
        <v>1387</v>
      </c>
      <c r="O822" s="28">
        <v>0</v>
      </c>
      <c r="P822" s="29" t="s">
        <v>1407</v>
      </c>
    </row>
    <row r="823" spans="3:16" ht="36.75" thickBot="1" x14ac:dyDescent="0.3">
      <c r="C823" s="27" t="s">
        <v>1509</v>
      </c>
      <c r="D823" s="28">
        <v>816</v>
      </c>
      <c r="E823" s="28" t="s">
        <v>1402</v>
      </c>
      <c r="F823" s="28" t="s">
        <v>1143</v>
      </c>
      <c r="G823" s="28" t="s">
        <v>89</v>
      </c>
      <c r="H823" s="28" t="s">
        <v>90</v>
      </c>
      <c r="I823" s="28" t="s">
        <v>91</v>
      </c>
      <c r="J823" s="28" t="s">
        <v>1951</v>
      </c>
      <c r="K823" s="28" t="s">
        <v>1405</v>
      </c>
      <c r="L823" s="28" t="s">
        <v>1406</v>
      </c>
      <c r="M823" s="28">
        <v>4085.15</v>
      </c>
      <c r="N823" s="28" t="s">
        <v>1387</v>
      </c>
      <c r="O823" s="28">
        <v>0</v>
      </c>
      <c r="P823" s="29" t="s">
        <v>1407</v>
      </c>
    </row>
    <row r="824" spans="3:16" ht="36.75" thickBot="1" x14ac:dyDescent="0.3">
      <c r="C824" s="27" t="s">
        <v>1509</v>
      </c>
      <c r="D824" s="28">
        <v>817</v>
      </c>
      <c r="E824" s="28" t="s">
        <v>1402</v>
      </c>
      <c r="F824" s="28" t="s">
        <v>683</v>
      </c>
      <c r="G824" s="28" t="s">
        <v>89</v>
      </c>
      <c r="H824" s="28" t="s">
        <v>90</v>
      </c>
      <c r="I824" s="28" t="s">
        <v>91</v>
      </c>
      <c r="J824" s="28" t="s">
        <v>1951</v>
      </c>
      <c r="K824" s="28" t="s">
        <v>1405</v>
      </c>
      <c r="L824" s="28" t="s">
        <v>1406</v>
      </c>
      <c r="M824" s="28">
        <v>3112.5</v>
      </c>
      <c r="N824" s="28" t="s">
        <v>1387</v>
      </c>
      <c r="O824" s="28">
        <v>0</v>
      </c>
      <c r="P824" s="29" t="s">
        <v>1407</v>
      </c>
    </row>
    <row r="825" spans="3:16" ht="36.75" thickBot="1" x14ac:dyDescent="0.3">
      <c r="C825" s="27" t="s">
        <v>1509</v>
      </c>
      <c r="D825" s="28">
        <v>818</v>
      </c>
      <c r="E825" s="28" t="s">
        <v>1402</v>
      </c>
      <c r="F825" s="28" t="s">
        <v>1145</v>
      </c>
      <c r="G825" s="28" t="s">
        <v>89</v>
      </c>
      <c r="H825" s="28" t="s">
        <v>90</v>
      </c>
      <c r="I825" s="28" t="s">
        <v>91</v>
      </c>
      <c r="J825" s="28" t="s">
        <v>1951</v>
      </c>
      <c r="K825" s="28" t="s">
        <v>1405</v>
      </c>
      <c r="L825" s="28" t="s">
        <v>1406</v>
      </c>
      <c r="M825" s="28">
        <v>8125.42</v>
      </c>
      <c r="N825" s="28" t="s">
        <v>1387</v>
      </c>
      <c r="O825" s="28">
        <v>0</v>
      </c>
      <c r="P825" s="29" t="s">
        <v>1407</v>
      </c>
    </row>
    <row r="826" spans="3:16" ht="36.75" thickBot="1" x14ac:dyDescent="0.3">
      <c r="C826" s="27" t="s">
        <v>1509</v>
      </c>
      <c r="D826" s="28">
        <v>819</v>
      </c>
      <c r="E826" s="28" t="s">
        <v>1402</v>
      </c>
      <c r="F826" s="28" t="s">
        <v>1140</v>
      </c>
      <c r="G826" s="28" t="s">
        <v>89</v>
      </c>
      <c r="H826" s="28" t="s">
        <v>90</v>
      </c>
      <c r="I826" s="28" t="s">
        <v>91</v>
      </c>
      <c r="J826" s="28" t="s">
        <v>1951</v>
      </c>
      <c r="K826" s="28" t="s">
        <v>1405</v>
      </c>
      <c r="L826" s="28" t="s">
        <v>1406</v>
      </c>
      <c r="M826" s="28">
        <v>3164.87</v>
      </c>
      <c r="N826" s="28" t="s">
        <v>1387</v>
      </c>
      <c r="O826" s="28">
        <v>0</v>
      </c>
      <c r="P826" s="29" t="s">
        <v>1407</v>
      </c>
    </row>
    <row r="827" spans="3:16" ht="36.75" thickBot="1" x14ac:dyDescent="0.3">
      <c r="C827" s="27" t="s">
        <v>1509</v>
      </c>
      <c r="D827" s="28">
        <v>820</v>
      </c>
      <c r="E827" s="28" t="s">
        <v>1402</v>
      </c>
      <c r="F827" s="28" t="s">
        <v>1147</v>
      </c>
      <c r="G827" s="28" t="s">
        <v>89</v>
      </c>
      <c r="H827" s="28" t="s">
        <v>90</v>
      </c>
      <c r="I827" s="28" t="s">
        <v>91</v>
      </c>
      <c r="J827" s="28" t="s">
        <v>1951</v>
      </c>
      <c r="K827" s="28" t="s">
        <v>1405</v>
      </c>
      <c r="L827" s="28" t="s">
        <v>1406</v>
      </c>
      <c r="M827" s="28">
        <v>10347.56</v>
      </c>
      <c r="N827" s="28" t="s">
        <v>1387</v>
      </c>
      <c r="O827" s="28">
        <v>0</v>
      </c>
      <c r="P827" s="29" t="s">
        <v>1407</v>
      </c>
    </row>
    <row r="828" spans="3:16" ht="36.75" thickBot="1" x14ac:dyDescent="0.3">
      <c r="C828" s="27" t="s">
        <v>1509</v>
      </c>
      <c r="D828" s="28">
        <v>821</v>
      </c>
      <c r="E828" s="28" t="s">
        <v>1402</v>
      </c>
      <c r="F828" s="28" t="s">
        <v>1112</v>
      </c>
      <c r="G828" s="28" t="s">
        <v>89</v>
      </c>
      <c r="H828" s="28" t="s">
        <v>90</v>
      </c>
      <c r="I828" s="28" t="s">
        <v>91</v>
      </c>
      <c r="J828" s="28" t="s">
        <v>1951</v>
      </c>
      <c r="K828" s="28" t="s">
        <v>1405</v>
      </c>
      <c r="L828" s="28" t="s">
        <v>1406</v>
      </c>
      <c r="M828" s="28">
        <v>4713.6400000000003</v>
      </c>
      <c r="N828" s="28" t="s">
        <v>1387</v>
      </c>
      <c r="O828" s="28">
        <v>0</v>
      </c>
      <c r="P828" s="29" t="s">
        <v>1407</v>
      </c>
    </row>
    <row r="829" spans="3:16" ht="36.75" thickBot="1" x14ac:dyDescent="0.3">
      <c r="C829" s="27" t="s">
        <v>1509</v>
      </c>
      <c r="D829" s="28">
        <v>822</v>
      </c>
      <c r="E829" s="28" t="s">
        <v>1402</v>
      </c>
      <c r="F829" s="28" t="s">
        <v>1149</v>
      </c>
      <c r="G829" s="28" t="s">
        <v>89</v>
      </c>
      <c r="H829" s="28" t="s">
        <v>90</v>
      </c>
      <c r="I829" s="28" t="s">
        <v>91</v>
      </c>
      <c r="J829" s="28" t="s">
        <v>1951</v>
      </c>
      <c r="K829" s="28" t="s">
        <v>1405</v>
      </c>
      <c r="L829" s="28" t="s">
        <v>1406</v>
      </c>
      <c r="M829" s="28">
        <v>3561.42</v>
      </c>
      <c r="N829" s="28" t="s">
        <v>1387</v>
      </c>
      <c r="O829" s="28">
        <v>0</v>
      </c>
      <c r="P829" s="29" t="s">
        <v>1407</v>
      </c>
    </row>
    <row r="830" spans="3:16" ht="36.75" thickBot="1" x14ac:dyDescent="0.3">
      <c r="C830" s="27" t="s">
        <v>1509</v>
      </c>
      <c r="D830" s="28">
        <v>823</v>
      </c>
      <c r="E830" s="28" t="s">
        <v>1402</v>
      </c>
      <c r="F830" s="28" t="s">
        <v>1144</v>
      </c>
      <c r="G830" s="28" t="s">
        <v>89</v>
      </c>
      <c r="H830" s="28" t="s">
        <v>90</v>
      </c>
      <c r="I830" s="28" t="s">
        <v>91</v>
      </c>
      <c r="J830" s="28" t="s">
        <v>1951</v>
      </c>
      <c r="K830" s="28" t="s">
        <v>1405</v>
      </c>
      <c r="L830" s="28" t="s">
        <v>1406</v>
      </c>
      <c r="M830" s="28">
        <v>4833.3500000000004</v>
      </c>
      <c r="N830" s="28" t="s">
        <v>1387</v>
      </c>
      <c r="O830" s="28">
        <v>0</v>
      </c>
      <c r="P830" s="29" t="s">
        <v>1407</v>
      </c>
    </row>
    <row r="831" spans="3:16" ht="36.75" thickBot="1" x14ac:dyDescent="0.3">
      <c r="C831" s="27" t="s">
        <v>1509</v>
      </c>
      <c r="D831" s="28">
        <v>824</v>
      </c>
      <c r="E831" s="28" t="s">
        <v>1402</v>
      </c>
      <c r="F831" s="28" t="s">
        <v>1150</v>
      </c>
      <c r="G831" s="28" t="s">
        <v>89</v>
      </c>
      <c r="H831" s="28" t="s">
        <v>90</v>
      </c>
      <c r="I831" s="28" t="s">
        <v>91</v>
      </c>
      <c r="J831" s="28" t="s">
        <v>1951</v>
      </c>
      <c r="K831" s="28" t="s">
        <v>1405</v>
      </c>
      <c r="L831" s="28" t="s">
        <v>1406</v>
      </c>
      <c r="M831" s="28">
        <v>3561.42</v>
      </c>
      <c r="N831" s="28" t="s">
        <v>1387</v>
      </c>
      <c r="O831" s="28">
        <v>0</v>
      </c>
      <c r="P831" s="29" t="s">
        <v>1407</v>
      </c>
    </row>
    <row r="832" spans="3:16" ht="36.75" thickBot="1" x14ac:dyDescent="0.3">
      <c r="C832" s="27" t="s">
        <v>1509</v>
      </c>
      <c r="D832" s="28">
        <v>825</v>
      </c>
      <c r="E832" s="28" t="s">
        <v>1402</v>
      </c>
      <c r="F832" s="28" t="s">
        <v>258</v>
      </c>
      <c r="G832" s="28" t="s">
        <v>89</v>
      </c>
      <c r="H832" s="28" t="s">
        <v>90</v>
      </c>
      <c r="I832" s="28" t="s">
        <v>91</v>
      </c>
      <c r="J832" s="28" t="s">
        <v>1951</v>
      </c>
      <c r="K832" s="28" t="s">
        <v>1405</v>
      </c>
      <c r="L832" s="28" t="s">
        <v>1406</v>
      </c>
      <c r="M832" s="28">
        <v>3187.32</v>
      </c>
      <c r="N832" s="28" t="s">
        <v>1387</v>
      </c>
      <c r="O832" s="28">
        <v>0</v>
      </c>
      <c r="P832" s="29" t="s">
        <v>1407</v>
      </c>
    </row>
    <row r="833" spans="3:16" ht="36.75" thickBot="1" x14ac:dyDescent="0.3">
      <c r="C833" s="27" t="s">
        <v>1509</v>
      </c>
      <c r="D833" s="28">
        <v>826</v>
      </c>
      <c r="E833" s="28" t="s">
        <v>1402</v>
      </c>
      <c r="F833" s="28" t="s">
        <v>1152</v>
      </c>
      <c r="G833" s="28" t="s">
        <v>89</v>
      </c>
      <c r="H833" s="28" t="s">
        <v>90</v>
      </c>
      <c r="I833" s="28" t="s">
        <v>91</v>
      </c>
      <c r="J833" s="28" t="s">
        <v>1951</v>
      </c>
      <c r="K833" s="28" t="s">
        <v>1405</v>
      </c>
      <c r="L833" s="28" t="s">
        <v>1406</v>
      </c>
      <c r="M833" s="28">
        <v>7429.59</v>
      </c>
      <c r="N833" s="28" t="s">
        <v>1387</v>
      </c>
      <c r="O833" s="28">
        <v>0</v>
      </c>
      <c r="P833" s="29" t="s">
        <v>1407</v>
      </c>
    </row>
    <row r="834" spans="3:16" ht="36.75" thickBot="1" x14ac:dyDescent="0.3">
      <c r="C834" s="27" t="s">
        <v>1509</v>
      </c>
      <c r="D834" s="28">
        <v>827</v>
      </c>
      <c r="E834" s="28" t="s">
        <v>1402</v>
      </c>
      <c r="F834" s="28" t="s">
        <v>1148</v>
      </c>
      <c r="G834" s="28" t="s">
        <v>89</v>
      </c>
      <c r="H834" s="28" t="s">
        <v>90</v>
      </c>
      <c r="I834" s="28" t="s">
        <v>91</v>
      </c>
      <c r="J834" s="28" t="s">
        <v>1951</v>
      </c>
      <c r="K834" s="28" t="s">
        <v>1405</v>
      </c>
      <c r="L834" s="28" t="s">
        <v>1406</v>
      </c>
      <c r="M834" s="28">
        <v>7826.14</v>
      </c>
      <c r="N834" s="28" t="s">
        <v>1387</v>
      </c>
      <c r="O834" s="28">
        <v>0</v>
      </c>
      <c r="P834" s="29" t="s">
        <v>1407</v>
      </c>
    </row>
    <row r="835" spans="3:16" ht="36.75" thickBot="1" x14ac:dyDescent="0.3">
      <c r="C835" s="27" t="s">
        <v>1509</v>
      </c>
      <c r="D835" s="28">
        <v>828</v>
      </c>
      <c r="E835" s="28" t="s">
        <v>1402</v>
      </c>
      <c r="F835" s="28" t="s">
        <v>1154</v>
      </c>
      <c r="G835" s="28" t="s">
        <v>89</v>
      </c>
      <c r="H835" s="28" t="s">
        <v>90</v>
      </c>
      <c r="I835" s="28" t="s">
        <v>91</v>
      </c>
      <c r="J835" s="28" t="s">
        <v>1951</v>
      </c>
      <c r="K835" s="28" t="s">
        <v>1405</v>
      </c>
      <c r="L835" s="28" t="s">
        <v>1406</v>
      </c>
      <c r="M835" s="28">
        <v>3112.5</v>
      </c>
      <c r="N835" s="28" t="s">
        <v>1387</v>
      </c>
      <c r="O835" s="28">
        <v>0</v>
      </c>
      <c r="P835" s="29" t="s">
        <v>1407</v>
      </c>
    </row>
    <row r="836" spans="3:16" ht="36.75" thickBot="1" x14ac:dyDescent="0.3">
      <c r="C836" s="27" t="s">
        <v>1509</v>
      </c>
      <c r="D836" s="28">
        <v>829</v>
      </c>
      <c r="E836" s="28" t="s">
        <v>1402</v>
      </c>
      <c r="F836" s="28" t="s">
        <v>1035</v>
      </c>
      <c r="G836" s="28" t="s">
        <v>89</v>
      </c>
      <c r="H836" s="28" t="s">
        <v>90</v>
      </c>
      <c r="I836" s="28" t="s">
        <v>91</v>
      </c>
      <c r="J836" s="28" t="s">
        <v>1951</v>
      </c>
      <c r="K836" s="28" t="s">
        <v>1405</v>
      </c>
      <c r="L836" s="28" t="s">
        <v>1406</v>
      </c>
      <c r="M836" s="28">
        <v>4309.6099999999997</v>
      </c>
      <c r="N836" s="28" t="s">
        <v>1387</v>
      </c>
      <c r="O836" s="28">
        <v>0</v>
      </c>
      <c r="P836" s="29" t="s">
        <v>1407</v>
      </c>
    </row>
    <row r="837" spans="3:16" ht="36.75" thickBot="1" x14ac:dyDescent="0.3">
      <c r="C837" s="27" t="s">
        <v>1509</v>
      </c>
      <c r="D837" s="28">
        <v>830</v>
      </c>
      <c r="E837" s="28" t="s">
        <v>1402</v>
      </c>
      <c r="F837" s="28" t="s">
        <v>692</v>
      </c>
      <c r="G837" s="28" t="s">
        <v>89</v>
      </c>
      <c r="H837" s="28" t="s">
        <v>90</v>
      </c>
      <c r="I837" s="28" t="s">
        <v>91</v>
      </c>
      <c r="J837" s="28" t="s">
        <v>1951</v>
      </c>
      <c r="K837" s="28" t="s">
        <v>1405</v>
      </c>
      <c r="L837" s="28" t="s">
        <v>1406</v>
      </c>
      <c r="M837" s="28">
        <v>3561.42</v>
      </c>
      <c r="N837" s="28" t="s">
        <v>1387</v>
      </c>
      <c r="O837" s="28">
        <v>0</v>
      </c>
      <c r="P837" s="29" t="s">
        <v>1407</v>
      </c>
    </row>
    <row r="838" spans="3:16" ht="36.75" thickBot="1" x14ac:dyDescent="0.3">
      <c r="C838" s="27" t="s">
        <v>1509</v>
      </c>
      <c r="D838" s="28">
        <v>831</v>
      </c>
      <c r="E838" s="28" t="s">
        <v>1402</v>
      </c>
      <c r="F838" s="28" t="s">
        <v>1151</v>
      </c>
      <c r="G838" s="28" t="s">
        <v>89</v>
      </c>
      <c r="H838" s="28" t="s">
        <v>90</v>
      </c>
      <c r="I838" s="28" t="s">
        <v>91</v>
      </c>
      <c r="J838" s="28" t="s">
        <v>1951</v>
      </c>
      <c r="K838" s="28" t="s">
        <v>1405</v>
      </c>
      <c r="L838" s="28" t="s">
        <v>1406</v>
      </c>
      <c r="M838" s="28">
        <v>10145.549999999999</v>
      </c>
      <c r="N838" s="28" t="s">
        <v>1387</v>
      </c>
      <c r="O838" s="28">
        <v>0</v>
      </c>
      <c r="P838" s="29" t="s">
        <v>1407</v>
      </c>
    </row>
    <row r="839" spans="3:16" ht="36.75" thickBot="1" x14ac:dyDescent="0.3">
      <c r="C839" s="27" t="s">
        <v>1509</v>
      </c>
      <c r="D839" s="28">
        <v>832</v>
      </c>
      <c r="E839" s="28" t="s">
        <v>1402</v>
      </c>
      <c r="F839" s="28" t="s">
        <v>264</v>
      </c>
      <c r="G839" s="28" t="s">
        <v>89</v>
      </c>
      <c r="H839" s="28" t="s">
        <v>90</v>
      </c>
      <c r="I839" s="28" t="s">
        <v>91</v>
      </c>
      <c r="J839" s="28" t="s">
        <v>1951</v>
      </c>
      <c r="K839" s="28" t="s">
        <v>1405</v>
      </c>
      <c r="L839" s="28" t="s">
        <v>1406</v>
      </c>
      <c r="M839" s="28">
        <v>12240.5</v>
      </c>
      <c r="N839" s="28" t="s">
        <v>1387</v>
      </c>
      <c r="O839" s="28">
        <v>0</v>
      </c>
      <c r="P839" s="29" t="s">
        <v>1407</v>
      </c>
    </row>
    <row r="840" spans="3:16" ht="36.75" thickBot="1" x14ac:dyDescent="0.3">
      <c r="C840" s="27" t="s">
        <v>1509</v>
      </c>
      <c r="D840" s="28">
        <v>833</v>
      </c>
      <c r="E840" s="28" t="s">
        <v>1402</v>
      </c>
      <c r="F840" s="28" t="s">
        <v>687</v>
      </c>
      <c r="G840" s="28" t="s">
        <v>89</v>
      </c>
      <c r="H840" s="28" t="s">
        <v>90</v>
      </c>
      <c r="I840" s="28" t="s">
        <v>91</v>
      </c>
      <c r="J840" s="28" t="s">
        <v>1951</v>
      </c>
      <c r="K840" s="28" t="s">
        <v>1405</v>
      </c>
      <c r="L840" s="28" t="s">
        <v>1406</v>
      </c>
      <c r="M840" s="28">
        <v>3561.42</v>
      </c>
      <c r="N840" s="28" t="s">
        <v>1387</v>
      </c>
      <c r="O840" s="28">
        <v>0</v>
      </c>
      <c r="P840" s="29" t="s">
        <v>1407</v>
      </c>
    </row>
    <row r="841" spans="3:16" ht="36.75" thickBot="1" x14ac:dyDescent="0.3">
      <c r="C841" s="27" t="s">
        <v>1509</v>
      </c>
      <c r="D841" s="28">
        <v>834</v>
      </c>
      <c r="E841" s="28" t="s">
        <v>1402</v>
      </c>
      <c r="F841" s="28" t="s">
        <v>694</v>
      </c>
      <c r="G841" s="28" t="s">
        <v>89</v>
      </c>
      <c r="H841" s="28" t="s">
        <v>90</v>
      </c>
      <c r="I841" s="28" t="s">
        <v>91</v>
      </c>
      <c r="J841" s="28" t="s">
        <v>1951</v>
      </c>
      <c r="K841" s="28" t="s">
        <v>1405</v>
      </c>
      <c r="L841" s="28" t="s">
        <v>1406</v>
      </c>
      <c r="M841" s="28">
        <v>5282.27</v>
      </c>
      <c r="N841" s="28" t="s">
        <v>1387</v>
      </c>
      <c r="O841" s="28">
        <v>0</v>
      </c>
      <c r="P841" s="29" t="s">
        <v>1407</v>
      </c>
    </row>
    <row r="842" spans="3:16" ht="36.75" thickBot="1" x14ac:dyDescent="0.3">
      <c r="C842" s="27" t="s">
        <v>1509</v>
      </c>
      <c r="D842" s="28">
        <v>835</v>
      </c>
      <c r="E842" s="28" t="s">
        <v>1402</v>
      </c>
      <c r="F842" s="28" t="s">
        <v>1155</v>
      </c>
      <c r="G842" s="28" t="s">
        <v>89</v>
      </c>
      <c r="H842" s="28" t="s">
        <v>90</v>
      </c>
      <c r="I842" s="28" t="s">
        <v>91</v>
      </c>
      <c r="J842" s="28" t="s">
        <v>1951</v>
      </c>
      <c r="K842" s="28" t="s">
        <v>1405</v>
      </c>
      <c r="L842" s="28" t="s">
        <v>1406</v>
      </c>
      <c r="M842" s="28">
        <v>3187.32</v>
      </c>
      <c r="N842" s="28" t="s">
        <v>1387</v>
      </c>
      <c r="O842" s="28">
        <v>0</v>
      </c>
      <c r="P842" s="29" t="s">
        <v>1407</v>
      </c>
    </row>
    <row r="843" spans="3:16" ht="36.75" thickBot="1" x14ac:dyDescent="0.3">
      <c r="C843" s="27" t="s">
        <v>1509</v>
      </c>
      <c r="D843" s="28">
        <v>836</v>
      </c>
      <c r="E843" s="28" t="s">
        <v>1402</v>
      </c>
      <c r="F843" s="28" t="s">
        <v>425</v>
      </c>
      <c r="G843" s="28" t="s">
        <v>89</v>
      </c>
      <c r="H843" s="28" t="s">
        <v>90</v>
      </c>
      <c r="I843" s="28" t="s">
        <v>91</v>
      </c>
      <c r="J843" s="28" t="s">
        <v>1951</v>
      </c>
      <c r="K843" s="28" t="s">
        <v>1405</v>
      </c>
      <c r="L843" s="28" t="s">
        <v>1406</v>
      </c>
      <c r="M843" s="28">
        <v>4234.79</v>
      </c>
      <c r="N843" s="28" t="s">
        <v>1387</v>
      </c>
      <c r="O843" s="28">
        <v>0</v>
      </c>
      <c r="P843" s="29" t="s">
        <v>1407</v>
      </c>
    </row>
    <row r="844" spans="3:16" ht="36.75" thickBot="1" x14ac:dyDescent="0.3">
      <c r="C844" s="27" t="s">
        <v>1509</v>
      </c>
      <c r="D844" s="28">
        <v>837</v>
      </c>
      <c r="E844" s="28" t="s">
        <v>1402</v>
      </c>
      <c r="F844" s="28" t="s">
        <v>1127</v>
      </c>
      <c r="G844" s="28" t="s">
        <v>89</v>
      </c>
      <c r="H844" s="28" t="s">
        <v>90</v>
      </c>
      <c r="I844" s="28" t="s">
        <v>91</v>
      </c>
      <c r="J844" s="28" t="s">
        <v>1951</v>
      </c>
      <c r="K844" s="28" t="s">
        <v>1405</v>
      </c>
      <c r="L844" s="28" t="s">
        <v>1406</v>
      </c>
      <c r="M844" s="28">
        <v>3262.14</v>
      </c>
      <c r="N844" s="28" t="s">
        <v>1387</v>
      </c>
      <c r="O844" s="28">
        <v>0</v>
      </c>
      <c r="P844" s="29" t="s">
        <v>1407</v>
      </c>
    </row>
    <row r="845" spans="3:16" ht="36.75" thickBot="1" x14ac:dyDescent="0.3">
      <c r="C845" s="27" t="s">
        <v>1509</v>
      </c>
      <c r="D845" s="28">
        <v>838</v>
      </c>
      <c r="E845" s="28" t="s">
        <v>1402</v>
      </c>
      <c r="F845" s="28" t="s">
        <v>696</v>
      </c>
      <c r="G845" s="28" t="s">
        <v>89</v>
      </c>
      <c r="H845" s="28" t="s">
        <v>90</v>
      </c>
      <c r="I845" s="28" t="s">
        <v>91</v>
      </c>
      <c r="J845" s="28" t="s">
        <v>1951</v>
      </c>
      <c r="K845" s="28" t="s">
        <v>1405</v>
      </c>
      <c r="L845" s="28" t="s">
        <v>1406</v>
      </c>
      <c r="M845" s="28">
        <v>10968.57</v>
      </c>
      <c r="N845" s="28" t="s">
        <v>1387</v>
      </c>
      <c r="O845" s="28">
        <v>0</v>
      </c>
      <c r="P845" s="29" t="s">
        <v>1407</v>
      </c>
    </row>
    <row r="846" spans="3:16" ht="36.75" thickBot="1" x14ac:dyDescent="0.3">
      <c r="C846" s="27" t="s">
        <v>1509</v>
      </c>
      <c r="D846" s="28">
        <v>839</v>
      </c>
      <c r="E846" s="28" t="s">
        <v>1402</v>
      </c>
      <c r="F846" s="28" t="s">
        <v>1157</v>
      </c>
      <c r="G846" s="28" t="s">
        <v>89</v>
      </c>
      <c r="H846" s="28" t="s">
        <v>90</v>
      </c>
      <c r="I846" s="28" t="s">
        <v>91</v>
      </c>
      <c r="J846" s="28" t="s">
        <v>1951</v>
      </c>
      <c r="K846" s="28" t="s">
        <v>1405</v>
      </c>
      <c r="L846" s="28" t="s">
        <v>1406</v>
      </c>
      <c r="M846" s="28">
        <v>7003.12</v>
      </c>
      <c r="N846" s="28" t="s">
        <v>1387</v>
      </c>
      <c r="O846" s="28">
        <v>0</v>
      </c>
      <c r="P846" s="29" t="s">
        <v>1407</v>
      </c>
    </row>
    <row r="847" spans="3:16" ht="36.75" thickBot="1" x14ac:dyDescent="0.3">
      <c r="C847" s="27" t="s">
        <v>1509</v>
      </c>
      <c r="D847" s="28">
        <v>840</v>
      </c>
      <c r="E847" s="28" t="s">
        <v>1402</v>
      </c>
      <c r="F847" s="28" t="s">
        <v>88</v>
      </c>
      <c r="G847" s="28" t="s">
        <v>89</v>
      </c>
      <c r="H847" s="28" t="s">
        <v>90</v>
      </c>
      <c r="I847" s="28" t="s">
        <v>91</v>
      </c>
      <c r="J847" s="28" t="s">
        <v>1951</v>
      </c>
      <c r="K847" s="28" t="s">
        <v>1405</v>
      </c>
      <c r="L847" s="28" t="s">
        <v>1406</v>
      </c>
      <c r="M847" s="28">
        <v>11043.39</v>
      </c>
      <c r="N847" s="28" t="s">
        <v>1387</v>
      </c>
      <c r="O847" s="28">
        <v>0</v>
      </c>
      <c r="P847" s="29" t="s">
        <v>1407</v>
      </c>
    </row>
    <row r="848" spans="3:16" ht="36.75" thickBot="1" x14ac:dyDescent="0.3">
      <c r="C848" s="27" t="s">
        <v>1509</v>
      </c>
      <c r="D848" s="28">
        <v>841</v>
      </c>
      <c r="E848" s="28" t="s">
        <v>1402</v>
      </c>
      <c r="F848" s="28" t="s">
        <v>422</v>
      </c>
      <c r="G848" s="28" t="s">
        <v>89</v>
      </c>
      <c r="H848" s="28" t="s">
        <v>90</v>
      </c>
      <c r="I848" s="28" t="s">
        <v>91</v>
      </c>
      <c r="J848" s="28" t="s">
        <v>1951</v>
      </c>
      <c r="K848" s="28" t="s">
        <v>1405</v>
      </c>
      <c r="L848" s="28" t="s">
        <v>1406</v>
      </c>
      <c r="M848" s="28">
        <v>9621.81</v>
      </c>
      <c r="N848" s="28" t="s">
        <v>1387</v>
      </c>
      <c r="O848" s="28">
        <v>0</v>
      </c>
      <c r="P848" s="29" t="s">
        <v>1407</v>
      </c>
    </row>
    <row r="849" spans="3:16" ht="36.75" thickBot="1" x14ac:dyDescent="0.3">
      <c r="C849" s="27" t="s">
        <v>1509</v>
      </c>
      <c r="D849" s="28">
        <v>842</v>
      </c>
      <c r="E849" s="28" t="s">
        <v>1402</v>
      </c>
      <c r="F849" s="28" t="s">
        <v>697</v>
      </c>
      <c r="G849" s="28" t="s">
        <v>89</v>
      </c>
      <c r="H849" s="28" t="s">
        <v>90</v>
      </c>
      <c r="I849" s="28" t="s">
        <v>91</v>
      </c>
      <c r="J849" s="28" t="s">
        <v>1951</v>
      </c>
      <c r="K849" s="28" t="s">
        <v>1405</v>
      </c>
      <c r="L849" s="28" t="s">
        <v>1406</v>
      </c>
      <c r="M849" s="28">
        <v>4234.79</v>
      </c>
      <c r="N849" s="28" t="s">
        <v>1387</v>
      </c>
      <c r="O849" s="28">
        <v>0</v>
      </c>
      <c r="P849" s="29" t="s">
        <v>1407</v>
      </c>
    </row>
    <row r="850" spans="3:16" ht="36.75" thickBot="1" x14ac:dyDescent="0.3">
      <c r="C850" s="27" t="s">
        <v>1509</v>
      </c>
      <c r="D850" s="28">
        <v>843</v>
      </c>
      <c r="E850" s="28" t="s">
        <v>1402</v>
      </c>
      <c r="F850" s="28" t="s">
        <v>1160</v>
      </c>
      <c r="G850" s="28" t="s">
        <v>89</v>
      </c>
      <c r="H850" s="28" t="s">
        <v>90</v>
      </c>
      <c r="I850" s="28" t="s">
        <v>91</v>
      </c>
      <c r="J850" s="28" t="s">
        <v>1951</v>
      </c>
      <c r="K850" s="28" t="s">
        <v>1405</v>
      </c>
      <c r="L850" s="28" t="s">
        <v>1406</v>
      </c>
      <c r="M850" s="28">
        <v>9023.25</v>
      </c>
      <c r="N850" s="28" t="s">
        <v>1387</v>
      </c>
      <c r="O850" s="28">
        <v>0</v>
      </c>
      <c r="P850" s="29" t="s">
        <v>1407</v>
      </c>
    </row>
    <row r="851" spans="3:16" ht="36.75" thickBot="1" x14ac:dyDescent="0.3">
      <c r="C851" s="27" t="s">
        <v>1509</v>
      </c>
      <c r="D851" s="28">
        <v>844</v>
      </c>
      <c r="E851" s="28" t="s">
        <v>1402</v>
      </c>
      <c r="F851" s="28" t="s">
        <v>427</v>
      </c>
      <c r="G851" s="28" t="s">
        <v>89</v>
      </c>
      <c r="H851" s="28" t="s">
        <v>90</v>
      </c>
      <c r="I851" s="28" t="s">
        <v>91</v>
      </c>
      <c r="J851" s="28" t="s">
        <v>1951</v>
      </c>
      <c r="K851" s="28" t="s">
        <v>1405</v>
      </c>
      <c r="L851" s="28" t="s">
        <v>1406</v>
      </c>
      <c r="M851" s="28">
        <v>7751.32</v>
      </c>
      <c r="N851" s="28" t="s">
        <v>1387</v>
      </c>
      <c r="O851" s="28">
        <v>0</v>
      </c>
      <c r="P851" s="29" t="s">
        <v>1407</v>
      </c>
    </row>
    <row r="852" spans="3:16" ht="36.75" thickBot="1" x14ac:dyDescent="0.3">
      <c r="C852" s="27" t="s">
        <v>1509</v>
      </c>
      <c r="D852" s="28">
        <v>845</v>
      </c>
      <c r="E852" s="28" t="s">
        <v>1402</v>
      </c>
      <c r="F852" s="28" t="s">
        <v>410</v>
      </c>
      <c r="G852" s="28" t="s">
        <v>89</v>
      </c>
      <c r="H852" s="28" t="s">
        <v>90</v>
      </c>
      <c r="I852" s="28" t="s">
        <v>91</v>
      </c>
      <c r="J852" s="28" t="s">
        <v>1951</v>
      </c>
      <c r="K852" s="28" t="s">
        <v>1405</v>
      </c>
      <c r="L852" s="28" t="s">
        <v>1406</v>
      </c>
      <c r="M852" s="28">
        <v>10956.59</v>
      </c>
      <c r="N852" s="28" t="s">
        <v>1387</v>
      </c>
      <c r="O852" s="28">
        <v>0</v>
      </c>
      <c r="P852" s="29" t="s">
        <v>1407</v>
      </c>
    </row>
    <row r="853" spans="3:16" ht="36.75" thickBot="1" x14ac:dyDescent="0.3">
      <c r="C853" s="27" t="s">
        <v>1509</v>
      </c>
      <c r="D853" s="28">
        <v>846</v>
      </c>
      <c r="E853" s="28" t="s">
        <v>1402</v>
      </c>
      <c r="F853" s="28" t="s">
        <v>699</v>
      </c>
      <c r="G853" s="28" t="s">
        <v>89</v>
      </c>
      <c r="H853" s="28" t="s">
        <v>90</v>
      </c>
      <c r="I853" s="28" t="s">
        <v>91</v>
      </c>
      <c r="J853" s="28" t="s">
        <v>1951</v>
      </c>
      <c r="K853" s="28" t="s">
        <v>1405</v>
      </c>
      <c r="L853" s="28" t="s">
        <v>1406</v>
      </c>
      <c r="M853" s="28">
        <v>6254.93</v>
      </c>
      <c r="N853" s="28" t="s">
        <v>1387</v>
      </c>
      <c r="O853" s="28">
        <v>0</v>
      </c>
      <c r="P853" s="29" t="s">
        <v>1407</v>
      </c>
    </row>
    <row r="854" spans="3:16" ht="36.75" thickBot="1" x14ac:dyDescent="0.3">
      <c r="C854" s="27" t="s">
        <v>1509</v>
      </c>
      <c r="D854" s="28">
        <v>847</v>
      </c>
      <c r="E854" s="28" t="s">
        <v>1402</v>
      </c>
      <c r="F854" s="28" t="s">
        <v>1163</v>
      </c>
      <c r="G854" s="28" t="s">
        <v>89</v>
      </c>
      <c r="H854" s="28" t="s">
        <v>90</v>
      </c>
      <c r="I854" s="28" t="s">
        <v>91</v>
      </c>
      <c r="J854" s="28" t="s">
        <v>1951</v>
      </c>
      <c r="K854" s="28" t="s">
        <v>1405</v>
      </c>
      <c r="L854" s="28" t="s">
        <v>1406</v>
      </c>
      <c r="M854" s="28">
        <v>4833.3500000000004</v>
      </c>
      <c r="N854" s="28" t="s">
        <v>1387</v>
      </c>
      <c r="O854" s="28">
        <v>0</v>
      </c>
      <c r="P854" s="29" t="s">
        <v>1407</v>
      </c>
    </row>
    <row r="855" spans="3:16" ht="36.75" thickBot="1" x14ac:dyDescent="0.3">
      <c r="C855" s="27" t="s">
        <v>1509</v>
      </c>
      <c r="D855" s="28">
        <v>848</v>
      </c>
      <c r="E855" s="28" t="s">
        <v>1402</v>
      </c>
      <c r="F855" s="28" t="s">
        <v>266</v>
      </c>
      <c r="G855" s="28" t="s">
        <v>89</v>
      </c>
      <c r="H855" s="28" t="s">
        <v>90</v>
      </c>
      <c r="I855" s="28" t="s">
        <v>91</v>
      </c>
      <c r="J855" s="28" t="s">
        <v>1951</v>
      </c>
      <c r="K855" s="28" t="s">
        <v>1405</v>
      </c>
      <c r="L855" s="28" t="s">
        <v>1406</v>
      </c>
      <c r="M855" s="28">
        <v>3763.43</v>
      </c>
      <c r="N855" s="28" t="s">
        <v>1387</v>
      </c>
      <c r="O855" s="28">
        <v>0</v>
      </c>
      <c r="P855" s="29" t="s">
        <v>1407</v>
      </c>
    </row>
    <row r="856" spans="3:16" ht="36.75" thickBot="1" x14ac:dyDescent="0.3">
      <c r="C856" s="27" t="s">
        <v>1509</v>
      </c>
      <c r="D856" s="28">
        <v>849</v>
      </c>
      <c r="E856" s="28" t="s">
        <v>1402</v>
      </c>
      <c r="F856" s="28" t="s">
        <v>701</v>
      </c>
      <c r="G856" s="28" t="s">
        <v>89</v>
      </c>
      <c r="H856" s="28" t="s">
        <v>90</v>
      </c>
      <c r="I856" s="28" t="s">
        <v>91</v>
      </c>
      <c r="J856" s="28" t="s">
        <v>1951</v>
      </c>
      <c r="K856" s="28" t="s">
        <v>1405</v>
      </c>
      <c r="L856" s="28" t="s">
        <v>1406</v>
      </c>
      <c r="M856" s="28">
        <v>8025.66</v>
      </c>
      <c r="N856" s="28" t="s">
        <v>1387</v>
      </c>
      <c r="O856" s="28">
        <v>0</v>
      </c>
      <c r="P856" s="29" t="s">
        <v>1407</v>
      </c>
    </row>
    <row r="857" spans="3:16" ht="36.75" thickBot="1" x14ac:dyDescent="0.3">
      <c r="C857" s="27" t="s">
        <v>1509</v>
      </c>
      <c r="D857" s="28">
        <v>850</v>
      </c>
      <c r="E857" s="28" t="s">
        <v>1402</v>
      </c>
      <c r="F857" s="28" t="s">
        <v>1166</v>
      </c>
      <c r="G857" s="28" t="s">
        <v>89</v>
      </c>
      <c r="H857" s="28" t="s">
        <v>90</v>
      </c>
      <c r="I857" s="28" t="s">
        <v>91</v>
      </c>
      <c r="J857" s="28" t="s">
        <v>1951</v>
      </c>
      <c r="K857" s="28" t="s">
        <v>1405</v>
      </c>
      <c r="L857" s="28" t="s">
        <v>1406</v>
      </c>
      <c r="M857" s="28">
        <v>4908.17</v>
      </c>
      <c r="N857" s="28" t="s">
        <v>1387</v>
      </c>
      <c r="O857" s="28">
        <v>0</v>
      </c>
      <c r="P857" s="29" t="s">
        <v>1407</v>
      </c>
    </row>
    <row r="858" spans="3:16" ht="36.75" thickBot="1" x14ac:dyDescent="0.3">
      <c r="C858" s="27" t="s">
        <v>1509</v>
      </c>
      <c r="D858" s="28">
        <v>851</v>
      </c>
      <c r="E858" s="28" t="s">
        <v>1402</v>
      </c>
      <c r="F858" s="28" t="s">
        <v>429</v>
      </c>
      <c r="G858" s="28" t="s">
        <v>89</v>
      </c>
      <c r="H858" s="28" t="s">
        <v>90</v>
      </c>
      <c r="I858" s="28" t="s">
        <v>91</v>
      </c>
      <c r="J858" s="28" t="s">
        <v>1951</v>
      </c>
      <c r="K858" s="28" t="s">
        <v>1405</v>
      </c>
      <c r="L858" s="28" t="s">
        <v>1406</v>
      </c>
      <c r="M858" s="28">
        <v>3636.24</v>
      </c>
      <c r="N858" s="28" t="s">
        <v>1387</v>
      </c>
      <c r="O858" s="28">
        <v>0</v>
      </c>
      <c r="P858" s="29" t="s">
        <v>1407</v>
      </c>
    </row>
    <row r="859" spans="3:16" ht="36.75" thickBot="1" x14ac:dyDescent="0.3">
      <c r="C859" s="27" t="s">
        <v>1509</v>
      </c>
      <c r="D859" s="28">
        <v>852</v>
      </c>
      <c r="E859" s="28" t="s">
        <v>1402</v>
      </c>
      <c r="F859" s="28" t="s">
        <v>216</v>
      </c>
      <c r="G859" s="28" t="s">
        <v>1997</v>
      </c>
      <c r="H859" s="28" t="s">
        <v>218</v>
      </c>
      <c r="I859" s="28" t="s">
        <v>60</v>
      </c>
      <c r="J859" s="28" t="s">
        <v>1951</v>
      </c>
      <c r="K859" s="28" t="s">
        <v>1405</v>
      </c>
      <c r="L859" s="28" t="s">
        <v>1406</v>
      </c>
      <c r="M859" s="28">
        <v>1745.79</v>
      </c>
      <c r="N859" s="28" t="s">
        <v>1387</v>
      </c>
      <c r="O859" s="28">
        <v>0</v>
      </c>
      <c r="P859" s="29" t="s">
        <v>1407</v>
      </c>
    </row>
    <row r="860" spans="3:16" ht="36.75" thickBot="1" x14ac:dyDescent="0.3">
      <c r="C860" s="27" t="s">
        <v>1509</v>
      </c>
      <c r="D860" s="28">
        <v>853</v>
      </c>
      <c r="E860" s="28" t="s">
        <v>1402</v>
      </c>
      <c r="F860" s="28" t="s">
        <v>958</v>
      </c>
      <c r="G860" s="28" t="s">
        <v>1997</v>
      </c>
      <c r="H860" s="28" t="s">
        <v>218</v>
      </c>
      <c r="I860" s="28" t="s">
        <v>60</v>
      </c>
      <c r="J860" s="28" t="s">
        <v>1951</v>
      </c>
      <c r="K860" s="28" t="s">
        <v>1405</v>
      </c>
      <c r="L860" s="28" t="s">
        <v>1406</v>
      </c>
      <c r="M860" s="28">
        <v>1745.79</v>
      </c>
      <c r="N860" s="28" t="s">
        <v>1387</v>
      </c>
      <c r="O860" s="28">
        <v>0</v>
      </c>
      <c r="P860" s="29" t="s">
        <v>1407</v>
      </c>
    </row>
    <row r="861" spans="3:16" ht="36.75" thickBot="1" x14ac:dyDescent="0.3">
      <c r="C861" s="27" t="s">
        <v>1509</v>
      </c>
      <c r="D861" s="28">
        <v>854</v>
      </c>
      <c r="E861" s="28" t="s">
        <v>1402</v>
      </c>
      <c r="F861" s="28" t="s">
        <v>141</v>
      </c>
      <c r="G861" s="28" t="s">
        <v>1998</v>
      </c>
      <c r="H861" s="28" t="s">
        <v>143</v>
      </c>
      <c r="I861" s="28" t="s">
        <v>60</v>
      </c>
      <c r="J861" s="28" t="s">
        <v>1951</v>
      </c>
      <c r="K861" s="28" t="s">
        <v>1405</v>
      </c>
      <c r="L861" s="28" t="s">
        <v>1406</v>
      </c>
      <c r="M861" s="28">
        <v>1937500</v>
      </c>
      <c r="N861" s="28" t="s">
        <v>1387</v>
      </c>
      <c r="O861" s="28">
        <v>0</v>
      </c>
      <c r="P861" s="29" t="s">
        <v>1407</v>
      </c>
    </row>
    <row r="862" spans="3:16" ht="36.75" thickBot="1" x14ac:dyDescent="0.3">
      <c r="C862" s="27" t="s">
        <v>1509</v>
      </c>
      <c r="D862" s="28">
        <v>855</v>
      </c>
      <c r="E862" s="28" t="s">
        <v>1402</v>
      </c>
      <c r="F862" s="28" t="s">
        <v>811</v>
      </c>
      <c r="G862" s="28" t="s">
        <v>1998</v>
      </c>
      <c r="H862" s="28" t="s">
        <v>143</v>
      </c>
      <c r="I862" s="28" t="s">
        <v>60</v>
      </c>
      <c r="J862" s="28" t="s">
        <v>1951</v>
      </c>
      <c r="K862" s="28" t="s">
        <v>1405</v>
      </c>
      <c r="L862" s="28" t="s">
        <v>1406</v>
      </c>
      <c r="M862" s="28">
        <v>500000</v>
      </c>
      <c r="N862" s="28" t="s">
        <v>1387</v>
      </c>
      <c r="O862" s="28">
        <v>0</v>
      </c>
      <c r="P862" s="29" t="s">
        <v>1407</v>
      </c>
    </row>
    <row r="863" spans="3:16" ht="36.75" thickBot="1" x14ac:dyDescent="0.3">
      <c r="C863" s="27" t="s">
        <v>1509</v>
      </c>
      <c r="D863" s="28">
        <v>856</v>
      </c>
      <c r="E863" s="28" t="s">
        <v>1402</v>
      </c>
      <c r="F863" s="28" t="s">
        <v>742</v>
      </c>
      <c r="G863" s="28" t="s">
        <v>1998</v>
      </c>
      <c r="H863" s="28" t="s">
        <v>143</v>
      </c>
      <c r="I863" s="28" t="s">
        <v>60</v>
      </c>
      <c r="J863" s="28" t="s">
        <v>1951</v>
      </c>
      <c r="K863" s="28" t="s">
        <v>1405</v>
      </c>
      <c r="L863" s="28" t="s">
        <v>1406</v>
      </c>
      <c r="M863" s="28">
        <v>87675.97</v>
      </c>
      <c r="N863" s="28" t="s">
        <v>1387</v>
      </c>
      <c r="O863" s="28">
        <v>0</v>
      </c>
      <c r="P863" s="29" t="s">
        <v>1407</v>
      </c>
    </row>
    <row r="864" spans="3:16" ht="36.75" thickBot="1" x14ac:dyDescent="0.3">
      <c r="C864" s="27" t="s">
        <v>1509</v>
      </c>
      <c r="D864" s="28">
        <v>857</v>
      </c>
      <c r="E864" s="28" t="s">
        <v>1402</v>
      </c>
      <c r="F864" s="28" t="s">
        <v>1229</v>
      </c>
      <c r="G864" s="28" t="s">
        <v>1998</v>
      </c>
      <c r="H864" s="28" t="s">
        <v>143</v>
      </c>
      <c r="I864" s="28" t="s">
        <v>60</v>
      </c>
      <c r="J864" s="28" t="s">
        <v>1951</v>
      </c>
      <c r="K864" s="28" t="s">
        <v>1405</v>
      </c>
      <c r="L864" s="28" t="s">
        <v>1406</v>
      </c>
      <c r="M864" s="28">
        <v>990000</v>
      </c>
      <c r="N864" s="28" t="s">
        <v>1387</v>
      </c>
      <c r="O864" s="28">
        <v>0</v>
      </c>
      <c r="P864" s="29" t="s">
        <v>1407</v>
      </c>
    </row>
    <row r="865" spans="3:16" ht="36.75" thickBot="1" x14ac:dyDescent="0.3">
      <c r="C865" s="27" t="s">
        <v>1509</v>
      </c>
      <c r="D865" s="28">
        <v>858</v>
      </c>
      <c r="E865" s="28" t="s">
        <v>1402</v>
      </c>
      <c r="F865" s="28" t="s">
        <v>1239</v>
      </c>
      <c r="G865" s="28" t="s">
        <v>1998</v>
      </c>
      <c r="H865" s="28" t="s">
        <v>143</v>
      </c>
      <c r="I865" s="28" t="s">
        <v>60</v>
      </c>
      <c r="J865" s="28" t="s">
        <v>1951</v>
      </c>
      <c r="K865" s="28" t="s">
        <v>1405</v>
      </c>
      <c r="L865" s="28" t="s">
        <v>1406</v>
      </c>
      <c r="M865" s="28">
        <v>2200000</v>
      </c>
      <c r="N865" s="28" t="s">
        <v>1387</v>
      </c>
      <c r="O865" s="28">
        <v>0</v>
      </c>
      <c r="P865" s="29" t="s">
        <v>1407</v>
      </c>
    </row>
    <row r="866" spans="3:16" ht="36.75" thickBot="1" x14ac:dyDescent="0.3">
      <c r="C866" s="27" t="s">
        <v>1509</v>
      </c>
      <c r="D866" s="28">
        <v>859</v>
      </c>
      <c r="E866" s="28" t="s">
        <v>1402</v>
      </c>
      <c r="F866" s="28" t="s">
        <v>1332</v>
      </c>
      <c r="G866" s="28" t="s">
        <v>1998</v>
      </c>
      <c r="H866" s="28" t="s">
        <v>143</v>
      </c>
      <c r="I866" s="28" t="s">
        <v>60</v>
      </c>
      <c r="J866" s="28" t="s">
        <v>1951</v>
      </c>
      <c r="K866" s="28" t="s">
        <v>1405</v>
      </c>
      <c r="L866" s="28" t="s">
        <v>1406</v>
      </c>
      <c r="M866" s="28">
        <v>1695760</v>
      </c>
      <c r="N866" s="28" t="s">
        <v>1387</v>
      </c>
      <c r="O866" s="28">
        <v>0</v>
      </c>
      <c r="P866" s="29" t="s">
        <v>1407</v>
      </c>
    </row>
    <row r="867" spans="3:16" ht="36.75" thickBot="1" x14ac:dyDescent="0.3">
      <c r="C867" s="27" t="s">
        <v>1509</v>
      </c>
      <c r="D867" s="28">
        <v>860</v>
      </c>
      <c r="E867" s="28" t="s">
        <v>1402</v>
      </c>
      <c r="F867" s="28" t="s">
        <v>748</v>
      </c>
      <c r="G867" s="28" t="s">
        <v>1998</v>
      </c>
      <c r="H867" s="28" t="s">
        <v>143</v>
      </c>
      <c r="I867" s="28" t="s">
        <v>60</v>
      </c>
      <c r="J867" s="28" t="s">
        <v>1951</v>
      </c>
      <c r="K867" s="28" t="s">
        <v>1405</v>
      </c>
      <c r="L867" s="28" t="s">
        <v>1406</v>
      </c>
      <c r="M867" s="28">
        <v>3540000</v>
      </c>
      <c r="N867" s="28" t="s">
        <v>1387</v>
      </c>
      <c r="O867" s="28">
        <v>0</v>
      </c>
      <c r="P867" s="29" t="s">
        <v>1407</v>
      </c>
    </row>
    <row r="868" spans="3:16" ht="36.75" thickBot="1" x14ac:dyDescent="0.3">
      <c r="C868" s="27" t="s">
        <v>1509</v>
      </c>
      <c r="D868" s="28">
        <v>861</v>
      </c>
      <c r="E868" s="28" t="s">
        <v>1402</v>
      </c>
      <c r="F868" s="28" t="s">
        <v>1334</v>
      </c>
      <c r="G868" s="28" t="s">
        <v>1998</v>
      </c>
      <c r="H868" s="28" t="s">
        <v>143</v>
      </c>
      <c r="I868" s="28" t="s">
        <v>60</v>
      </c>
      <c r="J868" s="28" t="s">
        <v>1951</v>
      </c>
      <c r="K868" s="28" t="s">
        <v>1405</v>
      </c>
      <c r="L868" s="28" t="s">
        <v>1406</v>
      </c>
      <c r="M868" s="28">
        <v>2200000</v>
      </c>
      <c r="N868" s="28" t="s">
        <v>1387</v>
      </c>
      <c r="O868" s="28">
        <v>0</v>
      </c>
      <c r="P868" s="29" t="s">
        <v>1407</v>
      </c>
    </row>
    <row r="869" spans="3:16" ht="36.75" thickBot="1" x14ac:dyDescent="0.3">
      <c r="C869" s="27" t="s">
        <v>1509</v>
      </c>
      <c r="D869" s="28">
        <v>862</v>
      </c>
      <c r="E869" s="28" t="s">
        <v>1402</v>
      </c>
      <c r="F869" s="28" t="s">
        <v>793</v>
      </c>
      <c r="G869" s="28" t="s">
        <v>1998</v>
      </c>
      <c r="H869" s="28" t="s">
        <v>143</v>
      </c>
      <c r="I869" s="28" t="s">
        <v>60</v>
      </c>
      <c r="J869" s="28" t="s">
        <v>1951</v>
      </c>
      <c r="K869" s="28" t="s">
        <v>1405</v>
      </c>
      <c r="L869" s="28" t="s">
        <v>1406</v>
      </c>
      <c r="M869" s="28">
        <v>2200000</v>
      </c>
      <c r="N869" s="28" t="s">
        <v>1387</v>
      </c>
      <c r="O869" s="28">
        <v>0</v>
      </c>
      <c r="P869" s="29" t="s">
        <v>1407</v>
      </c>
    </row>
    <row r="870" spans="3:16" ht="36.75" thickBot="1" x14ac:dyDescent="0.3">
      <c r="C870" s="27" t="s">
        <v>1509</v>
      </c>
      <c r="D870" s="28">
        <v>863</v>
      </c>
      <c r="E870" s="28" t="s">
        <v>1402</v>
      </c>
      <c r="F870" s="28" t="s">
        <v>1335</v>
      </c>
      <c r="G870" s="28" t="s">
        <v>1998</v>
      </c>
      <c r="H870" s="28" t="s">
        <v>143</v>
      </c>
      <c r="I870" s="28" t="s">
        <v>60</v>
      </c>
      <c r="J870" s="28" t="s">
        <v>1951</v>
      </c>
      <c r="K870" s="28" t="s">
        <v>1405</v>
      </c>
      <c r="L870" s="28" t="s">
        <v>1406</v>
      </c>
      <c r="M870" s="28">
        <v>1000000</v>
      </c>
      <c r="N870" s="28" t="s">
        <v>1387</v>
      </c>
      <c r="O870" s="28">
        <v>0</v>
      </c>
      <c r="P870" s="29" t="s">
        <v>1407</v>
      </c>
    </row>
    <row r="871" spans="3:16" ht="36.75" thickBot="1" x14ac:dyDescent="0.3">
      <c r="C871" s="27" t="s">
        <v>1509</v>
      </c>
      <c r="D871" s="28">
        <v>864</v>
      </c>
      <c r="E871" s="28" t="s">
        <v>1402</v>
      </c>
      <c r="F871" s="28" t="s">
        <v>1337</v>
      </c>
      <c r="G871" s="28" t="s">
        <v>1998</v>
      </c>
      <c r="H871" s="28" t="s">
        <v>143</v>
      </c>
      <c r="I871" s="28" t="s">
        <v>60</v>
      </c>
      <c r="J871" s="28" t="s">
        <v>1951</v>
      </c>
      <c r="K871" s="28" t="s">
        <v>1405</v>
      </c>
      <c r="L871" s="28" t="s">
        <v>1406</v>
      </c>
      <c r="M871" s="28">
        <v>12784.45</v>
      </c>
      <c r="N871" s="28" t="s">
        <v>1387</v>
      </c>
      <c r="O871" s="28">
        <v>0</v>
      </c>
      <c r="P871" s="29" t="s">
        <v>1407</v>
      </c>
    </row>
    <row r="872" spans="3:16" ht="36.75" thickBot="1" x14ac:dyDescent="0.3">
      <c r="C872" s="27" t="s">
        <v>1509</v>
      </c>
      <c r="D872" s="28">
        <v>865</v>
      </c>
      <c r="E872" s="28" t="s">
        <v>1402</v>
      </c>
      <c r="F872" s="28" t="s">
        <v>194</v>
      </c>
      <c r="G872" s="28" t="s">
        <v>1998</v>
      </c>
      <c r="H872" s="28" t="s">
        <v>143</v>
      </c>
      <c r="I872" s="28" t="s">
        <v>60</v>
      </c>
      <c r="J872" s="28" t="s">
        <v>1951</v>
      </c>
      <c r="K872" s="28" t="s">
        <v>1405</v>
      </c>
      <c r="L872" s="28" t="s">
        <v>1406</v>
      </c>
      <c r="M872" s="28">
        <v>1328475.49</v>
      </c>
      <c r="N872" s="28" t="s">
        <v>1387</v>
      </c>
      <c r="O872" s="28">
        <v>0</v>
      </c>
      <c r="P872" s="29" t="s">
        <v>1407</v>
      </c>
    </row>
    <row r="873" spans="3:16" ht="36.75" thickBot="1" x14ac:dyDescent="0.3">
      <c r="C873" s="27" t="s">
        <v>1509</v>
      </c>
      <c r="D873" s="28">
        <v>866</v>
      </c>
      <c r="E873" s="28" t="s">
        <v>1402</v>
      </c>
      <c r="F873" s="28" t="s">
        <v>1348</v>
      </c>
      <c r="G873" s="28" t="s">
        <v>1998</v>
      </c>
      <c r="H873" s="28" t="s">
        <v>143</v>
      </c>
      <c r="I873" s="28" t="s">
        <v>60</v>
      </c>
      <c r="J873" s="28" t="s">
        <v>1951</v>
      </c>
      <c r="K873" s="28" t="s">
        <v>1405</v>
      </c>
      <c r="L873" s="28" t="s">
        <v>1406</v>
      </c>
      <c r="M873" s="28">
        <v>82850.7</v>
      </c>
      <c r="N873" s="28" t="s">
        <v>1387</v>
      </c>
      <c r="O873" s="28">
        <v>0</v>
      </c>
      <c r="P873" s="29" t="s">
        <v>1407</v>
      </c>
    </row>
    <row r="874" spans="3:16" ht="36.75" thickBot="1" x14ac:dyDescent="0.3">
      <c r="C874" s="27" t="s">
        <v>1509</v>
      </c>
      <c r="D874" s="28">
        <v>867</v>
      </c>
      <c r="E874" s="28" t="s">
        <v>1402</v>
      </c>
      <c r="F874" s="28" t="s">
        <v>200</v>
      </c>
      <c r="G874" s="28" t="s">
        <v>201</v>
      </c>
      <c r="H874" s="28" t="s">
        <v>202</v>
      </c>
      <c r="I874" s="28" t="s">
        <v>60</v>
      </c>
      <c r="J874" s="28" t="s">
        <v>1951</v>
      </c>
      <c r="K874" s="28" t="s">
        <v>1405</v>
      </c>
      <c r="L874" s="28" t="s">
        <v>1406</v>
      </c>
      <c r="M874" s="28">
        <v>218756.96</v>
      </c>
      <c r="N874" s="28" t="s">
        <v>1387</v>
      </c>
      <c r="O874" s="28">
        <v>0</v>
      </c>
      <c r="P874" s="29" t="s">
        <v>1407</v>
      </c>
    </row>
    <row r="875" spans="3:16" ht="36.75" thickBot="1" x14ac:dyDescent="0.3">
      <c r="C875" s="27" t="s">
        <v>1509</v>
      </c>
      <c r="D875" s="28">
        <v>868</v>
      </c>
      <c r="E875" s="28" t="s">
        <v>1402</v>
      </c>
      <c r="F875" s="28" t="s">
        <v>597</v>
      </c>
      <c r="G875" s="28" t="s">
        <v>1999</v>
      </c>
      <c r="H875" s="28" t="s">
        <v>67</v>
      </c>
      <c r="I875" s="28" t="s">
        <v>60</v>
      </c>
      <c r="J875" s="28" t="s">
        <v>1951</v>
      </c>
      <c r="K875" s="28" t="s">
        <v>1405</v>
      </c>
      <c r="L875" s="28" t="s">
        <v>1406</v>
      </c>
      <c r="M875" s="28">
        <v>6330800</v>
      </c>
      <c r="N875" s="28" t="s">
        <v>1387</v>
      </c>
      <c r="O875" s="28">
        <v>0</v>
      </c>
      <c r="P875" s="29" t="s">
        <v>1407</v>
      </c>
    </row>
    <row r="876" spans="3:16" ht="36.75" thickBot="1" x14ac:dyDescent="0.3">
      <c r="C876" s="27" t="s">
        <v>1509</v>
      </c>
      <c r="D876" s="28">
        <v>869</v>
      </c>
      <c r="E876" s="28" t="s">
        <v>1402</v>
      </c>
      <c r="F876" s="28" t="s">
        <v>371</v>
      </c>
      <c r="G876" s="28" t="s">
        <v>1999</v>
      </c>
      <c r="H876" s="28" t="s">
        <v>67</v>
      </c>
      <c r="I876" s="28" t="s">
        <v>60</v>
      </c>
      <c r="J876" s="28" t="s">
        <v>1951</v>
      </c>
      <c r="K876" s="28" t="s">
        <v>1405</v>
      </c>
      <c r="L876" s="28" t="s">
        <v>1406</v>
      </c>
      <c r="M876" s="28">
        <v>836960</v>
      </c>
      <c r="N876" s="28" t="s">
        <v>1387</v>
      </c>
      <c r="O876" s="28">
        <v>0</v>
      </c>
      <c r="P876" s="29" t="s">
        <v>1407</v>
      </c>
    </row>
    <row r="877" spans="3:16" ht="36.75" thickBot="1" x14ac:dyDescent="0.3">
      <c r="C877" s="27" t="s">
        <v>1509</v>
      </c>
      <c r="D877" s="28">
        <v>870</v>
      </c>
      <c r="E877" s="28" t="s">
        <v>1402</v>
      </c>
      <c r="F877" s="28" t="s">
        <v>992</v>
      </c>
      <c r="G877" s="28" t="s">
        <v>1999</v>
      </c>
      <c r="H877" s="28" t="s">
        <v>67</v>
      </c>
      <c r="I877" s="28" t="s">
        <v>60</v>
      </c>
      <c r="J877" s="28" t="s">
        <v>1951</v>
      </c>
      <c r="K877" s="28" t="s">
        <v>1405</v>
      </c>
      <c r="L877" s="28" t="s">
        <v>1406</v>
      </c>
      <c r="M877" s="28">
        <v>625360</v>
      </c>
      <c r="N877" s="28" t="s">
        <v>1387</v>
      </c>
      <c r="O877" s="28">
        <v>0</v>
      </c>
      <c r="P877" s="29" t="s">
        <v>1407</v>
      </c>
    </row>
    <row r="878" spans="3:16" ht="36.75" thickBot="1" x14ac:dyDescent="0.3">
      <c r="C878" s="27" t="s">
        <v>1509</v>
      </c>
      <c r="D878" s="28">
        <v>871</v>
      </c>
      <c r="E878" s="28" t="s">
        <v>1402</v>
      </c>
      <c r="F878" s="28" t="s">
        <v>983</v>
      </c>
      <c r="G878" s="28" t="s">
        <v>1999</v>
      </c>
      <c r="H878" s="28" t="s">
        <v>67</v>
      </c>
      <c r="I878" s="28" t="s">
        <v>60</v>
      </c>
      <c r="J878" s="28" t="s">
        <v>1951</v>
      </c>
      <c r="K878" s="28" t="s">
        <v>1405</v>
      </c>
      <c r="L878" s="28" t="s">
        <v>1406</v>
      </c>
      <c r="M878" s="28">
        <v>598400</v>
      </c>
      <c r="N878" s="28" t="s">
        <v>1387</v>
      </c>
      <c r="O878" s="28">
        <v>0</v>
      </c>
      <c r="P878" s="29" t="s">
        <v>1407</v>
      </c>
    </row>
    <row r="879" spans="3:16" ht="36.75" thickBot="1" x14ac:dyDescent="0.3">
      <c r="C879" s="27" t="s">
        <v>1509</v>
      </c>
      <c r="D879" s="28">
        <v>872</v>
      </c>
      <c r="E879" s="28" t="s">
        <v>1402</v>
      </c>
      <c r="F879" s="28" t="s">
        <v>998</v>
      </c>
      <c r="G879" s="28" t="s">
        <v>1999</v>
      </c>
      <c r="H879" s="28" t="s">
        <v>67</v>
      </c>
      <c r="I879" s="28" t="s">
        <v>60</v>
      </c>
      <c r="J879" s="28" t="s">
        <v>1951</v>
      </c>
      <c r="K879" s="28" t="s">
        <v>1405</v>
      </c>
      <c r="L879" s="28" t="s">
        <v>1406</v>
      </c>
      <c r="M879" s="28">
        <v>3319696.15</v>
      </c>
      <c r="N879" s="28" t="s">
        <v>1387</v>
      </c>
      <c r="O879" s="28">
        <v>0</v>
      </c>
      <c r="P879" s="29" t="s">
        <v>1407</v>
      </c>
    </row>
    <row r="880" spans="3:16" ht="36.75" thickBot="1" x14ac:dyDescent="0.3">
      <c r="C880" s="27" t="s">
        <v>1509</v>
      </c>
      <c r="D880" s="28">
        <v>873</v>
      </c>
      <c r="E880" s="28" t="s">
        <v>1402</v>
      </c>
      <c r="F880" s="28" t="s">
        <v>604</v>
      </c>
      <c r="G880" s="28" t="s">
        <v>1999</v>
      </c>
      <c r="H880" s="28" t="s">
        <v>67</v>
      </c>
      <c r="I880" s="28" t="s">
        <v>60</v>
      </c>
      <c r="J880" s="28" t="s">
        <v>1951</v>
      </c>
      <c r="K880" s="28" t="s">
        <v>1405</v>
      </c>
      <c r="L880" s="28" t="s">
        <v>1406</v>
      </c>
      <c r="M880" s="28">
        <v>1021060</v>
      </c>
      <c r="N880" s="28" t="s">
        <v>1387</v>
      </c>
      <c r="O880" s="28">
        <v>0</v>
      </c>
      <c r="P880" s="29" t="s">
        <v>1407</v>
      </c>
    </row>
    <row r="881" spans="3:16" ht="36.75" thickBot="1" x14ac:dyDescent="0.3">
      <c r="C881" s="27" t="s">
        <v>1509</v>
      </c>
      <c r="D881" s="28">
        <v>874</v>
      </c>
      <c r="E881" s="28" t="s">
        <v>1402</v>
      </c>
      <c r="F881" s="28" t="s">
        <v>607</v>
      </c>
      <c r="G881" s="28" t="s">
        <v>1999</v>
      </c>
      <c r="H881" s="28" t="s">
        <v>67</v>
      </c>
      <c r="I881" s="28" t="s">
        <v>60</v>
      </c>
      <c r="J881" s="28" t="s">
        <v>1951</v>
      </c>
      <c r="K881" s="28" t="s">
        <v>1405</v>
      </c>
      <c r="L881" s="28" t="s">
        <v>1406</v>
      </c>
      <c r="M881" s="28">
        <v>988160</v>
      </c>
      <c r="N881" s="28" t="s">
        <v>1387</v>
      </c>
      <c r="O881" s="28">
        <v>0</v>
      </c>
      <c r="P881" s="29" t="s">
        <v>1407</v>
      </c>
    </row>
    <row r="882" spans="3:16" ht="36.75" thickBot="1" x14ac:dyDescent="0.3">
      <c r="C882" s="27" t="s">
        <v>1509</v>
      </c>
      <c r="D882" s="28">
        <v>875</v>
      </c>
      <c r="E882" s="28" t="s">
        <v>1402</v>
      </c>
      <c r="F882" s="28" t="s">
        <v>1010</v>
      </c>
      <c r="G882" s="28" t="s">
        <v>1999</v>
      </c>
      <c r="H882" s="28" t="s">
        <v>67</v>
      </c>
      <c r="I882" s="28" t="s">
        <v>60</v>
      </c>
      <c r="J882" s="28" t="s">
        <v>1951</v>
      </c>
      <c r="K882" s="28" t="s">
        <v>1405</v>
      </c>
      <c r="L882" s="28" t="s">
        <v>1406</v>
      </c>
      <c r="M882" s="28">
        <v>330640</v>
      </c>
      <c r="N882" s="28" t="s">
        <v>1387</v>
      </c>
      <c r="O882" s="28">
        <v>0</v>
      </c>
      <c r="P882" s="29" t="s">
        <v>1407</v>
      </c>
    </row>
    <row r="883" spans="3:16" ht="36.75" thickBot="1" x14ac:dyDescent="0.3">
      <c r="C883" s="27" t="s">
        <v>1509</v>
      </c>
      <c r="D883" s="28">
        <v>876</v>
      </c>
      <c r="E883" s="28" t="s">
        <v>1402</v>
      </c>
      <c r="F883" s="28" t="s">
        <v>611</v>
      </c>
      <c r="G883" s="28" t="s">
        <v>1999</v>
      </c>
      <c r="H883" s="28" t="s">
        <v>67</v>
      </c>
      <c r="I883" s="28" t="s">
        <v>60</v>
      </c>
      <c r="J883" s="28" t="s">
        <v>1951</v>
      </c>
      <c r="K883" s="28" t="s">
        <v>1405</v>
      </c>
      <c r="L883" s="28" t="s">
        <v>1406</v>
      </c>
      <c r="M883" s="28">
        <v>1011960</v>
      </c>
      <c r="N883" s="28" t="s">
        <v>1387</v>
      </c>
      <c r="O883" s="28">
        <v>0</v>
      </c>
      <c r="P883" s="29" t="s">
        <v>1407</v>
      </c>
    </row>
    <row r="884" spans="3:16" ht="36.75" thickBot="1" x14ac:dyDescent="0.3">
      <c r="C884" s="27" t="s">
        <v>1509</v>
      </c>
      <c r="D884" s="28">
        <v>877</v>
      </c>
      <c r="E884" s="28" t="s">
        <v>1402</v>
      </c>
      <c r="F884" s="28" t="s">
        <v>1012</v>
      </c>
      <c r="G884" s="28" t="s">
        <v>1999</v>
      </c>
      <c r="H884" s="28" t="s">
        <v>67</v>
      </c>
      <c r="I884" s="28" t="s">
        <v>60</v>
      </c>
      <c r="J884" s="28" t="s">
        <v>1951</v>
      </c>
      <c r="K884" s="28" t="s">
        <v>1405</v>
      </c>
      <c r="L884" s="28" t="s">
        <v>1406</v>
      </c>
      <c r="M884" s="28">
        <v>1829436.3</v>
      </c>
      <c r="N884" s="28" t="s">
        <v>1387</v>
      </c>
      <c r="O884" s="28">
        <v>0</v>
      </c>
      <c r="P884" s="29" t="s">
        <v>1407</v>
      </c>
    </row>
    <row r="885" spans="3:16" ht="36.75" thickBot="1" x14ac:dyDescent="0.3">
      <c r="C885" s="27" t="s">
        <v>1509</v>
      </c>
      <c r="D885" s="28">
        <v>878</v>
      </c>
      <c r="E885" s="28" t="s">
        <v>1402</v>
      </c>
      <c r="F885" s="28" t="s">
        <v>370</v>
      </c>
      <c r="G885" s="28" t="s">
        <v>1999</v>
      </c>
      <c r="H885" s="28" t="s">
        <v>67</v>
      </c>
      <c r="I885" s="28" t="s">
        <v>60</v>
      </c>
      <c r="J885" s="28" t="s">
        <v>1951</v>
      </c>
      <c r="K885" s="28" t="s">
        <v>1405</v>
      </c>
      <c r="L885" s="28" t="s">
        <v>1406</v>
      </c>
      <c r="M885" s="28">
        <v>4010029.83</v>
      </c>
      <c r="N885" s="28" t="s">
        <v>1387</v>
      </c>
      <c r="O885" s="28">
        <v>0</v>
      </c>
      <c r="P885" s="29" t="s">
        <v>1407</v>
      </c>
    </row>
    <row r="886" spans="3:16" ht="36.75" thickBot="1" x14ac:dyDescent="0.3">
      <c r="C886" s="27" t="s">
        <v>1509</v>
      </c>
      <c r="D886" s="28">
        <v>879</v>
      </c>
      <c r="E886" s="28" t="s">
        <v>1402</v>
      </c>
      <c r="F886" s="28" t="s">
        <v>1017</v>
      </c>
      <c r="G886" s="28" t="s">
        <v>1999</v>
      </c>
      <c r="H886" s="28" t="s">
        <v>67</v>
      </c>
      <c r="I886" s="28" t="s">
        <v>60</v>
      </c>
      <c r="J886" s="28" t="s">
        <v>1951</v>
      </c>
      <c r="K886" s="28" t="s">
        <v>1405</v>
      </c>
      <c r="L886" s="28" t="s">
        <v>1406</v>
      </c>
      <c r="M886" s="28">
        <v>1414613.7</v>
      </c>
      <c r="N886" s="28" t="s">
        <v>1387</v>
      </c>
      <c r="O886" s="28">
        <v>0</v>
      </c>
      <c r="P886" s="29" t="s">
        <v>1407</v>
      </c>
    </row>
    <row r="887" spans="3:16" ht="36.75" thickBot="1" x14ac:dyDescent="0.3">
      <c r="C887" s="27" t="s">
        <v>1509</v>
      </c>
      <c r="D887" s="28">
        <v>880</v>
      </c>
      <c r="E887" s="28" t="s">
        <v>1402</v>
      </c>
      <c r="F887" s="28" t="s">
        <v>1008</v>
      </c>
      <c r="G887" s="28" t="s">
        <v>1999</v>
      </c>
      <c r="H887" s="28" t="s">
        <v>67</v>
      </c>
      <c r="I887" s="28" t="s">
        <v>60</v>
      </c>
      <c r="J887" s="28" t="s">
        <v>1951</v>
      </c>
      <c r="K887" s="28" t="s">
        <v>1405</v>
      </c>
      <c r="L887" s="28" t="s">
        <v>1406</v>
      </c>
      <c r="M887" s="28">
        <v>653158.81999999995</v>
      </c>
      <c r="N887" s="28" t="s">
        <v>1387</v>
      </c>
      <c r="O887" s="28">
        <v>0</v>
      </c>
      <c r="P887" s="29" t="s">
        <v>1407</v>
      </c>
    </row>
    <row r="888" spans="3:16" ht="36.75" thickBot="1" x14ac:dyDescent="0.3">
      <c r="C888" s="27" t="s">
        <v>1509</v>
      </c>
      <c r="D888" s="28">
        <v>881</v>
      </c>
      <c r="E888" s="28" t="s">
        <v>1402</v>
      </c>
      <c r="F888" s="28" t="s">
        <v>1020</v>
      </c>
      <c r="G888" s="28" t="s">
        <v>1999</v>
      </c>
      <c r="H888" s="28" t="s">
        <v>67</v>
      </c>
      <c r="I888" s="28" t="s">
        <v>60</v>
      </c>
      <c r="J888" s="28" t="s">
        <v>1951</v>
      </c>
      <c r="K888" s="28" t="s">
        <v>1405</v>
      </c>
      <c r="L888" s="28" t="s">
        <v>1406</v>
      </c>
      <c r="M888" s="28">
        <v>2124595.2000000002</v>
      </c>
      <c r="N888" s="28" t="s">
        <v>1387</v>
      </c>
      <c r="O888" s="28">
        <v>0</v>
      </c>
      <c r="P888" s="29" t="s">
        <v>1407</v>
      </c>
    </row>
    <row r="889" spans="3:16" ht="36.75" thickBot="1" x14ac:dyDescent="0.3">
      <c r="C889" s="27" t="s">
        <v>1509</v>
      </c>
      <c r="D889" s="28">
        <v>882</v>
      </c>
      <c r="E889" s="28" t="s">
        <v>1402</v>
      </c>
      <c r="F889" s="28" t="s">
        <v>1028</v>
      </c>
      <c r="G889" s="28" t="s">
        <v>1999</v>
      </c>
      <c r="H889" s="28" t="s">
        <v>67</v>
      </c>
      <c r="I889" s="28" t="s">
        <v>60</v>
      </c>
      <c r="J889" s="28" t="s">
        <v>1951</v>
      </c>
      <c r="K889" s="28" t="s">
        <v>1405</v>
      </c>
      <c r="L889" s="28" t="s">
        <v>1406</v>
      </c>
      <c r="M889" s="28">
        <v>1676940</v>
      </c>
      <c r="N889" s="28" t="s">
        <v>1387</v>
      </c>
      <c r="O889" s="28">
        <v>0</v>
      </c>
      <c r="P889" s="29" t="s">
        <v>1407</v>
      </c>
    </row>
    <row r="890" spans="3:16" ht="36.75" thickBot="1" x14ac:dyDescent="0.3">
      <c r="C890" s="27" t="s">
        <v>1509</v>
      </c>
      <c r="D890" s="28">
        <v>883</v>
      </c>
      <c r="E890" s="28" t="s">
        <v>1402</v>
      </c>
      <c r="F890" s="28" t="s">
        <v>1018</v>
      </c>
      <c r="G890" s="28" t="s">
        <v>1999</v>
      </c>
      <c r="H890" s="28" t="s">
        <v>67</v>
      </c>
      <c r="I890" s="28" t="s">
        <v>60</v>
      </c>
      <c r="J890" s="28" t="s">
        <v>1951</v>
      </c>
      <c r="K890" s="28" t="s">
        <v>1405</v>
      </c>
      <c r="L890" s="28" t="s">
        <v>1406</v>
      </c>
      <c r="M890" s="28">
        <v>469057.4</v>
      </c>
      <c r="N890" s="28" t="s">
        <v>1387</v>
      </c>
      <c r="O890" s="28">
        <v>0</v>
      </c>
      <c r="P890" s="29" t="s">
        <v>1407</v>
      </c>
    </row>
    <row r="891" spans="3:16" ht="36.75" thickBot="1" x14ac:dyDescent="0.3">
      <c r="C891" s="27" t="s">
        <v>1509</v>
      </c>
      <c r="D891" s="28">
        <v>884</v>
      </c>
      <c r="E891" s="28" t="s">
        <v>1402</v>
      </c>
      <c r="F891" s="28" t="s">
        <v>1034</v>
      </c>
      <c r="G891" s="28" t="s">
        <v>1999</v>
      </c>
      <c r="H891" s="28" t="s">
        <v>67</v>
      </c>
      <c r="I891" s="28" t="s">
        <v>60</v>
      </c>
      <c r="J891" s="28" t="s">
        <v>1951</v>
      </c>
      <c r="K891" s="28" t="s">
        <v>1405</v>
      </c>
      <c r="L891" s="28" t="s">
        <v>1406</v>
      </c>
      <c r="M891" s="28">
        <v>58050</v>
      </c>
      <c r="N891" s="28" t="s">
        <v>1387</v>
      </c>
      <c r="O891" s="28">
        <v>0</v>
      </c>
      <c r="P891" s="29" t="s">
        <v>1407</v>
      </c>
    </row>
    <row r="892" spans="3:16" ht="36.75" thickBot="1" x14ac:dyDescent="0.3">
      <c r="C892" s="27" t="s">
        <v>1509</v>
      </c>
      <c r="D892" s="28">
        <v>885</v>
      </c>
      <c r="E892" s="28" t="s">
        <v>1402</v>
      </c>
      <c r="F892" s="28" t="s">
        <v>1037</v>
      </c>
      <c r="G892" s="28" t="s">
        <v>1999</v>
      </c>
      <c r="H892" s="28" t="s">
        <v>67</v>
      </c>
      <c r="I892" s="28" t="s">
        <v>60</v>
      </c>
      <c r="J892" s="28" t="s">
        <v>1951</v>
      </c>
      <c r="K892" s="28" t="s">
        <v>1405</v>
      </c>
      <c r="L892" s="28" t="s">
        <v>1406</v>
      </c>
      <c r="M892" s="28">
        <v>1274010.46</v>
      </c>
      <c r="N892" s="28" t="s">
        <v>1387</v>
      </c>
      <c r="O892" s="28">
        <v>0</v>
      </c>
      <c r="P892" s="29" t="s">
        <v>1407</v>
      </c>
    </row>
    <row r="893" spans="3:16" ht="36.75" thickBot="1" x14ac:dyDescent="0.3">
      <c r="C893" s="27" t="s">
        <v>1509</v>
      </c>
      <c r="D893" s="28">
        <v>886</v>
      </c>
      <c r="E893" s="28" t="s">
        <v>1402</v>
      </c>
      <c r="F893" s="28" t="s">
        <v>240</v>
      </c>
      <c r="G893" s="28" t="s">
        <v>1999</v>
      </c>
      <c r="H893" s="28" t="s">
        <v>67</v>
      </c>
      <c r="I893" s="28" t="s">
        <v>60</v>
      </c>
      <c r="J893" s="28" t="s">
        <v>1951</v>
      </c>
      <c r="K893" s="28" t="s">
        <v>1405</v>
      </c>
      <c r="L893" s="28" t="s">
        <v>1406</v>
      </c>
      <c r="M893" s="28">
        <v>1902712.5</v>
      </c>
      <c r="N893" s="28" t="s">
        <v>1387</v>
      </c>
      <c r="O893" s="28">
        <v>0</v>
      </c>
      <c r="P893" s="29" t="s">
        <v>1407</v>
      </c>
    </row>
    <row r="894" spans="3:16" ht="36.75" thickBot="1" x14ac:dyDescent="0.3">
      <c r="C894" s="27" t="s">
        <v>1509</v>
      </c>
      <c r="D894" s="28">
        <v>887</v>
      </c>
      <c r="E894" s="28" t="s">
        <v>1402</v>
      </c>
      <c r="F894" s="28" t="s">
        <v>1041</v>
      </c>
      <c r="G894" s="28" t="s">
        <v>1999</v>
      </c>
      <c r="H894" s="28" t="s">
        <v>67</v>
      </c>
      <c r="I894" s="28" t="s">
        <v>60</v>
      </c>
      <c r="J894" s="28" t="s">
        <v>1951</v>
      </c>
      <c r="K894" s="28" t="s">
        <v>1405</v>
      </c>
      <c r="L894" s="28" t="s">
        <v>1406</v>
      </c>
      <c r="M894" s="28">
        <v>123680</v>
      </c>
      <c r="N894" s="28" t="s">
        <v>1387</v>
      </c>
      <c r="O894" s="28">
        <v>0</v>
      </c>
      <c r="P894" s="29" t="s">
        <v>1407</v>
      </c>
    </row>
    <row r="895" spans="3:16" ht="36.75" thickBot="1" x14ac:dyDescent="0.3">
      <c r="C895" s="27" t="s">
        <v>1509</v>
      </c>
      <c r="D895" s="28">
        <v>888</v>
      </c>
      <c r="E895" s="28" t="s">
        <v>1402</v>
      </c>
      <c r="F895" s="28" t="s">
        <v>630</v>
      </c>
      <c r="G895" s="28" t="s">
        <v>1999</v>
      </c>
      <c r="H895" s="28" t="s">
        <v>67</v>
      </c>
      <c r="I895" s="28" t="s">
        <v>60</v>
      </c>
      <c r="J895" s="28" t="s">
        <v>1951</v>
      </c>
      <c r="K895" s="28" t="s">
        <v>1405</v>
      </c>
      <c r="L895" s="28" t="s">
        <v>1406</v>
      </c>
      <c r="M895" s="28">
        <v>67560</v>
      </c>
      <c r="N895" s="28" t="s">
        <v>1387</v>
      </c>
      <c r="O895" s="28">
        <v>0</v>
      </c>
      <c r="P895" s="29" t="s">
        <v>1407</v>
      </c>
    </row>
    <row r="896" spans="3:16" ht="36.75" thickBot="1" x14ac:dyDescent="0.3">
      <c r="C896" s="27" t="s">
        <v>1509</v>
      </c>
      <c r="D896" s="28">
        <v>889</v>
      </c>
      <c r="E896" s="28" t="s">
        <v>1402</v>
      </c>
      <c r="F896" s="28" t="s">
        <v>1032</v>
      </c>
      <c r="G896" s="28" t="s">
        <v>1999</v>
      </c>
      <c r="H896" s="28" t="s">
        <v>67</v>
      </c>
      <c r="I896" s="28" t="s">
        <v>60</v>
      </c>
      <c r="J896" s="28" t="s">
        <v>1951</v>
      </c>
      <c r="K896" s="28" t="s">
        <v>1405</v>
      </c>
      <c r="L896" s="28" t="s">
        <v>1406</v>
      </c>
      <c r="M896" s="28">
        <v>1115200</v>
      </c>
      <c r="N896" s="28" t="s">
        <v>1387</v>
      </c>
      <c r="O896" s="28">
        <v>0</v>
      </c>
      <c r="P896" s="29" t="s">
        <v>1407</v>
      </c>
    </row>
    <row r="897" spans="3:16" ht="36.75" thickBot="1" x14ac:dyDescent="0.3">
      <c r="C897" s="27" t="s">
        <v>1509</v>
      </c>
      <c r="D897" s="28">
        <v>890</v>
      </c>
      <c r="E897" s="28" t="s">
        <v>1402</v>
      </c>
      <c r="F897" s="28" t="s">
        <v>1047</v>
      </c>
      <c r="G897" s="28" t="s">
        <v>1999</v>
      </c>
      <c r="H897" s="28" t="s">
        <v>67</v>
      </c>
      <c r="I897" s="28" t="s">
        <v>60</v>
      </c>
      <c r="J897" s="28" t="s">
        <v>1951</v>
      </c>
      <c r="K897" s="28" t="s">
        <v>1405</v>
      </c>
      <c r="L897" s="28" t="s">
        <v>1406</v>
      </c>
      <c r="M897" s="28">
        <v>1020752.32</v>
      </c>
      <c r="N897" s="28" t="s">
        <v>1387</v>
      </c>
      <c r="O897" s="28">
        <v>0</v>
      </c>
      <c r="P897" s="29" t="s">
        <v>1407</v>
      </c>
    </row>
    <row r="898" spans="3:16" ht="36.75" thickBot="1" x14ac:dyDescent="0.3">
      <c r="C898" s="27" t="s">
        <v>1509</v>
      </c>
      <c r="D898" s="28">
        <v>891</v>
      </c>
      <c r="E898" s="28" t="s">
        <v>1402</v>
      </c>
      <c r="F898" s="28" t="s">
        <v>634</v>
      </c>
      <c r="G898" s="28" t="s">
        <v>1999</v>
      </c>
      <c r="H898" s="28" t="s">
        <v>67</v>
      </c>
      <c r="I898" s="28" t="s">
        <v>60</v>
      </c>
      <c r="J898" s="28" t="s">
        <v>1951</v>
      </c>
      <c r="K898" s="28" t="s">
        <v>1405</v>
      </c>
      <c r="L898" s="28" t="s">
        <v>1406</v>
      </c>
      <c r="M898" s="28">
        <v>761021.25</v>
      </c>
      <c r="N898" s="28" t="s">
        <v>1387</v>
      </c>
      <c r="O898" s="28">
        <v>0</v>
      </c>
      <c r="P898" s="29" t="s">
        <v>1407</v>
      </c>
    </row>
    <row r="899" spans="3:16" ht="36.75" thickBot="1" x14ac:dyDescent="0.3">
      <c r="C899" s="27" t="s">
        <v>1509</v>
      </c>
      <c r="D899" s="28">
        <v>892</v>
      </c>
      <c r="E899" s="28" t="s">
        <v>1402</v>
      </c>
      <c r="F899" s="28" t="s">
        <v>1050</v>
      </c>
      <c r="G899" s="28" t="s">
        <v>1999</v>
      </c>
      <c r="H899" s="28" t="s">
        <v>67</v>
      </c>
      <c r="I899" s="28" t="s">
        <v>60</v>
      </c>
      <c r="J899" s="28" t="s">
        <v>1951</v>
      </c>
      <c r="K899" s="28" t="s">
        <v>1405</v>
      </c>
      <c r="L899" s="28" t="s">
        <v>1406</v>
      </c>
      <c r="M899" s="28">
        <v>113430.39999999999</v>
      </c>
      <c r="N899" s="28" t="s">
        <v>1387</v>
      </c>
      <c r="O899" s="28">
        <v>0</v>
      </c>
      <c r="P899" s="29" t="s">
        <v>1407</v>
      </c>
    </row>
    <row r="900" spans="3:16" ht="36.75" thickBot="1" x14ac:dyDescent="0.3">
      <c r="C900" s="27" t="s">
        <v>1509</v>
      </c>
      <c r="D900" s="28">
        <v>893</v>
      </c>
      <c r="E900" s="28" t="s">
        <v>1402</v>
      </c>
      <c r="F900" s="28" t="s">
        <v>973</v>
      </c>
      <c r="G900" s="28" t="s">
        <v>1999</v>
      </c>
      <c r="H900" s="28" t="s">
        <v>67</v>
      </c>
      <c r="I900" s="28" t="s">
        <v>60</v>
      </c>
      <c r="J900" s="28" t="s">
        <v>1951</v>
      </c>
      <c r="K900" s="28" t="s">
        <v>1405</v>
      </c>
      <c r="L900" s="28" t="s">
        <v>1406</v>
      </c>
      <c r="M900" s="28">
        <v>1665520</v>
      </c>
      <c r="N900" s="28" t="s">
        <v>1387</v>
      </c>
      <c r="O900" s="28">
        <v>0</v>
      </c>
      <c r="P900" s="29" t="s">
        <v>1407</v>
      </c>
    </row>
    <row r="901" spans="3:16" ht="36.75" thickBot="1" x14ac:dyDescent="0.3">
      <c r="C901" s="27" t="s">
        <v>1509</v>
      </c>
      <c r="D901" s="28">
        <v>894</v>
      </c>
      <c r="E901" s="28" t="s">
        <v>1402</v>
      </c>
      <c r="F901" s="28" t="s">
        <v>1064</v>
      </c>
      <c r="G901" s="28" t="s">
        <v>1999</v>
      </c>
      <c r="H901" s="28" t="s">
        <v>67</v>
      </c>
      <c r="I901" s="28" t="s">
        <v>60</v>
      </c>
      <c r="J901" s="28" t="s">
        <v>1951</v>
      </c>
      <c r="K901" s="28" t="s">
        <v>1405</v>
      </c>
      <c r="L901" s="28" t="s">
        <v>1406</v>
      </c>
      <c r="M901" s="28">
        <v>126400</v>
      </c>
      <c r="N901" s="28" t="s">
        <v>1387</v>
      </c>
      <c r="O901" s="28">
        <v>0</v>
      </c>
      <c r="P901" s="29" t="s">
        <v>1407</v>
      </c>
    </row>
    <row r="902" spans="3:16" ht="36.75" thickBot="1" x14ac:dyDescent="0.3">
      <c r="C902" s="27" t="s">
        <v>1509</v>
      </c>
      <c r="D902" s="28">
        <v>895</v>
      </c>
      <c r="E902" s="28" t="s">
        <v>1402</v>
      </c>
      <c r="F902" s="28" t="s">
        <v>1067</v>
      </c>
      <c r="G902" s="28" t="s">
        <v>1999</v>
      </c>
      <c r="H902" s="28" t="s">
        <v>67</v>
      </c>
      <c r="I902" s="28" t="s">
        <v>60</v>
      </c>
      <c r="J902" s="28" t="s">
        <v>1951</v>
      </c>
      <c r="K902" s="28" t="s">
        <v>1405</v>
      </c>
      <c r="L902" s="28" t="s">
        <v>1406</v>
      </c>
      <c r="M902" s="28">
        <v>48977.29</v>
      </c>
      <c r="N902" s="28" t="s">
        <v>1387</v>
      </c>
      <c r="O902" s="28">
        <v>0</v>
      </c>
      <c r="P902" s="29" t="s">
        <v>1407</v>
      </c>
    </row>
    <row r="903" spans="3:16" ht="36.75" thickBot="1" x14ac:dyDescent="0.3">
      <c r="C903" s="27" t="s">
        <v>1509</v>
      </c>
      <c r="D903" s="28">
        <v>896</v>
      </c>
      <c r="E903" s="28" t="s">
        <v>1402</v>
      </c>
      <c r="F903" s="28" t="s">
        <v>649</v>
      </c>
      <c r="G903" s="28" t="s">
        <v>1999</v>
      </c>
      <c r="H903" s="28" t="s">
        <v>67</v>
      </c>
      <c r="I903" s="28" t="s">
        <v>60</v>
      </c>
      <c r="J903" s="28" t="s">
        <v>1951</v>
      </c>
      <c r="K903" s="28" t="s">
        <v>1405</v>
      </c>
      <c r="L903" s="28" t="s">
        <v>1406</v>
      </c>
      <c r="M903" s="28">
        <v>6695913.5</v>
      </c>
      <c r="N903" s="28" t="s">
        <v>1387</v>
      </c>
      <c r="O903" s="28">
        <v>0</v>
      </c>
      <c r="P903" s="29" t="s">
        <v>1407</v>
      </c>
    </row>
    <row r="904" spans="3:16" ht="36.75" thickBot="1" x14ac:dyDescent="0.3">
      <c r="C904" s="27" t="s">
        <v>1509</v>
      </c>
      <c r="D904" s="28">
        <v>897</v>
      </c>
      <c r="E904" s="28" t="s">
        <v>1402</v>
      </c>
      <c r="F904" s="28" t="s">
        <v>1074</v>
      </c>
      <c r="G904" s="28" t="s">
        <v>1999</v>
      </c>
      <c r="H904" s="28" t="s">
        <v>67</v>
      </c>
      <c r="I904" s="28" t="s">
        <v>60</v>
      </c>
      <c r="J904" s="28" t="s">
        <v>1951</v>
      </c>
      <c r="K904" s="28" t="s">
        <v>1405</v>
      </c>
      <c r="L904" s="28" t="s">
        <v>1406</v>
      </c>
      <c r="M904" s="28">
        <v>408000</v>
      </c>
      <c r="N904" s="28" t="s">
        <v>1387</v>
      </c>
      <c r="O904" s="28">
        <v>0</v>
      </c>
      <c r="P904" s="29" t="s">
        <v>1407</v>
      </c>
    </row>
    <row r="905" spans="3:16" ht="36.75" thickBot="1" x14ac:dyDescent="0.3">
      <c r="C905" s="27" t="s">
        <v>1509</v>
      </c>
      <c r="D905" s="28">
        <v>898</v>
      </c>
      <c r="E905" s="28" t="s">
        <v>1402</v>
      </c>
      <c r="F905" s="28" t="s">
        <v>1087</v>
      </c>
      <c r="G905" s="28" t="s">
        <v>1999</v>
      </c>
      <c r="H905" s="28" t="s">
        <v>67</v>
      </c>
      <c r="I905" s="28" t="s">
        <v>60</v>
      </c>
      <c r="J905" s="28" t="s">
        <v>1951</v>
      </c>
      <c r="K905" s="28" t="s">
        <v>1405</v>
      </c>
      <c r="L905" s="28" t="s">
        <v>1406</v>
      </c>
      <c r="M905" s="28">
        <v>393600</v>
      </c>
      <c r="N905" s="28" t="s">
        <v>1387</v>
      </c>
      <c r="O905" s="28">
        <v>0</v>
      </c>
      <c r="P905" s="29" t="s">
        <v>1407</v>
      </c>
    </row>
    <row r="906" spans="3:16" ht="36.75" thickBot="1" x14ac:dyDescent="0.3">
      <c r="C906" s="27" t="s">
        <v>1509</v>
      </c>
      <c r="D906" s="28">
        <v>899</v>
      </c>
      <c r="E906" s="28" t="s">
        <v>1402</v>
      </c>
      <c r="F906" s="28" t="s">
        <v>1090</v>
      </c>
      <c r="G906" s="28" t="s">
        <v>1999</v>
      </c>
      <c r="H906" s="28" t="s">
        <v>67</v>
      </c>
      <c r="I906" s="28" t="s">
        <v>60</v>
      </c>
      <c r="J906" s="28" t="s">
        <v>1951</v>
      </c>
      <c r="K906" s="28" t="s">
        <v>1405</v>
      </c>
      <c r="L906" s="28" t="s">
        <v>1406</v>
      </c>
      <c r="M906" s="28">
        <v>1607762.4</v>
      </c>
      <c r="N906" s="28" t="s">
        <v>1387</v>
      </c>
      <c r="O906" s="28">
        <v>0</v>
      </c>
      <c r="P906" s="29" t="s">
        <v>1407</v>
      </c>
    </row>
    <row r="907" spans="3:16" ht="36.75" thickBot="1" x14ac:dyDescent="0.3">
      <c r="C907" s="27" t="s">
        <v>1509</v>
      </c>
      <c r="D907" s="28">
        <v>900</v>
      </c>
      <c r="E907" s="28" t="s">
        <v>1402</v>
      </c>
      <c r="F907" s="28" t="s">
        <v>933</v>
      </c>
      <c r="G907" s="28" t="s">
        <v>1999</v>
      </c>
      <c r="H907" s="28" t="s">
        <v>67</v>
      </c>
      <c r="I907" s="28" t="s">
        <v>60</v>
      </c>
      <c r="J907" s="28" t="s">
        <v>1951</v>
      </c>
      <c r="K907" s="28" t="s">
        <v>1405</v>
      </c>
      <c r="L907" s="28" t="s">
        <v>1406</v>
      </c>
      <c r="M907" s="28">
        <v>976500</v>
      </c>
      <c r="N907" s="28" t="s">
        <v>1387</v>
      </c>
      <c r="O907" s="28">
        <v>0</v>
      </c>
      <c r="P907" s="29" t="s">
        <v>1407</v>
      </c>
    </row>
    <row r="908" spans="3:16" ht="36.75" thickBot="1" x14ac:dyDescent="0.3">
      <c r="C908" s="27" t="s">
        <v>1509</v>
      </c>
      <c r="D908" s="28">
        <v>901</v>
      </c>
      <c r="E908" s="28" t="s">
        <v>1402</v>
      </c>
      <c r="F908" s="28" t="s">
        <v>415</v>
      </c>
      <c r="G908" s="28" t="s">
        <v>1999</v>
      </c>
      <c r="H908" s="28" t="s">
        <v>67</v>
      </c>
      <c r="I908" s="28" t="s">
        <v>60</v>
      </c>
      <c r="J908" s="28" t="s">
        <v>1951</v>
      </c>
      <c r="K908" s="28" t="s">
        <v>1405</v>
      </c>
      <c r="L908" s="28" t="s">
        <v>1406</v>
      </c>
      <c r="M908" s="28">
        <v>90400</v>
      </c>
      <c r="N908" s="28" t="s">
        <v>1387</v>
      </c>
      <c r="O908" s="28">
        <v>0</v>
      </c>
      <c r="P908" s="29" t="s">
        <v>1407</v>
      </c>
    </row>
    <row r="909" spans="3:16" ht="36.75" thickBot="1" x14ac:dyDescent="0.3">
      <c r="C909" s="27" t="s">
        <v>1509</v>
      </c>
      <c r="D909" s="28">
        <v>902</v>
      </c>
      <c r="E909" s="28" t="s">
        <v>1402</v>
      </c>
      <c r="F909" s="28" t="s">
        <v>1188</v>
      </c>
      <c r="G909" s="28" t="s">
        <v>1999</v>
      </c>
      <c r="H909" s="28" t="s">
        <v>67</v>
      </c>
      <c r="I909" s="28" t="s">
        <v>60</v>
      </c>
      <c r="J909" s="28" t="s">
        <v>1951</v>
      </c>
      <c r="K909" s="28" t="s">
        <v>1405</v>
      </c>
      <c r="L909" s="28" t="s">
        <v>1406</v>
      </c>
      <c r="M909" s="28">
        <v>341257.5</v>
      </c>
      <c r="N909" s="28" t="s">
        <v>1387</v>
      </c>
      <c r="O909" s="28">
        <v>0</v>
      </c>
      <c r="P909" s="29" t="s">
        <v>1407</v>
      </c>
    </row>
    <row r="910" spans="3:16" ht="36.75" thickBot="1" x14ac:dyDescent="0.3">
      <c r="C910" s="27" t="s">
        <v>1509</v>
      </c>
      <c r="D910" s="28">
        <v>903</v>
      </c>
      <c r="E910" s="28" t="s">
        <v>1402</v>
      </c>
      <c r="F910" s="28" t="s">
        <v>1197</v>
      </c>
      <c r="G910" s="28" t="s">
        <v>1999</v>
      </c>
      <c r="H910" s="28" t="s">
        <v>67</v>
      </c>
      <c r="I910" s="28" t="s">
        <v>60</v>
      </c>
      <c r="J910" s="28" t="s">
        <v>1951</v>
      </c>
      <c r="K910" s="28" t="s">
        <v>1405</v>
      </c>
      <c r="L910" s="28" t="s">
        <v>1406</v>
      </c>
      <c r="M910" s="28">
        <v>3470</v>
      </c>
      <c r="N910" s="28" t="s">
        <v>1387</v>
      </c>
      <c r="O910" s="28">
        <v>0</v>
      </c>
      <c r="P910" s="29" t="s">
        <v>1407</v>
      </c>
    </row>
    <row r="911" spans="3:16" ht="36.75" thickBot="1" x14ac:dyDescent="0.3">
      <c r="C911" s="27" t="s">
        <v>1509</v>
      </c>
      <c r="D911" s="28">
        <v>904</v>
      </c>
      <c r="E911" s="28" t="s">
        <v>1402</v>
      </c>
      <c r="F911" s="28" t="s">
        <v>1219</v>
      </c>
      <c r="G911" s="28" t="s">
        <v>1999</v>
      </c>
      <c r="H911" s="28" t="s">
        <v>67</v>
      </c>
      <c r="I911" s="28" t="s">
        <v>60</v>
      </c>
      <c r="J911" s="28" t="s">
        <v>1951</v>
      </c>
      <c r="K911" s="28" t="s">
        <v>1405</v>
      </c>
      <c r="L911" s="28" t="s">
        <v>1406</v>
      </c>
      <c r="M911" s="28">
        <v>341076.37</v>
      </c>
      <c r="N911" s="28" t="s">
        <v>1387</v>
      </c>
      <c r="O911" s="28">
        <v>0</v>
      </c>
      <c r="P911" s="29" t="s">
        <v>1407</v>
      </c>
    </row>
    <row r="912" spans="3:16" ht="36.75" thickBot="1" x14ac:dyDescent="0.3">
      <c r="C912" s="27" t="s">
        <v>1509</v>
      </c>
      <c r="D912" s="28">
        <v>905</v>
      </c>
      <c r="E912" s="28" t="s">
        <v>1402</v>
      </c>
      <c r="F912" s="28" t="s">
        <v>1218</v>
      </c>
      <c r="G912" s="28" t="s">
        <v>1999</v>
      </c>
      <c r="H912" s="28" t="s">
        <v>67</v>
      </c>
      <c r="I912" s="28" t="s">
        <v>60</v>
      </c>
      <c r="J912" s="28" t="s">
        <v>1951</v>
      </c>
      <c r="K912" s="28" t="s">
        <v>1405</v>
      </c>
      <c r="L912" s="28" t="s">
        <v>1406</v>
      </c>
      <c r="M912" s="28">
        <v>286250.77</v>
      </c>
      <c r="N912" s="28" t="s">
        <v>1387</v>
      </c>
      <c r="O912" s="28">
        <v>0</v>
      </c>
      <c r="P912" s="29" t="s">
        <v>1407</v>
      </c>
    </row>
    <row r="913" spans="3:16" ht="36.75" thickBot="1" x14ac:dyDescent="0.3">
      <c r="C913" s="27" t="s">
        <v>1509</v>
      </c>
      <c r="D913" s="28">
        <v>906</v>
      </c>
      <c r="E913" s="28" t="s">
        <v>1402</v>
      </c>
      <c r="F913" s="28" t="s">
        <v>782</v>
      </c>
      <c r="G913" s="28" t="s">
        <v>2000</v>
      </c>
      <c r="H913" s="28" t="s">
        <v>784</v>
      </c>
      <c r="I913" s="28" t="s">
        <v>91</v>
      </c>
      <c r="J913" s="28" t="s">
        <v>2001</v>
      </c>
      <c r="K913" s="28" t="s">
        <v>1405</v>
      </c>
      <c r="L913" s="28" t="s">
        <v>1406</v>
      </c>
      <c r="M913" s="28">
        <v>598557.48</v>
      </c>
      <c r="N913" s="28" t="s">
        <v>1387</v>
      </c>
      <c r="O913" s="28">
        <v>0</v>
      </c>
      <c r="P913" s="29" t="s">
        <v>1407</v>
      </c>
    </row>
    <row r="914" spans="3:16" ht="36.75" thickBot="1" x14ac:dyDescent="0.3">
      <c r="C914" s="27" t="s">
        <v>1509</v>
      </c>
      <c r="D914" s="28">
        <v>907</v>
      </c>
      <c r="E914" s="28" t="s">
        <v>1402</v>
      </c>
      <c r="F914" s="28" t="s">
        <v>454</v>
      </c>
      <c r="G914" s="28" t="s">
        <v>1502</v>
      </c>
      <c r="H914" s="28" t="s">
        <v>86</v>
      </c>
      <c r="I914" s="28" t="s">
        <v>60</v>
      </c>
      <c r="J914" s="28" t="s">
        <v>2001</v>
      </c>
      <c r="K914" s="28" t="s">
        <v>1405</v>
      </c>
      <c r="L914" s="28" t="s">
        <v>1406</v>
      </c>
      <c r="M914" s="28">
        <v>1518171.19</v>
      </c>
      <c r="N914" s="28" t="s">
        <v>1387</v>
      </c>
      <c r="O914" s="28">
        <v>0</v>
      </c>
      <c r="P914" s="29" t="s">
        <v>1407</v>
      </c>
    </row>
    <row r="915" spans="3:16" ht="36.75" thickBot="1" x14ac:dyDescent="0.3">
      <c r="C915" s="27" t="s">
        <v>1509</v>
      </c>
      <c r="D915" s="28">
        <v>908</v>
      </c>
      <c r="E915" s="28" t="s">
        <v>1402</v>
      </c>
      <c r="F915" s="28" t="s">
        <v>802</v>
      </c>
      <c r="G915" s="28" t="s">
        <v>1502</v>
      </c>
      <c r="H915" s="28" t="s">
        <v>86</v>
      </c>
      <c r="I915" s="28" t="s">
        <v>60</v>
      </c>
      <c r="J915" s="28" t="s">
        <v>2001</v>
      </c>
      <c r="K915" s="28" t="s">
        <v>1405</v>
      </c>
      <c r="L915" s="28" t="s">
        <v>1406</v>
      </c>
      <c r="M915" s="28">
        <v>309094.09000000003</v>
      </c>
      <c r="N915" s="28" t="s">
        <v>1387</v>
      </c>
      <c r="O915" s="28">
        <v>0</v>
      </c>
      <c r="P915" s="29" t="s">
        <v>1407</v>
      </c>
    </row>
    <row r="916" spans="3:16" ht="36.75" thickBot="1" x14ac:dyDescent="0.3">
      <c r="C916" s="27" t="s">
        <v>1509</v>
      </c>
      <c r="D916" s="28">
        <v>909</v>
      </c>
      <c r="E916" s="28" t="s">
        <v>1402</v>
      </c>
      <c r="F916" s="28" t="s">
        <v>1272</v>
      </c>
      <c r="G916" s="28" t="s">
        <v>1502</v>
      </c>
      <c r="H916" s="28" t="s">
        <v>86</v>
      </c>
      <c r="I916" s="28" t="s">
        <v>60</v>
      </c>
      <c r="J916" s="28" t="s">
        <v>2001</v>
      </c>
      <c r="K916" s="28" t="s">
        <v>1405</v>
      </c>
      <c r="L916" s="28" t="s">
        <v>1406</v>
      </c>
      <c r="M916" s="28">
        <v>432010.44</v>
      </c>
      <c r="N916" s="28" t="s">
        <v>1387</v>
      </c>
      <c r="O916" s="28">
        <v>0</v>
      </c>
      <c r="P916" s="29" t="s">
        <v>1407</v>
      </c>
    </row>
    <row r="917" spans="3:16" ht="36.75" thickBot="1" x14ac:dyDescent="0.3">
      <c r="C917" s="27" t="s">
        <v>1509</v>
      </c>
      <c r="D917" s="28">
        <v>910</v>
      </c>
      <c r="E917" s="28" t="s">
        <v>1402</v>
      </c>
      <c r="F917" s="28" t="s">
        <v>84</v>
      </c>
      <c r="G917" s="28" t="s">
        <v>1502</v>
      </c>
      <c r="H917" s="28" t="s">
        <v>86</v>
      </c>
      <c r="I917" s="28" t="s">
        <v>60</v>
      </c>
      <c r="J917" s="28" t="s">
        <v>2001</v>
      </c>
      <c r="K917" s="28" t="s">
        <v>1405</v>
      </c>
      <c r="L917" s="28" t="s">
        <v>1406</v>
      </c>
      <c r="M917" s="28">
        <v>159195.54999999999</v>
      </c>
      <c r="N917" s="28" t="s">
        <v>1387</v>
      </c>
      <c r="O917" s="28">
        <v>0</v>
      </c>
      <c r="P917" s="29" t="s">
        <v>1407</v>
      </c>
    </row>
    <row r="918" spans="3:16" ht="36.75" thickBot="1" x14ac:dyDescent="0.3">
      <c r="C918" s="27" t="s">
        <v>1509</v>
      </c>
      <c r="D918" s="28">
        <v>911</v>
      </c>
      <c r="E918" s="28" t="s">
        <v>1402</v>
      </c>
      <c r="F918" s="28" t="s">
        <v>757</v>
      </c>
      <c r="G918" s="28" t="s">
        <v>2002</v>
      </c>
      <c r="H918" s="28" t="s">
        <v>759</v>
      </c>
      <c r="I918" s="28" t="s">
        <v>60</v>
      </c>
      <c r="J918" s="28" t="s">
        <v>1951</v>
      </c>
      <c r="K918" s="28" t="s">
        <v>1405</v>
      </c>
      <c r="L918" s="28" t="s">
        <v>1406</v>
      </c>
      <c r="M918" s="28">
        <v>34116.192831</v>
      </c>
      <c r="N918" s="28" t="s">
        <v>1387</v>
      </c>
      <c r="O918" s="28">
        <v>0</v>
      </c>
      <c r="P918" s="29" t="s">
        <v>1407</v>
      </c>
    </row>
    <row r="919" spans="3:16" ht="36.75" thickBot="1" x14ac:dyDescent="0.3">
      <c r="C919" s="27" t="s">
        <v>1509</v>
      </c>
      <c r="D919" s="28">
        <v>912</v>
      </c>
      <c r="E919" s="28" t="s">
        <v>1402</v>
      </c>
      <c r="F919" s="28" t="s">
        <v>1240</v>
      </c>
      <c r="G919" s="28" t="s">
        <v>1241</v>
      </c>
      <c r="H919" s="28" t="s">
        <v>1242</v>
      </c>
      <c r="I919" s="28" t="s">
        <v>60</v>
      </c>
      <c r="J919" s="28" t="s">
        <v>1951</v>
      </c>
      <c r="K919" s="28" t="s">
        <v>1405</v>
      </c>
      <c r="L919" s="28" t="s">
        <v>1406</v>
      </c>
      <c r="M919" s="28">
        <v>22206.5</v>
      </c>
      <c r="N919" s="28" t="s">
        <v>1387</v>
      </c>
      <c r="O919" s="28">
        <v>0</v>
      </c>
      <c r="P919" s="29" t="s">
        <v>1407</v>
      </c>
    </row>
    <row r="920" spans="3:16" ht="36.75" thickBot="1" x14ac:dyDescent="0.3">
      <c r="C920" s="27" t="s">
        <v>1509</v>
      </c>
      <c r="D920" s="28">
        <v>913</v>
      </c>
      <c r="E920" s="28" t="s">
        <v>1402</v>
      </c>
      <c r="F920" s="28" t="s">
        <v>1341</v>
      </c>
      <c r="G920" s="28" t="s">
        <v>1241</v>
      </c>
      <c r="H920" s="28" t="s">
        <v>1242</v>
      </c>
      <c r="I920" s="28" t="s">
        <v>60</v>
      </c>
      <c r="J920" s="28" t="s">
        <v>1951</v>
      </c>
      <c r="K920" s="28" t="s">
        <v>1405</v>
      </c>
      <c r="L920" s="28" t="s">
        <v>1406</v>
      </c>
      <c r="M920" s="28">
        <v>298725</v>
      </c>
      <c r="N920" s="28" t="s">
        <v>1387</v>
      </c>
      <c r="O920" s="28">
        <v>0</v>
      </c>
      <c r="P920" s="29" t="s">
        <v>1407</v>
      </c>
    </row>
    <row r="921" spans="3:16" ht="36.75" thickBot="1" x14ac:dyDescent="0.3">
      <c r="C921" s="27" t="s">
        <v>1509</v>
      </c>
      <c r="D921" s="28">
        <v>914</v>
      </c>
      <c r="E921" s="28" t="s">
        <v>1402</v>
      </c>
      <c r="F921" s="28" t="s">
        <v>155</v>
      </c>
      <c r="G921" s="28" t="s">
        <v>2003</v>
      </c>
      <c r="H921" s="28" t="s">
        <v>157</v>
      </c>
      <c r="I921" s="28" t="s">
        <v>60</v>
      </c>
      <c r="J921" s="28" t="s">
        <v>1951</v>
      </c>
      <c r="K921" s="28" t="s">
        <v>1405</v>
      </c>
      <c r="L921" s="28" t="s">
        <v>1406</v>
      </c>
      <c r="M921" s="28">
        <v>86327.03</v>
      </c>
      <c r="N921" s="28" t="s">
        <v>1387</v>
      </c>
      <c r="O921" s="28">
        <v>0</v>
      </c>
      <c r="P921" s="29" t="s">
        <v>1407</v>
      </c>
    </row>
    <row r="922" spans="3:16" ht="36.75" thickBot="1" x14ac:dyDescent="0.3">
      <c r="C922" s="27" t="s">
        <v>1509</v>
      </c>
      <c r="D922" s="28">
        <v>915</v>
      </c>
      <c r="E922" s="28" t="s">
        <v>1402</v>
      </c>
      <c r="F922" s="28" t="s">
        <v>881</v>
      </c>
      <c r="G922" s="28" t="s">
        <v>1732</v>
      </c>
      <c r="H922" s="28" t="s">
        <v>263</v>
      </c>
      <c r="I922" s="28" t="s">
        <v>91</v>
      </c>
      <c r="J922" s="28" t="s">
        <v>2001</v>
      </c>
      <c r="K922" s="28" t="s">
        <v>1405</v>
      </c>
      <c r="L922" s="28" t="s">
        <v>1406</v>
      </c>
      <c r="M922" s="28">
        <v>8000</v>
      </c>
      <c r="N922" s="28" t="s">
        <v>1387</v>
      </c>
      <c r="O922" s="28">
        <v>0</v>
      </c>
      <c r="P922" s="29" t="s">
        <v>1407</v>
      </c>
    </row>
    <row r="923" spans="3:16" ht="36.75" thickBot="1" x14ac:dyDescent="0.3">
      <c r="C923" s="27" t="s">
        <v>1509</v>
      </c>
      <c r="D923" s="28">
        <v>916</v>
      </c>
      <c r="E923" s="28" t="s">
        <v>1402</v>
      </c>
      <c r="F923" s="28" t="s">
        <v>842</v>
      </c>
      <c r="G923" s="28" t="s">
        <v>2004</v>
      </c>
      <c r="H923" s="28" t="s">
        <v>844</v>
      </c>
      <c r="I923" s="28" t="s">
        <v>60</v>
      </c>
      <c r="J923" s="28" t="s">
        <v>1951</v>
      </c>
      <c r="K923" s="28" t="s">
        <v>1405</v>
      </c>
      <c r="L923" s="28" t="s">
        <v>1406</v>
      </c>
      <c r="M923" s="28">
        <v>704880</v>
      </c>
      <c r="N923" s="28" t="s">
        <v>1387</v>
      </c>
      <c r="O923" s="28">
        <v>0</v>
      </c>
      <c r="P923" s="29" t="s">
        <v>1407</v>
      </c>
    </row>
    <row r="924" spans="3:16" ht="36.75" thickBot="1" x14ac:dyDescent="0.3">
      <c r="C924" s="27" t="s">
        <v>1509</v>
      </c>
      <c r="D924" s="28">
        <v>917</v>
      </c>
      <c r="E924" s="28" t="s">
        <v>1402</v>
      </c>
      <c r="F924" s="28" t="s">
        <v>557</v>
      </c>
      <c r="G924" s="28" t="s">
        <v>2005</v>
      </c>
      <c r="H924" s="28" t="s">
        <v>73</v>
      </c>
      <c r="I924" s="28" t="s">
        <v>60</v>
      </c>
      <c r="J924" s="28" t="s">
        <v>2001</v>
      </c>
      <c r="K924" s="28" t="s">
        <v>1405</v>
      </c>
      <c r="L924" s="28" t="s">
        <v>1406</v>
      </c>
      <c r="M924" s="28">
        <v>448.92</v>
      </c>
      <c r="N924" s="28" t="s">
        <v>1387</v>
      </c>
      <c r="O924" s="28">
        <v>0</v>
      </c>
      <c r="P924" s="29" t="s">
        <v>1407</v>
      </c>
    </row>
    <row r="925" spans="3:16" ht="36.75" thickBot="1" x14ac:dyDescent="0.3">
      <c r="C925" s="27" t="s">
        <v>1509</v>
      </c>
      <c r="D925" s="28">
        <v>918</v>
      </c>
      <c r="E925" s="28" t="s">
        <v>1402</v>
      </c>
      <c r="F925" s="28" t="s">
        <v>981</v>
      </c>
      <c r="G925" s="28" t="s">
        <v>2005</v>
      </c>
      <c r="H925" s="28" t="s">
        <v>73</v>
      </c>
      <c r="I925" s="28" t="s">
        <v>60</v>
      </c>
      <c r="J925" s="28" t="s">
        <v>2001</v>
      </c>
      <c r="K925" s="28" t="s">
        <v>1405</v>
      </c>
      <c r="L925" s="28" t="s">
        <v>1406</v>
      </c>
      <c r="M925" s="28">
        <v>139.66</v>
      </c>
      <c r="N925" s="28" t="s">
        <v>1387</v>
      </c>
      <c r="O925" s="28">
        <v>0</v>
      </c>
      <c r="P925" s="29" t="s">
        <v>1407</v>
      </c>
    </row>
    <row r="926" spans="3:16" ht="36.75" thickBot="1" x14ac:dyDescent="0.3">
      <c r="C926" s="27" t="s">
        <v>1509</v>
      </c>
      <c r="D926" s="28">
        <v>919</v>
      </c>
      <c r="E926" s="28" t="s">
        <v>1402</v>
      </c>
      <c r="F926" s="28" t="s">
        <v>589</v>
      </c>
      <c r="G926" s="28" t="s">
        <v>2005</v>
      </c>
      <c r="H926" s="28" t="s">
        <v>73</v>
      </c>
      <c r="I926" s="28" t="s">
        <v>60</v>
      </c>
      <c r="J926" s="28" t="s">
        <v>2001</v>
      </c>
      <c r="K926" s="28" t="s">
        <v>1405</v>
      </c>
      <c r="L926" s="28" t="s">
        <v>1406</v>
      </c>
      <c r="M926" s="28">
        <v>49.88</v>
      </c>
      <c r="N926" s="28" t="s">
        <v>1387</v>
      </c>
      <c r="O926" s="28">
        <v>0</v>
      </c>
      <c r="P926" s="29" t="s">
        <v>1407</v>
      </c>
    </row>
    <row r="927" spans="3:16" ht="36.75" thickBot="1" x14ac:dyDescent="0.3">
      <c r="C927" s="27" t="s">
        <v>1509</v>
      </c>
      <c r="D927" s="28">
        <v>920</v>
      </c>
      <c r="E927" s="28" t="s">
        <v>1402</v>
      </c>
      <c r="F927" s="28" t="s">
        <v>978</v>
      </c>
      <c r="G927" s="28" t="s">
        <v>2005</v>
      </c>
      <c r="H927" s="28" t="s">
        <v>73</v>
      </c>
      <c r="I927" s="28" t="s">
        <v>60</v>
      </c>
      <c r="J927" s="28" t="s">
        <v>2001</v>
      </c>
      <c r="K927" s="28" t="s">
        <v>1405</v>
      </c>
      <c r="L927" s="28" t="s">
        <v>1406</v>
      </c>
      <c r="M927" s="28">
        <v>4539.0600000000004</v>
      </c>
      <c r="N927" s="28" t="s">
        <v>1387</v>
      </c>
      <c r="O927" s="28">
        <v>0</v>
      </c>
      <c r="P927" s="29" t="s">
        <v>1407</v>
      </c>
    </row>
    <row r="928" spans="3:16" ht="36.75" thickBot="1" x14ac:dyDescent="0.3">
      <c r="C928" s="27" t="s">
        <v>1509</v>
      </c>
      <c r="D928" s="28">
        <v>921</v>
      </c>
      <c r="E928" s="28" t="s">
        <v>1402</v>
      </c>
      <c r="F928" s="28" t="s">
        <v>984</v>
      </c>
      <c r="G928" s="28" t="s">
        <v>2005</v>
      </c>
      <c r="H928" s="28" t="s">
        <v>73</v>
      </c>
      <c r="I928" s="28" t="s">
        <v>60</v>
      </c>
      <c r="J928" s="28" t="s">
        <v>2001</v>
      </c>
      <c r="K928" s="28" t="s">
        <v>1405</v>
      </c>
      <c r="L928" s="28" t="s">
        <v>1406</v>
      </c>
      <c r="M928" s="28">
        <v>79.81</v>
      </c>
      <c r="N928" s="28" t="s">
        <v>1387</v>
      </c>
      <c r="O928" s="28">
        <v>0</v>
      </c>
      <c r="P928" s="29" t="s">
        <v>1407</v>
      </c>
    </row>
    <row r="929" spans="3:16" ht="36.75" thickBot="1" x14ac:dyDescent="0.3">
      <c r="C929" s="27" t="s">
        <v>1509</v>
      </c>
      <c r="D929" s="28">
        <v>922</v>
      </c>
      <c r="E929" s="28" t="s">
        <v>1402</v>
      </c>
      <c r="F929" s="28" t="s">
        <v>950</v>
      </c>
      <c r="G929" s="28" t="s">
        <v>2005</v>
      </c>
      <c r="H929" s="28" t="s">
        <v>73</v>
      </c>
      <c r="I929" s="28" t="s">
        <v>60</v>
      </c>
      <c r="J929" s="28" t="s">
        <v>2001</v>
      </c>
      <c r="K929" s="28" t="s">
        <v>1405</v>
      </c>
      <c r="L929" s="28" t="s">
        <v>1406</v>
      </c>
      <c r="M929" s="28">
        <v>79.81</v>
      </c>
      <c r="N929" s="28" t="s">
        <v>1387</v>
      </c>
      <c r="O929" s="28">
        <v>0</v>
      </c>
      <c r="P929" s="29" t="s">
        <v>1407</v>
      </c>
    </row>
    <row r="930" spans="3:16" ht="36.75" thickBot="1" x14ac:dyDescent="0.3">
      <c r="C930" s="27" t="s">
        <v>1509</v>
      </c>
      <c r="D930" s="28">
        <v>923</v>
      </c>
      <c r="E930" s="28" t="s">
        <v>1402</v>
      </c>
      <c r="F930" s="28" t="s">
        <v>986</v>
      </c>
      <c r="G930" s="28" t="s">
        <v>2005</v>
      </c>
      <c r="H930" s="28" t="s">
        <v>73</v>
      </c>
      <c r="I930" s="28" t="s">
        <v>60</v>
      </c>
      <c r="J930" s="28" t="s">
        <v>2001</v>
      </c>
      <c r="K930" s="28" t="s">
        <v>1405</v>
      </c>
      <c r="L930" s="28" t="s">
        <v>1406</v>
      </c>
      <c r="M930" s="28">
        <v>79.81</v>
      </c>
      <c r="N930" s="28" t="s">
        <v>1387</v>
      </c>
      <c r="O930" s="28">
        <v>0</v>
      </c>
      <c r="P930" s="29" t="s">
        <v>1407</v>
      </c>
    </row>
    <row r="931" spans="3:16" ht="36.75" thickBot="1" x14ac:dyDescent="0.3">
      <c r="C931" s="27" t="s">
        <v>1509</v>
      </c>
      <c r="D931" s="28">
        <v>924</v>
      </c>
      <c r="E931" s="28" t="s">
        <v>1402</v>
      </c>
      <c r="F931" s="28" t="s">
        <v>982</v>
      </c>
      <c r="G931" s="28" t="s">
        <v>2005</v>
      </c>
      <c r="H931" s="28" t="s">
        <v>73</v>
      </c>
      <c r="I931" s="28" t="s">
        <v>60</v>
      </c>
      <c r="J931" s="28" t="s">
        <v>2001</v>
      </c>
      <c r="K931" s="28" t="s">
        <v>1405</v>
      </c>
      <c r="L931" s="28" t="s">
        <v>1406</v>
      </c>
      <c r="M931" s="28">
        <v>897.84</v>
      </c>
      <c r="N931" s="28" t="s">
        <v>1387</v>
      </c>
      <c r="O931" s="28">
        <v>0</v>
      </c>
      <c r="P931" s="29" t="s">
        <v>1407</v>
      </c>
    </row>
    <row r="932" spans="3:16" ht="36.75" thickBot="1" x14ac:dyDescent="0.3">
      <c r="C932" s="27" t="s">
        <v>1509</v>
      </c>
      <c r="D932" s="28">
        <v>925</v>
      </c>
      <c r="E932" s="28" t="s">
        <v>1402</v>
      </c>
      <c r="F932" s="28" t="s">
        <v>988</v>
      </c>
      <c r="G932" s="28" t="s">
        <v>2005</v>
      </c>
      <c r="H932" s="28" t="s">
        <v>73</v>
      </c>
      <c r="I932" s="28" t="s">
        <v>60</v>
      </c>
      <c r="J932" s="28" t="s">
        <v>2001</v>
      </c>
      <c r="K932" s="28" t="s">
        <v>1405</v>
      </c>
      <c r="L932" s="28" t="s">
        <v>1406</v>
      </c>
      <c r="M932" s="28">
        <v>74.819999999999993</v>
      </c>
      <c r="N932" s="28" t="s">
        <v>1387</v>
      </c>
      <c r="O932" s="28">
        <v>0</v>
      </c>
      <c r="P932" s="29" t="s">
        <v>1407</v>
      </c>
    </row>
    <row r="933" spans="3:16" ht="36.75" thickBot="1" x14ac:dyDescent="0.3">
      <c r="C933" s="27" t="s">
        <v>1509</v>
      </c>
      <c r="D933" s="28">
        <v>926</v>
      </c>
      <c r="E933" s="28" t="s">
        <v>1402</v>
      </c>
      <c r="F933" s="28" t="s">
        <v>366</v>
      </c>
      <c r="G933" s="28" t="s">
        <v>2005</v>
      </c>
      <c r="H933" s="28" t="s">
        <v>73</v>
      </c>
      <c r="I933" s="28" t="s">
        <v>60</v>
      </c>
      <c r="J933" s="28" t="s">
        <v>2001</v>
      </c>
      <c r="K933" s="28" t="s">
        <v>1405</v>
      </c>
      <c r="L933" s="28" t="s">
        <v>1406</v>
      </c>
      <c r="M933" s="28">
        <v>74.819999999999993</v>
      </c>
      <c r="N933" s="28" t="s">
        <v>1387</v>
      </c>
      <c r="O933" s="28">
        <v>0</v>
      </c>
      <c r="P933" s="29" t="s">
        <v>1407</v>
      </c>
    </row>
    <row r="934" spans="3:16" ht="36.75" thickBot="1" x14ac:dyDescent="0.3">
      <c r="C934" s="27" t="s">
        <v>1509</v>
      </c>
      <c r="D934" s="28">
        <v>927</v>
      </c>
      <c r="E934" s="28" t="s">
        <v>1402</v>
      </c>
      <c r="F934" s="28" t="s">
        <v>989</v>
      </c>
      <c r="G934" s="28" t="s">
        <v>2005</v>
      </c>
      <c r="H934" s="28" t="s">
        <v>73</v>
      </c>
      <c r="I934" s="28" t="s">
        <v>60</v>
      </c>
      <c r="J934" s="28" t="s">
        <v>2001</v>
      </c>
      <c r="K934" s="28" t="s">
        <v>1405</v>
      </c>
      <c r="L934" s="28" t="s">
        <v>1406</v>
      </c>
      <c r="M934" s="28">
        <v>374.1</v>
      </c>
      <c r="N934" s="28" t="s">
        <v>1387</v>
      </c>
      <c r="O934" s="28">
        <v>0</v>
      </c>
      <c r="P934" s="29" t="s">
        <v>1407</v>
      </c>
    </row>
    <row r="935" spans="3:16" ht="36.75" thickBot="1" x14ac:dyDescent="0.3">
      <c r="C935" s="27" t="s">
        <v>1509</v>
      </c>
      <c r="D935" s="28">
        <v>928</v>
      </c>
      <c r="E935" s="28" t="s">
        <v>1402</v>
      </c>
      <c r="F935" s="28" t="s">
        <v>985</v>
      </c>
      <c r="G935" s="28" t="s">
        <v>2005</v>
      </c>
      <c r="H935" s="28" t="s">
        <v>73</v>
      </c>
      <c r="I935" s="28" t="s">
        <v>60</v>
      </c>
      <c r="J935" s="28" t="s">
        <v>2001</v>
      </c>
      <c r="K935" s="28" t="s">
        <v>1405</v>
      </c>
      <c r="L935" s="28" t="s">
        <v>1406</v>
      </c>
      <c r="M935" s="28">
        <v>49.88</v>
      </c>
      <c r="N935" s="28" t="s">
        <v>1387</v>
      </c>
      <c r="O935" s="28">
        <v>0</v>
      </c>
      <c r="P935" s="29" t="s">
        <v>1407</v>
      </c>
    </row>
    <row r="936" spans="3:16" ht="36.75" thickBot="1" x14ac:dyDescent="0.3">
      <c r="C936" s="27" t="s">
        <v>1509</v>
      </c>
      <c r="D936" s="28">
        <v>929</v>
      </c>
      <c r="E936" s="28" t="s">
        <v>1402</v>
      </c>
      <c r="F936" s="28" t="s">
        <v>990</v>
      </c>
      <c r="G936" s="28" t="s">
        <v>2005</v>
      </c>
      <c r="H936" s="28" t="s">
        <v>73</v>
      </c>
      <c r="I936" s="28" t="s">
        <v>60</v>
      </c>
      <c r="J936" s="28" t="s">
        <v>2001</v>
      </c>
      <c r="K936" s="28" t="s">
        <v>1405</v>
      </c>
      <c r="L936" s="28" t="s">
        <v>1406</v>
      </c>
      <c r="M936" s="28">
        <v>49.88</v>
      </c>
      <c r="N936" s="28" t="s">
        <v>1387</v>
      </c>
      <c r="O936" s="28">
        <v>0</v>
      </c>
      <c r="P936" s="29" t="s">
        <v>1407</v>
      </c>
    </row>
    <row r="937" spans="3:16" ht="36.75" thickBot="1" x14ac:dyDescent="0.3">
      <c r="C937" s="27" t="s">
        <v>1509</v>
      </c>
      <c r="D937" s="28">
        <v>930</v>
      </c>
      <c r="E937" s="28" t="s">
        <v>1402</v>
      </c>
      <c r="F937" s="28" t="s">
        <v>360</v>
      </c>
      <c r="G937" s="28" t="s">
        <v>2005</v>
      </c>
      <c r="H937" s="28" t="s">
        <v>73</v>
      </c>
      <c r="I937" s="28" t="s">
        <v>60</v>
      </c>
      <c r="J937" s="28" t="s">
        <v>2001</v>
      </c>
      <c r="K937" s="28" t="s">
        <v>1405</v>
      </c>
      <c r="L937" s="28" t="s">
        <v>1406</v>
      </c>
      <c r="M937" s="28">
        <v>49.88</v>
      </c>
      <c r="N937" s="28" t="s">
        <v>1387</v>
      </c>
      <c r="O937" s="28">
        <v>0</v>
      </c>
      <c r="P937" s="29" t="s">
        <v>1407</v>
      </c>
    </row>
    <row r="938" spans="3:16" ht="36.75" thickBot="1" x14ac:dyDescent="0.3">
      <c r="C938" s="27" t="s">
        <v>1509</v>
      </c>
      <c r="D938" s="28">
        <v>931</v>
      </c>
      <c r="E938" s="28" t="s">
        <v>1402</v>
      </c>
      <c r="F938" s="28" t="s">
        <v>2006</v>
      </c>
      <c r="G938" s="28" t="s">
        <v>2005</v>
      </c>
      <c r="H938" s="28" t="s">
        <v>73</v>
      </c>
      <c r="I938" s="28" t="s">
        <v>60</v>
      </c>
      <c r="J938" s="28" t="s">
        <v>2001</v>
      </c>
      <c r="K938" s="28" t="s">
        <v>1405</v>
      </c>
      <c r="L938" s="28" t="s">
        <v>1406</v>
      </c>
      <c r="M938" s="28">
        <v>90.28</v>
      </c>
      <c r="N938" s="28" t="s">
        <v>1387</v>
      </c>
      <c r="O938" s="28">
        <v>0</v>
      </c>
      <c r="P938" s="29" t="s">
        <v>1407</v>
      </c>
    </row>
    <row r="939" spans="3:16" ht="36.75" thickBot="1" x14ac:dyDescent="0.3">
      <c r="C939" s="27" t="s">
        <v>1509</v>
      </c>
      <c r="D939" s="28">
        <v>932</v>
      </c>
      <c r="E939" s="28" t="s">
        <v>1402</v>
      </c>
      <c r="F939" s="28" t="s">
        <v>601</v>
      </c>
      <c r="G939" s="28" t="s">
        <v>2005</v>
      </c>
      <c r="H939" s="28" t="s">
        <v>73</v>
      </c>
      <c r="I939" s="28" t="s">
        <v>60</v>
      </c>
      <c r="J939" s="28" t="s">
        <v>2001</v>
      </c>
      <c r="K939" s="28" t="s">
        <v>1405</v>
      </c>
      <c r="L939" s="28" t="s">
        <v>1406</v>
      </c>
      <c r="M939" s="28">
        <v>24939.89</v>
      </c>
      <c r="N939" s="28" t="s">
        <v>1387</v>
      </c>
      <c r="O939" s="28">
        <v>0</v>
      </c>
      <c r="P939" s="29" t="s">
        <v>1407</v>
      </c>
    </row>
    <row r="940" spans="3:16" ht="36.75" thickBot="1" x14ac:dyDescent="0.3">
      <c r="C940" s="27" t="s">
        <v>1509</v>
      </c>
      <c r="D940" s="28">
        <v>933</v>
      </c>
      <c r="E940" s="28" t="s">
        <v>1402</v>
      </c>
      <c r="F940" s="28" t="s">
        <v>181</v>
      </c>
      <c r="G940" s="28" t="s">
        <v>2005</v>
      </c>
      <c r="H940" s="28" t="s">
        <v>73</v>
      </c>
      <c r="I940" s="28" t="s">
        <v>60</v>
      </c>
      <c r="J940" s="28" t="s">
        <v>2001</v>
      </c>
      <c r="K940" s="28" t="s">
        <v>1405</v>
      </c>
      <c r="L940" s="28" t="s">
        <v>1406</v>
      </c>
      <c r="M940" s="28">
        <v>141322</v>
      </c>
      <c r="N940" s="28" t="s">
        <v>1387</v>
      </c>
      <c r="O940" s="28">
        <v>0</v>
      </c>
      <c r="P940" s="29" t="s">
        <v>1407</v>
      </c>
    </row>
    <row r="941" spans="3:16" ht="36.75" thickBot="1" x14ac:dyDescent="0.3">
      <c r="C941" s="27" t="s">
        <v>1509</v>
      </c>
      <c r="D941" s="28">
        <v>934</v>
      </c>
      <c r="E941" s="28" t="s">
        <v>1402</v>
      </c>
      <c r="F941" s="28" t="s">
        <v>706</v>
      </c>
      <c r="G941" s="28" t="s">
        <v>2005</v>
      </c>
      <c r="H941" s="28" t="s">
        <v>73</v>
      </c>
      <c r="I941" s="28" t="s">
        <v>60</v>
      </c>
      <c r="J941" s="28" t="s">
        <v>2001</v>
      </c>
      <c r="K941" s="28" t="s">
        <v>1405</v>
      </c>
      <c r="L941" s="28" t="s">
        <v>1406</v>
      </c>
      <c r="M941" s="28">
        <v>3491.59</v>
      </c>
      <c r="N941" s="28" t="s">
        <v>1387</v>
      </c>
      <c r="O941" s="28">
        <v>0</v>
      </c>
      <c r="P941" s="29" t="s">
        <v>1407</v>
      </c>
    </row>
  </sheetData>
  <mergeCells count="4">
    <mergeCell ref="A1:P1"/>
    <mergeCell ref="D4:P4"/>
    <mergeCell ref="E5:P5"/>
    <mergeCell ref="Q5:Q6"/>
  </mergeCells>
  <conditionalFormatting sqref="D8:P941">
    <cfRule type="expression" dxfId="38" priority="1">
      <formula>LEN(TRIM(D8))=0</formula>
    </cfRule>
    <cfRule type="expression" dxfId="37" priority="2">
      <formula>LEN(TRIM(D8))=0</formula>
    </cfRule>
    <cfRule type="expression" dxfId="36" priority="3">
      <formula>LEN(TRIM(D8))=0</formula>
    </cfRule>
    <cfRule type="expression" dxfId="35" priority="4">
      <formula>LEN(TRIM(D8))=0</formula>
    </cfRule>
    <cfRule type="expression" dxfId="34" priority="5">
      <formula>LEN(TRIM(D8))=0</formula>
    </cfRule>
  </conditionalFormatting>
  <pageMargins left="0.7" right="0.7" top="0.75" bottom="0.75" header="0.3" footer="0.3"/>
  <pageSetup scale="37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A659-B496-4040-B442-5DFF1ADBE4A9}">
  <sheetPr codeName="Sheet5">
    <outlinePr summaryBelow="0" summaryRight="0"/>
    <pageSetUpPr fitToPage="1"/>
  </sheetPr>
  <dimension ref="A1:AL15"/>
  <sheetViews>
    <sheetView showGridLines="0" topLeftCell="M1" workbookViewId="0">
      <pane ySplit="6" topLeftCell="A7" activePane="bottomLeft" state="frozen"/>
      <selection pane="bottomLeft" activeCell="N8" sqref="N8:O8"/>
    </sheetView>
  </sheetViews>
  <sheetFormatPr defaultRowHeight="15" x14ac:dyDescent="0.25"/>
  <cols>
    <col min="1" max="1" width="5.5703125" style="20" customWidth="1"/>
    <col min="2" max="2" width="25.5703125" style="20" customWidth="1"/>
    <col min="3" max="3" width="3.85546875" style="20" bestFit="1" customWidth="1"/>
    <col min="4" max="37" width="20.5703125" style="20" customWidth="1"/>
    <col min="38" max="38" width="24.28515625" style="19" bestFit="1" customWidth="1"/>
    <col min="39" max="16384" width="9.140625" style="20"/>
  </cols>
  <sheetData>
    <row r="1" spans="1:38" x14ac:dyDescent="0.25">
      <c r="A1" s="208" t="s">
        <v>1510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</row>
    <row r="4" spans="1:38" x14ac:dyDescent="0.25">
      <c r="D4" s="210" t="s">
        <v>1</v>
      </c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2"/>
    </row>
    <row r="5" spans="1:38" ht="15" customHeight="1" x14ac:dyDescent="0.25">
      <c r="D5" s="21" t="s">
        <v>2</v>
      </c>
      <c r="E5" s="213" t="s">
        <v>3</v>
      </c>
      <c r="F5" s="215"/>
      <c r="G5" s="213" t="s">
        <v>1511</v>
      </c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5"/>
      <c r="AL5" s="217"/>
    </row>
    <row r="6" spans="1:38" ht="60" x14ac:dyDescent="0.25">
      <c r="D6" s="22"/>
      <c r="E6" s="23" t="s">
        <v>5</v>
      </c>
      <c r="F6" s="23" t="s">
        <v>6</v>
      </c>
      <c r="G6" s="23" t="s">
        <v>7</v>
      </c>
      <c r="H6" s="23" t="s">
        <v>1512</v>
      </c>
      <c r="I6" s="23" t="s">
        <v>1513</v>
      </c>
      <c r="J6" s="23" t="s">
        <v>14</v>
      </c>
      <c r="K6" s="23" t="s">
        <v>1514</v>
      </c>
      <c r="L6" s="23" t="s">
        <v>18</v>
      </c>
      <c r="M6" s="23" t="s">
        <v>1515</v>
      </c>
      <c r="N6" s="23" t="s">
        <v>16</v>
      </c>
      <c r="O6" s="23" t="s">
        <v>17</v>
      </c>
      <c r="P6" s="23" t="s">
        <v>1516</v>
      </c>
      <c r="Q6" s="23" t="s">
        <v>1517</v>
      </c>
      <c r="R6" s="23" t="s">
        <v>19</v>
      </c>
      <c r="S6" s="23" t="s">
        <v>20</v>
      </c>
      <c r="T6" s="23" t="s">
        <v>21</v>
      </c>
      <c r="U6" s="23" t="s">
        <v>1518</v>
      </c>
      <c r="V6" s="23" t="s">
        <v>1519</v>
      </c>
      <c r="W6" s="23" t="s">
        <v>1520</v>
      </c>
      <c r="X6" s="23" t="s">
        <v>1521</v>
      </c>
      <c r="Y6" s="23" t="s">
        <v>11</v>
      </c>
      <c r="Z6" s="23" t="s">
        <v>1522</v>
      </c>
      <c r="AA6" s="23" t="s">
        <v>1523</v>
      </c>
      <c r="AB6" s="23" t="s">
        <v>1524</v>
      </c>
      <c r="AC6" s="23" t="s">
        <v>1525</v>
      </c>
      <c r="AD6" s="23" t="s">
        <v>1526</v>
      </c>
      <c r="AE6" s="23" t="s">
        <v>23</v>
      </c>
      <c r="AF6" s="23" t="s">
        <v>24</v>
      </c>
      <c r="AG6" s="23" t="s">
        <v>1527</v>
      </c>
      <c r="AH6" s="23" t="s">
        <v>1528</v>
      </c>
      <c r="AI6" s="23" t="s">
        <v>1529</v>
      </c>
      <c r="AJ6" s="23" t="s">
        <v>27</v>
      </c>
      <c r="AK6" s="23" t="s">
        <v>1530</v>
      </c>
      <c r="AL6" s="217"/>
    </row>
    <row r="7" spans="1:38" ht="15.75" thickBot="1" x14ac:dyDescent="0.3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39</v>
      </c>
      <c r="J7" s="24" t="s">
        <v>40</v>
      </c>
      <c r="K7" s="24" t="s">
        <v>41</v>
      </c>
      <c r="L7" s="24" t="s">
        <v>42</v>
      </c>
      <c r="M7" s="24" t="s">
        <v>43</v>
      </c>
      <c r="N7" s="24" t="s">
        <v>44</v>
      </c>
      <c r="O7" s="24" t="s">
        <v>45</v>
      </c>
      <c r="P7" s="24" t="s">
        <v>46</v>
      </c>
      <c r="Q7" s="24" t="s">
        <v>47</v>
      </c>
      <c r="R7" s="24" t="s">
        <v>48</v>
      </c>
      <c r="S7" s="24" t="s">
        <v>49</v>
      </c>
      <c r="T7" s="24" t="s">
        <v>50</v>
      </c>
      <c r="U7" s="24" t="s">
        <v>52</v>
      </c>
      <c r="V7" s="24" t="s">
        <v>53</v>
      </c>
      <c r="W7" s="24" t="s">
        <v>1531</v>
      </c>
      <c r="X7" s="24" t="s">
        <v>1532</v>
      </c>
      <c r="Y7" s="24" t="s">
        <v>1533</v>
      </c>
      <c r="Z7" s="24" t="s">
        <v>1534</v>
      </c>
      <c r="AA7" s="24" t="s">
        <v>1535</v>
      </c>
      <c r="AB7" s="24" t="s">
        <v>1536</v>
      </c>
      <c r="AC7" s="24" t="s">
        <v>1537</v>
      </c>
      <c r="AD7" s="24" t="s">
        <v>1538</v>
      </c>
      <c r="AE7" s="24" t="s">
        <v>1539</v>
      </c>
      <c r="AF7" s="24" t="s">
        <v>1540</v>
      </c>
      <c r="AG7" s="24" t="s">
        <v>1541</v>
      </c>
      <c r="AH7" s="24" t="s">
        <v>1542</v>
      </c>
      <c r="AI7" s="24" t="s">
        <v>1543</v>
      </c>
      <c r="AJ7" s="24" t="s">
        <v>1544</v>
      </c>
      <c r="AK7" s="24" t="s">
        <v>1545</v>
      </c>
      <c r="AL7" s="137" t="s">
        <v>2628</v>
      </c>
    </row>
    <row r="8" spans="1:38" ht="48.75" thickBot="1" x14ac:dyDescent="0.3">
      <c r="A8" s="31" t="s">
        <v>54</v>
      </c>
      <c r="B8" s="32" t="s">
        <v>1546</v>
      </c>
      <c r="C8" s="33" t="s">
        <v>1509</v>
      </c>
      <c r="D8" s="28">
        <v>1</v>
      </c>
      <c r="E8" s="28" t="s">
        <v>2008</v>
      </c>
      <c r="F8" s="34" t="s">
        <v>1560</v>
      </c>
      <c r="G8" s="28" t="s">
        <v>2009</v>
      </c>
      <c r="H8" s="28" t="s">
        <v>2010</v>
      </c>
      <c r="I8" s="28" t="s">
        <v>2011</v>
      </c>
      <c r="J8" s="28" t="s">
        <v>1405</v>
      </c>
      <c r="K8" s="28" t="s">
        <v>62</v>
      </c>
      <c r="L8" s="28" t="s">
        <v>1405</v>
      </c>
      <c r="M8" s="35">
        <v>7599000</v>
      </c>
      <c r="N8" s="28">
        <v>7599000</v>
      </c>
      <c r="O8" s="35">
        <v>135845.14000000001</v>
      </c>
      <c r="P8" s="36" t="s">
        <v>2012</v>
      </c>
      <c r="Q8" s="37" t="s">
        <v>2013</v>
      </c>
      <c r="R8" s="28" t="s">
        <v>2014</v>
      </c>
      <c r="S8" s="28" t="s">
        <v>2015</v>
      </c>
      <c r="T8" s="28" t="s">
        <v>2015</v>
      </c>
      <c r="U8" s="28" t="s">
        <v>1547</v>
      </c>
      <c r="V8" s="28" t="s">
        <v>90</v>
      </c>
      <c r="W8" s="28" t="s">
        <v>63</v>
      </c>
      <c r="X8" s="28" t="s">
        <v>1548</v>
      </c>
      <c r="Y8" s="28" t="s">
        <v>91</v>
      </c>
      <c r="Z8" s="28" t="s">
        <v>2016</v>
      </c>
      <c r="AA8" s="28">
        <v>0</v>
      </c>
      <c r="AB8" s="28" t="s">
        <v>2016</v>
      </c>
      <c r="AC8" s="28" t="s">
        <v>2016</v>
      </c>
      <c r="AD8" s="28" t="s">
        <v>1562</v>
      </c>
      <c r="AE8" s="28">
        <v>7599000</v>
      </c>
      <c r="AF8" s="28">
        <v>0</v>
      </c>
      <c r="AG8" s="28">
        <v>0</v>
      </c>
      <c r="AH8" s="28" t="s">
        <v>1386</v>
      </c>
      <c r="AI8" s="34"/>
      <c r="AJ8" s="28" t="s">
        <v>2017</v>
      </c>
      <c r="AK8" s="28">
        <v>7599000</v>
      </c>
      <c r="AL8" s="138">
        <f>IFERROR(IF(DATEDIF(#REF!,T8,"m")&lt;=1,1,IF(AND(DATEDIF(#REF!,T8,"m")&gt;1,DATEDIF(#REF!,T8,"m")&lt;12),2,IF(AND(DATEDIF(#REF!,T8,"m")&gt;=12,DATEDIF(#REF!,T8,"m")&lt;24),3,IF(DATEDIF(#REF!,T8,"m")&gt;=24,4,"")))),4)</f>
        <v>4</v>
      </c>
    </row>
    <row r="9" spans="1:38" ht="36.75" thickBot="1" x14ac:dyDescent="0.3">
      <c r="C9" s="27" t="s">
        <v>1509</v>
      </c>
      <c r="D9" s="28">
        <v>2</v>
      </c>
      <c r="E9" s="28" t="s">
        <v>2007</v>
      </c>
      <c r="F9" s="34" t="s">
        <v>87</v>
      </c>
      <c r="G9" s="28" t="s">
        <v>1402</v>
      </c>
      <c r="H9" s="28" t="s">
        <v>768</v>
      </c>
      <c r="I9" s="28" t="s">
        <v>1821</v>
      </c>
      <c r="J9" s="28" t="s">
        <v>768</v>
      </c>
      <c r="K9" s="28" t="s">
        <v>62</v>
      </c>
      <c r="L9" s="28" t="s">
        <v>768</v>
      </c>
      <c r="M9" s="35" t="s">
        <v>768</v>
      </c>
      <c r="N9" s="28">
        <v>-116000</v>
      </c>
      <c r="O9" s="35" t="s">
        <v>768</v>
      </c>
      <c r="P9" s="36" t="s">
        <v>63</v>
      </c>
      <c r="Q9" s="37" t="s">
        <v>768</v>
      </c>
      <c r="R9" s="28" t="s">
        <v>1899</v>
      </c>
      <c r="S9" s="28" t="s">
        <v>1899</v>
      </c>
      <c r="T9" s="28" t="s">
        <v>1899</v>
      </c>
      <c r="U9" s="28" t="s">
        <v>1547</v>
      </c>
      <c r="V9" s="28">
        <v>0</v>
      </c>
      <c r="W9" s="28">
        <v>0</v>
      </c>
      <c r="X9" s="28" t="s">
        <v>1549</v>
      </c>
      <c r="Y9" s="28" t="s">
        <v>91</v>
      </c>
      <c r="Z9" s="28">
        <v>0</v>
      </c>
      <c r="AA9" s="28">
        <v>0</v>
      </c>
      <c r="AB9" s="28">
        <v>0</v>
      </c>
      <c r="AC9" s="28">
        <v>0</v>
      </c>
      <c r="AD9" s="28" t="s">
        <v>1562</v>
      </c>
      <c r="AE9" s="28" t="s">
        <v>768</v>
      </c>
      <c r="AF9" s="28">
        <v>0</v>
      </c>
      <c r="AG9" s="28">
        <v>0</v>
      </c>
      <c r="AH9" s="28" t="s">
        <v>768</v>
      </c>
      <c r="AI9" s="34"/>
      <c r="AJ9" s="28" t="s">
        <v>1387</v>
      </c>
      <c r="AK9" s="28">
        <v>0</v>
      </c>
      <c r="AL9" s="138">
        <f>IFERROR(IF(DATEDIF(#REF!,T9,"m")&lt;=1,1,IF(AND(DATEDIF(#REF!,T9,"m")&gt;1,DATEDIF(#REF!,T9,"m")&lt;12),2,IF(AND(DATEDIF(#REF!,T9,"m")&gt;=12,DATEDIF(#REF!,T9,"m")&lt;24),3,IF(DATEDIF(#REF!,T9,"m")&gt;=24,4,"")))),4)</f>
        <v>4</v>
      </c>
    </row>
    <row r="10" spans="1:38" ht="36.75" thickBot="1" x14ac:dyDescent="0.3">
      <c r="C10" s="33" t="s">
        <v>1509</v>
      </c>
      <c r="D10" s="28">
        <v>3</v>
      </c>
      <c r="E10" s="28" t="s">
        <v>2007</v>
      </c>
      <c r="F10" s="34" t="s">
        <v>87</v>
      </c>
      <c r="G10" s="28" t="s">
        <v>1402</v>
      </c>
      <c r="H10" s="28" t="s">
        <v>2018</v>
      </c>
      <c r="I10" s="28" t="s">
        <v>1821</v>
      </c>
      <c r="J10" s="28" t="s">
        <v>1405</v>
      </c>
      <c r="K10" s="28" t="s">
        <v>62</v>
      </c>
      <c r="L10" s="28" t="s">
        <v>1405</v>
      </c>
      <c r="M10" s="35">
        <v>183000000</v>
      </c>
      <c r="N10" s="28">
        <v>183000000</v>
      </c>
      <c r="O10" s="35">
        <v>2607750</v>
      </c>
      <c r="P10" s="36" t="s">
        <v>2019</v>
      </c>
      <c r="Q10" s="37" t="s">
        <v>768</v>
      </c>
      <c r="R10" s="28" t="s">
        <v>2020</v>
      </c>
      <c r="S10" s="28" t="s">
        <v>2021</v>
      </c>
      <c r="T10" s="28" t="s">
        <v>2021</v>
      </c>
      <c r="U10" s="28" t="s">
        <v>1547</v>
      </c>
      <c r="V10" s="28">
        <v>0</v>
      </c>
      <c r="W10" s="28" t="s">
        <v>63</v>
      </c>
      <c r="X10" s="28" t="s">
        <v>1550</v>
      </c>
      <c r="Y10" s="28" t="s">
        <v>91</v>
      </c>
      <c r="Z10" s="28">
        <v>0</v>
      </c>
      <c r="AA10" s="28">
        <v>0</v>
      </c>
      <c r="AB10" s="28">
        <v>0</v>
      </c>
      <c r="AC10" s="28">
        <v>0</v>
      </c>
      <c r="AD10" s="28" t="s">
        <v>1562</v>
      </c>
      <c r="AE10" s="28">
        <v>183000000</v>
      </c>
      <c r="AF10" s="28">
        <v>0</v>
      </c>
      <c r="AG10" s="28">
        <v>0</v>
      </c>
      <c r="AH10" s="28" t="s">
        <v>1386</v>
      </c>
      <c r="AI10" s="34"/>
      <c r="AJ10" s="28" t="s">
        <v>1387</v>
      </c>
      <c r="AK10" s="28">
        <v>0</v>
      </c>
      <c r="AL10" s="138">
        <f>IFERROR(IF(DATEDIF(#REF!,T10,"m")&lt;=1,1,IF(AND(DATEDIF(#REF!,T10,"m")&gt;1,DATEDIF(#REF!,T10,"m")&lt;12),2,IF(AND(DATEDIF(#REF!,T10,"m")&gt;=12,DATEDIF(#REF!,T10,"m")&lt;24),3,IF(DATEDIF(#REF!,T10,"m")&gt;=24,4,"")))),4)</f>
        <v>4</v>
      </c>
    </row>
    <row r="11" spans="1:38" ht="48.75" thickBot="1" x14ac:dyDescent="0.3">
      <c r="C11" s="27" t="s">
        <v>1509</v>
      </c>
      <c r="D11" s="28">
        <v>4</v>
      </c>
      <c r="E11" s="28" t="s">
        <v>1902</v>
      </c>
      <c r="F11" s="34" t="s">
        <v>87</v>
      </c>
      <c r="G11" s="28" t="s">
        <v>1903</v>
      </c>
      <c r="H11" s="28" t="s">
        <v>2022</v>
      </c>
      <c r="I11" s="28" t="s">
        <v>2023</v>
      </c>
      <c r="J11" s="28" t="s">
        <v>1405</v>
      </c>
      <c r="K11" s="28" t="s">
        <v>62</v>
      </c>
      <c r="L11" s="28" t="s">
        <v>1405</v>
      </c>
      <c r="M11" s="35">
        <v>1000000000</v>
      </c>
      <c r="N11" s="28">
        <v>1000000000</v>
      </c>
      <c r="O11" s="35">
        <v>1897091.13</v>
      </c>
      <c r="P11" s="36" t="s">
        <v>2012</v>
      </c>
      <c r="Q11" s="37" t="s">
        <v>2024</v>
      </c>
      <c r="R11" s="28" t="s">
        <v>2025</v>
      </c>
      <c r="S11" s="28" t="s">
        <v>2026</v>
      </c>
      <c r="T11" s="28" t="s">
        <v>2026</v>
      </c>
      <c r="U11" s="28" t="s">
        <v>1547</v>
      </c>
      <c r="V11" s="28" t="s">
        <v>90</v>
      </c>
      <c r="W11" s="28" t="s">
        <v>63</v>
      </c>
      <c r="X11" s="28" t="s">
        <v>1551</v>
      </c>
      <c r="Y11" s="28" t="s">
        <v>91</v>
      </c>
      <c r="Z11" s="28" t="s">
        <v>2016</v>
      </c>
      <c r="AA11" s="28">
        <v>0</v>
      </c>
      <c r="AB11" s="28" t="s">
        <v>2016</v>
      </c>
      <c r="AC11" s="28" t="s">
        <v>2016</v>
      </c>
      <c r="AD11" s="28" t="s">
        <v>1904</v>
      </c>
      <c r="AE11" s="28">
        <v>1000000000</v>
      </c>
      <c r="AF11" s="28">
        <v>0</v>
      </c>
      <c r="AG11" s="28">
        <v>0</v>
      </c>
      <c r="AH11" s="28" t="s">
        <v>1386</v>
      </c>
      <c r="AI11" s="38"/>
      <c r="AJ11" s="28" t="s">
        <v>1387</v>
      </c>
      <c r="AK11" s="28">
        <v>0</v>
      </c>
      <c r="AL11" s="138">
        <f>IFERROR(IF(DATEDIF(#REF!,T11,"m")&lt;=1,1,IF(AND(DATEDIF(#REF!,T11,"m")&gt;1,DATEDIF(#REF!,T11,"m")&lt;12),2,IF(AND(DATEDIF(#REF!,T11,"m")&gt;=12,DATEDIF(#REF!,T11,"m")&lt;24),3,IF(DATEDIF(#REF!,T11,"m")&gt;=24,4,"")))),4)</f>
        <v>4</v>
      </c>
    </row>
    <row r="12" spans="1:38" ht="48.75" thickBot="1" x14ac:dyDescent="0.3">
      <c r="C12" s="33" t="s">
        <v>1509</v>
      </c>
      <c r="D12" s="28">
        <v>5</v>
      </c>
      <c r="E12" s="28" t="s">
        <v>1902</v>
      </c>
      <c r="F12" s="34" t="s">
        <v>87</v>
      </c>
      <c r="G12" s="28" t="s">
        <v>1903</v>
      </c>
      <c r="H12" s="28" t="s">
        <v>2027</v>
      </c>
      <c r="I12" s="28" t="s">
        <v>2023</v>
      </c>
      <c r="J12" s="28" t="s">
        <v>1405</v>
      </c>
      <c r="K12" s="28" t="s">
        <v>62</v>
      </c>
      <c r="L12" s="28" t="s">
        <v>1405</v>
      </c>
      <c r="M12" s="35">
        <v>1000000000</v>
      </c>
      <c r="N12" s="28">
        <v>985100000</v>
      </c>
      <c r="O12" s="35">
        <v>-4577800.6013519997</v>
      </c>
      <c r="P12" s="36" t="s">
        <v>2012</v>
      </c>
      <c r="Q12" s="37" t="s">
        <v>2028</v>
      </c>
      <c r="R12" s="28" t="s">
        <v>1920</v>
      </c>
      <c r="S12" s="28" t="s">
        <v>1921</v>
      </c>
      <c r="T12" s="28" t="s">
        <v>1921</v>
      </c>
      <c r="U12" s="28" t="s">
        <v>1547</v>
      </c>
      <c r="V12" s="28" t="s">
        <v>90</v>
      </c>
      <c r="W12" s="28" t="s">
        <v>63</v>
      </c>
      <c r="X12" s="28" t="s">
        <v>1552</v>
      </c>
      <c r="Y12" s="28" t="s">
        <v>91</v>
      </c>
      <c r="Z12" s="28" t="s">
        <v>2016</v>
      </c>
      <c r="AA12" s="28">
        <v>0</v>
      </c>
      <c r="AB12" s="28" t="s">
        <v>2016</v>
      </c>
      <c r="AC12" s="28" t="s">
        <v>2016</v>
      </c>
      <c r="AD12" s="28" t="s">
        <v>1904</v>
      </c>
      <c r="AE12" s="28">
        <v>1000000000</v>
      </c>
      <c r="AF12" s="28">
        <v>0</v>
      </c>
      <c r="AG12" s="28">
        <v>0</v>
      </c>
      <c r="AH12" s="28" t="s">
        <v>1386</v>
      </c>
      <c r="AJ12" s="28" t="s">
        <v>1387</v>
      </c>
      <c r="AK12" s="28">
        <v>0</v>
      </c>
      <c r="AL12" s="138">
        <f>IFERROR(IF(DATEDIF(#REF!,T12,"m")&lt;=1,1,IF(AND(DATEDIF(#REF!,T12,"m")&gt;1,DATEDIF(#REF!,T12,"m")&lt;12),2,IF(AND(DATEDIF(#REF!,T12,"m")&gt;=12,DATEDIF(#REF!,T12,"m")&lt;24),3,IF(DATEDIF(#REF!,T12,"m")&gt;=24,4,"")))),4)</f>
        <v>4</v>
      </c>
    </row>
    <row r="14" spans="1:38" x14ac:dyDescent="0.25">
      <c r="N14" s="39"/>
      <c r="Q14" s="39"/>
    </row>
    <row r="15" spans="1:38" x14ac:dyDescent="0.25">
      <c r="O15" s="40"/>
      <c r="Q15" s="41"/>
    </row>
  </sheetData>
  <mergeCells count="5">
    <mergeCell ref="A1:AK1"/>
    <mergeCell ref="D4:AK4"/>
    <mergeCell ref="E5:F5"/>
    <mergeCell ref="G5:AK5"/>
    <mergeCell ref="AL5:AL6"/>
  </mergeCells>
  <conditionalFormatting sqref="D8:AK8 AI9:AI11 D9:AH12 AJ9:AK12">
    <cfRule type="expression" dxfId="33" priority="2">
      <formula>LEN(TRIM(D8))=0</formula>
    </cfRule>
  </conditionalFormatting>
  <conditionalFormatting sqref="D8:AK12">
    <cfRule type="expression" dxfId="32" priority="1">
      <formula>LEN(TRIM(D8))=0</formula>
    </cfRule>
  </conditionalFormatting>
  <pageMargins left="0.7" right="0.7" top="0.75" bottom="0.75" header="0.3" footer="0.3"/>
  <pageSetup scale="16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2A23-0FCB-4151-B1EF-36E85E7A74FC}">
  <sheetPr codeName="Sheet6"/>
  <dimension ref="A1:V171"/>
  <sheetViews>
    <sheetView showGridLines="0" zoomScale="85" zoomScaleNormal="85" workbookViewId="0">
      <pane xSplit="3" ySplit="7" topLeftCell="L8" activePane="bottomRight" state="frozen"/>
      <selection pane="topRight" activeCell="D1" sqref="D1"/>
      <selection pane="bottomLeft" activeCell="A8" sqref="A8"/>
      <selection pane="bottomRight" activeCell="N10" sqref="N10"/>
    </sheetView>
  </sheetViews>
  <sheetFormatPr defaultRowHeight="33.75" customHeight="1" x14ac:dyDescent="0.25"/>
  <cols>
    <col min="1" max="1" width="5.5703125" style="42" customWidth="1"/>
    <col min="2" max="2" width="25.5703125" style="42" customWidth="1"/>
    <col min="3" max="3" width="4.140625" style="42" bestFit="1" customWidth="1"/>
    <col min="4" max="4" width="20.5703125" style="42" customWidth="1"/>
    <col min="5" max="5" width="24.5703125" style="42" customWidth="1"/>
    <col min="6" max="6" width="35.140625" style="42" customWidth="1"/>
    <col min="7" max="14" width="20.5703125" style="42" customWidth="1"/>
    <col min="15" max="15" width="20.5703125" style="43" customWidth="1"/>
    <col min="16" max="21" width="20.5703125" style="42" customWidth="1"/>
    <col min="22" max="22" width="23.140625" style="1" bestFit="1" customWidth="1"/>
    <col min="23" max="16384" width="9.140625" style="2"/>
  </cols>
  <sheetData>
    <row r="1" spans="1:22" ht="14.25" customHeight="1" x14ac:dyDescent="0.25">
      <c r="A1" s="218" t="s">
        <v>1553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</row>
    <row r="2" spans="1:22" ht="14.25" customHeight="1" x14ac:dyDescent="0.25"/>
    <row r="3" spans="1:22" ht="14.25" customHeight="1" x14ac:dyDescent="0.25"/>
    <row r="4" spans="1:22" ht="14.25" customHeight="1" x14ac:dyDescent="0.25">
      <c r="D4" s="220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2"/>
    </row>
    <row r="5" spans="1:22" ht="14.25" customHeight="1" x14ac:dyDescent="0.25">
      <c r="D5" s="44" t="s">
        <v>2</v>
      </c>
      <c r="E5" s="223" t="s">
        <v>3</v>
      </c>
      <c r="F5" s="224"/>
      <c r="G5" s="223" t="s">
        <v>1554</v>
      </c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4"/>
      <c r="V5" s="226"/>
    </row>
    <row r="6" spans="1:22" ht="33.75" customHeight="1" x14ac:dyDescent="0.25">
      <c r="D6" s="45"/>
      <c r="E6" s="46" t="s">
        <v>5</v>
      </c>
      <c r="F6" s="46" t="s">
        <v>6</v>
      </c>
      <c r="G6" s="46" t="s">
        <v>7</v>
      </c>
      <c r="H6" s="46" t="s">
        <v>8</v>
      </c>
      <c r="I6" s="46" t="s">
        <v>1555</v>
      </c>
      <c r="J6" s="46" t="s">
        <v>11</v>
      </c>
      <c r="K6" s="46" t="s">
        <v>14</v>
      </c>
      <c r="L6" s="46" t="s">
        <v>18</v>
      </c>
      <c r="M6" s="46" t="s">
        <v>16</v>
      </c>
      <c r="N6" s="46" t="s">
        <v>17</v>
      </c>
      <c r="O6" s="47" t="s">
        <v>1556</v>
      </c>
      <c r="P6" s="46" t="s">
        <v>1526</v>
      </c>
      <c r="Q6" s="46" t="s">
        <v>23</v>
      </c>
      <c r="R6" s="144" t="s">
        <v>1529</v>
      </c>
      <c r="S6" s="46" t="s">
        <v>1557</v>
      </c>
      <c r="T6" s="46" t="s">
        <v>20</v>
      </c>
      <c r="U6" s="46" t="s">
        <v>1527</v>
      </c>
      <c r="V6" s="226"/>
    </row>
    <row r="7" spans="1:22" ht="33.75" customHeight="1" thickBot="1" x14ac:dyDescent="0.3">
      <c r="D7" s="48" t="s">
        <v>29</v>
      </c>
      <c r="E7" s="48" t="s">
        <v>30</v>
      </c>
      <c r="F7" s="48" t="s">
        <v>1558</v>
      </c>
      <c r="G7" s="48" t="s">
        <v>32</v>
      </c>
      <c r="H7" s="48" t="s">
        <v>1399</v>
      </c>
      <c r="I7" s="48" t="s">
        <v>33</v>
      </c>
      <c r="J7" s="48" t="s">
        <v>34</v>
      </c>
      <c r="K7" s="48" t="s">
        <v>35</v>
      </c>
      <c r="L7" s="48" t="s">
        <v>39</v>
      </c>
      <c r="M7" s="48" t="s">
        <v>40</v>
      </c>
      <c r="N7" s="48" t="s">
        <v>41</v>
      </c>
      <c r="O7" s="49" t="s">
        <v>42</v>
      </c>
      <c r="P7" s="48" t="s">
        <v>43</v>
      </c>
      <c r="Q7" s="48" t="s">
        <v>44</v>
      </c>
      <c r="R7" s="145" t="s">
        <v>2636</v>
      </c>
      <c r="S7" s="48" t="s">
        <v>45</v>
      </c>
      <c r="T7" s="48" t="s">
        <v>46</v>
      </c>
      <c r="U7" s="48" t="s">
        <v>47</v>
      </c>
    </row>
    <row r="8" spans="1:22" ht="33.75" customHeight="1" thickBot="1" x14ac:dyDescent="0.3">
      <c r="A8" s="50"/>
      <c r="B8" s="51" t="s">
        <v>1559</v>
      </c>
      <c r="C8" s="52">
        <v>999</v>
      </c>
      <c r="D8" s="53">
        <v>1</v>
      </c>
      <c r="E8" s="53" t="s">
        <v>1382</v>
      </c>
      <c r="F8" s="53" t="s">
        <v>1560</v>
      </c>
      <c r="G8" s="53" t="s">
        <v>1948</v>
      </c>
      <c r="H8" s="53" t="s">
        <v>2029</v>
      </c>
      <c r="I8" s="53" t="s">
        <v>2030</v>
      </c>
      <c r="J8" s="53" t="s">
        <v>60</v>
      </c>
      <c r="K8" s="53" t="s">
        <v>61</v>
      </c>
      <c r="L8" s="53" t="s">
        <v>1561</v>
      </c>
      <c r="M8" s="54">
        <v>87307.18</v>
      </c>
      <c r="N8" s="53">
        <v>0</v>
      </c>
      <c r="O8" s="53">
        <v>0</v>
      </c>
      <c r="P8" s="53" t="s">
        <v>1562</v>
      </c>
      <c r="Q8" s="53">
        <v>0</v>
      </c>
      <c r="R8" s="53"/>
      <c r="S8" s="55" t="s">
        <v>1385</v>
      </c>
      <c r="T8" s="56">
        <v>44564</v>
      </c>
      <c r="U8" s="57">
        <v>0</v>
      </c>
      <c r="V8" s="58"/>
    </row>
    <row r="9" spans="1:22" ht="33.75" customHeight="1" thickBot="1" x14ac:dyDescent="0.3">
      <c r="C9" s="52">
        <v>999</v>
      </c>
      <c r="D9" s="53">
        <v>2</v>
      </c>
      <c r="E9" s="53" t="s">
        <v>1382</v>
      </c>
      <c r="F9" s="53" t="s">
        <v>1560</v>
      </c>
      <c r="G9" s="53" t="s">
        <v>1948</v>
      </c>
      <c r="H9" s="53" t="s">
        <v>2031</v>
      </c>
      <c r="I9" s="53" t="s">
        <v>2032</v>
      </c>
      <c r="J9" s="53" t="s">
        <v>60</v>
      </c>
      <c r="K9" s="53" t="s">
        <v>61</v>
      </c>
      <c r="L9" s="53" t="s">
        <v>1561</v>
      </c>
      <c r="M9" s="54">
        <v>3185028.0624098801</v>
      </c>
      <c r="N9" s="53">
        <v>0</v>
      </c>
      <c r="O9" s="53">
        <v>0</v>
      </c>
      <c r="P9" s="53" t="s">
        <v>1562</v>
      </c>
      <c r="Q9" s="53">
        <v>0</v>
      </c>
      <c r="R9" s="53"/>
      <c r="S9" s="55" t="s">
        <v>1385</v>
      </c>
      <c r="T9" s="56">
        <v>44564</v>
      </c>
      <c r="U9" s="57">
        <v>0</v>
      </c>
    </row>
    <row r="10" spans="1:22" ht="33.75" customHeight="1" thickBot="1" x14ac:dyDescent="0.3">
      <c r="C10" s="52">
        <v>999</v>
      </c>
      <c r="D10" s="53">
        <v>3</v>
      </c>
      <c r="E10" s="53" t="s">
        <v>1382</v>
      </c>
      <c r="F10" s="53" t="s">
        <v>1560</v>
      </c>
      <c r="G10" s="53" t="s">
        <v>1948</v>
      </c>
      <c r="H10" s="53" t="s">
        <v>2033</v>
      </c>
      <c r="I10" s="53" t="s">
        <v>2034</v>
      </c>
      <c r="J10" s="53" t="s">
        <v>60</v>
      </c>
      <c r="K10" s="53" t="s">
        <v>61</v>
      </c>
      <c r="L10" s="53" t="s">
        <v>1563</v>
      </c>
      <c r="M10" s="54">
        <v>520961.66857699997</v>
      </c>
      <c r="N10" s="53">
        <v>0</v>
      </c>
      <c r="O10" s="53">
        <v>0</v>
      </c>
      <c r="P10" s="53" t="s">
        <v>1562</v>
      </c>
      <c r="Q10" s="53">
        <v>0</v>
      </c>
      <c r="R10" s="53"/>
      <c r="S10" s="55" t="s">
        <v>1385</v>
      </c>
      <c r="T10" s="56">
        <v>44564</v>
      </c>
      <c r="U10" s="57">
        <v>0</v>
      </c>
    </row>
    <row r="11" spans="1:22" ht="33.75" customHeight="1" thickBot="1" x14ac:dyDescent="0.3">
      <c r="C11" s="52">
        <v>999</v>
      </c>
      <c r="D11" s="53">
        <v>4</v>
      </c>
      <c r="E11" s="53" t="s">
        <v>1382</v>
      </c>
      <c r="F11" s="53" t="s">
        <v>1560</v>
      </c>
      <c r="G11" s="53" t="s">
        <v>1948</v>
      </c>
      <c r="H11" s="53" t="s">
        <v>2035</v>
      </c>
      <c r="I11" s="53" t="s">
        <v>2036</v>
      </c>
      <c r="J11" s="53" t="s">
        <v>60</v>
      </c>
      <c r="K11" s="53" t="s">
        <v>61</v>
      </c>
      <c r="L11" s="53" t="s">
        <v>1563</v>
      </c>
      <c r="M11" s="54">
        <v>35470381.683330603</v>
      </c>
      <c r="N11" s="53">
        <v>0</v>
      </c>
      <c r="O11" s="53">
        <v>0</v>
      </c>
      <c r="P11" s="53" t="s">
        <v>1562</v>
      </c>
      <c r="Q11" s="53">
        <v>0</v>
      </c>
      <c r="R11" s="53"/>
      <c r="S11" s="55" t="s">
        <v>1385</v>
      </c>
      <c r="T11" s="56">
        <v>44564</v>
      </c>
      <c r="U11" s="57">
        <v>0</v>
      </c>
    </row>
    <row r="12" spans="1:22" ht="33.75" customHeight="1" thickBot="1" x14ac:dyDescent="0.3">
      <c r="C12" s="52">
        <v>999</v>
      </c>
      <c r="D12" s="53">
        <v>5</v>
      </c>
      <c r="E12" s="53" t="s">
        <v>1382</v>
      </c>
      <c r="F12" s="53" t="s">
        <v>1560</v>
      </c>
      <c r="G12" s="53" t="s">
        <v>1948</v>
      </c>
      <c r="H12" s="53" t="s">
        <v>2037</v>
      </c>
      <c r="I12" s="53" t="s">
        <v>2038</v>
      </c>
      <c r="J12" s="53" t="s">
        <v>60</v>
      </c>
      <c r="K12" s="53" t="s">
        <v>61</v>
      </c>
      <c r="L12" s="53" t="s">
        <v>1564</v>
      </c>
      <c r="M12" s="54">
        <v>44735.409321059997</v>
      </c>
      <c r="N12" s="53">
        <v>0</v>
      </c>
      <c r="O12" s="53">
        <v>0</v>
      </c>
      <c r="P12" s="53" t="s">
        <v>1562</v>
      </c>
      <c r="Q12" s="53">
        <v>0</v>
      </c>
      <c r="R12" s="53"/>
      <c r="S12" s="55" t="s">
        <v>1385</v>
      </c>
      <c r="T12" s="56">
        <v>44564</v>
      </c>
      <c r="U12" s="57">
        <v>0</v>
      </c>
    </row>
    <row r="13" spans="1:22" ht="33.75" customHeight="1" thickBot="1" x14ac:dyDescent="0.3">
      <c r="C13" s="52">
        <v>999</v>
      </c>
      <c r="D13" s="53">
        <v>6</v>
      </c>
      <c r="E13" s="53" t="s">
        <v>1382</v>
      </c>
      <c r="F13" s="53" t="s">
        <v>1560</v>
      </c>
      <c r="G13" s="53" t="s">
        <v>1948</v>
      </c>
      <c r="H13" s="53" t="s">
        <v>2039</v>
      </c>
      <c r="I13" s="53" t="s">
        <v>2040</v>
      </c>
      <c r="J13" s="53" t="s">
        <v>60</v>
      </c>
      <c r="K13" s="53" t="s">
        <v>61</v>
      </c>
      <c r="L13" s="53" t="s">
        <v>1565</v>
      </c>
      <c r="M13" s="54">
        <v>4.22</v>
      </c>
      <c r="N13" s="53">
        <v>0</v>
      </c>
      <c r="O13" s="53">
        <v>0</v>
      </c>
      <c r="P13" s="53" t="s">
        <v>1562</v>
      </c>
      <c r="Q13" s="53">
        <v>0</v>
      </c>
      <c r="R13" s="53"/>
      <c r="S13" s="55" t="s">
        <v>1385</v>
      </c>
      <c r="T13" s="56">
        <v>44564</v>
      </c>
      <c r="U13" s="57">
        <v>0</v>
      </c>
    </row>
    <row r="14" spans="1:22" ht="33.75" customHeight="1" thickBot="1" x14ac:dyDescent="0.3">
      <c r="C14" s="52">
        <v>999</v>
      </c>
      <c r="D14" s="53">
        <v>7</v>
      </c>
      <c r="E14" s="53" t="s">
        <v>1382</v>
      </c>
      <c r="F14" s="53" t="s">
        <v>1560</v>
      </c>
      <c r="G14" s="53" t="s">
        <v>1948</v>
      </c>
      <c r="H14" s="53" t="s">
        <v>2041</v>
      </c>
      <c r="I14" s="53" t="s">
        <v>2042</v>
      </c>
      <c r="J14" s="53" t="s">
        <v>60</v>
      </c>
      <c r="K14" s="53" t="s">
        <v>61</v>
      </c>
      <c r="L14" s="53" t="s">
        <v>1565</v>
      </c>
      <c r="M14" s="54">
        <v>10014.7932224</v>
      </c>
      <c r="N14" s="53">
        <v>0</v>
      </c>
      <c r="O14" s="53">
        <v>0</v>
      </c>
      <c r="P14" s="53" t="s">
        <v>1562</v>
      </c>
      <c r="Q14" s="53">
        <v>0</v>
      </c>
      <c r="R14" s="53"/>
      <c r="S14" s="55" t="s">
        <v>1385</v>
      </c>
      <c r="T14" s="56">
        <v>44564</v>
      </c>
      <c r="U14" s="57">
        <v>0</v>
      </c>
    </row>
    <row r="15" spans="1:22" ht="33.75" customHeight="1" thickBot="1" x14ac:dyDescent="0.3">
      <c r="C15" s="52">
        <v>999</v>
      </c>
      <c r="D15" s="53">
        <v>8</v>
      </c>
      <c r="E15" s="53" t="s">
        <v>1382</v>
      </c>
      <c r="F15" s="53" t="s">
        <v>1560</v>
      </c>
      <c r="G15" s="53" t="s">
        <v>1948</v>
      </c>
      <c r="H15" s="53" t="s">
        <v>2043</v>
      </c>
      <c r="I15" s="53" t="s">
        <v>2044</v>
      </c>
      <c r="J15" s="53" t="s">
        <v>60</v>
      </c>
      <c r="K15" s="53" t="s">
        <v>61</v>
      </c>
      <c r="L15" s="53" t="s">
        <v>1566</v>
      </c>
      <c r="M15" s="54">
        <v>0</v>
      </c>
      <c r="N15" s="53">
        <v>0</v>
      </c>
      <c r="O15" s="53">
        <v>0</v>
      </c>
      <c r="P15" s="53" t="s">
        <v>1562</v>
      </c>
      <c r="Q15" s="53">
        <v>0</v>
      </c>
      <c r="R15" s="53"/>
      <c r="S15" s="55" t="s">
        <v>1385</v>
      </c>
      <c r="T15" s="56">
        <v>44564</v>
      </c>
      <c r="U15" s="57">
        <v>0</v>
      </c>
    </row>
    <row r="16" spans="1:22" ht="33.75" customHeight="1" thickBot="1" x14ac:dyDescent="0.3">
      <c r="C16" s="52">
        <v>999</v>
      </c>
      <c r="D16" s="53">
        <v>9</v>
      </c>
      <c r="E16" s="53" t="s">
        <v>1382</v>
      </c>
      <c r="F16" s="53" t="s">
        <v>1560</v>
      </c>
      <c r="G16" s="53" t="s">
        <v>1948</v>
      </c>
      <c r="H16" s="53" t="s">
        <v>2045</v>
      </c>
      <c r="I16" s="53" t="s">
        <v>2046</v>
      </c>
      <c r="J16" s="53" t="s">
        <v>60</v>
      </c>
      <c r="K16" s="53" t="s">
        <v>61</v>
      </c>
      <c r="L16" s="53" t="s">
        <v>1567</v>
      </c>
      <c r="M16" s="54">
        <v>1355518.7134884701</v>
      </c>
      <c r="N16" s="53">
        <v>0</v>
      </c>
      <c r="O16" s="53">
        <v>0</v>
      </c>
      <c r="P16" s="53" t="s">
        <v>1562</v>
      </c>
      <c r="Q16" s="53">
        <v>0</v>
      </c>
      <c r="R16" s="53"/>
      <c r="S16" s="55" t="s">
        <v>1385</v>
      </c>
      <c r="T16" s="56">
        <v>44564</v>
      </c>
      <c r="U16" s="57">
        <v>0</v>
      </c>
    </row>
    <row r="17" spans="3:21" ht="33.75" customHeight="1" thickBot="1" x14ac:dyDescent="0.3">
      <c r="C17" s="52">
        <v>999</v>
      </c>
      <c r="D17" s="53">
        <v>10</v>
      </c>
      <c r="E17" s="53" t="s">
        <v>1382</v>
      </c>
      <c r="F17" s="53" t="s">
        <v>1560</v>
      </c>
      <c r="G17" s="53" t="s">
        <v>1948</v>
      </c>
      <c r="H17" s="53" t="s">
        <v>2047</v>
      </c>
      <c r="I17" s="53" t="s">
        <v>2048</v>
      </c>
      <c r="J17" s="53" t="s">
        <v>60</v>
      </c>
      <c r="K17" s="53" t="s">
        <v>61</v>
      </c>
      <c r="L17" s="53" t="s">
        <v>1568</v>
      </c>
      <c r="M17" s="54">
        <v>15011.48</v>
      </c>
      <c r="N17" s="53">
        <v>0</v>
      </c>
      <c r="O17" s="53">
        <v>0</v>
      </c>
      <c r="P17" s="53" t="s">
        <v>1562</v>
      </c>
      <c r="Q17" s="53">
        <v>0</v>
      </c>
      <c r="R17" s="53"/>
      <c r="S17" s="55" t="s">
        <v>1385</v>
      </c>
      <c r="T17" s="56">
        <v>44564</v>
      </c>
      <c r="U17" s="57">
        <v>0</v>
      </c>
    </row>
    <row r="18" spans="3:21" ht="33.75" customHeight="1" thickBot="1" x14ac:dyDescent="0.3">
      <c r="C18" s="52">
        <v>999</v>
      </c>
      <c r="D18" s="53">
        <v>11</v>
      </c>
      <c r="E18" s="53" t="s">
        <v>1382</v>
      </c>
      <c r="F18" s="53" t="s">
        <v>1560</v>
      </c>
      <c r="G18" s="53" t="s">
        <v>1948</v>
      </c>
      <c r="H18" s="53" t="s">
        <v>2049</v>
      </c>
      <c r="I18" s="53" t="s">
        <v>2050</v>
      </c>
      <c r="J18" s="53" t="s">
        <v>60</v>
      </c>
      <c r="K18" s="53" t="s">
        <v>61</v>
      </c>
      <c r="L18" s="53" t="s">
        <v>1568</v>
      </c>
      <c r="M18" s="54">
        <v>120834.08252301</v>
      </c>
      <c r="N18" s="53">
        <v>0</v>
      </c>
      <c r="O18" s="53">
        <v>0</v>
      </c>
      <c r="P18" s="53" t="s">
        <v>1562</v>
      </c>
      <c r="Q18" s="53">
        <v>0</v>
      </c>
      <c r="R18" s="53"/>
      <c r="S18" s="55" t="s">
        <v>1385</v>
      </c>
      <c r="T18" s="56">
        <v>44564</v>
      </c>
      <c r="U18" s="57">
        <v>0</v>
      </c>
    </row>
    <row r="19" spans="3:21" ht="33.75" customHeight="1" thickBot="1" x14ac:dyDescent="0.3">
      <c r="C19" s="52">
        <v>999</v>
      </c>
      <c r="D19" s="53">
        <v>12</v>
      </c>
      <c r="E19" s="53" t="s">
        <v>1382</v>
      </c>
      <c r="F19" s="53" t="s">
        <v>1560</v>
      </c>
      <c r="G19" s="53" t="s">
        <v>1948</v>
      </c>
      <c r="H19" s="53" t="s">
        <v>2051</v>
      </c>
      <c r="I19" s="53" t="s">
        <v>2052</v>
      </c>
      <c r="J19" s="53" t="s">
        <v>60</v>
      </c>
      <c r="K19" s="53" t="s">
        <v>61</v>
      </c>
      <c r="L19" s="53" t="s">
        <v>1569</v>
      </c>
      <c r="M19" s="54">
        <v>511625.37356297002</v>
      </c>
      <c r="N19" s="53">
        <v>0</v>
      </c>
      <c r="O19" s="53">
        <v>0</v>
      </c>
      <c r="P19" s="53" t="s">
        <v>1562</v>
      </c>
      <c r="Q19" s="53">
        <v>0</v>
      </c>
      <c r="R19" s="53"/>
      <c r="S19" s="55" t="s">
        <v>1385</v>
      </c>
      <c r="T19" s="56">
        <v>44564</v>
      </c>
      <c r="U19" s="57">
        <v>0</v>
      </c>
    </row>
    <row r="20" spans="3:21" ht="33.75" customHeight="1" thickBot="1" x14ac:dyDescent="0.3">
      <c r="C20" s="52">
        <v>999</v>
      </c>
      <c r="D20" s="53">
        <v>13</v>
      </c>
      <c r="E20" s="53" t="s">
        <v>1382</v>
      </c>
      <c r="F20" s="53" t="s">
        <v>1560</v>
      </c>
      <c r="G20" s="53" t="s">
        <v>1948</v>
      </c>
      <c r="H20" s="53" t="s">
        <v>2053</v>
      </c>
      <c r="I20" s="53" t="s">
        <v>2054</v>
      </c>
      <c r="J20" s="53" t="s">
        <v>60</v>
      </c>
      <c r="K20" s="53" t="s">
        <v>61</v>
      </c>
      <c r="L20" s="53" t="s">
        <v>1570</v>
      </c>
      <c r="M20" s="54">
        <v>8770.42</v>
      </c>
      <c r="N20" s="53">
        <v>0</v>
      </c>
      <c r="O20" s="53">
        <v>0</v>
      </c>
      <c r="P20" s="53" t="s">
        <v>1562</v>
      </c>
      <c r="Q20" s="53">
        <v>0</v>
      </c>
      <c r="R20" s="53"/>
      <c r="S20" s="55" t="s">
        <v>1385</v>
      </c>
      <c r="T20" s="56">
        <v>44564</v>
      </c>
      <c r="U20" s="57">
        <v>0</v>
      </c>
    </row>
    <row r="21" spans="3:21" ht="33.75" customHeight="1" thickBot="1" x14ac:dyDescent="0.3">
      <c r="C21" s="52">
        <v>999</v>
      </c>
      <c r="D21" s="53">
        <v>14</v>
      </c>
      <c r="E21" s="53" t="s">
        <v>1382</v>
      </c>
      <c r="F21" s="53" t="s">
        <v>1560</v>
      </c>
      <c r="G21" s="53" t="s">
        <v>1948</v>
      </c>
      <c r="H21" s="53" t="s">
        <v>2055</v>
      </c>
      <c r="I21" s="53" t="s">
        <v>2056</v>
      </c>
      <c r="J21" s="53" t="s">
        <v>60</v>
      </c>
      <c r="K21" s="53" t="s">
        <v>61</v>
      </c>
      <c r="L21" s="53" t="s">
        <v>1570</v>
      </c>
      <c r="M21" s="54">
        <v>3092531.1773083699</v>
      </c>
      <c r="N21" s="53">
        <v>0</v>
      </c>
      <c r="O21" s="53">
        <v>0</v>
      </c>
      <c r="P21" s="53" t="s">
        <v>1562</v>
      </c>
      <c r="Q21" s="53">
        <v>0</v>
      </c>
      <c r="R21" s="53"/>
      <c r="S21" s="55" t="s">
        <v>1385</v>
      </c>
      <c r="T21" s="56">
        <v>44564</v>
      </c>
      <c r="U21" s="57">
        <v>0</v>
      </c>
    </row>
    <row r="22" spans="3:21" ht="33.75" customHeight="1" thickBot="1" x14ac:dyDescent="0.3">
      <c r="C22" s="52">
        <v>999</v>
      </c>
      <c r="D22" s="53">
        <v>15</v>
      </c>
      <c r="E22" s="53" t="s">
        <v>1382</v>
      </c>
      <c r="F22" s="53" t="s">
        <v>1560</v>
      </c>
      <c r="G22" s="53" t="s">
        <v>1948</v>
      </c>
      <c r="H22" s="53" t="s">
        <v>2057</v>
      </c>
      <c r="I22" s="53" t="s">
        <v>2058</v>
      </c>
      <c r="J22" s="53" t="s">
        <v>60</v>
      </c>
      <c r="K22" s="53" t="s">
        <v>61</v>
      </c>
      <c r="L22" s="53" t="s">
        <v>1571</v>
      </c>
      <c r="M22" s="54">
        <v>555306.98378255998</v>
      </c>
      <c r="N22" s="53">
        <v>0</v>
      </c>
      <c r="O22" s="53">
        <v>0</v>
      </c>
      <c r="P22" s="53" t="s">
        <v>1562</v>
      </c>
      <c r="Q22" s="53">
        <v>0</v>
      </c>
      <c r="R22" s="53"/>
      <c r="S22" s="55" t="s">
        <v>1385</v>
      </c>
      <c r="T22" s="56">
        <v>44564</v>
      </c>
      <c r="U22" s="57">
        <v>0</v>
      </c>
    </row>
    <row r="23" spans="3:21" ht="33.75" customHeight="1" thickBot="1" x14ac:dyDescent="0.3">
      <c r="C23" s="52">
        <v>999</v>
      </c>
      <c r="D23" s="53">
        <v>16</v>
      </c>
      <c r="E23" s="53" t="s">
        <v>1382</v>
      </c>
      <c r="F23" s="53" t="s">
        <v>1560</v>
      </c>
      <c r="G23" s="53" t="s">
        <v>1948</v>
      </c>
      <c r="H23" s="53" t="s">
        <v>2059</v>
      </c>
      <c r="I23" s="53" t="s">
        <v>2060</v>
      </c>
      <c r="J23" s="53" t="s">
        <v>60</v>
      </c>
      <c r="K23" s="53" t="s">
        <v>61</v>
      </c>
      <c r="L23" s="53" t="s">
        <v>1571</v>
      </c>
      <c r="M23" s="54">
        <v>34307056.257105701</v>
      </c>
      <c r="N23" s="53">
        <v>0</v>
      </c>
      <c r="O23" s="53">
        <v>0</v>
      </c>
      <c r="P23" s="53" t="s">
        <v>1562</v>
      </c>
      <c r="Q23" s="53">
        <v>0</v>
      </c>
      <c r="R23" s="53"/>
      <c r="S23" s="55" t="s">
        <v>1385</v>
      </c>
      <c r="T23" s="56">
        <v>44564</v>
      </c>
      <c r="U23" s="57">
        <v>0</v>
      </c>
    </row>
    <row r="24" spans="3:21" ht="33.75" customHeight="1" thickBot="1" x14ac:dyDescent="0.3">
      <c r="C24" s="52">
        <v>999</v>
      </c>
      <c r="D24" s="53">
        <v>17</v>
      </c>
      <c r="E24" s="53" t="s">
        <v>1382</v>
      </c>
      <c r="F24" s="53" t="s">
        <v>1560</v>
      </c>
      <c r="G24" s="53" t="s">
        <v>1948</v>
      </c>
      <c r="H24" s="53" t="s">
        <v>2061</v>
      </c>
      <c r="I24" s="53" t="s">
        <v>2062</v>
      </c>
      <c r="J24" s="53" t="s">
        <v>60</v>
      </c>
      <c r="K24" s="53" t="s">
        <v>61</v>
      </c>
      <c r="L24" s="53" t="s">
        <v>1572</v>
      </c>
      <c r="M24" s="54">
        <v>6214955.5368674397</v>
      </c>
      <c r="N24" s="53">
        <v>0</v>
      </c>
      <c r="O24" s="53">
        <v>0</v>
      </c>
      <c r="P24" s="53" t="s">
        <v>1562</v>
      </c>
      <c r="Q24" s="53">
        <v>0</v>
      </c>
      <c r="R24" s="53"/>
      <c r="S24" s="55" t="s">
        <v>1385</v>
      </c>
      <c r="T24" s="56">
        <v>44564</v>
      </c>
      <c r="U24" s="57">
        <v>0</v>
      </c>
    </row>
    <row r="25" spans="3:21" ht="33.75" customHeight="1" thickBot="1" x14ac:dyDescent="0.3">
      <c r="C25" s="52">
        <v>999</v>
      </c>
      <c r="D25" s="53">
        <v>18</v>
      </c>
      <c r="E25" s="53" t="s">
        <v>1382</v>
      </c>
      <c r="F25" s="53" t="s">
        <v>1560</v>
      </c>
      <c r="G25" s="53" t="s">
        <v>1948</v>
      </c>
      <c r="H25" s="53" t="s">
        <v>2063</v>
      </c>
      <c r="I25" s="53" t="s">
        <v>2064</v>
      </c>
      <c r="J25" s="53" t="s">
        <v>60</v>
      </c>
      <c r="K25" s="53" t="s">
        <v>61</v>
      </c>
      <c r="L25" s="53" t="s">
        <v>1572</v>
      </c>
      <c r="M25" s="54">
        <v>403800088.786403</v>
      </c>
      <c r="N25" s="53">
        <v>0</v>
      </c>
      <c r="O25" s="53">
        <v>0</v>
      </c>
      <c r="P25" s="53" t="s">
        <v>1562</v>
      </c>
      <c r="Q25" s="53">
        <v>0</v>
      </c>
      <c r="R25" s="53"/>
      <c r="S25" s="55" t="s">
        <v>1385</v>
      </c>
      <c r="T25" s="56">
        <v>44564</v>
      </c>
      <c r="U25" s="57">
        <v>0</v>
      </c>
    </row>
    <row r="26" spans="3:21" ht="33.75" customHeight="1" thickBot="1" x14ac:dyDescent="0.3">
      <c r="C26" s="52">
        <v>999</v>
      </c>
      <c r="D26" s="53">
        <v>19</v>
      </c>
      <c r="E26" s="53" t="s">
        <v>1382</v>
      </c>
      <c r="F26" s="53" t="s">
        <v>1560</v>
      </c>
      <c r="G26" s="53" t="s">
        <v>1948</v>
      </c>
      <c r="H26" s="53" t="s">
        <v>2065</v>
      </c>
      <c r="I26" s="53" t="s">
        <v>2066</v>
      </c>
      <c r="J26" s="53" t="s">
        <v>60</v>
      </c>
      <c r="K26" s="53" t="s">
        <v>61</v>
      </c>
      <c r="L26" s="53" t="s">
        <v>1573</v>
      </c>
      <c r="M26" s="54">
        <v>0</v>
      </c>
      <c r="N26" s="53">
        <v>0</v>
      </c>
      <c r="O26" s="53">
        <v>0</v>
      </c>
      <c r="P26" s="53" t="s">
        <v>1562</v>
      </c>
      <c r="Q26" s="53">
        <v>0</v>
      </c>
      <c r="R26" s="53"/>
      <c r="S26" s="55" t="s">
        <v>1385</v>
      </c>
      <c r="T26" s="56">
        <v>44564</v>
      </c>
      <c r="U26" s="57">
        <v>0</v>
      </c>
    </row>
    <row r="27" spans="3:21" ht="33.75" customHeight="1" thickBot="1" x14ac:dyDescent="0.3">
      <c r="C27" s="52">
        <v>999</v>
      </c>
      <c r="D27" s="53">
        <v>20</v>
      </c>
      <c r="E27" s="53" t="s">
        <v>1382</v>
      </c>
      <c r="F27" s="53" t="s">
        <v>1560</v>
      </c>
      <c r="G27" s="53" t="s">
        <v>1948</v>
      </c>
      <c r="H27" s="53" t="s">
        <v>2067</v>
      </c>
      <c r="I27" s="53" t="s">
        <v>2068</v>
      </c>
      <c r="J27" s="53" t="s">
        <v>60</v>
      </c>
      <c r="K27" s="53" t="s">
        <v>61</v>
      </c>
      <c r="L27" s="53" t="s">
        <v>1574</v>
      </c>
      <c r="M27" s="54">
        <v>35.89</v>
      </c>
      <c r="N27" s="53">
        <v>0</v>
      </c>
      <c r="O27" s="53">
        <v>0</v>
      </c>
      <c r="P27" s="53" t="s">
        <v>1562</v>
      </c>
      <c r="Q27" s="53">
        <v>0</v>
      </c>
      <c r="R27" s="53"/>
      <c r="S27" s="55" t="s">
        <v>1385</v>
      </c>
      <c r="T27" s="56">
        <v>44564</v>
      </c>
      <c r="U27" s="57">
        <v>0</v>
      </c>
    </row>
    <row r="28" spans="3:21" ht="33.75" customHeight="1" thickBot="1" x14ac:dyDescent="0.3">
      <c r="C28" s="52">
        <v>999</v>
      </c>
      <c r="D28" s="53">
        <v>21</v>
      </c>
      <c r="E28" s="53" t="s">
        <v>1382</v>
      </c>
      <c r="F28" s="53" t="s">
        <v>1560</v>
      </c>
      <c r="G28" s="53" t="s">
        <v>1948</v>
      </c>
      <c r="H28" s="53" t="s">
        <v>2069</v>
      </c>
      <c r="I28" s="53" t="s">
        <v>2070</v>
      </c>
      <c r="J28" s="53" t="s">
        <v>60</v>
      </c>
      <c r="K28" s="53" t="s">
        <v>61</v>
      </c>
      <c r="L28" s="53" t="s">
        <v>1573</v>
      </c>
      <c r="M28" s="54">
        <v>920981936.50098908</v>
      </c>
      <c r="N28" s="53">
        <v>0</v>
      </c>
      <c r="O28" s="53">
        <v>0</v>
      </c>
      <c r="P28" s="53" t="s">
        <v>1562</v>
      </c>
      <c r="Q28" s="53">
        <v>0</v>
      </c>
      <c r="R28" s="53"/>
      <c r="S28" s="55" t="s">
        <v>1385</v>
      </c>
      <c r="T28" s="56">
        <v>44564</v>
      </c>
      <c r="U28" s="57">
        <v>0</v>
      </c>
    </row>
    <row r="29" spans="3:21" ht="33.75" customHeight="1" thickBot="1" x14ac:dyDescent="0.3">
      <c r="C29" s="52">
        <v>999</v>
      </c>
      <c r="D29" s="53">
        <v>22</v>
      </c>
      <c r="E29" s="53" t="s">
        <v>1382</v>
      </c>
      <c r="F29" s="53" t="s">
        <v>1560</v>
      </c>
      <c r="G29" s="53" t="s">
        <v>1948</v>
      </c>
      <c r="H29" s="53" t="s">
        <v>2071</v>
      </c>
      <c r="I29" s="53" t="s">
        <v>2072</v>
      </c>
      <c r="J29" s="53" t="s">
        <v>60</v>
      </c>
      <c r="K29" s="53" t="s">
        <v>61</v>
      </c>
      <c r="L29" s="53" t="s">
        <v>1573</v>
      </c>
      <c r="M29" s="54">
        <v>17737598289.679501</v>
      </c>
      <c r="N29" s="53">
        <v>0</v>
      </c>
      <c r="O29" s="53">
        <v>0</v>
      </c>
      <c r="P29" s="53" t="s">
        <v>1562</v>
      </c>
      <c r="Q29" s="53">
        <v>0</v>
      </c>
      <c r="R29" s="53"/>
      <c r="S29" s="55" t="s">
        <v>1385</v>
      </c>
      <c r="T29" s="56">
        <v>44564</v>
      </c>
      <c r="U29" s="57">
        <v>0</v>
      </c>
    </row>
    <row r="30" spans="3:21" ht="33.75" customHeight="1" thickBot="1" x14ac:dyDescent="0.3">
      <c r="C30" s="52">
        <v>999</v>
      </c>
      <c r="D30" s="53">
        <v>23</v>
      </c>
      <c r="E30" s="53" t="s">
        <v>1382</v>
      </c>
      <c r="F30" s="53" t="s">
        <v>80</v>
      </c>
      <c r="G30" s="53" t="s">
        <v>1948</v>
      </c>
      <c r="H30" s="53" t="s">
        <v>2073</v>
      </c>
      <c r="I30" s="53" t="s">
        <v>2074</v>
      </c>
      <c r="J30" s="53" t="s">
        <v>60</v>
      </c>
      <c r="K30" s="53" t="s">
        <v>61</v>
      </c>
      <c r="L30" s="53" t="s">
        <v>1561</v>
      </c>
      <c r="M30" s="54">
        <v>68123.87</v>
      </c>
      <c r="N30" s="53">
        <v>0</v>
      </c>
      <c r="O30" s="53">
        <v>0</v>
      </c>
      <c r="P30" s="53" t="s">
        <v>1562</v>
      </c>
      <c r="Q30" s="53">
        <v>0</v>
      </c>
      <c r="R30" s="53"/>
      <c r="S30" s="55" t="s">
        <v>1385</v>
      </c>
      <c r="T30" s="56">
        <v>44564</v>
      </c>
      <c r="U30" s="57">
        <v>0</v>
      </c>
    </row>
    <row r="31" spans="3:21" ht="33.75" customHeight="1" thickBot="1" x14ac:dyDescent="0.3">
      <c r="C31" s="52">
        <v>999</v>
      </c>
      <c r="D31" s="53">
        <v>24</v>
      </c>
      <c r="E31" s="53" t="s">
        <v>1382</v>
      </c>
      <c r="F31" s="53" t="s">
        <v>80</v>
      </c>
      <c r="G31" s="53" t="s">
        <v>1948</v>
      </c>
      <c r="H31" s="53" t="s">
        <v>2075</v>
      </c>
      <c r="I31" s="53" t="s">
        <v>2076</v>
      </c>
      <c r="J31" s="53" t="s">
        <v>60</v>
      </c>
      <c r="K31" s="53" t="s">
        <v>61</v>
      </c>
      <c r="L31" s="53" t="s">
        <v>1563</v>
      </c>
      <c r="M31" s="54">
        <v>230765.986688</v>
      </c>
      <c r="N31" s="53">
        <v>0</v>
      </c>
      <c r="O31" s="53">
        <v>0</v>
      </c>
      <c r="P31" s="53" t="s">
        <v>1562</v>
      </c>
      <c r="Q31" s="53">
        <v>0</v>
      </c>
      <c r="R31" s="53"/>
      <c r="S31" s="55" t="s">
        <v>1385</v>
      </c>
      <c r="T31" s="56">
        <v>44564</v>
      </c>
      <c r="U31" s="57">
        <v>0</v>
      </c>
    </row>
    <row r="32" spans="3:21" ht="33.75" customHeight="1" thickBot="1" x14ac:dyDescent="0.3">
      <c r="C32" s="52">
        <v>999</v>
      </c>
      <c r="D32" s="53">
        <v>25</v>
      </c>
      <c r="E32" s="53" t="s">
        <v>1382</v>
      </c>
      <c r="F32" s="53" t="s">
        <v>80</v>
      </c>
      <c r="G32" s="53" t="s">
        <v>1948</v>
      </c>
      <c r="H32" s="53" t="s">
        <v>2077</v>
      </c>
      <c r="I32" s="53" t="s">
        <v>2078</v>
      </c>
      <c r="J32" s="53" t="s">
        <v>60</v>
      </c>
      <c r="K32" s="53" t="s">
        <v>61</v>
      </c>
      <c r="L32" s="53" t="s">
        <v>1575</v>
      </c>
      <c r="M32" s="54">
        <v>0</v>
      </c>
      <c r="N32" s="53">
        <v>0</v>
      </c>
      <c r="O32" s="53">
        <v>0</v>
      </c>
      <c r="P32" s="53" t="s">
        <v>1562</v>
      </c>
      <c r="Q32" s="53">
        <v>0</v>
      </c>
      <c r="R32" s="53"/>
      <c r="S32" s="55" t="s">
        <v>1385</v>
      </c>
      <c r="T32" s="56">
        <v>44564</v>
      </c>
      <c r="U32" s="57">
        <v>0</v>
      </c>
    </row>
    <row r="33" spans="3:21" ht="33.75" customHeight="1" thickBot="1" x14ac:dyDescent="0.3">
      <c r="C33" s="52">
        <v>999</v>
      </c>
      <c r="D33" s="53">
        <v>26</v>
      </c>
      <c r="E33" s="53" t="s">
        <v>1382</v>
      </c>
      <c r="F33" s="53" t="s">
        <v>80</v>
      </c>
      <c r="G33" s="53" t="s">
        <v>1948</v>
      </c>
      <c r="H33" s="53" t="s">
        <v>2079</v>
      </c>
      <c r="I33" s="53" t="s">
        <v>2080</v>
      </c>
      <c r="J33" s="53" t="s">
        <v>60</v>
      </c>
      <c r="K33" s="53" t="s">
        <v>61</v>
      </c>
      <c r="L33" s="53" t="s">
        <v>1564</v>
      </c>
      <c r="M33" s="54">
        <v>0</v>
      </c>
      <c r="N33" s="53">
        <v>0</v>
      </c>
      <c r="O33" s="53">
        <v>0</v>
      </c>
      <c r="P33" s="53" t="s">
        <v>1562</v>
      </c>
      <c r="Q33" s="53">
        <v>0</v>
      </c>
      <c r="R33" s="53"/>
      <c r="S33" s="55" t="s">
        <v>1385</v>
      </c>
      <c r="T33" s="56">
        <v>44564</v>
      </c>
      <c r="U33" s="57">
        <v>0</v>
      </c>
    </row>
    <row r="34" spans="3:21" ht="33.75" customHeight="1" thickBot="1" x14ac:dyDescent="0.3">
      <c r="C34" s="52">
        <v>999</v>
      </c>
      <c r="D34" s="53">
        <v>27</v>
      </c>
      <c r="E34" s="53" t="s">
        <v>1382</v>
      </c>
      <c r="F34" s="53" t="s">
        <v>80</v>
      </c>
      <c r="G34" s="53" t="s">
        <v>1948</v>
      </c>
      <c r="H34" s="53" t="s">
        <v>2081</v>
      </c>
      <c r="I34" s="53" t="s">
        <v>2082</v>
      </c>
      <c r="J34" s="53" t="s">
        <v>60</v>
      </c>
      <c r="K34" s="53" t="s">
        <v>61</v>
      </c>
      <c r="L34" s="53" t="s">
        <v>1565</v>
      </c>
      <c r="M34" s="54">
        <v>4.45</v>
      </c>
      <c r="N34" s="53">
        <v>0</v>
      </c>
      <c r="O34" s="53">
        <v>0</v>
      </c>
      <c r="P34" s="53" t="s">
        <v>1562</v>
      </c>
      <c r="Q34" s="53">
        <v>0</v>
      </c>
      <c r="R34" s="53"/>
      <c r="S34" s="55" t="s">
        <v>1385</v>
      </c>
      <c r="T34" s="56">
        <v>44564</v>
      </c>
      <c r="U34" s="57">
        <v>0</v>
      </c>
    </row>
    <row r="35" spans="3:21" ht="33.75" customHeight="1" thickBot="1" x14ac:dyDescent="0.3">
      <c r="C35" s="52">
        <v>999</v>
      </c>
      <c r="D35" s="53">
        <v>28</v>
      </c>
      <c r="E35" s="53" t="s">
        <v>1382</v>
      </c>
      <c r="F35" s="53" t="s">
        <v>80</v>
      </c>
      <c r="G35" s="53" t="s">
        <v>1948</v>
      </c>
      <c r="H35" s="53" t="s">
        <v>2083</v>
      </c>
      <c r="I35" s="53" t="s">
        <v>2084</v>
      </c>
      <c r="J35" s="53" t="s">
        <v>60</v>
      </c>
      <c r="K35" s="53" t="s">
        <v>61</v>
      </c>
      <c r="L35" s="53" t="s">
        <v>1567</v>
      </c>
      <c r="M35" s="54">
        <v>0</v>
      </c>
      <c r="N35" s="53">
        <v>0</v>
      </c>
      <c r="O35" s="53">
        <v>0</v>
      </c>
      <c r="P35" s="53" t="s">
        <v>1562</v>
      </c>
      <c r="Q35" s="53">
        <v>0</v>
      </c>
      <c r="R35" s="53"/>
      <c r="S35" s="55" t="s">
        <v>1385</v>
      </c>
      <c r="T35" s="56">
        <v>44564</v>
      </c>
      <c r="U35" s="57">
        <v>0</v>
      </c>
    </row>
    <row r="36" spans="3:21" ht="33.75" customHeight="1" thickBot="1" x14ac:dyDescent="0.3">
      <c r="C36" s="52">
        <v>999</v>
      </c>
      <c r="D36" s="53">
        <v>29</v>
      </c>
      <c r="E36" s="53" t="s">
        <v>1382</v>
      </c>
      <c r="F36" s="53" t="s">
        <v>80</v>
      </c>
      <c r="G36" s="53" t="s">
        <v>1948</v>
      </c>
      <c r="H36" s="53" t="s">
        <v>2085</v>
      </c>
      <c r="I36" s="53" t="s">
        <v>2086</v>
      </c>
      <c r="J36" s="53" t="s">
        <v>60</v>
      </c>
      <c r="K36" s="53" t="s">
        <v>61</v>
      </c>
      <c r="L36" s="53" t="s">
        <v>1568</v>
      </c>
      <c r="M36" s="54">
        <v>0</v>
      </c>
      <c r="N36" s="53">
        <v>0</v>
      </c>
      <c r="O36" s="53">
        <v>0</v>
      </c>
      <c r="P36" s="53" t="s">
        <v>1562</v>
      </c>
      <c r="Q36" s="53">
        <v>0</v>
      </c>
      <c r="R36" s="53"/>
      <c r="S36" s="55" t="s">
        <v>1385</v>
      </c>
      <c r="T36" s="56">
        <v>44564</v>
      </c>
      <c r="U36" s="57">
        <v>0</v>
      </c>
    </row>
    <row r="37" spans="3:21" ht="33.75" customHeight="1" thickBot="1" x14ac:dyDescent="0.3">
      <c r="C37" s="52">
        <v>999</v>
      </c>
      <c r="D37" s="53">
        <v>30</v>
      </c>
      <c r="E37" s="53" t="s">
        <v>1382</v>
      </c>
      <c r="F37" s="53" t="s">
        <v>80</v>
      </c>
      <c r="G37" s="53" t="s">
        <v>1948</v>
      </c>
      <c r="H37" s="53" t="s">
        <v>2087</v>
      </c>
      <c r="I37" s="53" t="s">
        <v>2088</v>
      </c>
      <c r="J37" s="53" t="s">
        <v>60</v>
      </c>
      <c r="K37" s="53" t="s">
        <v>61</v>
      </c>
      <c r="L37" s="53" t="s">
        <v>1569</v>
      </c>
      <c r="M37" s="54">
        <v>63.15</v>
      </c>
      <c r="N37" s="53">
        <v>0</v>
      </c>
      <c r="O37" s="53">
        <v>0</v>
      </c>
      <c r="P37" s="53" t="s">
        <v>1562</v>
      </c>
      <c r="Q37" s="53">
        <v>0</v>
      </c>
      <c r="R37" s="53"/>
      <c r="S37" s="55" t="s">
        <v>1385</v>
      </c>
      <c r="T37" s="56">
        <v>44564</v>
      </c>
      <c r="U37" s="57">
        <v>0</v>
      </c>
    </row>
    <row r="38" spans="3:21" ht="33.75" customHeight="1" thickBot="1" x14ac:dyDescent="0.3">
      <c r="C38" s="52">
        <v>999</v>
      </c>
      <c r="D38" s="53">
        <v>31</v>
      </c>
      <c r="E38" s="53" t="s">
        <v>1382</v>
      </c>
      <c r="F38" s="53" t="s">
        <v>80</v>
      </c>
      <c r="G38" s="53" t="s">
        <v>1948</v>
      </c>
      <c r="H38" s="53" t="s">
        <v>2089</v>
      </c>
      <c r="I38" s="53" t="s">
        <v>2090</v>
      </c>
      <c r="J38" s="53" t="s">
        <v>60</v>
      </c>
      <c r="K38" s="53" t="s">
        <v>61</v>
      </c>
      <c r="L38" s="53" t="s">
        <v>1570</v>
      </c>
      <c r="M38" s="54">
        <v>93903.169099990002</v>
      </c>
      <c r="N38" s="53">
        <v>0</v>
      </c>
      <c r="O38" s="53">
        <v>0</v>
      </c>
      <c r="P38" s="53" t="s">
        <v>1562</v>
      </c>
      <c r="Q38" s="53">
        <v>0</v>
      </c>
      <c r="R38" s="53"/>
      <c r="S38" s="55" t="s">
        <v>1385</v>
      </c>
      <c r="T38" s="56">
        <v>44564</v>
      </c>
      <c r="U38" s="57">
        <v>0</v>
      </c>
    </row>
    <row r="39" spans="3:21" ht="33.75" customHeight="1" thickBot="1" x14ac:dyDescent="0.3">
      <c r="C39" s="52">
        <v>999</v>
      </c>
      <c r="D39" s="53">
        <v>32</v>
      </c>
      <c r="E39" s="53" t="s">
        <v>1382</v>
      </c>
      <c r="F39" s="53" t="s">
        <v>80</v>
      </c>
      <c r="G39" s="53" t="s">
        <v>1948</v>
      </c>
      <c r="H39" s="53" t="s">
        <v>2091</v>
      </c>
      <c r="I39" s="53" t="s">
        <v>2092</v>
      </c>
      <c r="J39" s="53" t="s">
        <v>60</v>
      </c>
      <c r="K39" s="53" t="s">
        <v>61</v>
      </c>
      <c r="L39" s="53" t="s">
        <v>1571</v>
      </c>
      <c r="M39" s="54">
        <v>473001.52670516999</v>
      </c>
      <c r="N39" s="53">
        <v>0</v>
      </c>
      <c r="O39" s="53">
        <v>0</v>
      </c>
      <c r="P39" s="53" t="s">
        <v>1562</v>
      </c>
      <c r="Q39" s="53">
        <v>0</v>
      </c>
      <c r="R39" s="53"/>
      <c r="S39" s="55" t="s">
        <v>1385</v>
      </c>
      <c r="T39" s="56">
        <v>44564</v>
      </c>
      <c r="U39" s="57">
        <v>0</v>
      </c>
    </row>
    <row r="40" spans="3:21" ht="33.75" customHeight="1" thickBot="1" x14ac:dyDescent="0.3">
      <c r="C40" s="52">
        <v>999</v>
      </c>
      <c r="D40" s="53">
        <v>33</v>
      </c>
      <c r="E40" s="53" t="s">
        <v>1382</v>
      </c>
      <c r="F40" s="53" t="s">
        <v>80</v>
      </c>
      <c r="G40" s="53" t="s">
        <v>1948</v>
      </c>
      <c r="H40" s="53" t="s">
        <v>2093</v>
      </c>
      <c r="I40" s="53" t="s">
        <v>2094</v>
      </c>
      <c r="J40" s="53" t="s">
        <v>60</v>
      </c>
      <c r="K40" s="53" t="s">
        <v>61</v>
      </c>
      <c r="L40" s="53" t="s">
        <v>1572</v>
      </c>
      <c r="M40" s="54">
        <v>6300739.8936612196</v>
      </c>
      <c r="N40" s="53">
        <v>0</v>
      </c>
      <c r="O40" s="53">
        <v>0</v>
      </c>
      <c r="P40" s="53" t="s">
        <v>1562</v>
      </c>
      <c r="Q40" s="53">
        <v>0</v>
      </c>
      <c r="R40" s="53"/>
      <c r="S40" s="55" t="s">
        <v>1385</v>
      </c>
      <c r="T40" s="56">
        <v>44564</v>
      </c>
      <c r="U40" s="57">
        <v>0</v>
      </c>
    </row>
    <row r="41" spans="3:21" ht="33.75" customHeight="1" thickBot="1" x14ac:dyDescent="0.3">
      <c r="C41" s="52">
        <v>999</v>
      </c>
      <c r="D41" s="53">
        <v>34</v>
      </c>
      <c r="E41" s="53" t="s">
        <v>1382</v>
      </c>
      <c r="F41" s="53" t="s">
        <v>80</v>
      </c>
      <c r="G41" s="53" t="s">
        <v>1948</v>
      </c>
      <c r="H41" s="53" t="s">
        <v>2095</v>
      </c>
      <c r="I41" s="53" t="s">
        <v>2096</v>
      </c>
      <c r="J41" s="53" t="s">
        <v>60</v>
      </c>
      <c r="K41" s="53" t="s">
        <v>61</v>
      </c>
      <c r="L41" s="53" t="s">
        <v>1574</v>
      </c>
      <c r="M41" s="54">
        <v>0.47683842999999998</v>
      </c>
      <c r="N41" s="53">
        <v>0</v>
      </c>
      <c r="O41" s="53">
        <v>0</v>
      </c>
      <c r="P41" s="53" t="s">
        <v>1562</v>
      </c>
      <c r="Q41" s="53">
        <v>0</v>
      </c>
      <c r="R41" s="53"/>
      <c r="S41" s="55" t="s">
        <v>1385</v>
      </c>
      <c r="T41" s="56">
        <v>44564</v>
      </c>
      <c r="U41" s="57">
        <v>0</v>
      </c>
    </row>
    <row r="42" spans="3:21" ht="33.75" customHeight="1" thickBot="1" x14ac:dyDescent="0.3">
      <c r="C42" s="52">
        <v>999</v>
      </c>
      <c r="D42" s="53">
        <v>35</v>
      </c>
      <c r="E42" s="53" t="s">
        <v>1382</v>
      </c>
      <c r="F42" s="53" t="s">
        <v>80</v>
      </c>
      <c r="G42" s="53" t="s">
        <v>1948</v>
      </c>
      <c r="H42" s="53" t="s">
        <v>2097</v>
      </c>
      <c r="I42" s="53" t="s">
        <v>2098</v>
      </c>
      <c r="J42" s="53" t="s">
        <v>60</v>
      </c>
      <c r="K42" s="53" t="s">
        <v>61</v>
      </c>
      <c r="L42" s="53" t="s">
        <v>1573</v>
      </c>
      <c r="M42" s="54">
        <v>2327876717.7757101</v>
      </c>
      <c r="N42" s="53">
        <v>0</v>
      </c>
      <c r="O42" s="53">
        <v>0</v>
      </c>
      <c r="P42" s="53" t="s">
        <v>1562</v>
      </c>
      <c r="Q42" s="53">
        <v>0</v>
      </c>
      <c r="R42" s="53"/>
      <c r="S42" s="55" t="s">
        <v>1385</v>
      </c>
      <c r="T42" s="56">
        <v>44564</v>
      </c>
      <c r="U42" s="57">
        <v>0</v>
      </c>
    </row>
    <row r="43" spans="3:21" ht="33.75" customHeight="1" thickBot="1" x14ac:dyDescent="0.3">
      <c r="C43" s="52">
        <v>999</v>
      </c>
      <c r="D43" s="53">
        <v>36</v>
      </c>
      <c r="E43" s="53" t="s">
        <v>1382</v>
      </c>
      <c r="F43" s="53" t="s">
        <v>56</v>
      </c>
      <c r="G43" s="53" t="s">
        <v>1948</v>
      </c>
      <c r="H43" s="53" t="s">
        <v>2099</v>
      </c>
      <c r="I43" s="53" t="s">
        <v>2100</v>
      </c>
      <c r="J43" s="53" t="s">
        <v>60</v>
      </c>
      <c r="K43" s="53" t="s">
        <v>61</v>
      </c>
      <c r="L43" s="53" t="s">
        <v>1561</v>
      </c>
      <c r="M43" s="54">
        <v>0</v>
      </c>
      <c r="N43" s="53">
        <v>0</v>
      </c>
      <c r="O43" s="53">
        <v>0</v>
      </c>
      <c r="P43" s="53" t="s">
        <v>1562</v>
      </c>
      <c r="Q43" s="53">
        <v>0</v>
      </c>
      <c r="R43" s="53"/>
      <c r="S43" s="55" t="s">
        <v>1385</v>
      </c>
      <c r="T43" s="56">
        <v>44564</v>
      </c>
      <c r="U43" s="57">
        <v>0</v>
      </c>
    </row>
    <row r="44" spans="3:21" ht="33.75" customHeight="1" thickBot="1" x14ac:dyDescent="0.3">
      <c r="C44" s="52">
        <v>999</v>
      </c>
      <c r="D44" s="53">
        <v>37</v>
      </c>
      <c r="E44" s="53" t="s">
        <v>1382</v>
      </c>
      <c r="F44" s="53" t="s">
        <v>56</v>
      </c>
      <c r="G44" s="53" t="s">
        <v>1948</v>
      </c>
      <c r="H44" s="53" t="s">
        <v>2101</v>
      </c>
      <c r="I44" s="53" t="s">
        <v>2102</v>
      </c>
      <c r="J44" s="53" t="s">
        <v>60</v>
      </c>
      <c r="K44" s="53" t="s">
        <v>61</v>
      </c>
      <c r="L44" s="53" t="s">
        <v>1563</v>
      </c>
      <c r="M44" s="54">
        <v>196652.75420860999</v>
      </c>
      <c r="N44" s="53">
        <v>0</v>
      </c>
      <c r="O44" s="53">
        <v>0</v>
      </c>
      <c r="P44" s="53" t="s">
        <v>1562</v>
      </c>
      <c r="Q44" s="53">
        <v>0</v>
      </c>
      <c r="R44" s="53"/>
      <c r="S44" s="55" t="s">
        <v>1385</v>
      </c>
      <c r="T44" s="56">
        <v>44564</v>
      </c>
      <c r="U44" s="57">
        <v>0</v>
      </c>
    </row>
    <row r="45" spans="3:21" ht="33.75" customHeight="1" thickBot="1" x14ac:dyDescent="0.3">
      <c r="C45" s="52">
        <v>999</v>
      </c>
      <c r="D45" s="53">
        <v>38</v>
      </c>
      <c r="E45" s="53" t="s">
        <v>1382</v>
      </c>
      <c r="F45" s="53" t="s">
        <v>56</v>
      </c>
      <c r="G45" s="53" t="s">
        <v>1948</v>
      </c>
      <c r="H45" s="53" t="s">
        <v>2103</v>
      </c>
      <c r="I45" s="53" t="s">
        <v>2104</v>
      </c>
      <c r="J45" s="53" t="s">
        <v>60</v>
      </c>
      <c r="K45" s="53" t="s">
        <v>61</v>
      </c>
      <c r="L45" s="53" t="s">
        <v>1575</v>
      </c>
      <c r="M45" s="54">
        <v>0</v>
      </c>
      <c r="N45" s="53">
        <v>0</v>
      </c>
      <c r="O45" s="53">
        <v>0</v>
      </c>
      <c r="P45" s="53" t="s">
        <v>1562</v>
      </c>
      <c r="Q45" s="53">
        <v>0</v>
      </c>
      <c r="R45" s="53"/>
      <c r="S45" s="55" t="s">
        <v>1385</v>
      </c>
      <c r="T45" s="56">
        <v>44564</v>
      </c>
      <c r="U45" s="57">
        <v>0</v>
      </c>
    </row>
    <row r="46" spans="3:21" ht="33.75" customHeight="1" thickBot="1" x14ac:dyDescent="0.3">
      <c r="C46" s="52">
        <v>999</v>
      </c>
      <c r="D46" s="53">
        <v>39</v>
      </c>
      <c r="E46" s="53" t="s">
        <v>1382</v>
      </c>
      <c r="F46" s="53" t="s">
        <v>56</v>
      </c>
      <c r="G46" s="53" t="s">
        <v>1948</v>
      </c>
      <c r="H46" s="53" t="s">
        <v>2105</v>
      </c>
      <c r="I46" s="53" t="s">
        <v>2106</v>
      </c>
      <c r="J46" s="53" t="s">
        <v>60</v>
      </c>
      <c r="K46" s="53" t="s">
        <v>61</v>
      </c>
      <c r="L46" s="53" t="s">
        <v>1564</v>
      </c>
      <c r="M46" s="54">
        <v>0</v>
      </c>
      <c r="N46" s="53">
        <v>0</v>
      </c>
      <c r="O46" s="53">
        <v>0</v>
      </c>
      <c r="P46" s="53" t="s">
        <v>1562</v>
      </c>
      <c r="Q46" s="53">
        <v>0</v>
      </c>
      <c r="R46" s="53"/>
      <c r="S46" s="55" t="s">
        <v>1385</v>
      </c>
      <c r="T46" s="56">
        <v>44564</v>
      </c>
      <c r="U46" s="57">
        <v>0</v>
      </c>
    </row>
    <row r="47" spans="3:21" ht="33.75" customHeight="1" thickBot="1" x14ac:dyDescent="0.3">
      <c r="C47" s="52">
        <v>999</v>
      </c>
      <c r="D47" s="53">
        <v>40</v>
      </c>
      <c r="E47" s="53" t="s">
        <v>1382</v>
      </c>
      <c r="F47" s="53" t="s">
        <v>56</v>
      </c>
      <c r="G47" s="53" t="s">
        <v>1948</v>
      </c>
      <c r="H47" s="53" t="s">
        <v>2107</v>
      </c>
      <c r="I47" s="53" t="s">
        <v>2108</v>
      </c>
      <c r="J47" s="53" t="s">
        <v>60</v>
      </c>
      <c r="K47" s="53" t="s">
        <v>61</v>
      </c>
      <c r="L47" s="53" t="s">
        <v>1565</v>
      </c>
      <c r="M47" s="54">
        <v>0</v>
      </c>
      <c r="N47" s="53">
        <v>0</v>
      </c>
      <c r="O47" s="53">
        <v>0</v>
      </c>
      <c r="P47" s="53" t="s">
        <v>1562</v>
      </c>
      <c r="Q47" s="53">
        <v>0</v>
      </c>
      <c r="R47" s="53"/>
      <c r="S47" s="55" t="s">
        <v>1385</v>
      </c>
      <c r="T47" s="56">
        <v>44564</v>
      </c>
      <c r="U47" s="57">
        <v>0</v>
      </c>
    </row>
    <row r="48" spans="3:21" ht="33.75" customHeight="1" thickBot="1" x14ac:dyDescent="0.3">
      <c r="C48" s="52">
        <v>999</v>
      </c>
      <c r="D48" s="53">
        <v>41</v>
      </c>
      <c r="E48" s="53" t="s">
        <v>1382</v>
      </c>
      <c r="F48" s="53" t="s">
        <v>56</v>
      </c>
      <c r="G48" s="53" t="s">
        <v>1948</v>
      </c>
      <c r="H48" s="53" t="s">
        <v>2109</v>
      </c>
      <c r="I48" s="53" t="s">
        <v>2110</v>
      </c>
      <c r="J48" s="53" t="s">
        <v>60</v>
      </c>
      <c r="K48" s="53" t="s">
        <v>61</v>
      </c>
      <c r="L48" s="53" t="s">
        <v>1566</v>
      </c>
      <c r="M48" s="54">
        <v>0</v>
      </c>
      <c r="N48" s="53">
        <v>0</v>
      </c>
      <c r="O48" s="53">
        <v>0</v>
      </c>
      <c r="P48" s="53" t="s">
        <v>1562</v>
      </c>
      <c r="Q48" s="53">
        <v>0</v>
      </c>
      <c r="R48" s="53"/>
      <c r="S48" s="55" t="s">
        <v>1385</v>
      </c>
      <c r="T48" s="56">
        <v>44564</v>
      </c>
      <c r="U48" s="57">
        <v>0</v>
      </c>
    </row>
    <row r="49" spans="3:21" ht="33.75" customHeight="1" thickBot="1" x14ac:dyDescent="0.3">
      <c r="C49" s="52">
        <v>999</v>
      </c>
      <c r="D49" s="53">
        <v>42</v>
      </c>
      <c r="E49" s="53" t="s">
        <v>1382</v>
      </c>
      <c r="F49" s="53" t="s">
        <v>56</v>
      </c>
      <c r="G49" s="53" t="s">
        <v>1948</v>
      </c>
      <c r="H49" s="53" t="s">
        <v>2111</v>
      </c>
      <c r="I49" s="53" t="s">
        <v>2112</v>
      </c>
      <c r="J49" s="53" t="s">
        <v>60</v>
      </c>
      <c r="K49" s="53" t="s">
        <v>61</v>
      </c>
      <c r="L49" s="53" t="s">
        <v>1567</v>
      </c>
      <c r="M49" s="54">
        <v>0</v>
      </c>
      <c r="N49" s="53">
        <v>0</v>
      </c>
      <c r="O49" s="53">
        <v>0</v>
      </c>
      <c r="P49" s="53" t="s">
        <v>1562</v>
      </c>
      <c r="Q49" s="53">
        <v>0</v>
      </c>
      <c r="R49" s="53"/>
      <c r="S49" s="55" t="s">
        <v>1385</v>
      </c>
      <c r="T49" s="56">
        <v>44564</v>
      </c>
      <c r="U49" s="57">
        <v>0</v>
      </c>
    </row>
    <row r="50" spans="3:21" ht="33.75" customHeight="1" thickBot="1" x14ac:dyDescent="0.3">
      <c r="C50" s="52">
        <v>999</v>
      </c>
      <c r="D50" s="53">
        <v>43</v>
      </c>
      <c r="E50" s="53" t="s">
        <v>1382</v>
      </c>
      <c r="F50" s="53" t="s">
        <v>56</v>
      </c>
      <c r="G50" s="53" t="s">
        <v>1948</v>
      </c>
      <c r="H50" s="53" t="s">
        <v>2113</v>
      </c>
      <c r="I50" s="53" t="s">
        <v>2114</v>
      </c>
      <c r="J50" s="53" t="s">
        <v>60</v>
      </c>
      <c r="K50" s="53" t="s">
        <v>61</v>
      </c>
      <c r="L50" s="53" t="s">
        <v>1568</v>
      </c>
      <c r="M50" s="54">
        <v>2201.65</v>
      </c>
      <c r="N50" s="53">
        <v>0</v>
      </c>
      <c r="O50" s="53">
        <v>0</v>
      </c>
      <c r="P50" s="53" t="s">
        <v>1562</v>
      </c>
      <c r="Q50" s="53">
        <v>0</v>
      </c>
      <c r="R50" s="53"/>
      <c r="S50" s="55" t="s">
        <v>1385</v>
      </c>
      <c r="T50" s="56">
        <v>44564</v>
      </c>
      <c r="U50" s="57">
        <v>0</v>
      </c>
    </row>
    <row r="51" spans="3:21" ht="33.75" customHeight="1" thickBot="1" x14ac:dyDescent="0.3">
      <c r="C51" s="52">
        <v>999</v>
      </c>
      <c r="D51" s="53">
        <v>44</v>
      </c>
      <c r="E51" s="53" t="s">
        <v>1382</v>
      </c>
      <c r="F51" s="53" t="s">
        <v>56</v>
      </c>
      <c r="G51" s="53" t="s">
        <v>1948</v>
      </c>
      <c r="H51" s="53" t="s">
        <v>2115</v>
      </c>
      <c r="I51" s="53" t="s">
        <v>2116</v>
      </c>
      <c r="J51" s="53" t="s">
        <v>60</v>
      </c>
      <c r="K51" s="53" t="s">
        <v>61</v>
      </c>
      <c r="L51" s="53" t="s">
        <v>1569</v>
      </c>
      <c r="M51" s="54">
        <v>635.12</v>
      </c>
      <c r="N51" s="53">
        <v>0</v>
      </c>
      <c r="O51" s="53">
        <v>0</v>
      </c>
      <c r="P51" s="53" t="s">
        <v>1562</v>
      </c>
      <c r="Q51" s="53">
        <v>0</v>
      </c>
      <c r="R51" s="53"/>
      <c r="S51" s="55" t="s">
        <v>1385</v>
      </c>
      <c r="T51" s="56">
        <v>44564</v>
      </c>
      <c r="U51" s="57">
        <v>0</v>
      </c>
    </row>
    <row r="52" spans="3:21" ht="33.75" customHeight="1" thickBot="1" x14ac:dyDescent="0.3">
      <c r="C52" s="52">
        <v>999</v>
      </c>
      <c r="D52" s="53">
        <v>45</v>
      </c>
      <c r="E52" s="53" t="s">
        <v>1382</v>
      </c>
      <c r="F52" s="53" t="s">
        <v>56</v>
      </c>
      <c r="G52" s="53" t="s">
        <v>1948</v>
      </c>
      <c r="H52" s="53" t="s">
        <v>2117</v>
      </c>
      <c r="I52" s="53" t="s">
        <v>2118</v>
      </c>
      <c r="J52" s="53" t="s">
        <v>60</v>
      </c>
      <c r="K52" s="53" t="s">
        <v>61</v>
      </c>
      <c r="L52" s="53" t="s">
        <v>1570</v>
      </c>
      <c r="M52" s="54">
        <v>1096.28</v>
      </c>
      <c r="N52" s="53">
        <v>0</v>
      </c>
      <c r="O52" s="53">
        <v>0</v>
      </c>
      <c r="P52" s="53" t="s">
        <v>1562</v>
      </c>
      <c r="Q52" s="53">
        <v>0</v>
      </c>
      <c r="R52" s="53"/>
      <c r="S52" s="55" t="s">
        <v>1385</v>
      </c>
      <c r="T52" s="56">
        <v>44564</v>
      </c>
      <c r="U52" s="57">
        <v>0</v>
      </c>
    </row>
    <row r="53" spans="3:21" ht="33.75" customHeight="1" thickBot="1" x14ac:dyDescent="0.3">
      <c r="C53" s="52">
        <v>999</v>
      </c>
      <c r="D53" s="53">
        <v>46</v>
      </c>
      <c r="E53" s="53" t="s">
        <v>1382</v>
      </c>
      <c r="F53" s="53" t="s">
        <v>56</v>
      </c>
      <c r="G53" s="53" t="s">
        <v>1948</v>
      </c>
      <c r="H53" s="53" t="s">
        <v>2119</v>
      </c>
      <c r="I53" s="53" t="s">
        <v>2120</v>
      </c>
      <c r="J53" s="53" t="s">
        <v>60</v>
      </c>
      <c r="K53" s="53" t="s">
        <v>61</v>
      </c>
      <c r="L53" s="53" t="s">
        <v>1571</v>
      </c>
      <c r="M53" s="54">
        <v>121543.82893744</v>
      </c>
      <c r="N53" s="53">
        <v>0</v>
      </c>
      <c r="O53" s="53">
        <v>0</v>
      </c>
      <c r="P53" s="53" t="s">
        <v>1562</v>
      </c>
      <c r="Q53" s="53">
        <v>0</v>
      </c>
      <c r="R53" s="53"/>
      <c r="S53" s="55" t="s">
        <v>1385</v>
      </c>
      <c r="T53" s="56">
        <v>44564</v>
      </c>
      <c r="U53" s="57">
        <v>0</v>
      </c>
    </row>
    <row r="54" spans="3:21" ht="33.75" customHeight="1" thickBot="1" x14ac:dyDescent="0.3">
      <c r="C54" s="52">
        <v>999</v>
      </c>
      <c r="D54" s="53">
        <v>47</v>
      </c>
      <c r="E54" s="53" t="s">
        <v>1382</v>
      </c>
      <c r="F54" s="53" t="s">
        <v>56</v>
      </c>
      <c r="G54" s="53" t="s">
        <v>1948</v>
      </c>
      <c r="H54" s="53" t="s">
        <v>2121</v>
      </c>
      <c r="I54" s="53" t="s">
        <v>2122</v>
      </c>
      <c r="J54" s="53" t="s">
        <v>60</v>
      </c>
      <c r="K54" s="53" t="s">
        <v>61</v>
      </c>
      <c r="L54" s="53" t="s">
        <v>1572</v>
      </c>
      <c r="M54" s="54">
        <v>2165809.25443403</v>
      </c>
      <c r="N54" s="53">
        <v>0</v>
      </c>
      <c r="O54" s="53">
        <v>0</v>
      </c>
      <c r="P54" s="53" t="s">
        <v>1562</v>
      </c>
      <c r="Q54" s="53">
        <v>0</v>
      </c>
      <c r="R54" s="53"/>
      <c r="S54" s="55" t="s">
        <v>1385</v>
      </c>
      <c r="T54" s="56">
        <v>44564</v>
      </c>
      <c r="U54" s="57">
        <v>0</v>
      </c>
    </row>
    <row r="55" spans="3:21" ht="33.75" customHeight="1" thickBot="1" x14ac:dyDescent="0.3">
      <c r="C55" s="52">
        <v>999</v>
      </c>
      <c r="D55" s="53">
        <v>48</v>
      </c>
      <c r="E55" s="53" t="s">
        <v>1382</v>
      </c>
      <c r="F55" s="53" t="s">
        <v>56</v>
      </c>
      <c r="G55" s="53" t="s">
        <v>1948</v>
      </c>
      <c r="H55" s="53" t="s">
        <v>2123</v>
      </c>
      <c r="I55" s="53" t="s">
        <v>2124</v>
      </c>
      <c r="J55" s="53" t="s">
        <v>60</v>
      </c>
      <c r="K55" s="53" t="s">
        <v>61</v>
      </c>
      <c r="L55" s="53" t="s">
        <v>1573</v>
      </c>
      <c r="M55" s="54">
        <v>384951701.83942401</v>
      </c>
      <c r="N55" s="53">
        <v>0</v>
      </c>
      <c r="O55" s="53">
        <v>0</v>
      </c>
      <c r="P55" s="53" t="s">
        <v>1562</v>
      </c>
      <c r="Q55" s="53">
        <v>0</v>
      </c>
      <c r="R55" s="53"/>
      <c r="S55" s="55" t="s">
        <v>1385</v>
      </c>
      <c r="T55" s="56">
        <v>44564</v>
      </c>
      <c r="U55" s="57">
        <v>0</v>
      </c>
    </row>
    <row r="56" spans="3:21" ht="33.75" customHeight="1" thickBot="1" x14ac:dyDescent="0.3">
      <c r="C56" s="52">
        <v>999</v>
      </c>
      <c r="D56" s="53">
        <v>49</v>
      </c>
      <c r="E56" s="53" t="s">
        <v>1382</v>
      </c>
      <c r="F56" s="53" t="s">
        <v>56</v>
      </c>
      <c r="G56" s="53" t="s">
        <v>1948</v>
      </c>
      <c r="H56" s="53" t="s">
        <v>2125</v>
      </c>
      <c r="I56" s="53" t="s">
        <v>2126</v>
      </c>
      <c r="J56" s="53" t="s">
        <v>60</v>
      </c>
      <c r="K56" s="53" t="s">
        <v>61</v>
      </c>
      <c r="L56" s="53" t="s">
        <v>1573</v>
      </c>
      <c r="M56" s="54">
        <v>0</v>
      </c>
      <c r="N56" s="53">
        <v>0</v>
      </c>
      <c r="O56" s="53">
        <v>0</v>
      </c>
      <c r="P56" s="53" t="s">
        <v>1562</v>
      </c>
      <c r="Q56" s="53">
        <v>0</v>
      </c>
      <c r="R56" s="53"/>
      <c r="S56" s="55" t="s">
        <v>1385</v>
      </c>
      <c r="T56" s="56">
        <v>44564</v>
      </c>
      <c r="U56" s="57">
        <v>0</v>
      </c>
    </row>
    <row r="57" spans="3:21" ht="33.75" customHeight="1" thickBot="1" x14ac:dyDescent="0.3">
      <c r="C57" s="52">
        <v>999</v>
      </c>
      <c r="D57" s="53">
        <v>50</v>
      </c>
      <c r="E57" s="53" t="s">
        <v>1382</v>
      </c>
      <c r="F57" s="53" t="s">
        <v>56</v>
      </c>
      <c r="G57" s="53" t="s">
        <v>1948</v>
      </c>
      <c r="H57" s="53" t="s">
        <v>2127</v>
      </c>
      <c r="I57" s="53" t="s">
        <v>2128</v>
      </c>
      <c r="J57" s="53" t="s">
        <v>60</v>
      </c>
      <c r="K57" s="53" t="s">
        <v>61</v>
      </c>
      <c r="L57" s="53" t="s">
        <v>1574</v>
      </c>
      <c r="M57" s="54">
        <v>97578.73</v>
      </c>
      <c r="N57" s="53">
        <v>0</v>
      </c>
      <c r="O57" s="53">
        <v>0</v>
      </c>
      <c r="P57" s="53" t="s">
        <v>1562</v>
      </c>
      <c r="Q57" s="53">
        <v>0</v>
      </c>
      <c r="R57" s="53"/>
      <c r="S57" s="55" t="s">
        <v>1385</v>
      </c>
      <c r="T57" s="56">
        <v>44564</v>
      </c>
      <c r="U57" s="57">
        <v>0</v>
      </c>
    </row>
    <row r="58" spans="3:21" ht="33.75" customHeight="1" thickBot="1" x14ac:dyDescent="0.3">
      <c r="C58" s="52">
        <v>999</v>
      </c>
      <c r="D58" s="53">
        <v>51</v>
      </c>
      <c r="E58" s="53" t="s">
        <v>1382</v>
      </c>
      <c r="F58" s="53" t="s">
        <v>87</v>
      </c>
      <c r="G58" s="53" t="s">
        <v>1948</v>
      </c>
      <c r="H58" s="53" t="s">
        <v>2129</v>
      </c>
      <c r="I58" s="53" t="s">
        <v>2130</v>
      </c>
      <c r="J58" s="53" t="s">
        <v>60</v>
      </c>
      <c r="K58" s="53" t="s">
        <v>61</v>
      </c>
      <c r="L58" s="53" t="s">
        <v>1572</v>
      </c>
      <c r="M58" s="54">
        <v>0</v>
      </c>
      <c r="N58" s="53">
        <v>0</v>
      </c>
      <c r="O58" s="53">
        <v>0</v>
      </c>
      <c r="P58" s="53" t="s">
        <v>1562</v>
      </c>
      <c r="Q58" s="53">
        <v>0</v>
      </c>
      <c r="R58" s="53"/>
      <c r="S58" s="55" t="s">
        <v>1385</v>
      </c>
      <c r="T58" s="56">
        <v>44564</v>
      </c>
      <c r="U58" s="57">
        <v>0</v>
      </c>
    </row>
    <row r="59" spans="3:21" ht="33.75" customHeight="1" thickBot="1" x14ac:dyDescent="0.3">
      <c r="C59" s="52">
        <v>999</v>
      </c>
      <c r="D59" s="53">
        <v>52</v>
      </c>
      <c r="E59" s="53" t="s">
        <v>1382</v>
      </c>
      <c r="F59" s="53" t="s">
        <v>87</v>
      </c>
      <c r="G59" s="53" t="s">
        <v>1948</v>
      </c>
      <c r="H59" s="53" t="s">
        <v>2131</v>
      </c>
      <c r="I59" s="53" t="s">
        <v>2132</v>
      </c>
      <c r="J59" s="53" t="s">
        <v>60</v>
      </c>
      <c r="K59" s="53" t="s">
        <v>61</v>
      </c>
      <c r="L59" s="53" t="s">
        <v>1573</v>
      </c>
      <c r="M59" s="54">
        <v>0</v>
      </c>
      <c r="N59" s="53">
        <v>0</v>
      </c>
      <c r="O59" s="53">
        <v>0</v>
      </c>
      <c r="P59" s="53" t="s">
        <v>1562</v>
      </c>
      <c r="Q59" s="53">
        <v>0</v>
      </c>
      <c r="R59" s="53"/>
      <c r="S59" s="55" t="s">
        <v>1385</v>
      </c>
      <c r="T59" s="56">
        <v>44564</v>
      </c>
      <c r="U59" s="57">
        <v>0</v>
      </c>
    </row>
    <row r="60" spans="3:21" ht="33.75" customHeight="1" thickBot="1" x14ac:dyDescent="0.3">
      <c r="C60" s="52">
        <v>999</v>
      </c>
      <c r="D60" s="53">
        <v>53</v>
      </c>
      <c r="E60" s="53" t="s">
        <v>1382</v>
      </c>
      <c r="F60" s="53" t="s">
        <v>87</v>
      </c>
      <c r="G60" s="53" t="s">
        <v>1948</v>
      </c>
      <c r="H60" s="53" t="s">
        <v>2133</v>
      </c>
      <c r="I60" s="53" t="s">
        <v>2134</v>
      </c>
      <c r="J60" s="53" t="s">
        <v>60</v>
      </c>
      <c r="K60" s="53" t="s">
        <v>61</v>
      </c>
      <c r="L60" s="53" t="s">
        <v>1573</v>
      </c>
      <c r="M60" s="54">
        <v>0</v>
      </c>
      <c r="N60" s="53">
        <v>0</v>
      </c>
      <c r="O60" s="53">
        <v>0</v>
      </c>
      <c r="P60" s="53" t="s">
        <v>1562</v>
      </c>
      <c r="Q60" s="53">
        <v>0</v>
      </c>
      <c r="R60" s="53"/>
      <c r="S60" s="55" t="s">
        <v>1385</v>
      </c>
      <c r="T60" s="56">
        <v>44564</v>
      </c>
      <c r="U60" s="57">
        <v>0</v>
      </c>
    </row>
    <row r="61" spans="3:21" ht="33.75" customHeight="1" thickBot="1" x14ac:dyDescent="0.3">
      <c r="C61" s="52">
        <v>999</v>
      </c>
      <c r="D61" s="53">
        <v>54</v>
      </c>
      <c r="E61" s="53" t="s">
        <v>1382</v>
      </c>
      <c r="F61" s="53" t="s">
        <v>87</v>
      </c>
      <c r="G61" s="53" t="s">
        <v>1948</v>
      </c>
      <c r="H61" s="53" t="s">
        <v>2135</v>
      </c>
      <c r="I61" s="53" t="s">
        <v>2136</v>
      </c>
      <c r="J61" s="53" t="s">
        <v>60</v>
      </c>
      <c r="K61" s="53" t="s">
        <v>61</v>
      </c>
      <c r="L61" s="53" t="s">
        <v>1573</v>
      </c>
      <c r="M61" s="54">
        <v>0</v>
      </c>
      <c r="N61" s="53">
        <v>0</v>
      </c>
      <c r="O61" s="53">
        <v>0</v>
      </c>
      <c r="P61" s="53" t="s">
        <v>1562</v>
      </c>
      <c r="Q61" s="53">
        <v>0</v>
      </c>
      <c r="R61" s="53"/>
      <c r="S61" s="55" t="s">
        <v>1385</v>
      </c>
      <c r="T61" s="56">
        <v>44564</v>
      </c>
      <c r="U61" s="57">
        <v>0</v>
      </c>
    </row>
    <row r="62" spans="3:21" ht="33.75" customHeight="1" thickBot="1" x14ac:dyDescent="0.3">
      <c r="C62" s="52">
        <v>999</v>
      </c>
      <c r="D62" s="53">
        <v>55</v>
      </c>
      <c r="E62" s="53" t="s">
        <v>1382</v>
      </c>
      <c r="F62" s="53" t="s">
        <v>83</v>
      </c>
      <c r="G62" s="53" t="s">
        <v>1948</v>
      </c>
      <c r="H62" s="53" t="s">
        <v>2137</v>
      </c>
      <c r="I62" s="53" t="s">
        <v>2138</v>
      </c>
      <c r="J62" s="53" t="s">
        <v>60</v>
      </c>
      <c r="K62" s="53" t="s">
        <v>61</v>
      </c>
      <c r="L62" s="53" t="s">
        <v>1561</v>
      </c>
      <c r="M62" s="54">
        <v>0</v>
      </c>
      <c r="N62" s="53">
        <v>0</v>
      </c>
      <c r="O62" s="53">
        <v>0</v>
      </c>
      <c r="P62" s="53" t="s">
        <v>1562</v>
      </c>
      <c r="Q62" s="53">
        <v>0</v>
      </c>
      <c r="R62" s="53"/>
      <c r="S62" s="55" t="s">
        <v>1385</v>
      </c>
      <c r="T62" s="56">
        <v>44564</v>
      </c>
      <c r="U62" s="57">
        <v>0</v>
      </c>
    </row>
    <row r="63" spans="3:21" ht="33.75" customHeight="1" thickBot="1" x14ac:dyDescent="0.3">
      <c r="C63" s="52">
        <v>999</v>
      </c>
      <c r="D63" s="53">
        <v>56</v>
      </c>
      <c r="E63" s="53" t="s">
        <v>1382</v>
      </c>
      <c r="F63" s="53" t="s">
        <v>83</v>
      </c>
      <c r="G63" s="53" t="s">
        <v>1948</v>
      </c>
      <c r="H63" s="53" t="s">
        <v>2139</v>
      </c>
      <c r="I63" s="53" t="s">
        <v>2140</v>
      </c>
      <c r="J63" s="53" t="s">
        <v>60</v>
      </c>
      <c r="K63" s="53" t="s">
        <v>61</v>
      </c>
      <c r="L63" s="53" t="s">
        <v>1561</v>
      </c>
      <c r="M63" s="54">
        <v>0</v>
      </c>
      <c r="N63" s="53">
        <v>0</v>
      </c>
      <c r="O63" s="53">
        <v>0</v>
      </c>
      <c r="P63" s="53" t="s">
        <v>1562</v>
      </c>
      <c r="Q63" s="53">
        <v>0</v>
      </c>
      <c r="R63" s="53"/>
      <c r="S63" s="55" t="s">
        <v>1385</v>
      </c>
      <c r="T63" s="56">
        <v>44564</v>
      </c>
      <c r="U63" s="57">
        <v>0</v>
      </c>
    </row>
    <row r="64" spans="3:21" ht="33.75" customHeight="1" thickBot="1" x14ac:dyDescent="0.3">
      <c r="C64" s="52">
        <v>999</v>
      </c>
      <c r="D64" s="53">
        <v>57</v>
      </c>
      <c r="E64" s="53" t="s">
        <v>1382</v>
      </c>
      <c r="F64" s="53" t="s">
        <v>83</v>
      </c>
      <c r="G64" s="53" t="s">
        <v>1948</v>
      </c>
      <c r="H64" s="53" t="s">
        <v>2141</v>
      </c>
      <c r="I64" s="53" t="s">
        <v>2142</v>
      </c>
      <c r="J64" s="53" t="s">
        <v>60</v>
      </c>
      <c r="K64" s="53" t="s">
        <v>61</v>
      </c>
      <c r="L64" s="53" t="s">
        <v>1564</v>
      </c>
      <c r="M64" s="54">
        <v>0</v>
      </c>
      <c r="N64" s="53">
        <v>0</v>
      </c>
      <c r="O64" s="53">
        <v>0</v>
      </c>
      <c r="P64" s="53" t="s">
        <v>1562</v>
      </c>
      <c r="Q64" s="53">
        <v>0</v>
      </c>
      <c r="R64" s="53"/>
      <c r="S64" s="55" t="s">
        <v>1385</v>
      </c>
      <c r="T64" s="56">
        <v>44564</v>
      </c>
      <c r="U64" s="57">
        <v>0</v>
      </c>
    </row>
    <row r="65" spans="3:21" ht="33.75" customHeight="1" thickBot="1" x14ac:dyDescent="0.3">
      <c r="C65" s="52">
        <v>999</v>
      </c>
      <c r="D65" s="53">
        <v>58</v>
      </c>
      <c r="E65" s="53" t="s">
        <v>1382</v>
      </c>
      <c r="F65" s="53" t="s">
        <v>83</v>
      </c>
      <c r="G65" s="53" t="s">
        <v>1948</v>
      </c>
      <c r="H65" s="53" t="s">
        <v>2143</v>
      </c>
      <c r="I65" s="53" t="s">
        <v>2144</v>
      </c>
      <c r="J65" s="53" t="s">
        <v>60</v>
      </c>
      <c r="K65" s="53" t="s">
        <v>61</v>
      </c>
      <c r="L65" s="53" t="s">
        <v>1564</v>
      </c>
      <c r="M65" s="54">
        <v>0</v>
      </c>
      <c r="N65" s="53">
        <v>0</v>
      </c>
      <c r="O65" s="53">
        <v>0</v>
      </c>
      <c r="P65" s="53" t="s">
        <v>1562</v>
      </c>
      <c r="Q65" s="53">
        <v>0</v>
      </c>
      <c r="R65" s="53"/>
      <c r="S65" s="55" t="s">
        <v>1385</v>
      </c>
      <c r="T65" s="56">
        <v>44564</v>
      </c>
      <c r="U65" s="57">
        <v>0</v>
      </c>
    </row>
    <row r="66" spans="3:21" ht="33.75" customHeight="1" thickBot="1" x14ac:dyDescent="0.3">
      <c r="C66" s="52">
        <v>999</v>
      </c>
      <c r="D66" s="53">
        <v>59</v>
      </c>
      <c r="E66" s="53" t="s">
        <v>1382</v>
      </c>
      <c r="F66" s="53" t="s">
        <v>83</v>
      </c>
      <c r="G66" s="53" t="s">
        <v>1948</v>
      </c>
      <c r="H66" s="53" t="s">
        <v>2145</v>
      </c>
      <c r="I66" s="53" t="s">
        <v>2146</v>
      </c>
      <c r="J66" s="53" t="s">
        <v>60</v>
      </c>
      <c r="K66" s="53" t="s">
        <v>61</v>
      </c>
      <c r="L66" s="53" t="s">
        <v>1565</v>
      </c>
      <c r="M66" s="54">
        <v>0</v>
      </c>
      <c r="N66" s="53">
        <v>0</v>
      </c>
      <c r="O66" s="53">
        <v>0</v>
      </c>
      <c r="P66" s="53" t="s">
        <v>1562</v>
      </c>
      <c r="Q66" s="53">
        <v>0</v>
      </c>
      <c r="R66" s="53"/>
      <c r="S66" s="55" t="s">
        <v>1385</v>
      </c>
      <c r="T66" s="56">
        <v>44564</v>
      </c>
      <c r="U66" s="57">
        <v>0</v>
      </c>
    </row>
    <row r="67" spans="3:21" ht="33.75" customHeight="1" thickBot="1" x14ac:dyDescent="0.3">
      <c r="C67" s="52">
        <v>999</v>
      </c>
      <c r="D67" s="53">
        <v>60</v>
      </c>
      <c r="E67" s="53" t="s">
        <v>1382</v>
      </c>
      <c r="F67" s="53" t="s">
        <v>83</v>
      </c>
      <c r="G67" s="53" t="s">
        <v>1948</v>
      </c>
      <c r="H67" s="53" t="s">
        <v>2147</v>
      </c>
      <c r="I67" s="53" t="s">
        <v>2148</v>
      </c>
      <c r="J67" s="53" t="s">
        <v>60</v>
      </c>
      <c r="K67" s="53" t="s">
        <v>61</v>
      </c>
      <c r="L67" s="53" t="s">
        <v>1565</v>
      </c>
      <c r="M67" s="54">
        <v>0</v>
      </c>
      <c r="N67" s="53">
        <v>0</v>
      </c>
      <c r="O67" s="53">
        <v>0</v>
      </c>
      <c r="P67" s="53" t="s">
        <v>1562</v>
      </c>
      <c r="Q67" s="53">
        <v>0</v>
      </c>
      <c r="R67" s="53"/>
      <c r="S67" s="55" t="s">
        <v>1385</v>
      </c>
      <c r="T67" s="56">
        <v>44564</v>
      </c>
      <c r="U67" s="57">
        <v>0</v>
      </c>
    </row>
    <row r="68" spans="3:21" ht="33.75" customHeight="1" thickBot="1" x14ac:dyDescent="0.3">
      <c r="C68" s="52">
        <v>999</v>
      </c>
      <c r="D68" s="53">
        <v>61</v>
      </c>
      <c r="E68" s="53" t="s">
        <v>1382</v>
      </c>
      <c r="F68" s="53" t="s">
        <v>83</v>
      </c>
      <c r="G68" s="53" t="s">
        <v>1948</v>
      </c>
      <c r="H68" s="53" t="s">
        <v>2149</v>
      </c>
      <c r="I68" s="53" t="s">
        <v>2150</v>
      </c>
      <c r="J68" s="53" t="s">
        <v>60</v>
      </c>
      <c r="K68" s="53" t="s">
        <v>61</v>
      </c>
      <c r="L68" s="53" t="s">
        <v>1566</v>
      </c>
      <c r="M68" s="54">
        <v>0</v>
      </c>
      <c r="N68" s="53">
        <v>0</v>
      </c>
      <c r="O68" s="53">
        <v>0</v>
      </c>
      <c r="P68" s="53" t="s">
        <v>1562</v>
      </c>
      <c r="Q68" s="53">
        <v>0</v>
      </c>
      <c r="R68" s="53"/>
      <c r="S68" s="55" t="s">
        <v>1385</v>
      </c>
      <c r="T68" s="56">
        <v>44564</v>
      </c>
      <c r="U68" s="57">
        <v>0</v>
      </c>
    </row>
    <row r="69" spans="3:21" ht="33.75" customHeight="1" thickBot="1" x14ac:dyDescent="0.3">
      <c r="C69" s="52">
        <v>999</v>
      </c>
      <c r="D69" s="53">
        <v>62</v>
      </c>
      <c r="E69" s="53" t="s">
        <v>1382</v>
      </c>
      <c r="F69" s="53" t="s">
        <v>83</v>
      </c>
      <c r="G69" s="53" t="s">
        <v>1948</v>
      </c>
      <c r="H69" s="53" t="s">
        <v>2151</v>
      </c>
      <c r="I69" s="53" t="s">
        <v>2152</v>
      </c>
      <c r="J69" s="53" t="s">
        <v>60</v>
      </c>
      <c r="K69" s="53" t="s">
        <v>61</v>
      </c>
      <c r="L69" s="53" t="s">
        <v>1567</v>
      </c>
      <c r="M69" s="54">
        <v>0</v>
      </c>
      <c r="N69" s="53">
        <v>0</v>
      </c>
      <c r="O69" s="53">
        <v>0</v>
      </c>
      <c r="P69" s="53" t="s">
        <v>1562</v>
      </c>
      <c r="Q69" s="53">
        <v>0</v>
      </c>
      <c r="R69" s="53"/>
      <c r="S69" s="55" t="s">
        <v>1385</v>
      </c>
      <c r="T69" s="56">
        <v>44564</v>
      </c>
      <c r="U69" s="57">
        <v>0</v>
      </c>
    </row>
    <row r="70" spans="3:21" ht="33.75" customHeight="1" thickBot="1" x14ac:dyDescent="0.3">
      <c r="C70" s="52">
        <v>999</v>
      </c>
      <c r="D70" s="53">
        <v>63</v>
      </c>
      <c r="E70" s="53" t="s">
        <v>1382</v>
      </c>
      <c r="F70" s="53" t="s">
        <v>83</v>
      </c>
      <c r="G70" s="53" t="s">
        <v>1948</v>
      </c>
      <c r="H70" s="53" t="s">
        <v>2153</v>
      </c>
      <c r="I70" s="53" t="s">
        <v>2154</v>
      </c>
      <c r="J70" s="53" t="s">
        <v>60</v>
      </c>
      <c r="K70" s="53" t="s">
        <v>61</v>
      </c>
      <c r="L70" s="53" t="s">
        <v>1567</v>
      </c>
      <c r="M70" s="54">
        <v>0</v>
      </c>
      <c r="N70" s="53">
        <v>0</v>
      </c>
      <c r="O70" s="53">
        <v>0</v>
      </c>
      <c r="P70" s="53" t="s">
        <v>1562</v>
      </c>
      <c r="Q70" s="53">
        <v>0</v>
      </c>
      <c r="R70" s="53"/>
      <c r="S70" s="55" t="s">
        <v>1385</v>
      </c>
      <c r="T70" s="56">
        <v>44564</v>
      </c>
      <c r="U70" s="57">
        <v>0</v>
      </c>
    </row>
    <row r="71" spans="3:21" ht="33.75" customHeight="1" thickBot="1" x14ac:dyDescent="0.3">
      <c r="C71" s="52">
        <v>999</v>
      </c>
      <c r="D71" s="53">
        <v>64</v>
      </c>
      <c r="E71" s="53" t="s">
        <v>1382</v>
      </c>
      <c r="F71" s="53" t="s">
        <v>83</v>
      </c>
      <c r="G71" s="53" t="s">
        <v>1948</v>
      </c>
      <c r="H71" s="53" t="s">
        <v>2155</v>
      </c>
      <c r="I71" s="53" t="s">
        <v>2156</v>
      </c>
      <c r="J71" s="53" t="s">
        <v>60</v>
      </c>
      <c r="K71" s="53" t="s">
        <v>61</v>
      </c>
      <c r="L71" s="53" t="s">
        <v>1569</v>
      </c>
      <c r="M71" s="54">
        <v>0</v>
      </c>
      <c r="N71" s="53">
        <v>0</v>
      </c>
      <c r="O71" s="53">
        <v>0</v>
      </c>
      <c r="P71" s="53" t="s">
        <v>1562</v>
      </c>
      <c r="Q71" s="53">
        <v>0</v>
      </c>
      <c r="R71" s="53"/>
      <c r="S71" s="55" t="s">
        <v>1385</v>
      </c>
      <c r="T71" s="56">
        <v>44564</v>
      </c>
      <c r="U71" s="57">
        <v>0</v>
      </c>
    </row>
    <row r="72" spans="3:21" ht="33.75" customHeight="1" thickBot="1" x14ac:dyDescent="0.3">
      <c r="C72" s="52">
        <v>999</v>
      </c>
      <c r="D72" s="53">
        <v>65</v>
      </c>
      <c r="E72" s="53" t="s">
        <v>1382</v>
      </c>
      <c r="F72" s="53" t="s">
        <v>83</v>
      </c>
      <c r="G72" s="53" t="s">
        <v>1948</v>
      </c>
      <c r="H72" s="53" t="s">
        <v>2157</v>
      </c>
      <c r="I72" s="53" t="s">
        <v>2158</v>
      </c>
      <c r="J72" s="53" t="s">
        <v>60</v>
      </c>
      <c r="K72" s="53" t="s">
        <v>61</v>
      </c>
      <c r="L72" s="53" t="s">
        <v>1569</v>
      </c>
      <c r="M72" s="54">
        <v>0</v>
      </c>
      <c r="N72" s="53">
        <v>0</v>
      </c>
      <c r="O72" s="53">
        <v>0</v>
      </c>
      <c r="P72" s="53" t="s">
        <v>1562</v>
      </c>
      <c r="Q72" s="53">
        <v>0</v>
      </c>
      <c r="R72" s="53"/>
      <c r="S72" s="55" t="s">
        <v>1385</v>
      </c>
      <c r="T72" s="56">
        <v>44564</v>
      </c>
      <c r="U72" s="57">
        <v>0</v>
      </c>
    </row>
    <row r="73" spans="3:21" ht="33.75" customHeight="1" thickBot="1" x14ac:dyDescent="0.3">
      <c r="C73" s="52">
        <v>999</v>
      </c>
      <c r="D73" s="53">
        <v>66</v>
      </c>
      <c r="E73" s="53" t="s">
        <v>1382</v>
      </c>
      <c r="F73" s="53" t="s">
        <v>83</v>
      </c>
      <c r="G73" s="53" t="s">
        <v>1948</v>
      </c>
      <c r="H73" s="53" t="s">
        <v>2159</v>
      </c>
      <c r="I73" s="53" t="s">
        <v>2160</v>
      </c>
      <c r="J73" s="53" t="s">
        <v>60</v>
      </c>
      <c r="K73" s="53" t="s">
        <v>61</v>
      </c>
      <c r="L73" s="53" t="s">
        <v>1570</v>
      </c>
      <c r="M73" s="54">
        <v>0</v>
      </c>
      <c r="N73" s="53">
        <v>0</v>
      </c>
      <c r="O73" s="53">
        <v>0</v>
      </c>
      <c r="P73" s="53" t="s">
        <v>1562</v>
      </c>
      <c r="Q73" s="53">
        <v>0</v>
      </c>
      <c r="R73" s="53"/>
      <c r="S73" s="55" t="s">
        <v>1385</v>
      </c>
      <c r="T73" s="56">
        <v>44564</v>
      </c>
      <c r="U73" s="57">
        <v>0</v>
      </c>
    </row>
    <row r="74" spans="3:21" ht="33.75" customHeight="1" thickBot="1" x14ac:dyDescent="0.3">
      <c r="C74" s="52">
        <v>999</v>
      </c>
      <c r="D74" s="53">
        <v>67</v>
      </c>
      <c r="E74" s="53" t="s">
        <v>1382</v>
      </c>
      <c r="F74" s="53" t="s">
        <v>83</v>
      </c>
      <c r="G74" s="53" t="s">
        <v>1948</v>
      </c>
      <c r="H74" s="53" t="s">
        <v>2161</v>
      </c>
      <c r="I74" s="53" t="s">
        <v>2162</v>
      </c>
      <c r="J74" s="53" t="s">
        <v>60</v>
      </c>
      <c r="K74" s="53" t="s">
        <v>61</v>
      </c>
      <c r="L74" s="53" t="s">
        <v>1570</v>
      </c>
      <c r="M74" s="54">
        <v>0</v>
      </c>
      <c r="N74" s="53">
        <v>0</v>
      </c>
      <c r="O74" s="53">
        <v>0</v>
      </c>
      <c r="P74" s="53" t="s">
        <v>1562</v>
      </c>
      <c r="Q74" s="53">
        <v>0</v>
      </c>
      <c r="R74" s="53"/>
      <c r="S74" s="55" t="s">
        <v>1385</v>
      </c>
      <c r="T74" s="56">
        <v>44564</v>
      </c>
      <c r="U74" s="57">
        <v>0</v>
      </c>
    </row>
    <row r="75" spans="3:21" ht="33.75" customHeight="1" thickBot="1" x14ac:dyDescent="0.3">
      <c r="C75" s="52">
        <v>999</v>
      </c>
      <c r="D75" s="53">
        <v>68</v>
      </c>
      <c r="E75" s="53" t="s">
        <v>1382</v>
      </c>
      <c r="F75" s="53" t="s">
        <v>83</v>
      </c>
      <c r="G75" s="53" t="s">
        <v>1948</v>
      </c>
      <c r="H75" s="53" t="s">
        <v>2163</v>
      </c>
      <c r="I75" s="53" t="s">
        <v>2164</v>
      </c>
      <c r="J75" s="53" t="s">
        <v>60</v>
      </c>
      <c r="K75" s="53" t="s">
        <v>61</v>
      </c>
      <c r="L75" s="53" t="s">
        <v>1571</v>
      </c>
      <c r="M75" s="54">
        <v>0</v>
      </c>
      <c r="N75" s="53">
        <v>0</v>
      </c>
      <c r="O75" s="53">
        <v>0</v>
      </c>
      <c r="P75" s="53" t="s">
        <v>1562</v>
      </c>
      <c r="Q75" s="53">
        <v>0</v>
      </c>
      <c r="R75" s="53"/>
      <c r="S75" s="55" t="s">
        <v>1385</v>
      </c>
      <c r="T75" s="56">
        <v>44564</v>
      </c>
      <c r="U75" s="57">
        <v>0</v>
      </c>
    </row>
    <row r="76" spans="3:21" ht="33.75" customHeight="1" thickBot="1" x14ac:dyDescent="0.3">
      <c r="C76" s="52">
        <v>999</v>
      </c>
      <c r="D76" s="53">
        <v>69</v>
      </c>
      <c r="E76" s="53" t="s">
        <v>1382</v>
      </c>
      <c r="F76" s="53" t="s">
        <v>83</v>
      </c>
      <c r="G76" s="53" t="s">
        <v>1948</v>
      </c>
      <c r="H76" s="53" t="s">
        <v>2165</v>
      </c>
      <c r="I76" s="53" t="s">
        <v>2166</v>
      </c>
      <c r="J76" s="53" t="s">
        <v>60</v>
      </c>
      <c r="K76" s="53" t="s">
        <v>61</v>
      </c>
      <c r="L76" s="53" t="s">
        <v>1571</v>
      </c>
      <c r="M76" s="54">
        <v>0</v>
      </c>
      <c r="N76" s="53">
        <v>0</v>
      </c>
      <c r="O76" s="53">
        <v>0</v>
      </c>
      <c r="P76" s="53" t="s">
        <v>1562</v>
      </c>
      <c r="Q76" s="53">
        <v>0</v>
      </c>
      <c r="R76" s="53"/>
      <c r="S76" s="55" t="s">
        <v>1385</v>
      </c>
      <c r="T76" s="56">
        <v>44564</v>
      </c>
      <c r="U76" s="57">
        <v>0</v>
      </c>
    </row>
    <row r="77" spans="3:21" ht="33.75" customHeight="1" thickBot="1" x14ac:dyDescent="0.3">
      <c r="C77" s="52">
        <v>999</v>
      </c>
      <c r="D77" s="53">
        <v>70</v>
      </c>
      <c r="E77" s="53" t="s">
        <v>1382</v>
      </c>
      <c r="F77" s="53" t="s">
        <v>83</v>
      </c>
      <c r="G77" s="53" t="s">
        <v>1948</v>
      </c>
      <c r="H77" s="53" t="s">
        <v>2167</v>
      </c>
      <c r="I77" s="53" t="s">
        <v>2168</v>
      </c>
      <c r="J77" s="53" t="s">
        <v>60</v>
      </c>
      <c r="K77" s="53" t="s">
        <v>61</v>
      </c>
      <c r="L77" s="53" t="s">
        <v>1572</v>
      </c>
      <c r="M77" s="54">
        <v>0</v>
      </c>
      <c r="N77" s="53">
        <v>0</v>
      </c>
      <c r="O77" s="53">
        <v>0</v>
      </c>
      <c r="P77" s="53" t="s">
        <v>1562</v>
      </c>
      <c r="Q77" s="53">
        <v>0</v>
      </c>
      <c r="R77" s="53"/>
      <c r="S77" s="55" t="s">
        <v>1385</v>
      </c>
      <c r="T77" s="56">
        <v>44564</v>
      </c>
      <c r="U77" s="57">
        <v>0</v>
      </c>
    </row>
    <row r="78" spans="3:21" ht="33.75" customHeight="1" thickBot="1" x14ac:dyDescent="0.3">
      <c r="C78" s="52">
        <v>999</v>
      </c>
      <c r="D78" s="53">
        <v>71</v>
      </c>
      <c r="E78" s="53" t="s">
        <v>1382</v>
      </c>
      <c r="F78" s="53" t="s">
        <v>83</v>
      </c>
      <c r="G78" s="53" t="s">
        <v>1948</v>
      </c>
      <c r="H78" s="53" t="s">
        <v>2169</v>
      </c>
      <c r="I78" s="53" t="s">
        <v>2170</v>
      </c>
      <c r="J78" s="53" t="s">
        <v>60</v>
      </c>
      <c r="K78" s="53" t="s">
        <v>61</v>
      </c>
      <c r="L78" s="53" t="s">
        <v>1573</v>
      </c>
      <c r="M78" s="54">
        <v>0</v>
      </c>
      <c r="N78" s="53">
        <v>0</v>
      </c>
      <c r="O78" s="53">
        <v>0</v>
      </c>
      <c r="P78" s="53" t="s">
        <v>1562</v>
      </c>
      <c r="Q78" s="53">
        <v>0</v>
      </c>
      <c r="R78" s="53"/>
      <c r="S78" s="55" t="s">
        <v>1385</v>
      </c>
      <c r="T78" s="56">
        <v>44564</v>
      </c>
      <c r="U78" s="57">
        <v>0</v>
      </c>
    </row>
    <row r="79" spans="3:21" ht="33.75" customHeight="1" thickBot="1" x14ac:dyDescent="0.3">
      <c r="C79" s="52">
        <v>999</v>
      </c>
      <c r="D79" s="53">
        <v>72</v>
      </c>
      <c r="E79" s="53" t="s">
        <v>1382</v>
      </c>
      <c r="F79" s="53" t="s">
        <v>83</v>
      </c>
      <c r="G79" s="53" t="s">
        <v>1948</v>
      </c>
      <c r="H79" s="53" t="s">
        <v>2171</v>
      </c>
      <c r="I79" s="53" t="s">
        <v>2172</v>
      </c>
      <c r="J79" s="53" t="s">
        <v>60</v>
      </c>
      <c r="K79" s="53" t="s">
        <v>61</v>
      </c>
      <c r="L79" s="53" t="s">
        <v>1574</v>
      </c>
      <c r="M79" s="54">
        <v>0</v>
      </c>
      <c r="N79" s="53">
        <v>0</v>
      </c>
      <c r="O79" s="53">
        <v>0</v>
      </c>
      <c r="P79" s="53" t="s">
        <v>1562</v>
      </c>
      <c r="Q79" s="53">
        <v>0</v>
      </c>
      <c r="R79" s="53"/>
      <c r="S79" s="55" t="s">
        <v>1385</v>
      </c>
      <c r="T79" s="56">
        <v>44564</v>
      </c>
      <c r="U79" s="57">
        <v>0</v>
      </c>
    </row>
    <row r="80" spans="3:21" ht="33.75" customHeight="1" thickBot="1" x14ac:dyDescent="0.3">
      <c r="C80" s="52">
        <v>999</v>
      </c>
      <c r="D80" s="53">
        <v>73</v>
      </c>
      <c r="E80" s="53" t="s">
        <v>1382</v>
      </c>
      <c r="F80" s="53" t="s">
        <v>260</v>
      </c>
      <c r="G80" s="53" t="s">
        <v>1948</v>
      </c>
      <c r="H80" s="53" t="s">
        <v>2173</v>
      </c>
      <c r="I80" s="53" t="s">
        <v>2174</v>
      </c>
      <c r="J80" s="53" t="s">
        <v>60</v>
      </c>
      <c r="K80" s="53" t="s">
        <v>61</v>
      </c>
      <c r="L80" s="53" t="s">
        <v>1572</v>
      </c>
      <c r="M80" s="54">
        <v>0</v>
      </c>
      <c r="N80" s="53">
        <v>0</v>
      </c>
      <c r="O80" s="53">
        <v>0</v>
      </c>
      <c r="P80" s="53" t="s">
        <v>1562</v>
      </c>
      <c r="Q80" s="53">
        <v>0</v>
      </c>
      <c r="R80" s="53"/>
      <c r="S80" s="55" t="s">
        <v>1385</v>
      </c>
      <c r="T80" s="56">
        <v>44564</v>
      </c>
      <c r="U80" s="57">
        <v>0</v>
      </c>
    </row>
    <row r="81" spans="3:21" ht="33.75" customHeight="1" thickBot="1" x14ac:dyDescent="0.3">
      <c r="C81" s="52">
        <v>999</v>
      </c>
      <c r="D81" s="53">
        <v>74</v>
      </c>
      <c r="E81" s="53" t="s">
        <v>1382</v>
      </c>
      <c r="F81" s="53" t="s">
        <v>260</v>
      </c>
      <c r="G81" s="53" t="s">
        <v>1948</v>
      </c>
      <c r="H81" s="53" t="s">
        <v>2175</v>
      </c>
      <c r="I81" s="53" t="s">
        <v>2176</v>
      </c>
      <c r="J81" s="53" t="s">
        <v>60</v>
      </c>
      <c r="K81" s="53" t="s">
        <v>61</v>
      </c>
      <c r="L81" s="53" t="s">
        <v>1573</v>
      </c>
      <c r="M81" s="54">
        <v>0</v>
      </c>
      <c r="N81" s="53">
        <v>0</v>
      </c>
      <c r="O81" s="53">
        <v>0</v>
      </c>
      <c r="P81" s="53" t="s">
        <v>1562</v>
      </c>
      <c r="Q81" s="53">
        <v>0</v>
      </c>
      <c r="R81" s="53"/>
      <c r="S81" s="55" t="s">
        <v>1385</v>
      </c>
      <c r="T81" s="56">
        <v>44564</v>
      </c>
      <c r="U81" s="57">
        <v>0</v>
      </c>
    </row>
    <row r="82" spans="3:21" ht="33.75" customHeight="1" thickBot="1" x14ac:dyDescent="0.3">
      <c r="C82" s="52">
        <v>999</v>
      </c>
      <c r="D82" s="53">
        <v>75</v>
      </c>
      <c r="E82" s="53" t="s">
        <v>1382</v>
      </c>
      <c r="F82" s="53" t="s">
        <v>260</v>
      </c>
      <c r="G82" s="53" t="s">
        <v>1948</v>
      </c>
      <c r="H82" s="53" t="s">
        <v>2177</v>
      </c>
      <c r="I82" s="53" t="s">
        <v>2178</v>
      </c>
      <c r="J82" s="53" t="s">
        <v>60</v>
      </c>
      <c r="K82" s="53" t="s">
        <v>61</v>
      </c>
      <c r="L82" s="53" t="s">
        <v>1573</v>
      </c>
      <c r="M82" s="54">
        <v>0</v>
      </c>
      <c r="N82" s="53">
        <v>0</v>
      </c>
      <c r="O82" s="53">
        <v>0</v>
      </c>
      <c r="P82" s="53" t="s">
        <v>1562</v>
      </c>
      <c r="Q82" s="53">
        <v>0</v>
      </c>
      <c r="R82" s="53"/>
      <c r="S82" s="55" t="s">
        <v>1385</v>
      </c>
      <c r="T82" s="56">
        <v>44564</v>
      </c>
      <c r="U82" s="57">
        <v>0</v>
      </c>
    </row>
    <row r="83" spans="3:21" ht="33.75" customHeight="1" thickBot="1" x14ac:dyDescent="0.3">
      <c r="C83" s="52">
        <v>999</v>
      </c>
      <c r="D83" s="53">
        <v>76</v>
      </c>
      <c r="E83" s="53" t="s">
        <v>1382</v>
      </c>
      <c r="F83" s="53" t="s">
        <v>1576</v>
      </c>
      <c r="G83" s="53" t="s">
        <v>1948</v>
      </c>
      <c r="H83" s="53" t="s">
        <v>2179</v>
      </c>
      <c r="I83" s="53" t="s">
        <v>2180</v>
      </c>
      <c r="J83" s="53" t="s">
        <v>60</v>
      </c>
      <c r="K83" s="53" t="s">
        <v>61</v>
      </c>
      <c r="L83" s="53" t="s">
        <v>1565</v>
      </c>
      <c r="M83" s="54">
        <v>0</v>
      </c>
      <c r="N83" s="53">
        <v>0</v>
      </c>
      <c r="O83" s="53">
        <v>0</v>
      </c>
      <c r="P83" s="53" t="s">
        <v>1562</v>
      </c>
      <c r="Q83" s="53">
        <v>0</v>
      </c>
      <c r="R83" s="53"/>
      <c r="S83" s="55" t="s">
        <v>1385</v>
      </c>
      <c r="T83" s="56">
        <v>44564</v>
      </c>
      <c r="U83" s="57">
        <v>0</v>
      </c>
    </row>
    <row r="84" spans="3:21" ht="33.75" customHeight="1" thickBot="1" x14ac:dyDescent="0.3">
      <c r="C84" s="52">
        <v>999</v>
      </c>
      <c r="D84" s="53">
        <v>77</v>
      </c>
      <c r="E84" s="53" t="s">
        <v>1382</v>
      </c>
      <c r="F84" s="53" t="s">
        <v>1576</v>
      </c>
      <c r="G84" s="53" t="s">
        <v>1948</v>
      </c>
      <c r="H84" s="53" t="s">
        <v>2181</v>
      </c>
      <c r="I84" s="53" t="s">
        <v>2182</v>
      </c>
      <c r="J84" s="53" t="s">
        <v>60</v>
      </c>
      <c r="K84" s="53" t="s">
        <v>61</v>
      </c>
      <c r="L84" s="53" t="s">
        <v>1570</v>
      </c>
      <c r="M84" s="54">
        <v>0</v>
      </c>
      <c r="N84" s="53">
        <v>0</v>
      </c>
      <c r="O84" s="53">
        <v>0</v>
      </c>
      <c r="P84" s="53" t="s">
        <v>1562</v>
      </c>
      <c r="Q84" s="53">
        <v>0</v>
      </c>
      <c r="R84" s="53"/>
      <c r="S84" s="55" t="s">
        <v>1385</v>
      </c>
      <c r="T84" s="56">
        <v>44564</v>
      </c>
      <c r="U84" s="57">
        <v>0</v>
      </c>
    </row>
    <row r="85" spans="3:21" ht="33.75" customHeight="1" thickBot="1" x14ac:dyDescent="0.3">
      <c r="C85" s="52">
        <v>999</v>
      </c>
      <c r="D85" s="53">
        <v>78</v>
      </c>
      <c r="E85" s="53" t="s">
        <v>1382</v>
      </c>
      <c r="F85" s="53" t="s">
        <v>1576</v>
      </c>
      <c r="G85" s="53" t="s">
        <v>1948</v>
      </c>
      <c r="H85" s="53" t="s">
        <v>2183</v>
      </c>
      <c r="I85" s="53" t="s">
        <v>2184</v>
      </c>
      <c r="J85" s="53" t="s">
        <v>60</v>
      </c>
      <c r="K85" s="53" t="s">
        <v>61</v>
      </c>
      <c r="L85" s="53" t="s">
        <v>1571</v>
      </c>
      <c r="M85" s="54">
        <v>0</v>
      </c>
      <c r="N85" s="53">
        <v>0</v>
      </c>
      <c r="O85" s="53">
        <v>0</v>
      </c>
      <c r="P85" s="53" t="s">
        <v>1562</v>
      </c>
      <c r="Q85" s="53">
        <v>0</v>
      </c>
      <c r="R85" s="53"/>
      <c r="S85" s="55" t="s">
        <v>1385</v>
      </c>
      <c r="T85" s="56">
        <v>44564</v>
      </c>
      <c r="U85" s="57">
        <v>0</v>
      </c>
    </row>
    <row r="86" spans="3:21" ht="33.75" customHeight="1" thickBot="1" x14ac:dyDescent="0.3">
      <c r="C86" s="52">
        <v>999</v>
      </c>
      <c r="D86" s="53">
        <v>79</v>
      </c>
      <c r="E86" s="53" t="s">
        <v>1382</v>
      </c>
      <c r="F86" s="53" t="s">
        <v>1576</v>
      </c>
      <c r="G86" s="53" t="s">
        <v>1948</v>
      </c>
      <c r="H86" s="53" t="s">
        <v>2185</v>
      </c>
      <c r="I86" s="53" t="s">
        <v>2186</v>
      </c>
      <c r="J86" s="53" t="s">
        <v>60</v>
      </c>
      <c r="K86" s="53" t="s">
        <v>61</v>
      </c>
      <c r="L86" s="53" t="s">
        <v>1572</v>
      </c>
      <c r="M86" s="54">
        <v>0</v>
      </c>
      <c r="N86" s="53">
        <v>0</v>
      </c>
      <c r="O86" s="53">
        <v>0</v>
      </c>
      <c r="P86" s="53" t="s">
        <v>1562</v>
      </c>
      <c r="Q86" s="53">
        <v>0</v>
      </c>
      <c r="R86" s="53"/>
      <c r="S86" s="55" t="s">
        <v>1385</v>
      </c>
      <c r="T86" s="56">
        <v>44564</v>
      </c>
      <c r="U86" s="57">
        <v>0</v>
      </c>
    </row>
    <row r="87" spans="3:21" ht="33.75" customHeight="1" thickBot="1" x14ac:dyDescent="0.3">
      <c r="C87" s="52">
        <v>999</v>
      </c>
      <c r="D87" s="53">
        <v>80</v>
      </c>
      <c r="E87" s="53" t="s">
        <v>1382</v>
      </c>
      <c r="F87" s="53" t="s">
        <v>1576</v>
      </c>
      <c r="G87" s="53" t="s">
        <v>1948</v>
      </c>
      <c r="H87" s="53" t="s">
        <v>2187</v>
      </c>
      <c r="I87" s="53" t="s">
        <v>2188</v>
      </c>
      <c r="J87" s="53" t="s">
        <v>60</v>
      </c>
      <c r="K87" s="53" t="s">
        <v>61</v>
      </c>
      <c r="L87" s="53" t="s">
        <v>1573</v>
      </c>
      <c r="M87" s="54">
        <v>0</v>
      </c>
      <c r="N87" s="53">
        <v>0</v>
      </c>
      <c r="O87" s="53">
        <v>0</v>
      </c>
      <c r="P87" s="53" t="s">
        <v>1562</v>
      </c>
      <c r="Q87" s="53">
        <v>0</v>
      </c>
      <c r="R87" s="53"/>
      <c r="S87" s="55" t="s">
        <v>1385</v>
      </c>
      <c r="T87" s="56">
        <v>44564</v>
      </c>
      <c r="U87" s="57">
        <v>0</v>
      </c>
    </row>
    <row r="88" spans="3:21" ht="33.75" customHeight="1" thickBot="1" x14ac:dyDescent="0.3">
      <c r="C88" s="52">
        <v>999</v>
      </c>
      <c r="D88" s="53">
        <v>81</v>
      </c>
      <c r="E88" s="53" t="s">
        <v>1382</v>
      </c>
      <c r="F88" s="53" t="s">
        <v>1576</v>
      </c>
      <c r="G88" s="53" t="s">
        <v>1948</v>
      </c>
      <c r="H88" s="53" t="s">
        <v>2189</v>
      </c>
      <c r="I88" s="53" t="s">
        <v>2190</v>
      </c>
      <c r="J88" s="53" t="s">
        <v>60</v>
      </c>
      <c r="K88" s="53" t="s">
        <v>61</v>
      </c>
      <c r="L88" s="53" t="s">
        <v>1573</v>
      </c>
      <c r="M88" s="54">
        <v>0</v>
      </c>
      <c r="N88" s="53">
        <v>0</v>
      </c>
      <c r="O88" s="53">
        <v>0</v>
      </c>
      <c r="P88" s="53" t="s">
        <v>1562</v>
      </c>
      <c r="Q88" s="53">
        <v>0</v>
      </c>
      <c r="R88" s="53"/>
      <c r="S88" s="55" t="s">
        <v>1385</v>
      </c>
      <c r="T88" s="56">
        <v>44564</v>
      </c>
      <c r="U88" s="57">
        <v>0</v>
      </c>
    </row>
    <row r="89" spans="3:21" ht="33.75" customHeight="1" thickBot="1" x14ac:dyDescent="0.3">
      <c r="C89" s="52">
        <v>999</v>
      </c>
      <c r="D89" s="53">
        <v>82</v>
      </c>
      <c r="E89" s="53" t="s">
        <v>1382</v>
      </c>
      <c r="F89" s="53" t="s">
        <v>1576</v>
      </c>
      <c r="G89" s="53" t="s">
        <v>1948</v>
      </c>
      <c r="H89" s="53" t="s">
        <v>2191</v>
      </c>
      <c r="I89" s="53" t="s">
        <v>2192</v>
      </c>
      <c r="J89" s="53" t="s">
        <v>60</v>
      </c>
      <c r="K89" s="53" t="s">
        <v>61</v>
      </c>
      <c r="L89" s="53" t="s">
        <v>1573</v>
      </c>
      <c r="M89" s="54">
        <v>0</v>
      </c>
      <c r="N89" s="53">
        <v>0</v>
      </c>
      <c r="O89" s="53">
        <v>0</v>
      </c>
      <c r="P89" s="53" t="s">
        <v>1562</v>
      </c>
      <c r="Q89" s="53">
        <v>0</v>
      </c>
      <c r="R89" s="53"/>
      <c r="S89" s="55" t="s">
        <v>1385</v>
      </c>
      <c r="T89" s="56">
        <v>44564</v>
      </c>
      <c r="U89" s="57">
        <v>0</v>
      </c>
    </row>
    <row r="90" spans="3:21" ht="33.75" customHeight="1" thickBot="1" x14ac:dyDescent="0.3">
      <c r="C90" s="52">
        <v>999</v>
      </c>
      <c r="D90" s="53">
        <v>83</v>
      </c>
      <c r="E90" s="53" t="s">
        <v>1382</v>
      </c>
      <c r="F90" s="53" t="s">
        <v>1560</v>
      </c>
      <c r="G90" s="53" t="s">
        <v>1948</v>
      </c>
      <c r="H90" s="53" t="s">
        <v>2193</v>
      </c>
      <c r="I90" s="53" t="s">
        <v>2194</v>
      </c>
      <c r="J90" s="53" t="s">
        <v>60</v>
      </c>
      <c r="K90" s="53" t="s">
        <v>61</v>
      </c>
      <c r="L90" s="53" t="s">
        <v>1561</v>
      </c>
      <c r="M90" s="54">
        <v>-20.6606269999902</v>
      </c>
      <c r="N90" s="53">
        <v>20.666025999999999</v>
      </c>
      <c r="O90" s="53">
        <v>0.05</v>
      </c>
      <c r="P90" s="53" t="s">
        <v>1562</v>
      </c>
      <c r="Q90" s="53">
        <v>0</v>
      </c>
      <c r="R90" s="53"/>
      <c r="S90" s="55" t="s">
        <v>1385</v>
      </c>
      <c r="T90" s="56">
        <v>44564</v>
      </c>
      <c r="U90" s="57">
        <v>0</v>
      </c>
    </row>
    <row r="91" spans="3:21" ht="33.75" customHeight="1" thickBot="1" x14ac:dyDescent="0.3">
      <c r="C91" s="52">
        <v>999</v>
      </c>
      <c r="D91" s="53">
        <v>84</v>
      </c>
      <c r="E91" s="53" t="s">
        <v>2195</v>
      </c>
      <c r="F91" s="53" t="s">
        <v>1560</v>
      </c>
      <c r="G91" s="53" t="s">
        <v>2196</v>
      </c>
      <c r="H91" s="53" t="s">
        <v>2197</v>
      </c>
      <c r="I91" s="53" t="s">
        <v>2198</v>
      </c>
      <c r="J91" s="53" t="s">
        <v>60</v>
      </c>
      <c r="K91" s="53" t="s">
        <v>61</v>
      </c>
      <c r="L91" s="53" t="s">
        <v>1561</v>
      </c>
      <c r="M91" s="54">
        <v>5867090.5414941199</v>
      </c>
      <c r="N91" s="53">
        <v>1043.2724940000001</v>
      </c>
      <c r="O91" s="53">
        <v>5.0282485875706197E-2</v>
      </c>
      <c r="P91" s="53" t="s">
        <v>1562</v>
      </c>
      <c r="Q91" s="53">
        <v>0</v>
      </c>
      <c r="R91" s="53"/>
      <c r="S91" s="55" t="s">
        <v>1385</v>
      </c>
      <c r="T91" s="56">
        <v>44564</v>
      </c>
      <c r="U91" s="57">
        <v>0</v>
      </c>
    </row>
    <row r="92" spans="3:21" ht="33.75" customHeight="1" thickBot="1" x14ac:dyDescent="0.3">
      <c r="C92" s="52">
        <v>999</v>
      </c>
      <c r="D92" s="53">
        <v>85</v>
      </c>
      <c r="E92" s="53" t="s">
        <v>2195</v>
      </c>
      <c r="F92" s="53" t="s">
        <v>1560</v>
      </c>
      <c r="G92" s="53" t="s">
        <v>2196</v>
      </c>
      <c r="H92" s="53" t="s">
        <v>2199</v>
      </c>
      <c r="I92" s="53" t="s">
        <v>2200</v>
      </c>
      <c r="J92" s="53" t="s">
        <v>60</v>
      </c>
      <c r="K92" s="53" t="s">
        <v>61</v>
      </c>
      <c r="L92" s="53" t="s">
        <v>1563</v>
      </c>
      <c r="M92" s="54">
        <v>44841.791438999993</v>
      </c>
      <c r="N92" s="53">
        <v>192.788162</v>
      </c>
      <c r="O92" s="53">
        <v>9.0907727272727307E-2</v>
      </c>
      <c r="P92" s="53" t="s">
        <v>1562</v>
      </c>
      <c r="Q92" s="53">
        <v>0</v>
      </c>
      <c r="R92" s="53"/>
      <c r="S92" s="55" t="s">
        <v>1385</v>
      </c>
      <c r="T92" s="56">
        <v>44564</v>
      </c>
      <c r="U92" s="57">
        <v>0</v>
      </c>
    </row>
    <row r="93" spans="3:21" ht="33.75" customHeight="1" thickBot="1" x14ac:dyDescent="0.3">
      <c r="C93" s="52">
        <v>999</v>
      </c>
      <c r="D93" s="53">
        <v>86</v>
      </c>
      <c r="E93" s="53" t="s">
        <v>2195</v>
      </c>
      <c r="F93" s="53" t="s">
        <v>1560</v>
      </c>
      <c r="G93" s="53" t="s">
        <v>2196</v>
      </c>
      <c r="H93" s="53" t="s">
        <v>2201</v>
      </c>
      <c r="I93" s="53" t="s">
        <v>2202</v>
      </c>
      <c r="J93" s="53" t="s">
        <v>60</v>
      </c>
      <c r="K93" s="53" t="s">
        <v>61</v>
      </c>
      <c r="L93" s="53" t="s">
        <v>1563</v>
      </c>
      <c r="M93" s="54">
        <v>33472538.30562859</v>
      </c>
      <c r="N93" s="53">
        <v>71742.006529999999</v>
      </c>
      <c r="O93" s="53">
        <v>0.1721947860659</v>
      </c>
      <c r="P93" s="53" t="s">
        <v>1562</v>
      </c>
      <c r="Q93" s="53">
        <v>0</v>
      </c>
      <c r="R93" s="53"/>
      <c r="S93" s="55" t="s">
        <v>1385</v>
      </c>
      <c r="T93" s="56">
        <v>44564</v>
      </c>
      <c r="U93" s="57">
        <v>0</v>
      </c>
    </row>
    <row r="94" spans="3:21" ht="33.75" customHeight="1" thickBot="1" x14ac:dyDescent="0.3">
      <c r="C94" s="52">
        <v>999</v>
      </c>
      <c r="D94" s="53">
        <v>87</v>
      </c>
      <c r="E94" s="53" t="s">
        <v>2195</v>
      </c>
      <c r="F94" s="53" t="s">
        <v>1560</v>
      </c>
      <c r="G94" s="53" t="s">
        <v>2196</v>
      </c>
      <c r="H94" s="53" t="s">
        <v>2203</v>
      </c>
      <c r="I94" s="53" t="s">
        <v>2204</v>
      </c>
      <c r="J94" s="53" t="s">
        <v>60</v>
      </c>
      <c r="K94" s="53" t="s">
        <v>61</v>
      </c>
      <c r="L94" s="53" t="s">
        <v>1564</v>
      </c>
      <c r="M94" s="54">
        <v>916011.64570693998</v>
      </c>
      <c r="N94" s="53">
        <v>26.537033999999998</v>
      </c>
      <c r="O94" s="53">
        <v>0.05</v>
      </c>
      <c r="P94" s="53" t="s">
        <v>1562</v>
      </c>
      <c r="Q94" s="53">
        <v>0</v>
      </c>
      <c r="R94" s="53"/>
      <c r="S94" s="55" t="s">
        <v>1385</v>
      </c>
      <c r="T94" s="56">
        <v>44564</v>
      </c>
      <c r="U94" s="57">
        <v>0</v>
      </c>
    </row>
    <row r="95" spans="3:21" ht="33.75" customHeight="1" thickBot="1" x14ac:dyDescent="0.3">
      <c r="C95" s="52">
        <v>999</v>
      </c>
      <c r="D95" s="53">
        <v>88</v>
      </c>
      <c r="E95" s="53" t="s">
        <v>2195</v>
      </c>
      <c r="F95" s="53" t="s">
        <v>1560</v>
      </c>
      <c r="G95" s="53" t="s">
        <v>2196</v>
      </c>
      <c r="H95" s="53" t="s">
        <v>2205</v>
      </c>
      <c r="I95" s="53" t="s">
        <v>2206</v>
      </c>
      <c r="J95" s="53" t="s">
        <v>60</v>
      </c>
      <c r="K95" s="53" t="s">
        <v>61</v>
      </c>
      <c r="L95" s="53" t="s">
        <v>1565</v>
      </c>
      <c r="M95" s="54">
        <v>1.8140000000004264E-3</v>
      </c>
      <c r="N95" s="53" t="s">
        <v>768</v>
      </c>
      <c r="O95" s="53" t="s">
        <v>768</v>
      </c>
      <c r="P95" s="53" t="s">
        <v>1562</v>
      </c>
      <c r="Q95" s="53">
        <v>0</v>
      </c>
      <c r="R95" s="53"/>
      <c r="S95" s="55" t="s">
        <v>1385</v>
      </c>
      <c r="T95" s="56">
        <v>44564</v>
      </c>
      <c r="U95" s="57">
        <v>0</v>
      </c>
    </row>
    <row r="96" spans="3:21" ht="33.75" customHeight="1" thickBot="1" x14ac:dyDescent="0.3">
      <c r="C96" s="52">
        <v>999</v>
      </c>
      <c r="D96" s="53">
        <v>89</v>
      </c>
      <c r="E96" s="53" t="s">
        <v>2195</v>
      </c>
      <c r="F96" s="53" t="s">
        <v>1560</v>
      </c>
      <c r="G96" s="53" t="s">
        <v>2196</v>
      </c>
      <c r="H96" s="53" t="s">
        <v>2207</v>
      </c>
      <c r="I96" s="53" t="s">
        <v>2208</v>
      </c>
      <c r="J96" s="53" t="s">
        <v>60</v>
      </c>
      <c r="K96" s="53" t="s">
        <v>61</v>
      </c>
      <c r="L96" s="53" t="s">
        <v>1565</v>
      </c>
      <c r="M96" s="54">
        <v>642427.42269759998</v>
      </c>
      <c r="N96" s="53">
        <v>0.65193999999999996</v>
      </c>
      <c r="O96" s="53">
        <v>0.05</v>
      </c>
      <c r="P96" s="53" t="s">
        <v>1562</v>
      </c>
      <c r="Q96" s="53">
        <v>0</v>
      </c>
      <c r="R96" s="53"/>
      <c r="S96" s="55" t="s">
        <v>1385</v>
      </c>
      <c r="T96" s="56">
        <v>44564</v>
      </c>
      <c r="U96" s="57">
        <v>0</v>
      </c>
    </row>
    <row r="97" spans="3:21" ht="33.75" customHeight="1" thickBot="1" x14ac:dyDescent="0.3">
      <c r="C97" s="52">
        <v>999</v>
      </c>
      <c r="D97" s="53">
        <v>90</v>
      </c>
      <c r="E97" s="53" t="s">
        <v>2195</v>
      </c>
      <c r="F97" s="53" t="s">
        <v>1560</v>
      </c>
      <c r="G97" s="53" t="s">
        <v>2196</v>
      </c>
      <c r="H97" s="53" t="s">
        <v>2209</v>
      </c>
      <c r="I97" s="53" t="s">
        <v>2210</v>
      </c>
      <c r="J97" s="53" t="s">
        <v>60</v>
      </c>
      <c r="K97" s="53" t="s">
        <v>61</v>
      </c>
      <c r="L97" s="53" t="s">
        <v>1566</v>
      </c>
      <c r="M97" s="54">
        <v>4.2999999999999999E-4</v>
      </c>
      <c r="N97" s="53" t="s">
        <v>768</v>
      </c>
      <c r="O97" s="53" t="s">
        <v>768</v>
      </c>
      <c r="P97" s="53" t="s">
        <v>1562</v>
      </c>
      <c r="Q97" s="53">
        <v>0</v>
      </c>
      <c r="R97" s="53"/>
      <c r="S97" s="55" t="s">
        <v>1385</v>
      </c>
      <c r="T97" s="56">
        <v>44564</v>
      </c>
      <c r="U97" s="57">
        <v>0</v>
      </c>
    </row>
    <row r="98" spans="3:21" ht="33.75" customHeight="1" thickBot="1" x14ac:dyDescent="0.3">
      <c r="C98" s="52">
        <v>999</v>
      </c>
      <c r="D98" s="53">
        <v>91</v>
      </c>
      <c r="E98" s="53" t="s">
        <v>2195</v>
      </c>
      <c r="F98" s="53" t="s">
        <v>1560</v>
      </c>
      <c r="G98" s="53" t="s">
        <v>2196</v>
      </c>
      <c r="H98" s="53" t="s">
        <v>2211</v>
      </c>
      <c r="I98" s="53" t="s">
        <v>2212</v>
      </c>
      <c r="J98" s="53" t="s">
        <v>60</v>
      </c>
      <c r="K98" s="53" t="s">
        <v>61</v>
      </c>
      <c r="L98" s="53" t="s">
        <v>1567</v>
      </c>
      <c r="M98" s="54">
        <v>4481086.3722025305</v>
      </c>
      <c r="N98" s="53">
        <v>1428.373781</v>
      </c>
      <c r="O98" s="53">
        <v>6.2121212121212098E-2</v>
      </c>
      <c r="P98" s="53" t="s">
        <v>1562</v>
      </c>
      <c r="Q98" s="53">
        <v>0</v>
      </c>
      <c r="R98" s="53"/>
      <c r="S98" s="55" t="s">
        <v>1385</v>
      </c>
      <c r="T98" s="56">
        <v>44564</v>
      </c>
      <c r="U98" s="57">
        <v>0</v>
      </c>
    </row>
    <row r="99" spans="3:21" ht="33.75" customHeight="1" thickBot="1" x14ac:dyDescent="0.3">
      <c r="C99" s="52">
        <v>999</v>
      </c>
      <c r="D99" s="53">
        <v>92</v>
      </c>
      <c r="E99" s="53" t="s">
        <v>2195</v>
      </c>
      <c r="F99" s="53" t="s">
        <v>1560</v>
      </c>
      <c r="G99" s="53" t="s">
        <v>2196</v>
      </c>
      <c r="H99" s="53" t="s">
        <v>2213</v>
      </c>
      <c r="I99" s="53" t="s">
        <v>2214</v>
      </c>
      <c r="J99" s="53" t="s">
        <v>60</v>
      </c>
      <c r="K99" s="53" t="s">
        <v>61</v>
      </c>
      <c r="L99" s="53" t="s">
        <v>1568</v>
      </c>
      <c r="M99" s="54">
        <v>-0.34422099999937927</v>
      </c>
      <c r="N99" s="53">
        <v>0.354325</v>
      </c>
      <c r="O99" s="53">
        <v>0.05</v>
      </c>
      <c r="P99" s="53" t="s">
        <v>1562</v>
      </c>
      <c r="Q99" s="53">
        <v>0</v>
      </c>
      <c r="R99" s="53"/>
      <c r="S99" s="55" t="s">
        <v>1385</v>
      </c>
      <c r="T99" s="56">
        <v>44564</v>
      </c>
      <c r="U99" s="57">
        <v>0</v>
      </c>
    </row>
    <row r="100" spans="3:21" ht="33.75" customHeight="1" thickBot="1" x14ac:dyDescent="0.3">
      <c r="C100" s="52">
        <v>999</v>
      </c>
      <c r="D100" s="53">
        <v>93</v>
      </c>
      <c r="E100" s="53" t="s">
        <v>2195</v>
      </c>
      <c r="F100" s="53" t="s">
        <v>1560</v>
      </c>
      <c r="G100" s="53" t="s">
        <v>2196</v>
      </c>
      <c r="H100" s="53" t="s">
        <v>2215</v>
      </c>
      <c r="I100" s="53" t="s">
        <v>2216</v>
      </c>
      <c r="J100" s="53" t="s">
        <v>60</v>
      </c>
      <c r="K100" s="53" t="s">
        <v>61</v>
      </c>
      <c r="L100" s="53" t="s">
        <v>1568</v>
      </c>
      <c r="M100" s="54">
        <v>180227.39346599</v>
      </c>
      <c r="N100" s="53">
        <v>65.271693999999997</v>
      </c>
      <c r="O100" s="53">
        <v>0.625</v>
      </c>
      <c r="P100" s="53" t="s">
        <v>1562</v>
      </c>
      <c r="Q100" s="53">
        <v>0</v>
      </c>
      <c r="R100" s="53"/>
      <c r="S100" s="55" t="s">
        <v>1385</v>
      </c>
      <c r="T100" s="56">
        <v>44564</v>
      </c>
      <c r="U100" s="57">
        <v>0</v>
      </c>
    </row>
    <row r="101" spans="3:21" ht="33.75" customHeight="1" thickBot="1" x14ac:dyDescent="0.3">
      <c r="C101" s="52">
        <v>999</v>
      </c>
      <c r="D101" s="53">
        <v>94</v>
      </c>
      <c r="E101" s="53" t="s">
        <v>2195</v>
      </c>
      <c r="F101" s="53" t="s">
        <v>1560</v>
      </c>
      <c r="G101" s="53" t="s">
        <v>2196</v>
      </c>
      <c r="H101" s="53" t="s">
        <v>2217</v>
      </c>
      <c r="I101" s="53" t="s">
        <v>2218</v>
      </c>
      <c r="J101" s="53" t="s">
        <v>60</v>
      </c>
      <c r="K101" s="53" t="s">
        <v>61</v>
      </c>
      <c r="L101" s="53" t="s">
        <v>1569</v>
      </c>
      <c r="M101" s="54">
        <v>639657.12158603012</v>
      </c>
      <c r="N101" s="53">
        <v>22.034476000000002</v>
      </c>
      <c r="O101" s="53">
        <v>0.05</v>
      </c>
      <c r="P101" s="53" t="s">
        <v>1562</v>
      </c>
      <c r="Q101" s="53">
        <v>0</v>
      </c>
      <c r="R101" s="53"/>
      <c r="S101" s="55" t="s">
        <v>1385</v>
      </c>
      <c r="T101" s="56">
        <v>44564</v>
      </c>
      <c r="U101" s="57">
        <v>0</v>
      </c>
    </row>
    <row r="102" spans="3:21" ht="33.75" customHeight="1" thickBot="1" x14ac:dyDescent="0.3">
      <c r="C102" s="52">
        <v>999</v>
      </c>
      <c r="D102" s="53">
        <v>95</v>
      </c>
      <c r="E102" s="53" t="s">
        <v>2195</v>
      </c>
      <c r="F102" s="53" t="s">
        <v>1560</v>
      </c>
      <c r="G102" s="53" t="s">
        <v>2196</v>
      </c>
      <c r="H102" s="53" t="s">
        <v>2219</v>
      </c>
      <c r="I102" s="53" t="s">
        <v>2220</v>
      </c>
      <c r="J102" s="53" t="s">
        <v>60</v>
      </c>
      <c r="K102" s="53" t="s">
        <v>61</v>
      </c>
      <c r="L102" s="53" t="s">
        <v>1570</v>
      </c>
      <c r="M102" s="54">
        <v>-8.730000008654315E-4</v>
      </c>
      <c r="N102" s="53" t="s">
        <v>768</v>
      </c>
      <c r="O102" s="53" t="s">
        <v>768</v>
      </c>
      <c r="P102" s="53" t="s">
        <v>1562</v>
      </c>
      <c r="Q102" s="53">
        <v>0</v>
      </c>
      <c r="R102" s="53"/>
      <c r="S102" s="55" t="s">
        <v>1385</v>
      </c>
      <c r="T102" s="56">
        <v>44564</v>
      </c>
      <c r="U102" s="57">
        <v>0</v>
      </c>
    </row>
    <row r="103" spans="3:21" ht="33.75" customHeight="1" thickBot="1" x14ac:dyDescent="0.3">
      <c r="C103" s="52">
        <v>999</v>
      </c>
      <c r="D103" s="53">
        <v>96</v>
      </c>
      <c r="E103" s="53" t="s">
        <v>2195</v>
      </c>
      <c r="F103" s="53" t="s">
        <v>1560</v>
      </c>
      <c r="G103" s="53" t="s">
        <v>2196</v>
      </c>
      <c r="H103" s="53" t="s">
        <v>2221</v>
      </c>
      <c r="I103" s="53" t="s">
        <v>2222</v>
      </c>
      <c r="J103" s="53" t="s">
        <v>60</v>
      </c>
      <c r="K103" s="53" t="s">
        <v>61</v>
      </c>
      <c r="L103" s="53" t="s">
        <v>1570</v>
      </c>
      <c r="M103" s="54">
        <v>5798147.6340446305</v>
      </c>
      <c r="N103" s="53">
        <v>155.78356400000001</v>
      </c>
      <c r="O103" s="53">
        <v>0.05</v>
      </c>
      <c r="P103" s="53" t="s">
        <v>1562</v>
      </c>
      <c r="Q103" s="53">
        <v>0</v>
      </c>
      <c r="R103" s="53"/>
      <c r="S103" s="55" t="s">
        <v>1385</v>
      </c>
      <c r="T103" s="56">
        <v>44564</v>
      </c>
      <c r="U103" s="57">
        <v>0</v>
      </c>
    </row>
    <row r="104" spans="3:21" ht="33.75" customHeight="1" thickBot="1" x14ac:dyDescent="0.3">
      <c r="C104" s="52">
        <v>999</v>
      </c>
      <c r="D104" s="53">
        <v>97</v>
      </c>
      <c r="E104" s="53" t="s">
        <v>2195</v>
      </c>
      <c r="F104" s="53" t="s">
        <v>1560</v>
      </c>
      <c r="G104" s="53" t="s">
        <v>2196</v>
      </c>
      <c r="H104" s="53" t="s">
        <v>2223</v>
      </c>
      <c r="I104" s="53" t="s">
        <v>2224</v>
      </c>
      <c r="J104" s="53" t="s">
        <v>60</v>
      </c>
      <c r="K104" s="53" t="s">
        <v>61</v>
      </c>
      <c r="L104" s="53" t="s">
        <v>1571</v>
      </c>
      <c r="M104" s="54">
        <v>1937358.2468574401</v>
      </c>
      <c r="N104" s="53">
        <v>264.23335100000003</v>
      </c>
      <c r="O104" s="53">
        <v>0.05</v>
      </c>
      <c r="P104" s="53" t="s">
        <v>1562</v>
      </c>
      <c r="Q104" s="53">
        <v>0</v>
      </c>
      <c r="R104" s="53"/>
      <c r="S104" s="55" t="s">
        <v>1385</v>
      </c>
      <c r="T104" s="56">
        <v>44564</v>
      </c>
      <c r="U104" s="57">
        <v>0</v>
      </c>
    </row>
    <row r="105" spans="3:21" ht="33.75" customHeight="1" thickBot="1" x14ac:dyDescent="0.3">
      <c r="C105" s="52">
        <v>999</v>
      </c>
      <c r="D105" s="53">
        <v>98</v>
      </c>
      <c r="E105" s="53" t="s">
        <v>2195</v>
      </c>
      <c r="F105" s="53" t="s">
        <v>1560</v>
      </c>
      <c r="G105" s="53" t="s">
        <v>2196</v>
      </c>
      <c r="H105" s="53" t="s">
        <v>2225</v>
      </c>
      <c r="I105" s="53" t="s">
        <v>2226</v>
      </c>
      <c r="J105" s="53" t="s">
        <v>60</v>
      </c>
      <c r="K105" s="53" t="s">
        <v>61</v>
      </c>
      <c r="L105" s="53" t="s">
        <v>1571</v>
      </c>
      <c r="M105" s="54">
        <v>42612255.448629998</v>
      </c>
      <c r="N105" s="53">
        <v>17854.762694000001</v>
      </c>
      <c r="O105" s="53">
        <v>8.9398534798534796E-2</v>
      </c>
      <c r="P105" s="53" t="s">
        <v>1562</v>
      </c>
      <c r="Q105" s="53">
        <v>0</v>
      </c>
      <c r="R105" s="53"/>
      <c r="S105" s="55" t="s">
        <v>1385</v>
      </c>
      <c r="T105" s="56">
        <v>44564</v>
      </c>
      <c r="U105" s="57">
        <v>0</v>
      </c>
    </row>
    <row r="106" spans="3:21" ht="33.75" customHeight="1" thickBot="1" x14ac:dyDescent="0.3">
      <c r="C106" s="52">
        <v>999</v>
      </c>
      <c r="D106" s="53">
        <v>99</v>
      </c>
      <c r="E106" s="53" t="s">
        <v>2195</v>
      </c>
      <c r="F106" s="53" t="s">
        <v>1560</v>
      </c>
      <c r="G106" s="53" t="s">
        <v>2196</v>
      </c>
      <c r="H106" s="53" t="s">
        <v>2227</v>
      </c>
      <c r="I106" s="53" t="s">
        <v>2228</v>
      </c>
      <c r="J106" s="53" t="s">
        <v>60</v>
      </c>
      <c r="K106" s="53" t="s">
        <v>61</v>
      </c>
      <c r="L106" s="53" t="s">
        <v>1572</v>
      </c>
      <c r="M106" s="54">
        <v>12401266.62451556</v>
      </c>
      <c r="N106" s="53">
        <v>13428.659718999999</v>
      </c>
      <c r="O106" s="53">
        <v>0.108555038998358</v>
      </c>
      <c r="P106" s="53" t="s">
        <v>1562</v>
      </c>
      <c r="Q106" s="53">
        <v>0</v>
      </c>
      <c r="R106" s="53"/>
      <c r="S106" s="55" t="s">
        <v>1385</v>
      </c>
      <c r="T106" s="56">
        <v>44564</v>
      </c>
      <c r="U106" s="57">
        <v>0</v>
      </c>
    </row>
    <row r="107" spans="3:21" ht="33.75" customHeight="1" thickBot="1" x14ac:dyDescent="0.3">
      <c r="C107" s="52">
        <v>999</v>
      </c>
      <c r="D107" s="53">
        <v>100</v>
      </c>
      <c r="E107" s="53" t="s">
        <v>2195</v>
      </c>
      <c r="F107" s="53" t="s">
        <v>1560</v>
      </c>
      <c r="G107" s="53" t="s">
        <v>2196</v>
      </c>
      <c r="H107" s="53" t="s">
        <v>2229</v>
      </c>
      <c r="I107" s="53" t="s">
        <v>2230</v>
      </c>
      <c r="J107" s="53" t="s">
        <v>60</v>
      </c>
      <c r="K107" s="53" t="s">
        <v>61</v>
      </c>
      <c r="L107" s="53" t="s">
        <v>1572</v>
      </c>
      <c r="M107" s="54">
        <v>540255257.98973703</v>
      </c>
      <c r="N107" s="53">
        <v>430552.42790300498</v>
      </c>
      <c r="O107" s="53">
        <v>0.138124837956136</v>
      </c>
      <c r="P107" s="53" t="s">
        <v>1562</v>
      </c>
      <c r="Q107" s="53">
        <v>0</v>
      </c>
      <c r="R107" s="53"/>
      <c r="S107" s="55" t="s">
        <v>1385</v>
      </c>
      <c r="T107" s="56">
        <v>44564</v>
      </c>
      <c r="U107" s="57">
        <v>0</v>
      </c>
    </row>
    <row r="108" spans="3:21" ht="33.75" customHeight="1" thickBot="1" x14ac:dyDescent="0.3">
      <c r="C108" s="52">
        <v>999</v>
      </c>
      <c r="D108" s="53">
        <v>101</v>
      </c>
      <c r="E108" s="53" t="s">
        <v>2195</v>
      </c>
      <c r="F108" s="53" t="s">
        <v>1560</v>
      </c>
      <c r="G108" s="53" t="s">
        <v>2196</v>
      </c>
      <c r="H108" s="53" t="s">
        <v>2231</v>
      </c>
      <c r="I108" s="53" t="s">
        <v>2232</v>
      </c>
      <c r="J108" s="53" t="s">
        <v>60</v>
      </c>
      <c r="K108" s="53" t="s">
        <v>61</v>
      </c>
      <c r="L108" s="53" t="s">
        <v>1573</v>
      </c>
      <c r="M108" s="54">
        <v>2787627.68</v>
      </c>
      <c r="N108" s="53">
        <v>-538380.24</v>
      </c>
      <c r="O108" s="53" t="s">
        <v>768</v>
      </c>
      <c r="P108" s="53" t="s">
        <v>1562</v>
      </c>
      <c r="Q108" s="53">
        <v>0</v>
      </c>
      <c r="R108" s="53"/>
      <c r="S108" s="55" t="s">
        <v>1385</v>
      </c>
      <c r="T108" s="56">
        <v>44564</v>
      </c>
      <c r="U108" s="57">
        <v>0</v>
      </c>
    </row>
    <row r="109" spans="3:21" ht="33.75" customHeight="1" thickBot="1" x14ac:dyDescent="0.3">
      <c r="C109" s="52">
        <v>999</v>
      </c>
      <c r="D109" s="53">
        <v>102</v>
      </c>
      <c r="E109" s="53" t="s">
        <v>2195</v>
      </c>
      <c r="F109" s="53" t="s">
        <v>1560</v>
      </c>
      <c r="G109" s="53" t="s">
        <v>2196</v>
      </c>
      <c r="H109" s="53" t="s">
        <v>2233</v>
      </c>
      <c r="I109" s="53" t="s">
        <v>2234</v>
      </c>
      <c r="J109" s="53" t="s">
        <v>60</v>
      </c>
      <c r="K109" s="53" t="s">
        <v>61</v>
      </c>
      <c r="L109" s="53" t="s">
        <v>1574</v>
      </c>
      <c r="M109" s="54">
        <v>523093.247027</v>
      </c>
      <c r="N109" s="53" t="s">
        <v>768</v>
      </c>
      <c r="O109" s="53" t="s">
        <v>768</v>
      </c>
      <c r="P109" s="53" t="s">
        <v>1562</v>
      </c>
      <c r="Q109" s="53">
        <v>0</v>
      </c>
      <c r="R109" s="53"/>
      <c r="S109" s="55" t="s">
        <v>1385</v>
      </c>
      <c r="T109" s="56">
        <v>44564</v>
      </c>
      <c r="U109" s="57">
        <v>0</v>
      </c>
    </row>
    <row r="110" spans="3:21" ht="33.75" customHeight="1" thickBot="1" x14ac:dyDescent="0.3">
      <c r="C110" s="52">
        <v>999</v>
      </c>
      <c r="D110" s="53">
        <v>103</v>
      </c>
      <c r="E110" s="53" t="s">
        <v>2195</v>
      </c>
      <c r="F110" s="53" t="s">
        <v>1560</v>
      </c>
      <c r="G110" s="53" t="s">
        <v>2196</v>
      </c>
      <c r="H110" s="53" t="s">
        <v>2235</v>
      </c>
      <c r="I110" s="53" t="s">
        <v>2236</v>
      </c>
      <c r="J110" s="53" t="s">
        <v>60</v>
      </c>
      <c r="K110" s="53" t="s">
        <v>61</v>
      </c>
      <c r="L110" s="53" t="s">
        <v>1573</v>
      </c>
      <c r="M110" s="54">
        <v>510359148.48896086</v>
      </c>
      <c r="N110" s="53">
        <v>226975.499999989</v>
      </c>
      <c r="O110" s="53">
        <v>1.6206137364424101E-2</v>
      </c>
      <c r="P110" s="53" t="s">
        <v>1562</v>
      </c>
      <c r="Q110" s="53">
        <v>0</v>
      </c>
      <c r="R110" s="53"/>
      <c r="S110" s="55" t="s">
        <v>1385</v>
      </c>
      <c r="T110" s="56">
        <v>44564</v>
      </c>
      <c r="U110" s="57">
        <v>0</v>
      </c>
    </row>
    <row r="111" spans="3:21" ht="33.75" customHeight="1" thickBot="1" x14ac:dyDescent="0.3">
      <c r="C111" s="52">
        <v>999</v>
      </c>
      <c r="D111" s="53">
        <v>104</v>
      </c>
      <c r="E111" s="53" t="s">
        <v>2195</v>
      </c>
      <c r="F111" s="53" t="s">
        <v>1560</v>
      </c>
      <c r="G111" s="53" t="s">
        <v>2196</v>
      </c>
      <c r="H111" s="53" t="s">
        <v>2237</v>
      </c>
      <c r="I111" s="53" t="s">
        <v>2238</v>
      </c>
      <c r="J111" s="53" t="s">
        <v>60</v>
      </c>
      <c r="K111" s="53" t="s">
        <v>61</v>
      </c>
      <c r="L111" s="53" t="s">
        <v>1573</v>
      </c>
      <c r="M111" s="54">
        <v>4169540674.9606972</v>
      </c>
      <c r="N111" s="53">
        <v>3808830.98998609</v>
      </c>
      <c r="O111" s="53">
        <v>2.8701498305984299E-2</v>
      </c>
      <c r="P111" s="53" t="s">
        <v>1562</v>
      </c>
      <c r="Q111" s="53">
        <v>0</v>
      </c>
      <c r="R111" s="53"/>
      <c r="S111" s="55" t="s">
        <v>1385</v>
      </c>
      <c r="T111" s="56">
        <v>44564</v>
      </c>
      <c r="U111" s="57">
        <v>0</v>
      </c>
    </row>
    <row r="112" spans="3:21" ht="33.75" customHeight="1" thickBot="1" x14ac:dyDescent="0.3">
      <c r="C112" s="52">
        <v>999</v>
      </c>
      <c r="D112" s="53">
        <v>105</v>
      </c>
      <c r="E112" s="53" t="s">
        <v>2195</v>
      </c>
      <c r="F112" s="53" t="s">
        <v>80</v>
      </c>
      <c r="G112" s="53" t="s">
        <v>2196</v>
      </c>
      <c r="H112" s="53" t="s">
        <v>2239</v>
      </c>
      <c r="I112" s="53" t="s">
        <v>2240</v>
      </c>
      <c r="J112" s="53" t="s">
        <v>60</v>
      </c>
      <c r="K112" s="53" t="s">
        <v>61</v>
      </c>
      <c r="L112" s="53" t="s">
        <v>1561</v>
      </c>
      <c r="M112" s="54">
        <v>-2.2049350000015693</v>
      </c>
      <c r="N112" s="53">
        <v>2.1966060000000001</v>
      </c>
      <c r="O112" s="53">
        <v>0.05</v>
      </c>
      <c r="P112" s="53" t="s">
        <v>1562</v>
      </c>
      <c r="Q112" s="53">
        <v>0</v>
      </c>
      <c r="R112" s="53"/>
      <c r="S112" s="55" t="s">
        <v>1385</v>
      </c>
      <c r="T112" s="56">
        <v>44564</v>
      </c>
      <c r="U112" s="57">
        <v>0</v>
      </c>
    </row>
    <row r="113" spans="3:21" ht="33.75" customHeight="1" thickBot="1" x14ac:dyDescent="0.3">
      <c r="C113" s="52">
        <v>999</v>
      </c>
      <c r="D113" s="53">
        <v>106</v>
      </c>
      <c r="E113" s="53" t="s">
        <v>2195</v>
      </c>
      <c r="F113" s="53" t="s">
        <v>80</v>
      </c>
      <c r="G113" s="53" t="s">
        <v>2196</v>
      </c>
      <c r="H113" s="53" t="s">
        <v>2241</v>
      </c>
      <c r="I113" s="53" t="s">
        <v>2242</v>
      </c>
      <c r="J113" s="53" t="s">
        <v>60</v>
      </c>
      <c r="K113" s="53" t="s">
        <v>61</v>
      </c>
      <c r="L113" s="53" t="s">
        <v>1563</v>
      </c>
      <c r="M113" s="54">
        <v>605201.19874899997</v>
      </c>
      <c r="N113" s="53">
        <v>18.717431999999999</v>
      </c>
      <c r="O113" s="53">
        <v>0.05</v>
      </c>
      <c r="P113" s="53" t="s">
        <v>1562</v>
      </c>
      <c r="Q113" s="53">
        <v>0</v>
      </c>
      <c r="R113" s="53"/>
      <c r="S113" s="55" t="s">
        <v>1385</v>
      </c>
      <c r="T113" s="56">
        <v>44564</v>
      </c>
      <c r="U113" s="57">
        <v>0</v>
      </c>
    </row>
    <row r="114" spans="3:21" ht="33.75" customHeight="1" thickBot="1" x14ac:dyDescent="0.3">
      <c r="C114" s="52">
        <v>999</v>
      </c>
      <c r="D114" s="53">
        <v>107</v>
      </c>
      <c r="E114" s="53" t="s">
        <v>2195</v>
      </c>
      <c r="F114" s="53" t="s">
        <v>80</v>
      </c>
      <c r="G114" s="53" t="s">
        <v>2196</v>
      </c>
      <c r="H114" s="53" t="s">
        <v>2243</v>
      </c>
      <c r="I114" s="53" t="s">
        <v>2244</v>
      </c>
      <c r="J114" s="53" t="s">
        <v>60</v>
      </c>
      <c r="K114" s="53" t="s">
        <v>61</v>
      </c>
      <c r="L114" s="53" t="s">
        <v>1575</v>
      </c>
      <c r="M114" s="54">
        <v>6819.0181670000002</v>
      </c>
      <c r="N114" s="53" t="s">
        <v>768</v>
      </c>
      <c r="O114" s="53" t="s">
        <v>768</v>
      </c>
      <c r="P114" s="53" t="s">
        <v>1562</v>
      </c>
      <c r="Q114" s="53">
        <v>0</v>
      </c>
      <c r="R114" s="53"/>
      <c r="S114" s="55" t="s">
        <v>1385</v>
      </c>
      <c r="T114" s="56">
        <v>44564</v>
      </c>
      <c r="U114" s="57">
        <v>0</v>
      </c>
    </row>
    <row r="115" spans="3:21" ht="33.75" customHeight="1" thickBot="1" x14ac:dyDescent="0.3">
      <c r="C115" s="52">
        <v>999</v>
      </c>
      <c r="D115" s="53">
        <v>108</v>
      </c>
      <c r="E115" s="53" t="s">
        <v>2195</v>
      </c>
      <c r="F115" s="53" t="s">
        <v>80</v>
      </c>
      <c r="G115" s="53" t="s">
        <v>2196</v>
      </c>
      <c r="H115" s="53" t="s">
        <v>2245</v>
      </c>
      <c r="I115" s="53" t="s">
        <v>2246</v>
      </c>
      <c r="J115" s="53" t="s">
        <v>60</v>
      </c>
      <c r="K115" s="53" t="s">
        <v>61</v>
      </c>
      <c r="L115" s="53" t="s">
        <v>1564</v>
      </c>
      <c r="M115" s="54">
        <v>2.6900000000000001E-3</v>
      </c>
      <c r="N115" s="53" t="s">
        <v>768</v>
      </c>
      <c r="O115" s="53" t="s">
        <v>768</v>
      </c>
      <c r="P115" s="53" t="s">
        <v>1562</v>
      </c>
      <c r="Q115" s="53">
        <v>0</v>
      </c>
      <c r="R115" s="53"/>
      <c r="S115" s="55" t="s">
        <v>1385</v>
      </c>
      <c r="T115" s="56">
        <v>44564</v>
      </c>
      <c r="U115" s="57">
        <v>0</v>
      </c>
    </row>
    <row r="116" spans="3:21" ht="33.75" customHeight="1" thickBot="1" x14ac:dyDescent="0.3">
      <c r="C116" s="52">
        <v>999</v>
      </c>
      <c r="D116" s="53">
        <v>109</v>
      </c>
      <c r="E116" s="53" t="s">
        <v>2195</v>
      </c>
      <c r="F116" s="53" t="s">
        <v>80</v>
      </c>
      <c r="G116" s="53" t="s">
        <v>2196</v>
      </c>
      <c r="H116" s="53" t="s">
        <v>2247</v>
      </c>
      <c r="I116" s="53" t="s">
        <v>2248</v>
      </c>
      <c r="J116" s="53" t="s">
        <v>60</v>
      </c>
      <c r="K116" s="53" t="s">
        <v>61</v>
      </c>
      <c r="L116" s="53" t="s">
        <v>1565</v>
      </c>
      <c r="M116" s="54">
        <v>-8.4420000000005047E-3</v>
      </c>
      <c r="N116" s="53" t="s">
        <v>768</v>
      </c>
      <c r="O116" s="53" t="s">
        <v>768</v>
      </c>
      <c r="P116" s="53" t="s">
        <v>1562</v>
      </c>
      <c r="Q116" s="53">
        <v>0</v>
      </c>
      <c r="R116" s="53"/>
      <c r="S116" s="55" t="s">
        <v>1385</v>
      </c>
      <c r="T116" s="56">
        <v>44564</v>
      </c>
      <c r="U116" s="57">
        <v>0</v>
      </c>
    </row>
    <row r="117" spans="3:21" ht="33.75" customHeight="1" thickBot="1" x14ac:dyDescent="0.3">
      <c r="C117" s="52">
        <v>999</v>
      </c>
      <c r="D117" s="53">
        <v>110</v>
      </c>
      <c r="E117" s="53" t="s">
        <v>2195</v>
      </c>
      <c r="F117" s="53" t="s">
        <v>80</v>
      </c>
      <c r="G117" s="53" t="s">
        <v>2196</v>
      </c>
      <c r="H117" s="53" t="s">
        <v>2249</v>
      </c>
      <c r="I117" s="53" t="s">
        <v>2250</v>
      </c>
      <c r="J117" s="53" t="s">
        <v>60</v>
      </c>
      <c r="K117" s="53" t="s">
        <v>61</v>
      </c>
      <c r="L117" s="53" t="s">
        <v>1567</v>
      </c>
      <c r="M117" s="54">
        <v>27.568877000000001</v>
      </c>
      <c r="N117" s="53" t="s">
        <v>768</v>
      </c>
      <c r="O117" s="53" t="s">
        <v>768</v>
      </c>
      <c r="P117" s="53" t="s">
        <v>1562</v>
      </c>
      <c r="Q117" s="53">
        <v>0</v>
      </c>
      <c r="R117" s="53"/>
      <c r="S117" s="55" t="s">
        <v>1385</v>
      </c>
      <c r="T117" s="56">
        <v>44564</v>
      </c>
      <c r="U117" s="57">
        <v>0</v>
      </c>
    </row>
    <row r="118" spans="3:21" ht="33.75" customHeight="1" thickBot="1" x14ac:dyDescent="0.3">
      <c r="C118" s="52">
        <v>999</v>
      </c>
      <c r="D118" s="53">
        <v>111</v>
      </c>
      <c r="E118" s="53" t="s">
        <v>2195</v>
      </c>
      <c r="F118" s="53" t="s">
        <v>80</v>
      </c>
      <c r="G118" s="53" t="s">
        <v>2196</v>
      </c>
      <c r="H118" s="53" t="s">
        <v>2251</v>
      </c>
      <c r="I118" s="53" t="s">
        <v>2252</v>
      </c>
      <c r="J118" s="53" t="s">
        <v>60</v>
      </c>
      <c r="K118" s="53" t="s">
        <v>61</v>
      </c>
      <c r="L118" s="53" t="s">
        <v>1568</v>
      </c>
      <c r="M118" s="54">
        <v>5.5400000000000002E-4</v>
      </c>
      <c r="N118" s="53" t="s">
        <v>768</v>
      </c>
      <c r="O118" s="53" t="s">
        <v>768</v>
      </c>
      <c r="P118" s="53" t="s">
        <v>1562</v>
      </c>
      <c r="Q118" s="53">
        <v>0</v>
      </c>
      <c r="R118" s="53"/>
      <c r="S118" s="55" t="s">
        <v>1385</v>
      </c>
      <c r="T118" s="56">
        <v>44564</v>
      </c>
      <c r="U118" s="57">
        <v>0</v>
      </c>
    </row>
    <row r="119" spans="3:21" ht="33.75" customHeight="1" thickBot="1" x14ac:dyDescent="0.3">
      <c r="C119" s="52">
        <v>999</v>
      </c>
      <c r="D119" s="53">
        <v>112</v>
      </c>
      <c r="E119" s="53" t="s">
        <v>2195</v>
      </c>
      <c r="F119" s="53" t="s">
        <v>80</v>
      </c>
      <c r="G119" s="53" t="s">
        <v>2196</v>
      </c>
      <c r="H119" s="53" t="s">
        <v>2253</v>
      </c>
      <c r="I119" s="53" t="s">
        <v>2254</v>
      </c>
      <c r="J119" s="53" t="s">
        <v>60</v>
      </c>
      <c r="K119" s="53" t="s">
        <v>61</v>
      </c>
      <c r="L119" s="53" t="s">
        <v>1569</v>
      </c>
      <c r="M119" s="54">
        <v>3.2740000000046621E-3</v>
      </c>
      <c r="N119" s="53" t="s">
        <v>768</v>
      </c>
      <c r="O119" s="53" t="s">
        <v>768</v>
      </c>
      <c r="P119" s="53" t="s">
        <v>1562</v>
      </c>
      <c r="Q119" s="53">
        <v>0</v>
      </c>
      <c r="R119" s="53"/>
      <c r="S119" s="55" t="s">
        <v>1385</v>
      </c>
      <c r="T119" s="56">
        <v>44564</v>
      </c>
      <c r="U119" s="57">
        <v>0</v>
      </c>
    </row>
    <row r="120" spans="3:21" ht="33.75" customHeight="1" thickBot="1" x14ac:dyDescent="0.3">
      <c r="C120" s="52">
        <v>999</v>
      </c>
      <c r="D120" s="53">
        <v>113</v>
      </c>
      <c r="E120" s="53" t="s">
        <v>2195</v>
      </c>
      <c r="F120" s="53" t="s">
        <v>80</v>
      </c>
      <c r="G120" s="53" t="s">
        <v>2196</v>
      </c>
      <c r="H120" s="53" t="s">
        <v>2255</v>
      </c>
      <c r="I120" s="53" t="s">
        <v>2256</v>
      </c>
      <c r="J120" s="53" t="s">
        <v>60</v>
      </c>
      <c r="K120" s="53" t="s">
        <v>61</v>
      </c>
      <c r="L120" s="53" t="s">
        <v>1570</v>
      </c>
      <c r="M120" s="54">
        <v>441666.28206701</v>
      </c>
      <c r="N120" s="53">
        <v>48.427064000000001</v>
      </c>
      <c r="O120" s="53">
        <v>0.05</v>
      </c>
      <c r="P120" s="53" t="s">
        <v>1562</v>
      </c>
      <c r="Q120" s="53">
        <v>0</v>
      </c>
      <c r="R120" s="53"/>
      <c r="S120" s="55" t="s">
        <v>1385</v>
      </c>
      <c r="T120" s="56">
        <v>44564</v>
      </c>
      <c r="U120" s="57">
        <v>0</v>
      </c>
    </row>
    <row r="121" spans="3:21" ht="33.75" customHeight="1" thickBot="1" x14ac:dyDescent="0.3">
      <c r="C121" s="52">
        <v>999</v>
      </c>
      <c r="D121" s="53">
        <v>114</v>
      </c>
      <c r="E121" s="53" t="s">
        <v>2195</v>
      </c>
      <c r="F121" s="53" t="s">
        <v>80</v>
      </c>
      <c r="G121" s="53" t="s">
        <v>2196</v>
      </c>
      <c r="H121" s="53" t="s">
        <v>2257</v>
      </c>
      <c r="I121" s="53" t="s">
        <v>2258</v>
      </c>
      <c r="J121" s="53" t="s">
        <v>60</v>
      </c>
      <c r="K121" s="53" t="s">
        <v>61</v>
      </c>
      <c r="L121" s="53" t="s">
        <v>1571</v>
      </c>
      <c r="M121" s="54">
        <v>4513704.2618498299</v>
      </c>
      <c r="N121" s="53">
        <v>167.75360599999999</v>
      </c>
      <c r="O121" s="53">
        <v>0.05</v>
      </c>
      <c r="P121" s="53" t="s">
        <v>1562</v>
      </c>
      <c r="Q121" s="53">
        <v>0</v>
      </c>
      <c r="R121" s="53"/>
      <c r="S121" s="55" t="s">
        <v>1385</v>
      </c>
      <c r="T121" s="56">
        <v>44564</v>
      </c>
      <c r="U121" s="57">
        <v>0</v>
      </c>
    </row>
    <row r="122" spans="3:21" ht="33.75" customHeight="1" thickBot="1" x14ac:dyDescent="0.3">
      <c r="C122" s="52">
        <v>999</v>
      </c>
      <c r="D122" s="53">
        <v>115</v>
      </c>
      <c r="E122" s="53" t="s">
        <v>2195</v>
      </c>
      <c r="F122" s="53" t="s">
        <v>80</v>
      </c>
      <c r="G122" s="53" t="s">
        <v>2196</v>
      </c>
      <c r="H122" s="53" t="s">
        <v>2259</v>
      </c>
      <c r="I122" s="53" t="s">
        <v>2260</v>
      </c>
      <c r="J122" s="53" t="s">
        <v>60</v>
      </c>
      <c r="K122" s="53" t="s">
        <v>61</v>
      </c>
      <c r="L122" s="53" t="s">
        <v>1572</v>
      </c>
      <c r="M122" s="54">
        <v>109098027.26151578</v>
      </c>
      <c r="N122" s="53">
        <v>88136.244038999997</v>
      </c>
      <c r="O122" s="53">
        <v>0.11734149165983</v>
      </c>
      <c r="P122" s="53" t="s">
        <v>1562</v>
      </c>
      <c r="Q122" s="53">
        <v>0</v>
      </c>
      <c r="R122" s="53"/>
      <c r="S122" s="55" t="s">
        <v>1385</v>
      </c>
      <c r="T122" s="56">
        <v>44564</v>
      </c>
      <c r="U122" s="57">
        <v>0</v>
      </c>
    </row>
    <row r="123" spans="3:21" ht="33.75" customHeight="1" thickBot="1" x14ac:dyDescent="0.3">
      <c r="C123" s="52">
        <v>999</v>
      </c>
      <c r="D123" s="53">
        <v>116</v>
      </c>
      <c r="E123" s="53" t="s">
        <v>2195</v>
      </c>
      <c r="F123" s="53" t="s">
        <v>80</v>
      </c>
      <c r="G123" s="53" t="s">
        <v>2196</v>
      </c>
      <c r="H123" s="53" t="s">
        <v>2261</v>
      </c>
      <c r="I123" s="53" t="s">
        <v>2262</v>
      </c>
      <c r="J123" s="53" t="s">
        <v>60</v>
      </c>
      <c r="K123" s="53" t="s">
        <v>61</v>
      </c>
      <c r="L123" s="53" t="s">
        <v>1574</v>
      </c>
      <c r="M123" s="54">
        <v>2222.4081485699999</v>
      </c>
      <c r="N123" s="53" t="s">
        <v>768</v>
      </c>
      <c r="O123" s="53" t="s">
        <v>768</v>
      </c>
      <c r="P123" s="53" t="s">
        <v>1562</v>
      </c>
      <c r="Q123" s="53">
        <v>0</v>
      </c>
      <c r="R123" s="53"/>
      <c r="S123" s="55" t="s">
        <v>1385</v>
      </c>
      <c r="T123" s="56">
        <v>44564</v>
      </c>
      <c r="U123" s="57">
        <v>0</v>
      </c>
    </row>
    <row r="124" spans="3:21" ht="33.75" customHeight="1" thickBot="1" x14ac:dyDescent="0.3">
      <c r="C124" s="52">
        <v>999</v>
      </c>
      <c r="D124" s="53">
        <v>117</v>
      </c>
      <c r="E124" s="53" t="s">
        <v>2195</v>
      </c>
      <c r="F124" s="53" t="s">
        <v>80</v>
      </c>
      <c r="G124" s="53" t="s">
        <v>2196</v>
      </c>
      <c r="H124" s="53" t="s">
        <v>2263</v>
      </c>
      <c r="I124" s="53" t="s">
        <v>2264</v>
      </c>
      <c r="J124" s="53" t="s">
        <v>60</v>
      </c>
      <c r="K124" s="53" t="s">
        <v>61</v>
      </c>
      <c r="L124" s="53" t="s">
        <v>1573</v>
      </c>
      <c r="M124" s="54">
        <v>4686152748.8950396</v>
      </c>
      <c r="N124" s="53">
        <v>70928.22999999921</v>
      </c>
      <c r="O124" s="53">
        <v>1.4239851616260801E-2</v>
      </c>
      <c r="P124" s="53" t="s">
        <v>1562</v>
      </c>
      <c r="Q124" s="53">
        <v>0</v>
      </c>
      <c r="R124" s="53"/>
      <c r="S124" s="55" t="s">
        <v>1385</v>
      </c>
      <c r="T124" s="56">
        <v>44564</v>
      </c>
      <c r="U124" s="57">
        <v>0</v>
      </c>
    </row>
    <row r="125" spans="3:21" ht="33.75" customHeight="1" thickBot="1" x14ac:dyDescent="0.3">
      <c r="C125" s="52">
        <v>999</v>
      </c>
      <c r="D125" s="53">
        <v>118</v>
      </c>
      <c r="E125" s="53" t="s">
        <v>1895</v>
      </c>
      <c r="F125" s="53" t="s">
        <v>56</v>
      </c>
      <c r="G125" s="53" t="s">
        <v>1896</v>
      </c>
      <c r="H125" s="53" t="s">
        <v>2265</v>
      </c>
      <c r="I125" s="53" t="s">
        <v>2266</v>
      </c>
      <c r="J125" s="53" t="s">
        <v>60</v>
      </c>
      <c r="K125" s="53" t="s">
        <v>61</v>
      </c>
      <c r="L125" s="53" t="s">
        <v>1561</v>
      </c>
      <c r="M125" s="54">
        <v>37549.868715999997</v>
      </c>
      <c r="N125" s="53" t="s">
        <v>768</v>
      </c>
      <c r="O125" s="53" t="s">
        <v>768</v>
      </c>
      <c r="P125" s="53" t="s">
        <v>1562</v>
      </c>
      <c r="Q125" s="53">
        <v>0</v>
      </c>
      <c r="R125" s="53"/>
      <c r="S125" s="55" t="s">
        <v>1385</v>
      </c>
      <c r="T125" s="56">
        <v>44564</v>
      </c>
      <c r="U125" s="57">
        <v>0</v>
      </c>
    </row>
    <row r="126" spans="3:21" ht="33.75" customHeight="1" thickBot="1" x14ac:dyDescent="0.3">
      <c r="C126" s="52">
        <v>999</v>
      </c>
      <c r="D126" s="53">
        <v>119</v>
      </c>
      <c r="E126" s="53" t="s">
        <v>1895</v>
      </c>
      <c r="F126" s="53" t="s">
        <v>56</v>
      </c>
      <c r="G126" s="53" t="s">
        <v>1896</v>
      </c>
      <c r="H126" s="53" t="s">
        <v>2267</v>
      </c>
      <c r="I126" s="53" t="s">
        <v>2268</v>
      </c>
      <c r="J126" s="53" t="s">
        <v>60</v>
      </c>
      <c r="K126" s="53" t="s">
        <v>61</v>
      </c>
      <c r="L126" s="53" t="s">
        <v>1563</v>
      </c>
      <c r="M126" s="54">
        <v>4331805.74645139</v>
      </c>
      <c r="N126" s="53" t="s">
        <v>768</v>
      </c>
      <c r="O126" s="53" t="s">
        <v>768</v>
      </c>
      <c r="P126" s="53" t="s">
        <v>1562</v>
      </c>
      <c r="Q126" s="53">
        <v>0</v>
      </c>
      <c r="R126" s="53"/>
      <c r="S126" s="55" t="s">
        <v>1385</v>
      </c>
      <c r="T126" s="56">
        <v>44564</v>
      </c>
      <c r="U126" s="57">
        <v>0</v>
      </c>
    </row>
    <row r="127" spans="3:21" ht="33.75" customHeight="1" thickBot="1" x14ac:dyDescent="0.3">
      <c r="C127" s="52">
        <v>999</v>
      </c>
      <c r="D127" s="53">
        <v>120</v>
      </c>
      <c r="E127" s="53" t="s">
        <v>1895</v>
      </c>
      <c r="F127" s="53" t="s">
        <v>56</v>
      </c>
      <c r="G127" s="53" t="s">
        <v>1896</v>
      </c>
      <c r="H127" s="53" t="s">
        <v>2269</v>
      </c>
      <c r="I127" s="53" t="s">
        <v>2270</v>
      </c>
      <c r="J127" s="53" t="s">
        <v>60</v>
      </c>
      <c r="K127" s="53" t="s">
        <v>61</v>
      </c>
      <c r="L127" s="53" t="s">
        <v>1575</v>
      </c>
      <c r="M127" s="54">
        <v>10785.449011000001</v>
      </c>
      <c r="N127" s="53" t="s">
        <v>768</v>
      </c>
      <c r="O127" s="53" t="s">
        <v>768</v>
      </c>
      <c r="P127" s="53" t="s">
        <v>1562</v>
      </c>
      <c r="Q127" s="53">
        <v>0</v>
      </c>
      <c r="R127" s="53"/>
      <c r="S127" s="55" t="s">
        <v>1385</v>
      </c>
      <c r="T127" s="56">
        <v>44564</v>
      </c>
      <c r="U127" s="57">
        <v>0</v>
      </c>
    </row>
    <row r="128" spans="3:21" ht="33.75" customHeight="1" thickBot="1" x14ac:dyDescent="0.3">
      <c r="C128" s="52">
        <v>999</v>
      </c>
      <c r="D128" s="53">
        <v>121</v>
      </c>
      <c r="E128" s="53" t="s">
        <v>1895</v>
      </c>
      <c r="F128" s="53" t="s">
        <v>56</v>
      </c>
      <c r="G128" s="53" t="s">
        <v>1896</v>
      </c>
      <c r="H128" s="53" t="s">
        <v>2271</v>
      </c>
      <c r="I128" s="53" t="s">
        <v>2272</v>
      </c>
      <c r="J128" s="53" t="s">
        <v>60</v>
      </c>
      <c r="K128" s="53" t="s">
        <v>61</v>
      </c>
      <c r="L128" s="53" t="s">
        <v>1564</v>
      </c>
      <c r="M128" s="54">
        <v>34.905330999999997</v>
      </c>
      <c r="N128" s="53" t="s">
        <v>768</v>
      </c>
      <c r="O128" s="53" t="s">
        <v>768</v>
      </c>
      <c r="P128" s="53" t="s">
        <v>1562</v>
      </c>
      <c r="Q128" s="53">
        <v>0</v>
      </c>
      <c r="R128" s="53"/>
      <c r="S128" s="55" t="s">
        <v>1385</v>
      </c>
      <c r="T128" s="56">
        <v>44564</v>
      </c>
      <c r="U128" s="57">
        <v>0</v>
      </c>
    </row>
    <row r="129" spans="3:21" ht="33.75" customHeight="1" thickBot="1" x14ac:dyDescent="0.3">
      <c r="C129" s="52">
        <v>999</v>
      </c>
      <c r="D129" s="53">
        <v>122</v>
      </c>
      <c r="E129" s="53" t="s">
        <v>1895</v>
      </c>
      <c r="F129" s="53" t="s">
        <v>56</v>
      </c>
      <c r="G129" s="53" t="s">
        <v>1896</v>
      </c>
      <c r="H129" s="53" t="s">
        <v>2273</v>
      </c>
      <c r="I129" s="53" t="s">
        <v>2274</v>
      </c>
      <c r="J129" s="53" t="s">
        <v>60</v>
      </c>
      <c r="K129" s="53" t="s">
        <v>61</v>
      </c>
      <c r="L129" s="53" t="s">
        <v>1565</v>
      </c>
      <c r="M129" s="54">
        <v>601443.110292</v>
      </c>
      <c r="N129" s="53" t="s">
        <v>768</v>
      </c>
      <c r="O129" s="53" t="s">
        <v>768</v>
      </c>
      <c r="P129" s="53" t="s">
        <v>1562</v>
      </c>
      <c r="Q129" s="53">
        <v>0</v>
      </c>
      <c r="R129" s="53"/>
      <c r="S129" s="55" t="s">
        <v>1385</v>
      </c>
      <c r="T129" s="56">
        <v>44564</v>
      </c>
      <c r="U129" s="57">
        <v>0</v>
      </c>
    </row>
    <row r="130" spans="3:21" ht="33.75" customHeight="1" thickBot="1" x14ac:dyDescent="0.3">
      <c r="C130" s="52">
        <v>999</v>
      </c>
      <c r="D130" s="53">
        <v>123</v>
      </c>
      <c r="E130" s="53" t="s">
        <v>1895</v>
      </c>
      <c r="F130" s="53" t="s">
        <v>56</v>
      </c>
      <c r="G130" s="53" t="s">
        <v>1896</v>
      </c>
      <c r="H130" s="53" t="s">
        <v>2275</v>
      </c>
      <c r="I130" s="53" t="s">
        <v>2276</v>
      </c>
      <c r="J130" s="53" t="s">
        <v>60</v>
      </c>
      <c r="K130" s="53" t="s">
        <v>61</v>
      </c>
      <c r="L130" s="53" t="s">
        <v>1566</v>
      </c>
      <c r="M130" s="54">
        <v>4.2999999999999999E-4</v>
      </c>
      <c r="N130" s="53" t="s">
        <v>768</v>
      </c>
      <c r="O130" s="53" t="s">
        <v>768</v>
      </c>
      <c r="P130" s="53" t="s">
        <v>1562</v>
      </c>
      <c r="Q130" s="53">
        <v>0</v>
      </c>
      <c r="R130" s="53"/>
      <c r="S130" s="55" t="s">
        <v>1385</v>
      </c>
      <c r="T130" s="56">
        <v>44564</v>
      </c>
      <c r="U130" s="57">
        <v>0</v>
      </c>
    </row>
    <row r="131" spans="3:21" ht="33.75" customHeight="1" thickBot="1" x14ac:dyDescent="0.3">
      <c r="C131" s="52">
        <v>999</v>
      </c>
      <c r="D131" s="53">
        <v>124</v>
      </c>
      <c r="E131" s="53" t="s">
        <v>1895</v>
      </c>
      <c r="F131" s="53" t="s">
        <v>56</v>
      </c>
      <c r="G131" s="53" t="s">
        <v>1896</v>
      </c>
      <c r="H131" s="53" t="s">
        <v>2277</v>
      </c>
      <c r="I131" s="53" t="s">
        <v>2278</v>
      </c>
      <c r="J131" s="53" t="s">
        <v>60</v>
      </c>
      <c r="K131" s="53" t="s">
        <v>61</v>
      </c>
      <c r="L131" s="53" t="s">
        <v>1567</v>
      </c>
      <c r="M131" s="54">
        <v>9075917.6117250007</v>
      </c>
      <c r="N131" s="53">
        <v>952.51982199999998</v>
      </c>
      <c r="O131" s="53">
        <v>0.19999</v>
      </c>
      <c r="P131" s="53" t="s">
        <v>1562</v>
      </c>
      <c r="Q131" s="53">
        <v>0</v>
      </c>
      <c r="R131" s="53"/>
      <c r="S131" s="55" t="s">
        <v>1385</v>
      </c>
      <c r="T131" s="56">
        <v>44564</v>
      </c>
      <c r="U131" s="57">
        <v>0</v>
      </c>
    </row>
    <row r="132" spans="3:21" ht="33.75" customHeight="1" thickBot="1" x14ac:dyDescent="0.3">
      <c r="C132" s="52">
        <v>999</v>
      </c>
      <c r="D132" s="53">
        <v>125</v>
      </c>
      <c r="E132" s="53" t="s">
        <v>1895</v>
      </c>
      <c r="F132" s="53" t="s">
        <v>56</v>
      </c>
      <c r="G132" s="53" t="s">
        <v>1896</v>
      </c>
      <c r="H132" s="53" t="s">
        <v>2279</v>
      </c>
      <c r="I132" s="53" t="s">
        <v>2280</v>
      </c>
      <c r="J132" s="53" t="s">
        <v>60</v>
      </c>
      <c r="K132" s="53" t="s">
        <v>61</v>
      </c>
      <c r="L132" s="53" t="s">
        <v>1568</v>
      </c>
      <c r="M132" s="54">
        <v>2.0420000000740401E-3</v>
      </c>
      <c r="N132" s="53" t="s">
        <v>768</v>
      </c>
      <c r="O132" s="53" t="s">
        <v>768</v>
      </c>
      <c r="P132" s="53" t="s">
        <v>1562</v>
      </c>
      <c r="Q132" s="53">
        <v>0</v>
      </c>
      <c r="R132" s="53"/>
      <c r="S132" s="55" t="s">
        <v>1385</v>
      </c>
      <c r="T132" s="56">
        <v>44564</v>
      </c>
      <c r="U132" s="57">
        <v>0</v>
      </c>
    </row>
    <row r="133" spans="3:21" ht="33.75" customHeight="1" thickBot="1" x14ac:dyDescent="0.3">
      <c r="C133" s="52">
        <v>999</v>
      </c>
      <c r="D133" s="53">
        <v>126</v>
      </c>
      <c r="E133" s="53" t="s">
        <v>1895</v>
      </c>
      <c r="F133" s="53" t="s">
        <v>56</v>
      </c>
      <c r="G133" s="53" t="s">
        <v>1896</v>
      </c>
      <c r="H133" s="53" t="s">
        <v>2281</v>
      </c>
      <c r="I133" s="53" t="s">
        <v>2282</v>
      </c>
      <c r="J133" s="53" t="s">
        <v>60</v>
      </c>
      <c r="K133" s="53" t="s">
        <v>61</v>
      </c>
      <c r="L133" s="53" t="s">
        <v>1569</v>
      </c>
      <c r="M133" s="54">
        <v>1208246.8522349999</v>
      </c>
      <c r="N133" s="53" t="s">
        <v>768</v>
      </c>
      <c r="O133" s="53" t="s">
        <v>768</v>
      </c>
      <c r="P133" s="53" t="s">
        <v>1562</v>
      </c>
      <c r="Q133" s="53">
        <v>0</v>
      </c>
      <c r="R133" s="53"/>
      <c r="S133" s="55" t="s">
        <v>1385</v>
      </c>
      <c r="T133" s="56">
        <v>44564</v>
      </c>
      <c r="U133" s="57">
        <v>0</v>
      </c>
    </row>
    <row r="134" spans="3:21" ht="33.75" customHeight="1" thickBot="1" x14ac:dyDescent="0.3">
      <c r="C134" s="52">
        <v>999</v>
      </c>
      <c r="D134" s="53">
        <v>127</v>
      </c>
      <c r="E134" s="53" t="s">
        <v>1895</v>
      </c>
      <c r="F134" s="53" t="s">
        <v>56</v>
      </c>
      <c r="G134" s="53" t="s">
        <v>1896</v>
      </c>
      <c r="H134" s="53" t="s">
        <v>2283</v>
      </c>
      <c r="I134" s="53" t="s">
        <v>2284</v>
      </c>
      <c r="J134" s="53" t="s">
        <v>60</v>
      </c>
      <c r="K134" s="53" t="s">
        <v>61</v>
      </c>
      <c r="L134" s="53" t="s">
        <v>1570</v>
      </c>
      <c r="M134" s="54">
        <v>1408609.2276949999</v>
      </c>
      <c r="N134" s="53" t="s">
        <v>768</v>
      </c>
      <c r="O134" s="53" t="s">
        <v>768</v>
      </c>
      <c r="P134" s="53" t="s">
        <v>1562</v>
      </c>
      <c r="Q134" s="53">
        <v>0</v>
      </c>
      <c r="R134" s="53"/>
      <c r="S134" s="55" t="s">
        <v>1385</v>
      </c>
      <c r="T134" s="56">
        <v>44564</v>
      </c>
      <c r="U134" s="57">
        <v>0</v>
      </c>
    </row>
    <row r="135" spans="3:21" ht="33.75" customHeight="1" thickBot="1" x14ac:dyDescent="0.3">
      <c r="C135" s="52">
        <v>999</v>
      </c>
      <c r="D135" s="53">
        <v>128</v>
      </c>
      <c r="E135" s="53" t="s">
        <v>1895</v>
      </c>
      <c r="F135" s="53" t="s">
        <v>56</v>
      </c>
      <c r="G135" s="53" t="s">
        <v>1896</v>
      </c>
      <c r="H135" s="53" t="s">
        <v>2285</v>
      </c>
      <c r="I135" s="53" t="s">
        <v>2286</v>
      </c>
      <c r="J135" s="53" t="s">
        <v>60</v>
      </c>
      <c r="K135" s="53" t="s">
        <v>61</v>
      </c>
      <c r="L135" s="53" t="s">
        <v>1571</v>
      </c>
      <c r="M135" s="54">
        <v>25068663.82803756</v>
      </c>
      <c r="N135" s="53">
        <v>13.685914</v>
      </c>
      <c r="O135" s="53">
        <v>0.06</v>
      </c>
      <c r="P135" s="53" t="s">
        <v>1562</v>
      </c>
      <c r="Q135" s="53">
        <v>0</v>
      </c>
      <c r="R135" s="53"/>
      <c r="S135" s="55" t="s">
        <v>1385</v>
      </c>
      <c r="T135" s="56">
        <v>44564</v>
      </c>
      <c r="U135" s="57">
        <v>0</v>
      </c>
    </row>
    <row r="136" spans="3:21" ht="33.75" customHeight="1" thickBot="1" x14ac:dyDescent="0.3">
      <c r="C136" s="52">
        <v>999</v>
      </c>
      <c r="D136" s="53">
        <v>129</v>
      </c>
      <c r="E136" s="53" t="s">
        <v>1895</v>
      </c>
      <c r="F136" s="53" t="s">
        <v>56</v>
      </c>
      <c r="G136" s="53" t="s">
        <v>1896</v>
      </c>
      <c r="H136" s="53" t="s">
        <v>2287</v>
      </c>
      <c r="I136" s="53" t="s">
        <v>2288</v>
      </c>
      <c r="J136" s="53" t="s">
        <v>60</v>
      </c>
      <c r="K136" s="53" t="s">
        <v>61</v>
      </c>
      <c r="L136" s="53" t="s">
        <v>1572</v>
      </c>
      <c r="M136" s="54">
        <v>81402708.306920961</v>
      </c>
      <c r="N136" s="53">
        <v>12063.393962</v>
      </c>
      <c r="O136" s="53">
        <v>0.109205952380952</v>
      </c>
      <c r="P136" s="53" t="s">
        <v>1562</v>
      </c>
      <c r="Q136" s="53">
        <v>0</v>
      </c>
      <c r="R136" s="53"/>
      <c r="S136" s="55" t="s">
        <v>1385</v>
      </c>
      <c r="T136" s="56">
        <v>44564</v>
      </c>
      <c r="U136" s="57">
        <v>0</v>
      </c>
    </row>
    <row r="137" spans="3:21" ht="33.75" customHeight="1" thickBot="1" x14ac:dyDescent="0.3">
      <c r="C137" s="52">
        <v>999</v>
      </c>
      <c r="D137" s="53">
        <v>130</v>
      </c>
      <c r="E137" s="53" t="s">
        <v>1895</v>
      </c>
      <c r="F137" s="53" t="s">
        <v>56</v>
      </c>
      <c r="G137" s="53" t="s">
        <v>1896</v>
      </c>
      <c r="H137" s="53" t="s">
        <v>2289</v>
      </c>
      <c r="I137" s="53" t="s">
        <v>2290</v>
      </c>
      <c r="J137" s="53" t="s">
        <v>60</v>
      </c>
      <c r="K137" s="53" t="s">
        <v>61</v>
      </c>
      <c r="L137" s="53" t="s">
        <v>1573</v>
      </c>
      <c r="M137" s="54">
        <v>4109290318.5907955</v>
      </c>
      <c r="N137" s="53">
        <v>25362.400000000001</v>
      </c>
      <c r="O137" s="53">
        <v>2.6006337363345601E-2</v>
      </c>
      <c r="P137" s="53" t="s">
        <v>1562</v>
      </c>
      <c r="Q137" s="53">
        <v>0</v>
      </c>
      <c r="R137" s="53"/>
      <c r="S137" s="55" t="s">
        <v>1385</v>
      </c>
      <c r="T137" s="56">
        <v>44564</v>
      </c>
      <c r="U137" s="57">
        <v>0</v>
      </c>
    </row>
    <row r="138" spans="3:21" ht="33.75" customHeight="1" thickBot="1" x14ac:dyDescent="0.3">
      <c r="C138" s="52">
        <v>999</v>
      </c>
      <c r="D138" s="53">
        <v>131</v>
      </c>
      <c r="E138" s="53" t="s">
        <v>1895</v>
      </c>
      <c r="F138" s="53" t="s">
        <v>56</v>
      </c>
      <c r="G138" s="53" t="s">
        <v>1896</v>
      </c>
      <c r="H138" s="53" t="s">
        <v>2291</v>
      </c>
      <c r="I138" s="53" t="s">
        <v>2292</v>
      </c>
      <c r="J138" s="53" t="s">
        <v>60</v>
      </c>
      <c r="K138" s="53" t="s">
        <v>61</v>
      </c>
      <c r="L138" s="53" t="s">
        <v>1573</v>
      </c>
      <c r="M138" s="54">
        <v>18440716.27</v>
      </c>
      <c r="N138" s="53">
        <v>8.59</v>
      </c>
      <c r="O138" s="53" t="s">
        <v>768</v>
      </c>
      <c r="P138" s="53" t="s">
        <v>1562</v>
      </c>
      <c r="Q138" s="53">
        <v>0</v>
      </c>
      <c r="R138" s="53"/>
      <c r="S138" s="55" t="s">
        <v>1385</v>
      </c>
      <c r="T138" s="56">
        <v>44564</v>
      </c>
      <c r="U138" s="57">
        <v>0</v>
      </c>
    </row>
    <row r="139" spans="3:21" ht="33.75" customHeight="1" thickBot="1" x14ac:dyDescent="0.3">
      <c r="C139" s="52">
        <v>999</v>
      </c>
      <c r="D139" s="53">
        <v>132</v>
      </c>
      <c r="E139" s="53" t="s">
        <v>1895</v>
      </c>
      <c r="F139" s="53" t="s">
        <v>56</v>
      </c>
      <c r="G139" s="53" t="s">
        <v>1896</v>
      </c>
      <c r="H139" s="53" t="s">
        <v>2293</v>
      </c>
      <c r="I139" s="53" t="s">
        <v>2294</v>
      </c>
      <c r="J139" s="53" t="s">
        <v>60</v>
      </c>
      <c r="K139" s="53" t="s">
        <v>61</v>
      </c>
      <c r="L139" s="53" t="s">
        <v>1574</v>
      </c>
      <c r="M139" s="54">
        <v>2549683.685976</v>
      </c>
      <c r="N139" s="53" t="s">
        <v>768</v>
      </c>
      <c r="O139" s="53" t="s">
        <v>768</v>
      </c>
      <c r="P139" s="53" t="s">
        <v>1562</v>
      </c>
      <c r="Q139" s="53">
        <v>0</v>
      </c>
      <c r="R139" s="53"/>
      <c r="S139" s="55" t="s">
        <v>1385</v>
      </c>
      <c r="T139" s="56">
        <v>44564</v>
      </c>
      <c r="U139" s="57">
        <v>0</v>
      </c>
    </row>
    <row r="140" spans="3:21" ht="33.75" customHeight="1" thickBot="1" x14ac:dyDescent="0.3">
      <c r="C140" s="52">
        <v>999</v>
      </c>
      <c r="D140" s="53">
        <v>133</v>
      </c>
      <c r="E140" s="53" t="s">
        <v>1895</v>
      </c>
      <c r="F140" s="53" t="s">
        <v>87</v>
      </c>
      <c r="G140" s="53" t="s">
        <v>1896</v>
      </c>
      <c r="H140" s="53" t="s">
        <v>2295</v>
      </c>
      <c r="I140" s="53" t="s">
        <v>2296</v>
      </c>
      <c r="J140" s="53" t="s">
        <v>60</v>
      </c>
      <c r="K140" s="53" t="s">
        <v>61</v>
      </c>
      <c r="L140" s="53" t="s">
        <v>1572</v>
      </c>
      <c r="M140" s="54">
        <v>180999470.24545401</v>
      </c>
      <c r="N140" s="53">
        <v>4345.2057199999999</v>
      </c>
      <c r="O140" s="53">
        <v>4.5999999999999999E-2</v>
      </c>
      <c r="P140" s="53" t="s">
        <v>1562</v>
      </c>
      <c r="Q140" s="53">
        <v>0</v>
      </c>
      <c r="R140" s="53"/>
      <c r="S140" s="55" t="s">
        <v>1385</v>
      </c>
      <c r="T140" s="56">
        <v>44564</v>
      </c>
      <c r="U140" s="57">
        <v>0</v>
      </c>
    </row>
    <row r="141" spans="3:21" ht="33.75" customHeight="1" thickBot="1" x14ac:dyDescent="0.3">
      <c r="C141" s="52">
        <v>999</v>
      </c>
      <c r="D141" s="53">
        <v>134</v>
      </c>
      <c r="E141" s="53" t="s">
        <v>1895</v>
      </c>
      <c r="F141" s="53" t="s">
        <v>87</v>
      </c>
      <c r="G141" s="53" t="s">
        <v>1896</v>
      </c>
      <c r="H141" s="53" t="s">
        <v>2297</v>
      </c>
      <c r="I141" s="53" t="s">
        <v>2298</v>
      </c>
      <c r="J141" s="53" t="s">
        <v>60</v>
      </c>
      <c r="K141" s="53" t="s">
        <v>61</v>
      </c>
      <c r="L141" s="53" t="s">
        <v>1573</v>
      </c>
      <c r="M141" s="54">
        <v>1000000</v>
      </c>
      <c r="N141" s="53">
        <v>0.01</v>
      </c>
      <c r="O141" s="53">
        <v>0</v>
      </c>
      <c r="P141" s="53" t="s">
        <v>1562</v>
      </c>
      <c r="Q141" s="53">
        <v>0</v>
      </c>
      <c r="R141" s="53"/>
      <c r="S141" s="55" t="s">
        <v>1385</v>
      </c>
      <c r="T141" s="56">
        <v>44564</v>
      </c>
      <c r="U141" s="57">
        <v>0</v>
      </c>
    </row>
    <row r="142" spans="3:21" ht="33.75" customHeight="1" thickBot="1" x14ac:dyDescent="0.3">
      <c r="C142" s="52">
        <v>999</v>
      </c>
      <c r="D142" s="53">
        <v>135</v>
      </c>
      <c r="E142" s="53" t="s">
        <v>1895</v>
      </c>
      <c r="F142" s="53" t="s">
        <v>87</v>
      </c>
      <c r="G142" s="53" t="s">
        <v>1896</v>
      </c>
      <c r="H142" s="53" t="s">
        <v>2299</v>
      </c>
      <c r="I142" s="53" t="s">
        <v>2300</v>
      </c>
      <c r="J142" s="53" t="s">
        <v>60</v>
      </c>
      <c r="K142" s="53" t="s">
        <v>61</v>
      </c>
      <c r="L142" s="53" t="s">
        <v>1573</v>
      </c>
      <c r="M142" s="54">
        <v>30000000</v>
      </c>
      <c r="N142" s="53">
        <v>5183.33</v>
      </c>
      <c r="O142" s="53">
        <v>0.02</v>
      </c>
      <c r="P142" s="53" t="s">
        <v>1562</v>
      </c>
      <c r="Q142" s="53">
        <v>0</v>
      </c>
      <c r="R142" s="53"/>
      <c r="S142" s="55" t="s">
        <v>1385</v>
      </c>
      <c r="T142" s="56">
        <v>44564</v>
      </c>
      <c r="U142" s="57">
        <v>0</v>
      </c>
    </row>
    <row r="143" spans="3:21" ht="33.75" customHeight="1" thickBot="1" x14ac:dyDescent="0.3">
      <c r="C143" s="52">
        <v>999</v>
      </c>
      <c r="D143" s="53">
        <v>136</v>
      </c>
      <c r="E143" s="53" t="s">
        <v>1895</v>
      </c>
      <c r="F143" s="53" t="s">
        <v>87</v>
      </c>
      <c r="G143" s="53" t="s">
        <v>1896</v>
      </c>
      <c r="H143" s="53" t="s">
        <v>2301</v>
      </c>
      <c r="I143" s="53" t="s">
        <v>2302</v>
      </c>
      <c r="J143" s="53" t="s">
        <v>60</v>
      </c>
      <c r="K143" s="53" t="s">
        <v>61</v>
      </c>
      <c r="L143" s="53" t="s">
        <v>1573</v>
      </c>
      <c r="M143" s="54">
        <v>-0.02</v>
      </c>
      <c r="N143" s="53">
        <v>-0.03</v>
      </c>
      <c r="O143" s="53" t="s">
        <v>768</v>
      </c>
      <c r="P143" s="53" t="s">
        <v>1562</v>
      </c>
      <c r="Q143" s="53">
        <v>0</v>
      </c>
      <c r="R143" s="53"/>
      <c r="S143" s="55" t="s">
        <v>1385</v>
      </c>
      <c r="T143" s="56">
        <v>44564</v>
      </c>
      <c r="U143" s="57">
        <v>0</v>
      </c>
    </row>
    <row r="144" spans="3:21" ht="33.75" customHeight="1" thickBot="1" x14ac:dyDescent="0.3">
      <c r="C144" s="52">
        <v>999</v>
      </c>
      <c r="D144" s="53">
        <v>137</v>
      </c>
      <c r="E144" s="53" t="s">
        <v>1895</v>
      </c>
      <c r="F144" s="53" t="s">
        <v>83</v>
      </c>
      <c r="G144" s="53" t="s">
        <v>1896</v>
      </c>
      <c r="H144" s="53" t="s">
        <v>2303</v>
      </c>
      <c r="I144" s="53" t="s">
        <v>2304</v>
      </c>
      <c r="J144" s="53" t="s">
        <v>60</v>
      </c>
      <c r="K144" s="53" t="s">
        <v>61</v>
      </c>
      <c r="L144" s="53" t="s">
        <v>1561</v>
      </c>
      <c r="M144" s="54">
        <v>988963.75280100002</v>
      </c>
      <c r="N144" s="53" t="s">
        <v>768</v>
      </c>
      <c r="O144" s="53" t="s">
        <v>768</v>
      </c>
      <c r="P144" s="53" t="s">
        <v>1562</v>
      </c>
      <c r="Q144" s="53">
        <v>0</v>
      </c>
      <c r="R144" s="53"/>
      <c r="S144" s="55" t="s">
        <v>1385</v>
      </c>
      <c r="T144" s="56">
        <v>44564</v>
      </c>
      <c r="U144" s="57">
        <v>0</v>
      </c>
    </row>
    <row r="145" spans="3:21" ht="33.75" customHeight="1" thickBot="1" x14ac:dyDescent="0.3">
      <c r="C145" s="52">
        <v>999</v>
      </c>
      <c r="D145" s="53">
        <v>138</v>
      </c>
      <c r="E145" s="53" t="s">
        <v>1895</v>
      </c>
      <c r="F145" s="53" t="s">
        <v>83</v>
      </c>
      <c r="G145" s="53" t="s">
        <v>1896</v>
      </c>
      <c r="H145" s="53" t="s">
        <v>2305</v>
      </c>
      <c r="I145" s="53" t="s">
        <v>2306</v>
      </c>
      <c r="J145" s="53" t="s">
        <v>60</v>
      </c>
      <c r="K145" s="53" t="s">
        <v>61</v>
      </c>
      <c r="L145" s="53" t="s">
        <v>1561</v>
      </c>
      <c r="M145" s="54">
        <v>133873.20525100001</v>
      </c>
      <c r="N145" s="53" t="s">
        <v>768</v>
      </c>
      <c r="O145" s="53" t="s">
        <v>768</v>
      </c>
      <c r="P145" s="53" t="s">
        <v>1562</v>
      </c>
      <c r="Q145" s="53">
        <v>0</v>
      </c>
      <c r="R145" s="53"/>
      <c r="S145" s="55" t="s">
        <v>1385</v>
      </c>
      <c r="T145" s="56">
        <v>44564</v>
      </c>
      <c r="U145" s="57">
        <v>0</v>
      </c>
    </row>
    <row r="146" spans="3:21" ht="33.75" customHeight="1" thickBot="1" x14ac:dyDescent="0.3">
      <c r="C146" s="52">
        <v>999</v>
      </c>
      <c r="D146" s="53">
        <v>139</v>
      </c>
      <c r="E146" s="53" t="s">
        <v>1895</v>
      </c>
      <c r="F146" s="53" t="s">
        <v>83</v>
      </c>
      <c r="G146" s="53" t="s">
        <v>1896</v>
      </c>
      <c r="H146" s="53" t="s">
        <v>2307</v>
      </c>
      <c r="I146" s="53" t="s">
        <v>2308</v>
      </c>
      <c r="J146" s="53" t="s">
        <v>60</v>
      </c>
      <c r="K146" s="53" t="s">
        <v>61</v>
      </c>
      <c r="L146" s="53" t="s">
        <v>1564</v>
      </c>
      <c r="M146" s="54">
        <v>2.1516E-2</v>
      </c>
      <c r="N146" s="53" t="s">
        <v>768</v>
      </c>
      <c r="O146" s="53" t="s">
        <v>768</v>
      </c>
      <c r="P146" s="53" t="s">
        <v>1562</v>
      </c>
      <c r="Q146" s="53">
        <v>0</v>
      </c>
      <c r="R146" s="53"/>
      <c r="S146" s="55" t="s">
        <v>1385</v>
      </c>
      <c r="T146" s="56">
        <v>44564</v>
      </c>
      <c r="U146" s="57">
        <v>0</v>
      </c>
    </row>
    <row r="147" spans="3:21" ht="33.75" customHeight="1" thickBot="1" x14ac:dyDescent="0.3">
      <c r="C147" s="52">
        <v>999</v>
      </c>
      <c r="D147" s="53">
        <v>140</v>
      </c>
      <c r="E147" s="53" t="s">
        <v>1895</v>
      </c>
      <c r="F147" s="53" t="s">
        <v>83</v>
      </c>
      <c r="G147" s="53" t="s">
        <v>1896</v>
      </c>
      <c r="H147" s="53" t="s">
        <v>2309</v>
      </c>
      <c r="I147" s="53" t="s">
        <v>2310</v>
      </c>
      <c r="J147" s="53" t="s">
        <v>60</v>
      </c>
      <c r="K147" s="53" t="s">
        <v>61</v>
      </c>
      <c r="L147" s="53" t="s">
        <v>1564</v>
      </c>
      <c r="M147" s="54">
        <v>19063.806412000002</v>
      </c>
      <c r="N147" s="53" t="s">
        <v>768</v>
      </c>
      <c r="O147" s="53" t="s">
        <v>768</v>
      </c>
      <c r="P147" s="53" t="s">
        <v>1562</v>
      </c>
      <c r="Q147" s="53">
        <v>0</v>
      </c>
      <c r="R147" s="53"/>
      <c r="S147" s="55" t="s">
        <v>1385</v>
      </c>
      <c r="T147" s="56">
        <v>44564</v>
      </c>
      <c r="U147" s="57">
        <v>0</v>
      </c>
    </row>
    <row r="148" spans="3:21" ht="33.75" customHeight="1" thickBot="1" x14ac:dyDescent="0.3">
      <c r="C148" s="52">
        <v>999</v>
      </c>
      <c r="D148" s="53">
        <v>141</v>
      </c>
      <c r="E148" s="53" t="s">
        <v>1895</v>
      </c>
      <c r="F148" s="53" t="s">
        <v>83</v>
      </c>
      <c r="G148" s="53" t="s">
        <v>1896</v>
      </c>
      <c r="H148" s="53" t="s">
        <v>2311</v>
      </c>
      <c r="I148" s="53" t="s">
        <v>2312</v>
      </c>
      <c r="J148" s="53" t="s">
        <v>60</v>
      </c>
      <c r="K148" s="53" t="s">
        <v>61</v>
      </c>
      <c r="L148" s="53" t="s">
        <v>1565</v>
      </c>
      <c r="M148" s="54">
        <v>374408.85872100003</v>
      </c>
      <c r="N148" s="53" t="s">
        <v>768</v>
      </c>
      <c r="O148" s="53" t="s">
        <v>768</v>
      </c>
      <c r="P148" s="53" t="s">
        <v>1562</v>
      </c>
      <c r="Q148" s="53">
        <v>0</v>
      </c>
      <c r="R148" s="53"/>
      <c r="S148" s="55" t="s">
        <v>1385</v>
      </c>
      <c r="T148" s="56">
        <v>44564</v>
      </c>
      <c r="U148" s="57">
        <v>0</v>
      </c>
    </row>
    <row r="149" spans="3:21" ht="33.75" customHeight="1" thickBot="1" x14ac:dyDescent="0.3">
      <c r="C149" s="52">
        <v>999</v>
      </c>
      <c r="D149" s="53">
        <v>142</v>
      </c>
      <c r="E149" s="53" t="s">
        <v>1895</v>
      </c>
      <c r="F149" s="53" t="s">
        <v>83</v>
      </c>
      <c r="G149" s="53" t="s">
        <v>1896</v>
      </c>
      <c r="H149" s="53" t="s">
        <v>2313</v>
      </c>
      <c r="I149" s="53" t="s">
        <v>2314</v>
      </c>
      <c r="J149" s="53" t="s">
        <v>60</v>
      </c>
      <c r="K149" s="53" t="s">
        <v>61</v>
      </c>
      <c r="L149" s="53" t="s">
        <v>1565</v>
      </c>
      <c r="M149" s="54">
        <v>11502213.376286</v>
      </c>
      <c r="N149" s="53" t="s">
        <v>768</v>
      </c>
      <c r="O149" s="53" t="s">
        <v>768</v>
      </c>
      <c r="P149" s="53" t="s">
        <v>1562</v>
      </c>
      <c r="Q149" s="53">
        <v>0</v>
      </c>
      <c r="R149" s="53"/>
      <c r="S149" s="55" t="s">
        <v>1385</v>
      </c>
      <c r="T149" s="56">
        <v>44564</v>
      </c>
      <c r="U149" s="57">
        <v>0</v>
      </c>
    </row>
    <row r="150" spans="3:21" ht="33.75" customHeight="1" thickBot="1" x14ac:dyDescent="0.3">
      <c r="C150" s="52">
        <v>999</v>
      </c>
      <c r="D150" s="53">
        <v>143</v>
      </c>
      <c r="E150" s="53" t="s">
        <v>1895</v>
      </c>
      <c r="F150" s="53" t="s">
        <v>83</v>
      </c>
      <c r="G150" s="53" t="s">
        <v>1896</v>
      </c>
      <c r="H150" s="53" t="s">
        <v>2315</v>
      </c>
      <c r="I150" s="53" t="s">
        <v>2316</v>
      </c>
      <c r="J150" s="53" t="s">
        <v>60</v>
      </c>
      <c r="K150" s="53" t="s">
        <v>61</v>
      </c>
      <c r="L150" s="53" t="s">
        <v>1566</v>
      </c>
      <c r="M150" s="54">
        <v>355.16570300000001</v>
      </c>
      <c r="N150" s="53" t="s">
        <v>768</v>
      </c>
      <c r="O150" s="53" t="s">
        <v>768</v>
      </c>
      <c r="P150" s="53" t="s">
        <v>1562</v>
      </c>
      <c r="Q150" s="53">
        <v>0</v>
      </c>
      <c r="R150" s="53"/>
      <c r="S150" s="55" t="s">
        <v>1385</v>
      </c>
      <c r="T150" s="56">
        <v>44564</v>
      </c>
      <c r="U150" s="57">
        <v>0</v>
      </c>
    </row>
    <row r="151" spans="3:21" ht="33.75" customHeight="1" thickBot="1" x14ac:dyDescent="0.3">
      <c r="C151" s="52">
        <v>999</v>
      </c>
      <c r="D151" s="53">
        <v>144</v>
      </c>
      <c r="E151" s="53" t="s">
        <v>1895</v>
      </c>
      <c r="F151" s="53" t="s">
        <v>83</v>
      </c>
      <c r="G151" s="53" t="s">
        <v>1896</v>
      </c>
      <c r="H151" s="53" t="s">
        <v>2317</v>
      </c>
      <c r="I151" s="53" t="s">
        <v>2318</v>
      </c>
      <c r="J151" s="53" t="s">
        <v>60</v>
      </c>
      <c r="K151" s="53" t="s">
        <v>61</v>
      </c>
      <c r="L151" s="53" t="s">
        <v>1567</v>
      </c>
      <c r="M151" s="54">
        <v>34625.697782000003</v>
      </c>
      <c r="N151" s="53" t="s">
        <v>768</v>
      </c>
      <c r="O151" s="53" t="s">
        <v>768</v>
      </c>
      <c r="P151" s="53" t="s">
        <v>1562</v>
      </c>
      <c r="Q151" s="53">
        <v>0</v>
      </c>
      <c r="R151" s="53"/>
      <c r="S151" s="55" t="s">
        <v>1385</v>
      </c>
      <c r="T151" s="56">
        <v>44564</v>
      </c>
      <c r="U151" s="57">
        <v>0</v>
      </c>
    </row>
    <row r="152" spans="3:21" ht="33.75" customHeight="1" thickBot="1" x14ac:dyDescent="0.3">
      <c r="C152" s="52">
        <v>999</v>
      </c>
      <c r="D152" s="53">
        <v>145</v>
      </c>
      <c r="E152" s="53" t="s">
        <v>1895</v>
      </c>
      <c r="F152" s="53" t="s">
        <v>83</v>
      </c>
      <c r="G152" s="53" t="s">
        <v>1896</v>
      </c>
      <c r="H152" s="53" t="s">
        <v>2319</v>
      </c>
      <c r="I152" s="53" t="s">
        <v>2320</v>
      </c>
      <c r="J152" s="53" t="s">
        <v>60</v>
      </c>
      <c r="K152" s="53" t="s">
        <v>61</v>
      </c>
      <c r="L152" s="53" t="s">
        <v>1567</v>
      </c>
      <c r="M152" s="54">
        <v>6659.834014</v>
      </c>
      <c r="N152" s="53">
        <v>3.3036999999999997E-2</v>
      </c>
      <c r="O152" s="53">
        <v>9.9489999999999995E-2</v>
      </c>
      <c r="P152" s="53" t="s">
        <v>1562</v>
      </c>
      <c r="Q152" s="53">
        <v>0</v>
      </c>
      <c r="R152" s="53"/>
      <c r="S152" s="55" t="s">
        <v>1385</v>
      </c>
      <c r="T152" s="56">
        <v>44564</v>
      </c>
      <c r="U152" s="57">
        <v>0</v>
      </c>
    </row>
    <row r="153" spans="3:21" ht="33.75" customHeight="1" thickBot="1" x14ac:dyDescent="0.3">
      <c r="C153" s="52">
        <v>999</v>
      </c>
      <c r="D153" s="53">
        <v>146</v>
      </c>
      <c r="E153" s="53" t="s">
        <v>1895</v>
      </c>
      <c r="F153" s="53" t="s">
        <v>83</v>
      </c>
      <c r="G153" s="53" t="s">
        <v>1896</v>
      </c>
      <c r="H153" s="53" t="s">
        <v>2321</v>
      </c>
      <c r="I153" s="53" t="s">
        <v>2322</v>
      </c>
      <c r="J153" s="53" t="s">
        <v>60</v>
      </c>
      <c r="K153" s="53" t="s">
        <v>61</v>
      </c>
      <c r="L153" s="53" t="s">
        <v>1569</v>
      </c>
      <c r="M153" s="54">
        <v>11603.861351</v>
      </c>
      <c r="N153" s="53" t="s">
        <v>768</v>
      </c>
      <c r="O153" s="53" t="s">
        <v>768</v>
      </c>
      <c r="P153" s="53" t="s">
        <v>1562</v>
      </c>
      <c r="Q153" s="53">
        <v>0</v>
      </c>
      <c r="R153" s="53"/>
      <c r="S153" s="55" t="s">
        <v>1385</v>
      </c>
      <c r="T153" s="56">
        <v>44564</v>
      </c>
      <c r="U153" s="57">
        <v>0</v>
      </c>
    </row>
    <row r="154" spans="3:21" ht="33.75" customHeight="1" thickBot="1" x14ac:dyDescent="0.3">
      <c r="C154" s="52">
        <v>999</v>
      </c>
      <c r="D154" s="53">
        <v>147</v>
      </c>
      <c r="E154" s="53" t="s">
        <v>1895</v>
      </c>
      <c r="F154" s="53" t="s">
        <v>83</v>
      </c>
      <c r="G154" s="53" t="s">
        <v>1896</v>
      </c>
      <c r="H154" s="53" t="s">
        <v>2323</v>
      </c>
      <c r="I154" s="53" t="s">
        <v>2324</v>
      </c>
      <c r="J154" s="53" t="s">
        <v>60</v>
      </c>
      <c r="K154" s="53" t="s">
        <v>61</v>
      </c>
      <c r="L154" s="53" t="s">
        <v>1569</v>
      </c>
      <c r="M154" s="54">
        <v>35841.574393000003</v>
      </c>
      <c r="N154" s="53">
        <v>3.5998939999999999</v>
      </c>
      <c r="O154" s="53">
        <v>1.3169900000000001</v>
      </c>
      <c r="P154" s="53" t="s">
        <v>1562</v>
      </c>
      <c r="Q154" s="53">
        <v>0</v>
      </c>
      <c r="R154" s="53"/>
      <c r="S154" s="55" t="s">
        <v>1385</v>
      </c>
      <c r="T154" s="56">
        <v>44564</v>
      </c>
      <c r="U154" s="57">
        <v>0</v>
      </c>
    </row>
    <row r="155" spans="3:21" ht="33.75" customHeight="1" thickBot="1" x14ac:dyDescent="0.3">
      <c r="C155" s="52">
        <v>999</v>
      </c>
      <c r="D155" s="53">
        <v>148</v>
      </c>
      <c r="E155" s="53" t="s">
        <v>1895</v>
      </c>
      <c r="F155" s="53" t="s">
        <v>83</v>
      </c>
      <c r="G155" s="53" t="s">
        <v>1896</v>
      </c>
      <c r="H155" s="53" t="s">
        <v>2325</v>
      </c>
      <c r="I155" s="53" t="s">
        <v>2326</v>
      </c>
      <c r="J155" s="53" t="s">
        <v>60</v>
      </c>
      <c r="K155" s="53" t="s">
        <v>61</v>
      </c>
      <c r="L155" s="53" t="s">
        <v>1570</v>
      </c>
      <c r="M155" s="54">
        <v>22765.366373000001</v>
      </c>
      <c r="N155" s="53" t="s">
        <v>768</v>
      </c>
      <c r="O155" s="53" t="s">
        <v>768</v>
      </c>
      <c r="P155" s="53" t="s">
        <v>1562</v>
      </c>
      <c r="Q155" s="53">
        <v>0</v>
      </c>
      <c r="R155" s="53"/>
      <c r="S155" s="55" t="s">
        <v>1385</v>
      </c>
      <c r="T155" s="56">
        <v>44564</v>
      </c>
      <c r="U155" s="57">
        <v>0</v>
      </c>
    </row>
    <row r="156" spans="3:21" ht="33.75" customHeight="1" thickBot="1" x14ac:dyDescent="0.3">
      <c r="C156" s="52">
        <v>999</v>
      </c>
      <c r="D156" s="53">
        <v>149</v>
      </c>
      <c r="E156" s="53" t="s">
        <v>1895</v>
      </c>
      <c r="F156" s="53" t="s">
        <v>83</v>
      </c>
      <c r="G156" s="53" t="s">
        <v>1896</v>
      </c>
      <c r="H156" s="53" t="s">
        <v>2327</v>
      </c>
      <c r="I156" s="53" t="s">
        <v>2328</v>
      </c>
      <c r="J156" s="53" t="s">
        <v>60</v>
      </c>
      <c r="K156" s="53" t="s">
        <v>61</v>
      </c>
      <c r="L156" s="53" t="s">
        <v>1570</v>
      </c>
      <c r="M156" s="54">
        <v>1015043.829251</v>
      </c>
      <c r="N156" s="53">
        <v>0.31942700000000002</v>
      </c>
      <c r="O156" s="53">
        <v>1.09199</v>
      </c>
      <c r="P156" s="53" t="s">
        <v>1562</v>
      </c>
      <c r="Q156" s="53">
        <v>0</v>
      </c>
      <c r="R156" s="53"/>
      <c r="S156" s="55" t="s">
        <v>1385</v>
      </c>
      <c r="T156" s="56">
        <v>44564</v>
      </c>
      <c r="U156" s="57">
        <v>0</v>
      </c>
    </row>
    <row r="157" spans="3:21" ht="33.75" customHeight="1" thickBot="1" x14ac:dyDescent="0.3">
      <c r="C157" s="52">
        <v>999</v>
      </c>
      <c r="D157" s="53">
        <v>150</v>
      </c>
      <c r="E157" s="53" t="s">
        <v>1895</v>
      </c>
      <c r="F157" s="53" t="s">
        <v>83</v>
      </c>
      <c r="G157" s="53" t="s">
        <v>1896</v>
      </c>
      <c r="H157" s="53" t="s">
        <v>2329</v>
      </c>
      <c r="I157" s="53" t="s">
        <v>2330</v>
      </c>
      <c r="J157" s="53" t="s">
        <v>60</v>
      </c>
      <c r="K157" s="53" t="s">
        <v>61</v>
      </c>
      <c r="L157" s="53" t="s">
        <v>1571</v>
      </c>
      <c r="M157" s="54">
        <v>432161.077261</v>
      </c>
      <c r="N157" s="53">
        <v>0.20231399999999999</v>
      </c>
      <c r="O157" s="53">
        <v>0.05</v>
      </c>
      <c r="P157" s="53" t="s">
        <v>1562</v>
      </c>
      <c r="Q157" s="53">
        <v>0</v>
      </c>
      <c r="R157" s="53"/>
      <c r="S157" s="55" t="s">
        <v>1385</v>
      </c>
      <c r="T157" s="56">
        <v>44564</v>
      </c>
      <c r="U157" s="57">
        <v>0</v>
      </c>
    </row>
    <row r="158" spans="3:21" ht="33.75" customHeight="1" thickBot="1" x14ac:dyDescent="0.3">
      <c r="C158" s="52">
        <v>999</v>
      </c>
      <c r="D158" s="53">
        <v>151</v>
      </c>
      <c r="E158" s="53" t="s">
        <v>1895</v>
      </c>
      <c r="F158" s="53" t="s">
        <v>83</v>
      </c>
      <c r="G158" s="53" t="s">
        <v>1896</v>
      </c>
      <c r="H158" s="53" t="s">
        <v>2331</v>
      </c>
      <c r="I158" s="53" t="s">
        <v>2332</v>
      </c>
      <c r="J158" s="53" t="s">
        <v>60</v>
      </c>
      <c r="K158" s="53" t="s">
        <v>61</v>
      </c>
      <c r="L158" s="53" t="s">
        <v>1571</v>
      </c>
      <c r="M158" s="54">
        <v>4013767.6369779999</v>
      </c>
      <c r="N158" s="53">
        <v>5.2958540000000003</v>
      </c>
      <c r="O158" s="53">
        <v>1.09199</v>
      </c>
      <c r="P158" s="53" t="s">
        <v>1562</v>
      </c>
      <c r="Q158" s="53">
        <v>0</v>
      </c>
      <c r="R158" s="53"/>
      <c r="S158" s="55" t="s">
        <v>1385</v>
      </c>
      <c r="T158" s="56">
        <v>44564</v>
      </c>
      <c r="U158" s="57">
        <v>0</v>
      </c>
    </row>
    <row r="159" spans="3:21" ht="33.75" customHeight="1" thickBot="1" x14ac:dyDescent="0.3">
      <c r="C159" s="52">
        <v>999</v>
      </c>
      <c r="D159" s="53">
        <v>152</v>
      </c>
      <c r="E159" s="53" t="s">
        <v>1895</v>
      </c>
      <c r="F159" s="53" t="s">
        <v>83</v>
      </c>
      <c r="G159" s="53" t="s">
        <v>1896</v>
      </c>
      <c r="H159" s="53" t="s">
        <v>2333</v>
      </c>
      <c r="I159" s="53" t="s">
        <v>2334</v>
      </c>
      <c r="J159" s="53" t="s">
        <v>60</v>
      </c>
      <c r="K159" s="53" t="s">
        <v>61</v>
      </c>
      <c r="L159" s="53" t="s">
        <v>1572</v>
      </c>
      <c r="M159" s="54">
        <v>2891549.1523910002</v>
      </c>
      <c r="N159" s="53">
        <v>0.98887499999999995</v>
      </c>
      <c r="O159" s="53">
        <v>0</v>
      </c>
      <c r="P159" s="53" t="s">
        <v>1562</v>
      </c>
      <c r="Q159" s="53">
        <v>0</v>
      </c>
      <c r="R159" s="53"/>
      <c r="S159" s="55" t="s">
        <v>1385</v>
      </c>
      <c r="T159" s="56">
        <v>44564</v>
      </c>
      <c r="U159" s="57">
        <v>0</v>
      </c>
    </row>
    <row r="160" spans="3:21" ht="33.75" customHeight="1" thickBot="1" x14ac:dyDescent="0.3">
      <c r="C160" s="52">
        <v>999</v>
      </c>
      <c r="D160" s="53">
        <v>153</v>
      </c>
      <c r="E160" s="53" t="s">
        <v>1895</v>
      </c>
      <c r="F160" s="53" t="s">
        <v>83</v>
      </c>
      <c r="G160" s="53" t="s">
        <v>1896</v>
      </c>
      <c r="H160" s="53" t="s">
        <v>2335</v>
      </c>
      <c r="I160" s="53" t="s">
        <v>2336</v>
      </c>
      <c r="J160" s="53" t="s">
        <v>60</v>
      </c>
      <c r="K160" s="53" t="s">
        <v>61</v>
      </c>
      <c r="L160" s="53" t="s">
        <v>1573</v>
      </c>
      <c r="M160" s="54">
        <v>-17586109.809999999</v>
      </c>
      <c r="N160" s="53">
        <v>-0.01</v>
      </c>
      <c r="O160" s="53" t="s">
        <v>768</v>
      </c>
      <c r="P160" s="53" t="s">
        <v>1562</v>
      </c>
      <c r="Q160" s="53">
        <v>0</v>
      </c>
      <c r="R160" s="53"/>
      <c r="S160" s="55" t="s">
        <v>1385</v>
      </c>
      <c r="T160" s="56">
        <v>44564</v>
      </c>
      <c r="U160" s="57">
        <v>0</v>
      </c>
    </row>
    <row r="161" spans="3:21" ht="33.75" customHeight="1" thickBot="1" x14ac:dyDescent="0.3">
      <c r="C161" s="52">
        <v>999</v>
      </c>
      <c r="D161" s="53">
        <v>154</v>
      </c>
      <c r="E161" s="53" t="s">
        <v>1895</v>
      </c>
      <c r="F161" s="53" t="s">
        <v>83</v>
      </c>
      <c r="G161" s="53" t="s">
        <v>1896</v>
      </c>
      <c r="H161" s="53" t="s">
        <v>2337</v>
      </c>
      <c r="I161" s="53" t="s">
        <v>2338</v>
      </c>
      <c r="J161" s="53" t="s">
        <v>60</v>
      </c>
      <c r="K161" s="53" t="s">
        <v>61</v>
      </c>
      <c r="L161" s="53" t="s">
        <v>1574</v>
      </c>
      <c r="M161" s="54">
        <v>21753754.086449999</v>
      </c>
      <c r="N161" s="53" t="s">
        <v>768</v>
      </c>
      <c r="O161" s="53" t="s">
        <v>768</v>
      </c>
      <c r="P161" s="53" t="s">
        <v>1562</v>
      </c>
      <c r="Q161" s="53">
        <v>0</v>
      </c>
      <c r="R161" s="53"/>
      <c r="S161" s="55" t="s">
        <v>1385</v>
      </c>
      <c r="T161" s="56">
        <v>44564</v>
      </c>
      <c r="U161" s="57">
        <v>0</v>
      </c>
    </row>
    <row r="162" spans="3:21" ht="33.75" customHeight="1" thickBot="1" x14ac:dyDescent="0.3">
      <c r="C162" s="52">
        <v>999</v>
      </c>
      <c r="D162" s="53">
        <v>155</v>
      </c>
      <c r="E162" s="53" t="s">
        <v>1895</v>
      </c>
      <c r="F162" s="53" t="s">
        <v>260</v>
      </c>
      <c r="G162" s="53" t="s">
        <v>1896</v>
      </c>
      <c r="H162" s="53" t="s">
        <v>2339</v>
      </c>
      <c r="I162" s="53" t="s">
        <v>2340</v>
      </c>
      <c r="J162" s="53" t="s">
        <v>60</v>
      </c>
      <c r="K162" s="53" t="s">
        <v>61</v>
      </c>
      <c r="L162" s="53" t="s">
        <v>1572</v>
      </c>
      <c r="M162" s="54">
        <v>78720157.416565001</v>
      </c>
      <c r="N162" s="53" t="s">
        <v>768</v>
      </c>
      <c r="O162" s="53" t="s">
        <v>768</v>
      </c>
      <c r="P162" s="53" t="s">
        <v>1562</v>
      </c>
      <c r="Q162" s="53">
        <v>0</v>
      </c>
      <c r="R162" s="53"/>
      <c r="S162" s="55" t="s">
        <v>1385</v>
      </c>
      <c r="T162" s="56">
        <v>44564</v>
      </c>
      <c r="U162" s="57">
        <v>0</v>
      </c>
    </row>
    <row r="163" spans="3:21" ht="33.75" customHeight="1" thickBot="1" x14ac:dyDescent="0.3">
      <c r="C163" s="52">
        <v>999</v>
      </c>
      <c r="D163" s="53">
        <v>156</v>
      </c>
      <c r="E163" s="53" t="s">
        <v>1895</v>
      </c>
      <c r="F163" s="53" t="s">
        <v>260</v>
      </c>
      <c r="G163" s="53" t="s">
        <v>1896</v>
      </c>
      <c r="H163" s="53" t="s">
        <v>2341</v>
      </c>
      <c r="I163" s="53" t="s">
        <v>2342</v>
      </c>
      <c r="J163" s="53" t="s">
        <v>60</v>
      </c>
      <c r="K163" s="53" t="s">
        <v>61</v>
      </c>
      <c r="L163" s="53" t="s">
        <v>1573</v>
      </c>
      <c r="M163" s="54">
        <v>508541704.13999999</v>
      </c>
      <c r="N163" s="53">
        <v>292.43</v>
      </c>
      <c r="O163" s="53">
        <v>1.00493569393569E-2</v>
      </c>
      <c r="P163" s="53" t="s">
        <v>1562</v>
      </c>
      <c r="Q163" s="53">
        <v>0</v>
      </c>
      <c r="R163" s="53"/>
      <c r="S163" s="55" t="s">
        <v>1385</v>
      </c>
      <c r="T163" s="56">
        <v>44564</v>
      </c>
      <c r="U163" s="57">
        <v>0</v>
      </c>
    </row>
    <row r="164" spans="3:21" ht="33.75" customHeight="1" thickBot="1" x14ac:dyDescent="0.3">
      <c r="C164" s="52">
        <v>999</v>
      </c>
      <c r="D164" s="53">
        <v>157</v>
      </c>
      <c r="E164" s="53" t="s">
        <v>1895</v>
      </c>
      <c r="F164" s="53" t="s">
        <v>260</v>
      </c>
      <c r="G164" s="53" t="s">
        <v>1896</v>
      </c>
      <c r="H164" s="53" t="s">
        <v>2343</v>
      </c>
      <c r="I164" s="53" t="s">
        <v>2344</v>
      </c>
      <c r="J164" s="53" t="s">
        <v>60</v>
      </c>
      <c r="K164" s="53" t="s">
        <v>61</v>
      </c>
      <c r="L164" s="53" t="s">
        <v>1573</v>
      </c>
      <c r="M164" s="54">
        <v>523599763.56999987</v>
      </c>
      <c r="N164" s="53">
        <v>98683.39</v>
      </c>
      <c r="O164" s="53">
        <v>0.14503248484848499</v>
      </c>
      <c r="P164" s="53" t="s">
        <v>1562</v>
      </c>
      <c r="Q164" s="53">
        <v>0</v>
      </c>
      <c r="R164" s="53"/>
      <c r="S164" s="55" t="s">
        <v>1385</v>
      </c>
      <c r="T164" s="56">
        <v>44564</v>
      </c>
      <c r="U164" s="57">
        <v>0</v>
      </c>
    </row>
    <row r="165" spans="3:21" ht="33.75" customHeight="1" thickBot="1" x14ac:dyDescent="0.3">
      <c r="C165" s="52">
        <v>999</v>
      </c>
      <c r="D165" s="53">
        <v>158</v>
      </c>
      <c r="E165" s="53" t="s">
        <v>1895</v>
      </c>
      <c r="F165" s="53" t="s">
        <v>1576</v>
      </c>
      <c r="G165" s="53" t="s">
        <v>1896</v>
      </c>
      <c r="H165" s="53" t="s">
        <v>2345</v>
      </c>
      <c r="I165" s="53" t="s">
        <v>2346</v>
      </c>
      <c r="J165" s="53" t="s">
        <v>60</v>
      </c>
      <c r="K165" s="53" t="s">
        <v>61</v>
      </c>
      <c r="L165" s="53" t="s">
        <v>1565</v>
      </c>
      <c r="M165" s="54">
        <v>177516.03006600001</v>
      </c>
      <c r="N165" s="53" t="s">
        <v>768</v>
      </c>
      <c r="O165" s="53" t="s">
        <v>768</v>
      </c>
      <c r="P165" s="53" t="s">
        <v>1562</v>
      </c>
      <c r="Q165" s="53">
        <v>0</v>
      </c>
      <c r="R165" s="53"/>
      <c r="S165" s="55" t="s">
        <v>1385</v>
      </c>
      <c r="T165" s="56">
        <v>44564</v>
      </c>
      <c r="U165" s="57">
        <v>0</v>
      </c>
    </row>
    <row r="166" spans="3:21" ht="33.75" customHeight="1" thickBot="1" x14ac:dyDescent="0.3">
      <c r="C166" s="52">
        <v>999</v>
      </c>
      <c r="D166" s="53">
        <v>159</v>
      </c>
      <c r="E166" s="53" t="s">
        <v>1895</v>
      </c>
      <c r="F166" s="53" t="s">
        <v>1576</v>
      </c>
      <c r="G166" s="53" t="s">
        <v>1896</v>
      </c>
      <c r="H166" s="53" t="s">
        <v>2347</v>
      </c>
      <c r="I166" s="53" t="s">
        <v>2348</v>
      </c>
      <c r="J166" s="53" t="s">
        <v>60</v>
      </c>
      <c r="K166" s="53" t="s">
        <v>61</v>
      </c>
      <c r="L166" s="53" t="s">
        <v>1570</v>
      </c>
      <c r="M166" s="54">
        <v>114645.329591</v>
      </c>
      <c r="N166" s="53" t="s">
        <v>768</v>
      </c>
      <c r="O166" s="53" t="s">
        <v>768</v>
      </c>
      <c r="P166" s="53" t="s">
        <v>1562</v>
      </c>
      <c r="Q166" s="53">
        <v>0</v>
      </c>
      <c r="R166" s="53"/>
      <c r="S166" s="55" t="s">
        <v>1385</v>
      </c>
      <c r="T166" s="56">
        <v>44564</v>
      </c>
      <c r="U166" s="57">
        <v>0</v>
      </c>
    </row>
    <row r="167" spans="3:21" ht="33.75" customHeight="1" thickBot="1" x14ac:dyDescent="0.3">
      <c r="C167" s="52">
        <v>999</v>
      </c>
      <c r="D167" s="53">
        <v>160</v>
      </c>
      <c r="E167" s="53" t="s">
        <v>1895</v>
      </c>
      <c r="F167" s="53" t="s">
        <v>1576</v>
      </c>
      <c r="G167" s="53" t="s">
        <v>1896</v>
      </c>
      <c r="H167" s="53" t="s">
        <v>2349</v>
      </c>
      <c r="I167" s="53" t="s">
        <v>2350</v>
      </c>
      <c r="J167" s="53" t="s">
        <v>60</v>
      </c>
      <c r="K167" s="53" t="s">
        <v>61</v>
      </c>
      <c r="L167" s="53" t="s">
        <v>1571</v>
      </c>
      <c r="M167" s="54">
        <v>2957593.706859</v>
      </c>
      <c r="N167" s="53" t="s">
        <v>768</v>
      </c>
      <c r="O167" s="53" t="s">
        <v>768</v>
      </c>
      <c r="P167" s="53" t="s">
        <v>1562</v>
      </c>
      <c r="Q167" s="53">
        <v>0</v>
      </c>
      <c r="R167" s="53"/>
      <c r="S167" s="55" t="s">
        <v>1385</v>
      </c>
      <c r="T167" s="56">
        <v>44564</v>
      </c>
      <c r="U167" s="57">
        <v>0</v>
      </c>
    </row>
    <row r="168" spans="3:21" ht="33.75" customHeight="1" thickBot="1" x14ac:dyDescent="0.3">
      <c r="C168" s="52">
        <v>999</v>
      </c>
      <c r="D168" s="53">
        <v>161</v>
      </c>
      <c r="E168" s="53" t="s">
        <v>1895</v>
      </c>
      <c r="F168" s="53" t="s">
        <v>1576</v>
      </c>
      <c r="G168" s="53" t="s">
        <v>1896</v>
      </c>
      <c r="H168" s="53" t="s">
        <v>2351</v>
      </c>
      <c r="I168" s="53" t="s">
        <v>2352</v>
      </c>
      <c r="J168" s="53" t="s">
        <v>60</v>
      </c>
      <c r="K168" s="53" t="s">
        <v>61</v>
      </c>
      <c r="L168" s="53" t="s">
        <v>1572</v>
      </c>
      <c r="M168" s="54">
        <v>12353378.280063</v>
      </c>
      <c r="N168" s="53" t="s">
        <v>768</v>
      </c>
      <c r="O168" s="53" t="s">
        <v>768</v>
      </c>
      <c r="P168" s="53" t="s">
        <v>1562</v>
      </c>
      <c r="Q168" s="53">
        <v>0</v>
      </c>
      <c r="R168" s="53"/>
      <c r="S168" s="55" t="s">
        <v>1385</v>
      </c>
      <c r="T168" s="56">
        <v>44564</v>
      </c>
      <c r="U168" s="57">
        <v>0</v>
      </c>
    </row>
    <row r="169" spans="3:21" ht="33.75" customHeight="1" thickBot="1" x14ac:dyDescent="0.3">
      <c r="C169" s="52">
        <v>999</v>
      </c>
      <c r="D169" s="53">
        <v>162</v>
      </c>
      <c r="E169" s="53" t="s">
        <v>1895</v>
      </c>
      <c r="F169" s="53" t="s">
        <v>1576</v>
      </c>
      <c r="G169" s="53" t="s">
        <v>1896</v>
      </c>
      <c r="H169" s="53" t="s">
        <v>2353</v>
      </c>
      <c r="I169" s="53" t="s">
        <v>2354</v>
      </c>
      <c r="J169" s="53" t="s">
        <v>60</v>
      </c>
      <c r="K169" s="53" t="s">
        <v>61</v>
      </c>
      <c r="L169" s="53" t="s">
        <v>1573</v>
      </c>
      <c r="M169" s="54">
        <v>466351225.25</v>
      </c>
      <c r="N169" s="53">
        <v>17299.759999999998</v>
      </c>
      <c r="O169" s="53">
        <v>0.13434830804822701</v>
      </c>
      <c r="P169" s="53" t="s">
        <v>1562</v>
      </c>
      <c r="Q169" s="53">
        <v>0</v>
      </c>
      <c r="R169" s="53"/>
      <c r="S169" s="55" t="s">
        <v>1385</v>
      </c>
      <c r="T169" s="56">
        <v>44564</v>
      </c>
      <c r="U169" s="57">
        <v>0</v>
      </c>
    </row>
    <row r="170" spans="3:21" ht="33.75" customHeight="1" thickBot="1" x14ac:dyDescent="0.3">
      <c r="C170" s="52">
        <v>999</v>
      </c>
      <c r="D170" s="53">
        <v>163</v>
      </c>
      <c r="E170" s="53" t="s">
        <v>1895</v>
      </c>
      <c r="F170" s="53" t="s">
        <v>1576</v>
      </c>
      <c r="G170" s="53" t="s">
        <v>1896</v>
      </c>
      <c r="H170" s="53" t="s">
        <v>2355</v>
      </c>
      <c r="I170" s="53" t="s">
        <v>2356</v>
      </c>
      <c r="J170" s="53" t="s">
        <v>60</v>
      </c>
      <c r="K170" s="53" t="s">
        <v>61</v>
      </c>
      <c r="L170" s="53" t="s">
        <v>1573</v>
      </c>
      <c r="M170" s="54">
        <v>39079.33</v>
      </c>
      <c r="N170" s="53" t="s">
        <v>768</v>
      </c>
      <c r="O170" s="53" t="s">
        <v>768</v>
      </c>
      <c r="P170" s="53" t="s">
        <v>1562</v>
      </c>
      <c r="Q170" s="53">
        <v>0</v>
      </c>
      <c r="R170" s="53"/>
      <c r="S170" s="55" t="s">
        <v>1385</v>
      </c>
      <c r="T170" s="56">
        <v>44564</v>
      </c>
      <c r="U170" s="57">
        <v>0</v>
      </c>
    </row>
    <row r="171" spans="3:21" ht="33.75" customHeight="1" thickBot="1" x14ac:dyDescent="0.3">
      <c r="C171" s="52">
        <v>999</v>
      </c>
      <c r="D171" s="53">
        <v>164</v>
      </c>
      <c r="E171" s="53" t="s">
        <v>1895</v>
      </c>
      <c r="F171" s="53" t="s">
        <v>1576</v>
      </c>
      <c r="G171" s="53" t="s">
        <v>1896</v>
      </c>
      <c r="H171" s="53" t="s">
        <v>2357</v>
      </c>
      <c r="I171" s="53" t="s">
        <v>2358</v>
      </c>
      <c r="J171" s="53" t="s">
        <v>60</v>
      </c>
      <c r="K171" s="53" t="s">
        <v>61</v>
      </c>
      <c r="L171" s="53" t="s">
        <v>1573</v>
      </c>
      <c r="M171" s="54">
        <v>401089548.20999998</v>
      </c>
      <c r="N171" s="53">
        <v>695.06</v>
      </c>
      <c r="O171" s="53">
        <v>2.4369681267806299E-2</v>
      </c>
      <c r="P171" s="53" t="s">
        <v>1562</v>
      </c>
      <c r="Q171" s="53">
        <v>0</v>
      </c>
      <c r="R171" s="53"/>
      <c r="S171" s="55" t="s">
        <v>1385</v>
      </c>
      <c r="T171" s="56">
        <v>44564</v>
      </c>
      <c r="U171" s="57">
        <v>0</v>
      </c>
    </row>
  </sheetData>
  <autoFilter ref="A7:V171" xr:uid="{02E92D9A-7ED9-4CA7-918B-463ED99F4CD4}"/>
  <mergeCells count="5">
    <mergeCell ref="A1:U1"/>
    <mergeCell ref="D4:U4"/>
    <mergeCell ref="E5:F5"/>
    <mergeCell ref="G5:U5"/>
    <mergeCell ref="V5:V6"/>
  </mergeCells>
  <conditionalFormatting sqref="D10:S171">
    <cfRule type="expression" dxfId="31" priority="3">
      <formula>LEN(TRIM(D10))=0</formula>
    </cfRule>
  </conditionalFormatting>
  <conditionalFormatting sqref="D10:U171">
    <cfRule type="expression" dxfId="30" priority="2">
      <formula>LEN(TRIM(D10))=0</formula>
    </cfRule>
  </conditionalFormatting>
  <conditionalFormatting sqref="D8:S9">
    <cfRule type="expression" dxfId="29" priority="5">
      <formula>LEN(TRIM(D8))=0</formula>
    </cfRule>
  </conditionalFormatting>
  <conditionalFormatting sqref="D8:U9">
    <cfRule type="expression" dxfId="28" priority="4">
      <formula>LEN(TRIM(D8))=0</formula>
    </cfRule>
  </conditionalFormatting>
  <conditionalFormatting sqref="D8:U171">
    <cfRule type="expression" dxfId="27" priority="1">
      <formula>LEN(TRIM(D8))=0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E734-8A6B-4919-B9C2-15BCE9675E59}">
  <sheetPr codeName="Sheet7"/>
  <dimension ref="A1:AD125"/>
  <sheetViews>
    <sheetView showGridLines="0" zoomScale="85" zoomScaleNormal="85" workbookViewId="0">
      <pane xSplit="3" ySplit="7" topLeftCell="J11" activePane="bottomRight" state="frozen"/>
      <selection pane="topRight" activeCell="D1" sqref="D1"/>
      <selection pane="bottomLeft" activeCell="A8" sqref="A8"/>
      <selection pane="bottomRight" activeCell="O9" sqref="O9"/>
    </sheetView>
  </sheetViews>
  <sheetFormatPr defaultRowHeight="14.25" customHeight="1" x14ac:dyDescent="0.25"/>
  <cols>
    <col min="1" max="1" width="5.5703125" style="2" customWidth="1"/>
    <col min="2" max="2" width="25.5703125" style="2" customWidth="1"/>
    <col min="3" max="3" width="4.140625" style="2" bestFit="1" customWidth="1"/>
    <col min="4" max="29" width="20.5703125" style="2" customWidth="1"/>
    <col min="30" max="30" width="25.5703125" style="2" customWidth="1"/>
    <col min="31" max="16384" width="9.140625" style="2"/>
  </cols>
  <sheetData>
    <row r="1" spans="1:30" ht="18.75" customHeight="1" x14ac:dyDescent="0.25">
      <c r="A1" s="198" t="s">
        <v>1577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"/>
    </row>
    <row r="2" spans="1:30" ht="18.75" customHeight="1" x14ac:dyDescent="0.25">
      <c r="AD2" s="1"/>
    </row>
    <row r="3" spans="1:30" ht="18.75" customHeight="1" x14ac:dyDescent="0.25">
      <c r="AD3" s="1"/>
    </row>
    <row r="4" spans="1:30" ht="18.75" customHeight="1" x14ac:dyDescent="0.25">
      <c r="D4" s="200" t="s">
        <v>1</v>
      </c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2"/>
      <c r="AD4" s="1"/>
    </row>
    <row r="5" spans="1:30" ht="18.75" customHeight="1" x14ac:dyDescent="0.25">
      <c r="D5" s="4" t="s">
        <v>2</v>
      </c>
      <c r="E5" s="203" t="s">
        <v>3</v>
      </c>
      <c r="F5" s="204"/>
      <c r="G5" s="203" t="s">
        <v>1578</v>
      </c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4"/>
      <c r="AD5" s="227"/>
    </row>
    <row r="6" spans="1:30" ht="35.25" customHeight="1" x14ac:dyDescent="0.25">
      <c r="D6" s="5"/>
      <c r="E6" s="6" t="s">
        <v>5</v>
      </c>
      <c r="F6" s="6" t="s">
        <v>6</v>
      </c>
      <c r="G6" s="6" t="s">
        <v>7</v>
      </c>
      <c r="H6" s="6" t="s">
        <v>8</v>
      </c>
      <c r="I6" s="6" t="s">
        <v>1579</v>
      </c>
      <c r="J6" s="6" t="s">
        <v>1555</v>
      </c>
      <c r="K6" s="6" t="s">
        <v>11</v>
      </c>
      <c r="L6" s="6" t="s">
        <v>14</v>
      </c>
      <c r="M6" s="6" t="s">
        <v>1580</v>
      </c>
      <c r="N6" s="6" t="s">
        <v>1514</v>
      </c>
      <c r="O6" s="6" t="s">
        <v>16</v>
      </c>
      <c r="P6" s="6" t="s">
        <v>17</v>
      </c>
      <c r="Q6" s="6" t="s">
        <v>1556</v>
      </c>
      <c r="R6" s="6" t="s">
        <v>18</v>
      </c>
      <c r="S6" s="6" t="s">
        <v>19</v>
      </c>
      <c r="T6" s="6" t="s">
        <v>20</v>
      </c>
      <c r="U6" s="6" t="s">
        <v>21</v>
      </c>
      <c r="V6" s="6" t="s">
        <v>1526</v>
      </c>
      <c r="W6" s="6" t="s">
        <v>23</v>
      </c>
      <c r="X6" s="6" t="s">
        <v>24</v>
      </c>
      <c r="Y6" s="6" t="s">
        <v>1527</v>
      </c>
      <c r="Z6" s="6" t="s">
        <v>1528</v>
      </c>
      <c r="AA6" s="6" t="s">
        <v>1529</v>
      </c>
      <c r="AB6" s="6" t="s">
        <v>1581</v>
      </c>
      <c r="AC6" s="6" t="s">
        <v>1582</v>
      </c>
      <c r="AD6" s="227"/>
    </row>
    <row r="7" spans="1:30" ht="18.75" customHeight="1" thickBot="1" x14ac:dyDescent="0.3">
      <c r="D7" s="7" t="s">
        <v>29</v>
      </c>
      <c r="E7" s="7" t="s">
        <v>30</v>
      </c>
      <c r="F7" s="7" t="s">
        <v>32</v>
      </c>
      <c r="G7" s="7" t="s">
        <v>33</v>
      </c>
      <c r="H7" s="7" t="s">
        <v>35</v>
      </c>
      <c r="I7" s="7" t="s">
        <v>37</v>
      </c>
      <c r="J7" s="7" t="s">
        <v>39</v>
      </c>
      <c r="K7" s="7" t="s">
        <v>1583</v>
      </c>
      <c r="L7" s="7" t="s">
        <v>40</v>
      </c>
      <c r="M7" s="7" t="s">
        <v>1584</v>
      </c>
      <c r="N7" s="7" t="s">
        <v>41</v>
      </c>
      <c r="O7" s="7" t="s">
        <v>42</v>
      </c>
      <c r="P7" s="7" t="s">
        <v>43</v>
      </c>
      <c r="Q7" s="8" t="s">
        <v>44</v>
      </c>
      <c r="R7" s="7" t="s">
        <v>45</v>
      </c>
      <c r="S7" s="7" t="s">
        <v>46</v>
      </c>
      <c r="T7" s="7" t="s">
        <v>47</v>
      </c>
      <c r="U7" s="7" t="s">
        <v>48</v>
      </c>
      <c r="V7" s="7" t="s">
        <v>49</v>
      </c>
      <c r="W7" s="7" t="s">
        <v>50</v>
      </c>
      <c r="X7" s="7" t="s">
        <v>52</v>
      </c>
      <c r="Y7" s="7" t="s">
        <v>53</v>
      </c>
      <c r="Z7" s="7" t="s">
        <v>1531</v>
      </c>
      <c r="AA7" s="7" t="s">
        <v>1585</v>
      </c>
      <c r="AB7" s="7" t="s">
        <v>1532</v>
      </c>
      <c r="AC7" s="7" t="s">
        <v>1534</v>
      </c>
      <c r="AD7" s="1"/>
    </row>
    <row r="8" spans="1:30" ht="45.75" customHeight="1" thickBot="1" x14ac:dyDescent="0.3">
      <c r="A8" s="59" t="s">
        <v>54</v>
      </c>
      <c r="B8" s="60" t="s">
        <v>1586</v>
      </c>
      <c r="C8" s="61">
        <v>999</v>
      </c>
      <c r="D8" s="12">
        <v>1</v>
      </c>
      <c r="E8" s="12" t="s">
        <v>2359</v>
      </c>
      <c r="F8" s="12" t="s">
        <v>1560</v>
      </c>
      <c r="G8" s="12" t="s">
        <v>1402</v>
      </c>
      <c r="H8" s="12" t="s">
        <v>2360</v>
      </c>
      <c r="I8" s="12" t="s">
        <v>2361</v>
      </c>
      <c r="J8" s="12" t="s">
        <v>2362</v>
      </c>
      <c r="K8" s="12" t="s">
        <v>60</v>
      </c>
      <c r="L8" s="12" t="s">
        <v>61</v>
      </c>
      <c r="M8" s="12" t="s">
        <v>1587</v>
      </c>
      <c r="N8" s="12" t="s">
        <v>62</v>
      </c>
      <c r="O8" s="13">
        <v>4137337.41</v>
      </c>
      <c r="P8" s="13">
        <v>0</v>
      </c>
      <c r="Q8" s="12">
        <v>0</v>
      </c>
      <c r="R8" s="12" t="s">
        <v>1573</v>
      </c>
      <c r="S8" s="62" t="s">
        <v>1385</v>
      </c>
      <c r="T8" s="62">
        <v>44564</v>
      </c>
      <c r="U8" s="62">
        <v>44564</v>
      </c>
      <c r="V8" s="12" t="s">
        <v>1562</v>
      </c>
      <c r="W8" s="13">
        <v>0</v>
      </c>
      <c r="X8" s="13">
        <v>0</v>
      </c>
      <c r="Y8" s="13">
        <v>0</v>
      </c>
      <c r="Z8" s="12" t="s">
        <v>1386</v>
      </c>
      <c r="AA8" s="13">
        <v>0</v>
      </c>
      <c r="AB8" s="12" t="s">
        <v>1387</v>
      </c>
      <c r="AC8" s="63">
        <v>0</v>
      </c>
      <c r="AD8" s="64"/>
    </row>
    <row r="9" spans="1:30" ht="45.75" customHeight="1" thickBot="1" x14ac:dyDescent="0.3">
      <c r="C9" s="61">
        <v>999</v>
      </c>
      <c r="D9" s="12">
        <v>2</v>
      </c>
      <c r="E9" s="12" t="s">
        <v>2363</v>
      </c>
      <c r="F9" s="12" t="s">
        <v>1576</v>
      </c>
      <c r="G9" s="12" t="s">
        <v>2364</v>
      </c>
      <c r="H9" s="12" t="s">
        <v>2365</v>
      </c>
      <c r="I9" s="12" t="s">
        <v>2366</v>
      </c>
      <c r="J9" s="12" t="s">
        <v>2367</v>
      </c>
      <c r="K9" s="12" t="s">
        <v>60</v>
      </c>
      <c r="L9" s="12" t="s">
        <v>61</v>
      </c>
      <c r="M9" s="12" t="s">
        <v>1587</v>
      </c>
      <c r="N9" s="12" t="s">
        <v>62</v>
      </c>
      <c r="O9" s="13">
        <v>77688844.430000007</v>
      </c>
      <c r="P9" s="13">
        <v>0</v>
      </c>
      <c r="Q9" s="12">
        <v>0</v>
      </c>
      <c r="R9" s="12" t="s">
        <v>1573</v>
      </c>
      <c r="S9" s="62" t="s">
        <v>1385</v>
      </c>
      <c r="T9" s="62">
        <v>44564</v>
      </c>
      <c r="U9" s="62">
        <v>44564</v>
      </c>
      <c r="V9" s="12" t="s">
        <v>1562</v>
      </c>
      <c r="W9" s="13">
        <v>0</v>
      </c>
      <c r="X9" s="13">
        <v>0</v>
      </c>
      <c r="Y9" s="13">
        <v>0</v>
      </c>
      <c r="Z9" s="12" t="s">
        <v>1386</v>
      </c>
      <c r="AA9" s="13">
        <v>0</v>
      </c>
      <c r="AB9" s="12" t="s">
        <v>1387</v>
      </c>
      <c r="AC9" s="63">
        <v>0</v>
      </c>
      <c r="AD9" s="1"/>
    </row>
    <row r="10" spans="1:30" ht="45.75" customHeight="1" thickBot="1" x14ac:dyDescent="0.3">
      <c r="C10" s="61">
        <v>999</v>
      </c>
      <c r="D10" s="12">
        <v>3</v>
      </c>
      <c r="E10" s="12" t="s">
        <v>2363</v>
      </c>
      <c r="F10" s="12" t="s">
        <v>1576</v>
      </c>
      <c r="G10" s="12" t="s">
        <v>2364</v>
      </c>
      <c r="H10" s="12" t="s">
        <v>2365</v>
      </c>
      <c r="I10" s="12" t="s">
        <v>2366</v>
      </c>
      <c r="J10" s="12" t="s">
        <v>2367</v>
      </c>
      <c r="K10" s="12" t="s">
        <v>60</v>
      </c>
      <c r="L10" s="12" t="s">
        <v>61</v>
      </c>
      <c r="M10" s="12" t="s">
        <v>1587</v>
      </c>
      <c r="N10" s="12" t="s">
        <v>62</v>
      </c>
      <c r="O10" s="13">
        <v>275620223.79000002</v>
      </c>
      <c r="P10" s="13">
        <v>0</v>
      </c>
      <c r="Q10" s="12">
        <v>0</v>
      </c>
      <c r="R10" s="12" t="s">
        <v>1573</v>
      </c>
      <c r="S10" s="62" t="s">
        <v>1385</v>
      </c>
      <c r="T10" s="62">
        <v>44564</v>
      </c>
      <c r="U10" s="62">
        <v>44564</v>
      </c>
      <c r="V10" s="12" t="s">
        <v>1562</v>
      </c>
      <c r="W10" s="13">
        <v>0</v>
      </c>
      <c r="X10" s="13">
        <v>0</v>
      </c>
      <c r="Y10" s="13">
        <v>0</v>
      </c>
      <c r="Z10" s="12" t="s">
        <v>1386</v>
      </c>
      <c r="AA10" s="13">
        <v>0</v>
      </c>
      <c r="AB10" s="12" t="s">
        <v>1387</v>
      </c>
      <c r="AC10" s="63">
        <v>0</v>
      </c>
      <c r="AD10" s="1"/>
    </row>
    <row r="11" spans="1:30" ht="45.75" customHeight="1" thickBot="1" x14ac:dyDescent="0.3">
      <c r="C11" s="61">
        <v>999</v>
      </c>
      <c r="D11" s="12">
        <v>4</v>
      </c>
      <c r="E11" s="12" t="s">
        <v>2368</v>
      </c>
      <c r="F11" s="12" t="s">
        <v>87</v>
      </c>
      <c r="G11" s="12" t="s">
        <v>1402</v>
      </c>
      <c r="H11" s="12" t="s">
        <v>768</v>
      </c>
      <c r="I11" s="12" t="s">
        <v>768</v>
      </c>
      <c r="J11" s="12" t="s">
        <v>1381</v>
      </c>
      <c r="K11" s="12" t="s">
        <v>60</v>
      </c>
      <c r="L11" s="12" t="s">
        <v>61</v>
      </c>
      <c r="M11" s="12" t="s">
        <v>1587</v>
      </c>
      <c r="N11" s="12" t="s">
        <v>62</v>
      </c>
      <c r="O11" s="13">
        <v>2470923.0299999998</v>
      </c>
      <c r="P11" s="13">
        <v>119137.96</v>
      </c>
      <c r="Q11" s="12">
        <v>0</v>
      </c>
      <c r="R11" s="12" t="s">
        <v>1573</v>
      </c>
      <c r="S11" s="62" t="s">
        <v>1385</v>
      </c>
      <c r="T11" s="62">
        <v>44564</v>
      </c>
      <c r="U11" s="62">
        <v>44564</v>
      </c>
      <c r="V11" s="12" t="s">
        <v>1562</v>
      </c>
      <c r="W11" s="13">
        <v>0</v>
      </c>
      <c r="X11" s="13">
        <v>0</v>
      </c>
      <c r="Y11" s="13">
        <v>0</v>
      </c>
      <c r="Z11" s="12" t="s">
        <v>1386</v>
      </c>
      <c r="AA11" s="13">
        <v>0</v>
      </c>
      <c r="AB11" s="12" t="s">
        <v>1387</v>
      </c>
      <c r="AC11" s="63">
        <v>0</v>
      </c>
      <c r="AD11" s="1"/>
    </row>
    <row r="12" spans="1:30" ht="45.75" customHeight="1" thickBot="1" x14ac:dyDescent="0.3">
      <c r="C12" s="61">
        <v>999</v>
      </c>
      <c r="D12" s="12">
        <v>5</v>
      </c>
      <c r="E12" s="12" t="s">
        <v>2368</v>
      </c>
      <c r="F12" s="12" t="s">
        <v>87</v>
      </c>
      <c r="G12" s="12" t="s">
        <v>1402</v>
      </c>
      <c r="H12" s="12" t="s">
        <v>2369</v>
      </c>
      <c r="I12" s="12" t="s">
        <v>2369</v>
      </c>
      <c r="J12" s="12" t="s">
        <v>2370</v>
      </c>
      <c r="K12" s="12" t="s">
        <v>60</v>
      </c>
      <c r="L12" s="12" t="s">
        <v>61</v>
      </c>
      <c r="M12" s="12" t="s">
        <v>1587</v>
      </c>
      <c r="N12" s="12" t="s">
        <v>62</v>
      </c>
      <c r="O12" s="13">
        <v>65</v>
      </c>
      <c r="P12" s="13">
        <v>0</v>
      </c>
      <c r="Q12" s="12">
        <v>0</v>
      </c>
      <c r="R12" s="12" t="s">
        <v>1573</v>
      </c>
      <c r="S12" s="62" t="s">
        <v>1385</v>
      </c>
      <c r="T12" s="62">
        <v>44564</v>
      </c>
      <c r="U12" s="62">
        <v>44564</v>
      </c>
      <c r="V12" s="12" t="s">
        <v>1562</v>
      </c>
      <c r="W12" s="13">
        <v>0</v>
      </c>
      <c r="X12" s="13">
        <v>0</v>
      </c>
      <c r="Y12" s="13">
        <v>0</v>
      </c>
      <c r="Z12" s="12" t="s">
        <v>1386</v>
      </c>
      <c r="AA12" s="13">
        <v>0</v>
      </c>
      <c r="AB12" s="12" t="s">
        <v>1387</v>
      </c>
      <c r="AC12" s="63">
        <v>0</v>
      </c>
      <c r="AD12" s="1"/>
    </row>
    <row r="13" spans="1:30" ht="45.75" customHeight="1" thickBot="1" x14ac:dyDescent="0.3">
      <c r="C13" s="61">
        <v>999</v>
      </c>
      <c r="D13" s="12">
        <v>6</v>
      </c>
      <c r="E13" s="12" t="s">
        <v>2368</v>
      </c>
      <c r="F13" s="12" t="s">
        <v>87</v>
      </c>
      <c r="G13" s="12" t="s">
        <v>1402</v>
      </c>
      <c r="H13" s="12" t="s">
        <v>2371</v>
      </c>
      <c r="I13" s="12" t="s">
        <v>2371</v>
      </c>
      <c r="J13" s="12" t="s">
        <v>2372</v>
      </c>
      <c r="K13" s="12" t="s">
        <v>60</v>
      </c>
      <c r="L13" s="12" t="s">
        <v>61</v>
      </c>
      <c r="M13" s="12" t="s">
        <v>1587</v>
      </c>
      <c r="N13" s="12" t="s">
        <v>62</v>
      </c>
      <c r="O13" s="13">
        <v>76511.63</v>
      </c>
      <c r="P13" s="13">
        <v>0</v>
      </c>
      <c r="Q13" s="12">
        <v>0</v>
      </c>
      <c r="R13" s="12" t="s">
        <v>1573</v>
      </c>
      <c r="S13" s="62" t="s">
        <v>1385</v>
      </c>
      <c r="T13" s="62">
        <v>44564</v>
      </c>
      <c r="U13" s="62">
        <v>44564</v>
      </c>
      <c r="V13" s="12" t="s">
        <v>1562</v>
      </c>
      <c r="W13" s="13">
        <v>0</v>
      </c>
      <c r="X13" s="13">
        <v>0</v>
      </c>
      <c r="Y13" s="13">
        <v>0</v>
      </c>
      <c r="Z13" s="12" t="s">
        <v>1386</v>
      </c>
      <c r="AA13" s="13">
        <v>0</v>
      </c>
      <c r="AB13" s="12" t="s">
        <v>1387</v>
      </c>
      <c r="AC13" s="63">
        <v>0</v>
      </c>
      <c r="AD13" s="1"/>
    </row>
    <row r="14" spans="1:30" ht="45.75" customHeight="1" thickBot="1" x14ac:dyDescent="0.3">
      <c r="C14" s="61">
        <v>999</v>
      </c>
      <c r="D14" s="12">
        <v>7</v>
      </c>
      <c r="E14" s="12" t="s">
        <v>2368</v>
      </c>
      <c r="F14" s="12" t="s">
        <v>87</v>
      </c>
      <c r="G14" s="12" t="s">
        <v>1402</v>
      </c>
      <c r="H14" s="12" t="s">
        <v>1997</v>
      </c>
      <c r="I14" s="12" t="s">
        <v>1997</v>
      </c>
      <c r="J14" s="12" t="s">
        <v>2373</v>
      </c>
      <c r="K14" s="12" t="s">
        <v>60</v>
      </c>
      <c r="L14" s="12" t="s">
        <v>61</v>
      </c>
      <c r="M14" s="12" t="s">
        <v>1587</v>
      </c>
      <c r="N14" s="12" t="s">
        <v>62</v>
      </c>
      <c r="O14" s="13">
        <v>1.94</v>
      </c>
      <c r="P14" s="13">
        <v>0</v>
      </c>
      <c r="Q14" s="12">
        <v>0</v>
      </c>
      <c r="R14" s="12" t="s">
        <v>1573</v>
      </c>
      <c r="S14" s="62" t="s">
        <v>1385</v>
      </c>
      <c r="T14" s="62">
        <v>44564</v>
      </c>
      <c r="U14" s="62">
        <v>44564</v>
      </c>
      <c r="V14" s="12" t="s">
        <v>1562</v>
      </c>
      <c r="W14" s="13">
        <v>0</v>
      </c>
      <c r="X14" s="13">
        <v>0</v>
      </c>
      <c r="Y14" s="13">
        <v>0</v>
      </c>
      <c r="Z14" s="12" t="s">
        <v>1386</v>
      </c>
      <c r="AA14" s="13">
        <v>0</v>
      </c>
      <c r="AB14" s="12" t="s">
        <v>1387</v>
      </c>
      <c r="AC14" s="63">
        <v>0</v>
      </c>
      <c r="AD14" s="1"/>
    </row>
    <row r="15" spans="1:30" ht="45.75" customHeight="1" thickBot="1" x14ac:dyDescent="0.3">
      <c r="C15" s="61">
        <v>999</v>
      </c>
      <c r="D15" s="12">
        <v>8</v>
      </c>
      <c r="E15" s="12" t="s">
        <v>2368</v>
      </c>
      <c r="F15" s="12" t="s">
        <v>87</v>
      </c>
      <c r="G15" s="12" t="s">
        <v>1402</v>
      </c>
      <c r="H15" s="12" t="s">
        <v>2374</v>
      </c>
      <c r="I15" s="12" t="s">
        <v>2374</v>
      </c>
      <c r="J15" s="12" t="s">
        <v>2375</v>
      </c>
      <c r="K15" s="12" t="s">
        <v>60</v>
      </c>
      <c r="L15" s="12" t="s">
        <v>61</v>
      </c>
      <c r="M15" s="12" t="s">
        <v>1587</v>
      </c>
      <c r="N15" s="12" t="s">
        <v>62</v>
      </c>
      <c r="O15" s="13">
        <v>1527902.74</v>
      </c>
      <c r="P15" s="13">
        <v>0</v>
      </c>
      <c r="Q15" s="12">
        <v>0</v>
      </c>
      <c r="R15" s="12" t="s">
        <v>1573</v>
      </c>
      <c r="S15" s="62" t="s">
        <v>1385</v>
      </c>
      <c r="T15" s="62">
        <v>44564</v>
      </c>
      <c r="U15" s="62">
        <v>44564</v>
      </c>
      <c r="V15" s="12" t="s">
        <v>1562</v>
      </c>
      <c r="W15" s="13">
        <v>0</v>
      </c>
      <c r="X15" s="13">
        <v>0</v>
      </c>
      <c r="Y15" s="13">
        <v>0</v>
      </c>
      <c r="Z15" s="12" t="s">
        <v>1386</v>
      </c>
      <c r="AA15" s="13">
        <v>0</v>
      </c>
      <c r="AB15" s="12" t="s">
        <v>1387</v>
      </c>
      <c r="AC15" s="63">
        <v>0</v>
      </c>
      <c r="AD15" s="1"/>
    </row>
    <row r="16" spans="1:30" ht="45.75" customHeight="1" thickBot="1" x14ac:dyDescent="0.3">
      <c r="C16" s="61">
        <v>999</v>
      </c>
      <c r="D16" s="12">
        <v>9</v>
      </c>
      <c r="E16" s="12" t="s">
        <v>2368</v>
      </c>
      <c r="F16" s="12" t="s">
        <v>87</v>
      </c>
      <c r="G16" s="12" t="s">
        <v>1402</v>
      </c>
      <c r="H16" s="12" t="s">
        <v>1997</v>
      </c>
      <c r="I16" s="12" t="s">
        <v>1997</v>
      </c>
      <c r="J16" s="12" t="s">
        <v>2376</v>
      </c>
      <c r="K16" s="12" t="s">
        <v>60</v>
      </c>
      <c r="L16" s="12" t="s">
        <v>61</v>
      </c>
      <c r="M16" s="12" t="s">
        <v>1587</v>
      </c>
      <c r="N16" s="12" t="s">
        <v>62</v>
      </c>
      <c r="O16" s="13">
        <v>76951.009999999995</v>
      </c>
      <c r="P16" s="13">
        <v>0</v>
      </c>
      <c r="Q16" s="12">
        <v>0</v>
      </c>
      <c r="R16" s="12" t="s">
        <v>1573</v>
      </c>
      <c r="S16" s="62" t="s">
        <v>1385</v>
      </c>
      <c r="T16" s="62">
        <v>44564</v>
      </c>
      <c r="U16" s="62">
        <v>44564</v>
      </c>
      <c r="V16" s="12" t="s">
        <v>1562</v>
      </c>
      <c r="W16" s="13">
        <v>0</v>
      </c>
      <c r="X16" s="13">
        <v>0</v>
      </c>
      <c r="Y16" s="13">
        <v>0</v>
      </c>
      <c r="Z16" s="12" t="s">
        <v>1386</v>
      </c>
      <c r="AA16" s="13">
        <v>0</v>
      </c>
      <c r="AB16" s="12" t="s">
        <v>1387</v>
      </c>
      <c r="AC16" s="63">
        <v>0</v>
      </c>
      <c r="AD16" s="1"/>
    </row>
    <row r="17" spans="3:30" ht="45.75" customHeight="1" thickBot="1" x14ac:dyDescent="0.3">
      <c r="C17" s="61">
        <v>999</v>
      </c>
      <c r="D17" s="12">
        <v>10</v>
      </c>
      <c r="E17" s="12" t="s">
        <v>2368</v>
      </c>
      <c r="F17" s="12" t="s">
        <v>87</v>
      </c>
      <c r="G17" s="12" t="s">
        <v>1402</v>
      </c>
      <c r="H17" s="12" t="s">
        <v>2377</v>
      </c>
      <c r="I17" s="12" t="s">
        <v>2377</v>
      </c>
      <c r="J17" s="12" t="s">
        <v>2378</v>
      </c>
      <c r="K17" s="12" t="s">
        <v>60</v>
      </c>
      <c r="L17" s="12" t="s">
        <v>61</v>
      </c>
      <c r="M17" s="12" t="s">
        <v>1587</v>
      </c>
      <c r="N17" s="12" t="s">
        <v>62</v>
      </c>
      <c r="O17" s="13">
        <v>35761.56</v>
      </c>
      <c r="P17" s="13">
        <v>0</v>
      </c>
      <c r="Q17" s="12">
        <v>0</v>
      </c>
      <c r="R17" s="12" t="s">
        <v>1573</v>
      </c>
      <c r="S17" s="62" t="s">
        <v>1385</v>
      </c>
      <c r="T17" s="62">
        <v>44564</v>
      </c>
      <c r="U17" s="62">
        <v>44564</v>
      </c>
      <c r="V17" s="12" t="s">
        <v>1562</v>
      </c>
      <c r="W17" s="13">
        <v>0</v>
      </c>
      <c r="X17" s="13">
        <v>0</v>
      </c>
      <c r="Y17" s="13">
        <v>0</v>
      </c>
      <c r="Z17" s="12" t="s">
        <v>1386</v>
      </c>
      <c r="AA17" s="13">
        <v>0</v>
      </c>
      <c r="AB17" s="12" t="s">
        <v>1387</v>
      </c>
      <c r="AC17" s="63">
        <v>0</v>
      </c>
      <c r="AD17" s="1"/>
    </row>
    <row r="18" spans="3:30" ht="45.75" customHeight="1" thickBot="1" x14ac:dyDescent="0.3">
      <c r="C18" s="61">
        <v>999</v>
      </c>
      <c r="D18" s="12">
        <v>11</v>
      </c>
      <c r="E18" s="12" t="s">
        <v>2368</v>
      </c>
      <c r="F18" s="12" t="s">
        <v>87</v>
      </c>
      <c r="G18" s="12" t="s">
        <v>1402</v>
      </c>
      <c r="H18" s="12" t="s">
        <v>2379</v>
      </c>
      <c r="I18" s="12" t="s">
        <v>2379</v>
      </c>
      <c r="J18" s="12" t="s">
        <v>2380</v>
      </c>
      <c r="K18" s="12" t="s">
        <v>60</v>
      </c>
      <c r="L18" s="12" t="s">
        <v>61</v>
      </c>
      <c r="M18" s="12" t="s">
        <v>1587</v>
      </c>
      <c r="N18" s="12" t="s">
        <v>62</v>
      </c>
      <c r="O18" s="13">
        <v>1053010.3400000001</v>
      </c>
      <c r="P18" s="13">
        <v>0</v>
      </c>
      <c r="Q18" s="12">
        <v>0</v>
      </c>
      <c r="R18" s="12" t="s">
        <v>1573</v>
      </c>
      <c r="S18" s="62" t="s">
        <v>1385</v>
      </c>
      <c r="T18" s="62">
        <v>44564</v>
      </c>
      <c r="U18" s="62">
        <v>44564</v>
      </c>
      <c r="V18" s="12" t="s">
        <v>1562</v>
      </c>
      <c r="W18" s="13">
        <v>0</v>
      </c>
      <c r="X18" s="13">
        <v>0</v>
      </c>
      <c r="Y18" s="13">
        <v>0</v>
      </c>
      <c r="Z18" s="12" t="s">
        <v>1386</v>
      </c>
      <c r="AA18" s="13">
        <v>0</v>
      </c>
      <c r="AB18" s="12" t="s">
        <v>1387</v>
      </c>
      <c r="AC18" s="63">
        <v>0</v>
      </c>
      <c r="AD18" s="1"/>
    </row>
    <row r="19" spans="3:30" ht="45.75" customHeight="1" thickBot="1" x14ac:dyDescent="0.3">
      <c r="C19" s="61">
        <v>999</v>
      </c>
      <c r="D19" s="12">
        <v>12</v>
      </c>
      <c r="E19" s="12" t="s">
        <v>2368</v>
      </c>
      <c r="F19" s="12" t="s">
        <v>87</v>
      </c>
      <c r="G19" s="12" t="s">
        <v>1402</v>
      </c>
      <c r="H19" s="12" t="s">
        <v>2381</v>
      </c>
      <c r="I19" s="12" t="s">
        <v>2381</v>
      </c>
      <c r="J19" s="12" t="s">
        <v>2382</v>
      </c>
      <c r="K19" s="12" t="s">
        <v>60</v>
      </c>
      <c r="L19" s="12" t="s">
        <v>61</v>
      </c>
      <c r="M19" s="12" t="s">
        <v>1587</v>
      </c>
      <c r="N19" s="12" t="s">
        <v>62</v>
      </c>
      <c r="O19" s="13">
        <v>639392.04</v>
      </c>
      <c r="P19" s="13">
        <v>0</v>
      </c>
      <c r="Q19" s="12">
        <v>0</v>
      </c>
      <c r="R19" s="12" t="s">
        <v>1573</v>
      </c>
      <c r="S19" s="62" t="s">
        <v>1385</v>
      </c>
      <c r="T19" s="62">
        <v>44564</v>
      </c>
      <c r="U19" s="62">
        <v>44564</v>
      </c>
      <c r="V19" s="12" t="s">
        <v>1562</v>
      </c>
      <c r="W19" s="13">
        <v>0</v>
      </c>
      <c r="X19" s="13">
        <v>0</v>
      </c>
      <c r="Y19" s="13">
        <v>0</v>
      </c>
      <c r="Z19" s="12" t="s">
        <v>1386</v>
      </c>
      <c r="AA19" s="13">
        <v>0</v>
      </c>
      <c r="AB19" s="12" t="s">
        <v>1387</v>
      </c>
      <c r="AC19" s="63">
        <v>0</v>
      </c>
      <c r="AD19" s="1"/>
    </row>
    <row r="20" spans="3:30" ht="45.75" customHeight="1" thickBot="1" x14ac:dyDescent="0.3">
      <c r="C20" s="61">
        <v>999</v>
      </c>
      <c r="D20" s="12">
        <v>13</v>
      </c>
      <c r="E20" s="12" t="s">
        <v>2368</v>
      </c>
      <c r="F20" s="12" t="s">
        <v>87</v>
      </c>
      <c r="G20" s="12" t="s">
        <v>1402</v>
      </c>
      <c r="H20" s="12" t="s">
        <v>2381</v>
      </c>
      <c r="I20" s="12" t="s">
        <v>2381</v>
      </c>
      <c r="J20" s="12" t="s">
        <v>2382</v>
      </c>
      <c r="K20" s="12" t="s">
        <v>60</v>
      </c>
      <c r="L20" s="12" t="s">
        <v>61</v>
      </c>
      <c r="M20" s="12" t="s">
        <v>1587</v>
      </c>
      <c r="N20" s="12" t="s">
        <v>62</v>
      </c>
      <c r="O20" s="13">
        <v>2142.177291</v>
      </c>
      <c r="P20" s="13">
        <v>0</v>
      </c>
      <c r="Q20" s="12">
        <v>0</v>
      </c>
      <c r="R20" s="12" t="s">
        <v>1572</v>
      </c>
      <c r="S20" s="62" t="s">
        <v>1385</v>
      </c>
      <c r="T20" s="62">
        <v>44564</v>
      </c>
      <c r="U20" s="62">
        <v>44564</v>
      </c>
      <c r="V20" s="12" t="s">
        <v>1562</v>
      </c>
      <c r="W20" s="13">
        <v>0</v>
      </c>
      <c r="X20" s="13">
        <v>0</v>
      </c>
      <c r="Y20" s="13">
        <v>0</v>
      </c>
      <c r="Z20" s="12" t="s">
        <v>1386</v>
      </c>
      <c r="AA20" s="13">
        <v>0</v>
      </c>
      <c r="AB20" s="12" t="s">
        <v>1387</v>
      </c>
      <c r="AC20" s="63">
        <v>0</v>
      </c>
      <c r="AD20" s="1"/>
    </row>
    <row r="21" spans="3:30" ht="45.75" customHeight="1" thickBot="1" x14ac:dyDescent="0.3">
      <c r="C21" s="61">
        <v>999</v>
      </c>
      <c r="D21" s="12">
        <v>14</v>
      </c>
      <c r="E21" s="12" t="s">
        <v>2368</v>
      </c>
      <c r="F21" s="12" t="s">
        <v>87</v>
      </c>
      <c r="G21" s="12" t="s">
        <v>1402</v>
      </c>
      <c r="H21" s="12" t="s">
        <v>2381</v>
      </c>
      <c r="I21" s="12" t="s">
        <v>2381</v>
      </c>
      <c r="J21" s="12" t="s">
        <v>2382</v>
      </c>
      <c r="K21" s="12" t="s">
        <v>60</v>
      </c>
      <c r="L21" s="12" t="s">
        <v>61</v>
      </c>
      <c r="M21" s="12" t="s">
        <v>1587</v>
      </c>
      <c r="N21" s="12" t="s">
        <v>62</v>
      </c>
      <c r="O21" s="13">
        <v>0.29752000000000001</v>
      </c>
      <c r="P21" s="13">
        <v>0</v>
      </c>
      <c r="Q21" s="12">
        <v>0</v>
      </c>
      <c r="R21" s="12" t="s">
        <v>1571</v>
      </c>
      <c r="S21" s="62" t="s">
        <v>1385</v>
      </c>
      <c r="T21" s="62">
        <v>44564</v>
      </c>
      <c r="U21" s="62">
        <v>44564</v>
      </c>
      <c r="V21" s="12" t="s">
        <v>1562</v>
      </c>
      <c r="W21" s="13">
        <v>0</v>
      </c>
      <c r="X21" s="13">
        <v>0</v>
      </c>
      <c r="Y21" s="13">
        <v>0</v>
      </c>
      <c r="Z21" s="12" t="s">
        <v>1386</v>
      </c>
      <c r="AA21" s="13">
        <v>0</v>
      </c>
      <c r="AB21" s="12" t="s">
        <v>1387</v>
      </c>
      <c r="AC21" s="63">
        <v>0</v>
      </c>
      <c r="AD21" s="1"/>
    </row>
    <row r="22" spans="3:30" ht="45.75" customHeight="1" thickBot="1" x14ac:dyDescent="0.3">
      <c r="C22" s="61">
        <v>999</v>
      </c>
      <c r="D22" s="12">
        <v>15</v>
      </c>
      <c r="E22" s="12" t="s">
        <v>2368</v>
      </c>
      <c r="F22" s="12" t="s">
        <v>87</v>
      </c>
      <c r="G22" s="12" t="s">
        <v>1402</v>
      </c>
      <c r="H22" s="12" t="s">
        <v>2383</v>
      </c>
      <c r="I22" s="12" t="s">
        <v>2383</v>
      </c>
      <c r="J22" s="12" t="s">
        <v>2384</v>
      </c>
      <c r="K22" s="12" t="s">
        <v>60</v>
      </c>
      <c r="L22" s="12" t="s">
        <v>61</v>
      </c>
      <c r="M22" s="12" t="s">
        <v>1587</v>
      </c>
      <c r="N22" s="12" t="s">
        <v>62</v>
      </c>
      <c r="O22" s="13">
        <v>56335.459608999998</v>
      </c>
      <c r="P22" s="13">
        <v>0</v>
      </c>
      <c r="Q22" s="12">
        <v>0</v>
      </c>
      <c r="R22" s="12" t="s">
        <v>1571</v>
      </c>
      <c r="S22" s="62" t="s">
        <v>1385</v>
      </c>
      <c r="T22" s="62">
        <v>44564</v>
      </c>
      <c r="U22" s="62">
        <v>44564</v>
      </c>
      <c r="V22" s="12" t="s">
        <v>1562</v>
      </c>
      <c r="W22" s="13">
        <v>0</v>
      </c>
      <c r="X22" s="13">
        <v>0</v>
      </c>
      <c r="Y22" s="13">
        <v>0</v>
      </c>
      <c r="Z22" s="12" t="s">
        <v>1386</v>
      </c>
      <c r="AA22" s="13">
        <v>0</v>
      </c>
      <c r="AB22" s="12" t="s">
        <v>1387</v>
      </c>
      <c r="AC22" s="63">
        <v>0</v>
      </c>
      <c r="AD22" s="1"/>
    </row>
    <row r="23" spans="3:30" ht="45.75" customHeight="1" thickBot="1" x14ac:dyDescent="0.3">
      <c r="C23" s="61">
        <v>999</v>
      </c>
      <c r="D23" s="12">
        <v>16</v>
      </c>
      <c r="E23" s="12" t="s">
        <v>2368</v>
      </c>
      <c r="F23" s="12" t="s">
        <v>87</v>
      </c>
      <c r="G23" s="12" t="s">
        <v>1402</v>
      </c>
      <c r="H23" s="12" t="s">
        <v>2383</v>
      </c>
      <c r="I23" s="12" t="s">
        <v>2383</v>
      </c>
      <c r="J23" s="12" t="s">
        <v>2384</v>
      </c>
      <c r="K23" s="12" t="s">
        <v>60</v>
      </c>
      <c r="L23" s="12" t="s">
        <v>61</v>
      </c>
      <c r="M23" s="12" t="s">
        <v>1587</v>
      </c>
      <c r="N23" s="12" t="s">
        <v>62</v>
      </c>
      <c r="O23" s="13">
        <v>1087439.97881</v>
      </c>
      <c r="P23" s="13">
        <v>0</v>
      </c>
      <c r="Q23" s="12">
        <v>0</v>
      </c>
      <c r="R23" s="12" t="s">
        <v>1572</v>
      </c>
      <c r="S23" s="62" t="s">
        <v>1385</v>
      </c>
      <c r="T23" s="62">
        <v>44564</v>
      </c>
      <c r="U23" s="62">
        <v>44564</v>
      </c>
      <c r="V23" s="12" t="s">
        <v>1562</v>
      </c>
      <c r="W23" s="13">
        <v>0</v>
      </c>
      <c r="X23" s="13">
        <v>0</v>
      </c>
      <c r="Y23" s="13">
        <v>0</v>
      </c>
      <c r="Z23" s="12" t="s">
        <v>1386</v>
      </c>
      <c r="AA23" s="13">
        <v>0</v>
      </c>
      <c r="AB23" s="12" t="s">
        <v>1387</v>
      </c>
      <c r="AC23" s="63">
        <v>0</v>
      </c>
      <c r="AD23" s="1"/>
    </row>
    <row r="24" spans="3:30" ht="45.75" customHeight="1" thickBot="1" x14ac:dyDescent="0.3">
      <c r="C24" s="61">
        <v>999</v>
      </c>
      <c r="D24" s="12">
        <v>17</v>
      </c>
      <c r="E24" s="12" t="s">
        <v>2368</v>
      </c>
      <c r="F24" s="12" t="s">
        <v>87</v>
      </c>
      <c r="G24" s="12" t="s">
        <v>1402</v>
      </c>
      <c r="H24" s="12" t="s">
        <v>2383</v>
      </c>
      <c r="I24" s="12" t="s">
        <v>2383</v>
      </c>
      <c r="J24" s="12" t="s">
        <v>2384</v>
      </c>
      <c r="K24" s="12" t="s">
        <v>60</v>
      </c>
      <c r="L24" s="12" t="s">
        <v>61</v>
      </c>
      <c r="M24" s="12" t="s">
        <v>1587</v>
      </c>
      <c r="N24" s="12" t="s">
        <v>62</v>
      </c>
      <c r="O24" s="13">
        <v>413379.27</v>
      </c>
      <c r="P24" s="13">
        <v>0</v>
      </c>
      <c r="Q24" s="12">
        <v>0</v>
      </c>
      <c r="R24" s="12" t="s">
        <v>1573</v>
      </c>
      <c r="S24" s="62" t="s">
        <v>1385</v>
      </c>
      <c r="T24" s="62">
        <v>44564</v>
      </c>
      <c r="U24" s="62">
        <v>44564</v>
      </c>
      <c r="V24" s="12" t="s">
        <v>1562</v>
      </c>
      <c r="W24" s="13">
        <v>0</v>
      </c>
      <c r="X24" s="13">
        <v>0</v>
      </c>
      <c r="Y24" s="13">
        <v>0</v>
      </c>
      <c r="Z24" s="12" t="s">
        <v>1386</v>
      </c>
      <c r="AA24" s="13">
        <v>0</v>
      </c>
      <c r="AB24" s="12" t="s">
        <v>1387</v>
      </c>
      <c r="AC24" s="63">
        <v>0</v>
      </c>
      <c r="AD24" s="1"/>
    </row>
    <row r="25" spans="3:30" ht="45.75" customHeight="1" thickBot="1" x14ac:dyDescent="0.3">
      <c r="C25" s="61">
        <v>999</v>
      </c>
      <c r="D25" s="12">
        <v>18</v>
      </c>
      <c r="E25" s="12" t="s">
        <v>2368</v>
      </c>
      <c r="F25" s="12" t="s">
        <v>87</v>
      </c>
      <c r="G25" s="12" t="s">
        <v>1402</v>
      </c>
      <c r="H25" s="12" t="s">
        <v>2385</v>
      </c>
      <c r="I25" s="12" t="s">
        <v>2385</v>
      </c>
      <c r="J25" s="12" t="s">
        <v>2386</v>
      </c>
      <c r="K25" s="12" t="s">
        <v>60</v>
      </c>
      <c r="L25" s="12" t="s">
        <v>61</v>
      </c>
      <c r="M25" s="12" t="s">
        <v>1587</v>
      </c>
      <c r="N25" s="12" t="s">
        <v>62</v>
      </c>
      <c r="O25" s="13">
        <v>1129.71</v>
      </c>
      <c r="P25" s="13">
        <v>0</v>
      </c>
      <c r="Q25" s="12">
        <v>0</v>
      </c>
      <c r="R25" s="12" t="s">
        <v>1573</v>
      </c>
      <c r="S25" s="62" t="s">
        <v>1385</v>
      </c>
      <c r="T25" s="62">
        <v>44564</v>
      </c>
      <c r="U25" s="62">
        <v>44564</v>
      </c>
      <c r="V25" s="12" t="s">
        <v>1562</v>
      </c>
      <c r="W25" s="13">
        <v>0</v>
      </c>
      <c r="X25" s="13">
        <v>0</v>
      </c>
      <c r="Y25" s="13">
        <v>0</v>
      </c>
      <c r="Z25" s="12" t="s">
        <v>1386</v>
      </c>
      <c r="AA25" s="13">
        <v>0</v>
      </c>
      <c r="AB25" s="12" t="s">
        <v>1387</v>
      </c>
      <c r="AC25" s="63">
        <v>0</v>
      </c>
      <c r="AD25" s="1"/>
    </row>
    <row r="26" spans="3:30" ht="45.75" customHeight="1" thickBot="1" x14ac:dyDescent="0.3">
      <c r="C26" s="61">
        <v>999</v>
      </c>
      <c r="D26" s="12">
        <v>19</v>
      </c>
      <c r="E26" s="12" t="s">
        <v>2368</v>
      </c>
      <c r="F26" s="12" t="s">
        <v>87</v>
      </c>
      <c r="G26" s="12" t="s">
        <v>1402</v>
      </c>
      <c r="H26" s="12" t="s">
        <v>2387</v>
      </c>
      <c r="I26" s="12" t="s">
        <v>2387</v>
      </c>
      <c r="J26" s="12" t="s">
        <v>2388</v>
      </c>
      <c r="K26" s="12" t="s">
        <v>60</v>
      </c>
      <c r="L26" s="12" t="s">
        <v>61</v>
      </c>
      <c r="M26" s="12" t="s">
        <v>1587</v>
      </c>
      <c r="N26" s="12" t="s">
        <v>62</v>
      </c>
      <c r="O26" s="13">
        <v>0.01</v>
      </c>
      <c r="P26" s="13">
        <v>0</v>
      </c>
      <c r="Q26" s="12">
        <v>0</v>
      </c>
      <c r="R26" s="12" t="s">
        <v>1573</v>
      </c>
      <c r="S26" s="62" t="s">
        <v>1385</v>
      </c>
      <c r="T26" s="62">
        <v>44564</v>
      </c>
      <c r="U26" s="62">
        <v>44564</v>
      </c>
      <c r="V26" s="12" t="s">
        <v>1562</v>
      </c>
      <c r="W26" s="13">
        <v>0</v>
      </c>
      <c r="X26" s="13">
        <v>0</v>
      </c>
      <c r="Y26" s="13">
        <v>0</v>
      </c>
      <c r="Z26" s="12" t="s">
        <v>1386</v>
      </c>
      <c r="AA26" s="13">
        <v>0</v>
      </c>
      <c r="AB26" s="12" t="s">
        <v>1387</v>
      </c>
      <c r="AC26" s="63">
        <v>0</v>
      </c>
      <c r="AD26" s="1"/>
    </row>
    <row r="27" spans="3:30" ht="45.75" customHeight="1" thickBot="1" x14ac:dyDescent="0.3">
      <c r="C27" s="61">
        <v>999</v>
      </c>
      <c r="D27" s="12">
        <v>20</v>
      </c>
      <c r="E27" s="12" t="s">
        <v>2368</v>
      </c>
      <c r="F27" s="12" t="s">
        <v>87</v>
      </c>
      <c r="G27" s="12" t="s">
        <v>1402</v>
      </c>
      <c r="H27" s="12" t="s">
        <v>2389</v>
      </c>
      <c r="I27" s="12" t="s">
        <v>2389</v>
      </c>
      <c r="J27" s="12" t="s">
        <v>2390</v>
      </c>
      <c r="K27" s="12" t="s">
        <v>60</v>
      </c>
      <c r="L27" s="12" t="s">
        <v>61</v>
      </c>
      <c r="M27" s="12" t="s">
        <v>1587</v>
      </c>
      <c r="N27" s="12" t="s">
        <v>62</v>
      </c>
      <c r="O27" s="13">
        <v>196.62</v>
      </c>
      <c r="P27" s="13">
        <v>0</v>
      </c>
      <c r="Q27" s="12">
        <v>0</v>
      </c>
      <c r="R27" s="12" t="s">
        <v>1573</v>
      </c>
      <c r="S27" s="62" t="s">
        <v>1385</v>
      </c>
      <c r="T27" s="62">
        <v>44564</v>
      </c>
      <c r="U27" s="62">
        <v>44564</v>
      </c>
      <c r="V27" s="12" t="s">
        <v>1562</v>
      </c>
      <c r="W27" s="13">
        <v>0</v>
      </c>
      <c r="X27" s="13">
        <v>0</v>
      </c>
      <c r="Y27" s="13">
        <v>0</v>
      </c>
      <c r="Z27" s="12" t="s">
        <v>1386</v>
      </c>
      <c r="AA27" s="13">
        <v>0</v>
      </c>
      <c r="AB27" s="12" t="s">
        <v>1387</v>
      </c>
      <c r="AC27" s="63">
        <v>0</v>
      </c>
      <c r="AD27" s="1"/>
    </row>
    <row r="28" spans="3:30" ht="45.75" customHeight="1" thickBot="1" x14ac:dyDescent="0.3">
      <c r="C28" s="61">
        <v>999</v>
      </c>
      <c r="D28" s="12">
        <v>21</v>
      </c>
      <c r="E28" s="12" t="s">
        <v>2368</v>
      </c>
      <c r="F28" s="12" t="s">
        <v>87</v>
      </c>
      <c r="G28" s="12" t="s">
        <v>1402</v>
      </c>
      <c r="H28" s="12" t="s">
        <v>2391</v>
      </c>
      <c r="I28" s="12" t="s">
        <v>2391</v>
      </c>
      <c r="J28" s="12" t="s">
        <v>2392</v>
      </c>
      <c r="K28" s="12" t="s">
        <v>60</v>
      </c>
      <c r="L28" s="12" t="s">
        <v>61</v>
      </c>
      <c r="M28" s="12" t="s">
        <v>1587</v>
      </c>
      <c r="N28" s="12" t="s">
        <v>62</v>
      </c>
      <c r="O28" s="13">
        <v>44425.17</v>
      </c>
      <c r="P28" s="13">
        <v>0</v>
      </c>
      <c r="Q28" s="12">
        <v>0</v>
      </c>
      <c r="R28" s="12" t="s">
        <v>1573</v>
      </c>
      <c r="S28" s="62" t="s">
        <v>1385</v>
      </c>
      <c r="T28" s="62">
        <v>44564</v>
      </c>
      <c r="U28" s="62">
        <v>44564</v>
      </c>
      <c r="V28" s="12" t="s">
        <v>1562</v>
      </c>
      <c r="W28" s="13">
        <v>0</v>
      </c>
      <c r="X28" s="13">
        <v>0</v>
      </c>
      <c r="Y28" s="13">
        <v>0</v>
      </c>
      <c r="Z28" s="12" t="s">
        <v>1386</v>
      </c>
      <c r="AA28" s="13">
        <v>0</v>
      </c>
      <c r="AB28" s="12" t="s">
        <v>1387</v>
      </c>
      <c r="AC28" s="63">
        <v>0</v>
      </c>
      <c r="AD28" s="1"/>
    </row>
    <row r="29" spans="3:30" ht="45.75" customHeight="1" thickBot="1" x14ac:dyDescent="0.3">
      <c r="C29" s="61">
        <v>999</v>
      </c>
      <c r="D29" s="12">
        <v>22</v>
      </c>
      <c r="E29" s="12" t="s">
        <v>2368</v>
      </c>
      <c r="F29" s="12" t="s">
        <v>87</v>
      </c>
      <c r="G29" s="12" t="s">
        <v>1402</v>
      </c>
      <c r="H29" s="12" t="s">
        <v>2393</v>
      </c>
      <c r="I29" s="12" t="s">
        <v>2393</v>
      </c>
      <c r="J29" s="12" t="s">
        <v>2394</v>
      </c>
      <c r="K29" s="12" t="s">
        <v>60</v>
      </c>
      <c r="L29" s="12" t="s">
        <v>61</v>
      </c>
      <c r="M29" s="12" t="s">
        <v>1587</v>
      </c>
      <c r="N29" s="12" t="s">
        <v>62</v>
      </c>
      <c r="O29" s="13">
        <v>924330.8</v>
      </c>
      <c r="P29" s="13">
        <v>0</v>
      </c>
      <c r="Q29" s="12">
        <v>0</v>
      </c>
      <c r="R29" s="12" t="s">
        <v>1573</v>
      </c>
      <c r="S29" s="62" t="s">
        <v>1385</v>
      </c>
      <c r="T29" s="62">
        <v>44564</v>
      </c>
      <c r="U29" s="62">
        <v>44564</v>
      </c>
      <c r="V29" s="12" t="s">
        <v>1562</v>
      </c>
      <c r="W29" s="13">
        <v>0</v>
      </c>
      <c r="X29" s="13">
        <v>0</v>
      </c>
      <c r="Y29" s="13">
        <v>0</v>
      </c>
      <c r="Z29" s="12" t="s">
        <v>1386</v>
      </c>
      <c r="AA29" s="13">
        <v>0</v>
      </c>
      <c r="AB29" s="12" t="s">
        <v>1387</v>
      </c>
      <c r="AC29" s="63">
        <v>0</v>
      </c>
      <c r="AD29" s="1"/>
    </row>
    <row r="30" spans="3:30" ht="45.75" customHeight="1" thickBot="1" x14ac:dyDescent="0.3">
      <c r="C30" s="61">
        <v>999</v>
      </c>
      <c r="D30" s="12">
        <v>23</v>
      </c>
      <c r="E30" s="12" t="s">
        <v>2368</v>
      </c>
      <c r="F30" s="12" t="s">
        <v>87</v>
      </c>
      <c r="G30" s="12" t="s">
        <v>1402</v>
      </c>
      <c r="H30" s="12" t="s">
        <v>2395</v>
      </c>
      <c r="I30" s="12" t="s">
        <v>2395</v>
      </c>
      <c r="J30" s="12" t="s">
        <v>2396</v>
      </c>
      <c r="K30" s="12" t="s">
        <v>91</v>
      </c>
      <c r="L30" s="12" t="s">
        <v>61</v>
      </c>
      <c r="M30" s="12" t="s">
        <v>1587</v>
      </c>
      <c r="N30" s="12" t="s">
        <v>62</v>
      </c>
      <c r="O30" s="13">
        <v>458297.57</v>
      </c>
      <c r="P30" s="13">
        <v>0</v>
      </c>
      <c r="Q30" s="12">
        <v>0</v>
      </c>
      <c r="R30" s="12" t="s">
        <v>1573</v>
      </c>
      <c r="S30" s="62" t="s">
        <v>1385</v>
      </c>
      <c r="T30" s="62">
        <v>44564</v>
      </c>
      <c r="U30" s="62">
        <v>44564</v>
      </c>
      <c r="V30" s="12" t="s">
        <v>1562</v>
      </c>
      <c r="W30" s="13">
        <v>0</v>
      </c>
      <c r="X30" s="13">
        <v>0</v>
      </c>
      <c r="Y30" s="13">
        <v>0</v>
      </c>
      <c r="Z30" s="12" t="s">
        <v>1386</v>
      </c>
      <c r="AA30" s="13">
        <v>0</v>
      </c>
      <c r="AB30" s="12" t="s">
        <v>1387</v>
      </c>
      <c r="AC30" s="63">
        <v>0</v>
      </c>
      <c r="AD30" s="1"/>
    </row>
    <row r="31" spans="3:30" ht="45.75" customHeight="1" thickBot="1" x14ac:dyDescent="0.3">
      <c r="C31" s="61">
        <v>999</v>
      </c>
      <c r="D31" s="12">
        <v>24</v>
      </c>
      <c r="E31" s="12" t="s">
        <v>2368</v>
      </c>
      <c r="F31" s="12" t="s">
        <v>87</v>
      </c>
      <c r="G31" s="12" t="s">
        <v>1402</v>
      </c>
      <c r="H31" s="12" t="s">
        <v>2395</v>
      </c>
      <c r="I31" s="12" t="s">
        <v>2395</v>
      </c>
      <c r="J31" s="12" t="s">
        <v>2396</v>
      </c>
      <c r="K31" s="12" t="s">
        <v>91</v>
      </c>
      <c r="L31" s="12" t="s">
        <v>61</v>
      </c>
      <c r="M31" s="12" t="s">
        <v>1587</v>
      </c>
      <c r="N31" s="12" t="s">
        <v>62</v>
      </c>
      <c r="O31" s="13">
        <v>177222.179057</v>
      </c>
      <c r="P31" s="13">
        <v>0</v>
      </c>
      <c r="Q31" s="12">
        <v>0</v>
      </c>
      <c r="R31" s="12" t="s">
        <v>1572</v>
      </c>
      <c r="S31" s="62" t="s">
        <v>1385</v>
      </c>
      <c r="T31" s="62">
        <v>44564</v>
      </c>
      <c r="U31" s="62">
        <v>44564</v>
      </c>
      <c r="V31" s="12" t="s">
        <v>1562</v>
      </c>
      <c r="W31" s="13">
        <v>0</v>
      </c>
      <c r="X31" s="13">
        <v>0</v>
      </c>
      <c r="Y31" s="13">
        <v>0</v>
      </c>
      <c r="Z31" s="12" t="s">
        <v>1386</v>
      </c>
      <c r="AA31" s="13">
        <v>0</v>
      </c>
      <c r="AB31" s="12" t="s">
        <v>1387</v>
      </c>
      <c r="AC31" s="63">
        <v>0</v>
      </c>
      <c r="AD31" s="1"/>
    </row>
    <row r="32" spans="3:30" ht="45.75" customHeight="1" thickBot="1" x14ac:dyDescent="0.3">
      <c r="C32" s="61">
        <v>999</v>
      </c>
      <c r="D32" s="12">
        <v>25</v>
      </c>
      <c r="E32" s="12" t="s">
        <v>2368</v>
      </c>
      <c r="F32" s="12" t="s">
        <v>87</v>
      </c>
      <c r="G32" s="12" t="s">
        <v>1402</v>
      </c>
      <c r="H32" s="12" t="s">
        <v>2397</v>
      </c>
      <c r="I32" s="12" t="s">
        <v>2397</v>
      </c>
      <c r="J32" s="12" t="s">
        <v>2398</v>
      </c>
      <c r="K32" s="12" t="s">
        <v>60</v>
      </c>
      <c r="L32" s="12" t="s">
        <v>61</v>
      </c>
      <c r="M32" s="12" t="s">
        <v>1587</v>
      </c>
      <c r="N32" s="12" t="s">
        <v>62</v>
      </c>
      <c r="O32" s="13">
        <v>4045.3</v>
      </c>
      <c r="P32" s="13">
        <v>0</v>
      </c>
      <c r="Q32" s="12">
        <v>0</v>
      </c>
      <c r="R32" s="12" t="s">
        <v>1573</v>
      </c>
      <c r="S32" s="62" t="s">
        <v>1385</v>
      </c>
      <c r="T32" s="62">
        <v>44564</v>
      </c>
      <c r="U32" s="62">
        <v>44564</v>
      </c>
      <c r="V32" s="12" t="s">
        <v>1562</v>
      </c>
      <c r="W32" s="13">
        <v>0</v>
      </c>
      <c r="X32" s="13">
        <v>0</v>
      </c>
      <c r="Y32" s="13">
        <v>0</v>
      </c>
      <c r="Z32" s="12" t="s">
        <v>1386</v>
      </c>
      <c r="AA32" s="13">
        <v>0</v>
      </c>
      <c r="AB32" s="12" t="s">
        <v>1387</v>
      </c>
      <c r="AC32" s="63">
        <v>0</v>
      </c>
      <c r="AD32" s="1"/>
    </row>
    <row r="33" spans="3:30" ht="45.75" customHeight="1" thickBot="1" x14ac:dyDescent="0.3">
      <c r="C33" s="61">
        <v>999</v>
      </c>
      <c r="D33" s="12">
        <v>26</v>
      </c>
      <c r="E33" s="12" t="s">
        <v>2368</v>
      </c>
      <c r="F33" s="12" t="s">
        <v>87</v>
      </c>
      <c r="G33" s="12" t="s">
        <v>1402</v>
      </c>
      <c r="H33" s="12" t="s">
        <v>2399</v>
      </c>
      <c r="I33" s="12" t="s">
        <v>2399</v>
      </c>
      <c r="J33" s="12" t="s">
        <v>2400</v>
      </c>
      <c r="K33" s="12" t="s">
        <v>60</v>
      </c>
      <c r="L33" s="12" t="s">
        <v>61</v>
      </c>
      <c r="M33" s="12" t="s">
        <v>1587</v>
      </c>
      <c r="N33" s="12" t="s">
        <v>62</v>
      </c>
      <c r="O33" s="13">
        <v>370089.62</v>
      </c>
      <c r="P33" s="13">
        <v>0</v>
      </c>
      <c r="Q33" s="12">
        <v>0</v>
      </c>
      <c r="R33" s="12" t="s">
        <v>1573</v>
      </c>
      <c r="S33" s="62" t="s">
        <v>1385</v>
      </c>
      <c r="T33" s="62">
        <v>44564</v>
      </c>
      <c r="U33" s="62">
        <v>44564</v>
      </c>
      <c r="V33" s="12" t="s">
        <v>1562</v>
      </c>
      <c r="W33" s="13">
        <v>0</v>
      </c>
      <c r="X33" s="13">
        <v>0</v>
      </c>
      <c r="Y33" s="13">
        <v>0</v>
      </c>
      <c r="Z33" s="12" t="s">
        <v>1386</v>
      </c>
      <c r="AA33" s="13">
        <v>0</v>
      </c>
      <c r="AB33" s="12" t="s">
        <v>1387</v>
      </c>
      <c r="AC33" s="63">
        <v>0</v>
      </c>
      <c r="AD33" s="1"/>
    </row>
    <row r="34" spans="3:30" ht="45.75" customHeight="1" thickBot="1" x14ac:dyDescent="0.3">
      <c r="C34" s="61">
        <v>999</v>
      </c>
      <c r="D34" s="12">
        <v>27</v>
      </c>
      <c r="E34" s="12" t="s">
        <v>2368</v>
      </c>
      <c r="F34" s="12" t="s">
        <v>87</v>
      </c>
      <c r="G34" s="12" t="s">
        <v>1402</v>
      </c>
      <c r="H34" s="12" t="s">
        <v>2401</v>
      </c>
      <c r="I34" s="12" t="s">
        <v>2401</v>
      </c>
      <c r="J34" s="12" t="s">
        <v>2402</v>
      </c>
      <c r="K34" s="12" t="s">
        <v>60</v>
      </c>
      <c r="L34" s="12" t="s">
        <v>61</v>
      </c>
      <c r="M34" s="12" t="s">
        <v>1587</v>
      </c>
      <c r="N34" s="12" t="s">
        <v>62</v>
      </c>
      <c r="O34" s="13">
        <v>55631934.490000002</v>
      </c>
      <c r="P34" s="13">
        <v>0</v>
      </c>
      <c r="Q34" s="12">
        <v>0</v>
      </c>
      <c r="R34" s="12" t="s">
        <v>1573</v>
      </c>
      <c r="S34" s="62" t="s">
        <v>1385</v>
      </c>
      <c r="T34" s="62">
        <v>44564</v>
      </c>
      <c r="U34" s="62">
        <v>44564</v>
      </c>
      <c r="V34" s="12" t="s">
        <v>1562</v>
      </c>
      <c r="W34" s="13">
        <v>0</v>
      </c>
      <c r="X34" s="13">
        <v>0</v>
      </c>
      <c r="Y34" s="13">
        <v>0</v>
      </c>
      <c r="Z34" s="12" t="s">
        <v>1386</v>
      </c>
      <c r="AA34" s="13">
        <v>0</v>
      </c>
      <c r="AB34" s="12" t="s">
        <v>1387</v>
      </c>
      <c r="AC34" s="63">
        <v>0</v>
      </c>
      <c r="AD34" s="1"/>
    </row>
    <row r="35" spans="3:30" ht="45.75" customHeight="1" thickBot="1" x14ac:dyDescent="0.3">
      <c r="C35" s="61">
        <v>999</v>
      </c>
      <c r="D35" s="12">
        <v>28</v>
      </c>
      <c r="E35" s="12" t="s">
        <v>2368</v>
      </c>
      <c r="F35" s="12" t="s">
        <v>87</v>
      </c>
      <c r="G35" s="12" t="s">
        <v>1402</v>
      </c>
      <c r="H35" s="12" t="s">
        <v>2403</v>
      </c>
      <c r="I35" s="12" t="s">
        <v>2403</v>
      </c>
      <c r="J35" s="12" t="s">
        <v>2404</v>
      </c>
      <c r="K35" s="12" t="s">
        <v>91</v>
      </c>
      <c r="L35" s="12" t="s">
        <v>61</v>
      </c>
      <c r="M35" s="12" t="s">
        <v>1587</v>
      </c>
      <c r="N35" s="12" t="s">
        <v>62</v>
      </c>
      <c r="O35" s="13">
        <v>8191.69</v>
      </c>
      <c r="P35" s="13">
        <v>0</v>
      </c>
      <c r="Q35" s="12">
        <v>0</v>
      </c>
      <c r="R35" s="12" t="s">
        <v>1573</v>
      </c>
      <c r="S35" s="62" t="s">
        <v>1385</v>
      </c>
      <c r="T35" s="62">
        <v>44564</v>
      </c>
      <c r="U35" s="62">
        <v>44564</v>
      </c>
      <c r="V35" s="12" t="s">
        <v>1562</v>
      </c>
      <c r="W35" s="13">
        <v>0</v>
      </c>
      <c r="X35" s="13">
        <v>0</v>
      </c>
      <c r="Y35" s="13">
        <v>0</v>
      </c>
      <c r="Z35" s="12" t="s">
        <v>1386</v>
      </c>
      <c r="AA35" s="13">
        <v>0</v>
      </c>
      <c r="AB35" s="12" t="s">
        <v>1387</v>
      </c>
      <c r="AC35" s="63">
        <v>0</v>
      </c>
      <c r="AD35" s="1"/>
    </row>
    <row r="36" spans="3:30" ht="45.75" customHeight="1" thickBot="1" x14ac:dyDescent="0.3">
      <c r="C36" s="61">
        <v>999</v>
      </c>
      <c r="D36" s="12">
        <v>29</v>
      </c>
      <c r="E36" s="12" t="s">
        <v>2368</v>
      </c>
      <c r="F36" s="12" t="s">
        <v>87</v>
      </c>
      <c r="G36" s="12" t="s">
        <v>1402</v>
      </c>
      <c r="H36" s="12" t="s">
        <v>2405</v>
      </c>
      <c r="I36" s="12" t="s">
        <v>2405</v>
      </c>
      <c r="J36" s="12" t="s">
        <v>2406</v>
      </c>
      <c r="K36" s="12" t="s">
        <v>91</v>
      </c>
      <c r="L36" s="12" t="s">
        <v>61</v>
      </c>
      <c r="M36" s="12" t="s">
        <v>1587</v>
      </c>
      <c r="N36" s="12" t="s">
        <v>62</v>
      </c>
      <c r="O36" s="13">
        <v>4019.33</v>
      </c>
      <c r="P36" s="13">
        <v>0</v>
      </c>
      <c r="Q36" s="12">
        <v>0</v>
      </c>
      <c r="R36" s="12" t="s">
        <v>1573</v>
      </c>
      <c r="S36" s="62" t="s">
        <v>1385</v>
      </c>
      <c r="T36" s="62">
        <v>44564</v>
      </c>
      <c r="U36" s="62">
        <v>44564</v>
      </c>
      <c r="V36" s="12" t="s">
        <v>1562</v>
      </c>
      <c r="W36" s="13">
        <v>0</v>
      </c>
      <c r="X36" s="13">
        <v>0</v>
      </c>
      <c r="Y36" s="13">
        <v>0</v>
      </c>
      <c r="Z36" s="12" t="s">
        <v>1386</v>
      </c>
      <c r="AA36" s="13">
        <v>0</v>
      </c>
      <c r="AB36" s="12" t="s">
        <v>1387</v>
      </c>
      <c r="AC36" s="63">
        <v>0</v>
      </c>
      <c r="AD36" s="1"/>
    </row>
    <row r="37" spans="3:30" ht="45.75" customHeight="1" thickBot="1" x14ac:dyDescent="0.3">
      <c r="C37" s="61">
        <v>999</v>
      </c>
      <c r="D37" s="12">
        <v>30</v>
      </c>
      <c r="E37" s="12" t="s">
        <v>2368</v>
      </c>
      <c r="F37" s="12" t="s">
        <v>87</v>
      </c>
      <c r="G37" s="12" t="s">
        <v>1402</v>
      </c>
      <c r="H37" s="12" t="s">
        <v>2407</v>
      </c>
      <c r="I37" s="12" t="s">
        <v>2407</v>
      </c>
      <c r="J37" s="12" t="s">
        <v>2408</v>
      </c>
      <c r="K37" s="12" t="s">
        <v>60</v>
      </c>
      <c r="L37" s="12" t="s">
        <v>61</v>
      </c>
      <c r="M37" s="12" t="s">
        <v>1587</v>
      </c>
      <c r="N37" s="12" t="s">
        <v>62</v>
      </c>
      <c r="O37" s="13">
        <v>29181.7</v>
      </c>
      <c r="P37" s="13">
        <v>0</v>
      </c>
      <c r="Q37" s="12">
        <v>0</v>
      </c>
      <c r="R37" s="12" t="s">
        <v>1573</v>
      </c>
      <c r="S37" s="62" t="s">
        <v>1385</v>
      </c>
      <c r="T37" s="62">
        <v>44564</v>
      </c>
      <c r="U37" s="62">
        <v>44564</v>
      </c>
      <c r="V37" s="12" t="s">
        <v>1562</v>
      </c>
      <c r="W37" s="13">
        <v>0</v>
      </c>
      <c r="X37" s="13">
        <v>0</v>
      </c>
      <c r="Y37" s="13">
        <v>0</v>
      </c>
      <c r="Z37" s="12" t="s">
        <v>1386</v>
      </c>
      <c r="AA37" s="13">
        <v>0</v>
      </c>
      <c r="AB37" s="12" t="s">
        <v>1387</v>
      </c>
      <c r="AC37" s="63">
        <v>0</v>
      </c>
      <c r="AD37" s="1"/>
    </row>
    <row r="38" spans="3:30" ht="45.75" customHeight="1" thickBot="1" x14ac:dyDescent="0.3">
      <c r="C38" s="61">
        <v>999</v>
      </c>
      <c r="D38" s="12">
        <v>31</v>
      </c>
      <c r="E38" s="12" t="s">
        <v>2368</v>
      </c>
      <c r="F38" s="12" t="s">
        <v>87</v>
      </c>
      <c r="G38" s="12" t="s">
        <v>1402</v>
      </c>
      <c r="H38" s="12" t="s">
        <v>2409</v>
      </c>
      <c r="I38" s="12" t="s">
        <v>2409</v>
      </c>
      <c r="J38" s="12" t="s">
        <v>2410</v>
      </c>
      <c r="K38" s="12" t="s">
        <v>60</v>
      </c>
      <c r="L38" s="12" t="s">
        <v>61</v>
      </c>
      <c r="M38" s="12" t="s">
        <v>1587</v>
      </c>
      <c r="N38" s="12" t="s">
        <v>62</v>
      </c>
      <c r="O38" s="13">
        <v>1025915.57</v>
      </c>
      <c r="P38" s="13">
        <v>0</v>
      </c>
      <c r="Q38" s="12">
        <v>0</v>
      </c>
      <c r="R38" s="12" t="s">
        <v>1573</v>
      </c>
      <c r="S38" s="62" t="s">
        <v>1385</v>
      </c>
      <c r="T38" s="62">
        <v>44564</v>
      </c>
      <c r="U38" s="62">
        <v>44564</v>
      </c>
      <c r="V38" s="12" t="s">
        <v>1562</v>
      </c>
      <c r="W38" s="13">
        <v>0</v>
      </c>
      <c r="X38" s="13">
        <v>0</v>
      </c>
      <c r="Y38" s="13">
        <v>0</v>
      </c>
      <c r="Z38" s="12" t="s">
        <v>1386</v>
      </c>
      <c r="AA38" s="13">
        <v>0</v>
      </c>
      <c r="AB38" s="12" t="s">
        <v>1387</v>
      </c>
      <c r="AC38" s="63">
        <v>0</v>
      </c>
      <c r="AD38" s="1"/>
    </row>
    <row r="39" spans="3:30" ht="45.75" customHeight="1" thickBot="1" x14ac:dyDescent="0.3">
      <c r="C39" s="61">
        <v>999</v>
      </c>
      <c r="D39" s="12">
        <v>32</v>
      </c>
      <c r="E39" s="12" t="s">
        <v>2368</v>
      </c>
      <c r="F39" s="12" t="s">
        <v>87</v>
      </c>
      <c r="G39" s="12" t="s">
        <v>1402</v>
      </c>
      <c r="H39" s="12" t="s">
        <v>2411</v>
      </c>
      <c r="I39" s="12" t="s">
        <v>2411</v>
      </c>
      <c r="J39" s="12" t="s">
        <v>2412</v>
      </c>
      <c r="K39" s="12" t="s">
        <v>60</v>
      </c>
      <c r="L39" s="12" t="s">
        <v>61</v>
      </c>
      <c r="M39" s="12" t="s">
        <v>1587</v>
      </c>
      <c r="N39" s="12" t="s">
        <v>62</v>
      </c>
      <c r="O39" s="13">
        <v>7757.84</v>
      </c>
      <c r="P39" s="13">
        <v>0</v>
      </c>
      <c r="Q39" s="12">
        <v>0</v>
      </c>
      <c r="R39" s="12" t="s">
        <v>1573</v>
      </c>
      <c r="S39" s="62" t="s">
        <v>1385</v>
      </c>
      <c r="T39" s="62">
        <v>44564</v>
      </c>
      <c r="U39" s="62">
        <v>44564</v>
      </c>
      <c r="V39" s="12" t="s">
        <v>1562</v>
      </c>
      <c r="W39" s="13">
        <v>0</v>
      </c>
      <c r="X39" s="13">
        <v>0</v>
      </c>
      <c r="Y39" s="13">
        <v>0</v>
      </c>
      <c r="Z39" s="12" t="s">
        <v>1386</v>
      </c>
      <c r="AA39" s="13">
        <v>0</v>
      </c>
      <c r="AB39" s="12" t="s">
        <v>1387</v>
      </c>
      <c r="AC39" s="63">
        <v>0</v>
      </c>
      <c r="AD39" s="1"/>
    </row>
    <row r="40" spans="3:30" ht="45.75" customHeight="1" thickBot="1" x14ac:dyDescent="0.3">
      <c r="C40" s="61">
        <v>999</v>
      </c>
      <c r="D40" s="12">
        <v>33</v>
      </c>
      <c r="E40" s="12" t="s">
        <v>2368</v>
      </c>
      <c r="F40" s="12" t="s">
        <v>87</v>
      </c>
      <c r="G40" s="12" t="s">
        <v>1402</v>
      </c>
      <c r="H40" s="12" t="s">
        <v>2413</v>
      </c>
      <c r="I40" s="12" t="s">
        <v>2413</v>
      </c>
      <c r="J40" s="12" t="s">
        <v>2414</v>
      </c>
      <c r="K40" s="12" t="s">
        <v>60</v>
      </c>
      <c r="L40" s="12" t="s">
        <v>61</v>
      </c>
      <c r="M40" s="12" t="s">
        <v>1587</v>
      </c>
      <c r="N40" s="12" t="s">
        <v>62</v>
      </c>
      <c r="O40" s="13">
        <v>822.52</v>
      </c>
      <c r="P40" s="13">
        <v>0</v>
      </c>
      <c r="Q40" s="12">
        <v>0</v>
      </c>
      <c r="R40" s="12" t="s">
        <v>1573</v>
      </c>
      <c r="S40" s="62" t="s">
        <v>1385</v>
      </c>
      <c r="T40" s="62">
        <v>44564</v>
      </c>
      <c r="U40" s="62">
        <v>44564</v>
      </c>
      <c r="V40" s="12" t="s">
        <v>1562</v>
      </c>
      <c r="W40" s="13">
        <v>0</v>
      </c>
      <c r="X40" s="13">
        <v>0</v>
      </c>
      <c r="Y40" s="13">
        <v>0</v>
      </c>
      <c r="Z40" s="12" t="s">
        <v>1386</v>
      </c>
      <c r="AA40" s="13">
        <v>0</v>
      </c>
      <c r="AB40" s="12" t="s">
        <v>1387</v>
      </c>
      <c r="AC40" s="63">
        <v>0</v>
      </c>
      <c r="AD40" s="1"/>
    </row>
    <row r="41" spans="3:30" ht="45.75" customHeight="1" thickBot="1" x14ac:dyDescent="0.3">
      <c r="C41" s="61">
        <v>999</v>
      </c>
      <c r="D41" s="12">
        <v>34</v>
      </c>
      <c r="E41" s="12" t="s">
        <v>2368</v>
      </c>
      <c r="F41" s="12" t="s">
        <v>87</v>
      </c>
      <c r="G41" s="12" t="s">
        <v>1402</v>
      </c>
      <c r="H41" s="12" t="s">
        <v>2415</v>
      </c>
      <c r="I41" s="12" t="s">
        <v>2415</v>
      </c>
      <c r="J41" s="12" t="s">
        <v>2416</v>
      </c>
      <c r="K41" s="12" t="s">
        <v>91</v>
      </c>
      <c r="L41" s="12" t="s">
        <v>61</v>
      </c>
      <c r="M41" s="12" t="s">
        <v>1587</v>
      </c>
      <c r="N41" s="12" t="s">
        <v>62</v>
      </c>
      <c r="O41" s="13">
        <v>232107.33</v>
      </c>
      <c r="P41" s="13">
        <v>0</v>
      </c>
      <c r="Q41" s="12">
        <v>0</v>
      </c>
      <c r="R41" s="12" t="s">
        <v>1573</v>
      </c>
      <c r="S41" s="62" t="s">
        <v>1385</v>
      </c>
      <c r="T41" s="62">
        <v>44564</v>
      </c>
      <c r="U41" s="62">
        <v>44564</v>
      </c>
      <c r="V41" s="12" t="s">
        <v>1562</v>
      </c>
      <c r="W41" s="13">
        <v>0</v>
      </c>
      <c r="X41" s="13">
        <v>0</v>
      </c>
      <c r="Y41" s="13">
        <v>0</v>
      </c>
      <c r="Z41" s="12" t="s">
        <v>1386</v>
      </c>
      <c r="AA41" s="13">
        <v>0</v>
      </c>
      <c r="AB41" s="12" t="s">
        <v>1387</v>
      </c>
      <c r="AC41" s="63">
        <v>0</v>
      </c>
      <c r="AD41" s="1"/>
    </row>
    <row r="42" spans="3:30" ht="45.75" customHeight="1" thickBot="1" x14ac:dyDescent="0.3">
      <c r="C42" s="61">
        <v>999</v>
      </c>
      <c r="D42" s="12">
        <v>35</v>
      </c>
      <c r="E42" s="12" t="s">
        <v>2368</v>
      </c>
      <c r="F42" s="12" t="s">
        <v>87</v>
      </c>
      <c r="G42" s="12" t="s">
        <v>1402</v>
      </c>
      <c r="H42" s="12" t="s">
        <v>2417</v>
      </c>
      <c r="I42" s="12" t="s">
        <v>2417</v>
      </c>
      <c r="J42" s="12" t="s">
        <v>2418</v>
      </c>
      <c r="K42" s="12" t="s">
        <v>60</v>
      </c>
      <c r="L42" s="12" t="s">
        <v>61</v>
      </c>
      <c r="M42" s="12" t="s">
        <v>1587</v>
      </c>
      <c r="N42" s="12" t="s">
        <v>62</v>
      </c>
      <c r="O42" s="13">
        <v>5000.01</v>
      </c>
      <c r="P42" s="13">
        <v>0</v>
      </c>
      <c r="Q42" s="12">
        <v>0</v>
      </c>
      <c r="R42" s="12" t="s">
        <v>1573</v>
      </c>
      <c r="S42" s="62" t="s">
        <v>1385</v>
      </c>
      <c r="T42" s="62">
        <v>44564</v>
      </c>
      <c r="U42" s="62">
        <v>44564</v>
      </c>
      <c r="V42" s="12" t="s">
        <v>1562</v>
      </c>
      <c r="W42" s="13">
        <v>0</v>
      </c>
      <c r="X42" s="13">
        <v>0</v>
      </c>
      <c r="Y42" s="13">
        <v>0</v>
      </c>
      <c r="Z42" s="12" t="s">
        <v>1386</v>
      </c>
      <c r="AA42" s="13">
        <v>0</v>
      </c>
      <c r="AB42" s="12" t="s">
        <v>1387</v>
      </c>
      <c r="AC42" s="63">
        <v>0</v>
      </c>
      <c r="AD42" s="1"/>
    </row>
    <row r="43" spans="3:30" ht="45.75" customHeight="1" thickBot="1" x14ac:dyDescent="0.3">
      <c r="C43" s="61">
        <v>999</v>
      </c>
      <c r="D43" s="12">
        <v>36</v>
      </c>
      <c r="E43" s="12" t="s">
        <v>2368</v>
      </c>
      <c r="F43" s="12" t="s">
        <v>87</v>
      </c>
      <c r="G43" s="12" t="s">
        <v>1402</v>
      </c>
      <c r="H43" s="12" t="s">
        <v>2419</v>
      </c>
      <c r="I43" s="12" t="s">
        <v>2419</v>
      </c>
      <c r="J43" s="12" t="s">
        <v>2420</v>
      </c>
      <c r="K43" s="12" t="s">
        <v>60</v>
      </c>
      <c r="L43" s="12" t="s">
        <v>61</v>
      </c>
      <c r="M43" s="12" t="s">
        <v>1587</v>
      </c>
      <c r="N43" s="12" t="s">
        <v>62</v>
      </c>
      <c r="O43" s="13">
        <v>975007.62</v>
      </c>
      <c r="P43" s="13">
        <v>0</v>
      </c>
      <c r="Q43" s="12">
        <v>0</v>
      </c>
      <c r="R43" s="12" t="s">
        <v>1573</v>
      </c>
      <c r="S43" s="62" t="s">
        <v>1385</v>
      </c>
      <c r="T43" s="62">
        <v>44564</v>
      </c>
      <c r="U43" s="62">
        <v>44564</v>
      </c>
      <c r="V43" s="12" t="s">
        <v>1562</v>
      </c>
      <c r="W43" s="13">
        <v>0</v>
      </c>
      <c r="X43" s="13">
        <v>0</v>
      </c>
      <c r="Y43" s="13">
        <v>0</v>
      </c>
      <c r="Z43" s="12" t="s">
        <v>1386</v>
      </c>
      <c r="AA43" s="13">
        <v>0</v>
      </c>
      <c r="AB43" s="12" t="s">
        <v>1387</v>
      </c>
      <c r="AC43" s="63">
        <v>0</v>
      </c>
      <c r="AD43" s="1"/>
    </row>
    <row r="44" spans="3:30" ht="45.75" customHeight="1" thickBot="1" x14ac:dyDescent="0.3">
      <c r="C44" s="61">
        <v>999</v>
      </c>
      <c r="D44" s="12">
        <v>37</v>
      </c>
      <c r="E44" s="12" t="s">
        <v>2368</v>
      </c>
      <c r="F44" s="12" t="s">
        <v>87</v>
      </c>
      <c r="G44" s="12" t="s">
        <v>1402</v>
      </c>
      <c r="H44" s="12" t="s">
        <v>2421</v>
      </c>
      <c r="I44" s="12" t="s">
        <v>2421</v>
      </c>
      <c r="J44" s="12" t="s">
        <v>2422</v>
      </c>
      <c r="K44" s="12" t="s">
        <v>60</v>
      </c>
      <c r="L44" s="12" t="s">
        <v>61</v>
      </c>
      <c r="M44" s="12" t="s">
        <v>1587</v>
      </c>
      <c r="N44" s="12" t="s">
        <v>62</v>
      </c>
      <c r="O44" s="13">
        <v>113879.34</v>
      </c>
      <c r="P44" s="13">
        <v>0</v>
      </c>
      <c r="Q44" s="12">
        <v>0</v>
      </c>
      <c r="R44" s="12" t="s">
        <v>1573</v>
      </c>
      <c r="S44" s="62" t="s">
        <v>1385</v>
      </c>
      <c r="T44" s="62">
        <v>44564</v>
      </c>
      <c r="U44" s="62">
        <v>44564</v>
      </c>
      <c r="V44" s="12" t="s">
        <v>1562</v>
      </c>
      <c r="W44" s="13">
        <v>0</v>
      </c>
      <c r="X44" s="13">
        <v>0</v>
      </c>
      <c r="Y44" s="13">
        <v>0</v>
      </c>
      <c r="Z44" s="12" t="s">
        <v>1386</v>
      </c>
      <c r="AA44" s="13">
        <v>0</v>
      </c>
      <c r="AB44" s="12" t="s">
        <v>1387</v>
      </c>
      <c r="AC44" s="63">
        <v>0</v>
      </c>
      <c r="AD44" s="1"/>
    </row>
    <row r="45" spans="3:30" ht="45.75" customHeight="1" thickBot="1" x14ac:dyDescent="0.3">
      <c r="C45" s="61">
        <v>999</v>
      </c>
      <c r="D45" s="12">
        <v>38</v>
      </c>
      <c r="E45" s="12" t="s">
        <v>2368</v>
      </c>
      <c r="F45" s="12" t="s">
        <v>87</v>
      </c>
      <c r="G45" s="12" t="s">
        <v>1402</v>
      </c>
      <c r="H45" s="12" t="s">
        <v>2423</v>
      </c>
      <c r="I45" s="12" t="s">
        <v>2423</v>
      </c>
      <c r="J45" s="12" t="s">
        <v>2416</v>
      </c>
      <c r="K45" s="12" t="s">
        <v>91</v>
      </c>
      <c r="L45" s="12" t="s">
        <v>61</v>
      </c>
      <c r="M45" s="12" t="s">
        <v>1587</v>
      </c>
      <c r="N45" s="12" t="s">
        <v>62</v>
      </c>
      <c r="O45" s="13">
        <v>481.33</v>
      </c>
      <c r="P45" s="13">
        <v>0</v>
      </c>
      <c r="Q45" s="12">
        <v>0</v>
      </c>
      <c r="R45" s="12" t="s">
        <v>1573</v>
      </c>
      <c r="S45" s="62" t="s">
        <v>1385</v>
      </c>
      <c r="T45" s="62">
        <v>44564</v>
      </c>
      <c r="U45" s="62">
        <v>44564</v>
      </c>
      <c r="V45" s="12" t="s">
        <v>1562</v>
      </c>
      <c r="W45" s="13">
        <v>0</v>
      </c>
      <c r="X45" s="13">
        <v>0</v>
      </c>
      <c r="Y45" s="13">
        <v>0</v>
      </c>
      <c r="Z45" s="12" t="s">
        <v>1386</v>
      </c>
      <c r="AA45" s="13">
        <v>0</v>
      </c>
      <c r="AB45" s="12" t="s">
        <v>1387</v>
      </c>
      <c r="AC45" s="63">
        <v>0</v>
      </c>
      <c r="AD45" s="1"/>
    </row>
    <row r="46" spans="3:30" ht="45.75" customHeight="1" thickBot="1" x14ac:dyDescent="0.3">
      <c r="C46" s="61">
        <v>999</v>
      </c>
      <c r="D46" s="12">
        <v>39</v>
      </c>
      <c r="E46" s="12" t="s">
        <v>2368</v>
      </c>
      <c r="F46" s="12" t="s">
        <v>87</v>
      </c>
      <c r="G46" s="12" t="s">
        <v>1402</v>
      </c>
      <c r="H46" s="12" t="s">
        <v>2424</v>
      </c>
      <c r="I46" s="12" t="s">
        <v>2424</v>
      </c>
      <c r="J46" s="12" t="s">
        <v>2425</v>
      </c>
      <c r="K46" s="12" t="s">
        <v>91</v>
      </c>
      <c r="L46" s="12" t="s">
        <v>61</v>
      </c>
      <c r="M46" s="12" t="s">
        <v>1587</v>
      </c>
      <c r="N46" s="12" t="s">
        <v>62</v>
      </c>
      <c r="O46" s="13">
        <v>7522752.7800000003</v>
      </c>
      <c r="P46" s="13">
        <v>0</v>
      </c>
      <c r="Q46" s="12">
        <v>0</v>
      </c>
      <c r="R46" s="12" t="s">
        <v>1573</v>
      </c>
      <c r="S46" s="62" t="s">
        <v>1385</v>
      </c>
      <c r="T46" s="62">
        <v>44564</v>
      </c>
      <c r="U46" s="62">
        <v>44564</v>
      </c>
      <c r="V46" s="12" t="s">
        <v>1562</v>
      </c>
      <c r="W46" s="13">
        <v>0</v>
      </c>
      <c r="X46" s="13">
        <v>0</v>
      </c>
      <c r="Y46" s="13">
        <v>0</v>
      </c>
      <c r="Z46" s="12" t="s">
        <v>1386</v>
      </c>
      <c r="AA46" s="13">
        <v>0</v>
      </c>
      <c r="AB46" s="12" t="s">
        <v>1387</v>
      </c>
      <c r="AC46" s="63">
        <v>0</v>
      </c>
      <c r="AD46" s="1"/>
    </row>
    <row r="47" spans="3:30" ht="45.75" customHeight="1" thickBot="1" x14ac:dyDescent="0.3">
      <c r="C47" s="61">
        <v>999</v>
      </c>
      <c r="D47" s="12">
        <v>40</v>
      </c>
      <c r="E47" s="12" t="s">
        <v>2368</v>
      </c>
      <c r="F47" s="12" t="s">
        <v>87</v>
      </c>
      <c r="G47" s="12" t="s">
        <v>1402</v>
      </c>
      <c r="H47" s="12" t="s">
        <v>2424</v>
      </c>
      <c r="I47" s="12" t="s">
        <v>2424</v>
      </c>
      <c r="J47" s="12" t="s">
        <v>2425</v>
      </c>
      <c r="K47" s="12" t="s">
        <v>91</v>
      </c>
      <c r="L47" s="12" t="s">
        <v>61</v>
      </c>
      <c r="M47" s="12" t="s">
        <v>1587</v>
      </c>
      <c r="N47" s="12" t="s">
        <v>62</v>
      </c>
      <c r="O47" s="13">
        <v>132917.94985</v>
      </c>
      <c r="P47" s="13">
        <v>0</v>
      </c>
      <c r="Q47" s="12">
        <v>0</v>
      </c>
      <c r="R47" s="12" t="s">
        <v>1572</v>
      </c>
      <c r="S47" s="62" t="s">
        <v>1385</v>
      </c>
      <c r="T47" s="62">
        <v>44564</v>
      </c>
      <c r="U47" s="62">
        <v>44564</v>
      </c>
      <c r="V47" s="12" t="s">
        <v>1562</v>
      </c>
      <c r="W47" s="13">
        <v>0</v>
      </c>
      <c r="X47" s="13">
        <v>0</v>
      </c>
      <c r="Y47" s="13">
        <v>0</v>
      </c>
      <c r="Z47" s="12" t="s">
        <v>1386</v>
      </c>
      <c r="AA47" s="13">
        <v>0</v>
      </c>
      <c r="AB47" s="12" t="s">
        <v>1387</v>
      </c>
      <c r="AC47" s="63">
        <v>0</v>
      </c>
      <c r="AD47" s="1"/>
    </row>
    <row r="48" spans="3:30" ht="45.75" customHeight="1" thickBot="1" x14ac:dyDescent="0.3">
      <c r="C48" s="61">
        <v>999</v>
      </c>
      <c r="D48" s="12">
        <v>41</v>
      </c>
      <c r="E48" s="12" t="s">
        <v>2368</v>
      </c>
      <c r="F48" s="12" t="s">
        <v>87</v>
      </c>
      <c r="G48" s="12" t="s">
        <v>1402</v>
      </c>
      <c r="H48" s="12" t="s">
        <v>2426</v>
      </c>
      <c r="I48" s="12" t="s">
        <v>2426</v>
      </c>
      <c r="J48" s="12" t="s">
        <v>2427</v>
      </c>
      <c r="K48" s="12" t="s">
        <v>60</v>
      </c>
      <c r="L48" s="12" t="s">
        <v>61</v>
      </c>
      <c r="M48" s="12" t="s">
        <v>1587</v>
      </c>
      <c r="N48" s="12" t="s">
        <v>62</v>
      </c>
      <c r="O48" s="13">
        <v>258058.1</v>
      </c>
      <c r="P48" s="13">
        <v>0</v>
      </c>
      <c r="Q48" s="12">
        <v>0</v>
      </c>
      <c r="R48" s="12" t="s">
        <v>1573</v>
      </c>
      <c r="S48" s="62" t="s">
        <v>1385</v>
      </c>
      <c r="T48" s="62">
        <v>44564</v>
      </c>
      <c r="U48" s="62">
        <v>44564</v>
      </c>
      <c r="V48" s="12" t="s">
        <v>1562</v>
      </c>
      <c r="W48" s="13">
        <v>0</v>
      </c>
      <c r="X48" s="13">
        <v>0</v>
      </c>
      <c r="Y48" s="13">
        <v>0</v>
      </c>
      <c r="Z48" s="12" t="s">
        <v>1386</v>
      </c>
      <c r="AA48" s="13">
        <v>0</v>
      </c>
      <c r="AB48" s="12" t="s">
        <v>1387</v>
      </c>
      <c r="AC48" s="63">
        <v>0</v>
      </c>
      <c r="AD48" s="1"/>
    </row>
    <row r="49" spans="3:30" ht="45.75" customHeight="1" thickBot="1" x14ac:dyDescent="0.3">
      <c r="C49" s="61">
        <v>999</v>
      </c>
      <c r="D49" s="12">
        <v>42</v>
      </c>
      <c r="E49" s="12" t="s">
        <v>2368</v>
      </c>
      <c r="F49" s="12" t="s">
        <v>87</v>
      </c>
      <c r="G49" s="12" t="s">
        <v>1402</v>
      </c>
      <c r="H49" s="12" t="s">
        <v>2428</v>
      </c>
      <c r="I49" s="12" t="s">
        <v>2428</v>
      </c>
      <c r="J49" s="12" t="s">
        <v>2429</v>
      </c>
      <c r="K49" s="12" t="s">
        <v>60</v>
      </c>
      <c r="L49" s="12" t="s">
        <v>61</v>
      </c>
      <c r="M49" s="12" t="s">
        <v>1587</v>
      </c>
      <c r="N49" s="12" t="s">
        <v>62</v>
      </c>
      <c r="O49" s="13">
        <v>258165.92</v>
      </c>
      <c r="P49" s="13">
        <v>0</v>
      </c>
      <c r="Q49" s="12">
        <v>0</v>
      </c>
      <c r="R49" s="12" t="s">
        <v>1573</v>
      </c>
      <c r="S49" s="62" t="s">
        <v>1385</v>
      </c>
      <c r="T49" s="62">
        <v>44564</v>
      </c>
      <c r="U49" s="62">
        <v>44564</v>
      </c>
      <c r="V49" s="12" t="s">
        <v>1562</v>
      </c>
      <c r="W49" s="13">
        <v>0</v>
      </c>
      <c r="X49" s="13">
        <v>0</v>
      </c>
      <c r="Y49" s="13">
        <v>0</v>
      </c>
      <c r="Z49" s="12" t="s">
        <v>1386</v>
      </c>
      <c r="AA49" s="13">
        <v>0</v>
      </c>
      <c r="AB49" s="12" t="s">
        <v>1387</v>
      </c>
      <c r="AC49" s="63">
        <v>0</v>
      </c>
      <c r="AD49" s="1"/>
    </row>
    <row r="50" spans="3:30" ht="45.75" customHeight="1" thickBot="1" x14ac:dyDescent="0.3">
      <c r="C50" s="61">
        <v>999</v>
      </c>
      <c r="D50" s="12">
        <v>43</v>
      </c>
      <c r="E50" s="12" t="s">
        <v>2368</v>
      </c>
      <c r="F50" s="12" t="s">
        <v>87</v>
      </c>
      <c r="G50" s="12" t="s">
        <v>1402</v>
      </c>
      <c r="H50" s="12" t="s">
        <v>2430</v>
      </c>
      <c r="I50" s="12" t="s">
        <v>2430</v>
      </c>
      <c r="J50" s="12" t="s">
        <v>2431</v>
      </c>
      <c r="K50" s="12" t="s">
        <v>60</v>
      </c>
      <c r="L50" s="12" t="s">
        <v>61</v>
      </c>
      <c r="M50" s="12" t="s">
        <v>1587</v>
      </c>
      <c r="N50" s="12" t="s">
        <v>62</v>
      </c>
      <c r="O50" s="13">
        <v>4675.93</v>
      </c>
      <c r="P50" s="13">
        <v>0</v>
      </c>
      <c r="Q50" s="12">
        <v>0</v>
      </c>
      <c r="R50" s="12" t="s">
        <v>1573</v>
      </c>
      <c r="S50" s="62" t="s">
        <v>1385</v>
      </c>
      <c r="T50" s="62">
        <v>44564</v>
      </c>
      <c r="U50" s="62">
        <v>44564</v>
      </c>
      <c r="V50" s="12" t="s">
        <v>1562</v>
      </c>
      <c r="W50" s="13">
        <v>0</v>
      </c>
      <c r="X50" s="13">
        <v>0</v>
      </c>
      <c r="Y50" s="13">
        <v>0</v>
      </c>
      <c r="Z50" s="12" t="s">
        <v>1386</v>
      </c>
      <c r="AA50" s="13">
        <v>0</v>
      </c>
      <c r="AB50" s="12" t="s">
        <v>1387</v>
      </c>
      <c r="AC50" s="63">
        <v>0</v>
      </c>
      <c r="AD50" s="1"/>
    </row>
    <row r="51" spans="3:30" ht="45.75" customHeight="1" thickBot="1" x14ac:dyDescent="0.3">
      <c r="C51" s="61">
        <v>999</v>
      </c>
      <c r="D51" s="12">
        <v>44</v>
      </c>
      <c r="E51" s="12" t="s">
        <v>2368</v>
      </c>
      <c r="F51" s="12" t="s">
        <v>87</v>
      </c>
      <c r="G51" s="12" t="s">
        <v>1402</v>
      </c>
      <c r="H51" s="12" t="s">
        <v>2432</v>
      </c>
      <c r="I51" s="12" t="s">
        <v>2432</v>
      </c>
      <c r="J51" s="12" t="s">
        <v>2433</v>
      </c>
      <c r="K51" s="12" t="s">
        <v>60</v>
      </c>
      <c r="L51" s="12" t="s">
        <v>61</v>
      </c>
      <c r="M51" s="12" t="s">
        <v>1587</v>
      </c>
      <c r="N51" s="12" t="s">
        <v>62</v>
      </c>
      <c r="O51" s="13">
        <v>1883423.54</v>
      </c>
      <c r="P51" s="13">
        <v>0</v>
      </c>
      <c r="Q51" s="12">
        <v>0</v>
      </c>
      <c r="R51" s="12" t="s">
        <v>1573</v>
      </c>
      <c r="S51" s="62" t="s">
        <v>1385</v>
      </c>
      <c r="T51" s="62">
        <v>44564</v>
      </c>
      <c r="U51" s="62">
        <v>44564</v>
      </c>
      <c r="V51" s="12" t="s">
        <v>1562</v>
      </c>
      <c r="W51" s="13">
        <v>0</v>
      </c>
      <c r="X51" s="13">
        <v>0</v>
      </c>
      <c r="Y51" s="13">
        <v>0</v>
      </c>
      <c r="Z51" s="12" t="s">
        <v>1386</v>
      </c>
      <c r="AA51" s="13">
        <v>0</v>
      </c>
      <c r="AB51" s="12" t="s">
        <v>1387</v>
      </c>
      <c r="AC51" s="63">
        <v>0</v>
      </c>
      <c r="AD51" s="1"/>
    </row>
    <row r="52" spans="3:30" ht="45.75" customHeight="1" thickBot="1" x14ac:dyDescent="0.3">
      <c r="C52" s="61">
        <v>999</v>
      </c>
      <c r="D52" s="12">
        <v>45</v>
      </c>
      <c r="E52" s="12" t="s">
        <v>2368</v>
      </c>
      <c r="F52" s="12" t="s">
        <v>87</v>
      </c>
      <c r="G52" s="12" t="s">
        <v>1402</v>
      </c>
      <c r="H52" s="12" t="s">
        <v>2434</v>
      </c>
      <c r="I52" s="12" t="s">
        <v>2434</v>
      </c>
      <c r="J52" s="12" t="s">
        <v>2435</v>
      </c>
      <c r="K52" s="12" t="s">
        <v>91</v>
      </c>
      <c r="L52" s="12" t="s">
        <v>61</v>
      </c>
      <c r="M52" s="12" t="s">
        <v>1587</v>
      </c>
      <c r="N52" s="12" t="s">
        <v>62</v>
      </c>
      <c r="O52" s="13">
        <v>42844.2</v>
      </c>
      <c r="P52" s="13">
        <v>0</v>
      </c>
      <c r="Q52" s="12">
        <v>0</v>
      </c>
      <c r="R52" s="12" t="s">
        <v>1573</v>
      </c>
      <c r="S52" s="62" t="s">
        <v>1385</v>
      </c>
      <c r="T52" s="62">
        <v>44564</v>
      </c>
      <c r="U52" s="62">
        <v>44564</v>
      </c>
      <c r="V52" s="12" t="s">
        <v>1562</v>
      </c>
      <c r="W52" s="13">
        <v>0</v>
      </c>
      <c r="X52" s="13">
        <v>0</v>
      </c>
      <c r="Y52" s="13">
        <v>0</v>
      </c>
      <c r="Z52" s="12" t="s">
        <v>1386</v>
      </c>
      <c r="AA52" s="13">
        <v>0</v>
      </c>
      <c r="AB52" s="12" t="s">
        <v>1387</v>
      </c>
      <c r="AC52" s="63">
        <v>0</v>
      </c>
      <c r="AD52" s="1"/>
    </row>
    <row r="53" spans="3:30" ht="45.75" customHeight="1" thickBot="1" x14ac:dyDescent="0.3">
      <c r="C53" s="61">
        <v>999</v>
      </c>
      <c r="D53" s="12">
        <v>46</v>
      </c>
      <c r="E53" s="12" t="s">
        <v>2368</v>
      </c>
      <c r="F53" s="12" t="s">
        <v>87</v>
      </c>
      <c r="G53" s="12" t="s">
        <v>1402</v>
      </c>
      <c r="H53" s="12" t="s">
        <v>2436</v>
      </c>
      <c r="I53" s="12" t="s">
        <v>2436</v>
      </c>
      <c r="J53" s="12" t="s">
        <v>2437</v>
      </c>
      <c r="K53" s="12" t="s">
        <v>91</v>
      </c>
      <c r="L53" s="12" t="s">
        <v>61</v>
      </c>
      <c r="M53" s="12" t="s">
        <v>1587</v>
      </c>
      <c r="N53" s="12" t="s">
        <v>62</v>
      </c>
      <c r="O53" s="13">
        <v>363020.89</v>
      </c>
      <c r="P53" s="13">
        <v>0</v>
      </c>
      <c r="Q53" s="12">
        <v>0</v>
      </c>
      <c r="R53" s="12" t="s">
        <v>1573</v>
      </c>
      <c r="S53" s="62" t="s">
        <v>1385</v>
      </c>
      <c r="T53" s="62">
        <v>44564</v>
      </c>
      <c r="U53" s="62">
        <v>44564</v>
      </c>
      <c r="V53" s="12" t="s">
        <v>1562</v>
      </c>
      <c r="W53" s="13">
        <v>0</v>
      </c>
      <c r="X53" s="13">
        <v>0</v>
      </c>
      <c r="Y53" s="13">
        <v>0</v>
      </c>
      <c r="Z53" s="12" t="s">
        <v>1386</v>
      </c>
      <c r="AA53" s="13">
        <v>0</v>
      </c>
      <c r="AB53" s="12" t="s">
        <v>1387</v>
      </c>
      <c r="AC53" s="63">
        <v>0</v>
      </c>
      <c r="AD53" s="1"/>
    </row>
    <row r="54" spans="3:30" ht="45.75" customHeight="1" thickBot="1" x14ac:dyDescent="0.3">
      <c r="C54" s="61">
        <v>999</v>
      </c>
      <c r="D54" s="12">
        <v>47</v>
      </c>
      <c r="E54" s="12" t="s">
        <v>2368</v>
      </c>
      <c r="F54" s="12" t="s">
        <v>87</v>
      </c>
      <c r="G54" s="12" t="s">
        <v>1402</v>
      </c>
      <c r="H54" s="12" t="s">
        <v>2438</v>
      </c>
      <c r="I54" s="12" t="s">
        <v>2438</v>
      </c>
      <c r="J54" s="12" t="s">
        <v>2439</v>
      </c>
      <c r="K54" s="12" t="s">
        <v>60</v>
      </c>
      <c r="L54" s="12" t="s">
        <v>61</v>
      </c>
      <c r="M54" s="12" t="s">
        <v>1587</v>
      </c>
      <c r="N54" s="12" t="s">
        <v>62</v>
      </c>
      <c r="O54" s="13">
        <v>46933.51</v>
      </c>
      <c r="P54" s="13">
        <v>0</v>
      </c>
      <c r="Q54" s="12">
        <v>0</v>
      </c>
      <c r="R54" s="12" t="s">
        <v>1573</v>
      </c>
      <c r="S54" s="62" t="s">
        <v>1385</v>
      </c>
      <c r="T54" s="62">
        <v>44564</v>
      </c>
      <c r="U54" s="62">
        <v>44564</v>
      </c>
      <c r="V54" s="12" t="s">
        <v>1562</v>
      </c>
      <c r="W54" s="13">
        <v>0</v>
      </c>
      <c r="X54" s="13">
        <v>0</v>
      </c>
      <c r="Y54" s="13">
        <v>0</v>
      </c>
      <c r="Z54" s="12" t="s">
        <v>1386</v>
      </c>
      <c r="AA54" s="13">
        <v>0</v>
      </c>
      <c r="AB54" s="12" t="s">
        <v>1387</v>
      </c>
      <c r="AC54" s="63">
        <v>0</v>
      </c>
      <c r="AD54" s="1"/>
    </row>
    <row r="55" spans="3:30" ht="45.75" customHeight="1" thickBot="1" x14ac:dyDescent="0.3">
      <c r="C55" s="61">
        <v>999</v>
      </c>
      <c r="D55" s="12">
        <v>48</v>
      </c>
      <c r="E55" s="12" t="s">
        <v>2368</v>
      </c>
      <c r="F55" s="12" t="s">
        <v>87</v>
      </c>
      <c r="G55" s="12" t="s">
        <v>1402</v>
      </c>
      <c r="H55" s="12" t="s">
        <v>2440</v>
      </c>
      <c r="I55" s="12" t="s">
        <v>2440</v>
      </c>
      <c r="J55" s="12" t="s">
        <v>2441</v>
      </c>
      <c r="K55" s="12" t="s">
        <v>91</v>
      </c>
      <c r="L55" s="12" t="s">
        <v>61</v>
      </c>
      <c r="M55" s="12" t="s">
        <v>1587</v>
      </c>
      <c r="N55" s="12" t="s">
        <v>62</v>
      </c>
      <c r="O55" s="13">
        <v>1208.8499999999999</v>
      </c>
      <c r="P55" s="13">
        <v>0</v>
      </c>
      <c r="Q55" s="12">
        <v>0</v>
      </c>
      <c r="R55" s="12" t="s">
        <v>1573</v>
      </c>
      <c r="S55" s="62" t="s">
        <v>1385</v>
      </c>
      <c r="T55" s="62">
        <v>44564</v>
      </c>
      <c r="U55" s="62">
        <v>44564</v>
      </c>
      <c r="V55" s="12" t="s">
        <v>1562</v>
      </c>
      <c r="W55" s="13">
        <v>0</v>
      </c>
      <c r="X55" s="13">
        <v>0</v>
      </c>
      <c r="Y55" s="13">
        <v>0</v>
      </c>
      <c r="Z55" s="12" t="s">
        <v>1386</v>
      </c>
      <c r="AA55" s="13">
        <v>0</v>
      </c>
      <c r="AB55" s="12" t="s">
        <v>1387</v>
      </c>
      <c r="AC55" s="63">
        <v>0</v>
      </c>
      <c r="AD55" s="1"/>
    </row>
    <row r="56" spans="3:30" ht="45.75" customHeight="1" thickBot="1" x14ac:dyDescent="0.3">
      <c r="C56" s="61">
        <v>999</v>
      </c>
      <c r="D56" s="12">
        <v>49</v>
      </c>
      <c r="E56" s="12" t="s">
        <v>2368</v>
      </c>
      <c r="F56" s="12" t="s">
        <v>87</v>
      </c>
      <c r="G56" s="12" t="s">
        <v>1402</v>
      </c>
      <c r="H56" s="12" t="s">
        <v>2442</v>
      </c>
      <c r="I56" s="12" t="s">
        <v>2442</v>
      </c>
      <c r="J56" s="12" t="s">
        <v>2443</v>
      </c>
      <c r="K56" s="12" t="s">
        <v>60</v>
      </c>
      <c r="L56" s="12" t="s">
        <v>61</v>
      </c>
      <c r="M56" s="12" t="s">
        <v>1587</v>
      </c>
      <c r="N56" s="12" t="s">
        <v>62</v>
      </c>
      <c r="O56" s="13">
        <v>994652.35</v>
      </c>
      <c r="P56" s="13">
        <v>0</v>
      </c>
      <c r="Q56" s="12">
        <v>0</v>
      </c>
      <c r="R56" s="12" t="s">
        <v>1573</v>
      </c>
      <c r="S56" s="62" t="s">
        <v>1385</v>
      </c>
      <c r="T56" s="62">
        <v>44564</v>
      </c>
      <c r="U56" s="62">
        <v>44564</v>
      </c>
      <c r="V56" s="12" t="s">
        <v>1562</v>
      </c>
      <c r="W56" s="13">
        <v>0</v>
      </c>
      <c r="X56" s="13">
        <v>0</v>
      </c>
      <c r="Y56" s="13">
        <v>0</v>
      </c>
      <c r="Z56" s="12" t="s">
        <v>1386</v>
      </c>
      <c r="AA56" s="13">
        <v>0</v>
      </c>
      <c r="AB56" s="12" t="s">
        <v>1387</v>
      </c>
      <c r="AC56" s="63">
        <v>0</v>
      </c>
      <c r="AD56" s="1"/>
    </row>
    <row r="57" spans="3:30" ht="45.75" customHeight="1" thickBot="1" x14ac:dyDescent="0.3">
      <c r="C57" s="61">
        <v>999</v>
      </c>
      <c r="D57" s="12">
        <v>50</v>
      </c>
      <c r="E57" s="12" t="s">
        <v>2368</v>
      </c>
      <c r="F57" s="12" t="s">
        <v>87</v>
      </c>
      <c r="G57" s="12" t="s">
        <v>1402</v>
      </c>
      <c r="H57" s="12" t="s">
        <v>2444</v>
      </c>
      <c r="I57" s="12" t="s">
        <v>2444</v>
      </c>
      <c r="J57" s="12" t="s">
        <v>2445</v>
      </c>
      <c r="K57" s="12" t="s">
        <v>60</v>
      </c>
      <c r="L57" s="12" t="s">
        <v>61</v>
      </c>
      <c r="M57" s="12" t="s">
        <v>1587</v>
      </c>
      <c r="N57" s="12" t="s">
        <v>62</v>
      </c>
      <c r="O57" s="13">
        <v>608237.69999999995</v>
      </c>
      <c r="P57" s="13">
        <v>0</v>
      </c>
      <c r="Q57" s="12">
        <v>0</v>
      </c>
      <c r="R57" s="12" t="s">
        <v>1573</v>
      </c>
      <c r="S57" s="62" t="s">
        <v>1385</v>
      </c>
      <c r="T57" s="62">
        <v>44564</v>
      </c>
      <c r="U57" s="62">
        <v>44564</v>
      </c>
      <c r="V57" s="12" t="s">
        <v>1562</v>
      </c>
      <c r="W57" s="13">
        <v>0</v>
      </c>
      <c r="X57" s="13">
        <v>0</v>
      </c>
      <c r="Y57" s="13">
        <v>0</v>
      </c>
      <c r="Z57" s="12" t="s">
        <v>1386</v>
      </c>
      <c r="AA57" s="13">
        <v>0</v>
      </c>
      <c r="AB57" s="12" t="s">
        <v>1387</v>
      </c>
      <c r="AC57" s="63">
        <v>0</v>
      </c>
      <c r="AD57" s="1"/>
    </row>
    <row r="58" spans="3:30" ht="45.75" customHeight="1" thickBot="1" x14ac:dyDescent="0.3">
      <c r="C58" s="61">
        <v>999</v>
      </c>
      <c r="D58" s="12">
        <v>51</v>
      </c>
      <c r="E58" s="12" t="s">
        <v>2368</v>
      </c>
      <c r="F58" s="12" t="s">
        <v>87</v>
      </c>
      <c r="G58" s="12" t="s">
        <v>1402</v>
      </c>
      <c r="H58" s="12" t="s">
        <v>2446</v>
      </c>
      <c r="I58" s="12" t="s">
        <v>2446</v>
      </c>
      <c r="J58" s="12" t="s">
        <v>2447</v>
      </c>
      <c r="K58" s="12" t="s">
        <v>60</v>
      </c>
      <c r="L58" s="12" t="s">
        <v>61</v>
      </c>
      <c r="M58" s="12" t="s">
        <v>1587</v>
      </c>
      <c r="N58" s="12" t="s">
        <v>62</v>
      </c>
      <c r="O58" s="13">
        <v>8397617.0199999996</v>
      </c>
      <c r="P58" s="13">
        <v>0</v>
      </c>
      <c r="Q58" s="12">
        <v>0</v>
      </c>
      <c r="R58" s="12" t="s">
        <v>1573</v>
      </c>
      <c r="S58" s="62" t="s">
        <v>1385</v>
      </c>
      <c r="T58" s="62">
        <v>44564</v>
      </c>
      <c r="U58" s="62">
        <v>44564</v>
      </c>
      <c r="V58" s="12" t="s">
        <v>1562</v>
      </c>
      <c r="W58" s="13">
        <v>0</v>
      </c>
      <c r="X58" s="13">
        <v>0</v>
      </c>
      <c r="Y58" s="13">
        <v>0</v>
      </c>
      <c r="Z58" s="12" t="s">
        <v>1386</v>
      </c>
      <c r="AA58" s="13">
        <v>0</v>
      </c>
      <c r="AB58" s="12" t="s">
        <v>1387</v>
      </c>
      <c r="AC58" s="63">
        <v>0</v>
      </c>
      <c r="AD58" s="1"/>
    </row>
    <row r="59" spans="3:30" ht="45.75" customHeight="1" thickBot="1" x14ac:dyDescent="0.3">
      <c r="C59" s="61">
        <v>999</v>
      </c>
      <c r="D59" s="12">
        <v>52</v>
      </c>
      <c r="E59" s="12" t="s">
        <v>2368</v>
      </c>
      <c r="F59" s="12" t="s">
        <v>87</v>
      </c>
      <c r="G59" s="12" t="s">
        <v>1402</v>
      </c>
      <c r="H59" s="12" t="s">
        <v>2448</v>
      </c>
      <c r="I59" s="12" t="s">
        <v>2448</v>
      </c>
      <c r="J59" s="12" t="s">
        <v>2449</v>
      </c>
      <c r="K59" s="12" t="s">
        <v>91</v>
      </c>
      <c r="L59" s="12" t="s">
        <v>61</v>
      </c>
      <c r="M59" s="12" t="s">
        <v>1587</v>
      </c>
      <c r="N59" s="12" t="s">
        <v>62</v>
      </c>
      <c r="O59" s="13">
        <v>317.3</v>
      </c>
      <c r="P59" s="13">
        <v>0</v>
      </c>
      <c r="Q59" s="12">
        <v>0</v>
      </c>
      <c r="R59" s="12" t="s">
        <v>1573</v>
      </c>
      <c r="S59" s="62" t="s">
        <v>1385</v>
      </c>
      <c r="T59" s="62">
        <v>44564</v>
      </c>
      <c r="U59" s="62">
        <v>44564</v>
      </c>
      <c r="V59" s="12" t="s">
        <v>1562</v>
      </c>
      <c r="W59" s="13">
        <v>0</v>
      </c>
      <c r="X59" s="13">
        <v>0</v>
      </c>
      <c r="Y59" s="13">
        <v>0</v>
      </c>
      <c r="Z59" s="12" t="s">
        <v>1386</v>
      </c>
      <c r="AA59" s="13">
        <v>0</v>
      </c>
      <c r="AB59" s="12" t="s">
        <v>1387</v>
      </c>
      <c r="AC59" s="63">
        <v>0</v>
      </c>
      <c r="AD59" s="1"/>
    </row>
    <row r="60" spans="3:30" ht="45.75" customHeight="1" thickBot="1" x14ac:dyDescent="0.3">
      <c r="C60" s="61">
        <v>999</v>
      </c>
      <c r="D60" s="12">
        <v>53</v>
      </c>
      <c r="E60" s="12" t="s">
        <v>2368</v>
      </c>
      <c r="F60" s="12" t="s">
        <v>87</v>
      </c>
      <c r="G60" s="12" t="s">
        <v>1402</v>
      </c>
      <c r="H60" s="12" t="s">
        <v>2450</v>
      </c>
      <c r="I60" s="12" t="s">
        <v>2450</v>
      </c>
      <c r="J60" s="12" t="s">
        <v>2451</v>
      </c>
      <c r="K60" s="12" t="s">
        <v>60</v>
      </c>
      <c r="L60" s="12" t="s">
        <v>61</v>
      </c>
      <c r="M60" s="12" t="s">
        <v>1587</v>
      </c>
      <c r="N60" s="12" t="s">
        <v>62</v>
      </c>
      <c r="O60" s="13">
        <v>28360.13</v>
      </c>
      <c r="P60" s="13">
        <v>0</v>
      </c>
      <c r="Q60" s="12">
        <v>0</v>
      </c>
      <c r="R60" s="12" t="s">
        <v>1573</v>
      </c>
      <c r="S60" s="62" t="s">
        <v>1385</v>
      </c>
      <c r="T60" s="62">
        <v>44564</v>
      </c>
      <c r="U60" s="62">
        <v>44564</v>
      </c>
      <c r="V60" s="12" t="s">
        <v>1562</v>
      </c>
      <c r="W60" s="13">
        <v>0</v>
      </c>
      <c r="X60" s="13">
        <v>0</v>
      </c>
      <c r="Y60" s="13">
        <v>0</v>
      </c>
      <c r="Z60" s="12" t="s">
        <v>1386</v>
      </c>
      <c r="AA60" s="13">
        <v>0</v>
      </c>
      <c r="AB60" s="12" t="s">
        <v>1387</v>
      </c>
      <c r="AC60" s="63">
        <v>0</v>
      </c>
      <c r="AD60" s="1"/>
    </row>
    <row r="61" spans="3:30" ht="45.75" customHeight="1" thickBot="1" x14ac:dyDescent="0.3">
      <c r="C61" s="61">
        <v>999</v>
      </c>
      <c r="D61" s="12">
        <v>54</v>
      </c>
      <c r="E61" s="12" t="s">
        <v>2368</v>
      </c>
      <c r="F61" s="12" t="s">
        <v>87</v>
      </c>
      <c r="G61" s="12" t="s">
        <v>1402</v>
      </c>
      <c r="H61" s="12" t="s">
        <v>2450</v>
      </c>
      <c r="I61" s="12" t="s">
        <v>2450</v>
      </c>
      <c r="J61" s="12" t="s">
        <v>2451</v>
      </c>
      <c r="K61" s="12" t="s">
        <v>60</v>
      </c>
      <c r="L61" s="12" t="s">
        <v>61</v>
      </c>
      <c r="M61" s="12" t="s">
        <v>1587</v>
      </c>
      <c r="N61" s="12" t="s">
        <v>62</v>
      </c>
      <c r="O61" s="13">
        <v>55711.89299</v>
      </c>
      <c r="P61" s="13">
        <v>0</v>
      </c>
      <c r="Q61" s="12">
        <v>0</v>
      </c>
      <c r="R61" s="12" t="s">
        <v>1572</v>
      </c>
      <c r="S61" s="62" t="s">
        <v>1385</v>
      </c>
      <c r="T61" s="62">
        <v>44564</v>
      </c>
      <c r="U61" s="62">
        <v>44564</v>
      </c>
      <c r="V61" s="12" t="s">
        <v>1562</v>
      </c>
      <c r="W61" s="13">
        <v>0</v>
      </c>
      <c r="X61" s="13">
        <v>0</v>
      </c>
      <c r="Y61" s="13">
        <v>0</v>
      </c>
      <c r="Z61" s="12" t="s">
        <v>1386</v>
      </c>
      <c r="AA61" s="13">
        <v>0</v>
      </c>
      <c r="AB61" s="12" t="s">
        <v>1387</v>
      </c>
      <c r="AC61" s="63">
        <v>0</v>
      </c>
      <c r="AD61" s="1"/>
    </row>
    <row r="62" spans="3:30" ht="45.75" customHeight="1" thickBot="1" x14ac:dyDescent="0.3">
      <c r="C62" s="61">
        <v>999</v>
      </c>
      <c r="D62" s="12">
        <v>55</v>
      </c>
      <c r="E62" s="12" t="s">
        <v>2368</v>
      </c>
      <c r="F62" s="12" t="s">
        <v>87</v>
      </c>
      <c r="G62" s="12" t="s">
        <v>1402</v>
      </c>
      <c r="H62" s="12" t="s">
        <v>2452</v>
      </c>
      <c r="I62" s="12" t="s">
        <v>2452</v>
      </c>
      <c r="J62" s="12" t="s">
        <v>2453</v>
      </c>
      <c r="K62" s="12" t="s">
        <v>60</v>
      </c>
      <c r="L62" s="12" t="s">
        <v>61</v>
      </c>
      <c r="M62" s="12" t="s">
        <v>1587</v>
      </c>
      <c r="N62" s="12" t="s">
        <v>62</v>
      </c>
      <c r="O62" s="13">
        <v>0.22073100000000001</v>
      </c>
      <c r="P62" s="13">
        <v>0</v>
      </c>
      <c r="Q62" s="12">
        <v>0</v>
      </c>
      <c r="R62" s="12" t="s">
        <v>1572</v>
      </c>
      <c r="S62" s="62" t="s">
        <v>1385</v>
      </c>
      <c r="T62" s="62">
        <v>44564</v>
      </c>
      <c r="U62" s="62">
        <v>44564</v>
      </c>
      <c r="V62" s="12" t="s">
        <v>1562</v>
      </c>
      <c r="W62" s="13">
        <v>0</v>
      </c>
      <c r="X62" s="13">
        <v>0</v>
      </c>
      <c r="Y62" s="13">
        <v>0</v>
      </c>
      <c r="Z62" s="12" t="s">
        <v>1386</v>
      </c>
      <c r="AA62" s="13">
        <v>0</v>
      </c>
      <c r="AB62" s="12" t="s">
        <v>1387</v>
      </c>
      <c r="AC62" s="63">
        <v>0</v>
      </c>
      <c r="AD62" s="1"/>
    </row>
    <row r="63" spans="3:30" ht="45.75" customHeight="1" thickBot="1" x14ac:dyDescent="0.3">
      <c r="C63" s="61">
        <v>999</v>
      </c>
      <c r="D63" s="12">
        <v>56</v>
      </c>
      <c r="E63" s="12" t="s">
        <v>2368</v>
      </c>
      <c r="F63" s="12" t="s">
        <v>87</v>
      </c>
      <c r="G63" s="12" t="s">
        <v>1402</v>
      </c>
      <c r="H63" s="12" t="s">
        <v>2452</v>
      </c>
      <c r="I63" s="12" t="s">
        <v>2452</v>
      </c>
      <c r="J63" s="12" t="s">
        <v>2453</v>
      </c>
      <c r="K63" s="12" t="s">
        <v>60</v>
      </c>
      <c r="L63" s="12" t="s">
        <v>61</v>
      </c>
      <c r="M63" s="12" t="s">
        <v>1587</v>
      </c>
      <c r="N63" s="12" t="s">
        <v>62</v>
      </c>
      <c r="O63" s="13">
        <v>0.130909</v>
      </c>
      <c r="P63" s="13">
        <v>0</v>
      </c>
      <c r="Q63" s="12">
        <v>0</v>
      </c>
      <c r="R63" s="12" t="s">
        <v>1571</v>
      </c>
      <c r="S63" s="62" t="s">
        <v>1385</v>
      </c>
      <c r="T63" s="62">
        <v>44564</v>
      </c>
      <c r="U63" s="62">
        <v>44564</v>
      </c>
      <c r="V63" s="12" t="s">
        <v>1562</v>
      </c>
      <c r="W63" s="13">
        <v>0</v>
      </c>
      <c r="X63" s="13">
        <v>0</v>
      </c>
      <c r="Y63" s="13">
        <v>0</v>
      </c>
      <c r="Z63" s="12" t="s">
        <v>1386</v>
      </c>
      <c r="AA63" s="13">
        <v>0</v>
      </c>
      <c r="AB63" s="12" t="s">
        <v>1387</v>
      </c>
      <c r="AC63" s="63">
        <v>0</v>
      </c>
      <c r="AD63" s="1"/>
    </row>
    <row r="64" spans="3:30" ht="45.75" customHeight="1" thickBot="1" x14ac:dyDescent="0.3">
      <c r="C64" s="61">
        <v>999</v>
      </c>
      <c r="D64" s="12">
        <v>57</v>
      </c>
      <c r="E64" s="12" t="s">
        <v>2368</v>
      </c>
      <c r="F64" s="12" t="s">
        <v>87</v>
      </c>
      <c r="G64" s="12" t="s">
        <v>1402</v>
      </c>
      <c r="H64" s="12" t="s">
        <v>2452</v>
      </c>
      <c r="I64" s="12" t="s">
        <v>2452</v>
      </c>
      <c r="J64" s="12" t="s">
        <v>2453</v>
      </c>
      <c r="K64" s="12" t="s">
        <v>60</v>
      </c>
      <c r="L64" s="12" t="s">
        <v>61</v>
      </c>
      <c r="M64" s="12" t="s">
        <v>1587</v>
      </c>
      <c r="N64" s="12" t="s">
        <v>62</v>
      </c>
      <c r="O64" s="13">
        <v>0.11</v>
      </c>
      <c r="P64" s="13">
        <v>0</v>
      </c>
      <c r="Q64" s="12">
        <v>0</v>
      </c>
      <c r="R64" s="12" t="s">
        <v>1573</v>
      </c>
      <c r="S64" s="62" t="s">
        <v>1385</v>
      </c>
      <c r="T64" s="62">
        <v>44564</v>
      </c>
      <c r="U64" s="62">
        <v>44564</v>
      </c>
      <c r="V64" s="12" t="s">
        <v>1562</v>
      </c>
      <c r="W64" s="13">
        <v>0</v>
      </c>
      <c r="X64" s="13">
        <v>0</v>
      </c>
      <c r="Y64" s="13">
        <v>0</v>
      </c>
      <c r="Z64" s="12" t="s">
        <v>1386</v>
      </c>
      <c r="AA64" s="13">
        <v>0</v>
      </c>
      <c r="AB64" s="12" t="s">
        <v>1387</v>
      </c>
      <c r="AC64" s="63">
        <v>0</v>
      </c>
      <c r="AD64" s="1"/>
    </row>
    <row r="65" spans="3:30" ht="45.75" customHeight="1" thickBot="1" x14ac:dyDescent="0.3">
      <c r="C65" s="61">
        <v>999</v>
      </c>
      <c r="D65" s="12">
        <v>58</v>
      </c>
      <c r="E65" s="12" t="s">
        <v>2368</v>
      </c>
      <c r="F65" s="12" t="s">
        <v>87</v>
      </c>
      <c r="G65" s="12" t="s">
        <v>1402</v>
      </c>
      <c r="H65" s="12" t="s">
        <v>2454</v>
      </c>
      <c r="I65" s="12" t="s">
        <v>2454</v>
      </c>
      <c r="J65" s="12" t="s">
        <v>2455</v>
      </c>
      <c r="K65" s="12" t="s">
        <v>60</v>
      </c>
      <c r="L65" s="12" t="s">
        <v>61</v>
      </c>
      <c r="M65" s="12" t="s">
        <v>1587</v>
      </c>
      <c r="N65" s="12" t="s">
        <v>62</v>
      </c>
      <c r="O65" s="13">
        <v>26638.406245999999</v>
      </c>
      <c r="P65" s="13">
        <v>0</v>
      </c>
      <c r="Q65" s="12">
        <v>0</v>
      </c>
      <c r="R65" s="12" t="s">
        <v>1571</v>
      </c>
      <c r="S65" s="62" t="s">
        <v>1385</v>
      </c>
      <c r="T65" s="62">
        <v>44564</v>
      </c>
      <c r="U65" s="62">
        <v>44564</v>
      </c>
      <c r="V65" s="12" t="s">
        <v>1562</v>
      </c>
      <c r="W65" s="13">
        <v>0</v>
      </c>
      <c r="X65" s="13">
        <v>0</v>
      </c>
      <c r="Y65" s="13">
        <v>0</v>
      </c>
      <c r="Z65" s="12" t="s">
        <v>1386</v>
      </c>
      <c r="AA65" s="13">
        <v>0</v>
      </c>
      <c r="AB65" s="12" t="s">
        <v>1387</v>
      </c>
      <c r="AC65" s="63">
        <v>0</v>
      </c>
      <c r="AD65" s="1"/>
    </row>
    <row r="66" spans="3:30" ht="45.75" customHeight="1" thickBot="1" x14ac:dyDescent="0.3">
      <c r="C66" s="61">
        <v>999</v>
      </c>
      <c r="D66" s="12">
        <v>59</v>
      </c>
      <c r="E66" s="12" t="s">
        <v>2368</v>
      </c>
      <c r="F66" s="12" t="s">
        <v>87</v>
      </c>
      <c r="G66" s="12" t="s">
        <v>1402</v>
      </c>
      <c r="H66" s="12" t="s">
        <v>2454</v>
      </c>
      <c r="I66" s="12" t="s">
        <v>2454</v>
      </c>
      <c r="J66" s="12" t="s">
        <v>2455</v>
      </c>
      <c r="K66" s="12" t="s">
        <v>60</v>
      </c>
      <c r="L66" s="12" t="s">
        <v>61</v>
      </c>
      <c r="M66" s="12" t="s">
        <v>1587</v>
      </c>
      <c r="N66" s="12" t="s">
        <v>62</v>
      </c>
      <c r="O66" s="13">
        <v>1108956.42</v>
      </c>
      <c r="P66" s="13">
        <v>0</v>
      </c>
      <c r="Q66" s="12">
        <v>0</v>
      </c>
      <c r="R66" s="12" t="s">
        <v>1573</v>
      </c>
      <c r="S66" s="62" t="s">
        <v>1385</v>
      </c>
      <c r="T66" s="62">
        <v>44564</v>
      </c>
      <c r="U66" s="62">
        <v>44564</v>
      </c>
      <c r="V66" s="12" t="s">
        <v>1562</v>
      </c>
      <c r="W66" s="13">
        <v>0</v>
      </c>
      <c r="X66" s="13">
        <v>0</v>
      </c>
      <c r="Y66" s="13">
        <v>0</v>
      </c>
      <c r="Z66" s="12" t="s">
        <v>1386</v>
      </c>
      <c r="AA66" s="13">
        <v>0</v>
      </c>
      <c r="AB66" s="12" t="s">
        <v>1387</v>
      </c>
      <c r="AC66" s="63">
        <v>0</v>
      </c>
      <c r="AD66" s="1"/>
    </row>
    <row r="67" spans="3:30" ht="45.75" customHeight="1" thickBot="1" x14ac:dyDescent="0.3">
      <c r="C67" s="61">
        <v>999</v>
      </c>
      <c r="D67" s="12">
        <v>60</v>
      </c>
      <c r="E67" s="12" t="s">
        <v>2368</v>
      </c>
      <c r="F67" s="12" t="s">
        <v>87</v>
      </c>
      <c r="G67" s="12" t="s">
        <v>1402</v>
      </c>
      <c r="H67" s="12" t="s">
        <v>2456</v>
      </c>
      <c r="I67" s="12" t="s">
        <v>2456</v>
      </c>
      <c r="J67" s="12" t="s">
        <v>2457</v>
      </c>
      <c r="K67" s="12" t="s">
        <v>60</v>
      </c>
      <c r="L67" s="12" t="s">
        <v>61</v>
      </c>
      <c r="M67" s="12" t="s">
        <v>1587</v>
      </c>
      <c r="N67" s="12" t="s">
        <v>62</v>
      </c>
      <c r="O67" s="13">
        <v>2969255.23</v>
      </c>
      <c r="P67" s="13">
        <v>0</v>
      </c>
      <c r="Q67" s="12">
        <v>0</v>
      </c>
      <c r="R67" s="12" t="s">
        <v>1573</v>
      </c>
      <c r="S67" s="62" t="s">
        <v>1385</v>
      </c>
      <c r="T67" s="62">
        <v>44564</v>
      </c>
      <c r="U67" s="62">
        <v>44564</v>
      </c>
      <c r="V67" s="12" t="s">
        <v>1562</v>
      </c>
      <c r="W67" s="13">
        <v>0</v>
      </c>
      <c r="X67" s="13">
        <v>0</v>
      </c>
      <c r="Y67" s="13">
        <v>0</v>
      </c>
      <c r="Z67" s="12" t="s">
        <v>1386</v>
      </c>
      <c r="AA67" s="13">
        <v>0</v>
      </c>
      <c r="AB67" s="12" t="s">
        <v>1387</v>
      </c>
      <c r="AC67" s="63">
        <v>0</v>
      </c>
      <c r="AD67" s="1"/>
    </row>
    <row r="68" spans="3:30" ht="45.75" customHeight="1" thickBot="1" x14ac:dyDescent="0.3">
      <c r="C68" s="61">
        <v>999</v>
      </c>
      <c r="D68" s="12">
        <v>61</v>
      </c>
      <c r="E68" s="12" t="s">
        <v>2368</v>
      </c>
      <c r="F68" s="12" t="s">
        <v>87</v>
      </c>
      <c r="G68" s="12" t="s">
        <v>1402</v>
      </c>
      <c r="H68" s="12" t="s">
        <v>2458</v>
      </c>
      <c r="I68" s="12" t="s">
        <v>2458</v>
      </c>
      <c r="J68" s="12" t="s">
        <v>2459</v>
      </c>
      <c r="K68" s="12" t="s">
        <v>60</v>
      </c>
      <c r="L68" s="12" t="s">
        <v>61</v>
      </c>
      <c r="M68" s="12" t="s">
        <v>1587</v>
      </c>
      <c r="N68" s="12" t="s">
        <v>62</v>
      </c>
      <c r="O68" s="13">
        <v>0.01</v>
      </c>
      <c r="P68" s="13">
        <v>0</v>
      </c>
      <c r="Q68" s="12">
        <v>0</v>
      </c>
      <c r="R68" s="12" t="s">
        <v>1573</v>
      </c>
      <c r="S68" s="62" t="s">
        <v>1385</v>
      </c>
      <c r="T68" s="62">
        <v>44564</v>
      </c>
      <c r="U68" s="62">
        <v>44564</v>
      </c>
      <c r="V68" s="12" t="s">
        <v>1562</v>
      </c>
      <c r="W68" s="13">
        <v>0</v>
      </c>
      <c r="X68" s="13">
        <v>0</v>
      </c>
      <c r="Y68" s="13">
        <v>0</v>
      </c>
      <c r="Z68" s="12" t="s">
        <v>1386</v>
      </c>
      <c r="AA68" s="13">
        <v>0</v>
      </c>
      <c r="AB68" s="12" t="s">
        <v>1387</v>
      </c>
      <c r="AC68" s="63">
        <v>0</v>
      </c>
      <c r="AD68" s="1"/>
    </row>
    <row r="69" spans="3:30" ht="45.75" customHeight="1" thickBot="1" x14ac:dyDescent="0.3">
      <c r="C69" s="61">
        <v>999</v>
      </c>
      <c r="D69" s="12">
        <v>62</v>
      </c>
      <c r="E69" s="12" t="s">
        <v>2368</v>
      </c>
      <c r="F69" s="12" t="s">
        <v>87</v>
      </c>
      <c r="G69" s="12" t="s">
        <v>1402</v>
      </c>
      <c r="H69" s="12" t="s">
        <v>2460</v>
      </c>
      <c r="I69" s="12" t="s">
        <v>2460</v>
      </c>
      <c r="J69" s="12" t="s">
        <v>2461</v>
      </c>
      <c r="K69" s="12" t="s">
        <v>60</v>
      </c>
      <c r="L69" s="12" t="s">
        <v>61</v>
      </c>
      <c r="M69" s="12" t="s">
        <v>1587</v>
      </c>
      <c r="N69" s="12" t="s">
        <v>62</v>
      </c>
      <c r="O69" s="13">
        <v>0.45</v>
      </c>
      <c r="P69" s="13">
        <v>0</v>
      </c>
      <c r="Q69" s="12">
        <v>0</v>
      </c>
      <c r="R69" s="12" t="s">
        <v>1573</v>
      </c>
      <c r="S69" s="62" t="s">
        <v>1385</v>
      </c>
      <c r="T69" s="62">
        <v>44564</v>
      </c>
      <c r="U69" s="62">
        <v>44564</v>
      </c>
      <c r="V69" s="12" t="s">
        <v>1562</v>
      </c>
      <c r="W69" s="13">
        <v>0</v>
      </c>
      <c r="X69" s="13">
        <v>0</v>
      </c>
      <c r="Y69" s="13">
        <v>0</v>
      </c>
      <c r="Z69" s="12" t="s">
        <v>1386</v>
      </c>
      <c r="AA69" s="13">
        <v>0</v>
      </c>
      <c r="AB69" s="12" t="s">
        <v>1387</v>
      </c>
      <c r="AC69" s="63">
        <v>0</v>
      </c>
      <c r="AD69" s="1"/>
    </row>
    <row r="70" spans="3:30" ht="45.75" customHeight="1" thickBot="1" x14ac:dyDescent="0.3">
      <c r="C70" s="61">
        <v>999</v>
      </c>
      <c r="D70" s="12">
        <v>63</v>
      </c>
      <c r="E70" s="12" t="s">
        <v>2368</v>
      </c>
      <c r="F70" s="12" t="s">
        <v>87</v>
      </c>
      <c r="G70" s="12" t="s">
        <v>1402</v>
      </c>
      <c r="H70" s="12" t="s">
        <v>2462</v>
      </c>
      <c r="I70" s="12" t="s">
        <v>2462</v>
      </c>
      <c r="J70" s="12" t="s">
        <v>2463</v>
      </c>
      <c r="K70" s="12" t="s">
        <v>60</v>
      </c>
      <c r="L70" s="12" t="s">
        <v>61</v>
      </c>
      <c r="M70" s="12" t="s">
        <v>1587</v>
      </c>
      <c r="N70" s="12" t="s">
        <v>62</v>
      </c>
      <c r="O70" s="13">
        <v>2.215E-3</v>
      </c>
      <c r="P70" s="13">
        <v>0</v>
      </c>
      <c r="Q70" s="12">
        <v>0</v>
      </c>
      <c r="R70" s="12" t="s">
        <v>1568</v>
      </c>
      <c r="S70" s="62" t="s">
        <v>1385</v>
      </c>
      <c r="T70" s="62">
        <v>44564</v>
      </c>
      <c r="U70" s="62">
        <v>44564</v>
      </c>
      <c r="V70" s="12" t="s">
        <v>1562</v>
      </c>
      <c r="W70" s="13">
        <v>0</v>
      </c>
      <c r="X70" s="13">
        <v>0</v>
      </c>
      <c r="Y70" s="13">
        <v>0</v>
      </c>
      <c r="Z70" s="12" t="s">
        <v>1386</v>
      </c>
      <c r="AA70" s="13">
        <v>0</v>
      </c>
      <c r="AB70" s="12" t="s">
        <v>1387</v>
      </c>
      <c r="AC70" s="63">
        <v>0</v>
      </c>
      <c r="AD70" s="1"/>
    </row>
    <row r="71" spans="3:30" ht="45.75" customHeight="1" thickBot="1" x14ac:dyDescent="0.3">
      <c r="C71" s="61">
        <v>999</v>
      </c>
      <c r="D71" s="12">
        <v>64</v>
      </c>
      <c r="E71" s="12" t="s">
        <v>2368</v>
      </c>
      <c r="F71" s="12" t="s">
        <v>87</v>
      </c>
      <c r="G71" s="12" t="s">
        <v>1402</v>
      </c>
      <c r="H71" s="12" t="s">
        <v>2464</v>
      </c>
      <c r="I71" s="12" t="s">
        <v>2464</v>
      </c>
      <c r="J71" s="12" t="s">
        <v>2465</v>
      </c>
      <c r="K71" s="12" t="s">
        <v>60</v>
      </c>
      <c r="L71" s="12" t="s">
        <v>61</v>
      </c>
      <c r="M71" s="12" t="s">
        <v>1587</v>
      </c>
      <c r="N71" s="12" t="s">
        <v>62</v>
      </c>
      <c r="O71" s="13">
        <v>4011.34</v>
      </c>
      <c r="P71" s="13">
        <v>0</v>
      </c>
      <c r="Q71" s="12">
        <v>0</v>
      </c>
      <c r="R71" s="12" t="s">
        <v>1573</v>
      </c>
      <c r="S71" s="62" t="s">
        <v>1385</v>
      </c>
      <c r="T71" s="62">
        <v>44564</v>
      </c>
      <c r="U71" s="62">
        <v>44564</v>
      </c>
      <c r="V71" s="12" t="s">
        <v>1562</v>
      </c>
      <c r="W71" s="13">
        <v>0</v>
      </c>
      <c r="X71" s="13">
        <v>0</v>
      </c>
      <c r="Y71" s="13">
        <v>0</v>
      </c>
      <c r="Z71" s="12" t="s">
        <v>1386</v>
      </c>
      <c r="AA71" s="13">
        <v>0</v>
      </c>
      <c r="AB71" s="12" t="s">
        <v>1387</v>
      </c>
      <c r="AC71" s="63">
        <v>0</v>
      </c>
      <c r="AD71" s="1"/>
    </row>
    <row r="72" spans="3:30" ht="45.75" customHeight="1" thickBot="1" x14ac:dyDescent="0.3">
      <c r="C72" s="61">
        <v>999</v>
      </c>
      <c r="D72" s="12">
        <v>65</v>
      </c>
      <c r="E72" s="12" t="s">
        <v>2368</v>
      </c>
      <c r="F72" s="12" t="s">
        <v>87</v>
      </c>
      <c r="G72" s="12" t="s">
        <v>1402</v>
      </c>
      <c r="H72" s="12" t="s">
        <v>2466</v>
      </c>
      <c r="I72" s="12" t="s">
        <v>2466</v>
      </c>
      <c r="J72" s="12" t="s">
        <v>2467</v>
      </c>
      <c r="K72" s="12" t="s">
        <v>60</v>
      </c>
      <c r="L72" s="12" t="s">
        <v>61</v>
      </c>
      <c r="M72" s="12" t="s">
        <v>1587</v>
      </c>
      <c r="N72" s="12" t="s">
        <v>62</v>
      </c>
      <c r="O72" s="13">
        <v>630209.57999999996</v>
      </c>
      <c r="P72" s="13">
        <v>0</v>
      </c>
      <c r="Q72" s="12">
        <v>0</v>
      </c>
      <c r="R72" s="12" t="s">
        <v>1573</v>
      </c>
      <c r="S72" s="62" t="s">
        <v>1385</v>
      </c>
      <c r="T72" s="62">
        <v>44564</v>
      </c>
      <c r="U72" s="62">
        <v>44564</v>
      </c>
      <c r="V72" s="12" t="s">
        <v>1562</v>
      </c>
      <c r="W72" s="13">
        <v>0</v>
      </c>
      <c r="X72" s="13">
        <v>0</v>
      </c>
      <c r="Y72" s="13">
        <v>0</v>
      </c>
      <c r="Z72" s="12" t="s">
        <v>1386</v>
      </c>
      <c r="AA72" s="13">
        <v>0</v>
      </c>
      <c r="AB72" s="12" t="s">
        <v>1387</v>
      </c>
      <c r="AC72" s="63">
        <v>0</v>
      </c>
      <c r="AD72" s="1"/>
    </row>
    <row r="73" spans="3:30" ht="45.75" customHeight="1" thickBot="1" x14ac:dyDescent="0.3">
      <c r="C73" s="61">
        <v>999</v>
      </c>
      <c r="D73" s="12">
        <v>66</v>
      </c>
      <c r="E73" s="12" t="s">
        <v>2368</v>
      </c>
      <c r="F73" s="12" t="s">
        <v>87</v>
      </c>
      <c r="G73" s="12" t="s">
        <v>1402</v>
      </c>
      <c r="H73" s="12" t="s">
        <v>2468</v>
      </c>
      <c r="I73" s="12" t="s">
        <v>2468</v>
      </c>
      <c r="J73" s="12" t="s">
        <v>2469</v>
      </c>
      <c r="K73" s="12" t="s">
        <v>60</v>
      </c>
      <c r="L73" s="12" t="s">
        <v>61</v>
      </c>
      <c r="M73" s="12" t="s">
        <v>1587</v>
      </c>
      <c r="N73" s="12" t="s">
        <v>62</v>
      </c>
      <c r="O73" s="13">
        <v>861743.36</v>
      </c>
      <c r="P73" s="13">
        <v>0</v>
      </c>
      <c r="Q73" s="12">
        <v>0</v>
      </c>
      <c r="R73" s="12" t="s">
        <v>1573</v>
      </c>
      <c r="S73" s="62" t="s">
        <v>1385</v>
      </c>
      <c r="T73" s="62">
        <v>44564</v>
      </c>
      <c r="U73" s="62">
        <v>44564</v>
      </c>
      <c r="V73" s="12" t="s">
        <v>1562</v>
      </c>
      <c r="W73" s="13">
        <v>0</v>
      </c>
      <c r="X73" s="13">
        <v>0</v>
      </c>
      <c r="Y73" s="13">
        <v>0</v>
      </c>
      <c r="Z73" s="12" t="s">
        <v>1386</v>
      </c>
      <c r="AA73" s="13">
        <v>0</v>
      </c>
      <c r="AB73" s="12" t="s">
        <v>1387</v>
      </c>
      <c r="AC73" s="63">
        <v>0</v>
      </c>
      <c r="AD73" s="1"/>
    </row>
    <row r="74" spans="3:30" ht="45.75" customHeight="1" thickBot="1" x14ac:dyDescent="0.3">
      <c r="C74" s="61">
        <v>999</v>
      </c>
      <c r="D74" s="12">
        <v>67</v>
      </c>
      <c r="E74" s="12" t="s">
        <v>2368</v>
      </c>
      <c r="F74" s="12" t="s">
        <v>87</v>
      </c>
      <c r="G74" s="12" t="s">
        <v>1402</v>
      </c>
      <c r="H74" s="12" t="s">
        <v>2470</v>
      </c>
      <c r="I74" s="12" t="s">
        <v>2470</v>
      </c>
      <c r="J74" s="12" t="s">
        <v>2471</v>
      </c>
      <c r="K74" s="12" t="s">
        <v>60</v>
      </c>
      <c r="L74" s="12" t="s">
        <v>61</v>
      </c>
      <c r="M74" s="12" t="s">
        <v>1587</v>
      </c>
      <c r="N74" s="12" t="s">
        <v>62</v>
      </c>
      <c r="O74" s="13">
        <v>8.829E-3</v>
      </c>
      <c r="P74" s="13">
        <v>0</v>
      </c>
      <c r="Q74" s="12">
        <v>0</v>
      </c>
      <c r="R74" s="12" t="s">
        <v>1572</v>
      </c>
      <c r="S74" s="62" t="s">
        <v>1385</v>
      </c>
      <c r="T74" s="62">
        <v>44564</v>
      </c>
      <c r="U74" s="62">
        <v>44564</v>
      </c>
      <c r="V74" s="12" t="s">
        <v>1562</v>
      </c>
      <c r="W74" s="13">
        <v>0</v>
      </c>
      <c r="X74" s="13">
        <v>0</v>
      </c>
      <c r="Y74" s="13">
        <v>0</v>
      </c>
      <c r="Z74" s="12" t="s">
        <v>1386</v>
      </c>
      <c r="AA74" s="13">
        <v>0</v>
      </c>
      <c r="AB74" s="12" t="s">
        <v>1387</v>
      </c>
      <c r="AC74" s="63">
        <v>0</v>
      </c>
      <c r="AD74" s="1"/>
    </row>
    <row r="75" spans="3:30" ht="45.75" customHeight="1" thickBot="1" x14ac:dyDescent="0.3">
      <c r="C75" s="61">
        <v>999</v>
      </c>
      <c r="D75" s="12">
        <v>68</v>
      </c>
      <c r="E75" s="12" t="s">
        <v>2368</v>
      </c>
      <c r="F75" s="12" t="s">
        <v>87</v>
      </c>
      <c r="G75" s="12" t="s">
        <v>1402</v>
      </c>
      <c r="H75" s="12" t="s">
        <v>2472</v>
      </c>
      <c r="I75" s="12" t="s">
        <v>2472</v>
      </c>
      <c r="J75" s="12" t="s">
        <v>2473</v>
      </c>
      <c r="K75" s="12" t="s">
        <v>60</v>
      </c>
      <c r="L75" s="12" t="s">
        <v>61</v>
      </c>
      <c r="M75" s="12" t="s">
        <v>1587</v>
      </c>
      <c r="N75" s="12" t="s">
        <v>62</v>
      </c>
      <c r="O75" s="13">
        <v>1795.87</v>
      </c>
      <c r="P75" s="13">
        <v>0</v>
      </c>
      <c r="Q75" s="12">
        <v>0</v>
      </c>
      <c r="R75" s="12" t="s">
        <v>1573</v>
      </c>
      <c r="S75" s="62" t="s">
        <v>1385</v>
      </c>
      <c r="T75" s="62">
        <v>44564</v>
      </c>
      <c r="U75" s="62">
        <v>44564</v>
      </c>
      <c r="V75" s="12" t="s">
        <v>1562</v>
      </c>
      <c r="W75" s="13">
        <v>0</v>
      </c>
      <c r="X75" s="13">
        <v>0</v>
      </c>
      <c r="Y75" s="13">
        <v>0</v>
      </c>
      <c r="Z75" s="12" t="s">
        <v>1386</v>
      </c>
      <c r="AA75" s="13">
        <v>0</v>
      </c>
      <c r="AB75" s="12" t="s">
        <v>1387</v>
      </c>
      <c r="AC75" s="63">
        <v>0</v>
      </c>
      <c r="AD75" s="1"/>
    </row>
    <row r="76" spans="3:30" ht="45.75" customHeight="1" thickBot="1" x14ac:dyDescent="0.3">
      <c r="C76" s="61">
        <v>999</v>
      </c>
      <c r="D76" s="12">
        <v>69</v>
      </c>
      <c r="E76" s="12" t="s">
        <v>2368</v>
      </c>
      <c r="F76" s="12" t="s">
        <v>87</v>
      </c>
      <c r="G76" s="12" t="s">
        <v>1402</v>
      </c>
      <c r="H76" s="12" t="s">
        <v>2474</v>
      </c>
      <c r="I76" s="12" t="s">
        <v>2474</v>
      </c>
      <c r="J76" s="12" t="s">
        <v>2475</v>
      </c>
      <c r="K76" s="12" t="s">
        <v>60</v>
      </c>
      <c r="L76" s="12" t="s">
        <v>61</v>
      </c>
      <c r="M76" s="12" t="s">
        <v>1587</v>
      </c>
      <c r="N76" s="12" t="s">
        <v>62</v>
      </c>
      <c r="O76" s="13">
        <v>73507.520000000004</v>
      </c>
      <c r="P76" s="13">
        <v>0</v>
      </c>
      <c r="Q76" s="12">
        <v>0</v>
      </c>
      <c r="R76" s="12" t="s">
        <v>1573</v>
      </c>
      <c r="S76" s="62" t="s">
        <v>1385</v>
      </c>
      <c r="T76" s="62">
        <v>44564</v>
      </c>
      <c r="U76" s="62">
        <v>44564</v>
      </c>
      <c r="V76" s="12" t="s">
        <v>1562</v>
      </c>
      <c r="W76" s="13">
        <v>0</v>
      </c>
      <c r="X76" s="13">
        <v>0</v>
      </c>
      <c r="Y76" s="13">
        <v>0</v>
      </c>
      <c r="Z76" s="12" t="s">
        <v>1386</v>
      </c>
      <c r="AA76" s="13">
        <v>0</v>
      </c>
      <c r="AB76" s="12" t="s">
        <v>1387</v>
      </c>
      <c r="AC76" s="63">
        <v>0</v>
      </c>
      <c r="AD76" s="1"/>
    </row>
    <row r="77" spans="3:30" ht="45.75" customHeight="1" thickBot="1" x14ac:dyDescent="0.3">
      <c r="C77" s="61">
        <v>999</v>
      </c>
      <c r="D77" s="12">
        <v>70</v>
      </c>
      <c r="E77" s="12" t="s">
        <v>2368</v>
      </c>
      <c r="F77" s="12" t="s">
        <v>87</v>
      </c>
      <c r="G77" s="12" t="s">
        <v>1402</v>
      </c>
      <c r="H77" s="12" t="s">
        <v>2476</v>
      </c>
      <c r="I77" s="12" t="s">
        <v>2476</v>
      </c>
      <c r="J77" s="12" t="s">
        <v>2477</v>
      </c>
      <c r="K77" s="12" t="s">
        <v>60</v>
      </c>
      <c r="L77" s="12" t="s">
        <v>61</v>
      </c>
      <c r="M77" s="12" t="s">
        <v>1587</v>
      </c>
      <c r="N77" s="12" t="s">
        <v>62</v>
      </c>
      <c r="O77" s="13">
        <v>9988.3253199999999</v>
      </c>
      <c r="P77" s="13">
        <v>0</v>
      </c>
      <c r="Q77" s="12">
        <v>0</v>
      </c>
      <c r="R77" s="12" t="s">
        <v>1571</v>
      </c>
      <c r="S77" s="62" t="s">
        <v>1385</v>
      </c>
      <c r="T77" s="62">
        <v>44564</v>
      </c>
      <c r="U77" s="62">
        <v>44564</v>
      </c>
      <c r="V77" s="12" t="s">
        <v>1562</v>
      </c>
      <c r="W77" s="13">
        <v>0</v>
      </c>
      <c r="X77" s="13">
        <v>0</v>
      </c>
      <c r="Y77" s="13">
        <v>0</v>
      </c>
      <c r="Z77" s="12" t="s">
        <v>1386</v>
      </c>
      <c r="AA77" s="13">
        <v>0</v>
      </c>
      <c r="AB77" s="12" t="s">
        <v>1387</v>
      </c>
      <c r="AC77" s="63">
        <v>0</v>
      </c>
      <c r="AD77" s="1"/>
    </row>
    <row r="78" spans="3:30" ht="45.75" customHeight="1" thickBot="1" x14ac:dyDescent="0.3">
      <c r="C78" s="61">
        <v>999</v>
      </c>
      <c r="D78" s="12">
        <v>71</v>
      </c>
      <c r="E78" s="12" t="s">
        <v>2368</v>
      </c>
      <c r="F78" s="12" t="s">
        <v>87</v>
      </c>
      <c r="G78" s="12" t="s">
        <v>1402</v>
      </c>
      <c r="H78" s="12" t="s">
        <v>2476</v>
      </c>
      <c r="I78" s="12" t="s">
        <v>2476</v>
      </c>
      <c r="J78" s="12" t="s">
        <v>2477</v>
      </c>
      <c r="K78" s="12" t="s">
        <v>60</v>
      </c>
      <c r="L78" s="12" t="s">
        <v>61</v>
      </c>
      <c r="M78" s="12" t="s">
        <v>1587</v>
      </c>
      <c r="N78" s="12" t="s">
        <v>62</v>
      </c>
      <c r="O78" s="13">
        <v>8498680.8100000005</v>
      </c>
      <c r="P78" s="13">
        <v>0</v>
      </c>
      <c r="Q78" s="12">
        <v>0</v>
      </c>
      <c r="R78" s="12" t="s">
        <v>1573</v>
      </c>
      <c r="S78" s="62" t="s">
        <v>1385</v>
      </c>
      <c r="T78" s="62">
        <v>44564</v>
      </c>
      <c r="U78" s="62">
        <v>44564</v>
      </c>
      <c r="V78" s="12" t="s">
        <v>1562</v>
      </c>
      <c r="W78" s="13">
        <v>0</v>
      </c>
      <c r="X78" s="13">
        <v>0</v>
      </c>
      <c r="Y78" s="13">
        <v>0</v>
      </c>
      <c r="Z78" s="12" t="s">
        <v>1386</v>
      </c>
      <c r="AA78" s="13">
        <v>0</v>
      </c>
      <c r="AB78" s="12" t="s">
        <v>1387</v>
      </c>
      <c r="AC78" s="63">
        <v>0</v>
      </c>
      <c r="AD78" s="1"/>
    </row>
    <row r="79" spans="3:30" ht="45.75" customHeight="1" thickBot="1" x14ac:dyDescent="0.3">
      <c r="C79" s="61">
        <v>999</v>
      </c>
      <c r="D79" s="12">
        <v>72</v>
      </c>
      <c r="E79" s="12" t="s">
        <v>2368</v>
      </c>
      <c r="F79" s="12" t="s">
        <v>87</v>
      </c>
      <c r="G79" s="12" t="s">
        <v>1402</v>
      </c>
      <c r="H79" s="12" t="s">
        <v>2478</v>
      </c>
      <c r="I79" s="12" t="s">
        <v>2478</v>
      </c>
      <c r="J79" s="12" t="s">
        <v>2479</v>
      </c>
      <c r="K79" s="12" t="s">
        <v>91</v>
      </c>
      <c r="L79" s="12" t="s">
        <v>61</v>
      </c>
      <c r="M79" s="12" t="s">
        <v>1587</v>
      </c>
      <c r="N79" s="12" t="s">
        <v>62</v>
      </c>
      <c r="O79" s="13">
        <v>3879538.66</v>
      </c>
      <c r="P79" s="13">
        <v>0</v>
      </c>
      <c r="Q79" s="12">
        <v>0</v>
      </c>
      <c r="R79" s="12" t="s">
        <v>1573</v>
      </c>
      <c r="S79" s="62" t="s">
        <v>1385</v>
      </c>
      <c r="T79" s="62">
        <v>44564</v>
      </c>
      <c r="U79" s="62">
        <v>44564</v>
      </c>
      <c r="V79" s="12" t="s">
        <v>1562</v>
      </c>
      <c r="W79" s="13">
        <v>0</v>
      </c>
      <c r="X79" s="13">
        <v>0</v>
      </c>
      <c r="Y79" s="13">
        <v>0</v>
      </c>
      <c r="Z79" s="12" t="s">
        <v>1386</v>
      </c>
      <c r="AA79" s="13">
        <v>0</v>
      </c>
      <c r="AB79" s="12" t="s">
        <v>1387</v>
      </c>
      <c r="AC79" s="63">
        <v>0</v>
      </c>
      <c r="AD79" s="1"/>
    </row>
    <row r="80" spans="3:30" ht="45.75" customHeight="1" thickBot="1" x14ac:dyDescent="0.3">
      <c r="C80" s="61">
        <v>999</v>
      </c>
      <c r="D80" s="12">
        <v>73</v>
      </c>
      <c r="E80" s="12" t="s">
        <v>2368</v>
      </c>
      <c r="F80" s="12" t="s">
        <v>87</v>
      </c>
      <c r="G80" s="12" t="s">
        <v>1402</v>
      </c>
      <c r="H80" s="12" t="s">
        <v>2480</v>
      </c>
      <c r="I80" s="12" t="s">
        <v>2480</v>
      </c>
      <c r="J80" s="12" t="s">
        <v>2481</v>
      </c>
      <c r="K80" s="12" t="s">
        <v>60</v>
      </c>
      <c r="L80" s="12" t="s">
        <v>61</v>
      </c>
      <c r="M80" s="12" t="s">
        <v>1587</v>
      </c>
      <c r="N80" s="12" t="s">
        <v>62</v>
      </c>
      <c r="O80" s="13">
        <v>1028457.59</v>
      </c>
      <c r="P80" s="13">
        <v>1771.24</v>
      </c>
      <c r="Q80" s="12">
        <v>2</v>
      </c>
      <c r="R80" s="12" t="s">
        <v>1573</v>
      </c>
      <c r="S80" s="62" t="s">
        <v>1385</v>
      </c>
      <c r="T80" s="62">
        <v>44564</v>
      </c>
      <c r="U80" s="62">
        <v>44564</v>
      </c>
      <c r="V80" s="12" t="s">
        <v>1562</v>
      </c>
      <c r="W80" s="13">
        <v>0</v>
      </c>
      <c r="X80" s="13">
        <v>0</v>
      </c>
      <c r="Y80" s="13">
        <v>0</v>
      </c>
      <c r="Z80" s="12" t="s">
        <v>1386</v>
      </c>
      <c r="AA80" s="13">
        <v>0</v>
      </c>
      <c r="AB80" s="12" t="s">
        <v>1387</v>
      </c>
      <c r="AC80" s="63">
        <v>0</v>
      </c>
      <c r="AD80" s="1"/>
    </row>
    <row r="81" spans="3:30" ht="45.75" customHeight="1" thickBot="1" x14ac:dyDescent="0.3">
      <c r="C81" s="61">
        <v>999</v>
      </c>
      <c r="D81" s="12">
        <v>74</v>
      </c>
      <c r="E81" s="12" t="s">
        <v>2368</v>
      </c>
      <c r="F81" s="12" t="s">
        <v>87</v>
      </c>
      <c r="G81" s="12" t="s">
        <v>1402</v>
      </c>
      <c r="H81" s="12" t="s">
        <v>2482</v>
      </c>
      <c r="I81" s="12" t="s">
        <v>2482</v>
      </c>
      <c r="J81" s="12" t="s">
        <v>2483</v>
      </c>
      <c r="K81" s="12" t="s">
        <v>60</v>
      </c>
      <c r="L81" s="12" t="s">
        <v>61</v>
      </c>
      <c r="M81" s="12" t="s">
        <v>1587</v>
      </c>
      <c r="N81" s="12" t="s">
        <v>62</v>
      </c>
      <c r="O81" s="13">
        <v>415895.58118500002</v>
      </c>
      <c r="P81" s="13">
        <v>0</v>
      </c>
      <c r="Q81" s="12">
        <v>0</v>
      </c>
      <c r="R81" s="12" t="s">
        <v>1563</v>
      </c>
      <c r="S81" s="62" t="s">
        <v>1385</v>
      </c>
      <c r="T81" s="62">
        <v>44564</v>
      </c>
      <c r="U81" s="62">
        <v>44564</v>
      </c>
      <c r="V81" s="12" t="s">
        <v>1562</v>
      </c>
      <c r="W81" s="13">
        <v>0</v>
      </c>
      <c r="X81" s="13">
        <v>0</v>
      </c>
      <c r="Y81" s="13">
        <v>0</v>
      </c>
      <c r="Z81" s="12" t="s">
        <v>1386</v>
      </c>
      <c r="AA81" s="13">
        <v>0</v>
      </c>
      <c r="AB81" s="12" t="s">
        <v>1387</v>
      </c>
      <c r="AC81" s="63">
        <v>0</v>
      </c>
      <c r="AD81" s="1"/>
    </row>
    <row r="82" spans="3:30" ht="45.75" customHeight="1" thickBot="1" x14ac:dyDescent="0.3">
      <c r="C82" s="61">
        <v>999</v>
      </c>
      <c r="D82" s="12">
        <v>75</v>
      </c>
      <c r="E82" s="12" t="s">
        <v>2368</v>
      </c>
      <c r="F82" s="12" t="s">
        <v>87</v>
      </c>
      <c r="G82" s="12" t="s">
        <v>1402</v>
      </c>
      <c r="H82" s="12" t="s">
        <v>2484</v>
      </c>
      <c r="I82" s="12" t="s">
        <v>2484</v>
      </c>
      <c r="J82" s="12" t="s">
        <v>2485</v>
      </c>
      <c r="K82" s="12" t="s">
        <v>60</v>
      </c>
      <c r="L82" s="12" t="s">
        <v>61</v>
      </c>
      <c r="M82" s="12" t="s">
        <v>1587</v>
      </c>
      <c r="N82" s="12" t="s">
        <v>62</v>
      </c>
      <c r="O82" s="13">
        <v>916525.73</v>
      </c>
      <c r="P82" s="13">
        <v>0</v>
      </c>
      <c r="Q82" s="12">
        <v>0</v>
      </c>
      <c r="R82" s="12" t="s">
        <v>1573</v>
      </c>
      <c r="S82" s="62" t="s">
        <v>1385</v>
      </c>
      <c r="T82" s="62">
        <v>44564</v>
      </c>
      <c r="U82" s="62">
        <v>44564</v>
      </c>
      <c r="V82" s="12" t="s">
        <v>1562</v>
      </c>
      <c r="W82" s="13">
        <v>0</v>
      </c>
      <c r="X82" s="13">
        <v>0</v>
      </c>
      <c r="Y82" s="13">
        <v>0</v>
      </c>
      <c r="Z82" s="12" t="s">
        <v>1386</v>
      </c>
      <c r="AA82" s="13">
        <v>0</v>
      </c>
      <c r="AB82" s="12" t="s">
        <v>1387</v>
      </c>
      <c r="AC82" s="63">
        <v>0</v>
      </c>
      <c r="AD82" s="1"/>
    </row>
    <row r="83" spans="3:30" ht="45.75" customHeight="1" thickBot="1" x14ac:dyDescent="0.3">
      <c r="C83" s="61">
        <v>999</v>
      </c>
      <c r="D83" s="12">
        <v>76</v>
      </c>
      <c r="E83" s="12" t="s">
        <v>2368</v>
      </c>
      <c r="F83" s="12" t="s">
        <v>87</v>
      </c>
      <c r="G83" s="12" t="s">
        <v>1402</v>
      </c>
      <c r="H83" s="12" t="s">
        <v>2486</v>
      </c>
      <c r="I83" s="12" t="s">
        <v>2486</v>
      </c>
      <c r="J83" s="12" t="s">
        <v>2487</v>
      </c>
      <c r="K83" s="12" t="s">
        <v>60</v>
      </c>
      <c r="L83" s="12" t="s">
        <v>61</v>
      </c>
      <c r="M83" s="12" t="s">
        <v>1587</v>
      </c>
      <c r="N83" s="12" t="s">
        <v>62</v>
      </c>
      <c r="O83" s="13">
        <v>30000</v>
      </c>
      <c r="P83" s="13">
        <v>0</v>
      </c>
      <c r="Q83" s="12">
        <v>0</v>
      </c>
      <c r="R83" s="12" t="s">
        <v>1573</v>
      </c>
      <c r="S83" s="62" t="s">
        <v>1385</v>
      </c>
      <c r="T83" s="62">
        <v>44564</v>
      </c>
      <c r="U83" s="62">
        <v>44564</v>
      </c>
      <c r="V83" s="12" t="s">
        <v>1562</v>
      </c>
      <c r="W83" s="13">
        <v>0</v>
      </c>
      <c r="X83" s="13">
        <v>0</v>
      </c>
      <c r="Y83" s="13">
        <v>0</v>
      </c>
      <c r="Z83" s="12" t="s">
        <v>1386</v>
      </c>
      <c r="AA83" s="13">
        <v>0</v>
      </c>
      <c r="AB83" s="12" t="s">
        <v>1387</v>
      </c>
      <c r="AC83" s="63">
        <v>0</v>
      </c>
      <c r="AD83" s="1"/>
    </row>
    <row r="84" spans="3:30" ht="45.75" customHeight="1" thickBot="1" x14ac:dyDescent="0.3">
      <c r="C84" s="61">
        <v>999</v>
      </c>
      <c r="D84" s="12">
        <v>77</v>
      </c>
      <c r="E84" s="12" t="s">
        <v>2368</v>
      </c>
      <c r="F84" s="12" t="s">
        <v>87</v>
      </c>
      <c r="G84" s="12" t="s">
        <v>1402</v>
      </c>
      <c r="H84" s="12" t="s">
        <v>2488</v>
      </c>
      <c r="I84" s="12" t="s">
        <v>2488</v>
      </c>
      <c r="J84" s="12" t="s">
        <v>2489</v>
      </c>
      <c r="K84" s="12" t="s">
        <v>60</v>
      </c>
      <c r="L84" s="12" t="s">
        <v>61</v>
      </c>
      <c r="M84" s="12" t="s">
        <v>1587</v>
      </c>
      <c r="N84" s="12" t="s">
        <v>62</v>
      </c>
      <c r="O84" s="13">
        <v>46788.34</v>
      </c>
      <c r="P84" s="13">
        <v>0</v>
      </c>
      <c r="Q84" s="12">
        <v>0</v>
      </c>
      <c r="R84" s="12" t="s">
        <v>1573</v>
      </c>
      <c r="S84" s="62" t="s">
        <v>1385</v>
      </c>
      <c r="T84" s="62">
        <v>44564</v>
      </c>
      <c r="U84" s="62">
        <v>44564</v>
      </c>
      <c r="V84" s="12" t="s">
        <v>1562</v>
      </c>
      <c r="W84" s="13">
        <v>0</v>
      </c>
      <c r="X84" s="13">
        <v>0</v>
      </c>
      <c r="Y84" s="13">
        <v>0</v>
      </c>
      <c r="Z84" s="12" t="s">
        <v>1386</v>
      </c>
      <c r="AA84" s="13">
        <v>0</v>
      </c>
      <c r="AB84" s="12" t="s">
        <v>1387</v>
      </c>
      <c r="AC84" s="63">
        <v>0</v>
      </c>
      <c r="AD84" s="1"/>
    </row>
    <row r="85" spans="3:30" ht="45.75" customHeight="1" thickBot="1" x14ac:dyDescent="0.3">
      <c r="C85" s="61">
        <v>999</v>
      </c>
      <c r="D85" s="12">
        <v>78</v>
      </c>
      <c r="E85" s="12" t="s">
        <v>2368</v>
      </c>
      <c r="F85" s="12" t="s">
        <v>87</v>
      </c>
      <c r="G85" s="12" t="s">
        <v>1402</v>
      </c>
      <c r="H85" s="12" t="s">
        <v>2490</v>
      </c>
      <c r="I85" s="12" t="s">
        <v>2490</v>
      </c>
      <c r="J85" s="12" t="s">
        <v>2491</v>
      </c>
      <c r="K85" s="12" t="s">
        <v>60</v>
      </c>
      <c r="L85" s="12" t="s">
        <v>61</v>
      </c>
      <c r="M85" s="12" t="s">
        <v>1587</v>
      </c>
      <c r="N85" s="12" t="s">
        <v>62</v>
      </c>
      <c r="O85" s="13">
        <v>171282.91</v>
      </c>
      <c r="P85" s="13">
        <v>0</v>
      </c>
      <c r="Q85" s="12">
        <v>0</v>
      </c>
      <c r="R85" s="12" t="s">
        <v>1573</v>
      </c>
      <c r="S85" s="62" t="s">
        <v>1385</v>
      </c>
      <c r="T85" s="62">
        <v>44564</v>
      </c>
      <c r="U85" s="62">
        <v>44564</v>
      </c>
      <c r="V85" s="12" t="s">
        <v>1562</v>
      </c>
      <c r="W85" s="13">
        <v>0</v>
      </c>
      <c r="X85" s="13">
        <v>0</v>
      </c>
      <c r="Y85" s="13">
        <v>0</v>
      </c>
      <c r="Z85" s="12" t="s">
        <v>1386</v>
      </c>
      <c r="AA85" s="13">
        <v>0</v>
      </c>
      <c r="AB85" s="12" t="s">
        <v>1387</v>
      </c>
      <c r="AC85" s="63">
        <v>0</v>
      </c>
      <c r="AD85" s="1"/>
    </row>
    <row r="86" spans="3:30" ht="45.75" customHeight="1" thickBot="1" x14ac:dyDescent="0.3">
      <c r="C86" s="61">
        <v>999</v>
      </c>
      <c r="D86" s="12">
        <v>79</v>
      </c>
      <c r="E86" s="12" t="s">
        <v>2368</v>
      </c>
      <c r="F86" s="12" t="s">
        <v>87</v>
      </c>
      <c r="G86" s="12" t="s">
        <v>1402</v>
      </c>
      <c r="H86" s="12" t="s">
        <v>2492</v>
      </c>
      <c r="I86" s="12" t="s">
        <v>2492</v>
      </c>
      <c r="J86" s="12" t="s">
        <v>2493</v>
      </c>
      <c r="K86" s="12" t="s">
        <v>60</v>
      </c>
      <c r="L86" s="12" t="s">
        <v>61</v>
      </c>
      <c r="M86" s="12" t="s">
        <v>1587</v>
      </c>
      <c r="N86" s="12" t="s">
        <v>62</v>
      </c>
      <c r="O86" s="13">
        <v>484064.34</v>
      </c>
      <c r="P86" s="13">
        <v>0</v>
      </c>
      <c r="Q86" s="12">
        <v>0</v>
      </c>
      <c r="R86" s="12" t="s">
        <v>1573</v>
      </c>
      <c r="S86" s="62" t="s">
        <v>1385</v>
      </c>
      <c r="T86" s="62">
        <v>44564</v>
      </c>
      <c r="U86" s="62">
        <v>44564</v>
      </c>
      <c r="V86" s="12" t="s">
        <v>1562</v>
      </c>
      <c r="W86" s="13">
        <v>0</v>
      </c>
      <c r="X86" s="13">
        <v>0</v>
      </c>
      <c r="Y86" s="13">
        <v>0</v>
      </c>
      <c r="Z86" s="12" t="s">
        <v>1386</v>
      </c>
      <c r="AA86" s="13">
        <v>0</v>
      </c>
      <c r="AB86" s="12" t="s">
        <v>1387</v>
      </c>
      <c r="AC86" s="63">
        <v>0</v>
      </c>
      <c r="AD86" s="1"/>
    </row>
    <row r="87" spans="3:30" ht="45.75" customHeight="1" thickBot="1" x14ac:dyDescent="0.3">
      <c r="C87" s="61">
        <v>999</v>
      </c>
      <c r="D87" s="12">
        <v>80</v>
      </c>
      <c r="E87" s="12" t="s">
        <v>2368</v>
      </c>
      <c r="F87" s="12" t="s">
        <v>87</v>
      </c>
      <c r="G87" s="12" t="s">
        <v>1402</v>
      </c>
      <c r="H87" s="12" t="s">
        <v>2492</v>
      </c>
      <c r="I87" s="12" t="s">
        <v>2492</v>
      </c>
      <c r="J87" s="12" t="s">
        <v>2493</v>
      </c>
      <c r="K87" s="12" t="s">
        <v>60</v>
      </c>
      <c r="L87" s="12" t="s">
        <v>61</v>
      </c>
      <c r="M87" s="12" t="s">
        <v>1587</v>
      </c>
      <c r="N87" s="12" t="s">
        <v>62</v>
      </c>
      <c r="O87" s="13">
        <v>10846.847675999999</v>
      </c>
      <c r="P87" s="13">
        <v>0</v>
      </c>
      <c r="Q87" s="12">
        <v>0</v>
      </c>
      <c r="R87" s="12" t="s">
        <v>1565</v>
      </c>
      <c r="S87" s="62" t="s">
        <v>1385</v>
      </c>
      <c r="T87" s="62">
        <v>44564</v>
      </c>
      <c r="U87" s="62">
        <v>44564</v>
      </c>
      <c r="V87" s="12" t="s">
        <v>1562</v>
      </c>
      <c r="W87" s="13">
        <v>0</v>
      </c>
      <c r="X87" s="13">
        <v>0</v>
      </c>
      <c r="Y87" s="13">
        <v>0</v>
      </c>
      <c r="Z87" s="12" t="s">
        <v>1386</v>
      </c>
      <c r="AA87" s="13">
        <v>0</v>
      </c>
      <c r="AB87" s="12" t="s">
        <v>1387</v>
      </c>
      <c r="AC87" s="63">
        <v>0</v>
      </c>
      <c r="AD87" s="1"/>
    </row>
    <row r="88" spans="3:30" ht="45.75" customHeight="1" thickBot="1" x14ac:dyDescent="0.3">
      <c r="C88" s="61">
        <v>999</v>
      </c>
      <c r="D88" s="12">
        <v>81</v>
      </c>
      <c r="E88" s="12" t="s">
        <v>2368</v>
      </c>
      <c r="F88" s="12" t="s">
        <v>87</v>
      </c>
      <c r="G88" s="12" t="s">
        <v>1402</v>
      </c>
      <c r="H88" s="12" t="s">
        <v>2492</v>
      </c>
      <c r="I88" s="12" t="s">
        <v>2492</v>
      </c>
      <c r="J88" s="12" t="s">
        <v>2493</v>
      </c>
      <c r="K88" s="12" t="s">
        <v>60</v>
      </c>
      <c r="L88" s="12" t="s">
        <v>61</v>
      </c>
      <c r="M88" s="12" t="s">
        <v>1587</v>
      </c>
      <c r="N88" s="12" t="s">
        <v>62</v>
      </c>
      <c r="O88" s="13">
        <v>3367.2760800000001</v>
      </c>
      <c r="P88" s="13">
        <v>0</v>
      </c>
      <c r="Q88" s="12">
        <v>0</v>
      </c>
      <c r="R88" s="12" t="s">
        <v>1569</v>
      </c>
      <c r="S88" s="62" t="s">
        <v>1385</v>
      </c>
      <c r="T88" s="62">
        <v>44564</v>
      </c>
      <c r="U88" s="62">
        <v>44564</v>
      </c>
      <c r="V88" s="12" t="s">
        <v>1562</v>
      </c>
      <c r="W88" s="13">
        <v>0</v>
      </c>
      <c r="X88" s="13">
        <v>0</v>
      </c>
      <c r="Y88" s="13">
        <v>0</v>
      </c>
      <c r="Z88" s="12" t="s">
        <v>1386</v>
      </c>
      <c r="AA88" s="13">
        <v>0</v>
      </c>
      <c r="AB88" s="12" t="s">
        <v>1387</v>
      </c>
      <c r="AC88" s="63">
        <v>0</v>
      </c>
      <c r="AD88" s="1"/>
    </row>
    <row r="89" spans="3:30" ht="45.75" customHeight="1" thickBot="1" x14ac:dyDescent="0.3">
      <c r="C89" s="61">
        <v>999</v>
      </c>
      <c r="D89" s="12">
        <v>82</v>
      </c>
      <c r="E89" s="12" t="s">
        <v>2368</v>
      </c>
      <c r="F89" s="12" t="s">
        <v>87</v>
      </c>
      <c r="G89" s="12" t="s">
        <v>1402</v>
      </c>
      <c r="H89" s="12" t="s">
        <v>2492</v>
      </c>
      <c r="I89" s="12" t="s">
        <v>2492</v>
      </c>
      <c r="J89" s="12" t="s">
        <v>2493</v>
      </c>
      <c r="K89" s="12" t="s">
        <v>60</v>
      </c>
      <c r="L89" s="12" t="s">
        <v>61</v>
      </c>
      <c r="M89" s="12" t="s">
        <v>1587</v>
      </c>
      <c r="N89" s="12" t="s">
        <v>62</v>
      </c>
      <c r="O89" s="13">
        <v>2184.2496890000002</v>
      </c>
      <c r="P89" s="13">
        <v>0</v>
      </c>
      <c r="Q89" s="12">
        <v>0</v>
      </c>
      <c r="R89" s="12" t="s">
        <v>1568</v>
      </c>
      <c r="S89" s="62" t="s">
        <v>1385</v>
      </c>
      <c r="T89" s="62">
        <v>44564</v>
      </c>
      <c r="U89" s="62">
        <v>44564</v>
      </c>
      <c r="V89" s="12" t="s">
        <v>1562</v>
      </c>
      <c r="W89" s="13">
        <v>0</v>
      </c>
      <c r="X89" s="13">
        <v>0</v>
      </c>
      <c r="Y89" s="13">
        <v>0</v>
      </c>
      <c r="Z89" s="12" t="s">
        <v>1386</v>
      </c>
      <c r="AA89" s="13">
        <v>0</v>
      </c>
      <c r="AB89" s="12" t="s">
        <v>1387</v>
      </c>
      <c r="AC89" s="63">
        <v>0</v>
      </c>
      <c r="AD89" s="1"/>
    </row>
    <row r="90" spans="3:30" ht="45.75" customHeight="1" thickBot="1" x14ac:dyDescent="0.3">
      <c r="C90" s="61">
        <v>999</v>
      </c>
      <c r="D90" s="12">
        <v>83</v>
      </c>
      <c r="E90" s="12" t="s">
        <v>2368</v>
      </c>
      <c r="F90" s="12" t="s">
        <v>87</v>
      </c>
      <c r="G90" s="12" t="s">
        <v>1402</v>
      </c>
      <c r="H90" s="12" t="s">
        <v>2492</v>
      </c>
      <c r="I90" s="12" t="s">
        <v>2492</v>
      </c>
      <c r="J90" s="12" t="s">
        <v>2493</v>
      </c>
      <c r="K90" s="12" t="s">
        <v>60</v>
      </c>
      <c r="L90" s="12" t="s">
        <v>61</v>
      </c>
      <c r="M90" s="12" t="s">
        <v>1587</v>
      </c>
      <c r="N90" s="12" t="s">
        <v>62</v>
      </c>
      <c r="O90" s="13">
        <v>21766.815823000001</v>
      </c>
      <c r="P90" s="13">
        <v>0</v>
      </c>
      <c r="Q90" s="12">
        <v>0</v>
      </c>
      <c r="R90" s="12" t="s">
        <v>1571</v>
      </c>
      <c r="S90" s="62" t="s">
        <v>1385</v>
      </c>
      <c r="T90" s="62">
        <v>44564</v>
      </c>
      <c r="U90" s="62">
        <v>44564</v>
      </c>
      <c r="V90" s="12" t="s">
        <v>1562</v>
      </c>
      <c r="W90" s="13">
        <v>0</v>
      </c>
      <c r="X90" s="13">
        <v>0</v>
      </c>
      <c r="Y90" s="13">
        <v>0</v>
      </c>
      <c r="Z90" s="12" t="s">
        <v>1386</v>
      </c>
      <c r="AA90" s="13">
        <v>0</v>
      </c>
      <c r="AB90" s="12" t="s">
        <v>1387</v>
      </c>
      <c r="AC90" s="63">
        <v>0</v>
      </c>
      <c r="AD90" s="1"/>
    </row>
    <row r="91" spans="3:30" ht="45.75" customHeight="1" thickBot="1" x14ac:dyDescent="0.3">
      <c r="C91" s="61">
        <v>999</v>
      </c>
      <c r="D91" s="12">
        <v>84</v>
      </c>
      <c r="E91" s="12" t="s">
        <v>2368</v>
      </c>
      <c r="F91" s="12" t="s">
        <v>87</v>
      </c>
      <c r="G91" s="12" t="s">
        <v>1402</v>
      </c>
      <c r="H91" s="12" t="s">
        <v>2492</v>
      </c>
      <c r="I91" s="12" t="s">
        <v>2492</v>
      </c>
      <c r="J91" s="12" t="s">
        <v>2493</v>
      </c>
      <c r="K91" s="12" t="s">
        <v>60</v>
      </c>
      <c r="L91" s="12" t="s">
        <v>61</v>
      </c>
      <c r="M91" s="12" t="s">
        <v>1587</v>
      </c>
      <c r="N91" s="12" t="s">
        <v>62</v>
      </c>
      <c r="O91" s="13">
        <v>1174.100993</v>
      </c>
      <c r="P91" s="13">
        <v>0</v>
      </c>
      <c r="Q91" s="12">
        <v>0</v>
      </c>
      <c r="R91" s="12" t="s">
        <v>1567</v>
      </c>
      <c r="S91" s="62" t="s">
        <v>1385</v>
      </c>
      <c r="T91" s="62">
        <v>44564</v>
      </c>
      <c r="U91" s="62">
        <v>44564</v>
      </c>
      <c r="V91" s="12" t="s">
        <v>1562</v>
      </c>
      <c r="W91" s="13">
        <v>0</v>
      </c>
      <c r="X91" s="13">
        <v>0</v>
      </c>
      <c r="Y91" s="13">
        <v>0</v>
      </c>
      <c r="Z91" s="12" t="s">
        <v>1386</v>
      </c>
      <c r="AA91" s="13">
        <v>0</v>
      </c>
      <c r="AB91" s="12" t="s">
        <v>1387</v>
      </c>
      <c r="AC91" s="63">
        <v>0</v>
      </c>
      <c r="AD91" s="1"/>
    </row>
    <row r="92" spans="3:30" ht="45.75" customHeight="1" thickBot="1" x14ac:dyDescent="0.3">
      <c r="C92" s="61">
        <v>999</v>
      </c>
      <c r="D92" s="12">
        <v>85</v>
      </c>
      <c r="E92" s="12" t="s">
        <v>2368</v>
      </c>
      <c r="F92" s="12" t="s">
        <v>87</v>
      </c>
      <c r="G92" s="12" t="s">
        <v>1402</v>
      </c>
      <c r="H92" s="12" t="s">
        <v>2492</v>
      </c>
      <c r="I92" s="12" t="s">
        <v>2492</v>
      </c>
      <c r="J92" s="12" t="s">
        <v>2493</v>
      </c>
      <c r="K92" s="12" t="s">
        <v>60</v>
      </c>
      <c r="L92" s="12" t="s">
        <v>61</v>
      </c>
      <c r="M92" s="12" t="s">
        <v>1587</v>
      </c>
      <c r="N92" s="12" t="s">
        <v>62</v>
      </c>
      <c r="O92" s="13">
        <v>46012.283418999999</v>
      </c>
      <c r="P92" s="13">
        <v>0</v>
      </c>
      <c r="Q92" s="12">
        <v>0</v>
      </c>
      <c r="R92" s="12" t="s">
        <v>1570</v>
      </c>
      <c r="S92" s="62" t="s">
        <v>1385</v>
      </c>
      <c r="T92" s="62">
        <v>44564</v>
      </c>
      <c r="U92" s="62">
        <v>44564</v>
      </c>
      <c r="V92" s="12" t="s">
        <v>1562</v>
      </c>
      <c r="W92" s="13">
        <v>0</v>
      </c>
      <c r="X92" s="13">
        <v>0</v>
      </c>
      <c r="Y92" s="13">
        <v>0</v>
      </c>
      <c r="Z92" s="12" t="s">
        <v>1386</v>
      </c>
      <c r="AA92" s="13">
        <v>0</v>
      </c>
      <c r="AB92" s="12" t="s">
        <v>1387</v>
      </c>
      <c r="AC92" s="63">
        <v>0</v>
      </c>
      <c r="AD92" s="1"/>
    </row>
    <row r="93" spans="3:30" ht="45.75" customHeight="1" thickBot="1" x14ac:dyDescent="0.3">
      <c r="C93" s="61">
        <v>999</v>
      </c>
      <c r="D93" s="12">
        <v>86</v>
      </c>
      <c r="E93" s="12" t="s">
        <v>2368</v>
      </c>
      <c r="F93" s="12" t="s">
        <v>87</v>
      </c>
      <c r="G93" s="12" t="s">
        <v>1402</v>
      </c>
      <c r="H93" s="12" t="s">
        <v>2492</v>
      </c>
      <c r="I93" s="12" t="s">
        <v>2492</v>
      </c>
      <c r="J93" s="12" t="s">
        <v>2493</v>
      </c>
      <c r="K93" s="12" t="s">
        <v>60</v>
      </c>
      <c r="L93" s="12" t="s">
        <v>61</v>
      </c>
      <c r="M93" s="12" t="s">
        <v>1587</v>
      </c>
      <c r="N93" s="12" t="s">
        <v>62</v>
      </c>
      <c r="O93" s="13">
        <v>3522766.5813170001</v>
      </c>
      <c r="P93" s="13">
        <v>0</v>
      </c>
      <c r="Q93" s="12">
        <v>0</v>
      </c>
      <c r="R93" s="12" t="s">
        <v>1572</v>
      </c>
      <c r="S93" s="62" t="s">
        <v>1385</v>
      </c>
      <c r="T93" s="62">
        <v>44564</v>
      </c>
      <c r="U93" s="62">
        <v>44564</v>
      </c>
      <c r="V93" s="12" t="s">
        <v>1562</v>
      </c>
      <c r="W93" s="13">
        <v>0</v>
      </c>
      <c r="X93" s="13">
        <v>0</v>
      </c>
      <c r="Y93" s="13">
        <v>0</v>
      </c>
      <c r="Z93" s="12" t="s">
        <v>1386</v>
      </c>
      <c r="AA93" s="13">
        <v>0</v>
      </c>
      <c r="AB93" s="12" t="s">
        <v>1387</v>
      </c>
      <c r="AC93" s="63">
        <v>0</v>
      </c>
      <c r="AD93" s="1"/>
    </row>
    <row r="94" spans="3:30" ht="45.75" customHeight="1" thickBot="1" x14ac:dyDescent="0.3">
      <c r="C94" s="61">
        <v>999</v>
      </c>
      <c r="D94" s="12">
        <v>87</v>
      </c>
      <c r="E94" s="12" t="s">
        <v>2368</v>
      </c>
      <c r="F94" s="12" t="s">
        <v>87</v>
      </c>
      <c r="G94" s="12" t="s">
        <v>1402</v>
      </c>
      <c r="H94" s="12" t="s">
        <v>2492</v>
      </c>
      <c r="I94" s="12" t="s">
        <v>2492</v>
      </c>
      <c r="J94" s="12" t="s">
        <v>2493</v>
      </c>
      <c r="K94" s="12" t="s">
        <v>60</v>
      </c>
      <c r="L94" s="12" t="s">
        <v>61</v>
      </c>
      <c r="M94" s="12" t="s">
        <v>1587</v>
      </c>
      <c r="N94" s="12" t="s">
        <v>62</v>
      </c>
      <c r="O94" s="13">
        <v>11361.786980000001</v>
      </c>
      <c r="P94" s="13">
        <v>0</v>
      </c>
      <c r="Q94" s="12">
        <v>0</v>
      </c>
      <c r="R94" s="12" t="s">
        <v>1563</v>
      </c>
      <c r="S94" s="62" t="s">
        <v>1385</v>
      </c>
      <c r="T94" s="62">
        <v>44564</v>
      </c>
      <c r="U94" s="62">
        <v>44564</v>
      </c>
      <c r="V94" s="12" t="s">
        <v>1562</v>
      </c>
      <c r="W94" s="13">
        <v>0</v>
      </c>
      <c r="X94" s="13">
        <v>0</v>
      </c>
      <c r="Y94" s="13">
        <v>0</v>
      </c>
      <c r="Z94" s="12" t="s">
        <v>1386</v>
      </c>
      <c r="AA94" s="13">
        <v>0</v>
      </c>
      <c r="AB94" s="12" t="s">
        <v>1387</v>
      </c>
      <c r="AC94" s="63">
        <v>0</v>
      </c>
      <c r="AD94" s="1"/>
    </row>
    <row r="95" spans="3:30" ht="45.75" customHeight="1" thickBot="1" x14ac:dyDescent="0.3">
      <c r="C95" s="61">
        <v>999</v>
      </c>
      <c r="D95" s="12">
        <v>88</v>
      </c>
      <c r="E95" s="12" t="s">
        <v>2368</v>
      </c>
      <c r="F95" s="12" t="s">
        <v>87</v>
      </c>
      <c r="G95" s="12" t="s">
        <v>1402</v>
      </c>
      <c r="H95" s="12" t="s">
        <v>2494</v>
      </c>
      <c r="I95" s="12" t="s">
        <v>2494</v>
      </c>
      <c r="J95" s="12" t="s">
        <v>2495</v>
      </c>
      <c r="K95" s="12" t="s">
        <v>60</v>
      </c>
      <c r="L95" s="12" t="s">
        <v>61</v>
      </c>
      <c r="M95" s="12" t="s">
        <v>1587</v>
      </c>
      <c r="N95" s="12" t="s">
        <v>62</v>
      </c>
      <c r="O95" s="13">
        <v>280645.541233</v>
      </c>
      <c r="P95" s="13">
        <v>0</v>
      </c>
      <c r="Q95" s="12">
        <v>0</v>
      </c>
      <c r="R95" s="12" t="s">
        <v>1572</v>
      </c>
      <c r="S95" s="62" t="s">
        <v>1385</v>
      </c>
      <c r="T95" s="62">
        <v>44564</v>
      </c>
      <c r="U95" s="62">
        <v>44564</v>
      </c>
      <c r="V95" s="12" t="s">
        <v>1562</v>
      </c>
      <c r="W95" s="13">
        <v>0</v>
      </c>
      <c r="X95" s="13">
        <v>0</v>
      </c>
      <c r="Y95" s="13">
        <v>0</v>
      </c>
      <c r="Z95" s="12" t="s">
        <v>1386</v>
      </c>
      <c r="AA95" s="13">
        <v>0</v>
      </c>
      <c r="AB95" s="12" t="s">
        <v>1387</v>
      </c>
      <c r="AC95" s="63">
        <v>0</v>
      </c>
      <c r="AD95" s="1"/>
    </row>
    <row r="96" spans="3:30" ht="45.75" customHeight="1" thickBot="1" x14ac:dyDescent="0.3">
      <c r="C96" s="61">
        <v>999</v>
      </c>
      <c r="D96" s="12">
        <v>89</v>
      </c>
      <c r="E96" s="12" t="s">
        <v>2368</v>
      </c>
      <c r="F96" s="12" t="s">
        <v>87</v>
      </c>
      <c r="G96" s="12" t="s">
        <v>1402</v>
      </c>
      <c r="H96" s="12" t="s">
        <v>2494</v>
      </c>
      <c r="I96" s="12" t="s">
        <v>2494</v>
      </c>
      <c r="J96" s="12" t="s">
        <v>2495</v>
      </c>
      <c r="K96" s="12" t="s">
        <v>60</v>
      </c>
      <c r="L96" s="12" t="s">
        <v>61</v>
      </c>
      <c r="M96" s="12" t="s">
        <v>1587</v>
      </c>
      <c r="N96" s="12" t="s">
        <v>62</v>
      </c>
      <c r="O96" s="13">
        <v>139079.5</v>
      </c>
      <c r="P96" s="13">
        <v>0</v>
      </c>
      <c r="Q96" s="12">
        <v>0</v>
      </c>
      <c r="R96" s="12" t="s">
        <v>1573</v>
      </c>
      <c r="S96" s="62" t="s">
        <v>1385</v>
      </c>
      <c r="T96" s="62">
        <v>44564</v>
      </c>
      <c r="U96" s="62">
        <v>44564</v>
      </c>
      <c r="V96" s="12" t="s">
        <v>1562</v>
      </c>
      <c r="W96" s="13">
        <v>0</v>
      </c>
      <c r="X96" s="13">
        <v>0</v>
      </c>
      <c r="Y96" s="13">
        <v>0</v>
      </c>
      <c r="Z96" s="12" t="s">
        <v>1386</v>
      </c>
      <c r="AA96" s="13">
        <v>0</v>
      </c>
      <c r="AB96" s="12" t="s">
        <v>1387</v>
      </c>
      <c r="AC96" s="63">
        <v>0</v>
      </c>
      <c r="AD96" s="1"/>
    </row>
    <row r="97" spans="3:30" ht="45.75" customHeight="1" thickBot="1" x14ac:dyDescent="0.3">
      <c r="C97" s="61">
        <v>999</v>
      </c>
      <c r="D97" s="12">
        <v>90</v>
      </c>
      <c r="E97" s="12" t="s">
        <v>2368</v>
      </c>
      <c r="F97" s="12" t="s">
        <v>87</v>
      </c>
      <c r="G97" s="12" t="s">
        <v>1402</v>
      </c>
      <c r="H97" s="12" t="s">
        <v>2490</v>
      </c>
      <c r="I97" s="12" t="s">
        <v>2490</v>
      </c>
      <c r="J97" s="12" t="s">
        <v>2496</v>
      </c>
      <c r="K97" s="12" t="s">
        <v>60</v>
      </c>
      <c r="L97" s="12" t="s">
        <v>61</v>
      </c>
      <c r="M97" s="12" t="s">
        <v>1587</v>
      </c>
      <c r="N97" s="12" t="s">
        <v>62</v>
      </c>
      <c r="O97" s="13">
        <v>3851957.76</v>
      </c>
      <c r="P97" s="13">
        <v>0</v>
      </c>
      <c r="Q97" s="12">
        <v>0</v>
      </c>
      <c r="R97" s="12" t="s">
        <v>1573</v>
      </c>
      <c r="S97" s="62" t="s">
        <v>1385</v>
      </c>
      <c r="T97" s="62">
        <v>44564</v>
      </c>
      <c r="U97" s="62">
        <v>44564</v>
      </c>
      <c r="V97" s="12" t="s">
        <v>1562</v>
      </c>
      <c r="W97" s="13">
        <v>0</v>
      </c>
      <c r="X97" s="13">
        <v>0</v>
      </c>
      <c r="Y97" s="13">
        <v>0</v>
      </c>
      <c r="Z97" s="12" t="s">
        <v>1386</v>
      </c>
      <c r="AA97" s="13">
        <v>0</v>
      </c>
      <c r="AB97" s="12" t="s">
        <v>1387</v>
      </c>
      <c r="AC97" s="63">
        <v>0</v>
      </c>
      <c r="AD97" s="1"/>
    </row>
    <row r="98" spans="3:30" ht="45.75" customHeight="1" thickBot="1" x14ac:dyDescent="0.3">
      <c r="C98" s="61">
        <v>999</v>
      </c>
      <c r="D98" s="12">
        <v>91</v>
      </c>
      <c r="E98" s="12" t="s">
        <v>2368</v>
      </c>
      <c r="F98" s="12" t="s">
        <v>87</v>
      </c>
      <c r="G98" s="12" t="s">
        <v>1402</v>
      </c>
      <c r="H98" s="12" t="s">
        <v>2497</v>
      </c>
      <c r="I98" s="12" t="s">
        <v>2497</v>
      </c>
      <c r="J98" s="12" t="s">
        <v>2498</v>
      </c>
      <c r="K98" s="12" t="s">
        <v>60</v>
      </c>
      <c r="L98" s="12" t="s">
        <v>61</v>
      </c>
      <c r="M98" s="12" t="s">
        <v>1587</v>
      </c>
      <c r="N98" s="12" t="s">
        <v>62</v>
      </c>
      <c r="O98" s="13">
        <v>670420.93999999994</v>
      </c>
      <c r="P98" s="13">
        <v>0</v>
      </c>
      <c r="Q98" s="12">
        <v>0</v>
      </c>
      <c r="R98" s="12" t="s">
        <v>1573</v>
      </c>
      <c r="S98" s="62" t="s">
        <v>1385</v>
      </c>
      <c r="T98" s="62">
        <v>44564</v>
      </c>
      <c r="U98" s="62">
        <v>44564</v>
      </c>
      <c r="V98" s="12" t="s">
        <v>1562</v>
      </c>
      <c r="W98" s="13">
        <v>0</v>
      </c>
      <c r="X98" s="13">
        <v>0</v>
      </c>
      <c r="Y98" s="13">
        <v>0</v>
      </c>
      <c r="Z98" s="12" t="s">
        <v>1386</v>
      </c>
      <c r="AA98" s="13">
        <v>0</v>
      </c>
      <c r="AB98" s="12" t="s">
        <v>1387</v>
      </c>
      <c r="AC98" s="63">
        <v>0</v>
      </c>
      <c r="AD98" s="1"/>
    </row>
    <row r="99" spans="3:30" ht="45.75" customHeight="1" thickBot="1" x14ac:dyDescent="0.3">
      <c r="C99" s="61">
        <v>999</v>
      </c>
      <c r="D99" s="12">
        <v>92</v>
      </c>
      <c r="E99" s="12" t="s">
        <v>2368</v>
      </c>
      <c r="F99" s="12" t="s">
        <v>87</v>
      </c>
      <c r="G99" s="12" t="s">
        <v>1402</v>
      </c>
      <c r="H99" s="12" t="s">
        <v>2499</v>
      </c>
      <c r="I99" s="12" t="s">
        <v>2499</v>
      </c>
      <c r="J99" s="12" t="s">
        <v>2500</v>
      </c>
      <c r="K99" s="12" t="s">
        <v>91</v>
      </c>
      <c r="L99" s="12" t="s">
        <v>61</v>
      </c>
      <c r="M99" s="12" t="s">
        <v>1587</v>
      </c>
      <c r="N99" s="12" t="s">
        <v>62</v>
      </c>
      <c r="O99" s="13">
        <v>40645.74</v>
      </c>
      <c r="P99" s="13">
        <v>0</v>
      </c>
      <c r="Q99" s="12">
        <v>0</v>
      </c>
      <c r="R99" s="12" t="s">
        <v>1573</v>
      </c>
      <c r="S99" s="62" t="s">
        <v>1385</v>
      </c>
      <c r="T99" s="62">
        <v>44564</v>
      </c>
      <c r="U99" s="62">
        <v>44564</v>
      </c>
      <c r="V99" s="12" t="s">
        <v>1562</v>
      </c>
      <c r="W99" s="13">
        <v>0</v>
      </c>
      <c r="X99" s="13">
        <v>0</v>
      </c>
      <c r="Y99" s="13">
        <v>0</v>
      </c>
      <c r="Z99" s="12" t="s">
        <v>1386</v>
      </c>
      <c r="AA99" s="13">
        <v>0</v>
      </c>
      <c r="AB99" s="12" t="s">
        <v>1387</v>
      </c>
      <c r="AC99" s="63">
        <v>0</v>
      </c>
      <c r="AD99" s="1"/>
    </row>
    <row r="100" spans="3:30" ht="45.75" customHeight="1" thickBot="1" x14ac:dyDescent="0.3">
      <c r="C100" s="61">
        <v>999</v>
      </c>
      <c r="D100" s="12">
        <v>93</v>
      </c>
      <c r="E100" s="12" t="s">
        <v>2368</v>
      </c>
      <c r="F100" s="12" t="s">
        <v>87</v>
      </c>
      <c r="G100" s="12" t="s">
        <v>1402</v>
      </c>
      <c r="H100" s="12" t="s">
        <v>2501</v>
      </c>
      <c r="I100" s="12" t="s">
        <v>2501</v>
      </c>
      <c r="J100" s="12" t="s">
        <v>2502</v>
      </c>
      <c r="K100" s="12" t="s">
        <v>60</v>
      </c>
      <c r="L100" s="12" t="s">
        <v>61</v>
      </c>
      <c r="M100" s="12" t="s">
        <v>1587</v>
      </c>
      <c r="N100" s="12" t="s">
        <v>62</v>
      </c>
      <c r="O100" s="13">
        <v>138063.43</v>
      </c>
      <c r="P100" s="13">
        <v>0</v>
      </c>
      <c r="Q100" s="12">
        <v>0</v>
      </c>
      <c r="R100" s="12" t="s">
        <v>1573</v>
      </c>
      <c r="S100" s="62" t="s">
        <v>1385</v>
      </c>
      <c r="T100" s="62">
        <v>44564</v>
      </c>
      <c r="U100" s="62">
        <v>44564</v>
      </c>
      <c r="V100" s="12" t="s">
        <v>1562</v>
      </c>
      <c r="W100" s="13">
        <v>0</v>
      </c>
      <c r="X100" s="13">
        <v>0</v>
      </c>
      <c r="Y100" s="13">
        <v>0</v>
      </c>
      <c r="Z100" s="12" t="s">
        <v>1386</v>
      </c>
      <c r="AA100" s="13">
        <v>0</v>
      </c>
      <c r="AB100" s="12" t="s">
        <v>1387</v>
      </c>
      <c r="AC100" s="63">
        <v>0</v>
      </c>
      <c r="AD100" s="1"/>
    </row>
    <row r="101" spans="3:30" ht="45.75" customHeight="1" thickBot="1" x14ac:dyDescent="0.3">
      <c r="C101" s="61">
        <v>999</v>
      </c>
      <c r="D101" s="12">
        <v>94</v>
      </c>
      <c r="E101" s="12" t="s">
        <v>2368</v>
      </c>
      <c r="F101" s="12" t="s">
        <v>87</v>
      </c>
      <c r="G101" s="12" t="s">
        <v>1402</v>
      </c>
      <c r="H101" s="12" t="s">
        <v>2503</v>
      </c>
      <c r="I101" s="12" t="s">
        <v>2503</v>
      </c>
      <c r="J101" s="12" t="s">
        <v>2504</v>
      </c>
      <c r="K101" s="12" t="s">
        <v>91</v>
      </c>
      <c r="L101" s="12" t="s">
        <v>61</v>
      </c>
      <c r="M101" s="12" t="s">
        <v>1587</v>
      </c>
      <c r="N101" s="12" t="s">
        <v>62</v>
      </c>
      <c r="O101" s="13">
        <v>18606799.050000001</v>
      </c>
      <c r="P101" s="13">
        <v>0</v>
      </c>
      <c r="Q101" s="12">
        <v>0</v>
      </c>
      <c r="R101" s="12" t="s">
        <v>1573</v>
      </c>
      <c r="S101" s="62" t="s">
        <v>1385</v>
      </c>
      <c r="T101" s="62">
        <v>44564</v>
      </c>
      <c r="U101" s="62">
        <v>44564</v>
      </c>
      <c r="V101" s="12" t="s">
        <v>1562</v>
      </c>
      <c r="W101" s="13">
        <v>0</v>
      </c>
      <c r="X101" s="13">
        <v>0</v>
      </c>
      <c r="Y101" s="13">
        <v>0</v>
      </c>
      <c r="Z101" s="12" t="s">
        <v>1386</v>
      </c>
      <c r="AA101" s="13">
        <v>0</v>
      </c>
      <c r="AB101" s="12" t="s">
        <v>1387</v>
      </c>
      <c r="AC101" s="63">
        <v>0</v>
      </c>
      <c r="AD101" s="1"/>
    </row>
    <row r="102" spans="3:30" ht="45.75" customHeight="1" thickBot="1" x14ac:dyDescent="0.3">
      <c r="C102" s="61">
        <v>999</v>
      </c>
      <c r="D102" s="12">
        <v>95</v>
      </c>
      <c r="E102" s="12" t="s">
        <v>2633</v>
      </c>
      <c r="F102" s="12" t="s">
        <v>87</v>
      </c>
      <c r="G102" s="12" t="s">
        <v>1402</v>
      </c>
      <c r="H102" s="12" t="s">
        <v>2505</v>
      </c>
      <c r="I102" s="12" t="s">
        <v>2505</v>
      </c>
      <c r="J102" s="12" t="s">
        <v>2506</v>
      </c>
      <c r="K102" s="12" t="s">
        <v>91</v>
      </c>
      <c r="L102" s="12" t="s">
        <v>61</v>
      </c>
      <c r="M102" s="12" t="s">
        <v>1587</v>
      </c>
      <c r="N102" s="12" t="s">
        <v>62</v>
      </c>
      <c r="O102" s="13">
        <v>40810.25</v>
      </c>
      <c r="P102" s="13">
        <v>0</v>
      </c>
      <c r="Q102" s="12">
        <v>0</v>
      </c>
      <c r="R102" s="12" t="s">
        <v>1573</v>
      </c>
      <c r="S102" s="62" t="s">
        <v>1385</v>
      </c>
      <c r="T102" s="62">
        <v>44564</v>
      </c>
      <c r="U102" s="62">
        <v>44564</v>
      </c>
      <c r="V102" s="12" t="s">
        <v>1562</v>
      </c>
      <c r="W102" s="13">
        <v>0</v>
      </c>
      <c r="X102" s="13">
        <v>0</v>
      </c>
      <c r="Y102" s="13">
        <v>0</v>
      </c>
      <c r="Z102" s="12" t="s">
        <v>1386</v>
      </c>
      <c r="AA102" s="13">
        <v>0</v>
      </c>
      <c r="AB102" s="12" t="s">
        <v>1387</v>
      </c>
      <c r="AC102" s="63">
        <v>0</v>
      </c>
      <c r="AD102" s="1"/>
    </row>
    <row r="103" spans="3:30" ht="45.75" customHeight="1" thickBot="1" x14ac:dyDescent="0.3">
      <c r="C103" s="61">
        <v>999</v>
      </c>
      <c r="D103" s="12">
        <v>96</v>
      </c>
      <c r="E103" s="12" t="s">
        <v>2368</v>
      </c>
      <c r="F103" s="12" t="s">
        <v>87</v>
      </c>
      <c r="G103" s="12" t="s">
        <v>1402</v>
      </c>
      <c r="H103" s="12" t="s">
        <v>2507</v>
      </c>
      <c r="I103" s="12" t="s">
        <v>2507</v>
      </c>
      <c r="J103" s="12" t="s">
        <v>2508</v>
      </c>
      <c r="K103" s="12" t="s">
        <v>60</v>
      </c>
      <c r="L103" s="12" t="s">
        <v>61</v>
      </c>
      <c r="M103" s="12" t="s">
        <v>1587</v>
      </c>
      <c r="N103" s="12" t="s">
        <v>62</v>
      </c>
      <c r="O103" s="13">
        <v>7673.05</v>
      </c>
      <c r="P103" s="13">
        <v>0</v>
      </c>
      <c r="Q103" s="12">
        <v>0</v>
      </c>
      <c r="R103" s="12" t="s">
        <v>1573</v>
      </c>
      <c r="S103" s="62" t="s">
        <v>1385</v>
      </c>
      <c r="T103" s="62">
        <v>44564</v>
      </c>
      <c r="U103" s="62">
        <v>44564</v>
      </c>
      <c r="V103" s="12" t="s">
        <v>1562</v>
      </c>
      <c r="W103" s="13">
        <v>0</v>
      </c>
      <c r="X103" s="13">
        <v>0</v>
      </c>
      <c r="Y103" s="13">
        <v>0</v>
      </c>
      <c r="Z103" s="12" t="s">
        <v>1386</v>
      </c>
      <c r="AA103" s="13">
        <v>0</v>
      </c>
      <c r="AB103" s="12" t="s">
        <v>1387</v>
      </c>
      <c r="AC103" s="63">
        <v>0</v>
      </c>
      <c r="AD103" s="1"/>
    </row>
    <row r="104" spans="3:30" ht="45.75" customHeight="1" thickBot="1" x14ac:dyDescent="0.3">
      <c r="C104" s="61">
        <v>999</v>
      </c>
      <c r="D104" s="12">
        <v>97</v>
      </c>
      <c r="E104" s="12" t="s">
        <v>2368</v>
      </c>
      <c r="F104" s="12" t="s">
        <v>87</v>
      </c>
      <c r="G104" s="12" t="s">
        <v>1402</v>
      </c>
      <c r="H104" s="12" t="s">
        <v>2509</v>
      </c>
      <c r="I104" s="12" t="s">
        <v>2509</v>
      </c>
      <c r="J104" s="12" t="s">
        <v>2510</v>
      </c>
      <c r="K104" s="12" t="s">
        <v>60</v>
      </c>
      <c r="L104" s="12" t="s">
        <v>61</v>
      </c>
      <c r="M104" s="12" t="s">
        <v>1587</v>
      </c>
      <c r="N104" s="12" t="s">
        <v>62</v>
      </c>
      <c r="O104" s="13">
        <v>39754.760318000001</v>
      </c>
      <c r="P104" s="13">
        <v>0</v>
      </c>
      <c r="Q104" s="12">
        <v>0</v>
      </c>
      <c r="R104" s="12" t="s">
        <v>1571</v>
      </c>
      <c r="S104" s="62" t="s">
        <v>1385</v>
      </c>
      <c r="T104" s="62">
        <v>44564</v>
      </c>
      <c r="U104" s="62">
        <v>44564</v>
      </c>
      <c r="V104" s="12" t="s">
        <v>1562</v>
      </c>
      <c r="W104" s="13">
        <v>0</v>
      </c>
      <c r="X104" s="13">
        <v>0</v>
      </c>
      <c r="Y104" s="13">
        <v>0</v>
      </c>
      <c r="Z104" s="12" t="s">
        <v>1386</v>
      </c>
      <c r="AA104" s="13">
        <v>0</v>
      </c>
      <c r="AB104" s="12" t="s">
        <v>1387</v>
      </c>
      <c r="AC104" s="63">
        <v>0</v>
      </c>
      <c r="AD104" s="1"/>
    </row>
    <row r="105" spans="3:30" ht="45.75" customHeight="1" thickBot="1" x14ac:dyDescent="0.3">
      <c r="C105" s="61">
        <v>999</v>
      </c>
      <c r="D105" s="12">
        <v>98</v>
      </c>
      <c r="E105" s="12" t="s">
        <v>2368</v>
      </c>
      <c r="F105" s="12" t="s">
        <v>87</v>
      </c>
      <c r="G105" s="12" t="s">
        <v>1402</v>
      </c>
      <c r="H105" s="12" t="s">
        <v>2509</v>
      </c>
      <c r="I105" s="12" t="s">
        <v>2509</v>
      </c>
      <c r="J105" s="12" t="s">
        <v>2510</v>
      </c>
      <c r="K105" s="12" t="s">
        <v>60</v>
      </c>
      <c r="L105" s="12" t="s">
        <v>61</v>
      </c>
      <c r="M105" s="12" t="s">
        <v>1587</v>
      </c>
      <c r="N105" s="12" t="s">
        <v>62</v>
      </c>
      <c r="O105" s="13">
        <v>43204.046074999998</v>
      </c>
      <c r="P105" s="13">
        <v>0</v>
      </c>
      <c r="Q105" s="12">
        <v>0</v>
      </c>
      <c r="R105" s="12" t="s">
        <v>1570</v>
      </c>
      <c r="S105" s="62" t="s">
        <v>1385</v>
      </c>
      <c r="T105" s="62">
        <v>44564</v>
      </c>
      <c r="U105" s="62">
        <v>44564</v>
      </c>
      <c r="V105" s="12" t="s">
        <v>1562</v>
      </c>
      <c r="W105" s="13">
        <v>0</v>
      </c>
      <c r="X105" s="13">
        <v>0</v>
      </c>
      <c r="Y105" s="13">
        <v>0</v>
      </c>
      <c r="Z105" s="12" t="s">
        <v>1386</v>
      </c>
      <c r="AA105" s="13">
        <v>0</v>
      </c>
      <c r="AB105" s="12" t="s">
        <v>1387</v>
      </c>
      <c r="AC105" s="63">
        <v>0</v>
      </c>
      <c r="AD105" s="1"/>
    </row>
    <row r="106" spans="3:30" ht="45.75" customHeight="1" thickBot="1" x14ac:dyDescent="0.3">
      <c r="C106" s="61">
        <v>999</v>
      </c>
      <c r="D106" s="12">
        <v>99</v>
      </c>
      <c r="E106" s="12" t="s">
        <v>2368</v>
      </c>
      <c r="F106" s="12" t="s">
        <v>87</v>
      </c>
      <c r="G106" s="12" t="s">
        <v>1402</v>
      </c>
      <c r="H106" s="12" t="s">
        <v>2509</v>
      </c>
      <c r="I106" s="12" t="s">
        <v>2509</v>
      </c>
      <c r="J106" s="12" t="s">
        <v>2510</v>
      </c>
      <c r="K106" s="12" t="s">
        <v>60</v>
      </c>
      <c r="L106" s="12" t="s">
        <v>61</v>
      </c>
      <c r="M106" s="12" t="s">
        <v>1587</v>
      </c>
      <c r="N106" s="12" t="s">
        <v>62</v>
      </c>
      <c r="O106" s="13">
        <v>1396401.67</v>
      </c>
      <c r="P106" s="13">
        <v>0</v>
      </c>
      <c r="Q106" s="12">
        <v>0</v>
      </c>
      <c r="R106" s="12" t="s">
        <v>1573</v>
      </c>
      <c r="S106" s="62" t="s">
        <v>1385</v>
      </c>
      <c r="T106" s="62">
        <v>44564</v>
      </c>
      <c r="U106" s="62">
        <v>44564</v>
      </c>
      <c r="V106" s="12" t="s">
        <v>1562</v>
      </c>
      <c r="W106" s="13">
        <v>0</v>
      </c>
      <c r="X106" s="13">
        <v>0</v>
      </c>
      <c r="Y106" s="13">
        <v>0</v>
      </c>
      <c r="Z106" s="12" t="s">
        <v>1386</v>
      </c>
      <c r="AA106" s="13">
        <v>0</v>
      </c>
      <c r="AB106" s="12" t="s">
        <v>1387</v>
      </c>
      <c r="AC106" s="63">
        <v>0</v>
      </c>
      <c r="AD106" s="1"/>
    </row>
    <row r="107" spans="3:30" ht="45.75" customHeight="1" thickBot="1" x14ac:dyDescent="0.3">
      <c r="C107" s="61">
        <v>999</v>
      </c>
      <c r="D107" s="12">
        <v>100</v>
      </c>
      <c r="E107" s="12" t="s">
        <v>2368</v>
      </c>
      <c r="F107" s="12" t="s">
        <v>87</v>
      </c>
      <c r="G107" s="12" t="s">
        <v>1402</v>
      </c>
      <c r="H107" s="12" t="s">
        <v>2509</v>
      </c>
      <c r="I107" s="12" t="s">
        <v>2509</v>
      </c>
      <c r="J107" s="12" t="s">
        <v>2510</v>
      </c>
      <c r="K107" s="12" t="s">
        <v>60</v>
      </c>
      <c r="L107" s="12" t="s">
        <v>61</v>
      </c>
      <c r="M107" s="12" t="s">
        <v>1587</v>
      </c>
      <c r="N107" s="12" t="s">
        <v>62</v>
      </c>
      <c r="O107" s="13">
        <v>1616086.773795</v>
      </c>
      <c r="P107" s="13">
        <v>0</v>
      </c>
      <c r="Q107" s="12">
        <v>0</v>
      </c>
      <c r="R107" s="12" t="s">
        <v>1572</v>
      </c>
      <c r="S107" s="62" t="s">
        <v>1385</v>
      </c>
      <c r="T107" s="62">
        <v>44564</v>
      </c>
      <c r="U107" s="62">
        <v>44564</v>
      </c>
      <c r="V107" s="12" t="s">
        <v>1562</v>
      </c>
      <c r="W107" s="13">
        <v>0</v>
      </c>
      <c r="X107" s="13">
        <v>0</v>
      </c>
      <c r="Y107" s="13">
        <v>0</v>
      </c>
      <c r="Z107" s="12" t="s">
        <v>1386</v>
      </c>
      <c r="AA107" s="13">
        <v>0</v>
      </c>
      <c r="AB107" s="12" t="s">
        <v>1387</v>
      </c>
      <c r="AC107" s="63">
        <v>0</v>
      </c>
      <c r="AD107" s="1"/>
    </row>
    <row r="108" spans="3:30" ht="45.75" customHeight="1" thickBot="1" x14ac:dyDescent="0.3">
      <c r="C108" s="61">
        <v>999</v>
      </c>
      <c r="D108" s="12">
        <v>101</v>
      </c>
      <c r="E108" s="12" t="s">
        <v>2368</v>
      </c>
      <c r="F108" s="12" t="s">
        <v>87</v>
      </c>
      <c r="G108" s="12" t="s">
        <v>1402</v>
      </c>
      <c r="H108" s="12" t="s">
        <v>2511</v>
      </c>
      <c r="I108" s="12" t="s">
        <v>2511</v>
      </c>
      <c r="J108" s="12" t="s">
        <v>2512</v>
      </c>
      <c r="K108" s="12" t="s">
        <v>60</v>
      </c>
      <c r="L108" s="12" t="s">
        <v>61</v>
      </c>
      <c r="M108" s="12" t="s">
        <v>1587</v>
      </c>
      <c r="N108" s="12" t="s">
        <v>62</v>
      </c>
      <c r="O108" s="13">
        <v>1400</v>
      </c>
      <c r="P108" s="13">
        <v>0</v>
      </c>
      <c r="Q108" s="12">
        <v>0</v>
      </c>
      <c r="R108" s="12" t="s">
        <v>1573</v>
      </c>
      <c r="S108" s="62" t="s">
        <v>1385</v>
      </c>
      <c r="T108" s="62">
        <v>44564</v>
      </c>
      <c r="U108" s="62">
        <v>44564</v>
      </c>
      <c r="V108" s="12" t="s">
        <v>1562</v>
      </c>
      <c r="W108" s="13">
        <v>0</v>
      </c>
      <c r="X108" s="13">
        <v>0</v>
      </c>
      <c r="Y108" s="13">
        <v>0</v>
      </c>
      <c r="Z108" s="12" t="s">
        <v>1386</v>
      </c>
      <c r="AA108" s="13">
        <v>0</v>
      </c>
      <c r="AB108" s="12" t="s">
        <v>1387</v>
      </c>
      <c r="AC108" s="63">
        <v>0</v>
      </c>
      <c r="AD108" s="1"/>
    </row>
    <row r="109" spans="3:30" ht="45.75" customHeight="1" thickBot="1" x14ac:dyDescent="0.3">
      <c r="C109" s="61">
        <v>999</v>
      </c>
      <c r="D109" s="12">
        <v>102</v>
      </c>
      <c r="E109" s="12" t="s">
        <v>2368</v>
      </c>
      <c r="F109" s="12" t="s">
        <v>87</v>
      </c>
      <c r="G109" s="12" t="s">
        <v>1402</v>
      </c>
      <c r="H109" s="12" t="s">
        <v>2513</v>
      </c>
      <c r="I109" s="12" t="s">
        <v>2513</v>
      </c>
      <c r="J109" s="12" t="s">
        <v>2514</v>
      </c>
      <c r="K109" s="12" t="s">
        <v>60</v>
      </c>
      <c r="L109" s="12" t="s">
        <v>61</v>
      </c>
      <c r="M109" s="12" t="s">
        <v>1587</v>
      </c>
      <c r="N109" s="12" t="s">
        <v>62</v>
      </c>
      <c r="O109" s="13">
        <v>14814.15</v>
      </c>
      <c r="P109" s="13">
        <v>0</v>
      </c>
      <c r="Q109" s="12">
        <v>0</v>
      </c>
      <c r="R109" s="12" t="s">
        <v>1573</v>
      </c>
      <c r="S109" s="62" t="s">
        <v>1385</v>
      </c>
      <c r="T109" s="62">
        <v>44564</v>
      </c>
      <c r="U109" s="62">
        <v>44564</v>
      </c>
      <c r="V109" s="12" t="s">
        <v>1562</v>
      </c>
      <c r="W109" s="13">
        <v>0</v>
      </c>
      <c r="X109" s="13">
        <v>0</v>
      </c>
      <c r="Y109" s="13">
        <v>0</v>
      </c>
      <c r="Z109" s="12" t="s">
        <v>1386</v>
      </c>
      <c r="AA109" s="13">
        <v>0</v>
      </c>
      <c r="AB109" s="12" t="s">
        <v>1387</v>
      </c>
      <c r="AC109" s="63">
        <v>0</v>
      </c>
      <c r="AD109" s="1"/>
    </row>
    <row r="110" spans="3:30" ht="45.75" customHeight="1" thickBot="1" x14ac:dyDescent="0.3">
      <c r="C110" s="61">
        <v>999</v>
      </c>
      <c r="D110" s="12">
        <v>103</v>
      </c>
      <c r="E110" s="12" t="s">
        <v>2368</v>
      </c>
      <c r="F110" s="12" t="s">
        <v>87</v>
      </c>
      <c r="G110" s="12" t="s">
        <v>1402</v>
      </c>
      <c r="H110" s="12" t="s">
        <v>2515</v>
      </c>
      <c r="I110" s="12" t="s">
        <v>2515</v>
      </c>
      <c r="J110" s="12" t="s">
        <v>2516</v>
      </c>
      <c r="K110" s="12" t="s">
        <v>60</v>
      </c>
      <c r="L110" s="12" t="s">
        <v>61</v>
      </c>
      <c r="M110" s="12" t="s">
        <v>1587</v>
      </c>
      <c r="N110" s="12" t="s">
        <v>62</v>
      </c>
      <c r="O110" s="13">
        <v>46184.36</v>
      </c>
      <c r="P110" s="13">
        <v>0</v>
      </c>
      <c r="Q110" s="12">
        <v>0</v>
      </c>
      <c r="R110" s="12" t="s">
        <v>1573</v>
      </c>
      <c r="S110" s="62" t="s">
        <v>1385</v>
      </c>
      <c r="T110" s="62">
        <v>44564</v>
      </c>
      <c r="U110" s="62">
        <v>44564</v>
      </c>
      <c r="V110" s="12" t="s">
        <v>1562</v>
      </c>
      <c r="W110" s="13">
        <v>0</v>
      </c>
      <c r="X110" s="13">
        <v>0</v>
      </c>
      <c r="Y110" s="13">
        <v>0</v>
      </c>
      <c r="Z110" s="12" t="s">
        <v>1386</v>
      </c>
      <c r="AA110" s="13">
        <v>0</v>
      </c>
      <c r="AB110" s="12" t="s">
        <v>1387</v>
      </c>
      <c r="AC110" s="63">
        <v>0</v>
      </c>
      <c r="AD110" s="1"/>
    </row>
    <row r="111" spans="3:30" ht="45.75" customHeight="1" thickBot="1" x14ac:dyDescent="0.3">
      <c r="C111" s="61">
        <v>999</v>
      </c>
      <c r="D111" s="12">
        <v>104</v>
      </c>
      <c r="E111" s="12" t="s">
        <v>2368</v>
      </c>
      <c r="F111" s="12" t="s">
        <v>87</v>
      </c>
      <c r="G111" s="12" t="s">
        <v>1402</v>
      </c>
      <c r="H111" s="12" t="s">
        <v>2499</v>
      </c>
      <c r="I111" s="12" t="s">
        <v>2499</v>
      </c>
      <c r="J111" s="12" t="s">
        <v>2500</v>
      </c>
      <c r="K111" s="12" t="s">
        <v>91</v>
      </c>
      <c r="L111" s="12" t="s">
        <v>61</v>
      </c>
      <c r="M111" s="12" t="s">
        <v>1587</v>
      </c>
      <c r="N111" s="12" t="s">
        <v>62</v>
      </c>
      <c r="O111" s="13">
        <v>5274.98</v>
      </c>
      <c r="P111" s="13">
        <v>0</v>
      </c>
      <c r="Q111" s="12">
        <v>0</v>
      </c>
      <c r="R111" s="12" t="s">
        <v>1573</v>
      </c>
      <c r="S111" s="62" t="s">
        <v>1385</v>
      </c>
      <c r="T111" s="62">
        <v>44564</v>
      </c>
      <c r="U111" s="62">
        <v>44564</v>
      </c>
      <c r="V111" s="12" t="s">
        <v>1562</v>
      </c>
      <c r="W111" s="13">
        <v>0</v>
      </c>
      <c r="X111" s="13">
        <v>0</v>
      </c>
      <c r="Y111" s="13">
        <v>0</v>
      </c>
      <c r="Z111" s="12" t="s">
        <v>1386</v>
      </c>
      <c r="AA111" s="13">
        <v>0</v>
      </c>
      <c r="AB111" s="12" t="s">
        <v>1387</v>
      </c>
      <c r="AC111" s="63">
        <v>0</v>
      </c>
      <c r="AD111" s="1"/>
    </row>
    <row r="112" spans="3:30" ht="45.75" customHeight="1" thickBot="1" x14ac:dyDescent="0.3">
      <c r="C112" s="61">
        <v>999</v>
      </c>
      <c r="D112" s="12">
        <v>105</v>
      </c>
      <c r="E112" s="12" t="s">
        <v>2368</v>
      </c>
      <c r="F112" s="12" t="s">
        <v>87</v>
      </c>
      <c r="G112" s="12" t="s">
        <v>1402</v>
      </c>
      <c r="H112" s="12" t="s">
        <v>2517</v>
      </c>
      <c r="I112" s="12" t="s">
        <v>2517</v>
      </c>
      <c r="J112" s="12" t="s">
        <v>2518</v>
      </c>
      <c r="K112" s="12" t="s">
        <v>60</v>
      </c>
      <c r="L112" s="12" t="s">
        <v>61</v>
      </c>
      <c r="M112" s="12" t="s">
        <v>1587</v>
      </c>
      <c r="N112" s="12" t="s">
        <v>62</v>
      </c>
      <c r="O112" s="13">
        <v>804.8</v>
      </c>
      <c r="P112" s="13">
        <v>0</v>
      </c>
      <c r="Q112" s="12">
        <v>0</v>
      </c>
      <c r="R112" s="12" t="s">
        <v>1573</v>
      </c>
      <c r="S112" s="62" t="s">
        <v>1385</v>
      </c>
      <c r="T112" s="62">
        <v>44564</v>
      </c>
      <c r="U112" s="62">
        <v>44564</v>
      </c>
      <c r="V112" s="12" t="s">
        <v>1562</v>
      </c>
      <c r="W112" s="13">
        <v>0</v>
      </c>
      <c r="X112" s="13">
        <v>0</v>
      </c>
      <c r="Y112" s="13">
        <v>0</v>
      </c>
      <c r="Z112" s="12" t="s">
        <v>1386</v>
      </c>
      <c r="AA112" s="13">
        <v>0</v>
      </c>
      <c r="AB112" s="12" t="s">
        <v>1387</v>
      </c>
      <c r="AC112" s="63">
        <v>0</v>
      </c>
      <c r="AD112" s="1"/>
    </row>
    <row r="113" spans="3:30" ht="45.75" customHeight="1" thickBot="1" x14ac:dyDescent="0.3">
      <c r="C113" s="61">
        <v>999</v>
      </c>
      <c r="D113" s="12">
        <v>106</v>
      </c>
      <c r="E113" s="12" t="s">
        <v>2368</v>
      </c>
      <c r="F113" s="12" t="s">
        <v>87</v>
      </c>
      <c r="G113" s="12" t="s">
        <v>1402</v>
      </c>
      <c r="H113" s="12" t="s">
        <v>2519</v>
      </c>
      <c r="I113" s="12" t="s">
        <v>2519</v>
      </c>
      <c r="J113" s="12" t="s">
        <v>2520</v>
      </c>
      <c r="K113" s="12" t="s">
        <v>60</v>
      </c>
      <c r="L113" s="12" t="s">
        <v>61</v>
      </c>
      <c r="M113" s="12" t="s">
        <v>1587</v>
      </c>
      <c r="N113" s="12" t="s">
        <v>62</v>
      </c>
      <c r="O113" s="13">
        <v>421091.61</v>
      </c>
      <c r="P113" s="13">
        <v>0</v>
      </c>
      <c r="Q113" s="12">
        <v>0</v>
      </c>
      <c r="R113" s="12" t="s">
        <v>1573</v>
      </c>
      <c r="S113" s="62" t="s">
        <v>1385</v>
      </c>
      <c r="T113" s="62">
        <v>44564</v>
      </c>
      <c r="U113" s="62">
        <v>44564</v>
      </c>
      <c r="V113" s="12" t="s">
        <v>1562</v>
      </c>
      <c r="W113" s="13">
        <v>0</v>
      </c>
      <c r="X113" s="13">
        <v>0</v>
      </c>
      <c r="Y113" s="13">
        <v>0</v>
      </c>
      <c r="Z113" s="12" t="s">
        <v>1386</v>
      </c>
      <c r="AA113" s="13">
        <v>0</v>
      </c>
      <c r="AB113" s="12" t="s">
        <v>1387</v>
      </c>
      <c r="AC113" s="63">
        <v>0</v>
      </c>
      <c r="AD113" s="1"/>
    </row>
    <row r="114" spans="3:30" ht="45.75" customHeight="1" thickBot="1" x14ac:dyDescent="0.3">
      <c r="C114" s="61">
        <v>999</v>
      </c>
      <c r="D114" s="12">
        <v>107</v>
      </c>
      <c r="E114" s="12" t="s">
        <v>2368</v>
      </c>
      <c r="F114" s="12" t="s">
        <v>87</v>
      </c>
      <c r="G114" s="12" t="s">
        <v>1402</v>
      </c>
      <c r="H114" s="12" t="s">
        <v>2499</v>
      </c>
      <c r="I114" s="12" t="s">
        <v>2499</v>
      </c>
      <c r="J114" s="12" t="s">
        <v>2500</v>
      </c>
      <c r="K114" s="12" t="s">
        <v>91</v>
      </c>
      <c r="L114" s="12" t="s">
        <v>61</v>
      </c>
      <c r="M114" s="12" t="s">
        <v>1587</v>
      </c>
      <c r="N114" s="12" t="s">
        <v>62</v>
      </c>
      <c r="O114" s="13">
        <v>36.619999999999997</v>
      </c>
      <c r="P114" s="13">
        <v>0</v>
      </c>
      <c r="Q114" s="12">
        <v>0</v>
      </c>
      <c r="R114" s="12" t="s">
        <v>1573</v>
      </c>
      <c r="S114" s="62" t="s">
        <v>1385</v>
      </c>
      <c r="T114" s="62">
        <v>44564</v>
      </c>
      <c r="U114" s="62">
        <v>44564</v>
      </c>
      <c r="V114" s="12" t="s">
        <v>1562</v>
      </c>
      <c r="W114" s="13">
        <v>0</v>
      </c>
      <c r="X114" s="13">
        <v>0</v>
      </c>
      <c r="Y114" s="13">
        <v>0</v>
      </c>
      <c r="Z114" s="12" t="s">
        <v>1386</v>
      </c>
      <c r="AA114" s="13">
        <v>0</v>
      </c>
      <c r="AB114" s="12" t="s">
        <v>1387</v>
      </c>
      <c r="AC114" s="63">
        <v>0</v>
      </c>
      <c r="AD114" s="1"/>
    </row>
    <row r="115" spans="3:30" ht="45.75" customHeight="1" thickBot="1" x14ac:dyDescent="0.3">
      <c r="C115" s="61">
        <v>999</v>
      </c>
      <c r="D115" s="12">
        <v>108</v>
      </c>
      <c r="E115" s="12" t="s">
        <v>2368</v>
      </c>
      <c r="F115" s="12" t="s">
        <v>87</v>
      </c>
      <c r="G115" s="12" t="s">
        <v>1402</v>
      </c>
      <c r="H115" s="12" t="s">
        <v>2521</v>
      </c>
      <c r="I115" s="12" t="s">
        <v>2521</v>
      </c>
      <c r="J115" s="12" t="s">
        <v>2406</v>
      </c>
      <c r="K115" s="12" t="s">
        <v>91</v>
      </c>
      <c r="L115" s="12" t="s">
        <v>61</v>
      </c>
      <c r="M115" s="12" t="s">
        <v>1587</v>
      </c>
      <c r="N115" s="12" t="s">
        <v>62</v>
      </c>
      <c r="O115" s="13">
        <v>14793.17</v>
      </c>
      <c r="P115" s="13">
        <v>0</v>
      </c>
      <c r="Q115" s="12">
        <v>0</v>
      </c>
      <c r="R115" s="12" t="s">
        <v>1573</v>
      </c>
      <c r="S115" s="62" t="s">
        <v>1385</v>
      </c>
      <c r="T115" s="62">
        <v>44564</v>
      </c>
      <c r="U115" s="62">
        <v>44564</v>
      </c>
      <c r="V115" s="12" t="s">
        <v>1562</v>
      </c>
      <c r="W115" s="13">
        <v>0</v>
      </c>
      <c r="X115" s="13">
        <v>0</v>
      </c>
      <c r="Y115" s="13">
        <v>0</v>
      </c>
      <c r="Z115" s="12" t="s">
        <v>1386</v>
      </c>
      <c r="AA115" s="13">
        <v>0</v>
      </c>
      <c r="AB115" s="12" t="s">
        <v>1387</v>
      </c>
      <c r="AC115" s="63">
        <v>0</v>
      </c>
      <c r="AD115" s="1"/>
    </row>
    <row r="116" spans="3:30" ht="45.75" customHeight="1" thickBot="1" x14ac:dyDescent="0.3">
      <c r="C116" s="61">
        <v>999</v>
      </c>
      <c r="D116" s="12">
        <v>109</v>
      </c>
      <c r="E116" s="12" t="s">
        <v>2368</v>
      </c>
      <c r="F116" s="12" t="s">
        <v>87</v>
      </c>
      <c r="G116" s="12" t="s">
        <v>1402</v>
      </c>
      <c r="H116" s="12" t="s">
        <v>2411</v>
      </c>
      <c r="I116" s="12" t="s">
        <v>2411</v>
      </c>
      <c r="J116" s="12" t="s">
        <v>2522</v>
      </c>
      <c r="K116" s="12" t="s">
        <v>60</v>
      </c>
      <c r="L116" s="12" t="s">
        <v>61</v>
      </c>
      <c r="M116" s="12" t="s">
        <v>1587</v>
      </c>
      <c r="N116" s="12" t="s">
        <v>62</v>
      </c>
      <c r="O116" s="13">
        <v>57519.31</v>
      </c>
      <c r="P116" s="13">
        <v>0</v>
      </c>
      <c r="Q116" s="12">
        <v>0</v>
      </c>
      <c r="R116" s="12" t="s">
        <v>1573</v>
      </c>
      <c r="S116" s="62" t="s">
        <v>1385</v>
      </c>
      <c r="T116" s="62">
        <v>44564</v>
      </c>
      <c r="U116" s="62">
        <v>44564</v>
      </c>
      <c r="V116" s="12" t="s">
        <v>1562</v>
      </c>
      <c r="W116" s="13">
        <v>0</v>
      </c>
      <c r="X116" s="13">
        <v>0</v>
      </c>
      <c r="Y116" s="13">
        <v>0</v>
      </c>
      <c r="Z116" s="12" t="s">
        <v>1386</v>
      </c>
      <c r="AA116" s="13">
        <v>0</v>
      </c>
      <c r="AB116" s="12" t="s">
        <v>1387</v>
      </c>
      <c r="AC116" s="63">
        <v>0</v>
      </c>
      <c r="AD116" s="1"/>
    </row>
    <row r="117" spans="3:30" ht="45.75" customHeight="1" thickBot="1" x14ac:dyDescent="0.3">
      <c r="C117" s="61">
        <v>999</v>
      </c>
      <c r="D117" s="12">
        <v>110</v>
      </c>
      <c r="E117" s="12" t="s">
        <v>2368</v>
      </c>
      <c r="F117" s="12" t="s">
        <v>87</v>
      </c>
      <c r="G117" s="12" t="s">
        <v>1402</v>
      </c>
      <c r="H117" s="12" t="s">
        <v>2523</v>
      </c>
      <c r="I117" s="12" t="s">
        <v>2523</v>
      </c>
      <c r="J117" s="12" t="s">
        <v>2524</v>
      </c>
      <c r="K117" s="12" t="s">
        <v>60</v>
      </c>
      <c r="L117" s="12" t="s">
        <v>61</v>
      </c>
      <c r="M117" s="12" t="s">
        <v>1587</v>
      </c>
      <c r="N117" s="12" t="s">
        <v>62</v>
      </c>
      <c r="O117" s="13">
        <v>8136611.1299999999</v>
      </c>
      <c r="P117" s="13">
        <v>0</v>
      </c>
      <c r="Q117" s="12">
        <v>0</v>
      </c>
      <c r="R117" s="12" t="s">
        <v>1573</v>
      </c>
      <c r="S117" s="62" t="s">
        <v>1385</v>
      </c>
      <c r="T117" s="62">
        <v>44564</v>
      </c>
      <c r="U117" s="62">
        <v>44564</v>
      </c>
      <c r="V117" s="12" t="s">
        <v>1562</v>
      </c>
      <c r="W117" s="13">
        <v>0</v>
      </c>
      <c r="X117" s="13">
        <v>0</v>
      </c>
      <c r="Y117" s="13">
        <v>0</v>
      </c>
      <c r="Z117" s="12" t="s">
        <v>1386</v>
      </c>
      <c r="AA117" s="13">
        <v>0</v>
      </c>
      <c r="AB117" s="12" t="s">
        <v>1387</v>
      </c>
      <c r="AC117" s="63">
        <v>0</v>
      </c>
      <c r="AD117" s="1"/>
    </row>
    <row r="118" spans="3:30" ht="45.75" customHeight="1" thickBot="1" x14ac:dyDescent="0.3">
      <c r="C118" s="61">
        <v>999</v>
      </c>
      <c r="D118" s="12">
        <v>111</v>
      </c>
      <c r="E118" s="12" t="s">
        <v>2368</v>
      </c>
      <c r="F118" s="12" t="s">
        <v>87</v>
      </c>
      <c r="G118" s="12" t="s">
        <v>1402</v>
      </c>
      <c r="H118" s="12" t="s">
        <v>2525</v>
      </c>
      <c r="I118" s="12" t="s">
        <v>2525</v>
      </c>
      <c r="J118" s="12" t="s">
        <v>2526</v>
      </c>
      <c r="K118" s="12" t="s">
        <v>60</v>
      </c>
      <c r="L118" s="12" t="s">
        <v>61</v>
      </c>
      <c r="M118" s="12" t="s">
        <v>1587</v>
      </c>
      <c r="N118" s="12" t="s">
        <v>62</v>
      </c>
      <c r="O118" s="13">
        <v>4026.44</v>
      </c>
      <c r="P118" s="13">
        <v>0</v>
      </c>
      <c r="Q118" s="12">
        <v>0</v>
      </c>
      <c r="R118" s="12" t="s">
        <v>1573</v>
      </c>
      <c r="S118" s="62" t="s">
        <v>1385</v>
      </c>
      <c r="T118" s="62">
        <v>44564</v>
      </c>
      <c r="U118" s="62">
        <v>44564</v>
      </c>
      <c r="V118" s="12" t="s">
        <v>1562</v>
      </c>
      <c r="W118" s="13">
        <v>0</v>
      </c>
      <c r="X118" s="13">
        <v>0</v>
      </c>
      <c r="Y118" s="13">
        <v>0</v>
      </c>
      <c r="Z118" s="12" t="s">
        <v>1386</v>
      </c>
      <c r="AA118" s="13">
        <v>0</v>
      </c>
      <c r="AB118" s="12" t="s">
        <v>1387</v>
      </c>
      <c r="AC118" s="63">
        <v>0</v>
      </c>
      <c r="AD118" s="1"/>
    </row>
    <row r="119" spans="3:30" ht="45.75" customHeight="1" thickBot="1" x14ac:dyDescent="0.3">
      <c r="C119" s="61">
        <v>999</v>
      </c>
      <c r="D119" s="12">
        <v>112</v>
      </c>
      <c r="E119" s="12" t="s">
        <v>2368</v>
      </c>
      <c r="F119" s="12" t="s">
        <v>87</v>
      </c>
      <c r="G119" s="12" t="s">
        <v>1402</v>
      </c>
      <c r="H119" s="12" t="s">
        <v>2527</v>
      </c>
      <c r="I119" s="12" t="s">
        <v>2527</v>
      </c>
      <c r="J119" s="12" t="s">
        <v>2528</v>
      </c>
      <c r="K119" s="12" t="s">
        <v>60</v>
      </c>
      <c r="L119" s="12" t="s">
        <v>61</v>
      </c>
      <c r="M119" s="12" t="s">
        <v>1587</v>
      </c>
      <c r="N119" s="12" t="s">
        <v>62</v>
      </c>
      <c r="O119" s="13">
        <v>1117745.175263</v>
      </c>
      <c r="P119" s="13">
        <v>0</v>
      </c>
      <c r="Q119" s="12">
        <v>0</v>
      </c>
      <c r="R119" s="12" t="s">
        <v>1569</v>
      </c>
      <c r="S119" s="62" t="s">
        <v>1385</v>
      </c>
      <c r="T119" s="62">
        <v>44564</v>
      </c>
      <c r="U119" s="62">
        <v>44564</v>
      </c>
      <c r="V119" s="12" t="s">
        <v>1562</v>
      </c>
      <c r="W119" s="13">
        <v>0</v>
      </c>
      <c r="X119" s="13">
        <v>0</v>
      </c>
      <c r="Y119" s="13">
        <v>0</v>
      </c>
      <c r="Z119" s="12" t="s">
        <v>1386</v>
      </c>
      <c r="AA119" s="13">
        <v>0</v>
      </c>
      <c r="AB119" s="12" t="s">
        <v>1387</v>
      </c>
      <c r="AC119" s="63">
        <v>0</v>
      </c>
      <c r="AD119" s="1"/>
    </row>
    <row r="120" spans="3:30" ht="45.75" customHeight="1" thickBot="1" x14ac:dyDescent="0.3">
      <c r="C120" s="61">
        <v>999</v>
      </c>
      <c r="D120" s="12">
        <v>113</v>
      </c>
      <c r="E120" s="12" t="s">
        <v>2368</v>
      </c>
      <c r="F120" s="12" t="s">
        <v>87</v>
      </c>
      <c r="G120" s="12" t="s">
        <v>1402</v>
      </c>
      <c r="H120" s="12" t="s">
        <v>2529</v>
      </c>
      <c r="I120" s="12" t="s">
        <v>2529</v>
      </c>
      <c r="J120" s="12" t="s">
        <v>2530</v>
      </c>
      <c r="K120" s="12" t="s">
        <v>60</v>
      </c>
      <c r="L120" s="12" t="s">
        <v>61</v>
      </c>
      <c r="M120" s="12" t="s">
        <v>1587</v>
      </c>
      <c r="N120" s="12" t="s">
        <v>62</v>
      </c>
      <c r="O120" s="13">
        <v>116.782501</v>
      </c>
      <c r="P120" s="13">
        <v>0</v>
      </c>
      <c r="Q120" s="12">
        <v>0</v>
      </c>
      <c r="R120" s="12" t="s">
        <v>1571</v>
      </c>
      <c r="S120" s="62" t="s">
        <v>1385</v>
      </c>
      <c r="T120" s="62">
        <v>44564</v>
      </c>
      <c r="U120" s="62">
        <v>44564</v>
      </c>
      <c r="V120" s="12" t="s">
        <v>1562</v>
      </c>
      <c r="W120" s="13">
        <v>0</v>
      </c>
      <c r="X120" s="13">
        <v>0</v>
      </c>
      <c r="Y120" s="13">
        <v>0</v>
      </c>
      <c r="Z120" s="12" t="s">
        <v>1386</v>
      </c>
      <c r="AA120" s="13">
        <v>0</v>
      </c>
      <c r="AB120" s="12" t="s">
        <v>1387</v>
      </c>
      <c r="AC120" s="63">
        <v>0</v>
      </c>
      <c r="AD120" s="1"/>
    </row>
    <row r="121" spans="3:30" ht="45.75" customHeight="1" thickBot="1" x14ac:dyDescent="0.3">
      <c r="C121" s="61">
        <v>999</v>
      </c>
      <c r="D121" s="12">
        <v>114</v>
      </c>
      <c r="E121" s="12" t="s">
        <v>2368</v>
      </c>
      <c r="F121" s="12" t="s">
        <v>87</v>
      </c>
      <c r="G121" s="12" t="s">
        <v>1402</v>
      </c>
      <c r="H121" s="12" t="s">
        <v>2529</v>
      </c>
      <c r="I121" s="12" t="s">
        <v>2529</v>
      </c>
      <c r="J121" s="12" t="s">
        <v>2530</v>
      </c>
      <c r="K121" s="12" t="s">
        <v>60</v>
      </c>
      <c r="L121" s="12" t="s">
        <v>61</v>
      </c>
      <c r="M121" s="12" t="s">
        <v>1587</v>
      </c>
      <c r="N121" s="12" t="s">
        <v>62</v>
      </c>
      <c r="O121" s="13">
        <v>710710.18011700001</v>
      </c>
      <c r="P121" s="13">
        <v>0</v>
      </c>
      <c r="Q121" s="12">
        <v>0</v>
      </c>
      <c r="R121" s="12" t="s">
        <v>1572</v>
      </c>
      <c r="S121" s="62" t="s">
        <v>1385</v>
      </c>
      <c r="T121" s="62">
        <v>44564</v>
      </c>
      <c r="U121" s="62">
        <v>44564</v>
      </c>
      <c r="V121" s="12" t="s">
        <v>1562</v>
      </c>
      <c r="W121" s="13">
        <v>0</v>
      </c>
      <c r="X121" s="13">
        <v>0</v>
      </c>
      <c r="Y121" s="13">
        <v>0</v>
      </c>
      <c r="Z121" s="12" t="s">
        <v>1386</v>
      </c>
      <c r="AA121" s="13">
        <v>0</v>
      </c>
      <c r="AB121" s="12" t="s">
        <v>1387</v>
      </c>
      <c r="AC121" s="63">
        <v>0</v>
      </c>
      <c r="AD121" s="1"/>
    </row>
    <row r="122" spans="3:30" ht="45.75" customHeight="1" thickBot="1" x14ac:dyDescent="0.3">
      <c r="C122" s="61">
        <v>999</v>
      </c>
      <c r="D122" s="12">
        <v>115</v>
      </c>
      <c r="E122" s="12" t="s">
        <v>2368</v>
      </c>
      <c r="F122" s="12" t="s">
        <v>87</v>
      </c>
      <c r="G122" s="12" t="s">
        <v>1402</v>
      </c>
      <c r="H122" s="12" t="s">
        <v>2529</v>
      </c>
      <c r="I122" s="12" t="s">
        <v>2529</v>
      </c>
      <c r="J122" s="12" t="s">
        <v>2530</v>
      </c>
      <c r="K122" s="12" t="s">
        <v>60</v>
      </c>
      <c r="L122" s="12" t="s">
        <v>61</v>
      </c>
      <c r="M122" s="12" t="s">
        <v>1587</v>
      </c>
      <c r="N122" s="12" t="s">
        <v>62</v>
      </c>
      <c r="O122" s="13">
        <v>28.293486000000001</v>
      </c>
      <c r="P122" s="13">
        <v>0</v>
      </c>
      <c r="Q122" s="12">
        <v>0</v>
      </c>
      <c r="R122" s="12" t="s">
        <v>1570</v>
      </c>
      <c r="S122" s="62" t="s">
        <v>1385</v>
      </c>
      <c r="T122" s="62">
        <v>44564</v>
      </c>
      <c r="U122" s="62">
        <v>44564</v>
      </c>
      <c r="V122" s="12" t="s">
        <v>1562</v>
      </c>
      <c r="W122" s="13">
        <v>0</v>
      </c>
      <c r="X122" s="13">
        <v>0</v>
      </c>
      <c r="Y122" s="13">
        <v>0</v>
      </c>
      <c r="Z122" s="12" t="s">
        <v>1386</v>
      </c>
      <c r="AA122" s="13">
        <v>0</v>
      </c>
      <c r="AB122" s="12" t="s">
        <v>1387</v>
      </c>
      <c r="AC122" s="63">
        <v>0</v>
      </c>
      <c r="AD122" s="1"/>
    </row>
    <row r="123" spans="3:30" ht="45.75" customHeight="1" thickBot="1" x14ac:dyDescent="0.3">
      <c r="C123" s="61">
        <v>999</v>
      </c>
      <c r="D123" s="12">
        <v>116</v>
      </c>
      <c r="E123" s="12" t="s">
        <v>2368</v>
      </c>
      <c r="F123" s="12" t="s">
        <v>87</v>
      </c>
      <c r="G123" s="12" t="s">
        <v>1402</v>
      </c>
      <c r="H123" s="12" t="s">
        <v>2529</v>
      </c>
      <c r="I123" s="12" t="s">
        <v>2529</v>
      </c>
      <c r="J123" s="12" t="s">
        <v>2530</v>
      </c>
      <c r="K123" s="12" t="s">
        <v>60</v>
      </c>
      <c r="L123" s="12" t="s">
        <v>61</v>
      </c>
      <c r="M123" s="12" t="s">
        <v>1587</v>
      </c>
      <c r="N123" s="12" t="s">
        <v>62</v>
      </c>
      <c r="O123" s="13">
        <v>1031847.23</v>
      </c>
      <c r="P123" s="13">
        <v>0</v>
      </c>
      <c r="Q123" s="12">
        <v>0</v>
      </c>
      <c r="R123" s="12" t="s">
        <v>1573</v>
      </c>
      <c r="S123" s="62" t="s">
        <v>1385</v>
      </c>
      <c r="T123" s="62">
        <v>44564</v>
      </c>
      <c r="U123" s="62">
        <v>44564</v>
      </c>
      <c r="V123" s="12" t="s">
        <v>1562</v>
      </c>
      <c r="W123" s="13">
        <v>0</v>
      </c>
      <c r="X123" s="13">
        <v>0</v>
      </c>
      <c r="Y123" s="13">
        <v>0</v>
      </c>
      <c r="Z123" s="12" t="s">
        <v>1386</v>
      </c>
      <c r="AA123" s="13">
        <v>0</v>
      </c>
      <c r="AB123" s="12" t="s">
        <v>1387</v>
      </c>
      <c r="AC123" s="63">
        <v>0</v>
      </c>
      <c r="AD123" s="1"/>
    </row>
    <row r="124" spans="3:30" ht="45.75" customHeight="1" thickBot="1" x14ac:dyDescent="0.3">
      <c r="C124" s="61">
        <v>999</v>
      </c>
      <c r="D124" s="12">
        <v>117</v>
      </c>
      <c r="E124" s="12" t="s">
        <v>2368</v>
      </c>
      <c r="F124" s="12" t="s">
        <v>87</v>
      </c>
      <c r="G124" s="12" t="s">
        <v>1402</v>
      </c>
      <c r="H124" s="12" t="s">
        <v>2423</v>
      </c>
      <c r="I124" s="12" t="s">
        <v>2423</v>
      </c>
      <c r="J124" s="12" t="s">
        <v>2416</v>
      </c>
      <c r="K124" s="12" t="s">
        <v>91</v>
      </c>
      <c r="L124" s="12" t="s">
        <v>61</v>
      </c>
      <c r="M124" s="12" t="s">
        <v>1587</v>
      </c>
      <c r="N124" s="12" t="s">
        <v>62</v>
      </c>
      <c r="O124" s="13">
        <v>1592.26</v>
      </c>
      <c r="P124" s="13">
        <v>0</v>
      </c>
      <c r="Q124" s="12">
        <v>0</v>
      </c>
      <c r="R124" s="12" t="s">
        <v>1573</v>
      </c>
      <c r="S124" s="62" t="s">
        <v>1385</v>
      </c>
      <c r="T124" s="62">
        <v>44564</v>
      </c>
      <c r="U124" s="62">
        <v>44564</v>
      </c>
      <c r="V124" s="12" t="s">
        <v>1562</v>
      </c>
      <c r="W124" s="13">
        <v>0</v>
      </c>
      <c r="X124" s="13">
        <v>0</v>
      </c>
      <c r="Y124" s="13">
        <v>0</v>
      </c>
      <c r="Z124" s="12" t="s">
        <v>1386</v>
      </c>
      <c r="AA124" s="13">
        <v>0</v>
      </c>
      <c r="AB124" s="12" t="s">
        <v>1387</v>
      </c>
      <c r="AC124" s="63">
        <v>0</v>
      </c>
      <c r="AD124" s="1"/>
    </row>
    <row r="125" spans="3:30" ht="45.75" customHeight="1" thickBot="1" x14ac:dyDescent="0.3">
      <c r="C125" s="61">
        <v>999</v>
      </c>
      <c r="D125" s="12">
        <v>118</v>
      </c>
      <c r="E125" s="12" t="s">
        <v>2368</v>
      </c>
      <c r="F125" s="12" t="s">
        <v>87</v>
      </c>
      <c r="G125" s="12" t="s">
        <v>1402</v>
      </c>
      <c r="H125" s="12" t="s">
        <v>2531</v>
      </c>
      <c r="I125" s="12" t="s">
        <v>2531</v>
      </c>
      <c r="J125" s="12" t="s">
        <v>2532</v>
      </c>
      <c r="K125" s="12" t="s">
        <v>60</v>
      </c>
      <c r="L125" s="12" t="s">
        <v>61</v>
      </c>
      <c r="M125" s="12" t="s">
        <v>1587</v>
      </c>
      <c r="N125" s="12" t="s">
        <v>62</v>
      </c>
      <c r="O125" s="13">
        <v>1903232.11</v>
      </c>
      <c r="P125" s="13">
        <v>0</v>
      </c>
      <c r="Q125" s="12">
        <v>0</v>
      </c>
      <c r="R125" s="12" t="s">
        <v>1573</v>
      </c>
      <c r="S125" s="62" t="s">
        <v>1385</v>
      </c>
      <c r="T125" s="62">
        <v>44564</v>
      </c>
      <c r="U125" s="62">
        <v>44564</v>
      </c>
      <c r="V125" s="12" t="s">
        <v>1562</v>
      </c>
      <c r="W125" s="13">
        <v>0</v>
      </c>
      <c r="X125" s="13">
        <v>0</v>
      </c>
      <c r="Y125" s="13">
        <v>0</v>
      </c>
      <c r="Z125" s="12" t="s">
        <v>1386</v>
      </c>
      <c r="AA125" s="13">
        <v>0</v>
      </c>
      <c r="AB125" s="12" t="s">
        <v>1387</v>
      </c>
      <c r="AC125" s="63">
        <v>0</v>
      </c>
      <c r="AD125" s="1"/>
    </row>
  </sheetData>
  <autoFilter ref="A7:AD125" xr:uid="{00000000-0009-0000-0000-000001000000}"/>
  <mergeCells count="5">
    <mergeCell ref="A1:AC1"/>
    <mergeCell ref="D4:AC4"/>
    <mergeCell ref="E5:F5"/>
    <mergeCell ref="G5:AC5"/>
    <mergeCell ref="AD5:AD6"/>
  </mergeCells>
  <conditionalFormatting sqref="D8:AC9">
    <cfRule type="expression" dxfId="26" priority="8">
      <formula>LEN(TRIM(D8))=0</formula>
    </cfRule>
    <cfRule type="expression" dxfId="25" priority="9">
      <formula>LEN(TRIM(D8))=0</formula>
    </cfRule>
  </conditionalFormatting>
  <conditionalFormatting sqref="D8:AC9">
    <cfRule type="expression" dxfId="24" priority="7">
      <formula>LEN(TRIM(D8))=0</formula>
    </cfRule>
  </conditionalFormatting>
  <conditionalFormatting sqref="D8:AC9">
    <cfRule type="expression" dxfId="23" priority="6">
      <formula>LEN(TRIM(D8))=0</formula>
    </cfRule>
  </conditionalFormatting>
  <conditionalFormatting sqref="D10:AC125">
    <cfRule type="expression" dxfId="22" priority="4">
      <formula>LEN(TRIM(D10))=0</formula>
    </cfRule>
    <cfRule type="expression" dxfId="21" priority="5">
      <formula>LEN(TRIM(D10))=0</formula>
    </cfRule>
  </conditionalFormatting>
  <conditionalFormatting sqref="D10:AC125">
    <cfRule type="expression" dxfId="20" priority="3">
      <formula>LEN(TRIM(D10))=0</formula>
    </cfRule>
  </conditionalFormatting>
  <conditionalFormatting sqref="D10:AC125">
    <cfRule type="expression" dxfId="19" priority="2">
      <formula>LEN(TRIM(D10))=0</formula>
    </cfRule>
  </conditionalFormatting>
  <conditionalFormatting sqref="D8:AC125">
    <cfRule type="expression" dxfId="18" priority="1">
      <formula>LEN(TRIM(D8))=0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D1DD-4ADE-441A-B325-7D15E3509306}">
  <sheetPr codeName="Sheet13">
    <outlinePr summaryBelow="0" summaryRight="0"/>
    <pageSetUpPr fitToPage="1"/>
  </sheetPr>
  <dimension ref="A1:AC75"/>
  <sheetViews>
    <sheetView showGridLines="0" workbookViewId="0">
      <pane xSplit="3" ySplit="7" topLeftCell="P8" activePane="bottomRight" state="frozen"/>
      <selection activeCell="G5" sqref="G5:AK6"/>
      <selection pane="topRight" activeCell="G5" sqref="G5:AK6"/>
      <selection pane="bottomLeft" activeCell="G5" sqref="G5:AK6"/>
      <selection pane="bottomRight" activeCell="U6" sqref="U6"/>
    </sheetView>
  </sheetViews>
  <sheetFormatPr defaultRowHeight="15" x14ac:dyDescent="0.25"/>
  <cols>
    <col min="1" max="1" width="5.5703125" style="20" customWidth="1"/>
    <col min="2" max="2" width="25.28515625" style="20" bestFit="1" customWidth="1"/>
    <col min="3" max="3" width="3.85546875" style="20" bestFit="1" customWidth="1"/>
    <col min="4" max="21" width="20.5703125" style="20" customWidth="1"/>
    <col min="22" max="22" width="25.5703125" style="19" customWidth="1"/>
    <col min="23" max="23" width="9.140625" style="20"/>
    <col min="24" max="24" width="13.140625" style="20" bestFit="1" customWidth="1"/>
    <col min="25" max="25" width="11.7109375" style="20" bestFit="1" customWidth="1"/>
    <col min="26" max="28" width="9.140625" style="20"/>
    <col min="29" max="29" width="52.5703125" style="20" customWidth="1"/>
    <col min="30" max="16384" width="9.140625" style="20"/>
  </cols>
  <sheetData>
    <row r="1" spans="1:26" x14ac:dyDescent="0.25">
      <c r="A1" s="208" t="s">
        <v>1588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</row>
    <row r="3" spans="1:26" x14ac:dyDescent="0.25">
      <c r="H3" s="20" t="s">
        <v>2533</v>
      </c>
      <c r="I3" s="20" t="s">
        <v>2534</v>
      </c>
      <c r="N3" s="39"/>
    </row>
    <row r="4" spans="1:26" x14ac:dyDescent="0.25">
      <c r="D4" s="210" t="s">
        <v>1</v>
      </c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2"/>
    </row>
    <row r="5" spans="1:26" ht="30" x14ac:dyDescent="0.25">
      <c r="D5" s="21" t="s">
        <v>2</v>
      </c>
      <c r="E5" s="23" t="s">
        <v>3</v>
      </c>
      <c r="F5" s="213" t="s">
        <v>1589</v>
      </c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5"/>
      <c r="V5" s="228"/>
    </row>
    <row r="6" spans="1:26" ht="45" x14ac:dyDescent="0.25">
      <c r="D6" s="22"/>
      <c r="E6" s="23" t="s">
        <v>6</v>
      </c>
      <c r="F6" s="23" t="s">
        <v>7</v>
      </c>
      <c r="G6" s="23" t="s">
        <v>1590</v>
      </c>
      <c r="H6" s="23" t="s">
        <v>1591</v>
      </c>
      <c r="I6" s="23" t="s">
        <v>1592</v>
      </c>
      <c r="J6" s="23" t="s">
        <v>1593</v>
      </c>
      <c r="K6" s="23" t="s">
        <v>1579</v>
      </c>
      <c r="L6" s="23" t="s">
        <v>1555</v>
      </c>
      <c r="M6" s="23" t="s">
        <v>11</v>
      </c>
      <c r="N6" s="23" t="s">
        <v>1594</v>
      </c>
      <c r="O6" s="23" t="s">
        <v>1595</v>
      </c>
      <c r="P6" s="23" t="s">
        <v>1596</v>
      </c>
      <c r="Q6" s="23" t="s">
        <v>1597</v>
      </c>
      <c r="R6" s="23" t="s">
        <v>1598</v>
      </c>
      <c r="S6" s="23" t="s">
        <v>1599</v>
      </c>
      <c r="T6" s="23" t="s">
        <v>1600</v>
      </c>
      <c r="U6" s="23" t="s">
        <v>1601</v>
      </c>
      <c r="V6" s="228"/>
    </row>
    <row r="7" spans="1:26" ht="15.75" thickBot="1" x14ac:dyDescent="0.3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1602</v>
      </c>
      <c r="J7" s="24" t="s">
        <v>1603</v>
      </c>
      <c r="K7" s="24" t="s">
        <v>1584</v>
      </c>
      <c r="L7" s="24" t="s">
        <v>41</v>
      </c>
      <c r="M7" s="24" t="s">
        <v>1604</v>
      </c>
      <c r="N7" s="24" t="s">
        <v>42</v>
      </c>
      <c r="O7" s="24" t="s">
        <v>1605</v>
      </c>
      <c r="P7" s="24" t="s">
        <v>43</v>
      </c>
      <c r="Q7" s="24" t="s">
        <v>44</v>
      </c>
      <c r="R7" s="24" t="s">
        <v>45</v>
      </c>
      <c r="S7" s="24" t="s">
        <v>46</v>
      </c>
      <c r="T7" s="24" t="s">
        <v>47</v>
      </c>
      <c r="U7" s="24" t="s">
        <v>48</v>
      </c>
    </row>
    <row r="8" spans="1:26" ht="36.75" thickBot="1" x14ac:dyDescent="0.3">
      <c r="A8" s="25" t="s">
        <v>54</v>
      </c>
      <c r="B8" s="26" t="s">
        <v>1606</v>
      </c>
      <c r="C8" s="65" t="s">
        <v>1509</v>
      </c>
      <c r="D8" s="28">
        <v>1</v>
      </c>
      <c r="E8" s="28" t="s">
        <v>80</v>
      </c>
      <c r="F8" s="28" t="s">
        <v>1402</v>
      </c>
      <c r="G8" s="28" t="s">
        <v>1607</v>
      </c>
      <c r="H8" s="34"/>
      <c r="I8" s="28" t="s">
        <v>2533</v>
      </c>
      <c r="J8" s="28" t="s">
        <v>2534</v>
      </c>
      <c r="K8" s="28" t="s">
        <v>1608</v>
      </c>
      <c r="L8" s="28" t="s">
        <v>2572</v>
      </c>
      <c r="M8" s="28" t="s">
        <v>91</v>
      </c>
      <c r="N8" s="29" t="s">
        <v>1405</v>
      </c>
      <c r="O8" s="29" t="b">
        <v>0</v>
      </c>
      <c r="P8" s="28" t="s">
        <v>1405</v>
      </c>
      <c r="Q8" s="28">
        <v>2</v>
      </c>
      <c r="R8" s="28">
        <v>6773.27</v>
      </c>
      <c r="S8" s="28">
        <v>0</v>
      </c>
      <c r="T8" s="28">
        <v>0</v>
      </c>
      <c r="U8" s="66">
        <v>6773.27</v>
      </c>
      <c r="V8" s="67"/>
      <c r="W8" s="68"/>
      <c r="X8" s="39"/>
      <c r="Y8" s="39"/>
      <c r="Z8" s="39"/>
    </row>
    <row r="9" spans="1:26" ht="36.75" thickBot="1" x14ac:dyDescent="0.3">
      <c r="C9" s="65" t="s">
        <v>1509</v>
      </c>
      <c r="D9" s="28">
        <v>2</v>
      </c>
      <c r="E9" s="28" t="s">
        <v>80</v>
      </c>
      <c r="F9" s="28" t="s">
        <v>1402</v>
      </c>
      <c r="G9" s="28" t="s">
        <v>1609</v>
      </c>
      <c r="H9" s="34"/>
      <c r="I9" s="28" t="s">
        <v>2533</v>
      </c>
      <c r="J9" s="28" t="s">
        <v>2535</v>
      </c>
      <c r="K9" s="28" t="s">
        <v>1610</v>
      </c>
      <c r="L9" s="28" t="s">
        <v>2560</v>
      </c>
      <c r="M9" s="28" t="s">
        <v>60</v>
      </c>
      <c r="N9" s="29" t="s">
        <v>1405</v>
      </c>
      <c r="O9" s="29" t="b">
        <v>0</v>
      </c>
      <c r="P9" s="28" t="s">
        <v>2537</v>
      </c>
      <c r="Q9" s="28">
        <v>2</v>
      </c>
      <c r="R9" s="28">
        <v>20967.990000000002</v>
      </c>
      <c r="S9" s="28">
        <v>0</v>
      </c>
      <c r="T9" s="28">
        <v>0</v>
      </c>
      <c r="U9" s="66">
        <v>20967.990000000002</v>
      </c>
      <c r="V9" s="67"/>
      <c r="W9" s="68"/>
      <c r="X9" s="39"/>
      <c r="Y9" s="39"/>
      <c r="Z9" s="39"/>
    </row>
    <row r="10" spans="1:26" ht="36.75" thickBot="1" x14ac:dyDescent="0.3">
      <c r="C10" s="65" t="s">
        <v>1509</v>
      </c>
      <c r="D10" s="28">
        <v>3</v>
      </c>
      <c r="E10" s="28" t="s">
        <v>80</v>
      </c>
      <c r="F10" s="28" t="s">
        <v>1402</v>
      </c>
      <c r="G10" s="28" t="s">
        <v>1611</v>
      </c>
      <c r="H10" s="34"/>
      <c r="I10" s="28" t="s">
        <v>2533</v>
      </c>
      <c r="J10" s="28" t="s">
        <v>2534</v>
      </c>
      <c r="K10" s="28" t="s">
        <v>1612</v>
      </c>
      <c r="L10" s="28" t="s">
        <v>2591</v>
      </c>
      <c r="M10" s="28" t="s">
        <v>91</v>
      </c>
      <c r="N10" s="29" t="s">
        <v>1405</v>
      </c>
      <c r="O10" s="29" t="b">
        <v>0</v>
      </c>
      <c r="P10" s="28" t="s">
        <v>1405</v>
      </c>
      <c r="Q10" s="28">
        <v>2</v>
      </c>
      <c r="R10" s="28">
        <v>308.52</v>
      </c>
      <c r="S10" s="28">
        <v>0</v>
      </c>
      <c r="T10" s="28">
        <v>0</v>
      </c>
      <c r="U10" s="66">
        <v>308.52</v>
      </c>
      <c r="V10" s="67"/>
      <c r="W10" s="68"/>
      <c r="X10" s="39"/>
      <c r="Y10" s="39"/>
      <c r="Z10" s="39"/>
    </row>
    <row r="11" spans="1:26" ht="36.75" thickBot="1" x14ac:dyDescent="0.3">
      <c r="C11" s="65" t="s">
        <v>1509</v>
      </c>
      <c r="D11" s="28">
        <v>4</v>
      </c>
      <c r="E11" s="28" t="s">
        <v>80</v>
      </c>
      <c r="F11" s="28" t="s">
        <v>1402</v>
      </c>
      <c r="G11" s="28" t="s">
        <v>1613</v>
      </c>
      <c r="H11" s="34"/>
      <c r="I11" s="28" t="s">
        <v>2535</v>
      </c>
      <c r="J11" s="28" t="s">
        <v>2534</v>
      </c>
      <c r="K11" s="28" t="s">
        <v>1614</v>
      </c>
      <c r="L11" s="28" t="s">
        <v>2547</v>
      </c>
      <c r="M11" s="28" t="s">
        <v>91</v>
      </c>
      <c r="N11" s="29" t="s">
        <v>1405</v>
      </c>
      <c r="O11" s="29" t="b">
        <v>0</v>
      </c>
      <c r="P11" s="28" t="s">
        <v>1405</v>
      </c>
      <c r="Q11" s="28">
        <v>2</v>
      </c>
      <c r="R11" s="28">
        <v>96360.75</v>
      </c>
      <c r="S11" s="28">
        <v>0</v>
      </c>
      <c r="T11" s="28">
        <v>0</v>
      </c>
      <c r="U11" s="66">
        <v>96360.75</v>
      </c>
      <c r="V11" s="67"/>
      <c r="W11" s="68"/>
      <c r="X11" s="39"/>
      <c r="Y11" s="39"/>
      <c r="Z11" s="39"/>
    </row>
    <row r="12" spans="1:26" s="69" customFormat="1" ht="36.75" thickBot="1" x14ac:dyDescent="0.3">
      <c r="C12" s="65" t="s">
        <v>1509</v>
      </c>
      <c r="D12" s="28">
        <v>5</v>
      </c>
      <c r="E12" s="70" t="s">
        <v>80</v>
      </c>
      <c r="F12" s="28" t="s">
        <v>1402</v>
      </c>
      <c r="G12" s="70" t="s">
        <v>1615</v>
      </c>
      <c r="H12" s="34"/>
      <c r="I12" s="28" t="s">
        <v>2533</v>
      </c>
      <c r="J12" s="28" t="s">
        <v>2534</v>
      </c>
      <c r="K12" s="70" t="s">
        <v>1616</v>
      </c>
      <c r="L12" s="28" t="s">
        <v>2570</v>
      </c>
      <c r="M12" s="28" t="s">
        <v>91</v>
      </c>
      <c r="N12" s="29" t="s">
        <v>1405</v>
      </c>
      <c r="O12" s="29" t="b">
        <v>0</v>
      </c>
      <c r="P12" s="28" t="s">
        <v>1405</v>
      </c>
      <c r="Q12" s="70">
        <v>8</v>
      </c>
      <c r="R12" s="70">
        <v>7694.81</v>
      </c>
      <c r="S12" s="28">
        <v>0</v>
      </c>
      <c r="T12" s="28">
        <v>0</v>
      </c>
      <c r="U12" s="66">
        <v>7694.81</v>
      </c>
      <c r="V12" s="71"/>
      <c r="W12" s="72"/>
      <c r="X12" s="73"/>
      <c r="Y12" s="73"/>
      <c r="Z12" s="73"/>
    </row>
    <row r="13" spans="1:26" ht="36.75" thickBot="1" x14ac:dyDescent="0.3">
      <c r="C13" s="65" t="s">
        <v>1509</v>
      </c>
      <c r="D13" s="28">
        <v>6</v>
      </c>
      <c r="E13" s="74" t="s">
        <v>80</v>
      </c>
      <c r="F13" s="28" t="s">
        <v>1402</v>
      </c>
      <c r="G13" s="74" t="s">
        <v>1617</v>
      </c>
      <c r="H13" s="34"/>
      <c r="I13" s="28" t="s">
        <v>2535</v>
      </c>
      <c r="J13" s="28" t="s">
        <v>2534</v>
      </c>
      <c r="K13" s="74" t="s">
        <v>1618</v>
      </c>
      <c r="L13" s="28" t="s">
        <v>2577</v>
      </c>
      <c r="M13" s="28" t="s">
        <v>91</v>
      </c>
      <c r="N13" s="29" t="s">
        <v>1405</v>
      </c>
      <c r="O13" s="29" t="b">
        <v>0</v>
      </c>
      <c r="P13" s="28" t="s">
        <v>1405</v>
      </c>
      <c r="Q13" s="74">
        <v>2</v>
      </c>
      <c r="R13" s="74">
        <v>5256.05</v>
      </c>
      <c r="S13" s="28">
        <v>0</v>
      </c>
      <c r="T13" s="28">
        <v>0</v>
      </c>
      <c r="U13" s="66">
        <v>5256.05</v>
      </c>
      <c r="V13" s="67"/>
      <c r="W13" s="68"/>
      <c r="X13" s="39"/>
      <c r="Y13" s="39"/>
      <c r="Z13" s="39"/>
    </row>
    <row r="14" spans="1:26" ht="36.75" thickBot="1" x14ac:dyDescent="0.3">
      <c r="C14" s="65" t="s">
        <v>1509</v>
      </c>
      <c r="D14" s="28">
        <v>7</v>
      </c>
      <c r="E14" s="28" t="s">
        <v>80</v>
      </c>
      <c r="F14" s="28" t="s">
        <v>1402</v>
      </c>
      <c r="G14" s="28" t="s">
        <v>1619</v>
      </c>
      <c r="H14" s="34"/>
      <c r="I14" s="28" t="s">
        <v>2535</v>
      </c>
      <c r="J14" s="28" t="s">
        <v>2535</v>
      </c>
      <c r="K14" s="28" t="s">
        <v>1620</v>
      </c>
      <c r="L14" s="28" t="s">
        <v>2567</v>
      </c>
      <c r="M14" s="28" t="s">
        <v>60</v>
      </c>
      <c r="N14" s="29" t="s">
        <v>1405</v>
      </c>
      <c r="O14" s="29" t="b">
        <v>0</v>
      </c>
      <c r="P14" s="28" t="s">
        <v>2537</v>
      </c>
      <c r="Q14" s="28">
        <v>2</v>
      </c>
      <c r="R14" s="28">
        <v>9575.93</v>
      </c>
      <c r="S14" s="28">
        <v>0</v>
      </c>
      <c r="T14" s="28">
        <v>0</v>
      </c>
      <c r="U14" s="66">
        <v>9575.93</v>
      </c>
      <c r="V14" s="67"/>
      <c r="W14" s="68"/>
      <c r="X14" s="39"/>
      <c r="Y14" s="39"/>
      <c r="Z14" s="39"/>
    </row>
    <row r="15" spans="1:26" ht="36.75" thickBot="1" x14ac:dyDescent="0.3">
      <c r="C15" s="65" t="s">
        <v>1509</v>
      </c>
      <c r="D15" s="28">
        <v>8</v>
      </c>
      <c r="E15" s="28" t="s">
        <v>56</v>
      </c>
      <c r="F15" s="28" t="s">
        <v>1402</v>
      </c>
      <c r="G15" s="28" t="s">
        <v>1381</v>
      </c>
      <c r="H15" s="34"/>
      <c r="I15" s="28" t="s">
        <v>2535</v>
      </c>
      <c r="J15" s="28" t="s">
        <v>2534</v>
      </c>
      <c r="K15" s="28" t="s">
        <v>768</v>
      </c>
      <c r="L15" s="28" t="s">
        <v>1381</v>
      </c>
      <c r="M15" s="28" t="s">
        <v>60</v>
      </c>
      <c r="N15" s="29" t="s">
        <v>768</v>
      </c>
      <c r="O15" s="29" t="b">
        <v>0</v>
      </c>
      <c r="P15" s="28" t="s">
        <v>1405</v>
      </c>
      <c r="Q15" s="28">
        <v>2</v>
      </c>
      <c r="R15" s="28">
        <v>-0.04</v>
      </c>
      <c r="S15" s="28">
        <v>0</v>
      </c>
      <c r="T15" s="28">
        <v>0</v>
      </c>
      <c r="U15" s="66">
        <v>0</v>
      </c>
      <c r="V15" s="67"/>
      <c r="W15" s="68"/>
      <c r="X15" s="39"/>
      <c r="Y15" s="39"/>
      <c r="Z15" s="39"/>
    </row>
    <row r="16" spans="1:26" ht="36.75" thickBot="1" x14ac:dyDescent="0.3">
      <c r="C16" s="65" t="s">
        <v>1509</v>
      </c>
      <c r="D16" s="28">
        <v>9</v>
      </c>
      <c r="E16" s="28" t="s">
        <v>56</v>
      </c>
      <c r="F16" s="28" t="s">
        <v>1402</v>
      </c>
      <c r="G16" s="28" t="s">
        <v>1621</v>
      </c>
      <c r="H16" s="34"/>
      <c r="I16" s="28" t="s">
        <v>2533</v>
      </c>
      <c r="J16" s="28" t="s">
        <v>2535</v>
      </c>
      <c r="K16" s="28" t="s">
        <v>1622</v>
      </c>
      <c r="L16" s="28" t="s">
        <v>2554</v>
      </c>
      <c r="M16" s="28" t="s">
        <v>91</v>
      </c>
      <c r="N16" s="29" t="s">
        <v>2550</v>
      </c>
      <c r="O16" s="29" t="b">
        <v>0</v>
      </c>
      <c r="P16" s="28" t="s">
        <v>2537</v>
      </c>
      <c r="Q16" s="28">
        <v>2</v>
      </c>
      <c r="R16" s="28">
        <v>42440.84</v>
      </c>
      <c r="S16" s="28">
        <v>0</v>
      </c>
      <c r="T16" s="28">
        <v>0</v>
      </c>
      <c r="U16" s="66">
        <v>42440.84</v>
      </c>
      <c r="V16" s="67"/>
      <c r="W16" s="68"/>
      <c r="X16" s="39"/>
      <c r="Y16" s="39"/>
      <c r="Z16" s="39"/>
    </row>
    <row r="17" spans="3:26" ht="36.75" thickBot="1" x14ac:dyDescent="0.3">
      <c r="C17" s="65" t="s">
        <v>1509</v>
      </c>
      <c r="D17" s="28">
        <v>10</v>
      </c>
      <c r="E17" s="28" t="s">
        <v>56</v>
      </c>
      <c r="F17" s="28" t="s">
        <v>1402</v>
      </c>
      <c r="G17" s="28" t="s">
        <v>1623</v>
      </c>
      <c r="H17" s="34"/>
      <c r="I17" s="28" t="s">
        <v>2535</v>
      </c>
      <c r="J17" s="28" t="s">
        <v>2535</v>
      </c>
      <c r="K17" s="28" t="s">
        <v>1624</v>
      </c>
      <c r="L17" s="28" t="s">
        <v>2555</v>
      </c>
      <c r="M17" s="28" t="s">
        <v>60</v>
      </c>
      <c r="N17" s="29" t="s">
        <v>2550</v>
      </c>
      <c r="O17" s="29" t="b">
        <v>0</v>
      </c>
      <c r="P17" s="28" t="s">
        <v>2537</v>
      </c>
      <c r="Q17" s="28">
        <v>2</v>
      </c>
      <c r="R17" s="28">
        <v>35831.31</v>
      </c>
      <c r="S17" s="28">
        <v>0</v>
      </c>
      <c r="T17" s="28">
        <v>0</v>
      </c>
      <c r="U17" s="66">
        <v>35831.31</v>
      </c>
      <c r="V17" s="67"/>
      <c r="W17" s="68"/>
      <c r="X17" s="39"/>
      <c r="Y17" s="39"/>
      <c r="Z17" s="39"/>
    </row>
    <row r="18" spans="3:26" ht="36.75" thickBot="1" x14ac:dyDescent="0.3">
      <c r="C18" s="65" t="s">
        <v>1509</v>
      </c>
      <c r="D18" s="28">
        <v>11</v>
      </c>
      <c r="E18" s="28" t="s">
        <v>56</v>
      </c>
      <c r="F18" s="28" t="s">
        <v>1402</v>
      </c>
      <c r="G18" s="28" t="s">
        <v>1625</v>
      </c>
      <c r="H18" s="34"/>
      <c r="I18" s="28" t="s">
        <v>2533</v>
      </c>
      <c r="J18" s="28" t="s">
        <v>2535</v>
      </c>
      <c r="K18" s="28" t="s">
        <v>1626</v>
      </c>
      <c r="L18" s="28" t="s">
        <v>2549</v>
      </c>
      <c r="M18" s="28" t="s">
        <v>91</v>
      </c>
      <c r="N18" s="29" t="s">
        <v>2550</v>
      </c>
      <c r="O18" s="29" t="b">
        <v>0</v>
      </c>
      <c r="P18" s="28" t="s">
        <v>2537</v>
      </c>
      <c r="Q18" s="28">
        <v>2</v>
      </c>
      <c r="R18" s="28">
        <v>81847.58</v>
      </c>
      <c r="S18" s="28">
        <v>0</v>
      </c>
      <c r="T18" s="28">
        <v>0</v>
      </c>
      <c r="U18" s="66">
        <v>81847.58</v>
      </c>
      <c r="V18" s="75"/>
      <c r="W18" s="68"/>
      <c r="X18" s="39"/>
      <c r="Y18" s="39"/>
      <c r="Z18" s="39"/>
    </row>
    <row r="19" spans="3:26" ht="36.75" thickBot="1" x14ac:dyDescent="0.3">
      <c r="C19" s="65" t="s">
        <v>1509</v>
      </c>
      <c r="D19" s="28">
        <v>12</v>
      </c>
      <c r="E19" s="28" t="s">
        <v>56</v>
      </c>
      <c r="F19" s="28" t="s">
        <v>1402</v>
      </c>
      <c r="G19" s="28" t="s">
        <v>1627</v>
      </c>
      <c r="H19" s="34"/>
      <c r="I19" s="28" t="s">
        <v>2533</v>
      </c>
      <c r="J19" s="28" t="s">
        <v>2534</v>
      </c>
      <c r="K19" s="28" t="s">
        <v>1628</v>
      </c>
      <c r="L19" s="28" t="s">
        <v>2543</v>
      </c>
      <c r="M19" s="28" t="s">
        <v>60</v>
      </c>
      <c r="N19" s="29" t="s">
        <v>1405</v>
      </c>
      <c r="O19" s="29" t="b">
        <v>0</v>
      </c>
      <c r="P19" s="28" t="s">
        <v>1405</v>
      </c>
      <c r="Q19" s="28">
        <v>8</v>
      </c>
      <c r="R19" s="28">
        <v>224582.23</v>
      </c>
      <c r="S19" s="28">
        <v>0</v>
      </c>
      <c r="T19" s="28">
        <v>0</v>
      </c>
      <c r="U19" s="66">
        <v>224582.23</v>
      </c>
      <c r="V19" s="67"/>
      <c r="W19" s="68"/>
      <c r="X19" s="39"/>
      <c r="Y19" s="39"/>
      <c r="Z19" s="39"/>
    </row>
    <row r="20" spans="3:26" ht="36.75" thickBot="1" x14ac:dyDescent="0.3">
      <c r="C20" s="65" t="s">
        <v>1509</v>
      </c>
      <c r="D20" s="28">
        <v>13</v>
      </c>
      <c r="E20" s="28" t="s">
        <v>56</v>
      </c>
      <c r="F20" s="28" t="s">
        <v>1402</v>
      </c>
      <c r="G20" s="28" t="s">
        <v>1629</v>
      </c>
      <c r="H20" s="34"/>
      <c r="I20" s="28" t="s">
        <v>2533</v>
      </c>
      <c r="J20" s="28" t="s">
        <v>2535</v>
      </c>
      <c r="K20" s="28" t="s">
        <v>1630</v>
      </c>
      <c r="L20" s="28" t="s">
        <v>2551</v>
      </c>
      <c r="M20" s="28" t="s">
        <v>91</v>
      </c>
      <c r="N20" s="29" t="s">
        <v>1405</v>
      </c>
      <c r="O20" s="29" t="b">
        <v>0</v>
      </c>
      <c r="P20" s="28" t="s">
        <v>2537</v>
      </c>
      <c r="Q20" s="28">
        <v>2</v>
      </c>
      <c r="R20" s="28">
        <v>81847.58</v>
      </c>
      <c r="S20" s="28">
        <v>0</v>
      </c>
      <c r="T20" s="28">
        <v>0</v>
      </c>
      <c r="U20" s="66">
        <v>81847.58</v>
      </c>
      <c r="V20" s="67"/>
      <c r="W20" s="68"/>
      <c r="X20" s="39"/>
      <c r="Y20" s="39"/>
      <c r="Z20" s="39"/>
    </row>
    <row r="21" spans="3:26" ht="48.75" thickBot="1" x14ac:dyDescent="0.3">
      <c r="C21" s="65" t="s">
        <v>1509</v>
      </c>
      <c r="D21" s="28">
        <v>14</v>
      </c>
      <c r="E21" s="28" t="s">
        <v>56</v>
      </c>
      <c r="F21" s="28" t="s">
        <v>1402</v>
      </c>
      <c r="G21" s="28" t="s">
        <v>1631</v>
      </c>
      <c r="H21" s="34"/>
      <c r="I21" s="28" t="s">
        <v>2533</v>
      </c>
      <c r="J21" s="28" t="s">
        <v>2534</v>
      </c>
      <c r="K21" s="28" t="s">
        <v>1632</v>
      </c>
      <c r="L21" s="28" t="s">
        <v>2594</v>
      </c>
      <c r="M21" s="28" t="s">
        <v>91</v>
      </c>
      <c r="N21" s="29" t="s">
        <v>1405</v>
      </c>
      <c r="O21" s="29" t="b">
        <v>0</v>
      </c>
      <c r="P21" s="28" t="s">
        <v>1405</v>
      </c>
      <c r="Q21" s="28">
        <v>4</v>
      </c>
      <c r="R21" s="28">
        <v>2.16</v>
      </c>
      <c r="S21" s="28">
        <v>0</v>
      </c>
      <c r="T21" s="28">
        <v>0</v>
      </c>
      <c r="U21" s="66">
        <v>2.16</v>
      </c>
      <c r="V21" s="67"/>
      <c r="W21" s="68"/>
      <c r="X21" s="39"/>
      <c r="Y21" s="39"/>
      <c r="Z21" s="39"/>
    </row>
    <row r="22" spans="3:26" ht="36.75" thickBot="1" x14ac:dyDescent="0.3">
      <c r="C22" s="65" t="s">
        <v>1509</v>
      </c>
      <c r="D22" s="28">
        <v>15</v>
      </c>
      <c r="E22" s="28" t="s">
        <v>56</v>
      </c>
      <c r="F22" s="28" t="s">
        <v>1402</v>
      </c>
      <c r="G22" s="28" t="s">
        <v>1633</v>
      </c>
      <c r="H22" s="34"/>
      <c r="I22" s="28" t="s">
        <v>2533</v>
      </c>
      <c r="J22" s="28" t="s">
        <v>2534</v>
      </c>
      <c r="K22" s="28" t="s">
        <v>1634</v>
      </c>
      <c r="L22" s="28" t="s">
        <v>2574</v>
      </c>
      <c r="M22" s="28" t="s">
        <v>91</v>
      </c>
      <c r="N22" s="29" t="s">
        <v>1405</v>
      </c>
      <c r="O22" s="29" t="b">
        <v>0</v>
      </c>
      <c r="P22" s="28" t="s">
        <v>1405</v>
      </c>
      <c r="Q22" s="28">
        <v>4</v>
      </c>
      <c r="R22" s="28">
        <v>6370.96</v>
      </c>
      <c r="S22" s="28">
        <v>0</v>
      </c>
      <c r="T22" s="28">
        <v>0</v>
      </c>
      <c r="U22" s="66">
        <v>6370.96</v>
      </c>
      <c r="V22" s="67"/>
      <c r="W22" s="68"/>
      <c r="X22" s="39"/>
      <c r="Y22" s="39"/>
      <c r="Z22" s="39"/>
    </row>
    <row r="23" spans="3:26" ht="36.75" thickBot="1" x14ac:dyDescent="0.3">
      <c r="C23" s="65" t="s">
        <v>1509</v>
      </c>
      <c r="D23" s="28">
        <v>16</v>
      </c>
      <c r="E23" s="28" t="s">
        <v>56</v>
      </c>
      <c r="F23" s="28" t="s">
        <v>1402</v>
      </c>
      <c r="G23" s="28" t="s">
        <v>1635</v>
      </c>
      <c r="H23" s="34"/>
      <c r="I23" s="28" t="s">
        <v>2535</v>
      </c>
      <c r="J23" s="28" t="s">
        <v>2534</v>
      </c>
      <c r="K23" s="28" t="s">
        <v>1636</v>
      </c>
      <c r="L23" s="28" t="s">
        <v>2576</v>
      </c>
      <c r="M23" s="28" t="s">
        <v>60</v>
      </c>
      <c r="N23" s="29" t="s">
        <v>1405</v>
      </c>
      <c r="O23" s="29" t="b">
        <v>0</v>
      </c>
      <c r="P23" s="28" t="s">
        <v>1405</v>
      </c>
      <c r="Q23" s="28">
        <v>2</v>
      </c>
      <c r="R23" s="28">
        <v>6270.98</v>
      </c>
      <c r="S23" s="28">
        <v>0</v>
      </c>
      <c r="T23" s="28">
        <v>0</v>
      </c>
      <c r="U23" s="66">
        <v>6270.98</v>
      </c>
      <c r="V23" s="67"/>
      <c r="W23" s="68"/>
      <c r="X23" s="39"/>
      <c r="Y23" s="39"/>
      <c r="Z23" s="39"/>
    </row>
    <row r="24" spans="3:26" ht="36.75" thickBot="1" x14ac:dyDescent="0.3">
      <c r="C24" s="65" t="s">
        <v>1509</v>
      </c>
      <c r="D24" s="28">
        <v>17</v>
      </c>
      <c r="E24" s="28" t="s">
        <v>56</v>
      </c>
      <c r="F24" s="28" t="s">
        <v>1402</v>
      </c>
      <c r="G24" s="28" t="s">
        <v>1637</v>
      </c>
      <c r="H24" s="34"/>
      <c r="I24" s="28" t="s">
        <v>2535</v>
      </c>
      <c r="J24" s="28" t="s">
        <v>2534</v>
      </c>
      <c r="K24" s="28" t="s">
        <v>1638</v>
      </c>
      <c r="L24" s="28" t="s">
        <v>2580</v>
      </c>
      <c r="M24" s="28" t="s">
        <v>91</v>
      </c>
      <c r="N24" s="29" t="s">
        <v>1405</v>
      </c>
      <c r="O24" s="29" t="b">
        <v>0</v>
      </c>
      <c r="P24" s="28" t="s">
        <v>1405</v>
      </c>
      <c r="Q24" s="28">
        <v>2</v>
      </c>
      <c r="R24" s="28">
        <v>3795.96</v>
      </c>
      <c r="S24" s="28">
        <v>0</v>
      </c>
      <c r="T24" s="28">
        <v>0</v>
      </c>
      <c r="U24" s="66">
        <v>3795.96</v>
      </c>
      <c r="V24" s="67"/>
      <c r="W24" s="68"/>
      <c r="X24" s="39"/>
      <c r="Y24" s="39"/>
      <c r="Z24" s="39"/>
    </row>
    <row r="25" spans="3:26" ht="36.75" thickBot="1" x14ac:dyDescent="0.3">
      <c r="C25" s="65" t="s">
        <v>1509</v>
      </c>
      <c r="D25" s="28">
        <v>18</v>
      </c>
      <c r="E25" s="28" t="s">
        <v>56</v>
      </c>
      <c r="F25" s="28" t="s">
        <v>1402</v>
      </c>
      <c r="G25" s="28" t="s">
        <v>1639</v>
      </c>
      <c r="H25" s="34"/>
      <c r="I25" s="28" t="s">
        <v>2535</v>
      </c>
      <c r="J25" s="28" t="s">
        <v>2534</v>
      </c>
      <c r="K25" s="28" t="s">
        <v>1640</v>
      </c>
      <c r="L25" s="28" t="s">
        <v>2565</v>
      </c>
      <c r="M25" s="28" t="s">
        <v>91</v>
      </c>
      <c r="N25" s="29" t="s">
        <v>1405</v>
      </c>
      <c r="O25" s="29" t="b">
        <v>0</v>
      </c>
      <c r="P25" s="28" t="s">
        <v>1405</v>
      </c>
      <c r="Q25" s="28">
        <v>6</v>
      </c>
      <c r="R25" s="28">
        <v>14426.71</v>
      </c>
      <c r="S25" s="28">
        <v>0</v>
      </c>
      <c r="T25" s="28">
        <v>0</v>
      </c>
      <c r="U25" s="66">
        <v>14426.71</v>
      </c>
      <c r="V25" s="67"/>
      <c r="W25" s="68"/>
      <c r="X25" s="39"/>
      <c r="Y25" s="39"/>
      <c r="Z25" s="39"/>
    </row>
    <row r="26" spans="3:26" ht="36.75" thickBot="1" x14ac:dyDescent="0.3">
      <c r="C26" s="65" t="s">
        <v>1509</v>
      </c>
      <c r="D26" s="28">
        <v>19</v>
      </c>
      <c r="E26" s="28" t="s">
        <v>56</v>
      </c>
      <c r="F26" s="28" t="s">
        <v>1402</v>
      </c>
      <c r="G26" s="28" t="s">
        <v>1641</v>
      </c>
      <c r="H26" s="34"/>
      <c r="I26" s="28" t="s">
        <v>2533</v>
      </c>
      <c r="J26" s="28" t="s">
        <v>2535</v>
      </c>
      <c r="K26" s="28" t="s">
        <v>1642</v>
      </c>
      <c r="L26" s="28" t="s">
        <v>2544</v>
      </c>
      <c r="M26" s="28" t="s">
        <v>91</v>
      </c>
      <c r="N26" s="29" t="s">
        <v>1405</v>
      </c>
      <c r="O26" s="29" t="b">
        <v>0</v>
      </c>
      <c r="P26" s="28" t="s">
        <v>2537</v>
      </c>
      <c r="Q26" s="28">
        <v>4</v>
      </c>
      <c r="R26" s="28">
        <v>209243.51999999999</v>
      </c>
      <c r="S26" s="28">
        <v>0</v>
      </c>
      <c r="T26" s="28">
        <v>0</v>
      </c>
      <c r="U26" s="66">
        <v>209243.51999999999</v>
      </c>
      <c r="V26" s="75"/>
      <c r="W26" s="68"/>
      <c r="X26" s="39"/>
      <c r="Y26" s="39"/>
      <c r="Z26" s="39"/>
    </row>
    <row r="27" spans="3:26" ht="36.75" thickBot="1" x14ac:dyDescent="0.3">
      <c r="C27" s="65" t="s">
        <v>1509</v>
      </c>
      <c r="D27" s="28">
        <v>20</v>
      </c>
      <c r="E27" s="28" t="s">
        <v>56</v>
      </c>
      <c r="F27" s="28" t="s">
        <v>1402</v>
      </c>
      <c r="G27" s="28" t="s">
        <v>1643</v>
      </c>
      <c r="H27" s="34"/>
      <c r="I27" s="28" t="s">
        <v>2533</v>
      </c>
      <c r="J27" s="28" t="s">
        <v>2535</v>
      </c>
      <c r="K27" s="28" t="s">
        <v>1644</v>
      </c>
      <c r="L27" s="28" t="s">
        <v>2561</v>
      </c>
      <c r="M27" s="28" t="s">
        <v>60</v>
      </c>
      <c r="N27" s="29" t="s">
        <v>1405</v>
      </c>
      <c r="O27" s="29" t="b">
        <v>0</v>
      </c>
      <c r="P27" s="28" t="s">
        <v>2537</v>
      </c>
      <c r="Q27" s="28">
        <v>2</v>
      </c>
      <c r="R27" s="28">
        <v>19293.78</v>
      </c>
      <c r="S27" s="28">
        <v>0</v>
      </c>
      <c r="T27" s="28">
        <v>0</v>
      </c>
      <c r="U27" s="66">
        <v>19293.78</v>
      </c>
      <c r="V27" s="67"/>
      <c r="W27" s="68"/>
      <c r="X27" s="39"/>
      <c r="Y27" s="39"/>
      <c r="Z27" s="39"/>
    </row>
    <row r="28" spans="3:26" ht="36.75" thickBot="1" x14ac:dyDescent="0.3">
      <c r="C28" s="65" t="s">
        <v>1509</v>
      </c>
      <c r="D28" s="28">
        <v>21</v>
      </c>
      <c r="E28" s="28" t="s">
        <v>56</v>
      </c>
      <c r="F28" s="28" t="s">
        <v>1402</v>
      </c>
      <c r="G28" s="28" t="s">
        <v>1645</v>
      </c>
      <c r="H28" s="34"/>
      <c r="I28" s="28" t="s">
        <v>2533</v>
      </c>
      <c r="J28" s="28" t="s">
        <v>2535</v>
      </c>
      <c r="K28" s="28" t="s">
        <v>1646</v>
      </c>
      <c r="L28" s="28" t="s">
        <v>2563</v>
      </c>
      <c r="M28" s="28" t="s">
        <v>60</v>
      </c>
      <c r="N28" s="29" t="s">
        <v>1405</v>
      </c>
      <c r="O28" s="29" t="b">
        <v>0</v>
      </c>
      <c r="P28" s="28" t="s">
        <v>2537</v>
      </c>
      <c r="Q28" s="28">
        <v>2</v>
      </c>
      <c r="R28" s="28">
        <v>18050.060000000001</v>
      </c>
      <c r="S28" s="28">
        <v>0</v>
      </c>
      <c r="T28" s="28">
        <v>0</v>
      </c>
      <c r="U28" s="66">
        <v>18050.060000000001</v>
      </c>
      <c r="V28" s="67"/>
      <c r="W28" s="68"/>
      <c r="X28" s="39"/>
      <c r="Y28" s="39"/>
      <c r="Z28" s="39"/>
    </row>
    <row r="29" spans="3:26" ht="36.75" thickBot="1" x14ac:dyDescent="0.3">
      <c r="C29" s="65" t="s">
        <v>1509</v>
      </c>
      <c r="D29" s="28">
        <v>22</v>
      </c>
      <c r="E29" s="28" t="s">
        <v>56</v>
      </c>
      <c r="F29" s="28" t="s">
        <v>1402</v>
      </c>
      <c r="G29" s="28" t="s">
        <v>1647</v>
      </c>
      <c r="H29" s="34"/>
      <c r="I29" s="28" t="s">
        <v>2533</v>
      </c>
      <c r="J29" s="28" t="s">
        <v>2534</v>
      </c>
      <c r="K29" s="28" t="s">
        <v>1648</v>
      </c>
      <c r="L29" s="28" t="s">
        <v>2571</v>
      </c>
      <c r="M29" s="28" t="s">
        <v>91</v>
      </c>
      <c r="N29" s="29" t="s">
        <v>1405</v>
      </c>
      <c r="O29" s="29" t="b">
        <v>0</v>
      </c>
      <c r="P29" s="28" t="s">
        <v>1405</v>
      </c>
      <c r="Q29" s="28">
        <v>2</v>
      </c>
      <c r="R29" s="28">
        <v>7485.98</v>
      </c>
      <c r="S29" s="28">
        <v>0</v>
      </c>
      <c r="T29" s="28">
        <v>0</v>
      </c>
      <c r="U29" s="66">
        <v>7485.98</v>
      </c>
      <c r="V29" s="67"/>
      <c r="W29" s="68"/>
      <c r="X29" s="39"/>
      <c r="Y29" s="39"/>
      <c r="Z29" s="39"/>
    </row>
    <row r="30" spans="3:26" ht="36.75" thickBot="1" x14ac:dyDescent="0.3">
      <c r="C30" s="65" t="s">
        <v>1509</v>
      </c>
      <c r="D30" s="28">
        <v>23</v>
      </c>
      <c r="E30" s="28" t="s">
        <v>56</v>
      </c>
      <c r="F30" s="28" t="s">
        <v>1402</v>
      </c>
      <c r="G30" s="28" t="s">
        <v>1649</v>
      </c>
      <c r="H30" s="34"/>
      <c r="I30" s="28" t="s">
        <v>2533</v>
      </c>
      <c r="J30" s="28" t="s">
        <v>2534</v>
      </c>
      <c r="K30" s="28" t="s">
        <v>1650</v>
      </c>
      <c r="L30" s="28" t="s">
        <v>2575</v>
      </c>
      <c r="M30" s="28" t="s">
        <v>91</v>
      </c>
      <c r="N30" s="29" t="s">
        <v>1405</v>
      </c>
      <c r="O30" s="29" t="b">
        <v>0</v>
      </c>
      <c r="P30" s="28" t="s">
        <v>1405</v>
      </c>
      <c r="Q30" s="28">
        <v>2</v>
      </c>
      <c r="R30" s="28">
        <v>6301.97</v>
      </c>
      <c r="S30" s="28">
        <v>0</v>
      </c>
      <c r="T30" s="28">
        <v>0</v>
      </c>
      <c r="U30" s="66">
        <v>6301.97</v>
      </c>
      <c r="V30" s="67"/>
      <c r="W30" s="68"/>
      <c r="X30" s="39"/>
      <c r="Y30" s="39"/>
      <c r="Z30" s="39"/>
    </row>
    <row r="31" spans="3:26" ht="36.75" thickBot="1" x14ac:dyDescent="0.3">
      <c r="C31" s="65" t="s">
        <v>1509</v>
      </c>
      <c r="D31" s="28">
        <v>24</v>
      </c>
      <c r="E31" s="28" t="s">
        <v>56</v>
      </c>
      <c r="F31" s="28" t="s">
        <v>1402</v>
      </c>
      <c r="G31" s="28" t="s">
        <v>1651</v>
      </c>
      <c r="H31" s="34"/>
      <c r="I31" s="28" t="s">
        <v>2533</v>
      </c>
      <c r="J31" s="28" t="s">
        <v>2534</v>
      </c>
      <c r="K31" s="28" t="s">
        <v>1652</v>
      </c>
      <c r="L31" s="28" t="s">
        <v>2569</v>
      </c>
      <c r="M31" s="28" t="s">
        <v>91</v>
      </c>
      <c r="N31" s="29" t="s">
        <v>1405</v>
      </c>
      <c r="O31" s="29" t="b">
        <v>0</v>
      </c>
      <c r="P31" s="28" t="s">
        <v>1405</v>
      </c>
      <c r="Q31" s="28">
        <v>2</v>
      </c>
      <c r="R31" s="28">
        <v>8020.7</v>
      </c>
      <c r="S31" s="28">
        <v>0</v>
      </c>
      <c r="T31" s="28">
        <v>0</v>
      </c>
      <c r="U31" s="66">
        <v>8020.7</v>
      </c>
      <c r="V31" s="67"/>
      <c r="W31" s="68"/>
      <c r="X31" s="39"/>
      <c r="Y31" s="39"/>
      <c r="Z31" s="39"/>
    </row>
    <row r="32" spans="3:26" ht="36.75" thickBot="1" x14ac:dyDescent="0.3">
      <c r="C32" s="65" t="s">
        <v>1509</v>
      </c>
      <c r="D32" s="28">
        <v>25</v>
      </c>
      <c r="E32" s="28" t="s">
        <v>56</v>
      </c>
      <c r="F32" s="28" t="s">
        <v>1402</v>
      </c>
      <c r="G32" s="28" t="s">
        <v>1653</v>
      </c>
      <c r="H32" s="34"/>
      <c r="I32" s="28" t="s">
        <v>2535</v>
      </c>
      <c r="J32" s="28" t="s">
        <v>2534</v>
      </c>
      <c r="K32" s="28" t="s">
        <v>1654</v>
      </c>
      <c r="L32" s="28" t="s">
        <v>2559</v>
      </c>
      <c r="M32" s="28" t="s">
        <v>91</v>
      </c>
      <c r="N32" s="29" t="s">
        <v>1405</v>
      </c>
      <c r="O32" s="29" t="b">
        <v>0</v>
      </c>
      <c r="P32" s="28" t="s">
        <v>1405</v>
      </c>
      <c r="Q32" s="28">
        <v>8</v>
      </c>
      <c r="R32" s="28">
        <v>21793.52</v>
      </c>
      <c r="S32" s="28">
        <v>0</v>
      </c>
      <c r="T32" s="28">
        <v>0</v>
      </c>
      <c r="U32" s="66">
        <v>21793.52</v>
      </c>
      <c r="V32" s="75"/>
      <c r="W32" s="68"/>
      <c r="X32" s="39"/>
      <c r="Y32" s="39"/>
      <c r="Z32" s="39"/>
    </row>
    <row r="33" spans="3:26" s="69" customFormat="1" ht="36.75" thickBot="1" x14ac:dyDescent="0.3">
      <c r="C33" s="65" t="s">
        <v>1509</v>
      </c>
      <c r="D33" s="28">
        <v>26</v>
      </c>
      <c r="E33" s="70" t="s">
        <v>56</v>
      </c>
      <c r="F33" s="28" t="s">
        <v>1402</v>
      </c>
      <c r="G33" s="70" t="s">
        <v>1655</v>
      </c>
      <c r="H33" s="34"/>
      <c r="I33" s="28" t="s">
        <v>2533</v>
      </c>
      <c r="J33" s="28" t="s">
        <v>2534</v>
      </c>
      <c r="K33" s="70" t="s">
        <v>1656</v>
      </c>
      <c r="L33" s="28" t="s">
        <v>2556</v>
      </c>
      <c r="M33" s="28" t="s">
        <v>91</v>
      </c>
      <c r="N33" s="29" t="s">
        <v>1405</v>
      </c>
      <c r="O33" s="29" t="b">
        <v>0</v>
      </c>
      <c r="P33" s="28" t="s">
        <v>1405</v>
      </c>
      <c r="Q33" s="70">
        <v>2</v>
      </c>
      <c r="R33" s="70">
        <v>30609.85</v>
      </c>
      <c r="S33" s="28">
        <v>0</v>
      </c>
      <c r="T33" s="28">
        <v>0</v>
      </c>
      <c r="U33" s="66">
        <v>30609.85</v>
      </c>
      <c r="V33" s="71"/>
      <c r="W33" s="72"/>
      <c r="X33" s="73"/>
      <c r="Y33" s="73"/>
      <c r="Z33" s="73"/>
    </row>
    <row r="34" spans="3:26" ht="36.75" thickBot="1" x14ac:dyDescent="0.3">
      <c r="C34" s="65" t="s">
        <v>1509</v>
      </c>
      <c r="D34" s="28">
        <v>27</v>
      </c>
      <c r="E34" s="74" t="s">
        <v>56</v>
      </c>
      <c r="F34" s="28" t="s">
        <v>1402</v>
      </c>
      <c r="G34" s="74" t="s">
        <v>1657</v>
      </c>
      <c r="H34" s="34"/>
      <c r="I34" s="28" t="s">
        <v>2533</v>
      </c>
      <c r="J34" s="28" t="s">
        <v>2534</v>
      </c>
      <c r="K34" s="74" t="s">
        <v>1658</v>
      </c>
      <c r="L34" s="28" t="s">
        <v>2568</v>
      </c>
      <c r="M34" s="28" t="s">
        <v>91</v>
      </c>
      <c r="N34" s="29" t="s">
        <v>1405</v>
      </c>
      <c r="O34" s="29" t="b">
        <v>0</v>
      </c>
      <c r="P34" s="28" t="s">
        <v>1405</v>
      </c>
      <c r="Q34" s="74">
        <v>4</v>
      </c>
      <c r="R34" s="74">
        <v>9348.66</v>
      </c>
      <c r="S34" s="28">
        <v>0</v>
      </c>
      <c r="T34" s="28">
        <v>0</v>
      </c>
      <c r="U34" s="66">
        <v>9348.66</v>
      </c>
      <c r="V34" s="67"/>
      <c r="W34" s="68"/>
      <c r="X34" s="39"/>
      <c r="Y34" s="39"/>
      <c r="Z34" s="39"/>
    </row>
    <row r="35" spans="3:26" ht="36.75" thickBot="1" x14ac:dyDescent="0.3">
      <c r="C35" s="65" t="s">
        <v>1509</v>
      </c>
      <c r="D35" s="28">
        <v>28</v>
      </c>
      <c r="E35" s="28" t="s">
        <v>56</v>
      </c>
      <c r="F35" s="28" t="s">
        <v>1402</v>
      </c>
      <c r="G35" s="28" t="s">
        <v>1659</v>
      </c>
      <c r="H35" s="34"/>
      <c r="I35" s="28" t="s">
        <v>2533</v>
      </c>
      <c r="J35" s="28" t="s">
        <v>2535</v>
      </c>
      <c r="K35" s="28" t="s">
        <v>1660</v>
      </c>
      <c r="L35" s="28" t="s">
        <v>2542</v>
      </c>
      <c r="M35" s="28" t="s">
        <v>91</v>
      </c>
      <c r="N35" s="29" t="s">
        <v>1405</v>
      </c>
      <c r="O35" s="29" t="b">
        <v>0</v>
      </c>
      <c r="P35" s="28" t="s">
        <v>2537</v>
      </c>
      <c r="Q35" s="28">
        <v>4</v>
      </c>
      <c r="R35" s="28">
        <v>279171.42</v>
      </c>
      <c r="S35" s="28">
        <v>0</v>
      </c>
      <c r="T35" s="28">
        <v>0</v>
      </c>
      <c r="U35" s="66">
        <v>279171.42</v>
      </c>
      <c r="V35" s="67"/>
      <c r="W35" s="68"/>
      <c r="X35" s="39"/>
      <c r="Y35" s="39"/>
      <c r="Z35" s="39"/>
    </row>
    <row r="36" spans="3:26" ht="36.75" thickBot="1" x14ac:dyDescent="0.3">
      <c r="C36" s="65" t="s">
        <v>1509</v>
      </c>
      <c r="D36" s="28">
        <v>29</v>
      </c>
      <c r="E36" s="28" t="s">
        <v>56</v>
      </c>
      <c r="F36" s="28" t="s">
        <v>1402</v>
      </c>
      <c r="G36" s="28" t="s">
        <v>1661</v>
      </c>
      <c r="H36" s="34"/>
      <c r="I36" s="28" t="s">
        <v>2533</v>
      </c>
      <c r="J36" s="28" t="s">
        <v>2534</v>
      </c>
      <c r="K36" s="28" t="s">
        <v>1662</v>
      </c>
      <c r="L36" s="28" t="s">
        <v>2553</v>
      </c>
      <c r="M36" s="28" t="s">
        <v>60</v>
      </c>
      <c r="N36" s="29" t="s">
        <v>1405</v>
      </c>
      <c r="O36" s="29" t="b">
        <v>0</v>
      </c>
      <c r="P36" s="28" t="s">
        <v>1405</v>
      </c>
      <c r="Q36" s="28">
        <v>14</v>
      </c>
      <c r="R36" s="28">
        <v>56828.71</v>
      </c>
      <c r="S36" s="28">
        <v>0</v>
      </c>
      <c r="T36" s="28">
        <v>0</v>
      </c>
      <c r="U36" s="66">
        <v>56828.71</v>
      </c>
      <c r="V36" s="67"/>
      <c r="W36" s="68"/>
      <c r="X36" s="39"/>
      <c r="Y36" s="39"/>
      <c r="Z36" s="39"/>
    </row>
    <row r="37" spans="3:26" ht="36.75" thickBot="1" x14ac:dyDescent="0.3">
      <c r="C37" s="65" t="s">
        <v>1509</v>
      </c>
      <c r="D37" s="28">
        <v>30</v>
      </c>
      <c r="E37" s="28" t="s">
        <v>56</v>
      </c>
      <c r="F37" s="28" t="s">
        <v>1402</v>
      </c>
      <c r="G37" s="28" t="s">
        <v>1663</v>
      </c>
      <c r="H37" s="34"/>
      <c r="I37" s="28" t="s">
        <v>2533</v>
      </c>
      <c r="J37" s="28" t="s">
        <v>2534</v>
      </c>
      <c r="K37" s="28" t="s">
        <v>1664</v>
      </c>
      <c r="L37" s="28" t="s">
        <v>2589</v>
      </c>
      <c r="M37" s="28" t="s">
        <v>91</v>
      </c>
      <c r="N37" s="29" t="s">
        <v>1405</v>
      </c>
      <c r="O37" s="29" t="b">
        <v>0</v>
      </c>
      <c r="P37" s="28" t="s">
        <v>1405</v>
      </c>
      <c r="Q37" s="28">
        <v>8</v>
      </c>
      <c r="R37" s="28">
        <v>348.77</v>
      </c>
      <c r="S37" s="28">
        <v>0</v>
      </c>
      <c r="T37" s="28">
        <v>0</v>
      </c>
      <c r="U37" s="66">
        <v>348.77</v>
      </c>
      <c r="V37" s="67"/>
      <c r="W37" s="68"/>
      <c r="X37" s="39"/>
      <c r="Y37" s="39"/>
      <c r="Z37" s="39"/>
    </row>
    <row r="38" spans="3:26" ht="36.75" thickBot="1" x14ac:dyDescent="0.3">
      <c r="C38" s="65" t="s">
        <v>1509</v>
      </c>
      <c r="D38" s="28">
        <v>31</v>
      </c>
      <c r="E38" s="28" t="s">
        <v>56</v>
      </c>
      <c r="F38" s="28" t="s">
        <v>1402</v>
      </c>
      <c r="G38" s="28" t="s">
        <v>1665</v>
      </c>
      <c r="H38" s="34"/>
      <c r="I38" s="28" t="s">
        <v>2535</v>
      </c>
      <c r="J38" s="28" t="s">
        <v>2534</v>
      </c>
      <c r="K38" s="28" t="s">
        <v>1666</v>
      </c>
      <c r="L38" s="28" t="s">
        <v>2548</v>
      </c>
      <c r="M38" s="28" t="s">
        <v>91</v>
      </c>
      <c r="N38" s="29" t="s">
        <v>1405</v>
      </c>
      <c r="O38" s="29" t="b">
        <v>0</v>
      </c>
      <c r="P38" s="28" t="s">
        <v>1405</v>
      </c>
      <c r="Q38" s="28">
        <v>2</v>
      </c>
      <c r="R38" s="28">
        <v>89876.39</v>
      </c>
      <c r="S38" s="28">
        <v>0</v>
      </c>
      <c r="T38" s="28">
        <v>0</v>
      </c>
      <c r="U38" s="66">
        <v>89876.39</v>
      </c>
      <c r="V38" s="67"/>
      <c r="W38" s="68"/>
      <c r="X38" s="39"/>
      <c r="Y38" s="39"/>
      <c r="Z38" s="39"/>
    </row>
    <row r="39" spans="3:26" ht="36.75" thickBot="1" x14ac:dyDescent="0.3">
      <c r="C39" s="65" t="s">
        <v>1509</v>
      </c>
      <c r="D39" s="28">
        <v>32</v>
      </c>
      <c r="E39" s="28" t="s">
        <v>56</v>
      </c>
      <c r="F39" s="28" t="s">
        <v>1402</v>
      </c>
      <c r="G39" s="28" t="s">
        <v>1667</v>
      </c>
      <c r="H39" s="34"/>
      <c r="I39" s="28" t="s">
        <v>2533</v>
      </c>
      <c r="J39" s="28" t="s">
        <v>2534</v>
      </c>
      <c r="K39" s="28" t="s">
        <v>1668</v>
      </c>
      <c r="L39" s="28" t="s">
        <v>2562</v>
      </c>
      <c r="M39" s="28" t="s">
        <v>91</v>
      </c>
      <c r="N39" s="29" t="s">
        <v>1405</v>
      </c>
      <c r="O39" s="29" t="b">
        <v>0</v>
      </c>
      <c r="P39" s="28" t="s">
        <v>1405</v>
      </c>
      <c r="Q39" s="28">
        <v>2</v>
      </c>
      <c r="R39" s="28">
        <v>18628.419999999998</v>
      </c>
      <c r="S39" s="28">
        <v>0</v>
      </c>
      <c r="T39" s="28">
        <v>0</v>
      </c>
      <c r="U39" s="66">
        <v>18628.419999999998</v>
      </c>
      <c r="V39" s="67"/>
      <c r="W39" s="68"/>
      <c r="X39" s="39"/>
      <c r="Y39" s="39"/>
      <c r="Z39" s="39"/>
    </row>
    <row r="40" spans="3:26" ht="36.75" thickBot="1" x14ac:dyDescent="0.3">
      <c r="C40" s="65" t="s">
        <v>1509</v>
      </c>
      <c r="D40" s="28">
        <v>33</v>
      </c>
      <c r="E40" s="28" t="s">
        <v>56</v>
      </c>
      <c r="F40" s="28" t="s">
        <v>1402</v>
      </c>
      <c r="G40" s="28" t="s">
        <v>1669</v>
      </c>
      <c r="H40" s="34"/>
      <c r="I40" s="28" t="s">
        <v>2535</v>
      </c>
      <c r="J40" s="28" t="s">
        <v>2534</v>
      </c>
      <c r="K40" s="28" t="s">
        <v>1670</v>
      </c>
      <c r="L40" s="28" t="s">
        <v>2581</v>
      </c>
      <c r="M40" s="28" t="s">
        <v>91</v>
      </c>
      <c r="N40" s="29" t="s">
        <v>1405</v>
      </c>
      <c r="O40" s="29" t="b">
        <v>0</v>
      </c>
      <c r="P40" s="28" t="s">
        <v>1405</v>
      </c>
      <c r="Q40" s="28">
        <v>2</v>
      </c>
      <c r="R40" s="28">
        <v>3638.26</v>
      </c>
      <c r="S40" s="28">
        <v>0</v>
      </c>
      <c r="T40" s="28">
        <v>0</v>
      </c>
      <c r="U40" s="66">
        <v>3638.26</v>
      </c>
      <c r="V40" s="67"/>
      <c r="W40" s="68"/>
      <c r="X40" s="39"/>
      <c r="Y40" s="39"/>
      <c r="Z40" s="39"/>
    </row>
    <row r="41" spans="3:26" ht="36.75" thickBot="1" x14ac:dyDescent="0.3">
      <c r="C41" s="65" t="s">
        <v>1509</v>
      </c>
      <c r="D41" s="28">
        <v>34</v>
      </c>
      <c r="E41" s="28" t="s">
        <v>56</v>
      </c>
      <c r="F41" s="28" t="s">
        <v>1402</v>
      </c>
      <c r="G41" s="28" t="s">
        <v>1671</v>
      </c>
      <c r="H41" s="34"/>
      <c r="I41" s="28" t="s">
        <v>2533</v>
      </c>
      <c r="J41" s="28" t="s">
        <v>2535</v>
      </c>
      <c r="K41" s="28" t="s">
        <v>1672</v>
      </c>
      <c r="L41" s="28" t="s">
        <v>2552</v>
      </c>
      <c r="M41" s="28" t="s">
        <v>91</v>
      </c>
      <c r="N41" s="29" t="s">
        <v>1405</v>
      </c>
      <c r="O41" s="29" t="b">
        <v>0</v>
      </c>
      <c r="P41" s="28" t="s">
        <v>2537</v>
      </c>
      <c r="Q41" s="28">
        <v>2</v>
      </c>
      <c r="R41" s="28">
        <v>79567.89</v>
      </c>
      <c r="S41" s="28">
        <v>0</v>
      </c>
      <c r="T41" s="28">
        <v>0</v>
      </c>
      <c r="U41" s="66">
        <v>79567.89</v>
      </c>
      <c r="V41" s="67"/>
      <c r="W41" s="68"/>
      <c r="X41" s="39"/>
      <c r="Y41" s="39"/>
      <c r="Z41" s="39"/>
    </row>
    <row r="42" spans="3:26" ht="36.75" thickBot="1" x14ac:dyDescent="0.3">
      <c r="C42" s="65" t="s">
        <v>1509</v>
      </c>
      <c r="D42" s="28">
        <v>35</v>
      </c>
      <c r="E42" s="28" t="s">
        <v>56</v>
      </c>
      <c r="F42" s="28" t="s">
        <v>1402</v>
      </c>
      <c r="G42" s="28" t="s">
        <v>1673</v>
      </c>
      <c r="H42" s="34"/>
      <c r="I42" s="28" t="s">
        <v>2533</v>
      </c>
      <c r="J42" s="28" t="s">
        <v>2534</v>
      </c>
      <c r="K42" s="28" t="s">
        <v>1674</v>
      </c>
      <c r="L42" s="28" t="s">
        <v>2541</v>
      </c>
      <c r="M42" s="28" t="s">
        <v>91</v>
      </c>
      <c r="N42" s="29" t="s">
        <v>1405</v>
      </c>
      <c r="O42" s="29" t="b">
        <v>0</v>
      </c>
      <c r="P42" s="28" t="s">
        <v>1405</v>
      </c>
      <c r="Q42" s="28">
        <v>14</v>
      </c>
      <c r="R42" s="28">
        <v>395012.06</v>
      </c>
      <c r="S42" s="28">
        <v>0</v>
      </c>
      <c r="T42" s="28">
        <v>0</v>
      </c>
      <c r="U42" s="66">
        <v>395012.06</v>
      </c>
      <c r="V42" s="67"/>
      <c r="W42" s="68"/>
      <c r="X42" s="39"/>
      <c r="Y42" s="39"/>
      <c r="Z42" s="39"/>
    </row>
    <row r="43" spans="3:26" ht="36.75" thickBot="1" x14ac:dyDescent="0.3">
      <c r="C43" s="65" t="s">
        <v>1509</v>
      </c>
      <c r="D43" s="28">
        <v>36</v>
      </c>
      <c r="E43" s="28" t="s">
        <v>56</v>
      </c>
      <c r="F43" s="28" t="s">
        <v>1402</v>
      </c>
      <c r="G43" s="28" t="s">
        <v>1675</v>
      </c>
      <c r="H43" s="34"/>
      <c r="I43" s="28" t="s">
        <v>2533</v>
      </c>
      <c r="J43" s="28" t="s">
        <v>2535</v>
      </c>
      <c r="K43" s="28" t="s">
        <v>1676</v>
      </c>
      <c r="L43" s="28" t="s">
        <v>2564</v>
      </c>
      <c r="M43" s="28" t="s">
        <v>60</v>
      </c>
      <c r="N43" s="29" t="s">
        <v>1405</v>
      </c>
      <c r="O43" s="29" t="b">
        <v>0</v>
      </c>
      <c r="P43" s="28" t="s">
        <v>2537</v>
      </c>
      <c r="Q43" s="28">
        <v>2</v>
      </c>
      <c r="R43" s="28">
        <v>15963.87</v>
      </c>
      <c r="S43" s="28">
        <v>0</v>
      </c>
      <c r="T43" s="28">
        <v>0</v>
      </c>
      <c r="U43" s="66">
        <v>15963.87</v>
      </c>
      <c r="V43" s="67"/>
      <c r="W43" s="68"/>
      <c r="X43" s="39"/>
      <c r="Y43" s="39"/>
      <c r="Z43" s="39"/>
    </row>
    <row r="44" spans="3:26" ht="36.75" thickBot="1" x14ac:dyDescent="0.3">
      <c r="C44" s="65" t="s">
        <v>1509</v>
      </c>
      <c r="D44" s="28">
        <v>37</v>
      </c>
      <c r="E44" s="28" t="s">
        <v>56</v>
      </c>
      <c r="F44" s="28" t="s">
        <v>1402</v>
      </c>
      <c r="G44" s="28" t="s">
        <v>1677</v>
      </c>
      <c r="H44" s="34"/>
      <c r="I44" s="28" t="s">
        <v>2533</v>
      </c>
      <c r="J44" s="28" t="s">
        <v>2534</v>
      </c>
      <c r="K44" s="28" t="s">
        <v>1678</v>
      </c>
      <c r="L44" s="28" t="s">
        <v>2573</v>
      </c>
      <c r="M44" s="28" t="s">
        <v>60</v>
      </c>
      <c r="N44" s="29" t="s">
        <v>1405</v>
      </c>
      <c r="O44" s="29" t="b">
        <v>0</v>
      </c>
      <c r="P44" s="28" t="s">
        <v>1405</v>
      </c>
      <c r="Q44" s="28">
        <v>4</v>
      </c>
      <c r="R44" s="28">
        <v>6552.63</v>
      </c>
      <c r="S44" s="28">
        <v>0</v>
      </c>
      <c r="T44" s="28">
        <v>0</v>
      </c>
      <c r="U44" s="66">
        <v>6552.63</v>
      </c>
      <c r="V44" s="67"/>
      <c r="W44" s="68"/>
      <c r="X44" s="39"/>
      <c r="Y44" s="39"/>
      <c r="Z44" s="39"/>
    </row>
    <row r="45" spans="3:26" ht="36.75" thickBot="1" x14ac:dyDescent="0.3">
      <c r="C45" s="65" t="s">
        <v>1509</v>
      </c>
      <c r="D45" s="28">
        <v>38</v>
      </c>
      <c r="E45" s="28" t="s">
        <v>56</v>
      </c>
      <c r="F45" s="28" t="s">
        <v>1402</v>
      </c>
      <c r="G45" s="28" t="s">
        <v>1679</v>
      </c>
      <c r="H45" s="34"/>
      <c r="I45" s="28" t="s">
        <v>2533</v>
      </c>
      <c r="J45" s="28" t="s">
        <v>2534</v>
      </c>
      <c r="K45" s="28" t="s">
        <v>1680</v>
      </c>
      <c r="L45" s="28" t="s">
        <v>2558</v>
      </c>
      <c r="M45" s="28" t="s">
        <v>60</v>
      </c>
      <c r="N45" s="29" t="s">
        <v>1405</v>
      </c>
      <c r="O45" s="29" t="b">
        <v>0</v>
      </c>
      <c r="P45" s="28" t="s">
        <v>1405</v>
      </c>
      <c r="Q45" s="28">
        <v>4</v>
      </c>
      <c r="R45" s="28">
        <v>22459.18</v>
      </c>
      <c r="S45" s="28">
        <v>0</v>
      </c>
      <c r="T45" s="28">
        <v>0</v>
      </c>
      <c r="U45" s="66">
        <v>22459.18</v>
      </c>
      <c r="V45" s="67"/>
      <c r="W45" s="68"/>
      <c r="X45" s="39"/>
      <c r="Y45" s="39"/>
      <c r="Z45" s="39"/>
    </row>
    <row r="46" spans="3:26" ht="36.75" thickBot="1" x14ac:dyDescent="0.3">
      <c r="C46" s="65" t="s">
        <v>1509</v>
      </c>
      <c r="D46" s="28">
        <v>39</v>
      </c>
      <c r="E46" s="28" t="s">
        <v>56</v>
      </c>
      <c r="F46" s="28" t="s">
        <v>1402</v>
      </c>
      <c r="G46" s="28" t="s">
        <v>1681</v>
      </c>
      <c r="H46" s="34"/>
      <c r="I46" s="28" t="s">
        <v>2535</v>
      </c>
      <c r="J46" s="28" t="s">
        <v>2534</v>
      </c>
      <c r="K46" s="28" t="s">
        <v>1682</v>
      </c>
      <c r="L46" s="28" t="s">
        <v>2588</v>
      </c>
      <c r="M46" s="28" t="s">
        <v>91</v>
      </c>
      <c r="N46" s="29" t="s">
        <v>1405</v>
      </c>
      <c r="O46" s="29" t="b">
        <v>0</v>
      </c>
      <c r="P46" s="28" t="s">
        <v>1405</v>
      </c>
      <c r="Q46" s="28">
        <v>2</v>
      </c>
      <c r="R46" s="28">
        <v>447.99</v>
      </c>
      <c r="S46" s="28">
        <v>0</v>
      </c>
      <c r="T46" s="28">
        <v>0</v>
      </c>
      <c r="U46" s="66">
        <v>447.99</v>
      </c>
      <c r="V46" s="67"/>
      <c r="W46" s="68"/>
      <c r="X46" s="39"/>
      <c r="Y46" s="39"/>
      <c r="Z46" s="39"/>
    </row>
    <row r="47" spans="3:26" ht="36.75" thickBot="1" x14ac:dyDescent="0.3">
      <c r="C47" s="65" t="s">
        <v>1509</v>
      </c>
      <c r="D47" s="28">
        <v>40</v>
      </c>
      <c r="E47" s="28" t="s">
        <v>56</v>
      </c>
      <c r="F47" s="28" t="s">
        <v>1402</v>
      </c>
      <c r="G47" s="28" t="s">
        <v>1683</v>
      </c>
      <c r="H47" s="34"/>
      <c r="I47" s="28" t="s">
        <v>2533</v>
      </c>
      <c r="J47" s="28" t="s">
        <v>2534</v>
      </c>
      <c r="K47" s="28" t="s">
        <v>1684</v>
      </c>
      <c r="L47" s="28" t="s">
        <v>2546</v>
      </c>
      <c r="M47" s="28" t="s">
        <v>91</v>
      </c>
      <c r="N47" s="29" t="s">
        <v>1405</v>
      </c>
      <c r="O47" s="29" t="b">
        <v>0</v>
      </c>
      <c r="P47" s="28" t="s">
        <v>1405</v>
      </c>
      <c r="Q47" s="28">
        <v>2</v>
      </c>
      <c r="R47" s="28">
        <v>103942.11</v>
      </c>
      <c r="S47" s="28">
        <v>0</v>
      </c>
      <c r="T47" s="28">
        <v>0</v>
      </c>
      <c r="U47" s="66">
        <v>103942.11</v>
      </c>
      <c r="V47" s="67"/>
      <c r="W47" s="68"/>
      <c r="X47" s="39"/>
      <c r="Y47" s="39"/>
      <c r="Z47" s="39"/>
    </row>
    <row r="48" spans="3:26" ht="36.75" thickBot="1" x14ac:dyDescent="0.3">
      <c r="C48" s="65" t="s">
        <v>1509</v>
      </c>
      <c r="D48" s="28">
        <v>41</v>
      </c>
      <c r="E48" s="28" t="s">
        <v>56</v>
      </c>
      <c r="F48" s="28" t="s">
        <v>1402</v>
      </c>
      <c r="G48" s="28" t="s">
        <v>1685</v>
      </c>
      <c r="H48" s="34"/>
      <c r="I48" s="28" t="s">
        <v>2533</v>
      </c>
      <c r="J48" s="28" t="s">
        <v>2534</v>
      </c>
      <c r="K48" s="28" t="s">
        <v>1686</v>
      </c>
      <c r="L48" s="28" t="s">
        <v>2545</v>
      </c>
      <c r="M48" s="28" t="s">
        <v>91</v>
      </c>
      <c r="N48" s="29" t="s">
        <v>1405</v>
      </c>
      <c r="O48" s="29" t="b">
        <v>0</v>
      </c>
      <c r="P48" s="28" t="s">
        <v>1405</v>
      </c>
      <c r="Q48" s="28">
        <v>66</v>
      </c>
      <c r="R48" s="28">
        <v>172269.75</v>
      </c>
      <c r="S48" s="28">
        <v>0</v>
      </c>
      <c r="T48" s="28">
        <v>0</v>
      </c>
      <c r="U48" s="66">
        <v>172269.75</v>
      </c>
      <c r="V48" s="67"/>
      <c r="W48" s="68"/>
      <c r="X48" s="39"/>
      <c r="Y48" s="39"/>
      <c r="Z48" s="39"/>
    </row>
    <row r="49" spans="3:26" ht="36.75" thickBot="1" x14ac:dyDescent="0.3">
      <c r="C49" s="65" t="s">
        <v>1509</v>
      </c>
      <c r="D49" s="28">
        <v>42</v>
      </c>
      <c r="E49" s="28" t="s">
        <v>56</v>
      </c>
      <c r="F49" s="28" t="s">
        <v>1402</v>
      </c>
      <c r="G49" s="28" t="s">
        <v>1687</v>
      </c>
      <c r="H49" s="34"/>
      <c r="I49" s="28" t="s">
        <v>2533</v>
      </c>
      <c r="J49" s="28" t="s">
        <v>2535</v>
      </c>
      <c r="K49" s="28" t="s">
        <v>1688</v>
      </c>
      <c r="L49" s="28" t="s">
        <v>2540</v>
      </c>
      <c r="M49" s="28" t="s">
        <v>60</v>
      </c>
      <c r="N49" s="29" t="s">
        <v>1405</v>
      </c>
      <c r="O49" s="29" t="b">
        <v>0</v>
      </c>
      <c r="P49" s="28" t="s">
        <v>2537</v>
      </c>
      <c r="Q49" s="28">
        <v>2</v>
      </c>
      <c r="R49" s="28">
        <v>962742.84</v>
      </c>
      <c r="S49" s="28">
        <v>0</v>
      </c>
      <c r="T49" s="28">
        <v>0</v>
      </c>
      <c r="U49" s="66">
        <v>962742.84</v>
      </c>
      <c r="V49" s="67"/>
      <c r="W49" s="68"/>
      <c r="X49" s="39"/>
      <c r="Y49" s="39"/>
      <c r="Z49" s="39"/>
    </row>
    <row r="50" spans="3:26" ht="36.75" thickBot="1" x14ac:dyDescent="0.3">
      <c r="C50" s="65" t="s">
        <v>1509</v>
      </c>
      <c r="D50" s="28">
        <v>43</v>
      </c>
      <c r="E50" s="28" t="s">
        <v>56</v>
      </c>
      <c r="F50" s="28" t="s">
        <v>1402</v>
      </c>
      <c r="G50" s="28" t="s">
        <v>1689</v>
      </c>
      <c r="H50" s="34"/>
      <c r="I50" s="28" t="s">
        <v>2533</v>
      </c>
      <c r="J50" s="28" t="s">
        <v>2534</v>
      </c>
      <c r="K50" s="28" t="s">
        <v>1690</v>
      </c>
      <c r="L50" s="28" t="s">
        <v>2579</v>
      </c>
      <c r="M50" s="28" t="s">
        <v>91</v>
      </c>
      <c r="N50" s="29" t="s">
        <v>1405</v>
      </c>
      <c r="O50" s="29" t="b">
        <v>0</v>
      </c>
      <c r="P50" s="28" t="s">
        <v>1405</v>
      </c>
      <c r="Q50" s="28">
        <v>2</v>
      </c>
      <c r="R50" s="28">
        <v>4824.5600000000004</v>
      </c>
      <c r="S50" s="28">
        <v>0</v>
      </c>
      <c r="T50" s="28">
        <v>0</v>
      </c>
      <c r="U50" s="66">
        <v>4824.5600000000004</v>
      </c>
      <c r="V50" s="67"/>
      <c r="W50" s="68"/>
      <c r="X50" s="39"/>
      <c r="Y50" s="39"/>
      <c r="Z50" s="39"/>
    </row>
    <row r="51" spans="3:26" ht="36.75" thickBot="1" x14ac:dyDescent="0.3">
      <c r="C51" s="65" t="s">
        <v>1509</v>
      </c>
      <c r="D51" s="28">
        <v>44</v>
      </c>
      <c r="E51" s="28" t="s">
        <v>56</v>
      </c>
      <c r="F51" s="28" t="s">
        <v>1402</v>
      </c>
      <c r="G51" s="28" t="s">
        <v>1691</v>
      </c>
      <c r="H51" s="34"/>
      <c r="I51" s="28" t="s">
        <v>2533</v>
      </c>
      <c r="J51" s="28" t="s">
        <v>2534</v>
      </c>
      <c r="K51" s="28" t="s">
        <v>1692</v>
      </c>
      <c r="L51" s="28" t="s">
        <v>2584</v>
      </c>
      <c r="M51" s="28" t="s">
        <v>91</v>
      </c>
      <c r="N51" s="29" t="s">
        <v>1405</v>
      </c>
      <c r="O51" s="29" t="b">
        <v>0</v>
      </c>
      <c r="P51" s="28" t="s">
        <v>1405</v>
      </c>
      <c r="Q51" s="28">
        <v>4</v>
      </c>
      <c r="R51" s="28">
        <v>3031.55</v>
      </c>
      <c r="S51" s="28">
        <v>0</v>
      </c>
      <c r="T51" s="28">
        <v>0</v>
      </c>
      <c r="U51" s="66">
        <v>3031.55</v>
      </c>
      <c r="V51" s="67"/>
      <c r="W51" s="68"/>
      <c r="X51" s="39"/>
      <c r="Y51" s="39"/>
      <c r="Z51" s="39"/>
    </row>
    <row r="52" spans="3:26" ht="36.75" thickBot="1" x14ac:dyDescent="0.3">
      <c r="C52" s="65" t="s">
        <v>1509</v>
      </c>
      <c r="D52" s="28">
        <v>45</v>
      </c>
      <c r="E52" s="28" t="s">
        <v>56</v>
      </c>
      <c r="F52" s="28" t="s">
        <v>1402</v>
      </c>
      <c r="G52" s="28" t="s">
        <v>1693</v>
      </c>
      <c r="H52" s="34"/>
      <c r="I52" s="28" t="s">
        <v>2535</v>
      </c>
      <c r="J52" s="28" t="s">
        <v>2534</v>
      </c>
      <c r="K52" s="28" t="s">
        <v>1694</v>
      </c>
      <c r="L52" s="28" t="s">
        <v>2582</v>
      </c>
      <c r="M52" s="28" t="s">
        <v>91</v>
      </c>
      <c r="N52" s="29" t="s">
        <v>1405</v>
      </c>
      <c r="O52" s="29" t="b">
        <v>0</v>
      </c>
      <c r="P52" s="28" t="s">
        <v>1405</v>
      </c>
      <c r="Q52" s="28">
        <v>2</v>
      </c>
      <c r="R52" s="28">
        <v>3478.7</v>
      </c>
      <c r="S52" s="28">
        <v>0</v>
      </c>
      <c r="T52" s="28">
        <v>0</v>
      </c>
      <c r="U52" s="66">
        <v>3478.7</v>
      </c>
      <c r="V52" s="67"/>
      <c r="W52" s="68"/>
      <c r="X52" s="39"/>
      <c r="Y52" s="39"/>
      <c r="Z52" s="39"/>
    </row>
    <row r="53" spans="3:26" ht="36.75" thickBot="1" x14ac:dyDescent="0.3">
      <c r="C53" s="65" t="s">
        <v>1509</v>
      </c>
      <c r="D53" s="28">
        <v>46</v>
      </c>
      <c r="E53" s="28" t="s">
        <v>56</v>
      </c>
      <c r="F53" s="28" t="s">
        <v>1402</v>
      </c>
      <c r="G53" s="28" t="s">
        <v>1695</v>
      </c>
      <c r="H53" s="34"/>
      <c r="I53" s="28" t="s">
        <v>2533</v>
      </c>
      <c r="J53" s="28" t="s">
        <v>2534</v>
      </c>
      <c r="K53" s="28" t="s">
        <v>1696</v>
      </c>
      <c r="L53" s="28" t="s">
        <v>2592</v>
      </c>
      <c r="M53" s="28" t="s">
        <v>91</v>
      </c>
      <c r="N53" s="29" t="s">
        <v>1405</v>
      </c>
      <c r="O53" s="29" t="b">
        <v>0</v>
      </c>
      <c r="P53" s="28" t="s">
        <v>1405</v>
      </c>
      <c r="Q53" s="28">
        <v>2</v>
      </c>
      <c r="R53" s="28">
        <v>242.57</v>
      </c>
      <c r="S53" s="28">
        <v>0</v>
      </c>
      <c r="T53" s="28">
        <v>0</v>
      </c>
      <c r="U53" s="66">
        <v>242.57</v>
      </c>
      <c r="V53" s="67"/>
      <c r="W53" s="68"/>
      <c r="X53" s="39"/>
      <c r="Y53" s="39"/>
      <c r="Z53" s="39"/>
    </row>
    <row r="54" spans="3:26" ht="36.75" thickBot="1" x14ac:dyDescent="0.3">
      <c r="C54" s="65" t="s">
        <v>1509</v>
      </c>
      <c r="D54" s="28">
        <v>47</v>
      </c>
      <c r="E54" s="28" t="s">
        <v>56</v>
      </c>
      <c r="F54" s="28" t="s">
        <v>1402</v>
      </c>
      <c r="G54" s="28" t="s">
        <v>1697</v>
      </c>
      <c r="H54" s="34"/>
      <c r="I54" s="28" t="s">
        <v>2535</v>
      </c>
      <c r="J54" s="28" t="s">
        <v>2534</v>
      </c>
      <c r="K54" s="28" t="s">
        <v>1698</v>
      </c>
      <c r="L54" s="28" t="s">
        <v>2587</v>
      </c>
      <c r="M54" s="28" t="s">
        <v>91</v>
      </c>
      <c r="N54" s="29" t="s">
        <v>1405</v>
      </c>
      <c r="O54" s="29" t="b">
        <v>0</v>
      </c>
      <c r="P54" s="28" t="s">
        <v>1405</v>
      </c>
      <c r="Q54" s="28">
        <v>2</v>
      </c>
      <c r="R54" s="28">
        <v>633.70000000000005</v>
      </c>
      <c r="S54" s="28">
        <v>0</v>
      </c>
      <c r="T54" s="28">
        <v>0</v>
      </c>
      <c r="U54" s="66">
        <v>633.70000000000005</v>
      </c>
      <c r="V54" s="67"/>
      <c r="W54" s="68"/>
      <c r="X54" s="39"/>
      <c r="Y54" s="39"/>
      <c r="Z54" s="39"/>
    </row>
    <row r="55" spans="3:26" ht="36.75" thickBot="1" x14ac:dyDescent="0.3">
      <c r="C55" s="65" t="s">
        <v>1509</v>
      </c>
      <c r="D55" s="28">
        <v>48</v>
      </c>
      <c r="E55" s="28" t="s">
        <v>56</v>
      </c>
      <c r="F55" s="28" t="s">
        <v>1402</v>
      </c>
      <c r="G55" s="28" t="s">
        <v>1699</v>
      </c>
      <c r="H55" s="34"/>
      <c r="I55" s="28" t="s">
        <v>2535</v>
      </c>
      <c r="J55" s="28" t="s">
        <v>2535</v>
      </c>
      <c r="K55" s="28" t="s">
        <v>1700</v>
      </c>
      <c r="L55" s="28" t="s">
        <v>2578</v>
      </c>
      <c r="M55" s="28" t="s">
        <v>60</v>
      </c>
      <c r="N55" s="29" t="s">
        <v>1405</v>
      </c>
      <c r="O55" s="29" t="b">
        <v>0</v>
      </c>
      <c r="P55" s="28" t="s">
        <v>2537</v>
      </c>
      <c r="Q55" s="28">
        <v>2</v>
      </c>
      <c r="R55" s="35">
        <v>4851.8100000000004</v>
      </c>
      <c r="S55" s="28">
        <v>0</v>
      </c>
      <c r="T55" s="28">
        <v>0</v>
      </c>
      <c r="U55" s="66">
        <v>4851.8100000000004</v>
      </c>
      <c r="V55" s="67"/>
      <c r="W55" s="68"/>
      <c r="X55" s="39"/>
      <c r="Y55" s="39"/>
      <c r="Z55" s="39"/>
    </row>
    <row r="56" spans="3:26" ht="36.75" thickBot="1" x14ac:dyDescent="0.3">
      <c r="C56" s="65" t="s">
        <v>1509</v>
      </c>
      <c r="D56" s="28">
        <v>49</v>
      </c>
      <c r="E56" s="28" t="s">
        <v>56</v>
      </c>
      <c r="F56" s="28" t="s">
        <v>1402</v>
      </c>
      <c r="G56" s="28" t="s">
        <v>1701</v>
      </c>
      <c r="H56" s="34"/>
      <c r="I56" s="28" t="s">
        <v>2533</v>
      </c>
      <c r="J56" s="28" t="s">
        <v>2534</v>
      </c>
      <c r="K56" s="28" t="s">
        <v>1702</v>
      </c>
      <c r="L56" s="28" t="s">
        <v>2590</v>
      </c>
      <c r="M56" s="28" t="s">
        <v>91</v>
      </c>
      <c r="N56" s="29" t="s">
        <v>1405</v>
      </c>
      <c r="O56" s="29" t="b">
        <v>0</v>
      </c>
      <c r="P56" s="28" t="s">
        <v>1405</v>
      </c>
      <c r="Q56" s="28">
        <v>2</v>
      </c>
      <c r="R56" s="28">
        <v>344.46</v>
      </c>
      <c r="S56" s="28">
        <v>0</v>
      </c>
      <c r="T56" s="28">
        <v>0</v>
      </c>
      <c r="U56" s="66">
        <v>344.46</v>
      </c>
      <c r="V56" s="67"/>
      <c r="W56" s="68"/>
      <c r="X56" s="39"/>
      <c r="Y56" s="39"/>
      <c r="Z56" s="39"/>
    </row>
    <row r="57" spans="3:26" ht="36.75" thickBot="1" x14ac:dyDescent="0.3">
      <c r="C57" s="65" t="s">
        <v>1509</v>
      </c>
      <c r="D57" s="28">
        <v>50</v>
      </c>
      <c r="E57" s="28" t="s">
        <v>56</v>
      </c>
      <c r="F57" s="28" t="s">
        <v>1402</v>
      </c>
      <c r="G57" s="28" t="s">
        <v>1703</v>
      </c>
      <c r="H57" s="34"/>
      <c r="I57" s="28" t="s">
        <v>2533</v>
      </c>
      <c r="J57" s="28" t="s">
        <v>2535</v>
      </c>
      <c r="K57" s="28" t="s">
        <v>1704</v>
      </c>
      <c r="L57" s="28" t="s">
        <v>2583</v>
      </c>
      <c r="M57" s="28" t="s">
        <v>91</v>
      </c>
      <c r="N57" s="29" t="s">
        <v>1405</v>
      </c>
      <c r="O57" s="29" t="b">
        <v>0</v>
      </c>
      <c r="P57" s="28" t="s">
        <v>2537</v>
      </c>
      <c r="Q57" s="28">
        <v>2</v>
      </c>
      <c r="R57" s="28">
        <v>3162.32</v>
      </c>
      <c r="S57" s="28">
        <v>0</v>
      </c>
      <c r="T57" s="28">
        <v>0</v>
      </c>
      <c r="U57" s="66">
        <v>3162.32</v>
      </c>
      <c r="V57" s="67"/>
      <c r="W57" s="68"/>
      <c r="X57" s="39"/>
      <c r="Y57" s="39"/>
      <c r="Z57" s="39"/>
    </row>
    <row r="58" spans="3:26" ht="36.75" thickBot="1" x14ac:dyDescent="0.3">
      <c r="C58" s="65" t="s">
        <v>1509</v>
      </c>
      <c r="D58" s="28">
        <v>51</v>
      </c>
      <c r="E58" s="28" t="s">
        <v>56</v>
      </c>
      <c r="F58" s="28" t="s">
        <v>1402</v>
      </c>
      <c r="G58" s="28" t="s">
        <v>1705</v>
      </c>
      <c r="H58" s="34"/>
      <c r="I58" s="28" t="s">
        <v>2535</v>
      </c>
      <c r="J58" s="28" t="s">
        <v>2535</v>
      </c>
      <c r="K58" s="28" t="s">
        <v>1706</v>
      </c>
      <c r="L58" s="28" t="s">
        <v>2585</v>
      </c>
      <c r="M58" s="28" t="s">
        <v>91</v>
      </c>
      <c r="N58" s="29" t="s">
        <v>1405</v>
      </c>
      <c r="O58" s="29" t="b">
        <v>0</v>
      </c>
      <c r="P58" s="28" t="s">
        <v>2537</v>
      </c>
      <c r="Q58" s="28">
        <v>14</v>
      </c>
      <c r="R58" s="28">
        <v>1922.07</v>
      </c>
      <c r="S58" s="28">
        <v>0</v>
      </c>
      <c r="T58" s="28">
        <v>0</v>
      </c>
      <c r="U58" s="66">
        <v>1922.07</v>
      </c>
      <c r="V58" s="67"/>
      <c r="W58" s="68"/>
      <c r="X58" s="39"/>
      <c r="Y58" s="39"/>
      <c r="Z58" s="39"/>
    </row>
    <row r="59" spans="3:26" ht="48.75" thickBot="1" x14ac:dyDescent="0.3">
      <c r="C59" s="65" t="s">
        <v>1509</v>
      </c>
      <c r="D59" s="28">
        <v>52</v>
      </c>
      <c r="E59" s="28" t="s">
        <v>56</v>
      </c>
      <c r="F59" s="28" t="s">
        <v>1402</v>
      </c>
      <c r="G59" s="28" t="s">
        <v>1707</v>
      </c>
      <c r="H59" s="34"/>
      <c r="I59" s="28" t="s">
        <v>2533</v>
      </c>
      <c r="J59" s="28" t="s">
        <v>2534</v>
      </c>
      <c r="K59" s="28" t="s">
        <v>1708</v>
      </c>
      <c r="L59" s="28" t="s">
        <v>2586</v>
      </c>
      <c r="M59" s="28" t="s">
        <v>91</v>
      </c>
      <c r="N59" s="29" t="s">
        <v>1405</v>
      </c>
      <c r="O59" s="29" t="b">
        <v>0</v>
      </c>
      <c r="P59" s="28" t="s">
        <v>1405</v>
      </c>
      <c r="Q59" s="28">
        <v>6</v>
      </c>
      <c r="R59" s="28">
        <v>696.96</v>
      </c>
      <c r="S59" s="28">
        <v>0</v>
      </c>
      <c r="T59" s="28">
        <v>0</v>
      </c>
      <c r="U59" s="66">
        <v>696.96</v>
      </c>
      <c r="V59" s="67"/>
      <c r="W59" s="68"/>
      <c r="X59" s="39"/>
      <c r="Y59" s="39"/>
      <c r="Z59" s="39"/>
    </row>
    <row r="60" spans="3:26" ht="36.75" thickBot="1" x14ac:dyDescent="0.3">
      <c r="C60" s="65" t="s">
        <v>1509</v>
      </c>
      <c r="D60" s="28">
        <v>53</v>
      </c>
      <c r="E60" s="28" t="s">
        <v>56</v>
      </c>
      <c r="F60" s="28" t="s">
        <v>1402</v>
      </c>
      <c r="G60" s="28" t="s">
        <v>1709</v>
      </c>
      <c r="H60" s="34"/>
      <c r="I60" s="28" t="s">
        <v>2535</v>
      </c>
      <c r="J60" s="28" t="s">
        <v>2534</v>
      </c>
      <c r="K60" s="28" t="s">
        <v>1710</v>
      </c>
      <c r="L60" s="28" t="s">
        <v>2593</v>
      </c>
      <c r="M60" s="28" t="s">
        <v>60</v>
      </c>
      <c r="N60" s="29" t="s">
        <v>1405</v>
      </c>
      <c r="O60" s="29" t="b">
        <v>0</v>
      </c>
      <c r="P60" s="28" t="s">
        <v>1405</v>
      </c>
      <c r="Q60" s="28">
        <v>2</v>
      </c>
      <c r="R60" s="28">
        <v>2.7</v>
      </c>
      <c r="S60" s="28">
        <v>0</v>
      </c>
      <c r="T60" s="28">
        <v>0</v>
      </c>
      <c r="U60" s="66">
        <v>2.7</v>
      </c>
      <c r="V60" s="67"/>
      <c r="W60" s="68"/>
      <c r="X60" s="39"/>
      <c r="Y60" s="39"/>
      <c r="Z60" s="39"/>
    </row>
    <row r="61" spans="3:26" ht="36.75" thickBot="1" x14ac:dyDescent="0.3">
      <c r="C61" s="65" t="s">
        <v>1509</v>
      </c>
      <c r="D61" s="28">
        <v>54</v>
      </c>
      <c r="E61" s="28" t="s">
        <v>56</v>
      </c>
      <c r="F61" s="28" t="s">
        <v>1402</v>
      </c>
      <c r="G61" s="28" t="s">
        <v>1711</v>
      </c>
      <c r="H61" s="34"/>
      <c r="I61" s="28" t="s">
        <v>2533</v>
      </c>
      <c r="J61" s="28" t="s">
        <v>2535</v>
      </c>
      <c r="K61" s="28" t="s">
        <v>1712</v>
      </c>
      <c r="L61" s="28" t="s">
        <v>2566</v>
      </c>
      <c r="M61" s="28" t="s">
        <v>60</v>
      </c>
      <c r="N61" s="29" t="s">
        <v>1405</v>
      </c>
      <c r="O61" s="29" t="b">
        <v>0</v>
      </c>
      <c r="P61" s="28" t="s">
        <v>2537</v>
      </c>
      <c r="Q61" s="28">
        <v>2</v>
      </c>
      <c r="R61" s="28">
        <v>10884.75</v>
      </c>
      <c r="S61" s="28">
        <v>0</v>
      </c>
      <c r="T61" s="28">
        <v>0</v>
      </c>
      <c r="U61" s="66">
        <v>10884.75</v>
      </c>
      <c r="V61" s="67"/>
      <c r="W61" s="68"/>
      <c r="X61" s="39"/>
      <c r="Y61" s="39"/>
      <c r="Z61" s="39"/>
    </row>
    <row r="62" spans="3:26" ht="36.75" thickBot="1" x14ac:dyDescent="0.3">
      <c r="C62" s="65" t="s">
        <v>1509</v>
      </c>
      <c r="D62" s="28">
        <v>55</v>
      </c>
      <c r="E62" s="28" t="s">
        <v>56</v>
      </c>
      <c r="F62" s="28" t="s">
        <v>1402</v>
      </c>
      <c r="G62" s="28" t="s">
        <v>1713</v>
      </c>
      <c r="H62" s="34"/>
      <c r="I62" s="28" t="s">
        <v>2533</v>
      </c>
      <c r="J62" s="28" t="s">
        <v>2534</v>
      </c>
      <c r="K62" s="28" t="s">
        <v>1714</v>
      </c>
      <c r="L62" s="28" t="s">
        <v>1713</v>
      </c>
      <c r="M62" s="28" t="s">
        <v>60</v>
      </c>
      <c r="N62" s="29" t="s">
        <v>1405</v>
      </c>
      <c r="O62" s="29" t="b">
        <v>0</v>
      </c>
      <c r="P62" s="28" t="s">
        <v>1405</v>
      </c>
      <c r="Q62" s="28">
        <v>4</v>
      </c>
      <c r="R62" s="28">
        <v>37299.72</v>
      </c>
      <c r="S62" s="28">
        <v>0</v>
      </c>
      <c r="T62" s="28">
        <v>0</v>
      </c>
      <c r="U62" s="66">
        <v>37299.72</v>
      </c>
      <c r="V62" s="67"/>
      <c r="W62" s="68"/>
      <c r="X62" s="39"/>
      <c r="Y62" s="39"/>
      <c r="Z62" s="39"/>
    </row>
    <row r="63" spans="3:26" ht="36.75" thickBot="1" x14ac:dyDescent="0.3">
      <c r="C63" s="65" t="s">
        <v>1509</v>
      </c>
      <c r="D63" s="28">
        <v>56</v>
      </c>
      <c r="E63" s="28" t="s">
        <v>56</v>
      </c>
      <c r="F63" s="28" t="s">
        <v>1402</v>
      </c>
      <c r="G63" s="28" t="s">
        <v>1715</v>
      </c>
      <c r="H63" s="34"/>
      <c r="I63" s="28" t="s">
        <v>2533</v>
      </c>
      <c r="J63" s="28" t="s">
        <v>2535</v>
      </c>
      <c r="K63" s="28" t="s">
        <v>1716</v>
      </c>
      <c r="L63" s="28" t="s">
        <v>2539</v>
      </c>
      <c r="M63" s="28" t="s">
        <v>60</v>
      </c>
      <c r="N63" s="29" t="s">
        <v>1405</v>
      </c>
      <c r="O63" s="29" t="b">
        <v>0</v>
      </c>
      <c r="P63" s="28" t="s">
        <v>2537</v>
      </c>
      <c r="Q63" s="28">
        <v>62</v>
      </c>
      <c r="R63" s="28">
        <v>1958715.75</v>
      </c>
      <c r="S63" s="28">
        <v>0</v>
      </c>
      <c r="T63" s="28">
        <v>0</v>
      </c>
      <c r="U63" s="66">
        <v>1958715.75</v>
      </c>
      <c r="V63" s="67"/>
      <c r="W63" s="68"/>
      <c r="X63" s="39"/>
      <c r="Y63" s="39"/>
      <c r="Z63" s="39"/>
    </row>
    <row r="64" spans="3:26" ht="36.75" thickBot="1" x14ac:dyDescent="0.3">
      <c r="C64" s="65" t="s">
        <v>1509</v>
      </c>
      <c r="D64" s="28">
        <v>57</v>
      </c>
      <c r="E64" s="28" t="s">
        <v>87</v>
      </c>
      <c r="F64" s="28" t="s">
        <v>1402</v>
      </c>
      <c r="G64" s="28" t="s">
        <v>1381</v>
      </c>
      <c r="H64" s="34"/>
      <c r="I64" s="28" t="s">
        <v>2535</v>
      </c>
      <c r="J64" s="28" t="s">
        <v>2534</v>
      </c>
      <c r="K64" s="28" t="s">
        <v>768</v>
      </c>
      <c r="L64" s="28" t="s">
        <v>1381</v>
      </c>
      <c r="M64" s="28" t="s">
        <v>60</v>
      </c>
      <c r="N64" s="29" t="s">
        <v>768</v>
      </c>
      <c r="O64" s="29" t="b">
        <v>0</v>
      </c>
      <c r="P64" s="28" t="s">
        <v>1405</v>
      </c>
      <c r="Q64" s="28">
        <v>14</v>
      </c>
      <c r="R64" s="28">
        <v>9.9999995436519402E-3</v>
      </c>
      <c r="S64" s="28">
        <v>0</v>
      </c>
      <c r="T64" s="28">
        <v>0</v>
      </c>
      <c r="U64" s="66">
        <v>9.9999995436519402E-3</v>
      </c>
      <c r="V64" s="67"/>
      <c r="W64" s="68"/>
      <c r="X64" s="39"/>
      <c r="Y64" s="39"/>
      <c r="Z64" s="39"/>
    </row>
    <row r="65" spans="3:29" s="69" customFormat="1" ht="36.75" thickBot="1" x14ac:dyDescent="0.3">
      <c r="C65" s="65" t="s">
        <v>1509</v>
      </c>
      <c r="D65" s="28">
        <v>58</v>
      </c>
      <c r="E65" s="70" t="s">
        <v>87</v>
      </c>
      <c r="F65" s="28" t="s">
        <v>1402</v>
      </c>
      <c r="G65" s="70" t="s">
        <v>1717</v>
      </c>
      <c r="H65" s="34"/>
      <c r="I65" s="28" t="s">
        <v>2533</v>
      </c>
      <c r="J65" s="28" t="s">
        <v>2534</v>
      </c>
      <c r="K65" s="70" t="s">
        <v>1718</v>
      </c>
      <c r="L65" s="28" t="s">
        <v>1717</v>
      </c>
      <c r="M65" s="28" t="s">
        <v>60</v>
      </c>
      <c r="N65" s="29" t="s">
        <v>2536</v>
      </c>
      <c r="O65" s="29" t="b">
        <v>0</v>
      </c>
      <c r="P65" s="28" t="s">
        <v>1405</v>
      </c>
      <c r="Q65" s="70">
        <v>2</v>
      </c>
      <c r="R65" s="70">
        <v>58286.38</v>
      </c>
      <c r="S65" s="28">
        <v>71611.433753999998</v>
      </c>
      <c r="T65" s="28">
        <v>0</v>
      </c>
      <c r="U65" s="66">
        <v>0</v>
      </c>
      <c r="V65" s="71"/>
      <c r="W65" s="72"/>
      <c r="X65" s="73"/>
      <c r="Y65" s="73"/>
      <c r="Z65" s="73"/>
    </row>
    <row r="66" spans="3:29" ht="36.75" thickBot="1" x14ac:dyDescent="0.3">
      <c r="C66" s="65" t="s">
        <v>1509</v>
      </c>
      <c r="D66" s="28">
        <v>59</v>
      </c>
      <c r="E66" s="74" t="s">
        <v>87</v>
      </c>
      <c r="F66" s="28" t="s">
        <v>1402</v>
      </c>
      <c r="G66" s="74" t="s">
        <v>1719</v>
      </c>
      <c r="H66" s="34"/>
      <c r="I66" s="28" t="s">
        <v>2535</v>
      </c>
      <c r="J66" s="28" t="s">
        <v>2534</v>
      </c>
      <c r="K66" s="74" t="s">
        <v>1720</v>
      </c>
      <c r="L66" s="28" t="s">
        <v>1719</v>
      </c>
      <c r="M66" s="28" t="s">
        <v>60</v>
      </c>
      <c r="N66" s="29" t="s">
        <v>1405</v>
      </c>
      <c r="O66" s="29" t="b">
        <v>0</v>
      </c>
      <c r="P66" s="28" t="s">
        <v>1405</v>
      </c>
      <c r="Q66" s="74">
        <v>1</v>
      </c>
      <c r="R66" s="74">
        <v>773912.99</v>
      </c>
      <c r="S66" s="28">
        <v>0</v>
      </c>
      <c r="T66" s="28">
        <v>0</v>
      </c>
      <c r="U66" s="66">
        <v>773912.99</v>
      </c>
      <c r="V66" s="67"/>
      <c r="W66" s="68"/>
      <c r="X66" s="39"/>
      <c r="Y66" s="39"/>
      <c r="Z66" s="39"/>
    </row>
    <row r="67" spans="3:29" ht="36.75" thickBot="1" x14ac:dyDescent="0.3">
      <c r="C67" s="65" t="s">
        <v>1509</v>
      </c>
      <c r="D67" s="28">
        <v>60</v>
      </c>
      <c r="E67" s="28" t="s">
        <v>87</v>
      </c>
      <c r="F67" s="28" t="s">
        <v>1402</v>
      </c>
      <c r="G67" s="28" t="s">
        <v>1722</v>
      </c>
      <c r="H67" s="34"/>
      <c r="I67" s="28" t="s">
        <v>2535</v>
      </c>
      <c r="J67" s="28" t="s">
        <v>2535</v>
      </c>
      <c r="K67" s="28" t="s">
        <v>1721</v>
      </c>
      <c r="L67" s="28" t="s">
        <v>1744</v>
      </c>
      <c r="M67" s="28" t="s">
        <v>60</v>
      </c>
      <c r="N67" s="29" t="s">
        <v>1745</v>
      </c>
      <c r="O67" s="29" t="b">
        <v>0</v>
      </c>
      <c r="P67" s="28" t="s">
        <v>2537</v>
      </c>
      <c r="Q67" s="28">
        <v>2</v>
      </c>
      <c r="R67" s="28">
        <v>573487.67000000004</v>
      </c>
      <c r="S67" s="28">
        <v>1485033.077572</v>
      </c>
      <c r="T67" s="28">
        <v>0</v>
      </c>
      <c r="U67" s="66">
        <v>0</v>
      </c>
      <c r="V67" s="67"/>
      <c r="W67" s="68"/>
      <c r="X67" s="39"/>
      <c r="Y67" s="39"/>
      <c r="Z67" s="39"/>
    </row>
    <row r="68" spans="3:29" ht="36.75" thickBot="1" x14ac:dyDescent="0.3">
      <c r="C68" s="65" t="s">
        <v>1509</v>
      </c>
      <c r="D68" s="28">
        <v>61</v>
      </c>
      <c r="E68" s="28" t="s">
        <v>87</v>
      </c>
      <c r="F68" s="28" t="s">
        <v>1402</v>
      </c>
      <c r="G68" s="28" t="s">
        <v>1367</v>
      </c>
      <c r="H68" s="34"/>
      <c r="I68" s="28" t="s">
        <v>2535</v>
      </c>
      <c r="J68" s="28" t="s">
        <v>2534</v>
      </c>
      <c r="K68" s="28" t="s">
        <v>1404</v>
      </c>
      <c r="L68" s="28" t="s">
        <v>1367</v>
      </c>
      <c r="M68" s="28" t="s">
        <v>60</v>
      </c>
      <c r="N68" s="29" t="s">
        <v>1745</v>
      </c>
      <c r="O68" s="29" t="b">
        <v>1</v>
      </c>
      <c r="P68" s="28" t="s">
        <v>1405</v>
      </c>
      <c r="Q68" s="28">
        <v>921</v>
      </c>
      <c r="R68" s="28">
        <v>602642957.56000197</v>
      </c>
      <c r="S68" s="28">
        <v>438612211.95057797</v>
      </c>
      <c r="T68" s="28">
        <v>0</v>
      </c>
      <c r="U68" s="66">
        <v>164030745.609424</v>
      </c>
      <c r="V68" s="67"/>
      <c r="W68" s="68"/>
      <c r="X68" s="67"/>
      <c r="Z68" s="39"/>
    </row>
    <row r="69" spans="3:29" ht="36.75" thickBot="1" x14ac:dyDescent="0.3">
      <c r="C69" s="65" t="s">
        <v>1509</v>
      </c>
      <c r="D69" s="28">
        <v>62</v>
      </c>
      <c r="E69" s="28" t="s">
        <v>87</v>
      </c>
      <c r="F69" s="28" t="s">
        <v>1402</v>
      </c>
      <c r="G69" s="28" t="s">
        <v>1723</v>
      </c>
      <c r="H69" s="34"/>
      <c r="I69" s="28" t="s">
        <v>2533</v>
      </c>
      <c r="J69" s="28" t="s">
        <v>2535</v>
      </c>
      <c r="K69" s="28" t="s">
        <v>1724</v>
      </c>
      <c r="L69" s="28" t="s">
        <v>97</v>
      </c>
      <c r="M69" s="28" t="s">
        <v>91</v>
      </c>
      <c r="N69" s="29" t="s">
        <v>1745</v>
      </c>
      <c r="O69" s="29" t="b">
        <v>1</v>
      </c>
      <c r="P69" s="28" t="s">
        <v>2537</v>
      </c>
      <c r="Q69" s="28">
        <v>276</v>
      </c>
      <c r="R69" s="28">
        <v>1342058.8</v>
      </c>
      <c r="S69" s="28">
        <v>420550.05102000001</v>
      </c>
      <c r="T69" s="28">
        <v>0</v>
      </c>
      <c r="U69" s="66">
        <v>921508.74898000003</v>
      </c>
      <c r="V69" s="67"/>
      <c r="W69" s="68"/>
      <c r="X69" s="39"/>
      <c r="Y69" s="39"/>
      <c r="Z69" s="39"/>
    </row>
    <row r="70" spans="3:29" ht="36.75" thickBot="1" x14ac:dyDescent="0.3">
      <c r="C70" s="65" t="s">
        <v>1509</v>
      </c>
      <c r="D70" s="28">
        <v>63</v>
      </c>
      <c r="E70" s="28" t="s">
        <v>87</v>
      </c>
      <c r="F70" s="28" t="s">
        <v>1402</v>
      </c>
      <c r="G70" s="28" t="s">
        <v>1725</v>
      </c>
      <c r="H70" s="34"/>
      <c r="I70" s="28" t="s">
        <v>2533</v>
      </c>
      <c r="J70" s="28" t="s">
        <v>2535</v>
      </c>
      <c r="K70" s="28" t="s">
        <v>1726</v>
      </c>
      <c r="L70" s="28" t="s">
        <v>2538</v>
      </c>
      <c r="M70" s="28" t="s">
        <v>60</v>
      </c>
      <c r="N70" s="29" t="s">
        <v>2537</v>
      </c>
      <c r="O70" s="29" t="b">
        <v>0</v>
      </c>
      <c r="P70" s="28" t="s">
        <v>2537</v>
      </c>
      <c r="Q70" s="28">
        <v>12</v>
      </c>
      <c r="R70" s="28">
        <v>7029949.7400000002</v>
      </c>
      <c r="S70" s="28">
        <v>0</v>
      </c>
      <c r="T70" s="28">
        <v>0</v>
      </c>
      <c r="U70" s="66">
        <v>7029949.7400000002</v>
      </c>
      <c r="V70" s="67"/>
      <c r="W70" s="68"/>
      <c r="X70" s="39"/>
      <c r="Y70" s="39"/>
      <c r="Z70" s="39"/>
    </row>
    <row r="71" spans="3:29" ht="36.75" thickBot="1" x14ac:dyDescent="0.3">
      <c r="C71" s="65" t="s">
        <v>1509</v>
      </c>
      <c r="D71" s="28">
        <v>64</v>
      </c>
      <c r="E71" s="28" t="s">
        <v>87</v>
      </c>
      <c r="F71" s="28" t="s">
        <v>1402</v>
      </c>
      <c r="G71" s="28" t="s">
        <v>1727</v>
      </c>
      <c r="H71" s="34"/>
      <c r="I71" s="28" t="s">
        <v>2535</v>
      </c>
      <c r="J71" s="28" t="s">
        <v>2535</v>
      </c>
      <c r="K71" s="28" t="s">
        <v>1728</v>
      </c>
      <c r="L71" s="28" t="s">
        <v>2557</v>
      </c>
      <c r="M71" s="28" t="s">
        <v>60</v>
      </c>
      <c r="N71" s="29" t="s">
        <v>2537</v>
      </c>
      <c r="O71" s="29" t="b">
        <v>0</v>
      </c>
      <c r="P71" s="28" t="s">
        <v>2537</v>
      </c>
      <c r="Q71" s="28">
        <v>2</v>
      </c>
      <c r="R71" s="28">
        <v>29397.49</v>
      </c>
      <c r="S71" s="28">
        <v>-60000</v>
      </c>
      <c r="T71" s="28">
        <v>0</v>
      </c>
      <c r="U71" s="66">
        <v>89397.49</v>
      </c>
      <c r="V71" s="67"/>
      <c r="W71" s="68"/>
      <c r="X71" s="39"/>
      <c r="Y71" s="39"/>
      <c r="Z71" s="39"/>
    </row>
    <row r="72" spans="3:29" ht="36.75" thickBot="1" x14ac:dyDescent="0.3">
      <c r="C72" s="65" t="s">
        <v>1509</v>
      </c>
      <c r="D72" s="28">
        <v>65</v>
      </c>
      <c r="E72" s="70" t="s">
        <v>83</v>
      </c>
      <c r="F72" s="28" t="s">
        <v>1402</v>
      </c>
      <c r="G72" s="70" t="s">
        <v>1381</v>
      </c>
      <c r="H72" s="34"/>
      <c r="I72" s="28" t="s">
        <v>2533</v>
      </c>
      <c r="J72" s="28" t="s">
        <v>2534</v>
      </c>
      <c r="K72" s="70" t="s">
        <v>768</v>
      </c>
      <c r="L72" s="28" t="s">
        <v>1381</v>
      </c>
      <c r="M72" s="28" t="s">
        <v>60</v>
      </c>
      <c r="N72" s="29" t="s">
        <v>768</v>
      </c>
      <c r="O72" s="29" t="b">
        <v>0</v>
      </c>
      <c r="P72" s="28" t="s">
        <v>1405</v>
      </c>
      <c r="Q72" s="70">
        <v>1</v>
      </c>
      <c r="R72" s="70">
        <v>-0.01</v>
      </c>
      <c r="S72" s="28">
        <v>0</v>
      </c>
      <c r="T72" s="28">
        <v>0</v>
      </c>
      <c r="U72" s="66">
        <v>0</v>
      </c>
      <c r="X72" s="67"/>
    </row>
    <row r="73" spans="3:29" s="69" customFormat="1" ht="36.75" thickBot="1" x14ac:dyDescent="0.3">
      <c r="C73" s="65" t="s">
        <v>1509</v>
      </c>
      <c r="D73" s="28">
        <v>66</v>
      </c>
      <c r="E73" s="74" t="s">
        <v>83</v>
      </c>
      <c r="F73" s="28" t="s">
        <v>1402</v>
      </c>
      <c r="G73" s="74" t="s">
        <v>1729</v>
      </c>
      <c r="H73" s="34"/>
      <c r="I73" s="28" t="s">
        <v>2533</v>
      </c>
      <c r="J73" s="28" t="s">
        <v>2534</v>
      </c>
      <c r="K73" s="74" t="s">
        <v>1730</v>
      </c>
      <c r="L73" s="28" t="s">
        <v>1729</v>
      </c>
      <c r="M73" s="28" t="s">
        <v>60</v>
      </c>
      <c r="N73" s="29" t="s">
        <v>2536</v>
      </c>
      <c r="O73" s="29" t="b">
        <v>0</v>
      </c>
      <c r="P73" s="28" t="s">
        <v>1405</v>
      </c>
      <c r="Q73" s="74">
        <v>20</v>
      </c>
      <c r="R73" s="74">
        <v>245117669.69</v>
      </c>
      <c r="S73" s="28">
        <v>485380355.18788201</v>
      </c>
      <c r="T73" s="28">
        <v>0</v>
      </c>
      <c r="U73" s="66">
        <v>0</v>
      </c>
      <c r="V73" s="71"/>
      <c r="W73" s="72"/>
      <c r="X73" s="73"/>
      <c r="Y73" s="73"/>
      <c r="Z73" s="73"/>
      <c r="AB73" s="20"/>
      <c r="AC73" s="76"/>
    </row>
    <row r="74" spans="3:29" ht="36.75" thickBot="1" x14ac:dyDescent="0.3">
      <c r="C74" s="65" t="s">
        <v>1509</v>
      </c>
      <c r="D74" s="28">
        <v>67</v>
      </c>
      <c r="E74" s="70" t="s">
        <v>83</v>
      </c>
      <c r="F74" s="28" t="s">
        <v>1402</v>
      </c>
      <c r="G74" s="70" t="s">
        <v>1731</v>
      </c>
      <c r="H74" s="34"/>
      <c r="I74" s="28" t="s">
        <v>2533</v>
      </c>
      <c r="J74" s="28" t="s">
        <v>2535</v>
      </c>
      <c r="K74" s="70" t="s">
        <v>1732</v>
      </c>
      <c r="L74" s="28" t="s">
        <v>263</v>
      </c>
      <c r="M74" s="28" t="s">
        <v>91</v>
      </c>
      <c r="N74" s="29" t="s">
        <v>1405</v>
      </c>
      <c r="O74" s="29" t="b">
        <v>1</v>
      </c>
      <c r="P74" s="28" t="s">
        <v>2537</v>
      </c>
      <c r="Q74" s="70">
        <v>18</v>
      </c>
      <c r="R74" s="70">
        <v>36658488.450000003</v>
      </c>
      <c r="S74" s="28">
        <v>0</v>
      </c>
      <c r="T74" s="28">
        <v>0</v>
      </c>
      <c r="U74" s="66">
        <v>36658488.450000003</v>
      </c>
      <c r="V74" s="67"/>
      <c r="W74" s="68"/>
      <c r="X74" s="39"/>
      <c r="Y74" s="39"/>
      <c r="Z74" s="39"/>
      <c r="AC74" s="77"/>
    </row>
    <row r="75" spans="3:29" x14ac:dyDescent="0.25">
      <c r="R75" s="78"/>
    </row>
  </sheetData>
  <mergeCells count="4">
    <mergeCell ref="A1:U1"/>
    <mergeCell ref="D4:U4"/>
    <mergeCell ref="F5:U5"/>
    <mergeCell ref="V5:V6"/>
  </mergeCells>
  <conditionalFormatting sqref="D8:S74">
    <cfRule type="expression" dxfId="17" priority="6">
      <formula>LEN(TRIM(D8))=0</formula>
    </cfRule>
  </conditionalFormatting>
  <conditionalFormatting sqref="D8:U74">
    <cfRule type="expression" dxfId="16" priority="5">
      <formula>LEN(TRIM(D8))=0</formula>
    </cfRule>
  </conditionalFormatting>
  <conditionalFormatting sqref="D8:U74">
    <cfRule type="expression" dxfId="15" priority="3">
      <formula>LEN(TRIM(D8))=0</formula>
    </cfRule>
    <cfRule type="expression" dxfId="14" priority="4">
      <formula>LEN(TRIM(D8))=0</formula>
    </cfRule>
  </conditionalFormatting>
  <conditionalFormatting sqref="D8:U74">
    <cfRule type="expression" dxfId="13" priority="2">
      <formula>LEN(TRIM(D8))=0</formula>
    </cfRule>
  </conditionalFormatting>
  <conditionalFormatting sqref="D8:U74">
    <cfRule type="expression" dxfId="12" priority="1">
      <formula>LEN(TRIM(D8))=0</formula>
    </cfRule>
  </conditionalFormatting>
  <pageMargins left="0.7" right="0.7" top="0.75" bottom="0.75" header="0.3" footer="0.3"/>
  <pageSetup scale="28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DE60-96E0-492D-A425-94E3E18A4EE9}">
  <sheetPr codeName="Sheet8"/>
  <dimension ref="A1:Q141"/>
  <sheetViews>
    <sheetView showGridLines="0" workbookViewId="0">
      <pane xSplit="3" ySplit="7" topLeftCell="E8" activePane="bottomRight" state="frozen"/>
      <selection pane="topRight" activeCell="D1" sqref="D1"/>
      <selection pane="bottomLeft" activeCell="A8" sqref="A8"/>
      <selection pane="bottomRight" activeCell="F10" sqref="F10"/>
    </sheetView>
  </sheetViews>
  <sheetFormatPr defaultRowHeight="15" x14ac:dyDescent="0.25"/>
  <cols>
    <col min="1" max="1" width="5.5703125" style="2" customWidth="1"/>
    <col min="2" max="2" width="25.28515625" style="2" bestFit="1" customWidth="1"/>
    <col min="3" max="3" width="4" style="2" bestFit="1" customWidth="1"/>
    <col min="4" max="16" width="20.5703125" style="2" customWidth="1"/>
    <col min="17" max="17" width="25.5703125" style="1" customWidth="1"/>
    <col min="18" max="16384" width="9.140625" style="2"/>
  </cols>
  <sheetData>
    <row r="1" spans="1:17" x14ac:dyDescent="0.25">
      <c r="A1" s="198" t="s">
        <v>1733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4" spans="1:17" x14ac:dyDescent="0.25">
      <c r="D4" s="200" t="s">
        <v>1</v>
      </c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2"/>
    </row>
    <row r="5" spans="1:17" ht="30" x14ac:dyDescent="0.25">
      <c r="D5" s="4" t="s">
        <v>2</v>
      </c>
      <c r="E5" s="6" t="s">
        <v>3</v>
      </c>
      <c r="F5" s="203" t="s">
        <v>1734</v>
      </c>
      <c r="G5" s="205"/>
      <c r="H5" s="205"/>
      <c r="I5" s="205"/>
      <c r="J5" s="205"/>
      <c r="K5" s="205"/>
      <c r="L5" s="205"/>
      <c r="M5" s="205"/>
      <c r="N5" s="205"/>
      <c r="O5" s="205"/>
      <c r="P5" s="204"/>
      <c r="Q5" s="229"/>
    </row>
    <row r="6" spans="1:17" ht="29.25" customHeight="1" x14ac:dyDescent="0.25">
      <c r="D6" s="5"/>
      <c r="E6" s="6" t="s">
        <v>6</v>
      </c>
      <c r="F6" s="6" t="s">
        <v>7</v>
      </c>
      <c r="G6" s="6" t="s">
        <v>1590</v>
      </c>
      <c r="H6" s="6" t="s">
        <v>1735</v>
      </c>
      <c r="I6" s="6" t="s">
        <v>9</v>
      </c>
      <c r="J6" s="6" t="s">
        <v>1555</v>
      </c>
      <c r="K6" s="6" t="s">
        <v>11</v>
      </c>
      <c r="L6" s="6" t="s">
        <v>1594</v>
      </c>
      <c r="M6" s="6" t="s">
        <v>1596</v>
      </c>
      <c r="N6" s="6" t="s">
        <v>1597</v>
      </c>
      <c r="O6" s="6" t="s">
        <v>1736</v>
      </c>
      <c r="P6" s="6" t="s">
        <v>1737</v>
      </c>
      <c r="Q6" s="229"/>
    </row>
    <row r="7" spans="1:17" ht="15.75" thickBot="1" x14ac:dyDescent="0.3">
      <c r="D7" s="7" t="s">
        <v>29</v>
      </c>
      <c r="E7" s="7" t="s">
        <v>30</v>
      </c>
      <c r="F7" s="7" t="s">
        <v>32</v>
      </c>
      <c r="G7" s="8" t="s">
        <v>33</v>
      </c>
      <c r="H7" s="8" t="s">
        <v>35</v>
      </c>
      <c r="I7" s="7" t="s">
        <v>37</v>
      </c>
      <c r="J7" s="7" t="s">
        <v>39</v>
      </c>
      <c r="K7" s="7" t="s">
        <v>1583</v>
      </c>
      <c r="L7" s="7" t="s">
        <v>40</v>
      </c>
      <c r="M7" s="7" t="s">
        <v>41</v>
      </c>
      <c r="N7" s="7" t="s">
        <v>42</v>
      </c>
      <c r="O7" s="7" t="s">
        <v>43</v>
      </c>
      <c r="P7" s="7" t="s">
        <v>44</v>
      </c>
    </row>
    <row r="8" spans="1:17" ht="36.75" thickBot="1" x14ac:dyDescent="0.3">
      <c r="A8" s="9" t="s">
        <v>54</v>
      </c>
      <c r="B8" s="10" t="s">
        <v>1738</v>
      </c>
      <c r="C8" s="11">
        <v>999</v>
      </c>
      <c r="D8" s="12">
        <v>1</v>
      </c>
      <c r="E8" s="12" t="s">
        <v>87</v>
      </c>
      <c r="F8" s="12" t="s">
        <v>1402</v>
      </c>
      <c r="G8" s="12" t="s">
        <v>1381</v>
      </c>
      <c r="H8" s="12"/>
      <c r="I8" s="12" t="s">
        <v>768</v>
      </c>
      <c r="J8" s="12" t="s">
        <v>1381</v>
      </c>
      <c r="K8" s="12" t="s">
        <v>60</v>
      </c>
      <c r="L8" s="12" t="s">
        <v>768</v>
      </c>
      <c r="M8" s="12" t="s">
        <v>2537</v>
      </c>
      <c r="N8" s="12">
        <v>2</v>
      </c>
      <c r="O8" s="13">
        <v>-0.04</v>
      </c>
      <c r="P8" s="12" t="s">
        <v>768</v>
      </c>
      <c r="Q8" s="79"/>
    </row>
    <row r="9" spans="1:17" s="1" customFormat="1" ht="36.75" thickBot="1" x14ac:dyDescent="0.3">
      <c r="B9" s="80"/>
      <c r="C9" s="11">
        <v>999</v>
      </c>
      <c r="D9" s="12">
        <v>2</v>
      </c>
      <c r="E9" s="12" t="s">
        <v>1576</v>
      </c>
      <c r="F9" s="12" t="s">
        <v>1402</v>
      </c>
      <c r="G9" s="12" t="s">
        <v>1739</v>
      </c>
      <c r="H9" s="12"/>
      <c r="I9" s="12" t="s">
        <v>1740</v>
      </c>
      <c r="J9" s="12" t="s">
        <v>1739</v>
      </c>
      <c r="K9" s="12" t="s">
        <v>60</v>
      </c>
      <c r="L9" s="12" t="s">
        <v>1741</v>
      </c>
      <c r="M9" s="12" t="s">
        <v>1405</v>
      </c>
      <c r="N9" s="12">
        <v>1</v>
      </c>
      <c r="O9" s="13">
        <v>8986928.8000000007</v>
      </c>
      <c r="P9" s="13" t="s">
        <v>768</v>
      </c>
    </row>
    <row r="10" spans="1:17" s="1" customFormat="1" ht="36.75" thickBot="1" x14ac:dyDescent="0.3">
      <c r="B10" s="80"/>
      <c r="C10" s="11">
        <v>999</v>
      </c>
      <c r="D10" s="12">
        <v>3</v>
      </c>
      <c r="E10" s="12" t="s">
        <v>1576</v>
      </c>
      <c r="F10" s="12" t="s">
        <v>1402</v>
      </c>
      <c r="G10" s="12" t="s">
        <v>1742</v>
      </c>
      <c r="H10" s="12"/>
      <c r="I10" s="12" t="s">
        <v>1743</v>
      </c>
      <c r="J10" s="12" t="s">
        <v>1742</v>
      </c>
      <c r="K10" s="12" t="s">
        <v>60</v>
      </c>
      <c r="L10" s="12" t="s">
        <v>1405</v>
      </c>
      <c r="M10" s="12" t="s">
        <v>1405</v>
      </c>
      <c r="N10" s="12">
        <v>8</v>
      </c>
      <c r="O10" s="13">
        <v>7401255071.0600004</v>
      </c>
      <c r="P10" s="13">
        <v>21784060016.637699</v>
      </c>
    </row>
    <row r="11" spans="1:17" s="1" customFormat="1" ht="36.75" thickBot="1" x14ac:dyDescent="0.3">
      <c r="B11" s="80"/>
      <c r="C11" s="11">
        <v>999</v>
      </c>
      <c r="D11" s="12">
        <v>4</v>
      </c>
      <c r="E11" s="12" t="s">
        <v>87</v>
      </c>
      <c r="F11" s="12" t="s">
        <v>1402</v>
      </c>
      <c r="G11" s="12" t="s">
        <v>1722</v>
      </c>
      <c r="H11" s="12"/>
      <c r="I11" s="12" t="s">
        <v>1721</v>
      </c>
      <c r="J11" s="12" t="s">
        <v>1744</v>
      </c>
      <c r="K11" s="12" t="s">
        <v>60</v>
      </c>
      <c r="L11" s="12" t="s">
        <v>1745</v>
      </c>
      <c r="M11" s="12" t="s">
        <v>2537</v>
      </c>
      <c r="N11" s="12">
        <v>4</v>
      </c>
      <c r="O11" s="13">
        <v>32599.980000004201</v>
      </c>
      <c r="P11" s="13">
        <v>214782261.96356601</v>
      </c>
    </row>
    <row r="12" spans="1:17" s="1" customFormat="1" x14ac:dyDescent="0.25"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</row>
    <row r="13" spans="1:17" s="1" customFormat="1" x14ac:dyDescent="0.25"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</row>
    <row r="14" spans="1:17" s="1" customFormat="1" x14ac:dyDescent="0.25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</row>
    <row r="15" spans="1:17" s="1" customFormat="1" x14ac:dyDescent="0.25"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</row>
    <row r="16" spans="1:17" s="1" customFormat="1" x14ac:dyDescent="0.25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2:16" s="1" customFormat="1" x14ac:dyDescent="0.25"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</row>
    <row r="18" spans="2:16" s="1" customFormat="1" x14ac:dyDescent="0.25"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</row>
    <row r="19" spans="2:16" s="1" customFormat="1" x14ac:dyDescent="0.25"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</row>
    <row r="20" spans="2:16" s="1" customFormat="1" x14ac:dyDescent="0.25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</row>
    <row r="21" spans="2:16" s="1" customFormat="1" x14ac:dyDescent="0.25"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</row>
    <row r="22" spans="2:16" s="1" customFormat="1" x14ac:dyDescent="0.25"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</row>
    <row r="23" spans="2:16" s="1" customFormat="1" x14ac:dyDescent="0.25"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</row>
    <row r="24" spans="2:16" s="1" customFormat="1" x14ac:dyDescent="0.25"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</row>
    <row r="25" spans="2:16" s="1" customFormat="1" x14ac:dyDescent="0.25"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</row>
    <row r="26" spans="2:16" s="1" customFormat="1" x14ac:dyDescent="0.25"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</row>
    <row r="27" spans="2:16" s="1" customFormat="1" x14ac:dyDescent="0.25"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</row>
    <row r="28" spans="2:16" s="1" customFormat="1" x14ac:dyDescent="0.25"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</row>
    <row r="29" spans="2:16" s="1" customFormat="1" x14ac:dyDescent="0.25"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</row>
    <row r="30" spans="2:16" s="1" customFormat="1" x14ac:dyDescent="0.25"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</row>
    <row r="31" spans="2:16" s="1" customFormat="1" x14ac:dyDescent="0.25"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spans="2:16" s="1" customFormat="1" x14ac:dyDescent="0.25"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</row>
    <row r="33" spans="2:16" s="1" customFormat="1" x14ac:dyDescent="0.25"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</row>
    <row r="34" spans="2:16" s="1" customFormat="1" x14ac:dyDescent="0.25"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</row>
    <row r="35" spans="2:16" s="1" customFormat="1" x14ac:dyDescent="0.25"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</row>
    <row r="36" spans="2:16" s="1" customFormat="1" x14ac:dyDescent="0.25"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</row>
    <row r="37" spans="2:16" s="1" customFormat="1" x14ac:dyDescent="0.25"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</row>
    <row r="38" spans="2:16" s="1" customFormat="1" x14ac:dyDescent="0.25"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</row>
    <row r="39" spans="2:16" s="1" customFormat="1" x14ac:dyDescent="0.25"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</row>
    <row r="40" spans="2:16" s="1" customFormat="1" x14ac:dyDescent="0.25"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</row>
    <row r="41" spans="2:16" s="1" customFormat="1" x14ac:dyDescent="0.25"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</row>
    <row r="42" spans="2:16" s="1" customFormat="1" x14ac:dyDescent="0.25"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</row>
    <row r="43" spans="2:16" s="1" customFormat="1" x14ac:dyDescent="0.25"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</row>
    <row r="44" spans="2:16" s="1" customFormat="1" x14ac:dyDescent="0.25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</row>
    <row r="45" spans="2:16" s="1" customFormat="1" x14ac:dyDescent="0.25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</row>
    <row r="46" spans="2:16" s="1" customFormat="1" x14ac:dyDescent="0.25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</row>
    <row r="47" spans="2:16" s="1" customFormat="1" x14ac:dyDescent="0.25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</row>
    <row r="48" spans="2:16" s="1" customFormat="1" x14ac:dyDescent="0.25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</row>
    <row r="49" spans="2:16" s="1" customFormat="1" x14ac:dyDescent="0.25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</row>
    <row r="50" spans="2:16" s="1" customFormat="1" x14ac:dyDescent="0.25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</row>
    <row r="51" spans="2:16" s="1" customFormat="1" x14ac:dyDescent="0.25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</row>
    <row r="52" spans="2:16" s="1" customFormat="1" x14ac:dyDescent="0.25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</row>
    <row r="53" spans="2:16" s="1" customFormat="1" x14ac:dyDescent="0.25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</row>
    <row r="54" spans="2:16" s="1" customFormat="1" x14ac:dyDescent="0.25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</row>
    <row r="55" spans="2:16" s="1" customFormat="1" x14ac:dyDescent="0.25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</row>
    <row r="56" spans="2:16" s="1" customFormat="1" x14ac:dyDescent="0.25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</row>
    <row r="57" spans="2:16" s="1" customFormat="1" x14ac:dyDescent="0.25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</row>
    <row r="58" spans="2:16" s="1" customFormat="1" x14ac:dyDescent="0.25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</row>
    <row r="59" spans="2:16" s="1" customFormat="1" x14ac:dyDescent="0.25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</row>
    <row r="60" spans="2:16" s="1" customFormat="1" x14ac:dyDescent="0.25"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</row>
    <row r="61" spans="2:16" s="1" customFormat="1" x14ac:dyDescent="0.25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</row>
    <row r="62" spans="2:16" s="1" customFormat="1" x14ac:dyDescent="0.25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</row>
    <row r="63" spans="2:16" s="1" customFormat="1" x14ac:dyDescent="0.25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</row>
    <row r="64" spans="2:16" s="1" customFormat="1" x14ac:dyDescent="0.25"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</row>
    <row r="65" spans="2:16" s="1" customFormat="1" x14ac:dyDescent="0.25"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</row>
    <row r="66" spans="2:16" s="1" customFormat="1" x14ac:dyDescent="0.25"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</row>
    <row r="67" spans="2:16" s="1" customFormat="1" x14ac:dyDescent="0.25"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</row>
    <row r="68" spans="2:16" s="1" customFormat="1" x14ac:dyDescent="0.25"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</row>
    <row r="69" spans="2:16" s="1" customFormat="1" x14ac:dyDescent="0.25"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</row>
    <row r="70" spans="2:16" s="1" customFormat="1" x14ac:dyDescent="0.25"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</row>
    <row r="71" spans="2:16" s="1" customFormat="1" x14ac:dyDescent="0.25"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</row>
    <row r="72" spans="2:16" s="1" customFormat="1" x14ac:dyDescent="0.25"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 spans="2:16" s="1" customFormat="1" x14ac:dyDescent="0.25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</row>
    <row r="74" spans="2:16" s="1" customFormat="1" x14ac:dyDescent="0.25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</row>
    <row r="75" spans="2:16" s="1" customFormat="1" x14ac:dyDescent="0.25"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</row>
    <row r="76" spans="2:16" s="1" customFormat="1" x14ac:dyDescent="0.25"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</row>
    <row r="77" spans="2:16" s="1" customFormat="1" x14ac:dyDescent="0.25"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</row>
    <row r="78" spans="2:16" s="1" customFormat="1" x14ac:dyDescent="0.25"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</row>
    <row r="79" spans="2:16" s="1" customFormat="1" x14ac:dyDescent="0.25"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</row>
    <row r="80" spans="2:16" s="1" customFormat="1" x14ac:dyDescent="0.25"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</row>
    <row r="81" spans="2:16" s="1" customFormat="1" x14ac:dyDescent="0.25"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</row>
    <row r="82" spans="2:16" s="1" customFormat="1" x14ac:dyDescent="0.25"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</row>
    <row r="83" spans="2:16" s="1" customFormat="1" x14ac:dyDescent="0.25"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</row>
    <row r="84" spans="2:16" s="1" customFormat="1" x14ac:dyDescent="0.25"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</row>
    <row r="85" spans="2:16" s="1" customFormat="1" x14ac:dyDescent="0.25"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</row>
    <row r="86" spans="2:16" s="1" customFormat="1" x14ac:dyDescent="0.25"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</row>
    <row r="87" spans="2:16" s="1" customFormat="1" x14ac:dyDescent="0.25"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</row>
    <row r="88" spans="2:16" s="1" customFormat="1" x14ac:dyDescent="0.25"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</row>
    <row r="89" spans="2:16" s="1" customFormat="1" x14ac:dyDescent="0.25"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</row>
    <row r="90" spans="2:16" s="1" customFormat="1" x14ac:dyDescent="0.25"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</row>
    <row r="91" spans="2:16" s="1" customFormat="1" x14ac:dyDescent="0.25"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</row>
    <row r="92" spans="2:16" s="1" customFormat="1" x14ac:dyDescent="0.25"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</row>
    <row r="93" spans="2:16" s="1" customFormat="1" x14ac:dyDescent="0.25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</row>
    <row r="94" spans="2:16" s="1" customFormat="1" x14ac:dyDescent="0.25"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</row>
    <row r="95" spans="2:16" s="1" customFormat="1" x14ac:dyDescent="0.25"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</row>
    <row r="96" spans="2:16" s="1" customFormat="1" x14ac:dyDescent="0.25"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</row>
    <row r="97" spans="2:16" s="1" customFormat="1" x14ac:dyDescent="0.25"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</row>
    <row r="98" spans="2:16" s="1" customFormat="1" x14ac:dyDescent="0.25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</row>
    <row r="99" spans="2:16" s="1" customFormat="1" x14ac:dyDescent="0.25"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</row>
    <row r="100" spans="2:16" s="1" customFormat="1" x14ac:dyDescent="0.25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</row>
    <row r="101" spans="2:16" s="1" customFormat="1" x14ac:dyDescent="0.25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</row>
    <row r="102" spans="2:16" s="1" customFormat="1" x14ac:dyDescent="0.25"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</row>
    <row r="103" spans="2:16" s="1" customFormat="1" x14ac:dyDescent="0.25"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</row>
    <row r="104" spans="2:16" s="1" customFormat="1" x14ac:dyDescent="0.25"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</row>
    <row r="105" spans="2:16" s="1" customFormat="1" x14ac:dyDescent="0.25"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</row>
    <row r="106" spans="2:16" s="1" customFormat="1" x14ac:dyDescent="0.25"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</row>
    <row r="107" spans="2:16" s="1" customFormat="1" x14ac:dyDescent="0.25"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</row>
    <row r="108" spans="2:16" s="1" customFormat="1" x14ac:dyDescent="0.25"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</row>
    <row r="109" spans="2:16" s="1" customFormat="1" x14ac:dyDescent="0.25"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</row>
    <row r="110" spans="2:16" s="1" customFormat="1" x14ac:dyDescent="0.25"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 spans="2:16" s="1" customFormat="1" x14ac:dyDescent="0.25"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</row>
    <row r="112" spans="2:16" s="1" customFormat="1" x14ac:dyDescent="0.25"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</row>
    <row r="113" spans="2:16" s="1" customFormat="1" x14ac:dyDescent="0.25"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</row>
    <row r="114" spans="2:16" s="1" customFormat="1" x14ac:dyDescent="0.25"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</row>
    <row r="115" spans="2:16" s="1" customFormat="1" x14ac:dyDescent="0.25"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</row>
    <row r="116" spans="2:16" s="1" customFormat="1" x14ac:dyDescent="0.25"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</row>
    <row r="117" spans="2:16" s="1" customFormat="1" x14ac:dyDescent="0.25"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</row>
    <row r="118" spans="2:16" s="1" customFormat="1" x14ac:dyDescent="0.25"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</row>
    <row r="119" spans="2:16" s="1" customFormat="1" x14ac:dyDescent="0.25"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</row>
    <row r="120" spans="2:16" s="1" customFormat="1" x14ac:dyDescent="0.25"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</row>
    <row r="121" spans="2:16" s="1" customFormat="1" x14ac:dyDescent="0.25"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</row>
    <row r="122" spans="2:16" s="1" customFormat="1" x14ac:dyDescent="0.25"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</row>
    <row r="123" spans="2:16" s="1" customFormat="1" x14ac:dyDescent="0.25"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</row>
    <row r="124" spans="2:16" s="1" customFormat="1" x14ac:dyDescent="0.25"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</row>
    <row r="125" spans="2:16" s="1" customFormat="1" x14ac:dyDescent="0.25"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</row>
    <row r="126" spans="2:16" s="1" customFormat="1" x14ac:dyDescent="0.25"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</row>
    <row r="127" spans="2:16" s="1" customFormat="1" x14ac:dyDescent="0.25"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</row>
    <row r="128" spans="2:16" s="1" customFormat="1" x14ac:dyDescent="0.25"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</row>
    <row r="129" spans="2:16" s="1" customFormat="1" x14ac:dyDescent="0.25"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</row>
    <row r="130" spans="2:16" s="1" customFormat="1" x14ac:dyDescent="0.25"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</row>
    <row r="131" spans="2:16" s="1" customFormat="1" x14ac:dyDescent="0.25"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</row>
    <row r="132" spans="2:16" s="1" customFormat="1" x14ac:dyDescent="0.25"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</row>
    <row r="133" spans="2:16" s="1" customFormat="1" x14ac:dyDescent="0.25"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</row>
    <row r="134" spans="2:16" s="1" customFormat="1" x14ac:dyDescent="0.25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</row>
    <row r="135" spans="2:16" s="1" customFormat="1" x14ac:dyDescent="0.25"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</row>
    <row r="136" spans="2:16" s="1" customFormat="1" x14ac:dyDescent="0.25"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</row>
    <row r="137" spans="2:16" s="1" customFormat="1" x14ac:dyDescent="0.25"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</row>
    <row r="138" spans="2:16" s="1" customFormat="1" x14ac:dyDescent="0.25"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</row>
    <row r="139" spans="2:16" s="1" customFormat="1" x14ac:dyDescent="0.25"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</row>
    <row r="140" spans="2:16" x14ac:dyDescent="0.25"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</row>
    <row r="141" spans="2:16" x14ac:dyDescent="0.25"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</row>
  </sheetData>
  <mergeCells count="4">
    <mergeCell ref="A1:P1"/>
    <mergeCell ref="D4:P4"/>
    <mergeCell ref="F5:P5"/>
    <mergeCell ref="Q5:Q6"/>
  </mergeCells>
  <conditionalFormatting sqref="D8:P9">
    <cfRule type="expression" dxfId="11" priority="3">
      <formula>LEN(TRIM(D8))=0</formula>
    </cfRule>
  </conditionalFormatting>
  <conditionalFormatting sqref="D10:P11">
    <cfRule type="expression" dxfId="10" priority="2">
      <formula>LEN(TRIM(D10))=0</formula>
    </cfRule>
  </conditionalFormatting>
  <conditionalFormatting sqref="D8:P11">
    <cfRule type="expression" dxfId="9" priority="1">
      <formula>LEN(TRIM(D8))=0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E53A-7EE8-415C-8BDD-53F30BB1095C}">
  <sheetPr codeName="Sheet9">
    <outlinePr summaryBelow="0" summaryRight="0"/>
    <pageSetUpPr fitToPage="1"/>
  </sheetPr>
  <dimension ref="A1:S58"/>
  <sheetViews>
    <sheetView showGridLines="0" workbookViewId="0">
      <pane xSplit="3" ySplit="7" topLeftCell="D8" activePane="bottomRight" state="frozen"/>
      <selection activeCell="D17" sqref="D17"/>
      <selection pane="topRight" activeCell="D17" sqref="D17"/>
      <selection pane="bottomLeft" activeCell="D17" sqref="D17"/>
      <selection pane="bottomRight" activeCell="D8" sqref="D8"/>
    </sheetView>
  </sheetViews>
  <sheetFormatPr defaultRowHeight="15" x14ac:dyDescent="0.25"/>
  <cols>
    <col min="1" max="1" width="5.5703125" style="20" customWidth="1"/>
    <col min="2" max="2" width="25.5703125" style="20" customWidth="1"/>
    <col min="3" max="3" width="3.85546875" style="20" bestFit="1" customWidth="1"/>
    <col min="4" max="18" width="20.5703125" style="20" customWidth="1"/>
    <col min="19" max="19" width="25.5703125" style="19" customWidth="1"/>
    <col min="20" max="16384" width="9.140625" style="20"/>
  </cols>
  <sheetData>
    <row r="1" spans="1:19" x14ac:dyDescent="0.25">
      <c r="A1" s="208" t="s">
        <v>1746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</row>
    <row r="4" spans="1:19" x14ac:dyDescent="0.25">
      <c r="D4" s="210" t="s">
        <v>1</v>
      </c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2"/>
    </row>
    <row r="5" spans="1:19" ht="15" customHeight="1" x14ac:dyDescent="0.25">
      <c r="D5" s="21" t="s">
        <v>2</v>
      </c>
      <c r="E5" s="213" t="s">
        <v>3</v>
      </c>
      <c r="F5" s="215"/>
      <c r="G5" s="213" t="s">
        <v>1747</v>
      </c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  <c r="S5" s="230"/>
    </row>
    <row r="6" spans="1:19" ht="60" x14ac:dyDescent="0.25">
      <c r="D6" s="22"/>
      <c r="E6" s="23" t="s">
        <v>5</v>
      </c>
      <c r="F6" s="23" t="s">
        <v>6</v>
      </c>
      <c r="G6" s="23" t="s">
        <v>1748</v>
      </c>
      <c r="H6" s="23" t="s">
        <v>1749</v>
      </c>
      <c r="I6" s="23" t="s">
        <v>1555</v>
      </c>
      <c r="J6" s="23" t="s">
        <v>11</v>
      </c>
      <c r="K6" s="23" t="s">
        <v>1750</v>
      </c>
      <c r="L6" s="23" t="s">
        <v>1751</v>
      </c>
      <c r="M6" s="23" t="s">
        <v>1752</v>
      </c>
      <c r="N6" s="23" t="s">
        <v>18</v>
      </c>
      <c r="O6" s="23" t="s">
        <v>1753</v>
      </c>
      <c r="P6" s="23" t="s">
        <v>1754</v>
      </c>
      <c r="Q6" s="23" t="s">
        <v>1581</v>
      </c>
      <c r="R6" s="23" t="s">
        <v>1530</v>
      </c>
      <c r="S6" s="230"/>
    </row>
    <row r="7" spans="1:19" ht="15.75" thickBot="1" x14ac:dyDescent="0.3">
      <c r="D7" s="24" t="s">
        <v>29</v>
      </c>
      <c r="E7" s="24" t="s">
        <v>30</v>
      </c>
      <c r="F7" s="24" t="s">
        <v>32</v>
      </c>
      <c r="G7" s="24" t="s">
        <v>33</v>
      </c>
      <c r="H7" s="24" t="s">
        <v>35</v>
      </c>
      <c r="I7" s="24" t="s">
        <v>39</v>
      </c>
      <c r="J7" s="24" t="s">
        <v>1583</v>
      </c>
      <c r="K7" s="24" t="s">
        <v>40</v>
      </c>
      <c r="L7" s="24" t="s">
        <v>41</v>
      </c>
      <c r="M7" s="24" t="s">
        <v>42</v>
      </c>
      <c r="N7" s="24" t="s">
        <v>43</v>
      </c>
      <c r="O7" s="24" t="s">
        <v>44</v>
      </c>
      <c r="P7" s="24" t="s">
        <v>45</v>
      </c>
      <c r="Q7" s="24" t="s">
        <v>46</v>
      </c>
      <c r="R7" s="24" t="s">
        <v>47</v>
      </c>
    </row>
    <row r="8" spans="1:19" ht="36.75" thickBot="1" x14ac:dyDescent="0.3">
      <c r="A8" s="25" t="s">
        <v>54</v>
      </c>
      <c r="B8" s="26" t="s">
        <v>1755</v>
      </c>
      <c r="C8" s="27" t="s">
        <v>1509</v>
      </c>
      <c r="D8" s="28">
        <v>1</v>
      </c>
      <c r="E8" s="28" t="s">
        <v>1898</v>
      </c>
      <c r="F8" s="28" t="s">
        <v>83</v>
      </c>
      <c r="G8" s="28" t="s">
        <v>1402</v>
      </c>
      <c r="H8" s="28">
        <v>0</v>
      </c>
      <c r="I8" s="28">
        <v>0</v>
      </c>
      <c r="J8" s="28" t="s">
        <v>60</v>
      </c>
      <c r="K8" s="34" t="s">
        <v>1405</v>
      </c>
      <c r="L8" s="28" t="s">
        <v>2595</v>
      </c>
      <c r="M8" s="35">
        <v>9.7599999999999998E-4</v>
      </c>
      <c r="N8" s="28" t="s">
        <v>1569</v>
      </c>
      <c r="O8" s="28" t="s">
        <v>1385</v>
      </c>
      <c r="P8" s="81">
        <v>72716</v>
      </c>
      <c r="Q8" s="28" t="s">
        <v>1387</v>
      </c>
      <c r="R8" s="28">
        <v>0</v>
      </c>
      <c r="S8" s="82"/>
    </row>
    <row r="9" spans="1:19" ht="60.75" thickBot="1" x14ac:dyDescent="0.3">
      <c r="C9" s="27" t="s">
        <v>1509</v>
      </c>
      <c r="D9" s="28">
        <v>2</v>
      </c>
      <c r="E9" s="28" t="s">
        <v>1898</v>
      </c>
      <c r="F9" s="28" t="s">
        <v>2596</v>
      </c>
      <c r="G9" s="28" t="s">
        <v>1402</v>
      </c>
      <c r="H9" s="28">
        <v>0</v>
      </c>
      <c r="I9" s="28">
        <v>0</v>
      </c>
      <c r="J9" s="28" t="s">
        <v>60</v>
      </c>
      <c r="K9" s="34" t="s">
        <v>1405</v>
      </c>
      <c r="L9" s="28" t="s">
        <v>2597</v>
      </c>
      <c r="M9" s="35">
        <v>9866.3252680000005</v>
      </c>
      <c r="N9" s="28" t="s">
        <v>1572</v>
      </c>
      <c r="O9" s="28" t="s">
        <v>1385</v>
      </c>
      <c r="P9" s="81">
        <v>72716</v>
      </c>
      <c r="Q9" s="28" t="s">
        <v>1387</v>
      </c>
      <c r="R9" s="28">
        <v>0</v>
      </c>
    </row>
    <row r="10" spans="1:19" ht="60.75" thickBot="1" x14ac:dyDescent="0.3">
      <c r="C10" s="27" t="s">
        <v>1509</v>
      </c>
      <c r="D10" s="28">
        <v>3</v>
      </c>
      <c r="E10" s="28" t="s">
        <v>1898</v>
      </c>
      <c r="F10" s="28" t="s">
        <v>2596</v>
      </c>
      <c r="G10" s="28" t="s">
        <v>1402</v>
      </c>
      <c r="H10" s="28">
        <v>0</v>
      </c>
      <c r="I10" s="28">
        <v>0</v>
      </c>
      <c r="J10" s="28" t="s">
        <v>60</v>
      </c>
      <c r="K10" s="34" t="s">
        <v>1405</v>
      </c>
      <c r="L10" s="28" t="s">
        <v>2597</v>
      </c>
      <c r="M10" s="35">
        <v>226848.401904</v>
      </c>
      <c r="N10" s="28" t="s">
        <v>1572</v>
      </c>
      <c r="O10" s="28" t="s">
        <v>1385</v>
      </c>
      <c r="P10" s="81">
        <v>72716</v>
      </c>
      <c r="Q10" s="28" t="s">
        <v>1387</v>
      </c>
      <c r="R10" s="28">
        <v>0</v>
      </c>
    </row>
    <row r="11" spans="1:19" ht="60.75" thickBot="1" x14ac:dyDescent="0.3">
      <c r="C11" s="27" t="s">
        <v>1509</v>
      </c>
      <c r="D11" s="28">
        <v>4</v>
      </c>
      <c r="E11" s="28" t="s">
        <v>1898</v>
      </c>
      <c r="F11" s="28" t="s">
        <v>83</v>
      </c>
      <c r="G11" s="28" t="s">
        <v>1402</v>
      </c>
      <c r="H11" s="28">
        <v>0</v>
      </c>
      <c r="I11" s="28">
        <v>0</v>
      </c>
      <c r="J11" s="28" t="s">
        <v>60</v>
      </c>
      <c r="K11" s="34" t="s">
        <v>1405</v>
      </c>
      <c r="L11" s="28" t="s">
        <v>2597</v>
      </c>
      <c r="M11" s="35">
        <v>9086537.0916479994</v>
      </c>
      <c r="N11" s="28" t="s">
        <v>1572</v>
      </c>
      <c r="O11" s="28" t="s">
        <v>1385</v>
      </c>
      <c r="P11" s="81">
        <v>72716</v>
      </c>
      <c r="Q11" s="28" t="s">
        <v>1387</v>
      </c>
      <c r="R11" s="28">
        <v>0</v>
      </c>
    </row>
    <row r="12" spans="1:19" ht="60.75" thickBot="1" x14ac:dyDescent="0.3">
      <c r="C12" s="27" t="s">
        <v>1509</v>
      </c>
      <c r="D12" s="28">
        <v>5</v>
      </c>
      <c r="E12" s="28" t="s">
        <v>1898</v>
      </c>
      <c r="F12" s="28" t="s">
        <v>83</v>
      </c>
      <c r="G12" s="28" t="s">
        <v>1402</v>
      </c>
      <c r="H12" s="28">
        <v>0</v>
      </c>
      <c r="I12" s="28">
        <v>0</v>
      </c>
      <c r="J12" s="28" t="s">
        <v>60</v>
      </c>
      <c r="K12" s="34" t="s">
        <v>1405</v>
      </c>
      <c r="L12" s="28" t="s">
        <v>2597</v>
      </c>
      <c r="M12" s="35">
        <v>211769.380187</v>
      </c>
      <c r="N12" s="28" t="s">
        <v>1572</v>
      </c>
      <c r="O12" s="28" t="s">
        <v>1385</v>
      </c>
      <c r="P12" s="81">
        <v>72716</v>
      </c>
      <c r="Q12" s="28" t="s">
        <v>1387</v>
      </c>
      <c r="R12" s="28">
        <v>0</v>
      </c>
    </row>
    <row r="13" spans="1:19" ht="36.75" thickBot="1" x14ac:dyDescent="0.3">
      <c r="C13" s="27" t="s">
        <v>1509</v>
      </c>
      <c r="D13" s="28">
        <v>6</v>
      </c>
      <c r="E13" s="28" t="s">
        <v>1898</v>
      </c>
      <c r="F13" s="28" t="s">
        <v>83</v>
      </c>
      <c r="G13" s="28" t="s">
        <v>1402</v>
      </c>
      <c r="H13" s="28">
        <v>0</v>
      </c>
      <c r="I13" s="28">
        <v>0</v>
      </c>
      <c r="J13" s="28" t="s">
        <v>60</v>
      </c>
      <c r="K13" s="34" t="s">
        <v>1405</v>
      </c>
      <c r="L13" s="28" t="s">
        <v>2595</v>
      </c>
      <c r="M13" s="35">
        <v>0.67985200000000001</v>
      </c>
      <c r="N13" s="28" t="s">
        <v>1572</v>
      </c>
      <c r="O13" s="28" t="s">
        <v>1385</v>
      </c>
      <c r="P13" s="81">
        <v>72716</v>
      </c>
      <c r="Q13" s="28" t="s">
        <v>1387</v>
      </c>
      <c r="R13" s="28">
        <v>0</v>
      </c>
    </row>
    <row r="14" spans="1:19" ht="60.75" thickBot="1" x14ac:dyDescent="0.3">
      <c r="C14" s="27" t="s">
        <v>1509</v>
      </c>
      <c r="D14" s="28">
        <v>7</v>
      </c>
      <c r="E14" s="28" t="s">
        <v>1898</v>
      </c>
      <c r="F14" s="28" t="s">
        <v>2596</v>
      </c>
      <c r="G14" s="28" t="s">
        <v>1402</v>
      </c>
      <c r="H14" s="28">
        <v>0</v>
      </c>
      <c r="I14" s="28">
        <v>0</v>
      </c>
      <c r="J14" s="28" t="s">
        <v>60</v>
      </c>
      <c r="K14" s="34" t="s">
        <v>1405</v>
      </c>
      <c r="L14" s="28" t="s">
        <v>2597</v>
      </c>
      <c r="M14" s="35">
        <v>67.463350000000005</v>
      </c>
      <c r="N14" s="28" t="s">
        <v>1563</v>
      </c>
      <c r="O14" s="28" t="s">
        <v>1385</v>
      </c>
      <c r="P14" s="81">
        <v>72716</v>
      </c>
      <c r="Q14" s="28" t="s">
        <v>1387</v>
      </c>
      <c r="R14" s="28">
        <v>0</v>
      </c>
    </row>
    <row r="15" spans="1:19" ht="60.75" thickBot="1" x14ac:dyDescent="0.3">
      <c r="C15" s="27" t="s">
        <v>1509</v>
      </c>
      <c r="D15" s="28">
        <v>8</v>
      </c>
      <c r="E15" s="28" t="s">
        <v>2598</v>
      </c>
      <c r="F15" s="28" t="s">
        <v>1560</v>
      </c>
      <c r="G15" s="28" t="s">
        <v>2599</v>
      </c>
      <c r="H15" s="28">
        <v>0</v>
      </c>
      <c r="I15" s="28">
        <v>0</v>
      </c>
      <c r="J15" s="28" t="s">
        <v>60</v>
      </c>
      <c r="K15" s="34" t="s">
        <v>1405</v>
      </c>
      <c r="L15" s="28" t="s">
        <v>2600</v>
      </c>
      <c r="M15" s="35">
        <v>131452768.84</v>
      </c>
      <c r="N15" s="28" t="s">
        <v>1573</v>
      </c>
      <c r="O15" s="28" t="s">
        <v>1385</v>
      </c>
      <c r="P15" s="81">
        <v>72716</v>
      </c>
      <c r="Q15" s="28" t="s">
        <v>1387</v>
      </c>
      <c r="R15" s="28">
        <v>0</v>
      </c>
    </row>
    <row r="16" spans="1:19" ht="60.75" thickBot="1" x14ac:dyDescent="0.3">
      <c r="C16" s="27" t="s">
        <v>1509</v>
      </c>
      <c r="D16" s="28">
        <v>9</v>
      </c>
      <c r="E16" s="28" t="s">
        <v>2598</v>
      </c>
      <c r="F16" s="28" t="s">
        <v>1560</v>
      </c>
      <c r="G16" s="28" t="s">
        <v>2599</v>
      </c>
      <c r="H16" s="28">
        <v>0</v>
      </c>
      <c r="I16" s="28">
        <v>0</v>
      </c>
      <c r="J16" s="28" t="s">
        <v>60</v>
      </c>
      <c r="K16" s="34" t="s">
        <v>1405</v>
      </c>
      <c r="L16" s="28" t="s">
        <v>2601</v>
      </c>
      <c r="M16" s="35">
        <v>14268164</v>
      </c>
      <c r="N16" s="28" t="s">
        <v>1573</v>
      </c>
      <c r="O16" s="28" t="s">
        <v>1385</v>
      </c>
      <c r="P16" s="81">
        <v>72716</v>
      </c>
      <c r="Q16" s="28" t="s">
        <v>1387</v>
      </c>
      <c r="R16" s="28">
        <v>0</v>
      </c>
    </row>
    <row r="17" spans="3:18" ht="36.75" thickBot="1" x14ac:dyDescent="0.3">
      <c r="C17" s="27" t="s">
        <v>1509</v>
      </c>
      <c r="D17" s="28">
        <v>10</v>
      </c>
      <c r="E17" s="28" t="s">
        <v>2598</v>
      </c>
      <c r="F17" s="28" t="s">
        <v>1560</v>
      </c>
      <c r="G17" s="28" t="s">
        <v>2599</v>
      </c>
      <c r="H17" s="28">
        <v>0</v>
      </c>
      <c r="I17" s="28">
        <v>0</v>
      </c>
      <c r="J17" s="28" t="s">
        <v>60</v>
      </c>
      <c r="K17" s="34" t="s">
        <v>1405</v>
      </c>
      <c r="L17" s="28" t="s">
        <v>2602</v>
      </c>
      <c r="M17" s="35">
        <v>87204175.790000007</v>
      </c>
      <c r="N17" s="28" t="s">
        <v>1573</v>
      </c>
      <c r="O17" s="28" t="s">
        <v>1385</v>
      </c>
      <c r="P17" s="81">
        <v>72716</v>
      </c>
      <c r="Q17" s="28" t="s">
        <v>1387</v>
      </c>
      <c r="R17" s="28">
        <v>0</v>
      </c>
    </row>
    <row r="18" spans="3:18" ht="60.75" thickBot="1" x14ac:dyDescent="0.3">
      <c r="C18" s="27" t="s">
        <v>1509</v>
      </c>
      <c r="D18" s="28">
        <v>11</v>
      </c>
      <c r="E18" s="28" t="s">
        <v>1898</v>
      </c>
      <c r="F18" s="28" t="s">
        <v>2596</v>
      </c>
      <c r="G18" s="28" t="s">
        <v>1402</v>
      </c>
      <c r="H18" s="28">
        <v>0</v>
      </c>
      <c r="I18" s="28">
        <v>0</v>
      </c>
      <c r="J18" s="28" t="s">
        <v>60</v>
      </c>
      <c r="K18" s="34" t="s">
        <v>1405</v>
      </c>
      <c r="L18" s="28" t="s">
        <v>2597</v>
      </c>
      <c r="M18" s="35">
        <v>261752477.21000001</v>
      </c>
      <c r="N18" s="28" t="s">
        <v>1573</v>
      </c>
      <c r="O18" s="28" t="s">
        <v>1385</v>
      </c>
      <c r="P18" s="81">
        <v>72716</v>
      </c>
      <c r="Q18" s="28" t="s">
        <v>1387</v>
      </c>
      <c r="R18" s="28">
        <v>0</v>
      </c>
    </row>
    <row r="19" spans="3:18" ht="36.75" thickBot="1" x14ac:dyDescent="0.3">
      <c r="C19" s="27" t="s">
        <v>1509</v>
      </c>
      <c r="D19" s="28">
        <v>12</v>
      </c>
      <c r="E19" s="28" t="s">
        <v>1898</v>
      </c>
      <c r="F19" s="28" t="s">
        <v>2596</v>
      </c>
      <c r="G19" s="28" t="s">
        <v>1402</v>
      </c>
      <c r="H19" s="28">
        <v>0</v>
      </c>
      <c r="I19" s="28">
        <v>0</v>
      </c>
      <c r="J19" s="28" t="s">
        <v>60</v>
      </c>
      <c r="K19" s="34" t="s">
        <v>1405</v>
      </c>
      <c r="L19" s="28" t="s">
        <v>2603</v>
      </c>
      <c r="M19" s="35">
        <v>14514835.65</v>
      </c>
      <c r="N19" s="28" t="s">
        <v>1573</v>
      </c>
      <c r="O19" s="28" t="s">
        <v>1385</v>
      </c>
      <c r="P19" s="81">
        <v>72716</v>
      </c>
      <c r="Q19" s="28" t="s">
        <v>1387</v>
      </c>
      <c r="R19" s="28">
        <v>0</v>
      </c>
    </row>
    <row r="20" spans="3:18" ht="36.75" thickBot="1" x14ac:dyDescent="0.3">
      <c r="C20" s="27" t="s">
        <v>1509</v>
      </c>
      <c r="D20" s="28">
        <v>13</v>
      </c>
      <c r="E20" s="28" t="s">
        <v>1898</v>
      </c>
      <c r="F20" s="28" t="s">
        <v>2596</v>
      </c>
      <c r="G20" s="28" t="s">
        <v>1402</v>
      </c>
      <c r="H20" s="28">
        <v>0</v>
      </c>
      <c r="I20" s="28">
        <v>0</v>
      </c>
      <c r="J20" s="28" t="s">
        <v>60</v>
      </c>
      <c r="K20" s="34" t="s">
        <v>1405</v>
      </c>
      <c r="L20" s="28" t="s">
        <v>2595</v>
      </c>
      <c r="M20" s="35">
        <v>0</v>
      </c>
      <c r="N20" s="28" t="s">
        <v>1573</v>
      </c>
      <c r="O20" s="28" t="s">
        <v>1385</v>
      </c>
      <c r="P20" s="81">
        <v>72716</v>
      </c>
      <c r="Q20" s="28" t="s">
        <v>1387</v>
      </c>
      <c r="R20" s="28">
        <v>0</v>
      </c>
    </row>
    <row r="21" spans="3:18" ht="36.75" thickBot="1" x14ac:dyDescent="0.3">
      <c r="C21" s="27" t="s">
        <v>1509</v>
      </c>
      <c r="D21" s="28">
        <v>14</v>
      </c>
      <c r="E21" s="28" t="s">
        <v>1898</v>
      </c>
      <c r="F21" s="28" t="s">
        <v>2596</v>
      </c>
      <c r="G21" s="28" t="s">
        <v>1402</v>
      </c>
      <c r="H21" s="28">
        <v>0</v>
      </c>
      <c r="I21" s="28">
        <v>0</v>
      </c>
      <c r="J21" s="28" t="s">
        <v>60</v>
      </c>
      <c r="K21" s="34" t="s">
        <v>1405</v>
      </c>
      <c r="L21" s="28" t="s">
        <v>2604</v>
      </c>
      <c r="M21" s="35">
        <v>19770280.399999999</v>
      </c>
      <c r="N21" s="28" t="s">
        <v>1573</v>
      </c>
      <c r="O21" s="28" t="s">
        <v>1385</v>
      </c>
      <c r="P21" s="81">
        <v>72716</v>
      </c>
      <c r="Q21" s="28" t="s">
        <v>1387</v>
      </c>
      <c r="R21" s="28">
        <v>0</v>
      </c>
    </row>
    <row r="22" spans="3:18" ht="60.75" thickBot="1" x14ac:dyDescent="0.3">
      <c r="C22" s="27" t="s">
        <v>1509</v>
      </c>
      <c r="D22" s="28">
        <v>15</v>
      </c>
      <c r="E22" s="28" t="s">
        <v>1898</v>
      </c>
      <c r="F22" s="28" t="s">
        <v>2596</v>
      </c>
      <c r="G22" s="28" t="s">
        <v>1402</v>
      </c>
      <c r="H22" s="28">
        <v>0</v>
      </c>
      <c r="I22" s="28">
        <v>0</v>
      </c>
      <c r="J22" s="28" t="s">
        <v>60</v>
      </c>
      <c r="K22" s="34" t="s">
        <v>1405</v>
      </c>
      <c r="L22" s="28" t="s">
        <v>2597</v>
      </c>
      <c r="M22" s="35">
        <v>11393513.6400003</v>
      </c>
      <c r="N22" s="28" t="s">
        <v>1573</v>
      </c>
      <c r="O22" s="28" t="s">
        <v>1385</v>
      </c>
      <c r="P22" s="81">
        <v>72716</v>
      </c>
      <c r="Q22" s="28" t="s">
        <v>1387</v>
      </c>
      <c r="R22" s="28">
        <v>0</v>
      </c>
    </row>
    <row r="23" spans="3:18" ht="60.75" thickBot="1" x14ac:dyDescent="0.3">
      <c r="C23" s="27" t="s">
        <v>1509</v>
      </c>
      <c r="D23" s="28">
        <v>16</v>
      </c>
      <c r="E23" s="28" t="s">
        <v>1898</v>
      </c>
      <c r="F23" s="28" t="s">
        <v>2596</v>
      </c>
      <c r="G23" s="28" t="s">
        <v>1402</v>
      </c>
      <c r="H23" s="28">
        <v>0</v>
      </c>
      <c r="I23" s="28">
        <v>0</v>
      </c>
      <c r="J23" s="28" t="s">
        <v>60</v>
      </c>
      <c r="K23" s="34" t="s">
        <v>1405</v>
      </c>
      <c r="L23" s="28" t="s">
        <v>2597</v>
      </c>
      <c r="M23" s="35">
        <v>5630818.6000000099</v>
      </c>
      <c r="N23" s="28" t="s">
        <v>1573</v>
      </c>
      <c r="O23" s="28" t="s">
        <v>1385</v>
      </c>
      <c r="P23" s="81">
        <v>72716</v>
      </c>
      <c r="Q23" s="28" t="s">
        <v>1387</v>
      </c>
      <c r="R23" s="28">
        <v>0</v>
      </c>
    </row>
    <row r="24" spans="3:18" ht="60.75" thickBot="1" x14ac:dyDescent="0.3">
      <c r="C24" s="27" t="s">
        <v>1509</v>
      </c>
      <c r="D24" s="28">
        <v>17</v>
      </c>
      <c r="E24" s="28" t="s">
        <v>1898</v>
      </c>
      <c r="F24" s="28" t="s">
        <v>1576</v>
      </c>
      <c r="G24" s="28" t="s">
        <v>1402</v>
      </c>
      <c r="H24" s="28">
        <v>0</v>
      </c>
      <c r="I24" s="28">
        <v>0</v>
      </c>
      <c r="J24" s="28" t="s">
        <v>60</v>
      </c>
      <c r="K24" s="34" t="s">
        <v>1405</v>
      </c>
      <c r="L24" s="28" t="s">
        <v>2597</v>
      </c>
      <c r="M24" s="35">
        <v>37199.800000000003</v>
      </c>
      <c r="N24" s="28" t="s">
        <v>1573</v>
      </c>
      <c r="O24" s="28" t="s">
        <v>1385</v>
      </c>
      <c r="P24" s="81">
        <v>72716</v>
      </c>
      <c r="Q24" s="28" t="s">
        <v>1387</v>
      </c>
      <c r="R24" s="28">
        <v>0</v>
      </c>
    </row>
    <row r="25" spans="3:18" ht="60.75" thickBot="1" x14ac:dyDescent="0.3">
      <c r="C25" s="27" t="s">
        <v>1509</v>
      </c>
      <c r="D25" s="28">
        <v>18</v>
      </c>
      <c r="E25" s="28" t="s">
        <v>1898</v>
      </c>
      <c r="F25" s="28" t="s">
        <v>87</v>
      </c>
      <c r="G25" s="28" t="s">
        <v>1402</v>
      </c>
      <c r="H25" s="28">
        <v>0</v>
      </c>
      <c r="I25" s="28">
        <v>0</v>
      </c>
      <c r="J25" s="28" t="s">
        <v>60</v>
      </c>
      <c r="K25" s="34" t="s">
        <v>1405</v>
      </c>
      <c r="L25" s="28" t="s">
        <v>2597</v>
      </c>
      <c r="M25" s="35">
        <v>11945.99</v>
      </c>
      <c r="N25" s="28" t="s">
        <v>1573</v>
      </c>
      <c r="O25" s="28" t="s">
        <v>1385</v>
      </c>
      <c r="P25" s="81">
        <v>72716</v>
      </c>
      <c r="Q25" s="28" t="s">
        <v>1387</v>
      </c>
      <c r="R25" s="28">
        <v>0</v>
      </c>
    </row>
    <row r="26" spans="3:18" ht="60.75" thickBot="1" x14ac:dyDescent="0.3">
      <c r="C26" s="27" t="s">
        <v>1509</v>
      </c>
      <c r="D26" s="28">
        <v>19</v>
      </c>
      <c r="E26" s="28" t="s">
        <v>1898</v>
      </c>
      <c r="F26" s="28" t="s">
        <v>87</v>
      </c>
      <c r="G26" s="28" t="s">
        <v>1402</v>
      </c>
      <c r="H26" s="28">
        <v>0</v>
      </c>
      <c r="I26" s="28">
        <v>0</v>
      </c>
      <c r="J26" s="28" t="s">
        <v>60</v>
      </c>
      <c r="K26" s="34" t="s">
        <v>1405</v>
      </c>
      <c r="L26" s="28" t="s">
        <v>2597</v>
      </c>
      <c r="M26" s="35">
        <v>36932.67</v>
      </c>
      <c r="N26" s="28" t="s">
        <v>1573</v>
      </c>
      <c r="O26" s="28" t="s">
        <v>1385</v>
      </c>
      <c r="P26" s="81">
        <v>72716</v>
      </c>
      <c r="Q26" s="28" t="s">
        <v>1387</v>
      </c>
      <c r="R26" s="28">
        <v>0</v>
      </c>
    </row>
    <row r="27" spans="3:18" ht="36.75" thickBot="1" x14ac:dyDescent="0.3">
      <c r="C27" s="27" t="s">
        <v>1509</v>
      </c>
      <c r="D27" s="28">
        <v>20</v>
      </c>
      <c r="E27" s="28" t="s">
        <v>1898</v>
      </c>
      <c r="F27" s="28" t="s">
        <v>87</v>
      </c>
      <c r="G27" s="28" t="s">
        <v>1402</v>
      </c>
      <c r="H27" s="28">
        <v>0</v>
      </c>
      <c r="I27" s="28">
        <v>0</v>
      </c>
      <c r="J27" s="28" t="s">
        <v>60</v>
      </c>
      <c r="K27" s="34" t="s">
        <v>1405</v>
      </c>
      <c r="L27" s="28" t="s">
        <v>2595</v>
      </c>
      <c r="M27" s="35">
        <v>6087.58</v>
      </c>
      <c r="N27" s="28" t="s">
        <v>1573</v>
      </c>
      <c r="O27" s="28" t="s">
        <v>1385</v>
      </c>
      <c r="P27" s="81">
        <v>72716</v>
      </c>
      <c r="Q27" s="28" t="s">
        <v>1387</v>
      </c>
      <c r="R27" s="28">
        <v>0</v>
      </c>
    </row>
    <row r="28" spans="3:18" ht="36.75" thickBot="1" x14ac:dyDescent="0.3">
      <c r="C28" s="27" t="s">
        <v>1509</v>
      </c>
      <c r="D28" s="28">
        <v>21</v>
      </c>
      <c r="E28" s="28" t="s">
        <v>1898</v>
      </c>
      <c r="F28" s="28" t="s">
        <v>87</v>
      </c>
      <c r="G28" s="28" t="s">
        <v>1402</v>
      </c>
      <c r="H28" s="28">
        <v>0</v>
      </c>
      <c r="I28" s="28">
        <v>0</v>
      </c>
      <c r="J28" s="28" t="s">
        <v>60</v>
      </c>
      <c r="K28" s="34" t="s">
        <v>1405</v>
      </c>
      <c r="L28" s="28" t="s">
        <v>2595</v>
      </c>
      <c r="M28" s="35">
        <v>1506.86</v>
      </c>
      <c r="N28" s="28" t="s">
        <v>1573</v>
      </c>
      <c r="O28" s="28" t="s">
        <v>1385</v>
      </c>
      <c r="P28" s="81">
        <v>72716</v>
      </c>
      <c r="Q28" s="28" t="s">
        <v>1387</v>
      </c>
      <c r="R28" s="28">
        <v>0</v>
      </c>
    </row>
    <row r="29" spans="3:18" ht="60.75" thickBot="1" x14ac:dyDescent="0.3">
      <c r="C29" s="27" t="s">
        <v>1509</v>
      </c>
      <c r="D29" s="28">
        <v>22</v>
      </c>
      <c r="E29" s="28" t="s">
        <v>1898</v>
      </c>
      <c r="F29" s="28" t="s">
        <v>56</v>
      </c>
      <c r="G29" s="28" t="s">
        <v>1402</v>
      </c>
      <c r="H29" s="28">
        <v>0</v>
      </c>
      <c r="I29" s="28">
        <v>0</v>
      </c>
      <c r="J29" s="28" t="s">
        <v>60</v>
      </c>
      <c r="K29" s="34" t="s">
        <v>1405</v>
      </c>
      <c r="L29" s="28" t="s">
        <v>2597</v>
      </c>
      <c r="M29" s="35">
        <v>9565182.1099999994</v>
      </c>
      <c r="N29" s="28" t="s">
        <v>1573</v>
      </c>
      <c r="O29" s="28" t="s">
        <v>1385</v>
      </c>
      <c r="P29" s="81">
        <v>72716</v>
      </c>
      <c r="Q29" s="28" t="s">
        <v>1387</v>
      </c>
      <c r="R29" s="28">
        <v>0</v>
      </c>
    </row>
    <row r="30" spans="3:18" ht="36.75" thickBot="1" x14ac:dyDescent="0.3">
      <c r="C30" s="27" t="s">
        <v>1509</v>
      </c>
      <c r="D30" s="28">
        <v>23</v>
      </c>
      <c r="E30" s="28" t="s">
        <v>1898</v>
      </c>
      <c r="F30" s="28" t="s">
        <v>56</v>
      </c>
      <c r="G30" s="28" t="s">
        <v>1402</v>
      </c>
      <c r="H30" s="28">
        <v>0</v>
      </c>
      <c r="I30" s="28">
        <v>0</v>
      </c>
      <c r="J30" s="28" t="s">
        <v>60</v>
      </c>
      <c r="K30" s="34" t="s">
        <v>1405</v>
      </c>
      <c r="L30" s="28" t="s">
        <v>2595</v>
      </c>
      <c r="M30" s="35">
        <v>82.8</v>
      </c>
      <c r="N30" s="28" t="s">
        <v>1573</v>
      </c>
      <c r="O30" s="28" t="s">
        <v>1385</v>
      </c>
      <c r="P30" s="81">
        <v>72716</v>
      </c>
      <c r="Q30" s="28" t="s">
        <v>1387</v>
      </c>
      <c r="R30" s="28">
        <v>0</v>
      </c>
    </row>
    <row r="31" spans="3:18" ht="60.75" thickBot="1" x14ac:dyDescent="0.3">
      <c r="C31" s="27" t="s">
        <v>1509</v>
      </c>
      <c r="D31" s="28">
        <v>24</v>
      </c>
      <c r="E31" s="28" t="s">
        <v>1898</v>
      </c>
      <c r="F31" s="28" t="s">
        <v>56</v>
      </c>
      <c r="G31" s="28" t="s">
        <v>1402</v>
      </c>
      <c r="H31" s="28">
        <v>0</v>
      </c>
      <c r="I31" s="28">
        <v>0</v>
      </c>
      <c r="J31" s="28" t="s">
        <v>60</v>
      </c>
      <c r="K31" s="34" t="s">
        <v>1405</v>
      </c>
      <c r="L31" s="28" t="s">
        <v>2597</v>
      </c>
      <c r="M31" s="35">
        <v>31296076.2900002</v>
      </c>
      <c r="N31" s="28" t="s">
        <v>1573</v>
      </c>
      <c r="O31" s="28" t="s">
        <v>1385</v>
      </c>
      <c r="P31" s="81">
        <v>72716</v>
      </c>
      <c r="Q31" s="28" t="s">
        <v>1387</v>
      </c>
      <c r="R31" s="28">
        <v>0</v>
      </c>
    </row>
    <row r="32" spans="3:18" ht="36.75" thickBot="1" x14ac:dyDescent="0.3">
      <c r="C32" s="27" t="s">
        <v>1509</v>
      </c>
      <c r="D32" s="28">
        <v>25</v>
      </c>
      <c r="E32" s="28" t="s">
        <v>1898</v>
      </c>
      <c r="F32" s="28" t="s">
        <v>56</v>
      </c>
      <c r="G32" s="28" t="s">
        <v>1402</v>
      </c>
      <c r="H32" s="28">
        <v>0</v>
      </c>
      <c r="I32" s="28">
        <v>0</v>
      </c>
      <c r="J32" s="28" t="s">
        <v>60</v>
      </c>
      <c r="K32" s="34" t="s">
        <v>1405</v>
      </c>
      <c r="L32" s="28" t="s">
        <v>2595</v>
      </c>
      <c r="M32" s="35">
        <v>24579194.470004</v>
      </c>
      <c r="N32" s="28" t="s">
        <v>1573</v>
      </c>
      <c r="O32" s="28" t="s">
        <v>1385</v>
      </c>
      <c r="P32" s="81">
        <v>72716</v>
      </c>
      <c r="Q32" s="28" t="s">
        <v>1387</v>
      </c>
      <c r="R32" s="28">
        <v>0</v>
      </c>
    </row>
    <row r="33" spans="3:18" ht="60.75" thickBot="1" x14ac:dyDescent="0.3">
      <c r="C33" s="27" t="s">
        <v>1509</v>
      </c>
      <c r="D33" s="28">
        <v>26</v>
      </c>
      <c r="E33" s="28" t="s">
        <v>1898</v>
      </c>
      <c r="F33" s="28" t="s">
        <v>80</v>
      </c>
      <c r="G33" s="28" t="s">
        <v>1402</v>
      </c>
      <c r="H33" s="28">
        <v>0</v>
      </c>
      <c r="I33" s="28">
        <v>0</v>
      </c>
      <c r="J33" s="28" t="s">
        <v>60</v>
      </c>
      <c r="K33" s="34" t="s">
        <v>1405</v>
      </c>
      <c r="L33" s="28" t="s">
        <v>2597</v>
      </c>
      <c r="M33" s="35">
        <v>17825904.089999899</v>
      </c>
      <c r="N33" s="28" t="s">
        <v>1573</v>
      </c>
      <c r="O33" s="28" t="s">
        <v>1385</v>
      </c>
      <c r="P33" s="81">
        <v>72716</v>
      </c>
      <c r="Q33" s="28" t="s">
        <v>1387</v>
      </c>
      <c r="R33" s="28">
        <v>0</v>
      </c>
    </row>
    <row r="34" spans="3:18" ht="36.75" thickBot="1" x14ac:dyDescent="0.3">
      <c r="C34" s="27" t="s">
        <v>1509</v>
      </c>
      <c r="D34" s="28">
        <v>27</v>
      </c>
      <c r="E34" s="28" t="s">
        <v>1898</v>
      </c>
      <c r="F34" s="28" t="s">
        <v>80</v>
      </c>
      <c r="G34" s="28" t="s">
        <v>1402</v>
      </c>
      <c r="H34" s="28">
        <v>0</v>
      </c>
      <c r="I34" s="28">
        <v>0</v>
      </c>
      <c r="J34" s="28" t="s">
        <v>60</v>
      </c>
      <c r="K34" s="34" t="s">
        <v>1405</v>
      </c>
      <c r="L34" s="28" t="s">
        <v>2595</v>
      </c>
      <c r="M34" s="35">
        <v>21400987.180002902</v>
      </c>
      <c r="N34" s="28" t="s">
        <v>1573</v>
      </c>
      <c r="O34" s="28" t="s">
        <v>1385</v>
      </c>
      <c r="P34" s="81">
        <v>72716</v>
      </c>
      <c r="Q34" s="28" t="s">
        <v>1387</v>
      </c>
      <c r="R34" s="28">
        <v>0</v>
      </c>
    </row>
    <row r="35" spans="3:18" ht="60.75" thickBot="1" x14ac:dyDescent="0.3">
      <c r="C35" s="27" t="s">
        <v>1509</v>
      </c>
      <c r="D35" s="28">
        <v>28</v>
      </c>
      <c r="E35" s="28" t="s">
        <v>1898</v>
      </c>
      <c r="F35" s="28" t="s">
        <v>83</v>
      </c>
      <c r="G35" s="28" t="s">
        <v>1402</v>
      </c>
      <c r="H35" s="28">
        <v>0</v>
      </c>
      <c r="I35" s="28">
        <v>0</v>
      </c>
      <c r="J35" s="28" t="s">
        <v>60</v>
      </c>
      <c r="K35" s="34" t="s">
        <v>1405</v>
      </c>
      <c r="L35" s="28" t="s">
        <v>2597</v>
      </c>
      <c r="M35" s="35">
        <v>323358.40999999997</v>
      </c>
      <c r="N35" s="28" t="s">
        <v>1573</v>
      </c>
      <c r="O35" s="28" t="s">
        <v>1385</v>
      </c>
      <c r="P35" s="81">
        <v>72716</v>
      </c>
      <c r="Q35" s="28" t="s">
        <v>1387</v>
      </c>
      <c r="R35" s="28">
        <v>0</v>
      </c>
    </row>
    <row r="36" spans="3:18" ht="36.75" thickBot="1" x14ac:dyDescent="0.3">
      <c r="C36" s="27" t="s">
        <v>1509</v>
      </c>
      <c r="D36" s="28">
        <v>29</v>
      </c>
      <c r="E36" s="28" t="s">
        <v>1898</v>
      </c>
      <c r="F36" s="28" t="s">
        <v>83</v>
      </c>
      <c r="G36" s="28" t="s">
        <v>1402</v>
      </c>
      <c r="H36" s="28">
        <v>0</v>
      </c>
      <c r="I36" s="28">
        <v>0</v>
      </c>
      <c r="J36" s="28" t="s">
        <v>60</v>
      </c>
      <c r="K36" s="34" t="s">
        <v>1405</v>
      </c>
      <c r="L36" s="28" t="s">
        <v>2595</v>
      </c>
      <c r="M36" s="35">
        <v>1355432.28</v>
      </c>
      <c r="N36" s="28" t="s">
        <v>1573</v>
      </c>
      <c r="O36" s="28" t="s">
        <v>1385</v>
      </c>
      <c r="P36" s="81">
        <v>72716</v>
      </c>
      <c r="Q36" s="28" t="s">
        <v>1387</v>
      </c>
      <c r="R36" s="28">
        <v>0</v>
      </c>
    </row>
    <row r="37" spans="3:18" ht="60.75" thickBot="1" x14ac:dyDescent="0.3">
      <c r="C37" s="27" t="s">
        <v>1509</v>
      </c>
      <c r="D37" s="28">
        <v>30</v>
      </c>
      <c r="E37" s="28" t="s">
        <v>1898</v>
      </c>
      <c r="F37" s="28" t="s">
        <v>83</v>
      </c>
      <c r="G37" s="28" t="s">
        <v>1402</v>
      </c>
      <c r="H37" s="28">
        <v>0</v>
      </c>
      <c r="I37" s="28">
        <v>0</v>
      </c>
      <c r="J37" s="28" t="s">
        <v>60</v>
      </c>
      <c r="K37" s="34" t="s">
        <v>1405</v>
      </c>
      <c r="L37" s="28" t="s">
        <v>2597</v>
      </c>
      <c r="M37" s="35">
        <v>3947070.86</v>
      </c>
      <c r="N37" s="28" t="s">
        <v>1573</v>
      </c>
      <c r="O37" s="28" t="s">
        <v>1385</v>
      </c>
      <c r="P37" s="81">
        <v>72716</v>
      </c>
      <c r="Q37" s="28" t="s">
        <v>1387</v>
      </c>
      <c r="R37" s="28">
        <v>0</v>
      </c>
    </row>
    <row r="38" spans="3:18" ht="36.75" thickBot="1" x14ac:dyDescent="0.3">
      <c r="C38" s="27" t="s">
        <v>1509</v>
      </c>
      <c r="D38" s="28">
        <v>31</v>
      </c>
      <c r="E38" s="28" t="s">
        <v>1898</v>
      </c>
      <c r="F38" s="28" t="s">
        <v>83</v>
      </c>
      <c r="G38" s="28" t="s">
        <v>1402</v>
      </c>
      <c r="H38" s="28">
        <v>0</v>
      </c>
      <c r="I38" s="28">
        <v>0</v>
      </c>
      <c r="J38" s="28" t="s">
        <v>60</v>
      </c>
      <c r="K38" s="34" t="s">
        <v>1405</v>
      </c>
      <c r="L38" s="28" t="s">
        <v>2595</v>
      </c>
      <c r="M38" s="35">
        <v>16524.87</v>
      </c>
      <c r="N38" s="28" t="s">
        <v>1573</v>
      </c>
      <c r="O38" s="28" t="s">
        <v>1385</v>
      </c>
      <c r="P38" s="81">
        <v>72716</v>
      </c>
      <c r="Q38" s="28" t="s">
        <v>1387</v>
      </c>
      <c r="R38" s="28">
        <v>0</v>
      </c>
    </row>
    <row r="39" spans="3:18" ht="60.75" thickBot="1" x14ac:dyDescent="0.3">
      <c r="C39" s="27" t="s">
        <v>1509</v>
      </c>
      <c r="D39" s="28">
        <v>32</v>
      </c>
      <c r="E39" s="28" t="s">
        <v>1898</v>
      </c>
      <c r="F39" s="28" t="s">
        <v>83</v>
      </c>
      <c r="G39" s="28" t="s">
        <v>1402</v>
      </c>
      <c r="H39" s="28">
        <v>0</v>
      </c>
      <c r="I39" s="28">
        <v>0</v>
      </c>
      <c r="J39" s="28" t="s">
        <v>60</v>
      </c>
      <c r="K39" s="34" t="s">
        <v>1405</v>
      </c>
      <c r="L39" s="28" t="s">
        <v>2597</v>
      </c>
      <c r="M39" s="35">
        <v>908457.81</v>
      </c>
      <c r="N39" s="28" t="s">
        <v>1573</v>
      </c>
      <c r="O39" s="28" t="s">
        <v>1385</v>
      </c>
      <c r="P39" s="81">
        <v>72716</v>
      </c>
      <c r="Q39" s="28" t="s">
        <v>1387</v>
      </c>
      <c r="R39" s="28">
        <v>0</v>
      </c>
    </row>
    <row r="40" spans="3:18" ht="36.75" thickBot="1" x14ac:dyDescent="0.3">
      <c r="C40" s="27" t="s">
        <v>1509</v>
      </c>
      <c r="D40" s="28">
        <v>33</v>
      </c>
      <c r="E40" s="28" t="s">
        <v>1898</v>
      </c>
      <c r="F40" s="28" t="s">
        <v>83</v>
      </c>
      <c r="G40" s="28" t="s">
        <v>1402</v>
      </c>
      <c r="H40" s="28">
        <v>0</v>
      </c>
      <c r="I40" s="28">
        <v>0</v>
      </c>
      <c r="J40" s="28" t="s">
        <v>60</v>
      </c>
      <c r="K40" s="34" t="s">
        <v>1405</v>
      </c>
      <c r="L40" s="28" t="s">
        <v>2595</v>
      </c>
      <c r="M40" s="35">
        <v>21406.21</v>
      </c>
      <c r="N40" s="28" t="s">
        <v>1573</v>
      </c>
      <c r="O40" s="28" t="s">
        <v>1385</v>
      </c>
      <c r="P40" s="81">
        <v>72716</v>
      </c>
      <c r="Q40" s="28" t="s">
        <v>1387</v>
      </c>
      <c r="R40" s="28">
        <v>0</v>
      </c>
    </row>
    <row r="41" spans="3:18" ht="60.75" thickBot="1" x14ac:dyDescent="0.3">
      <c r="C41" s="27" t="s">
        <v>1509</v>
      </c>
      <c r="D41" s="28">
        <v>34</v>
      </c>
      <c r="E41" s="28" t="s">
        <v>1898</v>
      </c>
      <c r="F41" s="28" t="s">
        <v>1560</v>
      </c>
      <c r="G41" s="28" t="s">
        <v>1402</v>
      </c>
      <c r="H41" s="28">
        <v>0</v>
      </c>
      <c r="I41" s="28">
        <v>0</v>
      </c>
      <c r="J41" s="28" t="s">
        <v>60</v>
      </c>
      <c r="K41" s="34" t="s">
        <v>1405</v>
      </c>
      <c r="L41" s="28" t="s">
        <v>2597</v>
      </c>
      <c r="M41" s="35">
        <v>57961834.409999996</v>
      </c>
      <c r="N41" s="28" t="s">
        <v>1573</v>
      </c>
      <c r="O41" s="28" t="s">
        <v>1385</v>
      </c>
      <c r="P41" s="81">
        <v>72716</v>
      </c>
      <c r="Q41" s="28" t="s">
        <v>1387</v>
      </c>
      <c r="R41" s="28">
        <v>0</v>
      </c>
    </row>
    <row r="42" spans="3:18" ht="60.75" thickBot="1" x14ac:dyDescent="0.3">
      <c r="C42" s="27" t="s">
        <v>1509</v>
      </c>
      <c r="D42" s="28">
        <v>35</v>
      </c>
      <c r="E42" s="28" t="s">
        <v>1898</v>
      </c>
      <c r="F42" s="28" t="s">
        <v>1560</v>
      </c>
      <c r="G42" s="28" t="s">
        <v>1402</v>
      </c>
      <c r="H42" s="28">
        <v>0</v>
      </c>
      <c r="I42" s="28">
        <v>0</v>
      </c>
      <c r="J42" s="28" t="s">
        <v>60</v>
      </c>
      <c r="K42" s="34" t="s">
        <v>1405</v>
      </c>
      <c r="L42" s="28" t="s">
        <v>2597</v>
      </c>
      <c r="M42" s="35">
        <v>257693.81</v>
      </c>
      <c r="N42" s="28" t="s">
        <v>1573</v>
      </c>
      <c r="O42" s="28" t="s">
        <v>1385</v>
      </c>
      <c r="P42" s="81">
        <v>72716</v>
      </c>
      <c r="Q42" s="28" t="s">
        <v>1387</v>
      </c>
      <c r="R42" s="28">
        <v>0</v>
      </c>
    </row>
    <row r="43" spans="3:18" ht="36.75" thickBot="1" x14ac:dyDescent="0.3">
      <c r="C43" s="27" t="s">
        <v>1509</v>
      </c>
      <c r="D43" s="28">
        <v>36</v>
      </c>
      <c r="E43" s="28" t="s">
        <v>1898</v>
      </c>
      <c r="F43" s="28" t="s">
        <v>1560</v>
      </c>
      <c r="G43" s="28" t="s">
        <v>1402</v>
      </c>
      <c r="H43" s="28">
        <v>0</v>
      </c>
      <c r="I43" s="28">
        <v>0</v>
      </c>
      <c r="J43" s="28" t="s">
        <v>60</v>
      </c>
      <c r="K43" s="34" t="s">
        <v>1405</v>
      </c>
      <c r="L43" s="28" t="s">
        <v>2595</v>
      </c>
      <c r="M43" s="35">
        <v>5490508.1001924304</v>
      </c>
      <c r="N43" s="28" t="s">
        <v>1573</v>
      </c>
      <c r="O43" s="28" t="s">
        <v>1385</v>
      </c>
      <c r="P43" s="81">
        <v>72716</v>
      </c>
      <c r="Q43" s="28" t="s">
        <v>1387</v>
      </c>
      <c r="R43" s="28">
        <v>0</v>
      </c>
    </row>
    <row r="44" spans="3:18" ht="60.75" thickBot="1" x14ac:dyDescent="0.3">
      <c r="C44" s="27" t="s">
        <v>1509</v>
      </c>
      <c r="D44" s="28">
        <v>37</v>
      </c>
      <c r="E44" s="28" t="s">
        <v>1898</v>
      </c>
      <c r="F44" s="28" t="s">
        <v>1560</v>
      </c>
      <c r="G44" s="28" t="s">
        <v>1402</v>
      </c>
      <c r="H44" s="28">
        <v>0</v>
      </c>
      <c r="I44" s="28">
        <v>0</v>
      </c>
      <c r="J44" s="28" t="s">
        <v>60</v>
      </c>
      <c r="K44" s="34" t="s">
        <v>1405</v>
      </c>
      <c r="L44" s="28" t="s">
        <v>2597</v>
      </c>
      <c r="M44" s="35">
        <v>294606.26</v>
      </c>
      <c r="N44" s="28" t="s">
        <v>1573</v>
      </c>
      <c r="O44" s="28" t="s">
        <v>1385</v>
      </c>
      <c r="P44" s="81">
        <v>72716</v>
      </c>
      <c r="Q44" s="28" t="s">
        <v>1387</v>
      </c>
      <c r="R44" s="28">
        <v>0</v>
      </c>
    </row>
    <row r="45" spans="3:18" ht="36.75" thickBot="1" x14ac:dyDescent="0.3">
      <c r="C45" s="27" t="s">
        <v>1509</v>
      </c>
      <c r="D45" s="28">
        <v>38</v>
      </c>
      <c r="E45" s="28" t="s">
        <v>1898</v>
      </c>
      <c r="F45" s="28" t="s">
        <v>1560</v>
      </c>
      <c r="G45" s="28" t="s">
        <v>1402</v>
      </c>
      <c r="H45" s="28">
        <v>0</v>
      </c>
      <c r="I45" s="28">
        <v>0</v>
      </c>
      <c r="J45" s="28" t="s">
        <v>60</v>
      </c>
      <c r="K45" s="34" t="s">
        <v>1405</v>
      </c>
      <c r="L45" s="28" t="s">
        <v>2595</v>
      </c>
      <c r="M45" s="35">
        <v>492270.46000100003</v>
      </c>
      <c r="N45" s="28" t="s">
        <v>1573</v>
      </c>
      <c r="O45" s="28" t="s">
        <v>1385</v>
      </c>
      <c r="P45" s="81">
        <v>72716</v>
      </c>
      <c r="Q45" s="28" t="s">
        <v>1387</v>
      </c>
      <c r="R45" s="28">
        <v>0</v>
      </c>
    </row>
    <row r="46" spans="3:18" ht="60.75" thickBot="1" x14ac:dyDescent="0.3">
      <c r="C46" s="27" t="s">
        <v>1509</v>
      </c>
      <c r="D46" s="28">
        <v>39</v>
      </c>
      <c r="E46" s="28" t="s">
        <v>1898</v>
      </c>
      <c r="F46" s="28" t="s">
        <v>1576</v>
      </c>
      <c r="G46" s="28" t="s">
        <v>1402</v>
      </c>
      <c r="H46" s="28">
        <v>0</v>
      </c>
      <c r="I46" s="28">
        <v>0</v>
      </c>
      <c r="J46" s="28" t="s">
        <v>60</v>
      </c>
      <c r="K46" s="34" t="s">
        <v>1405</v>
      </c>
      <c r="L46" s="28" t="s">
        <v>2597</v>
      </c>
      <c r="M46" s="35">
        <v>684126.09</v>
      </c>
      <c r="N46" s="28" t="s">
        <v>1573</v>
      </c>
      <c r="O46" s="28" t="s">
        <v>1385</v>
      </c>
      <c r="P46" s="81">
        <v>72716</v>
      </c>
      <c r="Q46" s="28" t="s">
        <v>1387</v>
      </c>
      <c r="R46" s="28">
        <v>0</v>
      </c>
    </row>
    <row r="47" spans="3:18" ht="60.75" thickBot="1" x14ac:dyDescent="0.3">
      <c r="C47" s="27" t="s">
        <v>1509</v>
      </c>
      <c r="D47" s="28">
        <v>40</v>
      </c>
      <c r="E47" s="28" t="s">
        <v>1898</v>
      </c>
      <c r="F47" s="28" t="s">
        <v>1576</v>
      </c>
      <c r="G47" s="28" t="s">
        <v>1402</v>
      </c>
      <c r="H47" s="28">
        <v>0</v>
      </c>
      <c r="I47" s="28">
        <v>0</v>
      </c>
      <c r="J47" s="28" t="s">
        <v>60</v>
      </c>
      <c r="K47" s="34" t="s">
        <v>1405</v>
      </c>
      <c r="L47" s="28" t="s">
        <v>2597</v>
      </c>
      <c r="M47" s="35">
        <v>20224503.659999799</v>
      </c>
      <c r="N47" s="28" t="s">
        <v>1573</v>
      </c>
      <c r="O47" s="28" t="s">
        <v>1385</v>
      </c>
      <c r="P47" s="81">
        <v>72716</v>
      </c>
      <c r="Q47" s="28" t="s">
        <v>1387</v>
      </c>
      <c r="R47" s="28">
        <v>0</v>
      </c>
    </row>
    <row r="48" spans="3:18" ht="36.75" thickBot="1" x14ac:dyDescent="0.3">
      <c r="C48" s="27" t="s">
        <v>1509</v>
      </c>
      <c r="D48" s="28">
        <v>41</v>
      </c>
      <c r="E48" s="28" t="s">
        <v>1898</v>
      </c>
      <c r="F48" s="28" t="s">
        <v>1576</v>
      </c>
      <c r="G48" s="28" t="s">
        <v>1402</v>
      </c>
      <c r="H48" s="28">
        <v>0</v>
      </c>
      <c r="I48" s="28">
        <v>0</v>
      </c>
      <c r="J48" s="28" t="s">
        <v>60</v>
      </c>
      <c r="K48" s="34" t="s">
        <v>1405</v>
      </c>
      <c r="L48" s="28" t="s">
        <v>2595</v>
      </c>
      <c r="M48" s="35">
        <v>2165.44</v>
      </c>
      <c r="N48" s="28" t="s">
        <v>1573</v>
      </c>
      <c r="O48" s="28" t="s">
        <v>1385</v>
      </c>
      <c r="P48" s="81">
        <v>72716</v>
      </c>
      <c r="Q48" s="28" t="s">
        <v>1387</v>
      </c>
      <c r="R48" s="28">
        <v>0</v>
      </c>
    </row>
    <row r="49" spans="3:18" ht="60.75" thickBot="1" x14ac:dyDescent="0.3">
      <c r="C49" s="27" t="s">
        <v>1509</v>
      </c>
      <c r="D49" s="28">
        <v>42</v>
      </c>
      <c r="E49" s="28" t="s">
        <v>1898</v>
      </c>
      <c r="F49" s="28" t="s">
        <v>1576</v>
      </c>
      <c r="G49" s="28" t="s">
        <v>1402</v>
      </c>
      <c r="H49" s="28">
        <v>0</v>
      </c>
      <c r="I49" s="28">
        <v>0</v>
      </c>
      <c r="J49" s="28" t="s">
        <v>60</v>
      </c>
      <c r="K49" s="34" t="s">
        <v>1405</v>
      </c>
      <c r="L49" s="28" t="s">
        <v>2597</v>
      </c>
      <c r="M49" s="35">
        <v>307350.81</v>
      </c>
      <c r="N49" s="28" t="s">
        <v>1573</v>
      </c>
      <c r="O49" s="28" t="s">
        <v>1385</v>
      </c>
      <c r="P49" s="81">
        <v>72716</v>
      </c>
      <c r="Q49" s="28" t="s">
        <v>1387</v>
      </c>
      <c r="R49" s="28">
        <v>0</v>
      </c>
    </row>
    <row r="50" spans="3:18" ht="36.75" thickBot="1" x14ac:dyDescent="0.3">
      <c r="C50" s="27" t="s">
        <v>1509</v>
      </c>
      <c r="D50" s="28">
        <v>43</v>
      </c>
      <c r="E50" s="28" t="s">
        <v>1898</v>
      </c>
      <c r="F50" s="28" t="s">
        <v>1576</v>
      </c>
      <c r="G50" s="28" t="s">
        <v>1402</v>
      </c>
      <c r="H50" s="28">
        <v>0</v>
      </c>
      <c r="I50" s="28">
        <v>0</v>
      </c>
      <c r="J50" s="28" t="s">
        <v>60</v>
      </c>
      <c r="K50" s="34" t="s">
        <v>1405</v>
      </c>
      <c r="L50" s="28" t="s">
        <v>2595</v>
      </c>
      <c r="M50" s="35">
        <v>636.03</v>
      </c>
      <c r="N50" s="28" t="s">
        <v>1573</v>
      </c>
      <c r="O50" s="28" t="s">
        <v>1385</v>
      </c>
      <c r="P50" s="81">
        <v>72716</v>
      </c>
      <c r="Q50" s="28" t="s">
        <v>1387</v>
      </c>
      <c r="R50" s="28">
        <v>0</v>
      </c>
    </row>
    <row r="51" spans="3:18" ht="60.75" thickBot="1" x14ac:dyDescent="0.3">
      <c r="C51" s="27" t="s">
        <v>1509</v>
      </c>
      <c r="D51" s="28">
        <v>44</v>
      </c>
      <c r="E51" s="28" t="s">
        <v>1898</v>
      </c>
      <c r="F51" s="28" t="s">
        <v>2596</v>
      </c>
      <c r="G51" s="28" t="s">
        <v>1402</v>
      </c>
      <c r="H51" s="28">
        <v>0</v>
      </c>
      <c r="I51" s="28">
        <v>0</v>
      </c>
      <c r="J51" s="28" t="s">
        <v>60</v>
      </c>
      <c r="K51" s="34" t="s">
        <v>1405</v>
      </c>
      <c r="L51" s="28" t="s">
        <v>2597</v>
      </c>
      <c r="M51" s="35">
        <v>2337.1019270000002</v>
      </c>
      <c r="N51" s="28" t="s">
        <v>1570</v>
      </c>
      <c r="O51" s="28" t="s">
        <v>1385</v>
      </c>
      <c r="P51" s="81">
        <v>72716</v>
      </c>
      <c r="Q51" s="28" t="s">
        <v>1387</v>
      </c>
      <c r="R51" s="28">
        <v>0</v>
      </c>
    </row>
    <row r="52" spans="3:18" ht="60.75" thickBot="1" x14ac:dyDescent="0.3">
      <c r="C52" s="27" t="s">
        <v>1509</v>
      </c>
      <c r="D52" s="28">
        <v>45</v>
      </c>
      <c r="E52" s="28" t="s">
        <v>1898</v>
      </c>
      <c r="F52" s="28" t="s">
        <v>83</v>
      </c>
      <c r="G52" s="28" t="s">
        <v>1402</v>
      </c>
      <c r="H52" s="28">
        <v>0</v>
      </c>
      <c r="I52" s="28">
        <v>0</v>
      </c>
      <c r="J52" s="28" t="s">
        <v>60</v>
      </c>
      <c r="K52" s="34" t="s">
        <v>1405</v>
      </c>
      <c r="L52" s="28" t="s">
        <v>2597</v>
      </c>
      <c r="M52" s="35">
        <v>46462.104346</v>
      </c>
      <c r="N52" s="28" t="s">
        <v>1570</v>
      </c>
      <c r="O52" s="28" t="s">
        <v>1385</v>
      </c>
      <c r="P52" s="81">
        <v>72716</v>
      </c>
      <c r="Q52" s="28" t="s">
        <v>1387</v>
      </c>
      <c r="R52" s="28">
        <v>0</v>
      </c>
    </row>
    <row r="53" spans="3:18" ht="60.75" thickBot="1" x14ac:dyDescent="0.3">
      <c r="C53" s="27" t="s">
        <v>1509</v>
      </c>
      <c r="D53" s="28">
        <v>46</v>
      </c>
      <c r="E53" s="28" t="s">
        <v>1898</v>
      </c>
      <c r="F53" s="28" t="s">
        <v>83</v>
      </c>
      <c r="G53" s="28" t="s">
        <v>1402</v>
      </c>
      <c r="H53" s="28">
        <v>0</v>
      </c>
      <c r="I53" s="28">
        <v>0</v>
      </c>
      <c r="J53" s="28" t="s">
        <v>60</v>
      </c>
      <c r="K53" s="34" t="s">
        <v>1405</v>
      </c>
      <c r="L53" s="28" t="s">
        <v>2597</v>
      </c>
      <c r="M53" s="35">
        <v>2482742.751956</v>
      </c>
      <c r="N53" s="28" t="s">
        <v>1565</v>
      </c>
      <c r="O53" s="28" t="s">
        <v>1385</v>
      </c>
      <c r="P53" s="81">
        <v>72716</v>
      </c>
      <c r="Q53" s="28" t="s">
        <v>1387</v>
      </c>
      <c r="R53" s="28">
        <v>0</v>
      </c>
    </row>
    <row r="54" spans="3:18" ht="60.75" thickBot="1" x14ac:dyDescent="0.3">
      <c r="C54" s="27" t="s">
        <v>1509</v>
      </c>
      <c r="D54" s="28">
        <v>47</v>
      </c>
      <c r="E54" s="28" t="s">
        <v>1898</v>
      </c>
      <c r="F54" s="28" t="s">
        <v>83</v>
      </c>
      <c r="G54" s="28" t="s">
        <v>1402</v>
      </c>
      <c r="H54" s="28">
        <v>0</v>
      </c>
      <c r="I54" s="28">
        <v>0</v>
      </c>
      <c r="J54" s="28" t="s">
        <v>60</v>
      </c>
      <c r="K54" s="34" t="s">
        <v>1405</v>
      </c>
      <c r="L54" s="28" t="s">
        <v>2597</v>
      </c>
      <c r="M54" s="35">
        <v>56450.375825000003</v>
      </c>
      <c r="N54" s="28" t="s">
        <v>1565</v>
      </c>
      <c r="O54" s="28" t="s">
        <v>1385</v>
      </c>
      <c r="P54" s="81">
        <v>72716</v>
      </c>
      <c r="Q54" s="28" t="s">
        <v>1387</v>
      </c>
      <c r="R54" s="28">
        <v>0</v>
      </c>
    </row>
    <row r="55" spans="3:18" ht="60.75" thickBot="1" x14ac:dyDescent="0.3">
      <c r="C55" s="27" t="s">
        <v>1509</v>
      </c>
      <c r="D55" s="28">
        <v>48</v>
      </c>
      <c r="E55" s="28" t="s">
        <v>1898</v>
      </c>
      <c r="F55" s="28" t="s">
        <v>2596</v>
      </c>
      <c r="G55" s="28" t="s">
        <v>1402</v>
      </c>
      <c r="H55" s="28">
        <v>0</v>
      </c>
      <c r="I55" s="28">
        <v>0</v>
      </c>
      <c r="J55" s="28" t="s">
        <v>60</v>
      </c>
      <c r="K55" s="34" t="s">
        <v>1405</v>
      </c>
      <c r="L55" s="28" t="s">
        <v>2597</v>
      </c>
      <c r="M55" s="35">
        <v>2408.887514</v>
      </c>
      <c r="N55" s="28" t="s">
        <v>1571</v>
      </c>
      <c r="O55" s="28" t="s">
        <v>1385</v>
      </c>
      <c r="P55" s="81">
        <v>72716</v>
      </c>
      <c r="Q55" s="28" t="s">
        <v>1387</v>
      </c>
      <c r="R55" s="28">
        <v>0</v>
      </c>
    </row>
    <row r="56" spans="3:18" ht="60.75" thickBot="1" x14ac:dyDescent="0.3">
      <c r="C56" s="27" t="s">
        <v>1509</v>
      </c>
      <c r="D56" s="28">
        <v>49</v>
      </c>
      <c r="E56" s="28" t="s">
        <v>1898</v>
      </c>
      <c r="F56" s="28" t="s">
        <v>2596</v>
      </c>
      <c r="G56" s="28" t="s">
        <v>1402</v>
      </c>
      <c r="H56" s="28">
        <v>0</v>
      </c>
      <c r="I56" s="28">
        <v>0</v>
      </c>
      <c r="J56" s="28" t="s">
        <v>60</v>
      </c>
      <c r="K56" s="34" t="s">
        <v>1405</v>
      </c>
      <c r="L56" s="28" t="s">
        <v>2597</v>
      </c>
      <c r="M56" s="35">
        <v>1282.274956</v>
      </c>
      <c r="N56" s="28" t="s">
        <v>1571</v>
      </c>
      <c r="O56" s="28" t="s">
        <v>1385</v>
      </c>
      <c r="P56" s="81">
        <v>72716</v>
      </c>
      <c r="Q56" s="28" t="s">
        <v>1387</v>
      </c>
      <c r="R56" s="28">
        <v>0</v>
      </c>
    </row>
    <row r="57" spans="3:18" ht="60.75" thickBot="1" x14ac:dyDescent="0.3">
      <c r="C57" s="27" t="s">
        <v>1509</v>
      </c>
      <c r="D57" s="28">
        <v>50</v>
      </c>
      <c r="E57" s="28" t="s">
        <v>1898</v>
      </c>
      <c r="F57" s="28" t="s">
        <v>83</v>
      </c>
      <c r="G57" s="28" t="s">
        <v>1402</v>
      </c>
      <c r="H57" s="28">
        <v>0</v>
      </c>
      <c r="I57" s="28">
        <v>0</v>
      </c>
      <c r="J57" s="28" t="s">
        <v>60</v>
      </c>
      <c r="K57" s="34" t="s">
        <v>1405</v>
      </c>
      <c r="L57" s="28" t="s">
        <v>2597</v>
      </c>
      <c r="M57" s="35">
        <v>97396.106060000006</v>
      </c>
      <c r="N57" s="28" t="s">
        <v>1571</v>
      </c>
      <c r="O57" s="28" t="s">
        <v>1385</v>
      </c>
      <c r="P57" s="81">
        <v>72716</v>
      </c>
      <c r="Q57" s="28" t="s">
        <v>1387</v>
      </c>
      <c r="R57" s="28">
        <v>0</v>
      </c>
    </row>
    <row r="58" spans="3:18" ht="60.75" thickBot="1" x14ac:dyDescent="0.3">
      <c r="C58" s="27" t="s">
        <v>1509</v>
      </c>
      <c r="D58" s="28">
        <v>51</v>
      </c>
      <c r="E58" s="28" t="s">
        <v>1898</v>
      </c>
      <c r="F58" s="28" t="s">
        <v>83</v>
      </c>
      <c r="G58" s="28" t="s">
        <v>1402</v>
      </c>
      <c r="H58" s="28">
        <v>0</v>
      </c>
      <c r="I58" s="28">
        <v>0</v>
      </c>
      <c r="J58" s="28" t="s">
        <v>60</v>
      </c>
      <c r="K58" s="34" t="s">
        <v>1405</v>
      </c>
      <c r="L58" s="28" t="s">
        <v>2597</v>
      </c>
      <c r="M58" s="35">
        <v>113105.155424</v>
      </c>
      <c r="N58" s="28" t="s">
        <v>1571</v>
      </c>
      <c r="O58" s="28" t="s">
        <v>1385</v>
      </c>
      <c r="P58" s="81">
        <v>72716</v>
      </c>
      <c r="Q58" s="28" t="s">
        <v>1387</v>
      </c>
      <c r="R58" s="28">
        <v>0</v>
      </c>
    </row>
  </sheetData>
  <autoFilter ref="A7:S49" xr:uid="{00000000-0009-0000-0000-000002000000}"/>
  <mergeCells count="5">
    <mergeCell ref="A1:R1"/>
    <mergeCell ref="D4:R4"/>
    <mergeCell ref="E5:F5"/>
    <mergeCell ref="G5:R5"/>
    <mergeCell ref="S5:S6"/>
  </mergeCells>
  <conditionalFormatting sqref="D8:R58">
    <cfRule type="expression" dxfId="8" priority="1">
      <formula>LEN(TRIM(D8))=0</formula>
    </cfRule>
    <cfRule type="expression" dxfId="7" priority="2">
      <formula>LEN(TRIM(D8))=0</formula>
    </cfRule>
    <cfRule type="expression" dxfId="6" priority="3">
      <formula>LEN(TRIM(D8))=0</formula>
    </cfRule>
    <cfRule type="expression" dxfId="5" priority="4">
      <formula>LEN(TRIM(D8))=0</formula>
    </cfRule>
    <cfRule type="expression" dxfId="4" priority="5">
      <formula>LEN(TRIM(D8))=0</formula>
    </cfRule>
    <cfRule type="expression" dxfId="3" priority="6">
      <formula>LEN(TRIM(D8))=0</formula>
    </cfRule>
  </conditionalFormatting>
  <pageMargins left="0.7" right="0.7" top="0.75" bottom="0.75" header="0.3" footer="0.3"/>
  <pageSetup scale="33" orientation="landscape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EEFA-2A7F-4294-8541-E4B45B496956}">
  <sheetPr codeName="Sheet10">
    <outlinePr summaryBelow="0" summaryRight="0"/>
    <pageSetUpPr fitToPage="1"/>
  </sheetPr>
  <dimension ref="A1:M17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3" sqref="B3"/>
    </sheetView>
  </sheetViews>
  <sheetFormatPr defaultRowHeight="15" x14ac:dyDescent="0.25"/>
  <cols>
    <col min="1" max="1" width="5.5703125" style="20" customWidth="1"/>
    <col min="2" max="2" width="20.140625" style="20" bestFit="1" customWidth="1"/>
    <col min="3" max="3" width="3.85546875" style="20" bestFit="1" customWidth="1"/>
    <col min="4" max="11" width="20.5703125" style="20" customWidth="1"/>
    <col min="12" max="13" width="25.5703125" style="19" customWidth="1"/>
    <col min="14" max="16384" width="9.140625" style="20"/>
  </cols>
  <sheetData>
    <row r="1" spans="1:13" x14ac:dyDescent="0.25">
      <c r="A1" s="208" t="s">
        <v>1756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</row>
    <row r="4" spans="1:13" x14ac:dyDescent="0.25">
      <c r="D4" s="210" t="s">
        <v>1</v>
      </c>
      <c r="E4" s="211"/>
      <c r="F4" s="211"/>
      <c r="G4" s="211"/>
      <c r="H4" s="211"/>
      <c r="I4" s="211"/>
      <c r="J4" s="211"/>
      <c r="K4" s="212"/>
    </row>
    <row r="5" spans="1:13" x14ac:dyDescent="0.25">
      <c r="D5" s="213" t="s">
        <v>1406</v>
      </c>
      <c r="E5" s="214"/>
      <c r="F5" s="214"/>
      <c r="G5" s="214"/>
      <c r="H5" s="214"/>
      <c r="I5" s="214"/>
      <c r="J5" s="214"/>
      <c r="K5" s="215"/>
      <c r="L5" s="231"/>
      <c r="M5" s="232"/>
    </row>
    <row r="6" spans="1:13" ht="45" x14ac:dyDescent="0.25">
      <c r="D6" s="23" t="s">
        <v>1757</v>
      </c>
      <c r="E6" s="23" t="s">
        <v>1555</v>
      </c>
      <c r="F6" s="23" t="s">
        <v>11</v>
      </c>
      <c r="G6" s="23" t="s">
        <v>1758</v>
      </c>
      <c r="H6" s="23" t="s">
        <v>1759</v>
      </c>
      <c r="I6" s="23" t="s">
        <v>1760</v>
      </c>
      <c r="J6" s="23" t="s">
        <v>1761</v>
      </c>
      <c r="K6" s="23" t="s">
        <v>1762</v>
      </c>
      <c r="L6" s="231"/>
      <c r="M6" s="232"/>
    </row>
    <row r="7" spans="1:13" ht="15.75" thickBot="1" x14ac:dyDescent="0.3">
      <c r="D7" s="24" t="s">
        <v>29</v>
      </c>
      <c r="E7" s="24" t="s">
        <v>30</v>
      </c>
      <c r="F7" s="24" t="s">
        <v>1558</v>
      </c>
      <c r="G7" s="24" t="s">
        <v>32</v>
      </c>
      <c r="H7" s="24" t="s">
        <v>33</v>
      </c>
      <c r="I7" s="24" t="s">
        <v>35</v>
      </c>
      <c r="J7" s="24" t="s">
        <v>39</v>
      </c>
      <c r="K7" s="24" t="s">
        <v>40</v>
      </c>
    </row>
    <row r="8" spans="1:13" ht="30.75" thickBot="1" x14ac:dyDescent="0.3">
      <c r="A8" s="31" t="s">
        <v>54</v>
      </c>
      <c r="B8" s="32" t="s">
        <v>1763</v>
      </c>
      <c r="C8" s="33" t="s">
        <v>1509</v>
      </c>
      <c r="D8" s="28" t="s">
        <v>2605</v>
      </c>
      <c r="E8" s="28" t="s">
        <v>2606</v>
      </c>
      <c r="F8" s="28" t="s">
        <v>60</v>
      </c>
      <c r="G8" s="28" t="s">
        <v>2607</v>
      </c>
      <c r="H8" s="28" t="s">
        <v>1405</v>
      </c>
      <c r="I8" s="28" t="s">
        <v>2608</v>
      </c>
      <c r="J8" s="28" t="s">
        <v>2609</v>
      </c>
      <c r="K8" s="35">
        <v>1506904903.28</v>
      </c>
      <c r="L8" s="83"/>
      <c r="M8" s="84"/>
    </row>
    <row r="9" spans="1:13" ht="24.75" thickBot="1" x14ac:dyDescent="0.3">
      <c r="C9" s="33" t="s">
        <v>1509</v>
      </c>
      <c r="D9" s="28" t="s">
        <v>2610</v>
      </c>
      <c r="E9" s="28" t="s">
        <v>2611</v>
      </c>
      <c r="F9" s="28" t="s">
        <v>60</v>
      </c>
      <c r="G9" s="28" t="s">
        <v>2607</v>
      </c>
      <c r="H9" s="28" t="s">
        <v>1405</v>
      </c>
      <c r="I9" s="28" t="s">
        <v>2608</v>
      </c>
      <c r="J9" s="28" t="s">
        <v>2609</v>
      </c>
      <c r="K9" s="35">
        <v>770000000</v>
      </c>
    </row>
    <row r="10" spans="1:13" ht="24.75" thickBot="1" x14ac:dyDescent="0.3">
      <c r="C10" s="33" t="s">
        <v>1509</v>
      </c>
      <c r="D10" s="28" t="s">
        <v>2612</v>
      </c>
      <c r="E10" s="28" t="s">
        <v>2613</v>
      </c>
      <c r="F10" s="28" t="s">
        <v>60</v>
      </c>
      <c r="G10" s="28" t="s">
        <v>2607</v>
      </c>
      <c r="H10" s="28" t="s">
        <v>1405</v>
      </c>
      <c r="I10" s="28" t="s">
        <v>2608</v>
      </c>
      <c r="J10" s="28" t="s">
        <v>2609</v>
      </c>
      <c r="K10" s="35">
        <v>689851997.25</v>
      </c>
    </row>
    <row r="11" spans="1:13" ht="24.75" thickBot="1" x14ac:dyDescent="0.3">
      <c r="C11" s="33" t="s">
        <v>1509</v>
      </c>
      <c r="D11" s="28" t="s">
        <v>2614</v>
      </c>
      <c r="E11" s="28" t="s">
        <v>2615</v>
      </c>
      <c r="F11" s="28" t="s">
        <v>60</v>
      </c>
      <c r="G11" s="28" t="s">
        <v>2607</v>
      </c>
      <c r="H11" s="28" t="s">
        <v>1405</v>
      </c>
      <c r="I11" s="28" t="s">
        <v>2608</v>
      </c>
      <c r="J11" s="28" t="s">
        <v>2609</v>
      </c>
      <c r="K11" s="35">
        <v>518094308.82999998</v>
      </c>
    </row>
    <row r="12" spans="1:13" ht="24.75" thickBot="1" x14ac:dyDescent="0.3">
      <c r="C12" s="33" t="s">
        <v>1509</v>
      </c>
      <c r="D12" s="28" t="s">
        <v>2616</v>
      </c>
      <c r="E12" s="28" t="s">
        <v>2617</v>
      </c>
      <c r="F12" s="28" t="s">
        <v>60</v>
      </c>
      <c r="G12" s="28" t="s">
        <v>2607</v>
      </c>
      <c r="H12" s="28" t="s">
        <v>1405</v>
      </c>
      <c r="I12" s="28" t="s">
        <v>2608</v>
      </c>
      <c r="J12" s="28" t="s">
        <v>2609</v>
      </c>
      <c r="K12" s="35">
        <v>413000000</v>
      </c>
    </row>
    <row r="13" spans="1:13" ht="24.75" thickBot="1" x14ac:dyDescent="0.3">
      <c r="C13" s="33" t="s">
        <v>1509</v>
      </c>
      <c r="D13" s="28" t="s">
        <v>2618</v>
      </c>
      <c r="E13" s="28" t="s">
        <v>2619</v>
      </c>
      <c r="F13" s="28" t="s">
        <v>60</v>
      </c>
      <c r="G13" s="28" t="s">
        <v>2607</v>
      </c>
      <c r="H13" s="28" t="s">
        <v>1405</v>
      </c>
      <c r="I13" s="28" t="s">
        <v>2608</v>
      </c>
      <c r="J13" s="28" t="s">
        <v>2609</v>
      </c>
      <c r="K13" s="35">
        <v>376140433.5</v>
      </c>
    </row>
    <row r="14" spans="1:13" ht="24.75" thickBot="1" x14ac:dyDescent="0.3">
      <c r="C14" s="33" t="s">
        <v>1509</v>
      </c>
      <c r="D14" s="28" t="s">
        <v>2620</v>
      </c>
      <c r="E14" s="28" t="s">
        <v>2621</v>
      </c>
      <c r="F14" s="28" t="s">
        <v>60</v>
      </c>
      <c r="G14" s="28" t="s">
        <v>2607</v>
      </c>
      <c r="H14" s="28" t="s">
        <v>1405</v>
      </c>
      <c r="I14" s="28" t="s">
        <v>2608</v>
      </c>
      <c r="J14" s="28" t="s">
        <v>2609</v>
      </c>
      <c r="K14" s="35">
        <v>361350003.95999998</v>
      </c>
    </row>
    <row r="15" spans="1:13" ht="24.75" thickBot="1" x14ac:dyDescent="0.3">
      <c r="C15" s="33" t="s">
        <v>1509</v>
      </c>
      <c r="D15" s="28" t="s">
        <v>2622</v>
      </c>
      <c r="E15" s="28" t="s">
        <v>1367</v>
      </c>
      <c r="F15" s="28" t="s">
        <v>60</v>
      </c>
      <c r="G15" s="28" t="s">
        <v>2607</v>
      </c>
      <c r="H15" s="28" t="s">
        <v>1405</v>
      </c>
      <c r="I15" s="28" t="s">
        <v>2608</v>
      </c>
      <c r="J15" s="28" t="s">
        <v>2609</v>
      </c>
      <c r="K15" s="35">
        <v>300000000</v>
      </c>
    </row>
    <row r="16" spans="1:13" ht="24.75" thickBot="1" x14ac:dyDescent="0.3">
      <c r="C16" s="33" t="s">
        <v>1509</v>
      </c>
      <c r="D16" s="28" t="s">
        <v>2623</v>
      </c>
      <c r="E16" s="28" t="s">
        <v>2624</v>
      </c>
      <c r="F16" s="28" t="s">
        <v>60</v>
      </c>
      <c r="G16" s="28" t="s">
        <v>2607</v>
      </c>
      <c r="H16" s="28" t="s">
        <v>1405</v>
      </c>
      <c r="I16" s="28" t="s">
        <v>2608</v>
      </c>
      <c r="J16" s="28" t="s">
        <v>2609</v>
      </c>
      <c r="K16" s="35">
        <v>238500000</v>
      </c>
    </row>
    <row r="17" spans="3:11" ht="24.75" thickBot="1" x14ac:dyDescent="0.3">
      <c r="C17" s="33" t="s">
        <v>1509</v>
      </c>
      <c r="D17" s="28" t="s">
        <v>2625</v>
      </c>
      <c r="E17" s="28" t="s">
        <v>2626</v>
      </c>
      <c r="F17" s="28" t="s">
        <v>60</v>
      </c>
      <c r="G17" s="28" t="s">
        <v>2627</v>
      </c>
      <c r="H17" s="28" t="s">
        <v>1405</v>
      </c>
      <c r="I17" s="28" t="s">
        <v>2608</v>
      </c>
      <c r="J17" s="28" t="s">
        <v>2609</v>
      </c>
      <c r="K17" s="35">
        <v>199539110.19999999</v>
      </c>
    </row>
  </sheetData>
  <mergeCells count="5">
    <mergeCell ref="A1:K1"/>
    <mergeCell ref="D4:K4"/>
    <mergeCell ref="D5:K5"/>
    <mergeCell ref="L5:L6"/>
    <mergeCell ref="M5:M6"/>
  </mergeCells>
  <conditionalFormatting sqref="D8:K17">
    <cfRule type="expression" dxfId="2" priority="1">
      <formula>LEN(TRIM(D8))=0</formula>
    </cfRule>
    <cfRule type="expression" dxfId="1" priority="2">
      <formula>LEN(TRIM(D8))=0</formula>
    </cfRule>
    <cfRule type="expression" dxfId="0" priority="3">
      <formula>LEN(TRIM(D8))=0</formula>
    </cfRule>
  </conditionalFormatting>
  <pageMargins left="0.7" right="0.7" top="0.75" bottom="0.75" header="0.3" footer="0.3"/>
  <pageSetup scale="4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6F5B23-C82E-4C08-9BD0-BB7E7BBA07D0}"/>
</file>

<file path=customXml/itemProps2.xml><?xml version="1.0" encoding="utf-8"?>
<ds:datastoreItem xmlns:ds="http://schemas.openxmlformats.org/officeDocument/2006/customXml" ds:itemID="{C3C9CCE3-B0CE-40C3-ACF4-13EE8D565A5E}"/>
</file>

<file path=customXml/itemProps3.xml><?xml version="1.0" encoding="utf-8"?>
<ds:datastoreItem xmlns:ds="http://schemas.openxmlformats.org/officeDocument/2006/customXml" ds:itemID="{BD467A44-6FDC-40E4-A61D-F8276ECAD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T 01.00 a</vt:lpstr>
      <vt:lpstr>T 01.00 b</vt:lpstr>
      <vt:lpstr>Loan commitments received</vt:lpstr>
      <vt:lpstr>Off-balance </vt:lpstr>
      <vt:lpstr>Derivados</vt:lpstr>
      <vt:lpstr>T 03.01</vt:lpstr>
      <vt:lpstr>T 03.02</vt:lpstr>
      <vt:lpstr>T 03.03</vt:lpstr>
      <vt:lpstr>T 04.00</vt:lpstr>
      <vt:lpstr>T 05.01</vt:lpstr>
      <vt:lpstr>T 06.01</vt:lpstr>
      <vt:lpstr>T 07.00</vt:lpstr>
      <vt:lpstr>T 08.00</vt:lpstr>
      <vt:lpstr>T 09.00</vt:lpstr>
      <vt:lpstr>T 12.00</vt:lpstr>
      <vt:lpstr>'T 03.03'!Print_Area</vt:lpstr>
      <vt:lpstr>'T 04.00'!Print_Area</vt:lpstr>
      <vt:lpstr>'T 07.00'!Print_Area</vt:lpstr>
      <vt:lpstr>'T 09.00'!Print_Area</vt:lpstr>
      <vt:lpstr>'T 12.00'!Print_Area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Filipe Hetzel de Oliveira Ferreira</dc:creator>
  <cp:lastModifiedBy>João Filipe Hetzel de Oliveira Ferreira</cp:lastModifiedBy>
  <dcterms:created xsi:type="dcterms:W3CDTF">2022-02-24T11:59:31Z</dcterms:created>
  <dcterms:modified xsi:type="dcterms:W3CDTF">2022-03-14T12:27:45Z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2022-03-14T12:27:45Z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851ab543-695e-457b-b7d1-e8a964e136d8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