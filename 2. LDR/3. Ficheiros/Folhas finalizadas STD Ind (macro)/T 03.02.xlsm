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Coord_Financeira\ALM\SAS\LDR\LDR 2023\Folhas finalizadas STD Ind\Folhas finalizadas STD Ind (macro)\"/>
    </mc:Choice>
  </mc:AlternateContent>
  <bookViews>
    <workbookView xWindow="-120" yWindow="-120" windowWidth="20730" windowHeight="11160" activeTab="1"/>
  </bookViews>
  <sheets>
    <sheet name="Instruções" sheetId="3" r:id="rId1"/>
    <sheet name="T 03.02" sheetId="2" r:id="rId2"/>
    <sheet name="Intragrupo garant receb" sheetId="1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2" l="1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8" i="2"/>
  <c r="D10" i="2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9" i="2"/>
  <c r="D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8" i="2"/>
</calcChain>
</file>

<file path=xl/comments1.xml><?xml version="1.0" encoding="utf-8"?>
<comments xmlns="http://schemas.openxmlformats.org/spreadsheetml/2006/main">
  <authors>
    <author>Flávia Daniela Costa Pinho</author>
    <author>Haizhen Li</author>
  </authors>
  <commentList>
    <comment ref="F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Coloco o zcliente?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NOVIMOVEST inquerente com a informação do Pedro</t>
        </r>
      </text>
    </comment>
    <comment ref="L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Não sei. Coloquei sempre Counterparty</t>
        </r>
      </text>
    </comment>
    <comment ref="N7" authorId="1" shapeId="0">
      <text>
        <r>
          <rPr>
            <sz val="9"/>
            <color indexed="81"/>
            <rFont val="Tahoma"/>
            <family val="2"/>
          </rPr>
          <t>Metric  =  Is collateralised [bi]_x000D_
Main category  =  Financial guarantees received</t>
        </r>
      </text>
    </comment>
    <comment ref="O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Não encontramos colateral no SAS</t>
        </r>
      </text>
    </comment>
  </commentList>
</comments>
</file>

<file path=xl/sharedStrings.xml><?xml version="1.0" encoding="utf-8"?>
<sst xmlns="http://schemas.openxmlformats.org/spreadsheetml/2006/main" count="1035" uniqueCount="152">
  <si>
    <t>gcliente</t>
  </si>
  <si>
    <t>clei</t>
  </si>
  <si>
    <t>zcliente</t>
  </si>
  <si>
    <t>SUM_of_SUM_of_msaldo_final</t>
  </si>
  <si>
    <t>SUM_of_Colateral</t>
  </si>
  <si>
    <t>lei_aplicavel</t>
  </si>
  <si>
    <t>BANCO SANTANDER SA</t>
  </si>
  <si>
    <t>#</t>
  </si>
  <si>
    <t>8000176024</t>
  </si>
  <si>
    <t>7400685089</t>
  </si>
  <si>
    <t>T 03.02 - Intragroup guarantees - received</t>
  </si>
  <si>
    <t>Columns</t>
  </si>
  <si>
    <t>Number</t>
  </si>
  <si>
    <t>Intragroup guarantees - received</t>
  </si>
  <si>
    <t>Insolvency ranking</t>
  </si>
  <si>
    <t>Contract identifier</t>
  </si>
  <si>
    <t>Entity name of guaranteeing entity</t>
  </si>
  <si>
    <t>Identifier of Guaranteeing Entity (preferably LEI)</t>
  </si>
  <si>
    <t>Type of identifier</t>
  </si>
  <si>
    <t>Is Guaranteeing Entity included in the Resolution Group of Reporting Entity?</t>
  </si>
  <si>
    <t>Governing law</t>
  </si>
  <si>
    <t>Guarantee Type</t>
  </si>
  <si>
    <t>Potential maximum guaranteed amount</t>
  </si>
  <si>
    <t>Collateralised</t>
  </si>
  <si>
    <t>Amount of collateral received</t>
  </si>
  <si>
    <t>Guarantee trigger</t>
  </si>
  <si>
    <t>0010</t>
  </si>
  <si>
    <t>0020</t>
  </si>
  <si>
    <t>0030</t>
  </si>
  <si>
    <t>0035</t>
  </si>
  <si>
    <t>0040</t>
  </si>
  <si>
    <t>0045</t>
  </si>
  <si>
    <t>0047</t>
  </si>
  <si>
    <t>0050</t>
  </si>
  <si>
    <t>0060</t>
  </si>
  <si>
    <t>0070</t>
  </si>
  <si>
    <t>0080</t>
  </si>
  <si>
    <t>0090</t>
  </si>
  <si>
    <t>0100</t>
  </si>
  <si>
    <t>Rows</t>
  </si>
  <si>
    <t>Intragroup Guarantees - Received</t>
  </si>
  <si>
    <t>Rank 9 - Ranking in insolvency (master scale)</t>
  </si>
  <si>
    <t>000000000200000</t>
  </si>
  <si>
    <t>PORTUGAL</t>
  </si>
  <si>
    <t>Counterparty</t>
  </si>
  <si>
    <t>Default</t>
  </si>
  <si>
    <t>000000000300000</t>
  </si>
  <si>
    <t>000000000400000</t>
  </si>
  <si>
    <t>000000000100000</t>
  </si>
  <si>
    <t>Instruções</t>
  </si>
  <si>
    <t>3- Carregar no button</t>
  </si>
  <si>
    <t>zdeposit1</t>
  </si>
  <si>
    <t>st_sgps_portugal_ifrs</t>
  </si>
  <si>
    <t>x</t>
  </si>
  <si>
    <t>5493006QMFDDMYWIAM13</t>
  </si>
  <si>
    <t>BANCO SANTANDER TOTTA S.A.</t>
  </si>
  <si>
    <t>549300URJH9VSI58CS32</t>
  </si>
  <si>
    <t>2100707445</t>
  </si>
  <si>
    <t>000000000500000</t>
  </si>
  <si>
    <t>000000000600000</t>
  </si>
  <si>
    <t>000000000700000</t>
  </si>
  <si>
    <t>000000000800000</t>
  </si>
  <si>
    <t>000000000900000</t>
  </si>
  <si>
    <t>000000001000000</t>
  </si>
  <si>
    <t>000000001100000</t>
  </si>
  <si>
    <t>000000001200000</t>
  </si>
  <si>
    <t>000000001300000</t>
  </si>
  <si>
    <t>000000001400000</t>
  </si>
  <si>
    <t>000000001500000</t>
  </si>
  <si>
    <t>000000001600000</t>
  </si>
  <si>
    <t>000000001700000</t>
  </si>
  <si>
    <t>000000001800000</t>
  </si>
  <si>
    <t>000000001900000</t>
  </si>
  <si>
    <t>000000002100000</t>
  </si>
  <si>
    <t>000000002200000</t>
  </si>
  <si>
    <t>000000002300000</t>
  </si>
  <si>
    <t>000000002400000</t>
  </si>
  <si>
    <t>000000002500000</t>
  </si>
  <si>
    <t>000000002600000</t>
  </si>
  <si>
    <t>000000002700000</t>
  </si>
  <si>
    <t>000000002800000</t>
  </si>
  <si>
    <t>000000002900000</t>
  </si>
  <si>
    <t>000000003000000</t>
  </si>
  <si>
    <t>000000003100000</t>
  </si>
  <si>
    <t>000000003200000</t>
  </si>
  <si>
    <t>000000003300000</t>
  </si>
  <si>
    <t>000000003400000</t>
  </si>
  <si>
    <t>000000003500000</t>
  </si>
  <si>
    <t>000000003600000</t>
  </si>
  <si>
    <t>000000003700000</t>
  </si>
  <si>
    <t>000000003800000</t>
  </si>
  <si>
    <t>000000003900000</t>
  </si>
  <si>
    <t>000000004000000</t>
  </si>
  <si>
    <t>000000004100000</t>
  </si>
  <si>
    <t>000000004200000</t>
  </si>
  <si>
    <t>000000004300000</t>
  </si>
  <si>
    <t>000000004400000</t>
  </si>
  <si>
    <t>000000004500000</t>
  </si>
  <si>
    <t>000000004600000</t>
  </si>
  <si>
    <t>000000004700000</t>
  </si>
  <si>
    <t>000000004800000</t>
  </si>
  <si>
    <t>000000004900000</t>
  </si>
  <si>
    <t>000000005000000</t>
  </si>
  <si>
    <t>000000005100000</t>
  </si>
  <si>
    <t>000000005300000</t>
  </si>
  <si>
    <t>000000005400000</t>
  </si>
  <si>
    <t>000000005500000</t>
  </si>
  <si>
    <t>000000005600000</t>
  </si>
  <si>
    <t>000000005700000</t>
  </si>
  <si>
    <t>000000005800000</t>
  </si>
  <si>
    <t>000000005900000</t>
  </si>
  <si>
    <t>000000006000000</t>
  </si>
  <si>
    <t>000000006100000</t>
  </si>
  <si>
    <t>000000006200000</t>
  </si>
  <si>
    <t>000000006300000</t>
  </si>
  <si>
    <t>000000006400000</t>
  </si>
  <si>
    <t>000000006500000</t>
  </si>
  <si>
    <t>000000006600000</t>
  </si>
  <si>
    <t>000000006700000</t>
  </si>
  <si>
    <t>000000006800000</t>
  </si>
  <si>
    <t>000000006900000</t>
  </si>
  <si>
    <t>000000007000000</t>
  </si>
  <si>
    <t>000000007100000</t>
  </si>
  <si>
    <t>000000007200000</t>
  </si>
  <si>
    <t>000000007300000</t>
  </si>
  <si>
    <t>000000007400000</t>
  </si>
  <si>
    <t>000000007500000</t>
  </si>
  <si>
    <t>000000007600000</t>
  </si>
  <si>
    <t>000000007700000</t>
  </si>
  <si>
    <t>000000007800000</t>
  </si>
  <si>
    <t>000000007900000</t>
  </si>
  <si>
    <t>000000008000000</t>
  </si>
  <si>
    <t>000000008100000</t>
  </si>
  <si>
    <t>000000008200000</t>
  </si>
  <si>
    <t>000000008300000</t>
  </si>
  <si>
    <t>000000008400000</t>
  </si>
  <si>
    <t>000000008500000</t>
  </si>
  <si>
    <t>000000008600000</t>
  </si>
  <si>
    <t>000000008700000</t>
  </si>
  <si>
    <t>000000008800000</t>
  </si>
  <si>
    <t>000000008900000</t>
  </si>
  <si>
    <t>000000009000000</t>
  </si>
  <si>
    <t>000000009100000</t>
  </si>
  <si>
    <t>000000009200000</t>
  </si>
  <si>
    <t>000000009300000</t>
  </si>
  <si>
    <t>000000009400000</t>
  </si>
  <si>
    <t>000000009500000</t>
  </si>
  <si>
    <t>000000009600000</t>
  </si>
  <si>
    <t>NOVIMOVEST - FUNDO DE INVESTIMENTO IMOBILIARIO</t>
  </si>
  <si>
    <t>1- Apagar a informação que consta na folha "Intragrupo garant receb"</t>
  </si>
  <si>
    <t>2- Copiar a informação da tabela T03.02 extraída do projeto SAS e copiar para a folha "Intragrupo garant receb"</t>
  </si>
  <si>
    <t>4- Se a macro der erro, verificar que a sheet "Intragrupo garant receb" não tem filtros e recomeçar do inicio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</si>
</sst>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10">
    <font>
      <sz val="11"/>
      <name val="Calibri"/>
    </font>
    <font>
      <b/>
      <sz val="11"/>
      <color theme="1"/>
      <name val="Calibri"/>
      <family val="2"/>
      <scheme val="minor"/>
    </font>
    <font>
      <b/>
      <sz val="9"/>
      <color indexed="6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60"/>
      <name val="Calibri"/>
      <family val="2"/>
      <scheme val="minor"/>
    </font>
    <font>
      <b/>
      <sz val="9"/>
      <color indexed="14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0" fillId="2" borderId="2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7" xfId="0" quotePrefix="1" applyFill="1" applyBorder="1" applyAlignment="1">
      <alignment horizontal="left" vertical="top" wrapText="1"/>
    </xf>
    <xf numFmtId="0" fontId="0" fillId="3" borderId="7" xfId="0" quotePrefix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center" vertical="center" textRotation="90"/>
    </xf>
    <xf numFmtId="0" fontId="0" fillId="2" borderId="5" xfId="0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4" fontId="3" fillId="0" borderId="8" xfId="0" applyNumberFormat="1" applyFont="1" applyBorder="1" applyAlignment="1">
      <alignment horizontal="center" vertical="center" wrapText="1"/>
    </xf>
    <xf numFmtId="4" fontId="4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4" fontId="5" fillId="0" borderId="0" xfId="0" applyNumberFormat="1" applyFont="1" applyAlignment="1">
      <alignment horizontal="right" vertical="center" wrapText="1"/>
    </xf>
    <xf numFmtId="3" fontId="0" fillId="0" borderId="0" xfId="0" applyNumberFormat="1" applyAlignment="1">
      <alignment wrapText="1"/>
    </xf>
    <xf numFmtId="4" fontId="0" fillId="0" borderId="0" xfId="0" applyNumberFormat="1"/>
    <xf numFmtId="0" fontId="6" fillId="0" borderId="0" xfId="0" applyFont="1"/>
    <xf numFmtId="0" fontId="7" fillId="0" borderId="0" xfId="0" applyFont="1"/>
    <xf numFmtId="0" fontId="3" fillId="0" borderId="8" xfId="0" applyNumberFormat="1" applyFont="1" applyBorder="1" applyAlignment="1">
      <alignment horizontal="center" vertical="center" wrapText="1"/>
    </xf>
    <xf numFmtId="0" fontId="0" fillId="0" borderId="0" xfId="0" applyNumberFormat="1"/>
    <xf numFmtId="0" fontId="0" fillId="2" borderId="7" xfId="0" quotePrefix="1" applyNumberForma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2" fillId="0" borderId="1" xfId="0" applyFont="1" applyBorder="1" applyAlignment="1">
      <alignment horizontal="left" wrapText="1"/>
    </xf>
  </cellXfs>
  <cellStyles count="1">
    <cellStyle name="Normal" xfId="0" builtinId="0"/>
  </cellStyles>
  <dxfs count="13"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6</xdr:row>
      <xdr:rowOff>161925</xdr:rowOff>
    </xdr:from>
    <xdr:to>
      <xdr:col>4</xdr:col>
      <xdr:colOff>342900</xdr:colOff>
      <xdr:row>9</xdr:row>
      <xdr:rowOff>38100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57300" y="1304925"/>
          <a:ext cx="152400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Preencher T</a:t>
          </a:r>
          <a:r>
            <a:rPr lang="en-US" sz="1100" baseline="0"/>
            <a:t> 03.02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C6"/>
  <sheetViews>
    <sheetView showGridLines="0" workbookViewId="0">
      <selection activeCell="L10" sqref="L10"/>
    </sheetView>
  </sheetViews>
  <sheetFormatPr defaultRowHeight="14.25"/>
  <sheetData>
    <row r="2" spans="3:3">
      <c r="C2" s="17" t="s">
        <v>49</v>
      </c>
    </row>
    <row r="3" spans="3:3">
      <c r="C3" t="s">
        <v>149</v>
      </c>
    </row>
    <row r="4" spans="3:3">
      <c r="C4" t="s">
        <v>150</v>
      </c>
    </row>
    <row r="5" spans="3:3">
      <c r="C5" t="s">
        <v>50</v>
      </c>
    </row>
    <row r="6" spans="3:3">
      <c r="C6" s="18" t="s">
        <v>151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7"/>
  <sheetViews>
    <sheetView showGridLines="0" tabSelected="1" topLeftCell="A4" workbookViewId="0">
      <selection activeCell="I11" sqref="I11"/>
    </sheetView>
  </sheetViews>
  <sheetFormatPr defaultRowHeight="14.25"/>
  <cols>
    <col min="1" max="1" width="5.59765625" customWidth="1"/>
    <col min="2" max="2" width="25.265625" bestFit="1" customWidth="1"/>
    <col min="3" max="3" width="3.73046875" bestFit="1" customWidth="1"/>
    <col min="4" max="4" width="20.59765625" style="20" customWidth="1"/>
    <col min="5" max="16" width="20.59765625" customWidth="1"/>
    <col min="17" max="17" width="25.59765625" style="2" customWidth="1"/>
    <col min="18" max="18" width="16" bestFit="1" customWidth="1"/>
    <col min="20" max="20" width="14.265625" bestFit="1" customWidth="1"/>
  </cols>
  <sheetData>
    <row r="1" spans="1:18">
      <c r="A1" s="22" t="s">
        <v>10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8">
      <c r="D2"/>
    </row>
    <row r="3" spans="1:18">
      <c r="D3"/>
    </row>
    <row r="4" spans="1:18">
      <c r="D4" s="24" t="s">
        <v>11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</row>
    <row r="5" spans="1:18">
      <c r="D5" s="3" t="s">
        <v>12</v>
      </c>
      <c r="E5" s="25" t="s">
        <v>13</v>
      </c>
      <c r="F5" s="26"/>
      <c r="G5" s="26"/>
      <c r="H5" s="26"/>
      <c r="I5" s="26"/>
      <c r="J5" s="26"/>
      <c r="K5" s="26"/>
      <c r="L5" s="26"/>
      <c r="M5" s="26"/>
      <c r="N5" s="26"/>
      <c r="O5" s="26"/>
      <c r="P5" s="27"/>
      <c r="Q5" s="28"/>
    </row>
    <row r="6" spans="1:18" ht="57">
      <c r="D6" s="4"/>
      <c r="E6" s="5" t="s">
        <v>14</v>
      </c>
      <c r="F6" s="5" t="s">
        <v>15</v>
      </c>
      <c r="G6" s="5" t="s">
        <v>16</v>
      </c>
      <c r="H6" s="5" t="s">
        <v>17</v>
      </c>
      <c r="I6" s="5" t="s">
        <v>18</v>
      </c>
      <c r="J6" s="5" t="s">
        <v>19</v>
      </c>
      <c r="K6" s="5" t="s">
        <v>20</v>
      </c>
      <c r="L6" s="5" t="s">
        <v>21</v>
      </c>
      <c r="M6" s="5" t="s">
        <v>22</v>
      </c>
      <c r="N6" s="5" t="s">
        <v>23</v>
      </c>
      <c r="O6" s="5" t="s">
        <v>24</v>
      </c>
      <c r="P6" s="5" t="s">
        <v>25</v>
      </c>
      <c r="Q6" s="28"/>
    </row>
    <row r="7" spans="1:18" ht="14.65" thickBot="1">
      <c r="D7" s="6" t="s">
        <v>26</v>
      </c>
      <c r="E7" s="6" t="s">
        <v>27</v>
      </c>
      <c r="F7" s="6" t="s">
        <v>28</v>
      </c>
      <c r="G7" s="6" t="s">
        <v>29</v>
      </c>
      <c r="H7" s="6" t="s">
        <v>30</v>
      </c>
      <c r="I7" s="6" t="s">
        <v>31</v>
      </c>
      <c r="J7" s="7" t="s">
        <v>32</v>
      </c>
      <c r="K7" s="6" t="s">
        <v>33</v>
      </c>
      <c r="L7" s="7" t="s">
        <v>34</v>
      </c>
      <c r="M7" s="6" t="s">
        <v>35</v>
      </c>
      <c r="N7" s="6" t="s">
        <v>36</v>
      </c>
      <c r="O7" s="7" t="s">
        <v>37</v>
      </c>
      <c r="P7" s="6" t="s">
        <v>38</v>
      </c>
    </row>
    <row r="8" spans="1:18" ht="29.25" thickBot="1">
      <c r="A8" s="8" t="s">
        <v>39</v>
      </c>
      <c r="B8" s="9" t="s">
        <v>40</v>
      </c>
      <c r="C8" s="21">
        <f>+IF(E8="","",999)</f>
        <v>999</v>
      </c>
      <c r="D8" s="19">
        <f>IF(E8="","",1)</f>
        <v>1</v>
      </c>
      <c r="E8" s="10" t="s">
        <v>41</v>
      </c>
      <c r="F8" s="10" t="s">
        <v>48</v>
      </c>
      <c r="G8" s="10" t="s">
        <v>6</v>
      </c>
      <c r="H8" s="10" t="str">
        <f>+IF(OR('Intragrupo garant receb'!B2="",'Intragrupo garant receb'!B2="#"),'Intragrupo garant receb'!C2,'Intragrupo garant receb'!B2)</f>
        <v>5493006QMFDDMYWIAM13</v>
      </c>
      <c r="I8" s="10" t="str">
        <f>IF(H8='Intragrupo garant receb'!B2,"LEI code","Type of identifier, other than LEI or MFI code")</f>
        <v>LEI code</v>
      </c>
      <c r="J8" s="10" t="str">
        <f>+IF(OR('Intragrupo garant receb'!H2="x",'Intragrupo garant receb'!H2="E"),"TRUE","FALSE")</f>
        <v>FALSE</v>
      </c>
      <c r="K8" s="10" t="s">
        <v>43</v>
      </c>
      <c r="L8" s="10" t="s">
        <v>44</v>
      </c>
      <c r="M8" s="11">
        <f>-'Intragrupo garant receb'!D2</f>
        <v>1066.44</v>
      </c>
      <c r="N8" s="10" t="str">
        <f>IF(O8&lt;0,"Yes","No")</f>
        <v>No</v>
      </c>
      <c r="O8" s="11"/>
      <c r="P8" s="10" t="s">
        <v>45</v>
      </c>
      <c r="Q8" s="12"/>
    </row>
    <row r="9" spans="1:18" s="2" customFormat="1" ht="23.65" thickBot="1">
      <c r="B9" s="13"/>
      <c r="C9" s="21">
        <f t="shared" ref="C9:C72" si="0">+IF(E9="","",999)</f>
        <v>999</v>
      </c>
      <c r="D9" s="19">
        <f>IF(E9="","",D8+1)</f>
        <v>2</v>
      </c>
      <c r="E9" s="10" t="s">
        <v>41</v>
      </c>
      <c r="F9" s="10" t="s">
        <v>48</v>
      </c>
      <c r="G9" s="10" t="s">
        <v>55</v>
      </c>
      <c r="H9" s="10" t="str">
        <f>+IF(OR('Intragrupo garant receb'!B3="",'Intragrupo garant receb'!B3="#"),'Intragrupo garant receb'!C3,'Intragrupo garant receb'!B3)</f>
        <v>549300URJH9VSI58CS32</v>
      </c>
      <c r="I9" s="10" t="str">
        <f>IF(H9='Intragrupo garant receb'!B3,"LEI code","Type of identifier, other than LEI or MFI code")</f>
        <v>LEI code</v>
      </c>
      <c r="J9" s="10" t="str">
        <f>+IF(OR('Intragrupo garant receb'!H3="x",'Intragrupo garant receb'!H3="E"),"TRUE","FALSE")</f>
        <v>FALSE</v>
      </c>
      <c r="K9" s="10" t="s">
        <v>43</v>
      </c>
      <c r="L9" s="10" t="s">
        <v>44</v>
      </c>
      <c r="M9" s="11">
        <f>-'Intragrupo garant receb'!D3</f>
        <v>66521</v>
      </c>
      <c r="N9" s="10" t="str">
        <f t="shared" ref="N9:N72" si="1">IF(O9&lt;0,"Yes","No")</f>
        <v>No</v>
      </c>
      <c r="O9" s="11"/>
      <c r="P9" s="10" t="s">
        <v>45</v>
      </c>
      <c r="Q9" s="14"/>
      <c r="R9" s="15"/>
    </row>
    <row r="10" spans="1:18" s="2" customFormat="1" ht="23.65" thickBot="1">
      <c r="B10" s="13"/>
      <c r="C10" s="21">
        <f t="shared" si="0"/>
        <v>999</v>
      </c>
      <c r="D10" s="19">
        <f t="shared" ref="D10:D73" si="2">IF(E10="","",D9+1)</f>
        <v>3</v>
      </c>
      <c r="E10" s="10" t="s">
        <v>41</v>
      </c>
      <c r="F10" s="10" t="s">
        <v>42</v>
      </c>
      <c r="G10" s="10" t="s">
        <v>55</v>
      </c>
      <c r="H10" s="10" t="str">
        <f>+IF(OR('Intragrupo garant receb'!B4="",'Intragrupo garant receb'!B4="#"),'Intragrupo garant receb'!C4,'Intragrupo garant receb'!B4)</f>
        <v>549300URJH9VSI58CS32</v>
      </c>
      <c r="I10" s="10" t="str">
        <f>IF(H10='Intragrupo garant receb'!B4,"LEI code","Type of identifier, other than LEI or MFI code")</f>
        <v>LEI code</v>
      </c>
      <c r="J10" s="10" t="str">
        <f>+IF(OR('Intragrupo garant receb'!H4="x",'Intragrupo garant receb'!H4="E"),"TRUE","FALSE")</f>
        <v>FALSE</v>
      </c>
      <c r="K10" s="10" t="s">
        <v>43</v>
      </c>
      <c r="L10" s="10" t="s">
        <v>44</v>
      </c>
      <c r="M10" s="11">
        <f>-'Intragrupo garant receb'!D4</f>
        <v>22400</v>
      </c>
      <c r="N10" s="10" t="str">
        <f t="shared" si="1"/>
        <v>No</v>
      </c>
      <c r="O10" s="11"/>
      <c r="P10" s="10" t="s">
        <v>45</v>
      </c>
      <c r="Q10" s="14"/>
      <c r="R10" s="15"/>
    </row>
    <row r="11" spans="1:18" s="2" customFormat="1" ht="23.65" thickBot="1">
      <c r="B11" s="13"/>
      <c r="C11" s="21">
        <f t="shared" si="0"/>
        <v>999</v>
      </c>
      <c r="D11" s="19">
        <f t="shared" si="2"/>
        <v>4</v>
      </c>
      <c r="E11" s="10" t="s">
        <v>41</v>
      </c>
      <c r="F11" s="10" t="s">
        <v>46</v>
      </c>
      <c r="G11" s="10" t="s">
        <v>55</v>
      </c>
      <c r="H11" s="10" t="str">
        <f>+IF(OR('Intragrupo garant receb'!B5="",'Intragrupo garant receb'!B5="#"),'Intragrupo garant receb'!C5,'Intragrupo garant receb'!B5)</f>
        <v>549300URJH9VSI58CS32</v>
      </c>
      <c r="I11" s="10" t="str">
        <f>IF(H11='Intragrupo garant receb'!B5,"LEI code","Type of identifier, other than LEI or MFI code")</f>
        <v>LEI code</v>
      </c>
      <c r="J11" s="10" t="str">
        <f>+IF(OR('Intragrupo garant receb'!H5="x",'Intragrupo garant receb'!H5="E"),"TRUE","FALSE")</f>
        <v>FALSE</v>
      </c>
      <c r="K11" s="10" t="s">
        <v>43</v>
      </c>
      <c r="L11" s="10" t="s">
        <v>44</v>
      </c>
      <c r="M11" s="11">
        <f>-'Intragrupo garant receb'!D5</f>
        <v>283100</v>
      </c>
      <c r="N11" s="10" t="str">
        <f t="shared" si="1"/>
        <v>No</v>
      </c>
      <c r="O11" s="11"/>
      <c r="P11" s="10" t="s">
        <v>45</v>
      </c>
      <c r="Q11" s="14"/>
      <c r="R11" s="15"/>
    </row>
    <row r="12" spans="1:18" s="2" customFormat="1" ht="23.65" thickBot="1">
      <c r="B12" s="13"/>
      <c r="C12" s="21">
        <f t="shared" si="0"/>
        <v>999</v>
      </c>
      <c r="D12" s="19">
        <f t="shared" si="2"/>
        <v>5</v>
      </c>
      <c r="E12" s="10" t="s">
        <v>41</v>
      </c>
      <c r="F12" s="10" t="s">
        <v>47</v>
      </c>
      <c r="G12" s="10" t="s">
        <v>55</v>
      </c>
      <c r="H12" s="10" t="str">
        <f>+IF(OR('Intragrupo garant receb'!B6="",'Intragrupo garant receb'!B6="#"),'Intragrupo garant receb'!C6,'Intragrupo garant receb'!B6)</f>
        <v>549300URJH9VSI58CS32</v>
      </c>
      <c r="I12" s="10" t="str">
        <f>IF(H12='Intragrupo garant receb'!B6,"LEI code","Type of identifier, other than LEI or MFI code")</f>
        <v>LEI code</v>
      </c>
      <c r="J12" s="10" t="str">
        <f>+IF(OR('Intragrupo garant receb'!H6="x",'Intragrupo garant receb'!H6="E"),"TRUE","FALSE")</f>
        <v>FALSE</v>
      </c>
      <c r="K12" s="10" t="s">
        <v>43</v>
      </c>
      <c r="L12" s="10" t="s">
        <v>44</v>
      </c>
      <c r="M12" s="11">
        <f>-'Intragrupo garant receb'!D6</f>
        <v>369094.40000000002</v>
      </c>
      <c r="N12" s="10" t="str">
        <f t="shared" si="1"/>
        <v>No</v>
      </c>
      <c r="O12" s="11"/>
      <c r="P12" s="10" t="s">
        <v>45</v>
      </c>
      <c r="Q12" s="14"/>
      <c r="R12" s="15"/>
    </row>
    <row r="13" spans="1:18" ht="23.65" thickBot="1">
      <c r="C13" s="21">
        <f t="shared" si="0"/>
        <v>999</v>
      </c>
      <c r="D13" s="19">
        <f t="shared" si="2"/>
        <v>6</v>
      </c>
      <c r="E13" s="10" t="s">
        <v>41</v>
      </c>
      <c r="F13" s="10" t="s">
        <v>58</v>
      </c>
      <c r="G13" s="10" t="s">
        <v>55</v>
      </c>
      <c r="H13" s="10" t="str">
        <f>+IF(OR('Intragrupo garant receb'!B7="",'Intragrupo garant receb'!B7="#"),'Intragrupo garant receb'!C7,'Intragrupo garant receb'!B7)</f>
        <v>549300URJH9VSI58CS32</v>
      </c>
      <c r="I13" s="10" t="str">
        <f>IF(H13='Intragrupo garant receb'!B7,"LEI code","Type of identifier, other than LEI or MFI code")</f>
        <v>LEI code</v>
      </c>
      <c r="J13" s="10" t="str">
        <f>+IF(OR('Intragrupo garant receb'!H7="x",'Intragrupo garant receb'!H7="E"),"TRUE","FALSE")</f>
        <v>FALSE</v>
      </c>
      <c r="K13" s="10" t="s">
        <v>43</v>
      </c>
      <c r="L13" s="10" t="s">
        <v>44</v>
      </c>
      <c r="M13" s="11">
        <f>-'Intragrupo garant receb'!D7</f>
        <v>200000</v>
      </c>
      <c r="N13" s="10" t="str">
        <f t="shared" si="1"/>
        <v>No</v>
      </c>
      <c r="O13" s="11"/>
      <c r="P13" s="10" t="s">
        <v>45</v>
      </c>
      <c r="Q13" s="16"/>
    </row>
    <row r="14" spans="1:18" ht="23.65" thickBot="1">
      <c r="C14" s="21">
        <f t="shared" si="0"/>
        <v>999</v>
      </c>
      <c r="D14" s="19">
        <f t="shared" si="2"/>
        <v>7</v>
      </c>
      <c r="E14" s="10" t="s">
        <v>41</v>
      </c>
      <c r="F14" s="10" t="s">
        <v>59</v>
      </c>
      <c r="G14" s="10" t="s">
        <v>55</v>
      </c>
      <c r="H14" s="10" t="str">
        <f>+IF(OR('Intragrupo garant receb'!B8="",'Intragrupo garant receb'!B8="#"),'Intragrupo garant receb'!C8,'Intragrupo garant receb'!B8)</f>
        <v>549300URJH9VSI58CS32</v>
      </c>
      <c r="I14" s="10" t="str">
        <f>IF(H14='Intragrupo garant receb'!B8,"LEI code","Type of identifier, other than LEI or MFI code")</f>
        <v>LEI code</v>
      </c>
      <c r="J14" s="10" t="str">
        <f>+IF(OR('Intragrupo garant receb'!H8="x",'Intragrupo garant receb'!H8="E"),"TRUE","FALSE")</f>
        <v>FALSE</v>
      </c>
      <c r="K14" s="10" t="s">
        <v>43</v>
      </c>
      <c r="L14" s="10" t="s">
        <v>44</v>
      </c>
      <c r="M14" s="11">
        <f>-'Intragrupo garant receb'!D8</f>
        <v>108000</v>
      </c>
      <c r="N14" s="10" t="str">
        <f t="shared" si="1"/>
        <v>No</v>
      </c>
      <c r="O14" s="11"/>
      <c r="P14" s="10" t="s">
        <v>45</v>
      </c>
    </row>
    <row r="15" spans="1:18" ht="23.65" thickBot="1">
      <c r="C15" s="21">
        <f t="shared" si="0"/>
        <v>999</v>
      </c>
      <c r="D15" s="19">
        <f t="shared" si="2"/>
        <v>8</v>
      </c>
      <c r="E15" s="10" t="s">
        <v>41</v>
      </c>
      <c r="F15" s="10" t="s">
        <v>60</v>
      </c>
      <c r="G15" s="10" t="s">
        <v>55</v>
      </c>
      <c r="H15" s="10" t="str">
        <f>+IF(OR('Intragrupo garant receb'!B9="",'Intragrupo garant receb'!B9="#"),'Intragrupo garant receb'!C9,'Intragrupo garant receb'!B9)</f>
        <v>549300URJH9VSI58CS32</v>
      </c>
      <c r="I15" s="10" t="str">
        <f>IF(H15='Intragrupo garant receb'!B9,"LEI code","Type of identifier, other than LEI or MFI code")</f>
        <v>LEI code</v>
      </c>
      <c r="J15" s="10" t="str">
        <f>+IF(OR('Intragrupo garant receb'!H9="x",'Intragrupo garant receb'!H9="E"),"TRUE","FALSE")</f>
        <v>FALSE</v>
      </c>
      <c r="K15" s="10" t="s">
        <v>43</v>
      </c>
      <c r="L15" s="10" t="s">
        <v>44</v>
      </c>
      <c r="M15" s="11">
        <f>-'Intragrupo garant receb'!D9</f>
        <v>468000</v>
      </c>
      <c r="N15" s="10" t="str">
        <f t="shared" si="1"/>
        <v>No</v>
      </c>
      <c r="O15" s="11"/>
      <c r="P15" s="10" t="s">
        <v>45</v>
      </c>
    </row>
    <row r="16" spans="1:18" ht="23.65" thickBot="1">
      <c r="C16" s="21">
        <f t="shared" si="0"/>
        <v>999</v>
      </c>
      <c r="D16" s="19">
        <f t="shared" si="2"/>
        <v>9</v>
      </c>
      <c r="E16" s="10" t="s">
        <v>41</v>
      </c>
      <c r="F16" s="10" t="s">
        <v>61</v>
      </c>
      <c r="G16" s="10" t="s">
        <v>55</v>
      </c>
      <c r="H16" s="10" t="str">
        <f>+IF(OR('Intragrupo garant receb'!B10="",'Intragrupo garant receb'!B10="#"),'Intragrupo garant receb'!C10,'Intragrupo garant receb'!B10)</f>
        <v>549300URJH9VSI58CS32</v>
      </c>
      <c r="I16" s="10" t="str">
        <f>IF(H16='Intragrupo garant receb'!B10,"LEI code","Type of identifier, other than LEI or MFI code")</f>
        <v>LEI code</v>
      </c>
      <c r="J16" s="10" t="str">
        <f>+IF(OR('Intragrupo garant receb'!H10="x",'Intragrupo garant receb'!H10="E"),"TRUE","FALSE")</f>
        <v>FALSE</v>
      </c>
      <c r="K16" s="10" t="s">
        <v>43</v>
      </c>
      <c r="L16" s="10" t="s">
        <v>44</v>
      </c>
      <c r="M16" s="11">
        <f>-'Intragrupo garant receb'!D10</f>
        <v>43338.1</v>
      </c>
      <c r="N16" s="10" t="str">
        <f t="shared" si="1"/>
        <v>No</v>
      </c>
      <c r="O16" s="11"/>
      <c r="P16" s="10" t="s">
        <v>45</v>
      </c>
    </row>
    <row r="17" spans="3:16" ht="23.65" thickBot="1">
      <c r="C17" s="21">
        <f t="shared" si="0"/>
        <v>999</v>
      </c>
      <c r="D17" s="19">
        <f t="shared" si="2"/>
        <v>10</v>
      </c>
      <c r="E17" s="10" t="s">
        <v>41</v>
      </c>
      <c r="F17" s="10" t="s">
        <v>62</v>
      </c>
      <c r="G17" s="10" t="s">
        <v>55</v>
      </c>
      <c r="H17" s="10" t="str">
        <f>+IF(OR('Intragrupo garant receb'!B11="",'Intragrupo garant receb'!B11="#"),'Intragrupo garant receb'!C11,'Intragrupo garant receb'!B11)</f>
        <v>549300URJH9VSI58CS32</v>
      </c>
      <c r="I17" s="10" t="str">
        <f>IF(H17='Intragrupo garant receb'!B11,"LEI code","Type of identifier, other than LEI or MFI code")</f>
        <v>LEI code</v>
      </c>
      <c r="J17" s="10" t="str">
        <f>+IF(OR('Intragrupo garant receb'!H11="x",'Intragrupo garant receb'!H11="E"),"TRUE","FALSE")</f>
        <v>FALSE</v>
      </c>
      <c r="K17" s="10" t="s">
        <v>43</v>
      </c>
      <c r="L17" s="10" t="s">
        <v>44</v>
      </c>
      <c r="M17" s="11">
        <f>-'Intragrupo garant receb'!D11</f>
        <v>101731.98</v>
      </c>
      <c r="N17" s="10" t="str">
        <f t="shared" si="1"/>
        <v>No</v>
      </c>
      <c r="O17" s="11"/>
      <c r="P17" s="10" t="s">
        <v>45</v>
      </c>
    </row>
    <row r="18" spans="3:16" ht="23.65" thickBot="1">
      <c r="C18" s="21">
        <f t="shared" si="0"/>
        <v>999</v>
      </c>
      <c r="D18" s="19">
        <f t="shared" si="2"/>
        <v>11</v>
      </c>
      <c r="E18" s="10" t="s">
        <v>41</v>
      </c>
      <c r="F18" s="10" t="s">
        <v>63</v>
      </c>
      <c r="G18" s="10" t="s">
        <v>55</v>
      </c>
      <c r="H18" s="10" t="str">
        <f>+IF(OR('Intragrupo garant receb'!B12="",'Intragrupo garant receb'!B12="#"),'Intragrupo garant receb'!C12,'Intragrupo garant receb'!B12)</f>
        <v>549300URJH9VSI58CS32</v>
      </c>
      <c r="I18" s="10" t="str">
        <f>IF(H18='Intragrupo garant receb'!B12,"LEI code","Type of identifier, other than LEI or MFI code")</f>
        <v>LEI code</v>
      </c>
      <c r="J18" s="10" t="str">
        <f>+IF(OR('Intragrupo garant receb'!H12="x",'Intragrupo garant receb'!H12="E"),"TRUE","FALSE")</f>
        <v>FALSE</v>
      </c>
      <c r="K18" s="10" t="s">
        <v>43</v>
      </c>
      <c r="L18" s="10" t="s">
        <v>44</v>
      </c>
      <c r="M18" s="11">
        <f>-'Intragrupo garant receb'!D12</f>
        <v>54272.5</v>
      </c>
      <c r="N18" s="10" t="str">
        <f t="shared" si="1"/>
        <v>No</v>
      </c>
      <c r="O18" s="11"/>
      <c r="P18" s="10" t="s">
        <v>45</v>
      </c>
    </row>
    <row r="19" spans="3:16" ht="23.65" thickBot="1">
      <c r="C19" s="21">
        <f t="shared" si="0"/>
        <v>999</v>
      </c>
      <c r="D19" s="19">
        <f t="shared" si="2"/>
        <v>12</v>
      </c>
      <c r="E19" s="10" t="s">
        <v>41</v>
      </c>
      <c r="F19" s="10" t="s">
        <v>64</v>
      </c>
      <c r="G19" s="10" t="s">
        <v>55</v>
      </c>
      <c r="H19" s="10" t="str">
        <f>+IF(OR('Intragrupo garant receb'!B13="",'Intragrupo garant receb'!B13="#"),'Intragrupo garant receb'!C13,'Intragrupo garant receb'!B13)</f>
        <v>549300URJH9VSI58CS32</v>
      </c>
      <c r="I19" s="10" t="str">
        <f>IF(H19='Intragrupo garant receb'!B13,"LEI code","Type of identifier, other than LEI or MFI code")</f>
        <v>LEI code</v>
      </c>
      <c r="J19" s="10" t="str">
        <f>+IF(OR('Intragrupo garant receb'!H13="x",'Intragrupo garant receb'!H13="E"),"TRUE","FALSE")</f>
        <v>FALSE</v>
      </c>
      <c r="K19" s="10" t="s">
        <v>43</v>
      </c>
      <c r="L19" s="10" t="s">
        <v>44</v>
      </c>
      <c r="M19" s="11">
        <f>-'Intragrupo garant receb'!D13</f>
        <v>70160</v>
      </c>
      <c r="N19" s="10" t="str">
        <f t="shared" si="1"/>
        <v>No</v>
      </c>
      <c r="O19" s="11"/>
      <c r="P19" s="10" t="s">
        <v>45</v>
      </c>
    </row>
    <row r="20" spans="3:16" ht="23.65" thickBot="1">
      <c r="C20" s="21">
        <f t="shared" si="0"/>
        <v>999</v>
      </c>
      <c r="D20" s="19">
        <f t="shared" si="2"/>
        <v>13</v>
      </c>
      <c r="E20" s="10" t="s">
        <v>41</v>
      </c>
      <c r="F20" s="10" t="s">
        <v>65</v>
      </c>
      <c r="G20" s="10" t="s">
        <v>55</v>
      </c>
      <c r="H20" s="10" t="str">
        <f>+IF(OR('Intragrupo garant receb'!B14="",'Intragrupo garant receb'!B14="#"),'Intragrupo garant receb'!C14,'Intragrupo garant receb'!B14)</f>
        <v>549300URJH9VSI58CS32</v>
      </c>
      <c r="I20" s="10" t="str">
        <f>IF(H20='Intragrupo garant receb'!B14,"LEI code","Type of identifier, other than LEI or MFI code")</f>
        <v>LEI code</v>
      </c>
      <c r="J20" s="10" t="str">
        <f>+IF(OR('Intragrupo garant receb'!H14="x",'Intragrupo garant receb'!H14="E"),"TRUE","FALSE")</f>
        <v>FALSE</v>
      </c>
      <c r="K20" s="10" t="s">
        <v>43</v>
      </c>
      <c r="L20" s="10" t="s">
        <v>44</v>
      </c>
      <c r="M20" s="11">
        <f>-'Intragrupo garant receb'!D14</f>
        <v>6609.56</v>
      </c>
      <c r="N20" s="10" t="str">
        <f t="shared" si="1"/>
        <v>No</v>
      </c>
      <c r="O20" s="11"/>
      <c r="P20" s="10" t="s">
        <v>45</v>
      </c>
    </row>
    <row r="21" spans="3:16" ht="23.65" thickBot="1">
      <c r="C21" s="21">
        <f t="shared" si="0"/>
        <v>999</v>
      </c>
      <c r="D21" s="19">
        <f t="shared" si="2"/>
        <v>14</v>
      </c>
      <c r="E21" s="10" t="s">
        <v>41</v>
      </c>
      <c r="F21" s="10" t="s">
        <v>66</v>
      </c>
      <c r="G21" s="10" t="s">
        <v>55</v>
      </c>
      <c r="H21" s="10" t="str">
        <f>+IF(OR('Intragrupo garant receb'!B15="",'Intragrupo garant receb'!B15="#"),'Intragrupo garant receb'!C15,'Intragrupo garant receb'!B15)</f>
        <v>549300URJH9VSI58CS32</v>
      </c>
      <c r="I21" s="10" t="str">
        <f>IF(H21='Intragrupo garant receb'!B15,"LEI code","Type of identifier, other than LEI or MFI code")</f>
        <v>LEI code</v>
      </c>
      <c r="J21" s="10" t="str">
        <f>+IF(OR('Intragrupo garant receb'!H15="x",'Intragrupo garant receb'!H15="E"),"TRUE","FALSE")</f>
        <v>FALSE</v>
      </c>
      <c r="K21" s="10" t="s">
        <v>43</v>
      </c>
      <c r="L21" s="10" t="s">
        <v>44</v>
      </c>
      <c r="M21" s="11">
        <f>-'Intragrupo garant receb'!D15</f>
        <v>544240</v>
      </c>
      <c r="N21" s="10" t="str">
        <f t="shared" si="1"/>
        <v>No</v>
      </c>
      <c r="O21" s="11"/>
      <c r="P21" s="10" t="s">
        <v>45</v>
      </c>
    </row>
    <row r="22" spans="3:16" ht="23.65" thickBot="1">
      <c r="C22" s="21">
        <f t="shared" si="0"/>
        <v>999</v>
      </c>
      <c r="D22" s="19">
        <f t="shared" si="2"/>
        <v>15</v>
      </c>
      <c r="E22" s="10" t="s">
        <v>41</v>
      </c>
      <c r="F22" s="10" t="s">
        <v>67</v>
      </c>
      <c r="G22" s="10" t="s">
        <v>55</v>
      </c>
      <c r="H22" s="10" t="str">
        <f>+IF(OR('Intragrupo garant receb'!B16="",'Intragrupo garant receb'!B16="#"),'Intragrupo garant receb'!C16,'Intragrupo garant receb'!B16)</f>
        <v>549300URJH9VSI58CS32</v>
      </c>
      <c r="I22" s="10" t="str">
        <f>IF(H22='Intragrupo garant receb'!B16,"LEI code","Type of identifier, other than LEI or MFI code")</f>
        <v>LEI code</v>
      </c>
      <c r="J22" s="10" t="str">
        <f>+IF(OR('Intragrupo garant receb'!H16="x",'Intragrupo garant receb'!H16="E"),"TRUE","FALSE")</f>
        <v>FALSE</v>
      </c>
      <c r="K22" s="10" t="s">
        <v>43</v>
      </c>
      <c r="L22" s="10" t="s">
        <v>44</v>
      </c>
      <c r="M22" s="11">
        <f>-'Intragrupo garant receb'!D16</f>
        <v>870001</v>
      </c>
      <c r="N22" s="10" t="str">
        <f t="shared" si="1"/>
        <v>No</v>
      </c>
      <c r="O22" s="11"/>
      <c r="P22" s="10" t="s">
        <v>45</v>
      </c>
    </row>
    <row r="23" spans="3:16" ht="23.65" thickBot="1">
      <c r="C23" s="21">
        <f t="shared" si="0"/>
        <v>999</v>
      </c>
      <c r="D23" s="19">
        <f t="shared" si="2"/>
        <v>16</v>
      </c>
      <c r="E23" s="10" t="s">
        <v>41</v>
      </c>
      <c r="F23" s="10" t="s">
        <v>68</v>
      </c>
      <c r="G23" s="10" t="s">
        <v>55</v>
      </c>
      <c r="H23" s="10" t="str">
        <f>+IF(OR('Intragrupo garant receb'!B17="",'Intragrupo garant receb'!B17="#"),'Intragrupo garant receb'!C17,'Intragrupo garant receb'!B17)</f>
        <v>549300URJH9VSI58CS32</v>
      </c>
      <c r="I23" s="10" t="str">
        <f>IF(H23='Intragrupo garant receb'!B17,"LEI code","Type of identifier, other than LEI or MFI code")</f>
        <v>LEI code</v>
      </c>
      <c r="J23" s="10" t="str">
        <f>+IF(OR('Intragrupo garant receb'!H17="x",'Intragrupo garant receb'!H17="E"),"TRUE","FALSE")</f>
        <v>FALSE</v>
      </c>
      <c r="K23" s="10" t="s">
        <v>43</v>
      </c>
      <c r="L23" s="10" t="s">
        <v>44</v>
      </c>
      <c r="M23" s="11">
        <f>-'Intragrupo garant receb'!D17</f>
        <v>108160</v>
      </c>
      <c r="N23" s="10" t="str">
        <f t="shared" si="1"/>
        <v>No</v>
      </c>
      <c r="O23" s="11"/>
      <c r="P23" s="10" t="s">
        <v>45</v>
      </c>
    </row>
    <row r="24" spans="3:16" ht="23.65" thickBot="1">
      <c r="C24" s="21">
        <f t="shared" si="0"/>
        <v>999</v>
      </c>
      <c r="D24" s="19">
        <f t="shared" si="2"/>
        <v>17</v>
      </c>
      <c r="E24" s="10" t="s">
        <v>41</v>
      </c>
      <c r="F24" s="10" t="s">
        <v>69</v>
      </c>
      <c r="G24" s="10" t="s">
        <v>55</v>
      </c>
      <c r="H24" s="10" t="str">
        <f>+IF(OR('Intragrupo garant receb'!B18="",'Intragrupo garant receb'!B18="#"),'Intragrupo garant receb'!C18,'Intragrupo garant receb'!B18)</f>
        <v>549300URJH9VSI58CS32</v>
      </c>
      <c r="I24" s="10" t="str">
        <f>IF(H24='Intragrupo garant receb'!B18,"LEI code","Type of identifier, other than LEI or MFI code")</f>
        <v>LEI code</v>
      </c>
      <c r="J24" s="10" t="str">
        <f>+IF(OR('Intragrupo garant receb'!H18="x",'Intragrupo garant receb'!H18="E"),"TRUE","FALSE")</f>
        <v>FALSE</v>
      </c>
      <c r="K24" s="10" t="s">
        <v>43</v>
      </c>
      <c r="L24" s="10" t="s">
        <v>44</v>
      </c>
      <c r="M24" s="11">
        <f>-'Intragrupo garant receb'!D18</f>
        <v>772224</v>
      </c>
      <c r="N24" s="10" t="str">
        <f t="shared" si="1"/>
        <v>No</v>
      </c>
      <c r="O24" s="11"/>
      <c r="P24" s="10" t="s">
        <v>45</v>
      </c>
    </row>
    <row r="25" spans="3:16" ht="23.65" thickBot="1">
      <c r="C25" s="21">
        <f t="shared" si="0"/>
        <v>999</v>
      </c>
      <c r="D25" s="19">
        <f t="shared" si="2"/>
        <v>18</v>
      </c>
      <c r="E25" s="10" t="s">
        <v>41</v>
      </c>
      <c r="F25" s="10" t="s">
        <v>70</v>
      </c>
      <c r="G25" s="10" t="s">
        <v>55</v>
      </c>
      <c r="H25" s="10" t="str">
        <f>+IF(OR('Intragrupo garant receb'!B19="",'Intragrupo garant receb'!B19="#"),'Intragrupo garant receb'!C19,'Intragrupo garant receb'!B19)</f>
        <v>549300URJH9VSI58CS32</v>
      </c>
      <c r="I25" s="10" t="str">
        <f>IF(H25='Intragrupo garant receb'!B19,"LEI code","Type of identifier, other than LEI or MFI code")</f>
        <v>LEI code</v>
      </c>
      <c r="J25" s="10" t="str">
        <f>+IF(OR('Intragrupo garant receb'!H19="x",'Intragrupo garant receb'!H19="E"),"TRUE","FALSE")</f>
        <v>FALSE</v>
      </c>
      <c r="K25" s="10" t="s">
        <v>43</v>
      </c>
      <c r="L25" s="10" t="s">
        <v>44</v>
      </c>
      <c r="M25" s="11">
        <f>-'Intragrupo garant receb'!D19</f>
        <v>76752</v>
      </c>
      <c r="N25" s="10" t="str">
        <f t="shared" si="1"/>
        <v>No</v>
      </c>
      <c r="O25" s="11"/>
      <c r="P25" s="10" t="s">
        <v>45</v>
      </c>
    </row>
    <row r="26" spans="3:16" ht="23.65" thickBot="1">
      <c r="C26" s="21">
        <f t="shared" si="0"/>
        <v>999</v>
      </c>
      <c r="D26" s="19">
        <f t="shared" si="2"/>
        <v>19</v>
      </c>
      <c r="E26" s="10" t="s">
        <v>41</v>
      </c>
      <c r="F26" s="10" t="s">
        <v>71</v>
      </c>
      <c r="G26" s="10" t="s">
        <v>55</v>
      </c>
      <c r="H26" s="10" t="str">
        <f>+IF(OR('Intragrupo garant receb'!B20="",'Intragrupo garant receb'!B20="#"),'Intragrupo garant receb'!C20,'Intragrupo garant receb'!B20)</f>
        <v>549300URJH9VSI58CS32</v>
      </c>
      <c r="I26" s="10" t="str">
        <f>IF(H26='Intragrupo garant receb'!B20,"LEI code","Type of identifier, other than LEI or MFI code")</f>
        <v>LEI code</v>
      </c>
      <c r="J26" s="10" t="str">
        <f>+IF(OR('Intragrupo garant receb'!H20="x",'Intragrupo garant receb'!H20="E"),"TRUE","FALSE")</f>
        <v>FALSE</v>
      </c>
      <c r="K26" s="10" t="s">
        <v>43</v>
      </c>
      <c r="L26" s="10" t="s">
        <v>44</v>
      </c>
      <c r="M26" s="11">
        <f>-'Intragrupo garant receb'!D20</f>
        <v>76752</v>
      </c>
      <c r="N26" s="10" t="str">
        <f t="shared" si="1"/>
        <v>No</v>
      </c>
      <c r="O26" s="11"/>
      <c r="P26" s="10" t="s">
        <v>45</v>
      </c>
    </row>
    <row r="27" spans="3:16" ht="23.65" thickBot="1">
      <c r="C27" s="21">
        <f t="shared" si="0"/>
        <v>999</v>
      </c>
      <c r="D27" s="19">
        <f t="shared" si="2"/>
        <v>20</v>
      </c>
      <c r="E27" s="10" t="s">
        <v>41</v>
      </c>
      <c r="F27" s="10" t="s">
        <v>72</v>
      </c>
      <c r="G27" s="10" t="s">
        <v>55</v>
      </c>
      <c r="H27" s="10" t="str">
        <f>+IF(OR('Intragrupo garant receb'!B21="",'Intragrupo garant receb'!B21="#"),'Intragrupo garant receb'!C21,'Intragrupo garant receb'!B21)</f>
        <v>549300URJH9VSI58CS32</v>
      </c>
      <c r="I27" s="10" t="str">
        <f>IF(H27='Intragrupo garant receb'!B21,"LEI code","Type of identifier, other than LEI or MFI code")</f>
        <v>LEI code</v>
      </c>
      <c r="J27" s="10" t="str">
        <f>+IF(OR('Intragrupo garant receb'!H21="x",'Intragrupo garant receb'!H21="E"),"TRUE","FALSE")</f>
        <v>FALSE</v>
      </c>
      <c r="K27" s="10" t="s">
        <v>43</v>
      </c>
      <c r="L27" s="10" t="s">
        <v>44</v>
      </c>
      <c r="M27" s="11">
        <f>-'Intragrupo garant receb'!D21</f>
        <v>204030</v>
      </c>
      <c r="N27" s="10" t="str">
        <f t="shared" si="1"/>
        <v>No</v>
      </c>
      <c r="O27" s="11"/>
      <c r="P27" s="10" t="s">
        <v>45</v>
      </c>
    </row>
    <row r="28" spans="3:16" ht="23.65" thickBot="1">
      <c r="C28" s="21">
        <f t="shared" si="0"/>
        <v>999</v>
      </c>
      <c r="D28" s="19">
        <f t="shared" si="2"/>
        <v>21</v>
      </c>
      <c r="E28" s="10" t="s">
        <v>41</v>
      </c>
      <c r="F28" s="10" t="s">
        <v>73</v>
      </c>
      <c r="G28" s="10" t="s">
        <v>55</v>
      </c>
      <c r="H28" s="10" t="str">
        <f>+IF(OR('Intragrupo garant receb'!B22="",'Intragrupo garant receb'!B22="#"),'Intragrupo garant receb'!C22,'Intragrupo garant receb'!B22)</f>
        <v>549300URJH9VSI58CS32</v>
      </c>
      <c r="I28" s="10" t="str">
        <f>IF(H28='Intragrupo garant receb'!B22,"LEI code","Type of identifier, other than LEI or MFI code")</f>
        <v>LEI code</v>
      </c>
      <c r="J28" s="10" t="str">
        <f>+IF(OR('Intragrupo garant receb'!H22="x",'Intragrupo garant receb'!H22="E"),"TRUE","FALSE")</f>
        <v>FALSE</v>
      </c>
      <c r="K28" s="10" t="s">
        <v>43</v>
      </c>
      <c r="L28" s="10" t="s">
        <v>44</v>
      </c>
      <c r="M28" s="11">
        <f>-'Intragrupo garant receb'!D22</f>
        <v>513553.5</v>
      </c>
      <c r="N28" s="10" t="str">
        <f t="shared" si="1"/>
        <v>No</v>
      </c>
      <c r="O28" s="11"/>
      <c r="P28" s="10" t="s">
        <v>45</v>
      </c>
    </row>
    <row r="29" spans="3:16" ht="23.65" thickBot="1">
      <c r="C29" s="21">
        <f t="shared" si="0"/>
        <v>999</v>
      </c>
      <c r="D29" s="19">
        <f t="shared" si="2"/>
        <v>22</v>
      </c>
      <c r="E29" s="10" t="s">
        <v>41</v>
      </c>
      <c r="F29" s="10" t="s">
        <v>74</v>
      </c>
      <c r="G29" s="10" t="s">
        <v>55</v>
      </c>
      <c r="H29" s="10" t="str">
        <f>+IF(OR('Intragrupo garant receb'!B23="",'Intragrupo garant receb'!B23="#"),'Intragrupo garant receb'!C23,'Intragrupo garant receb'!B23)</f>
        <v>549300URJH9VSI58CS32</v>
      </c>
      <c r="I29" s="10" t="str">
        <f>IF(H29='Intragrupo garant receb'!B23,"LEI code","Type of identifier, other than LEI or MFI code")</f>
        <v>LEI code</v>
      </c>
      <c r="J29" s="10" t="str">
        <f>+IF(OR('Intragrupo garant receb'!H23="x",'Intragrupo garant receb'!H23="E"),"TRUE","FALSE")</f>
        <v>FALSE</v>
      </c>
      <c r="K29" s="10" t="s">
        <v>43</v>
      </c>
      <c r="L29" s="10" t="s">
        <v>44</v>
      </c>
      <c r="M29" s="11">
        <f>-'Intragrupo garant receb'!D23</f>
        <v>2250</v>
      </c>
      <c r="N29" s="10" t="str">
        <f t="shared" si="1"/>
        <v>No</v>
      </c>
      <c r="O29" s="11"/>
      <c r="P29" s="10" t="s">
        <v>45</v>
      </c>
    </row>
    <row r="30" spans="3:16" ht="23.65" thickBot="1">
      <c r="C30" s="21">
        <f t="shared" si="0"/>
        <v>999</v>
      </c>
      <c r="D30" s="19">
        <f t="shared" si="2"/>
        <v>23</v>
      </c>
      <c r="E30" s="10" t="s">
        <v>41</v>
      </c>
      <c r="F30" s="10" t="s">
        <v>75</v>
      </c>
      <c r="G30" s="10" t="s">
        <v>55</v>
      </c>
      <c r="H30" s="10" t="str">
        <f>+IF(OR('Intragrupo garant receb'!B24="",'Intragrupo garant receb'!B24="#"),'Intragrupo garant receb'!C24,'Intragrupo garant receb'!B24)</f>
        <v>549300URJH9VSI58CS32</v>
      </c>
      <c r="I30" s="10" t="str">
        <f>IF(H30='Intragrupo garant receb'!B24,"LEI code","Type of identifier, other than LEI or MFI code")</f>
        <v>LEI code</v>
      </c>
      <c r="J30" s="10" t="str">
        <f>+IF(OR('Intragrupo garant receb'!H24="x",'Intragrupo garant receb'!H24="E"),"TRUE","FALSE")</f>
        <v>FALSE</v>
      </c>
      <c r="K30" s="10" t="s">
        <v>43</v>
      </c>
      <c r="L30" s="10" t="s">
        <v>44</v>
      </c>
      <c r="M30" s="11">
        <f>-'Intragrupo garant receb'!D24</f>
        <v>10000</v>
      </c>
      <c r="N30" s="10" t="str">
        <f t="shared" si="1"/>
        <v>No</v>
      </c>
      <c r="O30" s="11"/>
      <c r="P30" s="10" t="s">
        <v>45</v>
      </c>
    </row>
    <row r="31" spans="3:16" ht="23.65" thickBot="1">
      <c r="C31" s="21">
        <f t="shared" si="0"/>
        <v>999</v>
      </c>
      <c r="D31" s="19">
        <f t="shared" si="2"/>
        <v>24</v>
      </c>
      <c r="E31" s="10" t="s">
        <v>41</v>
      </c>
      <c r="F31" s="10" t="s">
        <v>76</v>
      </c>
      <c r="G31" s="10" t="s">
        <v>55</v>
      </c>
      <c r="H31" s="10" t="str">
        <f>+IF(OR('Intragrupo garant receb'!B25="",'Intragrupo garant receb'!B25="#"),'Intragrupo garant receb'!C25,'Intragrupo garant receb'!B25)</f>
        <v>549300URJH9VSI58CS32</v>
      </c>
      <c r="I31" s="10" t="str">
        <f>IF(H31='Intragrupo garant receb'!B25,"LEI code","Type of identifier, other than LEI or MFI code")</f>
        <v>LEI code</v>
      </c>
      <c r="J31" s="10" t="str">
        <f>+IF(OR('Intragrupo garant receb'!H25="x",'Intragrupo garant receb'!H25="E"),"TRUE","FALSE")</f>
        <v>FALSE</v>
      </c>
      <c r="K31" s="10" t="s">
        <v>43</v>
      </c>
      <c r="L31" s="10" t="s">
        <v>44</v>
      </c>
      <c r="M31" s="11">
        <f>-'Intragrupo garant receb'!D25</f>
        <v>40000</v>
      </c>
      <c r="N31" s="10" t="str">
        <f t="shared" si="1"/>
        <v>No</v>
      </c>
      <c r="O31" s="11"/>
      <c r="P31" s="10" t="s">
        <v>45</v>
      </c>
    </row>
    <row r="32" spans="3:16" ht="23.65" thickBot="1">
      <c r="C32" s="21">
        <f t="shared" si="0"/>
        <v>999</v>
      </c>
      <c r="D32" s="19">
        <f t="shared" si="2"/>
        <v>25</v>
      </c>
      <c r="E32" s="10" t="s">
        <v>41</v>
      </c>
      <c r="F32" s="10" t="s">
        <v>77</v>
      </c>
      <c r="G32" s="10" t="s">
        <v>55</v>
      </c>
      <c r="H32" s="10" t="str">
        <f>+IF(OR('Intragrupo garant receb'!B26="",'Intragrupo garant receb'!B26="#"),'Intragrupo garant receb'!C26,'Intragrupo garant receb'!B26)</f>
        <v>549300URJH9VSI58CS32</v>
      </c>
      <c r="I32" s="10" t="str">
        <f>IF(H32='Intragrupo garant receb'!B26,"LEI code","Type of identifier, other than LEI or MFI code")</f>
        <v>LEI code</v>
      </c>
      <c r="J32" s="10" t="str">
        <f>+IF(OR('Intragrupo garant receb'!H26="x",'Intragrupo garant receb'!H26="E"),"TRUE","FALSE")</f>
        <v>FALSE</v>
      </c>
      <c r="K32" s="10" t="s">
        <v>43</v>
      </c>
      <c r="L32" s="10" t="s">
        <v>44</v>
      </c>
      <c r="M32" s="11">
        <f>-'Intragrupo garant receb'!D26</f>
        <v>335260.26</v>
      </c>
      <c r="N32" s="10" t="str">
        <f t="shared" si="1"/>
        <v>No</v>
      </c>
      <c r="O32" s="11"/>
      <c r="P32" s="10" t="s">
        <v>45</v>
      </c>
    </row>
    <row r="33" spans="3:16" ht="23.65" thickBot="1">
      <c r="C33" s="21">
        <f t="shared" si="0"/>
        <v>999</v>
      </c>
      <c r="D33" s="19">
        <f t="shared" si="2"/>
        <v>26</v>
      </c>
      <c r="E33" s="10" t="s">
        <v>41</v>
      </c>
      <c r="F33" s="10" t="s">
        <v>78</v>
      </c>
      <c r="G33" s="10" t="s">
        <v>55</v>
      </c>
      <c r="H33" s="10" t="str">
        <f>+IF(OR('Intragrupo garant receb'!B27="",'Intragrupo garant receb'!B27="#"),'Intragrupo garant receb'!C27,'Intragrupo garant receb'!B27)</f>
        <v>549300URJH9VSI58CS32</v>
      </c>
      <c r="I33" s="10" t="str">
        <f>IF(H33='Intragrupo garant receb'!B27,"LEI code","Type of identifier, other than LEI or MFI code")</f>
        <v>LEI code</v>
      </c>
      <c r="J33" s="10" t="str">
        <f>+IF(OR('Intragrupo garant receb'!H27="x",'Intragrupo garant receb'!H27="E"),"TRUE","FALSE")</f>
        <v>FALSE</v>
      </c>
      <c r="K33" s="10" t="s">
        <v>43</v>
      </c>
      <c r="L33" s="10" t="s">
        <v>44</v>
      </c>
      <c r="M33" s="11">
        <f>-'Intragrupo garant receb'!D27</f>
        <v>45200</v>
      </c>
      <c r="N33" s="10" t="str">
        <f t="shared" si="1"/>
        <v>No</v>
      </c>
      <c r="O33" s="11"/>
      <c r="P33" s="10" t="s">
        <v>45</v>
      </c>
    </row>
    <row r="34" spans="3:16" ht="23.65" thickBot="1">
      <c r="C34" s="21">
        <f t="shared" si="0"/>
        <v>999</v>
      </c>
      <c r="D34" s="19">
        <f t="shared" si="2"/>
        <v>27</v>
      </c>
      <c r="E34" s="10" t="s">
        <v>41</v>
      </c>
      <c r="F34" s="10" t="s">
        <v>79</v>
      </c>
      <c r="G34" s="10" t="s">
        <v>55</v>
      </c>
      <c r="H34" s="10" t="str">
        <f>+IF(OR('Intragrupo garant receb'!B28="",'Intragrupo garant receb'!B28="#"),'Intragrupo garant receb'!C28,'Intragrupo garant receb'!B28)</f>
        <v>549300URJH9VSI58CS32</v>
      </c>
      <c r="I34" s="10" t="str">
        <f>IF(H34='Intragrupo garant receb'!B28,"LEI code","Type of identifier, other than LEI or MFI code")</f>
        <v>LEI code</v>
      </c>
      <c r="J34" s="10" t="str">
        <f>+IF(OR('Intragrupo garant receb'!H28="x",'Intragrupo garant receb'!H28="E"),"TRUE","FALSE")</f>
        <v>FALSE</v>
      </c>
      <c r="K34" s="10" t="s">
        <v>43</v>
      </c>
      <c r="L34" s="10" t="s">
        <v>44</v>
      </c>
      <c r="M34" s="11">
        <f>-'Intragrupo garant receb'!D28</f>
        <v>134910</v>
      </c>
      <c r="N34" s="10" t="str">
        <f t="shared" si="1"/>
        <v>No</v>
      </c>
      <c r="O34" s="11"/>
      <c r="P34" s="10" t="s">
        <v>45</v>
      </c>
    </row>
    <row r="35" spans="3:16" ht="23.65" thickBot="1">
      <c r="C35" s="21">
        <f t="shared" si="0"/>
        <v>999</v>
      </c>
      <c r="D35" s="19">
        <f t="shared" si="2"/>
        <v>28</v>
      </c>
      <c r="E35" s="10" t="s">
        <v>41</v>
      </c>
      <c r="F35" s="10" t="s">
        <v>80</v>
      </c>
      <c r="G35" s="10" t="s">
        <v>55</v>
      </c>
      <c r="H35" s="10" t="str">
        <f>+IF(OR('Intragrupo garant receb'!B29="",'Intragrupo garant receb'!B29="#"),'Intragrupo garant receb'!C29,'Intragrupo garant receb'!B29)</f>
        <v>549300URJH9VSI58CS32</v>
      </c>
      <c r="I35" s="10" t="str">
        <f>IF(H35='Intragrupo garant receb'!B29,"LEI code","Type of identifier, other than LEI or MFI code")</f>
        <v>LEI code</v>
      </c>
      <c r="J35" s="10" t="str">
        <f>+IF(OR('Intragrupo garant receb'!H29="x",'Intragrupo garant receb'!H29="E"),"TRUE","FALSE")</f>
        <v>FALSE</v>
      </c>
      <c r="K35" s="10" t="s">
        <v>43</v>
      </c>
      <c r="L35" s="10" t="s">
        <v>44</v>
      </c>
      <c r="M35" s="11">
        <f>-'Intragrupo garant receb'!D29</f>
        <v>171000</v>
      </c>
      <c r="N35" s="10" t="str">
        <f t="shared" si="1"/>
        <v>No</v>
      </c>
      <c r="O35" s="11"/>
      <c r="P35" s="10" t="s">
        <v>45</v>
      </c>
    </row>
    <row r="36" spans="3:16" ht="23.65" thickBot="1">
      <c r="C36" s="21">
        <f t="shared" si="0"/>
        <v>999</v>
      </c>
      <c r="D36" s="19">
        <f t="shared" si="2"/>
        <v>29</v>
      </c>
      <c r="E36" s="10" t="s">
        <v>41</v>
      </c>
      <c r="F36" s="10" t="s">
        <v>81</v>
      </c>
      <c r="G36" s="10" t="s">
        <v>55</v>
      </c>
      <c r="H36" s="10" t="str">
        <f>+IF(OR('Intragrupo garant receb'!B30="",'Intragrupo garant receb'!B30="#"),'Intragrupo garant receb'!C30,'Intragrupo garant receb'!B30)</f>
        <v>549300URJH9VSI58CS32</v>
      </c>
      <c r="I36" s="10" t="str">
        <f>IF(H36='Intragrupo garant receb'!B30,"LEI code","Type of identifier, other than LEI or MFI code")</f>
        <v>LEI code</v>
      </c>
      <c r="J36" s="10" t="str">
        <f>+IF(OR('Intragrupo garant receb'!H30="x",'Intragrupo garant receb'!H30="E"),"TRUE","FALSE")</f>
        <v>FALSE</v>
      </c>
      <c r="K36" s="10" t="s">
        <v>43</v>
      </c>
      <c r="L36" s="10" t="s">
        <v>44</v>
      </c>
      <c r="M36" s="11">
        <f>-'Intragrupo garant receb'!D30</f>
        <v>943000</v>
      </c>
      <c r="N36" s="10" t="str">
        <f t="shared" si="1"/>
        <v>No</v>
      </c>
      <c r="O36" s="11"/>
      <c r="P36" s="10" t="s">
        <v>45</v>
      </c>
    </row>
    <row r="37" spans="3:16" ht="23.65" thickBot="1">
      <c r="C37" s="21">
        <f t="shared" si="0"/>
        <v>999</v>
      </c>
      <c r="D37" s="19">
        <f t="shared" si="2"/>
        <v>30</v>
      </c>
      <c r="E37" s="10" t="s">
        <v>41</v>
      </c>
      <c r="F37" s="10" t="s">
        <v>82</v>
      </c>
      <c r="G37" s="10" t="s">
        <v>55</v>
      </c>
      <c r="H37" s="10" t="str">
        <f>+IF(OR('Intragrupo garant receb'!B31="",'Intragrupo garant receb'!B31="#"),'Intragrupo garant receb'!C31,'Intragrupo garant receb'!B31)</f>
        <v>549300URJH9VSI58CS32</v>
      </c>
      <c r="I37" s="10" t="str">
        <f>IF(H37='Intragrupo garant receb'!B31,"LEI code","Type of identifier, other than LEI or MFI code")</f>
        <v>LEI code</v>
      </c>
      <c r="J37" s="10" t="str">
        <f>+IF(OR('Intragrupo garant receb'!H31="x",'Intragrupo garant receb'!H31="E"),"TRUE","FALSE")</f>
        <v>FALSE</v>
      </c>
      <c r="K37" s="10" t="s">
        <v>43</v>
      </c>
      <c r="L37" s="10" t="s">
        <v>44</v>
      </c>
      <c r="M37" s="11">
        <f>-'Intragrupo garant receb'!D31</f>
        <v>1161000</v>
      </c>
      <c r="N37" s="10" t="str">
        <f t="shared" si="1"/>
        <v>No</v>
      </c>
      <c r="O37" s="11"/>
      <c r="P37" s="10" t="s">
        <v>45</v>
      </c>
    </row>
    <row r="38" spans="3:16" ht="23.65" thickBot="1">
      <c r="C38" s="21">
        <f t="shared" si="0"/>
        <v>999</v>
      </c>
      <c r="D38" s="19">
        <f t="shared" si="2"/>
        <v>31</v>
      </c>
      <c r="E38" s="10" t="s">
        <v>41</v>
      </c>
      <c r="F38" s="10" t="s">
        <v>83</v>
      </c>
      <c r="G38" s="10" t="s">
        <v>55</v>
      </c>
      <c r="H38" s="10" t="str">
        <f>+IF(OR('Intragrupo garant receb'!B32="",'Intragrupo garant receb'!B32="#"),'Intragrupo garant receb'!C32,'Intragrupo garant receb'!B32)</f>
        <v>549300URJH9VSI58CS32</v>
      </c>
      <c r="I38" s="10" t="str">
        <f>IF(H38='Intragrupo garant receb'!B32,"LEI code","Type of identifier, other than LEI or MFI code")</f>
        <v>LEI code</v>
      </c>
      <c r="J38" s="10" t="str">
        <f>+IF(OR('Intragrupo garant receb'!H32="x",'Intragrupo garant receb'!H32="E"),"TRUE","FALSE")</f>
        <v>FALSE</v>
      </c>
      <c r="K38" s="10" t="s">
        <v>43</v>
      </c>
      <c r="L38" s="10" t="s">
        <v>44</v>
      </c>
      <c r="M38" s="11">
        <f>-'Intragrupo garant receb'!D32</f>
        <v>6784200</v>
      </c>
      <c r="N38" s="10" t="str">
        <f t="shared" si="1"/>
        <v>No</v>
      </c>
      <c r="O38" s="11"/>
      <c r="P38" s="10" t="s">
        <v>45</v>
      </c>
    </row>
    <row r="39" spans="3:16" ht="23.65" thickBot="1">
      <c r="C39" s="21">
        <f t="shared" si="0"/>
        <v>999</v>
      </c>
      <c r="D39" s="19">
        <f t="shared" si="2"/>
        <v>32</v>
      </c>
      <c r="E39" s="10" t="s">
        <v>41</v>
      </c>
      <c r="F39" s="10" t="s">
        <v>84</v>
      </c>
      <c r="G39" s="10" t="s">
        <v>55</v>
      </c>
      <c r="H39" s="10" t="str">
        <f>+IF(OR('Intragrupo garant receb'!B33="",'Intragrupo garant receb'!B33="#"),'Intragrupo garant receb'!C33,'Intragrupo garant receb'!B33)</f>
        <v>549300URJH9VSI58CS32</v>
      </c>
      <c r="I39" s="10" t="str">
        <f>IF(H39='Intragrupo garant receb'!B33,"LEI code","Type of identifier, other than LEI or MFI code")</f>
        <v>LEI code</v>
      </c>
      <c r="J39" s="10" t="str">
        <f>+IF(OR('Intragrupo garant receb'!H33="x",'Intragrupo garant receb'!H33="E"),"TRUE","FALSE")</f>
        <v>FALSE</v>
      </c>
      <c r="K39" s="10" t="s">
        <v>43</v>
      </c>
      <c r="L39" s="10" t="s">
        <v>44</v>
      </c>
      <c r="M39" s="11">
        <f>-'Intragrupo garant receb'!D33</f>
        <v>1182600</v>
      </c>
      <c r="N39" s="10" t="str">
        <f t="shared" si="1"/>
        <v>No</v>
      </c>
      <c r="O39" s="11"/>
      <c r="P39" s="10" t="s">
        <v>45</v>
      </c>
    </row>
    <row r="40" spans="3:16" ht="23.65" thickBot="1">
      <c r="C40" s="21">
        <f t="shared" si="0"/>
        <v>999</v>
      </c>
      <c r="D40" s="19">
        <f t="shared" si="2"/>
        <v>33</v>
      </c>
      <c r="E40" s="10" t="s">
        <v>41</v>
      </c>
      <c r="F40" s="10" t="s">
        <v>85</v>
      </c>
      <c r="G40" s="10" t="s">
        <v>55</v>
      </c>
      <c r="H40" s="10" t="str">
        <f>+IF(OR('Intragrupo garant receb'!B34="",'Intragrupo garant receb'!B34="#"),'Intragrupo garant receb'!C34,'Intragrupo garant receb'!B34)</f>
        <v>549300URJH9VSI58CS32</v>
      </c>
      <c r="I40" s="10" t="str">
        <f>IF(H40='Intragrupo garant receb'!B34,"LEI code","Type of identifier, other than LEI or MFI code")</f>
        <v>LEI code</v>
      </c>
      <c r="J40" s="10" t="str">
        <f>+IF(OR('Intragrupo garant receb'!H34="x",'Intragrupo garant receb'!H34="E"),"TRUE","FALSE")</f>
        <v>FALSE</v>
      </c>
      <c r="K40" s="10" t="s">
        <v>43</v>
      </c>
      <c r="L40" s="10" t="s">
        <v>44</v>
      </c>
      <c r="M40" s="11">
        <f>-'Intragrupo garant receb'!D34</f>
        <v>9000000</v>
      </c>
      <c r="N40" s="10" t="str">
        <f t="shared" si="1"/>
        <v>No</v>
      </c>
      <c r="O40" s="11"/>
      <c r="P40" s="10" t="s">
        <v>45</v>
      </c>
    </row>
    <row r="41" spans="3:16" ht="23.65" thickBot="1">
      <c r="C41" s="21">
        <f t="shared" si="0"/>
        <v>999</v>
      </c>
      <c r="D41" s="19">
        <f t="shared" si="2"/>
        <v>34</v>
      </c>
      <c r="E41" s="10" t="s">
        <v>41</v>
      </c>
      <c r="F41" s="10" t="s">
        <v>86</v>
      </c>
      <c r="G41" s="10" t="s">
        <v>55</v>
      </c>
      <c r="H41" s="10" t="str">
        <f>+IF(OR('Intragrupo garant receb'!B35="",'Intragrupo garant receb'!B35="#"),'Intragrupo garant receb'!C35,'Intragrupo garant receb'!B35)</f>
        <v>549300URJH9VSI58CS32</v>
      </c>
      <c r="I41" s="10" t="str">
        <f>IF(H41='Intragrupo garant receb'!B35,"LEI code","Type of identifier, other than LEI or MFI code")</f>
        <v>LEI code</v>
      </c>
      <c r="J41" s="10" t="str">
        <f>+IF(OR('Intragrupo garant receb'!H35="x",'Intragrupo garant receb'!H35="E"),"TRUE","FALSE")</f>
        <v>FALSE</v>
      </c>
      <c r="K41" s="10" t="s">
        <v>43</v>
      </c>
      <c r="L41" s="10" t="s">
        <v>44</v>
      </c>
      <c r="M41" s="11">
        <f>-'Intragrupo garant receb'!D35</f>
        <v>28800</v>
      </c>
      <c r="N41" s="10" t="str">
        <f t="shared" si="1"/>
        <v>No</v>
      </c>
      <c r="O41" s="11"/>
      <c r="P41" s="10" t="s">
        <v>45</v>
      </c>
    </row>
    <row r="42" spans="3:16" ht="23.65" thickBot="1">
      <c r="C42" s="21">
        <f t="shared" si="0"/>
        <v>999</v>
      </c>
      <c r="D42" s="19">
        <f t="shared" si="2"/>
        <v>35</v>
      </c>
      <c r="E42" s="10" t="s">
        <v>41</v>
      </c>
      <c r="F42" s="10" t="s">
        <v>87</v>
      </c>
      <c r="G42" s="10" t="s">
        <v>55</v>
      </c>
      <c r="H42" s="10" t="str">
        <f>+IF(OR('Intragrupo garant receb'!B36="",'Intragrupo garant receb'!B36="#"),'Intragrupo garant receb'!C36,'Intragrupo garant receb'!B36)</f>
        <v>549300URJH9VSI58CS32</v>
      </c>
      <c r="I42" s="10" t="str">
        <f>IF(H42='Intragrupo garant receb'!B36,"LEI code","Type of identifier, other than LEI or MFI code")</f>
        <v>LEI code</v>
      </c>
      <c r="J42" s="10" t="str">
        <f>+IF(OR('Intragrupo garant receb'!H36="x",'Intragrupo garant receb'!H36="E"),"TRUE","FALSE")</f>
        <v>FALSE</v>
      </c>
      <c r="K42" s="10" t="s">
        <v>43</v>
      </c>
      <c r="L42" s="10" t="s">
        <v>44</v>
      </c>
      <c r="M42" s="11">
        <f>-'Intragrupo garant receb'!D36</f>
        <v>40500</v>
      </c>
      <c r="N42" s="10" t="str">
        <f t="shared" si="1"/>
        <v>No</v>
      </c>
      <c r="O42" s="11"/>
      <c r="P42" s="10" t="s">
        <v>45</v>
      </c>
    </row>
    <row r="43" spans="3:16" ht="23.65" thickBot="1">
      <c r="C43" s="21">
        <f t="shared" si="0"/>
        <v>999</v>
      </c>
      <c r="D43" s="19">
        <f t="shared" si="2"/>
        <v>36</v>
      </c>
      <c r="E43" s="10" t="s">
        <v>41</v>
      </c>
      <c r="F43" s="10" t="s">
        <v>88</v>
      </c>
      <c r="G43" s="10" t="s">
        <v>55</v>
      </c>
      <c r="H43" s="10" t="str">
        <f>+IF(OR('Intragrupo garant receb'!B37="",'Intragrupo garant receb'!B37="#"),'Intragrupo garant receb'!C37,'Intragrupo garant receb'!B37)</f>
        <v>549300URJH9VSI58CS32</v>
      </c>
      <c r="I43" s="10" t="str">
        <f>IF(H43='Intragrupo garant receb'!B37,"LEI code","Type of identifier, other than LEI or MFI code")</f>
        <v>LEI code</v>
      </c>
      <c r="J43" s="10" t="str">
        <f>+IF(OR('Intragrupo garant receb'!H37="x",'Intragrupo garant receb'!H37="E"),"TRUE","FALSE")</f>
        <v>FALSE</v>
      </c>
      <c r="K43" s="10" t="s">
        <v>43</v>
      </c>
      <c r="L43" s="10" t="s">
        <v>44</v>
      </c>
      <c r="M43" s="11">
        <f>-'Intragrupo garant receb'!D37</f>
        <v>4451532.4800000004</v>
      </c>
      <c r="N43" s="10" t="str">
        <f t="shared" si="1"/>
        <v>No</v>
      </c>
      <c r="O43" s="11"/>
      <c r="P43" s="10" t="s">
        <v>45</v>
      </c>
    </row>
    <row r="44" spans="3:16" ht="23.65" thickBot="1">
      <c r="C44" s="21">
        <f t="shared" si="0"/>
        <v>999</v>
      </c>
      <c r="D44" s="19">
        <f t="shared" si="2"/>
        <v>37</v>
      </c>
      <c r="E44" s="10" t="s">
        <v>41</v>
      </c>
      <c r="F44" s="10" t="s">
        <v>89</v>
      </c>
      <c r="G44" s="10" t="s">
        <v>55</v>
      </c>
      <c r="H44" s="10" t="str">
        <f>+IF(OR('Intragrupo garant receb'!B38="",'Intragrupo garant receb'!B38="#"),'Intragrupo garant receb'!C38,'Intragrupo garant receb'!B38)</f>
        <v>549300URJH9VSI58CS32</v>
      </c>
      <c r="I44" s="10" t="str">
        <f>IF(H44='Intragrupo garant receb'!B38,"LEI code","Type of identifier, other than LEI or MFI code")</f>
        <v>LEI code</v>
      </c>
      <c r="J44" s="10" t="str">
        <f>+IF(OR('Intragrupo garant receb'!H38="x",'Intragrupo garant receb'!H38="E"),"TRUE","FALSE")</f>
        <v>FALSE</v>
      </c>
      <c r="K44" s="10" t="s">
        <v>43</v>
      </c>
      <c r="L44" s="10" t="s">
        <v>44</v>
      </c>
      <c r="M44" s="11">
        <f>-'Intragrupo garant receb'!D38</f>
        <v>824000</v>
      </c>
      <c r="N44" s="10" t="str">
        <f t="shared" si="1"/>
        <v>No</v>
      </c>
      <c r="O44" s="11"/>
      <c r="P44" s="10" t="s">
        <v>45</v>
      </c>
    </row>
    <row r="45" spans="3:16" ht="23.65" thickBot="1">
      <c r="C45" s="21">
        <f t="shared" si="0"/>
        <v>999</v>
      </c>
      <c r="D45" s="19">
        <f t="shared" si="2"/>
        <v>38</v>
      </c>
      <c r="E45" s="10" t="s">
        <v>41</v>
      </c>
      <c r="F45" s="10" t="s">
        <v>90</v>
      </c>
      <c r="G45" s="10" t="s">
        <v>55</v>
      </c>
      <c r="H45" s="10" t="str">
        <f>+IF(OR('Intragrupo garant receb'!B39="",'Intragrupo garant receb'!B39="#"),'Intragrupo garant receb'!C39,'Intragrupo garant receb'!B39)</f>
        <v>549300URJH9VSI58CS32</v>
      </c>
      <c r="I45" s="10" t="str">
        <f>IF(H45='Intragrupo garant receb'!B39,"LEI code","Type of identifier, other than LEI or MFI code")</f>
        <v>LEI code</v>
      </c>
      <c r="J45" s="10" t="str">
        <f>+IF(OR('Intragrupo garant receb'!H39="x",'Intragrupo garant receb'!H39="E"),"TRUE","FALSE")</f>
        <v>FALSE</v>
      </c>
      <c r="K45" s="10" t="s">
        <v>43</v>
      </c>
      <c r="L45" s="10" t="s">
        <v>44</v>
      </c>
      <c r="M45" s="11">
        <f>-'Intragrupo garant receb'!D39</f>
        <v>307200</v>
      </c>
      <c r="N45" s="10" t="str">
        <f t="shared" si="1"/>
        <v>No</v>
      </c>
      <c r="O45" s="11"/>
      <c r="P45" s="10" t="s">
        <v>45</v>
      </c>
    </row>
    <row r="46" spans="3:16" ht="23.65" thickBot="1">
      <c r="C46" s="21">
        <f t="shared" si="0"/>
        <v>999</v>
      </c>
      <c r="D46" s="19">
        <f t="shared" si="2"/>
        <v>39</v>
      </c>
      <c r="E46" s="10" t="s">
        <v>41</v>
      </c>
      <c r="F46" s="10" t="s">
        <v>91</v>
      </c>
      <c r="G46" s="10" t="s">
        <v>55</v>
      </c>
      <c r="H46" s="10" t="str">
        <f>+IF(OR('Intragrupo garant receb'!B40="",'Intragrupo garant receb'!B40="#"),'Intragrupo garant receb'!C40,'Intragrupo garant receb'!B40)</f>
        <v>549300URJH9VSI58CS32</v>
      </c>
      <c r="I46" s="10" t="str">
        <f>IF(H46='Intragrupo garant receb'!B40,"LEI code","Type of identifier, other than LEI or MFI code")</f>
        <v>LEI code</v>
      </c>
      <c r="J46" s="10" t="str">
        <f>+IF(OR('Intragrupo garant receb'!H40="x",'Intragrupo garant receb'!H40="E"),"TRUE","FALSE")</f>
        <v>FALSE</v>
      </c>
      <c r="K46" s="10" t="s">
        <v>43</v>
      </c>
      <c r="L46" s="10" t="s">
        <v>44</v>
      </c>
      <c r="M46" s="11">
        <f>-'Intragrupo garant receb'!D40</f>
        <v>1225500</v>
      </c>
      <c r="N46" s="10" t="str">
        <f t="shared" si="1"/>
        <v>No</v>
      </c>
      <c r="O46" s="11"/>
      <c r="P46" s="10" t="s">
        <v>45</v>
      </c>
    </row>
    <row r="47" spans="3:16" ht="23.65" thickBot="1">
      <c r="C47" s="21">
        <f t="shared" si="0"/>
        <v>999</v>
      </c>
      <c r="D47" s="19">
        <f t="shared" si="2"/>
        <v>40</v>
      </c>
      <c r="E47" s="10" t="s">
        <v>41</v>
      </c>
      <c r="F47" s="10" t="s">
        <v>92</v>
      </c>
      <c r="G47" s="10" t="s">
        <v>55</v>
      </c>
      <c r="H47" s="10" t="str">
        <f>+IF(OR('Intragrupo garant receb'!B41="",'Intragrupo garant receb'!B41="#"),'Intragrupo garant receb'!C41,'Intragrupo garant receb'!B41)</f>
        <v>549300URJH9VSI58CS32</v>
      </c>
      <c r="I47" s="10" t="str">
        <f>IF(H47='Intragrupo garant receb'!B41,"LEI code","Type of identifier, other than LEI or MFI code")</f>
        <v>LEI code</v>
      </c>
      <c r="J47" s="10" t="str">
        <f>+IF(OR('Intragrupo garant receb'!H41="x",'Intragrupo garant receb'!H41="E"),"TRUE","FALSE")</f>
        <v>FALSE</v>
      </c>
      <c r="K47" s="10" t="s">
        <v>43</v>
      </c>
      <c r="L47" s="10" t="s">
        <v>44</v>
      </c>
      <c r="M47" s="11">
        <f>-'Intragrupo garant receb'!D41</f>
        <v>235000</v>
      </c>
      <c r="N47" s="10" t="str">
        <f t="shared" si="1"/>
        <v>No</v>
      </c>
      <c r="O47" s="11"/>
      <c r="P47" s="10" t="s">
        <v>45</v>
      </c>
    </row>
    <row r="48" spans="3:16" ht="23.65" thickBot="1">
      <c r="C48" s="21">
        <f t="shared" si="0"/>
        <v>999</v>
      </c>
      <c r="D48" s="19">
        <f t="shared" si="2"/>
        <v>41</v>
      </c>
      <c r="E48" s="10" t="s">
        <v>41</v>
      </c>
      <c r="F48" s="10" t="s">
        <v>93</v>
      </c>
      <c r="G48" s="10" t="s">
        <v>55</v>
      </c>
      <c r="H48" s="10" t="str">
        <f>+IF(OR('Intragrupo garant receb'!B42="",'Intragrupo garant receb'!B42="#"),'Intragrupo garant receb'!C42,'Intragrupo garant receb'!B42)</f>
        <v>549300URJH9VSI58CS32</v>
      </c>
      <c r="I48" s="10" t="str">
        <f>IF(H48='Intragrupo garant receb'!B42,"LEI code","Type of identifier, other than LEI or MFI code")</f>
        <v>LEI code</v>
      </c>
      <c r="J48" s="10" t="str">
        <f>+IF(OR('Intragrupo garant receb'!H42="x",'Intragrupo garant receb'!H42="E"),"TRUE","FALSE")</f>
        <v>FALSE</v>
      </c>
      <c r="K48" s="10" t="s">
        <v>43</v>
      </c>
      <c r="L48" s="10" t="s">
        <v>44</v>
      </c>
      <c r="M48" s="11">
        <f>-'Intragrupo garant receb'!D42</f>
        <v>98000</v>
      </c>
      <c r="N48" s="10" t="str">
        <f t="shared" si="1"/>
        <v>No</v>
      </c>
      <c r="O48" s="11"/>
      <c r="P48" s="10" t="s">
        <v>45</v>
      </c>
    </row>
    <row r="49" spans="3:16" ht="23.65" thickBot="1">
      <c r="C49" s="21">
        <f t="shared" si="0"/>
        <v>999</v>
      </c>
      <c r="D49" s="19">
        <f t="shared" si="2"/>
        <v>42</v>
      </c>
      <c r="E49" s="10" t="s">
        <v>41</v>
      </c>
      <c r="F49" s="10" t="s">
        <v>94</v>
      </c>
      <c r="G49" s="10" t="s">
        <v>55</v>
      </c>
      <c r="H49" s="10" t="str">
        <f>+IF(OR('Intragrupo garant receb'!B43="",'Intragrupo garant receb'!B43="#"),'Intragrupo garant receb'!C43,'Intragrupo garant receb'!B43)</f>
        <v>549300URJH9VSI58CS32</v>
      </c>
      <c r="I49" s="10" t="str">
        <f>IF(H49='Intragrupo garant receb'!B43,"LEI code","Type of identifier, other than LEI or MFI code")</f>
        <v>LEI code</v>
      </c>
      <c r="J49" s="10" t="str">
        <f>+IF(OR('Intragrupo garant receb'!H43="x",'Intragrupo garant receb'!H43="E"),"TRUE","FALSE")</f>
        <v>FALSE</v>
      </c>
      <c r="K49" s="10" t="s">
        <v>43</v>
      </c>
      <c r="L49" s="10" t="s">
        <v>44</v>
      </c>
      <c r="M49" s="11">
        <f>-'Intragrupo garant receb'!D43</f>
        <v>423955.03</v>
      </c>
      <c r="N49" s="10" t="str">
        <f t="shared" si="1"/>
        <v>No</v>
      </c>
      <c r="O49" s="11"/>
      <c r="P49" s="10" t="s">
        <v>45</v>
      </c>
    </row>
    <row r="50" spans="3:16" ht="23.65" thickBot="1">
      <c r="C50" s="21">
        <f t="shared" si="0"/>
        <v>999</v>
      </c>
      <c r="D50" s="19">
        <f t="shared" si="2"/>
        <v>43</v>
      </c>
      <c r="E50" s="10" t="s">
        <v>41</v>
      </c>
      <c r="F50" s="10" t="s">
        <v>95</v>
      </c>
      <c r="G50" s="10" t="s">
        <v>55</v>
      </c>
      <c r="H50" s="10" t="str">
        <f>+IF(OR('Intragrupo garant receb'!B44="",'Intragrupo garant receb'!B44="#"),'Intragrupo garant receb'!C44,'Intragrupo garant receb'!B44)</f>
        <v>549300URJH9VSI58CS32</v>
      </c>
      <c r="I50" s="10" t="str">
        <f>IF(H50='Intragrupo garant receb'!B44,"LEI code","Type of identifier, other than LEI or MFI code")</f>
        <v>LEI code</v>
      </c>
      <c r="J50" s="10" t="str">
        <f>+IF(OR('Intragrupo garant receb'!H44="x",'Intragrupo garant receb'!H44="E"),"TRUE","FALSE")</f>
        <v>FALSE</v>
      </c>
      <c r="K50" s="10" t="s">
        <v>43</v>
      </c>
      <c r="L50" s="10" t="s">
        <v>44</v>
      </c>
      <c r="M50" s="11">
        <f>-'Intragrupo garant receb'!D44</f>
        <v>27382.27</v>
      </c>
      <c r="N50" s="10" t="str">
        <f t="shared" si="1"/>
        <v>No</v>
      </c>
      <c r="O50" s="11"/>
      <c r="P50" s="10" t="s">
        <v>45</v>
      </c>
    </row>
    <row r="51" spans="3:16" ht="23.65" thickBot="1">
      <c r="C51" s="21">
        <f t="shared" si="0"/>
        <v>999</v>
      </c>
      <c r="D51" s="19">
        <f t="shared" si="2"/>
        <v>44</v>
      </c>
      <c r="E51" s="10" t="s">
        <v>41</v>
      </c>
      <c r="F51" s="10" t="s">
        <v>96</v>
      </c>
      <c r="G51" s="10" t="s">
        <v>55</v>
      </c>
      <c r="H51" s="10" t="str">
        <f>+IF(OR('Intragrupo garant receb'!B45="",'Intragrupo garant receb'!B45="#"),'Intragrupo garant receb'!C45,'Intragrupo garant receb'!B45)</f>
        <v>549300URJH9VSI58CS32</v>
      </c>
      <c r="I51" s="10" t="str">
        <f>IF(H51='Intragrupo garant receb'!B45,"LEI code","Type of identifier, other than LEI or MFI code")</f>
        <v>LEI code</v>
      </c>
      <c r="J51" s="10" t="str">
        <f>+IF(OR('Intragrupo garant receb'!H45="x",'Intragrupo garant receb'!H45="E"),"TRUE","FALSE")</f>
        <v>FALSE</v>
      </c>
      <c r="K51" s="10" t="s">
        <v>43</v>
      </c>
      <c r="L51" s="10" t="s">
        <v>44</v>
      </c>
      <c r="M51" s="11">
        <f>-'Intragrupo garant receb'!D45</f>
        <v>136000</v>
      </c>
      <c r="N51" s="10" t="str">
        <f t="shared" si="1"/>
        <v>No</v>
      </c>
      <c r="O51" s="11"/>
      <c r="P51" s="10" t="s">
        <v>45</v>
      </c>
    </row>
    <row r="52" spans="3:16" ht="23.65" thickBot="1">
      <c r="C52" s="21">
        <f t="shared" si="0"/>
        <v>999</v>
      </c>
      <c r="D52" s="19">
        <f t="shared" si="2"/>
        <v>45</v>
      </c>
      <c r="E52" s="10" t="s">
        <v>41</v>
      </c>
      <c r="F52" s="10" t="s">
        <v>97</v>
      </c>
      <c r="G52" s="10" t="s">
        <v>55</v>
      </c>
      <c r="H52" s="10" t="str">
        <f>+IF(OR('Intragrupo garant receb'!B46="",'Intragrupo garant receb'!B46="#"),'Intragrupo garant receb'!C46,'Intragrupo garant receb'!B46)</f>
        <v>549300URJH9VSI58CS32</v>
      </c>
      <c r="I52" s="10" t="str">
        <f>IF(H52='Intragrupo garant receb'!B46,"LEI code","Type of identifier, other than LEI or MFI code")</f>
        <v>LEI code</v>
      </c>
      <c r="J52" s="10" t="str">
        <f>+IF(OR('Intragrupo garant receb'!H46="x",'Intragrupo garant receb'!H46="E"),"TRUE","FALSE")</f>
        <v>FALSE</v>
      </c>
      <c r="K52" s="10" t="s">
        <v>43</v>
      </c>
      <c r="L52" s="10" t="s">
        <v>44</v>
      </c>
      <c r="M52" s="11">
        <f>-'Intragrupo garant receb'!D46</f>
        <v>44320</v>
      </c>
      <c r="N52" s="10" t="str">
        <f t="shared" si="1"/>
        <v>No</v>
      </c>
      <c r="O52" s="11"/>
      <c r="P52" s="10" t="s">
        <v>45</v>
      </c>
    </row>
    <row r="53" spans="3:16" ht="23.65" thickBot="1">
      <c r="C53" s="21">
        <f t="shared" si="0"/>
        <v>999</v>
      </c>
      <c r="D53" s="19">
        <f t="shared" si="2"/>
        <v>46</v>
      </c>
      <c r="E53" s="10" t="s">
        <v>41</v>
      </c>
      <c r="F53" s="10" t="s">
        <v>98</v>
      </c>
      <c r="G53" s="10" t="s">
        <v>55</v>
      </c>
      <c r="H53" s="10" t="str">
        <f>+IF(OR('Intragrupo garant receb'!B47="",'Intragrupo garant receb'!B47="#"),'Intragrupo garant receb'!C47,'Intragrupo garant receb'!B47)</f>
        <v>549300URJH9VSI58CS32</v>
      </c>
      <c r="I53" s="10" t="str">
        <f>IF(H53='Intragrupo garant receb'!B47,"LEI code","Type of identifier, other than LEI or MFI code")</f>
        <v>LEI code</v>
      </c>
      <c r="J53" s="10" t="str">
        <f>+IF(OR('Intragrupo garant receb'!H47="x",'Intragrupo garant receb'!H47="E"),"TRUE","FALSE")</f>
        <v>FALSE</v>
      </c>
      <c r="K53" s="10" t="s">
        <v>43</v>
      </c>
      <c r="L53" s="10" t="s">
        <v>44</v>
      </c>
      <c r="M53" s="11">
        <f>-'Intragrupo garant receb'!D47</f>
        <v>376900</v>
      </c>
      <c r="N53" s="10" t="str">
        <f t="shared" si="1"/>
        <v>No</v>
      </c>
      <c r="O53" s="11"/>
      <c r="P53" s="10" t="s">
        <v>45</v>
      </c>
    </row>
    <row r="54" spans="3:16" ht="23.65" thickBot="1">
      <c r="C54" s="21">
        <f t="shared" si="0"/>
        <v>999</v>
      </c>
      <c r="D54" s="19">
        <f t="shared" si="2"/>
        <v>47</v>
      </c>
      <c r="E54" s="10" t="s">
        <v>41</v>
      </c>
      <c r="F54" s="10" t="s">
        <v>99</v>
      </c>
      <c r="G54" s="10" t="s">
        <v>55</v>
      </c>
      <c r="H54" s="10" t="str">
        <f>+IF(OR('Intragrupo garant receb'!B48="",'Intragrupo garant receb'!B48="#"),'Intragrupo garant receb'!C48,'Intragrupo garant receb'!B48)</f>
        <v>549300URJH9VSI58CS32</v>
      </c>
      <c r="I54" s="10" t="str">
        <f>IF(H54='Intragrupo garant receb'!B48,"LEI code","Type of identifier, other than LEI or MFI code")</f>
        <v>LEI code</v>
      </c>
      <c r="J54" s="10" t="str">
        <f>+IF(OR('Intragrupo garant receb'!H48="x",'Intragrupo garant receb'!H48="E"),"TRUE","FALSE")</f>
        <v>FALSE</v>
      </c>
      <c r="K54" s="10" t="s">
        <v>43</v>
      </c>
      <c r="L54" s="10" t="s">
        <v>44</v>
      </c>
      <c r="M54" s="11">
        <f>-'Intragrupo garant receb'!D48</f>
        <v>161100</v>
      </c>
      <c r="N54" s="10" t="str">
        <f t="shared" si="1"/>
        <v>No</v>
      </c>
      <c r="O54" s="11"/>
      <c r="P54" s="10" t="s">
        <v>45</v>
      </c>
    </row>
    <row r="55" spans="3:16" ht="23.65" thickBot="1">
      <c r="C55" s="21">
        <f t="shared" si="0"/>
        <v>999</v>
      </c>
      <c r="D55" s="19">
        <f t="shared" si="2"/>
        <v>48</v>
      </c>
      <c r="E55" s="10" t="s">
        <v>41</v>
      </c>
      <c r="F55" s="10" t="s">
        <v>100</v>
      </c>
      <c r="G55" s="10" t="s">
        <v>55</v>
      </c>
      <c r="H55" s="10" t="str">
        <f>+IF(OR('Intragrupo garant receb'!B49="",'Intragrupo garant receb'!B49="#"),'Intragrupo garant receb'!C49,'Intragrupo garant receb'!B49)</f>
        <v>549300URJH9VSI58CS32</v>
      </c>
      <c r="I55" s="10" t="str">
        <f>IF(H55='Intragrupo garant receb'!B49,"LEI code","Type of identifier, other than LEI or MFI code")</f>
        <v>LEI code</v>
      </c>
      <c r="J55" s="10" t="str">
        <f>+IF(OR('Intragrupo garant receb'!H49="x",'Intragrupo garant receb'!H49="E"),"TRUE","FALSE")</f>
        <v>FALSE</v>
      </c>
      <c r="K55" s="10" t="s">
        <v>43</v>
      </c>
      <c r="L55" s="10" t="s">
        <v>44</v>
      </c>
      <c r="M55" s="11">
        <f>-'Intragrupo garant receb'!D49</f>
        <v>39066</v>
      </c>
      <c r="N55" s="10" t="str">
        <f t="shared" si="1"/>
        <v>No</v>
      </c>
      <c r="O55" s="11"/>
      <c r="P55" s="10" t="s">
        <v>45</v>
      </c>
    </row>
    <row r="56" spans="3:16" ht="23.65" thickBot="1">
      <c r="C56" s="21">
        <f t="shared" si="0"/>
        <v>999</v>
      </c>
      <c r="D56" s="19">
        <f t="shared" si="2"/>
        <v>49</v>
      </c>
      <c r="E56" s="10" t="s">
        <v>41</v>
      </c>
      <c r="F56" s="10" t="s">
        <v>101</v>
      </c>
      <c r="G56" s="10" t="s">
        <v>55</v>
      </c>
      <c r="H56" s="10" t="str">
        <f>+IF(OR('Intragrupo garant receb'!B50="",'Intragrupo garant receb'!B50="#"),'Intragrupo garant receb'!C50,'Intragrupo garant receb'!B50)</f>
        <v>549300URJH9VSI58CS32</v>
      </c>
      <c r="I56" s="10" t="str">
        <f>IF(H56='Intragrupo garant receb'!B50,"LEI code","Type of identifier, other than LEI or MFI code")</f>
        <v>LEI code</v>
      </c>
      <c r="J56" s="10" t="str">
        <f>+IF(OR('Intragrupo garant receb'!H50="x",'Intragrupo garant receb'!H50="E"),"TRUE","FALSE")</f>
        <v>FALSE</v>
      </c>
      <c r="K56" s="10" t="s">
        <v>43</v>
      </c>
      <c r="L56" s="10" t="s">
        <v>44</v>
      </c>
      <c r="M56" s="11">
        <f>-'Intragrupo garant receb'!D50</f>
        <v>51040</v>
      </c>
      <c r="N56" s="10" t="str">
        <f t="shared" si="1"/>
        <v>No</v>
      </c>
      <c r="O56" s="11"/>
      <c r="P56" s="10" t="s">
        <v>45</v>
      </c>
    </row>
    <row r="57" spans="3:16" ht="23.65" thickBot="1">
      <c r="C57" s="21">
        <f t="shared" si="0"/>
        <v>999</v>
      </c>
      <c r="D57" s="19">
        <f t="shared" si="2"/>
        <v>50</v>
      </c>
      <c r="E57" s="10" t="s">
        <v>41</v>
      </c>
      <c r="F57" s="10" t="s">
        <v>102</v>
      </c>
      <c r="G57" s="10" t="s">
        <v>55</v>
      </c>
      <c r="H57" s="10" t="str">
        <f>+IF(OR('Intragrupo garant receb'!B51="",'Intragrupo garant receb'!B51="#"),'Intragrupo garant receb'!C51,'Intragrupo garant receb'!B51)</f>
        <v>549300URJH9VSI58CS32</v>
      </c>
      <c r="I57" s="10" t="str">
        <f>IF(H57='Intragrupo garant receb'!B51,"LEI code","Type of identifier, other than LEI or MFI code")</f>
        <v>LEI code</v>
      </c>
      <c r="J57" s="10" t="str">
        <f>+IF(OR('Intragrupo garant receb'!H51="x",'Intragrupo garant receb'!H51="E"),"TRUE","FALSE")</f>
        <v>FALSE</v>
      </c>
      <c r="K57" s="10" t="s">
        <v>43</v>
      </c>
      <c r="L57" s="10" t="s">
        <v>44</v>
      </c>
      <c r="M57" s="11">
        <f>-'Intragrupo garant receb'!D51</f>
        <v>58160</v>
      </c>
      <c r="N57" s="10" t="str">
        <f t="shared" si="1"/>
        <v>No</v>
      </c>
      <c r="O57" s="11"/>
      <c r="P57" s="10" t="s">
        <v>45</v>
      </c>
    </row>
    <row r="58" spans="3:16" ht="23.65" thickBot="1">
      <c r="C58" s="21">
        <f t="shared" si="0"/>
        <v>999</v>
      </c>
      <c r="D58" s="19">
        <f t="shared" si="2"/>
        <v>51</v>
      </c>
      <c r="E58" s="10" t="s">
        <v>41</v>
      </c>
      <c r="F58" s="10" t="s">
        <v>103</v>
      </c>
      <c r="G58" s="10" t="s">
        <v>55</v>
      </c>
      <c r="H58" s="10" t="str">
        <f>+IF(OR('Intragrupo garant receb'!B52="",'Intragrupo garant receb'!B52="#"),'Intragrupo garant receb'!C52,'Intragrupo garant receb'!B52)</f>
        <v>549300URJH9VSI58CS32</v>
      </c>
      <c r="I58" s="10" t="str">
        <f>IF(H58='Intragrupo garant receb'!B52,"LEI code","Type of identifier, other than LEI or MFI code")</f>
        <v>LEI code</v>
      </c>
      <c r="J58" s="10" t="str">
        <f>+IF(OR('Intragrupo garant receb'!H52="x",'Intragrupo garant receb'!H52="E"),"TRUE","FALSE")</f>
        <v>FALSE</v>
      </c>
      <c r="K58" s="10" t="s">
        <v>43</v>
      </c>
      <c r="L58" s="10" t="s">
        <v>44</v>
      </c>
      <c r="M58" s="11">
        <f>-'Intragrupo garant receb'!D52</f>
        <v>571611.15</v>
      </c>
      <c r="N58" s="10" t="str">
        <f t="shared" si="1"/>
        <v>No</v>
      </c>
      <c r="O58" s="11"/>
      <c r="P58" s="10" t="s">
        <v>45</v>
      </c>
    </row>
    <row r="59" spans="3:16" ht="23.65" thickBot="1">
      <c r="C59" s="21">
        <f t="shared" si="0"/>
        <v>999</v>
      </c>
      <c r="D59" s="19">
        <f t="shared" si="2"/>
        <v>52</v>
      </c>
      <c r="E59" s="10" t="s">
        <v>41</v>
      </c>
      <c r="F59" s="10" t="s">
        <v>104</v>
      </c>
      <c r="G59" s="10" t="s">
        <v>55</v>
      </c>
      <c r="H59" s="10" t="str">
        <f>+IF(OR('Intragrupo garant receb'!B53="",'Intragrupo garant receb'!B53="#"),'Intragrupo garant receb'!C53,'Intragrupo garant receb'!B53)</f>
        <v>549300URJH9VSI58CS32</v>
      </c>
      <c r="I59" s="10" t="str">
        <f>IF(H59='Intragrupo garant receb'!B53,"LEI code","Type of identifier, other than LEI or MFI code")</f>
        <v>LEI code</v>
      </c>
      <c r="J59" s="10" t="str">
        <f>+IF(OR('Intragrupo garant receb'!H53="x",'Intragrupo garant receb'!H53="E"),"TRUE","FALSE")</f>
        <v>FALSE</v>
      </c>
      <c r="K59" s="10" t="s">
        <v>43</v>
      </c>
      <c r="L59" s="10" t="s">
        <v>44</v>
      </c>
      <c r="M59" s="11">
        <f>-'Intragrupo garant receb'!D53</f>
        <v>13000</v>
      </c>
      <c r="N59" s="10" t="str">
        <f t="shared" si="1"/>
        <v>No</v>
      </c>
      <c r="O59" s="11"/>
      <c r="P59" s="10" t="s">
        <v>45</v>
      </c>
    </row>
    <row r="60" spans="3:16" ht="23.65" thickBot="1">
      <c r="C60" s="21">
        <f t="shared" si="0"/>
        <v>999</v>
      </c>
      <c r="D60" s="19">
        <f t="shared" si="2"/>
        <v>53</v>
      </c>
      <c r="E60" s="10" t="s">
        <v>41</v>
      </c>
      <c r="F60" s="10" t="s">
        <v>105</v>
      </c>
      <c r="G60" s="10" t="s">
        <v>55</v>
      </c>
      <c r="H60" s="10" t="str">
        <f>+IF(OR('Intragrupo garant receb'!B54="",'Intragrupo garant receb'!B54="#"),'Intragrupo garant receb'!C54,'Intragrupo garant receb'!B54)</f>
        <v>549300URJH9VSI58CS32</v>
      </c>
      <c r="I60" s="10" t="str">
        <f>IF(H60='Intragrupo garant receb'!B54,"LEI code","Type of identifier, other than LEI or MFI code")</f>
        <v>LEI code</v>
      </c>
      <c r="J60" s="10" t="str">
        <f>+IF(OR('Intragrupo garant receb'!H54="x",'Intragrupo garant receb'!H54="E"),"TRUE","FALSE")</f>
        <v>FALSE</v>
      </c>
      <c r="K60" s="10" t="s">
        <v>43</v>
      </c>
      <c r="L60" s="10" t="s">
        <v>44</v>
      </c>
      <c r="M60" s="11">
        <f>-'Intragrupo garant receb'!D54</f>
        <v>2592000</v>
      </c>
      <c r="N60" s="10" t="str">
        <f t="shared" si="1"/>
        <v>No</v>
      </c>
      <c r="O60" s="11"/>
      <c r="P60" s="10" t="s">
        <v>45</v>
      </c>
    </row>
    <row r="61" spans="3:16" ht="23.65" thickBot="1">
      <c r="C61" s="21">
        <f t="shared" si="0"/>
        <v>999</v>
      </c>
      <c r="D61" s="19">
        <f t="shared" si="2"/>
        <v>54</v>
      </c>
      <c r="E61" s="10" t="s">
        <v>41</v>
      </c>
      <c r="F61" s="10" t="s">
        <v>106</v>
      </c>
      <c r="G61" s="10" t="s">
        <v>55</v>
      </c>
      <c r="H61" s="10" t="str">
        <f>+IF(OR('Intragrupo garant receb'!B55="",'Intragrupo garant receb'!B55="#"),'Intragrupo garant receb'!C55,'Intragrupo garant receb'!B55)</f>
        <v>549300URJH9VSI58CS32</v>
      </c>
      <c r="I61" s="10" t="str">
        <f>IF(H61='Intragrupo garant receb'!B55,"LEI code","Type of identifier, other than LEI or MFI code")</f>
        <v>LEI code</v>
      </c>
      <c r="J61" s="10" t="str">
        <f>+IF(OR('Intragrupo garant receb'!H55="x",'Intragrupo garant receb'!H55="E"),"TRUE","FALSE")</f>
        <v>FALSE</v>
      </c>
      <c r="K61" s="10" t="s">
        <v>43</v>
      </c>
      <c r="L61" s="10" t="s">
        <v>44</v>
      </c>
      <c r="M61" s="11">
        <f>-'Intragrupo garant receb'!D55</f>
        <v>265000</v>
      </c>
      <c r="N61" s="10" t="str">
        <f t="shared" si="1"/>
        <v>No</v>
      </c>
      <c r="O61" s="11"/>
      <c r="P61" s="10" t="s">
        <v>45</v>
      </c>
    </row>
    <row r="62" spans="3:16" ht="23.65" thickBot="1">
      <c r="C62" s="21">
        <f t="shared" si="0"/>
        <v>999</v>
      </c>
      <c r="D62" s="19">
        <f t="shared" si="2"/>
        <v>55</v>
      </c>
      <c r="E62" s="10" t="s">
        <v>41</v>
      </c>
      <c r="F62" s="10" t="s">
        <v>107</v>
      </c>
      <c r="G62" s="10" t="s">
        <v>55</v>
      </c>
      <c r="H62" s="10" t="str">
        <f>+IF(OR('Intragrupo garant receb'!B56="",'Intragrupo garant receb'!B56="#"),'Intragrupo garant receb'!C56,'Intragrupo garant receb'!B56)</f>
        <v>549300URJH9VSI58CS32</v>
      </c>
      <c r="I62" s="10" t="str">
        <f>IF(H62='Intragrupo garant receb'!B56,"LEI code","Type of identifier, other than LEI or MFI code")</f>
        <v>LEI code</v>
      </c>
      <c r="J62" s="10" t="str">
        <f>+IF(OR('Intragrupo garant receb'!H56="x",'Intragrupo garant receb'!H56="E"),"TRUE","FALSE")</f>
        <v>FALSE</v>
      </c>
      <c r="K62" s="10" t="s">
        <v>43</v>
      </c>
      <c r="L62" s="10" t="s">
        <v>44</v>
      </c>
      <c r="M62" s="11">
        <f>-'Intragrupo garant receb'!D56</f>
        <v>32000</v>
      </c>
      <c r="N62" s="10" t="str">
        <f t="shared" si="1"/>
        <v>No</v>
      </c>
      <c r="O62" s="11"/>
      <c r="P62" s="10" t="s">
        <v>45</v>
      </c>
    </row>
    <row r="63" spans="3:16" ht="23.65" thickBot="1">
      <c r="C63" s="21">
        <f t="shared" si="0"/>
        <v>999</v>
      </c>
      <c r="D63" s="19">
        <f t="shared" si="2"/>
        <v>56</v>
      </c>
      <c r="E63" s="10" t="s">
        <v>41</v>
      </c>
      <c r="F63" s="10" t="s">
        <v>108</v>
      </c>
      <c r="G63" s="10" t="s">
        <v>55</v>
      </c>
      <c r="H63" s="10" t="str">
        <f>+IF(OR('Intragrupo garant receb'!B57="",'Intragrupo garant receb'!B57="#"),'Intragrupo garant receb'!C57,'Intragrupo garant receb'!B57)</f>
        <v>549300URJH9VSI58CS32</v>
      </c>
      <c r="I63" s="10" t="str">
        <f>IF(H63='Intragrupo garant receb'!B57,"LEI code","Type of identifier, other than LEI or MFI code")</f>
        <v>LEI code</v>
      </c>
      <c r="J63" s="10" t="str">
        <f>+IF(OR('Intragrupo garant receb'!H57="x",'Intragrupo garant receb'!H57="E"),"TRUE","FALSE")</f>
        <v>FALSE</v>
      </c>
      <c r="K63" s="10" t="s">
        <v>43</v>
      </c>
      <c r="L63" s="10" t="s">
        <v>44</v>
      </c>
      <c r="M63" s="11">
        <f>-'Intragrupo garant receb'!D57</f>
        <v>38400</v>
      </c>
      <c r="N63" s="10" t="str">
        <f t="shared" si="1"/>
        <v>No</v>
      </c>
      <c r="O63" s="11"/>
      <c r="P63" s="10" t="s">
        <v>45</v>
      </c>
    </row>
    <row r="64" spans="3:16" ht="23.65" thickBot="1">
      <c r="C64" s="21">
        <f t="shared" si="0"/>
        <v>999</v>
      </c>
      <c r="D64" s="19">
        <f t="shared" si="2"/>
        <v>57</v>
      </c>
      <c r="E64" s="10" t="s">
        <v>41</v>
      </c>
      <c r="F64" s="10" t="s">
        <v>109</v>
      </c>
      <c r="G64" s="10" t="s">
        <v>55</v>
      </c>
      <c r="H64" s="10" t="str">
        <f>+IF(OR('Intragrupo garant receb'!B58="",'Intragrupo garant receb'!B58="#"),'Intragrupo garant receb'!C58,'Intragrupo garant receb'!B58)</f>
        <v>549300URJH9VSI58CS32</v>
      </c>
      <c r="I64" s="10" t="str">
        <f>IF(H64='Intragrupo garant receb'!B58,"LEI code","Type of identifier, other than LEI or MFI code")</f>
        <v>LEI code</v>
      </c>
      <c r="J64" s="10" t="str">
        <f>+IF(OR('Intragrupo garant receb'!H58="x",'Intragrupo garant receb'!H58="E"),"TRUE","FALSE")</f>
        <v>FALSE</v>
      </c>
      <c r="K64" s="10" t="s">
        <v>43</v>
      </c>
      <c r="L64" s="10" t="s">
        <v>44</v>
      </c>
      <c r="M64" s="11">
        <f>-'Intragrupo garant receb'!D58</f>
        <v>120000</v>
      </c>
      <c r="N64" s="10" t="str">
        <f t="shared" si="1"/>
        <v>No</v>
      </c>
      <c r="O64" s="11"/>
      <c r="P64" s="10" t="s">
        <v>45</v>
      </c>
    </row>
    <row r="65" spans="3:16" ht="23.65" thickBot="1">
      <c r="C65" s="21">
        <f t="shared" si="0"/>
        <v>999</v>
      </c>
      <c r="D65" s="19">
        <f t="shared" si="2"/>
        <v>58</v>
      </c>
      <c r="E65" s="10" t="s">
        <v>41</v>
      </c>
      <c r="F65" s="10" t="s">
        <v>110</v>
      </c>
      <c r="G65" s="10" t="s">
        <v>55</v>
      </c>
      <c r="H65" s="10" t="str">
        <f>+IF(OR('Intragrupo garant receb'!B59="",'Intragrupo garant receb'!B59="#"),'Intragrupo garant receb'!C59,'Intragrupo garant receb'!B59)</f>
        <v>549300URJH9VSI58CS32</v>
      </c>
      <c r="I65" s="10" t="str">
        <f>IF(H65='Intragrupo garant receb'!B59,"LEI code","Type of identifier, other than LEI or MFI code")</f>
        <v>LEI code</v>
      </c>
      <c r="J65" s="10" t="str">
        <f>+IF(OR('Intragrupo garant receb'!H59="x",'Intragrupo garant receb'!H59="E"),"TRUE","FALSE")</f>
        <v>FALSE</v>
      </c>
      <c r="K65" s="10" t="s">
        <v>43</v>
      </c>
      <c r="L65" s="10" t="s">
        <v>44</v>
      </c>
      <c r="M65" s="11">
        <f>-'Intragrupo garant receb'!D59</f>
        <v>82441.5</v>
      </c>
      <c r="N65" s="10" t="str">
        <f t="shared" si="1"/>
        <v>No</v>
      </c>
      <c r="O65" s="11"/>
      <c r="P65" s="10" t="s">
        <v>45</v>
      </c>
    </row>
    <row r="66" spans="3:16" ht="23.65" thickBot="1">
      <c r="C66" s="21">
        <f t="shared" si="0"/>
        <v>999</v>
      </c>
      <c r="D66" s="19">
        <f t="shared" si="2"/>
        <v>59</v>
      </c>
      <c r="E66" s="10" t="s">
        <v>41</v>
      </c>
      <c r="F66" s="10" t="s">
        <v>111</v>
      </c>
      <c r="G66" s="10" t="s">
        <v>55</v>
      </c>
      <c r="H66" s="10" t="str">
        <f>+IF(OR('Intragrupo garant receb'!B60="",'Intragrupo garant receb'!B60="#"),'Intragrupo garant receb'!C60,'Intragrupo garant receb'!B60)</f>
        <v>549300URJH9VSI58CS32</v>
      </c>
      <c r="I66" s="10" t="str">
        <f>IF(H66='Intragrupo garant receb'!B60,"LEI code","Type of identifier, other than LEI or MFI code")</f>
        <v>LEI code</v>
      </c>
      <c r="J66" s="10" t="str">
        <f>+IF(OR('Intragrupo garant receb'!H60="x",'Intragrupo garant receb'!H60="E"),"TRUE","FALSE")</f>
        <v>FALSE</v>
      </c>
      <c r="K66" s="10" t="s">
        <v>43</v>
      </c>
      <c r="L66" s="10" t="s">
        <v>44</v>
      </c>
      <c r="M66" s="11">
        <f>-'Intragrupo garant receb'!D60</f>
        <v>20700</v>
      </c>
      <c r="N66" s="10" t="str">
        <f t="shared" si="1"/>
        <v>No</v>
      </c>
      <c r="O66" s="11"/>
      <c r="P66" s="10" t="s">
        <v>45</v>
      </c>
    </row>
    <row r="67" spans="3:16" ht="23.65" thickBot="1">
      <c r="C67" s="21">
        <f t="shared" si="0"/>
        <v>999</v>
      </c>
      <c r="D67" s="19">
        <f t="shared" si="2"/>
        <v>60</v>
      </c>
      <c r="E67" s="10" t="s">
        <v>41</v>
      </c>
      <c r="F67" s="10" t="s">
        <v>112</v>
      </c>
      <c r="G67" s="10" t="s">
        <v>55</v>
      </c>
      <c r="H67" s="10" t="str">
        <f>+IF(OR('Intragrupo garant receb'!B61="",'Intragrupo garant receb'!B61="#"),'Intragrupo garant receb'!C61,'Intragrupo garant receb'!B61)</f>
        <v>549300URJH9VSI58CS32</v>
      </c>
      <c r="I67" s="10" t="str">
        <f>IF(H67='Intragrupo garant receb'!B61,"LEI code","Type of identifier, other than LEI or MFI code")</f>
        <v>LEI code</v>
      </c>
      <c r="J67" s="10" t="str">
        <f>+IF(OR('Intragrupo garant receb'!H61="x",'Intragrupo garant receb'!H61="E"),"TRUE","FALSE")</f>
        <v>FALSE</v>
      </c>
      <c r="K67" s="10" t="s">
        <v>43</v>
      </c>
      <c r="L67" s="10" t="s">
        <v>44</v>
      </c>
      <c r="M67" s="11">
        <f>-'Intragrupo garant receb'!D61</f>
        <v>1014000</v>
      </c>
      <c r="N67" s="10" t="str">
        <f t="shared" si="1"/>
        <v>No</v>
      </c>
      <c r="O67" s="11"/>
      <c r="P67" s="10" t="s">
        <v>45</v>
      </c>
    </row>
    <row r="68" spans="3:16" ht="23.65" thickBot="1">
      <c r="C68" s="21">
        <f t="shared" si="0"/>
        <v>999</v>
      </c>
      <c r="D68" s="19">
        <f t="shared" si="2"/>
        <v>61</v>
      </c>
      <c r="E68" s="10" t="s">
        <v>41</v>
      </c>
      <c r="F68" s="10" t="s">
        <v>113</v>
      </c>
      <c r="G68" s="10" t="s">
        <v>55</v>
      </c>
      <c r="H68" s="10" t="str">
        <f>+IF(OR('Intragrupo garant receb'!B62="",'Intragrupo garant receb'!B62="#"),'Intragrupo garant receb'!C62,'Intragrupo garant receb'!B62)</f>
        <v>549300URJH9VSI58CS32</v>
      </c>
      <c r="I68" s="10" t="str">
        <f>IF(H68='Intragrupo garant receb'!B62,"LEI code","Type of identifier, other than LEI or MFI code")</f>
        <v>LEI code</v>
      </c>
      <c r="J68" s="10" t="str">
        <f>+IF(OR('Intragrupo garant receb'!H62="x",'Intragrupo garant receb'!H62="E"),"TRUE","FALSE")</f>
        <v>FALSE</v>
      </c>
      <c r="K68" s="10" t="s">
        <v>43</v>
      </c>
      <c r="L68" s="10" t="s">
        <v>44</v>
      </c>
      <c r="M68" s="11">
        <f>-'Intragrupo garant receb'!D62</f>
        <v>179360</v>
      </c>
      <c r="N68" s="10" t="str">
        <f t="shared" si="1"/>
        <v>No</v>
      </c>
      <c r="O68" s="11"/>
      <c r="P68" s="10" t="s">
        <v>45</v>
      </c>
    </row>
    <row r="69" spans="3:16" ht="23.65" thickBot="1">
      <c r="C69" s="21">
        <f t="shared" si="0"/>
        <v>999</v>
      </c>
      <c r="D69" s="19">
        <f t="shared" si="2"/>
        <v>62</v>
      </c>
      <c r="E69" s="10" t="s">
        <v>41</v>
      </c>
      <c r="F69" s="10" t="s">
        <v>114</v>
      </c>
      <c r="G69" s="10" t="s">
        <v>55</v>
      </c>
      <c r="H69" s="10" t="str">
        <f>+IF(OR('Intragrupo garant receb'!B63="",'Intragrupo garant receb'!B63="#"),'Intragrupo garant receb'!C63,'Intragrupo garant receb'!B63)</f>
        <v>549300URJH9VSI58CS32</v>
      </c>
      <c r="I69" s="10" t="str">
        <f>IF(H69='Intragrupo garant receb'!B63,"LEI code","Type of identifier, other than LEI or MFI code")</f>
        <v>LEI code</v>
      </c>
      <c r="J69" s="10" t="str">
        <f>+IF(OR('Intragrupo garant receb'!H63="x",'Intragrupo garant receb'!H63="E"),"TRUE","FALSE")</f>
        <v>FALSE</v>
      </c>
      <c r="K69" s="10" t="s">
        <v>43</v>
      </c>
      <c r="L69" s="10" t="s">
        <v>44</v>
      </c>
      <c r="M69" s="11">
        <f>-'Intragrupo garant receb'!D63</f>
        <v>157950</v>
      </c>
      <c r="N69" s="10" t="str">
        <f t="shared" si="1"/>
        <v>No</v>
      </c>
      <c r="O69" s="11"/>
      <c r="P69" s="10" t="s">
        <v>45</v>
      </c>
    </row>
    <row r="70" spans="3:16" ht="23.65" thickBot="1">
      <c r="C70" s="21">
        <f t="shared" si="0"/>
        <v>999</v>
      </c>
      <c r="D70" s="19">
        <f t="shared" si="2"/>
        <v>63</v>
      </c>
      <c r="E70" s="10" t="s">
        <v>41</v>
      </c>
      <c r="F70" s="10" t="s">
        <v>115</v>
      </c>
      <c r="G70" s="10" t="s">
        <v>55</v>
      </c>
      <c r="H70" s="10" t="str">
        <f>+IF(OR('Intragrupo garant receb'!B64="",'Intragrupo garant receb'!B64="#"),'Intragrupo garant receb'!C64,'Intragrupo garant receb'!B64)</f>
        <v>549300URJH9VSI58CS32</v>
      </c>
      <c r="I70" s="10" t="str">
        <f>IF(H70='Intragrupo garant receb'!B64,"LEI code","Type of identifier, other than LEI or MFI code")</f>
        <v>LEI code</v>
      </c>
      <c r="J70" s="10" t="str">
        <f>+IF(OR('Intragrupo garant receb'!H64="x",'Intragrupo garant receb'!H64="E"),"TRUE","FALSE")</f>
        <v>FALSE</v>
      </c>
      <c r="K70" s="10" t="s">
        <v>43</v>
      </c>
      <c r="L70" s="10" t="s">
        <v>44</v>
      </c>
      <c r="M70" s="11">
        <f>-'Intragrupo garant receb'!D64</f>
        <v>116550</v>
      </c>
      <c r="N70" s="10" t="str">
        <f t="shared" si="1"/>
        <v>No</v>
      </c>
      <c r="O70" s="11"/>
      <c r="P70" s="10" t="s">
        <v>45</v>
      </c>
    </row>
    <row r="71" spans="3:16" ht="23.65" thickBot="1">
      <c r="C71" s="21">
        <f t="shared" si="0"/>
        <v>999</v>
      </c>
      <c r="D71" s="19">
        <f t="shared" si="2"/>
        <v>64</v>
      </c>
      <c r="E71" s="10" t="s">
        <v>41</v>
      </c>
      <c r="F71" s="10" t="s">
        <v>116</v>
      </c>
      <c r="G71" s="10" t="s">
        <v>55</v>
      </c>
      <c r="H71" s="10" t="str">
        <f>+IF(OR('Intragrupo garant receb'!B65="",'Intragrupo garant receb'!B65="#"),'Intragrupo garant receb'!C65,'Intragrupo garant receb'!B65)</f>
        <v>549300URJH9VSI58CS32</v>
      </c>
      <c r="I71" s="10" t="str">
        <f>IF(H71='Intragrupo garant receb'!B65,"LEI code","Type of identifier, other than LEI or MFI code")</f>
        <v>LEI code</v>
      </c>
      <c r="J71" s="10" t="str">
        <f>+IF(OR('Intragrupo garant receb'!H65="x",'Intragrupo garant receb'!H65="E"),"TRUE","FALSE")</f>
        <v>FALSE</v>
      </c>
      <c r="K71" s="10" t="s">
        <v>43</v>
      </c>
      <c r="L71" s="10" t="s">
        <v>44</v>
      </c>
      <c r="M71" s="11">
        <f>-'Intragrupo garant receb'!D65</f>
        <v>72000</v>
      </c>
      <c r="N71" s="10" t="str">
        <f t="shared" si="1"/>
        <v>No</v>
      </c>
      <c r="O71" s="11"/>
      <c r="P71" s="10" t="s">
        <v>45</v>
      </c>
    </row>
    <row r="72" spans="3:16" ht="23.65" thickBot="1">
      <c r="C72" s="21">
        <f t="shared" si="0"/>
        <v>999</v>
      </c>
      <c r="D72" s="19">
        <f t="shared" si="2"/>
        <v>65</v>
      </c>
      <c r="E72" s="10" t="s">
        <v>41</v>
      </c>
      <c r="F72" s="10" t="s">
        <v>117</v>
      </c>
      <c r="G72" s="10" t="s">
        <v>55</v>
      </c>
      <c r="H72" s="10" t="str">
        <f>+IF(OR('Intragrupo garant receb'!B66="",'Intragrupo garant receb'!B66="#"),'Intragrupo garant receb'!C66,'Intragrupo garant receb'!B66)</f>
        <v>549300URJH9VSI58CS32</v>
      </c>
      <c r="I72" s="10" t="str">
        <f>IF(H72='Intragrupo garant receb'!B66,"LEI code","Type of identifier, other than LEI or MFI code")</f>
        <v>LEI code</v>
      </c>
      <c r="J72" s="10" t="str">
        <f>+IF(OR('Intragrupo garant receb'!H66="x",'Intragrupo garant receb'!H66="E"),"TRUE","FALSE")</f>
        <v>FALSE</v>
      </c>
      <c r="K72" s="10" t="s">
        <v>43</v>
      </c>
      <c r="L72" s="10" t="s">
        <v>44</v>
      </c>
      <c r="M72" s="11">
        <f>-'Intragrupo garant receb'!D66</f>
        <v>176000</v>
      </c>
      <c r="N72" s="10" t="str">
        <f t="shared" si="1"/>
        <v>No</v>
      </c>
      <c r="O72" s="11"/>
      <c r="P72" s="10" t="s">
        <v>45</v>
      </c>
    </row>
    <row r="73" spans="3:16" ht="23.65" thickBot="1">
      <c r="C73" s="21">
        <f t="shared" ref="C73:C107" si="3">+IF(E73="","",999)</f>
        <v>999</v>
      </c>
      <c r="D73" s="19">
        <f t="shared" si="2"/>
        <v>66</v>
      </c>
      <c r="E73" s="10" t="s">
        <v>41</v>
      </c>
      <c r="F73" s="10" t="s">
        <v>118</v>
      </c>
      <c r="G73" s="10" t="s">
        <v>55</v>
      </c>
      <c r="H73" s="10" t="str">
        <f>+IF(OR('Intragrupo garant receb'!B67="",'Intragrupo garant receb'!B67="#"),'Intragrupo garant receb'!C67,'Intragrupo garant receb'!B67)</f>
        <v>549300URJH9VSI58CS32</v>
      </c>
      <c r="I73" s="10" t="str">
        <f>IF(H73='Intragrupo garant receb'!B67,"LEI code","Type of identifier, other than LEI or MFI code")</f>
        <v>LEI code</v>
      </c>
      <c r="J73" s="10" t="str">
        <f>+IF(OR('Intragrupo garant receb'!H67="x",'Intragrupo garant receb'!H67="E"),"TRUE","FALSE")</f>
        <v>FALSE</v>
      </c>
      <c r="K73" s="10" t="s">
        <v>43</v>
      </c>
      <c r="L73" s="10" t="s">
        <v>44</v>
      </c>
      <c r="M73" s="11">
        <f>-'Intragrupo garant receb'!D67</f>
        <v>1251000</v>
      </c>
      <c r="N73" s="10" t="str">
        <f t="shared" ref="N73:N107" si="4">IF(O73&lt;0,"Yes","No")</f>
        <v>No</v>
      </c>
      <c r="O73" s="11"/>
      <c r="P73" s="10" t="s">
        <v>45</v>
      </c>
    </row>
    <row r="74" spans="3:16" ht="23.65" thickBot="1">
      <c r="C74" s="21">
        <f t="shared" si="3"/>
        <v>999</v>
      </c>
      <c r="D74" s="19">
        <f t="shared" ref="D74:D107" si="5">IF(E74="","",D73+1)</f>
        <v>67</v>
      </c>
      <c r="E74" s="10" t="s">
        <v>41</v>
      </c>
      <c r="F74" s="10" t="s">
        <v>119</v>
      </c>
      <c r="G74" s="10" t="s">
        <v>55</v>
      </c>
      <c r="H74" s="10" t="str">
        <f>+IF(OR('Intragrupo garant receb'!B68="",'Intragrupo garant receb'!B68="#"),'Intragrupo garant receb'!C68,'Intragrupo garant receb'!B68)</f>
        <v>549300URJH9VSI58CS32</v>
      </c>
      <c r="I74" s="10" t="str">
        <f>IF(H74='Intragrupo garant receb'!B68,"LEI code","Type of identifier, other than LEI or MFI code")</f>
        <v>LEI code</v>
      </c>
      <c r="J74" s="10" t="str">
        <f>+IF(OR('Intragrupo garant receb'!H68="x",'Intragrupo garant receb'!H68="E"),"TRUE","FALSE")</f>
        <v>FALSE</v>
      </c>
      <c r="K74" s="10" t="s">
        <v>43</v>
      </c>
      <c r="L74" s="10" t="s">
        <v>44</v>
      </c>
      <c r="M74" s="11">
        <f>-'Intragrupo garant receb'!D68</f>
        <v>202434.06</v>
      </c>
      <c r="N74" s="10" t="str">
        <f t="shared" si="4"/>
        <v>No</v>
      </c>
      <c r="O74" s="11"/>
      <c r="P74" s="10" t="s">
        <v>45</v>
      </c>
    </row>
    <row r="75" spans="3:16" ht="23.65" thickBot="1">
      <c r="C75" s="21">
        <f t="shared" si="3"/>
        <v>999</v>
      </c>
      <c r="D75" s="19">
        <f t="shared" si="5"/>
        <v>68</v>
      </c>
      <c r="E75" s="10" t="s">
        <v>41</v>
      </c>
      <c r="F75" s="10" t="s">
        <v>120</v>
      </c>
      <c r="G75" s="10" t="s">
        <v>55</v>
      </c>
      <c r="H75" s="10" t="str">
        <f>+IF(OR('Intragrupo garant receb'!B69="",'Intragrupo garant receb'!B69="#"),'Intragrupo garant receb'!C69,'Intragrupo garant receb'!B69)</f>
        <v>549300URJH9VSI58CS32</v>
      </c>
      <c r="I75" s="10" t="str">
        <f>IF(H75='Intragrupo garant receb'!B69,"LEI code","Type of identifier, other than LEI or MFI code")</f>
        <v>LEI code</v>
      </c>
      <c r="J75" s="10" t="str">
        <f>+IF(OR('Intragrupo garant receb'!H69="x",'Intragrupo garant receb'!H69="E"),"TRUE","FALSE")</f>
        <v>FALSE</v>
      </c>
      <c r="K75" s="10" t="s">
        <v>43</v>
      </c>
      <c r="L75" s="10" t="s">
        <v>44</v>
      </c>
      <c r="M75" s="11">
        <f>-'Intragrupo garant receb'!D69</f>
        <v>160212.57</v>
      </c>
      <c r="N75" s="10" t="str">
        <f t="shared" si="4"/>
        <v>No</v>
      </c>
      <c r="O75" s="11"/>
      <c r="P75" s="10" t="s">
        <v>45</v>
      </c>
    </row>
    <row r="76" spans="3:16" ht="23.65" thickBot="1">
      <c r="C76" s="21">
        <f t="shared" si="3"/>
        <v>999</v>
      </c>
      <c r="D76" s="19">
        <f t="shared" si="5"/>
        <v>69</v>
      </c>
      <c r="E76" s="10" t="s">
        <v>41</v>
      </c>
      <c r="F76" s="10" t="s">
        <v>121</v>
      </c>
      <c r="G76" s="10" t="s">
        <v>55</v>
      </c>
      <c r="H76" s="10" t="str">
        <f>+IF(OR('Intragrupo garant receb'!B70="",'Intragrupo garant receb'!B70="#"),'Intragrupo garant receb'!C70,'Intragrupo garant receb'!B70)</f>
        <v>549300URJH9VSI58CS32</v>
      </c>
      <c r="I76" s="10" t="str">
        <f>IF(H76='Intragrupo garant receb'!B70,"LEI code","Type of identifier, other than LEI or MFI code")</f>
        <v>LEI code</v>
      </c>
      <c r="J76" s="10" t="str">
        <f>+IF(OR('Intragrupo garant receb'!H70="x",'Intragrupo garant receb'!H70="E"),"TRUE","FALSE")</f>
        <v>FALSE</v>
      </c>
      <c r="K76" s="10" t="s">
        <v>43</v>
      </c>
      <c r="L76" s="10" t="s">
        <v>44</v>
      </c>
      <c r="M76" s="11">
        <f>-'Intragrupo garant receb'!D70</f>
        <v>45245.62</v>
      </c>
      <c r="N76" s="10" t="str">
        <f t="shared" si="4"/>
        <v>No</v>
      </c>
      <c r="O76" s="11"/>
      <c r="P76" s="10" t="s">
        <v>45</v>
      </c>
    </row>
    <row r="77" spans="3:16" ht="23.65" thickBot="1">
      <c r="C77" s="21">
        <f t="shared" si="3"/>
        <v>999</v>
      </c>
      <c r="D77" s="19">
        <f t="shared" si="5"/>
        <v>70</v>
      </c>
      <c r="E77" s="10" t="s">
        <v>41</v>
      </c>
      <c r="F77" s="10" t="s">
        <v>122</v>
      </c>
      <c r="G77" s="10" t="s">
        <v>55</v>
      </c>
      <c r="H77" s="10" t="str">
        <f>+IF(OR('Intragrupo garant receb'!B71="",'Intragrupo garant receb'!B71="#"),'Intragrupo garant receb'!C71,'Intragrupo garant receb'!B71)</f>
        <v>549300URJH9VSI58CS32</v>
      </c>
      <c r="I77" s="10" t="str">
        <f>IF(H77='Intragrupo garant receb'!B71,"LEI code","Type of identifier, other than LEI or MFI code")</f>
        <v>LEI code</v>
      </c>
      <c r="J77" s="10" t="str">
        <f>+IF(OR('Intragrupo garant receb'!H71="x",'Intragrupo garant receb'!H71="E"),"TRUE","FALSE")</f>
        <v>FALSE</v>
      </c>
      <c r="K77" s="10" t="s">
        <v>43</v>
      </c>
      <c r="L77" s="10" t="s">
        <v>44</v>
      </c>
      <c r="M77" s="11">
        <f>-'Intragrupo garant receb'!D71</f>
        <v>1499068.95</v>
      </c>
      <c r="N77" s="10" t="str">
        <f t="shared" si="4"/>
        <v>No</v>
      </c>
      <c r="O77" s="11"/>
      <c r="P77" s="10" t="s">
        <v>45</v>
      </c>
    </row>
    <row r="78" spans="3:16" ht="23.65" thickBot="1">
      <c r="C78" s="21">
        <f t="shared" si="3"/>
        <v>999</v>
      </c>
      <c r="D78" s="19">
        <f t="shared" si="5"/>
        <v>71</v>
      </c>
      <c r="E78" s="10" t="s">
        <v>41</v>
      </c>
      <c r="F78" s="10" t="s">
        <v>123</v>
      </c>
      <c r="G78" s="10" t="s">
        <v>55</v>
      </c>
      <c r="H78" s="10" t="str">
        <f>+IF(OR('Intragrupo garant receb'!B72="",'Intragrupo garant receb'!B72="#"),'Intragrupo garant receb'!C72,'Intragrupo garant receb'!B72)</f>
        <v>549300URJH9VSI58CS32</v>
      </c>
      <c r="I78" s="10" t="str">
        <f>IF(H78='Intragrupo garant receb'!B72,"LEI code","Type of identifier, other than LEI or MFI code")</f>
        <v>LEI code</v>
      </c>
      <c r="J78" s="10" t="str">
        <f>+IF(OR('Intragrupo garant receb'!H72="x",'Intragrupo garant receb'!H72="E"),"TRUE","FALSE")</f>
        <v>FALSE</v>
      </c>
      <c r="K78" s="10" t="s">
        <v>43</v>
      </c>
      <c r="L78" s="10" t="s">
        <v>44</v>
      </c>
      <c r="M78" s="11">
        <f>-'Intragrupo garant receb'!D72</f>
        <v>447000</v>
      </c>
      <c r="N78" s="10" t="str">
        <f t="shared" si="4"/>
        <v>No</v>
      </c>
      <c r="O78" s="11"/>
      <c r="P78" s="10" t="s">
        <v>45</v>
      </c>
    </row>
    <row r="79" spans="3:16" ht="23.65" thickBot="1">
      <c r="C79" s="21">
        <f t="shared" si="3"/>
        <v>999</v>
      </c>
      <c r="D79" s="19">
        <f t="shared" si="5"/>
        <v>72</v>
      </c>
      <c r="E79" s="10" t="s">
        <v>41</v>
      </c>
      <c r="F79" s="10" t="s">
        <v>124</v>
      </c>
      <c r="G79" s="10" t="s">
        <v>55</v>
      </c>
      <c r="H79" s="10" t="str">
        <f>+IF(OR('Intragrupo garant receb'!B73="",'Intragrupo garant receb'!B73="#"),'Intragrupo garant receb'!C73,'Intragrupo garant receb'!B73)</f>
        <v>549300URJH9VSI58CS32</v>
      </c>
      <c r="I79" s="10" t="str">
        <f>IF(H79='Intragrupo garant receb'!B73,"LEI code","Type of identifier, other than LEI or MFI code")</f>
        <v>LEI code</v>
      </c>
      <c r="J79" s="10" t="str">
        <f>+IF(OR('Intragrupo garant receb'!H73="x",'Intragrupo garant receb'!H73="E"),"TRUE","FALSE")</f>
        <v>FALSE</v>
      </c>
      <c r="K79" s="10" t="s">
        <v>43</v>
      </c>
      <c r="L79" s="10" t="s">
        <v>44</v>
      </c>
      <c r="M79" s="11">
        <f>-'Intragrupo garant receb'!D73</f>
        <v>68920</v>
      </c>
      <c r="N79" s="10" t="str">
        <f t="shared" si="4"/>
        <v>No</v>
      </c>
      <c r="O79" s="11"/>
      <c r="P79" s="10" t="s">
        <v>45</v>
      </c>
    </row>
    <row r="80" spans="3:16" ht="23.65" thickBot="1">
      <c r="C80" s="21">
        <f t="shared" si="3"/>
        <v>999</v>
      </c>
      <c r="D80" s="19">
        <f t="shared" si="5"/>
        <v>73</v>
      </c>
      <c r="E80" s="10" t="s">
        <v>41</v>
      </c>
      <c r="F80" s="10" t="s">
        <v>125</v>
      </c>
      <c r="G80" s="10" t="s">
        <v>55</v>
      </c>
      <c r="H80" s="10" t="str">
        <f>+IF(OR('Intragrupo garant receb'!B74="",'Intragrupo garant receb'!B74="#"),'Intragrupo garant receb'!C74,'Intragrupo garant receb'!B74)</f>
        <v>549300URJH9VSI58CS32</v>
      </c>
      <c r="I80" s="10" t="str">
        <f>IF(H80='Intragrupo garant receb'!B74,"LEI code","Type of identifier, other than LEI or MFI code")</f>
        <v>LEI code</v>
      </c>
      <c r="J80" s="10" t="str">
        <f>+IF(OR('Intragrupo garant receb'!H74="x",'Intragrupo garant receb'!H74="E"),"TRUE","FALSE")</f>
        <v>FALSE</v>
      </c>
      <c r="K80" s="10" t="s">
        <v>43</v>
      </c>
      <c r="L80" s="10" t="s">
        <v>44</v>
      </c>
      <c r="M80" s="11">
        <f>-'Intragrupo garant receb'!D74</f>
        <v>6254467.2000000002</v>
      </c>
      <c r="N80" s="10" t="str">
        <f t="shared" si="4"/>
        <v>No</v>
      </c>
      <c r="O80" s="11"/>
      <c r="P80" s="10" t="s">
        <v>45</v>
      </c>
    </row>
    <row r="81" spans="3:16" ht="23.65" thickBot="1">
      <c r="C81" s="21">
        <f t="shared" si="3"/>
        <v>999</v>
      </c>
      <c r="D81" s="19">
        <f t="shared" si="5"/>
        <v>74</v>
      </c>
      <c r="E81" s="10" t="s">
        <v>41</v>
      </c>
      <c r="F81" s="10" t="s">
        <v>126</v>
      </c>
      <c r="G81" s="10" t="s">
        <v>55</v>
      </c>
      <c r="H81" s="10" t="str">
        <f>+IF(OR('Intragrupo garant receb'!B75="",'Intragrupo garant receb'!B75="#"),'Intragrupo garant receb'!C75,'Intragrupo garant receb'!B75)</f>
        <v>549300URJH9VSI58CS32</v>
      </c>
      <c r="I81" s="10" t="str">
        <f>IF(H81='Intragrupo garant receb'!B75,"LEI code","Type of identifier, other than LEI or MFI code")</f>
        <v>LEI code</v>
      </c>
      <c r="J81" s="10" t="str">
        <f>+IF(OR('Intragrupo garant receb'!H75="x",'Intragrupo garant receb'!H75="E"),"TRUE","FALSE")</f>
        <v>FALSE</v>
      </c>
      <c r="K81" s="10" t="s">
        <v>43</v>
      </c>
      <c r="L81" s="10" t="s">
        <v>44</v>
      </c>
      <c r="M81" s="11">
        <f>-'Intragrupo garant receb'!D75</f>
        <v>608102.64</v>
      </c>
      <c r="N81" s="10" t="str">
        <f t="shared" si="4"/>
        <v>No</v>
      </c>
      <c r="O81" s="11"/>
      <c r="P81" s="10" t="s">
        <v>45</v>
      </c>
    </row>
    <row r="82" spans="3:16" ht="23.65" thickBot="1">
      <c r="C82" s="21">
        <f t="shared" si="3"/>
        <v>999</v>
      </c>
      <c r="D82" s="19">
        <f t="shared" si="5"/>
        <v>75</v>
      </c>
      <c r="E82" s="10" t="s">
        <v>41</v>
      </c>
      <c r="F82" s="10" t="s">
        <v>127</v>
      </c>
      <c r="G82" s="10" t="s">
        <v>55</v>
      </c>
      <c r="H82" s="10" t="str">
        <f>+IF(OR('Intragrupo garant receb'!B76="",'Intragrupo garant receb'!B76="#"),'Intragrupo garant receb'!C76,'Intragrupo garant receb'!B76)</f>
        <v>549300URJH9VSI58CS32</v>
      </c>
      <c r="I82" s="10" t="str">
        <f>IF(H82='Intragrupo garant receb'!B76,"LEI code","Type of identifier, other than LEI or MFI code")</f>
        <v>LEI code</v>
      </c>
      <c r="J82" s="10" t="str">
        <f>+IF(OR('Intragrupo garant receb'!H76="x",'Intragrupo garant receb'!H76="E"),"TRUE","FALSE")</f>
        <v>FALSE</v>
      </c>
      <c r="K82" s="10" t="s">
        <v>43</v>
      </c>
      <c r="L82" s="10" t="s">
        <v>44</v>
      </c>
      <c r="M82" s="11">
        <f>-'Intragrupo garant receb'!D76</f>
        <v>47280</v>
      </c>
      <c r="N82" s="10" t="str">
        <f t="shared" si="4"/>
        <v>No</v>
      </c>
      <c r="O82" s="11"/>
      <c r="P82" s="10" t="s">
        <v>45</v>
      </c>
    </row>
    <row r="83" spans="3:16" ht="23.65" thickBot="1">
      <c r="C83" s="21">
        <f t="shared" si="3"/>
        <v>999</v>
      </c>
      <c r="D83" s="19">
        <f t="shared" si="5"/>
        <v>76</v>
      </c>
      <c r="E83" s="10" t="s">
        <v>41</v>
      </c>
      <c r="F83" s="10" t="s">
        <v>128</v>
      </c>
      <c r="G83" s="10" t="s">
        <v>55</v>
      </c>
      <c r="H83" s="10" t="str">
        <f>+IF(OR('Intragrupo garant receb'!B77="",'Intragrupo garant receb'!B77="#"),'Intragrupo garant receb'!C77,'Intragrupo garant receb'!B77)</f>
        <v>549300URJH9VSI58CS32</v>
      </c>
      <c r="I83" s="10" t="str">
        <f>IF(H83='Intragrupo garant receb'!B77,"LEI code","Type of identifier, other than LEI or MFI code")</f>
        <v>LEI code</v>
      </c>
      <c r="J83" s="10" t="str">
        <f>+IF(OR('Intragrupo garant receb'!H77="x",'Intragrupo garant receb'!H77="E"),"TRUE","FALSE")</f>
        <v>FALSE</v>
      </c>
      <c r="K83" s="10" t="s">
        <v>43</v>
      </c>
      <c r="L83" s="10" t="s">
        <v>44</v>
      </c>
      <c r="M83" s="11">
        <f>-'Intragrupo garant receb'!D77</f>
        <v>59720</v>
      </c>
      <c r="N83" s="10" t="str">
        <f t="shared" si="4"/>
        <v>No</v>
      </c>
      <c r="O83" s="11"/>
      <c r="P83" s="10" t="s">
        <v>45</v>
      </c>
    </row>
    <row r="84" spans="3:16" ht="23.65" thickBot="1">
      <c r="C84" s="21">
        <f t="shared" si="3"/>
        <v>999</v>
      </c>
      <c r="D84" s="19">
        <f t="shared" si="5"/>
        <v>77</v>
      </c>
      <c r="E84" s="10" t="s">
        <v>41</v>
      </c>
      <c r="F84" s="10" t="s">
        <v>129</v>
      </c>
      <c r="G84" s="10" t="s">
        <v>55</v>
      </c>
      <c r="H84" s="10" t="str">
        <f>+IF(OR('Intragrupo garant receb'!B78="",'Intragrupo garant receb'!B78="#"),'Intragrupo garant receb'!C78,'Intragrupo garant receb'!B78)</f>
        <v>549300URJH9VSI58CS32</v>
      </c>
      <c r="I84" s="10" t="str">
        <f>IF(H84='Intragrupo garant receb'!B78,"LEI code","Type of identifier, other than LEI or MFI code")</f>
        <v>LEI code</v>
      </c>
      <c r="J84" s="10" t="str">
        <f>+IF(OR('Intragrupo garant receb'!H78="x",'Intragrupo garant receb'!H78="E"),"TRUE","FALSE")</f>
        <v>FALSE</v>
      </c>
      <c r="K84" s="10" t="s">
        <v>43</v>
      </c>
      <c r="L84" s="10" t="s">
        <v>44</v>
      </c>
      <c r="M84" s="11">
        <f>-'Intragrupo garant receb'!D78</f>
        <v>87028.13</v>
      </c>
      <c r="N84" s="10" t="str">
        <f t="shared" si="4"/>
        <v>No</v>
      </c>
      <c r="O84" s="11"/>
      <c r="P84" s="10" t="s">
        <v>45</v>
      </c>
    </row>
    <row r="85" spans="3:16" ht="23.65" thickBot="1">
      <c r="C85" s="21">
        <f t="shared" si="3"/>
        <v>999</v>
      </c>
      <c r="D85" s="19">
        <f t="shared" si="5"/>
        <v>78</v>
      </c>
      <c r="E85" s="10" t="s">
        <v>41</v>
      </c>
      <c r="F85" s="10" t="s">
        <v>130</v>
      </c>
      <c r="G85" s="10" t="s">
        <v>55</v>
      </c>
      <c r="H85" s="10" t="str">
        <f>+IF(OR('Intragrupo garant receb'!B79="",'Intragrupo garant receb'!B79="#"),'Intragrupo garant receb'!C79,'Intragrupo garant receb'!B79)</f>
        <v>549300URJH9VSI58CS32</v>
      </c>
      <c r="I85" s="10" t="str">
        <f>IF(H85='Intragrupo garant receb'!B79,"LEI code","Type of identifier, other than LEI or MFI code")</f>
        <v>LEI code</v>
      </c>
      <c r="J85" s="10" t="str">
        <f>+IF(OR('Intragrupo garant receb'!H79="x",'Intragrupo garant receb'!H79="E"),"TRUE","FALSE")</f>
        <v>FALSE</v>
      </c>
      <c r="K85" s="10" t="s">
        <v>43</v>
      </c>
      <c r="L85" s="10" t="s">
        <v>44</v>
      </c>
      <c r="M85" s="11">
        <f>-'Intragrupo garant receb'!D79</f>
        <v>76860.850000000006</v>
      </c>
      <c r="N85" s="10" t="str">
        <f t="shared" si="4"/>
        <v>No</v>
      </c>
      <c r="O85" s="11"/>
      <c r="P85" s="10" t="s">
        <v>45</v>
      </c>
    </row>
    <row r="86" spans="3:16" ht="23.65" thickBot="1">
      <c r="C86" s="21">
        <f t="shared" si="3"/>
        <v>999</v>
      </c>
      <c r="D86" s="19">
        <f t="shared" si="5"/>
        <v>79</v>
      </c>
      <c r="E86" s="10" t="s">
        <v>41</v>
      </c>
      <c r="F86" s="10" t="s">
        <v>131</v>
      </c>
      <c r="G86" s="10" t="s">
        <v>55</v>
      </c>
      <c r="H86" s="10" t="str">
        <f>+IF(OR('Intragrupo garant receb'!B80="",'Intragrupo garant receb'!B80="#"),'Intragrupo garant receb'!C80,'Intragrupo garant receb'!B80)</f>
        <v>549300URJH9VSI58CS32</v>
      </c>
      <c r="I86" s="10" t="str">
        <f>IF(H86='Intragrupo garant receb'!B80,"LEI code","Type of identifier, other than LEI or MFI code")</f>
        <v>LEI code</v>
      </c>
      <c r="J86" s="10" t="str">
        <f>+IF(OR('Intragrupo garant receb'!H80="x",'Intragrupo garant receb'!H80="E"),"TRUE","FALSE")</f>
        <v>FALSE</v>
      </c>
      <c r="K86" s="10" t="s">
        <v>43</v>
      </c>
      <c r="L86" s="10" t="s">
        <v>44</v>
      </c>
      <c r="M86" s="11">
        <f>-'Intragrupo garant receb'!D80</f>
        <v>1006200</v>
      </c>
      <c r="N86" s="10" t="str">
        <f t="shared" si="4"/>
        <v>No</v>
      </c>
      <c r="O86" s="11"/>
      <c r="P86" s="10" t="s">
        <v>45</v>
      </c>
    </row>
    <row r="87" spans="3:16" ht="23.65" thickBot="1">
      <c r="C87" s="21">
        <f t="shared" si="3"/>
        <v>999</v>
      </c>
      <c r="D87" s="19">
        <f t="shared" si="5"/>
        <v>80</v>
      </c>
      <c r="E87" s="10" t="s">
        <v>41</v>
      </c>
      <c r="F87" s="10" t="s">
        <v>132</v>
      </c>
      <c r="G87" s="10" t="s">
        <v>55</v>
      </c>
      <c r="H87" s="10" t="str">
        <f>+IF(OR('Intragrupo garant receb'!B81="",'Intragrupo garant receb'!B81="#"),'Intragrupo garant receb'!C81,'Intragrupo garant receb'!B81)</f>
        <v>549300URJH9VSI58CS32</v>
      </c>
      <c r="I87" s="10" t="str">
        <f>IF(H87='Intragrupo garant receb'!B81,"LEI code","Type of identifier, other than LEI or MFI code")</f>
        <v>LEI code</v>
      </c>
      <c r="J87" s="10" t="str">
        <f>+IF(OR('Intragrupo garant receb'!H81="x",'Intragrupo garant receb'!H81="E"),"TRUE","FALSE")</f>
        <v>FALSE</v>
      </c>
      <c r="K87" s="10" t="s">
        <v>43</v>
      </c>
      <c r="L87" s="10" t="s">
        <v>44</v>
      </c>
      <c r="M87" s="11">
        <f>-'Intragrupo garant receb'!D81</f>
        <v>120000</v>
      </c>
      <c r="N87" s="10" t="str">
        <f t="shared" si="4"/>
        <v>No</v>
      </c>
      <c r="O87" s="11"/>
      <c r="P87" s="10" t="s">
        <v>45</v>
      </c>
    </row>
    <row r="88" spans="3:16" ht="23.65" thickBot="1">
      <c r="C88" s="21">
        <f t="shared" si="3"/>
        <v>999</v>
      </c>
      <c r="D88" s="19">
        <f t="shared" si="5"/>
        <v>81</v>
      </c>
      <c r="E88" s="10" t="s">
        <v>41</v>
      </c>
      <c r="F88" s="10" t="s">
        <v>133</v>
      </c>
      <c r="G88" s="10" t="s">
        <v>55</v>
      </c>
      <c r="H88" s="10" t="str">
        <f>+IF(OR('Intragrupo garant receb'!B82="",'Intragrupo garant receb'!B82="#"),'Intragrupo garant receb'!C82,'Intragrupo garant receb'!B82)</f>
        <v>549300URJH9VSI58CS32</v>
      </c>
      <c r="I88" s="10" t="str">
        <f>IF(H88='Intragrupo garant receb'!B82,"LEI code","Type of identifier, other than LEI or MFI code")</f>
        <v>LEI code</v>
      </c>
      <c r="J88" s="10" t="str">
        <f>+IF(OR('Intragrupo garant receb'!H82="x",'Intragrupo garant receb'!H82="E"),"TRUE","FALSE")</f>
        <v>FALSE</v>
      </c>
      <c r="K88" s="10" t="s">
        <v>43</v>
      </c>
      <c r="L88" s="10" t="s">
        <v>44</v>
      </c>
      <c r="M88" s="11">
        <f>-'Intragrupo garant receb'!D82</f>
        <v>844191</v>
      </c>
      <c r="N88" s="10" t="str">
        <f t="shared" si="4"/>
        <v>No</v>
      </c>
      <c r="O88" s="11"/>
      <c r="P88" s="10" t="s">
        <v>45</v>
      </c>
    </row>
    <row r="89" spans="3:16" ht="23.65" thickBot="1">
      <c r="C89" s="21">
        <f t="shared" si="3"/>
        <v>999</v>
      </c>
      <c r="D89" s="19">
        <f t="shared" si="5"/>
        <v>82</v>
      </c>
      <c r="E89" s="10" t="s">
        <v>41</v>
      </c>
      <c r="F89" s="10" t="s">
        <v>134</v>
      </c>
      <c r="G89" s="10" t="s">
        <v>55</v>
      </c>
      <c r="H89" s="10" t="str">
        <f>+IF(OR('Intragrupo garant receb'!B83="",'Intragrupo garant receb'!B83="#"),'Intragrupo garant receb'!C83,'Intragrupo garant receb'!B83)</f>
        <v>549300URJH9VSI58CS32</v>
      </c>
      <c r="I89" s="10" t="str">
        <f>IF(H89='Intragrupo garant receb'!B83,"LEI code","Type of identifier, other than LEI or MFI code")</f>
        <v>LEI code</v>
      </c>
      <c r="J89" s="10" t="str">
        <f>+IF(OR('Intragrupo garant receb'!H83="x",'Intragrupo garant receb'!H83="E"),"TRUE","FALSE")</f>
        <v>FALSE</v>
      </c>
      <c r="K89" s="10" t="s">
        <v>43</v>
      </c>
      <c r="L89" s="10" t="s">
        <v>44</v>
      </c>
      <c r="M89" s="11">
        <f>-'Intragrupo garant receb'!D83</f>
        <v>205768</v>
      </c>
      <c r="N89" s="10" t="str">
        <f t="shared" si="4"/>
        <v>No</v>
      </c>
      <c r="O89" s="11"/>
      <c r="P89" s="10" t="s">
        <v>45</v>
      </c>
    </row>
    <row r="90" spans="3:16" ht="23.65" thickBot="1">
      <c r="C90" s="21">
        <f t="shared" si="3"/>
        <v>999</v>
      </c>
      <c r="D90" s="19">
        <f t="shared" si="5"/>
        <v>83</v>
      </c>
      <c r="E90" s="10" t="s">
        <v>41</v>
      </c>
      <c r="F90" s="10" t="s">
        <v>135</v>
      </c>
      <c r="G90" s="10" t="s">
        <v>55</v>
      </c>
      <c r="H90" s="10" t="str">
        <f>+IF(OR('Intragrupo garant receb'!B84="",'Intragrupo garant receb'!B84="#"),'Intragrupo garant receb'!C84,'Intragrupo garant receb'!B84)</f>
        <v>549300URJH9VSI58CS32</v>
      </c>
      <c r="I90" s="10" t="str">
        <f>IF(H90='Intragrupo garant receb'!B84,"LEI code","Type of identifier, other than LEI or MFI code")</f>
        <v>LEI code</v>
      </c>
      <c r="J90" s="10" t="str">
        <f>+IF(OR('Intragrupo garant receb'!H84="x",'Intragrupo garant receb'!H84="E"),"TRUE","FALSE")</f>
        <v>FALSE</v>
      </c>
      <c r="K90" s="10" t="s">
        <v>43</v>
      </c>
      <c r="L90" s="10" t="s">
        <v>44</v>
      </c>
      <c r="M90" s="11">
        <f>-'Intragrupo garant receb'!D84</f>
        <v>38868</v>
      </c>
      <c r="N90" s="10" t="str">
        <f t="shared" si="4"/>
        <v>No</v>
      </c>
      <c r="O90" s="11"/>
      <c r="P90" s="10" t="s">
        <v>45</v>
      </c>
    </row>
    <row r="91" spans="3:16" ht="23.65" thickBot="1">
      <c r="C91" s="21">
        <f t="shared" si="3"/>
        <v>999</v>
      </c>
      <c r="D91" s="19">
        <f t="shared" si="5"/>
        <v>84</v>
      </c>
      <c r="E91" s="10" t="s">
        <v>41</v>
      </c>
      <c r="F91" s="10" t="s">
        <v>136</v>
      </c>
      <c r="G91" s="10" t="s">
        <v>55</v>
      </c>
      <c r="H91" s="10" t="str">
        <f>+IF(OR('Intragrupo garant receb'!B85="",'Intragrupo garant receb'!B85="#"),'Intragrupo garant receb'!C85,'Intragrupo garant receb'!B85)</f>
        <v>549300URJH9VSI58CS32</v>
      </c>
      <c r="I91" s="10" t="str">
        <f>IF(H91='Intragrupo garant receb'!B85,"LEI code","Type of identifier, other than LEI or MFI code")</f>
        <v>LEI code</v>
      </c>
      <c r="J91" s="10" t="str">
        <f>+IF(OR('Intragrupo garant receb'!H85="x",'Intragrupo garant receb'!H85="E"),"TRUE","FALSE")</f>
        <v>FALSE</v>
      </c>
      <c r="K91" s="10" t="s">
        <v>43</v>
      </c>
      <c r="L91" s="10" t="s">
        <v>44</v>
      </c>
      <c r="M91" s="11">
        <f>-'Intragrupo garant receb'!D85</f>
        <v>166500</v>
      </c>
      <c r="N91" s="10" t="str">
        <f t="shared" si="4"/>
        <v>No</v>
      </c>
      <c r="O91" s="11"/>
      <c r="P91" s="10" t="s">
        <v>45</v>
      </c>
    </row>
    <row r="92" spans="3:16" ht="23.65" thickBot="1">
      <c r="C92" s="21">
        <f t="shared" si="3"/>
        <v>999</v>
      </c>
      <c r="D92" s="19">
        <f t="shared" si="5"/>
        <v>85</v>
      </c>
      <c r="E92" s="10" t="s">
        <v>41</v>
      </c>
      <c r="F92" s="10" t="s">
        <v>137</v>
      </c>
      <c r="G92" s="10" t="s">
        <v>55</v>
      </c>
      <c r="H92" s="10" t="str">
        <f>+IF(OR('Intragrupo garant receb'!B86="",'Intragrupo garant receb'!B86="#"),'Intragrupo garant receb'!C86,'Intragrupo garant receb'!B86)</f>
        <v>549300URJH9VSI58CS32</v>
      </c>
      <c r="I92" s="10" t="str">
        <f>IF(H92='Intragrupo garant receb'!B86,"LEI code","Type of identifier, other than LEI or MFI code")</f>
        <v>LEI code</v>
      </c>
      <c r="J92" s="10" t="str">
        <f>+IF(OR('Intragrupo garant receb'!H86="x",'Intragrupo garant receb'!H86="E"),"TRUE","FALSE")</f>
        <v>FALSE</v>
      </c>
      <c r="K92" s="10" t="s">
        <v>43</v>
      </c>
      <c r="L92" s="10" t="s">
        <v>44</v>
      </c>
      <c r="M92" s="11">
        <f>-'Intragrupo garant receb'!D86</f>
        <v>613800</v>
      </c>
      <c r="N92" s="10" t="str">
        <f t="shared" si="4"/>
        <v>No</v>
      </c>
      <c r="O92" s="11"/>
      <c r="P92" s="10" t="s">
        <v>45</v>
      </c>
    </row>
    <row r="93" spans="3:16" ht="23.65" thickBot="1">
      <c r="C93" s="21">
        <f t="shared" si="3"/>
        <v>999</v>
      </c>
      <c r="D93" s="19">
        <f t="shared" si="5"/>
        <v>86</v>
      </c>
      <c r="E93" s="10" t="s">
        <v>41</v>
      </c>
      <c r="F93" s="10" t="s">
        <v>138</v>
      </c>
      <c r="G93" s="10" t="s">
        <v>55</v>
      </c>
      <c r="H93" s="10" t="str">
        <f>+IF(OR('Intragrupo garant receb'!B87="",'Intragrupo garant receb'!B87="#"),'Intragrupo garant receb'!C87,'Intragrupo garant receb'!B87)</f>
        <v>549300URJH9VSI58CS32</v>
      </c>
      <c r="I93" s="10" t="str">
        <f>IF(H93='Intragrupo garant receb'!B87,"LEI code","Type of identifier, other than LEI or MFI code")</f>
        <v>LEI code</v>
      </c>
      <c r="J93" s="10" t="str">
        <f>+IF(OR('Intragrupo garant receb'!H87="x",'Intragrupo garant receb'!H87="E"),"TRUE","FALSE")</f>
        <v>FALSE</v>
      </c>
      <c r="K93" s="10" t="s">
        <v>43</v>
      </c>
      <c r="L93" s="10" t="s">
        <v>44</v>
      </c>
      <c r="M93" s="11">
        <f>-'Intragrupo garant receb'!D87</f>
        <v>392423.9</v>
      </c>
      <c r="N93" s="10" t="str">
        <f t="shared" si="4"/>
        <v>No</v>
      </c>
      <c r="O93" s="11"/>
      <c r="P93" s="10" t="s">
        <v>45</v>
      </c>
    </row>
    <row r="94" spans="3:16" ht="23.65" thickBot="1">
      <c r="C94" s="21">
        <f t="shared" si="3"/>
        <v>999</v>
      </c>
      <c r="D94" s="19">
        <f t="shared" si="5"/>
        <v>87</v>
      </c>
      <c r="E94" s="10" t="s">
        <v>41</v>
      </c>
      <c r="F94" s="10" t="s">
        <v>139</v>
      </c>
      <c r="G94" s="10" t="s">
        <v>55</v>
      </c>
      <c r="H94" s="10" t="str">
        <f>+IF(OR('Intragrupo garant receb'!B88="",'Intragrupo garant receb'!B88="#"),'Intragrupo garant receb'!C88,'Intragrupo garant receb'!B88)</f>
        <v>549300URJH9VSI58CS32</v>
      </c>
      <c r="I94" s="10" t="str">
        <f>IF(H94='Intragrupo garant receb'!B88,"LEI code","Type of identifier, other than LEI or MFI code")</f>
        <v>LEI code</v>
      </c>
      <c r="J94" s="10" t="str">
        <f>+IF(OR('Intragrupo garant receb'!H88="x",'Intragrupo garant receb'!H88="E"),"TRUE","FALSE")</f>
        <v>FALSE</v>
      </c>
      <c r="K94" s="10" t="s">
        <v>43</v>
      </c>
      <c r="L94" s="10" t="s">
        <v>44</v>
      </c>
      <c r="M94" s="11">
        <f>-'Intragrupo garant receb'!D88</f>
        <v>50000</v>
      </c>
      <c r="N94" s="10" t="str">
        <f t="shared" si="4"/>
        <v>No</v>
      </c>
      <c r="O94" s="11"/>
      <c r="P94" s="10" t="s">
        <v>45</v>
      </c>
    </row>
    <row r="95" spans="3:16" ht="23.65" thickBot="1">
      <c r="C95" s="21">
        <f t="shared" si="3"/>
        <v>999</v>
      </c>
      <c r="D95" s="19">
        <f t="shared" si="5"/>
        <v>88</v>
      </c>
      <c r="E95" s="10" t="s">
        <v>41</v>
      </c>
      <c r="F95" s="10" t="s">
        <v>140</v>
      </c>
      <c r="G95" s="10" t="s">
        <v>55</v>
      </c>
      <c r="H95" s="10" t="str">
        <f>+IF(OR('Intragrupo garant receb'!B89="",'Intragrupo garant receb'!B89="#"),'Intragrupo garant receb'!C89,'Intragrupo garant receb'!B89)</f>
        <v>549300URJH9VSI58CS32</v>
      </c>
      <c r="I95" s="10" t="str">
        <f>IF(H95='Intragrupo garant receb'!B89,"LEI code","Type of identifier, other than LEI or MFI code")</f>
        <v>LEI code</v>
      </c>
      <c r="J95" s="10" t="str">
        <f>+IF(OR('Intragrupo garant receb'!H89="x",'Intragrupo garant receb'!H89="E"),"TRUE","FALSE")</f>
        <v>FALSE</v>
      </c>
      <c r="K95" s="10" t="s">
        <v>43</v>
      </c>
      <c r="L95" s="10" t="s">
        <v>44</v>
      </c>
      <c r="M95" s="11">
        <f>-'Intragrupo garant receb'!D89</f>
        <v>224000</v>
      </c>
      <c r="N95" s="10" t="str">
        <f t="shared" si="4"/>
        <v>No</v>
      </c>
      <c r="O95" s="11"/>
      <c r="P95" s="10" t="s">
        <v>45</v>
      </c>
    </row>
    <row r="96" spans="3:16" ht="23.65" thickBot="1">
      <c r="C96" s="21">
        <f t="shared" si="3"/>
        <v>999</v>
      </c>
      <c r="D96" s="19">
        <f t="shared" si="5"/>
        <v>89</v>
      </c>
      <c r="E96" s="10" t="s">
        <v>41</v>
      </c>
      <c r="F96" s="10" t="s">
        <v>141</v>
      </c>
      <c r="G96" s="10" t="s">
        <v>55</v>
      </c>
      <c r="H96" s="10" t="str">
        <f>+IF(OR('Intragrupo garant receb'!B90="",'Intragrupo garant receb'!B90="#"),'Intragrupo garant receb'!C90,'Intragrupo garant receb'!B90)</f>
        <v>549300URJH9VSI58CS32</v>
      </c>
      <c r="I96" s="10" t="str">
        <f>IF(H96='Intragrupo garant receb'!B90,"LEI code","Type of identifier, other than LEI or MFI code")</f>
        <v>LEI code</v>
      </c>
      <c r="J96" s="10" t="str">
        <f>+IF(OR('Intragrupo garant receb'!H90="x",'Intragrupo garant receb'!H90="E"),"TRUE","FALSE")</f>
        <v>FALSE</v>
      </c>
      <c r="K96" s="10" t="s">
        <v>43</v>
      </c>
      <c r="L96" s="10" t="s">
        <v>44</v>
      </c>
      <c r="M96" s="11">
        <f>-'Intragrupo garant receb'!D90</f>
        <v>927373.6</v>
      </c>
      <c r="N96" s="10" t="str">
        <f t="shared" si="4"/>
        <v>No</v>
      </c>
      <c r="O96" s="11"/>
      <c r="P96" s="10" t="s">
        <v>45</v>
      </c>
    </row>
    <row r="97" spans="3:16" ht="23.65" thickBot="1">
      <c r="C97" s="21">
        <f t="shared" si="3"/>
        <v>999</v>
      </c>
      <c r="D97" s="19">
        <f t="shared" si="5"/>
        <v>90</v>
      </c>
      <c r="E97" s="10" t="s">
        <v>41</v>
      </c>
      <c r="F97" s="10" t="s">
        <v>142</v>
      </c>
      <c r="G97" s="10" t="s">
        <v>55</v>
      </c>
      <c r="H97" s="10" t="str">
        <f>+IF(OR('Intragrupo garant receb'!B91="",'Intragrupo garant receb'!B91="#"),'Intragrupo garant receb'!C91,'Intragrupo garant receb'!B91)</f>
        <v>549300URJH9VSI58CS32</v>
      </c>
      <c r="I97" s="10" t="str">
        <f>IF(H97='Intragrupo garant receb'!B91,"LEI code","Type of identifier, other than LEI or MFI code")</f>
        <v>LEI code</v>
      </c>
      <c r="J97" s="10" t="str">
        <f>+IF(OR('Intragrupo garant receb'!H91="x",'Intragrupo garant receb'!H91="E"),"TRUE","FALSE")</f>
        <v>FALSE</v>
      </c>
      <c r="K97" s="10" t="s">
        <v>43</v>
      </c>
      <c r="L97" s="10" t="s">
        <v>44</v>
      </c>
      <c r="M97" s="11">
        <f>-'Intragrupo garant receb'!D91</f>
        <v>423212.42</v>
      </c>
      <c r="N97" s="10" t="str">
        <f t="shared" si="4"/>
        <v>No</v>
      </c>
      <c r="O97" s="11"/>
      <c r="P97" s="10" t="s">
        <v>45</v>
      </c>
    </row>
    <row r="98" spans="3:16" ht="23.65" thickBot="1">
      <c r="C98" s="21">
        <f t="shared" si="3"/>
        <v>999</v>
      </c>
      <c r="D98" s="19">
        <f t="shared" si="5"/>
        <v>91</v>
      </c>
      <c r="E98" s="10" t="s">
        <v>41</v>
      </c>
      <c r="F98" s="10" t="s">
        <v>143</v>
      </c>
      <c r="G98" s="10" t="s">
        <v>55</v>
      </c>
      <c r="H98" s="10" t="str">
        <f>+IF(OR('Intragrupo garant receb'!B92="",'Intragrupo garant receb'!B92="#"),'Intragrupo garant receb'!C92,'Intragrupo garant receb'!B92)</f>
        <v>549300URJH9VSI58CS32</v>
      </c>
      <c r="I98" s="10" t="str">
        <f>IF(H98='Intragrupo garant receb'!B92,"LEI code","Type of identifier, other than LEI or MFI code")</f>
        <v>LEI code</v>
      </c>
      <c r="J98" s="10" t="str">
        <f>+IF(OR('Intragrupo garant receb'!H92="x",'Intragrupo garant receb'!H92="E"),"TRUE","FALSE")</f>
        <v>FALSE</v>
      </c>
      <c r="K98" s="10" t="s">
        <v>43</v>
      </c>
      <c r="L98" s="10" t="s">
        <v>44</v>
      </c>
      <c r="M98" s="11">
        <f>-'Intragrupo garant receb'!D92</f>
        <v>64160</v>
      </c>
      <c r="N98" s="10" t="str">
        <f t="shared" si="4"/>
        <v>No</v>
      </c>
      <c r="O98" s="11"/>
      <c r="P98" s="10" t="s">
        <v>45</v>
      </c>
    </row>
    <row r="99" spans="3:16" ht="23.65" thickBot="1">
      <c r="C99" s="21">
        <f t="shared" si="3"/>
        <v>999</v>
      </c>
      <c r="D99" s="19">
        <f t="shared" si="5"/>
        <v>92</v>
      </c>
      <c r="E99" s="10" t="s">
        <v>41</v>
      </c>
      <c r="F99" s="10" t="s">
        <v>144</v>
      </c>
      <c r="G99" s="10" t="s">
        <v>55</v>
      </c>
      <c r="H99" s="10" t="str">
        <f>+IF(OR('Intragrupo garant receb'!B93="",'Intragrupo garant receb'!B93="#"),'Intragrupo garant receb'!C93,'Intragrupo garant receb'!B93)</f>
        <v>549300URJH9VSI58CS32</v>
      </c>
      <c r="I99" s="10" t="str">
        <f>IF(H99='Intragrupo garant receb'!B93,"LEI code","Type of identifier, other than LEI or MFI code")</f>
        <v>LEI code</v>
      </c>
      <c r="J99" s="10" t="str">
        <f>+IF(OR('Intragrupo garant receb'!H93="x",'Intragrupo garant receb'!H93="E"),"TRUE","FALSE")</f>
        <v>FALSE</v>
      </c>
      <c r="K99" s="10" t="s">
        <v>43</v>
      </c>
      <c r="L99" s="10" t="s">
        <v>44</v>
      </c>
      <c r="M99" s="11">
        <f>-'Intragrupo garant receb'!D93</f>
        <v>4655000</v>
      </c>
      <c r="N99" s="10" t="str">
        <f t="shared" si="4"/>
        <v>No</v>
      </c>
      <c r="O99" s="11"/>
      <c r="P99" s="10" t="s">
        <v>45</v>
      </c>
    </row>
    <row r="100" spans="3:16" ht="23.65" thickBot="1">
      <c r="C100" s="21">
        <f t="shared" si="3"/>
        <v>999</v>
      </c>
      <c r="D100" s="19">
        <f t="shared" si="5"/>
        <v>93</v>
      </c>
      <c r="E100" s="10" t="s">
        <v>41</v>
      </c>
      <c r="F100" s="10" t="s">
        <v>145</v>
      </c>
      <c r="G100" s="10" t="s">
        <v>55</v>
      </c>
      <c r="H100" s="10" t="str">
        <f>+IF(OR('Intragrupo garant receb'!B94="",'Intragrupo garant receb'!B94="#"),'Intragrupo garant receb'!C94,'Intragrupo garant receb'!B94)</f>
        <v>549300URJH9VSI58CS32</v>
      </c>
      <c r="I100" s="10" t="str">
        <f>IF(H100='Intragrupo garant receb'!B94,"LEI code","Type of identifier, other than LEI or MFI code")</f>
        <v>LEI code</v>
      </c>
      <c r="J100" s="10" t="str">
        <f>+IF(OR('Intragrupo garant receb'!H94="x",'Intragrupo garant receb'!H94="E"),"TRUE","FALSE")</f>
        <v>FALSE</v>
      </c>
      <c r="K100" s="10" t="s">
        <v>43</v>
      </c>
      <c r="L100" s="10" t="s">
        <v>44</v>
      </c>
      <c r="M100" s="11">
        <f>-'Intragrupo garant receb'!D94</f>
        <v>1121400</v>
      </c>
      <c r="N100" s="10" t="str">
        <f t="shared" si="4"/>
        <v>No</v>
      </c>
      <c r="O100" s="11"/>
      <c r="P100" s="10" t="s">
        <v>45</v>
      </c>
    </row>
    <row r="101" spans="3:16" ht="23.65" thickBot="1">
      <c r="C101" s="21">
        <f t="shared" si="3"/>
        <v>999</v>
      </c>
      <c r="D101" s="19">
        <f t="shared" si="5"/>
        <v>94</v>
      </c>
      <c r="E101" s="10" t="s">
        <v>41</v>
      </c>
      <c r="F101" s="10" t="s">
        <v>146</v>
      </c>
      <c r="G101" s="10" t="s">
        <v>55</v>
      </c>
      <c r="H101" s="10" t="str">
        <f>+IF(OR('Intragrupo garant receb'!B95="",'Intragrupo garant receb'!B95="#"),'Intragrupo garant receb'!C95,'Intragrupo garant receb'!B95)</f>
        <v>549300URJH9VSI58CS32</v>
      </c>
      <c r="I101" s="10" t="str">
        <f>IF(H101='Intragrupo garant receb'!B95,"LEI code","Type of identifier, other than LEI or MFI code")</f>
        <v>LEI code</v>
      </c>
      <c r="J101" s="10" t="str">
        <f>+IF(OR('Intragrupo garant receb'!H95="x",'Intragrupo garant receb'!H95="E"),"TRUE","FALSE")</f>
        <v>FALSE</v>
      </c>
      <c r="K101" s="10" t="s">
        <v>43</v>
      </c>
      <c r="L101" s="10" t="s">
        <v>44</v>
      </c>
      <c r="M101" s="11">
        <f>-'Intragrupo garant receb'!D95</f>
        <v>365840</v>
      </c>
      <c r="N101" s="10" t="str">
        <f t="shared" si="4"/>
        <v>No</v>
      </c>
      <c r="O101" s="11"/>
      <c r="P101" s="10" t="s">
        <v>45</v>
      </c>
    </row>
    <row r="102" spans="3:16" ht="23.65" thickBot="1">
      <c r="C102" s="21">
        <f t="shared" si="3"/>
        <v>999</v>
      </c>
      <c r="D102" s="19">
        <f t="shared" si="5"/>
        <v>95</v>
      </c>
      <c r="E102" s="10" t="s">
        <v>41</v>
      </c>
      <c r="F102" s="10" t="s">
        <v>147</v>
      </c>
      <c r="G102" s="10" t="s">
        <v>55</v>
      </c>
      <c r="H102" s="10" t="str">
        <f>+IF(OR('Intragrupo garant receb'!B96="",'Intragrupo garant receb'!B96="#"),'Intragrupo garant receb'!C96,'Intragrupo garant receb'!B96)</f>
        <v>549300URJH9VSI58CS32</v>
      </c>
      <c r="I102" s="10" t="str">
        <f>IF(H102='Intragrupo garant receb'!B96,"LEI code","Type of identifier, other than LEI or MFI code")</f>
        <v>LEI code</v>
      </c>
      <c r="J102" s="10" t="str">
        <f>+IF(OR('Intragrupo garant receb'!H96="x",'Intragrupo garant receb'!H96="E"),"TRUE","FALSE")</f>
        <v>FALSE</v>
      </c>
      <c r="K102" s="10" t="s">
        <v>43</v>
      </c>
      <c r="L102" s="10" t="s">
        <v>44</v>
      </c>
      <c r="M102" s="11">
        <f>-'Intragrupo garant receb'!D96</f>
        <v>124000</v>
      </c>
      <c r="N102" s="10" t="str">
        <f t="shared" si="4"/>
        <v>No</v>
      </c>
      <c r="O102" s="11"/>
      <c r="P102" s="10" t="s">
        <v>45</v>
      </c>
    </row>
    <row r="103" spans="3:16" ht="23.65" thickBot="1">
      <c r="C103" s="21">
        <f t="shared" si="3"/>
        <v>999</v>
      </c>
      <c r="D103" s="19">
        <f t="shared" si="5"/>
        <v>96</v>
      </c>
      <c r="E103" s="10" t="s">
        <v>41</v>
      </c>
      <c r="F103" s="10" t="s">
        <v>42</v>
      </c>
      <c r="G103" s="10" t="s">
        <v>148</v>
      </c>
      <c r="H103" s="10" t="str">
        <f>+IF(OR('Intragrupo garant receb'!B97="",'Intragrupo garant receb'!B97="#"),'Intragrupo garant receb'!C97,'Intragrupo garant receb'!B97)</f>
        <v>7400685089</v>
      </c>
      <c r="I103" s="10" t="str">
        <f>IF(H103='Intragrupo garant receb'!B97,"LEI code","Type of identifier, other than LEI or MFI code")</f>
        <v>Type of identifier, other than LEI or MFI code</v>
      </c>
      <c r="J103" s="10" t="str">
        <f>+IF(OR('Intragrupo garant receb'!H97="x",'Intragrupo garant receb'!H97="E"),"TRUE","FALSE")</f>
        <v>TRUE</v>
      </c>
      <c r="K103" s="10" t="s">
        <v>43</v>
      </c>
      <c r="L103" s="10" t="s">
        <v>44</v>
      </c>
      <c r="M103" s="11">
        <f>-'Intragrupo garant receb'!D97</f>
        <v>60000000</v>
      </c>
      <c r="N103" s="10" t="str">
        <f t="shared" si="4"/>
        <v>No</v>
      </c>
      <c r="O103" s="11"/>
      <c r="P103" s="10" t="s">
        <v>45</v>
      </c>
    </row>
    <row r="104" spans="3:16" ht="23.65" thickBot="1">
      <c r="C104" s="21">
        <f t="shared" si="3"/>
        <v>999</v>
      </c>
      <c r="D104" s="19">
        <f t="shared" si="5"/>
        <v>97</v>
      </c>
      <c r="E104" s="10" t="s">
        <v>41</v>
      </c>
      <c r="F104" s="10" t="s">
        <v>46</v>
      </c>
      <c r="G104" s="10" t="s">
        <v>148</v>
      </c>
      <c r="H104" s="10" t="str">
        <f>+IF(OR('Intragrupo garant receb'!B98="",'Intragrupo garant receb'!B98="#"),'Intragrupo garant receb'!C98,'Intragrupo garant receb'!B98)</f>
        <v>7400685089</v>
      </c>
      <c r="I104" s="10" t="str">
        <f>IF(H104='Intragrupo garant receb'!B98,"LEI code","Type of identifier, other than LEI or MFI code")</f>
        <v>Type of identifier, other than LEI or MFI code</v>
      </c>
      <c r="J104" s="10" t="str">
        <f>+IF(OR('Intragrupo garant receb'!H98="x",'Intragrupo garant receb'!H98="E"),"TRUE","FALSE")</f>
        <v>TRUE</v>
      </c>
      <c r="K104" s="10" t="s">
        <v>43</v>
      </c>
      <c r="L104" s="10" t="s">
        <v>44</v>
      </c>
      <c r="M104" s="11">
        <f>-'Intragrupo garant receb'!D98</f>
        <v>100000000</v>
      </c>
      <c r="N104" s="10" t="str">
        <f t="shared" si="4"/>
        <v>No</v>
      </c>
      <c r="O104" s="11"/>
      <c r="P104" s="10" t="s">
        <v>45</v>
      </c>
    </row>
    <row r="105" spans="3:16" ht="23.65" thickBot="1">
      <c r="C105" s="21">
        <f t="shared" si="3"/>
        <v>999</v>
      </c>
      <c r="D105" s="19">
        <f t="shared" si="5"/>
        <v>98</v>
      </c>
      <c r="E105" s="10" t="s">
        <v>41</v>
      </c>
      <c r="F105" s="10" t="s">
        <v>47</v>
      </c>
      <c r="G105" s="10" t="s">
        <v>148</v>
      </c>
      <c r="H105" s="10" t="str">
        <f>+IF(OR('Intragrupo garant receb'!B99="",'Intragrupo garant receb'!B99="#"),'Intragrupo garant receb'!C99,'Intragrupo garant receb'!B99)</f>
        <v>7400685089</v>
      </c>
      <c r="I105" s="10" t="str">
        <f>IF(H105='Intragrupo garant receb'!B99,"LEI code","Type of identifier, other than LEI or MFI code")</f>
        <v>Type of identifier, other than LEI or MFI code</v>
      </c>
      <c r="J105" s="10" t="str">
        <f>+IF(OR('Intragrupo garant receb'!H99="x",'Intragrupo garant receb'!H99="E"),"TRUE","FALSE")</f>
        <v>TRUE</v>
      </c>
      <c r="K105" s="10" t="s">
        <v>43</v>
      </c>
      <c r="L105" s="10" t="s">
        <v>44</v>
      </c>
      <c r="M105" s="11">
        <f>-'Intragrupo garant receb'!D99</f>
        <v>140000000</v>
      </c>
      <c r="N105" s="10" t="str">
        <f t="shared" si="4"/>
        <v>No</v>
      </c>
      <c r="O105" s="11"/>
      <c r="P105" s="10" t="s">
        <v>45</v>
      </c>
    </row>
    <row r="106" spans="3:16" ht="23.65" thickBot="1">
      <c r="C106" s="21">
        <f t="shared" si="3"/>
        <v>999</v>
      </c>
      <c r="D106" s="19">
        <f t="shared" si="5"/>
        <v>99</v>
      </c>
      <c r="E106" s="10" t="s">
        <v>41</v>
      </c>
      <c r="F106" s="10"/>
      <c r="G106" s="10"/>
      <c r="H106" s="10">
        <f>+IF(OR('Intragrupo garant receb'!B100="",'Intragrupo garant receb'!B100="#"),'Intragrupo garant receb'!C100,'Intragrupo garant receb'!B100)</f>
        <v>0</v>
      </c>
      <c r="I106" s="10" t="str">
        <f>IF(H106='Intragrupo garant receb'!B100,"LEI code","Type of identifier, other than LEI or MFI code")</f>
        <v>LEI code</v>
      </c>
      <c r="J106" s="10" t="str">
        <f>+IF(OR('Intragrupo garant receb'!H100="x",'Intragrupo garant receb'!H100="E"),"TRUE","FALSE")</f>
        <v>FALSE</v>
      </c>
      <c r="K106" s="10" t="s">
        <v>43</v>
      </c>
      <c r="L106" s="10" t="s">
        <v>44</v>
      </c>
      <c r="M106" s="11">
        <f>-'Intragrupo garant receb'!D100</f>
        <v>0</v>
      </c>
      <c r="N106" s="10" t="str">
        <f t="shared" si="4"/>
        <v>No</v>
      </c>
      <c r="O106" s="11"/>
      <c r="P106" s="10" t="s">
        <v>45</v>
      </c>
    </row>
    <row r="107" spans="3:16" ht="23.65" thickBot="1">
      <c r="C107" s="21">
        <f t="shared" si="3"/>
        <v>999</v>
      </c>
      <c r="D107" s="19">
        <f t="shared" si="5"/>
        <v>100</v>
      </c>
      <c r="E107" s="10" t="s">
        <v>41</v>
      </c>
      <c r="F107" s="10"/>
      <c r="G107" s="10"/>
      <c r="H107" s="10">
        <f>+IF(OR('Intragrupo garant receb'!B101="",'Intragrupo garant receb'!B101="#"),'Intragrupo garant receb'!C101,'Intragrupo garant receb'!B101)</f>
        <v>0</v>
      </c>
      <c r="I107" s="10" t="str">
        <f>IF(H107='Intragrupo garant receb'!B101,"LEI code","Type of identifier, other than LEI or MFI code")</f>
        <v>LEI code</v>
      </c>
      <c r="J107" s="10" t="str">
        <f>+IF(OR('Intragrupo garant receb'!H101="x",'Intragrupo garant receb'!H101="E"),"TRUE","FALSE")</f>
        <v>FALSE</v>
      </c>
      <c r="K107" s="10" t="s">
        <v>43</v>
      </c>
      <c r="L107" s="10" t="s">
        <v>44</v>
      </c>
      <c r="M107" s="11">
        <f>-'Intragrupo garant receb'!D101</f>
        <v>0</v>
      </c>
      <c r="N107" s="10" t="str">
        <f t="shared" si="4"/>
        <v>No</v>
      </c>
      <c r="O107" s="11"/>
      <c r="P107" s="10" t="s">
        <v>45</v>
      </c>
    </row>
  </sheetData>
  <mergeCells count="4">
    <mergeCell ref="A1:P1"/>
    <mergeCell ref="D4:P4"/>
    <mergeCell ref="E5:P5"/>
    <mergeCell ref="Q5:Q6"/>
  </mergeCells>
  <conditionalFormatting sqref="D8:P9 P13:P107 H13:N107 D13:E107">
    <cfRule type="expression" dxfId="12" priority="14">
      <formula>LEN(TRIM(D8))=0</formula>
    </cfRule>
  </conditionalFormatting>
  <conditionalFormatting sqref="D8:P9 P13:P107 H13:N107 D13:E107">
    <cfRule type="expression" dxfId="11" priority="12">
      <formula>LEN(TRIM(D8))=0</formula>
    </cfRule>
  </conditionalFormatting>
  <conditionalFormatting sqref="D8:P9 D13:P107">
    <cfRule type="expression" dxfId="8" priority="9">
      <formula>LEN(TRIM(D8))=0</formula>
    </cfRule>
  </conditionalFormatting>
  <conditionalFormatting sqref="F13:G107">
    <cfRule type="expression" dxfId="7" priority="8">
      <formula>LEN(TRIM(F13))=0</formula>
    </cfRule>
  </conditionalFormatting>
  <conditionalFormatting sqref="F13:G107">
    <cfRule type="expression" dxfId="6" priority="7">
      <formula>LEN(TRIM(F13))=0</formula>
    </cfRule>
  </conditionalFormatting>
  <conditionalFormatting sqref="O13:O107">
    <cfRule type="expression" dxfId="5" priority="6">
      <formula>LEN(TRIM(O13))=0</formula>
    </cfRule>
  </conditionalFormatting>
  <conditionalFormatting sqref="O13:O107">
    <cfRule type="expression" dxfId="4" priority="5">
      <formula>LEN(TRIM(O13))=0</formula>
    </cfRule>
  </conditionalFormatting>
  <conditionalFormatting sqref="D10:P12">
    <cfRule type="expression" dxfId="3" priority="4">
      <formula>LEN(TRIM(D10))=0</formula>
    </cfRule>
  </conditionalFormatting>
  <conditionalFormatting sqref="D10:P12">
    <cfRule type="expression" dxfId="2" priority="3">
      <formula>LEN(TRIM(D10))=0</formula>
    </cfRule>
  </conditionalFormatting>
  <conditionalFormatting sqref="D10:P12">
    <cfRule type="expression" dxfId="1" priority="2">
      <formula>LEN(TRIM(D10))=0</formula>
    </cfRule>
  </conditionalFormatting>
  <conditionalFormatting sqref="D8:P107">
    <cfRule type="expression" dxfId="0" priority="1">
      <formula>LEN(TRIM(D8))=0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1"/>
  <sheetViews>
    <sheetView workbookViewId="0">
      <selection activeCell="A35" sqref="A35"/>
    </sheetView>
  </sheetViews>
  <sheetFormatPr defaultRowHeight="14.25"/>
  <cols>
    <col min="1" max="1" width="45.19921875" bestFit="1" customWidth="1"/>
    <col min="2" max="2" width="23.796875" bestFit="1" customWidth="1"/>
    <col min="3" max="3" width="11" bestFit="1" customWidth="1"/>
    <col min="4" max="4" width="28.73046875" bestFit="1" customWidth="1"/>
    <col min="5" max="5" width="17" bestFit="1" customWidth="1"/>
    <col min="6" max="6" width="12.1328125" bestFit="1" customWidth="1"/>
    <col min="7" max="7" width="16.1328125" bestFit="1" customWidth="1"/>
    <col min="8" max="8" width="20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51</v>
      </c>
      <c r="H1" t="s">
        <v>52</v>
      </c>
    </row>
    <row r="2" spans="1:8">
      <c r="A2" t="s">
        <v>6</v>
      </c>
      <c r="B2" t="s">
        <v>54</v>
      </c>
      <c r="C2" t="s">
        <v>8</v>
      </c>
      <c r="D2" s="1">
        <v>-1066.44</v>
      </c>
      <c r="G2" t="s">
        <v>48</v>
      </c>
    </row>
    <row r="3" spans="1:8">
      <c r="A3" t="s">
        <v>55</v>
      </c>
      <c r="B3" t="s">
        <v>56</v>
      </c>
      <c r="C3" t="s">
        <v>57</v>
      </c>
      <c r="D3" s="1">
        <v>-66521</v>
      </c>
      <c r="G3" t="s">
        <v>48</v>
      </c>
    </row>
    <row r="4" spans="1:8">
      <c r="A4" t="s">
        <v>55</v>
      </c>
      <c r="B4" t="s">
        <v>56</v>
      </c>
      <c r="C4" t="s">
        <v>57</v>
      </c>
      <c r="D4" s="1">
        <v>-22400</v>
      </c>
      <c r="G4" t="s">
        <v>42</v>
      </c>
    </row>
    <row r="5" spans="1:8">
      <c r="A5" t="s">
        <v>55</v>
      </c>
      <c r="B5" t="s">
        <v>56</v>
      </c>
      <c r="C5" t="s">
        <v>57</v>
      </c>
      <c r="D5" s="1">
        <v>-283100</v>
      </c>
      <c r="G5" t="s">
        <v>46</v>
      </c>
    </row>
    <row r="6" spans="1:8">
      <c r="A6" t="s">
        <v>55</v>
      </c>
      <c r="B6" t="s">
        <v>56</v>
      </c>
      <c r="C6" t="s">
        <v>57</v>
      </c>
      <c r="D6" s="1">
        <v>-369094.40000000002</v>
      </c>
      <c r="G6" t="s">
        <v>47</v>
      </c>
    </row>
    <row r="7" spans="1:8">
      <c r="A7" t="s">
        <v>55</v>
      </c>
      <c r="B7" t="s">
        <v>56</v>
      </c>
      <c r="C7" t="s">
        <v>57</v>
      </c>
      <c r="D7" s="1">
        <v>-200000</v>
      </c>
      <c r="G7" t="s">
        <v>58</v>
      </c>
    </row>
    <row r="8" spans="1:8">
      <c r="A8" t="s">
        <v>55</v>
      </c>
      <c r="B8" t="s">
        <v>56</v>
      </c>
      <c r="C8" t="s">
        <v>57</v>
      </c>
      <c r="D8" s="1">
        <v>-108000</v>
      </c>
      <c r="G8" t="s">
        <v>59</v>
      </c>
    </row>
    <row r="9" spans="1:8">
      <c r="A9" t="s">
        <v>55</v>
      </c>
      <c r="B9" t="s">
        <v>56</v>
      </c>
      <c r="C9" t="s">
        <v>57</v>
      </c>
      <c r="D9" s="1">
        <v>-468000</v>
      </c>
      <c r="G9" t="s">
        <v>60</v>
      </c>
    </row>
    <row r="10" spans="1:8">
      <c r="A10" t="s">
        <v>55</v>
      </c>
      <c r="B10" t="s">
        <v>56</v>
      </c>
      <c r="C10" t="s">
        <v>57</v>
      </c>
      <c r="D10" s="1">
        <v>-43338.1</v>
      </c>
      <c r="G10" t="s">
        <v>61</v>
      </c>
    </row>
    <row r="11" spans="1:8">
      <c r="A11" t="s">
        <v>55</v>
      </c>
      <c r="B11" t="s">
        <v>56</v>
      </c>
      <c r="C11" t="s">
        <v>57</v>
      </c>
      <c r="D11" s="1">
        <v>-101731.98</v>
      </c>
      <c r="G11" t="s">
        <v>62</v>
      </c>
    </row>
    <row r="12" spans="1:8">
      <c r="A12" t="s">
        <v>55</v>
      </c>
      <c r="B12" t="s">
        <v>56</v>
      </c>
      <c r="C12" t="s">
        <v>57</v>
      </c>
      <c r="D12" s="1">
        <v>-54272.5</v>
      </c>
      <c r="G12" t="s">
        <v>63</v>
      </c>
    </row>
    <row r="13" spans="1:8">
      <c r="A13" t="s">
        <v>55</v>
      </c>
      <c r="B13" t="s">
        <v>56</v>
      </c>
      <c r="C13" t="s">
        <v>57</v>
      </c>
      <c r="D13" s="1">
        <v>-70160</v>
      </c>
      <c r="G13" t="s">
        <v>64</v>
      </c>
    </row>
    <row r="14" spans="1:8">
      <c r="A14" t="s">
        <v>55</v>
      </c>
      <c r="B14" t="s">
        <v>56</v>
      </c>
      <c r="C14" t="s">
        <v>57</v>
      </c>
      <c r="D14" s="1">
        <v>-6609.56</v>
      </c>
      <c r="G14" t="s">
        <v>65</v>
      </c>
    </row>
    <row r="15" spans="1:8">
      <c r="A15" t="s">
        <v>55</v>
      </c>
      <c r="B15" t="s">
        <v>56</v>
      </c>
      <c r="C15" t="s">
        <v>57</v>
      </c>
      <c r="D15" s="1">
        <v>-544240</v>
      </c>
      <c r="G15" t="s">
        <v>66</v>
      </c>
    </row>
    <row r="16" spans="1:8">
      <c r="A16" t="s">
        <v>55</v>
      </c>
      <c r="B16" t="s">
        <v>56</v>
      </c>
      <c r="C16" t="s">
        <v>57</v>
      </c>
      <c r="D16" s="1">
        <v>-870001</v>
      </c>
      <c r="G16" t="s">
        <v>67</v>
      </c>
    </row>
    <row r="17" spans="1:7">
      <c r="A17" t="s">
        <v>55</v>
      </c>
      <c r="B17" t="s">
        <v>56</v>
      </c>
      <c r="C17" t="s">
        <v>57</v>
      </c>
      <c r="D17" s="1">
        <v>-108160</v>
      </c>
      <c r="G17" t="s">
        <v>68</v>
      </c>
    </row>
    <row r="18" spans="1:7">
      <c r="A18" t="s">
        <v>55</v>
      </c>
      <c r="B18" t="s">
        <v>56</v>
      </c>
      <c r="C18" t="s">
        <v>57</v>
      </c>
      <c r="D18" s="1">
        <v>-772224</v>
      </c>
      <c r="G18" t="s">
        <v>69</v>
      </c>
    </row>
    <row r="19" spans="1:7">
      <c r="A19" t="s">
        <v>55</v>
      </c>
      <c r="B19" t="s">
        <v>56</v>
      </c>
      <c r="C19" t="s">
        <v>57</v>
      </c>
      <c r="D19" s="1">
        <v>-76752</v>
      </c>
      <c r="G19" t="s">
        <v>70</v>
      </c>
    </row>
    <row r="20" spans="1:7">
      <c r="A20" t="s">
        <v>55</v>
      </c>
      <c r="B20" t="s">
        <v>56</v>
      </c>
      <c r="C20" t="s">
        <v>57</v>
      </c>
      <c r="D20" s="1">
        <v>-76752</v>
      </c>
      <c r="G20" t="s">
        <v>71</v>
      </c>
    </row>
    <row r="21" spans="1:7">
      <c r="A21" t="s">
        <v>55</v>
      </c>
      <c r="B21" t="s">
        <v>56</v>
      </c>
      <c r="C21" t="s">
        <v>57</v>
      </c>
      <c r="D21" s="1">
        <v>-204030</v>
      </c>
      <c r="G21" t="s">
        <v>72</v>
      </c>
    </row>
    <row r="22" spans="1:7">
      <c r="A22" t="s">
        <v>55</v>
      </c>
      <c r="B22" t="s">
        <v>56</v>
      </c>
      <c r="C22" t="s">
        <v>57</v>
      </c>
      <c r="D22" s="1">
        <v>-513553.5</v>
      </c>
      <c r="G22" t="s">
        <v>73</v>
      </c>
    </row>
    <row r="23" spans="1:7">
      <c r="A23" t="s">
        <v>55</v>
      </c>
      <c r="B23" t="s">
        <v>56</v>
      </c>
      <c r="C23" t="s">
        <v>57</v>
      </c>
      <c r="D23" s="1">
        <v>-2250</v>
      </c>
      <c r="G23" t="s">
        <v>74</v>
      </c>
    </row>
    <row r="24" spans="1:7">
      <c r="A24" t="s">
        <v>55</v>
      </c>
      <c r="B24" t="s">
        <v>56</v>
      </c>
      <c r="C24" t="s">
        <v>57</v>
      </c>
      <c r="D24" s="1">
        <v>-10000</v>
      </c>
      <c r="G24" t="s">
        <v>75</v>
      </c>
    </row>
    <row r="25" spans="1:7">
      <c r="A25" t="s">
        <v>55</v>
      </c>
      <c r="B25" t="s">
        <v>56</v>
      </c>
      <c r="C25" t="s">
        <v>57</v>
      </c>
      <c r="D25" s="1">
        <v>-40000</v>
      </c>
      <c r="G25" t="s">
        <v>76</v>
      </c>
    </row>
    <row r="26" spans="1:7">
      <c r="A26" t="s">
        <v>55</v>
      </c>
      <c r="B26" t="s">
        <v>56</v>
      </c>
      <c r="C26" t="s">
        <v>57</v>
      </c>
      <c r="D26" s="1">
        <v>-335260.26</v>
      </c>
      <c r="G26" t="s">
        <v>77</v>
      </c>
    </row>
    <row r="27" spans="1:7">
      <c r="A27" t="s">
        <v>55</v>
      </c>
      <c r="B27" t="s">
        <v>56</v>
      </c>
      <c r="C27" t="s">
        <v>57</v>
      </c>
      <c r="D27" s="1">
        <v>-45200</v>
      </c>
      <c r="G27" t="s">
        <v>78</v>
      </c>
    </row>
    <row r="28" spans="1:7">
      <c r="A28" t="s">
        <v>55</v>
      </c>
      <c r="B28" t="s">
        <v>56</v>
      </c>
      <c r="C28" t="s">
        <v>57</v>
      </c>
      <c r="D28" s="1">
        <v>-134910</v>
      </c>
      <c r="G28" t="s">
        <v>79</v>
      </c>
    </row>
    <row r="29" spans="1:7">
      <c r="A29" t="s">
        <v>55</v>
      </c>
      <c r="B29" t="s">
        <v>56</v>
      </c>
      <c r="C29" t="s">
        <v>57</v>
      </c>
      <c r="D29" s="1">
        <v>-171000</v>
      </c>
      <c r="G29" t="s">
        <v>80</v>
      </c>
    </row>
    <row r="30" spans="1:7">
      <c r="A30" t="s">
        <v>55</v>
      </c>
      <c r="B30" t="s">
        <v>56</v>
      </c>
      <c r="C30" t="s">
        <v>57</v>
      </c>
      <c r="D30" s="1">
        <v>-943000</v>
      </c>
      <c r="G30" t="s">
        <v>81</v>
      </c>
    </row>
    <row r="31" spans="1:7">
      <c r="A31" t="s">
        <v>55</v>
      </c>
      <c r="B31" t="s">
        <v>56</v>
      </c>
      <c r="C31" t="s">
        <v>57</v>
      </c>
      <c r="D31" s="1">
        <v>-1161000</v>
      </c>
      <c r="G31" t="s">
        <v>82</v>
      </c>
    </row>
    <row r="32" spans="1:7">
      <c r="A32" t="s">
        <v>55</v>
      </c>
      <c r="B32" t="s">
        <v>56</v>
      </c>
      <c r="C32" t="s">
        <v>57</v>
      </c>
      <c r="D32" s="1">
        <v>-6784200</v>
      </c>
      <c r="G32" t="s">
        <v>83</v>
      </c>
    </row>
    <row r="33" spans="1:7">
      <c r="A33" t="s">
        <v>55</v>
      </c>
      <c r="B33" t="s">
        <v>56</v>
      </c>
      <c r="C33" t="s">
        <v>57</v>
      </c>
      <c r="D33" s="1">
        <v>-1182600</v>
      </c>
      <c r="G33" t="s">
        <v>84</v>
      </c>
    </row>
    <row r="34" spans="1:7">
      <c r="A34" t="s">
        <v>55</v>
      </c>
      <c r="B34" t="s">
        <v>56</v>
      </c>
      <c r="C34" t="s">
        <v>57</v>
      </c>
      <c r="D34" s="1">
        <v>-9000000</v>
      </c>
      <c r="G34" t="s">
        <v>85</v>
      </c>
    </row>
    <row r="35" spans="1:7">
      <c r="A35" t="s">
        <v>55</v>
      </c>
      <c r="B35" t="s">
        <v>56</v>
      </c>
      <c r="C35" t="s">
        <v>57</v>
      </c>
      <c r="D35" s="1">
        <v>-28800</v>
      </c>
      <c r="G35" t="s">
        <v>86</v>
      </c>
    </row>
    <row r="36" spans="1:7">
      <c r="A36" t="s">
        <v>55</v>
      </c>
      <c r="B36" t="s">
        <v>56</v>
      </c>
      <c r="C36" t="s">
        <v>57</v>
      </c>
      <c r="D36" s="1">
        <v>-40500</v>
      </c>
      <c r="G36" t="s">
        <v>87</v>
      </c>
    </row>
    <row r="37" spans="1:7">
      <c r="A37" t="s">
        <v>55</v>
      </c>
      <c r="B37" t="s">
        <v>56</v>
      </c>
      <c r="C37" t="s">
        <v>57</v>
      </c>
      <c r="D37" s="1">
        <v>-4451532.4800000004</v>
      </c>
      <c r="G37" t="s">
        <v>88</v>
      </c>
    </row>
    <row r="38" spans="1:7">
      <c r="A38" t="s">
        <v>55</v>
      </c>
      <c r="B38" t="s">
        <v>56</v>
      </c>
      <c r="C38" t="s">
        <v>57</v>
      </c>
      <c r="D38" s="1">
        <v>-824000</v>
      </c>
      <c r="G38" t="s">
        <v>89</v>
      </c>
    </row>
    <row r="39" spans="1:7">
      <c r="A39" t="s">
        <v>55</v>
      </c>
      <c r="B39" t="s">
        <v>56</v>
      </c>
      <c r="C39" t="s">
        <v>57</v>
      </c>
      <c r="D39" s="1">
        <v>-307200</v>
      </c>
      <c r="G39" t="s">
        <v>90</v>
      </c>
    </row>
    <row r="40" spans="1:7">
      <c r="A40" t="s">
        <v>55</v>
      </c>
      <c r="B40" t="s">
        <v>56</v>
      </c>
      <c r="C40" t="s">
        <v>57</v>
      </c>
      <c r="D40" s="1">
        <v>-1225500</v>
      </c>
      <c r="G40" t="s">
        <v>91</v>
      </c>
    </row>
    <row r="41" spans="1:7">
      <c r="A41" t="s">
        <v>55</v>
      </c>
      <c r="B41" t="s">
        <v>56</v>
      </c>
      <c r="C41" t="s">
        <v>57</v>
      </c>
      <c r="D41" s="1">
        <v>-235000</v>
      </c>
      <c r="G41" t="s">
        <v>92</v>
      </c>
    </row>
    <row r="42" spans="1:7">
      <c r="A42" t="s">
        <v>55</v>
      </c>
      <c r="B42" t="s">
        <v>56</v>
      </c>
      <c r="C42" t="s">
        <v>57</v>
      </c>
      <c r="D42" s="1">
        <v>-98000</v>
      </c>
      <c r="G42" t="s">
        <v>93</v>
      </c>
    </row>
    <row r="43" spans="1:7">
      <c r="A43" t="s">
        <v>55</v>
      </c>
      <c r="B43" t="s">
        <v>56</v>
      </c>
      <c r="C43" t="s">
        <v>57</v>
      </c>
      <c r="D43" s="1">
        <v>-423955.03</v>
      </c>
      <c r="G43" t="s">
        <v>94</v>
      </c>
    </row>
    <row r="44" spans="1:7">
      <c r="A44" t="s">
        <v>55</v>
      </c>
      <c r="B44" t="s">
        <v>56</v>
      </c>
      <c r="C44" t="s">
        <v>57</v>
      </c>
      <c r="D44" s="1">
        <v>-27382.27</v>
      </c>
      <c r="G44" t="s">
        <v>95</v>
      </c>
    </row>
    <row r="45" spans="1:7">
      <c r="A45" t="s">
        <v>55</v>
      </c>
      <c r="B45" t="s">
        <v>56</v>
      </c>
      <c r="C45" t="s">
        <v>57</v>
      </c>
      <c r="D45" s="1">
        <v>-136000</v>
      </c>
      <c r="G45" t="s">
        <v>96</v>
      </c>
    </row>
    <row r="46" spans="1:7">
      <c r="A46" t="s">
        <v>55</v>
      </c>
      <c r="B46" t="s">
        <v>56</v>
      </c>
      <c r="C46" t="s">
        <v>57</v>
      </c>
      <c r="D46" s="1">
        <v>-44320</v>
      </c>
      <c r="G46" t="s">
        <v>97</v>
      </c>
    </row>
    <row r="47" spans="1:7">
      <c r="A47" t="s">
        <v>55</v>
      </c>
      <c r="B47" t="s">
        <v>56</v>
      </c>
      <c r="C47" t="s">
        <v>57</v>
      </c>
      <c r="D47" s="1">
        <v>-376900</v>
      </c>
      <c r="G47" t="s">
        <v>98</v>
      </c>
    </row>
    <row r="48" spans="1:7">
      <c r="A48" t="s">
        <v>55</v>
      </c>
      <c r="B48" t="s">
        <v>56</v>
      </c>
      <c r="C48" t="s">
        <v>57</v>
      </c>
      <c r="D48" s="1">
        <v>-161100</v>
      </c>
      <c r="G48" t="s">
        <v>99</v>
      </c>
    </row>
    <row r="49" spans="1:7">
      <c r="A49" t="s">
        <v>55</v>
      </c>
      <c r="B49" t="s">
        <v>56</v>
      </c>
      <c r="C49" t="s">
        <v>57</v>
      </c>
      <c r="D49" s="1">
        <v>-39066</v>
      </c>
      <c r="G49" t="s">
        <v>100</v>
      </c>
    </row>
    <row r="50" spans="1:7">
      <c r="A50" t="s">
        <v>55</v>
      </c>
      <c r="B50" t="s">
        <v>56</v>
      </c>
      <c r="C50" t="s">
        <v>57</v>
      </c>
      <c r="D50" s="1">
        <v>-51040</v>
      </c>
      <c r="G50" t="s">
        <v>101</v>
      </c>
    </row>
    <row r="51" spans="1:7">
      <c r="A51" t="s">
        <v>55</v>
      </c>
      <c r="B51" t="s">
        <v>56</v>
      </c>
      <c r="C51" t="s">
        <v>57</v>
      </c>
      <c r="D51" s="1">
        <v>-58160</v>
      </c>
      <c r="G51" t="s">
        <v>102</v>
      </c>
    </row>
    <row r="52" spans="1:7">
      <c r="A52" t="s">
        <v>55</v>
      </c>
      <c r="B52" t="s">
        <v>56</v>
      </c>
      <c r="C52" t="s">
        <v>57</v>
      </c>
      <c r="D52" s="1">
        <v>-571611.15</v>
      </c>
      <c r="G52" t="s">
        <v>103</v>
      </c>
    </row>
    <row r="53" spans="1:7">
      <c r="A53" t="s">
        <v>55</v>
      </c>
      <c r="B53" t="s">
        <v>56</v>
      </c>
      <c r="C53" t="s">
        <v>57</v>
      </c>
      <c r="D53" s="1">
        <v>-13000</v>
      </c>
      <c r="G53" t="s">
        <v>104</v>
      </c>
    </row>
    <row r="54" spans="1:7">
      <c r="A54" t="s">
        <v>55</v>
      </c>
      <c r="B54" t="s">
        <v>56</v>
      </c>
      <c r="C54" t="s">
        <v>57</v>
      </c>
      <c r="D54" s="1">
        <v>-2592000</v>
      </c>
      <c r="G54" t="s">
        <v>105</v>
      </c>
    </row>
    <row r="55" spans="1:7">
      <c r="A55" t="s">
        <v>55</v>
      </c>
      <c r="B55" t="s">
        <v>56</v>
      </c>
      <c r="C55" t="s">
        <v>57</v>
      </c>
      <c r="D55" s="1">
        <v>-265000</v>
      </c>
      <c r="G55" t="s">
        <v>106</v>
      </c>
    </row>
    <row r="56" spans="1:7">
      <c r="A56" t="s">
        <v>55</v>
      </c>
      <c r="B56" t="s">
        <v>56</v>
      </c>
      <c r="C56" t="s">
        <v>57</v>
      </c>
      <c r="D56" s="1">
        <v>-32000</v>
      </c>
      <c r="G56" t="s">
        <v>107</v>
      </c>
    </row>
    <row r="57" spans="1:7">
      <c r="A57" t="s">
        <v>55</v>
      </c>
      <c r="B57" t="s">
        <v>56</v>
      </c>
      <c r="C57" t="s">
        <v>57</v>
      </c>
      <c r="D57" s="1">
        <v>-38400</v>
      </c>
      <c r="G57" t="s">
        <v>108</v>
      </c>
    </row>
    <row r="58" spans="1:7">
      <c r="A58" t="s">
        <v>55</v>
      </c>
      <c r="B58" t="s">
        <v>56</v>
      </c>
      <c r="C58" t="s">
        <v>57</v>
      </c>
      <c r="D58" s="1">
        <v>-120000</v>
      </c>
      <c r="G58" t="s">
        <v>109</v>
      </c>
    </row>
    <row r="59" spans="1:7">
      <c r="A59" t="s">
        <v>55</v>
      </c>
      <c r="B59" t="s">
        <v>56</v>
      </c>
      <c r="C59" t="s">
        <v>57</v>
      </c>
      <c r="D59" s="1">
        <v>-82441.5</v>
      </c>
      <c r="G59" t="s">
        <v>110</v>
      </c>
    </row>
    <row r="60" spans="1:7">
      <c r="A60" t="s">
        <v>55</v>
      </c>
      <c r="B60" t="s">
        <v>56</v>
      </c>
      <c r="C60" t="s">
        <v>57</v>
      </c>
      <c r="D60" s="1">
        <v>-20700</v>
      </c>
      <c r="G60" t="s">
        <v>111</v>
      </c>
    </row>
    <row r="61" spans="1:7">
      <c r="A61" t="s">
        <v>55</v>
      </c>
      <c r="B61" t="s">
        <v>56</v>
      </c>
      <c r="C61" t="s">
        <v>57</v>
      </c>
      <c r="D61" s="1">
        <v>-1014000</v>
      </c>
      <c r="G61" t="s">
        <v>112</v>
      </c>
    </row>
    <row r="62" spans="1:7">
      <c r="A62" t="s">
        <v>55</v>
      </c>
      <c r="B62" t="s">
        <v>56</v>
      </c>
      <c r="C62" t="s">
        <v>57</v>
      </c>
      <c r="D62" s="1">
        <v>-179360</v>
      </c>
      <c r="G62" t="s">
        <v>113</v>
      </c>
    </row>
    <row r="63" spans="1:7">
      <c r="A63" t="s">
        <v>55</v>
      </c>
      <c r="B63" t="s">
        <v>56</v>
      </c>
      <c r="C63" t="s">
        <v>57</v>
      </c>
      <c r="D63" s="1">
        <v>-157950</v>
      </c>
      <c r="G63" t="s">
        <v>114</v>
      </c>
    </row>
    <row r="64" spans="1:7">
      <c r="A64" t="s">
        <v>55</v>
      </c>
      <c r="B64" t="s">
        <v>56</v>
      </c>
      <c r="C64" t="s">
        <v>57</v>
      </c>
      <c r="D64" s="1">
        <v>-116550</v>
      </c>
      <c r="G64" t="s">
        <v>115</v>
      </c>
    </row>
    <row r="65" spans="1:7">
      <c r="A65" t="s">
        <v>55</v>
      </c>
      <c r="B65" t="s">
        <v>56</v>
      </c>
      <c r="C65" t="s">
        <v>57</v>
      </c>
      <c r="D65" s="1">
        <v>-72000</v>
      </c>
      <c r="G65" t="s">
        <v>116</v>
      </c>
    </row>
    <row r="66" spans="1:7">
      <c r="A66" t="s">
        <v>55</v>
      </c>
      <c r="B66" t="s">
        <v>56</v>
      </c>
      <c r="C66" t="s">
        <v>57</v>
      </c>
      <c r="D66" s="1">
        <v>-176000</v>
      </c>
      <c r="G66" t="s">
        <v>117</v>
      </c>
    </row>
    <row r="67" spans="1:7">
      <c r="A67" t="s">
        <v>55</v>
      </c>
      <c r="B67" t="s">
        <v>56</v>
      </c>
      <c r="C67" t="s">
        <v>57</v>
      </c>
      <c r="D67" s="1">
        <v>-1251000</v>
      </c>
      <c r="G67" t="s">
        <v>118</v>
      </c>
    </row>
    <row r="68" spans="1:7">
      <c r="A68" t="s">
        <v>55</v>
      </c>
      <c r="B68" t="s">
        <v>56</v>
      </c>
      <c r="C68" t="s">
        <v>57</v>
      </c>
      <c r="D68" s="1">
        <v>-202434.06</v>
      </c>
      <c r="G68" t="s">
        <v>119</v>
      </c>
    </row>
    <row r="69" spans="1:7">
      <c r="A69" t="s">
        <v>55</v>
      </c>
      <c r="B69" t="s">
        <v>56</v>
      </c>
      <c r="C69" t="s">
        <v>57</v>
      </c>
      <c r="D69" s="1">
        <v>-160212.57</v>
      </c>
      <c r="G69" t="s">
        <v>120</v>
      </c>
    </row>
    <row r="70" spans="1:7">
      <c r="A70" t="s">
        <v>55</v>
      </c>
      <c r="B70" t="s">
        <v>56</v>
      </c>
      <c r="C70" t="s">
        <v>57</v>
      </c>
      <c r="D70" s="1">
        <v>-45245.62</v>
      </c>
      <c r="G70" t="s">
        <v>121</v>
      </c>
    </row>
    <row r="71" spans="1:7">
      <c r="A71" t="s">
        <v>55</v>
      </c>
      <c r="B71" t="s">
        <v>56</v>
      </c>
      <c r="C71" t="s">
        <v>57</v>
      </c>
      <c r="D71" s="1">
        <v>-1499068.95</v>
      </c>
      <c r="G71" t="s">
        <v>122</v>
      </c>
    </row>
    <row r="72" spans="1:7">
      <c r="A72" t="s">
        <v>55</v>
      </c>
      <c r="B72" t="s">
        <v>56</v>
      </c>
      <c r="C72" t="s">
        <v>57</v>
      </c>
      <c r="D72" s="1">
        <v>-447000</v>
      </c>
      <c r="G72" t="s">
        <v>123</v>
      </c>
    </row>
    <row r="73" spans="1:7">
      <c r="A73" t="s">
        <v>55</v>
      </c>
      <c r="B73" t="s">
        <v>56</v>
      </c>
      <c r="C73" t="s">
        <v>57</v>
      </c>
      <c r="D73" s="1">
        <v>-68920</v>
      </c>
      <c r="G73" t="s">
        <v>124</v>
      </c>
    </row>
    <row r="74" spans="1:7">
      <c r="A74" t="s">
        <v>55</v>
      </c>
      <c r="B74" t="s">
        <v>56</v>
      </c>
      <c r="C74" t="s">
        <v>57</v>
      </c>
      <c r="D74" s="1">
        <v>-6254467.2000000002</v>
      </c>
      <c r="G74" t="s">
        <v>125</v>
      </c>
    </row>
    <row r="75" spans="1:7">
      <c r="A75" t="s">
        <v>55</v>
      </c>
      <c r="B75" t="s">
        <v>56</v>
      </c>
      <c r="C75" t="s">
        <v>57</v>
      </c>
      <c r="D75" s="1">
        <v>-608102.64</v>
      </c>
      <c r="G75" t="s">
        <v>126</v>
      </c>
    </row>
    <row r="76" spans="1:7">
      <c r="A76" t="s">
        <v>55</v>
      </c>
      <c r="B76" t="s">
        <v>56</v>
      </c>
      <c r="C76" t="s">
        <v>57</v>
      </c>
      <c r="D76" s="1">
        <v>-47280</v>
      </c>
      <c r="G76" t="s">
        <v>127</v>
      </c>
    </row>
    <row r="77" spans="1:7">
      <c r="A77" t="s">
        <v>55</v>
      </c>
      <c r="B77" t="s">
        <v>56</v>
      </c>
      <c r="C77" t="s">
        <v>57</v>
      </c>
      <c r="D77" s="1">
        <v>-59720</v>
      </c>
      <c r="G77" t="s">
        <v>128</v>
      </c>
    </row>
    <row r="78" spans="1:7">
      <c r="A78" t="s">
        <v>55</v>
      </c>
      <c r="B78" t="s">
        <v>56</v>
      </c>
      <c r="C78" t="s">
        <v>57</v>
      </c>
      <c r="D78" s="1">
        <v>-87028.13</v>
      </c>
      <c r="G78" t="s">
        <v>129</v>
      </c>
    </row>
    <row r="79" spans="1:7">
      <c r="A79" t="s">
        <v>55</v>
      </c>
      <c r="B79" t="s">
        <v>56</v>
      </c>
      <c r="C79" t="s">
        <v>57</v>
      </c>
      <c r="D79" s="1">
        <v>-76860.850000000006</v>
      </c>
      <c r="G79" t="s">
        <v>130</v>
      </c>
    </row>
    <row r="80" spans="1:7">
      <c r="A80" t="s">
        <v>55</v>
      </c>
      <c r="B80" t="s">
        <v>56</v>
      </c>
      <c r="C80" t="s">
        <v>57</v>
      </c>
      <c r="D80" s="1">
        <v>-1006200</v>
      </c>
      <c r="G80" t="s">
        <v>131</v>
      </c>
    </row>
    <row r="81" spans="1:7">
      <c r="A81" t="s">
        <v>55</v>
      </c>
      <c r="B81" t="s">
        <v>56</v>
      </c>
      <c r="C81" t="s">
        <v>57</v>
      </c>
      <c r="D81" s="1">
        <v>-120000</v>
      </c>
      <c r="G81" t="s">
        <v>132</v>
      </c>
    </row>
    <row r="82" spans="1:7">
      <c r="A82" t="s">
        <v>55</v>
      </c>
      <c r="B82" t="s">
        <v>56</v>
      </c>
      <c r="C82" t="s">
        <v>57</v>
      </c>
      <c r="D82" s="1">
        <v>-844191</v>
      </c>
      <c r="G82" t="s">
        <v>133</v>
      </c>
    </row>
    <row r="83" spans="1:7">
      <c r="A83" t="s">
        <v>55</v>
      </c>
      <c r="B83" t="s">
        <v>56</v>
      </c>
      <c r="C83" t="s">
        <v>57</v>
      </c>
      <c r="D83" s="1">
        <v>-205768</v>
      </c>
      <c r="G83" t="s">
        <v>134</v>
      </c>
    </row>
    <row r="84" spans="1:7">
      <c r="A84" t="s">
        <v>55</v>
      </c>
      <c r="B84" t="s">
        <v>56</v>
      </c>
      <c r="C84" t="s">
        <v>57</v>
      </c>
      <c r="D84" s="1">
        <v>-38868</v>
      </c>
      <c r="G84" t="s">
        <v>135</v>
      </c>
    </row>
    <row r="85" spans="1:7">
      <c r="A85" t="s">
        <v>55</v>
      </c>
      <c r="B85" t="s">
        <v>56</v>
      </c>
      <c r="C85" t="s">
        <v>57</v>
      </c>
      <c r="D85" s="1">
        <v>-166500</v>
      </c>
      <c r="G85" t="s">
        <v>136</v>
      </c>
    </row>
    <row r="86" spans="1:7">
      <c r="A86" t="s">
        <v>55</v>
      </c>
      <c r="B86" t="s">
        <v>56</v>
      </c>
      <c r="C86" t="s">
        <v>57</v>
      </c>
      <c r="D86" s="1">
        <v>-613800</v>
      </c>
      <c r="G86" t="s">
        <v>137</v>
      </c>
    </row>
    <row r="87" spans="1:7">
      <c r="A87" t="s">
        <v>55</v>
      </c>
      <c r="B87" t="s">
        <v>56</v>
      </c>
      <c r="C87" t="s">
        <v>57</v>
      </c>
      <c r="D87" s="1">
        <v>-392423.9</v>
      </c>
      <c r="G87" t="s">
        <v>138</v>
      </c>
    </row>
    <row r="88" spans="1:7">
      <c r="A88" t="s">
        <v>55</v>
      </c>
      <c r="B88" t="s">
        <v>56</v>
      </c>
      <c r="C88" t="s">
        <v>57</v>
      </c>
      <c r="D88" s="1">
        <v>-50000</v>
      </c>
      <c r="G88" t="s">
        <v>139</v>
      </c>
    </row>
    <row r="89" spans="1:7">
      <c r="A89" t="s">
        <v>55</v>
      </c>
      <c r="B89" t="s">
        <v>56</v>
      </c>
      <c r="C89" t="s">
        <v>57</v>
      </c>
      <c r="D89" s="1">
        <v>-224000</v>
      </c>
      <c r="G89" t="s">
        <v>140</v>
      </c>
    </row>
    <row r="90" spans="1:7">
      <c r="A90" t="s">
        <v>55</v>
      </c>
      <c r="B90" t="s">
        <v>56</v>
      </c>
      <c r="C90" t="s">
        <v>57</v>
      </c>
      <c r="D90" s="1">
        <v>-927373.6</v>
      </c>
      <c r="G90" t="s">
        <v>141</v>
      </c>
    </row>
    <row r="91" spans="1:7">
      <c r="A91" t="s">
        <v>55</v>
      </c>
      <c r="B91" t="s">
        <v>56</v>
      </c>
      <c r="C91" t="s">
        <v>57</v>
      </c>
      <c r="D91" s="1">
        <v>-423212.42</v>
      </c>
      <c r="G91" t="s">
        <v>142</v>
      </c>
    </row>
    <row r="92" spans="1:7">
      <c r="A92" t="s">
        <v>55</v>
      </c>
      <c r="B92" t="s">
        <v>56</v>
      </c>
      <c r="C92" t="s">
        <v>57</v>
      </c>
      <c r="D92" s="1">
        <v>-64160</v>
      </c>
      <c r="G92" t="s">
        <v>143</v>
      </c>
    </row>
    <row r="93" spans="1:7">
      <c r="A93" t="s">
        <v>55</v>
      </c>
      <c r="B93" t="s">
        <v>56</v>
      </c>
      <c r="C93" t="s">
        <v>57</v>
      </c>
      <c r="D93" s="1">
        <v>-4655000</v>
      </c>
      <c r="G93" t="s">
        <v>144</v>
      </c>
    </row>
    <row r="94" spans="1:7">
      <c r="A94" t="s">
        <v>55</v>
      </c>
      <c r="B94" t="s">
        <v>56</v>
      </c>
      <c r="C94" t="s">
        <v>57</v>
      </c>
      <c r="D94" s="1">
        <v>-1121400</v>
      </c>
      <c r="G94" t="s">
        <v>145</v>
      </c>
    </row>
    <row r="95" spans="1:7">
      <c r="A95" t="s">
        <v>55</v>
      </c>
      <c r="B95" t="s">
        <v>56</v>
      </c>
      <c r="C95" t="s">
        <v>57</v>
      </c>
      <c r="D95" s="1">
        <v>-365840</v>
      </c>
      <c r="G95" t="s">
        <v>146</v>
      </c>
    </row>
    <row r="96" spans="1:7">
      <c r="A96" t="s">
        <v>55</v>
      </c>
      <c r="B96" t="s">
        <v>56</v>
      </c>
      <c r="C96" t="s">
        <v>57</v>
      </c>
      <c r="D96" s="1">
        <v>-124000</v>
      </c>
      <c r="G96" t="s">
        <v>147</v>
      </c>
    </row>
    <row r="97" spans="1:8">
      <c r="A97" t="s">
        <v>148</v>
      </c>
      <c r="B97" t="s">
        <v>7</v>
      </c>
      <c r="C97" t="s">
        <v>9</v>
      </c>
      <c r="D97" s="1">
        <v>-60000000</v>
      </c>
      <c r="G97" t="s">
        <v>42</v>
      </c>
      <c r="H97" t="s">
        <v>53</v>
      </c>
    </row>
    <row r="98" spans="1:8">
      <c r="A98" t="s">
        <v>148</v>
      </c>
      <c r="B98" t="s">
        <v>7</v>
      </c>
      <c r="C98" t="s">
        <v>9</v>
      </c>
      <c r="D98" s="1">
        <v>-100000000</v>
      </c>
      <c r="G98" t="s">
        <v>46</v>
      </c>
      <c r="H98" t="s">
        <v>53</v>
      </c>
    </row>
    <row r="99" spans="1:8">
      <c r="A99" t="s">
        <v>148</v>
      </c>
      <c r="B99" t="s">
        <v>7</v>
      </c>
      <c r="C99" t="s">
        <v>9</v>
      </c>
      <c r="D99" s="1">
        <v>-140000000</v>
      </c>
      <c r="G99" t="s">
        <v>47</v>
      </c>
      <c r="H99" t="s">
        <v>53</v>
      </c>
    </row>
    <row r="100" spans="1:8">
      <c r="D100" s="1"/>
    </row>
    <row r="101" spans="1:8">
      <c r="D101" s="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B6B9A5E792D2446B8986FAE34BEC557" ma:contentTypeVersion="11" ma:contentTypeDescription="Criar um novo documento." ma:contentTypeScope="" ma:versionID="87e6cc1b90d581404a86309927febdd7">
  <xsd:schema xmlns:xsd="http://www.w3.org/2001/XMLSchema" xmlns:xs="http://www.w3.org/2001/XMLSchema" xmlns:p="http://schemas.microsoft.com/office/2006/metadata/properties" xmlns:ns1="http://schemas.microsoft.com/sharepoint/v3" xmlns:ns2="5ad20f8b-9281-4829-a9aa-2b5a878ba2cc" xmlns:ns3="09d3dac3-f296-4107-b579-4b1e37be6169" targetNamespace="http://schemas.microsoft.com/office/2006/metadata/properties" ma:root="true" ma:fieldsID="e0ac64d57bc06ff1e51b301e6cc097a6" ns1:_="" ns2:_="" ns3:_="">
    <xsd:import namespace="http://schemas.microsoft.com/sharepoint/v3"/>
    <xsd:import namespace="5ad20f8b-9281-4829-a9aa-2b5a878ba2cc"/>
    <xsd:import namespace="09d3dac3-f296-4107-b579-4b1e37be61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d20f8b-9281-4829-a9aa-2b5a878ba2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d3dac3-f296-4107-b579-4b1e37be616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2f43633d-4f01-4e5f-8ed6-670c29f8108f}" ma:internalName="TaxCatchAll" ma:showField="CatchAllData" ma:web="09d3dac3-f296-4107-b579-4b1e37be616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09d3dac3-f296-4107-b579-4b1e37be6169" xsi:nil="true"/>
    <lcf76f155ced4ddcb4097134ff3c332f xmlns="5ad20f8b-9281-4829-a9aa-2b5a878ba2c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B985A59-2313-44B4-8259-DBEF9848A0AB}"/>
</file>

<file path=customXml/itemProps2.xml><?xml version="1.0" encoding="utf-8"?>
<ds:datastoreItem xmlns:ds="http://schemas.openxmlformats.org/officeDocument/2006/customXml" ds:itemID="{347660C8-7CE7-4172-903B-0614F719416B}"/>
</file>

<file path=customXml/itemProps3.xml><?xml version="1.0" encoding="utf-8"?>
<ds:datastoreItem xmlns:ds="http://schemas.openxmlformats.org/officeDocument/2006/customXml" ds:itemID="{EC118E8D-A802-4137-86F4-6094FDF6074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Instruções</vt:lpstr>
      <vt:lpstr>T 03.02</vt:lpstr>
      <vt:lpstr>Intragrupo garant receb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Flávia Daniela Costa Pinho</dc:creator>
  <cp:lastModifiedBy>Flávia Daniela Costa Pinho</cp:lastModifiedBy>
  <dcterms:created xsi:type="dcterms:W3CDTF">2021-09-30T09:49:08Z</dcterms:created>
  <dcterms:modified xsi:type="dcterms:W3CDTF">2023-03-13T14:28:39Z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0c2abd79-57a9-4473-8700-c843f76a1e37_Enabled">
    <vt:lpwstr>true</vt:lpwstr>
  </property>
  <property fmtid="{D5CDD505-2E9C-101B-9397-08002B2CF9AE}" pid="5" name="MSIP_Label_0c2abd79-57a9-4473-8700-c843f76a1e37_SetDate">
    <vt:lpwstr>2022-04-28T09:33:22Z</vt:lpwstr>
  </property>
  <property fmtid="{D5CDD505-2E9C-101B-9397-08002B2CF9AE}" pid="6" name="MSIP_Label_0c2abd79-57a9-4473-8700-c843f76a1e37_Method">
    <vt:lpwstr>Privileged</vt:lpwstr>
  </property>
  <property fmtid="{D5CDD505-2E9C-101B-9397-08002B2CF9AE}" pid="7" name="MSIP_Label_0c2abd79-57a9-4473-8700-c843f76a1e37_Name">
    <vt:lpwstr>Internal</vt:lpwstr>
  </property>
  <property fmtid="{D5CDD505-2E9C-101B-9397-08002B2CF9AE}" pid="8" name="MSIP_Label_0c2abd79-57a9-4473-8700-c843f76a1e37_SiteId">
    <vt:lpwstr>35595a02-4d6d-44ac-99e1-f9ab4cd872db</vt:lpwstr>
  </property>
  <property fmtid="{D5CDD505-2E9C-101B-9397-08002B2CF9AE}" pid="9" name="MSIP_Label_0c2abd79-57a9-4473-8700-c843f76a1e37_ActionId">
    <vt:lpwstr>a1d0e6a7-7668-44ed-ab6f-3df4d60c61f4</vt:lpwstr>
  </property>
  <property fmtid="{D5CDD505-2E9C-101B-9397-08002B2CF9AE}" pid="10" name="MSIP_Label_0c2abd79-57a9-4473-8700-c843f76a1e37_ContentBits">
    <vt:lpwstr>0</vt:lpwstr>
  </property>
  <property fmtid="{D5CDD505-2E9C-101B-9397-08002B2CF9AE}" pid="11" name="ContentTypeId">
    <vt:lpwstr>0x0101000B6B9A5E792D2446B8986FAE34BEC557</vt:lpwstr>
  </property>
</Properties>
</file>