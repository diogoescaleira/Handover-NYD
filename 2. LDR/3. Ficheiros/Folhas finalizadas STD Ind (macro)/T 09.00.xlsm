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oord_Financeira\ALM\SAS\LDR\LDR 2023\Folhas finalizadas STD Ind\Folhas finalizadas STD Ind (macro)\"/>
    </mc:Choice>
  </mc:AlternateContent>
  <bookViews>
    <workbookView xWindow="-120" yWindow="-120" windowWidth="20730" windowHeight="11160" activeTab="2"/>
  </bookViews>
  <sheets>
    <sheet name="Instruções" sheetId="3" r:id="rId1"/>
    <sheet name="Other non-financial" sheetId="1" r:id="rId2"/>
    <sheet name="T 09.00" sheetId="2" r:id="rId3"/>
  </sheets>
  <definedNames>
    <definedName name="_xlnm._FilterDatabase" localSheetId="2" hidden="1">'T 09.00'!$A$7:$S$49</definedName>
    <definedName name="_xlnm.Print_Area" localSheetId="2">'T 09.00'!$A$1:$S$8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2" l="1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8" i="2"/>
</calcChain>
</file>

<file path=xl/comments1.xml><?xml version="1.0" encoding="utf-8"?>
<comments xmlns="http://schemas.openxmlformats.org/spreadsheetml/2006/main">
  <authors>
    <author>Haizhen Li</author>
    <author>ojones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Metric  =  Row reference (aggregate template) [ei:ZZ:ZZ27]_x000D_
Main category of item that is the object of the transaction / contract  =  Liabilities other than Derivatives, Short positions, Deposits, Debt securities issued, Other financial liabilities</t>
        </r>
      </text>
    </comment>
    <comment ref="F7" authorId="0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Liabilities other than Derivatives, Short positions, Deposits, Debt securities issued, Other financial liabilities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Liabilities_x000D_
Main category  =  Liabilities other than Derivatives, Short positions, Deposits, Debt securities issued, Other financial liabilities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Metric  =  Contract identifier [si]_x000D_
Base  =  Liabilities_x000D_
Main category  =  Liabilities other than Derivatives, Short positions, Deposits, Debt securities issued, Other financial liabilities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Liabilities other than Derivatives, Short positions, Deposits, Debt securities issued, Other financial liabilities</t>
        </r>
      </text>
    </comment>
    <comment ref="J7" authorId="0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Liabilities other than Derivatives, Short positions, Deposits, Debt securities issued, Other financial liabilities</t>
        </r>
      </text>
    </comment>
    <comment ref="K7" authorId="0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Liabilities_x000D_
Main category  =  Liabilities other than Derivatives, Short positions, Deposits, Debt securities issued, Other financial liabilities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>Metric  =  Type of non-financial liability [ei:MC:MC36]_x000D_
Main category  =  Liabilities other than Derivatives, Short positions, Deposits, Debt securities issued, Other financial liabilities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Liabilities other than Derivatives, Short positions, Deposits, Debt securities issued, Other financial liabilities</t>
        </r>
      </text>
    </comment>
    <comment ref="N7" authorId="0" shapeId="0">
      <text>
        <r>
          <rPr>
            <sz val="9"/>
            <color indexed="81"/>
            <rFont val="Tahoma"/>
            <family val="2"/>
          </rPr>
          <t>Metric  =  Currency in which the transaction / contract is denominated [ei:CU:CU3_3]_x000D_
Base  =  Liabilities_x000D_
Main category  =  Liabilities other than Derivatives, Short positions, Deposits, Debt securities issued, Other financial liabilities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Metric  =  Date of issuance [di]_x000D_
Base  =  Liabilities_x000D_
Main category  =  Liabilities other than Derivatives, Short positions, Deposits, Debt securities issued, Other financial liabilities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Metric  =  Legal final maturity date [di]_x000D_
Base  =  Liabilities_x000D_
Main category  =  Liabilities other than Derivatives, Short positions, Deposits, Debt securities issued, Other financial liabilities</t>
        </r>
      </text>
    </comment>
    <comment ref="Q7" authorId="0" shapeId="0">
      <text>
        <r>
          <rPr>
            <sz val="9"/>
            <color indexed="81"/>
            <rFont val="Tahoma"/>
            <family val="2"/>
          </rPr>
          <t>Metric  =  Type of regulatory capital [ei:OF:OF8]_x000D_
Base  =  Liabilities_x000D_
Main category  =  Liabilities other than Derivatives, Short positions, Deposits, Debt securities issued, Other financial liabilities</t>
        </r>
      </text>
    </comment>
    <comment ref="R7" authorId="0" shapeId="0">
      <text>
        <r>
          <rPr>
            <sz val="9"/>
            <color indexed="81"/>
            <rFont val="Tahoma"/>
            <family val="2"/>
          </rPr>
          <t>Metric  =  Amount including transitional provisions [mi]_x000D_
Base  =  Own funds_x000D_
Main category  =  Regulatory capital items_x000D_
Own funds  =  Total own funds_x000D_
Main category of item that is the object of the transaction / contract  =  Liabilities other than Derivatives, Short positions, Deposits, Debt securities issued, Other financial liabilities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D8" authorId="1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E8" authorId="1" shapeId="0">
      <text>
        <r>
          <rPr>
            <sz val="9"/>
            <color indexed="81"/>
            <rFont val="Tahoma"/>
            <family val="2"/>
          </rPr>
          <t>Metric  =  Row reference (aggregate template) [ei:ZZ:ZZ27]_x000D_
Main category of item that is the object of the transaction / contract  =  Liabilities other than Derivatives, Short positions, Deposits, Debt securities issued, Other financial liabilities</t>
        </r>
      </text>
    </comment>
    <comment ref="F8" authorId="1" shapeId="0">
      <text>
        <r>
          <rPr>
            <sz val="9"/>
            <color indexed="81"/>
            <rFont val="Tahoma"/>
            <family val="2"/>
          </rPr>
          <t>Metric  =  Column reference (aggregate template) [ei:ZZ:ZZ32]_x000D_
Main category of item that is the object of the transaction / contract  =  Liabilities other than Derivatives, Short positions, Deposits, Debt securities issued, Other financial liabilities</t>
        </r>
      </text>
    </comment>
    <comment ref="G8" authorId="1" shapeId="0">
      <text>
        <r>
          <rPr>
            <sz val="9"/>
            <color indexed="81"/>
            <rFont val="Tahoma"/>
            <family val="2"/>
          </rPr>
          <t>Metric  =  Ranking in insolvency [ei:ZZ:ZZ28]_x000D_
Base  =  Liabilities_x000D_
Main category  =  Liabilities other than Derivatives, Short positions, Deposits, Debt securities issued, Other financial liabilities</t>
        </r>
      </text>
    </comment>
    <comment ref="H8" authorId="1" shapeId="0">
      <text>
        <r>
          <rPr>
            <sz val="9"/>
            <color indexed="81"/>
            <rFont val="Tahoma"/>
            <family val="2"/>
          </rPr>
          <t>Metric  =  Contract identifier [si]_x000D_
Base  =  Liabilities_x000D_
Main category  =  Liabilities other than Derivatives, Short positions, Deposits, Debt securities issued, Other financial liabilities</t>
        </r>
      </text>
    </comment>
    <comment ref="I8" authorId="1" shapeId="0">
      <text>
        <r>
          <rPr>
            <sz val="9"/>
            <color indexed="81"/>
            <rFont val="Tahoma"/>
            <family val="2"/>
          </rPr>
          <t>Metric  =  Entity code [si]_x000D_
Main category of item that is the object of the transaction / contract  =  Liabilities other than Derivatives, Short positions, Deposits, Debt securities issued, Other financial liabilities</t>
        </r>
      </text>
    </comment>
    <comment ref="J8" authorId="1" shapeId="0">
      <text>
        <r>
          <rPr>
            <sz val="9"/>
            <color indexed="81"/>
            <rFont val="Tahoma"/>
            <family val="2"/>
          </rPr>
          <t>Metric  =  Type of identifier [ei:AT:AT99]_x000D_
Main category of item that is the object of the transaction / contract  =  Liabilities other than Derivatives, Short positions, Deposits, Debt securities issued, Other financial liabilities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Metric  =  Country the law of which governs the contract / master agreement [ei:GA:GA4]_x000D_
Base  =  Liabilities_x000D_
Main category  =  Liabilities other than Derivatives, Short positions, Deposits, Debt securities issued, Other financial liabilities</t>
        </r>
      </text>
    </comment>
    <comment ref="L8" authorId="1" shapeId="0">
      <text>
        <r>
          <rPr>
            <sz val="9"/>
            <color indexed="81"/>
            <rFont val="Tahoma"/>
            <family val="2"/>
          </rPr>
          <t>Metric  =  Type of non-financial liability [ei:MC:MC36]_x000D_
Main category  =  Liabilities other than Derivatives, Short positions, Deposits, Debt securities issued, Other financial liabilities</t>
        </r>
      </text>
    </comment>
    <comment ref="M8" authorId="1" shapeId="0">
      <text>
        <r>
          <rPr>
            <sz val="9"/>
            <color indexed="81"/>
            <rFont val="Tahoma"/>
            <family val="2"/>
          </rPr>
          <t>Metric  =  Outstanding amount [mi]_x000D_
Base  =  Liabilities_x000D_
Main category  =  Liabilities other than Derivatives, Short positions, Deposits, Debt securities issued, Other financial liabilities</t>
        </r>
      </text>
    </comment>
    <comment ref="N8" authorId="1" shapeId="0">
      <text>
        <r>
          <rPr>
            <sz val="9"/>
            <color indexed="81"/>
            <rFont val="Tahoma"/>
            <family val="2"/>
          </rPr>
          <t>Metric  =  Currency in which the transaction / contract is denominated [ei:CU:CU3_3]_x000D_
Base  =  Liabilities_x000D_
Main category  =  Liabilities other than Derivatives, Short positions, Deposits, Debt securities issued, Other financial liabilities</t>
        </r>
      </text>
    </comment>
    <comment ref="O8" authorId="1" shapeId="0">
      <text>
        <r>
          <rPr>
            <sz val="9"/>
            <color indexed="81"/>
            <rFont val="Tahoma"/>
            <family val="2"/>
          </rPr>
          <t>Metric  =  Date of issuance [di]_x000D_
Base  =  Liabilities_x000D_
Main category  =  Liabilities other than Derivatives, Short positions, Deposits, Debt securities issued, Other financial liabilities</t>
        </r>
      </text>
    </comment>
    <comment ref="P8" authorId="1" shapeId="0">
      <text>
        <r>
          <rPr>
            <sz val="9"/>
            <color indexed="81"/>
            <rFont val="Tahoma"/>
            <family val="2"/>
          </rPr>
          <t>Metric  =  Legal final maturity date [di]_x000D_
Base  =  Liabilities_x000D_
Main category  =  Liabilities other than Derivatives, Short positions, Deposits, Debt securities issued, Other financial liabilities</t>
        </r>
      </text>
    </comment>
    <comment ref="Q8" authorId="1" shapeId="0">
      <text>
        <r>
          <rPr>
            <sz val="9"/>
            <color indexed="81"/>
            <rFont val="Tahoma"/>
            <family val="2"/>
          </rPr>
          <t>Metric  =  Type of regulatory capital [ei:OF:OF8]_x000D_
Base  =  Liabilities_x000D_
Main category  =  Liabilities other than Derivatives, Short positions, Deposits, Debt securities issued, Other financial liabilities</t>
        </r>
      </text>
    </comment>
    <comment ref="R8" authorId="1" shapeId="0">
      <text>
        <r>
          <rPr>
            <sz val="9"/>
            <color indexed="81"/>
            <rFont val="Tahoma"/>
            <family val="2"/>
          </rPr>
          <t>Metric  =  Amount including transitional provisions [mi]_x000D_
Base  =  Own funds_x000D_
Main category  =  Regulatory capital items_x000D_
Own funds  =  Total own funds_x000D_
Main category of item that is the object of the transaction / contract  =  Liabilities other than Derivatives, Short positions, Deposits, Debt securities issued, Other financial liabilities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6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>Row ID (other non-financial liabilities)  =  &lt;Key value&gt;</t>
        </r>
      </text>
    </comment>
  </commentList>
</comments>
</file>

<file path=xl/sharedStrings.xml><?xml version="1.0" encoding="utf-8"?>
<sst xmlns="http://schemas.openxmlformats.org/spreadsheetml/2006/main" count="3039" uniqueCount="173">
  <si>
    <t>tayd91c0_gelem30</t>
  </si>
  <si>
    <t>SUM_of_SUM_of_SUM_of_msaldo_fin1</t>
  </si>
  <si>
    <t>contraparte_i_desc</t>
  </si>
  <si>
    <t>flag_pme</t>
  </si>
  <si>
    <t>ref_date</t>
  </si>
  <si>
    <t>Line</t>
  </si>
  <si>
    <t>Insolvency Ranking</t>
  </si>
  <si>
    <t>Type of non-financial liabilitie</t>
  </si>
  <si>
    <t>COROA SUECA</t>
  </si>
  <si>
    <t>outras instituicoes financeiras</t>
  </si>
  <si>
    <t>1</t>
  </si>
  <si>
    <t>r0390 - Non-financial liabilities</t>
  </si>
  <si>
    <t>Rank 9 - Ranking in insolvency (master scale)</t>
  </si>
  <si>
    <t>Liabilities other than financial liabilities, provisions, tax liabilities, deferred income</t>
  </si>
  <si>
    <t>DOLAR AMERICANO</t>
  </si>
  <si>
    <t>0</t>
  </si>
  <si>
    <t>DOLAR CANADIANO</t>
  </si>
  <si>
    <t>EURO</t>
  </si>
  <si>
    <t>r0170 - Employee liabilities (BRRD art. 44/2/g/i)</t>
  </si>
  <si>
    <t>Rank 17 - Ranking in insolvency (master scale)</t>
  </si>
  <si>
    <t>Provisions. Employee benefits. Other than pension and other post-employment defined benefit obligations</t>
  </si>
  <si>
    <t>instituicoes de credito</t>
  </si>
  <si>
    <t>Provisions. Off-balance sheet exposures subject to credit risk</t>
  </si>
  <si>
    <t>outras empresas nao financeiras</t>
  </si>
  <si>
    <t>particulares</t>
  </si>
  <si>
    <t>setor publico</t>
  </si>
  <si>
    <t>FRANCO SUICO</t>
  </si>
  <si>
    <t>IENE JAPONES</t>
  </si>
  <si>
    <t>LIBRA INGLESA</t>
  </si>
  <si>
    <t>T 09.00 - Other non-financial liabilities (not included in other tabs, excluding intragroup)</t>
  </si>
  <si>
    <t>Columns</t>
  </si>
  <si>
    <t>Number</t>
  </si>
  <si>
    <t>Reconciliation with aggregated data</t>
  </si>
  <si>
    <t>Other Non-Financial liabilities (not included in other tabs, excluding intragroup)</t>
  </si>
  <si>
    <t>Column</t>
  </si>
  <si>
    <t>Contract Identifier</t>
  </si>
  <si>
    <t>Counterparty identifier (preferably LEI)</t>
  </si>
  <si>
    <t>Type of identifier</t>
  </si>
  <si>
    <t>Governing Law</t>
  </si>
  <si>
    <t>Type of non-financial liabilities</t>
  </si>
  <si>
    <t>Outstanding Amount</t>
  </si>
  <si>
    <t>Currency</t>
  </si>
  <si>
    <t>Date of Recognition</t>
  </si>
  <si>
    <t>Date of Maturity</t>
  </si>
  <si>
    <t>Qualifying as Own Funds</t>
  </si>
  <si>
    <t>Amount Included in Own Funds, taking into account phase-out as applicable</t>
  </si>
  <si>
    <t>0010</t>
  </si>
  <si>
    <t>0020</t>
  </si>
  <si>
    <t>0030</t>
  </si>
  <si>
    <t>0040</t>
  </si>
  <si>
    <t>0050</t>
  </si>
  <si>
    <t>0060</t>
  </si>
  <si>
    <t>0065</t>
  </si>
  <si>
    <t>0070</t>
  </si>
  <si>
    <t>0080</t>
  </si>
  <si>
    <t>0090</t>
  </si>
  <si>
    <t>0100</t>
  </si>
  <si>
    <t>0110</t>
  </si>
  <si>
    <t>0120</t>
  </si>
  <si>
    <t>0130</t>
  </si>
  <si>
    <t>0140</t>
  </si>
  <si>
    <t>Rows</t>
  </si>
  <si>
    <t>ID of liability</t>
  </si>
  <si>
    <t>999</t>
  </si>
  <si>
    <t>Type of identifier, other than LEI or MFI code</t>
  </si>
  <si>
    <t>PORTUGAL</t>
  </si>
  <si>
    <t>No</t>
  </si>
  <si>
    <t>Instruções</t>
  </si>
  <si>
    <t>3 - Correr de novo a query "Acrescento da classificação"</t>
  </si>
  <si>
    <t>6- Carregar no button</t>
  </si>
  <si>
    <t>7- Se a macro der erro, verificar que a sheet "Other non-financial" não tem filtros e recomeçar do inicio</t>
  </si>
  <si>
    <t>2 - Caso existam novas contas deve ser acrescentado no ficheiro "BALANCETE xx-xx-xxxx" com a classificação correspondente. Depois importar o ficheiro para o WORKUSER, com o nome "FILTER_FOR_BALENCETE"</t>
  </si>
  <si>
    <t>1- Extrair a tabela "Validação_Contas_IND" e verificar que não houve alteração nas contas comparando com o ficheiro "BALANCETE xx-xx-xxxx" do periodo anterior</t>
  </si>
  <si>
    <t>5- Copiar a informação da tabela T09.00 extraída do projeto SAS e copiar para a folha "Other non-financial"</t>
  </si>
  <si>
    <t>4- Apagar a informação que consta na folha "Other non-financial"</t>
  </si>
  <si>
    <t>ccontab_final_ifrs</t>
  </si>
  <si>
    <t>2022-12-31</t>
  </si>
  <si>
    <t>25943</t>
  </si>
  <si>
    <t>25999</t>
  </si>
  <si>
    <t>2999</t>
  </si>
  <si>
    <t>25995</t>
  </si>
  <si>
    <t>29950</t>
  </si>
  <si>
    <t>29951</t>
  </si>
  <si>
    <t>25991</t>
  </si>
  <si>
    <t>2810</t>
  </si>
  <si>
    <t>2821</t>
  </si>
  <si>
    <t>299230</t>
  </si>
  <si>
    <t>25310</t>
  </si>
  <si>
    <t>25320</t>
  </si>
  <si>
    <t>25330</t>
  </si>
  <si>
    <t>25340</t>
  </si>
  <si>
    <t>25350</t>
  </si>
  <si>
    <t>25351</t>
  </si>
  <si>
    <t>25911</t>
  </si>
  <si>
    <t>25914</t>
  </si>
  <si>
    <t>25915</t>
  </si>
  <si>
    <t>25924</t>
  </si>
  <si>
    <t>25932</t>
  </si>
  <si>
    <t>25933</t>
  </si>
  <si>
    <t>25934</t>
  </si>
  <si>
    <t>25935</t>
  </si>
  <si>
    <t>25941</t>
  </si>
  <si>
    <t>259420</t>
  </si>
  <si>
    <t>259429</t>
  </si>
  <si>
    <t>25944</t>
  </si>
  <si>
    <t>25990</t>
  </si>
  <si>
    <t>259940</t>
  </si>
  <si>
    <t>259941</t>
  </si>
  <si>
    <t>283</t>
  </si>
  <si>
    <t>2860</t>
  </si>
  <si>
    <t>2861</t>
  </si>
  <si>
    <t>2862</t>
  </si>
  <si>
    <t>2863</t>
  </si>
  <si>
    <t>2864</t>
  </si>
  <si>
    <t>2865</t>
  </si>
  <si>
    <t>2866</t>
  </si>
  <si>
    <t>288</t>
  </si>
  <si>
    <t>299231</t>
  </si>
  <si>
    <t>2992351</t>
  </si>
  <si>
    <t>2992352</t>
  </si>
  <si>
    <t>29929</t>
  </si>
  <si>
    <t>29939</t>
  </si>
  <si>
    <t>25331</t>
  </si>
  <si>
    <t>25922</t>
  </si>
  <si>
    <t>25923</t>
  </si>
  <si>
    <t>25925</t>
  </si>
  <si>
    <t>25996</t>
  </si>
  <si>
    <t>2890011</t>
  </si>
  <si>
    <t>2890012</t>
  </si>
  <si>
    <t>2890013</t>
  </si>
  <si>
    <t>2890014</t>
  </si>
  <si>
    <t>2890015</t>
  </si>
  <si>
    <t>2890022</t>
  </si>
  <si>
    <t>2890024</t>
  </si>
  <si>
    <t>2890025</t>
  </si>
  <si>
    <t>28900304</t>
  </si>
  <si>
    <t>28900314</t>
  </si>
  <si>
    <t>28900315</t>
  </si>
  <si>
    <t>28909110</t>
  </si>
  <si>
    <t>28909111</t>
  </si>
  <si>
    <t>28909120</t>
  </si>
  <si>
    <t>28909130</t>
  </si>
  <si>
    <t>28909131</t>
  </si>
  <si>
    <t>28909140</t>
  </si>
  <si>
    <t>28909141</t>
  </si>
  <si>
    <t>28909150</t>
  </si>
  <si>
    <t>28909151</t>
  </si>
  <si>
    <t>28909210</t>
  </si>
  <si>
    <t>28909220</t>
  </si>
  <si>
    <t>28909230</t>
  </si>
  <si>
    <t>28909240</t>
  </si>
  <si>
    <t>28909241</t>
  </si>
  <si>
    <t>28909250</t>
  </si>
  <si>
    <t>289093040</t>
  </si>
  <si>
    <t>289093041</t>
  </si>
  <si>
    <t>289093130</t>
  </si>
  <si>
    <t>289093140</t>
  </si>
  <si>
    <t>289093141</t>
  </si>
  <si>
    <t>289093150</t>
  </si>
  <si>
    <t>289201110</t>
  </si>
  <si>
    <t>289201210</t>
  </si>
  <si>
    <t>289201310</t>
  </si>
  <si>
    <t>289201400</t>
  </si>
  <si>
    <t>289201510</t>
  </si>
  <si>
    <t>289202210</t>
  </si>
  <si>
    <t>289202310</t>
  </si>
  <si>
    <t>289202400</t>
  </si>
  <si>
    <t>289202410</t>
  </si>
  <si>
    <t>289202510</t>
  </si>
  <si>
    <t>2892030410</t>
  </si>
  <si>
    <t>2892031510</t>
  </si>
  <si>
    <t>289201410</t>
  </si>
  <si>
    <t>289201319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</si>
</sst>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"/>
  </numFmts>
  <fonts count="10">
    <font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1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19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sz val="8"/>
      <name val="Calibri"/>
    </font>
  </fonts>
  <fills count="4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164" fontId="0" fillId="0" borderId="0" xfId="0" applyNumberFormat="1"/>
    <xf numFmtId="0" fontId="1" fillId="0" borderId="0" xfId="1" applyAlignment="1">
      <alignment wrapText="1"/>
    </xf>
    <xf numFmtId="0" fontId="1" fillId="0" borderId="0" xfId="1"/>
    <xf numFmtId="0" fontId="1" fillId="2" borderId="2" xfId="1" applyFill="1" applyBorder="1" applyAlignment="1">
      <alignment horizontal="left" vertical="top" wrapText="1"/>
    </xf>
    <xf numFmtId="0" fontId="1" fillId="2" borderId="6" xfId="1" applyFill="1" applyBorder="1" applyAlignment="1">
      <alignment horizontal="left" vertical="top" wrapText="1"/>
    </xf>
    <xf numFmtId="0" fontId="1" fillId="2" borderId="7" xfId="1" applyFill="1" applyBorder="1" applyAlignment="1">
      <alignment horizontal="left" vertical="top" wrapText="1"/>
    </xf>
    <xf numFmtId="0" fontId="1" fillId="2" borderId="7" xfId="1" quotePrefix="1" applyFill="1" applyBorder="1" applyAlignment="1">
      <alignment horizontal="left" vertical="top" wrapText="1"/>
    </xf>
    <xf numFmtId="0" fontId="2" fillId="2" borderId="3" xfId="1" applyFont="1" applyFill="1" applyBorder="1" applyAlignment="1">
      <alignment horizontal="center" vertical="center" textRotation="90"/>
    </xf>
    <xf numFmtId="0" fontId="1" fillId="2" borderId="4" xfId="1" applyFill="1" applyBorder="1" applyAlignment="1">
      <alignment horizontal="left" vertical="center" wrapText="1"/>
    </xf>
    <xf numFmtId="0" fontId="1" fillId="2" borderId="7" xfId="1" quotePrefix="1" applyFill="1" applyBorder="1" applyAlignment="1">
      <alignment horizontal="left" vertical="center"/>
    </xf>
    <xf numFmtId="0" fontId="4" fillId="0" borderId="8" xfId="1" applyFont="1" applyBorder="1" applyAlignment="1">
      <alignment horizontal="center" vertical="center" wrapText="1"/>
    </xf>
    <xf numFmtId="4" fontId="4" fillId="0" borderId="8" xfId="1" applyNumberFormat="1" applyFont="1" applyBorder="1" applyAlignment="1">
      <alignment horizontal="center" vertical="center" wrapText="1"/>
    </xf>
    <xf numFmtId="0" fontId="5" fillId="0" borderId="0" xfId="1" applyFont="1" applyAlignment="1">
      <alignment horizontal="left" vertical="top" wrapText="1"/>
    </xf>
    <xf numFmtId="0" fontId="4" fillId="3" borderId="8" xfId="1" applyFont="1" applyFill="1" applyBorder="1" applyAlignment="1">
      <alignment horizontal="center" vertical="center" wrapText="1"/>
    </xf>
    <xf numFmtId="14" fontId="4" fillId="0" borderId="8" xfId="1" applyNumberFormat="1" applyFont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0" fillId="0" borderId="0" xfId="0" applyAlignment="1">
      <alignment horizontal="center"/>
    </xf>
    <xf numFmtId="0" fontId="2" fillId="2" borderId="1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center" vertical="center"/>
    </xf>
    <xf numFmtId="0" fontId="1" fillId="2" borderId="3" xfId="1" applyFill="1" applyBorder="1" applyAlignment="1">
      <alignment horizontal="left" vertical="top" wrapText="1"/>
    </xf>
    <xf numFmtId="0" fontId="1" fillId="2" borderId="4" xfId="1" applyFill="1" applyBorder="1" applyAlignment="1">
      <alignment horizontal="left" vertical="top" wrapText="1"/>
    </xf>
    <xf numFmtId="0" fontId="1" fillId="2" borderId="5" xfId="1" applyFill="1" applyBorder="1" applyAlignment="1">
      <alignment horizontal="left" vertical="top" wrapText="1"/>
    </xf>
    <xf numFmtId="0" fontId="3" fillId="0" borderId="1" xfId="1" applyFont="1" applyBorder="1" applyAlignment="1">
      <alignment horizontal="left" wrapText="1"/>
    </xf>
  </cellXfs>
  <cellStyles count="2">
    <cellStyle name="Normal" xfId="0" builtinId="0"/>
    <cellStyle name="Normal 2" xfId="1"/>
  </cellStyles>
  <dxfs count="11"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  <dxf>
      <fill>
        <patternFill>
          <fgColor indexed="64"/>
          <bgColor rgb="FFCC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9</xdr:row>
      <xdr:rowOff>161925</xdr:rowOff>
    </xdr:from>
    <xdr:to>
      <xdr:col>3</xdr:col>
      <xdr:colOff>342900</xdr:colOff>
      <xdr:row>12</xdr:row>
      <xdr:rowOff>38100</xdr:rowOff>
    </xdr:to>
    <xdr:sp macro="[0]!OthernonfinancialT090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7700" y="1304925"/>
          <a:ext cx="152400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Preencher T</a:t>
          </a:r>
          <a:r>
            <a:rPr lang="en-US" sz="1100" baseline="0"/>
            <a:t> 09.00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18"/>
  <sheetViews>
    <sheetView showGridLines="0" workbookViewId="0">
      <selection activeCell="H17" sqref="H17"/>
    </sheetView>
  </sheetViews>
  <sheetFormatPr defaultRowHeight="15"/>
  <sheetData>
    <row r="2" spans="2:2">
      <c r="B2" s="16" t="s">
        <v>67</v>
      </c>
    </row>
    <row r="3" spans="2:2">
      <c r="B3" t="s">
        <v>72</v>
      </c>
    </row>
    <row r="4" spans="2:2">
      <c r="B4" t="s">
        <v>71</v>
      </c>
    </row>
    <row r="5" spans="2:2">
      <c r="B5" t="s">
        <v>68</v>
      </c>
    </row>
    <row r="6" spans="2:2">
      <c r="B6" t="s">
        <v>74</v>
      </c>
    </row>
    <row r="7" spans="2:2">
      <c r="B7" t="s">
        <v>73</v>
      </c>
    </row>
    <row r="8" spans="2:2">
      <c r="B8" t="s">
        <v>69</v>
      </c>
    </row>
    <row r="9" spans="2:2">
      <c r="B9" s="17" t="s">
        <v>70</v>
      </c>
    </row>
    <row r="18" spans="14:14">
      <c r="N18" s="18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9"/>
  <sheetViews>
    <sheetView topLeftCell="E1" workbookViewId="0">
      <selection sqref="A1:XFD1048576"/>
    </sheetView>
  </sheetViews>
  <sheetFormatPr defaultRowHeight="15"/>
  <cols>
    <col min="1" max="1" width="18.85546875" bestFit="1" customWidth="1"/>
    <col min="2" max="2" width="36.28515625" bestFit="1" customWidth="1"/>
    <col min="3" max="3" width="30.140625" bestFit="1" customWidth="1"/>
    <col min="4" max="4" width="9.28515625" bestFit="1" customWidth="1"/>
    <col min="5" max="5" width="10.42578125" bestFit="1" customWidth="1"/>
    <col min="6" max="6" width="43.5703125" bestFit="1" customWidth="1"/>
    <col min="7" max="7" width="42.28515625" bestFit="1" customWidth="1"/>
    <col min="8" max="8" width="99.1406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75</v>
      </c>
    </row>
    <row r="2" spans="1:9">
      <c r="A2" t="s">
        <v>8</v>
      </c>
      <c r="B2" s="1">
        <v>8.9899999999999995E-4</v>
      </c>
      <c r="C2" t="s">
        <v>9</v>
      </c>
      <c r="D2" t="s">
        <v>15</v>
      </c>
      <c r="E2" t="s">
        <v>76</v>
      </c>
      <c r="F2" t="s">
        <v>11</v>
      </c>
      <c r="G2" t="s">
        <v>12</v>
      </c>
      <c r="H2" t="s">
        <v>22</v>
      </c>
      <c r="I2" t="s">
        <v>77</v>
      </c>
    </row>
    <row r="3" spans="1:9">
      <c r="A3" t="s">
        <v>14</v>
      </c>
      <c r="B3" s="1">
        <v>8105.8316159999995</v>
      </c>
      <c r="D3" t="s">
        <v>15</v>
      </c>
      <c r="E3" t="s">
        <v>76</v>
      </c>
      <c r="F3" t="s">
        <v>11</v>
      </c>
      <c r="G3" t="s">
        <v>12</v>
      </c>
      <c r="H3" t="s">
        <v>13</v>
      </c>
      <c r="I3" t="s">
        <v>78</v>
      </c>
    </row>
    <row r="4" spans="1:9">
      <c r="A4" t="s">
        <v>14</v>
      </c>
      <c r="B4" s="1">
        <v>625.79223699999989</v>
      </c>
      <c r="D4" t="s">
        <v>15</v>
      </c>
      <c r="E4" t="s">
        <v>76</v>
      </c>
      <c r="F4" t="s">
        <v>11</v>
      </c>
      <c r="G4" t="s">
        <v>12</v>
      </c>
      <c r="H4" t="s">
        <v>13</v>
      </c>
      <c r="I4" t="s">
        <v>79</v>
      </c>
    </row>
    <row r="5" spans="1:9">
      <c r="A5" t="s">
        <v>14</v>
      </c>
      <c r="B5" s="1">
        <v>228509.06619099999</v>
      </c>
      <c r="D5" t="s">
        <v>10</v>
      </c>
      <c r="E5" t="s">
        <v>76</v>
      </c>
      <c r="F5" t="s">
        <v>11</v>
      </c>
      <c r="G5" t="s">
        <v>12</v>
      </c>
      <c r="H5" t="s">
        <v>13</v>
      </c>
      <c r="I5" t="s">
        <v>78</v>
      </c>
    </row>
    <row r="6" spans="1:9">
      <c r="A6" t="s">
        <v>14</v>
      </c>
      <c r="B6" s="1">
        <v>12389.264951999998</v>
      </c>
      <c r="D6" t="s">
        <v>10</v>
      </c>
      <c r="E6" t="s">
        <v>76</v>
      </c>
      <c r="F6" t="s">
        <v>11</v>
      </c>
      <c r="G6" t="s">
        <v>12</v>
      </c>
      <c r="H6" t="s">
        <v>13</v>
      </c>
      <c r="I6" t="s">
        <v>79</v>
      </c>
    </row>
    <row r="7" spans="1:9">
      <c r="A7" t="s">
        <v>14</v>
      </c>
      <c r="B7" s="1">
        <v>5906835.2240770003</v>
      </c>
      <c r="C7" t="s">
        <v>9</v>
      </c>
      <c r="D7" t="s">
        <v>15</v>
      </c>
      <c r="E7" t="s">
        <v>76</v>
      </c>
      <c r="F7" t="s">
        <v>11</v>
      </c>
      <c r="G7" t="s">
        <v>12</v>
      </c>
      <c r="H7" t="s">
        <v>13</v>
      </c>
      <c r="I7" t="s">
        <v>80</v>
      </c>
    </row>
    <row r="8" spans="1:9">
      <c r="A8" t="s">
        <v>14</v>
      </c>
      <c r="B8" s="1">
        <v>41743.568348000001</v>
      </c>
      <c r="C8" t="s">
        <v>9</v>
      </c>
      <c r="D8" t="s">
        <v>15</v>
      </c>
      <c r="E8" t="s">
        <v>76</v>
      </c>
      <c r="F8" t="s">
        <v>11</v>
      </c>
      <c r="G8" t="s">
        <v>12</v>
      </c>
      <c r="H8" t="s">
        <v>22</v>
      </c>
      <c r="I8" t="s">
        <v>77</v>
      </c>
    </row>
    <row r="9" spans="1:9">
      <c r="A9" t="s">
        <v>14</v>
      </c>
      <c r="B9" s="1">
        <v>105925.37033600001</v>
      </c>
      <c r="C9" t="s">
        <v>9</v>
      </c>
      <c r="D9" t="s">
        <v>10</v>
      </c>
      <c r="E9" t="s">
        <v>76</v>
      </c>
      <c r="F9" t="s">
        <v>11</v>
      </c>
      <c r="G9" t="s">
        <v>12</v>
      </c>
      <c r="H9" t="s">
        <v>13</v>
      </c>
      <c r="I9" t="s">
        <v>80</v>
      </c>
    </row>
    <row r="10" spans="1:9">
      <c r="A10" t="s">
        <v>14</v>
      </c>
      <c r="B10" s="1">
        <v>236.48040499999999</v>
      </c>
      <c r="C10" t="s">
        <v>9</v>
      </c>
      <c r="D10" t="s">
        <v>10</v>
      </c>
      <c r="E10" t="s">
        <v>76</v>
      </c>
      <c r="F10" t="s">
        <v>11</v>
      </c>
      <c r="G10" t="s">
        <v>12</v>
      </c>
      <c r="H10" t="s">
        <v>22</v>
      </c>
      <c r="I10" t="s">
        <v>77</v>
      </c>
    </row>
    <row r="11" spans="1:9">
      <c r="A11" t="s">
        <v>16</v>
      </c>
      <c r="B11" s="1">
        <v>67.243767000000005</v>
      </c>
      <c r="D11" t="s">
        <v>15</v>
      </c>
      <c r="E11" t="s">
        <v>76</v>
      </c>
      <c r="F11" t="s">
        <v>11</v>
      </c>
      <c r="G11" t="s">
        <v>12</v>
      </c>
      <c r="H11" t="s">
        <v>13</v>
      </c>
      <c r="I11" t="s">
        <v>79</v>
      </c>
    </row>
    <row r="12" spans="1:9">
      <c r="A12" t="s">
        <v>17</v>
      </c>
      <c r="B12" s="1">
        <v>0</v>
      </c>
      <c r="F12" t="s">
        <v>18</v>
      </c>
      <c r="G12" t="s">
        <v>19</v>
      </c>
      <c r="H12" t="s">
        <v>20</v>
      </c>
      <c r="I12" t="s">
        <v>81</v>
      </c>
    </row>
    <row r="13" spans="1:9">
      <c r="A13" t="s">
        <v>17</v>
      </c>
      <c r="B13" s="1">
        <v>0</v>
      </c>
      <c r="F13" t="s">
        <v>18</v>
      </c>
      <c r="G13" t="s">
        <v>19</v>
      </c>
      <c r="H13" t="s">
        <v>20</v>
      </c>
      <c r="I13" t="s">
        <v>82</v>
      </c>
    </row>
    <row r="14" spans="1:9">
      <c r="A14" t="s">
        <v>17</v>
      </c>
      <c r="B14" s="1">
        <v>1650067.15</v>
      </c>
      <c r="E14" t="s">
        <v>76</v>
      </c>
      <c r="F14" t="s">
        <v>18</v>
      </c>
      <c r="G14" t="s">
        <v>19</v>
      </c>
      <c r="H14" t="s">
        <v>20</v>
      </c>
      <c r="I14" t="s">
        <v>83</v>
      </c>
    </row>
    <row r="15" spans="1:9">
      <c r="A15" t="s">
        <v>17</v>
      </c>
      <c r="B15" s="1">
        <v>10259537</v>
      </c>
      <c r="E15" t="s">
        <v>76</v>
      </c>
      <c r="F15" t="s">
        <v>18</v>
      </c>
      <c r="G15" t="s">
        <v>19</v>
      </c>
      <c r="H15" t="s">
        <v>20</v>
      </c>
      <c r="I15" t="s">
        <v>84</v>
      </c>
    </row>
    <row r="16" spans="1:9">
      <c r="A16" t="s">
        <v>17</v>
      </c>
      <c r="B16" s="1">
        <v>65653031.869999997</v>
      </c>
      <c r="E16" t="s">
        <v>76</v>
      </c>
      <c r="F16" t="s">
        <v>18</v>
      </c>
      <c r="G16" t="s">
        <v>19</v>
      </c>
      <c r="H16" t="s">
        <v>20</v>
      </c>
      <c r="I16" t="s">
        <v>85</v>
      </c>
    </row>
    <row r="17" spans="1:9">
      <c r="A17" t="s">
        <v>17</v>
      </c>
      <c r="B17" s="1">
        <v>71058809.689999998</v>
      </c>
      <c r="E17" t="s">
        <v>76</v>
      </c>
      <c r="F17" t="s">
        <v>18</v>
      </c>
      <c r="G17" t="s">
        <v>19</v>
      </c>
      <c r="H17" t="s">
        <v>20</v>
      </c>
      <c r="I17" t="s">
        <v>86</v>
      </c>
    </row>
    <row r="18" spans="1:9">
      <c r="A18" t="s">
        <v>17</v>
      </c>
      <c r="B18" s="1">
        <v>0</v>
      </c>
      <c r="E18" t="s">
        <v>76</v>
      </c>
      <c r="F18" t="s">
        <v>11</v>
      </c>
      <c r="G18" t="s">
        <v>12</v>
      </c>
      <c r="H18" t="s">
        <v>13</v>
      </c>
      <c r="I18" t="s">
        <v>87</v>
      </c>
    </row>
    <row r="19" spans="1:9">
      <c r="A19" t="s">
        <v>17</v>
      </c>
      <c r="B19" s="1">
        <v>0</v>
      </c>
      <c r="E19" t="s">
        <v>76</v>
      </c>
      <c r="F19" t="s">
        <v>11</v>
      </c>
      <c r="G19" t="s">
        <v>12</v>
      </c>
      <c r="H19" t="s">
        <v>13</v>
      </c>
      <c r="I19" t="s">
        <v>88</v>
      </c>
    </row>
    <row r="20" spans="1:9">
      <c r="A20" t="s">
        <v>17</v>
      </c>
      <c r="B20" s="1">
        <v>0</v>
      </c>
      <c r="E20" t="s">
        <v>76</v>
      </c>
      <c r="F20" t="s">
        <v>11</v>
      </c>
      <c r="G20" t="s">
        <v>12</v>
      </c>
      <c r="H20" t="s">
        <v>13</v>
      </c>
      <c r="I20" t="s">
        <v>89</v>
      </c>
    </row>
    <row r="21" spans="1:9">
      <c r="A21" t="s">
        <v>17</v>
      </c>
      <c r="B21" s="1">
        <v>0</v>
      </c>
      <c r="E21" t="s">
        <v>76</v>
      </c>
      <c r="F21" t="s">
        <v>11</v>
      </c>
      <c r="G21" t="s">
        <v>12</v>
      </c>
      <c r="H21" t="s">
        <v>13</v>
      </c>
      <c r="I21" t="s">
        <v>90</v>
      </c>
    </row>
    <row r="22" spans="1:9">
      <c r="A22" t="s">
        <v>17</v>
      </c>
      <c r="B22" s="1">
        <v>0</v>
      </c>
      <c r="E22" t="s">
        <v>76</v>
      </c>
      <c r="F22" t="s">
        <v>11</v>
      </c>
      <c r="G22" t="s">
        <v>12</v>
      </c>
      <c r="H22" t="s">
        <v>13</v>
      </c>
      <c r="I22" t="s">
        <v>91</v>
      </c>
    </row>
    <row r="23" spans="1:9">
      <c r="A23" t="s">
        <v>17</v>
      </c>
      <c r="B23" s="1">
        <v>0</v>
      </c>
      <c r="E23" t="s">
        <v>76</v>
      </c>
      <c r="F23" t="s">
        <v>11</v>
      </c>
      <c r="G23" t="s">
        <v>12</v>
      </c>
      <c r="H23" t="s">
        <v>13</v>
      </c>
      <c r="I23" t="s">
        <v>92</v>
      </c>
    </row>
    <row r="24" spans="1:9">
      <c r="A24" t="s">
        <v>17</v>
      </c>
      <c r="B24" s="1">
        <v>0</v>
      </c>
      <c r="E24" t="s">
        <v>76</v>
      </c>
      <c r="F24" t="s">
        <v>11</v>
      </c>
      <c r="G24" t="s">
        <v>12</v>
      </c>
      <c r="H24" t="s">
        <v>13</v>
      </c>
      <c r="I24" t="s">
        <v>93</v>
      </c>
    </row>
    <row r="25" spans="1:9">
      <c r="A25" t="s">
        <v>17</v>
      </c>
      <c r="B25" s="1">
        <v>0</v>
      </c>
      <c r="E25" t="s">
        <v>76</v>
      </c>
      <c r="F25" t="s">
        <v>11</v>
      </c>
      <c r="G25" t="s">
        <v>12</v>
      </c>
      <c r="H25" t="s">
        <v>13</v>
      </c>
      <c r="I25" t="s">
        <v>94</v>
      </c>
    </row>
    <row r="26" spans="1:9">
      <c r="A26" t="s">
        <v>17</v>
      </c>
      <c r="B26" s="1">
        <v>0</v>
      </c>
      <c r="E26" t="s">
        <v>76</v>
      </c>
      <c r="F26" t="s">
        <v>11</v>
      </c>
      <c r="G26" t="s">
        <v>12</v>
      </c>
      <c r="H26" t="s">
        <v>13</v>
      </c>
      <c r="I26" t="s">
        <v>95</v>
      </c>
    </row>
    <row r="27" spans="1:9">
      <c r="A27" t="s">
        <v>17</v>
      </c>
      <c r="B27" s="1">
        <v>-0.26</v>
      </c>
      <c r="E27" t="s">
        <v>76</v>
      </c>
      <c r="F27" t="s">
        <v>11</v>
      </c>
      <c r="G27" t="s">
        <v>12</v>
      </c>
      <c r="H27" t="s">
        <v>13</v>
      </c>
      <c r="I27" t="s">
        <v>96</v>
      </c>
    </row>
    <row r="28" spans="1:9">
      <c r="A28" t="s">
        <v>17</v>
      </c>
      <c r="B28" s="1">
        <v>0</v>
      </c>
      <c r="E28" t="s">
        <v>76</v>
      </c>
      <c r="F28" t="s">
        <v>11</v>
      </c>
      <c r="G28" t="s">
        <v>12</v>
      </c>
      <c r="H28" t="s">
        <v>13</v>
      </c>
      <c r="I28" t="s">
        <v>97</v>
      </c>
    </row>
    <row r="29" spans="1:9">
      <c r="A29" t="s">
        <v>17</v>
      </c>
      <c r="B29" s="1">
        <v>0</v>
      </c>
      <c r="E29" t="s">
        <v>76</v>
      </c>
      <c r="F29" t="s">
        <v>11</v>
      </c>
      <c r="G29" t="s">
        <v>12</v>
      </c>
      <c r="H29" t="s">
        <v>13</v>
      </c>
      <c r="I29" t="s">
        <v>98</v>
      </c>
    </row>
    <row r="30" spans="1:9">
      <c r="A30" t="s">
        <v>17</v>
      </c>
      <c r="B30" s="1">
        <v>0</v>
      </c>
      <c r="E30" t="s">
        <v>76</v>
      </c>
      <c r="F30" t="s">
        <v>11</v>
      </c>
      <c r="G30" t="s">
        <v>12</v>
      </c>
      <c r="H30" t="s">
        <v>13</v>
      </c>
      <c r="I30" t="s">
        <v>99</v>
      </c>
    </row>
    <row r="31" spans="1:9">
      <c r="A31" t="s">
        <v>17</v>
      </c>
      <c r="B31" s="1">
        <v>0</v>
      </c>
      <c r="E31" t="s">
        <v>76</v>
      </c>
      <c r="F31" t="s">
        <v>11</v>
      </c>
      <c r="G31" t="s">
        <v>12</v>
      </c>
      <c r="H31" t="s">
        <v>13</v>
      </c>
      <c r="I31" t="s">
        <v>100</v>
      </c>
    </row>
    <row r="32" spans="1:9">
      <c r="A32" t="s">
        <v>17</v>
      </c>
      <c r="B32" s="1">
        <v>0</v>
      </c>
      <c r="E32" t="s">
        <v>76</v>
      </c>
      <c r="F32" t="s">
        <v>11</v>
      </c>
      <c r="G32" t="s">
        <v>12</v>
      </c>
      <c r="H32" t="s">
        <v>13</v>
      </c>
      <c r="I32" t="s">
        <v>101</v>
      </c>
    </row>
    <row r="33" spans="1:9">
      <c r="A33" t="s">
        <v>17</v>
      </c>
      <c r="B33" s="1">
        <v>0</v>
      </c>
      <c r="E33" t="s">
        <v>76</v>
      </c>
      <c r="F33" t="s">
        <v>11</v>
      </c>
      <c r="G33" t="s">
        <v>12</v>
      </c>
      <c r="H33" t="s">
        <v>13</v>
      </c>
      <c r="I33" t="s">
        <v>102</v>
      </c>
    </row>
    <row r="34" spans="1:9">
      <c r="A34" t="s">
        <v>17</v>
      </c>
      <c r="B34" s="1">
        <v>0</v>
      </c>
      <c r="E34" t="s">
        <v>76</v>
      </c>
      <c r="F34" t="s">
        <v>11</v>
      </c>
      <c r="G34" t="s">
        <v>12</v>
      </c>
      <c r="H34" t="s">
        <v>13</v>
      </c>
      <c r="I34" t="s">
        <v>103</v>
      </c>
    </row>
    <row r="35" spans="1:9">
      <c r="A35" t="s">
        <v>17</v>
      </c>
      <c r="B35" s="1">
        <v>0</v>
      </c>
      <c r="E35" t="s">
        <v>76</v>
      </c>
      <c r="F35" t="s">
        <v>11</v>
      </c>
      <c r="G35" t="s">
        <v>12</v>
      </c>
      <c r="H35" t="s">
        <v>13</v>
      </c>
      <c r="I35" t="s">
        <v>104</v>
      </c>
    </row>
    <row r="36" spans="1:9">
      <c r="A36" t="s">
        <v>17</v>
      </c>
      <c r="B36" s="1">
        <v>134746.99</v>
      </c>
      <c r="E36" t="s">
        <v>76</v>
      </c>
      <c r="F36" t="s">
        <v>11</v>
      </c>
      <c r="G36" t="s">
        <v>12</v>
      </c>
      <c r="H36" t="s">
        <v>13</v>
      </c>
      <c r="I36" t="s">
        <v>105</v>
      </c>
    </row>
    <row r="37" spans="1:9">
      <c r="A37" t="s">
        <v>17</v>
      </c>
      <c r="B37" s="1">
        <v>2011484.6</v>
      </c>
      <c r="E37" t="s">
        <v>76</v>
      </c>
      <c r="F37" t="s">
        <v>11</v>
      </c>
      <c r="G37" t="s">
        <v>12</v>
      </c>
      <c r="H37" t="s">
        <v>13</v>
      </c>
      <c r="I37" t="s">
        <v>106</v>
      </c>
    </row>
    <row r="38" spans="1:9">
      <c r="A38" t="s">
        <v>17</v>
      </c>
      <c r="B38" s="1">
        <v>53878.61</v>
      </c>
      <c r="E38" t="s">
        <v>76</v>
      </c>
      <c r="F38" t="s">
        <v>11</v>
      </c>
      <c r="G38" t="s">
        <v>12</v>
      </c>
      <c r="H38" t="s">
        <v>13</v>
      </c>
      <c r="I38" t="s">
        <v>107</v>
      </c>
    </row>
    <row r="39" spans="1:9">
      <c r="A39" t="s">
        <v>17</v>
      </c>
      <c r="B39" s="1">
        <v>15408259.320000002</v>
      </c>
      <c r="E39" t="s">
        <v>76</v>
      </c>
      <c r="F39" t="s">
        <v>11</v>
      </c>
      <c r="G39" t="s">
        <v>12</v>
      </c>
      <c r="H39" t="s">
        <v>13</v>
      </c>
      <c r="I39" t="s">
        <v>78</v>
      </c>
    </row>
    <row r="40" spans="1:9">
      <c r="A40" t="s">
        <v>17</v>
      </c>
      <c r="B40" s="1">
        <v>2557019.36</v>
      </c>
      <c r="E40" t="s">
        <v>76</v>
      </c>
      <c r="F40" t="s">
        <v>11</v>
      </c>
      <c r="G40" t="s">
        <v>12</v>
      </c>
      <c r="H40" t="s">
        <v>13</v>
      </c>
      <c r="I40" t="s">
        <v>108</v>
      </c>
    </row>
    <row r="41" spans="1:9">
      <c r="A41" t="s">
        <v>17</v>
      </c>
      <c r="B41" s="1">
        <v>83458.95</v>
      </c>
      <c r="E41" t="s">
        <v>76</v>
      </c>
      <c r="F41" t="s">
        <v>11</v>
      </c>
      <c r="G41" t="s">
        <v>12</v>
      </c>
      <c r="H41" t="s">
        <v>13</v>
      </c>
      <c r="I41" t="s">
        <v>109</v>
      </c>
    </row>
    <row r="42" spans="1:9">
      <c r="A42" t="s">
        <v>17</v>
      </c>
      <c r="B42" s="1">
        <v>469899.97</v>
      </c>
      <c r="E42" t="s">
        <v>76</v>
      </c>
      <c r="F42" t="s">
        <v>11</v>
      </c>
      <c r="G42" t="s">
        <v>12</v>
      </c>
      <c r="H42" t="s">
        <v>13</v>
      </c>
      <c r="I42" t="s">
        <v>110</v>
      </c>
    </row>
    <row r="43" spans="1:9">
      <c r="A43" t="s">
        <v>17</v>
      </c>
      <c r="B43" s="1">
        <v>166724.87</v>
      </c>
      <c r="E43" t="s">
        <v>76</v>
      </c>
      <c r="F43" t="s">
        <v>11</v>
      </c>
      <c r="G43" t="s">
        <v>12</v>
      </c>
      <c r="H43" t="s">
        <v>13</v>
      </c>
      <c r="I43" t="s">
        <v>111</v>
      </c>
    </row>
    <row r="44" spans="1:9">
      <c r="A44" t="s">
        <v>17</v>
      </c>
      <c r="B44" s="1">
        <v>388854.86</v>
      </c>
      <c r="E44" t="s">
        <v>76</v>
      </c>
      <c r="F44" t="s">
        <v>11</v>
      </c>
      <c r="G44" t="s">
        <v>12</v>
      </c>
      <c r="H44" t="s">
        <v>13</v>
      </c>
      <c r="I44" t="s">
        <v>112</v>
      </c>
    </row>
    <row r="45" spans="1:9">
      <c r="A45" t="s">
        <v>17</v>
      </c>
      <c r="B45" s="1">
        <v>129906.48</v>
      </c>
      <c r="E45" t="s">
        <v>76</v>
      </c>
      <c r="F45" t="s">
        <v>11</v>
      </c>
      <c r="G45" t="s">
        <v>12</v>
      </c>
      <c r="H45" t="s">
        <v>13</v>
      </c>
      <c r="I45" t="s">
        <v>113</v>
      </c>
    </row>
    <row r="46" spans="1:9">
      <c r="A46" t="s">
        <v>17</v>
      </c>
      <c r="B46" s="1">
        <v>276701.42</v>
      </c>
      <c r="E46" t="s">
        <v>76</v>
      </c>
      <c r="F46" t="s">
        <v>11</v>
      </c>
      <c r="G46" t="s">
        <v>12</v>
      </c>
      <c r="H46" t="s">
        <v>13</v>
      </c>
      <c r="I46" t="s">
        <v>114</v>
      </c>
    </row>
    <row r="47" spans="1:9">
      <c r="A47" t="s">
        <v>17</v>
      </c>
      <c r="B47" s="1">
        <v>8048950.8499999996</v>
      </c>
      <c r="E47" t="s">
        <v>76</v>
      </c>
      <c r="F47" t="s">
        <v>11</v>
      </c>
      <c r="G47" t="s">
        <v>12</v>
      </c>
      <c r="H47" t="s">
        <v>13</v>
      </c>
      <c r="I47" t="s">
        <v>115</v>
      </c>
    </row>
    <row r="48" spans="1:9">
      <c r="A48" t="s">
        <v>17</v>
      </c>
      <c r="B48" s="1">
        <v>16514778.939999999</v>
      </c>
      <c r="E48" t="s">
        <v>76</v>
      </c>
      <c r="F48" t="s">
        <v>11</v>
      </c>
      <c r="G48" t="s">
        <v>12</v>
      </c>
      <c r="H48" t="s">
        <v>13</v>
      </c>
      <c r="I48" t="s">
        <v>116</v>
      </c>
    </row>
    <row r="49" spans="1:9">
      <c r="A49" t="s">
        <v>17</v>
      </c>
      <c r="B49" s="1">
        <v>62385810.420000002</v>
      </c>
      <c r="E49" t="s">
        <v>76</v>
      </c>
      <c r="F49" t="s">
        <v>11</v>
      </c>
      <c r="G49" t="s">
        <v>12</v>
      </c>
      <c r="H49" t="s">
        <v>13</v>
      </c>
      <c r="I49" t="s">
        <v>117</v>
      </c>
    </row>
    <row r="50" spans="1:9">
      <c r="A50" t="s">
        <v>17</v>
      </c>
      <c r="B50" s="1">
        <v>0.01</v>
      </c>
      <c r="E50" t="s">
        <v>76</v>
      </c>
      <c r="F50" t="s">
        <v>11</v>
      </c>
      <c r="G50" t="s">
        <v>12</v>
      </c>
      <c r="H50" t="s">
        <v>13</v>
      </c>
      <c r="I50" t="s">
        <v>118</v>
      </c>
    </row>
    <row r="51" spans="1:9">
      <c r="A51" t="s">
        <v>17</v>
      </c>
      <c r="B51" s="1">
        <v>0.01</v>
      </c>
      <c r="E51" t="s">
        <v>76</v>
      </c>
      <c r="F51" t="s">
        <v>11</v>
      </c>
      <c r="G51" t="s">
        <v>12</v>
      </c>
      <c r="H51" t="s">
        <v>13</v>
      </c>
      <c r="I51" t="s">
        <v>119</v>
      </c>
    </row>
    <row r="52" spans="1:9">
      <c r="A52" t="s">
        <v>17</v>
      </c>
      <c r="B52" s="1">
        <v>4461277.01</v>
      </c>
      <c r="E52" t="s">
        <v>76</v>
      </c>
      <c r="F52" t="s">
        <v>11</v>
      </c>
      <c r="G52" t="s">
        <v>12</v>
      </c>
      <c r="H52" t="s">
        <v>13</v>
      </c>
      <c r="I52" t="s">
        <v>120</v>
      </c>
    </row>
    <row r="53" spans="1:9">
      <c r="A53" t="s">
        <v>17</v>
      </c>
      <c r="B53">
        <v>2762223.34</v>
      </c>
      <c r="E53" t="s">
        <v>76</v>
      </c>
      <c r="F53" t="s">
        <v>11</v>
      </c>
      <c r="G53" t="s">
        <v>12</v>
      </c>
      <c r="H53" t="s">
        <v>13</v>
      </c>
      <c r="I53" t="s">
        <v>121</v>
      </c>
    </row>
    <row r="54" spans="1:9">
      <c r="A54" t="s">
        <v>17</v>
      </c>
      <c r="B54">
        <v>133165471.25000001</v>
      </c>
      <c r="E54" t="s">
        <v>76</v>
      </c>
      <c r="F54" t="s">
        <v>11</v>
      </c>
      <c r="G54" t="s">
        <v>12</v>
      </c>
      <c r="H54" t="s">
        <v>13</v>
      </c>
      <c r="I54" t="s">
        <v>79</v>
      </c>
    </row>
    <row r="55" spans="1:9">
      <c r="A55" t="s">
        <v>17</v>
      </c>
      <c r="B55">
        <v>0</v>
      </c>
      <c r="E55" t="s">
        <v>76</v>
      </c>
      <c r="F55" t="s">
        <v>11</v>
      </c>
      <c r="G55" t="s">
        <v>12</v>
      </c>
      <c r="H55" t="s">
        <v>22</v>
      </c>
      <c r="I55" t="s">
        <v>122</v>
      </c>
    </row>
    <row r="56" spans="1:9">
      <c r="A56" t="s">
        <v>17</v>
      </c>
      <c r="B56">
        <v>0</v>
      </c>
      <c r="E56" t="s">
        <v>76</v>
      </c>
      <c r="F56" t="s">
        <v>11</v>
      </c>
      <c r="G56" t="s">
        <v>12</v>
      </c>
      <c r="H56" t="s">
        <v>22</v>
      </c>
      <c r="I56" t="s">
        <v>123</v>
      </c>
    </row>
    <row r="57" spans="1:9">
      <c r="A57" t="s">
        <v>17</v>
      </c>
      <c r="B57">
        <v>0</v>
      </c>
      <c r="E57" t="s">
        <v>76</v>
      </c>
      <c r="F57" t="s">
        <v>11</v>
      </c>
      <c r="G57" t="s">
        <v>12</v>
      </c>
      <c r="H57" t="s">
        <v>22</v>
      </c>
      <c r="I57" t="s">
        <v>124</v>
      </c>
    </row>
    <row r="58" spans="1:9">
      <c r="A58" t="s">
        <v>17</v>
      </c>
      <c r="B58">
        <v>0</v>
      </c>
      <c r="E58" t="s">
        <v>76</v>
      </c>
      <c r="F58" t="s">
        <v>11</v>
      </c>
      <c r="G58" t="s">
        <v>12</v>
      </c>
      <c r="H58" t="s">
        <v>22</v>
      </c>
      <c r="I58" t="s">
        <v>125</v>
      </c>
    </row>
    <row r="59" spans="1:9">
      <c r="A59" t="s">
        <v>17</v>
      </c>
      <c r="B59">
        <v>0</v>
      </c>
      <c r="E59" t="s">
        <v>76</v>
      </c>
      <c r="F59" t="s">
        <v>11</v>
      </c>
      <c r="G59" t="s">
        <v>12</v>
      </c>
      <c r="H59" t="s">
        <v>22</v>
      </c>
      <c r="I59" t="s">
        <v>77</v>
      </c>
    </row>
    <row r="60" spans="1:9">
      <c r="A60" t="s">
        <v>17</v>
      </c>
      <c r="B60">
        <v>0</v>
      </c>
      <c r="E60" t="s">
        <v>76</v>
      </c>
      <c r="F60" t="s">
        <v>11</v>
      </c>
      <c r="G60" t="s">
        <v>12</v>
      </c>
      <c r="H60" t="s">
        <v>22</v>
      </c>
      <c r="I60" t="s">
        <v>126</v>
      </c>
    </row>
    <row r="61" spans="1:9">
      <c r="A61" t="s">
        <v>17</v>
      </c>
      <c r="B61">
        <v>0</v>
      </c>
      <c r="E61" t="s">
        <v>76</v>
      </c>
      <c r="F61" t="s">
        <v>11</v>
      </c>
      <c r="G61" t="s">
        <v>12</v>
      </c>
      <c r="H61" t="s">
        <v>22</v>
      </c>
      <c r="I61" t="s">
        <v>127</v>
      </c>
    </row>
    <row r="62" spans="1:9">
      <c r="A62" t="s">
        <v>17</v>
      </c>
      <c r="B62">
        <v>0</v>
      </c>
      <c r="E62" t="s">
        <v>76</v>
      </c>
      <c r="F62" t="s">
        <v>11</v>
      </c>
      <c r="G62" t="s">
        <v>12</v>
      </c>
      <c r="H62" t="s">
        <v>22</v>
      </c>
      <c r="I62" t="s">
        <v>128</v>
      </c>
    </row>
    <row r="63" spans="1:9">
      <c r="A63" t="s">
        <v>17</v>
      </c>
      <c r="B63">
        <v>0</v>
      </c>
      <c r="E63" t="s">
        <v>76</v>
      </c>
      <c r="F63" t="s">
        <v>11</v>
      </c>
      <c r="G63" t="s">
        <v>12</v>
      </c>
      <c r="H63" t="s">
        <v>22</v>
      </c>
      <c r="I63" t="s">
        <v>129</v>
      </c>
    </row>
    <row r="64" spans="1:9">
      <c r="A64" t="s">
        <v>17</v>
      </c>
      <c r="B64">
        <v>0</v>
      </c>
      <c r="E64" t="s">
        <v>76</v>
      </c>
      <c r="F64" t="s">
        <v>11</v>
      </c>
      <c r="G64" t="s">
        <v>12</v>
      </c>
      <c r="H64" t="s">
        <v>22</v>
      </c>
      <c r="I64" t="s">
        <v>130</v>
      </c>
    </row>
    <row r="65" spans="1:9">
      <c r="A65" t="s">
        <v>17</v>
      </c>
      <c r="B65">
        <v>0</v>
      </c>
      <c r="E65" t="s">
        <v>76</v>
      </c>
      <c r="F65" t="s">
        <v>11</v>
      </c>
      <c r="G65" t="s">
        <v>12</v>
      </c>
      <c r="H65" t="s">
        <v>22</v>
      </c>
      <c r="I65" t="s">
        <v>131</v>
      </c>
    </row>
    <row r="66" spans="1:9">
      <c r="A66" t="s">
        <v>17</v>
      </c>
      <c r="B66">
        <v>0</v>
      </c>
      <c r="E66" t="s">
        <v>76</v>
      </c>
      <c r="F66" t="s">
        <v>11</v>
      </c>
      <c r="G66" t="s">
        <v>12</v>
      </c>
      <c r="H66" t="s">
        <v>22</v>
      </c>
      <c r="I66" t="s">
        <v>132</v>
      </c>
    </row>
    <row r="67" spans="1:9">
      <c r="A67" t="s">
        <v>17</v>
      </c>
      <c r="B67">
        <v>0</v>
      </c>
      <c r="E67" t="s">
        <v>76</v>
      </c>
      <c r="F67" t="s">
        <v>11</v>
      </c>
      <c r="G67" t="s">
        <v>12</v>
      </c>
      <c r="H67" t="s">
        <v>22</v>
      </c>
      <c r="I67" t="s">
        <v>133</v>
      </c>
    </row>
    <row r="68" spans="1:9">
      <c r="A68" t="s">
        <v>17</v>
      </c>
      <c r="B68">
        <v>0</v>
      </c>
      <c r="E68" t="s">
        <v>76</v>
      </c>
      <c r="F68" t="s">
        <v>11</v>
      </c>
      <c r="G68" t="s">
        <v>12</v>
      </c>
      <c r="H68" t="s">
        <v>22</v>
      </c>
      <c r="I68" t="s">
        <v>134</v>
      </c>
    </row>
    <row r="69" spans="1:9">
      <c r="A69" t="s">
        <v>17</v>
      </c>
      <c r="B69">
        <v>0</v>
      </c>
      <c r="E69" t="s">
        <v>76</v>
      </c>
      <c r="F69" t="s">
        <v>11</v>
      </c>
      <c r="G69" t="s">
        <v>12</v>
      </c>
      <c r="H69" t="s">
        <v>22</v>
      </c>
      <c r="I69" t="s">
        <v>135</v>
      </c>
    </row>
    <row r="70" spans="1:9">
      <c r="A70" t="s">
        <v>17</v>
      </c>
      <c r="B70">
        <v>0</v>
      </c>
      <c r="E70" t="s">
        <v>76</v>
      </c>
      <c r="F70" t="s">
        <v>11</v>
      </c>
      <c r="G70" t="s">
        <v>12</v>
      </c>
      <c r="H70" t="s">
        <v>22</v>
      </c>
      <c r="I70" t="s">
        <v>136</v>
      </c>
    </row>
    <row r="71" spans="1:9">
      <c r="A71" t="s">
        <v>17</v>
      </c>
      <c r="B71">
        <v>0</v>
      </c>
      <c r="E71" t="s">
        <v>76</v>
      </c>
      <c r="F71" t="s">
        <v>11</v>
      </c>
      <c r="G71" t="s">
        <v>12</v>
      </c>
      <c r="H71" t="s">
        <v>22</v>
      </c>
      <c r="I71" t="s">
        <v>137</v>
      </c>
    </row>
    <row r="72" spans="1:9">
      <c r="A72" t="s">
        <v>17</v>
      </c>
      <c r="B72">
        <v>0</v>
      </c>
      <c r="E72" t="s">
        <v>76</v>
      </c>
      <c r="F72" t="s">
        <v>11</v>
      </c>
      <c r="G72" t="s">
        <v>12</v>
      </c>
      <c r="H72" t="s">
        <v>22</v>
      </c>
      <c r="I72" t="s">
        <v>138</v>
      </c>
    </row>
    <row r="73" spans="1:9">
      <c r="A73" t="s">
        <v>17</v>
      </c>
      <c r="B73">
        <v>0</v>
      </c>
      <c r="E73" t="s">
        <v>76</v>
      </c>
      <c r="F73" t="s">
        <v>11</v>
      </c>
      <c r="G73" t="s">
        <v>12</v>
      </c>
      <c r="H73" t="s">
        <v>22</v>
      </c>
      <c r="I73" t="s">
        <v>139</v>
      </c>
    </row>
    <row r="74" spans="1:9">
      <c r="A74" t="s">
        <v>17</v>
      </c>
      <c r="B74">
        <v>0</v>
      </c>
      <c r="E74" t="s">
        <v>76</v>
      </c>
      <c r="F74" t="s">
        <v>11</v>
      </c>
      <c r="G74" t="s">
        <v>12</v>
      </c>
      <c r="H74" t="s">
        <v>22</v>
      </c>
      <c r="I74" t="s">
        <v>140</v>
      </c>
    </row>
    <row r="75" spans="1:9">
      <c r="A75" t="s">
        <v>17</v>
      </c>
      <c r="B75">
        <v>0</v>
      </c>
      <c r="E75" t="s">
        <v>76</v>
      </c>
      <c r="F75" t="s">
        <v>11</v>
      </c>
      <c r="G75" t="s">
        <v>12</v>
      </c>
      <c r="H75" t="s">
        <v>22</v>
      </c>
      <c r="I75" t="s">
        <v>141</v>
      </c>
    </row>
    <row r="76" spans="1:9">
      <c r="A76" t="s">
        <v>17</v>
      </c>
      <c r="B76">
        <v>0</v>
      </c>
      <c r="E76" t="s">
        <v>76</v>
      </c>
      <c r="F76" t="s">
        <v>11</v>
      </c>
      <c r="G76" t="s">
        <v>12</v>
      </c>
      <c r="H76" t="s">
        <v>22</v>
      </c>
      <c r="I76" t="s">
        <v>142</v>
      </c>
    </row>
    <row r="77" spans="1:9">
      <c r="A77" t="s">
        <v>17</v>
      </c>
      <c r="B77">
        <v>0</v>
      </c>
      <c r="E77" t="s">
        <v>76</v>
      </c>
      <c r="F77" t="s">
        <v>11</v>
      </c>
      <c r="G77" t="s">
        <v>12</v>
      </c>
      <c r="H77" t="s">
        <v>22</v>
      </c>
      <c r="I77" t="s">
        <v>143</v>
      </c>
    </row>
    <row r="78" spans="1:9">
      <c r="A78" t="s">
        <v>17</v>
      </c>
      <c r="B78">
        <v>0</v>
      </c>
      <c r="E78" t="s">
        <v>76</v>
      </c>
      <c r="F78" t="s">
        <v>11</v>
      </c>
      <c r="G78" t="s">
        <v>12</v>
      </c>
      <c r="H78" t="s">
        <v>22</v>
      </c>
      <c r="I78" t="s">
        <v>144</v>
      </c>
    </row>
    <row r="79" spans="1:9">
      <c r="A79" t="s">
        <v>17</v>
      </c>
      <c r="B79">
        <v>0</v>
      </c>
      <c r="E79" t="s">
        <v>76</v>
      </c>
      <c r="F79" t="s">
        <v>11</v>
      </c>
      <c r="G79" t="s">
        <v>12</v>
      </c>
      <c r="H79" t="s">
        <v>22</v>
      </c>
      <c r="I79" t="s">
        <v>145</v>
      </c>
    </row>
    <row r="80" spans="1:9">
      <c r="A80" t="s">
        <v>17</v>
      </c>
      <c r="B80">
        <v>0</v>
      </c>
      <c r="E80" t="s">
        <v>76</v>
      </c>
      <c r="F80" t="s">
        <v>11</v>
      </c>
      <c r="G80" t="s">
        <v>12</v>
      </c>
      <c r="H80" t="s">
        <v>22</v>
      </c>
      <c r="I80" t="s">
        <v>146</v>
      </c>
    </row>
    <row r="81" spans="1:9">
      <c r="A81" t="s">
        <v>17</v>
      </c>
      <c r="B81">
        <v>0</v>
      </c>
      <c r="E81" t="s">
        <v>76</v>
      </c>
      <c r="F81" t="s">
        <v>11</v>
      </c>
      <c r="G81" t="s">
        <v>12</v>
      </c>
      <c r="H81" t="s">
        <v>22</v>
      </c>
      <c r="I81" t="s">
        <v>147</v>
      </c>
    </row>
    <row r="82" spans="1:9">
      <c r="A82" t="s">
        <v>17</v>
      </c>
      <c r="B82">
        <v>0</v>
      </c>
      <c r="E82" t="s">
        <v>76</v>
      </c>
      <c r="F82" t="s">
        <v>11</v>
      </c>
      <c r="G82" t="s">
        <v>12</v>
      </c>
      <c r="H82" t="s">
        <v>22</v>
      </c>
      <c r="I82" t="s">
        <v>148</v>
      </c>
    </row>
    <row r="83" spans="1:9">
      <c r="A83" t="s">
        <v>17</v>
      </c>
      <c r="B83">
        <v>0</v>
      </c>
      <c r="E83" t="s">
        <v>76</v>
      </c>
      <c r="F83" t="s">
        <v>11</v>
      </c>
      <c r="G83" t="s">
        <v>12</v>
      </c>
      <c r="H83" t="s">
        <v>22</v>
      </c>
      <c r="I83" t="s">
        <v>149</v>
      </c>
    </row>
    <row r="84" spans="1:9">
      <c r="A84" t="s">
        <v>17</v>
      </c>
      <c r="B84">
        <v>0</v>
      </c>
      <c r="E84" t="s">
        <v>76</v>
      </c>
      <c r="F84" t="s">
        <v>11</v>
      </c>
      <c r="G84" t="s">
        <v>12</v>
      </c>
      <c r="H84" t="s">
        <v>22</v>
      </c>
      <c r="I84" t="s">
        <v>150</v>
      </c>
    </row>
    <row r="85" spans="1:9">
      <c r="A85" t="s">
        <v>17</v>
      </c>
      <c r="B85">
        <v>0</v>
      </c>
      <c r="E85" t="s">
        <v>76</v>
      </c>
      <c r="F85" t="s">
        <v>11</v>
      </c>
      <c r="G85" t="s">
        <v>12</v>
      </c>
      <c r="H85" t="s">
        <v>22</v>
      </c>
      <c r="I85" t="s">
        <v>151</v>
      </c>
    </row>
    <row r="86" spans="1:9">
      <c r="A86" t="s">
        <v>17</v>
      </c>
      <c r="B86">
        <v>0</v>
      </c>
      <c r="E86" t="s">
        <v>76</v>
      </c>
      <c r="F86" t="s">
        <v>11</v>
      </c>
      <c r="G86" t="s">
        <v>12</v>
      </c>
      <c r="H86" t="s">
        <v>22</v>
      </c>
      <c r="I86" t="s">
        <v>152</v>
      </c>
    </row>
    <row r="87" spans="1:9">
      <c r="A87" t="s">
        <v>17</v>
      </c>
      <c r="B87">
        <v>0</v>
      </c>
      <c r="E87" t="s">
        <v>76</v>
      </c>
      <c r="F87" t="s">
        <v>11</v>
      </c>
      <c r="G87" t="s">
        <v>12</v>
      </c>
      <c r="H87" t="s">
        <v>22</v>
      </c>
      <c r="I87" t="s">
        <v>153</v>
      </c>
    </row>
    <row r="88" spans="1:9">
      <c r="A88" t="s">
        <v>17</v>
      </c>
      <c r="B88">
        <v>0</v>
      </c>
      <c r="E88" t="s">
        <v>76</v>
      </c>
      <c r="F88" t="s">
        <v>11</v>
      </c>
      <c r="G88" t="s">
        <v>12</v>
      </c>
      <c r="H88" t="s">
        <v>22</v>
      </c>
      <c r="I88" t="s">
        <v>154</v>
      </c>
    </row>
    <row r="89" spans="1:9">
      <c r="A89" t="s">
        <v>17</v>
      </c>
      <c r="B89">
        <v>0</v>
      </c>
      <c r="E89" t="s">
        <v>76</v>
      </c>
      <c r="F89" t="s">
        <v>11</v>
      </c>
      <c r="G89" t="s">
        <v>12</v>
      </c>
      <c r="H89" t="s">
        <v>22</v>
      </c>
      <c r="I89" t="s">
        <v>155</v>
      </c>
    </row>
    <row r="90" spans="1:9">
      <c r="A90" t="s">
        <v>17</v>
      </c>
      <c r="B90">
        <v>0</v>
      </c>
      <c r="E90" t="s">
        <v>76</v>
      </c>
      <c r="F90" t="s">
        <v>11</v>
      </c>
      <c r="G90" t="s">
        <v>12</v>
      </c>
      <c r="H90" t="s">
        <v>22</v>
      </c>
      <c r="I90" t="s">
        <v>156</v>
      </c>
    </row>
    <row r="91" spans="1:9">
      <c r="A91" t="s">
        <v>17</v>
      </c>
      <c r="B91">
        <v>0</v>
      </c>
      <c r="E91" t="s">
        <v>76</v>
      </c>
      <c r="F91" t="s">
        <v>11</v>
      </c>
      <c r="G91" t="s">
        <v>12</v>
      </c>
      <c r="H91" t="s">
        <v>22</v>
      </c>
      <c r="I91" t="s">
        <v>157</v>
      </c>
    </row>
    <row r="92" spans="1:9">
      <c r="A92" t="s">
        <v>17</v>
      </c>
      <c r="B92">
        <v>0</v>
      </c>
      <c r="E92" t="s">
        <v>76</v>
      </c>
      <c r="F92" t="s">
        <v>11</v>
      </c>
      <c r="G92" t="s">
        <v>12</v>
      </c>
      <c r="H92" t="s">
        <v>22</v>
      </c>
      <c r="I92" t="s">
        <v>158</v>
      </c>
    </row>
    <row r="93" spans="1:9">
      <c r="A93" t="s">
        <v>17</v>
      </c>
      <c r="B93">
        <v>0</v>
      </c>
      <c r="E93" t="s">
        <v>76</v>
      </c>
      <c r="F93" t="s">
        <v>11</v>
      </c>
      <c r="G93" t="s">
        <v>12</v>
      </c>
      <c r="H93" t="s">
        <v>22</v>
      </c>
      <c r="I93" t="s">
        <v>159</v>
      </c>
    </row>
    <row r="94" spans="1:9">
      <c r="A94" t="s">
        <v>17</v>
      </c>
      <c r="B94">
        <v>0</v>
      </c>
      <c r="E94" t="s">
        <v>76</v>
      </c>
      <c r="F94" t="s">
        <v>11</v>
      </c>
      <c r="G94" t="s">
        <v>12</v>
      </c>
      <c r="H94" t="s">
        <v>22</v>
      </c>
      <c r="I94" t="s">
        <v>160</v>
      </c>
    </row>
    <row r="95" spans="1:9">
      <c r="A95" t="s">
        <v>17</v>
      </c>
      <c r="B95">
        <v>0</v>
      </c>
      <c r="E95" t="s">
        <v>76</v>
      </c>
      <c r="F95" t="s">
        <v>11</v>
      </c>
      <c r="G95" t="s">
        <v>12</v>
      </c>
      <c r="H95" t="s">
        <v>22</v>
      </c>
      <c r="I95" t="s">
        <v>161</v>
      </c>
    </row>
    <row r="96" spans="1:9">
      <c r="A96" t="s">
        <v>17</v>
      </c>
      <c r="B96">
        <v>0</v>
      </c>
      <c r="E96" t="s">
        <v>76</v>
      </c>
      <c r="F96" t="s">
        <v>11</v>
      </c>
      <c r="G96" t="s">
        <v>12</v>
      </c>
      <c r="H96" t="s">
        <v>22</v>
      </c>
      <c r="I96" t="s">
        <v>162</v>
      </c>
    </row>
    <row r="97" spans="1:9">
      <c r="A97" t="s">
        <v>17</v>
      </c>
      <c r="B97">
        <v>0</v>
      </c>
      <c r="E97" t="s">
        <v>76</v>
      </c>
      <c r="F97" t="s">
        <v>11</v>
      </c>
      <c r="G97" t="s">
        <v>12</v>
      </c>
      <c r="H97" t="s">
        <v>22</v>
      </c>
      <c r="I97" t="s">
        <v>163</v>
      </c>
    </row>
    <row r="98" spans="1:9">
      <c r="A98" t="s">
        <v>17</v>
      </c>
      <c r="B98">
        <v>0</v>
      </c>
      <c r="E98" t="s">
        <v>76</v>
      </c>
      <c r="F98" t="s">
        <v>11</v>
      </c>
      <c r="G98" t="s">
        <v>12</v>
      </c>
      <c r="H98" t="s">
        <v>22</v>
      </c>
      <c r="I98" t="s">
        <v>164</v>
      </c>
    </row>
    <row r="99" spans="1:9">
      <c r="A99" t="s">
        <v>17</v>
      </c>
      <c r="B99">
        <v>0</v>
      </c>
      <c r="E99" t="s">
        <v>76</v>
      </c>
      <c r="F99" t="s">
        <v>11</v>
      </c>
      <c r="G99" t="s">
        <v>12</v>
      </c>
      <c r="H99" t="s">
        <v>22</v>
      </c>
      <c r="I99" t="s">
        <v>165</v>
      </c>
    </row>
    <row r="100" spans="1:9">
      <c r="A100" t="s">
        <v>17</v>
      </c>
      <c r="B100">
        <v>0</v>
      </c>
      <c r="E100" t="s">
        <v>76</v>
      </c>
      <c r="F100" t="s">
        <v>11</v>
      </c>
      <c r="G100" t="s">
        <v>12</v>
      </c>
      <c r="H100" t="s">
        <v>22</v>
      </c>
      <c r="I100" t="s">
        <v>166</v>
      </c>
    </row>
    <row r="101" spans="1:9">
      <c r="A101" t="s">
        <v>17</v>
      </c>
      <c r="B101">
        <v>0</v>
      </c>
      <c r="E101" t="s">
        <v>76</v>
      </c>
      <c r="F101" t="s">
        <v>11</v>
      </c>
      <c r="G101" t="s">
        <v>12</v>
      </c>
      <c r="H101" t="s">
        <v>22</v>
      </c>
      <c r="I101" t="s">
        <v>167</v>
      </c>
    </row>
    <row r="102" spans="1:9">
      <c r="A102" t="s">
        <v>17</v>
      </c>
      <c r="B102">
        <v>0</v>
      </c>
      <c r="E102" t="s">
        <v>76</v>
      </c>
      <c r="F102" t="s">
        <v>11</v>
      </c>
      <c r="G102" t="s">
        <v>12</v>
      </c>
      <c r="H102" t="s">
        <v>22</v>
      </c>
      <c r="I102" t="s">
        <v>168</v>
      </c>
    </row>
    <row r="103" spans="1:9">
      <c r="A103" t="s">
        <v>17</v>
      </c>
      <c r="B103">
        <v>0</v>
      </c>
      <c r="E103" t="s">
        <v>76</v>
      </c>
      <c r="F103" t="s">
        <v>11</v>
      </c>
      <c r="G103" t="s">
        <v>12</v>
      </c>
      <c r="H103" t="s">
        <v>22</v>
      </c>
      <c r="I103" t="s">
        <v>169</v>
      </c>
    </row>
    <row r="104" spans="1:9">
      <c r="A104" t="s">
        <v>17</v>
      </c>
      <c r="B104">
        <v>0</v>
      </c>
      <c r="E104" t="s">
        <v>76</v>
      </c>
      <c r="F104" t="s">
        <v>11</v>
      </c>
      <c r="G104" t="s">
        <v>12</v>
      </c>
      <c r="H104" t="s">
        <v>22</v>
      </c>
      <c r="I104" t="s">
        <v>170</v>
      </c>
    </row>
    <row r="105" spans="1:9">
      <c r="A105" t="s">
        <v>17</v>
      </c>
      <c r="B105">
        <v>2701.6800000000003</v>
      </c>
      <c r="D105" t="s">
        <v>15</v>
      </c>
      <c r="E105" t="s">
        <v>76</v>
      </c>
      <c r="F105" t="s">
        <v>11</v>
      </c>
      <c r="G105" t="s">
        <v>12</v>
      </c>
      <c r="H105" t="s">
        <v>13</v>
      </c>
      <c r="I105" t="s">
        <v>96</v>
      </c>
    </row>
    <row r="106" spans="1:9">
      <c r="A106" t="s">
        <v>17</v>
      </c>
      <c r="B106">
        <v>38386231.480000012</v>
      </c>
      <c r="D106" t="s">
        <v>15</v>
      </c>
      <c r="E106" t="s">
        <v>76</v>
      </c>
      <c r="F106" t="s">
        <v>11</v>
      </c>
      <c r="G106" t="s">
        <v>12</v>
      </c>
      <c r="H106" t="s">
        <v>13</v>
      </c>
      <c r="I106" t="s">
        <v>105</v>
      </c>
    </row>
    <row r="107" spans="1:9">
      <c r="A107" t="s">
        <v>17</v>
      </c>
      <c r="B107">
        <v>6899216.7599999756</v>
      </c>
      <c r="D107" t="s">
        <v>15</v>
      </c>
      <c r="E107" t="s">
        <v>76</v>
      </c>
      <c r="F107" t="s">
        <v>11</v>
      </c>
      <c r="G107" t="s">
        <v>12</v>
      </c>
      <c r="H107" t="s">
        <v>13</v>
      </c>
      <c r="I107" t="s">
        <v>78</v>
      </c>
    </row>
    <row r="108" spans="1:9">
      <c r="A108" t="s">
        <v>17</v>
      </c>
      <c r="B108">
        <v>176680.70999999842</v>
      </c>
      <c r="D108" t="s">
        <v>15</v>
      </c>
      <c r="E108" t="s">
        <v>76</v>
      </c>
      <c r="F108" t="s">
        <v>11</v>
      </c>
      <c r="G108" t="s">
        <v>12</v>
      </c>
      <c r="H108" t="s">
        <v>13</v>
      </c>
      <c r="I108" t="s">
        <v>120</v>
      </c>
    </row>
    <row r="109" spans="1:9">
      <c r="A109" t="s">
        <v>17</v>
      </c>
      <c r="B109">
        <v>39066.889999999992</v>
      </c>
      <c r="D109" t="s">
        <v>15</v>
      </c>
      <c r="E109" t="s">
        <v>76</v>
      </c>
      <c r="F109" t="s">
        <v>11</v>
      </c>
      <c r="G109" t="s">
        <v>12</v>
      </c>
      <c r="H109" t="s">
        <v>13</v>
      </c>
      <c r="I109" t="s">
        <v>121</v>
      </c>
    </row>
    <row r="110" spans="1:9">
      <c r="A110" t="s">
        <v>17</v>
      </c>
      <c r="B110">
        <v>1580423.1599993033</v>
      </c>
      <c r="D110" t="s">
        <v>15</v>
      </c>
      <c r="E110" t="s">
        <v>76</v>
      </c>
      <c r="F110" t="s">
        <v>11</v>
      </c>
      <c r="G110" t="s">
        <v>12</v>
      </c>
      <c r="H110" t="s">
        <v>13</v>
      </c>
      <c r="I110" t="s">
        <v>79</v>
      </c>
    </row>
    <row r="111" spans="1:9">
      <c r="A111" t="s">
        <v>17</v>
      </c>
      <c r="B111">
        <v>60.35</v>
      </c>
      <c r="D111" t="s">
        <v>15</v>
      </c>
      <c r="E111" t="s">
        <v>76</v>
      </c>
      <c r="F111" t="s">
        <v>11</v>
      </c>
      <c r="G111" t="s">
        <v>12</v>
      </c>
      <c r="H111" t="s">
        <v>22</v>
      </c>
      <c r="I111" t="s">
        <v>123</v>
      </c>
    </row>
    <row r="112" spans="1:9">
      <c r="A112" t="s">
        <v>17</v>
      </c>
      <c r="B112">
        <v>75</v>
      </c>
      <c r="D112" t="s">
        <v>15</v>
      </c>
      <c r="E112" t="s">
        <v>76</v>
      </c>
      <c r="F112" t="s">
        <v>11</v>
      </c>
      <c r="G112" t="s">
        <v>12</v>
      </c>
      <c r="H112" t="s">
        <v>22</v>
      </c>
      <c r="I112" t="s">
        <v>124</v>
      </c>
    </row>
    <row r="113" spans="1:9">
      <c r="A113" t="s">
        <v>17</v>
      </c>
      <c r="B113">
        <v>751402.76000000036</v>
      </c>
      <c r="D113" t="s">
        <v>15</v>
      </c>
      <c r="E113" t="s">
        <v>76</v>
      </c>
      <c r="F113" t="s">
        <v>11</v>
      </c>
      <c r="G113" t="s">
        <v>12</v>
      </c>
      <c r="H113" t="s">
        <v>22</v>
      </c>
      <c r="I113" t="s">
        <v>125</v>
      </c>
    </row>
    <row r="114" spans="1:9">
      <c r="A114" t="s">
        <v>17</v>
      </c>
      <c r="B114">
        <v>32317.420000000002</v>
      </c>
      <c r="D114" t="s">
        <v>10</v>
      </c>
      <c r="E114" t="s">
        <v>76</v>
      </c>
      <c r="F114" t="s">
        <v>11</v>
      </c>
      <c r="G114" t="s">
        <v>12</v>
      </c>
      <c r="H114" t="s">
        <v>13</v>
      </c>
      <c r="I114" t="s">
        <v>96</v>
      </c>
    </row>
    <row r="115" spans="1:9">
      <c r="A115" t="s">
        <v>17</v>
      </c>
      <c r="B115">
        <v>16532036.370000016</v>
      </c>
      <c r="D115" t="s">
        <v>10</v>
      </c>
      <c r="E115" t="s">
        <v>76</v>
      </c>
      <c r="F115" t="s">
        <v>11</v>
      </c>
      <c r="G115" t="s">
        <v>12</v>
      </c>
      <c r="H115" t="s">
        <v>13</v>
      </c>
      <c r="I115" t="s">
        <v>105</v>
      </c>
    </row>
    <row r="116" spans="1:9">
      <c r="A116" t="s">
        <v>17</v>
      </c>
      <c r="B116">
        <v>4228198.76</v>
      </c>
      <c r="D116" t="s">
        <v>10</v>
      </c>
      <c r="E116" t="s">
        <v>76</v>
      </c>
      <c r="F116" t="s">
        <v>11</v>
      </c>
      <c r="G116" t="s">
        <v>12</v>
      </c>
      <c r="H116" t="s">
        <v>13</v>
      </c>
      <c r="I116" t="s">
        <v>78</v>
      </c>
    </row>
    <row r="117" spans="1:9">
      <c r="A117" t="s">
        <v>17</v>
      </c>
      <c r="B117">
        <v>103103.88000000012</v>
      </c>
      <c r="D117" t="s">
        <v>10</v>
      </c>
      <c r="E117" t="s">
        <v>76</v>
      </c>
      <c r="F117" t="s">
        <v>11</v>
      </c>
      <c r="G117" t="s">
        <v>12</v>
      </c>
      <c r="H117" t="s">
        <v>13</v>
      </c>
      <c r="I117" t="s">
        <v>120</v>
      </c>
    </row>
    <row r="118" spans="1:9">
      <c r="A118" t="s">
        <v>17</v>
      </c>
      <c r="B118">
        <v>43936.230000000025</v>
      </c>
      <c r="D118" t="s">
        <v>10</v>
      </c>
      <c r="E118" t="s">
        <v>76</v>
      </c>
      <c r="F118" t="s">
        <v>11</v>
      </c>
      <c r="G118" t="s">
        <v>12</v>
      </c>
      <c r="H118" t="s">
        <v>13</v>
      </c>
      <c r="I118" t="s">
        <v>121</v>
      </c>
    </row>
    <row r="119" spans="1:9">
      <c r="A119" t="s">
        <v>17</v>
      </c>
      <c r="B119">
        <v>1654762.4500000016</v>
      </c>
      <c r="D119" t="s">
        <v>10</v>
      </c>
      <c r="E119" t="s">
        <v>76</v>
      </c>
      <c r="F119" t="s">
        <v>11</v>
      </c>
      <c r="G119" t="s">
        <v>12</v>
      </c>
      <c r="H119" t="s">
        <v>13</v>
      </c>
      <c r="I119" t="s">
        <v>79</v>
      </c>
    </row>
    <row r="120" spans="1:9">
      <c r="A120" t="s">
        <v>17</v>
      </c>
      <c r="B120">
        <v>1072.4100000000001</v>
      </c>
      <c r="D120" t="s">
        <v>10</v>
      </c>
      <c r="E120" t="s">
        <v>76</v>
      </c>
      <c r="F120" t="s">
        <v>11</v>
      </c>
      <c r="G120" t="s">
        <v>12</v>
      </c>
      <c r="H120" t="s">
        <v>22</v>
      </c>
      <c r="I120" t="s">
        <v>124</v>
      </c>
    </row>
    <row r="121" spans="1:9">
      <c r="A121" t="s">
        <v>17</v>
      </c>
      <c r="B121">
        <v>36738.44999999999</v>
      </c>
      <c r="D121" t="s">
        <v>10</v>
      </c>
      <c r="E121" t="s">
        <v>76</v>
      </c>
      <c r="F121" t="s">
        <v>11</v>
      </c>
      <c r="G121" t="s">
        <v>12</v>
      </c>
      <c r="H121" t="s">
        <v>22</v>
      </c>
      <c r="I121" t="s">
        <v>125</v>
      </c>
    </row>
    <row r="122" spans="1:9">
      <c r="A122" t="s">
        <v>17</v>
      </c>
      <c r="B122">
        <v>11945.99</v>
      </c>
      <c r="C122" t="s">
        <v>21</v>
      </c>
      <c r="E122" t="s">
        <v>76</v>
      </c>
      <c r="F122" t="s">
        <v>11</v>
      </c>
      <c r="G122" t="s">
        <v>12</v>
      </c>
      <c r="H122" t="s">
        <v>13</v>
      </c>
      <c r="I122" t="s">
        <v>101</v>
      </c>
    </row>
    <row r="123" spans="1:9">
      <c r="A123" t="s">
        <v>17</v>
      </c>
      <c r="B123">
        <v>12221.27</v>
      </c>
      <c r="C123" t="s">
        <v>21</v>
      </c>
      <c r="D123" t="s">
        <v>15</v>
      </c>
      <c r="E123" t="s">
        <v>76</v>
      </c>
      <c r="F123" t="s">
        <v>11</v>
      </c>
      <c r="G123" t="s">
        <v>12</v>
      </c>
      <c r="H123" t="s">
        <v>13</v>
      </c>
      <c r="I123" t="s">
        <v>87</v>
      </c>
    </row>
    <row r="124" spans="1:9">
      <c r="A124" t="s">
        <v>17</v>
      </c>
      <c r="B124">
        <v>177.56</v>
      </c>
      <c r="C124" t="s">
        <v>21</v>
      </c>
      <c r="D124" t="s">
        <v>15</v>
      </c>
      <c r="E124" t="s">
        <v>76</v>
      </c>
      <c r="F124" t="s">
        <v>11</v>
      </c>
      <c r="G124" t="s">
        <v>12</v>
      </c>
      <c r="H124" t="s">
        <v>13</v>
      </c>
      <c r="I124" t="s">
        <v>93</v>
      </c>
    </row>
    <row r="125" spans="1:9">
      <c r="A125" t="s">
        <v>17</v>
      </c>
      <c r="B125">
        <v>10504.020000000002</v>
      </c>
      <c r="C125" t="s">
        <v>21</v>
      </c>
      <c r="D125" t="s">
        <v>15</v>
      </c>
      <c r="E125" t="s">
        <v>76</v>
      </c>
      <c r="F125" t="s">
        <v>11</v>
      </c>
      <c r="G125" t="s">
        <v>12</v>
      </c>
      <c r="H125" t="s">
        <v>13</v>
      </c>
      <c r="I125" t="s">
        <v>120</v>
      </c>
    </row>
    <row r="126" spans="1:9">
      <c r="A126" t="s">
        <v>17</v>
      </c>
      <c r="B126">
        <v>77643.55</v>
      </c>
      <c r="C126" t="s">
        <v>21</v>
      </c>
      <c r="D126" t="s">
        <v>15</v>
      </c>
      <c r="E126" t="s">
        <v>76</v>
      </c>
      <c r="F126" t="s">
        <v>11</v>
      </c>
      <c r="G126" t="s">
        <v>12</v>
      </c>
      <c r="H126" t="s">
        <v>13</v>
      </c>
      <c r="I126" t="s">
        <v>79</v>
      </c>
    </row>
    <row r="127" spans="1:9">
      <c r="A127" t="s">
        <v>17</v>
      </c>
      <c r="B127">
        <v>882.41000000000008</v>
      </c>
      <c r="C127" t="s">
        <v>21</v>
      </c>
      <c r="D127" t="s">
        <v>15</v>
      </c>
      <c r="E127" t="s">
        <v>76</v>
      </c>
      <c r="F127" t="s">
        <v>11</v>
      </c>
      <c r="G127" t="s">
        <v>12</v>
      </c>
      <c r="H127" t="s">
        <v>22</v>
      </c>
      <c r="I127" t="s">
        <v>127</v>
      </c>
    </row>
    <row r="128" spans="1:9">
      <c r="A128" t="s">
        <v>17</v>
      </c>
      <c r="B128">
        <v>5659.98</v>
      </c>
      <c r="C128" t="s">
        <v>21</v>
      </c>
      <c r="D128" t="s">
        <v>15</v>
      </c>
      <c r="E128" t="s">
        <v>76</v>
      </c>
      <c r="F128" t="s">
        <v>11</v>
      </c>
      <c r="G128" t="s">
        <v>12</v>
      </c>
      <c r="H128" t="s">
        <v>22</v>
      </c>
      <c r="I128" t="s">
        <v>138</v>
      </c>
    </row>
    <row r="129" spans="1:9">
      <c r="A129" t="s">
        <v>17</v>
      </c>
      <c r="B129">
        <v>1306.3499999999999</v>
      </c>
      <c r="C129" t="s">
        <v>21</v>
      </c>
      <c r="D129" t="s">
        <v>15</v>
      </c>
      <c r="E129" t="s">
        <v>76</v>
      </c>
      <c r="F129" t="s">
        <v>11</v>
      </c>
      <c r="G129" t="s">
        <v>12</v>
      </c>
      <c r="H129" t="s">
        <v>22</v>
      </c>
      <c r="I129" t="s">
        <v>159</v>
      </c>
    </row>
    <row r="130" spans="1:9">
      <c r="A130" t="s">
        <v>17</v>
      </c>
      <c r="B130">
        <v>4765.1499999999996</v>
      </c>
      <c r="C130" t="s">
        <v>21</v>
      </c>
      <c r="D130" t="s">
        <v>10</v>
      </c>
      <c r="E130" t="s">
        <v>76</v>
      </c>
      <c r="F130" t="s">
        <v>11</v>
      </c>
      <c r="G130" t="s">
        <v>12</v>
      </c>
      <c r="H130" t="s">
        <v>22</v>
      </c>
      <c r="I130" t="s">
        <v>138</v>
      </c>
    </row>
    <row r="131" spans="1:9">
      <c r="A131" t="s">
        <v>17</v>
      </c>
      <c r="B131">
        <v>1515.41</v>
      </c>
      <c r="C131" t="s">
        <v>21</v>
      </c>
      <c r="D131" t="s">
        <v>10</v>
      </c>
      <c r="E131" t="s">
        <v>76</v>
      </c>
      <c r="F131" t="s">
        <v>11</v>
      </c>
      <c r="G131" t="s">
        <v>12</v>
      </c>
      <c r="H131" t="s">
        <v>22</v>
      </c>
      <c r="I131" t="s">
        <v>147</v>
      </c>
    </row>
    <row r="132" spans="1:9">
      <c r="A132" t="s">
        <v>17</v>
      </c>
      <c r="B132">
        <v>18.350000000000001</v>
      </c>
      <c r="C132" t="s">
        <v>21</v>
      </c>
      <c r="D132" t="s">
        <v>10</v>
      </c>
      <c r="E132" t="s">
        <v>76</v>
      </c>
      <c r="F132" t="s">
        <v>11</v>
      </c>
      <c r="G132" t="s">
        <v>12</v>
      </c>
      <c r="H132" t="s">
        <v>22</v>
      </c>
      <c r="I132" t="s">
        <v>159</v>
      </c>
    </row>
    <row r="133" spans="1:9">
      <c r="A133" t="s">
        <v>17</v>
      </c>
      <c r="B133">
        <v>8518826.3499999996</v>
      </c>
      <c r="C133" t="s">
        <v>23</v>
      </c>
      <c r="E133" t="s">
        <v>76</v>
      </c>
      <c r="F133" t="s">
        <v>11</v>
      </c>
      <c r="G133" t="s">
        <v>12</v>
      </c>
      <c r="H133" t="s">
        <v>13</v>
      </c>
      <c r="I133" t="s">
        <v>99</v>
      </c>
    </row>
    <row r="134" spans="1:9">
      <c r="A134" t="s">
        <v>17</v>
      </c>
      <c r="B134">
        <v>163763.47</v>
      </c>
      <c r="C134" t="s">
        <v>23</v>
      </c>
      <c r="E134" t="s">
        <v>76</v>
      </c>
      <c r="F134" t="s">
        <v>11</v>
      </c>
      <c r="G134" t="s">
        <v>12</v>
      </c>
      <c r="H134" t="s">
        <v>13</v>
      </c>
      <c r="I134" t="s">
        <v>104</v>
      </c>
    </row>
    <row r="135" spans="1:9">
      <c r="A135" t="s">
        <v>17</v>
      </c>
      <c r="B135">
        <v>-23.93</v>
      </c>
      <c r="C135" t="s">
        <v>23</v>
      </c>
      <c r="E135" t="s">
        <v>76</v>
      </c>
      <c r="F135" t="s">
        <v>11</v>
      </c>
      <c r="G135" t="s">
        <v>12</v>
      </c>
      <c r="H135" t="s">
        <v>22</v>
      </c>
      <c r="I135" t="s">
        <v>171</v>
      </c>
    </row>
    <row r="136" spans="1:9">
      <c r="A136" t="s">
        <v>17</v>
      </c>
      <c r="B136">
        <v>1922535.5899999999</v>
      </c>
      <c r="C136" t="s">
        <v>23</v>
      </c>
      <c r="D136" t="s">
        <v>15</v>
      </c>
      <c r="E136" t="s">
        <v>76</v>
      </c>
      <c r="F136" t="s">
        <v>11</v>
      </c>
      <c r="G136" t="s">
        <v>12</v>
      </c>
      <c r="H136" t="s">
        <v>13</v>
      </c>
      <c r="I136" t="s">
        <v>90</v>
      </c>
    </row>
    <row r="137" spans="1:9">
      <c r="A137" t="s">
        <v>17</v>
      </c>
      <c r="B137">
        <v>6.91</v>
      </c>
      <c r="C137" t="s">
        <v>23</v>
      </c>
      <c r="D137" t="s">
        <v>15</v>
      </c>
      <c r="E137" t="s">
        <v>76</v>
      </c>
      <c r="F137" t="s">
        <v>11</v>
      </c>
      <c r="G137" t="s">
        <v>12</v>
      </c>
      <c r="H137" t="s">
        <v>13</v>
      </c>
      <c r="I137" t="s">
        <v>94</v>
      </c>
    </row>
    <row r="138" spans="1:9">
      <c r="A138" t="s">
        <v>17</v>
      </c>
      <c r="B138">
        <v>1073707.7699999991</v>
      </c>
      <c r="C138" t="s">
        <v>23</v>
      </c>
      <c r="D138" t="s">
        <v>15</v>
      </c>
      <c r="E138" t="s">
        <v>76</v>
      </c>
      <c r="F138" t="s">
        <v>11</v>
      </c>
      <c r="G138" t="s">
        <v>12</v>
      </c>
      <c r="H138" t="s">
        <v>13</v>
      </c>
      <c r="I138" t="s">
        <v>120</v>
      </c>
    </row>
    <row r="139" spans="1:9">
      <c r="A139" t="s">
        <v>17</v>
      </c>
      <c r="B139">
        <v>968443.41</v>
      </c>
      <c r="C139" t="s">
        <v>23</v>
      </c>
      <c r="D139" t="s">
        <v>15</v>
      </c>
      <c r="E139" t="s">
        <v>76</v>
      </c>
      <c r="F139" t="s">
        <v>11</v>
      </c>
      <c r="G139" t="s">
        <v>12</v>
      </c>
      <c r="H139" t="s">
        <v>13</v>
      </c>
      <c r="I139" t="s">
        <v>121</v>
      </c>
    </row>
    <row r="140" spans="1:9">
      <c r="A140" t="s">
        <v>17</v>
      </c>
      <c r="B140">
        <v>1879.4699999999998</v>
      </c>
      <c r="C140" t="s">
        <v>23</v>
      </c>
      <c r="D140" t="s">
        <v>15</v>
      </c>
      <c r="E140" t="s">
        <v>76</v>
      </c>
      <c r="F140" t="s">
        <v>11</v>
      </c>
      <c r="G140" t="s">
        <v>12</v>
      </c>
      <c r="H140" t="s">
        <v>13</v>
      </c>
      <c r="I140" t="s">
        <v>79</v>
      </c>
    </row>
    <row r="141" spans="1:9">
      <c r="A141" t="s">
        <v>17</v>
      </c>
      <c r="B141">
        <v>375575.10000000033</v>
      </c>
      <c r="C141" t="s">
        <v>23</v>
      </c>
      <c r="D141" t="s">
        <v>15</v>
      </c>
      <c r="E141" t="s">
        <v>76</v>
      </c>
      <c r="F141" t="s">
        <v>11</v>
      </c>
      <c r="G141" t="s">
        <v>12</v>
      </c>
      <c r="H141" t="s">
        <v>22</v>
      </c>
      <c r="I141" t="s">
        <v>130</v>
      </c>
    </row>
    <row r="142" spans="1:9">
      <c r="A142" t="s">
        <v>17</v>
      </c>
      <c r="B142">
        <v>122496.92000000001</v>
      </c>
      <c r="C142" t="s">
        <v>23</v>
      </c>
      <c r="D142" t="s">
        <v>15</v>
      </c>
      <c r="E142" t="s">
        <v>76</v>
      </c>
      <c r="F142" t="s">
        <v>11</v>
      </c>
      <c r="G142" t="s">
        <v>12</v>
      </c>
      <c r="H142" t="s">
        <v>22</v>
      </c>
      <c r="I142" t="s">
        <v>133</v>
      </c>
    </row>
    <row r="143" spans="1:9">
      <c r="A143" t="s">
        <v>17</v>
      </c>
      <c r="B143">
        <v>7557831.1599999992</v>
      </c>
      <c r="C143" t="s">
        <v>23</v>
      </c>
      <c r="D143" t="s">
        <v>15</v>
      </c>
      <c r="E143" t="s">
        <v>76</v>
      </c>
      <c r="F143" t="s">
        <v>11</v>
      </c>
      <c r="G143" t="s">
        <v>12</v>
      </c>
      <c r="H143" t="s">
        <v>22</v>
      </c>
      <c r="I143" t="s">
        <v>135</v>
      </c>
    </row>
    <row r="144" spans="1:9">
      <c r="A144" t="s">
        <v>17</v>
      </c>
      <c r="B144">
        <v>918451.75999999978</v>
      </c>
      <c r="C144" t="s">
        <v>23</v>
      </c>
      <c r="D144" t="s">
        <v>15</v>
      </c>
      <c r="E144" t="s">
        <v>76</v>
      </c>
      <c r="F144" t="s">
        <v>11</v>
      </c>
      <c r="G144" t="s">
        <v>12</v>
      </c>
      <c r="H144" t="s">
        <v>22</v>
      </c>
      <c r="I144" t="s">
        <v>136</v>
      </c>
    </row>
    <row r="145" spans="1:9">
      <c r="A145" t="s">
        <v>17</v>
      </c>
      <c r="B145">
        <v>451804.35000000196</v>
      </c>
      <c r="C145" t="s">
        <v>23</v>
      </c>
      <c r="D145" t="s">
        <v>15</v>
      </c>
      <c r="E145" t="s">
        <v>76</v>
      </c>
      <c r="F145" t="s">
        <v>11</v>
      </c>
      <c r="G145" t="s">
        <v>12</v>
      </c>
      <c r="H145" t="s">
        <v>22</v>
      </c>
      <c r="I145" t="s">
        <v>143</v>
      </c>
    </row>
    <row r="146" spans="1:9">
      <c r="A146" t="s">
        <v>17</v>
      </c>
      <c r="B146">
        <v>50239.160000000018</v>
      </c>
      <c r="C146" t="s">
        <v>23</v>
      </c>
      <c r="D146" t="s">
        <v>15</v>
      </c>
      <c r="E146" t="s">
        <v>76</v>
      </c>
      <c r="F146" t="s">
        <v>11</v>
      </c>
      <c r="G146" t="s">
        <v>12</v>
      </c>
      <c r="H146" t="s">
        <v>22</v>
      </c>
      <c r="I146" t="s">
        <v>144</v>
      </c>
    </row>
    <row r="147" spans="1:9">
      <c r="A147" t="s">
        <v>17</v>
      </c>
      <c r="B147">
        <v>221831.88</v>
      </c>
      <c r="C147" t="s">
        <v>23</v>
      </c>
      <c r="D147" t="s">
        <v>15</v>
      </c>
      <c r="E147" t="s">
        <v>76</v>
      </c>
      <c r="F147" t="s">
        <v>11</v>
      </c>
      <c r="G147" t="s">
        <v>12</v>
      </c>
      <c r="H147" t="s">
        <v>22</v>
      </c>
      <c r="I147" t="s">
        <v>150</v>
      </c>
    </row>
    <row r="148" spans="1:9">
      <c r="A148" t="s">
        <v>17</v>
      </c>
      <c r="B148">
        <v>14210.29</v>
      </c>
      <c r="C148" t="s">
        <v>23</v>
      </c>
      <c r="D148" t="s">
        <v>15</v>
      </c>
      <c r="E148" t="s">
        <v>76</v>
      </c>
      <c r="F148" t="s">
        <v>11</v>
      </c>
      <c r="G148" t="s">
        <v>12</v>
      </c>
      <c r="H148" t="s">
        <v>22</v>
      </c>
      <c r="I148" t="s">
        <v>151</v>
      </c>
    </row>
    <row r="149" spans="1:9">
      <c r="A149" t="s">
        <v>17</v>
      </c>
      <c r="B149">
        <v>4576241.3199999994</v>
      </c>
      <c r="C149" t="s">
        <v>23</v>
      </c>
      <c r="D149" t="s">
        <v>15</v>
      </c>
      <c r="E149" t="s">
        <v>76</v>
      </c>
      <c r="F149" t="s">
        <v>11</v>
      </c>
      <c r="G149" t="s">
        <v>12</v>
      </c>
      <c r="H149" t="s">
        <v>22</v>
      </c>
      <c r="I149" t="s">
        <v>153</v>
      </c>
    </row>
    <row r="150" spans="1:9">
      <c r="A150" t="s">
        <v>17</v>
      </c>
      <c r="B150">
        <v>4687.79</v>
      </c>
      <c r="C150" t="s">
        <v>23</v>
      </c>
      <c r="D150" t="s">
        <v>15</v>
      </c>
      <c r="E150" t="s">
        <v>76</v>
      </c>
      <c r="F150" t="s">
        <v>11</v>
      </c>
      <c r="G150" t="s">
        <v>12</v>
      </c>
      <c r="H150" t="s">
        <v>22</v>
      </c>
      <c r="I150" t="s">
        <v>154</v>
      </c>
    </row>
    <row r="151" spans="1:9">
      <c r="A151" t="s">
        <v>17</v>
      </c>
      <c r="B151">
        <v>5760123.5100000016</v>
      </c>
      <c r="C151" t="s">
        <v>23</v>
      </c>
      <c r="D151" t="s">
        <v>15</v>
      </c>
      <c r="E151" t="s">
        <v>76</v>
      </c>
      <c r="F151" t="s">
        <v>11</v>
      </c>
      <c r="G151" t="s">
        <v>12</v>
      </c>
      <c r="H151" t="s">
        <v>22</v>
      </c>
      <c r="I151" t="s">
        <v>156</v>
      </c>
    </row>
    <row r="152" spans="1:9">
      <c r="A152" t="s">
        <v>17</v>
      </c>
      <c r="B152">
        <v>66945.99000000002</v>
      </c>
      <c r="C152" t="s">
        <v>23</v>
      </c>
      <c r="D152" t="s">
        <v>15</v>
      </c>
      <c r="E152" t="s">
        <v>76</v>
      </c>
      <c r="F152" t="s">
        <v>11</v>
      </c>
      <c r="G152" t="s">
        <v>12</v>
      </c>
      <c r="H152" t="s">
        <v>22</v>
      </c>
      <c r="I152" t="s">
        <v>162</v>
      </c>
    </row>
    <row r="153" spans="1:9">
      <c r="A153" t="s">
        <v>17</v>
      </c>
      <c r="B153">
        <v>2354618.0000049896</v>
      </c>
      <c r="C153" t="s">
        <v>23</v>
      </c>
      <c r="D153" t="s">
        <v>15</v>
      </c>
      <c r="E153" t="s">
        <v>76</v>
      </c>
      <c r="F153" t="s">
        <v>11</v>
      </c>
      <c r="G153" t="s">
        <v>12</v>
      </c>
      <c r="H153" t="s">
        <v>22</v>
      </c>
      <c r="I153" t="s">
        <v>171</v>
      </c>
    </row>
    <row r="154" spans="1:9">
      <c r="A154" t="s">
        <v>17</v>
      </c>
      <c r="B154">
        <v>455.68</v>
      </c>
      <c r="C154" t="s">
        <v>23</v>
      </c>
      <c r="D154" t="s">
        <v>15</v>
      </c>
      <c r="E154" t="s">
        <v>76</v>
      </c>
      <c r="F154" t="s">
        <v>11</v>
      </c>
      <c r="G154" t="s">
        <v>12</v>
      </c>
      <c r="H154" t="s">
        <v>22</v>
      </c>
      <c r="I154" t="s">
        <v>166</v>
      </c>
    </row>
    <row r="155" spans="1:9">
      <c r="A155" t="s">
        <v>17</v>
      </c>
      <c r="B155">
        <v>38914.610000000022</v>
      </c>
      <c r="C155" t="s">
        <v>23</v>
      </c>
      <c r="D155" t="s">
        <v>15</v>
      </c>
      <c r="E155" t="s">
        <v>76</v>
      </c>
      <c r="F155" t="s">
        <v>11</v>
      </c>
      <c r="G155" t="s">
        <v>12</v>
      </c>
      <c r="H155" t="s">
        <v>22</v>
      </c>
      <c r="I155" t="s">
        <v>167</v>
      </c>
    </row>
    <row r="156" spans="1:9">
      <c r="A156" t="s">
        <v>17</v>
      </c>
      <c r="B156">
        <v>22922.22</v>
      </c>
      <c r="C156" t="s">
        <v>23</v>
      </c>
      <c r="D156" t="s">
        <v>15</v>
      </c>
      <c r="E156" t="s">
        <v>76</v>
      </c>
      <c r="F156" t="s">
        <v>11</v>
      </c>
      <c r="G156" t="s">
        <v>12</v>
      </c>
      <c r="H156" t="s">
        <v>22</v>
      </c>
      <c r="I156" t="s">
        <v>169</v>
      </c>
    </row>
    <row r="157" spans="1:9">
      <c r="A157" t="s">
        <v>17</v>
      </c>
      <c r="B157">
        <v>236899.13</v>
      </c>
      <c r="C157" t="s">
        <v>23</v>
      </c>
      <c r="D157" t="s">
        <v>10</v>
      </c>
      <c r="E157" t="s">
        <v>76</v>
      </c>
      <c r="F157" t="s">
        <v>11</v>
      </c>
      <c r="G157" t="s">
        <v>12</v>
      </c>
      <c r="H157" t="s">
        <v>13</v>
      </c>
      <c r="I157" t="s">
        <v>90</v>
      </c>
    </row>
    <row r="158" spans="1:9">
      <c r="A158" t="s">
        <v>17</v>
      </c>
      <c r="B158">
        <v>1580.62</v>
      </c>
      <c r="C158" t="s">
        <v>23</v>
      </c>
      <c r="D158" t="s">
        <v>10</v>
      </c>
      <c r="E158" t="s">
        <v>76</v>
      </c>
      <c r="F158" t="s">
        <v>11</v>
      </c>
      <c r="G158" t="s">
        <v>12</v>
      </c>
      <c r="H158" t="s">
        <v>13</v>
      </c>
      <c r="I158" t="s">
        <v>94</v>
      </c>
    </row>
    <row r="159" spans="1:9">
      <c r="A159" t="s">
        <v>17</v>
      </c>
      <c r="B159">
        <v>7019.66</v>
      </c>
      <c r="C159" t="s">
        <v>23</v>
      </c>
      <c r="D159" t="s">
        <v>10</v>
      </c>
      <c r="E159" t="s">
        <v>76</v>
      </c>
      <c r="F159" t="s">
        <v>11</v>
      </c>
      <c r="G159" t="s">
        <v>12</v>
      </c>
      <c r="H159" t="s">
        <v>13</v>
      </c>
      <c r="I159" t="s">
        <v>78</v>
      </c>
    </row>
    <row r="160" spans="1:9">
      <c r="A160" t="s">
        <v>17</v>
      </c>
      <c r="B160">
        <v>380417.62999999971</v>
      </c>
      <c r="C160" t="s">
        <v>23</v>
      </c>
      <c r="D160" t="s">
        <v>10</v>
      </c>
      <c r="E160" t="s">
        <v>76</v>
      </c>
      <c r="F160" t="s">
        <v>11</v>
      </c>
      <c r="G160" t="s">
        <v>12</v>
      </c>
      <c r="H160" t="s">
        <v>13</v>
      </c>
      <c r="I160" t="s">
        <v>120</v>
      </c>
    </row>
    <row r="161" spans="1:9">
      <c r="A161" t="s">
        <v>17</v>
      </c>
      <c r="B161">
        <v>3248648.8999999929</v>
      </c>
      <c r="C161" t="s">
        <v>23</v>
      </c>
      <c r="D161" t="s">
        <v>10</v>
      </c>
      <c r="E161" t="s">
        <v>76</v>
      </c>
      <c r="F161" t="s">
        <v>11</v>
      </c>
      <c r="G161" t="s">
        <v>12</v>
      </c>
      <c r="H161" t="s">
        <v>13</v>
      </c>
      <c r="I161" t="s">
        <v>121</v>
      </c>
    </row>
    <row r="162" spans="1:9">
      <c r="A162" t="s">
        <v>17</v>
      </c>
      <c r="B162">
        <v>5659.3600000000015</v>
      </c>
      <c r="C162" t="s">
        <v>23</v>
      </c>
      <c r="D162" t="s">
        <v>10</v>
      </c>
      <c r="E162" t="s">
        <v>76</v>
      </c>
      <c r="F162" t="s">
        <v>11</v>
      </c>
      <c r="G162" t="s">
        <v>12</v>
      </c>
      <c r="H162" t="s">
        <v>13</v>
      </c>
      <c r="I162" t="s">
        <v>79</v>
      </c>
    </row>
    <row r="163" spans="1:9">
      <c r="A163" t="s">
        <v>17</v>
      </c>
      <c r="B163">
        <v>297023.9599999995</v>
      </c>
      <c r="C163" t="s">
        <v>23</v>
      </c>
      <c r="D163" t="s">
        <v>10</v>
      </c>
      <c r="E163" t="s">
        <v>76</v>
      </c>
      <c r="F163" t="s">
        <v>11</v>
      </c>
      <c r="G163" t="s">
        <v>12</v>
      </c>
      <c r="H163" t="s">
        <v>22</v>
      </c>
      <c r="I163" t="s">
        <v>130</v>
      </c>
    </row>
    <row r="164" spans="1:9">
      <c r="A164" t="s">
        <v>17</v>
      </c>
      <c r="B164">
        <v>408140.80999999988</v>
      </c>
      <c r="C164" t="s">
        <v>23</v>
      </c>
      <c r="D164" t="s">
        <v>10</v>
      </c>
      <c r="E164" t="s">
        <v>76</v>
      </c>
      <c r="F164" t="s">
        <v>11</v>
      </c>
      <c r="G164" t="s">
        <v>12</v>
      </c>
      <c r="H164" t="s">
        <v>22</v>
      </c>
      <c r="I164" t="s">
        <v>133</v>
      </c>
    </row>
    <row r="165" spans="1:9">
      <c r="A165" t="s">
        <v>17</v>
      </c>
      <c r="B165">
        <v>26073.27</v>
      </c>
      <c r="C165" t="s">
        <v>23</v>
      </c>
      <c r="D165" t="s">
        <v>10</v>
      </c>
      <c r="E165" t="s">
        <v>76</v>
      </c>
      <c r="F165" t="s">
        <v>11</v>
      </c>
      <c r="G165" t="s">
        <v>12</v>
      </c>
      <c r="H165" t="s">
        <v>22</v>
      </c>
      <c r="I165" t="s">
        <v>135</v>
      </c>
    </row>
    <row r="166" spans="1:9">
      <c r="A166" t="s">
        <v>17</v>
      </c>
      <c r="B166">
        <v>4439757.4799999986</v>
      </c>
      <c r="C166" t="s">
        <v>23</v>
      </c>
      <c r="D166" t="s">
        <v>10</v>
      </c>
      <c r="E166" t="s">
        <v>76</v>
      </c>
      <c r="F166" t="s">
        <v>11</v>
      </c>
      <c r="G166" t="s">
        <v>12</v>
      </c>
      <c r="H166" t="s">
        <v>22</v>
      </c>
      <c r="I166" t="s">
        <v>136</v>
      </c>
    </row>
    <row r="167" spans="1:9">
      <c r="A167" t="s">
        <v>17</v>
      </c>
      <c r="B167">
        <v>131289.40999999992</v>
      </c>
      <c r="C167" t="s">
        <v>23</v>
      </c>
      <c r="D167" t="s">
        <v>10</v>
      </c>
      <c r="E167" t="s">
        <v>76</v>
      </c>
      <c r="F167" t="s">
        <v>11</v>
      </c>
      <c r="G167" t="s">
        <v>12</v>
      </c>
      <c r="H167" t="s">
        <v>22</v>
      </c>
      <c r="I167" t="s">
        <v>143</v>
      </c>
    </row>
    <row r="168" spans="1:9">
      <c r="A168" t="s">
        <v>17</v>
      </c>
      <c r="B168">
        <v>7120.3499999999985</v>
      </c>
      <c r="C168" t="s">
        <v>23</v>
      </c>
      <c r="D168" t="s">
        <v>10</v>
      </c>
      <c r="E168" t="s">
        <v>76</v>
      </c>
      <c r="F168" t="s">
        <v>11</v>
      </c>
      <c r="G168" t="s">
        <v>12</v>
      </c>
      <c r="H168" t="s">
        <v>22</v>
      </c>
      <c r="I168" t="s">
        <v>144</v>
      </c>
    </row>
    <row r="169" spans="1:9">
      <c r="A169" t="s">
        <v>17</v>
      </c>
      <c r="B169">
        <v>368661.59000000049</v>
      </c>
      <c r="C169" t="s">
        <v>23</v>
      </c>
      <c r="D169" t="s">
        <v>10</v>
      </c>
      <c r="E169" t="s">
        <v>76</v>
      </c>
      <c r="F169" t="s">
        <v>11</v>
      </c>
      <c r="G169" t="s">
        <v>12</v>
      </c>
      <c r="H169" t="s">
        <v>22</v>
      </c>
      <c r="I169" t="s">
        <v>150</v>
      </c>
    </row>
    <row r="170" spans="1:9">
      <c r="A170" t="s">
        <v>17</v>
      </c>
      <c r="B170">
        <v>12357.429999999998</v>
      </c>
      <c r="C170" t="s">
        <v>23</v>
      </c>
      <c r="D170" t="s">
        <v>10</v>
      </c>
      <c r="E170" t="s">
        <v>76</v>
      </c>
      <c r="F170" t="s">
        <v>11</v>
      </c>
      <c r="G170" t="s">
        <v>12</v>
      </c>
      <c r="H170" t="s">
        <v>22</v>
      </c>
      <c r="I170" t="s">
        <v>151</v>
      </c>
    </row>
    <row r="171" spans="1:9">
      <c r="A171" t="s">
        <v>17</v>
      </c>
      <c r="B171">
        <v>749727.01</v>
      </c>
      <c r="C171" t="s">
        <v>23</v>
      </c>
      <c r="D171" t="s">
        <v>10</v>
      </c>
      <c r="E171" t="s">
        <v>76</v>
      </c>
      <c r="F171" t="s">
        <v>11</v>
      </c>
      <c r="G171" t="s">
        <v>12</v>
      </c>
      <c r="H171" t="s">
        <v>22</v>
      </c>
      <c r="I171" t="s">
        <v>153</v>
      </c>
    </row>
    <row r="172" spans="1:9">
      <c r="A172" t="s">
        <v>17</v>
      </c>
      <c r="B172">
        <v>10661773.969999993</v>
      </c>
      <c r="C172" t="s">
        <v>23</v>
      </c>
      <c r="D172" t="s">
        <v>10</v>
      </c>
      <c r="E172" t="s">
        <v>76</v>
      </c>
      <c r="F172" t="s">
        <v>11</v>
      </c>
      <c r="G172" t="s">
        <v>12</v>
      </c>
      <c r="H172" t="s">
        <v>22</v>
      </c>
      <c r="I172" t="s">
        <v>156</v>
      </c>
    </row>
    <row r="173" spans="1:9">
      <c r="A173" t="s">
        <v>17</v>
      </c>
      <c r="B173">
        <v>61478.500000000007</v>
      </c>
      <c r="C173" t="s">
        <v>23</v>
      </c>
      <c r="D173" t="s">
        <v>10</v>
      </c>
      <c r="E173" t="s">
        <v>76</v>
      </c>
      <c r="F173" t="s">
        <v>11</v>
      </c>
      <c r="G173" t="s">
        <v>12</v>
      </c>
      <c r="H173" t="s">
        <v>22</v>
      </c>
      <c r="I173" t="s">
        <v>157</v>
      </c>
    </row>
    <row r="174" spans="1:9">
      <c r="A174" t="s">
        <v>17</v>
      </c>
      <c r="B174">
        <v>10109.809999999998</v>
      </c>
      <c r="C174" t="s">
        <v>23</v>
      </c>
      <c r="D174" t="s">
        <v>10</v>
      </c>
      <c r="E174" t="s">
        <v>76</v>
      </c>
      <c r="F174" t="s">
        <v>11</v>
      </c>
      <c r="G174" t="s">
        <v>12</v>
      </c>
      <c r="H174" t="s">
        <v>22</v>
      </c>
      <c r="I174" t="s">
        <v>162</v>
      </c>
    </row>
    <row r="175" spans="1:9">
      <c r="A175" t="s">
        <v>17</v>
      </c>
      <c r="B175">
        <v>1475832.4400001706</v>
      </c>
      <c r="C175" t="s">
        <v>23</v>
      </c>
      <c r="D175" t="s">
        <v>10</v>
      </c>
      <c r="E175" t="s">
        <v>76</v>
      </c>
      <c r="F175" t="s">
        <v>11</v>
      </c>
      <c r="G175" t="s">
        <v>12</v>
      </c>
      <c r="H175" t="s">
        <v>22</v>
      </c>
      <c r="I175" t="s">
        <v>171</v>
      </c>
    </row>
    <row r="176" spans="1:9">
      <c r="A176" t="s">
        <v>17</v>
      </c>
      <c r="B176">
        <v>34626.43</v>
      </c>
      <c r="C176" t="s">
        <v>23</v>
      </c>
      <c r="D176" t="s">
        <v>10</v>
      </c>
      <c r="E176" t="s">
        <v>76</v>
      </c>
      <c r="F176" t="s">
        <v>11</v>
      </c>
      <c r="G176" t="s">
        <v>12</v>
      </c>
      <c r="H176" t="s">
        <v>22</v>
      </c>
      <c r="I176" t="s">
        <v>166</v>
      </c>
    </row>
    <row r="177" spans="1:9">
      <c r="A177" t="s">
        <v>17</v>
      </c>
      <c r="B177">
        <v>1477183.5000009716</v>
      </c>
      <c r="C177" t="s">
        <v>23</v>
      </c>
      <c r="D177" t="s">
        <v>10</v>
      </c>
      <c r="E177" t="s">
        <v>76</v>
      </c>
      <c r="F177" t="s">
        <v>11</v>
      </c>
      <c r="G177" t="s">
        <v>12</v>
      </c>
      <c r="H177" t="s">
        <v>22</v>
      </c>
      <c r="I177" t="s">
        <v>167</v>
      </c>
    </row>
    <row r="178" spans="1:9">
      <c r="A178" t="s">
        <v>17</v>
      </c>
      <c r="B178">
        <v>4639.24</v>
      </c>
      <c r="C178" t="s">
        <v>23</v>
      </c>
      <c r="D178" t="s">
        <v>10</v>
      </c>
      <c r="E178" t="s">
        <v>76</v>
      </c>
      <c r="F178" t="s">
        <v>11</v>
      </c>
      <c r="G178" t="s">
        <v>12</v>
      </c>
      <c r="H178" t="s">
        <v>22</v>
      </c>
      <c r="I178" t="s">
        <v>169</v>
      </c>
    </row>
    <row r="179" spans="1:9">
      <c r="A179" t="s">
        <v>17</v>
      </c>
      <c r="B179">
        <v>344498.76</v>
      </c>
      <c r="C179" t="s">
        <v>9</v>
      </c>
      <c r="E179" t="s">
        <v>76</v>
      </c>
      <c r="F179" t="s">
        <v>11</v>
      </c>
      <c r="G179" t="s">
        <v>12</v>
      </c>
      <c r="H179" t="s">
        <v>13</v>
      </c>
      <c r="I179" t="s">
        <v>98</v>
      </c>
    </row>
    <row r="180" spans="1:9">
      <c r="A180" t="s">
        <v>17</v>
      </c>
      <c r="B180">
        <v>-0.03</v>
      </c>
      <c r="C180" t="s">
        <v>9</v>
      </c>
      <c r="E180" t="s">
        <v>76</v>
      </c>
      <c r="F180" t="s">
        <v>11</v>
      </c>
      <c r="G180" t="s">
        <v>12</v>
      </c>
      <c r="H180" t="s">
        <v>13</v>
      </c>
      <c r="I180" t="s">
        <v>80</v>
      </c>
    </row>
    <row r="181" spans="1:9">
      <c r="A181" t="s">
        <v>17</v>
      </c>
      <c r="B181">
        <v>9622339.1099999994</v>
      </c>
      <c r="C181" t="s">
        <v>9</v>
      </c>
      <c r="E181" t="s">
        <v>76</v>
      </c>
      <c r="F181" t="s">
        <v>11</v>
      </c>
      <c r="G181" t="s">
        <v>12</v>
      </c>
      <c r="H181" t="s">
        <v>22</v>
      </c>
      <c r="I181" t="s">
        <v>122</v>
      </c>
    </row>
    <row r="182" spans="1:9">
      <c r="A182" t="s">
        <v>17</v>
      </c>
      <c r="B182">
        <v>-0.01</v>
      </c>
      <c r="C182" t="s">
        <v>9</v>
      </c>
      <c r="E182" t="s">
        <v>76</v>
      </c>
      <c r="F182" t="s">
        <v>11</v>
      </c>
      <c r="G182" t="s">
        <v>12</v>
      </c>
      <c r="H182" t="s">
        <v>22</v>
      </c>
      <c r="I182" t="s">
        <v>172</v>
      </c>
    </row>
    <row r="183" spans="1:9">
      <c r="A183" t="s">
        <v>17</v>
      </c>
      <c r="B183">
        <v>84312.38</v>
      </c>
      <c r="C183" t="s">
        <v>9</v>
      </c>
      <c r="D183" t="s">
        <v>15</v>
      </c>
      <c r="E183" t="s">
        <v>76</v>
      </c>
      <c r="F183" t="s">
        <v>11</v>
      </c>
      <c r="G183" t="s">
        <v>12</v>
      </c>
      <c r="H183" t="s">
        <v>13</v>
      </c>
      <c r="I183" t="s">
        <v>89</v>
      </c>
    </row>
    <row r="184" spans="1:9">
      <c r="A184" t="s">
        <v>17</v>
      </c>
      <c r="B184">
        <v>3002174.06</v>
      </c>
      <c r="C184" t="s">
        <v>9</v>
      </c>
      <c r="D184" t="s">
        <v>15</v>
      </c>
      <c r="E184" t="s">
        <v>76</v>
      </c>
      <c r="F184" t="s">
        <v>11</v>
      </c>
      <c r="G184" t="s">
        <v>12</v>
      </c>
      <c r="H184" t="s">
        <v>13</v>
      </c>
      <c r="I184" t="s">
        <v>80</v>
      </c>
    </row>
    <row r="185" spans="1:9">
      <c r="A185" t="s">
        <v>17</v>
      </c>
      <c r="B185">
        <v>4588.1600000000008</v>
      </c>
      <c r="C185" t="s">
        <v>9</v>
      </c>
      <c r="D185" t="s">
        <v>15</v>
      </c>
      <c r="E185" t="s">
        <v>76</v>
      </c>
      <c r="F185" t="s">
        <v>11</v>
      </c>
      <c r="G185" t="s">
        <v>12</v>
      </c>
      <c r="H185" t="s">
        <v>13</v>
      </c>
      <c r="I185" t="s">
        <v>120</v>
      </c>
    </row>
    <row r="186" spans="1:9">
      <c r="A186" t="s">
        <v>17</v>
      </c>
      <c r="B186">
        <v>6635.14</v>
      </c>
      <c r="C186" t="s">
        <v>9</v>
      </c>
      <c r="D186" t="s">
        <v>15</v>
      </c>
      <c r="E186" t="s">
        <v>76</v>
      </c>
      <c r="F186" t="s">
        <v>11</v>
      </c>
      <c r="G186" t="s">
        <v>12</v>
      </c>
      <c r="H186" t="s">
        <v>13</v>
      </c>
      <c r="I186" t="s">
        <v>121</v>
      </c>
    </row>
    <row r="187" spans="1:9">
      <c r="A187" t="s">
        <v>17</v>
      </c>
      <c r="B187">
        <v>20453.930000000004</v>
      </c>
      <c r="C187" t="s">
        <v>9</v>
      </c>
      <c r="D187" t="s">
        <v>15</v>
      </c>
      <c r="E187" t="s">
        <v>76</v>
      </c>
      <c r="F187" t="s">
        <v>11</v>
      </c>
      <c r="G187" t="s">
        <v>12</v>
      </c>
      <c r="H187" t="s">
        <v>22</v>
      </c>
      <c r="I187" t="s">
        <v>77</v>
      </c>
    </row>
    <row r="188" spans="1:9">
      <c r="A188" t="s">
        <v>17</v>
      </c>
      <c r="B188">
        <v>151.15</v>
      </c>
      <c r="C188" t="s">
        <v>9</v>
      </c>
      <c r="D188" t="s">
        <v>15</v>
      </c>
      <c r="E188" t="s">
        <v>76</v>
      </c>
      <c r="F188" t="s">
        <v>11</v>
      </c>
      <c r="G188" t="s">
        <v>12</v>
      </c>
      <c r="H188" t="s">
        <v>22</v>
      </c>
      <c r="I188" t="s">
        <v>129</v>
      </c>
    </row>
    <row r="189" spans="1:9">
      <c r="A189" t="s">
        <v>17</v>
      </c>
      <c r="B189">
        <v>2336.0200000000004</v>
      </c>
      <c r="C189" t="s">
        <v>9</v>
      </c>
      <c r="D189" t="s">
        <v>15</v>
      </c>
      <c r="E189" t="s">
        <v>76</v>
      </c>
      <c r="F189" t="s">
        <v>11</v>
      </c>
      <c r="G189" t="s">
        <v>12</v>
      </c>
      <c r="H189" t="s">
        <v>22</v>
      </c>
      <c r="I189" t="s">
        <v>141</v>
      </c>
    </row>
    <row r="190" spans="1:9">
      <c r="A190" t="s">
        <v>17</v>
      </c>
      <c r="B190">
        <v>556.71</v>
      </c>
      <c r="C190" t="s">
        <v>9</v>
      </c>
      <c r="D190" t="s">
        <v>15</v>
      </c>
      <c r="E190" t="s">
        <v>76</v>
      </c>
      <c r="F190" t="s">
        <v>11</v>
      </c>
      <c r="G190" t="s">
        <v>12</v>
      </c>
      <c r="H190" t="s">
        <v>22</v>
      </c>
      <c r="I190" t="s">
        <v>142</v>
      </c>
    </row>
    <row r="191" spans="1:9">
      <c r="A191" t="s">
        <v>17</v>
      </c>
      <c r="B191">
        <v>8144.0099999999993</v>
      </c>
      <c r="C191" t="s">
        <v>9</v>
      </c>
      <c r="D191" t="s">
        <v>15</v>
      </c>
      <c r="E191" t="s">
        <v>76</v>
      </c>
      <c r="F191" t="s">
        <v>11</v>
      </c>
      <c r="G191" t="s">
        <v>12</v>
      </c>
      <c r="H191" t="s">
        <v>22</v>
      </c>
      <c r="I191" t="s">
        <v>161</v>
      </c>
    </row>
    <row r="192" spans="1:9">
      <c r="A192" t="s">
        <v>17</v>
      </c>
      <c r="B192">
        <v>77463.820000000007</v>
      </c>
      <c r="C192" t="s">
        <v>9</v>
      </c>
      <c r="D192" t="s">
        <v>10</v>
      </c>
      <c r="E192" t="s">
        <v>76</v>
      </c>
      <c r="F192" t="s">
        <v>11</v>
      </c>
      <c r="G192" t="s">
        <v>12</v>
      </c>
      <c r="H192" t="s">
        <v>13</v>
      </c>
      <c r="I192" t="s">
        <v>89</v>
      </c>
    </row>
    <row r="193" spans="1:9">
      <c r="A193" t="s">
        <v>17</v>
      </c>
      <c r="B193">
        <v>426530</v>
      </c>
      <c r="C193" t="s">
        <v>9</v>
      </c>
      <c r="D193" t="s">
        <v>10</v>
      </c>
      <c r="E193" t="s">
        <v>76</v>
      </c>
      <c r="F193" t="s">
        <v>11</v>
      </c>
      <c r="G193" t="s">
        <v>12</v>
      </c>
      <c r="H193" t="s">
        <v>13</v>
      </c>
      <c r="I193" t="s">
        <v>80</v>
      </c>
    </row>
    <row r="194" spans="1:9">
      <c r="A194" t="s">
        <v>17</v>
      </c>
      <c r="B194">
        <v>1197.07</v>
      </c>
      <c r="C194" t="s">
        <v>9</v>
      </c>
      <c r="D194" t="s">
        <v>10</v>
      </c>
      <c r="E194" t="s">
        <v>76</v>
      </c>
      <c r="F194" t="s">
        <v>11</v>
      </c>
      <c r="G194" t="s">
        <v>12</v>
      </c>
      <c r="H194" t="s">
        <v>13</v>
      </c>
      <c r="I194" t="s">
        <v>120</v>
      </c>
    </row>
    <row r="195" spans="1:9">
      <c r="A195" t="s">
        <v>17</v>
      </c>
      <c r="B195">
        <v>16108.869999999994</v>
      </c>
      <c r="C195" t="s">
        <v>9</v>
      </c>
      <c r="D195" t="s">
        <v>10</v>
      </c>
      <c r="E195" t="s">
        <v>76</v>
      </c>
      <c r="F195" t="s">
        <v>11</v>
      </c>
      <c r="G195" t="s">
        <v>12</v>
      </c>
      <c r="H195" t="s">
        <v>13</v>
      </c>
      <c r="I195" t="s">
        <v>121</v>
      </c>
    </row>
    <row r="196" spans="1:9">
      <c r="A196" t="s">
        <v>17</v>
      </c>
      <c r="B196">
        <v>535.34</v>
      </c>
      <c r="C196" t="s">
        <v>9</v>
      </c>
      <c r="D196" t="s">
        <v>10</v>
      </c>
      <c r="E196" t="s">
        <v>76</v>
      </c>
      <c r="F196" t="s">
        <v>11</v>
      </c>
      <c r="G196" t="s">
        <v>12</v>
      </c>
      <c r="H196" t="s">
        <v>22</v>
      </c>
      <c r="I196" t="s">
        <v>77</v>
      </c>
    </row>
    <row r="197" spans="1:9">
      <c r="A197" t="s">
        <v>17</v>
      </c>
      <c r="B197">
        <v>693.82999999999993</v>
      </c>
      <c r="C197" t="s">
        <v>9</v>
      </c>
      <c r="D197" t="s">
        <v>10</v>
      </c>
      <c r="E197" t="s">
        <v>76</v>
      </c>
      <c r="F197" t="s">
        <v>11</v>
      </c>
      <c r="G197" t="s">
        <v>12</v>
      </c>
      <c r="H197" t="s">
        <v>22</v>
      </c>
      <c r="I197" t="s">
        <v>129</v>
      </c>
    </row>
    <row r="198" spans="1:9">
      <c r="A198" t="s">
        <v>17</v>
      </c>
      <c r="B198">
        <v>15.56</v>
      </c>
      <c r="C198" t="s">
        <v>9</v>
      </c>
      <c r="D198" t="s">
        <v>10</v>
      </c>
      <c r="E198" t="s">
        <v>76</v>
      </c>
      <c r="F198" t="s">
        <v>11</v>
      </c>
      <c r="G198" t="s">
        <v>12</v>
      </c>
      <c r="H198" t="s">
        <v>22</v>
      </c>
      <c r="I198" t="s">
        <v>141</v>
      </c>
    </row>
    <row r="199" spans="1:9">
      <c r="A199" t="s">
        <v>17</v>
      </c>
      <c r="B199">
        <v>572.23</v>
      </c>
      <c r="C199" t="s">
        <v>9</v>
      </c>
      <c r="D199" t="s">
        <v>10</v>
      </c>
      <c r="E199" t="s">
        <v>76</v>
      </c>
      <c r="F199" t="s">
        <v>11</v>
      </c>
      <c r="G199" t="s">
        <v>12</v>
      </c>
      <c r="H199" t="s">
        <v>22</v>
      </c>
      <c r="I199" t="s">
        <v>149</v>
      </c>
    </row>
    <row r="200" spans="1:9">
      <c r="A200" t="s">
        <v>17</v>
      </c>
      <c r="B200">
        <v>9466.73</v>
      </c>
      <c r="C200" t="s">
        <v>9</v>
      </c>
      <c r="D200" t="s">
        <v>10</v>
      </c>
      <c r="E200" t="s">
        <v>76</v>
      </c>
      <c r="F200" t="s">
        <v>11</v>
      </c>
      <c r="G200" t="s">
        <v>12</v>
      </c>
      <c r="H200" t="s">
        <v>22</v>
      </c>
      <c r="I200" t="s">
        <v>155</v>
      </c>
    </row>
    <row r="201" spans="1:9">
      <c r="A201" t="s">
        <v>17</v>
      </c>
      <c r="B201">
        <v>3654.3600000000019</v>
      </c>
      <c r="C201" t="s">
        <v>9</v>
      </c>
      <c r="D201" t="s">
        <v>10</v>
      </c>
      <c r="E201" t="s">
        <v>76</v>
      </c>
      <c r="F201" t="s">
        <v>11</v>
      </c>
      <c r="G201" t="s">
        <v>12</v>
      </c>
      <c r="H201" t="s">
        <v>22</v>
      </c>
      <c r="I201" t="s">
        <v>161</v>
      </c>
    </row>
    <row r="202" spans="1:9">
      <c r="A202" t="s">
        <v>17</v>
      </c>
      <c r="B202">
        <v>36915.769999999997</v>
      </c>
      <c r="C202" t="s">
        <v>9</v>
      </c>
      <c r="D202" t="s">
        <v>10</v>
      </c>
      <c r="E202" t="s">
        <v>76</v>
      </c>
      <c r="F202" t="s">
        <v>11</v>
      </c>
      <c r="G202" t="s">
        <v>12</v>
      </c>
      <c r="H202" t="s">
        <v>22</v>
      </c>
      <c r="I202" t="s">
        <v>165</v>
      </c>
    </row>
    <row r="203" spans="1:9">
      <c r="A203" t="s">
        <v>17</v>
      </c>
      <c r="B203">
        <v>58138981.160000004</v>
      </c>
      <c r="C203" t="s">
        <v>24</v>
      </c>
      <c r="E203" t="s">
        <v>76</v>
      </c>
      <c r="F203" t="s">
        <v>11</v>
      </c>
      <c r="G203" t="s">
        <v>12</v>
      </c>
      <c r="H203" t="s">
        <v>13</v>
      </c>
      <c r="I203" t="s">
        <v>91</v>
      </c>
    </row>
    <row r="204" spans="1:9">
      <c r="A204" t="s">
        <v>17</v>
      </c>
      <c r="B204">
        <v>132805196.15999998</v>
      </c>
      <c r="C204" t="s">
        <v>24</v>
      </c>
      <c r="E204" t="s">
        <v>76</v>
      </c>
      <c r="F204" t="s">
        <v>11</v>
      </c>
      <c r="G204" t="s">
        <v>12</v>
      </c>
      <c r="H204" t="s">
        <v>13</v>
      </c>
      <c r="I204" t="s">
        <v>92</v>
      </c>
    </row>
    <row r="205" spans="1:9">
      <c r="A205" t="s">
        <v>17</v>
      </c>
      <c r="B205">
        <v>13445614.67</v>
      </c>
      <c r="C205" t="s">
        <v>24</v>
      </c>
      <c r="E205" t="s">
        <v>76</v>
      </c>
      <c r="F205" t="s">
        <v>11</v>
      </c>
      <c r="G205" t="s">
        <v>12</v>
      </c>
      <c r="H205" t="s">
        <v>13</v>
      </c>
      <c r="I205" t="s">
        <v>100</v>
      </c>
    </row>
    <row r="206" spans="1:9">
      <c r="A206" t="s">
        <v>17</v>
      </c>
      <c r="B206">
        <v>2660.43</v>
      </c>
      <c r="C206" t="s">
        <v>24</v>
      </c>
      <c r="D206" t="s">
        <v>15</v>
      </c>
      <c r="E206" t="s">
        <v>76</v>
      </c>
      <c r="F206" t="s">
        <v>11</v>
      </c>
      <c r="G206" t="s">
        <v>12</v>
      </c>
      <c r="H206" t="s">
        <v>13</v>
      </c>
      <c r="I206" t="s">
        <v>91</v>
      </c>
    </row>
    <row r="207" spans="1:9">
      <c r="A207" t="s">
        <v>17</v>
      </c>
      <c r="B207">
        <v>16055.159999999998</v>
      </c>
      <c r="C207" t="s">
        <v>24</v>
      </c>
      <c r="D207" t="s">
        <v>15</v>
      </c>
      <c r="E207" t="s">
        <v>76</v>
      </c>
      <c r="F207" t="s">
        <v>11</v>
      </c>
      <c r="G207" t="s">
        <v>12</v>
      </c>
      <c r="H207" t="s">
        <v>13</v>
      </c>
      <c r="I207" t="s">
        <v>95</v>
      </c>
    </row>
    <row r="208" spans="1:9">
      <c r="A208" t="s">
        <v>17</v>
      </c>
      <c r="B208">
        <v>2555.4</v>
      </c>
      <c r="C208" t="s">
        <v>24</v>
      </c>
      <c r="D208" t="s">
        <v>15</v>
      </c>
      <c r="E208" t="s">
        <v>76</v>
      </c>
      <c r="F208" t="s">
        <v>11</v>
      </c>
      <c r="G208" t="s">
        <v>12</v>
      </c>
      <c r="H208" t="s">
        <v>13</v>
      </c>
      <c r="I208" t="s">
        <v>78</v>
      </c>
    </row>
    <row r="209" spans="1:9">
      <c r="A209" t="s">
        <v>17</v>
      </c>
      <c r="B209">
        <v>53803.099999999948</v>
      </c>
      <c r="C209" t="s">
        <v>24</v>
      </c>
      <c r="D209" t="s">
        <v>15</v>
      </c>
      <c r="E209" t="s">
        <v>76</v>
      </c>
      <c r="F209" t="s">
        <v>11</v>
      </c>
      <c r="G209" t="s">
        <v>12</v>
      </c>
      <c r="H209" t="s">
        <v>13</v>
      </c>
      <c r="I209" t="s">
        <v>120</v>
      </c>
    </row>
    <row r="210" spans="1:9">
      <c r="A210" t="s">
        <v>17</v>
      </c>
      <c r="B210">
        <v>39784.449999999975</v>
      </c>
      <c r="C210" t="s">
        <v>24</v>
      </c>
      <c r="D210" t="s">
        <v>15</v>
      </c>
      <c r="E210" t="s">
        <v>76</v>
      </c>
      <c r="F210" t="s">
        <v>11</v>
      </c>
      <c r="G210" t="s">
        <v>12</v>
      </c>
      <c r="H210" t="s">
        <v>13</v>
      </c>
      <c r="I210" t="s">
        <v>121</v>
      </c>
    </row>
    <row r="211" spans="1:9">
      <c r="A211" t="s">
        <v>17</v>
      </c>
      <c r="B211">
        <v>35</v>
      </c>
      <c r="C211" t="s">
        <v>24</v>
      </c>
      <c r="D211" t="s">
        <v>15</v>
      </c>
      <c r="E211" t="s">
        <v>76</v>
      </c>
      <c r="F211" t="s">
        <v>11</v>
      </c>
      <c r="G211" t="s">
        <v>12</v>
      </c>
      <c r="H211" t="s">
        <v>13</v>
      </c>
      <c r="I211" t="s">
        <v>79</v>
      </c>
    </row>
    <row r="212" spans="1:9">
      <c r="A212" t="s">
        <v>17</v>
      </c>
      <c r="B212">
        <v>59.86</v>
      </c>
      <c r="C212" t="s">
        <v>24</v>
      </c>
      <c r="D212" t="s">
        <v>15</v>
      </c>
      <c r="E212" t="s">
        <v>76</v>
      </c>
      <c r="F212" t="s">
        <v>11</v>
      </c>
      <c r="G212" t="s">
        <v>12</v>
      </c>
      <c r="H212" t="s">
        <v>22</v>
      </c>
      <c r="I212" t="s">
        <v>125</v>
      </c>
    </row>
    <row r="213" spans="1:9">
      <c r="A213" t="s">
        <v>17</v>
      </c>
      <c r="B213">
        <v>19736.810000000001</v>
      </c>
      <c r="C213" t="s">
        <v>24</v>
      </c>
      <c r="D213" t="s">
        <v>15</v>
      </c>
      <c r="E213" t="s">
        <v>76</v>
      </c>
      <c r="F213" t="s">
        <v>11</v>
      </c>
      <c r="G213" t="s">
        <v>12</v>
      </c>
      <c r="H213" t="s">
        <v>22</v>
      </c>
      <c r="I213" t="s">
        <v>131</v>
      </c>
    </row>
    <row r="214" spans="1:9">
      <c r="A214" t="s">
        <v>17</v>
      </c>
      <c r="B214">
        <v>1545.22</v>
      </c>
      <c r="C214" t="s">
        <v>24</v>
      </c>
      <c r="D214" t="s">
        <v>15</v>
      </c>
      <c r="E214" t="s">
        <v>76</v>
      </c>
      <c r="F214" t="s">
        <v>11</v>
      </c>
      <c r="G214" t="s">
        <v>12</v>
      </c>
      <c r="H214" t="s">
        <v>22</v>
      </c>
      <c r="I214" t="s">
        <v>134</v>
      </c>
    </row>
    <row r="215" spans="1:9">
      <c r="A215" t="s">
        <v>17</v>
      </c>
      <c r="B215">
        <v>135215.33999999997</v>
      </c>
      <c r="C215" t="s">
        <v>24</v>
      </c>
      <c r="D215" t="s">
        <v>15</v>
      </c>
      <c r="E215" t="s">
        <v>76</v>
      </c>
      <c r="F215" t="s">
        <v>11</v>
      </c>
      <c r="G215" t="s">
        <v>12</v>
      </c>
      <c r="H215" t="s">
        <v>22</v>
      </c>
      <c r="I215" t="s">
        <v>137</v>
      </c>
    </row>
    <row r="216" spans="1:9">
      <c r="A216" t="s">
        <v>17</v>
      </c>
      <c r="B216">
        <v>27726.929999999986</v>
      </c>
      <c r="C216" t="s">
        <v>24</v>
      </c>
      <c r="D216" t="s">
        <v>15</v>
      </c>
      <c r="E216" t="s">
        <v>76</v>
      </c>
      <c r="F216" t="s">
        <v>11</v>
      </c>
      <c r="G216" t="s">
        <v>12</v>
      </c>
      <c r="H216" t="s">
        <v>22</v>
      </c>
      <c r="I216" t="s">
        <v>145</v>
      </c>
    </row>
    <row r="217" spans="1:9">
      <c r="A217" t="s">
        <v>17</v>
      </c>
      <c r="B217">
        <v>4313.3599999999997</v>
      </c>
      <c r="C217" t="s">
        <v>24</v>
      </c>
      <c r="D217" t="s">
        <v>15</v>
      </c>
      <c r="E217" t="s">
        <v>76</v>
      </c>
      <c r="F217" t="s">
        <v>11</v>
      </c>
      <c r="G217" t="s">
        <v>12</v>
      </c>
      <c r="H217" t="s">
        <v>22</v>
      </c>
      <c r="I217" t="s">
        <v>146</v>
      </c>
    </row>
    <row r="218" spans="1:9">
      <c r="A218" t="s">
        <v>17</v>
      </c>
      <c r="B218">
        <v>55625.41</v>
      </c>
      <c r="C218" t="s">
        <v>24</v>
      </c>
      <c r="D218" t="s">
        <v>15</v>
      </c>
      <c r="E218" t="s">
        <v>76</v>
      </c>
      <c r="F218" t="s">
        <v>11</v>
      </c>
      <c r="G218" t="s">
        <v>12</v>
      </c>
      <c r="H218" t="s">
        <v>22</v>
      </c>
      <c r="I218" t="s">
        <v>152</v>
      </c>
    </row>
    <row r="219" spans="1:9">
      <c r="A219" t="s">
        <v>17</v>
      </c>
      <c r="B219">
        <v>376150.1599999998</v>
      </c>
      <c r="C219" t="s">
        <v>24</v>
      </c>
      <c r="D219" t="s">
        <v>15</v>
      </c>
      <c r="E219" t="s">
        <v>76</v>
      </c>
      <c r="F219" t="s">
        <v>11</v>
      </c>
      <c r="G219" t="s">
        <v>12</v>
      </c>
      <c r="H219" t="s">
        <v>22</v>
      </c>
      <c r="I219" t="s">
        <v>158</v>
      </c>
    </row>
    <row r="220" spans="1:9">
      <c r="A220" t="s">
        <v>17</v>
      </c>
      <c r="B220">
        <v>2706114.9202268557</v>
      </c>
      <c r="C220" t="s">
        <v>24</v>
      </c>
      <c r="D220" t="s">
        <v>15</v>
      </c>
      <c r="E220" t="s">
        <v>76</v>
      </c>
      <c r="F220" t="s">
        <v>11</v>
      </c>
      <c r="G220" t="s">
        <v>12</v>
      </c>
      <c r="H220" t="s">
        <v>22</v>
      </c>
      <c r="I220" t="s">
        <v>163</v>
      </c>
    </row>
    <row r="221" spans="1:9">
      <c r="A221" t="s">
        <v>17</v>
      </c>
      <c r="B221">
        <v>3292732.2700063353</v>
      </c>
      <c r="C221" t="s">
        <v>24</v>
      </c>
      <c r="D221" t="s">
        <v>15</v>
      </c>
      <c r="E221" t="s">
        <v>76</v>
      </c>
      <c r="F221" t="s">
        <v>11</v>
      </c>
      <c r="G221" t="s">
        <v>12</v>
      </c>
      <c r="H221" t="s">
        <v>22</v>
      </c>
      <c r="I221" t="s">
        <v>168</v>
      </c>
    </row>
    <row r="222" spans="1:9">
      <c r="A222" t="s">
        <v>17</v>
      </c>
      <c r="B222">
        <v>922.67000000000007</v>
      </c>
      <c r="C222" t="s">
        <v>24</v>
      </c>
      <c r="D222" t="s">
        <v>15</v>
      </c>
      <c r="E222" t="s">
        <v>76</v>
      </c>
      <c r="F222" t="s">
        <v>11</v>
      </c>
      <c r="G222" t="s">
        <v>12</v>
      </c>
      <c r="H222" t="s">
        <v>22</v>
      </c>
      <c r="I222" t="s">
        <v>170</v>
      </c>
    </row>
    <row r="223" spans="1:9">
      <c r="A223" t="s">
        <v>17</v>
      </c>
      <c r="B223">
        <v>58925</v>
      </c>
      <c r="C223" t="s">
        <v>24</v>
      </c>
      <c r="D223" t="s">
        <v>10</v>
      </c>
      <c r="E223" t="s">
        <v>76</v>
      </c>
      <c r="F223" t="s">
        <v>11</v>
      </c>
      <c r="G223" t="s">
        <v>12</v>
      </c>
      <c r="H223" t="s">
        <v>13</v>
      </c>
      <c r="I223" t="s">
        <v>91</v>
      </c>
    </row>
    <row r="224" spans="1:9">
      <c r="A224" t="s">
        <v>17</v>
      </c>
      <c r="B224">
        <v>10727.400000000001</v>
      </c>
      <c r="C224" t="s">
        <v>24</v>
      </c>
      <c r="D224" t="s">
        <v>10</v>
      </c>
      <c r="E224" t="s">
        <v>76</v>
      </c>
      <c r="F224" t="s">
        <v>11</v>
      </c>
      <c r="G224" t="s">
        <v>12</v>
      </c>
      <c r="H224" t="s">
        <v>13</v>
      </c>
      <c r="I224" t="s">
        <v>95</v>
      </c>
    </row>
    <row r="225" spans="1:9">
      <c r="A225" t="s">
        <v>17</v>
      </c>
      <c r="B225">
        <v>6</v>
      </c>
      <c r="C225" t="s">
        <v>24</v>
      </c>
      <c r="D225" t="s">
        <v>10</v>
      </c>
      <c r="E225" t="s">
        <v>76</v>
      </c>
      <c r="F225" t="s">
        <v>11</v>
      </c>
      <c r="G225" t="s">
        <v>12</v>
      </c>
      <c r="H225" t="s">
        <v>13</v>
      </c>
      <c r="I225" t="s">
        <v>78</v>
      </c>
    </row>
    <row r="226" spans="1:9">
      <c r="A226" t="s">
        <v>17</v>
      </c>
      <c r="B226">
        <v>10099.959999999997</v>
      </c>
      <c r="C226" t="s">
        <v>24</v>
      </c>
      <c r="D226" t="s">
        <v>10</v>
      </c>
      <c r="E226" t="s">
        <v>76</v>
      </c>
      <c r="F226" t="s">
        <v>11</v>
      </c>
      <c r="G226" t="s">
        <v>12</v>
      </c>
      <c r="H226" t="s">
        <v>13</v>
      </c>
      <c r="I226" t="s">
        <v>120</v>
      </c>
    </row>
    <row r="227" spans="1:9">
      <c r="A227" t="s">
        <v>17</v>
      </c>
      <c r="B227">
        <v>187232.13999999998</v>
      </c>
      <c r="C227" t="s">
        <v>24</v>
      </c>
      <c r="D227" t="s">
        <v>10</v>
      </c>
      <c r="E227" t="s">
        <v>76</v>
      </c>
      <c r="F227" t="s">
        <v>11</v>
      </c>
      <c r="G227" t="s">
        <v>12</v>
      </c>
      <c r="H227" t="s">
        <v>13</v>
      </c>
      <c r="I227" t="s">
        <v>121</v>
      </c>
    </row>
    <row r="228" spans="1:9">
      <c r="A228" t="s">
        <v>17</v>
      </c>
      <c r="B228">
        <v>706.07000000000016</v>
      </c>
      <c r="C228" t="s">
        <v>24</v>
      </c>
      <c r="D228" t="s">
        <v>10</v>
      </c>
      <c r="E228" t="s">
        <v>76</v>
      </c>
      <c r="F228" t="s">
        <v>11</v>
      </c>
      <c r="G228" t="s">
        <v>12</v>
      </c>
      <c r="H228" t="s">
        <v>13</v>
      </c>
      <c r="I228" t="s">
        <v>79</v>
      </c>
    </row>
    <row r="229" spans="1:9">
      <c r="A229" t="s">
        <v>17</v>
      </c>
      <c r="B229">
        <v>3083.57</v>
      </c>
      <c r="C229" t="s">
        <v>24</v>
      </c>
      <c r="D229" t="s">
        <v>10</v>
      </c>
      <c r="E229" t="s">
        <v>76</v>
      </c>
      <c r="F229" t="s">
        <v>11</v>
      </c>
      <c r="G229" t="s">
        <v>12</v>
      </c>
      <c r="H229" t="s">
        <v>22</v>
      </c>
      <c r="I229" t="s">
        <v>131</v>
      </c>
    </row>
    <row r="230" spans="1:9">
      <c r="A230" t="s">
        <v>17</v>
      </c>
      <c r="B230">
        <v>1098.4299999999998</v>
      </c>
      <c r="C230" t="s">
        <v>24</v>
      </c>
      <c r="D230" t="s">
        <v>10</v>
      </c>
      <c r="E230" t="s">
        <v>76</v>
      </c>
      <c r="F230" t="s">
        <v>11</v>
      </c>
      <c r="G230" t="s">
        <v>12</v>
      </c>
      <c r="H230" t="s">
        <v>22</v>
      </c>
      <c r="I230" t="s">
        <v>134</v>
      </c>
    </row>
    <row r="231" spans="1:9">
      <c r="A231" t="s">
        <v>17</v>
      </c>
      <c r="B231">
        <v>5704.14</v>
      </c>
      <c r="C231" t="s">
        <v>24</v>
      </c>
      <c r="D231" t="s">
        <v>10</v>
      </c>
      <c r="E231" t="s">
        <v>76</v>
      </c>
      <c r="F231" t="s">
        <v>11</v>
      </c>
      <c r="G231" t="s">
        <v>12</v>
      </c>
      <c r="H231" t="s">
        <v>22</v>
      </c>
      <c r="I231" t="s">
        <v>137</v>
      </c>
    </row>
    <row r="232" spans="1:9">
      <c r="A232" t="s">
        <v>17</v>
      </c>
      <c r="B232">
        <v>2641.38</v>
      </c>
      <c r="C232" t="s">
        <v>24</v>
      </c>
      <c r="D232" t="s">
        <v>10</v>
      </c>
      <c r="E232" t="s">
        <v>76</v>
      </c>
      <c r="F232" t="s">
        <v>11</v>
      </c>
      <c r="G232" t="s">
        <v>12</v>
      </c>
      <c r="H232" t="s">
        <v>22</v>
      </c>
      <c r="I232" t="s">
        <v>145</v>
      </c>
    </row>
    <row r="233" spans="1:9">
      <c r="A233" t="s">
        <v>17</v>
      </c>
      <c r="B233">
        <v>43.230000000000004</v>
      </c>
      <c r="C233" t="s">
        <v>24</v>
      </c>
      <c r="D233" t="s">
        <v>10</v>
      </c>
      <c r="E233" t="s">
        <v>76</v>
      </c>
      <c r="F233" t="s">
        <v>11</v>
      </c>
      <c r="G233" t="s">
        <v>12</v>
      </c>
      <c r="H233" t="s">
        <v>22</v>
      </c>
      <c r="I233" t="s">
        <v>146</v>
      </c>
    </row>
    <row r="234" spans="1:9">
      <c r="A234" t="s">
        <v>17</v>
      </c>
      <c r="B234">
        <v>4225.3200000000006</v>
      </c>
      <c r="C234" t="s">
        <v>24</v>
      </c>
      <c r="D234" t="s">
        <v>10</v>
      </c>
      <c r="E234" t="s">
        <v>76</v>
      </c>
      <c r="F234" t="s">
        <v>11</v>
      </c>
      <c r="G234" t="s">
        <v>12</v>
      </c>
      <c r="H234" t="s">
        <v>22</v>
      </c>
      <c r="I234" t="s">
        <v>152</v>
      </c>
    </row>
    <row r="235" spans="1:9">
      <c r="A235" t="s">
        <v>17</v>
      </c>
      <c r="B235">
        <v>117831.40000000004</v>
      </c>
      <c r="C235" t="s">
        <v>24</v>
      </c>
      <c r="D235" t="s">
        <v>10</v>
      </c>
      <c r="E235" t="s">
        <v>76</v>
      </c>
      <c r="F235" t="s">
        <v>11</v>
      </c>
      <c r="G235" t="s">
        <v>12</v>
      </c>
      <c r="H235" t="s">
        <v>22</v>
      </c>
      <c r="I235" t="s">
        <v>158</v>
      </c>
    </row>
    <row r="236" spans="1:9">
      <c r="A236" t="s">
        <v>17</v>
      </c>
      <c r="B236">
        <v>80649.640001998589</v>
      </c>
      <c r="C236" t="s">
        <v>24</v>
      </c>
      <c r="D236" t="s">
        <v>10</v>
      </c>
      <c r="E236" t="s">
        <v>76</v>
      </c>
      <c r="F236" t="s">
        <v>11</v>
      </c>
      <c r="G236" t="s">
        <v>12</v>
      </c>
      <c r="H236" t="s">
        <v>22</v>
      </c>
      <c r="I236" t="s">
        <v>163</v>
      </c>
    </row>
    <row r="237" spans="1:9">
      <c r="A237" t="s">
        <v>17</v>
      </c>
      <c r="B237">
        <v>78940.300000000236</v>
      </c>
      <c r="C237" t="s">
        <v>24</v>
      </c>
      <c r="D237" t="s">
        <v>10</v>
      </c>
      <c r="E237" t="s">
        <v>76</v>
      </c>
      <c r="F237" t="s">
        <v>11</v>
      </c>
      <c r="G237" t="s">
        <v>12</v>
      </c>
      <c r="H237" t="s">
        <v>22</v>
      </c>
      <c r="I237" t="s">
        <v>168</v>
      </c>
    </row>
    <row r="238" spans="1:9">
      <c r="A238" t="s">
        <v>17</v>
      </c>
      <c r="B238">
        <v>3.0000000000000002E-2</v>
      </c>
      <c r="C238" t="s">
        <v>24</v>
      </c>
      <c r="D238" t="s">
        <v>10</v>
      </c>
      <c r="E238" t="s">
        <v>76</v>
      </c>
      <c r="F238" t="s">
        <v>11</v>
      </c>
      <c r="G238" t="s">
        <v>12</v>
      </c>
      <c r="H238" t="s">
        <v>22</v>
      </c>
      <c r="I238" t="s">
        <v>170</v>
      </c>
    </row>
    <row r="239" spans="1:9">
      <c r="A239" t="s">
        <v>17</v>
      </c>
      <c r="B239">
        <v>481336.25</v>
      </c>
      <c r="C239" t="s">
        <v>25</v>
      </c>
      <c r="E239" t="s">
        <v>76</v>
      </c>
      <c r="F239" t="s">
        <v>11</v>
      </c>
      <c r="G239" t="s">
        <v>12</v>
      </c>
      <c r="H239" t="s">
        <v>13</v>
      </c>
      <c r="I239" t="s">
        <v>97</v>
      </c>
    </row>
    <row r="240" spans="1:9">
      <c r="A240" t="s">
        <v>17</v>
      </c>
      <c r="B240">
        <v>117784.6</v>
      </c>
      <c r="C240" t="s">
        <v>25</v>
      </c>
      <c r="E240" t="s">
        <v>76</v>
      </c>
      <c r="F240" t="s">
        <v>11</v>
      </c>
      <c r="G240" t="s">
        <v>12</v>
      </c>
      <c r="H240" t="s">
        <v>13</v>
      </c>
      <c r="I240" t="s">
        <v>102</v>
      </c>
    </row>
    <row r="241" spans="1:9">
      <c r="A241" t="s">
        <v>17</v>
      </c>
      <c r="B241">
        <v>15482.33</v>
      </c>
      <c r="C241" t="s">
        <v>25</v>
      </c>
      <c r="E241" t="s">
        <v>76</v>
      </c>
      <c r="F241" t="s">
        <v>11</v>
      </c>
      <c r="G241" t="s">
        <v>12</v>
      </c>
      <c r="H241" t="s">
        <v>13</v>
      </c>
      <c r="I241" t="s">
        <v>103</v>
      </c>
    </row>
    <row r="242" spans="1:9">
      <c r="A242" t="s">
        <v>17</v>
      </c>
      <c r="B242">
        <v>168478.50999999998</v>
      </c>
      <c r="C242" t="s">
        <v>25</v>
      </c>
      <c r="D242" t="s">
        <v>15</v>
      </c>
      <c r="E242" t="s">
        <v>76</v>
      </c>
      <c r="F242" t="s">
        <v>11</v>
      </c>
      <c r="G242" t="s">
        <v>12</v>
      </c>
      <c r="H242" t="s">
        <v>13</v>
      </c>
      <c r="I242" t="s">
        <v>88</v>
      </c>
    </row>
    <row r="243" spans="1:9">
      <c r="A243" t="s">
        <v>17</v>
      </c>
      <c r="B243">
        <v>7399.7299999999923</v>
      </c>
      <c r="C243" t="s">
        <v>25</v>
      </c>
      <c r="D243" t="s">
        <v>15</v>
      </c>
      <c r="E243" t="s">
        <v>76</v>
      </c>
      <c r="F243" t="s">
        <v>11</v>
      </c>
      <c r="G243" t="s">
        <v>12</v>
      </c>
      <c r="H243" t="s">
        <v>13</v>
      </c>
      <c r="I243" t="s">
        <v>120</v>
      </c>
    </row>
    <row r="244" spans="1:9">
      <c r="A244" t="s">
        <v>17</v>
      </c>
      <c r="B244">
        <v>6997.8099999999995</v>
      </c>
      <c r="C244" t="s">
        <v>25</v>
      </c>
      <c r="D244" t="s">
        <v>15</v>
      </c>
      <c r="E244" t="s">
        <v>76</v>
      </c>
      <c r="F244" t="s">
        <v>11</v>
      </c>
      <c r="G244" t="s">
        <v>12</v>
      </c>
      <c r="H244" t="s">
        <v>13</v>
      </c>
      <c r="I244" t="s">
        <v>121</v>
      </c>
    </row>
    <row r="245" spans="1:9">
      <c r="A245" t="s">
        <v>17</v>
      </c>
      <c r="B245">
        <v>1009.7899999999998</v>
      </c>
      <c r="C245" t="s">
        <v>25</v>
      </c>
      <c r="D245" t="s">
        <v>15</v>
      </c>
      <c r="E245" t="s">
        <v>76</v>
      </c>
      <c r="F245" t="s">
        <v>11</v>
      </c>
      <c r="G245" t="s">
        <v>12</v>
      </c>
      <c r="H245" t="s">
        <v>22</v>
      </c>
      <c r="I245" t="s">
        <v>128</v>
      </c>
    </row>
    <row r="246" spans="1:9">
      <c r="A246" t="s">
        <v>17</v>
      </c>
      <c r="B246">
        <v>157.25</v>
      </c>
      <c r="C246" t="s">
        <v>25</v>
      </c>
      <c r="D246" t="s">
        <v>15</v>
      </c>
      <c r="E246" t="s">
        <v>76</v>
      </c>
      <c r="F246" t="s">
        <v>11</v>
      </c>
      <c r="G246" t="s">
        <v>12</v>
      </c>
      <c r="H246" t="s">
        <v>22</v>
      </c>
      <c r="I246" t="s">
        <v>132</v>
      </c>
    </row>
    <row r="247" spans="1:9">
      <c r="A247" t="s">
        <v>17</v>
      </c>
      <c r="B247">
        <v>175.40999999999991</v>
      </c>
      <c r="C247" t="s">
        <v>25</v>
      </c>
      <c r="D247" t="s">
        <v>15</v>
      </c>
      <c r="E247" t="s">
        <v>76</v>
      </c>
      <c r="F247" t="s">
        <v>11</v>
      </c>
      <c r="G247" t="s">
        <v>12</v>
      </c>
      <c r="H247" t="s">
        <v>22</v>
      </c>
      <c r="I247" t="s">
        <v>140</v>
      </c>
    </row>
    <row r="248" spans="1:9">
      <c r="A248" t="s">
        <v>17</v>
      </c>
      <c r="B248">
        <v>4.87</v>
      </c>
      <c r="C248" t="s">
        <v>25</v>
      </c>
      <c r="D248" t="s">
        <v>15</v>
      </c>
      <c r="E248" t="s">
        <v>76</v>
      </c>
      <c r="F248" t="s">
        <v>11</v>
      </c>
      <c r="G248" t="s">
        <v>12</v>
      </c>
      <c r="H248" t="s">
        <v>22</v>
      </c>
      <c r="I248" t="s">
        <v>148</v>
      </c>
    </row>
    <row r="249" spans="1:9">
      <c r="A249" t="s">
        <v>17</v>
      </c>
      <c r="B249">
        <v>1351.5100000000002</v>
      </c>
      <c r="C249" t="s">
        <v>25</v>
      </c>
      <c r="D249" t="s">
        <v>15</v>
      </c>
      <c r="E249" t="s">
        <v>76</v>
      </c>
      <c r="F249" t="s">
        <v>11</v>
      </c>
      <c r="G249" t="s">
        <v>12</v>
      </c>
      <c r="H249" t="s">
        <v>22</v>
      </c>
      <c r="I249" t="s">
        <v>160</v>
      </c>
    </row>
    <row r="250" spans="1:9">
      <c r="A250" t="s">
        <v>17</v>
      </c>
      <c r="B250">
        <v>329947.34000000003</v>
      </c>
      <c r="C250" t="s">
        <v>25</v>
      </c>
      <c r="D250" t="s">
        <v>10</v>
      </c>
      <c r="E250" t="s">
        <v>76</v>
      </c>
      <c r="F250" t="s">
        <v>11</v>
      </c>
      <c r="G250" t="s">
        <v>12</v>
      </c>
      <c r="H250" t="s">
        <v>13</v>
      </c>
      <c r="I250" t="s">
        <v>88</v>
      </c>
    </row>
    <row r="251" spans="1:9">
      <c r="A251" t="s">
        <v>17</v>
      </c>
      <c r="B251">
        <v>211.85</v>
      </c>
      <c r="C251" t="s">
        <v>25</v>
      </c>
      <c r="D251" t="s">
        <v>10</v>
      </c>
      <c r="E251" t="s">
        <v>76</v>
      </c>
      <c r="F251" t="s">
        <v>11</v>
      </c>
      <c r="G251" t="s">
        <v>12</v>
      </c>
      <c r="H251" t="s">
        <v>13</v>
      </c>
      <c r="I251" t="s">
        <v>120</v>
      </c>
    </row>
    <row r="252" spans="1:9">
      <c r="A252" t="s">
        <v>17</v>
      </c>
      <c r="B252">
        <v>57.64</v>
      </c>
      <c r="C252" t="s">
        <v>25</v>
      </c>
      <c r="D252" t="s">
        <v>10</v>
      </c>
      <c r="E252" t="s">
        <v>76</v>
      </c>
      <c r="F252" t="s">
        <v>11</v>
      </c>
      <c r="G252" t="s">
        <v>12</v>
      </c>
      <c r="H252" t="s">
        <v>22</v>
      </c>
      <c r="I252" t="s">
        <v>128</v>
      </c>
    </row>
    <row r="253" spans="1:9">
      <c r="A253" t="s">
        <v>17</v>
      </c>
      <c r="B253">
        <v>145.86000000000001</v>
      </c>
      <c r="C253" t="s">
        <v>25</v>
      </c>
      <c r="D253" t="s">
        <v>10</v>
      </c>
      <c r="E253" t="s">
        <v>76</v>
      </c>
      <c r="F253" t="s">
        <v>11</v>
      </c>
      <c r="G253" t="s">
        <v>12</v>
      </c>
      <c r="H253" t="s">
        <v>22</v>
      </c>
      <c r="I253" t="s">
        <v>140</v>
      </c>
    </row>
    <row r="254" spans="1:9">
      <c r="A254" t="s">
        <v>17</v>
      </c>
      <c r="B254">
        <v>194.03999999999996</v>
      </c>
      <c r="C254" t="s">
        <v>25</v>
      </c>
      <c r="D254" t="s">
        <v>10</v>
      </c>
      <c r="E254" t="s">
        <v>76</v>
      </c>
      <c r="F254" t="s">
        <v>11</v>
      </c>
      <c r="G254" t="s">
        <v>12</v>
      </c>
      <c r="H254" t="s">
        <v>22</v>
      </c>
      <c r="I254" t="s">
        <v>160</v>
      </c>
    </row>
    <row r="255" spans="1:9">
      <c r="A255" t="s">
        <v>17</v>
      </c>
      <c r="B255">
        <v>21.45</v>
      </c>
      <c r="C255" t="s">
        <v>25</v>
      </c>
      <c r="D255" t="s">
        <v>10</v>
      </c>
      <c r="E255" t="s">
        <v>76</v>
      </c>
      <c r="F255" t="s">
        <v>11</v>
      </c>
      <c r="G255" t="s">
        <v>12</v>
      </c>
      <c r="H255" t="s">
        <v>22</v>
      </c>
      <c r="I255" t="s">
        <v>164</v>
      </c>
    </row>
    <row r="256" spans="1:9">
      <c r="A256" t="s">
        <v>26</v>
      </c>
      <c r="B256">
        <v>2451.7314919999999</v>
      </c>
      <c r="D256" t="s">
        <v>10</v>
      </c>
      <c r="E256" t="s">
        <v>76</v>
      </c>
      <c r="F256" t="s">
        <v>11</v>
      </c>
      <c r="G256" t="s">
        <v>12</v>
      </c>
      <c r="H256" t="s">
        <v>13</v>
      </c>
      <c r="I256" t="s">
        <v>78</v>
      </c>
    </row>
    <row r="257" spans="1:9">
      <c r="A257" t="s">
        <v>26</v>
      </c>
      <c r="B257">
        <v>0.243729</v>
      </c>
      <c r="D257" t="s">
        <v>10</v>
      </c>
      <c r="E257" t="s">
        <v>76</v>
      </c>
      <c r="F257" t="s">
        <v>11</v>
      </c>
      <c r="G257" t="s">
        <v>12</v>
      </c>
      <c r="H257" t="s">
        <v>13</v>
      </c>
      <c r="I257" t="s">
        <v>79</v>
      </c>
    </row>
    <row r="258" spans="1:9">
      <c r="A258" t="s">
        <v>26</v>
      </c>
      <c r="B258">
        <v>73118.716360000006</v>
      </c>
      <c r="C258" t="s">
        <v>9</v>
      </c>
      <c r="D258" t="s">
        <v>15</v>
      </c>
      <c r="E258" t="s">
        <v>76</v>
      </c>
      <c r="F258" t="s">
        <v>11</v>
      </c>
      <c r="G258" t="s">
        <v>12</v>
      </c>
      <c r="H258" t="s">
        <v>13</v>
      </c>
      <c r="I258" t="s">
        <v>80</v>
      </c>
    </row>
    <row r="259" spans="1:9">
      <c r="A259" t="s">
        <v>26</v>
      </c>
      <c r="B259">
        <v>85.112217000000001</v>
      </c>
      <c r="C259" t="s">
        <v>9</v>
      </c>
      <c r="D259" t="s">
        <v>15</v>
      </c>
      <c r="E259" t="s">
        <v>76</v>
      </c>
      <c r="F259" t="s">
        <v>11</v>
      </c>
      <c r="G259" t="s">
        <v>12</v>
      </c>
      <c r="H259" t="s">
        <v>22</v>
      </c>
      <c r="I259" t="s">
        <v>77</v>
      </c>
    </row>
    <row r="260" spans="1:9">
      <c r="A260" t="s">
        <v>27</v>
      </c>
      <c r="B260">
        <v>2045524.4845710001</v>
      </c>
      <c r="C260" t="s">
        <v>9</v>
      </c>
      <c r="D260" t="s">
        <v>15</v>
      </c>
      <c r="E260" t="s">
        <v>76</v>
      </c>
      <c r="F260" t="s">
        <v>11</v>
      </c>
      <c r="G260" t="s">
        <v>12</v>
      </c>
      <c r="H260" t="s">
        <v>13</v>
      </c>
      <c r="I260" t="s">
        <v>80</v>
      </c>
    </row>
    <row r="261" spans="1:9">
      <c r="A261" t="s">
        <v>27</v>
      </c>
      <c r="B261">
        <v>89933.172187999997</v>
      </c>
      <c r="C261" t="s">
        <v>9</v>
      </c>
      <c r="D261" t="s">
        <v>10</v>
      </c>
      <c r="E261" t="s">
        <v>76</v>
      </c>
      <c r="F261" t="s">
        <v>11</v>
      </c>
      <c r="G261" t="s">
        <v>12</v>
      </c>
      <c r="H261" t="s">
        <v>13</v>
      </c>
      <c r="I261" t="s">
        <v>80</v>
      </c>
    </row>
    <row r="262" spans="1:9">
      <c r="A262" t="s">
        <v>28</v>
      </c>
      <c r="B262">
        <v>112.748469</v>
      </c>
      <c r="D262" t="s">
        <v>15</v>
      </c>
      <c r="E262" t="s">
        <v>76</v>
      </c>
      <c r="F262" t="s">
        <v>11</v>
      </c>
      <c r="G262" t="s">
        <v>12</v>
      </c>
      <c r="H262" t="s">
        <v>13</v>
      </c>
      <c r="I262" t="s">
        <v>78</v>
      </c>
    </row>
    <row r="263" spans="1:9">
      <c r="A263" t="s">
        <v>28</v>
      </c>
      <c r="B263">
        <v>2169.4384</v>
      </c>
      <c r="D263" t="s">
        <v>15</v>
      </c>
      <c r="E263" t="s">
        <v>76</v>
      </c>
      <c r="F263" t="s">
        <v>11</v>
      </c>
      <c r="G263" t="s">
        <v>12</v>
      </c>
      <c r="H263" t="s">
        <v>13</v>
      </c>
      <c r="I263" t="s">
        <v>79</v>
      </c>
    </row>
    <row r="264" spans="1:9">
      <c r="A264" t="s">
        <v>28</v>
      </c>
      <c r="B264">
        <v>942.67867799999999</v>
      </c>
      <c r="D264" t="s">
        <v>10</v>
      </c>
      <c r="E264" t="s">
        <v>76</v>
      </c>
      <c r="F264" t="s">
        <v>11</v>
      </c>
      <c r="G264" t="s">
        <v>12</v>
      </c>
      <c r="H264" t="s">
        <v>13</v>
      </c>
      <c r="I264" t="s">
        <v>78</v>
      </c>
    </row>
    <row r="265" spans="1:9">
      <c r="A265" t="s">
        <v>28</v>
      </c>
      <c r="B265">
        <v>272.15225599999997</v>
      </c>
      <c r="D265" t="s">
        <v>10</v>
      </c>
      <c r="E265" t="s">
        <v>76</v>
      </c>
      <c r="F265" t="s">
        <v>11</v>
      </c>
      <c r="G265" t="s">
        <v>12</v>
      </c>
      <c r="H265" t="s">
        <v>13</v>
      </c>
      <c r="I265" t="s">
        <v>79</v>
      </c>
    </row>
    <row r="266" spans="1:9">
      <c r="A266" t="s">
        <v>28</v>
      </c>
      <c r="B266">
        <v>107605.45928099999</v>
      </c>
      <c r="C266" t="s">
        <v>9</v>
      </c>
      <c r="D266" t="s">
        <v>15</v>
      </c>
      <c r="E266" t="s">
        <v>76</v>
      </c>
      <c r="F266" t="s">
        <v>11</v>
      </c>
      <c r="G266" t="s">
        <v>12</v>
      </c>
      <c r="H266" t="s">
        <v>13</v>
      </c>
      <c r="I266" t="s">
        <v>80</v>
      </c>
    </row>
    <row r="267" spans="1:9">
      <c r="A267" t="s">
        <v>28</v>
      </c>
      <c r="B267">
        <v>1109.388565</v>
      </c>
      <c r="C267" t="s">
        <v>9</v>
      </c>
      <c r="D267" t="s">
        <v>15</v>
      </c>
      <c r="E267" t="s">
        <v>76</v>
      </c>
      <c r="F267" t="s">
        <v>11</v>
      </c>
      <c r="G267" t="s">
        <v>12</v>
      </c>
      <c r="H267" t="s">
        <v>22</v>
      </c>
      <c r="I267" t="s">
        <v>77</v>
      </c>
    </row>
    <row r="268" spans="1:9">
      <c r="A268" t="s">
        <v>28</v>
      </c>
      <c r="B268">
        <v>125015.502915</v>
      </c>
      <c r="C268" t="s">
        <v>9</v>
      </c>
      <c r="D268" t="s">
        <v>10</v>
      </c>
      <c r="E268" t="s">
        <v>76</v>
      </c>
      <c r="F268" t="s">
        <v>11</v>
      </c>
      <c r="G268" t="s">
        <v>12</v>
      </c>
      <c r="H268" t="s">
        <v>13</v>
      </c>
      <c r="I268" t="s">
        <v>80</v>
      </c>
    </row>
    <row r="269" spans="1:9">
      <c r="A269" t="s">
        <v>28</v>
      </c>
      <c r="B269">
        <v>98.835307999999998</v>
      </c>
      <c r="C269" t="s">
        <v>9</v>
      </c>
      <c r="D269" t="s">
        <v>10</v>
      </c>
      <c r="E269" t="s">
        <v>76</v>
      </c>
      <c r="F269" t="s">
        <v>11</v>
      </c>
      <c r="G269" t="s">
        <v>12</v>
      </c>
      <c r="H269" t="s">
        <v>22</v>
      </c>
      <c r="I269" t="s">
        <v>77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S275"/>
  <sheetViews>
    <sheetView showGridLines="0" tabSelected="1" workbookViewId="0">
      <pane xSplit="3" ySplit="7" topLeftCell="D8" activePane="bottomRight" state="frozen"/>
      <selection activeCell="D17" sqref="D17"/>
      <selection pane="topRight" activeCell="D17" sqref="D17"/>
      <selection pane="bottomLeft" activeCell="D17" sqref="D17"/>
      <selection pane="bottomRight" activeCell="D8" sqref="D8"/>
    </sheetView>
  </sheetViews>
  <sheetFormatPr defaultColWidth="9.140625" defaultRowHeight="15"/>
  <cols>
    <col min="1" max="1" width="5.5703125" style="3" customWidth="1"/>
    <col min="2" max="2" width="25.5703125" style="3" customWidth="1"/>
    <col min="3" max="3" width="3.85546875" style="3" bestFit="1" customWidth="1"/>
    <col min="4" max="18" width="20.5703125" style="3" customWidth="1"/>
    <col min="19" max="19" width="25.5703125" style="2" customWidth="1"/>
    <col min="20" max="16384" width="9.140625" style="3"/>
  </cols>
  <sheetData>
    <row r="1" spans="1:19">
      <c r="A1" s="19" t="s">
        <v>29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4" spans="1:19">
      <c r="D4" s="21" t="s">
        <v>30</v>
      </c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</row>
    <row r="5" spans="1:19">
      <c r="D5" s="4" t="s">
        <v>31</v>
      </c>
      <c r="E5" s="22" t="s">
        <v>32</v>
      </c>
      <c r="F5" s="23"/>
      <c r="G5" s="22" t="s">
        <v>33</v>
      </c>
      <c r="H5" s="24"/>
      <c r="I5" s="24"/>
      <c r="J5" s="24"/>
      <c r="K5" s="24"/>
      <c r="L5" s="24"/>
      <c r="M5" s="24"/>
      <c r="N5" s="24"/>
      <c r="O5" s="24"/>
      <c r="P5" s="24"/>
      <c r="Q5" s="24"/>
      <c r="R5" s="23"/>
      <c r="S5" s="25"/>
    </row>
    <row r="6" spans="1:19" ht="60">
      <c r="D6" s="5"/>
      <c r="E6" s="6" t="s">
        <v>5</v>
      </c>
      <c r="F6" s="6" t="s">
        <v>34</v>
      </c>
      <c r="G6" s="6" t="s">
        <v>6</v>
      </c>
      <c r="H6" s="6" t="s">
        <v>35</v>
      </c>
      <c r="I6" s="6" t="s">
        <v>36</v>
      </c>
      <c r="J6" s="6" t="s">
        <v>37</v>
      </c>
      <c r="K6" s="6" t="s">
        <v>38</v>
      </c>
      <c r="L6" s="6" t="s">
        <v>39</v>
      </c>
      <c r="M6" s="6" t="s">
        <v>40</v>
      </c>
      <c r="N6" s="6" t="s">
        <v>41</v>
      </c>
      <c r="O6" s="6" t="s">
        <v>42</v>
      </c>
      <c r="P6" s="6" t="s">
        <v>43</v>
      </c>
      <c r="Q6" s="6" t="s">
        <v>44</v>
      </c>
      <c r="R6" s="6" t="s">
        <v>45</v>
      </c>
      <c r="S6" s="25"/>
    </row>
    <row r="7" spans="1:19" ht="15.75" thickBot="1">
      <c r="D7" s="7" t="s">
        <v>46</v>
      </c>
      <c r="E7" s="7" t="s">
        <v>47</v>
      </c>
      <c r="F7" s="7" t="s">
        <v>48</v>
      </c>
      <c r="G7" s="7" t="s">
        <v>49</v>
      </c>
      <c r="H7" s="7" t="s">
        <v>50</v>
      </c>
      <c r="I7" s="7" t="s">
        <v>51</v>
      </c>
      <c r="J7" s="7" t="s">
        <v>52</v>
      </c>
      <c r="K7" s="7" t="s">
        <v>53</v>
      </c>
      <c r="L7" s="7" t="s">
        <v>54</v>
      </c>
      <c r="M7" s="7" t="s">
        <v>55</v>
      </c>
      <c r="N7" s="7" t="s">
        <v>56</v>
      </c>
      <c r="O7" s="7" t="s">
        <v>57</v>
      </c>
      <c r="P7" s="7" t="s">
        <v>58</v>
      </c>
      <c r="Q7" s="7" t="s">
        <v>59</v>
      </c>
      <c r="R7" s="7" t="s">
        <v>60</v>
      </c>
    </row>
    <row r="8" spans="1:19" ht="36.75" thickBot="1">
      <c r="A8" s="8" t="s">
        <v>61</v>
      </c>
      <c r="B8" s="9" t="s">
        <v>62</v>
      </c>
      <c r="C8" s="10" t="s">
        <v>63</v>
      </c>
      <c r="D8" s="11">
        <v>1</v>
      </c>
      <c r="E8" s="11" t="str">
        <f>'Other non-financial'!F2</f>
        <v>r0390 - Non-financial liabilities</v>
      </c>
      <c r="F8" s="11" t="str">
        <f>IF(E8="r0170 - Employee liabilities (BRRD art. 44/2/g/i)","c001x   - Households",IF('Other non-financial'!C2="particulares","c001x   - Households",IF('Other non-financial'!C2="outras instituicoes financeiras","c005x   - Other financial corporations",IF('Other non-financial'!C2="instituicoes de credito","c004x   - Institutions",IF(AND('Other non-financial'!C2="outras empresas nao financeiras",'Other non-financial'!D2="1"),"c002x   - Micro &amp; SME",IF(AND('Other non-financial'!C2="outras empresas nao financeiras",'Other non-financial'!D2&lt;&gt;"1"),"c003x   - Corporates",IF('Other non-financial'!C2="","c010x   - Non-identified, not listed on an exchange platform",IF(OR('Other non-financial'!C2="setor publico",'Other non-financial'!C2="bancos centrais"),"c008x   - Government, central banks &amp; supranationals",""))))))))</f>
        <v>c005x   - Other financial corporations</v>
      </c>
      <c r="G8" s="11" t="str">
        <f>'Other non-financial'!G2</f>
        <v>Rank 9 - Ranking in insolvency (master scale)</v>
      </c>
      <c r="H8" s="11">
        <v>0</v>
      </c>
      <c r="I8" s="11">
        <v>0</v>
      </c>
      <c r="J8" s="11" t="s">
        <v>64</v>
      </c>
      <c r="K8" s="14" t="s">
        <v>65</v>
      </c>
      <c r="L8" s="11" t="str">
        <f>'Other non-financial'!H2</f>
        <v>Provisions. Off-balance sheet exposures subject to credit risk</v>
      </c>
      <c r="M8" s="12">
        <f>'Other non-financial'!B2</f>
        <v>8.9899999999999995E-4</v>
      </c>
      <c r="N8" s="11" t="str">
        <f>'Other non-financial'!A2</f>
        <v>COROA SUECA</v>
      </c>
      <c r="O8" s="11" t="str">
        <f>'Other non-financial'!E2</f>
        <v>2022-12-31</v>
      </c>
      <c r="P8" s="15">
        <v>72716</v>
      </c>
      <c r="Q8" s="11" t="s">
        <v>66</v>
      </c>
      <c r="R8" s="11">
        <v>0</v>
      </c>
      <c r="S8" s="13"/>
    </row>
    <row r="9" spans="1:19" ht="60.75" thickBot="1">
      <c r="C9" s="10" t="s">
        <v>63</v>
      </c>
      <c r="D9" s="11">
        <v>2</v>
      </c>
      <c r="E9" s="11" t="str">
        <f>'Other non-financial'!F3</f>
        <v>r0390 - Non-financial liabilities</v>
      </c>
      <c r="F9" s="11" t="str">
        <f>IF(E9="r0170 - Employee liabilities (BRRD art. 44/2/g/i)","c001x   - Households",IF('Other non-financial'!C3="particulares","c001x   - Households",IF('Other non-financial'!C3="outras instituicoes financeiras","c005x   - Other financial corporations",IF('Other non-financial'!C3="instituicoes de credito","c004x   - Institutions",IF(AND('Other non-financial'!C3="outras empresas nao financeiras",'Other non-financial'!D3="1"),"c002x   - Micro &amp; SME",IF(AND('Other non-financial'!C3="outras empresas nao financeiras",'Other non-financial'!D3&lt;&gt;"1"),"c003x   - Corporates",IF('Other non-financial'!C3="","c010x   - Non-identified, not listed on an exchange platform",IF(OR('Other non-financial'!C3="setor publico",'Other non-financial'!C3="bancos centrais"),"c008x   - Government, central banks &amp; supranationals",""))))))))</f>
        <v>c010x   - Non-identified, not listed on an exchange platform</v>
      </c>
      <c r="G9" s="11" t="str">
        <f>'Other non-financial'!G3</f>
        <v>Rank 9 - Ranking in insolvency (master scale)</v>
      </c>
      <c r="H9" s="11">
        <v>0</v>
      </c>
      <c r="I9" s="11">
        <v>0</v>
      </c>
      <c r="J9" s="11" t="s">
        <v>64</v>
      </c>
      <c r="K9" s="14" t="s">
        <v>65</v>
      </c>
      <c r="L9" s="11" t="str">
        <f>'Other non-financial'!H3</f>
        <v>Liabilities other than financial liabilities, provisions, tax liabilities, deferred income</v>
      </c>
      <c r="M9" s="12">
        <f>'Other non-financial'!B3</f>
        <v>8105.8316159999995</v>
      </c>
      <c r="N9" s="11" t="str">
        <f>'Other non-financial'!A3</f>
        <v>DOLAR AMERICANO</v>
      </c>
      <c r="O9" s="11" t="str">
        <f>'Other non-financial'!E3</f>
        <v>2022-12-31</v>
      </c>
      <c r="P9" s="15">
        <v>72716</v>
      </c>
      <c r="Q9" s="11" t="s">
        <v>66</v>
      </c>
      <c r="R9" s="11">
        <v>0</v>
      </c>
    </row>
    <row r="10" spans="1:19" ht="60.75" thickBot="1">
      <c r="C10" s="10" t="s">
        <v>63</v>
      </c>
      <c r="D10" s="11">
        <v>3</v>
      </c>
      <c r="E10" s="11" t="str">
        <f>'Other non-financial'!F4</f>
        <v>r0390 - Non-financial liabilities</v>
      </c>
      <c r="F10" s="11" t="str">
        <f>IF(E10="r0170 - Employee liabilities (BRRD art. 44/2/g/i)","c001x   - Households",IF('Other non-financial'!C4="particulares","c001x   - Households",IF('Other non-financial'!C4="outras instituicoes financeiras","c005x   - Other financial corporations",IF('Other non-financial'!C4="instituicoes de credito","c004x   - Institutions",IF(AND('Other non-financial'!C4="outras empresas nao financeiras",'Other non-financial'!D4="1"),"c002x   - Micro &amp; SME",IF(AND('Other non-financial'!C4="outras empresas nao financeiras",'Other non-financial'!D4&lt;&gt;"1"),"c003x   - Corporates",IF('Other non-financial'!C4="","c010x   - Non-identified, not listed on an exchange platform",IF(OR('Other non-financial'!C4="setor publico",'Other non-financial'!C4="bancos centrais"),"c008x   - Government, central banks &amp; supranationals",""))))))))</f>
        <v>c010x   - Non-identified, not listed on an exchange platform</v>
      </c>
      <c r="G10" s="11" t="str">
        <f>'Other non-financial'!G4</f>
        <v>Rank 9 - Ranking in insolvency (master scale)</v>
      </c>
      <c r="H10" s="11">
        <v>0</v>
      </c>
      <c r="I10" s="11">
        <v>0</v>
      </c>
      <c r="J10" s="11" t="s">
        <v>64</v>
      </c>
      <c r="K10" s="14" t="s">
        <v>65</v>
      </c>
      <c r="L10" s="11" t="str">
        <f>'Other non-financial'!H4</f>
        <v>Liabilities other than financial liabilities, provisions, tax liabilities, deferred income</v>
      </c>
      <c r="M10" s="12">
        <f>'Other non-financial'!B4</f>
        <v>625.79223699999989</v>
      </c>
      <c r="N10" s="11" t="str">
        <f>'Other non-financial'!A4</f>
        <v>DOLAR AMERICANO</v>
      </c>
      <c r="O10" s="11" t="str">
        <f>'Other non-financial'!E4</f>
        <v>2022-12-31</v>
      </c>
      <c r="P10" s="15">
        <v>72716</v>
      </c>
      <c r="Q10" s="11" t="s">
        <v>66</v>
      </c>
      <c r="R10" s="11">
        <v>0</v>
      </c>
    </row>
    <row r="11" spans="1:19" ht="60.75" thickBot="1">
      <c r="C11" s="10" t="s">
        <v>63</v>
      </c>
      <c r="D11" s="11">
        <v>4</v>
      </c>
      <c r="E11" s="11" t="str">
        <f>'Other non-financial'!F5</f>
        <v>r0390 - Non-financial liabilities</v>
      </c>
      <c r="F11" s="11" t="str">
        <f>IF(E11="r0170 - Employee liabilities (BRRD art. 44/2/g/i)","c001x   - Households",IF('Other non-financial'!C5="particulares","c001x   - Households",IF('Other non-financial'!C5="outras instituicoes financeiras","c005x   - Other financial corporations",IF('Other non-financial'!C5="instituicoes de credito","c004x   - Institutions",IF(AND('Other non-financial'!C5="outras empresas nao financeiras",'Other non-financial'!D5="1"),"c002x   - Micro &amp; SME",IF(AND('Other non-financial'!C5="outras empresas nao financeiras",'Other non-financial'!D5&lt;&gt;"1"),"c003x   - Corporates",IF('Other non-financial'!C5="","c010x   - Non-identified, not listed on an exchange platform",IF(OR('Other non-financial'!C5="setor publico",'Other non-financial'!C5="bancos centrais"),"c008x   - Government, central banks &amp; supranationals",""))))))))</f>
        <v>c010x   - Non-identified, not listed on an exchange platform</v>
      </c>
      <c r="G11" s="11" t="str">
        <f>'Other non-financial'!G5</f>
        <v>Rank 9 - Ranking in insolvency (master scale)</v>
      </c>
      <c r="H11" s="11">
        <v>0</v>
      </c>
      <c r="I11" s="11">
        <v>0</v>
      </c>
      <c r="J11" s="11" t="s">
        <v>64</v>
      </c>
      <c r="K11" s="14" t="s">
        <v>65</v>
      </c>
      <c r="L11" s="11" t="str">
        <f>'Other non-financial'!H5</f>
        <v>Liabilities other than financial liabilities, provisions, tax liabilities, deferred income</v>
      </c>
      <c r="M11" s="12">
        <f>'Other non-financial'!B5</f>
        <v>228509.06619099999</v>
      </c>
      <c r="N11" s="11" t="str">
        <f>'Other non-financial'!A5</f>
        <v>DOLAR AMERICANO</v>
      </c>
      <c r="O11" s="11" t="str">
        <f>'Other non-financial'!E5</f>
        <v>2022-12-31</v>
      </c>
      <c r="P11" s="15">
        <v>72716</v>
      </c>
      <c r="Q11" s="11" t="s">
        <v>66</v>
      </c>
      <c r="R11" s="11">
        <v>0</v>
      </c>
    </row>
    <row r="12" spans="1:19" ht="60.75" thickBot="1">
      <c r="C12" s="10" t="s">
        <v>63</v>
      </c>
      <c r="D12" s="11">
        <v>5</v>
      </c>
      <c r="E12" s="11" t="str">
        <f>'Other non-financial'!F6</f>
        <v>r0390 - Non-financial liabilities</v>
      </c>
      <c r="F12" s="11" t="str">
        <f>IF(E12="r0170 - Employee liabilities (BRRD art. 44/2/g/i)","c001x   - Households",IF('Other non-financial'!C6="particulares","c001x   - Households",IF('Other non-financial'!C6="outras instituicoes financeiras","c005x   - Other financial corporations",IF('Other non-financial'!C6="instituicoes de credito","c004x   - Institutions",IF(AND('Other non-financial'!C6="outras empresas nao financeiras",'Other non-financial'!D6="1"),"c002x   - Micro &amp; SME",IF(AND('Other non-financial'!C6="outras empresas nao financeiras",'Other non-financial'!D6&lt;&gt;"1"),"c003x   - Corporates",IF('Other non-financial'!C6="","c010x   - Non-identified, not listed on an exchange platform",IF(OR('Other non-financial'!C6="setor publico",'Other non-financial'!C6="bancos centrais"),"c008x   - Government, central banks &amp; supranationals",""))))))))</f>
        <v>c010x   - Non-identified, not listed on an exchange platform</v>
      </c>
      <c r="G12" s="11" t="str">
        <f>'Other non-financial'!G6</f>
        <v>Rank 9 - Ranking in insolvency (master scale)</v>
      </c>
      <c r="H12" s="11">
        <v>0</v>
      </c>
      <c r="I12" s="11">
        <v>0</v>
      </c>
      <c r="J12" s="11" t="s">
        <v>64</v>
      </c>
      <c r="K12" s="14" t="s">
        <v>65</v>
      </c>
      <c r="L12" s="11" t="str">
        <f>'Other non-financial'!H6</f>
        <v>Liabilities other than financial liabilities, provisions, tax liabilities, deferred income</v>
      </c>
      <c r="M12" s="12">
        <f>'Other non-financial'!B6</f>
        <v>12389.264951999998</v>
      </c>
      <c r="N12" s="11" t="str">
        <f>'Other non-financial'!A6</f>
        <v>DOLAR AMERICANO</v>
      </c>
      <c r="O12" s="11" t="str">
        <f>'Other non-financial'!E6</f>
        <v>2022-12-31</v>
      </c>
      <c r="P12" s="15">
        <v>72716</v>
      </c>
      <c r="Q12" s="11" t="s">
        <v>66</v>
      </c>
      <c r="R12" s="11">
        <v>0</v>
      </c>
    </row>
    <row r="13" spans="1:19" ht="60.75" thickBot="1">
      <c r="C13" s="10" t="s">
        <v>63</v>
      </c>
      <c r="D13" s="11">
        <v>6</v>
      </c>
      <c r="E13" s="11" t="str">
        <f>'Other non-financial'!F7</f>
        <v>r0390 - Non-financial liabilities</v>
      </c>
      <c r="F13" s="11" t="str">
        <f>IF(E13="r0170 - Employee liabilities (BRRD art. 44/2/g/i)","c001x   - Households",IF('Other non-financial'!C7="particulares","c001x   - Households",IF('Other non-financial'!C7="outras instituicoes financeiras","c005x   - Other financial corporations",IF('Other non-financial'!C7="instituicoes de credito","c004x   - Institutions",IF(AND('Other non-financial'!C7="outras empresas nao financeiras",'Other non-financial'!D7="1"),"c002x   - Micro &amp; SME",IF(AND('Other non-financial'!C7="outras empresas nao financeiras",'Other non-financial'!D7&lt;&gt;"1"),"c003x   - Corporates",IF('Other non-financial'!C7="","c010x   - Non-identified, not listed on an exchange platform",IF(OR('Other non-financial'!C7="setor publico",'Other non-financial'!C7="bancos centrais"),"c008x   - Government, central banks &amp; supranationals",""))))))))</f>
        <v>c005x   - Other financial corporations</v>
      </c>
      <c r="G13" s="11" t="str">
        <f>'Other non-financial'!G7</f>
        <v>Rank 9 - Ranking in insolvency (master scale)</v>
      </c>
      <c r="H13" s="11">
        <v>0</v>
      </c>
      <c r="I13" s="11">
        <v>0</v>
      </c>
      <c r="J13" s="11" t="s">
        <v>64</v>
      </c>
      <c r="K13" s="14" t="s">
        <v>65</v>
      </c>
      <c r="L13" s="11" t="str">
        <f>'Other non-financial'!H7</f>
        <v>Liabilities other than financial liabilities, provisions, tax liabilities, deferred income</v>
      </c>
      <c r="M13" s="12">
        <f>'Other non-financial'!B7</f>
        <v>5906835.2240770003</v>
      </c>
      <c r="N13" s="11" t="str">
        <f>'Other non-financial'!A7</f>
        <v>DOLAR AMERICANO</v>
      </c>
      <c r="O13" s="11" t="str">
        <f>'Other non-financial'!E7</f>
        <v>2022-12-31</v>
      </c>
      <c r="P13" s="15">
        <v>72716</v>
      </c>
      <c r="Q13" s="11" t="s">
        <v>66</v>
      </c>
      <c r="R13" s="11">
        <v>0</v>
      </c>
    </row>
    <row r="14" spans="1:19" ht="36.75" thickBot="1">
      <c r="C14" s="10" t="s">
        <v>63</v>
      </c>
      <c r="D14" s="11">
        <v>7</v>
      </c>
      <c r="E14" s="11" t="str">
        <f>'Other non-financial'!F8</f>
        <v>r0390 - Non-financial liabilities</v>
      </c>
      <c r="F14" s="11" t="str">
        <f>IF(E14="r0170 - Employee liabilities (BRRD art. 44/2/g/i)","c001x   - Households",IF('Other non-financial'!C8="particulares","c001x   - Households",IF('Other non-financial'!C8="outras instituicoes financeiras","c005x   - Other financial corporations",IF('Other non-financial'!C8="instituicoes de credito","c004x   - Institutions",IF(AND('Other non-financial'!C8="outras empresas nao financeiras",'Other non-financial'!D8="1"),"c002x   - Micro &amp; SME",IF(AND('Other non-financial'!C8="outras empresas nao financeiras",'Other non-financial'!D8&lt;&gt;"1"),"c003x   - Corporates",IF('Other non-financial'!C8="","c010x   - Non-identified, not listed on an exchange platform",IF(OR('Other non-financial'!C8="setor publico",'Other non-financial'!C8="bancos centrais"),"c008x   - Government, central banks &amp; supranationals",""))))))))</f>
        <v>c005x   - Other financial corporations</v>
      </c>
      <c r="G14" s="11" t="str">
        <f>'Other non-financial'!G8</f>
        <v>Rank 9 - Ranking in insolvency (master scale)</v>
      </c>
      <c r="H14" s="11">
        <v>0</v>
      </c>
      <c r="I14" s="11">
        <v>0</v>
      </c>
      <c r="J14" s="11" t="s">
        <v>64</v>
      </c>
      <c r="K14" s="14" t="s">
        <v>65</v>
      </c>
      <c r="L14" s="11" t="str">
        <f>'Other non-financial'!H8</f>
        <v>Provisions. Off-balance sheet exposures subject to credit risk</v>
      </c>
      <c r="M14" s="12">
        <f>'Other non-financial'!B8</f>
        <v>41743.568348000001</v>
      </c>
      <c r="N14" s="11" t="str">
        <f>'Other non-financial'!A8</f>
        <v>DOLAR AMERICANO</v>
      </c>
      <c r="O14" s="11" t="str">
        <f>'Other non-financial'!E8</f>
        <v>2022-12-31</v>
      </c>
      <c r="P14" s="15">
        <v>72716</v>
      </c>
      <c r="Q14" s="11" t="s">
        <v>66</v>
      </c>
      <c r="R14" s="11">
        <v>0</v>
      </c>
    </row>
    <row r="15" spans="1:19" ht="60.75" thickBot="1">
      <c r="C15" s="10" t="s">
        <v>63</v>
      </c>
      <c r="D15" s="11">
        <v>8</v>
      </c>
      <c r="E15" s="11" t="str">
        <f>'Other non-financial'!F9</f>
        <v>r0390 - Non-financial liabilities</v>
      </c>
      <c r="F15" s="11" t="str">
        <f>IF(E15="r0170 - Employee liabilities (BRRD art. 44/2/g/i)","c001x   - Households",IF('Other non-financial'!C9="particulares","c001x   - Households",IF('Other non-financial'!C9="outras instituicoes financeiras","c005x   - Other financial corporations",IF('Other non-financial'!C9="instituicoes de credito","c004x   - Institutions",IF(AND('Other non-financial'!C9="outras empresas nao financeiras",'Other non-financial'!D9="1"),"c002x   - Micro &amp; SME",IF(AND('Other non-financial'!C9="outras empresas nao financeiras",'Other non-financial'!D9&lt;&gt;"1"),"c003x   - Corporates",IF('Other non-financial'!C9="","c010x   - Non-identified, not listed on an exchange platform",IF(OR('Other non-financial'!C9="setor publico",'Other non-financial'!C9="bancos centrais"),"c008x   - Government, central banks &amp; supranationals",""))))))))</f>
        <v>c005x   - Other financial corporations</v>
      </c>
      <c r="G15" s="11" t="str">
        <f>'Other non-financial'!G9</f>
        <v>Rank 9 - Ranking in insolvency (master scale)</v>
      </c>
      <c r="H15" s="11">
        <v>0</v>
      </c>
      <c r="I15" s="11">
        <v>0</v>
      </c>
      <c r="J15" s="11" t="s">
        <v>64</v>
      </c>
      <c r="K15" s="14" t="s">
        <v>65</v>
      </c>
      <c r="L15" s="11" t="str">
        <f>'Other non-financial'!H9</f>
        <v>Liabilities other than financial liabilities, provisions, tax liabilities, deferred income</v>
      </c>
      <c r="M15" s="12">
        <f>'Other non-financial'!B9</f>
        <v>105925.37033600001</v>
      </c>
      <c r="N15" s="11" t="str">
        <f>'Other non-financial'!A9</f>
        <v>DOLAR AMERICANO</v>
      </c>
      <c r="O15" s="11" t="str">
        <f>'Other non-financial'!E9</f>
        <v>2022-12-31</v>
      </c>
      <c r="P15" s="15">
        <v>72716</v>
      </c>
      <c r="Q15" s="11" t="s">
        <v>66</v>
      </c>
      <c r="R15" s="11">
        <v>0</v>
      </c>
    </row>
    <row r="16" spans="1:19" ht="36.75" thickBot="1">
      <c r="C16" s="10" t="s">
        <v>63</v>
      </c>
      <c r="D16" s="11">
        <v>9</v>
      </c>
      <c r="E16" s="11" t="str">
        <f>'Other non-financial'!F10</f>
        <v>r0390 - Non-financial liabilities</v>
      </c>
      <c r="F16" s="11" t="str">
        <f>IF(E16="r0170 - Employee liabilities (BRRD art. 44/2/g/i)","c001x   - Households",IF('Other non-financial'!C10="particulares","c001x   - Households",IF('Other non-financial'!C10="outras instituicoes financeiras","c005x   - Other financial corporations",IF('Other non-financial'!C10="instituicoes de credito","c004x   - Institutions",IF(AND('Other non-financial'!C10="outras empresas nao financeiras",'Other non-financial'!D10="1"),"c002x   - Micro &amp; SME",IF(AND('Other non-financial'!C10="outras empresas nao financeiras",'Other non-financial'!D10&lt;&gt;"1"),"c003x   - Corporates",IF('Other non-financial'!C10="","c010x   - Non-identified, not listed on an exchange platform",IF(OR('Other non-financial'!C10="setor publico",'Other non-financial'!C10="bancos centrais"),"c008x   - Government, central banks &amp; supranationals",""))))))))</f>
        <v>c005x   - Other financial corporations</v>
      </c>
      <c r="G16" s="11" t="str">
        <f>'Other non-financial'!G10</f>
        <v>Rank 9 - Ranking in insolvency (master scale)</v>
      </c>
      <c r="H16" s="11">
        <v>0</v>
      </c>
      <c r="I16" s="11">
        <v>0</v>
      </c>
      <c r="J16" s="11" t="s">
        <v>64</v>
      </c>
      <c r="K16" s="14" t="s">
        <v>65</v>
      </c>
      <c r="L16" s="11" t="str">
        <f>'Other non-financial'!H10</f>
        <v>Provisions. Off-balance sheet exposures subject to credit risk</v>
      </c>
      <c r="M16" s="12">
        <f>'Other non-financial'!B10</f>
        <v>236.48040499999999</v>
      </c>
      <c r="N16" s="11" t="str">
        <f>'Other non-financial'!A10</f>
        <v>DOLAR AMERICANO</v>
      </c>
      <c r="O16" s="11" t="str">
        <f>'Other non-financial'!E10</f>
        <v>2022-12-31</v>
      </c>
      <c r="P16" s="15">
        <v>72716</v>
      </c>
      <c r="Q16" s="11" t="s">
        <v>66</v>
      </c>
      <c r="R16" s="11">
        <v>0</v>
      </c>
    </row>
    <row r="17" spans="3:18" ht="60.75" thickBot="1">
      <c r="C17" s="10" t="s">
        <v>63</v>
      </c>
      <c r="D17" s="11">
        <v>10</v>
      </c>
      <c r="E17" s="11" t="str">
        <f>'Other non-financial'!F11</f>
        <v>r0390 - Non-financial liabilities</v>
      </c>
      <c r="F17" s="11" t="str">
        <f>IF(E17="r0170 - Employee liabilities (BRRD art. 44/2/g/i)","c001x   - Households",IF('Other non-financial'!C11="particulares","c001x   - Households",IF('Other non-financial'!C11="outras instituicoes financeiras","c005x   - Other financial corporations",IF('Other non-financial'!C11="instituicoes de credito","c004x   - Institutions",IF(AND('Other non-financial'!C11="outras empresas nao financeiras",'Other non-financial'!D11="1"),"c002x   - Micro &amp; SME",IF(AND('Other non-financial'!C11="outras empresas nao financeiras",'Other non-financial'!D11&lt;&gt;"1"),"c003x   - Corporates",IF('Other non-financial'!C11="","c010x   - Non-identified, not listed on an exchange platform",IF(OR('Other non-financial'!C11="setor publico",'Other non-financial'!C11="bancos centrais"),"c008x   - Government, central banks &amp; supranationals",""))))))))</f>
        <v>c010x   - Non-identified, not listed on an exchange platform</v>
      </c>
      <c r="G17" s="11" t="str">
        <f>'Other non-financial'!G11</f>
        <v>Rank 9 - Ranking in insolvency (master scale)</v>
      </c>
      <c r="H17" s="11">
        <v>0</v>
      </c>
      <c r="I17" s="11">
        <v>0</v>
      </c>
      <c r="J17" s="11" t="s">
        <v>64</v>
      </c>
      <c r="K17" s="14" t="s">
        <v>65</v>
      </c>
      <c r="L17" s="11" t="str">
        <f>'Other non-financial'!H11</f>
        <v>Liabilities other than financial liabilities, provisions, tax liabilities, deferred income</v>
      </c>
      <c r="M17" s="12">
        <f>'Other non-financial'!B11</f>
        <v>67.243767000000005</v>
      </c>
      <c r="N17" s="11" t="str">
        <f>'Other non-financial'!A11</f>
        <v>DOLAR CANADIANO</v>
      </c>
      <c r="O17" s="11" t="str">
        <f>'Other non-financial'!E11</f>
        <v>2022-12-31</v>
      </c>
      <c r="P17" s="15">
        <v>72716</v>
      </c>
      <c r="Q17" s="11" t="s">
        <v>66</v>
      </c>
      <c r="R17" s="11">
        <v>0</v>
      </c>
    </row>
    <row r="18" spans="3:18" ht="60.75" thickBot="1">
      <c r="C18" s="10" t="s">
        <v>63</v>
      </c>
      <c r="D18" s="11">
        <v>11</v>
      </c>
      <c r="E18" s="11" t="str">
        <f>'Other non-financial'!F12</f>
        <v>r0170 - Employee liabilities (BRRD art. 44/2/g/i)</v>
      </c>
      <c r="F18" s="11" t="str">
        <f>IF(E18="r0170 - Employee liabilities (BRRD art. 44/2/g/i)","c001x   - Households",IF('Other non-financial'!C12="particulares","c001x   - Households",IF('Other non-financial'!C12="outras instituicoes financeiras","c005x   - Other financial corporations",IF('Other non-financial'!C12="instituicoes de credito","c004x   - Institutions",IF(AND('Other non-financial'!C12="outras empresas nao financeiras",'Other non-financial'!D12="1"),"c002x   - Micro &amp; SME",IF(AND('Other non-financial'!C12="outras empresas nao financeiras",'Other non-financial'!D12&lt;&gt;"1"),"c003x   - Corporates",IF('Other non-financial'!C12="","c010x   - Non-identified, not listed on an exchange platform",IF(OR('Other non-financial'!C12="setor publico",'Other non-financial'!C12="bancos centrais"),"c008x   - Government, central banks &amp; supranationals",""))))))))</f>
        <v>c001x   - Households</v>
      </c>
      <c r="G18" s="11" t="str">
        <f>'Other non-financial'!G12</f>
        <v>Rank 17 - Ranking in insolvency (master scale)</v>
      </c>
      <c r="H18" s="11">
        <v>0</v>
      </c>
      <c r="I18" s="11">
        <v>0</v>
      </c>
      <c r="J18" s="11" t="s">
        <v>64</v>
      </c>
      <c r="K18" s="14" t="s">
        <v>65</v>
      </c>
      <c r="L18" s="11" t="str">
        <f>'Other non-financial'!H12</f>
        <v>Provisions. Employee benefits. Other than pension and other post-employment defined benefit obligations</v>
      </c>
      <c r="M18" s="12">
        <f>'Other non-financial'!B12</f>
        <v>0</v>
      </c>
      <c r="N18" s="11" t="str">
        <f>'Other non-financial'!A12</f>
        <v>EURO</v>
      </c>
      <c r="O18" s="11">
        <f>'Other non-financial'!E12</f>
        <v>0</v>
      </c>
      <c r="P18" s="15">
        <v>72716</v>
      </c>
      <c r="Q18" s="11" t="s">
        <v>66</v>
      </c>
      <c r="R18" s="11">
        <v>0</v>
      </c>
    </row>
    <row r="19" spans="3:18" ht="60.75" thickBot="1">
      <c r="C19" s="10" t="s">
        <v>63</v>
      </c>
      <c r="D19" s="11">
        <v>12</v>
      </c>
      <c r="E19" s="11" t="str">
        <f>'Other non-financial'!F13</f>
        <v>r0170 - Employee liabilities (BRRD art. 44/2/g/i)</v>
      </c>
      <c r="F19" s="11" t="str">
        <f>IF(E19="r0170 - Employee liabilities (BRRD art. 44/2/g/i)","c001x   - Households",IF('Other non-financial'!C13="particulares","c001x   - Households",IF('Other non-financial'!C13="outras instituicoes financeiras","c005x   - Other financial corporations",IF('Other non-financial'!C13="instituicoes de credito","c004x   - Institutions",IF(AND('Other non-financial'!C13="outras empresas nao financeiras",'Other non-financial'!D13="1"),"c002x   - Micro &amp; SME",IF(AND('Other non-financial'!C13="outras empresas nao financeiras",'Other non-financial'!D13&lt;&gt;"1"),"c003x   - Corporates",IF('Other non-financial'!C13="","c010x   - Non-identified, not listed on an exchange platform",IF(OR('Other non-financial'!C13="setor publico",'Other non-financial'!C13="bancos centrais"),"c008x   - Government, central banks &amp; supranationals",""))))))))</f>
        <v>c001x   - Households</v>
      </c>
      <c r="G19" s="11" t="str">
        <f>'Other non-financial'!G13</f>
        <v>Rank 17 - Ranking in insolvency (master scale)</v>
      </c>
      <c r="H19" s="11">
        <v>0</v>
      </c>
      <c r="I19" s="11">
        <v>0</v>
      </c>
      <c r="J19" s="11" t="s">
        <v>64</v>
      </c>
      <c r="K19" s="14" t="s">
        <v>65</v>
      </c>
      <c r="L19" s="11" t="str">
        <f>'Other non-financial'!H13</f>
        <v>Provisions. Employee benefits. Other than pension and other post-employment defined benefit obligations</v>
      </c>
      <c r="M19" s="12">
        <f>'Other non-financial'!B13</f>
        <v>0</v>
      </c>
      <c r="N19" s="11" t="str">
        <f>'Other non-financial'!A13</f>
        <v>EURO</v>
      </c>
      <c r="O19" s="11">
        <f>'Other non-financial'!E13</f>
        <v>0</v>
      </c>
      <c r="P19" s="15">
        <v>72716</v>
      </c>
      <c r="Q19" s="11" t="s">
        <v>66</v>
      </c>
      <c r="R19" s="11">
        <v>0</v>
      </c>
    </row>
    <row r="20" spans="3:18" ht="60.75" thickBot="1">
      <c r="C20" s="10" t="s">
        <v>63</v>
      </c>
      <c r="D20" s="11">
        <v>13</v>
      </c>
      <c r="E20" s="11" t="str">
        <f>'Other non-financial'!F14</f>
        <v>r0170 - Employee liabilities (BRRD art. 44/2/g/i)</v>
      </c>
      <c r="F20" s="11" t="str">
        <f>IF(E20="r0170 - Employee liabilities (BRRD art. 44/2/g/i)","c001x   - Households",IF('Other non-financial'!C14="particulares","c001x   - Households",IF('Other non-financial'!C14="outras instituicoes financeiras","c005x   - Other financial corporations",IF('Other non-financial'!C14="instituicoes de credito","c004x   - Institutions",IF(AND('Other non-financial'!C14="outras empresas nao financeiras",'Other non-financial'!D14="1"),"c002x   - Micro &amp; SME",IF(AND('Other non-financial'!C14="outras empresas nao financeiras",'Other non-financial'!D14&lt;&gt;"1"),"c003x   - Corporates",IF('Other non-financial'!C14="","c010x   - Non-identified, not listed on an exchange platform",IF(OR('Other non-financial'!C14="setor publico",'Other non-financial'!C14="bancos centrais"),"c008x   - Government, central banks &amp; supranationals",""))))))))</f>
        <v>c001x   - Households</v>
      </c>
      <c r="G20" s="11" t="str">
        <f>'Other non-financial'!G14</f>
        <v>Rank 17 - Ranking in insolvency (master scale)</v>
      </c>
      <c r="H20" s="11">
        <v>0</v>
      </c>
      <c r="I20" s="11">
        <v>0</v>
      </c>
      <c r="J20" s="11" t="s">
        <v>64</v>
      </c>
      <c r="K20" s="14" t="s">
        <v>65</v>
      </c>
      <c r="L20" s="11" t="str">
        <f>'Other non-financial'!H14</f>
        <v>Provisions. Employee benefits. Other than pension and other post-employment defined benefit obligations</v>
      </c>
      <c r="M20" s="12">
        <f>'Other non-financial'!B14</f>
        <v>1650067.15</v>
      </c>
      <c r="N20" s="11" t="str">
        <f>'Other non-financial'!A14</f>
        <v>EURO</v>
      </c>
      <c r="O20" s="11" t="str">
        <f>'Other non-financial'!E14</f>
        <v>2022-12-31</v>
      </c>
      <c r="P20" s="15">
        <v>72716</v>
      </c>
      <c r="Q20" s="11" t="s">
        <v>66</v>
      </c>
      <c r="R20" s="11">
        <v>0</v>
      </c>
    </row>
    <row r="21" spans="3:18" ht="60.75" thickBot="1">
      <c r="C21" s="10" t="s">
        <v>63</v>
      </c>
      <c r="D21" s="11">
        <v>14</v>
      </c>
      <c r="E21" s="11" t="str">
        <f>'Other non-financial'!F15</f>
        <v>r0170 - Employee liabilities (BRRD art. 44/2/g/i)</v>
      </c>
      <c r="F21" s="11" t="str">
        <f>IF(E21="r0170 - Employee liabilities (BRRD art. 44/2/g/i)","c001x   - Households",IF('Other non-financial'!C15="particulares","c001x   - Households",IF('Other non-financial'!C15="outras instituicoes financeiras","c005x   - Other financial corporations",IF('Other non-financial'!C15="instituicoes de credito","c004x   - Institutions",IF(AND('Other non-financial'!C15="outras empresas nao financeiras",'Other non-financial'!D15="1"),"c002x   - Micro &amp; SME",IF(AND('Other non-financial'!C15="outras empresas nao financeiras",'Other non-financial'!D15&lt;&gt;"1"),"c003x   - Corporates",IF('Other non-financial'!C15="","c010x   - Non-identified, not listed on an exchange platform",IF(OR('Other non-financial'!C15="setor publico",'Other non-financial'!C15="bancos centrais"),"c008x   - Government, central banks &amp; supranationals",""))))))))</f>
        <v>c001x   - Households</v>
      </c>
      <c r="G21" s="11" t="str">
        <f>'Other non-financial'!G15</f>
        <v>Rank 17 - Ranking in insolvency (master scale)</v>
      </c>
      <c r="H21" s="11">
        <v>0</v>
      </c>
      <c r="I21" s="11">
        <v>0</v>
      </c>
      <c r="J21" s="11" t="s">
        <v>64</v>
      </c>
      <c r="K21" s="14" t="s">
        <v>65</v>
      </c>
      <c r="L21" s="11" t="str">
        <f>'Other non-financial'!H15</f>
        <v>Provisions. Employee benefits. Other than pension and other post-employment defined benefit obligations</v>
      </c>
      <c r="M21" s="12">
        <f>'Other non-financial'!B15</f>
        <v>10259537</v>
      </c>
      <c r="N21" s="11" t="str">
        <f>'Other non-financial'!A15</f>
        <v>EURO</v>
      </c>
      <c r="O21" s="11" t="str">
        <f>'Other non-financial'!E15</f>
        <v>2022-12-31</v>
      </c>
      <c r="P21" s="15">
        <v>72716</v>
      </c>
      <c r="Q21" s="11" t="s">
        <v>66</v>
      </c>
      <c r="R21" s="11">
        <v>0</v>
      </c>
    </row>
    <row r="22" spans="3:18" ht="60.75" thickBot="1">
      <c r="C22" s="10" t="s">
        <v>63</v>
      </c>
      <c r="D22" s="11">
        <v>15</v>
      </c>
      <c r="E22" s="11" t="str">
        <f>'Other non-financial'!F16</f>
        <v>r0170 - Employee liabilities (BRRD art. 44/2/g/i)</v>
      </c>
      <c r="F22" s="11" t="str">
        <f>IF(E22="r0170 - Employee liabilities (BRRD art. 44/2/g/i)","c001x   - Households",IF('Other non-financial'!C16="particulares","c001x   - Households",IF('Other non-financial'!C16="outras instituicoes financeiras","c005x   - Other financial corporations",IF('Other non-financial'!C16="instituicoes de credito","c004x   - Institutions",IF(AND('Other non-financial'!C16="outras empresas nao financeiras",'Other non-financial'!D16="1"),"c002x   - Micro &amp; SME",IF(AND('Other non-financial'!C16="outras empresas nao financeiras",'Other non-financial'!D16&lt;&gt;"1"),"c003x   - Corporates",IF('Other non-financial'!C16="","c010x   - Non-identified, not listed on an exchange platform",IF(OR('Other non-financial'!C16="setor publico",'Other non-financial'!C16="bancos centrais"),"c008x   - Government, central banks &amp; supranationals",""))))))))</f>
        <v>c001x   - Households</v>
      </c>
      <c r="G22" s="11" t="str">
        <f>'Other non-financial'!G16</f>
        <v>Rank 17 - Ranking in insolvency (master scale)</v>
      </c>
      <c r="H22" s="11">
        <v>0</v>
      </c>
      <c r="I22" s="11">
        <v>0</v>
      </c>
      <c r="J22" s="11" t="s">
        <v>64</v>
      </c>
      <c r="K22" s="14" t="s">
        <v>65</v>
      </c>
      <c r="L22" s="11" t="str">
        <f>'Other non-financial'!H16</f>
        <v>Provisions. Employee benefits. Other than pension and other post-employment defined benefit obligations</v>
      </c>
      <c r="M22" s="12">
        <f>'Other non-financial'!B16</f>
        <v>65653031.869999997</v>
      </c>
      <c r="N22" s="11" t="str">
        <f>'Other non-financial'!A16</f>
        <v>EURO</v>
      </c>
      <c r="O22" s="11" t="str">
        <f>'Other non-financial'!E16</f>
        <v>2022-12-31</v>
      </c>
      <c r="P22" s="15">
        <v>72716</v>
      </c>
      <c r="Q22" s="11" t="s">
        <v>66</v>
      </c>
      <c r="R22" s="11">
        <v>0</v>
      </c>
    </row>
    <row r="23" spans="3:18" ht="60.75" thickBot="1">
      <c r="C23" s="10" t="s">
        <v>63</v>
      </c>
      <c r="D23" s="11">
        <v>16</v>
      </c>
      <c r="E23" s="11" t="str">
        <f>'Other non-financial'!F17</f>
        <v>r0170 - Employee liabilities (BRRD art. 44/2/g/i)</v>
      </c>
      <c r="F23" s="11" t="str">
        <f>IF(E23="r0170 - Employee liabilities (BRRD art. 44/2/g/i)","c001x   - Households",IF('Other non-financial'!C17="particulares","c001x   - Households",IF('Other non-financial'!C17="outras instituicoes financeiras","c005x   - Other financial corporations",IF('Other non-financial'!C17="instituicoes de credito","c004x   - Institutions",IF(AND('Other non-financial'!C17="outras empresas nao financeiras",'Other non-financial'!D17="1"),"c002x   - Micro &amp; SME",IF(AND('Other non-financial'!C17="outras empresas nao financeiras",'Other non-financial'!D17&lt;&gt;"1"),"c003x   - Corporates",IF('Other non-financial'!C17="","c010x   - Non-identified, not listed on an exchange platform",IF(OR('Other non-financial'!C17="setor publico",'Other non-financial'!C17="bancos centrais"),"c008x   - Government, central banks &amp; supranationals",""))))))))</f>
        <v>c001x   - Households</v>
      </c>
      <c r="G23" s="11" t="str">
        <f>'Other non-financial'!G17</f>
        <v>Rank 17 - Ranking in insolvency (master scale)</v>
      </c>
      <c r="H23" s="11">
        <v>0</v>
      </c>
      <c r="I23" s="11">
        <v>0</v>
      </c>
      <c r="J23" s="11" t="s">
        <v>64</v>
      </c>
      <c r="K23" s="14" t="s">
        <v>65</v>
      </c>
      <c r="L23" s="11" t="str">
        <f>'Other non-financial'!H17</f>
        <v>Provisions. Employee benefits. Other than pension and other post-employment defined benefit obligations</v>
      </c>
      <c r="M23" s="12">
        <f>'Other non-financial'!B17</f>
        <v>71058809.689999998</v>
      </c>
      <c r="N23" s="11" t="str">
        <f>'Other non-financial'!A17</f>
        <v>EURO</v>
      </c>
      <c r="O23" s="11" t="str">
        <f>'Other non-financial'!E17</f>
        <v>2022-12-31</v>
      </c>
      <c r="P23" s="15">
        <v>72716</v>
      </c>
      <c r="Q23" s="11" t="s">
        <v>66</v>
      </c>
      <c r="R23" s="11">
        <v>0</v>
      </c>
    </row>
    <row r="24" spans="3:18" ht="60.75" thickBot="1">
      <c r="C24" s="10" t="s">
        <v>63</v>
      </c>
      <c r="D24" s="11">
        <v>17</v>
      </c>
      <c r="E24" s="11" t="str">
        <f>'Other non-financial'!F18</f>
        <v>r0390 - Non-financial liabilities</v>
      </c>
      <c r="F24" s="11" t="str">
        <f>IF(E24="r0170 - Employee liabilities (BRRD art. 44/2/g/i)","c001x   - Households",IF('Other non-financial'!C18="particulares","c001x   - Households",IF('Other non-financial'!C18="outras instituicoes financeiras","c005x   - Other financial corporations",IF('Other non-financial'!C18="instituicoes de credito","c004x   - Institutions",IF(AND('Other non-financial'!C18="outras empresas nao financeiras",'Other non-financial'!D18="1"),"c002x   - Micro &amp; SME",IF(AND('Other non-financial'!C18="outras empresas nao financeiras",'Other non-financial'!D18&lt;&gt;"1"),"c003x   - Corporates",IF('Other non-financial'!C18="","c010x   - Non-identified, not listed on an exchange platform",IF(OR('Other non-financial'!C18="setor publico",'Other non-financial'!C18="bancos centrais"),"c008x   - Government, central banks &amp; supranationals",""))))))))</f>
        <v>c010x   - Non-identified, not listed on an exchange platform</v>
      </c>
      <c r="G24" s="11" t="str">
        <f>'Other non-financial'!G18</f>
        <v>Rank 9 - Ranking in insolvency (master scale)</v>
      </c>
      <c r="H24" s="11">
        <v>0</v>
      </c>
      <c r="I24" s="11">
        <v>0</v>
      </c>
      <c r="J24" s="11" t="s">
        <v>64</v>
      </c>
      <c r="K24" s="14" t="s">
        <v>65</v>
      </c>
      <c r="L24" s="11" t="str">
        <f>'Other non-financial'!H18</f>
        <v>Liabilities other than financial liabilities, provisions, tax liabilities, deferred income</v>
      </c>
      <c r="M24" s="12">
        <f>'Other non-financial'!B18</f>
        <v>0</v>
      </c>
      <c r="N24" s="11" t="str">
        <f>'Other non-financial'!A18</f>
        <v>EURO</v>
      </c>
      <c r="O24" s="11" t="str">
        <f>'Other non-financial'!E18</f>
        <v>2022-12-31</v>
      </c>
      <c r="P24" s="15">
        <v>72716</v>
      </c>
      <c r="Q24" s="11" t="s">
        <v>66</v>
      </c>
      <c r="R24" s="11">
        <v>0</v>
      </c>
    </row>
    <row r="25" spans="3:18" ht="60.75" thickBot="1">
      <c r="C25" s="10" t="s">
        <v>63</v>
      </c>
      <c r="D25" s="11">
        <v>18</v>
      </c>
      <c r="E25" s="11" t="str">
        <f>'Other non-financial'!F19</f>
        <v>r0390 - Non-financial liabilities</v>
      </c>
      <c r="F25" s="11" t="str">
        <f>IF(E25="r0170 - Employee liabilities (BRRD art. 44/2/g/i)","c001x   - Households",IF('Other non-financial'!C19="particulares","c001x   - Households",IF('Other non-financial'!C19="outras instituicoes financeiras","c005x   - Other financial corporations",IF('Other non-financial'!C19="instituicoes de credito","c004x   - Institutions",IF(AND('Other non-financial'!C19="outras empresas nao financeiras",'Other non-financial'!D19="1"),"c002x   - Micro &amp; SME",IF(AND('Other non-financial'!C19="outras empresas nao financeiras",'Other non-financial'!D19&lt;&gt;"1"),"c003x   - Corporates",IF('Other non-financial'!C19="","c010x   - Non-identified, not listed on an exchange platform",IF(OR('Other non-financial'!C19="setor publico",'Other non-financial'!C19="bancos centrais"),"c008x   - Government, central banks &amp; supranationals",""))))))))</f>
        <v>c010x   - Non-identified, not listed on an exchange platform</v>
      </c>
      <c r="G25" s="11" t="str">
        <f>'Other non-financial'!G19</f>
        <v>Rank 9 - Ranking in insolvency (master scale)</v>
      </c>
      <c r="H25" s="11">
        <v>0</v>
      </c>
      <c r="I25" s="11">
        <v>0</v>
      </c>
      <c r="J25" s="11" t="s">
        <v>64</v>
      </c>
      <c r="K25" s="14" t="s">
        <v>65</v>
      </c>
      <c r="L25" s="11" t="str">
        <f>'Other non-financial'!H19</f>
        <v>Liabilities other than financial liabilities, provisions, tax liabilities, deferred income</v>
      </c>
      <c r="M25" s="12">
        <f>'Other non-financial'!B19</f>
        <v>0</v>
      </c>
      <c r="N25" s="11" t="str">
        <f>'Other non-financial'!A19</f>
        <v>EURO</v>
      </c>
      <c r="O25" s="11" t="str">
        <f>'Other non-financial'!E19</f>
        <v>2022-12-31</v>
      </c>
      <c r="P25" s="15">
        <v>72716</v>
      </c>
      <c r="Q25" s="11" t="s">
        <v>66</v>
      </c>
      <c r="R25" s="11">
        <v>0</v>
      </c>
    </row>
    <row r="26" spans="3:18" ht="60.75" thickBot="1">
      <c r="C26" s="10" t="s">
        <v>63</v>
      </c>
      <c r="D26" s="11">
        <v>19</v>
      </c>
      <c r="E26" s="11" t="str">
        <f>'Other non-financial'!F20</f>
        <v>r0390 - Non-financial liabilities</v>
      </c>
      <c r="F26" s="11" t="str">
        <f>IF(E26="r0170 - Employee liabilities (BRRD art. 44/2/g/i)","c001x   - Households",IF('Other non-financial'!C20="particulares","c001x   - Households",IF('Other non-financial'!C20="outras instituicoes financeiras","c005x   - Other financial corporations",IF('Other non-financial'!C20="instituicoes de credito","c004x   - Institutions",IF(AND('Other non-financial'!C20="outras empresas nao financeiras",'Other non-financial'!D20="1"),"c002x   - Micro &amp; SME",IF(AND('Other non-financial'!C20="outras empresas nao financeiras",'Other non-financial'!D20&lt;&gt;"1"),"c003x   - Corporates",IF('Other non-financial'!C20="","c010x   - Non-identified, not listed on an exchange platform",IF(OR('Other non-financial'!C20="setor publico",'Other non-financial'!C20="bancos centrais"),"c008x   - Government, central banks &amp; supranationals",""))))))))</f>
        <v>c010x   - Non-identified, not listed on an exchange platform</v>
      </c>
      <c r="G26" s="11" t="str">
        <f>'Other non-financial'!G20</f>
        <v>Rank 9 - Ranking in insolvency (master scale)</v>
      </c>
      <c r="H26" s="11">
        <v>0</v>
      </c>
      <c r="I26" s="11">
        <v>0</v>
      </c>
      <c r="J26" s="11" t="s">
        <v>64</v>
      </c>
      <c r="K26" s="14" t="s">
        <v>65</v>
      </c>
      <c r="L26" s="11" t="str">
        <f>'Other non-financial'!H20</f>
        <v>Liabilities other than financial liabilities, provisions, tax liabilities, deferred income</v>
      </c>
      <c r="M26" s="12">
        <f>'Other non-financial'!B20</f>
        <v>0</v>
      </c>
      <c r="N26" s="11" t="str">
        <f>'Other non-financial'!A20</f>
        <v>EURO</v>
      </c>
      <c r="O26" s="11" t="str">
        <f>'Other non-financial'!E20</f>
        <v>2022-12-31</v>
      </c>
      <c r="P26" s="15">
        <v>72716</v>
      </c>
      <c r="Q26" s="11" t="s">
        <v>66</v>
      </c>
      <c r="R26" s="11">
        <v>0</v>
      </c>
    </row>
    <row r="27" spans="3:18" ht="60.75" thickBot="1">
      <c r="C27" s="10" t="s">
        <v>63</v>
      </c>
      <c r="D27" s="11">
        <v>20</v>
      </c>
      <c r="E27" s="11" t="str">
        <f>'Other non-financial'!F21</f>
        <v>r0390 - Non-financial liabilities</v>
      </c>
      <c r="F27" s="11" t="str">
        <f>IF(E27="r0170 - Employee liabilities (BRRD art. 44/2/g/i)","c001x   - Households",IF('Other non-financial'!C21="particulares","c001x   - Households",IF('Other non-financial'!C21="outras instituicoes financeiras","c005x   - Other financial corporations",IF('Other non-financial'!C21="instituicoes de credito","c004x   - Institutions",IF(AND('Other non-financial'!C21="outras empresas nao financeiras",'Other non-financial'!D21="1"),"c002x   - Micro &amp; SME",IF(AND('Other non-financial'!C21="outras empresas nao financeiras",'Other non-financial'!D21&lt;&gt;"1"),"c003x   - Corporates",IF('Other non-financial'!C21="","c010x   - Non-identified, not listed on an exchange platform",IF(OR('Other non-financial'!C21="setor publico",'Other non-financial'!C21="bancos centrais"),"c008x   - Government, central banks &amp; supranationals",""))))))))</f>
        <v>c010x   - Non-identified, not listed on an exchange platform</v>
      </c>
      <c r="G27" s="11" t="str">
        <f>'Other non-financial'!G21</f>
        <v>Rank 9 - Ranking in insolvency (master scale)</v>
      </c>
      <c r="H27" s="11">
        <v>0</v>
      </c>
      <c r="I27" s="11">
        <v>0</v>
      </c>
      <c r="J27" s="11" t="s">
        <v>64</v>
      </c>
      <c r="K27" s="14" t="s">
        <v>65</v>
      </c>
      <c r="L27" s="11" t="str">
        <f>'Other non-financial'!H21</f>
        <v>Liabilities other than financial liabilities, provisions, tax liabilities, deferred income</v>
      </c>
      <c r="M27" s="12">
        <f>'Other non-financial'!B21</f>
        <v>0</v>
      </c>
      <c r="N27" s="11" t="str">
        <f>'Other non-financial'!A21</f>
        <v>EURO</v>
      </c>
      <c r="O27" s="11" t="str">
        <f>'Other non-financial'!E21</f>
        <v>2022-12-31</v>
      </c>
      <c r="P27" s="15">
        <v>72716</v>
      </c>
      <c r="Q27" s="11" t="s">
        <v>66</v>
      </c>
      <c r="R27" s="11">
        <v>0</v>
      </c>
    </row>
    <row r="28" spans="3:18" ht="60.75" thickBot="1">
      <c r="C28" s="10" t="s">
        <v>63</v>
      </c>
      <c r="D28" s="11">
        <v>21</v>
      </c>
      <c r="E28" s="11" t="str">
        <f>'Other non-financial'!F22</f>
        <v>r0390 - Non-financial liabilities</v>
      </c>
      <c r="F28" s="11" t="str">
        <f>IF(E28="r0170 - Employee liabilities (BRRD art. 44/2/g/i)","c001x   - Households",IF('Other non-financial'!C22="particulares","c001x   - Households",IF('Other non-financial'!C22="outras instituicoes financeiras","c005x   - Other financial corporations",IF('Other non-financial'!C22="instituicoes de credito","c004x   - Institutions",IF(AND('Other non-financial'!C22="outras empresas nao financeiras",'Other non-financial'!D22="1"),"c002x   - Micro &amp; SME",IF(AND('Other non-financial'!C22="outras empresas nao financeiras",'Other non-financial'!D22&lt;&gt;"1"),"c003x   - Corporates",IF('Other non-financial'!C22="","c010x   - Non-identified, not listed on an exchange platform",IF(OR('Other non-financial'!C22="setor publico",'Other non-financial'!C22="bancos centrais"),"c008x   - Government, central banks &amp; supranationals",""))))))))</f>
        <v>c010x   - Non-identified, not listed on an exchange platform</v>
      </c>
      <c r="G28" s="11" t="str">
        <f>'Other non-financial'!G22</f>
        <v>Rank 9 - Ranking in insolvency (master scale)</v>
      </c>
      <c r="H28" s="11">
        <v>0</v>
      </c>
      <c r="I28" s="11">
        <v>0</v>
      </c>
      <c r="J28" s="11" t="s">
        <v>64</v>
      </c>
      <c r="K28" s="14" t="s">
        <v>65</v>
      </c>
      <c r="L28" s="11" t="str">
        <f>'Other non-financial'!H22</f>
        <v>Liabilities other than financial liabilities, provisions, tax liabilities, deferred income</v>
      </c>
      <c r="M28" s="12">
        <f>'Other non-financial'!B22</f>
        <v>0</v>
      </c>
      <c r="N28" s="11" t="str">
        <f>'Other non-financial'!A22</f>
        <v>EURO</v>
      </c>
      <c r="O28" s="11" t="str">
        <f>'Other non-financial'!E22</f>
        <v>2022-12-31</v>
      </c>
      <c r="P28" s="15">
        <v>72716</v>
      </c>
      <c r="Q28" s="11" t="s">
        <v>66</v>
      </c>
      <c r="R28" s="11">
        <v>0</v>
      </c>
    </row>
    <row r="29" spans="3:18" ht="60.75" thickBot="1">
      <c r="C29" s="10" t="s">
        <v>63</v>
      </c>
      <c r="D29" s="11">
        <v>22</v>
      </c>
      <c r="E29" s="11" t="str">
        <f>'Other non-financial'!F23</f>
        <v>r0390 - Non-financial liabilities</v>
      </c>
      <c r="F29" s="11" t="str">
        <f>IF(E29="r0170 - Employee liabilities (BRRD art. 44/2/g/i)","c001x   - Households",IF('Other non-financial'!C23="particulares","c001x   - Households",IF('Other non-financial'!C23="outras instituicoes financeiras","c005x   - Other financial corporations",IF('Other non-financial'!C23="instituicoes de credito","c004x   - Institutions",IF(AND('Other non-financial'!C23="outras empresas nao financeiras",'Other non-financial'!D23="1"),"c002x   - Micro &amp; SME",IF(AND('Other non-financial'!C23="outras empresas nao financeiras",'Other non-financial'!D23&lt;&gt;"1"),"c003x   - Corporates",IF('Other non-financial'!C23="","c010x   - Non-identified, not listed on an exchange platform",IF(OR('Other non-financial'!C23="setor publico",'Other non-financial'!C23="bancos centrais"),"c008x   - Government, central banks &amp; supranationals",""))))))))</f>
        <v>c010x   - Non-identified, not listed on an exchange platform</v>
      </c>
      <c r="G29" s="11" t="str">
        <f>'Other non-financial'!G23</f>
        <v>Rank 9 - Ranking in insolvency (master scale)</v>
      </c>
      <c r="H29" s="11">
        <v>0</v>
      </c>
      <c r="I29" s="11">
        <v>0</v>
      </c>
      <c r="J29" s="11" t="s">
        <v>64</v>
      </c>
      <c r="K29" s="14" t="s">
        <v>65</v>
      </c>
      <c r="L29" s="11" t="str">
        <f>'Other non-financial'!H23</f>
        <v>Liabilities other than financial liabilities, provisions, tax liabilities, deferred income</v>
      </c>
      <c r="M29" s="12">
        <f>'Other non-financial'!B23</f>
        <v>0</v>
      </c>
      <c r="N29" s="11" t="str">
        <f>'Other non-financial'!A23</f>
        <v>EURO</v>
      </c>
      <c r="O29" s="11" t="str">
        <f>'Other non-financial'!E23</f>
        <v>2022-12-31</v>
      </c>
      <c r="P29" s="15">
        <v>72716</v>
      </c>
      <c r="Q29" s="11" t="s">
        <v>66</v>
      </c>
      <c r="R29" s="11">
        <v>0</v>
      </c>
    </row>
    <row r="30" spans="3:18" ht="60.75" thickBot="1">
      <c r="C30" s="10" t="s">
        <v>63</v>
      </c>
      <c r="D30" s="11">
        <v>23</v>
      </c>
      <c r="E30" s="11" t="str">
        <f>'Other non-financial'!F24</f>
        <v>r0390 - Non-financial liabilities</v>
      </c>
      <c r="F30" s="11" t="str">
        <f>IF(E30="r0170 - Employee liabilities (BRRD art. 44/2/g/i)","c001x   - Households",IF('Other non-financial'!C24="particulares","c001x   - Households",IF('Other non-financial'!C24="outras instituicoes financeiras","c005x   - Other financial corporations",IF('Other non-financial'!C24="instituicoes de credito","c004x   - Institutions",IF(AND('Other non-financial'!C24="outras empresas nao financeiras",'Other non-financial'!D24="1"),"c002x   - Micro &amp; SME",IF(AND('Other non-financial'!C24="outras empresas nao financeiras",'Other non-financial'!D24&lt;&gt;"1"),"c003x   - Corporates",IF('Other non-financial'!C24="","c010x   - Non-identified, not listed on an exchange platform",IF(OR('Other non-financial'!C24="setor publico",'Other non-financial'!C24="bancos centrais"),"c008x   - Government, central banks &amp; supranationals",""))))))))</f>
        <v>c010x   - Non-identified, not listed on an exchange platform</v>
      </c>
      <c r="G30" s="11" t="str">
        <f>'Other non-financial'!G24</f>
        <v>Rank 9 - Ranking in insolvency (master scale)</v>
      </c>
      <c r="H30" s="11">
        <v>0</v>
      </c>
      <c r="I30" s="11">
        <v>0</v>
      </c>
      <c r="J30" s="11" t="s">
        <v>64</v>
      </c>
      <c r="K30" s="14" t="s">
        <v>65</v>
      </c>
      <c r="L30" s="11" t="str">
        <f>'Other non-financial'!H24</f>
        <v>Liabilities other than financial liabilities, provisions, tax liabilities, deferred income</v>
      </c>
      <c r="M30" s="12">
        <f>'Other non-financial'!B24</f>
        <v>0</v>
      </c>
      <c r="N30" s="11" t="str">
        <f>'Other non-financial'!A24</f>
        <v>EURO</v>
      </c>
      <c r="O30" s="11" t="str">
        <f>'Other non-financial'!E24</f>
        <v>2022-12-31</v>
      </c>
      <c r="P30" s="15">
        <v>72716</v>
      </c>
      <c r="Q30" s="11" t="s">
        <v>66</v>
      </c>
      <c r="R30" s="11">
        <v>0</v>
      </c>
    </row>
    <row r="31" spans="3:18" ht="60.75" thickBot="1">
      <c r="C31" s="10" t="s">
        <v>63</v>
      </c>
      <c r="D31" s="11">
        <v>24</v>
      </c>
      <c r="E31" s="11" t="str">
        <f>'Other non-financial'!F25</f>
        <v>r0390 - Non-financial liabilities</v>
      </c>
      <c r="F31" s="11" t="str">
        <f>IF(E31="r0170 - Employee liabilities (BRRD art. 44/2/g/i)","c001x   - Households",IF('Other non-financial'!C25="particulares","c001x   - Households",IF('Other non-financial'!C25="outras instituicoes financeiras","c005x   - Other financial corporations",IF('Other non-financial'!C25="instituicoes de credito","c004x   - Institutions",IF(AND('Other non-financial'!C25="outras empresas nao financeiras",'Other non-financial'!D25="1"),"c002x   - Micro &amp; SME",IF(AND('Other non-financial'!C25="outras empresas nao financeiras",'Other non-financial'!D25&lt;&gt;"1"),"c003x   - Corporates",IF('Other non-financial'!C25="","c010x   - Non-identified, not listed on an exchange platform",IF(OR('Other non-financial'!C25="setor publico",'Other non-financial'!C25="bancos centrais"),"c008x   - Government, central banks &amp; supranationals",""))))))))</f>
        <v>c010x   - Non-identified, not listed on an exchange platform</v>
      </c>
      <c r="G31" s="11" t="str">
        <f>'Other non-financial'!G25</f>
        <v>Rank 9 - Ranking in insolvency (master scale)</v>
      </c>
      <c r="H31" s="11">
        <v>0</v>
      </c>
      <c r="I31" s="11">
        <v>0</v>
      </c>
      <c r="J31" s="11" t="s">
        <v>64</v>
      </c>
      <c r="K31" s="14" t="s">
        <v>65</v>
      </c>
      <c r="L31" s="11" t="str">
        <f>'Other non-financial'!H25</f>
        <v>Liabilities other than financial liabilities, provisions, tax liabilities, deferred income</v>
      </c>
      <c r="M31" s="12">
        <f>'Other non-financial'!B25</f>
        <v>0</v>
      </c>
      <c r="N31" s="11" t="str">
        <f>'Other non-financial'!A25</f>
        <v>EURO</v>
      </c>
      <c r="O31" s="11" t="str">
        <f>'Other non-financial'!E25</f>
        <v>2022-12-31</v>
      </c>
      <c r="P31" s="15">
        <v>72716</v>
      </c>
      <c r="Q31" s="11" t="s">
        <v>66</v>
      </c>
      <c r="R31" s="11">
        <v>0</v>
      </c>
    </row>
    <row r="32" spans="3:18" ht="60.75" thickBot="1">
      <c r="C32" s="10" t="s">
        <v>63</v>
      </c>
      <c r="D32" s="11">
        <v>25</v>
      </c>
      <c r="E32" s="11" t="str">
        <f>'Other non-financial'!F26</f>
        <v>r0390 - Non-financial liabilities</v>
      </c>
      <c r="F32" s="11" t="str">
        <f>IF(E32="r0170 - Employee liabilities (BRRD art. 44/2/g/i)","c001x   - Households",IF('Other non-financial'!C26="particulares","c001x   - Households",IF('Other non-financial'!C26="outras instituicoes financeiras","c005x   - Other financial corporations",IF('Other non-financial'!C26="instituicoes de credito","c004x   - Institutions",IF(AND('Other non-financial'!C26="outras empresas nao financeiras",'Other non-financial'!D26="1"),"c002x   - Micro &amp; SME",IF(AND('Other non-financial'!C26="outras empresas nao financeiras",'Other non-financial'!D26&lt;&gt;"1"),"c003x   - Corporates",IF('Other non-financial'!C26="","c010x   - Non-identified, not listed on an exchange platform",IF(OR('Other non-financial'!C26="setor publico",'Other non-financial'!C26="bancos centrais"),"c008x   - Government, central banks &amp; supranationals",""))))))))</f>
        <v>c010x   - Non-identified, not listed on an exchange platform</v>
      </c>
      <c r="G32" s="11" t="str">
        <f>'Other non-financial'!G26</f>
        <v>Rank 9 - Ranking in insolvency (master scale)</v>
      </c>
      <c r="H32" s="11">
        <v>0</v>
      </c>
      <c r="I32" s="11">
        <v>0</v>
      </c>
      <c r="J32" s="11" t="s">
        <v>64</v>
      </c>
      <c r="K32" s="14" t="s">
        <v>65</v>
      </c>
      <c r="L32" s="11" t="str">
        <f>'Other non-financial'!H26</f>
        <v>Liabilities other than financial liabilities, provisions, tax liabilities, deferred income</v>
      </c>
      <c r="M32" s="12">
        <f>'Other non-financial'!B26</f>
        <v>0</v>
      </c>
      <c r="N32" s="11" t="str">
        <f>'Other non-financial'!A26</f>
        <v>EURO</v>
      </c>
      <c r="O32" s="11" t="str">
        <f>'Other non-financial'!E26</f>
        <v>2022-12-31</v>
      </c>
      <c r="P32" s="15">
        <v>72716</v>
      </c>
      <c r="Q32" s="11" t="s">
        <v>66</v>
      </c>
      <c r="R32" s="11">
        <v>0</v>
      </c>
    </row>
    <row r="33" spans="3:18" ht="60.75" thickBot="1">
      <c r="C33" s="10" t="s">
        <v>63</v>
      </c>
      <c r="D33" s="11">
        <v>26</v>
      </c>
      <c r="E33" s="11" t="str">
        <f>'Other non-financial'!F27</f>
        <v>r0390 - Non-financial liabilities</v>
      </c>
      <c r="F33" s="11" t="str">
        <f>IF(E33="r0170 - Employee liabilities (BRRD art. 44/2/g/i)","c001x   - Households",IF('Other non-financial'!C27="particulares","c001x   - Households",IF('Other non-financial'!C27="outras instituicoes financeiras","c005x   - Other financial corporations",IF('Other non-financial'!C27="instituicoes de credito","c004x   - Institutions",IF(AND('Other non-financial'!C27="outras empresas nao financeiras",'Other non-financial'!D27="1"),"c002x   - Micro &amp; SME",IF(AND('Other non-financial'!C27="outras empresas nao financeiras",'Other non-financial'!D27&lt;&gt;"1"),"c003x   - Corporates",IF('Other non-financial'!C27="","c010x   - Non-identified, not listed on an exchange platform",IF(OR('Other non-financial'!C27="setor publico",'Other non-financial'!C27="bancos centrais"),"c008x   - Government, central banks &amp; supranationals",""))))))))</f>
        <v>c010x   - Non-identified, not listed on an exchange platform</v>
      </c>
      <c r="G33" s="11" t="str">
        <f>'Other non-financial'!G27</f>
        <v>Rank 9 - Ranking in insolvency (master scale)</v>
      </c>
      <c r="H33" s="11">
        <v>0</v>
      </c>
      <c r="I33" s="11">
        <v>0</v>
      </c>
      <c r="J33" s="11" t="s">
        <v>64</v>
      </c>
      <c r="K33" s="14" t="s">
        <v>65</v>
      </c>
      <c r="L33" s="11" t="str">
        <f>'Other non-financial'!H27</f>
        <v>Liabilities other than financial liabilities, provisions, tax liabilities, deferred income</v>
      </c>
      <c r="M33" s="12">
        <f>'Other non-financial'!B27</f>
        <v>-0.26</v>
      </c>
      <c r="N33" s="11" t="str">
        <f>'Other non-financial'!A27</f>
        <v>EURO</v>
      </c>
      <c r="O33" s="11" t="str">
        <f>'Other non-financial'!E27</f>
        <v>2022-12-31</v>
      </c>
      <c r="P33" s="15">
        <v>72716</v>
      </c>
      <c r="Q33" s="11" t="s">
        <v>66</v>
      </c>
      <c r="R33" s="11">
        <v>0</v>
      </c>
    </row>
    <row r="34" spans="3:18" ht="60.75" thickBot="1">
      <c r="C34" s="10" t="s">
        <v>63</v>
      </c>
      <c r="D34" s="11">
        <v>27</v>
      </c>
      <c r="E34" s="11" t="str">
        <f>'Other non-financial'!F28</f>
        <v>r0390 - Non-financial liabilities</v>
      </c>
      <c r="F34" s="11" t="str">
        <f>IF(E34="r0170 - Employee liabilities (BRRD art. 44/2/g/i)","c001x   - Households",IF('Other non-financial'!C28="particulares","c001x   - Households",IF('Other non-financial'!C28="outras instituicoes financeiras","c005x   - Other financial corporations",IF('Other non-financial'!C28="instituicoes de credito","c004x   - Institutions",IF(AND('Other non-financial'!C28="outras empresas nao financeiras",'Other non-financial'!D28="1"),"c002x   - Micro &amp; SME",IF(AND('Other non-financial'!C28="outras empresas nao financeiras",'Other non-financial'!D28&lt;&gt;"1"),"c003x   - Corporates",IF('Other non-financial'!C28="","c010x   - Non-identified, not listed on an exchange platform",IF(OR('Other non-financial'!C28="setor publico",'Other non-financial'!C28="bancos centrais"),"c008x   - Government, central banks &amp; supranationals",""))))))))</f>
        <v>c010x   - Non-identified, not listed on an exchange platform</v>
      </c>
      <c r="G34" s="11" t="str">
        <f>'Other non-financial'!G28</f>
        <v>Rank 9 - Ranking in insolvency (master scale)</v>
      </c>
      <c r="H34" s="11">
        <v>0</v>
      </c>
      <c r="I34" s="11">
        <v>0</v>
      </c>
      <c r="J34" s="11" t="s">
        <v>64</v>
      </c>
      <c r="K34" s="14" t="s">
        <v>65</v>
      </c>
      <c r="L34" s="11" t="str">
        <f>'Other non-financial'!H28</f>
        <v>Liabilities other than financial liabilities, provisions, tax liabilities, deferred income</v>
      </c>
      <c r="M34" s="12">
        <f>'Other non-financial'!B28</f>
        <v>0</v>
      </c>
      <c r="N34" s="11" t="str">
        <f>'Other non-financial'!A28</f>
        <v>EURO</v>
      </c>
      <c r="O34" s="11" t="str">
        <f>'Other non-financial'!E28</f>
        <v>2022-12-31</v>
      </c>
      <c r="P34" s="15">
        <v>72716</v>
      </c>
      <c r="Q34" s="11" t="s">
        <v>66</v>
      </c>
      <c r="R34" s="11">
        <v>0</v>
      </c>
    </row>
    <row r="35" spans="3:18" ht="60.75" thickBot="1">
      <c r="C35" s="10" t="s">
        <v>63</v>
      </c>
      <c r="D35" s="11">
        <v>28</v>
      </c>
      <c r="E35" s="11" t="str">
        <f>'Other non-financial'!F29</f>
        <v>r0390 - Non-financial liabilities</v>
      </c>
      <c r="F35" s="11" t="str">
        <f>IF(E35="r0170 - Employee liabilities (BRRD art. 44/2/g/i)","c001x   - Households",IF('Other non-financial'!C29="particulares","c001x   - Households",IF('Other non-financial'!C29="outras instituicoes financeiras","c005x   - Other financial corporations",IF('Other non-financial'!C29="instituicoes de credito","c004x   - Institutions",IF(AND('Other non-financial'!C29="outras empresas nao financeiras",'Other non-financial'!D29="1"),"c002x   - Micro &amp; SME",IF(AND('Other non-financial'!C29="outras empresas nao financeiras",'Other non-financial'!D29&lt;&gt;"1"),"c003x   - Corporates",IF('Other non-financial'!C29="","c010x   - Non-identified, not listed on an exchange platform",IF(OR('Other non-financial'!C29="setor publico",'Other non-financial'!C29="bancos centrais"),"c008x   - Government, central banks &amp; supranationals",""))))))))</f>
        <v>c010x   - Non-identified, not listed on an exchange platform</v>
      </c>
      <c r="G35" s="11" t="str">
        <f>'Other non-financial'!G29</f>
        <v>Rank 9 - Ranking in insolvency (master scale)</v>
      </c>
      <c r="H35" s="11">
        <v>0</v>
      </c>
      <c r="I35" s="11">
        <v>0</v>
      </c>
      <c r="J35" s="11" t="s">
        <v>64</v>
      </c>
      <c r="K35" s="14" t="s">
        <v>65</v>
      </c>
      <c r="L35" s="11" t="str">
        <f>'Other non-financial'!H29</f>
        <v>Liabilities other than financial liabilities, provisions, tax liabilities, deferred income</v>
      </c>
      <c r="M35" s="12">
        <f>'Other non-financial'!B29</f>
        <v>0</v>
      </c>
      <c r="N35" s="11" t="str">
        <f>'Other non-financial'!A29</f>
        <v>EURO</v>
      </c>
      <c r="O35" s="11" t="str">
        <f>'Other non-financial'!E29</f>
        <v>2022-12-31</v>
      </c>
      <c r="P35" s="15">
        <v>72716</v>
      </c>
      <c r="Q35" s="11" t="s">
        <v>66</v>
      </c>
      <c r="R35" s="11">
        <v>0</v>
      </c>
    </row>
    <row r="36" spans="3:18" ht="60.75" thickBot="1">
      <c r="C36" s="10" t="s">
        <v>63</v>
      </c>
      <c r="D36" s="11">
        <v>29</v>
      </c>
      <c r="E36" s="11" t="str">
        <f>'Other non-financial'!F30</f>
        <v>r0390 - Non-financial liabilities</v>
      </c>
      <c r="F36" s="11" t="str">
        <f>IF(E36="r0170 - Employee liabilities (BRRD art. 44/2/g/i)","c001x   - Households",IF('Other non-financial'!C30="particulares","c001x   - Households",IF('Other non-financial'!C30="outras instituicoes financeiras","c005x   - Other financial corporations",IF('Other non-financial'!C30="instituicoes de credito","c004x   - Institutions",IF(AND('Other non-financial'!C30="outras empresas nao financeiras",'Other non-financial'!D30="1"),"c002x   - Micro &amp; SME",IF(AND('Other non-financial'!C30="outras empresas nao financeiras",'Other non-financial'!D30&lt;&gt;"1"),"c003x   - Corporates",IF('Other non-financial'!C30="","c010x   - Non-identified, not listed on an exchange platform",IF(OR('Other non-financial'!C30="setor publico",'Other non-financial'!C30="bancos centrais"),"c008x   - Government, central banks &amp; supranationals",""))))))))</f>
        <v>c010x   - Non-identified, not listed on an exchange platform</v>
      </c>
      <c r="G36" s="11" t="str">
        <f>'Other non-financial'!G30</f>
        <v>Rank 9 - Ranking in insolvency (master scale)</v>
      </c>
      <c r="H36" s="11">
        <v>0</v>
      </c>
      <c r="I36" s="11">
        <v>0</v>
      </c>
      <c r="J36" s="11" t="s">
        <v>64</v>
      </c>
      <c r="K36" s="14" t="s">
        <v>65</v>
      </c>
      <c r="L36" s="11" t="str">
        <f>'Other non-financial'!H30</f>
        <v>Liabilities other than financial liabilities, provisions, tax liabilities, deferred income</v>
      </c>
      <c r="M36" s="12">
        <f>'Other non-financial'!B30</f>
        <v>0</v>
      </c>
      <c r="N36" s="11" t="str">
        <f>'Other non-financial'!A30</f>
        <v>EURO</v>
      </c>
      <c r="O36" s="11" t="str">
        <f>'Other non-financial'!E30</f>
        <v>2022-12-31</v>
      </c>
      <c r="P36" s="15">
        <v>72716</v>
      </c>
      <c r="Q36" s="11" t="s">
        <v>66</v>
      </c>
      <c r="R36" s="11">
        <v>0</v>
      </c>
    </row>
    <row r="37" spans="3:18" ht="60.75" thickBot="1">
      <c r="C37" s="10" t="s">
        <v>63</v>
      </c>
      <c r="D37" s="11">
        <v>30</v>
      </c>
      <c r="E37" s="11" t="str">
        <f>'Other non-financial'!F31</f>
        <v>r0390 - Non-financial liabilities</v>
      </c>
      <c r="F37" s="11" t="str">
        <f>IF(E37="r0170 - Employee liabilities (BRRD art. 44/2/g/i)","c001x   - Households",IF('Other non-financial'!C31="particulares","c001x   - Households",IF('Other non-financial'!C31="outras instituicoes financeiras","c005x   - Other financial corporations",IF('Other non-financial'!C31="instituicoes de credito","c004x   - Institutions",IF(AND('Other non-financial'!C31="outras empresas nao financeiras",'Other non-financial'!D31="1"),"c002x   - Micro &amp; SME",IF(AND('Other non-financial'!C31="outras empresas nao financeiras",'Other non-financial'!D31&lt;&gt;"1"),"c003x   - Corporates",IF('Other non-financial'!C31="","c010x   - Non-identified, not listed on an exchange platform",IF(OR('Other non-financial'!C31="setor publico",'Other non-financial'!C31="bancos centrais"),"c008x   - Government, central banks &amp; supranationals",""))))))))</f>
        <v>c010x   - Non-identified, not listed on an exchange platform</v>
      </c>
      <c r="G37" s="11" t="str">
        <f>'Other non-financial'!G31</f>
        <v>Rank 9 - Ranking in insolvency (master scale)</v>
      </c>
      <c r="H37" s="11">
        <v>0</v>
      </c>
      <c r="I37" s="11">
        <v>0</v>
      </c>
      <c r="J37" s="11" t="s">
        <v>64</v>
      </c>
      <c r="K37" s="14" t="s">
        <v>65</v>
      </c>
      <c r="L37" s="11" t="str">
        <f>'Other non-financial'!H31</f>
        <v>Liabilities other than financial liabilities, provisions, tax liabilities, deferred income</v>
      </c>
      <c r="M37" s="12">
        <f>'Other non-financial'!B31</f>
        <v>0</v>
      </c>
      <c r="N37" s="11" t="str">
        <f>'Other non-financial'!A31</f>
        <v>EURO</v>
      </c>
      <c r="O37" s="11" t="str">
        <f>'Other non-financial'!E31</f>
        <v>2022-12-31</v>
      </c>
      <c r="P37" s="15">
        <v>72716</v>
      </c>
      <c r="Q37" s="11" t="s">
        <v>66</v>
      </c>
      <c r="R37" s="11">
        <v>0</v>
      </c>
    </row>
    <row r="38" spans="3:18" ht="60.75" thickBot="1">
      <c r="C38" s="10" t="s">
        <v>63</v>
      </c>
      <c r="D38" s="11">
        <v>31</v>
      </c>
      <c r="E38" s="11" t="str">
        <f>'Other non-financial'!F32</f>
        <v>r0390 - Non-financial liabilities</v>
      </c>
      <c r="F38" s="11" t="str">
        <f>IF(E38="r0170 - Employee liabilities (BRRD art. 44/2/g/i)","c001x   - Households",IF('Other non-financial'!C32="particulares","c001x   - Households",IF('Other non-financial'!C32="outras instituicoes financeiras","c005x   - Other financial corporations",IF('Other non-financial'!C32="instituicoes de credito","c004x   - Institutions",IF(AND('Other non-financial'!C32="outras empresas nao financeiras",'Other non-financial'!D32="1"),"c002x   - Micro &amp; SME",IF(AND('Other non-financial'!C32="outras empresas nao financeiras",'Other non-financial'!D32&lt;&gt;"1"),"c003x   - Corporates",IF('Other non-financial'!C32="","c010x   - Non-identified, not listed on an exchange platform",IF(OR('Other non-financial'!C32="setor publico",'Other non-financial'!C32="bancos centrais"),"c008x   - Government, central banks &amp; supranationals",""))))))))</f>
        <v>c010x   - Non-identified, not listed on an exchange platform</v>
      </c>
      <c r="G38" s="11" t="str">
        <f>'Other non-financial'!G32</f>
        <v>Rank 9 - Ranking in insolvency (master scale)</v>
      </c>
      <c r="H38" s="11">
        <v>0</v>
      </c>
      <c r="I38" s="11">
        <v>0</v>
      </c>
      <c r="J38" s="11" t="s">
        <v>64</v>
      </c>
      <c r="K38" s="14" t="s">
        <v>65</v>
      </c>
      <c r="L38" s="11" t="str">
        <f>'Other non-financial'!H32</f>
        <v>Liabilities other than financial liabilities, provisions, tax liabilities, deferred income</v>
      </c>
      <c r="M38" s="12">
        <f>'Other non-financial'!B32</f>
        <v>0</v>
      </c>
      <c r="N38" s="11" t="str">
        <f>'Other non-financial'!A32</f>
        <v>EURO</v>
      </c>
      <c r="O38" s="11" t="str">
        <f>'Other non-financial'!E32</f>
        <v>2022-12-31</v>
      </c>
      <c r="P38" s="15">
        <v>72716</v>
      </c>
      <c r="Q38" s="11" t="s">
        <v>66</v>
      </c>
      <c r="R38" s="11">
        <v>0</v>
      </c>
    </row>
    <row r="39" spans="3:18" ht="60.75" thickBot="1">
      <c r="C39" s="10" t="s">
        <v>63</v>
      </c>
      <c r="D39" s="11">
        <v>32</v>
      </c>
      <c r="E39" s="11" t="str">
        <f>'Other non-financial'!F33</f>
        <v>r0390 - Non-financial liabilities</v>
      </c>
      <c r="F39" s="11" t="str">
        <f>IF(E39="r0170 - Employee liabilities (BRRD art. 44/2/g/i)","c001x   - Households",IF('Other non-financial'!C33="particulares","c001x   - Households",IF('Other non-financial'!C33="outras instituicoes financeiras","c005x   - Other financial corporations",IF('Other non-financial'!C33="instituicoes de credito","c004x   - Institutions",IF(AND('Other non-financial'!C33="outras empresas nao financeiras",'Other non-financial'!D33="1"),"c002x   - Micro &amp; SME",IF(AND('Other non-financial'!C33="outras empresas nao financeiras",'Other non-financial'!D33&lt;&gt;"1"),"c003x   - Corporates",IF('Other non-financial'!C33="","c010x   - Non-identified, not listed on an exchange platform",IF(OR('Other non-financial'!C33="setor publico",'Other non-financial'!C33="bancos centrais"),"c008x   - Government, central banks &amp; supranationals",""))))))))</f>
        <v>c010x   - Non-identified, not listed on an exchange platform</v>
      </c>
      <c r="G39" s="11" t="str">
        <f>'Other non-financial'!G33</f>
        <v>Rank 9 - Ranking in insolvency (master scale)</v>
      </c>
      <c r="H39" s="11">
        <v>0</v>
      </c>
      <c r="I39" s="11">
        <v>0</v>
      </c>
      <c r="J39" s="11" t="s">
        <v>64</v>
      </c>
      <c r="K39" s="14" t="s">
        <v>65</v>
      </c>
      <c r="L39" s="11" t="str">
        <f>'Other non-financial'!H33</f>
        <v>Liabilities other than financial liabilities, provisions, tax liabilities, deferred income</v>
      </c>
      <c r="M39" s="12">
        <f>'Other non-financial'!B33</f>
        <v>0</v>
      </c>
      <c r="N39" s="11" t="str">
        <f>'Other non-financial'!A33</f>
        <v>EURO</v>
      </c>
      <c r="O39" s="11" t="str">
        <f>'Other non-financial'!E33</f>
        <v>2022-12-31</v>
      </c>
      <c r="P39" s="15">
        <v>72716</v>
      </c>
      <c r="Q39" s="11" t="s">
        <v>66</v>
      </c>
      <c r="R39" s="11">
        <v>0</v>
      </c>
    </row>
    <row r="40" spans="3:18" ht="60.75" thickBot="1">
      <c r="C40" s="10" t="s">
        <v>63</v>
      </c>
      <c r="D40" s="11">
        <v>33</v>
      </c>
      <c r="E40" s="11" t="str">
        <f>'Other non-financial'!F34</f>
        <v>r0390 - Non-financial liabilities</v>
      </c>
      <c r="F40" s="11" t="str">
        <f>IF(E40="r0170 - Employee liabilities (BRRD art. 44/2/g/i)","c001x   - Households",IF('Other non-financial'!C34="particulares","c001x   - Households",IF('Other non-financial'!C34="outras instituicoes financeiras","c005x   - Other financial corporations",IF('Other non-financial'!C34="instituicoes de credito","c004x   - Institutions",IF(AND('Other non-financial'!C34="outras empresas nao financeiras",'Other non-financial'!D34="1"),"c002x   - Micro &amp; SME",IF(AND('Other non-financial'!C34="outras empresas nao financeiras",'Other non-financial'!D34&lt;&gt;"1"),"c003x   - Corporates",IF('Other non-financial'!C34="","c010x   - Non-identified, not listed on an exchange platform",IF(OR('Other non-financial'!C34="setor publico",'Other non-financial'!C34="bancos centrais"),"c008x   - Government, central banks &amp; supranationals",""))))))))</f>
        <v>c010x   - Non-identified, not listed on an exchange platform</v>
      </c>
      <c r="G40" s="11" t="str">
        <f>'Other non-financial'!G34</f>
        <v>Rank 9 - Ranking in insolvency (master scale)</v>
      </c>
      <c r="H40" s="11">
        <v>0</v>
      </c>
      <c r="I40" s="11">
        <v>0</v>
      </c>
      <c r="J40" s="11" t="s">
        <v>64</v>
      </c>
      <c r="K40" s="14" t="s">
        <v>65</v>
      </c>
      <c r="L40" s="11" t="str">
        <f>'Other non-financial'!H34</f>
        <v>Liabilities other than financial liabilities, provisions, tax liabilities, deferred income</v>
      </c>
      <c r="M40" s="12">
        <f>'Other non-financial'!B34</f>
        <v>0</v>
      </c>
      <c r="N40" s="11" t="str">
        <f>'Other non-financial'!A34</f>
        <v>EURO</v>
      </c>
      <c r="O40" s="11" t="str">
        <f>'Other non-financial'!E34</f>
        <v>2022-12-31</v>
      </c>
      <c r="P40" s="15">
        <v>72716</v>
      </c>
      <c r="Q40" s="11" t="s">
        <v>66</v>
      </c>
      <c r="R40" s="11">
        <v>0</v>
      </c>
    </row>
    <row r="41" spans="3:18" ht="60.75" thickBot="1">
      <c r="C41" s="10" t="s">
        <v>63</v>
      </c>
      <c r="D41" s="11">
        <v>34</v>
      </c>
      <c r="E41" s="11" t="str">
        <f>'Other non-financial'!F35</f>
        <v>r0390 - Non-financial liabilities</v>
      </c>
      <c r="F41" s="11" t="str">
        <f>IF(E41="r0170 - Employee liabilities (BRRD art. 44/2/g/i)","c001x   - Households",IF('Other non-financial'!C35="particulares","c001x   - Households",IF('Other non-financial'!C35="outras instituicoes financeiras","c005x   - Other financial corporations",IF('Other non-financial'!C35="instituicoes de credito","c004x   - Institutions",IF(AND('Other non-financial'!C35="outras empresas nao financeiras",'Other non-financial'!D35="1"),"c002x   - Micro &amp; SME",IF(AND('Other non-financial'!C35="outras empresas nao financeiras",'Other non-financial'!D35&lt;&gt;"1"),"c003x   - Corporates",IF('Other non-financial'!C35="","c010x   - Non-identified, not listed on an exchange platform",IF(OR('Other non-financial'!C35="setor publico",'Other non-financial'!C35="bancos centrais"),"c008x   - Government, central banks &amp; supranationals",""))))))))</f>
        <v>c010x   - Non-identified, not listed on an exchange platform</v>
      </c>
      <c r="G41" s="11" t="str">
        <f>'Other non-financial'!G35</f>
        <v>Rank 9 - Ranking in insolvency (master scale)</v>
      </c>
      <c r="H41" s="11">
        <v>0</v>
      </c>
      <c r="I41" s="11">
        <v>0</v>
      </c>
      <c r="J41" s="11" t="s">
        <v>64</v>
      </c>
      <c r="K41" s="14" t="s">
        <v>65</v>
      </c>
      <c r="L41" s="11" t="str">
        <f>'Other non-financial'!H35</f>
        <v>Liabilities other than financial liabilities, provisions, tax liabilities, deferred income</v>
      </c>
      <c r="M41" s="12">
        <f>'Other non-financial'!B35</f>
        <v>0</v>
      </c>
      <c r="N41" s="11" t="str">
        <f>'Other non-financial'!A35</f>
        <v>EURO</v>
      </c>
      <c r="O41" s="11" t="str">
        <f>'Other non-financial'!E35</f>
        <v>2022-12-31</v>
      </c>
      <c r="P41" s="15">
        <v>72716</v>
      </c>
      <c r="Q41" s="11" t="s">
        <v>66</v>
      </c>
      <c r="R41" s="11">
        <v>0</v>
      </c>
    </row>
    <row r="42" spans="3:18" ht="60.75" thickBot="1">
      <c r="C42" s="10" t="s">
        <v>63</v>
      </c>
      <c r="D42" s="11">
        <v>35</v>
      </c>
      <c r="E42" s="11" t="str">
        <f>'Other non-financial'!F36</f>
        <v>r0390 - Non-financial liabilities</v>
      </c>
      <c r="F42" s="11" t="str">
        <f>IF(E42="r0170 - Employee liabilities (BRRD art. 44/2/g/i)","c001x   - Households",IF('Other non-financial'!C36="particulares","c001x   - Households",IF('Other non-financial'!C36="outras instituicoes financeiras","c005x   - Other financial corporations",IF('Other non-financial'!C36="instituicoes de credito","c004x   - Institutions",IF(AND('Other non-financial'!C36="outras empresas nao financeiras",'Other non-financial'!D36="1"),"c002x   - Micro &amp; SME",IF(AND('Other non-financial'!C36="outras empresas nao financeiras",'Other non-financial'!D36&lt;&gt;"1"),"c003x   - Corporates",IF('Other non-financial'!C36="","c010x   - Non-identified, not listed on an exchange platform",IF(OR('Other non-financial'!C36="setor publico",'Other non-financial'!C36="bancos centrais"),"c008x   - Government, central banks &amp; supranationals",""))))))))</f>
        <v>c010x   - Non-identified, not listed on an exchange platform</v>
      </c>
      <c r="G42" s="11" t="str">
        <f>'Other non-financial'!G36</f>
        <v>Rank 9 - Ranking in insolvency (master scale)</v>
      </c>
      <c r="H42" s="11">
        <v>0</v>
      </c>
      <c r="I42" s="11">
        <v>0</v>
      </c>
      <c r="J42" s="11" t="s">
        <v>64</v>
      </c>
      <c r="K42" s="14" t="s">
        <v>65</v>
      </c>
      <c r="L42" s="11" t="str">
        <f>'Other non-financial'!H36</f>
        <v>Liabilities other than financial liabilities, provisions, tax liabilities, deferred income</v>
      </c>
      <c r="M42" s="12">
        <f>'Other non-financial'!B36</f>
        <v>134746.99</v>
      </c>
      <c r="N42" s="11" t="str">
        <f>'Other non-financial'!A36</f>
        <v>EURO</v>
      </c>
      <c r="O42" s="11" t="str">
        <f>'Other non-financial'!E36</f>
        <v>2022-12-31</v>
      </c>
      <c r="P42" s="15">
        <v>72716</v>
      </c>
      <c r="Q42" s="11" t="s">
        <v>66</v>
      </c>
      <c r="R42" s="11">
        <v>0</v>
      </c>
    </row>
    <row r="43" spans="3:18" ht="60.75" thickBot="1">
      <c r="C43" s="10" t="s">
        <v>63</v>
      </c>
      <c r="D43" s="11">
        <v>36</v>
      </c>
      <c r="E43" s="11" t="str">
        <f>'Other non-financial'!F37</f>
        <v>r0390 - Non-financial liabilities</v>
      </c>
      <c r="F43" s="11" t="str">
        <f>IF(E43="r0170 - Employee liabilities (BRRD art. 44/2/g/i)","c001x   - Households",IF('Other non-financial'!C37="particulares","c001x   - Households",IF('Other non-financial'!C37="outras instituicoes financeiras","c005x   - Other financial corporations",IF('Other non-financial'!C37="instituicoes de credito","c004x   - Institutions",IF(AND('Other non-financial'!C37="outras empresas nao financeiras",'Other non-financial'!D37="1"),"c002x   - Micro &amp; SME",IF(AND('Other non-financial'!C37="outras empresas nao financeiras",'Other non-financial'!D37&lt;&gt;"1"),"c003x   - Corporates",IF('Other non-financial'!C37="","c010x   - Non-identified, not listed on an exchange platform",IF(OR('Other non-financial'!C37="setor publico",'Other non-financial'!C37="bancos centrais"),"c008x   - Government, central banks &amp; supranationals",""))))))))</f>
        <v>c010x   - Non-identified, not listed on an exchange platform</v>
      </c>
      <c r="G43" s="11" t="str">
        <f>'Other non-financial'!G37</f>
        <v>Rank 9 - Ranking in insolvency (master scale)</v>
      </c>
      <c r="H43" s="11">
        <v>0</v>
      </c>
      <c r="I43" s="11">
        <v>0</v>
      </c>
      <c r="J43" s="11" t="s">
        <v>64</v>
      </c>
      <c r="K43" s="14" t="s">
        <v>65</v>
      </c>
      <c r="L43" s="11" t="str">
        <f>'Other non-financial'!H37</f>
        <v>Liabilities other than financial liabilities, provisions, tax liabilities, deferred income</v>
      </c>
      <c r="M43" s="12">
        <f>'Other non-financial'!B37</f>
        <v>2011484.6</v>
      </c>
      <c r="N43" s="11" t="str">
        <f>'Other non-financial'!A37</f>
        <v>EURO</v>
      </c>
      <c r="O43" s="11" t="str">
        <f>'Other non-financial'!E37</f>
        <v>2022-12-31</v>
      </c>
      <c r="P43" s="15">
        <v>72716</v>
      </c>
      <c r="Q43" s="11" t="s">
        <v>66</v>
      </c>
      <c r="R43" s="11">
        <v>0</v>
      </c>
    </row>
    <row r="44" spans="3:18" ht="60.75" thickBot="1">
      <c r="C44" s="10" t="s">
        <v>63</v>
      </c>
      <c r="D44" s="11">
        <v>37</v>
      </c>
      <c r="E44" s="11" t="str">
        <f>'Other non-financial'!F38</f>
        <v>r0390 - Non-financial liabilities</v>
      </c>
      <c r="F44" s="11" t="str">
        <f>IF(E44="r0170 - Employee liabilities (BRRD art. 44/2/g/i)","c001x   - Households",IF('Other non-financial'!C38="particulares","c001x   - Households",IF('Other non-financial'!C38="outras instituicoes financeiras","c005x   - Other financial corporations",IF('Other non-financial'!C38="instituicoes de credito","c004x   - Institutions",IF(AND('Other non-financial'!C38="outras empresas nao financeiras",'Other non-financial'!D38="1"),"c002x   - Micro &amp; SME",IF(AND('Other non-financial'!C38="outras empresas nao financeiras",'Other non-financial'!D38&lt;&gt;"1"),"c003x   - Corporates",IF('Other non-financial'!C38="","c010x   - Non-identified, not listed on an exchange platform",IF(OR('Other non-financial'!C38="setor publico",'Other non-financial'!C38="bancos centrais"),"c008x   - Government, central banks &amp; supranationals",""))))))))</f>
        <v>c010x   - Non-identified, not listed on an exchange platform</v>
      </c>
      <c r="G44" s="11" t="str">
        <f>'Other non-financial'!G38</f>
        <v>Rank 9 - Ranking in insolvency (master scale)</v>
      </c>
      <c r="H44" s="11">
        <v>0</v>
      </c>
      <c r="I44" s="11">
        <v>0</v>
      </c>
      <c r="J44" s="11" t="s">
        <v>64</v>
      </c>
      <c r="K44" s="14" t="s">
        <v>65</v>
      </c>
      <c r="L44" s="11" t="str">
        <f>'Other non-financial'!H38</f>
        <v>Liabilities other than financial liabilities, provisions, tax liabilities, deferred income</v>
      </c>
      <c r="M44" s="12">
        <f>'Other non-financial'!B38</f>
        <v>53878.61</v>
      </c>
      <c r="N44" s="11" t="str">
        <f>'Other non-financial'!A38</f>
        <v>EURO</v>
      </c>
      <c r="O44" s="11" t="str">
        <f>'Other non-financial'!E38</f>
        <v>2022-12-31</v>
      </c>
      <c r="P44" s="15">
        <v>72716</v>
      </c>
      <c r="Q44" s="11" t="s">
        <v>66</v>
      </c>
      <c r="R44" s="11">
        <v>0</v>
      </c>
    </row>
    <row r="45" spans="3:18" ht="60.75" thickBot="1">
      <c r="C45" s="10" t="s">
        <v>63</v>
      </c>
      <c r="D45" s="11">
        <v>38</v>
      </c>
      <c r="E45" s="11" t="str">
        <f>'Other non-financial'!F39</f>
        <v>r0390 - Non-financial liabilities</v>
      </c>
      <c r="F45" s="11" t="str">
        <f>IF(E45="r0170 - Employee liabilities (BRRD art. 44/2/g/i)","c001x   - Households",IF('Other non-financial'!C39="particulares","c001x   - Households",IF('Other non-financial'!C39="outras instituicoes financeiras","c005x   - Other financial corporations",IF('Other non-financial'!C39="instituicoes de credito","c004x   - Institutions",IF(AND('Other non-financial'!C39="outras empresas nao financeiras",'Other non-financial'!D39="1"),"c002x   - Micro &amp; SME",IF(AND('Other non-financial'!C39="outras empresas nao financeiras",'Other non-financial'!D39&lt;&gt;"1"),"c003x   - Corporates",IF('Other non-financial'!C39="","c010x   - Non-identified, not listed on an exchange platform",IF(OR('Other non-financial'!C39="setor publico",'Other non-financial'!C39="bancos centrais"),"c008x   - Government, central banks &amp; supranationals",""))))))))</f>
        <v>c010x   - Non-identified, not listed on an exchange platform</v>
      </c>
      <c r="G45" s="11" t="str">
        <f>'Other non-financial'!G39</f>
        <v>Rank 9 - Ranking in insolvency (master scale)</v>
      </c>
      <c r="H45" s="11">
        <v>0</v>
      </c>
      <c r="I45" s="11">
        <v>0</v>
      </c>
      <c r="J45" s="11" t="s">
        <v>64</v>
      </c>
      <c r="K45" s="14" t="s">
        <v>65</v>
      </c>
      <c r="L45" s="11" t="str">
        <f>'Other non-financial'!H39</f>
        <v>Liabilities other than financial liabilities, provisions, tax liabilities, deferred income</v>
      </c>
      <c r="M45" s="12">
        <f>'Other non-financial'!B39</f>
        <v>15408259.320000002</v>
      </c>
      <c r="N45" s="11" t="str">
        <f>'Other non-financial'!A39</f>
        <v>EURO</v>
      </c>
      <c r="O45" s="11" t="str">
        <f>'Other non-financial'!E39</f>
        <v>2022-12-31</v>
      </c>
      <c r="P45" s="15">
        <v>72716</v>
      </c>
      <c r="Q45" s="11" t="s">
        <v>66</v>
      </c>
      <c r="R45" s="11">
        <v>0</v>
      </c>
    </row>
    <row r="46" spans="3:18" ht="60.75" thickBot="1">
      <c r="C46" s="10" t="s">
        <v>63</v>
      </c>
      <c r="D46" s="11">
        <v>39</v>
      </c>
      <c r="E46" s="11" t="str">
        <f>'Other non-financial'!F40</f>
        <v>r0390 - Non-financial liabilities</v>
      </c>
      <c r="F46" s="11" t="str">
        <f>IF(E46="r0170 - Employee liabilities (BRRD art. 44/2/g/i)","c001x   - Households",IF('Other non-financial'!C40="particulares","c001x   - Households",IF('Other non-financial'!C40="outras instituicoes financeiras","c005x   - Other financial corporations",IF('Other non-financial'!C40="instituicoes de credito","c004x   - Institutions",IF(AND('Other non-financial'!C40="outras empresas nao financeiras",'Other non-financial'!D40="1"),"c002x   - Micro &amp; SME",IF(AND('Other non-financial'!C40="outras empresas nao financeiras",'Other non-financial'!D40&lt;&gt;"1"),"c003x   - Corporates",IF('Other non-financial'!C40="","c010x   - Non-identified, not listed on an exchange platform",IF(OR('Other non-financial'!C40="setor publico",'Other non-financial'!C40="bancos centrais"),"c008x   - Government, central banks &amp; supranationals",""))))))))</f>
        <v>c010x   - Non-identified, not listed on an exchange platform</v>
      </c>
      <c r="G46" s="11" t="str">
        <f>'Other non-financial'!G40</f>
        <v>Rank 9 - Ranking in insolvency (master scale)</v>
      </c>
      <c r="H46" s="11">
        <v>0</v>
      </c>
      <c r="I46" s="11">
        <v>0</v>
      </c>
      <c r="J46" s="11" t="s">
        <v>64</v>
      </c>
      <c r="K46" s="14" t="s">
        <v>65</v>
      </c>
      <c r="L46" s="11" t="str">
        <f>'Other non-financial'!H40</f>
        <v>Liabilities other than financial liabilities, provisions, tax liabilities, deferred income</v>
      </c>
      <c r="M46" s="12">
        <f>'Other non-financial'!B40</f>
        <v>2557019.36</v>
      </c>
      <c r="N46" s="11" t="str">
        <f>'Other non-financial'!A40</f>
        <v>EURO</v>
      </c>
      <c r="O46" s="11" t="str">
        <f>'Other non-financial'!E40</f>
        <v>2022-12-31</v>
      </c>
      <c r="P46" s="15">
        <v>72716</v>
      </c>
      <c r="Q46" s="11" t="s">
        <v>66</v>
      </c>
      <c r="R46" s="11">
        <v>0</v>
      </c>
    </row>
    <row r="47" spans="3:18" ht="60.75" thickBot="1">
      <c r="C47" s="10" t="s">
        <v>63</v>
      </c>
      <c r="D47" s="11">
        <v>40</v>
      </c>
      <c r="E47" s="11" t="str">
        <f>'Other non-financial'!F41</f>
        <v>r0390 - Non-financial liabilities</v>
      </c>
      <c r="F47" s="11" t="str">
        <f>IF(E47="r0170 - Employee liabilities (BRRD art. 44/2/g/i)","c001x   - Households",IF('Other non-financial'!C41="particulares","c001x   - Households",IF('Other non-financial'!C41="outras instituicoes financeiras","c005x   - Other financial corporations",IF('Other non-financial'!C41="instituicoes de credito","c004x   - Institutions",IF(AND('Other non-financial'!C41="outras empresas nao financeiras",'Other non-financial'!D41="1"),"c002x   - Micro &amp; SME",IF(AND('Other non-financial'!C41="outras empresas nao financeiras",'Other non-financial'!D41&lt;&gt;"1"),"c003x   - Corporates",IF('Other non-financial'!C41="","c010x   - Non-identified, not listed on an exchange platform",IF(OR('Other non-financial'!C41="setor publico",'Other non-financial'!C41="bancos centrais"),"c008x   - Government, central banks &amp; supranationals",""))))))))</f>
        <v>c010x   - Non-identified, not listed on an exchange platform</v>
      </c>
      <c r="G47" s="11" t="str">
        <f>'Other non-financial'!G41</f>
        <v>Rank 9 - Ranking in insolvency (master scale)</v>
      </c>
      <c r="H47" s="11">
        <v>0</v>
      </c>
      <c r="I47" s="11">
        <v>0</v>
      </c>
      <c r="J47" s="11" t="s">
        <v>64</v>
      </c>
      <c r="K47" s="14" t="s">
        <v>65</v>
      </c>
      <c r="L47" s="11" t="str">
        <f>'Other non-financial'!H41</f>
        <v>Liabilities other than financial liabilities, provisions, tax liabilities, deferred income</v>
      </c>
      <c r="M47" s="12">
        <f>'Other non-financial'!B41</f>
        <v>83458.95</v>
      </c>
      <c r="N47" s="11" t="str">
        <f>'Other non-financial'!A41</f>
        <v>EURO</v>
      </c>
      <c r="O47" s="11" t="str">
        <f>'Other non-financial'!E41</f>
        <v>2022-12-31</v>
      </c>
      <c r="P47" s="15">
        <v>72716</v>
      </c>
      <c r="Q47" s="11" t="s">
        <v>66</v>
      </c>
      <c r="R47" s="11">
        <v>0</v>
      </c>
    </row>
    <row r="48" spans="3:18" ht="60.75" thickBot="1">
      <c r="C48" s="10" t="s">
        <v>63</v>
      </c>
      <c r="D48" s="11">
        <v>41</v>
      </c>
      <c r="E48" s="11" t="str">
        <f>'Other non-financial'!F42</f>
        <v>r0390 - Non-financial liabilities</v>
      </c>
      <c r="F48" s="11" t="str">
        <f>IF(E48="r0170 - Employee liabilities (BRRD art. 44/2/g/i)","c001x   - Households",IF('Other non-financial'!C42="particulares","c001x   - Households",IF('Other non-financial'!C42="outras instituicoes financeiras","c005x   - Other financial corporations",IF('Other non-financial'!C42="instituicoes de credito","c004x   - Institutions",IF(AND('Other non-financial'!C42="outras empresas nao financeiras",'Other non-financial'!D42="1"),"c002x   - Micro &amp; SME",IF(AND('Other non-financial'!C42="outras empresas nao financeiras",'Other non-financial'!D42&lt;&gt;"1"),"c003x   - Corporates",IF('Other non-financial'!C42="","c010x   - Non-identified, not listed on an exchange platform",IF(OR('Other non-financial'!C42="setor publico",'Other non-financial'!C42="bancos centrais"),"c008x   - Government, central banks &amp; supranationals",""))))))))</f>
        <v>c010x   - Non-identified, not listed on an exchange platform</v>
      </c>
      <c r="G48" s="11" t="str">
        <f>'Other non-financial'!G42</f>
        <v>Rank 9 - Ranking in insolvency (master scale)</v>
      </c>
      <c r="H48" s="11">
        <v>0</v>
      </c>
      <c r="I48" s="11">
        <v>0</v>
      </c>
      <c r="J48" s="11" t="s">
        <v>64</v>
      </c>
      <c r="K48" s="14" t="s">
        <v>65</v>
      </c>
      <c r="L48" s="11" t="str">
        <f>'Other non-financial'!H42</f>
        <v>Liabilities other than financial liabilities, provisions, tax liabilities, deferred income</v>
      </c>
      <c r="M48" s="12">
        <f>'Other non-financial'!B42</f>
        <v>469899.97</v>
      </c>
      <c r="N48" s="11" t="str">
        <f>'Other non-financial'!A42</f>
        <v>EURO</v>
      </c>
      <c r="O48" s="11" t="str">
        <f>'Other non-financial'!E42</f>
        <v>2022-12-31</v>
      </c>
      <c r="P48" s="15">
        <v>72716</v>
      </c>
      <c r="Q48" s="11" t="s">
        <v>66</v>
      </c>
      <c r="R48" s="11">
        <v>0</v>
      </c>
    </row>
    <row r="49" spans="3:18" ht="60.75" thickBot="1">
      <c r="C49" s="10" t="s">
        <v>63</v>
      </c>
      <c r="D49" s="11">
        <v>42</v>
      </c>
      <c r="E49" s="11" t="str">
        <f>'Other non-financial'!F43</f>
        <v>r0390 - Non-financial liabilities</v>
      </c>
      <c r="F49" s="11" t="str">
        <f>IF(E49="r0170 - Employee liabilities (BRRD art. 44/2/g/i)","c001x   - Households",IF('Other non-financial'!C43="particulares","c001x   - Households",IF('Other non-financial'!C43="outras instituicoes financeiras","c005x   - Other financial corporations",IF('Other non-financial'!C43="instituicoes de credito","c004x   - Institutions",IF(AND('Other non-financial'!C43="outras empresas nao financeiras",'Other non-financial'!D43="1"),"c002x   - Micro &amp; SME",IF(AND('Other non-financial'!C43="outras empresas nao financeiras",'Other non-financial'!D43&lt;&gt;"1"),"c003x   - Corporates",IF('Other non-financial'!C43="","c010x   - Non-identified, not listed on an exchange platform",IF(OR('Other non-financial'!C43="setor publico",'Other non-financial'!C43="bancos centrais"),"c008x   - Government, central banks &amp; supranationals",""))))))))</f>
        <v>c010x   - Non-identified, not listed on an exchange platform</v>
      </c>
      <c r="G49" s="11" t="str">
        <f>'Other non-financial'!G43</f>
        <v>Rank 9 - Ranking in insolvency (master scale)</v>
      </c>
      <c r="H49" s="11">
        <v>0</v>
      </c>
      <c r="I49" s="11">
        <v>0</v>
      </c>
      <c r="J49" s="11" t="s">
        <v>64</v>
      </c>
      <c r="K49" s="14" t="s">
        <v>65</v>
      </c>
      <c r="L49" s="11" t="str">
        <f>'Other non-financial'!H43</f>
        <v>Liabilities other than financial liabilities, provisions, tax liabilities, deferred income</v>
      </c>
      <c r="M49" s="12">
        <f>'Other non-financial'!B43</f>
        <v>166724.87</v>
      </c>
      <c r="N49" s="11" t="str">
        <f>'Other non-financial'!A43</f>
        <v>EURO</v>
      </c>
      <c r="O49" s="11" t="str">
        <f>'Other non-financial'!E43</f>
        <v>2022-12-31</v>
      </c>
      <c r="P49" s="15">
        <v>72716</v>
      </c>
      <c r="Q49" s="11" t="s">
        <v>66</v>
      </c>
      <c r="R49" s="11">
        <v>0</v>
      </c>
    </row>
    <row r="50" spans="3:18" ht="60.75" thickBot="1">
      <c r="C50" s="10" t="s">
        <v>63</v>
      </c>
      <c r="D50" s="11">
        <v>43</v>
      </c>
      <c r="E50" s="11" t="str">
        <f>'Other non-financial'!F44</f>
        <v>r0390 - Non-financial liabilities</v>
      </c>
      <c r="F50" s="11" t="str">
        <f>IF(E50="r0170 - Employee liabilities (BRRD art. 44/2/g/i)","c001x   - Households",IF('Other non-financial'!C44="particulares","c001x   - Households",IF('Other non-financial'!C44="outras instituicoes financeiras","c005x   - Other financial corporations",IF('Other non-financial'!C44="instituicoes de credito","c004x   - Institutions",IF(AND('Other non-financial'!C44="outras empresas nao financeiras",'Other non-financial'!D44="1"),"c002x   - Micro &amp; SME",IF(AND('Other non-financial'!C44="outras empresas nao financeiras",'Other non-financial'!D44&lt;&gt;"1"),"c003x   - Corporates",IF('Other non-financial'!C44="","c010x   - Non-identified, not listed on an exchange platform",IF(OR('Other non-financial'!C44="setor publico",'Other non-financial'!C44="bancos centrais"),"c008x   - Government, central banks &amp; supranationals",""))))))))</f>
        <v>c010x   - Non-identified, not listed on an exchange platform</v>
      </c>
      <c r="G50" s="11" t="str">
        <f>'Other non-financial'!G44</f>
        <v>Rank 9 - Ranking in insolvency (master scale)</v>
      </c>
      <c r="H50" s="11">
        <v>0</v>
      </c>
      <c r="I50" s="11">
        <v>0</v>
      </c>
      <c r="J50" s="11" t="s">
        <v>64</v>
      </c>
      <c r="K50" s="14" t="s">
        <v>65</v>
      </c>
      <c r="L50" s="11" t="str">
        <f>'Other non-financial'!H44</f>
        <v>Liabilities other than financial liabilities, provisions, tax liabilities, deferred income</v>
      </c>
      <c r="M50" s="12">
        <f>'Other non-financial'!B44</f>
        <v>388854.86</v>
      </c>
      <c r="N50" s="11" t="str">
        <f>'Other non-financial'!A44</f>
        <v>EURO</v>
      </c>
      <c r="O50" s="11" t="str">
        <f>'Other non-financial'!E44</f>
        <v>2022-12-31</v>
      </c>
      <c r="P50" s="15">
        <v>72716</v>
      </c>
      <c r="Q50" s="11" t="s">
        <v>66</v>
      </c>
      <c r="R50" s="11">
        <v>0</v>
      </c>
    </row>
    <row r="51" spans="3:18" ht="60.75" thickBot="1">
      <c r="C51" s="10" t="s">
        <v>63</v>
      </c>
      <c r="D51" s="11">
        <v>44</v>
      </c>
      <c r="E51" s="11" t="str">
        <f>'Other non-financial'!F45</f>
        <v>r0390 - Non-financial liabilities</v>
      </c>
      <c r="F51" s="11" t="str">
        <f>IF(E51="r0170 - Employee liabilities (BRRD art. 44/2/g/i)","c001x   - Households",IF('Other non-financial'!C45="particulares","c001x   - Households",IF('Other non-financial'!C45="outras instituicoes financeiras","c005x   - Other financial corporations",IF('Other non-financial'!C45="instituicoes de credito","c004x   - Institutions",IF(AND('Other non-financial'!C45="outras empresas nao financeiras",'Other non-financial'!D45="1"),"c002x   - Micro &amp; SME",IF(AND('Other non-financial'!C45="outras empresas nao financeiras",'Other non-financial'!D45&lt;&gt;"1"),"c003x   - Corporates",IF('Other non-financial'!C45="","c010x   - Non-identified, not listed on an exchange platform",IF(OR('Other non-financial'!C45="setor publico",'Other non-financial'!C45="bancos centrais"),"c008x   - Government, central banks &amp; supranationals",""))))))))</f>
        <v>c010x   - Non-identified, not listed on an exchange platform</v>
      </c>
      <c r="G51" s="11" t="str">
        <f>'Other non-financial'!G45</f>
        <v>Rank 9 - Ranking in insolvency (master scale)</v>
      </c>
      <c r="H51" s="11">
        <v>0</v>
      </c>
      <c r="I51" s="11">
        <v>0</v>
      </c>
      <c r="J51" s="11" t="s">
        <v>64</v>
      </c>
      <c r="K51" s="14" t="s">
        <v>65</v>
      </c>
      <c r="L51" s="11" t="str">
        <f>'Other non-financial'!H45</f>
        <v>Liabilities other than financial liabilities, provisions, tax liabilities, deferred income</v>
      </c>
      <c r="M51" s="12">
        <f>'Other non-financial'!B45</f>
        <v>129906.48</v>
      </c>
      <c r="N51" s="11" t="str">
        <f>'Other non-financial'!A45</f>
        <v>EURO</v>
      </c>
      <c r="O51" s="11" t="str">
        <f>'Other non-financial'!E45</f>
        <v>2022-12-31</v>
      </c>
      <c r="P51" s="15">
        <v>72716</v>
      </c>
      <c r="Q51" s="11" t="s">
        <v>66</v>
      </c>
      <c r="R51" s="11">
        <v>0</v>
      </c>
    </row>
    <row r="52" spans="3:18" ht="60.75" thickBot="1">
      <c r="C52" s="10" t="s">
        <v>63</v>
      </c>
      <c r="D52" s="11">
        <v>45</v>
      </c>
      <c r="E52" s="11" t="str">
        <f>'Other non-financial'!F46</f>
        <v>r0390 - Non-financial liabilities</v>
      </c>
      <c r="F52" s="11" t="str">
        <f>IF(E52="r0170 - Employee liabilities (BRRD art. 44/2/g/i)","c001x   - Households",IF('Other non-financial'!C46="particulares","c001x   - Households",IF('Other non-financial'!C46="outras instituicoes financeiras","c005x   - Other financial corporations",IF('Other non-financial'!C46="instituicoes de credito","c004x   - Institutions",IF(AND('Other non-financial'!C46="outras empresas nao financeiras",'Other non-financial'!D46="1"),"c002x   - Micro &amp; SME",IF(AND('Other non-financial'!C46="outras empresas nao financeiras",'Other non-financial'!D46&lt;&gt;"1"),"c003x   - Corporates",IF('Other non-financial'!C46="","c010x   - Non-identified, not listed on an exchange platform",IF(OR('Other non-financial'!C46="setor publico",'Other non-financial'!C46="bancos centrais"),"c008x   - Government, central banks &amp; supranationals",""))))))))</f>
        <v>c010x   - Non-identified, not listed on an exchange platform</v>
      </c>
      <c r="G52" s="11" t="str">
        <f>'Other non-financial'!G46</f>
        <v>Rank 9 - Ranking in insolvency (master scale)</v>
      </c>
      <c r="H52" s="11">
        <v>0</v>
      </c>
      <c r="I52" s="11">
        <v>0</v>
      </c>
      <c r="J52" s="11" t="s">
        <v>64</v>
      </c>
      <c r="K52" s="14" t="s">
        <v>65</v>
      </c>
      <c r="L52" s="11" t="str">
        <f>'Other non-financial'!H46</f>
        <v>Liabilities other than financial liabilities, provisions, tax liabilities, deferred income</v>
      </c>
      <c r="M52" s="12">
        <f>'Other non-financial'!B46</f>
        <v>276701.42</v>
      </c>
      <c r="N52" s="11" t="str">
        <f>'Other non-financial'!A46</f>
        <v>EURO</v>
      </c>
      <c r="O52" s="11" t="str">
        <f>'Other non-financial'!E46</f>
        <v>2022-12-31</v>
      </c>
      <c r="P52" s="15">
        <v>72716</v>
      </c>
      <c r="Q52" s="11" t="s">
        <v>66</v>
      </c>
      <c r="R52" s="11">
        <v>0</v>
      </c>
    </row>
    <row r="53" spans="3:18" ht="60.75" thickBot="1">
      <c r="C53" s="10" t="s">
        <v>63</v>
      </c>
      <c r="D53" s="11">
        <v>46</v>
      </c>
      <c r="E53" s="11" t="str">
        <f>'Other non-financial'!F47</f>
        <v>r0390 - Non-financial liabilities</v>
      </c>
      <c r="F53" s="11" t="str">
        <f>IF(E53="r0170 - Employee liabilities (BRRD art. 44/2/g/i)","c001x   - Households",IF('Other non-financial'!C47="particulares","c001x   - Households",IF('Other non-financial'!C47="outras instituicoes financeiras","c005x   - Other financial corporations",IF('Other non-financial'!C47="instituicoes de credito","c004x   - Institutions",IF(AND('Other non-financial'!C47="outras empresas nao financeiras",'Other non-financial'!D47="1"),"c002x   - Micro &amp; SME",IF(AND('Other non-financial'!C47="outras empresas nao financeiras",'Other non-financial'!D47&lt;&gt;"1"),"c003x   - Corporates",IF('Other non-financial'!C47="","c010x   - Non-identified, not listed on an exchange platform",IF(OR('Other non-financial'!C47="setor publico",'Other non-financial'!C47="bancos centrais"),"c008x   - Government, central banks &amp; supranationals",""))))))))</f>
        <v>c010x   - Non-identified, not listed on an exchange platform</v>
      </c>
      <c r="G53" s="11" t="str">
        <f>'Other non-financial'!G47</f>
        <v>Rank 9 - Ranking in insolvency (master scale)</v>
      </c>
      <c r="H53" s="11">
        <v>0</v>
      </c>
      <c r="I53" s="11">
        <v>0</v>
      </c>
      <c r="J53" s="11" t="s">
        <v>64</v>
      </c>
      <c r="K53" s="14" t="s">
        <v>65</v>
      </c>
      <c r="L53" s="11" t="str">
        <f>'Other non-financial'!H47</f>
        <v>Liabilities other than financial liabilities, provisions, tax liabilities, deferred income</v>
      </c>
      <c r="M53" s="12">
        <f>'Other non-financial'!B47</f>
        <v>8048950.8499999996</v>
      </c>
      <c r="N53" s="11" t="str">
        <f>'Other non-financial'!A47</f>
        <v>EURO</v>
      </c>
      <c r="O53" s="11" t="str">
        <f>'Other non-financial'!E47</f>
        <v>2022-12-31</v>
      </c>
      <c r="P53" s="15">
        <v>72716</v>
      </c>
      <c r="Q53" s="11" t="s">
        <v>66</v>
      </c>
      <c r="R53" s="11">
        <v>0</v>
      </c>
    </row>
    <row r="54" spans="3:18" ht="60.75" thickBot="1">
      <c r="C54" s="10" t="s">
        <v>63</v>
      </c>
      <c r="D54" s="11">
        <v>47</v>
      </c>
      <c r="E54" s="11" t="str">
        <f>'Other non-financial'!F48</f>
        <v>r0390 - Non-financial liabilities</v>
      </c>
      <c r="F54" s="11" t="str">
        <f>IF(E54="r0170 - Employee liabilities (BRRD art. 44/2/g/i)","c001x   - Households",IF('Other non-financial'!C48="particulares","c001x   - Households",IF('Other non-financial'!C48="outras instituicoes financeiras","c005x   - Other financial corporations",IF('Other non-financial'!C48="instituicoes de credito","c004x   - Institutions",IF(AND('Other non-financial'!C48="outras empresas nao financeiras",'Other non-financial'!D48="1"),"c002x   - Micro &amp; SME",IF(AND('Other non-financial'!C48="outras empresas nao financeiras",'Other non-financial'!D48&lt;&gt;"1"),"c003x   - Corporates",IF('Other non-financial'!C48="","c010x   - Non-identified, not listed on an exchange platform",IF(OR('Other non-financial'!C48="setor publico",'Other non-financial'!C48="bancos centrais"),"c008x   - Government, central banks &amp; supranationals",""))))))))</f>
        <v>c010x   - Non-identified, not listed on an exchange platform</v>
      </c>
      <c r="G54" s="11" t="str">
        <f>'Other non-financial'!G48</f>
        <v>Rank 9 - Ranking in insolvency (master scale)</v>
      </c>
      <c r="H54" s="11">
        <v>0</v>
      </c>
      <c r="I54" s="11">
        <v>0</v>
      </c>
      <c r="J54" s="11" t="s">
        <v>64</v>
      </c>
      <c r="K54" s="14" t="s">
        <v>65</v>
      </c>
      <c r="L54" s="11" t="str">
        <f>'Other non-financial'!H48</f>
        <v>Liabilities other than financial liabilities, provisions, tax liabilities, deferred income</v>
      </c>
      <c r="M54" s="12">
        <f>'Other non-financial'!B48</f>
        <v>16514778.939999999</v>
      </c>
      <c r="N54" s="11" t="str">
        <f>'Other non-financial'!A48</f>
        <v>EURO</v>
      </c>
      <c r="O54" s="11" t="str">
        <f>'Other non-financial'!E48</f>
        <v>2022-12-31</v>
      </c>
      <c r="P54" s="15">
        <v>72716</v>
      </c>
      <c r="Q54" s="11" t="s">
        <v>66</v>
      </c>
      <c r="R54" s="11">
        <v>0</v>
      </c>
    </row>
    <row r="55" spans="3:18" ht="60.75" thickBot="1">
      <c r="C55" s="10" t="s">
        <v>63</v>
      </c>
      <c r="D55" s="11">
        <v>48</v>
      </c>
      <c r="E55" s="11" t="str">
        <f>'Other non-financial'!F49</f>
        <v>r0390 - Non-financial liabilities</v>
      </c>
      <c r="F55" s="11" t="str">
        <f>IF(E55="r0170 - Employee liabilities (BRRD art. 44/2/g/i)","c001x   - Households",IF('Other non-financial'!C49="particulares","c001x   - Households",IF('Other non-financial'!C49="outras instituicoes financeiras","c005x   - Other financial corporations",IF('Other non-financial'!C49="instituicoes de credito","c004x   - Institutions",IF(AND('Other non-financial'!C49="outras empresas nao financeiras",'Other non-financial'!D49="1"),"c002x   - Micro &amp; SME",IF(AND('Other non-financial'!C49="outras empresas nao financeiras",'Other non-financial'!D49&lt;&gt;"1"),"c003x   - Corporates",IF('Other non-financial'!C49="","c010x   - Non-identified, not listed on an exchange platform",IF(OR('Other non-financial'!C49="setor publico",'Other non-financial'!C49="bancos centrais"),"c008x   - Government, central banks &amp; supranationals",""))))))))</f>
        <v>c010x   - Non-identified, not listed on an exchange platform</v>
      </c>
      <c r="G55" s="11" t="str">
        <f>'Other non-financial'!G49</f>
        <v>Rank 9 - Ranking in insolvency (master scale)</v>
      </c>
      <c r="H55" s="11">
        <v>0</v>
      </c>
      <c r="I55" s="11">
        <v>0</v>
      </c>
      <c r="J55" s="11" t="s">
        <v>64</v>
      </c>
      <c r="K55" s="14" t="s">
        <v>65</v>
      </c>
      <c r="L55" s="11" t="str">
        <f>'Other non-financial'!H49</f>
        <v>Liabilities other than financial liabilities, provisions, tax liabilities, deferred income</v>
      </c>
      <c r="M55" s="12">
        <f>'Other non-financial'!B49</f>
        <v>62385810.420000002</v>
      </c>
      <c r="N55" s="11" t="str">
        <f>'Other non-financial'!A49</f>
        <v>EURO</v>
      </c>
      <c r="O55" s="11" t="str">
        <f>'Other non-financial'!E49</f>
        <v>2022-12-31</v>
      </c>
      <c r="P55" s="15">
        <v>72716</v>
      </c>
      <c r="Q55" s="11" t="s">
        <v>66</v>
      </c>
      <c r="R55" s="11">
        <v>0</v>
      </c>
    </row>
    <row r="56" spans="3:18" ht="60.75" thickBot="1">
      <c r="C56" s="10" t="s">
        <v>63</v>
      </c>
      <c r="D56" s="11">
        <v>49</v>
      </c>
      <c r="E56" s="11" t="str">
        <f>'Other non-financial'!F50</f>
        <v>r0390 - Non-financial liabilities</v>
      </c>
      <c r="F56" s="11" t="str">
        <f>IF(E56="r0170 - Employee liabilities (BRRD art. 44/2/g/i)","c001x   - Households",IF('Other non-financial'!C50="particulares","c001x   - Households",IF('Other non-financial'!C50="outras instituicoes financeiras","c005x   - Other financial corporations",IF('Other non-financial'!C50="instituicoes de credito","c004x   - Institutions",IF(AND('Other non-financial'!C50="outras empresas nao financeiras",'Other non-financial'!D50="1"),"c002x   - Micro &amp; SME",IF(AND('Other non-financial'!C50="outras empresas nao financeiras",'Other non-financial'!D50&lt;&gt;"1"),"c003x   - Corporates",IF('Other non-financial'!C50="","c010x   - Non-identified, not listed on an exchange platform",IF(OR('Other non-financial'!C50="setor publico",'Other non-financial'!C50="bancos centrais"),"c008x   - Government, central banks &amp; supranationals",""))))))))</f>
        <v>c010x   - Non-identified, not listed on an exchange platform</v>
      </c>
      <c r="G56" s="11" t="str">
        <f>'Other non-financial'!G50</f>
        <v>Rank 9 - Ranking in insolvency (master scale)</v>
      </c>
      <c r="H56" s="11">
        <v>0</v>
      </c>
      <c r="I56" s="11">
        <v>0</v>
      </c>
      <c r="J56" s="11" t="s">
        <v>64</v>
      </c>
      <c r="K56" s="14" t="s">
        <v>65</v>
      </c>
      <c r="L56" s="11" t="str">
        <f>'Other non-financial'!H50</f>
        <v>Liabilities other than financial liabilities, provisions, tax liabilities, deferred income</v>
      </c>
      <c r="M56" s="12">
        <f>'Other non-financial'!B50</f>
        <v>0.01</v>
      </c>
      <c r="N56" s="11" t="str">
        <f>'Other non-financial'!A50</f>
        <v>EURO</v>
      </c>
      <c r="O56" s="11" t="str">
        <f>'Other non-financial'!E50</f>
        <v>2022-12-31</v>
      </c>
      <c r="P56" s="15">
        <v>72716</v>
      </c>
      <c r="Q56" s="11" t="s">
        <v>66</v>
      </c>
      <c r="R56" s="11">
        <v>0</v>
      </c>
    </row>
    <row r="57" spans="3:18" ht="60.75" thickBot="1">
      <c r="C57" s="10" t="s">
        <v>63</v>
      </c>
      <c r="D57" s="11">
        <v>50</v>
      </c>
      <c r="E57" s="11" t="str">
        <f>'Other non-financial'!F51</f>
        <v>r0390 - Non-financial liabilities</v>
      </c>
      <c r="F57" s="11" t="str">
        <f>IF(E57="r0170 - Employee liabilities (BRRD art. 44/2/g/i)","c001x   - Households",IF('Other non-financial'!C51="particulares","c001x   - Households",IF('Other non-financial'!C51="outras instituicoes financeiras","c005x   - Other financial corporations",IF('Other non-financial'!C51="instituicoes de credito","c004x   - Institutions",IF(AND('Other non-financial'!C51="outras empresas nao financeiras",'Other non-financial'!D51="1"),"c002x   - Micro &amp; SME",IF(AND('Other non-financial'!C51="outras empresas nao financeiras",'Other non-financial'!D51&lt;&gt;"1"),"c003x   - Corporates",IF('Other non-financial'!C51="","c010x   - Non-identified, not listed on an exchange platform",IF(OR('Other non-financial'!C51="setor publico",'Other non-financial'!C51="bancos centrais"),"c008x   - Government, central banks &amp; supranationals",""))))))))</f>
        <v>c010x   - Non-identified, not listed on an exchange platform</v>
      </c>
      <c r="G57" s="11" t="str">
        <f>'Other non-financial'!G51</f>
        <v>Rank 9 - Ranking in insolvency (master scale)</v>
      </c>
      <c r="H57" s="11">
        <v>0</v>
      </c>
      <c r="I57" s="11">
        <v>0</v>
      </c>
      <c r="J57" s="11" t="s">
        <v>64</v>
      </c>
      <c r="K57" s="14" t="s">
        <v>65</v>
      </c>
      <c r="L57" s="11" t="str">
        <f>'Other non-financial'!H51</f>
        <v>Liabilities other than financial liabilities, provisions, tax liabilities, deferred income</v>
      </c>
      <c r="M57" s="12">
        <f>'Other non-financial'!B51</f>
        <v>0.01</v>
      </c>
      <c r="N57" s="11" t="str">
        <f>'Other non-financial'!A51</f>
        <v>EURO</v>
      </c>
      <c r="O57" s="11" t="str">
        <f>'Other non-financial'!E51</f>
        <v>2022-12-31</v>
      </c>
      <c r="P57" s="15">
        <v>72716</v>
      </c>
      <c r="Q57" s="11" t="s">
        <v>66</v>
      </c>
      <c r="R57" s="11">
        <v>0</v>
      </c>
    </row>
    <row r="58" spans="3:18" ht="60.75" thickBot="1">
      <c r="C58" s="10" t="s">
        <v>63</v>
      </c>
      <c r="D58" s="11">
        <v>51</v>
      </c>
      <c r="E58" s="11" t="str">
        <f>'Other non-financial'!F52</f>
        <v>r0390 - Non-financial liabilities</v>
      </c>
      <c r="F58" s="11" t="str">
        <f>IF(E58="r0170 - Employee liabilities (BRRD art. 44/2/g/i)","c001x   - Households",IF('Other non-financial'!C52="particulares","c001x   - Households",IF('Other non-financial'!C52="outras instituicoes financeiras","c005x   - Other financial corporations",IF('Other non-financial'!C52="instituicoes de credito","c004x   - Institutions",IF(AND('Other non-financial'!C52="outras empresas nao financeiras",'Other non-financial'!D52="1"),"c002x   - Micro &amp; SME",IF(AND('Other non-financial'!C52="outras empresas nao financeiras",'Other non-financial'!D52&lt;&gt;"1"),"c003x   - Corporates",IF('Other non-financial'!C52="","c010x   - Non-identified, not listed on an exchange platform",IF(OR('Other non-financial'!C52="setor publico",'Other non-financial'!C52="bancos centrais"),"c008x   - Government, central banks &amp; supranationals",""))))))))</f>
        <v>c010x   - Non-identified, not listed on an exchange platform</v>
      </c>
      <c r="G58" s="11" t="str">
        <f>'Other non-financial'!G52</f>
        <v>Rank 9 - Ranking in insolvency (master scale)</v>
      </c>
      <c r="H58" s="11">
        <v>0</v>
      </c>
      <c r="I58" s="11">
        <v>0</v>
      </c>
      <c r="J58" s="11" t="s">
        <v>64</v>
      </c>
      <c r="K58" s="14" t="s">
        <v>65</v>
      </c>
      <c r="L58" s="11" t="str">
        <f>'Other non-financial'!H52</f>
        <v>Liabilities other than financial liabilities, provisions, tax liabilities, deferred income</v>
      </c>
      <c r="M58" s="12">
        <f>'Other non-financial'!B52</f>
        <v>4461277.01</v>
      </c>
      <c r="N58" s="11" t="str">
        <f>'Other non-financial'!A52</f>
        <v>EURO</v>
      </c>
      <c r="O58" s="11" t="str">
        <f>'Other non-financial'!E52</f>
        <v>2022-12-31</v>
      </c>
      <c r="P58" s="15">
        <v>72716</v>
      </c>
      <c r="Q58" s="11" t="s">
        <v>66</v>
      </c>
      <c r="R58" s="11">
        <v>0</v>
      </c>
    </row>
    <row r="59" spans="3:18" ht="60.75" thickBot="1">
      <c r="C59" s="10" t="s">
        <v>63</v>
      </c>
      <c r="D59" s="11">
        <v>52</v>
      </c>
      <c r="E59" s="11" t="str">
        <f>'Other non-financial'!F53</f>
        <v>r0390 - Non-financial liabilities</v>
      </c>
      <c r="F59" s="11" t="str">
        <f>IF(E59="r0170 - Employee liabilities (BRRD art. 44/2/g/i)","c001x   - Households",IF('Other non-financial'!C53="particulares","c001x   - Households",IF('Other non-financial'!C53="outras instituicoes financeiras","c005x   - Other financial corporations",IF('Other non-financial'!C53="instituicoes de credito","c004x   - Institutions",IF(AND('Other non-financial'!C53="outras empresas nao financeiras",'Other non-financial'!D53="1"),"c002x   - Micro &amp; SME",IF(AND('Other non-financial'!C53="outras empresas nao financeiras",'Other non-financial'!D53&lt;&gt;"1"),"c003x   - Corporates",IF('Other non-financial'!C53="","c010x   - Non-identified, not listed on an exchange platform",IF(OR('Other non-financial'!C53="setor publico",'Other non-financial'!C53="bancos centrais"),"c008x   - Government, central banks &amp; supranationals",""))))))))</f>
        <v>c010x   - Non-identified, not listed on an exchange platform</v>
      </c>
      <c r="G59" s="11" t="str">
        <f>'Other non-financial'!G53</f>
        <v>Rank 9 - Ranking in insolvency (master scale)</v>
      </c>
      <c r="H59" s="11">
        <v>0</v>
      </c>
      <c r="I59" s="11">
        <v>0</v>
      </c>
      <c r="J59" s="11" t="s">
        <v>64</v>
      </c>
      <c r="K59" s="14" t="s">
        <v>65</v>
      </c>
      <c r="L59" s="11" t="str">
        <f>'Other non-financial'!H53</f>
        <v>Liabilities other than financial liabilities, provisions, tax liabilities, deferred income</v>
      </c>
      <c r="M59" s="12">
        <f>'Other non-financial'!B53</f>
        <v>2762223.34</v>
      </c>
      <c r="N59" s="11" t="str">
        <f>'Other non-financial'!A53</f>
        <v>EURO</v>
      </c>
      <c r="O59" s="11" t="str">
        <f>'Other non-financial'!E53</f>
        <v>2022-12-31</v>
      </c>
      <c r="P59" s="15">
        <v>72716</v>
      </c>
      <c r="Q59" s="11" t="s">
        <v>66</v>
      </c>
      <c r="R59" s="11">
        <v>0</v>
      </c>
    </row>
    <row r="60" spans="3:18" ht="60.75" thickBot="1">
      <c r="C60" s="10" t="s">
        <v>63</v>
      </c>
      <c r="D60" s="11">
        <v>53</v>
      </c>
      <c r="E60" s="11" t="str">
        <f>'Other non-financial'!F54</f>
        <v>r0390 - Non-financial liabilities</v>
      </c>
      <c r="F60" s="11" t="str">
        <f>IF(E60="r0170 - Employee liabilities (BRRD art. 44/2/g/i)","c001x   - Households",IF('Other non-financial'!C54="particulares","c001x   - Households",IF('Other non-financial'!C54="outras instituicoes financeiras","c005x   - Other financial corporations",IF('Other non-financial'!C54="instituicoes de credito","c004x   - Institutions",IF(AND('Other non-financial'!C54="outras empresas nao financeiras",'Other non-financial'!D54="1"),"c002x   - Micro &amp; SME",IF(AND('Other non-financial'!C54="outras empresas nao financeiras",'Other non-financial'!D54&lt;&gt;"1"),"c003x   - Corporates",IF('Other non-financial'!C54="","c010x   - Non-identified, not listed on an exchange platform",IF(OR('Other non-financial'!C54="setor publico",'Other non-financial'!C54="bancos centrais"),"c008x   - Government, central banks &amp; supranationals",""))))))))</f>
        <v>c010x   - Non-identified, not listed on an exchange platform</v>
      </c>
      <c r="G60" s="11" t="str">
        <f>'Other non-financial'!G54</f>
        <v>Rank 9 - Ranking in insolvency (master scale)</v>
      </c>
      <c r="H60" s="11">
        <v>0</v>
      </c>
      <c r="I60" s="11">
        <v>0</v>
      </c>
      <c r="J60" s="11" t="s">
        <v>64</v>
      </c>
      <c r="K60" s="14" t="s">
        <v>65</v>
      </c>
      <c r="L60" s="11" t="str">
        <f>'Other non-financial'!H54</f>
        <v>Liabilities other than financial liabilities, provisions, tax liabilities, deferred income</v>
      </c>
      <c r="M60" s="12">
        <f>'Other non-financial'!B54</f>
        <v>133165471.25000001</v>
      </c>
      <c r="N60" s="11" t="str">
        <f>'Other non-financial'!A54</f>
        <v>EURO</v>
      </c>
      <c r="O60" s="11" t="str">
        <f>'Other non-financial'!E54</f>
        <v>2022-12-31</v>
      </c>
      <c r="P60" s="15">
        <v>72716</v>
      </c>
      <c r="Q60" s="11" t="s">
        <v>66</v>
      </c>
      <c r="R60" s="11">
        <v>0</v>
      </c>
    </row>
    <row r="61" spans="3:18" ht="36.75" thickBot="1">
      <c r="C61" s="10" t="s">
        <v>63</v>
      </c>
      <c r="D61" s="11">
        <v>54</v>
      </c>
      <c r="E61" s="11" t="str">
        <f>'Other non-financial'!F55</f>
        <v>r0390 - Non-financial liabilities</v>
      </c>
      <c r="F61" s="11" t="str">
        <f>IF(E61="r0170 - Employee liabilities (BRRD art. 44/2/g/i)","c001x   - Households",IF('Other non-financial'!C55="particulares","c001x   - Households",IF('Other non-financial'!C55="outras instituicoes financeiras","c005x   - Other financial corporations",IF('Other non-financial'!C55="instituicoes de credito","c004x   - Institutions",IF(AND('Other non-financial'!C55="outras empresas nao financeiras",'Other non-financial'!D55="1"),"c002x   - Micro &amp; SME",IF(AND('Other non-financial'!C55="outras empresas nao financeiras",'Other non-financial'!D55&lt;&gt;"1"),"c003x   - Corporates",IF('Other non-financial'!C55="","c010x   - Non-identified, not listed on an exchange platform",IF(OR('Other non-financial'!C55="setor publico",'Other non-financial'!C55="bancos centrais"),"c008x   - Government, central banks &amp; supranationals",""))))))))</f>
        <v>c010x   - Non-identified, not listed on an exchange platform</v>
      </c>
      <c r="G61" s="11" t="str">
        <f>'Other non-financial'!G55</f>
        <v>Rank 9 - Ranking in insolvency (master scale)</v>
      </c>
      <c r="H61" s="11">
        <v>0</v>
      </c>
      <c r="I61" s="11">
        <v>0</v>
      </c>
      <c r="J61" s="11" t="s">
        <v>64</v>
      </c>
      <c r="K61" s="14" t="s">
        <v>65</v>
      </c>
      <c r="L61" s="11" t="str">
        <f>'Other non-financial'!H55</f>
        <v>Provisions. Off-balance sheet exposures subject to credit risk</v>
      </c>
      <c r="M61" s="12">
        <f>'Other non-financial'!B55</f>
        <v>0</v>
      </c>
      <c r="N61" s="11" t="str">
        <f>'Other non-financial'!A55</f>
        <v>EURO</v>
      </c>
      <c r="O61" s="11" t="str">
        <f>'Other non-financial'!E55</f>
        <v>2022-12-31</v>
      </c>
      <c r="P61" s="15">
        <v>72716</v>
      </c>
      <c r="Q61" s="11" t="s">
        <v>66</v>
      </c>
      <c r="R61" s="11">
        <v>0</v>
      </c>
    </row>
    <row r="62" spans="3:18" ht="36.75" thickBot="1">
      <c r="C62" s="10" t="s">
        <v>63</v>
      </c>
      <c r="D62" s="11">
        <v>55</v>
      </c>
      <c r="E62" s="11" t="str">
        <f>'Other non-financial'!F56</f>
        <v>r0390 - Non-financial liabilities</v>
      </c>
      <c r="F62" s="11" t="str">
        <f>IF(E62="r0170 - Employee liabilities (BRRD art. 44/2/g/i)","c001x   - Households",IF('Other non-financial'!C56="particulares","c001x   - Households",IF('Other non-financial'!C56="outras instituicoes financeiras","c005x   - Other financial corporations",IF('Other non-financial'!C56="instituicoes de credito","c004x   - Institutions",IF(AND('Other non-financial'!C56="outras empresas nao financeiras",'Other non-financial'!D56="1"),"c002x   - Micro &amp; SME",IF(AND('Other non-financial'!C56="outras empresas nao financeiras",'Other non-financial'!D56&lt;&gt;"1"),"c003x   - Corporates",IF('Other non-financial'!C56="","c010x   - Non-identified, not listed on an exchange platform",IF(OR('Other non-financial'!C56="setor publico",'Other non-financial'!C56="bancos centrais"),"c008x   - Government, central banks &amp; supranationals",""))))))))</f>
        <v>c010x   - Non-identified, not listed on an exchange platform</v>
      </c>
      <c r="G62" s="11" t="str">
        <f>'Other non-financial'!G56</f>
        <v>Rank 9 - Ranking in insolvency (master scale)</v>
      </c>
      <c r="H62" s="11">
        <v>0</v>
      </c>
      <c r="I62" s="11">
        <v>0</v>
      </c>
      <c r="J62" s="11" t="s">
        <v>64</v>
      </c>
      <c r="K62" s="14" t="s">
        <v>65</v>
      </c>
      <c r="L62" s="11" t="str">
        <f>'Other non-financial'!H56</f>
        <v>Provisions. Off-balance sheet exposures subject to credit risk</v>
      </c>
      <c r="M62" s="12">
        <f>'Other non-financial'!B56</f>
        <v>0</v>
      </c>
      <c r="N62" s="11" t="str">
        <f>'Other non-financial'!A56</f>
        <v>EURO</v>
      </c>
      <c r="O62" s="11" t="str">
        <f>'Other non-financial'!E56</f>
        <v>2022-12-31</v>
      </c>
      <c r="P62" s="15">
        <v>72716</v>
      </c>
      <c r="Q62" s="11" t="s">
        <v>66</v>
      </c>
      <c r="R62" s="11">
        <v>0</v>
      </c>
    </row>
    <row r="63" spans="3:18" ht="36.75" thickBot="1">
      <c r="C63" s="10" t="s">
        <v>63</v>
      </c>
      <c r="D63" s="11">
        <v>56</v>
      </c>
      <c r="E63" s="11" t="str">
        <f>'Other non-financial'!F57</f>
        <v>r0390 - Non-financial liabilities</v>
      </c>
      <c r="F63" s="11" t="str">
        <f>IF(E63="r0170 - Employee liabilities (BRRD art. 44/2/g/i)","c001x   - Households",IF('Other non-financial'!C57="particulares","c001x   - Households",IF('Other non-financial'!C57="outras instituicoes financeiras","c005x   - Other financial corporations",IF('Other non-financial'!C57="instituicoes de credito","c004x   - Institutions",IF(AND('Other non-financial'!C57="outras empresas nao financeiras",'Other non-financial'!D57="1"),"c002x   - Micro &amp; SME",IF(AND('Other non-financial'!C57="outras empresas nao financeiras",'Other non-financial'!D57&lt;&gt;"1"),"c003x   - Corporates",IF('Other non-financial'!C57="","c010x   - Non-identified, not listed on an exchange platform",IF(OR('Other non-financial'!C57="setor publico",'Other non-financial'!C57="bancos centrais"),"c008x   - Government, central banks &amp; supranationals",""))))))))</f>
        <v>c010x   - Non-identified, not listed on an exchange platform</v>
      </c>
      <c r="G63" s="11" t="str">
        <f>'Other non-financial'!G57</f>
        <v>Rank 9 - Ranking in insolvency (master scale)</v>
      </c>
      <c r="H63" s="11">
        <v>0</v>
      </c>
      <c r="I63" s="11">
        <v>0</v>
      </c>
      <c r="J63" s="11" t="s">
        <v>64</v>
      </c>
      <c r="K63" s="14" t="s">
        <v>65</v>
      </c>
      <c r="L63" s="11" t="str">
        <f>'Other non-financial'!H57</f>
        <v>Provisions. Off-balance sheet exposures subject to credit risk</v>
      </c>
      <c r="M63" s="12">
        <f>'Other non-financial'!B57</f>
        <v>0</v>
      </c>
      <c r="N63" s="11" t="str">
        <f>'Other non-financial'!A57</f>
        <v>EURO</v>
      </c>
      <c r="O63" s="11" t="str">
        <f>'Other non-financial'!E57</f>
        <v>2022-12-31</v>
      </c>
      <c r="P63" s="15">
        <v>72716</v>
      </c>
      <c r="Q63" s="11" t="s">
        <v>66</v>
      </c>
      <c r="R63" s="11">
        <v>0</v>
      </c>
    </row>
    <row r="64" spans="3:18" ht="36.75" thickBot="1">
      <c r="C64" s="10" t="s">
        <v>63</v>
      </c>
      <c r="D64" s="11">
        <v>57</v>
      </c>
      <c r="E64" s="11" t="str">
        <f>'Other non-financial'!F58</f>
        <v>r0390 - Non-financial liabilities</v>
      </c>
      <c r="F64" s="11" t="str">
        <f>IF(E64="r0170 - Employee liabilities (BRRD art. 44/2/g/i)","c001x   - Households",IF('Other non-financial'!C58="particulares","c001x   - Households",IF('Other non-financial'!C58="outras instituicoes financeiras","c005x   - Other financial corporations",IF('Other non-financial'!C58="instituicoes de credito","c004x   - Institutions",IF(AND('Other non-financial'!C58="outras empresas nao financeiras",'Other non-financial'!D58="1"),"c002x   - Micro &amp; SME",IF(AND('Other non-financial'!C58="outras empresas nao financeiras",'Other non-financial'!D58&lt;&gt;"1"),"c003x   - Corporates",IF('Other non-financial'!C58="","c010x   - Non-identified, not listed on an exchange platform",IF(OR('Other non-financial'!C58="setor publico",'Other non-financial'!C58="bancos centrais"),"c008x   - Government, central banks &amp; supranationals",""))))))))</f>
        <v>c010x   - Non-identified, not listed on an exchange platform</v>
      </c>
      <c r="G64" s="11" t="str">
        <f>'Other non-financial'!G58</f>
        <v>Rank 9 - Ranking in insolvency (master scale)</v>
      </c>
      <c r="H64" s="11">
        <v>0</v>
      </c>
      <c r="I64" s="11">
        <v>0</v>
      </c>
      <c r="J64" s="11" t="s">
        <v>64</v>
      </c>
      <c r="K64" s="14" t="s">
        <v>65</v>
      </c>
      <c r="L64" s="11" t="str">
        <f>'Other non-financial'!H58</f>
        <v>Provisions. Off-balance sheet exposures subject to credit risk</v>
      </c>
      <c r="M64" s="12">
        <f>'Other non-financial'!B58</f>
        <v>0</v>
      </c>
      <c r="N64" s="11" t="str">
        <f>'Other non-financial'!A58</f>
        <v>EURO</v>
      </c>
      <c r="O64" s="11" t="str">
        <f>'Other non-financial'!E58</f>
        <v>2022-12-31</v>
      </c>
      <c r="P64" s="15">
        <v>72716</v>
      </c>
      <c r="Q64" s="11" t="s">
        <v>66</v>
      </c>
      <c r="R64" s="11">
        <v>0</v>
      </c>
    </row>
    <row r="65" spans="3:18" ht="36.75" thickBot="1">
      <c r="C65" s="10" t="s">
        <v>63</v>
      </c>
      <c r="D65" s="11">
        <v>58</v>
      </c>
      <c r="E65" s="11" t="str">
        <f>'Other non-financial'!F59</f>
        <v>r0390 - Non-financial liabilities</v>
      </c>
      <c r="F65" s="11" t="str">
        <f>IF(E65="r0170 - Employee liabilities (BRRD art. 44/2/g/i)","c001x   - Households",IF('Other non-financial'!C59="particulares","c001x   - Households",IF('Other non-financial'!C59="outras instituicoes financeiras","c005x   - Other financial corporations",IF('Other non-financial'!C59="instituicoes de credito","c004x   - Institutions",IF(AND('Other non-financial'!C59="outras empresas nao financeiras",'Other non-financial'!D59="1"),"c002x   - Micro &amp; SME",IF(AND('Other non-financial'!C59="outras empresas nao financeiras",'Other non-financial'!D59&lt;&gt;"1"),"c003x   - Corporates",IF('Other non-financial'!C59="","c010x   - Non-identified, not listed on an exchange platform",IF(OR('Other non-financial'!C59="setor publico",'Other non-financial'!C59="bancos centrais"),"c008x   - Government, central banks &amp; supranationals",""))))))))</f>
        <v>c010x   - Non-identified, not listed on an exchange platform</v>
      </c>
      <c r="G65" s="11" t="str">
        <f>'Other non-financial'!G59</f>
        <v>Rank 9 - Ranking in insolvency (master scale)</v>
      </c>
      <c r="H65" s="11">
        <v>0</v>
      </c>
      <c r="I65" s="11">
        <v>0</v>
      </c>
      <c r="J65" s="11" t="s">
        <v>64</v>
      </c>
      <c r="K65" s="14" t="s">
        <v>65</v>
      </c>
      <c r="L65" s="11" t="str">
        <f>'Other non-financial'!H59</f>
        <v>Provisions. Off-balance sheet exposures subject to credit risk</v>
      </c>
      <c r="M65" s="12">
        <f>'Other non-financial'!B59</f>
        <v>0</v>
      </c>
      <c r="N65" s="11" t="str">
        <f>'Other non-financial'!A59</f>
        <v>EURO</v>
      </c>
      <c r="O65" s="11" t="str">
        <f>'Other non-financial'!E59</f>
        <v>2022-12-31</v>
      </c>
      <c r="P65" s="15">
        <v>72716</v>
      </c>
      <c r="Q65" s="11" t="s">
        <v>66</v>
      </c>
      <c r="R65" s="11">
        <v>0</v>
      </c>
    </row>
    <row r="66" spans="3:18" ht="36.75" thickBot="1">
      <c r="C66" s="10" t="s">
        <v>63</v>
      </c>
      <c r="D66" s="11">
        <v>59</v>
      </c>
      <c r="E66" s="11" t="str">
        <f>'Other non-financial'!F60</f>
        <v>r0390 - Non-financial liabilities</v>
      </c>
      <c r="F66" s="11" t="str">
        <f>IF(E66="r0170 - Employee liabilities (BRRD art. 44/2/g/i)","c001x   - Households",IF('Other non-financial'!C60="particulares","c001x   - Households",IF('Other non-financial'!C60="outras instituicoes financeiras","c005x   - Other financial corporations",IF('Other non-financial'!C60="instituicoes de credito","c004x   - Institutions",IF(AND('Other non-financial'!C60="outras empresas nao financeiras",'Other non-financial'!D60="1"),"c002x   - Micro &amp; SME",IF(AND('Other non-financial'!C60="outras empresas nao financeiras",'Other non-financial'!D60&lt;&gt;"1"),"c003x   - Corporates",IF('Other non-financial'!C60="","c010x   - Non-identified, not listed on an exchange platform",IF(OR('Other non-financial'!C60="setor publico",'Other non-financial'!C60="bancos centrais"),"c008x   - Government, central banks &amp; supranationals",""))))))))</f>
        <v>c010x   - Non-identified, not listed on an exchange platform</v>
      </c>
      <c r="G66" s="11" t="str">
        <f>'Other non-financial'!G60</f>
        <v>Rank 9 - Ranking in insolvency (master scale)</v>
      </c>
      <c r="H66" s="11">
        <v>0</v>
      </c>
      <c r="I66" s="11">
        <v>0</v>
      </c>
      <c r="J66" s="11" t="s">
        <v>64</v>
      </c>
      <c r="K66" s="14" t="s">
        <v>65</v>
      </c>
      <c r="L66" s="11" t="str">
        <f>'Other non-financial'!H60</f>
        <v>Provisions. Off-balance sheet exposures subject to credit risk</v>
      </c>
      <c r="M66" s="12">
        <f>'Other non-financial'!B60</f>
        <v>0</v>
      </c>
      <c r="N66" s="11" t="str">
        <f>'Other non-financial'!A60</f>
        <v>EURO</v>
      </c>
      <c r="O66" s="11" t="str">
        <f>'Other non-financial'!E60</f>
        <v>2022-12-31</v>
      </c>
      <c r="P66" s="15">
        <v>72716</v>
      </c>
      <c r="Q66" s="11" t="s">
        <v>66</v>
      </c>
      <c r="R66" s="11">
        <v>0</v>
      </c>
    </row>
    <row r="67" spans="3:18" ht="36.75" thickBot="1">
      <c r="C67" s="10" t="s">
        <v>63</v>
      </c>
      <c r="D67" s="11">
        <v>60</v>
      </c>
      <c r="E67" s="11" t="str">
        <f>'Other non-financial'!F61</f>
        <v>r0390 - Non-financial liabilities</v>
      </c>
      <c r="F67" s="11" t="str">
        <f>IF(E67="r0170 - Employee liabilities (BRRD art. 44/2/g/i)","c001x   - Households",IF('Other non-financial'!C61="particulares","c001x   - Households",IF('Other non-financial'!C61="outras instituicoes financeiras","c005x   - Other financial corporations",IF('Other non-financial'!C61="instituicoes de credito","c004x   - Institutions",IF(AND('Other non-financial'!C61="outras empresas nao financeiras",'Other non-financial'!D61="1"),"c002x   - Micro &amp; SME",IF(AND('Other non-financial'!C61="outras empresas nao financeiras",'Other non-financial'!D61&lt;&gt;"1"),"c003x   - Corporates",IF('Other non-financial'!C61="","c010x   - Non-identified, not listed on an exchange platform",IF(OR('Other non-financial'!C61="setor publico",'Other non-financial'!C61="bancos centrais"),"c008x   - Government, central banks &amp; supranationals",""))))))))</f>
        <v>c010x   - Non-identified, not listed on an exchange platform</v>
      </c>
      <c r="G67" s="11" t="str">
        <f>'Other non-financial'!G61</f>
        <v>Rank 9 - Ranking in insolvency (master scale)</v>
      </c>
      <c r="H67" s="11">
        <v>0</v>
      </c>
      <c r="I67" s="11">
        <v>0</v>
      </c>
      <c r="J67" s="11" t="s">
        <v>64</v>
      </c>
      <c r="K67" s="14" t="s">
        <v>65</v>
      </c>
      <c r="L67" s="11" t="str">
        <f>'Other non-financial'!H61</f>
        <v>Provisions. Off-balance sheet exposures subject to credit risk</v>
      </c>
      <c r="M67" s="12">
        <f>'Other non-financial'!B61</f>
        <v>0</v>
      </c>
      <c r="N67" s="11" t="str">
        <f>'Other non-financial'!A61</f>
        <v>EURO</v>
      </c>
      <c r="O67" s="11" t="str">
        <f>'Other non-financial'!E61</f>
        <v>2022-12-31</v>
      </c>
      <c r="P67" s="15">
        <v>72716</v>
      </c>
      <c r="Q67" s="11" t="s">
        <v>66</v>
      </c>
      <c r="R67" s="11">
        <v>0</v>
      </c>
    </row>
    <row r="68" spans="3:18" ht="36.75" thickBot="1">
      <c r="C68" s="10" t="s">
        <v>63</v>
      </c>
      <c r="D68" s="11">
        <v>61</v>
      </c>
      <c r="E68" s="11" t="str">
        <f>'Other non-financial'!F62</f>
        <v>r0390 - Non-financial liabilities</v>
      </c>
      <c r="F68" s="11" t="str">
        <f>IF(E68="r0170 - Employee liabilities (BRRD art. 44/2/g/i)","c001x   - Households",IF('Other non-financial'!C62="particulares","c001x   - Households",IF('Other non-financial'!C62="outras instituicoes financeiras","c005x   - Other financial corporations",IF('Other non-financial'!C62="instituicoes de credito","c004x   - Institutions",IF(AND('Other non-financial'!C62="outras empresas nao financeiras",'Other non-financial'!D62="1"),"c002x   - Micro &amp; SME",IF(AND('Other non-financial'!C62="outras empresas nao financeiras",'Other non-financial'!D62&lt;&gt;"1"),"c003x   - Corporates",IF('Other non-financial'!C62="","c010x   - Non-identified, not listed on an exchange platform",IF(OR('Other non-financial'!C62="setor publico",'Other non-financial'!C62="bancos centrais"),"c008x   - Government, central banks &amp; supranationals",""))))))))</f>
        <v>c010x   - Non-identified, not listed on an exchange platform</v>
      </c>
      <c r="G68" s="11" t="str">
        <f>'Other non-financial'!G62</f>
        <v>Rank 9 - Ranking in insolvency (master scale)</v>
      </c>
      <c r="H68" s="11">
        <v>0</v>
      </c>
      <c r="I68" s="11">
        <v>0</v>
      </c>
      <c r="J68" s="11" t="s">
        <v>64</v>
      </c>
      <c r="K68" s="14" t="s">
        <v>65</v>
      </c>
      <c r="L68" s="11" t="str">
        <f>'Other non-financial'!H62</f>
        <v>Provisions. Off-balance sheet exposures subject to credit risk</v>
      </c>
      <c r="M68" s="12">
        <f>'Other non-financial'!B62</f>
        <v>0</v>
      </c>
      <c r="N68" s="11" t="str">
        <f>'Other non-financial'!A62</f>
        <v>EURO</v>
      </c>
      <c r="O68" s="11" t="str">
        <f>'Other non-financial'!E62</f>
        <v>2022-12-31</v>
      </c>
      <c r="P68" s="15">
        <v>72716</v>
      </c>
      <c r="Q68" s="11" t="s">
        <v>66</v>
      </c>
      <c r="R68" s="11">
        <v>0</v>
      </c>
    </row>
    <row r="69" spans="3:18" ht="36.75" thickBot="1">
      <c r="C69" s="10" t="s">
        <v>63</v>
      </c>
      <c r="D69" s="11">
        <v>62</v>
      </c>
      <c r="E69" s="11" t="str">
        <f>'Other non-financial'!F63</f>
        <v>r0390 - Non-financial liabilities</v>
      </c>
      <c r="F69" s="11" t="str">
        <f>IF(E69="r0170 - Employee liabilities (BRRD art. 44/2/g/i)","c001x   - Households",IF('Other non-financial'!C63="particulares","c001x   - Households",IF('Other non-financial'!C63="outras instituicoes financeiras","c005x   - Other financial corporations",IF('Other non-financial'!C63="instituicoes de credito","c004x   - Institutions",IF(AND('Other non-financial'!C63="outras empresas nao financeiras",'Other non-financial'!D63="1"),"c002x   - Micro &amp; SME",IF(AND('Other non-financial'!C63="outras empresas nao financeiras",'Other non-financial'!D63&lt;&gt;"1"),"c003x   - Corporates",IF('Other non-financial'!C63="","c010x   - Non-identified, not listed on an exchange platform",IF(OR('Other non-financial'!C63="setor publico",'Other non-financial'!C63="bancos centrais"),"c008x   - Government, central banks &amp; supranationals",""))))))))</f>
        <v>c010x   - Non-identified, not listed on an exchange platform</v>
      </c>
      <c r="G69" s="11" t="str">
        <f>'Other non-financial'!G63</f>
        <v>Rank 9 - Ranking in insolvency (master scale)</v>
      </c>
      <c r="H69" s="11">
        <v>0</v>
      </c>
      <c r="I69" s="11">
        <v>0</v>
      </c>
      <c r="J69" s="11" t="s">
        <v>64</v>
      </c>
      <c r="K69" s="14" t="s">
        <v>65</v>
      </c>
      <c r="L69" s="11" t="str">
        <f>'Other non-financial'!H63</f>
        <v>Provisions. Off-balance sheet exposures subject to credit risk</v>
      </c>
      <c r="M69" s="12">
        <f>'Other non-financial'!B63</f>
        <v>0</v>
      </c>
      <c r="N69" s="11" t="str">
        <f>'Other non-financial'!A63</f>
        <v>EURO</v>
      </c>
      <c r="O69" s="11" t="str">
        <f>'Other non-financial'!E63</f>
        <v>2022-12-31</v>
      </c>
      <c r="P69" s="15">
        <v>72716</v>
      </c>
      <c r="Q69" s="11" t="s">
        <v>66</v>
      </c>
      <c r="R69" s="11">
        <v>0</v>
      </c>
    </row>
    <row r="70" spans="3:18" ht="36.75" thickBot="1">
      <c r="C70" s="10" t="s">
        <v>63</v>
      </c>
      <c r="D70" s="11">
        <v>63</v>
      </c>
      <c r="E70" s="11" t="str">
        <f>'Other non-financial'!F64</f>
        <v>r0390 - Non-financial liabilities</v>
      </c>
      <c r="F70" s="11" t="str">
        <f>IF(E70="r0170 - Employee liabilities (BRRD art. 44/2/g/i)","c001x   - Households",IF('Other non-financial'!C64="particulares","c001x   - Households",IF('Other non-financial'!C64="outras instituicoes financeiras","c005x   - Other financial corporations",IF('Other non-financial'!C64="instituicoes de credito","c004x   - Institutions",IF(AND('Other non-financial'!C64="outras empresas nao financeiras",'Other non-financial'!D64="1"),"c002x   - Micro &amp; SME",IF(AND('Other non-financial'!C64="outras empresas nao financeiras",'Other non-financial'!D64&lt;&gt;"1"),"c003x   - Corporates",IF('Other non-financial'!C64="","c010x   - Non-identified, not listed on an exchange platform",IF(OR('Other non-financial'!C64="setor publico",'Other non-financial'!C64="bancos centrais"),"c008x   - Government, central banks &amp; supranationals",""))))))))</f>
        <v>c010x   - Non-identified, not listed on an exchange platform</v>
      </c>
      <c r="G70" s="11" t="str">
        <f>'Other non-financial'!G64</f>
        <v>Rank 9 - Ranking in insolvency (master scale)</v>
      </c>
      <c r="H70" s="11">
        <v>0</v>
      </c>
      <c r="I70" s="11">
        <v>0</v>
      </c>
      <c r="J70" s="11" t="s">
        <v>64</v>
      </c>
      <c r="K70" s="14" t="s">
        <v>65</v>
      </c>
      <c r="L70" s="11" t="str">
        <f>'Other non-financial'!H64</f>
        <v>Provisions. Off-balance sheet exposures subject to credit risk</v>
      </c>
      <c r="M70" s="12">
        <f>'Other non-financial'!B64</f>
        <v>0</v>
      </c>
      <c r="N70" s="11" t="str">
        <f>'Other non-financial'!A64</f>
        <v>EURO</v>
      </c>
      <c r="O70" s="11" t="str">
        <f>'Other non-financial'!E64</f>
        <v>2022-12-31</v>
      </c>
      <c r="P70" s="15">
        <v>72716</v>
      </c>
      <c r="Q70" s="11" t="s">
        <v>66</v>
      </c>
      <c r="R70" s="11">
        <v>0</v>
      </c>
    </row>
    <row r="71" spans="3:18" ht="36.75" thickBot="1">
      <c r="C71" s="10" t="s">
        <v>63</v>
      </c>
      <c r="D71" s="11">
        <v>64</v>
      </c>
      <c r="E71" s="11" t="str">
        <f>'Other non-financial'!F65</f>
        <v>r0390 - Non-financial liabilities</v>
      </c>
      <c r="F71" s="11" t="str">
        <f>IF(E71="r0170 - Employee liabilities (BRRD art. 44/2/g/i)","c001x   - Households",IF('Other non-financial'!C65="particulares","c001x   - Households",IF('Other non-financial'!C65="outras instituicoes financeiras","c005x   - Other financial corporations",IF('Other non-financial'!C65="instituicoes de credito","c004x   - Institutions",IF(AND('Other non-financial'!C65="outras empresas nao financeiras",'Other non-financial'!D65="1"),"c002x   - Micro &amp; SME",IF(AND('Other non-financial'!C65="outras empresas nao financeiras",'Other non-financial'!D65&lt;&gt;"1"),"c003x   - Corporates",IF('Other non-financial'!C65="","c010x   - Non-identified, not listed on an exchange platform",IF(OR('Other non-financial'!C65="setor publico",'Other non-financial'!C65="bancos centrais"),"c008x   - Government, central banks &amp; supranationals",""))))))))</f>
        <v>c010x   - Non-identified, not listed on an exchange platform</v>
      </c>
      <c r="G71" s="11" t="str">
        <f>'Other non-financial'!G65</f>
        <v>Rank 9 - Ranking in insolvency (master scale)</v>
      </c>
      <c r="H71" s="11">
        <v>0</v>
      </c>
      <c r="I71" s="11">
        <v>0</v>
      </c>
      <c r="J71" s="11" t="s">
        <v>64</v>
      </c>
      <c r="K71" s="14" t="s">
        <v>65</v>
      </c>
      <c r="L71" s="11" t="str">
        <f>'Other non-financial'!H65</f>
        <v>Provisions. Off-balance sheet exposures subject to credit risk</v>
      </c>
      <c r="M71" s="12">
        <f>'Other non-financial'!B65</f>
        <v>0</v>
      </c>
      <c r="N71" s="11" t="str">
        <f>'Other non-financial'!A65</f>
        <v>EURO</v>
      </c>
      <c r="O71" s="11" t="str">
        <f>'Other non-financial'!E65</f>
        <v>2022-12-31</v>
      </c>
      <c r="P71" s="15">
        <v>72716</v>
      </c>
      <c r="Q71" s="11" t="s">
        <v>66</v>
      </c>
      <c r="R71" s="11">
        <v>0</v>
      </c>
    </row>
    <row r="72" spans="3:18" ht="36.75" thickBot="1">
      <c r="C72" s="10" t="s">
        <v>63</v>
      </c>
      <c r="D72" s="11">
        <v>65</v>
      </c>
      <c r="E72" s="11" t="str">
        <f>'Other non-financial'!F66</f>
        <v>r0390 - Non-financial liabilities</v>
      </c>
      <c r="F72" s="11" t="str">
        <f>IF(E72="r0170 - Employee liabilities (BRRD art. 44/2/g/i)","c001x   - Households",IF('Other non-financial'!C66="particulares","c001x   - Households",IF('Other non-financial'!C66="outras instituicoes financeiras","c005x   - Other financial corporations",IF('Other non-financial'!C66="instituicoes de credito","c004x   - Institutions",IF(AND('Other non-financial'!C66="outras empresas nao financeiras",'Other non-financial'!D66="1"),"c002x   - Micro &amp; SME",IF(AND('Other non-financial'!C66="outras empresas nao financeiras",'Other non-financial'!D66&lt;&gt;"1"),"c003x   - Corporates",IF('Other non-financial'!C66="","c010x   - Non-identified, not listed on an exchange platform",IF(OR('Other non-financial'!C66="setor publico",'Other non-financial'!C66="bancos centrais"),"c008x   - Government, central banks &amp; supranationals",""))))))))</f>
        <v>c010x   - Non-identified, not listed on an exchange platform</v>
      </c>
      <c r="G72" s="11" t="str">
        <f>'Other non-financial'!G66</f>
        <v>Rank 9 - Ranking in insolvency (master scale)</v>
      </c>
      <c r="H72" s="11">
        <v>0</v>
      </c>
      <c r="I72" s="11">
        <v>0</v>
      </c>
      <c r="J72" s="11" t="s">
        <v>64</v>
      </c>
      <c r="K72" s="14" t="s">
        <v>65</v>
      </c>
      <c r="L72" s="11" t="str">
        <f>'Other non-financial'!H66</f>
        <v>Provisions. Off-balance sheet exposures subject to credit risk</v>
      </c>
      <c r="M72" s="12">
        <f>'Other non-financial'!B66</f>
        <v>0</v>
      </c>
      <c r="N72" s="11" t="str">
        <f>'Other non-financial'!A66</f>
        <v>EURO</v>
      </c>
      <c r="O72" s="11" t="str">
        <f>'Other non-financial'!E66</f>
        <v>2022-12-31</v>
      </c>
      <c r="P72" s="15">
        <v>72716</v>
      </c>
      <c r="Q72" s="11" t="s">
        <v>66</v>
      </c>
      <c r="R72" s="11">
        <v>0</v>
      </c>
    </row>
    <row r="73" spans="3:18" ht="36.75" thickBot="1">
      <c r="C73" s="10" t="s">
        <v>63</v>
      </c>
      <c r="D73" s="11">
        <v>66</v>
      </c>
      <c r="E73" s="11" t="str">
        <f>'Other non-financial'!F67</f>
        <v>r0390 - Non-financial liabilities</v>
      </c>
      <c r="F73" s="11" t="str">
        <f>IF(E73="r0170 - Employee liabilities (BRRD art. 44/2/g/i)","c001x   - Households",IF('Other non-financial'!C67="particulares","c001x   - Households",IF('Other non-financial'!C67="outras instituicoes financeiras","c005x   - Other financial corporations",IF('Other non-financial'!C67="instituicoes de credito","c004x   - Institutions",IF(AND('Other non-financial'!C67="outras empresas nao financeiras",'Other non-financial'!D67="1"),"c002x   - Micro &amp; SME",IF(AND('Other non-financial'!C67="outras empresas nao financeiras",'Other non-financial'!D67&lt;&gt;"1"),"c003x   - Corporates",IF('Other non-financial'!C67="","c010x   - Non-identified, not listed on an exchange platform",IF(OR('Other non-financial'!C67="setor publico",'Other non-financial'!C67="bancos centrais"),"c008x   - Government, central banks &amp; supranationals",""))))))))</f>
        <v>c010x   - Non-identified, not listed on an exchange platform</v>
      </c>
      <c r="G73" s="11" t="str">
        <f>'Other non-financial'!G67</f>
        <v>Rank 9 - Ranking in insolvency (master scale)</v>
      </c>
      <c r="H73" s="11">
        <v>0</v>
      </c>
      <c r="I73" s="11">
        <v>0</v>
      </c>
      <c r="J73" s="11" t="s">
        <v>64</v>
      </c>
      <c r="K73" s="14" t="s">
        <v>65</v>
      </c>
      <c r="L73" s="11" t="str">
        <f>'Other non-financial'!H67</f>
        <v>Provisions. Off-balance sheet exposures subject to credit risk</v>
      </c>
      <c r="M73" s="12">
        <f>'Other non-financial'!B67</f>
        <v>0</v>
      </c>
      <c r="N73" s="11" t="str">
        <f>'Other non-financial'!A67</f>
        <v>EURO</v>
      </c>
      <c r="O73" s="11" t="str">
        <f>'Other non-financial'!E67</f>
        <v>2022-12-31</v>
      </c>
      <c r="P73" s="15">
        <v>72716</v>
      </c>
      <c r="Q73" s="11" t="s">
        <v>66</v>
      </c>
      <c r="R73" s="11">
        <v>0</v>
      </c>
    </row>
    <row r="74" spans="3:18" ht="36.75" thickBot="1">
      <c r="C74" s="10" t="s">
        <v>63</v>
      </c>
      <c r="D74" s="11">
        <v>67</v>
      </c>
      <c r="E74" s="11" t="str">
        <f>'Other non-financial'!F68</f>
        <v>r0390 - Non-financial liabilities</v>
      </c>
      <c r="F74" s="11" t="str">
        <f>IF(E74="r0170 - Employee liabilities (BRRD art. 44/2/g/i)","c001x   - Households",IF('Other non-financial'!C68="particulares","c001x   - Households",IF('Other non-financial'!C68="outras instituicoes financeiras","c005x   - Other financial corporations",IF('Other non-financial'!C68="instituicoes de credito","c004x   - Institutions",IF(AND('Other non-financial'!C68="outras empresas nao financeiras",'Other non-financial'!D68="1"),"c002x   - Micro &amp; SME",IF(AND('Other non-financial'!C68="outras empresas nao financeiras",'Other non-financial'!D68&lt;&gt;"1"),"c003x   - Corporates",IF('Other non-financial'!C68="","c010x   - Non-identified, not listed on an exchange platform",IF(OR('Other non-financial'!C68="setor publico",'Other non-financial'!C68="bancos centrais"),"c008x   - Government, central banks &amp; supranationals",""))))))))</f>
        <v>c010x   - Non-identified, not listed on an exchange platform</v>
      </c>
      <c r="G74" s="11" t="str">
        <f>'Other non-financial'!G68</f>
        <v>Rank 9 - Ranking in insolvency (master scale)</v>
      </c>
      <c r="H74" s="11">
        <v>0</v>
      </c>
      <c r="I74" s="11">
        <v>0</v>
      </c>
      <c r="J74" s="11" t="s">
        <v>64</v>
      </c>
      <c r="K74" s="14" t="s">
        <v>65</v>
      </c>
      <c r="L74" s="11" t="str">
        <f>'Other non-financial'!H68</f>
        <v>Provisions. Off-balance sheet exposures subject to credit risk</v>
      </c>
      <c r="M74" s="12">
        <f>'Other non-financial'!B68</f>
        <v>0</v>
      </c>
      <c r="N74" s="11" t="str">
        <f>'Other non-financial'!A68</f>
        <v>EURO</v>
      </c>
      <c r="O74" s="11" t="str">
        <f>'Other non-financial'!E68</f>
        <v>2022-12-31</v>
      </c>
      <c r="P74" s="15">
        <v>72716</v>
      </c>
      <c r="Q74" s="11" t="s">
        <v>66</v>
      </c>
      <c r="R74" s="11">
        <v>0</v>
      </c>
    </row>
    <row r="75" spans="3:18" ht="36.75" thickBot="1">
      <c r="C75" s="10" t="s">
        <v>63</v>
      </c>
      <c r="D75" s="11">
        <v>68</v>
      </c>
      <c r="E75" s="11" t="str">
        <f>'Other non-financial'!F69</f>
        <v>r0390 - Non-financial liabilities</v>
      </c>
      <c r="F75" s="11" t="str">
        <f>IF(E75="r0170 - Employee liabilities (BRRD art. 44/2/g/i)","c001x   - Households",IF('Other non-financial'!C69="particulares","c001x   - Households",IF('Other non-financial'!C69="outras instituicoes financeiras","c005x   - Other financial corporations",IF('Other non-financial'!C69="instituicoes de credito","c004x   - Institutions",IF(AND('Other non-financial'!C69="outras empresas nao financeiras",'Other non-financial'!D69="1"),"c002x   - Micro &amp; SME",IF(AND('Other non-financial'!C69="outras empresas nao financeiras",'Other non-financial'!D69&lt;&gt;"1"),"c003x   - Corporates",IF('Other non-financial'!C69="","c010x   - Non-identified, not listed on an exchange platform",IF(OR('Other non-financial'!C69="setor publico",'Other non-financial'!C69="bancos centrais"),"c008x   - Government, central banks &amp; supranationals",""))))))))</f>
        <v>c010x   - Non-identified, not listed on an exchange platform</v>
      </c>
      <c r="G75" s="11" t="str">
        <f>'Other non-financial'!G69</f>
        <v>Rank 9 - Ranking in insolvency (master scale)</v>
      </c>
      <c r="H75" s="11">
        <v>0</v>
      </c>
      <c r="I75" s="11">
        <v>0</v>
      </c>
      <c r="J75" s="11" t="s">
        <v>64</v>
      </c>
      <c r="K75" s="14" t="s">
        <v>65</v>
      </c>
      <c r="L75" s="11" t="str">
        <f>'Other non-financial'!H69</f>
        <v>Provisions. Off-balance sheet exposures subject to credit risk</v>
      </c>
      <c r="M75" s="12">
        <f>'Other non-financial'!B69</f>
        <v>0</v>
      </c>
      <c r="N75" s="11" t="str">
        <f>'Other non-financial'!A69</f>
        <v>EURO</v>
      </c>
      <c r="O75" s="11" t="str">
        <f>'Other non-financial'!E69</f>
        <v>2022-12-31</v>
      </c>
      <c r="P75" s="15">
        <v>72716</v>
      </c>
      <c r="Q75" s="11" t="s">
        <v>66</v>
      </c>
      <c r="R75" s="11">
        <v>0</v>
      </c>
    </row>
    <row r="76" spans="3:18" ht="36.75" thickBot="1">
      <c r="C76" s="10" t="s">
        <v>63</v>
      </c>
      <c r="D76" s="11">
        <v>69</v>
      </c>
      <c r="E76" s="11" t="str">
        <f>'Other non-financial'!F70</f>
        <v>r0390 - Non-financial liabilities</v>
      </c>
      <c r="F76" s="11" t="str">
        <f>IF(E76="r0170 - Employee liabilities (BRRD art. 44/2/g/i)","c001x   - Households",IF('Other non-financial'!C70="particulares","c001x   - Households",IF('Other non-financial'!C70="outras instituicoes financeiras","c005x   - Other financial corporations",IF('Other non-financial'!C70="instituicoes de credito","c004x   - Institutions",IF(AND('Other non-financial'!C70="outras empresas nao financeiras",'Other non-financial'!D70="1"),"c002x   - Micro &amp; SME",IF(AND('Other non-financial'!C70="outras empresas nao financeiras",'Other non-financial'!D70&lt;&gt;"1"),"c003x   - Corporates",IF('Other non-financial'!C70="","c010x   - Non-identified, not listed on an exchange platform",IF(OR('Other non-financial'!C70="setor publico",'Other non-financial'!C70="bancos centrais"),"c008x   - Government, central banks &amp; supranationals",""))))))))</f>
        <v>c010x   - Non-identified, not listed on an exchange platform</v>
      </c>
      <c r="G76" s="11" t="str">
        <f>'Other non-financial'!G70</f>
        <v>Rank 9 - Ranking in insolvency (master scale)</v>
      </c>
      <c r="H76" s="11">
        <v>0</v>
      </c>
      <c r="I76" s="11">
        <v>0</v>
      </c>
      <c r="J76" s="11" t="s">
        <v>64</v>
      </c>
      <c r="K76" s="14" t="s">
        <v>65</v>
      </c>
      <c r="L76" s="11" t="str">
        <f>'Other non-financial'!H70</f>
        <v>Provisions. Off-balance sheet exposures subject to credit risk</v>
      </c>
      <c r="M76" s="12">
        <f>'Other non-financial'!B70</f>
        <v>0</v>
      </c>
      <c r="N76" s="11" t="str">
        <f>'Other non-financial'!A70</f>
        <v>EURO</v>
      </c>
      <c r="O76" s="11" t="str">
        <f>'Other non-financial'!E70</f>
        <v>2022-12-31</v>
      </c>
      <c r="P76" s="15">
        <v>72716</v>
      </c>
      <c r="Q76" s="11" t="s">
        <v>66</v>
      </c>
      <c r="R76" s="11">
        <v>0</v>
      </c>
    </row>
    <row r="77" spans="3:18" ht="36.75" thickBot="1">
      <c r="C77" s="10" t="s">
        <v>63</v>
      </c>
      <c r="D77" s="11">
        <v>70</v>
      </c>
      <c r="E77" s="11" t="str">
        <f>'Other non-financial'!F71</f>
        <v>r0390 - Non-financial liabilities</v>
      </c>
      <c r="F77" s="11" t="str">
        <f>IF(E77="r0170 - Employee liabilities (BRRD art. 44/2/g/i)","c001x   - Households",IF('Other non-financial'!C71="particulares","c001x   - Households",IF('Other non-financial'!C71="outras instituicoes financeiras","c005x   - Other financial corporations",IF('Other non-financial'!C71="instituicoes de credito","c004x   - Institutions",IF(AND('Other non-financial'!C71="outras empresas nao financeiras",'Other non-financial'!D71="1"),"c002x   - Micro &amp; SME",IF(AND('Other non-financial'!C71="outras empresas nao financeiras",'Other non-financial'!D71&lt;&gt;"1"),"c003x   - Corporates",IF('Other non-financial'!C71="","c010x   - Non-identified, not listed on an exchange platform",IF(OR('Other non-financial'!C71="setor publico",'Other non-financial'!C71="bancos centrais"),"c008x   - Government, central banks &amp; supranationals",""))))))))</f>
        <v>c010x   - Non-identified, not listed on an exchange platform</v>
      </c>
      <c r="G77" s="11" t="str">
        <f>'Other non-financial'!G71</f>
        <v>Rank 9 - Ranking in insolvency (master scale)</v>
      </c>
      <c r="H77" s="11">
        <v>0</v>
      </c>
      <c r="I77" s="11">
        <v>0</v>
      </c>
      <c r="J77" s="11" t="s">
        <v>64</v>
      </c>
      <c r="K77" s="14" t="s">
        <v>65</v>
      </c>
      <c r="L77" s="11" t="str">
        <f>'Other non-financial'!H71</f>
        <v>Provisions. Off-balance sheet exposures subject to credit risk</v>
      </c>
      <c r="M77" s="12">
        <f>'Other non-financial'!B71</f>
        <v>0</v>
      </c>
      <c r="N77" s="11" t="str">
        <f>'Other non-financial'!A71</f>
        <v>EURO</v>
      </c>
      <c r="O77" s="11" t="str">
        <f>'Other non-financial'!E71</f>
        <v>2022-12-31</v>
      </c>
      <c r="P77" s="15">
        <v>72716</v>
      </c>
      <c r="Q77" s="11" t="s">
        <v>66</v>
      </c>
      <c r="R77" s="11">
        <v>0</v>
      </c>
    </row>
    <row r="78" spans="3:18" ht="36.75" thickBot="1">
      <c r="C78" s="10" t="s">
        <v>63</v>
      </c>
      <c r="D78" s="11">
        <v>71</v>
      </c>
      <c r="E78" s="11" t="str">
        <f>'Other non-financial'!F72</f>
        <v>r0390 - Non-financial liabilities</v>
      </c>
      <c r="F78" s="11" t="str">
        <f>IF(E78="r0170 - Employee liabilities (BRRD art. 44/2/g/i)","c001x   - Households",IF('Other non-financial'!C72="particulares","c001x   - Households",IF('Other non-financial'!C72="outras instituicoes financeiras","c005x   - Other financial corporations",IF('Other non-financial'!C72="instituicoes de credito","c004x   - Institutions",IF(AND('Other non-financial'!C72="outras empresas nao financeiras",'Other non-financial'!D72="1"),"c002x   - Micro &amp; SME",IF(AND('Other non-financial'!C72="outras empresas nao financeiras",'Other non-financial'!D72&lt;&gt;"1"),"c003x   - Corporates",IF('Other non-financial'!C72="","c010x   - Non-identified, not listed on an exchange platform",IF(OR('Other non-financial'!C72="setor publico",'Other non-financial'!C72="bancos centrais"),"c008x   - Government, central banks &amp; supranationals",""))))))))</f>
        <v>c010x   - Non-identified, not listed on an exchange platform</v>
      </c>
      <c r="G78" s="11" t="str">
        <f>'Other non-financial'!G72</f>
        <v>Rank 9 - Ranking in insolvency (master scale)</v>
      </c>
      <c r="H78" s="11">
        <v>0</v>
      </c>
      <c r="I78" s="11">
        <v>0</v>
      </c>
      <c r="J78" s="11" t="s">
        <v>64</v>
      </c>
      <c r="K78" s="14" t="s">
        <v>65</v>
      </c>
      <c r="L78" s="11" t="str">
        <f>'Other non-financial'!H72</f>
        <v>Provisions. Off-balance sheet exposures subject to credit risk</v>
      </c>
      <c r="M78" s="12">
        <f>'Other non-financial'!B72</f>
        <v>0</v>
      </c>
      <c r="N78" s="11" t="str">
        <f>'Other non-financial'!A72</f>
        <v>EURO</v>
      </c>
      <c r="O78" s="11" t="str">
        <f>'Other non-financial'!E72</f>
        <v>2022-12-31</v>
      </c>
      <c r="P78" s="15">
        <v>72716</v>
      </c>
      <c r="Q78" s="11" t="s">
        <v>66</v>
      </c>
      <c r="R78" s="11">
        <v>0</v>
      </c>
    </row>
    <row r="79" spans="3:18" ht="36.75" thickBot="1">
      <c r="C79" s="10" t="s">
        <v>63</v>
      </c>
      <c r="D79" s="11">
        <v>72</v>
      </c>
      <c r="E79" s="11" t="str">
        <f>'Other non-financial'!F73</f>
        <v>r0390 - Non-financial liabilities</v>
      </c>
      <c r="F79" s="11" t="str">
        <f>IF(E79="r0170 - Employee liabilities (BRRD art. 44/2/g/i)","c001x   - Households",IF('Other non-financial'!C73="particulares","c001x   - Households",IF('Other non-financial'!C73="outras instituicoes financeiras","c005x   - Other financial corporations",IF('Other non-financial'!C73="instituicoes de credito","c004x   - Institutions",IF(AND('Other non-financial'!C73="outras empresas nao financeiras",'Other non-financial'!D73="1"),"c002x   - Micro &amp; SME",IF(AND('Other non-financial'!C73="outras empresas nao financeiras",'Other non-financial'!D73&lt;&gt;"1"),"c003x   - Corporates",IF('Other non-financial'!C73="","c010x   - Non-identified, not listed on an exchange platform",IF(OR('Other non-financial'!C73="setor publico",'Other non-financial'!C73="bancos centrais"),"c008x   - Government, central banks &amp; supranationals",""))))))))</f>
        <v>c010x   - Non-identified, not listed on an exchange platform</v>
      </c>
      <c r="G79" s="11" t="str">
        <f>'Other non-financial'!G73</f>
        <v>Rank 9 - Ranking in insolvency (master scale)</v>
      </c>
      <c r="H79" s="11">
        <v>0</v>
      </c>
      <c r="I79" s="11">
        <v>0</v>
      </c>
      <c r="J79" s="11" t="s">
        <v>64</v>
      </c>
      <c r="K79" s="14" t="s">
        <v>65</v>
      </c>
      <c r="L79" s="11" t="str">
        <f>'Other non-financial'!H73</f>
        <v>Provisions. Off-balance sheet exposures subject to credit risk</v>
      </c>
      <c r="M79" s="12">
        <f>'Other non-financial'!B73</f>
        <v>0</v>
      </c>
      <c r="N79" s="11" t="str">
        <f>'Other non-financial'!A73</f>
        <v>EURO</v>
      </c>
      <c r="O79" s="11" t="str">
        <f>'Other non-financial'!E73</f>
        <v>2022-12-31</v>
      </c>
      <c r="P79" s="15">
        <v>72716</v>
      </c>
      <c r="Q79" s="11" t="s">
        <v>66</v>
      </c>
      <c r="R79" s="11">
        <v>0</v>
      </c>
    </row>
    <row r="80" spans="3:18" ht="36.75" thickBot="1">
      <c r="C80" s="10" t="s">
        <v>63</v>
      </c>
      <c r="D80" s="11">
        <v>73</v>
      </c>
      <c r="E80" s="11" t="str">
        <f>'Other non-financial'!F74</f>
        <v>r0390 - Non-financial liabilities</v>
      </c>
      <c r="F80" s="11" t="str">
        <f>IF(E80="r0170 - Employee liabilities (BRRD art. 44/2/g/i)","c001x   - Households",IF('Other non-financial'!C74="particulares","c001x   - Households",IF('Other non-financial'!C74="outras instituicoes financeiras","c005x   - Other financial corporations",IF('Other non-financial'!C74="instituicoes de credito","c004x   - Institutions",IF(AND('Other non-financial'!C74="outras empresas nao financeiras",'Other non-financial'!D74="1"),"c002x   - Micro &amp; SME",IF(AND('Other non-financial'!C74="outras empresas nao financeiras",'Other non-financial'!D74&lt;&gt;"1"),"c003x   - Corporates",IF('Other non-financial'!C74="","c010x   - Non-identified, not listed on an exchange platform",IF(OR('Other non-financial'!C74="setor publico",'Other non-financial'!C74="bancos centrais"),"c008x   - Government, central banks &amp; supranationals",""))))))))</f>
        <v>c010x   - Non-identified, not listed on an exchange platform</v>
      </c>
      <c r="G80" s="11" t="str">
        <f>'Other non-financial'!G74</f>
        <v>Rank 9 - Ranking in insolvency (master scale)</v>
      </c>
      <c r="H80" s="11">
        <v>0</v>
      </c>
      <c r="I80" s="11">
        <v>0</v>
      </c>
      <c r="J80" s="11" t="s">
        <v>64</v>
      </c>
      <c r="K80" s="14" t="s">
        <v>65</v>
      </c>
      <c r="L80" s="11" t="str">
        <f>'Other non-financial'!H74</f>
        <v>Provisions. Off-balance sheet exposures subject to credit risk</v>
      </c>
      <c r="M80" s="12">
        <f>'Other non-financial'!B74</f>
        <v>0</v>
      </c>
      <c r="N80" s="11" t="str">
        <f>'Other non-financial'!A74</f>
        <v>EURO</v>
      </c>
      <c r="O80" s="11" t="str">
        <f>'Other non-financial'!E74</f>
        <v>2022-12-31</v>
      </c>
      <c r="P80" s="15">
        <v>72716</v>
      </c>
      <c r="Q80" s="11" t="s">
        <v>66</v>
      </c>
      <c r="R80" s="11">
        <v>0</v>
      </c>
    </row>
    <row r="81" spans="3:18" ht="36.75" thickBot="1">
      <c r="C81" s="10" t="s">
        <v>63</v>
      </c>
      <c r="D81" s="11">
        <v>74</v>
      </c>
      <c r="E81" s="11" t="str">
        <f>'Other non-financial'!F75</f>
        <v>r0390 - Non-financial liabilities</v>
      </c>
      <c r="F81" s="11" t="str">
        <f>IF(E81="r0170 - Employee liabilities (BRRD art. 44/2/g/i)","c001x   - Households",IF('Other non-financial'!C75="particulares","c001x   - Households",IF('Other non-financial'!C75="outras instituicoes financeiras","c005x   - Other financial corporations",IF('Other non-financial'!C75="instituicoes de credito","c004x   - Institutions",IF(AND('Other non-financial'!C75="outras empresas nao financeiras",'Other non-financial'!D75="1"),"c002x   - Micro &amp; SME",IF(AND('Other non-financial'!C75="outras empresas nao financeiras",'Other non-financial'!D75&lt;&gt;"1"),"c003x   - Corporates",IF('Other non-financial'!C75="","c010x   - Non-identified, not listed on an exchange platform",IF(OR('Other non-financial'!C75="setor publico",'Other non-financial'!C75="bancos centrais"),"c008x   - Government, central banks &amp; supranationals",""))))))))</f>
        <v>c010x   - Non-identified, not listed on an exchange platform</v>
      </c>
      <c r="G81" s="11" t="str">
        <f>'Other non-financial'!G75</f>
        <v>Rank 9 - Ranking in insolvency (master scale)</v>
      </c>
      <c r="H81" s="11">
        <v>0</v>
      </c>
      <c r="I81" s="11">
        <v>0</v>
      </c>
      <c r="J81" s="11" t="s">
        <v>64</v>
      </c>
      <c r="K81" s="14" t="s">
        <v>65</v>
      </c>
      <c r="L81" s="11" t="str">
        <f>'Other non-financial'!H75</f>
        <v>Provisions. Off-balance sheet exposures subject to credit risk</v>
      </c>
      <c r="M81" s="12">
        <f>'Other non-financial'!B75</f>
        <v>0</v>
      </c>
      <c r="N81" s="11" t="str">
        <f>'Other non-financial'!A75</f>
        <v>EURO</v>
      </c>
      <c r="O81" s="11" t="str">
        <f>'Other non-financial'!E75</f>
        <v>2022-12-31</v>
      </c>
      <c r="P81" s="15">
        <v>72716</v>
      </c>
      <c r="Q81" s="11" t="s">
        <v>66</v>
      </c>
      <c r="R81" s="11">
        <v>0</v>
      </c>
    </row>
    <row r="82" spans="3:18" ht="36.75" thickBot="1">
      <c r="C82" s="10" t="s">
        <v>63</v>
      </c>
      <c r="D82" s="11">
        <v>75</v>
      </c>
      <c r="E82" s="11" t="str">
        <f>'Other non-financial'!F76</f>
        <v>r0390 - Non-financial liabilities</v>
      </c>
      <c r="F82" s="11" t="str">
        <f>IF(E82="r0170 - Employee liabilities (BRRD art. 44/2/g/i)","c001x   - Households",IF('Other non-financial'!C76="particulares","c001x   - Households",IF('Other non-financial'!C76="outras instituicoes financeiras","c005x   - Other financial corporations",IF('Other non-financial'!C76="instituicoes de credito","c004x   - Institutions",IF(AND('Other non-financial'!C76="outras empresas nao financeiras",'Other non-financial'!D76="1"),"c002x   - Micro &amp; SME",IF(AND('Other non-financial'!C76="outras empresas nao financeiras",'Other non-financial'!D76&lt;&gt;"1"),"c003x   - Corporates",IF('Other non-financial'!C76="","c010x   - Non-identified, not listed on an exchange platform",IF(OR('Other non-financial'!C76="setor publico",'Other non-financial'!C76="bancos centrais"),"c008x   - Government, central banks &amp; supranationals",""))))))))</f>
        <v>c010x   - Non-identified, not listed on an exchange platform</v>
      </c>
      <c r="G82" s="11" t="str">
        <f>'Other non-financial'!G76</f>
        <v>Rank 9 - Ranking in insolvency (master scale)</v>
      </c>
      <c r="H82" s="11">
        <v>0</v>
      </c>
      <c r="I82" s="11">
        <v>0</v>
      </c>
      <c r="J82" s="11" t="s">
        <v>64</v>
      </c>
      <c r="K82" s="14" t="s">
        <v>65</v>
      </c>
      <c r="L82" s="11" t="str">
        <f>'Other non-financial'!H76</f>
        <v>Provisions. Off-balance sheet exposures subject to credit risk</v>
      </c>
      <c r="M82" s="12">
        <f>'Other non-financial'!B76</f>
        <v>0</v>
      </c>
      <c r="N82" s="11" t="str">
        <f>'Other non-financial'!A76</f>
        <v>EURO</v>
      </c>
      <c r="O82" s="11" t="str">
        <f>'Other non-financial'!E76</f>
        <v>2022-12-31</v>
      </c>
      <c r="P82" s="15">
        <v>72716</v>
      </c>
      <c r="Q82" s="11" t="s">
        <v>66</v>
      </c>
      <c r="R82" s="11">
        <v>0</v>
      </c>
    </row>
    <row r="83" spans="3:18" ht="36.75" thickBot="1">
      <c r="C83" s="10" t="s">
        <v>63</v>
      </c>
      <c r="D83" s="11">
        <v>76</v>
      </c>
      <c r="E83" s="11" t="str">
        <f>'Other non-financial'!F77</f>
        <v>r0390 - Non-financial liabilities</v>
      </c>
      <c r="F83" s="11" t="str">
        <f>IF(E83="r0170 - Employee liabilities (BRRD art. 44/2/g/i)","c001x   - Households",IF('Other non-financial'!C77="particulares","c001x   - Households",IF('Other non-financial'!C77="outras instituicoes financeiras","c005x   - Other financial corporations",IF('Other non-financial'!C77="instituicoes de credito","c004x   - Institutions",IF(AND('Other non-financial'!C77="outras empresas nao financeiras",'Other non-financial'!D77="1"),"c002x   - Micro &amp; SME",IF(AND('Other non-financial'!C77="outras empresas nao financeiras",'Other non-financial'!D77&lt;&gt;"1"),"c003x   - Corporates",IF('Other non-financial'!C77="","c010x   - Non-identified, not listed on an exchange platform",IF(OR('Other non-financial'!C77="setor publico",'Other non-financial'!C77="bancos centrais"),"c008x   - Government, central banks &amp; supranationals",""))))))))</f>
        <v>c010x   - Non-identified, not listed on an exchange platform</v>
      </c>
      <c r="G83" s="11" t="str">
        <f>'Other non-financial'!G77</f>
        <v>Rank 9 - Ranking in insolvency (master scale)</v>
      </c>
      <c r="H83" s="11">
        <v>0</v>
      </c>
      <c r="I83" s="11">
        <v>0</v>
      </c>
      <c r="J83" s="11" t="s">
        <v>64</v>
      </c>
      <c r="K83" s="14" t="s">
        <v>65</v>
      </c>
      <c r="L83" s="11" t="str">
        <f>'Other non-financial'!H77</f>
        <v>Provisions. Off-balance sheet exposures subject to credit risk</v>
      </c>
      <c r="M83" s="12">
        <f>'Other non-financial'!B77</f>
        <v>0</v>
      </c>
      <c r="N83" s="11" t="str">
        <f>'Other non-financial'!A77</f>
        <v>EURO</v>
      </c>
      <c r="O83" s="11" t="str">
        <f>'Other non-financial'!E77</f>
        <v>2022-12-31</v>
      </c>
      <c r="P83" s="15">
        <v>72716</v>
      </c>
      <c r="Q83" s="11" t="s">
        <v>66</v>
      </c>
      <c r="R83" s="11">
        <v>0</v>
      </c>
    </row>
    <row r="84" spans="3:18" ht="36.75" thickBot="1">
      <c r="C84" s="10" t="s">
        <v>63</v>
      </c>
      <c r="D84" s="11">
        <v>77</v>
      </c>
      <c r="E84" s="11" t="str">
        <f>'Other non-financial'!F78</f>
        <v>r0390 - Non-financial liabilities</v>
      </c>
      <c r="F84" s="11" t="str">
        <f>IF(E84="r0170 - Employee liabilities (BRRD art. 44/2/g/i)","c001x   - Households",IF('Other non-financial'!C78="particulares","c001x   - Households",IF('Other non-financial'!C78="outras instituicoes financeiras","c005x   - Other financial corporations",IF('Other non-financial'!C78="instituicoes de credito","c004x   - Institutions",IF(AND('Other non-financial'!C78="outras empresas nao financeiras",'Other non-financial'!D78="1"),"c002x   - Micro &amp; SME",IF(AND('Other non-financial'!C78="outras empresas nao financeiras",'Other non-financial'!D78&lt;&gt;"1"),"c003x   - Corporates",IF('Other non-financial'!C78="","c010x   - Non-identified, not listed on an exchange platform",IF(OR('Other non-financial'!C78="setor publico",'Other non-financial'!C78="bancos centrais"),"c008x   - Government, central banks &amp; supranationals",""))))))))</f>
        <v>c010x   - Non-identified, not listed on an exchange platform</v>
      </c>
      <c r="G84" s="11" t="str">
        <f>'Other non-financial'!G78</f>
        <v>Rank 9 - Ranking in insolvency (master scale)</v>
      </c>
      <c r="H84" s="11">
        <v>0</v>
      </c>
      <c r="I84" s="11">
        <v>0</v>
      </c>
      <c r="J84" s="11" t="s">
        <v>64</v>
      </c>
      <c r="K84" s="14" t="s">
        <v>65</v>
      </c>
      <c r="L84" s="11" t="str">
        <f>'Other non-financial'!H78</f>
        <v>Provisions. Off-balance sheet exposures subject to credit risk</v>
      </c>
      <c r="M84" s="12">
        <f>'Other non-financial'!B78</f>
        <v>0</v>
      </c>
      <c r="N84" s="11" t="str">
        <f>'Other non-financial'!A78</f>
        <v>EURO</v>
      </c>
      <c r="O84" s="11" t="str">
        <f>'Other non-financial'!E78</f>
        <v>2022-12-31</v>
      </c>
      <c r="P84" s="15">
        <v>72716</v>
      </c>
      <c r="Q84" s="11" t="s">
        <v>66</v>
      </c>
      <c r="R84" s="11">
        <v>0</v>
      </c>
    </row>
    <row r="85" spans="3:18" ht="36.75" thickBot="1">
      <c r="C85" s="10" t="s">
        <v>63</v>
      </c>
      <c r="D85" s="11">
        <v>78</v>
      </c>
      <c r="E85" s="11" t="str">
        <f>'Other non-financial'!F79</f>
        <v>r0390 - Non-financial liabilities</v>
      </c>
      <c r="F85" s="11" t="str">
        <f>IF(E85="r0170 - Employee liabilities (BRRD art. 44/2/g/i)","c001x   - Households",IF('Other non-financial'!C79="particulares","c001x   - Households",IF('Other non-financial'!C79="outras instituicoes financeiras","c005x   - Other financial corporations",IF('Other non-financial'!C79="instituicoes de credito","c004x   - Institutions",IF(AND('Other non-financial'!C79="outras empresas nao financeiras",'Other non-financial'!D79="1"),"c002x   - Micro &amp; SME",IF(AND('Other non-financial'!C79="outras empresas nao financeiras",'Other non-financial'!D79&lt;&gt;"1"),"c003x   - Corporates",IF('Other non-financial'!C79="","c010x   - Non-identified, not listed on an exchange platform",IF(OR('Other non-financial'!C79="setor publico",'Other non-financial'!C79="bancos centrais"),"c008x   - Government, central banks &amp; supranationals",""))))))))</f>
        <v>c010x   - Non-identified, not listed on an exchange platform</v>
      </c>
      <c r="G85" s="11" t="str">
        <f>'Other non-financial'!G79</f>
        <v>Rank 9 - Ranking in insolvency (master scale)</v>
      </c>
      <c r="H85" s="11">
        <v>0</v>
      </c>
      <c r="I85" s="11">
        <v>0</v>
      </c>
      <c r="J85" s="11" t="s">
        <v>64</v>
      </c>
      <c r="K85" s="14" t="s">
        <v>65</v>
      </c>
      <c r="L85" s="11" t="str">
        <f>'Other non-financial'!H79</f>
        <v>Provisions. Off-balance sheet exposures subject to credit risk</v>
      </c>
      <c r="M85" s="12">
        <f>'Other non-financial'!B79</f>
        <v>0</v>
      </c>
      <c r="N85" s="11" t="str">
        <f>'Other non-financial'!A79</f>
        <v>EURO</v>
      </c>
      <c r="O85" s="11" t="str">
        <f>'Other non-financial'!E79</f>
        <v>2022-12-31</v>
      </c>
      <c r="P85" s="15">
        <v>72716</v>
      </c>
      <c r="Q85" s="11" t="s">
        <v>66</v>
      </c>
      <c r="R85" s="11">
        <v>0</v>
      </c>
    </row>
    <row r="86" spans="3:18" ht="36.75" thickBot="1">
      <c r="C86" s="10" t="s">
        <v>63</v>
      </c>
      <c r="D86" s="11">
        <v>79</v>
      </c>
      <c r="E86" s="11" t="str">
        <f>'Other non-financial'!F80</f>
        <v>r0390 - Non-financial liabilities</v>
      </c>
      <c r="F86" s="11" t="str">
        <f>IF(E86="r0170 - Employee liabilities (BRRD art. 44/2/g/i)","c001x   - Households",IF('Other non-financial'!C80="particulares","c001x   - Households",IF('Other non-financial'!C80="outras instituicoes financeiras","c005x   - Other financial corporations",IF('Other non-financial'!C80="instituicoes de credito","c004x   - Institutions",IF(AND('Other non-financial'!C80="outras empresas nao financeiras",'Other non-financial'!D80="1"),"c002x   - Micro &amp; SME",IF(AND('Other non-financial'!C80="outras empresas nao financeiras",'Other non-financial'!D80&lt;&gt;"1"),"c003x   - Corporates",IF('Other non-financial'!C80="","c010x   - Non-identified, not listed on an exchange platform",IF(OR('Other non-financial'!C80="setor publico",'Other non-financial'!C80="bancos centrais"),"c008x   - Government, central banks &amp; supranationals",""))))))))</f>
        <v>c010x   - Non-identified, not listed on an exchange platform</v>
      </c>
      <c r="G86" s="11" t="str">
        <f>'Other non-financial'!G80</f>
        <v>Rank 9 - Ranking in insolvency (master scale)</v>
      </c>
      <c r="H86" s="11">
        <v>0</v>
      </c>
      <c r="I86" s="11">
        <v>0</v>
      </c>
      <c r="J86" s="11" t="s">
        <v>64</v>
      </c>
      <c r="K86" s="14" t="s">
        <v>65</v>
      </c>
      <c r="L86" s="11" t="str">
        <f>'Other non-financial'!H80</f>
        <v>Provisions. Off-balance sheet exposures subject to credit risk</v>
      </c>
      <c r="M86" s="12">
        <f>'Other non-financial'!B80</f>
        <v>0</v>
      </c>
      <c r="N86" s="11" t="str">
        <f>'Other non-financial'!A80</f>
        <v>EURO</v>
      </c>
      <c r="O86" s="11" t="str">
        <f>'Other non-financial'!E80</f>
        <v>2022-12-31</v>
      </c>
      <c r="P86" s="15">
        <v>72716</v>
      </c>
      <c r="Q86" s="11" t="s">
        <v>66</v>
      </c>
      <c r="R86" s="11">
        <v>0</v>
      </c>
    </row>
    <row r="87" spans="3:18" ht="36.75" thickBot="1">
      <c r="C87" s="10" t="s">
        <v>63</v>
      </c>
      <c r="D87" s="11">
        <v>80</v>
      </c>
      <c r="E87" s="11" t="str">
        <f>'Other non-financial'!F81</f>
        <v>r0390 - Non-financial liabilities</v>
      </c>
      <c r="F87" s="11" t="str">
        <f>IF(E87="r0170 - Employee liabilities (BRRD art. 44/2/g/i)","c001x   - Households",IF('Other non-financial'!C81="particulares","c001x   - Households",IF('Other non-financial'!C81="outras instituicoes financeiras","c005x   - Other financial corporations",IF('Other non-financial'!C81="instituicoes de credito","c004x   - Institutions",IF(AND('Other non-financial'!C81="outras empresas nao financeiras",'Other non-financial'!D81="1"),"c002x   - Micro &amp; SME",IF(AND('Other non-financial'!C81="outras empresas nao financeiras",'Other non-financial'!D81&lt;&gt;"1"),"c003x   - Corporates",IF('Other non-financial'!C81="","c010x   - Non-identified, not listed on an exchange platform",IF(OR('Other non-financial'!C81="setor publico",'Other non-financial'!C81="bancos centrais"),"c008x   - Government, central banks &amp; supranationals",""))))))))</f>
        <v>c010x   - Non-identified, not listed on an exchange platform</v>
      </c>
      <c r="G87" s="11" t="str">
        <f>'Other non-financial'!G81</f>
        <v>Rank 9 - Ranking in insolvency (master scale)</v>
      </c>
      <c r="H87" s="11">
        <v>0</v>
      </c>
      <c r="I87" s="11">
        <v>0</v>
      </c>
      <c r="J87" s="11" t="s">
        <v>64</v>
      </c>
      <c r="K87" s="14" t="s">
        <v>65</v>
      </c>
      <c r="L87" s="11" t="str">
        <f>'Other non-financial'!H81</f>
        <v>Provisions. Off-balance sheet exposures subject to credit risk</v>
      </c>
      <c r="M87" s="12">
        <f>'Other non-financial'!B81</f>
        <v>0</v>
      </c>
      <c r="N87" s="11" t="str">
        <f>'Other non-financial'!A81</f>
        <v>EURO</v>
      </c>
      <c r="O87" s="11" t="str">
        <f>'Other non-financial'!E81</f>
        <v>2022-12-31</v>
      </c>
      <c r="P87" s="15">
        <v>72716</v>
      </c>
      <c r="Q87" s="11" t="s">
        <v>66</v>
      </c>
      <c r="R87" s="11">
        <v>0</v>
      </c>
    </row>
    <row r="88" spans="3:18" ht="36.75" thickBot="1">
      <c r="C88" s="10" t="s">
        <v>63</v>
      </c>
      <c r="D88" s="11">
        <v>81</v>
      </c>
      <c r="E88" s="11" t="str">
        <f>'Other non-financial'!F82</f>
        <v>r0390 - Non-financial liabilities</v>
      </c>
      <c r="F88" s="11" t="str">
        <f>IF(E88="r0170 - Employee liabilities (BRRD art. 44/2/g/i)","c001x   - Households",IF('Other non-financial'!C82="particulares","c001x   - Households",IF('Other non-financial'!C82="outras instituicoes financeiras","c005x   - Other financial corporations",IF('Other non-financial'!C82="instituicoes de credito","c004x   - Institutions",IF(AND('Other non-financial'!C82="outras empresas nao financeiras",'Other non-financial'!D82="1"),"c002x   - Micro &amp; SME",IF(AND('Other non-financial'!C82="outras empresas nao financeiras",'Other non-financial'!D82&lt;&gt;"1"),"c003x   - Corporates",IF('Other non-financial'!C82="","c010x   - Non-identified, not listed on an exchange platform",IF(OR('Other non-financial'!C82="setor publico",'Other non-financial'!C82="bancos centrais"),"c008x   - Government, central banks &amp; supranationals",""))))))))</f>
        <v>c010x   - Non-identified, not listed on an exchange platform</v>
      </c>
      <c r="G88" s="11" t="str">
        <f>'Other non-financial'!G82</f>
        <v>Rank 9 - Ranking in insolvency (master scale)</v>
      </c>
      <c r="H88" s="11">
        <v>0</v>
      </c>
      <c r="I88" s="11">
        <v>0</v>
      </c>
      <c r="J88" s="11" t="s">
        <v>64</v>
      </c>
      <c r="K88" s="14" t="s">
        <v>65</v>
      </c>
      <c r="L88" s="11" t="str">
        <f>'Other non-financial'!H82</f>
        <v>Provisions. Off-balance sheet exposures subject to credit risk</v>
      </c>
      <c r="M88" s="12">
        <f>'Other non-financial'!B82</f>
        <v>0</v>
      </c>
      <c r="N88" s="11" t="str">
        <f>'Other non-financial'!A82</f>
        <v>EURO</v>
      </c>
      <c r="O88" s="11" t="str">
        <f>'Other non-financial'!E82</f>
        <v>2022-12-31</v>
      </c>
      <c r="P88" s="15">
        <v>72716</v>
      </c>
      <c r="Q88" s="11" t="s">
        <v>66</v>
      </c>
      <c r="R88" s="11">
        <v>0</v>
      </c>
    </row>
    <row r="89" spans="3:18" ht="36.75" thickBot="1">
      <c r="C89" s="10" t="s">
        <v>63</v>
      </c>
      <c r="D89" s="11">
        <v>82</v>
      </c>
      <c r="E89" s="11" t="str">
        <f>'Other non-financial'!F83</f>
        <v>r0390 - Non-financial liabilities</v>
      </c>
      <c r="F89" s="11" t="str">
        <f>IF(E89="r0170 - Employee liabilities (BRRD art. 44/2/g/i)","c001x   - Households",IF('Other non-financial'!C83="particulares","c001x   - Households",IF('Other non-financial'!C83="outras instituicoes financeiras","c005x   - Other financial corporations",IF('Other non-financial'!C83="instituicoes de credito","c004x   - Institutions",IF(AND('Other non-financial'!C83="outras empresas nao financeiras",'Other non-financial'!D83="1"),"c002x   - Micro &amp; SME",IF(AND('Other non-financial'!C83="outras empresas nao financeiras",'Other non-financial'!D83&lt;&gt;"1"),"c003x   - Corporates",IF('Other non-financial'!C83="","c010x   - Non-identified, not listed on an exchange platform",IF(OR('Other non-financial'!C83="setor publico",'Other non-financial'!C83="bancos centrais"),"c008x   - Government, central banks &amp; supranationals",""))))))))</f>
        <v>c010x   - Non-identified, not listed on an exchange platform</v>
      </c>
      <c r="G89" s="11" t="str">
        <f>'Other non-financial'!G83</f>
        <v>Rank 9 - Ranking in insolvency (master scale)</v>
      </c>
      <c r="H89" s="11">
        <v>0</v>
      </c>
      <c r="I89" s="11">
        <v>0</v>
      </c>
      <c r="J89" s="11" t="s">
        <v>64</v>
      </c>
      <c r="K89" s="14" t="s">
        <v>65</v>
      </c>
      <c r="L89" s="11" t="str">
        <f>'Other non-financial'!H83</f>
        <v>Provisions. Off-balance sheet exposures subject to credit risk</v>
      </c>
      <c r="M89" s="12">
        <f>'Other non-financial'!B83</f>
        <v>0</v>
      </c>
      <c r="N89" s="11" t="str">
        <f>'Other non-financial'!A83</f>
        <v>EURO</v>
      </c>
      <c r="O89" s="11" t="str">
        <f>'Other non-financial'!E83</f>
        <v>2022-12-31</v>
      </c>
      <c r="P89" s="15">
        <v>72716</v>
      </c>
      <c r="Q89" s="11" t="s">
        <v>66</v>
      </c>
      <c r="R89" s="11">
        <v>0</v>
      </c>
    </row>
    <row r="90" spans="3:18" ht="36.75" thickBot="1">
      <c r="C90" s="10" t="s">
        <v>63</v>
      </c>
      <c r="D90" s="11">
        <v>83</v>
      </c>
      <c r="E90" s="11" t="str">
        <f>'Other non-financial'!F84</f>
        <v>r0390 - Non-financial liabilities</v>
      </c>
      <c r="F90" s="11" t="str">
        <f>IF(E90="r0170 - Employee liabilities (BRRD art. 44/2/g/i)","c001x   - Households",IF('Other non-financial'!C84="particulares","c001x   - Households",IF('Other non-financial'!C84="outras instituicoes financeiras","c005x   - Other financial corporations",IF('Other non-financial'!C84="instituicoes de credito","c004x   - Institutions",IF(AND('Other non-financial'!C84="outras empresas nao financeiras",'Other non-financial'!D84="1"),"c002x   - Micro &amp; SME",IF(AND('Other non-financial'!C84="outras empresas nao financeiras",'Other non-financial'!D84&lt;&gt;"1"),"c003x   - Corporates",IF('Other non-financial'!C84="","c010x   - Non-identified, not listed on an exchange platform",IF(OR('Other non-financial'!C84="setor publico",'Other non-financial'!C84="bancos centrais"),"c008x   - Government, central banks &amp; supranationals",""))))))))</f>
        <v>c010x   - Non-identified, not listed on an exchange platform</v>
      </c>
      <c r="G90" s="11" t="str">
        <f>'Other non-financial'!G84</f>
        <v>Rank 9 - Ranking in insolvency (master scale)</v>
      </c>
      <c r="H90" s="11">
        <v>0</v>
      </c>
      <c r="I90" s="11">
        <v>0</v>
      </c>
      <c r="J90" s="11" t="s">
        <v>64</v>
      </c>
      <c r="K90" s="14" t="s">
        <v>65</v>
      </c>
      <c r="L90" s="11" t="str">
        <f>'Other non-financial'!H84</f>
        <v>Provisions. Off-balance sheet exposures subject to credit risk</v>
      </c>
      <c r="M90" s="12">
        <f>'Other non-financial'!B84</f>
        <v>0</v>
      </c>
      <c r="N90" s="11" t="str">
        <f>'Other non-financial'!A84</f>
        <v>EURO</v>
      </c>
      <c r="O90" s="11" t="str">
        <f>'Other non-financial'!E84</f>
        <v>2022-12-31</v>
      </c>
      <c r="P90" s="15">
        <v>72716</v>
      </c>
      <c r="Q90" s="11" t="s">
        <v>66</v>
      </c>
      <c r="R90" s="11">
        <v>0</v>
      </c>
    </row>
    <row r="91" spans="3:18" ht="36.75" thickBot="1">
      <c r="C91" s="10" t="s">
        <v>63</v>
      </c>
      <c r="D91" s="11">
        <v>84</v>
      </c>
      <c r="E91" s="11" t="str">
        <f>'Other non-financial'!F85</f>
        <v>r0390 - Non-financial liabilities</v>
      </c>
      <c r="F91" s="11" t="str">
        <f>IF(E91="r0170 - Employee liabilities (BRRD art. 44/2/g/i)","c001x   - Households",IF('Other non-financial'!C85="particulares","c001x   - Households",IF('Other non-financial'!C85="outras instituicoes financeiras","c005x   - Other financial corporations",IF('Other non-financial'!C85="instituicoes de credito","c004x   - Institutions",IF(AND('Other non-financial'!C85="outras empresas nao financeiras",'Other non-financial'!D85="1"),"c002x   - Micro &amp; SME",IF(AND('Other non-financial'!C85="outras empresas nao financeiras",'Other non-financial'!D85&lt;&gt;"1"),"c003x   - Corporates",IF('Other non-financial'!C85="","c010x   - Non-identified, not listed on an exchange platform",IF(OR('Other non-financial'!C85="setor publico",'Other non-financial'!C85="bancos centrais"),"c008x   - Government, central banks &amp; supranationals",""))))))))</f>
        <v>c010x   - Non-identified, not listed on an exchange platform</v>
      </c>
      <c r="G91" s="11" t="str">
        <f>'Other non-financial'!G85</f>
        <v>Rank 9 - Ranking in insolvency (master scale)</v>
      </c>
      <c r="H91" s="11">
        <v>0</v>
      </c>
      <c r="I91" s="11">
        <v>0</v>
      </c>
      <c r="J91" s="11" t="s">
        <v>64</v>
      </c>
      <c r="K91" s="14" t="s">
        <v>65</v>
      </c>
      <c r="L91" s="11" t="str">
        <f>'Other non-financial'!H85</f>
        <v>Provisions. Off-balance sheet exposures subject to credit risk</v>
      </c>
      <c r="M91" s="12">
        <f>'Other non-financial'!B85</f>
        <v>0</v>
      </c>
      <c r="N91" s="11" t="str">
        <f>'Other non-financial'!A85</f>
        <v>EURO</v>
      </c>
      <c r="O91" s="11" t="str">
        <f>'Other non-financial'!E85</f>
        <v>2022-12-31</v>
      </c>
      <c r="P91" s="15">
        <v>72716</v>
      </c>
      <c r="Q91" s="11" t="s">
        <v>66</v>
      </c>
      <c r="R91" s="11">
        <v>0</v>
      </c>
    </row>
    <row r="92" spans="3:18" ht="36.75" thickBot="1">
      <c r="C92" s="10" t="s">
        <v>63</v>
      </c>
      <c r="D92" s="11">
        <v>85</v>
      </c>
      <c r="E92" s="11" t="str">
        <f>'Other non-financial'!F86</f>
        <v>r0390 - Non-financial liabilities</v>
      </c>
      <c r="F92" s="11" t="str">
        <f>IF(E92="r0170 - Employee liabilities (BRRD art. 44/2/g/i)","c001x   - Households",IF('Other non-financial'!C86="particulares","c001x   - Households",IF('Other non-financial'!C86="outras instituicoes financeiras","c005x   - Other financial corporations",IF('Other non-financial'!C86="instituicoes de credito","c004x   - Institutions",IF(AND('Other non-financial'!C86="outras empresas nao financeiras",'Other non-financial'!D86="1"),"c002x   - Micro &amp; SME",IF(AND('Other non-financial'!C86="outras empresas nao financeiras",'Other non-financial'!D86&lt;&gt;"1"),"c003x   - Corporates",IF('Other non-financial'!C86="","c010x   - Non-identified, not listed on an exchange platform",IF(OR('Other non-financial'!C86="setor publico",'Other non-financial'!C86="bancos centrais"),"c008x   - Government, central banks &amp; supranationals",""))))))))</f>
        <v>c010x   - Non-identified, not listed on an exchange platform</v>
      </c>
      <c r="G92" s="11" t="str">
        <f>'Other non-financial'!G86</f>
        <v>Rank 9 - Ranking in insolvency (master scale)</v>
      </c>
      <c r="H92" s="11">
        <v>0</v>
      </c>
      <c r="I92" s="11">
        <v>0</v>
      </c>
      <c r="J92" s="11" t="s">
        <v>64</v>
      </c>
      <c r="K92" s="14" t="s">
        <v>65</v>
      </c>
      <c r="L92" s="11" t="str">
        <f>'Other non-financial'!H86</f>
        <v>Provisions. Off-balance sheet exposures subject to credit risk</v>
      </c>
      <c r="M92" s="12">
        <f>'Other non-financial'!B86</f>
        <v>0</v>
      </c>
      <c r="N92" s="11" t="str">
        <f>'Other non-financial'!A86</f>
        <v>EURO</v>
      </c>
      <c r="O92" s="11" t="str">
        <f>'Other non-financial'!E86</f>
        <v>2022-12-31</v>
      </c>
      <c r="P92" s="15">
        <v>72716</v>
      </c>
      <c r="Q92" s="11" t="s">
        <v>66</v>
      </c>
      <c r="R92" s="11">
        <v>0</v>
      </c>
    </row>
    <row r="93" spans="3:18" ht="36.75" thickBot="1">
      <c r="C93" s="10" t="s">
        <v>63</v>
      </c>
      <c r="D93" s="11">
        <v>86</v>
      </c>
      <c r="E93" s="11" t="str">
        <f>'Other non-financial'!F87</f>
        <v>r0390 - Non-financial liabilities</v>
      </c>
      <c r="F93" s="11" t="str">
        <f>IF(E93="r0170 - Employee liabilities (BRRD art. 44/2/g/i)","c001x   - Households",IF('Other non-financial'!C87="particulares","c001x   - Households",IF('Other non-financial'!C87="outras instituicoes financeiras","c005x   - Other financial corporations",IF('Other non-financial'!C87="instituicoes de credito","c004x   - Institutions",IF(AND('Other non-financial'!C87="outras empresas nao financeiras",'Other non-financial'!D87="1"),"c002x   - Micro &amp; SME",IF(AND('Other non-financial'!C87="outras empresas nao financeiras",'Other non-financial'!D87&lt;&gt;"1"),"c003x   - Corporates",IF('Other non-financial'!C87="","c010x   - Non-identified, not listed on an exchange platform",IF(OR('Other non-financial'!C87="setor publico",'Other non-financial'!C87="bancos centrais"),"c008x   - Government, central banks &amp; supranationals",""))))))))</f>
        <v>c010x   - Non-identified, not listed on an exchange platform</v>
      </c>
      <c r="G93" s="11" t="str">
        <f>'Other non-financial'!G87</f>
        <v>Rank 9 - Ranking in insolvency (master scale)</v>
      </c>
      <c r="H93" s="11">
        <v>0</v>
      </c>
      <c r="I93" s="11">
        <v>0</v>
      </c>
      <c r="J93" s="11" t="s">
        <v>64</v>
      </c>
      <c r="K93" s="14" t="s">
        <v>65</v>
      </c>
      <c r="L93" s="11" t="str">
        <f>'Other non-financial'!H87</f>
        <v>Provisions. Off-balance sheet exposures subject to credit risk</v>
      </c>
      <c r="M93" s="12">
        <f>'Other non-financial'!B87</f>
        <v>0</v>
      </c>
      <c r="N93" s="11" t="str">
        <f>'Other non-financial'!A87</f>
        <v>EURO</v>
      </c>
      <c r="O93" s="11" t="str">
        <f>'Other non-financial'!E87</f>
        <v>2022-12-31</v>
      </c>
      <c r="P93" s="15">
        <v>72716</v>
      </c>
      <c r="Q93" s="11" t="s">
        <v>66</v>
      </c>
      <c r="R93" s="11">
        <v>0</v>
      </c>
    </row>
    <row r="94" spans="3:18" ht="36.75" thickBot="1">
      <c r="C94" s="10" t="s">
        <v>63</v>
      </c>
      <c r="D94" s="11">
        <v>87</v>
      </c>
      <c r="E94" s="11" t="str">
        <f>'Other non-financial'!F88</f>
        <v>r0390 - Non-financial liabilities</v>
      </c>
      <c r="F94" s="11" t="str">
        <f>IF(E94="r0170 - Employee liabilities (BRRD art. 44/2/g/i)","c001x   - Households",IF('Other non-financial'!C88="particulares","c001x   - Households",IF('Other non-financial'!C88="outras instituicoes financeiras","c005x   - Other financial corporations",IF('Other non-financial'!C88="instituicoes de credito","c004x   - Institutions",IF(AND('Other non-financial'!C88="outras empresas nao financeiras",'Other non-financial'!D88="1"),"c002x   - Micro &amp; SME",IF(AND('Other non-financial'!C88="outras empresas nao financeiras",'Other non-financial'!D88&lt;&gt;"1"),"c003x   - Corporates",IF('Other non-financial'!C88="","c010x   - Non-identified, not listed on an exchange platform",IF(OR('Other non-financial'!C88="setor publico",'Other non-financial'!C88="bancos centrais"),"c008x   - Government, central banks &amp; supranationals",""))))))))</f>
        <v>c010x   - Non-identified, not listed on an exchange platform</v>
      </c>
      <c r="G94" s="11" t="str">
        <f>'Other non-financial'!G88</f>
        <v>Rank 9 - Ranking in insolvency (master scale)</v>
      </c>
      <c r="H94" s="11">
        <v>0</v>
      </c>
      <c r="I94" s="11">
        <v>0</v>
      </c>
      <c r="J94" s="11" t="s">
        <v>64</v>
      </c>
      <c r="K94" s="14" t="s">
        <v>65</v>
      </c>
      <c r="L94" s="11" t="str">
        <f>'Other non-financial'!H88</f>
        <v>Provisions. Off-balance sheet exposures subject to credit risk</v>
      </c>
      <c r="M94" s="12">
        <f>'Other non-financial'!B88</f>
        <v>0</v>
      </c>
      <c r="N94" s="11" t="str">
        <f>'Other non-financial'!A88</f>
        <v>EURO</v>
      </c>
      <c r="O94" s="11" t="str">
        <f>'Other non-financial'!E88</f>
        <v>2022-12-31</v>
      </c>
      <c r="P94" s="15">
        <v>72716</v>
      </c>
      <c r="Q94" s="11" t="s">
        <v>66</v>
      </c>
      <c r="R94" s="11">
        <v>0</v>
      </c>
    </row>
    <row r="95" spans="3:18" ht="36.75" thickBot="1">
      <c r="C95" s="10" t="s">
        <v>63</v>
      </c>
      <c r="D95" s="11">
        <v>88</v>
      </c>
      <c r="E95" s="11" t="str">
        <f>'Other non-financial'!F89</f>
        <v>r0390 - Non-financial liabilities</v>
      </c>
      <c r="F95" s="11" t="str">
        <f>IF(E95="r0170 - Employee liabilities (BRRD art. 44/2/g/i)","c001x   - Households",IF('Other non-financial'!C89="particulares","c001x   - Households",IF('Other non-financial'!C89="outras instituicoes financeiras","c005x   - Other financial corporations",IF('Other non-financial'!C89="instituicoes de credito","c004x   - Institutions",IF(AND('Other non-financial'!C89="outras empresas nao financeiras",'Other non-financial'!D89="1"),"c002x   - Micro &amp; SME",IF(AND('Other non-financial'!C89="outras empresas nao financeiras",'Other non-financial'!D89&lt;&gt;"1"),"c003x   - Corporates",IF('Other non-financial'!C89="","c010x   - Non-identified, not listed on an exchange platform",IF(OR('Other non-financial'!C89="setor publico",'Other non-financial'!C89="bancos centrais"),"c008x   - Government, central banks &amp; supranationals",""))))))))</f>
        <v>c010x   - Non-identified, not listed on an exchange platform</v>
      </c>
      <c r="G95" s="11" t="str">
        <f>'Other non-financial'!G89</f>
        <v>Rank 9 - Ranking in insolvency (master scale)</v>
      </c>
      <c r="H95" s="11">
        <v>0</v>
      </c>
      <c r="I95" s="11">
        <v>0</v>
      </c>
      <c r="J95" s="11" t="s">
        <v>64</v>
      </c>
      <c r="K95" s="14" t="s">
        <v>65</v>
      </c>
      <c r="L95" s="11" t="str">
        <f>'Other non-financial'!H89</f>
        <v>Provisions. Off-balance sheet exposures subject to credit risk</v>
      </c>
      <c r="M95" s="12">
        <f>'Other non-financial'!B89</f>
        <v>0</v>
      </c>
      <c r="N95" s="11" t="str">
        <f>'Other non-financial'!A89</f>
        <v>EURO</v>
      </c>
      <c r="O95" s="11" t="str">
        <f>'Other non-financial'!E89</f>
        <v>2022-12-31</v>
      </c>
      <c r="P95" s="15">
        <v>72716</v>
      </c>
      <c r="Q95" s="11" t="s">
        <v>66</v>
      </c>
      <c r="R95" s="11">
        <v>0</v>
      </c>
    </row>
    <row r="96" spans="3:18" ht="36.75" thickBot="1">
      <c r="C96" s="10" t="s">
        <v>63</v>
      </c>
      <c r="D96" s="11">
        <v>89</v>
      </c>
      <c r="E96" s="11" t="str">
        <f>'Other non-financial'!F90</f>
        <v>r0390 - Non-financial liabilities</v>
      </c>
      <c r="F96" s="11" t="str">
        <f>IF(E96="r0170 - Employee liabilities (BRRD art. 44/2/g/i)","c001x   - Households",IF('Other non-financial'!C90="particulares","c001x   - Households",IF('Other non-financial'!C90="outras instituicoes financeiras","c005x   - Other financial corporations",IF('Other non-financial'!C90="instituicoes de credito","c004x   - Institutions",IF(AND('Other non-financial'!C90="outras empresas nao financeiras",'Other non-financial'!D90="1"),"c002x   - Micro &amp; SME",IF(AND('Other non-financial'!C90="outras empresas nao financeiras",'Other non-financial'!D90&lt;&gt;"1"),"c003x   - Corporates",IF('Other non-financial'!C90="","c010x   - Non-identified, not listed on an exchange platform",IF(OR('Other non-financial'!C90="setor publico",'Other non-financial'!C90="bancos centrais"),"c008x   - Government, central banks &amp; supranationals",""))))))))</f>
        <v>c010x   - Non-identified, not listed on an exchange platform</v>
      </c>
      <c r="G96" s="11" t="str">
        <f>'Other non-financial'!G90</f>
        <v>Rank 9 - Ranking in insolvency (master scale)</v>
      </c>
      <c r="H96" s="11">
        <v>0</v>
      </c>
      <c r="I96" s="11">
        <v>0</v>
      </c>
      <c r="J96" s="11" t="s">
        <v>64</v>
      </c>
      <c r="K96" s="14" t="s">
        <v>65</v>
      </c>
      <c r="L96" s="11" t="str">
        <f>'Other non-financial'!H90</f>
        <v>Provisions. Off-balance sheet exposures subject to credit risk</v>
      </c>
      <c r="M96" s="12">
        <f>'Other non-financial'!B90</f>
        <v>0</v>
      </c>
      <c r="N96" s="11" t="str">
        <f>'Other non-financial'!A90</f>
        <v>EURO</v>
      </c>
      <c r="O96" s="11" t="str">
        <f>'Other non-financial'!E90</f>
        <v>2022-12-31</v>
      </c>
      <c r="P96" s="15">
        <v>72716</v>
      </c>
      <c r="Q96" s="11" t="s">
        <v>66</v>
      </c>
      <c r="R96" s="11">
        <v>0</v>
      </c>
    </row>
    <row r="97" spans="3:18" ht="36.75" thickBot="1">
      <c r="C97" s="10" t="s">
        <v>63</v>
      </c>
      <c r="D97" s="11">
        <v>90</v>
      </c>
      <c r="E97" s="11" t="str">
        <f>'Other non-financial'!F91</f>
        <v>r0390 - Non-financial liabilities</v>
      </c>
      <c r="F97" s="11" t="str">
        <f>IF(E97="r0170 - Employee liabilities (BRRD art. 44/2/g/i)","c001x   - Households",IF('Other non-financial'!C91="particulares","c001x   - Households",IF('Other non-financial'!C91="outras instituicoes financeiras","c005x   - Other financial corporations",IF('Other non-financial'!C91="instituicoes de credito","c004x   - Institutions",IF(AND('Other non-financial'!C91="outras empresas nao financeiras",'Other non-financial'!D91="1"),"c002x   - Micro &amp; SME",IF(AND('Other non-financial'!C91="outras empresas nao financeiras",'Other non-financial'!D91&lt;&gt;"1"),"c003x   - Corporates",IF('Other non-financial'!C91="","c010x   - Non-identified, not listed on an exchange platform",IF(OR('Other non-financial'!C91="setor publico",'Other non-financial'!C91="bancos centrais"),"c008x   - Government, central banks &amp; supranationals",""))))))))</f>
        <v>c010x   - Non-identified, not listed on an exchange platform</v>
      </c>
      <c r="G97" s="11" t="str">
        <f>'Other non-financial'!G91</f>
        <v>Rank 9 - Ranking in insolvency (master scale)</v>
      </c>
      <c r="H97" s="11">
        <v>0</v>
      </c>
      <c r="I97" s="11">
        <v>0</v>
      </c>
      <c r="J97" s="11" t="s">
        <v>64</v>
      </c>
      <c r="K97" s="14" t="s">
        <v>65</v>
      </c>
      <c r="L97" s="11" t="str">
        <f>'Other non-financial'!H91</f>
        <v>Provisions. Off-balance sheet exposures subject to credit risk</v>
      </c>
      <c r="M97" s="12">
        <f>'Other non-financial'!B91</f>
        <v>0</v>
      </c>
      <c r="N97" s="11" t="str">
        <f>'Other non-financial'!A91</f>
        <v>EURO</v>
      </c>
      <c r="O97" s="11" t="str">
        <f>'Other non-financial'!E91</f>
        <v>2022-12-31</v>
      </c>
      <c r="P97" s="15">
        <v>72716</v>
      </c>
      <c r="Q97" s="11" t="s">
        <v>66</v>
      </c>
      <c r="R97" s="11">
        <v>0</v>
      </c>
    </row>
    <row r="98" spans="3:18" ht="36.75" thickBot="1">
      <c r="C98" s="10" t="s">
        <v>63</v>
      </c>
      <c r="D98" s="11">
        <v>91</v>
      </c>
      <c r="E98" s="11" t="str">
        <f>'Other non-financial'!F92</f>
        <v>r0390 - Non-financial liabilities</v>
      </c>
      <c r="F98" s="11" t="str">
        <f>IF(E98="r0170 - Employee liabilities (BRRD art. 44/2/g/i)","c001x   - Households",IF('Other non-financial'!C92="particulares","c001x   - Households",IF('Other non-financial'!C92="outras instituicoes financeiras","c005x   - Other financial corporations",IF('Other non-financial'!C92="instituicoes de credito","c004x   - Institutions",IF(AND('Other non-financial'!C92="outras empresas nao financeiras",'Other non-financial'!D92="1"),"c002x   - Micro &amp; SME",IF(AND('Other non-financial'!C92="outras empresas nao financeiras",'Other non-financial'!D92&lt;&gt;"1"),"c003x   - Corporates",IF('Other non-financial'!C92="","c010x   - Non-identified, not listed on an exchange platform",IF(OR('Other non-financial'!C92="setor publico",'Other non-financial'!C92="bancos centrais"),"c008x   - Government, central banks &amp; supranationals",""))))))))</f>
        <v>c010x   - Non-identified, not listed on an exchange platform</v>
      </c>
      <c r="G98" s="11" t="str">
        <f>'Other non-financial'!G92</f>
        <v>Rank 9 - Ranking in insolvency (master scale)</v>
      </c>
      <c r="H98" s="11">
        <v>0</v>
      </c>
      <c r="I98" s="11">
        <v>0</v>
      </c>
      <c r="J98" s="11" t="s">
        <v>64</v>
      </c>
      <c r="K98" s="14" t="s">
        <v>65</v>
      </c>
      <c r="L98" s="11" t="str">
        <f>'Other non-financial'!H92</f>
        <v>Provisions. Off-balance sheet exposures subject to credit risk</v>
      </c>
      <c r="M98" s="12">
        <f>'Other non-financial'!B92</f>
        <v>0</v>
      </c>
      <c r="N98" s="11" t="str">
        <f>'Other non-financial'!A92</f>
        <v>EURO</v>
      </c>
      <c r="O98" s="11" t="str">
        <f>'Other non-financial'!E92</f>
        <v>2022-12-31</v>
      </c>
      <c r="P98" s="15">
        <v>72716</v>
      </c>
      <c r="Q98" s="11" t="s">
        <v>66</v>
      </c>
      <c r="R98" s="11">
        <v>0</v>
      </c>
    </row>
    <row r="99" spans="3:18" ht="36.75" thickBot="1">
      <c r="C99" s="10" t="s">
        <v>63</v>
      </c>
      <c r="D99" s="11">
        <v>92</v>
      </c>
      <c r="E99" s="11" t="str">
        <f>'Other non-financial'!F93</f>
        <v>r0390 - Non-financial liabilities</v>
      </c>
      <c r="F99" s="11" t="str">
        <f>IF(E99="r0170 - Employee liabilities (BRRD art. 44/2/g/i)","c001x   - Households",IF('Other non-financial'!C93="particulares","c001x   - Households",IF('Other non-financial'!C93="outras instituicoes financeiras","c005x   - Other financial corporations",IF('Other non-financial'!C93="instituicoes de credito","c004x   - Institutions",IF(AND('Other non-financial'!C93="outras empresas nao financeiras",'Other non-financial'!D93="1"),"c002x   - Micro &amp; SME",IF(AND('Other non-financial'!C93="outras empresas nao financeiras",'Other non-financial'!D93&lt;&gt;"1"),"c003x   - Corporates",IF('Other non-financial'!C93="","c010x   - Non-identified, not listed on an exchange platform",IF(OR('Other non-financial'!C93="setor publico",'Other non-financial'!C93="bancos centrais"),"c008x   - Government, central banks &amp; supranationals",""))))))))</f>
        <v>c010x   - Non-identified, not listed on an exchange platform</v>
      </c>
      <c r="G99" s="11" t="str">
        <f>'Other non-financial'!G93</f>
        <v>Rank 9 - Ranking in insolvency (master scale)</v>
      </c>
      <c r="H99" s="11">
        <v>0</v>
      </c>
      <c r="I99" s="11">
        <v>0</v>
      </c>
      <c r="J99" s="11" t="s">
        <v>64</v>
      </c>
      <c r="K99" s="14" t="s">
        <v>65</v>
      </c>
      <c r="L99" s="11" t="str">
        <f>'Other non-financial'!H93</f>
        <v>Provisions. Off-balance sheet exposures subject to credit risk</v>
      </c>
      <c r="M99" s="12">
        <f>'Other non-financial'!B93</f>
        <v>0</v>
      </c>
      <c r="N99" s="11" t="str">
        <f>'Other non-financial'!A93</f>
        <v>EURO</v>
      </c>
      <c r="O99" s="11" t="str">
        <f>'Other non-financial'!E93</f>
        <v>2022-12-31</v>
      </c>
      <c r="P99" s="15">
        <v>72716</v>
      </c>
      <c r="Q99" s="11" t="s">
        <v>66</v>
      </c>
      <c r="R99" s="11">
        <v>0</v>
      </c>
    </row>
    <row r="100" spans="3:18" ht="36.75" thickBot="1">
      <c r="C100" s="10" t="s">
        <v>63</v>
      </c>
      <c r="D100" s="11">
        <v>93</v>
      </c>
      <c r="E100" s="11" t="str">
        <f>'Other non-financial'!F94</f>
        <v>r0390 - Non-financial liabilities</v>
      </c>
      <c r="F100" s="11" t="str">
        <f>IF(E100="r0170 - Employee liabilities (BRRD art. 44/2/g/i)","c001x   - Households",IF('Other non-financial'!C94="particulares","c001x   - Households",IF('Other non-financial'!C94="outras instituicoes financeiras","c005x   - Other financial corporations",IF('Other non-financial'!C94="instituicoes de credito","c004x   - Institutions",IF(AND('Other non-financial'!C94="outras empresas nao financeiras",'Other non-financial'!D94="1"),"c002x   - Micro &amp; SME",IF(AND('Other non-financial'!C94="outras empresas nao financeiras",'Other non-financial'!D94&lt;&gt;"1"),"c003x   - Corporates",IF('Other non-financial'!C94="","c010x   - Non-identified, not listed on an exchange platform",IF(OR('Other non-financial'!C94="setor publico",'Other non-financial'!C94="bancos centrais"),"c008x   - Government, central banks &amp; supranationals",""))))))))</f>
        <v>c010x   - Non-identified, not listed on an exchange platform</v>
      </c>
      <c r="G100" s="11" t="str">
        <f>'Other non-financial'!G94</f>
        <v>Rank 9 - Ranking in insolvency (master scale)</v>
      </c>
      <c r="H100" s="11">
        <v>0</v>
      </c>
      <c r="I100" s="11">
        <v>0</v>
      </c>
      <c r="J100" s="11" t="s">
        <v>64</v>
      </c>
      <c r="K100" s="14" t="s">
        <v>65</v>
      </c>
      <c r="L100" s="11" t="str">
        <f>'Other non-financial'!H94</f>
        <v>Provisions. Off-balance sheet exposures subject to credit risk</v>
      </c>
      <c r="M100" s="12">
        <f>'Other non-financial'!B94</f>
        <v>0</v>
      </c>
      <c r="N100" s="11" t="str">
        <f>'Other non-financial'!A94</f>
        <v>EURO</v>
      </c>
      <c r="O100" s="11" t="str">
        <f>'Other non-financial'!E94</f>
        <v>2022-12-31</v>
      </c>
      <c r="P100" s="15">
        <v>72716</v>
      </c>
      <c r="Q100" s="11" t="s">
        <v>66</v>
      </c>
      <c r="R100" s="11">
        <v>0</v>
      </c>
    </row>
    <row r="101" spans="3:18" ht="36.75" thickBot="1">
      <c r="C101" s="10" t="s">
        <v>63</v>
      </c>
      <c r="D101" s="11">
        <v>94</v>
      </c>
      <c r="E101" s="11" t="str">
        <f>'Other non-financial'!F95</f>
        <v>r0390 - Non-financial liabilities</v>
      </c>
      <c r="F101" s="11" t="str">
        <f>IF(E101="r0170 - Employee liabilities (BRRD art. 44/2/g/i)","c001x   - Households",IF('Other non-financial'!C95="particulares","c001x   - Households",IF('Other non-financial'!C95="outras instituicoes financeiras","c005x   - Other financial corporations",IF('Other non-financial'!C95="instituicoes de credito","c004x   - Institutions",IF(AND('Other non-financial'!C95="outras empresas nao financeiras",'Other non-financial'!D95="1"),"c002x   - Micro &amp; SME",IF(AND('Other non-financial'!C95="outras empresas nao financeiras",'Other non-financial'!D95&lt;&gt;"1"),"c003x   - Corporates",IF('Other non-financial'!C95="","c010x   - Non-identified, not listed on an exchange platform",IF(OR('Other non-financial'!C95="setor publico",'Other non-financial'!C95="bancos centrais"),"c008x   - Government, central banks &amp; supranationals",""))))))))</f>
        <v>c010x   - Non-identified, not listed on an exchange platform</v>
      </c>
      <c r="G101" s="11" t="str">
        <f>'Other non-financial'!G95</f>
        <v>Rank 9 - Ranking in insolvency (master scale)</v>
      </c>
      <c r="H101" s="11">
        <v>0</v>
      </c>
      <c r="I101" s="11">
        <v>0</v>
      </c>
      <c r="J101" s="11" t="s">
        <v>64</v>
      </c>
      <c r="K101" s="14" t="s">
        <v>65</v>
      </c>
      <c r="L101" s="11" t="str">
        <f>'Other non-financial'!H95</f>
        <v>Provisions. Off-balance sheet exposures subject to credit risk</v>
      </c>
      <c r="M101" s="12">
        <f>'Other non-financial'!B95</f>
        <v>0</v>
      </c>
      <c r="N101" s="11" t="str">
        <f>'Other non-financial'!A95</f>
        <v>EURO</v>
      </c>
      <c r="O101" s="11" t="str">
        <f>'Other non-financial'!E95</f>
        <v>2022-12-31</v>
      </c>
      <c r="P101" s="15">
        <v>72716</v>
      </c>
      <c r="Q101" s="11" t="s">
        <v>66</v>
      </c>
      <c r="R101" s="11">
        <v>0</v>
      </c>
    </row>
    <row r="102" spans="3:18" ht="36.75" thickBot="1">
      <c r="C102" s="10" t="s">
        <v>63</v>
      </c>
      <c r="D102" s="11">
        <v>95</v>
      </c>
      <c r="E102" s="11" t="str">
        <f>'Other non-financial'!F96</f>
        <v>r0390 - Non-financial liabilities</v>
      </c>
      <c r="F102" s="11" t="str">
        <f>IF(E102="r0170 - Employee liabilities (BRRD art. 44/2/g/i)","c001x   - Households",IF('Other non-financial'!C96="particulares","c001x   - Households",IF('Other non-financial'!C96="outras instituicoes financeiras","c005x   - Other financial corporations",IF('Other non-financial'!C96="instituicoes de credito","c004x   - Institutions",IF(AND('Other non-financial'!C96="outras empresas nao financeiras",'Other non-financial'!D96="1"),"c002x   - Micro &amp; SME",IF(AND('Other non-financial'!C96="outras empresas nao financeiras",'Other non-financial'!D96&lt;&gt;"1"),"c003x   - Corporates",IF('Other non-financial'!C96="","c010x   - Non-identified, not listed on an exchange platform",IF(OR('Other non-financial'!C96="setor publico",'Other non-financial'!C96="bancos centrais"),"c008x   - Government, central banks &amp; supranationals",""))))))))</f>
        <v>c010x   - Non-identified, not listed on an exchange platform</v>
      </c>
      <c r="G102" s="11" t="str">
        <f>'Other non-financial'!G96</f>
        <v>Rank 9 - Ranking in insolvency (master scale)</v>
      </c>
      <c r="H102" s="11">
        <v>0</v>
      </c>
      <c r="I102" s="11">
        <v>0</v>
      </c>
      <c r="J102" s="11" t="s">
        <v>64</v>
      </c>
      <c r="K102" s="14" t="s">
        <v>65</v>
      </c>
      <c r="L102" s="11" t="str">
        <f>'Other non-financial'!H96</f>
        <v>Provisions. Off-balance sheet exposures subject to credit risk</v>
      </c>
      <c r="M102" s="12">
        <f>'Other non-financial'!B96</f>
        <v>0</v>
      </c>
      <c r="N102" s="11" t="str">
        <f>'Other non-financial'!A96</f>
        <v>EURO</v>
      </c>
      <c r="O102" s="11" t="str">
        <f>'Other non-financial'!E96</f>
        <v>2022-12-31</v>
      </c>
      <c r="P102" s="15">
        <v>72716</v>
      </c>
      <c r="Q102" s="11" t="s">
        <v>66</v>
      </c>
      <c r="R102" s="11">
        <v>0</v>
      </c>
    </row>
    <row r="103" spans="3:18" ht="36.75" thickBot="1">
      <c r="C103" s="10" t="s">
        <v>63</v>
      </c>
      <c r="D103" s="11">
        <v>96</v>
      </c>
      <c r="E103" s="11" t="str">
        <f>'Other non-financial'!F97</f>
        <v>r0390 - Non-financial liabilities</v>
      </c>
      <c r="F103" s="11" t="str">
        <f>IF(E103="r0170 - Employee liabilities (BRRD art. 44/2/g/i)","c001x   - Households",IF('Other non-financial'!C97="particulares","c001x   - Households",IF('Other non-financial'!C97="outras instituicoes financeiras","c005x   - Other financial corporations",IF('Other non-financial'!C97="instituicoes de credito","c004x   - Institutions",IF(AND('Other non-financial'!C97="outras empresas nao financeiras",'Other non-financial'!D97="1"),"c002x   - Micro &amp; SME",IF(AND('Other non-financial'!C97="outras empresas nao financeiras",'Other non-financial'!D97&lt;&gt;"1"),"c003x   - Corporates",IF('Other non-financial'!C97="","c010x   - Non-identified, not listed on an exchange platform",IF(OR('Other non-financial'!C97="setor publico",'Other non-financial'!C97="bancos centrais"),"c008x   - Government, central banks &amp; supranationals",""))))))))</f>
        <v>c010x   - Non-identified, not listed on an exchange platform</v>
      </c>
      <c r="G103" s="11" t="str">
        <f>'Other non-financial'!G97</f>
        <v>Rank 9 - Ranking in insolvency (master scale)</v>
      </c>
      <c r="H103" s="11">
        <v>0</v>
      </c>
      <c r="I103" s="11">
        <v>0</v>
      </c>
      <c r="J103" s="11" t="s">
        <v>64</v>
      </c>
      <c r="K103" s="14" t="s">
        <v>65</v>
      </c>
      <c r="L103" s="11" t="str">
        <f>'Other non-financial'!H97</f>
        <v>Provisions. Off-balance sheet exposures subject to credit risk</v>
      </c>
      <c r="M103" s="12">
        <f>'Other non-financial'!B97</f>
        <v>0</v>
      </c>
      <c r="N103" s="11" t="str">
        <f>'Other non-financial'!A97</f>
        <v>EURO</v>
      </c>
      <c r="O103" s="11" t="str">
        <f>'Other non-financial'!E97</f>
        <v>2022-12-31</v>
      </c>
      <c r="P103" s="15">
        <v>72716</v>
      </c>
      <c r="Q103" s="11" t="s">
        <v>66</v>
      </c>
      <c r="R103" s="11">
        <v>0</v>
      </c>
    </row>
    <row r="104" spans="3:18" ht="36.75" thickBot="1">
      <c r="C104" s="10" t="s">
        <v>63</v>
      </c>
      <c r="D104" s="11">
        <v>97</v>
      </c>
      <c r="E104" s="11" t="str">
        <f>'Other non-financial'!F98</f>
        <v>r0390 - Non-financial liabilities</v>
      </c>
      <c r="F104" s="11" t="str">
        <f>IF(E104="r0170 - Employee liabilities (BRRD art. 44/2/g/i)","c001x   - Households",IF('Other non-financial'!C98="particulares","c001x   - Households",IF('Other non-financial'!C98="outras instituicoes financeiras","c005x   - Other financial corporations",IF('Other non-financial'!C98="instituicoes de credito","c004x   - Institutions",IF(AND('Other non-financial'!C98="outras empresas nao financeiras",'Other non-financial'!D98="1"),"c002x   - Micro &amp; SME",IF(AND('Other non-financial'!C98="outras empresas nao financeiras",'Other non-financial'!D98&lt;&gt;"1"),"c003x   - Corporates",IF('Other non-financial'!C98="","c010x   - Non-identified, not listed on an exchange platform",IF(OR('Other non-financial'!C98="setor publico",'Other non-financial'!C98="bancos centrais"),"c008x   - Government, central banks &amp; supranationals",""))))))))</f>
        <v>c010x   - Non-identified, not listed on an exchange platform</v>
      </c>
      <c r="G104" s="11" t="str">
        <f>'Other non-financial'!G98</f>
        <v>Rank 9 - Ranking in insolvency (master scale)</v>
      </c>
      <c r="H104" s="11">
        <v>0</v>
      </c>
      <c r="I104" s="11">
        <v>0</v>
      </c>
      <c r="J104" s="11" t="s">
        <v>64</v>
      </c>
      <c r="K104" s="14" t="s">
        <v>65</v>
      </c>
      <c r="L104" s="11" t="str">
        <f>'Other non-financial'!H98</f>
        <v>Provisions. Off-balance sheet exposures subject to credit risk</v>
      </c>
      <c r="M104" s="12">
        <f>'Other non-financial'!B98</f>
        <v>0</v>
      </c>
      <c r="N104" s="11" t="str">
        <f>'Other non-financial'!A98</f>
        <v>EURO</v>
      </c>
      <c r="O104" s="11" t="str">
        <f>'Other non-financial'!E98</f>
        <v>2022-12-31</v>
      </c>
      <c r="P104" s="15">
        <v>72716</v>
      </c>
      <c r="Q104" s="11" t="s">
        <v>66</v>
      </c>
      <c r="R104" s="11">
        <v>0</v>
      </c>
    </row>
    <row r="105" spans="3:18" ht="36.75" thickBot="1">
      <c r="C105" s="10" t="s">
        <v>63</v>
      </c>
      <c r="D105" s="11">
        <v>98</v>
      </c>
      <c r="E105" s="11" t="str">
        <f>'Other non-financial'!F99</f>
        <v>r0390 - Non-financial liabilities</v>
      </c>
      <c r="F105" s="11" t="str">
        <f>IF(E105="r0170 - Employee liabilities (BRRD art. 44/2/g/i)","c001x   - Households",IF('Other non-financial'!C99="particulares","c001x   - Households",IF('Other non-financial'!C99="outras instituicoes financeiras","c005x   - Other financial corporations",IF('Other non-financial'!C99="instituicoes de credito","c004x   - Institutions",IF(AND('Other non-financial'!C99="outras empresas nao financeiras",'Other non-financial'!D99="1"),"c002x   - Micro &amp; SME",IF(AND('Other non-financial'!C99="outras empresas nao financeiras",'Other non-financial'!D99&lt;&gt;"1"),"c003x   - Corporates",IF('Other non-financial'!C99="","c010x   - Non-identified, not listed on an exchange platform",IF(OR('Other non-financial'!C99="setor publico",'Other non-financial'!C99="bancos centrais"),"c008x   - Government, central banks &amp; supranationals",""))))))))</f>
        <v>c010x   - Non-identified, not listed on an exchange platform</v>
      </c>
      <c r="G105" s="11" t="str">
        <f>'Other non-financial'!G99</f>
        <v>Rank 9 - Ranking in insolvency (master scale)</v>
      </c>
      <c r="H105" s="11">
        <v>0</v>
      </c>
      <c r="I105" s="11">
        <v>0</v>
      </c>
      <c r="J105" s="11" t="s">
        <v>64</v>
      </c>
      <c r="K105" s="14" t="s">
        <v>65</v>
      </c>
      <c r="L105" s="11" t="str">
        <f>'Other non-financial'!H99</f>
        <v>Provisions. Off-balance sheet exposures subject to credit risk</v>
      </c>
      <c r="M105" s="12">
        <f>'Other non-financial'!B99</f>
        <v>0</v>
      </c>
      <c r="N105" s="11" t="str">
        <f>'Other non-financial'!A99</f>
        <v>EURO</v>
      </c>
      <c r="O105" s="11" t="str">
        <f>'Other non-financial'!E99</f>
        <v>2022-12-31</v>
      </c>
      <c r="P105" s="15">
        <v>72716</v>
      </c>
      <c r="Q105" s="11" t="s">
        <v>66</v>
      </c>
      <c r="R105" s="11">
        <v>0</v>
      </c>
    </row>
    <row r="106" spans="3:18" ht="36.75" thickBot="1">
      <c r="C106" s="10" t="s">
        <v>63</v>
      </c>
      <c r="D106" s="11">
        <v>99</v>
      </c>
      <c r="E106" s="11" t="str">
        <f>'Other non-financial'!F100</f>
        <v>r0390 - Non-financial liabilities</v>
      </c>
      <c r="F106" s="11" t="str">
        <f>IF(E106="r0170 - Employee liabilities (BRRD art. 44/2/g/i)","c001x   - Households",IF('Other non-financial'!C100="particulares","c001x   - Households",IF('Other non-financial'!C100="outras instituicoes financeiras","c005x   - Other financial corporations",IF('Other non-financial'!C100="instituicoes de credito","c004x   - Institutions",IF(AND('Other non-financial'!C100="outras empresas nao financeiras",'Other non-financial'!D100="1"),"c002x   - Micro &amp; SME",IF(AND('Other non-financial'!C100="outras empresas nao financeiras",'Other non-financial'!D100&lt;&gt;"1"),"c003x   - Corporates",IF('Other non-financial'!C100="","c010x   - Non-identified, not listed on an exchange platform",IF(OR('Other non-financial'!C100="setor publico",'Other non-financial'!C100="bancos centrais"),"c008x   - Government, central banks &amp; supranationals",""))))))))</f>
        <v>c010x   - Non-identified, not listed on an exchange platform</v>
      </c>
      <c r="G106" s="11" t="str">
        <f>'Other non-financial'!G100</f>
        <v>Rank 9 - Ranking in insolvency (master scale)</v>
      </c>
      <c r="H106" s="11">
        <v>0</v>
      </c>
      <c r="I106" s="11">
        <v>0</v>
      </c>
      <c r="J106" s="11" t="s">
        <v>64</v>
      </c>
      <c r="K106" s="14" t="s">
        <v>65</v>
      </c>
      <c r="L106" s="11" t="str">
        <f>'Other non-financial'!H100</f>
        <v>Provisions. Off-balance sheet exposures subject to credit risk</v>
      </c>
      <c r="M106" s="12">
        <f>'Other non-financial'!B100</f>
        <v>0</v>
      </c>
      <c r="N106" s="11" t="str">
        <f>'Other non-financial'!A100</f>
        <v>EURO</v>
      </c>
      <c r="O106" s="11" t="str">
        <f>'Other non-financial'!E100</f>
        <v>2022-12-31</v>
      </c>
      <c r="P106" s="15">
        <v>72716</v>
      </c>
      <c r="Q106" s="11" t="s">
        <v>66</v>
      </c>
      <c r="R106" s="11">
        <v>0</v>
      </c>
    </row>
    <row r="107" spans="3:18" ht="36.75" thickBot="1">
      <c r="C107" s="10" t="s">
        <v>63</v>
      </c>
      <c r="D107" s="11">
        <v>100</v>
      </c>
      <c r="E107" s="11" t="str">
        <f>'Other non-financial'!F101</f>
        <v>r0390 - Non-financial liabilities</v>
      </c>
      <c r="F107" s="11" t="str">
        <f>IF(E107="r0170 - Employee liabilities (BRRD art. 44/2/g/i)","c001x   - Households",IF('Other non-financial'!C101="particulares","c001x   - Households",IF('Other non-financial'!C101="outras instituicoes financeiras","c005x   - Other financial corporations",IF('Other non-financial'!C101="instituicoes de credito","c004x   - Institutions",IF(AND('Other non-financial'!C101="outras empresas nao financeiras",'Other non-financial'!D101="1"),"c002x   - Micro &amp; SME",IF(AND('Other non-financial'!C101="outras empresas nao financeiras",'Other non-financial'!D101&lt;&gt;"1"),"c003x   - Corporates",IF('Other non-financial'!C101="","c010x   - Non-identified, not listed on an exchange platform",IF(OR('Other non-financial'!C101="setor publico",'Other non-financial'!C101="bancos centrais"),"c008x   - Government, central banks &amp; supranationals",""))))))))</f>
        <v>c010x   - Non-identified, not listed on an exchange platform</v>
      </c>
      <c r="G107" s="11" t="str">
        <f>'Other non-financial'!G101</f>
        <v>Rank 9 - Ranking in insolvency (master scale)</v>
      </c>
      <c r="H107" s="11">
        <v>0</v>
      </c>
      <c r="I107" s="11">
        <v>0</v>
      </c>
      <c r="J107" s="11" t="s">
        <v>64</v>
      </c>
      <c r="K107" s="14" t="s">
        <v>65</v>
      </c>
      <c r="L107" s="11" t="str">
        <f>'Other non-financial'!H101</f>
        <v>Provisions. Off-balance sheet exposures subject to credit risk</v>
      </c>
      <c r="M107" s="12">
        <f>'Other non-financial'!B101</f>
        <v>0</v>
      </c>
      <c r="N107" s="11" t="str">
        <f>'Other non-financial'!A101</f>
        <v>EURO</v>
      </c>
      <c r="O107" s="11" t="str">
        <f>'Other non-financial'!E101</f>
        <v>2022-12-31</v>
      </c>
      <c r="P107" s="15">
        <v>72716</v>
      </c>
      <c r="Q107" s="11" t="s">
        <v>66</v>
      </c>
      <c r="R107" s="11">
        <v>0</v>
      </c>
    </row>
    <row r="108" spans="3:18" ht="36.75" thickBot="1">
      <c r="C108" s="10" t="s">
        <v>63</v>
      </c>
      <c r="D108" s="11">
        <v>101</v>
      </c>
      <c r="E108" s="11" t="str">
        <f>'Other non-financial'!F102</f>
        <v>r0390 - Non-financial liabilities</v>
      </c>
      <c r="F108" s="11" t="str">
        <f>IF(E108="r0170 - Employee liabilities (BRRD art. 44/2/g/i)","c001x   - Households",IF('Other non-financial'!C102="particulares","c001x   - Households",IF('Other non-financial'!C102="outras instituicoes financeiras","c005x   - Other financial corporations",IF('Other non-financial'!C102="instituicoes de credito","c004x   - Institutions",IF(AND('Other non-financial'!C102="outras empresas nao financeiras",'Other non-financial'!D102="1"),"c002x   - Micro &amp; SME",IF(AND('Other non-financial'!C102="outras empresas nao financeiras",'Other non-financial'!D102&lt;&gt;"1"),"c003x   - Corporates",IF('Other non-financial'!C102="","c010x   - Non-identified, not listed on an exchange platform",IF(OR('Other non-financial'!C102="setor publico",'Other non-financial'!C102="bancos centrais"),"c008x   - Government, central banks &amp; supranationals",""))))))))</f>
        <v>c010x   - Non-identified, not listed on an exchange platform</v>
      </c>
      <c r="G108" s="11" t="str">
        <f>'Other non-financial'!G102</f>
        <v>Rank 9 - Ranking in insolvency (master scale)</v>
      </c>
      <c r="H108" s="11">
        <v>0</v>
      </c>
      <c r="I108" s="11">
        <v>0</v>
      </c>
      <c r="J108" s="11" t="s">
        <v>64</v>
      </c>
      <c r="K108" s="14" t="s">
        <v>65</v>
      </c>
      <c r="L108" s="11" t="str">
        <f>'Other non-financial'!H102</f>
        <v>Provisions. Off-balance sheet exposures subject to credit risk</v>
      </c>
      <c r="M108" s="12">
        <f>'Other non-financial'!B102</f>
        <v>0</v>
      </c>
      <c r="N108" s="11" t="str">
        <f>'Other non-financial'!A102</f>
        <v>EURO</v>
      </c>
      <c r="O108" s="11" t="str">
        <f>'Other non-financial'!E102</f>
        <v>2022-12-31</v>
      </c>
      <c r="P108" s="15">
        <v>72716</v>
      </c>
      <c r="Q108" s="11" t="s">
        <v>66</v>
      </c>
      <c r="R108" s="11">
        <v>0</v>
      </c>
    </row>
    <row r="109" spans="3:18" ht="36.75" thickBot="1">
      <c r="C109" s="10" t="s">
        <v>63</v>
      </c>
      <c r="D109" s="11">
        <v>102</v>
      </c>
      <c r="E109" s="11" t="str">
        <f>'Other non-financial'!F103</f>
        <v>r0390 - Non-financial liabilities</v>
      </c>
      <c r="F109" s="11" t="str">
        <f>IF(E109="r0170 - Employee liabilities (BRRD art. 44/2/g/i)","c001x   - Households",IF('Other non-financial'!C103="particulares","c001x   - Households",IF('Other non-financial'!C103="outras instituicoes financeiras","c005x   - Other financial corporations",IF('Other non-financial'!C103="instituicoes de credito","c004x   - Institutions",IF(AND('Other non-financial'!C103="outras empresas nao financeiras",'Other non-financial'!D103="1"),"c002x   - Micro &amp; SME",IF(AND('Other non-financial'!C103="outras empresas nao financeiras",'Other non-financial'!D103&lt;&gt;"1"),"c003x   - Corporates",IF('Other non-financial'!C103="","c010x   - Non-identified, not listed on an exchange platform",IF(OR('Other non-financial'!C103="setor publico",'Other non-financial'!C103="bancos centrais"),"c008x   - Government, central banks &amp; supranationals",""))))))))</f>
        <v>c010x   - Non-identified, not listed on an exchange platform</v>
      </c>
      <c r="G109" s="11" t="str">
        <f>'Other non-financial'!G103</f>
        <v>Rank 9 - Ranking in insolvency (master scale)</v>
      </c>
      <c r="H109" s="11">
        <v>0</v>
      </c>
      <c r="I109" s="11">
        <v>0</v>
      </c>
      <c r="J109" s="11" t="s">
        <v>64</v>
      </c>
      <c r="K109" s="14" t="s">
        <v>65</v>
      </c>
      <c r="L109" s="11" t="str">
        <f>'Other non-financial'!H103</f>
        <v>Provisions. Off-balance sheet exposures subject to credit risk</v>
      </c>
      <c r="M109" s="12">
        <f>'Other non-financial'!B103</f>
        <v>0</v>
      </c>
      <c r="N109" s="11" t="str">
        <f>'Other non-financial'!A103</f>
        <v>EURO</v>
      </c>
      <c r="O109" s="11" t="str">
        <f>'Other non-financial'!E103</f>
        <v>2022-12-31</v>
      </c>
      <c r="P109" s="15">
        <v>72716</v>
      </c>
      <c r="Q109" s="11" t="s">
        <v>66</v>
      </c>
      <c r="R109" s="11">
        <v>0</v>
      </c>
    </row>
    <row r="110" spans="3:18" ht="36.75" thickBot="1">
      <c r="C110" s="10" t="s">
        <v>63</v>
      </c>
      <c r="D110" s="11">
        <v>103</v>
      </c>
      <c r="E110" s="11" t="str">
        <f>'Other non-financial'!F104</f>
        <v>r0390 - Non-financial liabilities</v>
      </c>
      <c r="F110" s="11" t="str">
        <f>IF(E110="r0170 - Employee liabilities (BRRD art. 44/2/g/i)","c001x   - Households",IF('Other non-financial'!C104="particulares","c001x   - Households",IF('Other non-financial'!C104="outras instituicoes financeiras","c005x   - Other financial corporations",IF('Other non-financial'!C104="instituicoes de credito","c004x   - Institutions",IF(AND('Other non-financial'!C104="outras empresas nao financeiras",'Other non-financial'!D104="1"),"c002x   - Micro &amp; SME",IF(AND('Other non-financial'!C104="outras empresas nao financeiras",'Other non-financial'!D104&lt;&gt;"1"),"c003x   - Corporates",IF('Other non-financial'!C104="","c010x   - Non-identified, not listed on an exchange platform",IF(OR('Other non-financial'!C104="setor publico",'Other non-financial'!C104="bancos centrais"),"c008x   - Government, central banks &amp; supranationals",""))))))))</f>
        <v>c010x   - Non-identified, not listed on an exchange platform</v>
      </c>
      <c r="G110" s="11" t="str">
        <f>'Other non-financial'!G104</f>
        <v>Rank 9 - Ranking in insolvency (master scale)</v>
      </c>
      <c r="H110" s="11">
        <v>0</v>
      </c>
      <c r="I110" s="11">
        <v>0</v>
      </c>
      <c r="J110" s="11" t="s">
        <v>64</v>
      </c>
      <c r="K110" s="14" t="s">
        <v>65</v>
      </c>
      <c r="L110" s="11" t="str">
        <f>'Other non-financial'!H104</f>
        <v>Provisions. Off-balance sheet exposures subject to credit risk</v>
      </c>
      <c r="M110" s="12">
        <f>'Other non-financial'!B104</f>
        <v>0</v>
      </c>
      <c r="N110" s="11" t="str">
        <f>'Other non-financial'!A104</f>
        <v>EURO</v>
      </c>
      <c r="O110" s="11" t="str">
        <f>'Other non-financial'!E104</f>
        <v>2022-12-31</v>
      </c>
      <c r="P110" s="15">
        <v>72716</v>
      </c>
      <c r="Q110" s="11" t="s">
        <v>66</v>
      </c>
      <c r="R110" s="11">
        <v>0</v>
      </c>
    </row>
    <row r="111" spans="3:18" ht="60.75" thickBot="1">
      <c r="C111" s="10" t="s">
        <v>63</v>
      </c>
      <c r="D111" s="11">
        <v>104</v>
      </c>
      <c r="E111" s="11" t="str">
        <f>'Other non-financial'!F105</f>
        <v>r0390 - Non-financial liabilities</v>
      </c>
      <c r="F111" s="11" t="str">
        <f>IF(E111="r0170 - Employee liabilities (BRRD art. 44/2/g/i)","c001x   - Households",IF('Other non-financial'!C105="particulares","c001x   - Households",IF('Other non-financial'!C105="outras instituicoes financeiras","c005x   - Other financial corporations",IF('Other non-financial'!C105="instituicoes de credito","c004x   - Institutions",IF(AND('Other non-financial'!C105="outras empresas nao financeiras",'Other non-financial'!D105="1"),"c002x   - Micro &amp; SME",IF(AND('Other non-financial'!C105="outras empresas nao financeiras",'Other non-financial'!D105&lt;&gt;"1"),"c003x   - Corporates",IF('Other non-financial'!C105="","c010x   - Non-identified, not listed on an exchange platform",IF(OR('Other non-financial'!C105="setor publico",'Other non-financial'!C105="bancos centrais"),"c008x   - Government, central banks &amp; supranationals",""))))))))</f>
        <v>c010x   - Non-identified, not listed on an exchange platform</v>
      </c>
      <c r="G111" s="11" t="str">
        <f>'Other non-financial'!G105</f>
        <v>Rank 9 - Ranking in insolvency (master scale)</v>
      </c>
      <c r="H111" s="11">
        <v>0</v>
      </c>
      <c r="I111" s="11">
        <v>0</v>
      </c>
      <c r="J111" s="11" t="s">
        <v>64</v>
      </c>
      <c r="K111" s="14" t="s">
        <v>65</v>
      </c>
      <c r="L111" s="11" t="str">
        <f>'Other non-financial'!H105</f>
        <v>Liabilities other than financial liabilities, provisions, tax liabilities, deferred income</v>
      </c>
      <c r="M111" s="12">
        <f>'Other non-financial'!B105</f>
        <v>2701.6800000000003</v>
      </c>
      <c r="N111" s="11" t="str">
        <f>'Other non-financial'!A105</f>
        <v>EURO</v>
      </c>
      <c r="O111" s="11" t="str">
        <f>'Other non-financial'!E105</f>
        <v>2022-12-31</v>
      </c>
      <c r="P111" s="15">
        <v>72716</v>
      </c>
      <c r="Q111" s="11" t="s">
        <v>66</v>
      </c>
      <c r="R111" s="11">
        <v>0</v>
      </c>
    </row>
    <row r="112" spans="3:18" ht="60.75" thickBot="1">
      <c r="C112" s="10" t="s">
        <v>63</v>
      </c>
      <c r="D112" s="11">
        <v>105</v>
      </c>
      <c r="E112" s="11" t="str">
        <f>'Other non-financial'!F106</f>
        <v>r0390 - Non-financial liabilities</v>
      </c>
      <c r="F112" s="11" t="str">
        <f>IF(E112="r0170 - Employee liabilities (BRRD art. 44/2/g/i)","c001x   - Households",IF('Other non-financial'!C106="particulares","c001x   - Households",IF('Other non-financial'!C106="outras instituicoes financeiras","c005x   - Other financial corporations",IF('Other non-financial'!C106="instituicoes de credito","c004x   - Institutions",IF(AND('Other non-financial'!C106="outras empresas nao financeiras",'Other non-financial'!D106="1"),"c002x   - Micro &amp; SME",IF(AND('Other non-financial'!C106="outras empresas nao financeiras",'Other non-financial'!D106&lt;&gt;"1"),"c003x   - Corporates",IF('Other non-financial'!C106="","c010x   - Non-identified, not listed on an exchange platform",IF(OR('Other non-financial'!C106="setor publico",'Other non-financial'!C106="bancos centrais"),"c008x   - Government, central banks &amp; supranationals",""))))))))</f>
        <v>c010x   - Non-identified, not listed on an exchange platform</v>
      </c>
      <c r="G112" s="11" t="str">
        <f>'Other non-financial'!G106</f>
        <v>Rank 9 - Ranking in insolvency (master scale)</v>
      </c>
      <c r="H112" s="11">
        <v>0</v>
      </c>
      <c r="I112" s="11">
        <v>0</v>
      </c>
      <c r="J112" s="11" t="s">
        <v>64</v>
      </c>
      <c r="K112" s="14" t="s">
        <v>65</v>
      </c>
      <c r="L112" s="11" t="str">
        <f>'Other non-financial'!H106</f>
        <v>Liabilities other than financial liabilities, provisions, tax liabilities, deferred income</v>
      </c>
      <c r="M112" s="12">
        <f>'Other non-financial'!B106</f>
        <v>38386231.480000012</v>
      </c>
      <c r="N112" s="11" t="str">
        <f>'Other non-financial'!A106</f>
        <v>EURO</v>
      </c>
      <c r="O112" s="11" t="str">
        <f>'Other non-financial'!E106</f>
        <v>2022-12-31</v>
      </c>
      <c r="P112" s="15">
        <v>72716</v>
      </c>
      <c r="Q112" s="11" t="s">
        <v>66</v>
      </c>
      <c r="R112" s="11">
        <v>0</v>
      </c>
    </row>
    <row r="113" spans="3:18" ht="60.75" thickBot="1">
      <c r="C113" s="10" t="s">
        <v>63</v>
      </c>
      <c r="D113" s="11">
        <v>106</v>
      </c>
      <c r="E113" s="11" t="str">
        <f>'Other non-financial'!F107</f>
        <v>r0390 - Non-financial liabilities</v>
      </c>
      <c r="F113" s="11" t="str">
        <f>IF(E113="r0170 - Employee liabilities (BRRD art. 44/2/g/i)","c001x   - Households",IF('Other non-financial'!C107="particulares","c001x   - Households",IF('Other non-financial'!C107="outras instituicoes financeiras","c005x   - Other financial corporations",IF('Other non-financial'!C107="instituicoes de credito","c004x   - Institutions",IF(AND('Other non-financial'!C107="outras empresas nao financeiras",'Other non-financial'!D107="1"),"c002x   - Micro &amp; SME",IF(AND('Other non-financial'!C107="outras empresas nao financeiras",'Other non-financial'!D107&lt;&gt;"1"),"c003x   - Corporates",IF('Other non-financial'!C107="","c010x   - Non-identified, not listed on an exchange platform",IF(OR('Other non-financial'!C107="setor publico",'Other non-financial'!C107="bancos centrais"),"c008x   - Government, central banks &amp; supranationals",""))))))))</f>
        <v>c010x   - Non-identified, not listed on an exchange platform</v>
      </c>
      <c r="G113" s="11" t="str">
        <f>'Other non-financial'!G107</f>
        <v>Rank 9 - Ranking in insolvency (master scale)</v>
      </c>
      <c r="H113" s="11">
        <v>0</v>
      </c>
      <c r="I113" s="11">
        <v>0</v>
      </c>
      <c r="J113" s="11" t="s">
        <v>64</v>
      </c>
      <c r="K113" s="14" t="s">
        <v>65</v>
      </c>
      <c r="L113" s="11" t="str">
        <f>'Other non-financial'!H107</f>
        <v>Liabilities other than financial liabilities, provisions, tax liabilities, deferred income</v>
      </c>
      <c r="M113" s="12">
        <f>'Other non-financial'!B107</f>
        <v>6899216.7599999756</v>
      </c>
      <c r="N113" s="11" t="str">
        <f>'Other non-financial'!A107</f>
        <v>EURO</v>
      </c>
      <c r="O113" s="11" t="str">
        <f>'Other non-financial'!E107</f>
        <v>2022-12-31</v>
      </c>
      <c r="P113" s="15">
        <v>72716</v>
      </c>
      <c r="Q113" s="11" t="s">
        <v>66</v>
      </c>
      <c r="R113" s="11">
        <v>0</v>
      </c>
    </row>
    <row r="114" spans="3:18" ht="60.75" thickBot="1">
      <c r="C114" s="10" t="s">
        <v>63</v>
      </c>
      <c r="D114" s="11">
        <v>107</v>
      </c>
      <c r="E114" s="11" t="str">
        <f>'Other non-financial'!F108</f>
        <v>r0390 - Non-financial liabilities</v>
      </c>
      <c r="F114" s="11" t="str">
        <f>IF(E114="r0170 - Employee liabilities (BRRD art. 44/2/g/i)","c001x   - Households",IF('Other non-financial'!C108="particulares","c001x   - Households",IF('Other non-financial'!C108="outras instituicoes financeiras","c005x   - Other financial corporations",IF('Other non-financial'!C108="instituicoes de credito","c004x   - Institutions",IF(AND('Other non-financial'!C108="outras empresas nao financeiras",'Other non-financial'!D108="1"),"c002x   - Micro &amp; SME",IF(AND('Other non-financial'!C108="outras empresas nao financeiras",'Other non-financial'!D108&lt;&gt;"1"),"c003x   - Corporates",IF('Other non-financial'!C108="","c010x   - Non-identified, not listed on an exchange platform",IF(OR('Other non-financial'!C108="setor publico",'Other non-financial'!C108="bancos centrais"),"c008x   - Government, central banks &amp; supranationals",""))))))))</f>
        <v>c010x   - Non-identified, not listed on an exchange platform</v>
      </c>
      <c r="G114" s="11" t="str">
        <f>'Other non-financial'!G108</f>
        <v>Rank 9 - Ranking in insolvency (master scale)</v>
      </c>
      <c r="H114" s="11">
        <v>0</v>
      </c>
      <c r="I114" s="11">
        <v>0</v>
      </c>
      <c r="J114" s="11" t="s">
        <v>64</v>
      </c>
      <c r="K114" s="14" t="s">
        <v>65</v>
      </c>
      <c r="L114" s="11" t="str">
        <f>'Other non-financial'!H108</f>
        <v>Liabilities other than financial liabilities, provisions, tax liabilities, deferred income</v>
      </c>
      <c r="M114" s="12">
        <f>'Other non-financial'!B108</f>
        <v>176680.70999999842</v>
      </c>
      <c r="N114" s="11" t="str">
        <f>'Other non-financial'!A108</f>
        <v>EURO</v>
      </c>
      <c r="O114" s="11" t="str">
        <f>'Other non-financial'!E108</f>
        <v>2022-12-31</v>
      </c>
      <c r="P114" s="15">
        <v>72716</v>
      </c>
      <c r="Q114" s="11" t="s">
        <v>66</v>
      </c>
      <c r="R114" s="11">
        <v>0</v>
      </c>
    </row>
    <row r="115" spans="3:18" ht="60.75" thickBot="1">
      <c r="C115" s="10" t="s">
        <v>63</v>
      </c>
      <c r="D115" s="11">
        <v>108</v>
      </c>
      <c r="E115" s="11" t="str">
        <f>'Other non-financial'!F109</f>
        <v>r0390 - Non-financial liabilities</v>
      </c>
      <c r="F115" s="11" t="str">
        <f>IF(E115="r0170 - Employee liabilities (BRRD art. 44/2/g/i)","c001x   - Households",IF('Other non-financial'!C109="particulares","c001x   - Households",IF('Other non-financial'!C109="outras instituicoes financeiras","c005x   - Other financial corporations",IF('Other non-financial'!C109="instituicoes de credito","c004x   - Institutions",IF(AND('Other non-financial'!C109="outras empresas nao financeiras",'Other non-financial'!D109="1"),"c002x   - Micro &amp; SME",IF(AND('Other non-financial'!C109="outras empresas nao financeiras",'Other non-financial'!D109&lt;&gt;"1"),"c003x   - Corporates",IF('Other non-financial'!C109="","c010x   - Non-identified, not listed on an exchange platform",IF(OR('Other non-financial'!C109="setor publico",'Other non-financial'!C109="bancos centrais"),"c008x   - Government, central banks &amp; supranationals",""))))))))</f>
        <v>c010x   - Non-identified, not listed on an exchange platform</v>
      </c>
      <c r="G115" s="11" t="str">
        <f>'Other non-financial'!G109</f>
        <v>Rank 9 - Ranking in insolvency (master scale)</v>
      </c>
      <c r="H115" s="11">
        <v>0</v>
      </c>
      <c r="I115" s="11">
        <v>0</v>
      </c>
      <c r="J115" s="11" t="s">
        <v>64</v>
      </c>
      <c r="K115" s="14" t="s">
        <v>65</v>
      </c>
      <c r="L115" s="11" t="str">
        <f>'Other non-financial'!H109</f>
        <v>Liabilities other than financial liabilities, provisions, tax liabilities, deferred income</v>
      </c>
      <c r="M115" s="12">
        <f>'Other non-financial'!B109</f>
        <v>39066.889999999992</v>
      </c>
      <c r="N115" s="11" t="str">
        <f>'Other non-financial'!A109</f>
        <v>EURO</v>
      </c>
      <c r="O115" s="11" t="str">
        <f>'Other non-financial'!E109</f>
        <v>2022-12-31</v>
      </c>
      <c r="P115" s="15">
        <v>72716</v>
      </c>
      <c r="Q115" s="11" t="s">
        <v>66</v>
      </c>
      <c r="R115" s="11">
        <v>0</v>
      </c>
    </row>
    <row r="116" spans="3:18" ht="60.75" thickBot="1">
      <c r="C116" s="10" t="s">
        <v>63</v>
      </c>
      <c r="D116" s="11">
        <v>109</v>
      </c>
      <c r="E116" s="11" t="str">
        <f>'Other non-financial'!F110</f>
        <v>r0390 - Non-financial liabilities</v>
      </c>
      <c r="F116" s="11" t="str">
        <f>IF(E116="r0170 - Employee liabilities (BRRD art. 44/2/g/i)","c001x   - Households",IF('Other non-financial'!C110="particulares","c001x   - Households",IF('Other non-financial'!C110="outras instituicoes financeiras","c005x   - Other financial corporations",IF('Other non-financial'!C110="instituicoes de credito","c004x   - Institutions",IF(AND('Other non-financial'!C110="outras empresas nao financeiras",'Other non-financial'!D110="1"),"c002x   - Micro &amp; SME",IF(AND('Other non-financial'!C110="outras empresas nao financeiras",'Other non-financial'!D110&lt;&gt;"1"),"c003x   - Corporates",IF('Other non-financial'!C110="","c010x   - Non-identified, not listed on an exchange platform",IF(OR('Other non-financial'!C110="setor publico",'Other non-financial'!C110="bancos centrais"),"c008x   - Government, central banks &amp; supranationals",""))))))))</f>
        <v>c010x   - Non-identified, not listed on an exchange platform</v>
      </c>
      <c r="G116" s="11" t="str">
        <f>'Other non-financial'!G110</f>
        <v>Rank 9 - Ranking in insolvency (master scale)</v>
      </c>
      <c r="H116" s="11">
        <v>0</v>
      </c>
      <c r="I116" s="11">
        <v>0</v>
      </c>
      <c r="J116" s="11" t="s">
        <v>64</v>
      </c>
      <c r="K116" s="14" t="s">
        <v>65</v>
      </c>
      <c r="L116" s="11" t="str">
        <f>'Other non-financial'!H110</f>
        <v>Liabilities other than financial liabilities, provisions, tax liabilities, deferred income</v>
      </c>
      <c r="M116" s="12">
        <f>'Other non-financial'!B110</f>
        <v>1580423.1599993033</v>
      </c>
      <c r="N116" s="11" t="str">
        <f>'Other non-financial'!A110</f>
        <v>EURO</v>
      </c>
      <c r="O116" s="11" t="str">
        <f>'Other non-financial'!E110</f>
        <v>2022-12-31</v>
      </c>
      <c r="P116" s="15">
        <v>72716</v>
      </c>
      <c r="Q116" s="11" t="s">
        <v>66</v>
      </c>
      <c r="R116" s="11">
        <v>0</v>
      </c>
    </row>
    <row r="117" spans="3:18" ht="36.75" thickBot="1">
      <c r="C117" s="10" t="s">
        <v>63</v>
      </c>
      <c r="D117" s="11">
        <v>110</v>
      </c>
      <c r="E117" s="11" t="str">
        <f>'Other non-financial'!F111</f>
        <v>r0390 - Non-financial liabilities</v>
      </c>
      <c r="F117" s="11" t="str">
        <f>IF(E117="r0170 - Employee liabilities (BRRD art. 44/2/g/i)","c001x   - Households",IF('Other non-financial'!C111="particulares","c001x   - Households",IF('Other non-financial'!C111="outras instituicoes financeiras","c005x   - Other financial corporations",IF('Other non-financial'!C111="instituicoes de credito","c004x   - Institutions",IF(AND('Other non-financial'!C111="outras empresas nao financeiras",'Other non-financial'!D111="1"),"c002x   - Micro &amp; SME",IF(AND('Other non-financial'!C111="outras empresas nao financeiras",'Other non-financial'!D111&lt;&gt;"1"),"c003x   - Corporates",IF('Other non-financial'!C111="","c010x   - Non-identified, not listed on an exchange platform",IF(OR('Other non-financial'!C111="setor publico",'Other non-financial'!C111="bancos centrais"),"c008x   - Government, central banks &amp; supranationals",""))))))))</f>
        <v>c010x   - Non-identified, not listed on an exchange platform</v>
      </c>
      <c r="G117" s="11" t="str">
        <f>'Other non-financial'!G111</f>
        <v>Rank 9 - Ranking in insolvency (master scale)</v>
      </c>
      <c r="H117" s="11">
        <v>0</v>
      </c>
      <c r="I117" s="11">
        <v>0</v>
      </c>
      <c r="J117" s="11" t="s">
        <v>64</v>
      </c>
      <c r="K117" s="14" t="s">
        <v>65</v>
      </c>
      <c r="L117" s="11" t="str">
        <f>'Other non-financial'!H111</f>
        <v>Provisions. Off-balance sheet exposures subject to credit risk</v>
      </c>
      <c r="M117" s="12">
        <f>'Other non-financial'!B111</f>
        <v>60.35</v>
      </c>
      <c r="N117" s="11" t="str">
        <f>'Other non-financial'!A111</f>
        <v>EURO</v>
      </c>
      <c r="O117" s="11" t="str">
        <f>'Other non-financial'!E111</f>
        <v>2022-12-31</v>
      </c>
      <c r="P117" s="15">
        <v>72716</v>
      </c>
      <c r="Q117" s="11" t="s">
        <v>66</v>
      </c>
      <c r="R117" s="11">
        <v>0</v>
      </c>
    </row>
    <row r="118" spans="3:18" ht="36.75" thickBot="1">
      <c r="C118" s="10" t="s">
        <v>63</v>
      </c>
      <c r="D118" s="11">
        <v>111</v>
      </c>
      <c r="E118" s="11" t="str">
        <f>'Other non-financial'!F112</f>
        <v>r0390 - Non-financial liabilities</v>
      </c>
      <c r="F118" s="11" t="str">
        <f>IF(E118="r0170 - Employee liabilities (BRRD art. 44/2/g/i)","c001x   - Households",IF('Other non-financial'!C112="particulares","c001x   - Households",IF('Other non-financial'!C112="outras instituicoes financeiras","c005x   - Other financial corporations",IF('Other non-financial'!C112="instituicoes de credito","c004x   - Institutions",IF(AND('Other non-financial'!C112="outras empresas nao financeiras",'Other non-financial'!D112="1"),"c002x   - Micro &amp; SME",IF(AND('Other non-financial'!C112="outras empresas nao financeiras",'Other non-financial'!D112&lt;&gt;"1"),"c003x   - Corporates",IF('Other non-financial'!C112="","c010x   - Non-identified, not listed on an exchange platform",IF(OR('Other non-financial'!C112="setor publico",'Other non-financial'!C112="bancos centrais"),"c008x   - Government, central banks &amp; supranationals",""))))))))</f>
        <v>c010x   - Non-identified, not listed on an exchange platform</v>
      </c>
      <c r="G118" s="11" t="str">
        <f>'Other non-financial'!G112</f>
        <v>Rank 9 - Ranking in insolvency (master scale)</v>
      </c>
      <c r="H118" s="11">
        <v>0</v>
      </c>
      <c r="I118" s="11">
        <v>0</v>
      </c>
      <c r="J118" s="11" t="s">
        <v>64</v>
      </c>
      <c r="K118" s="14" t="s">
        <v>65</v>
      </c>
      <c r="L118" s="11" t="str">
        <f>'Other non-financial'!H112</f>
        <v>Provisions. Off-balance sheet exposures subject to credit risk</v>
      </c>
      <c r="M118" s="12">
        <f>'Other non-financial'!B112</f>
        <v>75</v>
      </c>
      <c r="N118" s="11" t="str">
        <f>'Other non-financial'!A112</f>
        <v>EURO</v>
      </c>
      <c r="O118" s="11" t="str">
        <f>'Other non-financial'!E112</f>
        <v>2022-12-31</v>
      </c>
      <c r="P118" s="15">
        <v>72716</v>
      </c>
      <c r="Q118" s="11" t="s">
        <v>66</v>
      </c>
      <c r="R118" s="11">
        <v>0</v>
      </c>
    </row>
    <row r="119" spans="3:18" ht="36.75" thickBot="1">
      <c r="C119" s="10" t="s">
        <v>63</v>
      </c>
      <c r="D119" s="11">
        <v>112</v>
      </c>
      <c r="E119" s="11" t="str">
        <f>'Other non-financial'!F113</f>
        <v>r0390 - Non-financial liabilities</v>
      </c>
      <c r="F119" s="11" t="str">
        <f>IF(E119="r0170 - Employee liabilities (BRRD art. 44/2/g/i)","c001x   - Households",IF('Other non-financial'!C113="particulares","c001x   - Households",IF('Other non-financial'!C113="outras instituicoes financeiras","c005x   - Other financial corporations",IF('Other non-financial'!C113="instituicoes de credito","c004x   - Institutions",IF(AND('Other non-financial'!C113="outras empresas nao financeiras",'Other non-financial'!D113="1"),"c002x   - Micro &amp; SME",IF(AND('Other non-financial'!C113="outras empresas nao financeiras",'Other non-financial'!D113&lt;&gt;"1"),"c003x   - Corporates",IF('Other non-financial'!C113="","c010x   - Non-identified, not listed on an exchange platform",IF(OR('Other non-financial'!C113="setor publico",'Other non-financial'!C113="bancos centrais"),"c008x   - Government, central banks &amp; supranationals",""))))))))</f>
        <v>c010x   - Non-identified, not listed on an exchange platform</v>
      </c>
      <c r="G119" s="11" t="str">
        <f>'Other non-financial'!G113</f>
        <v>Rank 9 - Ranking in insolvency (master scale)</v>
      </c>
      <c r="H119" s="11">
        <v>0</v>
      </c>
      <c r="I119" s="11">
        <v>0</v>
      </c>
      <c r="J119" s="11" t="s">
        <v>64</v>
      </c>
      <c r="K119" s="14" t="s">
        <v>65</v>
      </c>
      <c r="L119" s="11" t="str">
        <f>'Other non-financial'!H113</f>
        <v>Provisions. Off-balance sheet exposures subject to credit risk</v>
      </c>
      <c r="M119" s="12">
        <f>'Other non-financial'!B113</f>
        <v>751402.76000000036</v>
      </c>
      <c r="N119" s="11" t="str">
        <f>'Other non-financial'!A113</f>
        <v>EURO</v>
      </c>
      <c r="O119" s="11" t="str">
        <f>'Other non-financial'!E113</f>
        <v>2022-12-31</v>
      </c>
      <c r="P119" s="15">
        <v>72716</v>
      </c>
      <c r="Q119" s="11" t="s">
        <v>66</v>
      </c>
      <c r="R119" s="11">
        <v>0</v>
      </c>
    </row>
    <row r="120" spans="3:18" ht="60.75" thickBot="1">
      <c r="C120" s="10" t="s">
        <v>63</v>
      </c>
      <c r="D120" s="11">
        <v>113</v>
      </c>
      <c r="E120" s="11" t="str">
        <f>'Other non-financial'!F114</f>
        <v>r0390 - Non-financial liabilities</v>
      </c>
      <c r="F120" s="11" t="str">
        <f>IF(E120="r0170 - Employee liabilities (BRRD art. 44/2/g/i)","c001x   - Households",IF('Other non-financial'!C114="particulares","c001x   - Households",IF('Other non-financial'!C114="outras instituicoes financeiras","c005x   - Other financial corporations",IF('Other non-financial'!C114="instituicoes de credito","c004x   - Institutions",IF(AND('Other non-financial'!C114="outras empresas nao financeiras",'Other non-financial'!D114="1"),"c002x   - Micro &amp; SME",IF(AND('Other non-financial'!C114="outras empresas nao financeiras",'Other non-financial'!D114&lt;&gt;"1"),"c003x   - Corporates",IF('Other non-financial'!C114="","c010x   - Non-identified, not listed on an exchange platform",IF(OR('Other non-financial'!C114="setor publico",'Other non-financial'!C114="bancos centrais"),"c008x   - Government, central banks &amp; supranationals",""))))))))</f>
        <v>c010x   - Non-identified, not listed on an exchange platform</v>
      </c>
      <c r="G120" s="11" t="str">
        <f>'Other non-financial'!G114</f>
        <v>Rank 9 - Ranking in insolvency (master scale)</v>
      </c>
      <c r="H120" s="11">
        <v>0</v>
      </c>
      <c r="I120" s="11">
        <v>0</v>
      </c>
      <c r="J120" s="11" t="s">
        <v>64</v>
      </c>
      <c r="K120" s="14" t="s">
        <v>65</v>
      </c>
      <c r="L120" s="11" t="str">
        <f>'Other non-financial'!H114</f>
        <v>Liabilities other than financial liabilities, provisions, tax liabilities, deferred income</v>
      </c>
      <c r="M120" s="12">
        <f>'Other non-financial'!B114</f>
        <v>32317.420000000002</v>
      </c>
      <c r="N120" s="11" t="str">
        <f>'Other non-financial'!A114</f>
        <v>EURO</v>
      </c>
      <c r="O120" s="11" t="str">
        <f>'Other non-financial'!E114</f>
        <v>2022-12-31</v>
      </c>
      <c r="P120" s="15">
        <v>72716</v>
      </c>
      <c r="Q120" s="11" t="s">
        <v>66</v>
      </c>
      <c r="R120" s="11">
        <v>0</v>
      </c>
    </row>
    <row r="121" spans="3:18" ht="60.75" thickBot="1">
      <c r="C121" s="10" t="s">
        <v>63</v>
      </c>
      <c r="D121" s="11">
        <v>114</v>
      </c>
      <c r="E121" s="11" t="str">
        <f>'Other non-financial'!F115</f>
        <v>r0390 - Non-financial liabilities</v>
      </c>
      <c r="F121" s="11" t="str">
        <f>IF(E121="r0170 - Employee liabilities (BRRD art. 44/2/g/i)","c001x   - Households",IF('Other non-financial'!C115="particulares","c001x   - Households",IF('Other non-financial'!C115="outras instituicoes financeiras","c005x   - Other financial corporations",IF('Other non-financial'!C115="instituicoes de credito","c004x   - Institutions",IF(AND('Other non-financial'!C115="outras empresas nao financeiras",'Other non-financial'!D115="1"),"c002x   - Micro &amp; SME",IF(AND('Other non-financial'!C115="outras empresas nao financeiras",'Other non-financial'!D115&lt;&gt;"1"),"c003x   - Corporates",IF('Other non-financial'!C115="","c010x   - Non-identified, not listed on an exchange platform",IF(OR('Other non-financial'!C115="setor publico",'Other non-financial'!C115="bancos centrais"),"c008x   - Government, central banks &amp; supranationals",""))))))))</f>
        <v>c010x   - Non-identified, not listed on an exchange platform</v>
      </c>
      <c r="G121" s="11" t="str">
        <f>'Other non-financial'!G115</f>
        <v>Rank 9 - Ranking in insolvency (master scale)</v>
      </c>
      <c r="H121" s="11">
        <v>0</v>
      </c>
      <c r="I121" s="11">
        <v>0</v>
      </c>
      <c r="J121" s="11" t="s">
        <v>64</v>
      </c>
      <c r="K121" s="14" t="s">
        <v>65</v>
      </c>
      <c r="L121" s="11" t="str">
        <f>'Other non-financial'!H115</f>
        <v>Liabilities other than financial liabilities, provisions, tax liabilities, deferred income</v>
      </c>
      <c r="M121" s="12">
        <f>'Other non-financial'!B115</f>
        <v>16532036.370000016</v>
      </c>
      <c r="N121" s="11" t="str">
        <f>'Other non-financial'!A115</f>
        <v>EURO</v>
      </c>
      <c r="O121" s="11" t="str">
        <f>'Other non-financial'!E115</f>
        <v>2022-12-31</v>
      </c>
      <c r="P121" s="15">
        <v>72716</v>
      </c>
      <c r="Q121" s="11" t="s">
        <v>66</v>
      </c>
      <c r="R121" s="11">
        <v>0</v>
      </c>
    </row>
    <row r="122" spans="3:18" ht="60.75" thickBot="1">
      <c r="C122" s="10" t="s">
        <v>63</v>
      </c>
      <c r="D122" s="11">
        <v>115</v>
      </c>
      <c r="E122" s="11" t="str">
        <f>'Other non-financial'!F116</f>
        <v>r0390 - Non-financial liabilities</v>
      </c>
      <c r="F122" s="11" t="str">
        <f>IF(E122="r0170 - Employee liabilities (BRRD art. 44/2/g/i)","c001x   - Households",IF('Other non-financial'!C116="particulares","c001x   - Households",IF('Other non-financial'!C116="outras instituicoes financeiras","c005x   - Other financial corporations",IF('Other non-financial'!C116="instituicoes de credito","c004x   - Institutions",IF(AND('Other non-financial'!C116="outras empresas nao financeiras",'Other non-financial'!D116="1"),"c002x   - Micro &amp; SME",IF(AND('Other non-financial'!C116="outras empresas nao financeiras",'Other non-financial'!D116&lt;&gt;"1"),"c003x   - Corporates",IF('Other non-financial'!C116="","c010x   - Non-identified, not listed on an exchange platform",IF(OR('Other non-financial'!C116="setor publico",'Other non-financial'!C116="bancos centrais"),"c008x   - Government, central banks &amp; supranationals",""))))))))</f>
        <v>c010x   - Non-identified, not listed on an exchange platform</v>
      </c>
      <c r="G122" s="11" t="str">
        <f>'Other non-financial'!G116</f>
        <v>Rank 9 - Ranking in insolvency (master scale)</v>
      </c>
      <c r="H122" s="11">
        <v>0</v>
      </c>
      <c r="I122" s="11">
        <v>0</v>
      </c>
      <c r="J122" s="11" t="s">
        <v>64</v>
      </c>
      <c r="K122" s="14" t="s">
        <v>65</v>
      </c>
      <c r="L122" s="11" t="str">
        <f>'Other non-financial'!H116</f>
        <v>Liabilities other than financial liabilities, provisions, tax liabilities, deferred income</v>
      </c>
      <c r="M122" s="12">
        <f>'Other non-financial'!B116</f>
        <v>4228198.76</v>
      </c>
      <c r="N122" s="11" t="str">
        <f>'Other non-financial'!A116</f>
        <v>EURO</v>
      </c>
      <c r="O122" s="11" t="str">
        <f>'Other non-financial'!E116</f>
        <v>2022-12-31</v>
      </c>
      <c r="P122" s="15">
        <v>72716</v>
      </c>
      <c r="Q122" s="11" t="s">
        <v>66</v>
      </c>
      <c r="R122" s="11">
        <v>0</v>
      </c>
    </row>
    <row r="123" spans="3:18" ht="60.75" thickBot="1">
      <c r="C123" s="10" t="s">
        <v>63</v>
      </c>
      <c r="D123" s="11">
        <v>116</v>
      </c>
      <c r="E123" s="11" t="str">
        <f>'Other non-financial'!F117</f>
        <v>r0390 - Non-financial liabilities</v>
      </c>
      <c r="F123" s="11" t="str">
        <f>IF(E123="r0170 - Employee liabilities (BRRD art. 44/2/g/i)","c001x   - Households",IF('Other non-financial'!C117="particulares","c001x   - Households",IF('Other non-financial'!C117="outras instituicoes financeiras","c005x   - Other financial corporations",IF('Other non-financial'!C117="instituicoes de credito","c004x   - Institutions",IF(AND('Other non-financial'!C117="outras empresas nao financeiras",'Other non-financial'!D117="1"),"c002x   - Micro &amp; SME",IF(AND('Other non-financial'!C117="outras empresas nao financeiras",'Other non-financial'!D117&lt;&gt;"1"),"c003x   - Corporates",IF('Other non-financial'!C117="","c010x   - Non-identified, not listed on an exchange platform",IF(OR('Other non-financial'!C117="setor publico",'Other non-financial'!C117="bancos centrais"),"c008x   - Government, central banks &amp; supranationals",""))))))))</f>
        <v>c010x   - Non-identified, not listed on an exchange platform</v>
      </c>
      <c r="G123" s="11" t="str">
        <f>'Other non-financial'!G117</f>
        <v>Rank 9 - Ranking in insolvency (master scale)</v>
      </c>
      <c r="H123" s="11">
        <v>0</v>
      </c>
      <c r="I123" s="11">
        <v>0</v>
      </c>
      <c r="J123" s="11" t="s">
        <v>64</v>
      </c>
      <c r="K123" s="14" t="s">
        <v>65</v>
      </c>
      <c r="L123" s="11" t="str">
        <f>'Other non-financial'!H117</f>
        <v>Liabilities other than financial liabilities, provisions, tax liabilities, deferred income</v>
      </c>
      <c r="M123" s="12">
        <f>'Other non-financial'!B117</f>
        <v>103103.88000000012</v>
      </c>
      <c r="N123" s="11" t="str">
        <f>'Other non-financial'!A117</f>
        <v>EURO</v>
      </c>
      <c r="O123" s="11" t="str">
        <f>'Other non-financial'!E117</f>
        <v>2022-12-31</v>
      </c>
      <c r="P123" s="15">
        <v>72716</v>
      </c>
      <c r="Q123" s="11" t="s">
        <v>66</v>
      </c>
      <c r="R123" s="11">
        <v>0</v>
      </c>
    </row>
    <row r="124" spans="3:18" ht="60.75" thickBot="1">
      <c r="C124" s="10" t="s">
        <v>63</v>
      </c>
      <c r="D124" s="11">
        <v>117</v>
      </c>
      <c r="E124" s="11" t="str">
        <f>'Other non-financial'!F118</f>
        <v>r0390 - Non-financial liabilities</v>
      </c>
      <c r="F124" s="11" t="str">
        <f>IF(E124="r0170 - Employee liabilities (BRRD art. 44/2/g/i)","c001x   - Households",IF('Other non-financial'!C118="particulares","c001x   - Households",IF('Other non-financial'!C118="outras instituicoes financeiras","c005x   - Other financial corporations",IF('Other non-financial'!C118="instituicoes de credito","c004x   - Institutions",IF(AND('Other non-financial'!C118="outras empresas nao financeiras",'Other non-financial'!D118="1"),"c002x   - Micro &amp; SME",IF(AND('Other non-financial'!C118="outras empresas nao financeiras",'Other non-financial'!D118&lt;&gt;"1"),"c003x   - Corporates",IF('Other non-financial'!C118="","c010x   - Non-identified, not listed on an exchange platform",IF(OR('Other non-financial'!C118="setor publico",'Other non-financial'!C118="bancos centrais"),"c008x   - Government, central banks &amp; supranationals",""))))))))</f>
        <v>c010x   - Non-identified, not listed on an exchange platform</v>
      </c>
      <c r="G124" s="11" t="str">
        <f>'Other non-financial'!G118</f>
        <v>Rank 9 - Ranking in insolvency (master scale)</v>
      </c>
      <c r="H124" s="11">
        <v>0</v>
      </c>
      <c r="I124" s="11">
        <v>0</v>
      </c>
      <c r="J124" s="11" t="s">
        <v>64</v>
      </c>
      <c r="K124" s="14" t="s">
        <v>65</v>
      </c>
      <c r="L124" s="11" t="str">
        <f>'Other non-financial'!H118</f>
        <v>Liabilities other than financial liabilities, provisions, tax liabilities, deferred income</v>
      </c>
      <c r="M124" s="12">
        <f>'Other non-financial'!B118</f>
        <v>43936.230000000025</v>
      </c>
      <c r="N124" s="11" t="str">
        <f>'Other non-financial'!A118</f>
        <v>EURO</v>
      </c>
      <c r="O124" s="11" t="str">
        <f>'Other non-financial'!E118</f>
        <v>2022-12-31</v>
      </c>
      <c r="P124" s="15">
        <v>72716</v>
      </c>
      <c r="Q124" s="11" t="s">
        <v>66</v>
      </c>
      <c r="R124" s="11">
        <v>0</v>
      </c>
    </row>
    <row r="125" spans="3:18" ht="60.75" thickBot="1">
      <c r="C125" s="10" t="s">
        <v>63</v>
      </c>
      <c r="D125" s="11">
        <v>118</v>
      </c>
      <c r="E125" s="11" t="str">
        <f>'Other non-financial'!F119</f>
        <v>r0390 - Non-financial liabilities</v>
      </c>
      <c r="F125" s="11" t="str">
        <f>IF(E125="r0170 - Employee liabilities (BRRD art. 44/2/g/i)","c001x   - Households",IF('Other non-financial'!C119="particulares","c001x   - Households",IF('Other non-financial'!C119="outras instituicoes financeiras","c005x   - Other financial corporations",IF('Other non-financial'!C119="instituicoes de credito","c004x   - Institutions",IF(AND('Other non-financial'!C119="outras empresas nao financeiras",'Other non-financial'!D119="1"),"c002x   - Micro &amp; SME",IF(AND('Other non-financial'!C119="outras empresas nao financeiras",'Other non-financial'!D119&lt;&gt;"1"),"c003x   - Corporates",IF('Other non-financial'!C119="","c010x   - Non-identified, not listed on an exchange platform",IF(OR('Other non-financial'!C119="setor publico",'Other non-financial'!C119="bancos centrais"),"c008x   - Government, central banks &amp; supranationals",""))))))))</f>
        <v>c010x   - Non-identified, not listed on an exchange platform</v>
      </c>
      <c r="G125" s="11" t="str">
        <f>'Other non-financial'!G119</f>
        <v>Rank 9 - Ranking in insolvency (master scale)</v>
      </c>
      <c r="H125" s="11">
        <v>0</v>
      </c>
      <c r="I125" s="11">
        <v>0</v>
      </c>
      <c r="J125" s="11" t="s">
        <v>64</v>
      </c>
      <c r="K125" s="14" t="s">
        <v>65</v>
      </c>
      <c r="L125" s="11" t="str">
        <f>'Other non-financial'!H119</f>
        <v>Liabilities other than financial liabilities, provisions, tax liabilities, deferred income</v>
      </c>
      <c r="M125" s="12">
        <f>'Other non-financial'!B119</f>
        <v>1654762.4500000016</v>
      </c>
      <c r="N125" s="11" t="str">
        <f>'Other non-financial'!A119</f>
        <v>EURO</v>
      </c>
      <c r="O125" s="11" t="str">
        <f>'Other non-financial'!E119</f>
        <v>2022-12-31</v>
      </c>
      <c r="P125" s="15">
        <v>72716</v>
      </c>
      <c r="Q125" s="11" t="s">
        <v>66</v>
      </c>
      <c r="R125" s="11">
        <v>0</v>
      </c>
    </row>
    <row r="126" spans="3:18" ht="36.75" thickBot="1">
      <c r="C126" s="10" t="s">
        <v>63</v>
      </c>
      <c r="D126" s="11">
        <v>119</v>
      </c>
      <c r="E126" s="11" t="str">
        <f>'Other non-financial'!F120</f>
        <v>r0390 - Non-financial liabilities</v>
      </c>
      <c r="F126" s="11" t="str">
        <f>IF(E126="r0170 - Employee liabilities (BRRD art. 44/2/g/i)","c001x   - Households",IF('Other non-financial'!C120="particulares","c001x   - Households",IF('Other non-financial'!C120="outras instituicoes financeiras","c005x   - Other financial corporations",IF('Other non-financial'!C120="instituicoes de credito","c004x   - Institutions",IF(AND('Other non-financial'!C120="outras empresas nao financeiras",'Other non-financial'!D120="1"),"c002x   - Micro &amp; SME",IF(AND('Other non-financial'!C120="outras empresas nao financeiras",'Other non-financial'!D120&lt;&gt;"1"),"c003x   - Corporates",IF('Other non-financial'!C120="","c010x   - Non-identified, not listed on an exchange platform",IF(OR('Other non-financial'!C120="setor publico",'Other non-financial'!C120="bancos centrais"),"c008x   - Government, central banks &amp; supranationals",""))))))))</f>
        <v>c010x   - Non-identified, not listed on an exchange platform</v>
      </c>
      <c r="G126" s="11" t="str">
        <f>'Other non-financial'!G120</f>
        <v>Rank 9 - Ranking in insolvency (master scale)</v>
      </c>
      <c r="H126" s="11">
        <v>0</v>
      </c>
      <c r="I126" s="11">
        <v>0</v>
      </c>
      <c r="J126" s="11" t="s">
        <v>64</v>
      </c>
      <c r="K126" s="14" t="s">
        <v>65</v>
      </c>
      <c r="L126" s="11" t="str">
        <f>'Other non-financial'!H120</f>
        <v>Provisions. Off-balance sheet exposures subject to credit risk</v>
      </c>
      <c r="M126" s="12">
        <f>'Other non-financial'!B120</f>
        <v>1072.4100000000001</v>
      </c>
      <c r="N126" s="11" t="str">
        <f>'Other non-financial'!A120</f>
        <v>EURO</v>
      </c>
      <c r="O126" s="11" t="str">
        <f>'Other non-financial'!E120</f>
        <v>2022-12-31</v>
      </c>
      <c r="P126" s="15">
        <v>72716</v>
      </c>
      <c r="Q126" s="11" t="s">
        <v>66</v>
      </c>
      <c r="R126" s="11">
        <v>0</v>
      </c>
    </row>
    <row r="127" spans="3:18" ht="36.75" thickBot="1">
      <c r="C127" s="10" t="s">
        <v>63</v>
      </c>
      <c r="D127" s="11">
        <v>120</v>
      </c>
      <c r="E127" s="11" t="str">
        <f>'Other non-financial'!F121</f>
        <v>r0390 - Non-financial liabilities</v>
      </c>
      <c r="F127" s="11" t="str">
        <f>IF(E127="r0170 - Employee liabilities (BRRD art. 44/2/g/i)","c001x   - Households",IF('Other non-financial'!C121="particulares","c001x   - Households",IF('Other non-financial'!C121="outras instituicoes financeiras","c005x   - Other financial corporations",IF('Other non-financial'!C121="instituicoes de credito","c004x   - Institutions",IF(AND('Other non-financial'!C121="outras empresas nao financeiras",'Other non-financial'!D121="1"),"c002x   - Micro &amp; SME",IF(AND('Other non-financial'!C121="outras empresas nao financeiras",'Other non-financial'!D121&lt;&gt;"1"),"c003x   - Corporates",IF('Other non-financial'!C121="","c010x   - Non-identified, not listed on an exchange platform",IF(OR('Other non-financial'!C121="setor publico",'Other non-financial'!C121="bancos centrais"),"c008x   - Government, central banks &amp; supranationals",""))))))))</f>
        <v>c010x   - Non-identified, not listed on an exchange platform</v>
      </c>
      <c r="G127" s="11" t="str">
        <f>'Other non-financial'!G121</f>
        <v>Rank 9 - Ranking in insolvency (master scale)</v>
      </c>
      <c r="H127" s="11">
        <v>0</v>
      </c>
      <c r="I127" s="11">
        <v>0</v>
      </c>
      <c r="J127" s="11" t="s">
        <v>64</v>
      </c>
      <c r="K127" s="14" t="s">
        <v>65</v>
      </c>
      <c r="L127" s="11" t="str">
        <f>'Other non-financial'!H121</f>
        <v>Provisions. Off-balance sheet exposures subject to credit risk</v>
      </c>
      <c r="M127" s="12">
        <f>'Other non-financial'!B121</f>
        <v>36738.44999999999</v>
      </c>
      <c r="N127" s="11" t="str">
        <f>'Other non-financial'!A121</f>
        <v>EURO</v>
      </c>
      <c r="O127" s="11" t="str">
        <f>'Other non-financial'!E121</f>
        <v>2022-12-31</v>
      </c>
      <c r="P127" s="15">
        <v>72716</v>
      </c>
      <c r="Q127" s="11" t="s">
        <v>66</v>
      </c>
      <c r="R127" s="11">
        <v>0</v>
      </c>
    </row>
    <row r="128" spans="3:18" ht="60.75" thickBot="1">
      <c r="C128" s="10" t="s">
        <v>63</v>
      </c>
      <c r="D128" s="11">
        <v>121</v>
      </c>
      <c r="E128" s="11" t="str">
        <f>'Other non-financial'!F122</f>
        <v>r0390 - Non-financial liabilities</v>
      </c>
      <c r="F128" s="11" t="str">
        <f>IF(E128="r0170 - Employee liabilities (BRRD art. 44/2/g/i)","c001x   - Households",IF('Other non-financial'!C122="particulares","c001x   - Households",IF('Other non-financial'!C122="outras instituicoes financeiras","c005x   - Other financial corporations",IF('Other non-financial'!C122="instituicoes de credito","c004x   - Institutions",IF(AND('Other non-financial'!C122="outras empresas nao financeiras",'Other non-financial'!D122="1"),"c002x   - Micro &amp; SME",IF(AND('Other non-financial'!C122="outras empresas nao financeiras",'Other non-financial'!D122&lt;&gt;"1"),"c003x   - Corporates",IF('Other non-financial'!C122="","c010x   - Non-identified, not listed on an exchange platform",IF(OR('Other non-financial'!C122="setor publico",'Other non-financial'!C122="bancos centrais"),"c008x   - Government, central banks &amp; supranationals",""))))))))</f>
        <v>c004x   - Institutions</v>
      </c>
      <c r="G128" s="11" t="str">
        <f>'Other non-financial'!G122</f>
        <v>Rank 9 - Ranking in insolvency (master scale)</v>
      </c>
      <c r="H128" s="11">
        <v>0</v>
      </c>
      <c r="I128" s="11">
        <v>0</v>
      </c>
      <c r="J128" s="11" t="s">
        <v>64</v>
      </c>
      <c r="K128" s="14" t="s">
        <v>65</v>
      </c>
      <c r="L128" s="11" t="str">
        <f>'Other non-financial'!H122</f>
        <v>Liabilities other than financial liabilities, provisions, tax liabilities, deferred income</v>
      </c>
      <c r="M128" s="12">
        <f>'Other non-financial'!B122</f>
        <v>11945.99</v>
      </c>
      <c r="N128" s="11" t="str">
        <f>'Other non-financial'!A122</f>
        <v>EURO</v>
      </c>
      <c r="O128" s="11" t="str">
        <f>'Other non-financial'!E122</f>
        <v>2022-12-31</v>
      </c>
      <c r="P128" s="15">
        <v>72716</v>
      </c>
      <c r="Q128" s="11" t="s">
        <v>66</v>
      </c>
      <c r="R128" s="11">
        <v>0</v>
      </c>
    </row>
    <row r="129" spans="3:18" ht="60.75" thickBot="1">
      <c r="C129" s="10" t="s">
        <v>63</v>
      </c>
      <c r="D129" s="11">
        <v>122</v>
      </c>
      <c r="E129" s="11" t="str">
        <f>'Other non-financial'!F123</f>
        <v>r0390 - Non-financial liabilities</v>
      </c>
      <c r="F129" s="11" t="str">
        <f>IF(E129="r0170 - Employee liabilities (BRRD art. 44/2/g/i)","c001x   - Households",IF('Other non-financial'!C123="particulares","c001x   - Households",IF('Other non-financial'!C123="outras instituicoes financeiras","c005x   - Other financial corporations",IF('Other non-financial'!C123="instituicoes de credito","c004x   - Institutions",IF(AND('Other non-financial'!C123="outras empresas nao financeiras",'Other non-financial'!D123="1"),"c002x   - Micro &amp; SME",IF(AND('Other non-financial'!C123="outras empresas nao financeiras",'Other non-financial'!D123&lt;&gt;"1"),"c003x   - Corporates",IF('Other non-financial'!C123="","c010x   - Non-identified, not listed on an exchange platform",IF(OR('Other non-financial'!C123="setor publico",'Other non-financial'!C123="bancos centrais"),"c008x   - Government, central banks &amp; supranationals",""))))))))</f>
        <v>c004x   - Institutions</v>
      </c>
      <c r="G129" s="11" t="str">
        <f>'Other non-financial'!G123</f>
        <v>Rank 9 - Ranking in insolvency (master scale)</v>
      </c>
      <c r="H129" s="11">
        <v>0</v>
      </c>
      <c r="I129" s="11">
        <v>0</v>
      </c>
      <c r="J129" s="11" t="s">
        <v>64</v>
      </c>
      <c r="K129" s="14" t="s">
        <v>65</v>
      </c>
      <c r="L129" s="11" t="str">
        <f>'Other non-financial'!H123</f>
        <v>Liabilities other than financial liabilities, provisions, tax liabilities, deferred income</v>
      </c>
      <c r="M129" s="12">
        <f>'Other non-financial'!B123</f>
        <v>12221.27</v>
      </c>
      <c r="N129" s="11" t="str">
        <f>'Other non-financial'!A123</f>
        <v>EURO</v>
      </c>
      <c r="O129" s="11" t="str">
        <f>'Other non-financial'!E123</f>
        <v>2022-12-31</v>
      </c>
      <c r="P129" s="15">
        <v>72716</v>
      </c>
      <c r="Q129" s="11" t="s">
        <v>66</v>
      </c>
      <c r="R129" s="11">
        <v>0</v>
      </c>
    </row>
    <row r="130" spans="3:18" ht="60.75" thickBot="1">
      <c r="C130" s="10" t="s">
        <v>63</v>
      </c>
      <c r="D130" s="11">
        <v>123</v>
      </c>
      <c r="E130" s="11" t="str">
        <f>'Other non-financial'!F124</f>
        <v>r0390 - Non-financial liabilities</v>
      </c>
      <c r="F130" s="11" t="str">
        <f>IF(E130="r0170 - Employee liabilities (BRRD art. 44/2/g/i)","c001x   - Households",IF('Other non-financial'!C124="particulares","c001x   - Households",IF('Other non-financial'!C124="outras instituicoes financeiras","c005x   - Other financial corporations",IF('Other non-financial'!C124="instituicoes de credito","c004x   - Institutions",IF(AND('Other non-financial'!C124="outras empresas nao financeiras",'Other non-financial'!D124="1"),"c002x   - Micro &amp; SME",IF(AND('Other non-financial'!C124="outras empresas nao financeiras",'Other non-financial'!D124&lt;&gt;"1"),"c003x   - Corporates",IF('Other non-financial'!C124="","c010x   - Non-identified, not listed on an exchange platform",IF(OR('Other non-financial'!C124="setor publico",'Other non-financial'!C124="bancos centrais"),"c008x   - Government, central banks &amp; supranationals",""))))))))</f>
        <v>c004x   - Institutions</v>
      </c>
      <c r="G130" s="11" t="str">
        <f>'Other non-financial'!G124</f>
        <v>Rank 9 - Ranking in insolvency (master scale)</v>
      </c>
      <c r="H130" s="11">
        <v>0</v>
      </c>
      <c r="I130" s="11">
        <v>0</v>
      </c>
      <c r="J130" s="11" t="s">
        <v>64</v>
      </c>
      <c r="K130" s="14" t="s">
        <v>65</v>
      </c>
      <c r="L130" s="11" t="str">
        <f>'Other non-financial'!H124</f>
        <v>Liabilities other than financial liabilities, provisions, tax liabilities, deferred income</v>
      </c>
      <c r="M130" s="12">
        <f>'Other non-financial'!B124</f>
        <v>177.56</v>
      </c>
      <c r="N130" s="11" t="str">
        <f>'Other non-financial'!A124</f>
        <v>EURO</v>
      </c>
      <c r="O130" s="11" t="str">
        <f>'Other non-financial'!E124</f>
        <v>2022-12-31</v>
      </c>
      <c r="P130" s="15">
        <v>72716</v>
      </c>
      <c r="Q130" s="11" t="s">
        <v>66</v>
      </c>
      <c r="R130" s="11">
        <v>0</v>
      </c>
    </row>
    <row r="131" spans="3:18" ht="60.75" thickBot="1">
      <c r="C131" s="10" t="s">
        <v>63</v>
      </c>
      <c r="D131" s="11">
        <v>124</v>
      </c>
      <c r="E131" s="11" t="str">
        <f>'Other non-financial'!F125</f>
        <v>r0390 - Non-financial liabilities</v>
      </c>
      <c r="F131" s="11" t="str">
        <f>IF(E131="r0170 - Employee liabilities (BRRD art. 44/2/g/i)","c001x   - Households",IF('Other non-financial'!C125="particulares","c001x   - Households",IF('Other non-financial'!C125="outras instituicoes financeiras","c005x   - Other financial corporations",IF('Other non-financial'!C125="instituicoes de credito","c004x   - Institutions",IF(AND('Other non-financial'!C125="outras empresas nao financeiras",'Other non-financial'!D125="1"),"c002x   - Micro &amp; SME",IF(AND('Other non-financial'!C125="outras empresas nao financeiras",'Other non-financial'!D125&lt;&gt;"1"),"c003x   - Corporates",IF('Other non-financial'!C125="","c010x   - Non-identified, not listed on an exchange platform",IF(OR('Other non-financial'!C125="setor publico",'Other non-financial'!C125="bancos centrais"),"c008x   - Government, central banks &amp; supranationals",""))))))))</f>
        <v>c004x   - Institutions</v>
      </c>
      <c r="G131" s="11" t="str">
        <f>'Other non-financial'!G125</f>
        <v>Rank 9 - Ranking in insolvency (master scale)</v>
      </c>
      <c r="H131" s="11">
        <v>0</v>
      </c>
      <c r="I131" s="11">
        <v>0</v>
      </c>
      <c r="J131" s="11" t="s">
        <v>64</v>
      </c>
      <c r="K131" s="14" t="s">
        <v>65</v>
      </c>
      <c r="L131" s="11" t="str">
        <f>'Other non-financial'!H125</f>
        <v>Liabilities other than financial liabilities, provisions, tax liabilities, deferred income</v>
      </c>
      <c r="M131" s="12">
        <f>'Other non-financial'!B125</f>
        <v>10504.020000000002</v>
      </c>
      <c r="N131" s="11" t="str">
        <f>'Other non-financial'!A125</f>
        <v>EURO</v>
      </c>
      <c r="O131" s="11" t="str">
        <f>'Other non-financial'!E125</f>
        <v>2022-12-31</v>
      </c>
      <c r="P131" s="15">
        <v>72716</v>
      </c>
      <c r="Q131" s="11" t="s">
        <v>66</v>
      </c>
      <c r="R131" s="11">
        <v>0</v>
      </c>
    </row>
    <row r="132" spans="3:18" ht="60.75" thickBot="1">
      <c r="C132" s="10" t="s">
        <v>63</v>
      </c>
      <c r="D132" s="11">
        <v>125</v>
      </c>
      <c r="E132" s="11" t="str">
        <f>'Other non-financial'!F126</f>
        <v>r0390 - Non-financial liabilities</v>
      </c>
      <c r="F132" s="11" t="str">
        <f>IF(E132="r0170 - Employee liabilities (BRRD art. 44/2/g/i)","c001x   - Households",IF('Other non-financial'!C126="particulares","c001x   - Households",IF('Other non-financial'!C126="outras instituicoes financeiras","c005x   - Other financial corporations",IF('Other non-financial'!C126="instituicoes de credito","c004x   - Institutions",IF(AND('Other non-financial'!C126="outras empresas nao financeiras",'Other non-financial'!D126="1"),"c002x   - Micro &amp; SME",IF(AND('Other non-financial'!C126="outras empresas nao financeiras",'Other non-financial'!D126&lt;&gt;"1"),"c003x   - Corporates",IF('Other non-financial'!C126="","c010x   - Non-identified, not listed on an exchange platform",IF(OR('Other non-financial'!C126="setor publico",'Other non-financial'!C126="bancos centrais"),"c008x   - Government, central banks &amp; supranationals",""))))))))</f>
        <v>c004x   - Institutions</v>
      </c>
      <c r="G132" s="11" t="str">
        <f>'Other non-financial'!G126</f>
        <v>Rank 9 - Ranking in insolvency (master scale)</v>
      </c>
      <c r="H132" s="11">
        <v>0</v>
      </c>
      <c r="I132" s="11">
        <v>0</v>
      </c>
      <c r="J132" s="11" t="s">
        <v>64</v>
      </c>
      <c r="K132" s="14" t="s">
        <v>65</v>
      </c>
      <c r="L132" s="11" t="str">
        <f>'Other non-financial'!H126</f>
        <v>Liabilities other than financial liabilities, provisions, tax liabilities, deferred income</v>
      </c>
      <c r="M132" s="12">
        <f>'Other non-financial'!B126</f>
        <v>77643.55</v>
      </c>
      <c r="N132" s="11" t="str">
        <f>'Other non-financial'!A126</f>
        <v>EURO</v>
      </c>
      <c r="O132" s="11" t="str">
        <f>'Other non-financial'!E126</f>
        <v>2022-12-31</v>
      </c>
      <c r="P132" s="15">
        <v>72716</v>
      </c>
      <c r="Q132" s="11" t="s">
        <v>66</v>
      </c>
      <c r="R132" s="11">
        <v>0</v>
      </c>
    </row>
    <row r="133" spans="3:18" ht="36.75" thickBot="1">
      <c r="C133" s="10" t="s">
        <v>63</v>
      </c>
      <c r="D133" s="11">
        <v>126</v>
      </c>
      <c r="E133" s="11" t="str">
        <f>'Other non-financial'!F127</f>
        <v>r0390 - Non-financial liabilities</v>
      </c>
      <c r="F133" s="11" t="str">
        <f>IF(E133="r0170 - Employee liabilities (BRRD art. 44/2/g/i)","c001x   - Households",IF('Other non-financial'!C127="particulares","c001x   - Households",IF('Other non-financial'!C127="outras instituicoes financeiras","c005x   - Other financial corporations",IF('Other non-financial'!C127="instituicoes de credito","c004x   - Institutions",IF(AND('Other non-financial'!C127="outras empresas nao financeiras",'Other non-financial'!D127="1"),"c002x   - Micro &amp; SME",IF(AND('Other non-financial'!C127="outras empresas nao financeiras",'Other non-financial'!D127&lt;&gt;"1"),"c003x   - Corporates",IF('Other non-financial'!C127="","c010x   - Non-identified, not listed on an exchange platform",IF(OR('Other non-financial'!C127="setor publico",'Other non-financial'!C127="bancos centrais"),"c008x   - Government, central banks &amp; supranationals",""))))))))</f>
        <v>c004x   - Institutions</v>
      </c>
      <c r="G133" s="11" t="str">
        <f>'Other non-financial'!G127</f>
        <v>Rank 9 - Ranking in insolvency (master scale)</v>
      </c>
      <c r="H133" s="11">
        <v>0</v>
      </c>
      <c r="I133" s="11">
        <v>0</v>
      </c>
      <c r="J133" s="11" t="s">
        <v>64</v>
      </c>
      <c r="K133" s="14" t="s">
        <v>65</v>
      </c>
      <c r="L133" s="11" t="str">
        <f>'Other non-financial'!H127</f>
        <v>Provisions. Off-balance sheet exposures subject to credit risk</v>
      </c>
      <c r="M133" s="12">
        <f>'Other non-financial'!B127</f>
        <v>882.41000000000008</v>
      </c>
      <c r="N133" s="11" t="str">
        <f>'Other non-financial'!A127</f>
        <v>EURO</v>
      </c>
      <c r="O133" s="11" t="str">
        <f>'Other non-financial'!E127</f>
        <v>2022-12-31</v>
      </c>
      <c r="P133" s="15">
        <v>72716</v>
      </c>
      <c r="Q133" s="11" t="s">
        <v>66</v>
      </c>
      <c r="R133" s="11">
        <v>0</v>
      </c>
    </row>
    <row r="134" spans="3:18" ht="36.75" thickBot="1">
      <c r="C134" s="10" t="s">
        <v>63</v>
      </c>
      <c r="D134" s="11">
        <v>127</v>
      </c>
      <c r="E134" s="11" t="str">
        <f>'Other non-financial'!F128</f>
        <v>r0390 - Non-financial liabilities</v>
      </c>
      <c r="F134" s="11" t="str">
        <f>IF(E134="r0170 - Employee liabilities (BRRD art. 44/2/g/i)","c001x   - Households",IF('Other non-financial'!C128="particulares","c001x   - Households",IF('Other non-financial'!C128="outras instituicoes financeiras","c005x   - Other financial corporations",IF('Other non-financial'!C128="instituicoes de credito","c004x   - Institutions",IF(AND('Other non-financial'!C128="outras empresas nao financeiras",'Other non-financial'!D128="1"),"c002x   - Micro &amp; SME",IF(AND('Other non-financial'!C128="outras empresas nao financeiras",'Other non-financial'!D128&lt;&gt;"1"),"c003x   - Corporates",IF('Other non-financial'!C128="","c010x   - Non-identified, not listed on an exchange platform",IF(OR('Other non-financial'!C128="setor publico",'Other non-financial'!C128="bancos centrais"),"c008x   - Government, central banks &amp; supranationals",""))))))))</f>
        <v>c004x   - Institutions</v>
      </c>
      <c r="G134" s="11" t="str">
        <f>'Other non-financial'!G128</f>
        <v>Rank 9 - Ranking in insolvency (master scale)</v>
      </c>
      <c r="H134" s="11">
        <v>0</v>
      </c>
      <c r="I134" s="11">
        <v>0</v>
      </c>
      <c r="J134" s="11" t="s">
        <v>64</v>
      </c>
      <c r="K134" s="14" t="s">
        <v>65</v>
      </c>
      <c r="L134" s="11" t="str">
        <f>'Other non-financial'!H128</f>
        <v>Provisions. Off-balance sheet exposures subject to credit risk</v>
      </c>
      <c r="M134" s="12">
        <f>'Other non-financial'!B128</f>
        <v>5659.98</v>
      </c>
      <c r="N134" s="11" t="str">
        <f>'Other non-financial'!A128</f>
        <v>EURO</v>
      </c>
      <c r="O134" s="11" t="str">
        <f>'Other non-financial'!E128</f>
        <v>2022-12-31</v>
      </c>
      <c r="P134" s="15">
        <v>72716</v>
      </c>
      <c r="Q134" s="11" t="s">
        <v>66</v>
      </c>
      <c r="R134" s="11">
        <v>0</v>
      </c>
    </row>
    <row r="135" spans="3:18" ht="36.75" thickBot="1">
      <c r="C135" s="10" t="s">
        <v>63</v>
      </c>
      <c r="D135" s="11">
        <v>128</v>
      </c>
      <c r="E135" s="11" t="str">
        <f>'Other non-financial'!F129</f>
        <v>r0390 - Non-financial liabilities</v>
      </c>
      <c r="F135" s="11" t="str">
        <f>IF(E135="r0170 - Employee liabilities (BRRD art. 44/2/g/i)","c001x   - Households",IF('Other non-financial'!C129="particulares","c001x   - Households",IF('Other non-financial'!C129="outras instituicoes financeiras","c005x   - Other financial corporations",IF('Other non-financial'!C129="instituicoes de credito","c004x   - Institutions",IF(AND('Other non-financial'!C129="outras empresas nao financeiras",'Other non-financial'!D129="1"),"c002x   - Micro &amp; SME",IF(AND('Other non-financial'!C129="outras empresas nao financeiras",'Other non-financial'!D129&lt;&gt;"1"),"c003x   - Corporates",IF('Other non-financial'!C129="","c010x   - Non-identified, not listed on an exchange platform",IF(OR('Other non-financial'!C129="setor publico",'Other non-financial'!C129="bancos centrais"),"c008x   - Government, central banks &amp; supranationals",""))))))))</f>
        <v>c004x   - Institutions</v>
      </c>
      <c r="G135" s="11" t="str">
        <f>'Other non-financial'!G129</f>
        <v>Rank 9 - Ranking in insolvency (master scale)</v>
      </c>
      <c r="H135" s="11">
        <v>0</v>
      </c>
      <c r="I135" s="11">
        <v>0</v>
      </c>
      <c r="J135" s="11" t="s">
        <v>64</v>
      </c>
      <c r="K135" s="14" t="s">
        <v>65</v>
      </c>
      <c r="L135" s="11" t="str">
        <f>'Other non-financial'!H129</f>
        <v>Provisions. Off-balance sheet exposures subject to credit risk</v>
      </c>
      <c r="M135" s="12">
        <f>'Other non-financial'!B129</f>
        <v>1306.3499999999999</v>
      </c>
      <c r="N135" s="11" t="str">
        <f>'Other non-financial'!A129</f>
        <v>EURO</v>
      </c>
      <c r="O135" s="11" t="str">
        <f>'Other non-financial'!E129</f>
        <v>2022-12-31</v>
      </c>
      <c r="P135" s="15">
        <v>72716</v>
      </c>
      <c r="Q135" s="11" t="s">
        <v>66</v>
      </c>
      <c r="R135" s="11">
        <v>0</v>
      </c>
    </row>
    <row r="136" spans="3:18" ht="36.75" thickBot="1">
      <c r="C136" s="10" t="s">
        <v>63</v>
      </c>
      <c r="D136" s="11">
        <v>129</v>
      </c>
      <c r="E136" s="11" t="str">
        <f>'Other non-financial'!F130</f>
        <v>r0390 - Non-financial liabilities</v>
      </c>
      <c r="F136" s="11" t="str">
        <f>IF(E136="r0170 - Employee liabilities (BRRD art. 44/2/g/i)","c001x   - Households",IF('Other non-financial'!C130="particulares","c001x   - Households",IF('Other non-financial'!C130="outras instituicoes financeiras","c005x   - Other financial corporations",IF('Other non-financial'!C130="instituicoes de credito","c004x   - Institutions",IF(AND('Other non-financial'!C130="outras empresas nao financeiras",'Other non-financial'!D130="1"),"c002x   - Micro &amp; SME",IF(AND('Other non-financial'!C130="outras empresas nao financeiras",'Other non-financial'!D130&lt;&gt;"1"),"c003x   - Corporates",IF('Other non-financial'!C130="","c010x   - Non-identified, not listed on an exchange platform",IF(OR('Other non-financial'!C130="setor publico",'Other non-financial'!C130="bancos centrais"),"c008x   - Government, central banks &amp; supranationals",""))))))))</f>
        <v>c004x   - Institutions</v>
      </c>
      <c r="G136" s="11" t="str">
        <f>'Other non-financial'!G130</f>
        <v>Rank 9 - Ranking in insolvency (master scale)</v>
      </c>
      <c r="H136" s="11">
        <v>0</v>
      </c>
      <c r="I136" s="11">
        <v>0</v>
      </c>
      <c r="J136" s="11" t="s">
        <v>64</v>
      </c>
      <c r="K136" s="14" t="s">
        <v>65</v>
      </c>
      <c r="L136" s="11" t="str">
        <f>'Other non-financial'!H130</f>
        <v>Provisions. Off-balance sheet exposures subject to credit risk</v>
      </c>
      <c r="M136" s="12">
        <f>'Other non-financial'!B130</f>
        <v>4765.1499999999996</v>
      </c>
      <c r="N136" s="11" t="str">
        <f>'Other non-financial'!A130</f>
        <v>EURO</v>
      </c>
      <c r="O136" s="11" t="str">
        <f>'Other non-financial'!E130</f>
        <v>2022-12-31</v>
      </c>
      <c r="P136" s="15">
        <v>72716</v>
      </c>
      <c r="Q136" s="11" t="s">
        <v>66</v>
      </c>
      <c r="R136" s="11">
        <v>0</v>
      </c>
    </row>
    <row r="137" spans="3:18" ht="36.75" thickBot="1">
      <c r="C137" s="10" t="s">
        <v>63</v>
      </c>
      <c r="D137" s="11">
        <v>130</v>
      </c>
      <c r="E137" s="11" t="str">
        <f>'Other non-financial'!F131</f>
        <v>r0390 - Non-financial liabilities</v>
      </c>
      <c r="F137" s="11" t="str">
        <f>IF(E137="r0170 - Employee liabilities (BRRD art. 44/2/g/i)","c001x   - Households",IF('Other non-financial'!C131="particulares","c001x   - Households",IF('Other non-financial'!C131="outras instituicoes financeiras","c005x   - Other financial corporations",IF('Other non-financial'!C131="instituicoes de credito","c004x   - Institutions",IF(AND('Other non-financial'!C131="outras empresas nao financeiras",'Other non-financial'!D131="1"),"c002x   - Micro &amp; SME",IF(AND('Other non-financial'!C131="outras empresas nao financeiras",'Other non-financial'!D131&lt;&gt;"1"),"c003x   - Corporates",IF('Other non-financial'!C131="","c010x   - Non-identified, not listed on an exchange platform",IF(OR('Other non-financial'!C131="setor publico",'Other non-financial'!C131="bancos centrais"),"c008x   - Government, central banks &amp; supranationals",""))))))))</f>
        <v>c004x   - Institutions</v>
      </c>
      <c r="G137" s="11" t="str">
        <f>'Other non-financial'!G131</f>
        <v>Rank 9 - Ranking in insolvency (master scale)</v>
      </c>
      <c r="H137" s="11">
        <v>0</v>
      </c>
      <c r="I137" s="11">
        <v>0</v>
      </c>
      <c r="J137" s="11" t="s">
        <v>64</v>
      </c>
      <c r="K137" s="14" t="s">
        <v>65</v>
      </c>
      <c r="L137" s="11" t="str">
        <f>'Other non-financial'!H131</f>
        <v>Provisions. Off-balance sheet exposures subject to credit risk</v>
      </c>
      <c r="M137" s="12">
        <f>'Other non-financial'!B131</f>
        <v>1515.41</v>
      </c>
      <c r="N137" s="11" t="str">
        <f>'Other non-financial'!A131</f>
        <v>EURO</v>
      </c>
      <c r="O137" s="11" t="str">
        <f>'Other non-financial'!E131</f>
        <v>2022-12-31</v>
      </c>
      <c r="P137" s="15">
        <v>72716</v>
      </c>
      <c r="Q137" s="11" t="s">
        <v>66</v>
      </c>
      <c r="R137" s="11">
        <v>0</v>
      </c>
    </row>
    <row r="138" spans="3:18" ht="36.75" thickBot="1">
      <c r="C138" s="10" t="s">
        <v>63</v>
      </c>
      <c r="D138" s="11">
        <v>131</v>
      </c>
      <c r="E138" s="11" t="str">
        <f>'Other non-financial'!F132</f>
        <v>r0390 - Non-financial liabilities</v>
      </c>
      <c r="F138" s="11" t="str">
        <f>IF(E138="r0170 - Employee liabilities (BRRD art. 44/2/g/i)","c001x   - Households",IF('Other non-financial'!C132="particulares","c001x   - Households",IF('Other non-financial'!C132="outras instituicoes financeiras","c005x   - Other financial corporations",IF('Other non-financial'!C132="instituicoes de credito","c004x   - Institutions",IF(AND('Other non-financial'!C132="outras empresas nao financeiras",'Other non-financial'!D132="1"),"c002x   - Micro &amp; SME",IF(AND('Other non-financial'!C132="outras empresas nao financeiras",'Other non-financial'!D132&lt;&gt;"1"),"c003x   - Corporates",IF('Other non-financial'!C132="","c010x   - Non-identified, not listed on an exchange platform",IF(OR('Other non-financial'!C132="setor publico",'Other non-financial'!C132="bancos centrais"),"c008x   - Government, central banks &amp; supranationals",""))))))))</f>
        <v>c004x   - Institutions</v>
      </c>
      <c r="G138" s="11" t="str">
        <f>'Other non-financial'!G132</f>
        <v>Rank 9 - Ranking in insolvency (master scale)</v>
      </c>
      <c r="H138" s="11">
        <v>0</v>
      </c>
      <c r="I138" s="11">
        <v>0</v>
      </c>
      <c r="J138" s="11" t="s">
        <v>64</v>
      </c>
      <c r="K138" s="14" t="s">
        <v>65</v>
      </c>
      <c r="L138" s="11" t="str">
        <f>'Other non-financial'!H132</f>
        <v>Provisions. Off-balance sheet exposures subject to credit risk</v>
      </c>
      <c r="M138" s="12">
        <f>'Other non-financial'!B132</f>
        <v>18.350000000000001</v>
      </c>
      <c r="N138" s="11" t="str">
        <f>'Other non-financial'!A132</f>
        <v>EURO</v>
      </c>
      <c r="O138" s="11" t="str">
        <f>'Other non-financial'!E132</f>
        <v>2022-12-31</v>
      </c>
      <c r="P138" s="15">
        <v>72716</v>
      </c>
      <c r="Q138" s="11" t="s">
        <v>66</v>
      </c>
      <c r="R138" s="11">
        <v>0</v>
      </c>
    </row>
    <row r="139" spans="3:18" ht="60.75" thickBot="1">
      <c r="C139" s="10" t="s">
        <v>63</v>
      </c>
      <c r="D139" s="11">
        <v>132</v>
      </c>
      <c r="E139" s="11" t="str">
        <f>'Other non-financial'!F133</f>
        <v>r0390 - Non-financial liabilities</v>
      </c>
      <c r="F139" s="11" t="str">
        <f>IF(E139="r0170 - Employee liabilities (BRRD art. 44/2/g/i)","c001x   - Households",IF('Other non-financial'!C133="particulares","c001x   - Households",IF('Other non-financial'!C133="outras instituicoes financeiras","c005x   - Other financial corporations",IF('Other non-financial'!C133="instituicoes de credito","c004x   - Institutions",IF(AND('Other non-financial'!C133="outras empresas nao financeiras",'Other non-financial'!D133="1"),"c002x   - Micro &amp; SME",IF(AND('Other non-financial'!C133="outras empresas nao financeiras",'Other non-financial'!D133&lt;&gt;"1"),"c003x   - Corporates",IF('Other non-financial'!C133="","c010x   - Non-identified, not listed on an exchange platform",IF(OR('Other non-financial'!C133="setor publico",'Other non-financial'!C133="bancos centrais"),"c008x   - Government, central banks &amp; supranationals",""))))))))</f>
        <v>c003x   - Corporates</v>
      </c>
      <c r="G139" s="11" t="str">
        <f>'Other non-financial'!G133</f>
        <v>Rank 9 - Ranking in insolvency (master scale)</v>
      </c>
      <c r="H139" s="11">
        <v>0</v>
      </c>
      <c r="I139" s="11">
        <v>0</v>
      </c>
      <c r="J139" s="11" t="s">
        <v>64</v>
      </c>
      <c r="K139" s="14" t="s">
        <v>65</v>
      </c>
      <c r="L139" s="11" t="str">
        <f>'Other non-financial'!H133</f>
        <v>Liabilities other than financial liabilities, provisions, tax liabilities, deferred income</v>
      </c>
      <c r="M139" s="12">
        <f>'Other non-financial'!B133</f>
        <v>8518826.3499999996</v>
      </c>
      <c r="N139" s="11" t="str">
        <f>'Other non-financial'!A133</f>
        <v>EURO</v>
      </c>
      <c r="O139" s="11" t="str">
        <f>'Other non-financial'!E133</f>
        <v>2022-12-31</v>
      </c>
      <c r="P139" s="15">
        <v>72716</v>
      </c>
      <c r="Q139" s="11" t="s">
        <v>66</v>
      </c>
      <c r="R139" s="11">
        <v>0</v>
      </c>
    </row>
    <row r="140" spans="3:18" ht="60.75" thickBot="1">
      <c r="C140" s="10" t="s">
        <v>63</v>
      </c>
      <c r="D140" s="11">
        <v>133</v>
      </c>
      <c r="E140" s="11" t="str">
        <f>'Other non-financial'!F134</f>
        <v>r0390 - Non-financial liabilities</v>
      </c>
      <c r="F140" s="11" t="str">
        <f>IF(E140="r0170 - Employee liabilities (BRRD art. 44/2/g/i)","c001x   - Households",IF('Other non-financial'!C134="particulares","c001x   - Households",IF('Other non-financial'!C134="outras instituicoes financeiras","c005x   - Other financial corporations",IF('Other non-financial'!C134="instituicoes de credito","c004x   - Institutions",IF(AND('Other non-financial'!C134="outras empresas nao financeiras",'Other non-financial'!D134="1"),"c002x   - Micro &amp; SME",IF(AND('Other non-financial'!C134="outras empresas nao financeiras",'Other non-financial'!D134&lt;&gt;"1"),"c003x   - Corporates",IF('Other non-financial'!C134="","c010x   - Non-identified, not listed on an exchange platform",IF(OR('Other non-financial'!C134="setor publico",'Other non-financial'!C134="bancos centrais"),"c008x   - Government, central banks &amp; supranationals",""))))))))</f>
        <v>c003x   - Corporates</v>
      </c>
      <c r="G140" s="11" t="str">
        <f>'Other non-financial'!G134</f>
        <v>Rank 9 - Ranking in insolvency (master scale)</v>
      </c>
      <c r="H140" s="11">
        <v>0</v>
      </c>
      <c r="I140" s="11">
        <v>0</v>
      </c>
      <c r="J140" s="11" t="s">
        <v>64</v>
      </c>
      <c r="K140" s="14" t="s">
        <v>65</v>
      </c>
      <c r="L140" s="11" t="str">
        <f>'Other non-financial'!H134</f>
        <v>Liabilities other than financial liabilities, provisions, tax liabilities, deferred income</v>
      </c>
      <c r="M140" s="12">
        <f>'Other non-financial'!B134</f>
        <v>163763.47</v>
      </c>
      <c r="N140" s="11" t="str">
        <f>'Other non-financial'!A134</f>
        <v>EURO</v>
      </c>
      <c r="O140" s="11" t="str">
        <f>'Other non-financial'!E134</f>
        <v>2022-12-31</v>
      </c>
      <c r="P140" s="15">
        <v>72716</v>
      </c>
      <c r="Q140" s="11" t="s">
        <v>66</v>
      </c>
      <c r="R140" s="11">
        <v>0</v>
      </c>
    </row>
    <row r="141" spans="3:18" ht="36.75" thickBot="1">
      <c r="C141" s="10" t="s">
        <v>63</v>
      </c>
      <c r="D141" s="11">
        <v>134</v>
      </c>
      <c r="E141" s="11" t="str">
        <f>'Other non-financial'!F135</f>
        <v>r0390 - Non-financial liabilities</v>
      </c>
      <c r="F141" s="11" t="str">
        <f>IF(E141="r0170 - Employee liabilities (BRRD art. 44/2/g/i)","c001x   - Households",IF('Other non-financial'!C135="particulares","c001x   - Households",IF('Other non-financial'!C135="outras instituicoes financeiras","c005x   - Other financial corporations",IF('Other non-financial'!C135="instituicoes de credito","c004x   - Institutions",IF(AND('Other non-financial'!C135="outras empresas nao financeiras",'Other non-financial'!D135="1"),"c002x   - Micro &amp; SME",IF(AND('Other non-financial'!C135="outras empresas nao financeiras",'Other non-financial'!D135&lt;&gt;"1"),"c003x   - Corporates",IF('Other non-financial'!C135="","c010x   - Non-identified, not listed on an exchange platform",IF(OR('Other non-financial'!C135="setor publico",'Other non-financial'!C135="bancos centrais"),"c008x   - Government, central banks &amp; supranationals",""))))))))</f>
        <v>c003x   - Corporates</v>
      </c>
      <c r="G141" s="11" t="str">
        <f>'Other non-financial'!G135</f>
        <v>Rank 9 - Ranking in insolvency (master scale)</v>
      </c>
      <c r="H141" s="11">
        <v>0</v>
      </c>
      <c r="I141" s="11">
        <v>0</v>
      </c>
      <c r="J141" s="11" t="s">
        <v>64</v>
      </c>
      <c r="K141" s="14" t="s">
        <v>65</v>
      </c>
      <c r="L141" s="11" t="str">
        <f>'Other non-financial'!H135</f>
        <v>Provisions. Off-balance sheet exposures subject to credit risk</v>
      </c>
      <c r="M141" s="12">
        <f>'Other non-financial'!B135</f>
        <v>-23.93</v>
      </c>
      <c r="N141" s="11" t="str">
        <f>'Other non-financial'!A135</f>
        <v>EURO</v>
      </c>
      <c r="O141" s="11" t="str">
        <f>'Other non-financial'!E135</f>
        <v>2022-12-31</v>
      </c>
      <c r="P141" s="15">
        <v>72716</v>
      </c>
      <c r="Q141" s="11" t="s">
        <v>66</v>
      </c>
      <c r="R141" s="11">
        <v>0</v>
      </c>
    </row>
    <row r="142" spans="3:18" ht="60.75" thickBot="1">
      <c r="C142" s="10" t="s">
        <v>63</v>
      </c>
      <c r="D142" s="11">
        <v>135</v>
      </c>
      <c r="E142" s="11" t="str">
        <f>'Other non-financial'!F136</f>
        <v>r0390 - Non-financial liabilities</v>
      </c>
      <c r="F142" s="11" t="str">
        <f>IF(E142="r0170 - Employee liabilities (BRRD art. 44/2/g/i)","c001x   - Households",IF('Other non-financial'!C136="particulares","c001x   - Households",IF('Other non-financial'!C136="outras instituicoes financeiras","c005x   - Other financial corporations",IF('Other non-financial'!C136="instituicoes de credito","c004x   - Institutions",IF(AND('Other non-financial'!C136="outras empresas nao financeiras",'Other non-financial'!D136="1"),"c002x   - Micro &amp; SME",IF(AND('Other non-financial'!C136="outras empresas nao financeiras",'Other non-financial'!D136&lt;&gt;"1"),"c003x   - Corporates",IF('Other non-financial'!C136="","c010x   - Non-identified, not listed on an exchange platform",IF(OR('Other non-financial'!C136="setor publico",'Other non-financial'!C136="bancos centrais"),"c008x   - Government, central banks &amp; supranationals",""))))))))</f>
        <v>c003x   - Corporates</v>
      </c>
      <c r="G142" s="11" t="str">
        <f>'Other non-financial'!G136</f>
        <v>Rank 9 - Ranking in insolvency (master scale)</v>
      </c>
      <c r="H142" s="11">
        <v>0</v>
      </c>
      <c r="I142" s="11">
        <v>0</v>
      </c>
      <c r="J142" s="11" t="s">
        <v>64</v>
      </c>
      <c r="K142" s="14" t="s">
        <v>65</v>
      </c>
      <c r="L142" s="11" t="str">
        <f>'Other non-financial'!H136</f>
        <v>Liabilities other than financial liabilities, provisions, tax liabilities, deferred income</v>
      </c>
      <c r="M142" s="12">
        <f>'Other non-financial'!B136</f>
        <v>1922535.5899999999</v>
      </c>
      <c r="N142" s="11" t="str">
        <f>'Other non-financial'!A136</f>
        <v>EURO</v>
      </c>
      <c r="O142" s="11" t="str">
        <f>'Other non-financial'!E136</f>
        <v>2022-12-31</v>
      </c>
      <c r="P142" s="15">
        <v>72716</v>
      </c>
      <c r="Q142" s="11" t="s">
        <v>66</v>
      </c>
      <c r="R142" s="11">
        <v>0</v>
      </c>
    </row>
    <row r="143" spans="3:18" ht="60.75" thickBot="1">
      <c r="C143" s="10" t="s">
        <v>63</v>
      </c>
      <c r="D143" s="11">
        <v>136</v>
      </c>
      <c r="E143" s="11" t="str">
        <f>'Other non-financial'!F137</f>
        <v>r0390 - Non-financial liabilities</v>
      </c>
      <c r="F143" s="11" t="str">
        <f>IF(E143="r0170 - Employee liabilities (BRRD art. 44/2/g/i)","c001x   - Households",IF('Other non-financial'!C137="particulares","c001x   - Households",IF('Other non-financial'!C137="outras instituicoes financeiras","c005x   - Other financial corporations",IF('Other non-financial'!C137="instituicoes de credito","c004x   - Institutions",IF(AND('Other non-financial'!C137="outras empresas nao financeiras",'Other non-financial'!D137="1"),"c002x   - Micro &amp; SME",IF(AND('Other non-financial'!C137="outras empresas nao financeiras",'Other non-financial'!D137&lt;&gt;"1"),"c003x   - Corporates",IF('Other non-financial'!C137="","c010x   - Non-identified, not listed on an exchange platform",IF(OR('Other non-financial'!C137="setor publico",'Other non-financial'!C137="bancos centrais"),"c008x   - Government, central banks &amp; supranationals",""))))))))</f>
        <v>c003x   - Corporates</v>
      </c>
      <c r="G143" s="11" t="str">
        <f>'Other non-financial'!G137</f>
        <v>Rank 9 - Ranking in insolvency (master scale)</v>
      </c>
      <c r="H143" s="11">
        <v>0</v>
      </c>
      <c r="I143" s="11">
        <v>0</v>
      </c>
      <c r="J143" s="11" t="s">
        <v>64</v>
      </c>
      <c r="K143" s="14" t="s">
        <v>65</v>
      </c>
      <c r="L143" s="11" t="str">
        <f>'Other non-financial'!H137</f>
        <v>Liabilities other than financial liabilities, provisions, tax liabilities, deferred income</v>
      </c>
      <c r="M143" s="12">
        <f>'Other non-financial'!B137</f>
        <v>6.91</v>
      </c>
      <c r="N143" s="11" t="str">
        <f>'Other non-financial'!A137</f>
        <v>EURO</v>
      </c>
      <c r="O143" s="11" t="str">
        <f>'Other non-financial'!E137</f>
        <v>2022-12-31</v>
      </c>
      <c r="P143" s="15">
        <v>72716</v>
      </c>
      <c r="Q143" s="11" t="s">
        <v>66</v>
      </c>
      <c r="R143" s="11">
        <v>0</v>
      </c>
    </row>
    <row r="144" spans="3:18" ht="60.75" thickBot="1">
      <c r="C144" s="10" t="s">
        <v>63</v>
      </c>
      <c r="D144" s="11">
        <v>137</v>
      </c>
      <c r="E144" s="11" t="str">
        <f>'Other non-financial'!F138</f>
        <v>r0390 - Non-financial liabilities</v>
      </c>
      <c r="F144" s="11" t="str">
        <f>IF(E144="r0170 - Employee liabilities (BRRD art. 44/2/g/i)","c001x   - Households",IF('Other non-financial'!C138="particulares","c001x   - Households",IF('Other non-financial'!C138="outras instituicoes financeiras","c005x   - Other financial corporations",IF('Other non-financial'!C138="instituicoes de credito","c004x   - Institutions",IF(AND('Other non-financial'!C138="outras empresas nao financeiras",'Other non-financial'!D138="1"),"c002x   - Micro &amp; SME",IF(AND('Other non-financial'!C138="outras empresas nao financeiras",'Other non-financial'!D138&lt;&gt;"1"),"c003x   - Corporates",IF('Other non-financial'!C138="","c010x   - Non-identified, not listed on an exchange platform",IF(OR('Other non-financial'!C138="setor publico",'Other non-financial'!C138="bancos centrais"),"c008x   - Government, central banks &amp; supranationals",""))))))))</f>
        <v>c003x   - Corporates</v>
      </c>
      <c r="G144" s="11" t="str">
        <f>'Other non-financial'!G138</f>
        <v>Rank 9 - Ranking in insolvency (master scale)</v>
      </c>
      <c r="H144" s="11">
        <v>0</v>
      </c>
      <c r="I144" s="11">
        <v>0</v>
      </c>
      <c r="J144" s="11" t="s">
        <v>64</v>
      </c>
      <c r="K144" s="14" t="s">
        <v>65</v>
      </c>
      <c r="L144" s="11" t="str">
        <f>'Other non-financial'!H138</f>
        <v>Liabilities other than financial liabilities, provisions, tax liabilities, deferred income</v>
      </c>
      <c r="M144" s="12">
        <f>'Other non-financial'!B138</f>
        <v>1073707.7699999991</v>
      </c>
      <c r="N144" s="11" t="str">
        <f>'Other non-financial'!A138</f>
        <v>EURO</v>
      </c>
      <c r="O144" s="11" t="str">
        <f>'Other non-financial'!E138</f>
        <v>2022-12-31</v>
      </c>
      <c r="P144" s="15">
        <v>72716</v>
      </c>
      <c r="Q144" s="11" t="s">
        <v>66</v>
      </c>
      <c r="R144" s="11">
        <v>0</v>
      </c>
    </row>
    <row r="145" spans="3:18" ht="60.75" thickBot="1">
      <c r="C145" s="10" t="s">
        <v>63</v>
      </c>
      <c r="D145" s="11">
        <v>138</v>
      </c>
      <c r="E145" s="11" t="str">
        <f>'Other non-financial'!F139</f>
        <v>r0390 - Non-financial liabilities</v>
      </c>
      <c r="F145" s="11" t="str">
        <f>IF(E145="r0170 - Employee liabilities (BRRD art. 44/2/g/i)","c001x   - Households",IF('Other non-financial'!C139="particulares","c001x   - Households",IF('Other non-financial'!C139="outras instituicoes financeiras","c005x   - Other financial corporations",IF('Other non-financial'!C139="instituicoes de credito","c004x   - Institutions",IF(AND('Other non-financial'!C139="outras empresas nao financeiras",'Other non-financial'!D139="1"),"c002x   - Micro &amp; SME",IF(AND('Other non-financial'!C139="outras empresas nao financeiras",'Other non-financial'!D139&lt;&gt;"1"),"c003x   - Corporates",IF('Other non-financial'!C139="","c010x   - Non-identified, not listed on an exchange platform",IF(OR('Other non-financial'!C139="setor publico",'Other non-financial'!C139="bancos centrais"),"c008x   - Government, central banks &amp; supranationals",""))))))))</f>
        <v>c003x   - Corporates</v>
      </c>
      <c r="G145" s="11" t="str">
        <f>'Other non-financial'!G139</f>
        <v>Rank 9 - Ranking in insolvency (master scale)</v>
      </c>
      <c r="H145" s="11">
        <v>0</v>
      </c>
      <c r="I145" s="11">
        <v>0</v>
      </c>
      <c r="J145" s="11" t="s">
        <v>64</v>
      </c>
      <c r="K145" s="14" t="s">
        <v>65</v>
      </c>
      <c r="L145" s="11" t="str">
        <f>'Other non-financial'!H139</f>
        <v>Liabilities other than financial liabilities, provisions, tax liabilities, deferred income</v>
      </c>
      <c r="M145" s="12">
        <f>'Other non-financial'!B139</f>
        <v>968443.41</v>
      </c>
      <c r="N145" s="11" t="str">
        <f>'Other non-financial'!A139</f>
        <v>EURO</v>
      </c>
      <c r="O145" s="11" t="str">
        <f>'Other non-financial'!E139</f>
        <v>2022-12-31</v>
      </c>
      <c r="P145" s="15">
        <v>72716</v>
      </c>
      <c r="Q145" s="11" t="s">
        <v>66</v>
      </c>
      <c r="R145" s="11">
        <v>0</v>
      </c>
    </row>
    <row r="146" spans="3:18" ht="60.75" thickBot="1">
      <c r="C146" s="10" t="s">
        <v>63</v>
      </c>
      <c r="D146" s="11">
        <v>139</v>
      </c>
      <c r="E146" s="11" t="str">
        <f>'Other non-financial'!F140</f>
        <v>r0390 - Non-financial liabilities</v>
      </c>
      <c r="F146" s="11" t="str">
        <f>IF(E146="r0170 - Employee liabilities (BRRD art. 44/2/g/i)","c001x   - Households",IF('Other non-financial'!C140="particulares","c001x   - Households",IF('Other non-financial'!C140="outras instituicoes financeiras","c005x   - Other financial corporations",IF('Other non-financial'!C140="instituicoes de credito","c004x   - Institutions",IF(AND('Other non-financial'!C140="outras empresas nao financeiras",'Other non-financial'!D140="1"),"c002x   - Micro &amp; SME",IF(AND('Other non-financial'!C140="outras empresas nao financeiras",'Other non-financial'!D140&lt;&gt;"1"),"c003x   - Corporates",IF('Other non-financial'!C140="","c010x   - Non-identified, not listed on an exchange platform",IF(OR('Other non-financial'!C140="setor publico",'Other non-financial'!C140="bancos centrais"),"c008x   - Government, central banks &amp; supranationals",""))))))))</f>
        <v>c003x   - Corporates</v>
      </c>
      <c r="G146" s="11" t="str">
        <f>'Other non-financial'!G140</f>
        <v>Rank 9 - Ranking in insolvency (master scale)</v>
      </c>
      <c r="H146" s="11">
        <v>0</v>
      </c>
      <c r="I146" s="11">
        <v>0</v>
      </c>
      <c r="J146" s="11" t="s">
        <v>64</v>
      </c>
      <c r="K146" s="14" t="s">
        <v>65</v>
      </c>
      <c r="L146" s="11" t="str">
        <f>'Other non-financial'!H140</f>
        <v>Liabilities other than financial liabilities, provisions, tax liabilities, deferred income</v>
      </c>
      <c r="M146" s="12">
        <f>'Other non-financial'!B140</f>
        <v>1879.4699999999998</v>
      </c>
      <c r="N146" s="11" t="str">
        <f>'Other non-financial'!A140</f>
        <v>EURO</v>
      </c>
      <c r="O146" s="11" t="str">
        <f>'Other non-financial'!E140</f>
        <v>2022-12-31</v>
      </c>
      <c r="P146" s="15">
        <v>72716</v>
      </c>
      <c r="Q146" s="11" t="s">
        <v>66</v>
      </c>
      <c r="R146" s="11">
        <v>0</v>
      </c>
    </row>
    <row r="147" spans="3:18" ht="36.75" thickBot="1">
      <c r="C147" s="10" t="s">
        <v>63</v>
      </c>
      <c r="D147" s="11">
        <v>140</v>
      </c>
      <c r="E147" s="11" t="str">
        <f>'Other non-financial'!F141</f>
        <v>r0390 - Non-financial liabilities</v>
      </c>
      <c r="F147" s="11" t="str">
        <f>IF(E147="r0170 - Employee liabilities (BRRD art. 44/2/g/i)","c001x   - Households",IF('Other non-financial'!C141="particulares","c001x   - Households",IF('Other non-financial'!C141="outras instituicoes financeiras","c005x   - Other financial corporations",IF('Other non-financial'!C141="instituicoes de credito","c004x   - Institutions",IF(AND('Other non-financial'!C141="outras empresas nao financeiras",'Other non-financial'!D141="1"),"c002x   - Micro &amp; SME",IF(AND('Other non-financial'!C141="outras empresas nao financeiras",'Other non-financial'!D141&lt;&gt;"1"),"c003x   - Corporates",IF('Other non-financial'!C141="","c010x   - Non-identified, not listed on an exchange platform",IF(OR('Other non-financial'!C141="setor publico",'Other non-financial'!C141="bancos centrais"),"c008x   - Government, central banks &amp; supranationals",""))))))))</f>
        <v>c003x   - Corporates</v>
      </c>
      <c r="G147" s="11" t="str">
        <f>'Other non-financial'!G141</f>
        <v>Rank 9 - Ranking in insolvency (master scale)</v>
      </c>
      <c r="H147" s="11">
        <v>0</v>
      </c>
      <c r="I147" s="11">
        <v>0</v>
      </c>
      <c r="J147" s="11" t="s">
        <v>64</v>
      </c>
      <c r="K147" s="14" t="s">
        <v>65</v>
      </c>
      <c r="L147" s="11" t="str">
        <f>'Other non-financial'!H141</f>
        <v>Provisions. Off-balance sheet exposures subject to credit risk</v>
      </c>
      <c r="M147" s="12">
        <f>'Other non-financial'!B141</f>
        <v>375575.10000000033</v>
      </c>
      <c r="N147" s="11" t="str">
        <f>'Other non-financial'!A141</f>
        <v>EURO</v>
      </c>
      <c r="O147" s="11" t="str">
        <f>'Other non-financial'!E141</f>
        <v>2022-12-31</v>
      </c>
      <c r="P147" s="15">
        <v>72716</v>
      </c>
      <c r="Q147" s="11" t="s">
        <v>66</v>
      </c>
      <c r="R147" s="11">
        <v>0</v>
      </c>
    </row>
    <row r="148" spans="3:18" ht="36.75" thickBot="1">
      <c r="C148" s="10" t="s">
        <v>63</v>
      </c>
      <c r="D148" s="11">
        <v>141</v>
      </c>
      <c r="E148" s="11" t="str">
        <f>'Other non-financial'!F142</f>
        <v>r0390 - Non-financial liabilities</v>
      </c>
      <c r="F148" s="11" t="str">
        <f>IF(E148="r0170 - Employee liabilities (BRRD art. 44/2/g/i)","c001x   - Households",IF('Other non-financial'!C142="particulares","c001x   - Households",IF('Other non-financial'!C142="outras instituicoes financeiras","c005x   - Other financial corporations",IF('Other non-financial'!C142="instituicoes de credito","c004x   - Institutions",IF(AND('Other non-financial'!C142="outras empresas nao financeiras",'Other non-financial'!D142="1"),"c002x   - Micro &amp; SME",IF(AND('Other non-financial'!C142="outras empresas nao financeiras",'Other non-financial'!D142&lt;&gt;"1"),"c003x   - Corporates",IF('Other non-financial'!C142="","c010x   - Non-identified, not listed on an exchange platform",IF(OR('Other non-financial'!C142="setor publico",'Other non-financial'!C142="bancos centrais"),"c008x   - Government, central banks &amp; supranationals",""))))))))</f>
        <v>c003x   - Corporates</v>
      </c>
      <c r="G148" s="11" t="str">
        <f>'Other non-financial'!G142</f>
        <v>Rank 9 - Ranking in insolvency (master scale)</v>
      </c>
      <c r="H148" s="11">
        <v>0</v>
      </c>
      <c r="I148" s="11">
        <v>0</v>
      </c>
      <c r="J148" s="11" t="s">
        <v>64</v>
      </c>
      <c r="K148" s="14" t="s">
        <v>65</v>
      </c>
      <c r="L148" s="11" t="str">
        <f>'Other non-financial'!H142</f>
        <v>Provisions. Off-balance sheet exposures subject to credit risk</v>
      </c>
      <c r="M148" s="12">
        <f>'Other non-financial'!B142</f>
        <v>122496.92000000001</v>
      </c>
      <c r="N148" s="11" t="str">
        <f>'Other non-financial'!A142</f>
        <v>EURO</v>
      </c>
      <c r="O148" s="11" t="str">
        <f>'Other non-financial'!E142</f>
        <v>2022-12-31</v>
      </c>
      <c r="P148" s="15">
        <v>72716</v>
      </c>
      <c r="Q148" s="11" t="s">
        <v>66</v>
      </c>
      <c r="R148" s="11">
        <v>0</v>
      </c>
    </row>
    <row r="149" spans="3:18" ht="36.75" thickBot="1">
      <c r="C149" s="10" t="s">
        <v>63</v>
      </c>
      <c r="D149" s="11">
        <v>142</v>
      </c>
      <c r="E149" s="11" t="str">
        <f>'Other non-financial'!F143</f>
        <v>r0390 - Non-financial liabilities</v>
      </c>
      <c r="F149" s="11" t="str">
        <f>IF(E149="r0170 - Employee liabilities (BRRD art. 44/2/g/i)","c001x   - Households",IF('Other non-financial'!C143="particulares","c001x   - Households",IF('Other non-financial'!C143="outras instituicoes financeiras","c005x   - Other financial corporations",IF('Other non-financial'!C143="instituicoes de credito","c004x   - Institutions",IF(AND('Other non-financial'!C143="outras empresas nao financeiras",'Other non-financial'!D143="1"),"c002x   - Micro &amp; SME",IF(AND('Other non-financial'!C143="outras empresas nao financeiras",'Other non-financial'!D143&lt;&gt;"1"),"c003x   - Corporates",IF('Other non-financial'!C143="","c010x   - Non-identified, not listed on an exchange platform",IF(OR('Other non-financial'!C143="setor publico",'Other non-financial'!C143="bancos centrais"),"c008x   - Government, central banks &amp; supranationals",""))))))))</f>
        <v>c003x   - Corporates</v>
      </c>
      <c r="G149" s="11" t="str">
        <f>'Other non-financial'!G143</f>
        <v>Rank 9 - Ranking in insolvency (master scale)</v>
      </c>
      <c r="H149" s="11">
        <v>0</v>
      </c>
      <c r="I149" s="11">
        <v>0</v>
      </c>
      <c r="J149" s="11" t="s">
        <v>64</v>
      </c>
      <c r="K149" s="14" t="s">
        <v>65</v>
      </c>
      <c r="L149" s="11" t="str">
        <f>'Other non-financial'!H143</f>
        <v>Provisions. Off-balance sheet exposures subject to credit risk</v>
      </c>
      <c r="M149" s="12">
        <f>'Other non-financial'!B143</f>
        <v>7557831.1599999992</v>
      </c>
      <c r="N149" s="11" t="str">
        <f>'Other non-financial'!A143</f>
        <v>EURO</v>
      </c>
      <c r="O149" s="11" t="str">
        <f>'Other non-financial'!E143</f>
        <v>2022-12-31</v>
      </c>
      <c r="P149" s="15">
        <v>72716</v>
      </c>
      <c r="Q149" s="11" t="s">
        <v>66</v>
      </c>
      <c r="R149" s="11">
        <v>0</v>
      </c>
    </row>
    <row r="150" spans="3:18" ht="36.75" thickBot="1">
      <c r="C150" s="10" t="s">
        <v>63</v>
      </c>
      <c r="D150" s="11">
        <v>143</v>
      </c>
      <c r="E150" s="11" t="str">
        <f>'Other non-financial'!F144</f>
        <v>r0390 - Non-financial liabilities</v>
      </c>
      <c r="F150" s="11" t="str">
        <f>IF(E150="r0170 - Employee liabilities (BRRD art. 44/2/g/i)","c001x   - Households",IF('Other non-financial'!C144="particulares","c001x   - Households",IF('Other non-financial'!C144="outras instituicoes financeiras","c005x   - Other financial corporations",IF('Other non-financial'!C144="instituicoes de credito","c004x   - Institutions",IF(AND('Other non-financial'!C144="outras empresas nao financeiras",'Other non-financial'!D144="1"),"c002x   - Micro &amp; SME",IF(AND('Other non-financial'!C144="outras empresas nao financeiras",'Other non-financial'!D144&lt;&gt;"1"),"c003x   - Corporates",IF('Other non-financial'!C144="","c010x   - Non-identified, not listed on an exchange platform",IF(OR('Other non-financial'!C144="setor publico",'Other non-financial'!C144="bancos centrais"),"c008x   - Government, central banks &amp; supranationals",""))))))))</f>
        <v>c003x   - Corporates</v>
      </c>
      <c r="G150" s="11" t="str">
        <f>'Other non-financial'!G144</f>
        <v>Rank 9 - Ranking in insolvency (master scale)</v>
      </c>
      <c r="H150" s="11">
        <v>0</v>
      </c>
      <c r="I150" s="11">
        <v>0</v>
      </c>
      <c r="J150" s="11" t="s">
        <v>64</v>
      </c>
      <c r="K150" s="14" t="s">
        <v>65</v>
      </c>
      <c r="L150" s="11" t="str">
        <f>'Other non-financial'!H144</f>
        <v>Provisions. Off-balance sheet exposures subject to credit risk</v>
      </c>
      <c r="M150" s="12">
        <f>'Other non-financial'!B144</f>
        <v>918451.75999999978</v>
      </c>
      <c r="N150" s="11" t="str">
        <f>'Other non-financial'!A144</f>
        <v>EURO</v>
      </c>
      <c r="O150" s="11" t="str">
        <f>'Other non-financial'!E144</f>
        <v>2022-12-31</v>
      </c>
      <c r="P150" s="15">
        <v>72716</v>
      </c>
      <c r="Q150" s="11" t="s">
        <v>66</v>
      </c>
      <c r="R150" s="11">
        <v>0</v>
      </c>
    </row>
    <row r="151" spans="3:18" ht="36.75" thickBot="1">
      <c r="C151" s="10" t="s">
        <v>63</v>
      </c>
      <c r="D151" s="11">
        <v>144</v>
      </c>
      <c r="E151" s="11" t="str">
        <f>'Other non-financial'!F145</f>
        <v>r0390 - Non-financial liabilities</v>
      </c>
      <c r="F151" s="11" t="str">
        <f>IF(E151="r0170 - Employee liabilities (BRRD art. 44/2/g/i)","c001x   - Households",IF('Other non-financial'!C145="particulares","c001x   - Households",IF('Other non-financial'!C145="outras instituicoes financeiras","c005x   - Other financial corporations",IF('Other non-financial'!C145="instituicoes de credito","c004x   - Institutions",IF(AND('Other non-financial'!C145="outras empresas nao financeiras",'Other non-financial'!D145="1"),"c002x   - Micro &amp; SME",IF(AND('Other non-financial'!C145="outras empresas nao financeiras",'Other non-financial'!D145&lt;&gt;"1"),"c003x   - Corporates",IF('Other non-financial'!C145="","c010x   - Non-identified, not listed on an exchange platform",IF(OR('Other non-financial'!C145="setor publico",'Other non-financial'!C145="bancos centrais"),"c008x   - Government, central banks &amp; supranationals",""))))))))</f>
        <v>c003x   - Corporates</v>
      </c>
      <c r="G151" s="11" t="str">
        <f>'Other non-financial'!G145</f>
        <v>Rank 9 - Ranking in insolvency (master scale)</v>
      </c>
      <c r="H151" s="11">
        <v>0</v>
      </c>
      <c r="I151" s="11">
        <v>0</v>
      </c>
      <c r="J151" s="11" t="s">
        <v>64</v>
      </c>
      <c r="K151" s="14" t="s">
        <v>65</v>
      </c>
      <c r="L151" s="11" t="str">
        <f>'Other non-financial'!H145</f>
        <v>Provisions. Off-balance sheet exposures subject to credit risk</v>
      </c>
      <c r="M151" s="12">
        <f>'Other non-financial'!B145</f>
        <v>451804.35000000196</v>
      </c>
      <c r="N151" s="11" t="str">
        <f>'Other non-financial'!A145</f>
        <v>EURO</v>
      </c>
      <c r="O151" s="11" t="str">
        <f>'Other non-financial'!E145</f>
        <v>2022-12-31</v>
      </c>
      <c r="P151" s="15">
        <v>72716</v>
      </c>
      <c r="Q151" s="11" t="s">
        <v>66</v>
      </c>
      <c r="R151" s="11">
        <v>0</v>
      </c>
    </row>
    <row r="152" spans="3:18" ht="36.75" thickBot="1">
      <c r="C152" s="10" t="s">
        <v>63</v>
      </c>
      <c r="D152" s="11">
        <v>145</v>
      </c>
      <c r="E152" s="11" t="str">
        <f>'Other non-financial'!F146</f>
        <v>r0390 - Non-financial liabilities</v>
      </c>
      <c r="F152" s="11" t="str">
        <f>IF(E152="r0170 - Employee liabilities (BRRD art. 44/2/g/i)","c001x   - Households",IF('Other non-financial'!C146="particulares","c001x   - Households",IF('Other non-financial'!C146="outras instituicoes financeiras","c005x   - Other financial corporations",IF('Other non-financial'!C146="instituicoes de credito","c004x   - Institutions",IF(AND('Other non-financial'!C146="outras empresas nao financeiras",'Other non-financial'!D146="1"),"c002x   - Micro &amp; SME",IF(AND('Other non-financial'!C146="outras empresas nao financeiras",'Other non-financial'!D146&lt;&gt;"1"),"c003x   - Corporates",IF('Other non-financial'!C146="","c010x   - Non-identified, not listed on an exchange platform",IF(OR('Other non-financial'!C146="setor publico",'Other non-financial'!C146="bancos centrais"),"c008x   - Government, central banks &amp; supranationals",""))))))))</f>
        <v>c003x   - Corporates</v>
      </c>
      <c r="G152" s="11" t="str">
        <f>'Other non-financial'!G146</f>
        <v>Rank 9 - Ranking in insolvency (master scale)</v>
      </c>
      <c r="H152" s="11">
        <v>0</v>
      </c>
      <c r="I152" s="11">
        <v>0</v>
      </c>
      <c r="J152" s="11" t="s">
        <v>64</v>
      </c>
      <c r="K152" s="14" t="s">
        <v>65</v>
      </c>
      <c r="L152" s="11" t="str">
        <f>'Other non-financial'!H146</f>
        <v>Provisions. Off-balance sheet exposures subject to credit risk</v>
      </c>
      <c r="M152" s="12">
        <f>'Other non-financial'!B146</f>
        <v>50239.160000000018</v>
      </c>
      <c r="N152" s="11" t="str">
        <f>'Other non-financial'!A146</f>
        <v>EURO</v>
      </c>
      <c r="O152" s="11" t="str">
        <f>'Other non-financial'!E146</f>
        <v>2022-12-31</v>
      </c>
      <c r="P152" s="15">
        <v>72716</v>
      </c>
      <c r="Q152" s="11" t="s">
        <v>66</v>
      </c>
      <c r="R152" s="11">
        <v>0</v>
      </c>
    </row>
    <row r="153" spans="3:18" ht="36.75" thickBot="1">
      <c r="C153" s="10" t="s">
        <v>63</v>
      </c>
      <c r="D153" s="11">
        <v>146</v>
      </c>
      <c r="E153" s="11" t="str">
        <f>'Other non-financial'!F147</f>
        <v>r0390 - Non-financial liabilities</v>
      </c>
      <c r="F153" s="11" t="str">
        <f>IF(E153="r0170 - Employee liabilities (BRRD art. 44/2/g/i)","c001x   - Households",IF('Other non-financial'!C147="particulares","c001x   - Households",IF('Other non-financial'!C147="outras instituicoes financeiras","c005x   - Other financial corporations",IF('Other non-financial'!C147="instituicoes de credito","c004x   - Institutions",IF(AND('Other non-financial'!C147="outras empresas nao financeiras",'Other non-financial'!D147="1"),"c002x   - Micro &amp; SME",IF(AND('Other non-financial'!C147="outras empresas nao financeiras",'Other non-financial'!D147&lt;&gt;"1"),"c003x   - Corporates",IF('Other non-financial'!C147="","c010x   - Non-identified, not listed on an exchange platform",IF(OR('Other non-financial'!C147="setor publico",'Other non-financial'!C147="bancos centrais"),"c008x   - Government, central banks &amp; supranationals",""))))))))</f>
        <v>c003x   - Corporates</v>
      </c>
      <c r="G153" s="11" t="str">
        <f>'Other non-financial'!G147</f>
        <v>Rank 9 - Ranking in insolvency (master scale)</v>
      </c>
      <c r="H153" s="11">
        <v>0</v>
      </c>
      <c r="I153" s="11">
        <v>0</v>
      </c>
      <c r="J153" s="11" t="s">
        <v>64</v>
      </c>
      <c r="K153" s="14" t="s">
        <v>65</v>
      </c>
      <c r="L153" s="11" t="str">
        <f>'Other non-financial'!H147</f>
        <v>Provisions. Off-balance sheet exposures subject to credit risk</v>
      </c>
      <c r="M153" s="12">
        <f>'Other non-financial'!B147</f>
        <v>221831.88</v>
      </c>
      <c r="N153" s="11" t="str">
        <f>'Other non-financial'!A147</f>
        <v>EURO</v>
      </c>
      <c r="O153" s="11" t="str">
        <f>'Other non-financial'!E147</f>
        <v>2022-12-31</v>
      </c>
      <c r="P153" s="15">
        <v>72716</v>
      </c>
      <c r="Q153" s="11" t="s">
        <v>66</v>
      </c>
      <c r="R153" s="11">
        <v>0</v>
      </c>
    </row>
    <row r="154" spans="3:18" ht="36.75" thickBot="1">
      <c r="C154" s="10" t="s">
        <v>63</v>
      </c>
      <c r="D154" s="11">
        <v>147</v>
      </c>
      <c r="E154" s="11" t="str">
        <f>'Other non-financial'!F148</f>
        <v>r0390 - Non-financial liabilities</v>
      </c>
      <c r="F154" s="11" t="str">
        <f>IF(E154="r0170 - Employee liabilities (BRRD art. 44/2/g/i)","c001x   - Households",IF('Other non-financial'!C148="particulares","c001x   - Households",IF('Other non-financial'!C148="outras instituicoes financeiras","c005x   - Other financial corporations",IF('Other non-financial'!C148="instituicoes de credito","c004x   - Institutions",IF(AND('Other non-financial'!C148="outras empresas nao financeiras",'Other non-financial'!D148="1"),"c002x   - Micro &amp; SME",IF(AND('Other non-financial'!C148="outras empresas nao financeiras",'Other non-financial'!D148&lt;&gt;"1"),"c003x   - Corporates",IF('Other non-financial'!C148="","c010x   - Non-identified, not listed on an exchange platform",IF(OR('Other non-financial'!C148="setor publico",'Other non-financial'!C148="bancos centrais"),"c008x   - Government, central banks &amp; supranationals",""))))))))</f>
        <v>c003x   - Corporates</v>
      </c>
      <c r="G154" s="11" t="str">
        <f>'Other non-financial'!G148</f>
        <v>Rank 9 - Ranking in insolvency (master scale)</v>
      </c>
      <c r="H154" s="11">
        <v>0</v>
      </c>
      <c r="I154" s="11">
        <v>0</v>
      </c>
      <c r="J154" s="11" t="s">
        <v>64</v>
      </c>
      <c r="K154" s="14" t="s">
        <v>65</v>
      </c>
      <c r="L154" s="11" t="str">
        <f>'Other non-financial'!H148</f>
        <v>Provisions. Off-balance sheet exposures subject to credit risk</v>
      </c>
      <c r="M154" s="12">
        <f>'Other non-financial'!B148</f>
        <v>14210.29</v>
      </c>
      <c r="N154" s="11" t="str">
        <f>'Other non-financial'!A148</f>
        <v>EURO</v>
      </c>
      <c r="O154" s="11" t="str">
        <f>'Other non-financial'!E148</f>
        <v>2022-12-31</v>
      </c>
      <c r="P154" s="15">
        <v>72716</v>
      </c>
      <c r="Q154" s="11" t="s">
        <v>66</v>
      </c>
      <c r="R154" s="11">
        <v>0</v>
      </c>
    </row>
    <row r="155" spans="3:18" ht="36.75" thickBot="1">
      <c r="C155" s="10" t="s">
        <v>63</v>
      </c>
      <c r="D155" s="11">
        <v>148</v>
      </c>
      <c r="E155" s="11" t="str">
        <f>'Other non-financial'!F149</f>
        <v>r0390 - Non-financial liabilities</v>
      </c>
      <c r="F155" s="11" t="str">
        <f>IF(E155="r0170 - Employee liabilities (BRRD art. 44/2/g/i)","c001x   - Households",IF('Other non-financial'!C149="particulares","c001x   - Households",IF('Other non-financial'!C149="outras instituicoes financeiras","c005x   - Other financial corporations",IF('Other non-financial'!C149="instituicoes de credito","c004x   - Institutions",IF(AND('Other non-financial'!C149="outras empresas nao financeiras",'Other non-financial'!D149="1"),"c002x   - Micro &amp; SME",IF(AND('Other non-financial'!C149="outras empresas nao financeiras",'Other non-financial'!D149&lt;&gt;"1"),"c003x   - Corporates",IF('Other non-financial'!C149="","c010x   - Non-identified, not listed on an exchange platform",IF(OR('Other non-financial'!C149="setor publico",'Other non-financial'!C149="bancos centrais"),"c008x   - Government, central banks &amp; supranationals",""))))))))</f>
        <v>c003x   - Corporates</v>
      </c>
      <c r="G155" s="11" t="str">
        <f>'Other non-financial'!G149</f>
        <v>Rank 9 - Ranking in insolvency (master scale)</v>
      </c>
      <c r="H155" s="11">
        <v>0</v>
      </c>
      <c r="I155" s="11">
        <v>0</v>
      </c>
      <c r="J155" s="11" t="s">
        <v>64</v>
      </c>
      <c r="K155" s="14" t="s">
        <v>65</v>
      </c>
      <c r="L155" s="11" t="str">
        <f>'Other non-financial'!H149</f>
        <v>Provisions. Off-balance sheet exposures subject to credit risk</v>
      </c>
      <c r="M155" s="12">
        <f>'Other non-financial'!B149</f>
        <v>4576241.3199999994</v>
      </c>
      <c r="N155" s="11" t="str">
        <f>'Other non-financial'!A149</f>
        <v>EURO</v>
      </c>
      <c r="O155" s="11" t="str">
        <f>'Other non-financial'!E149</f>
        <v>2022-12-31</v>
      </c>
      <c r="P155" s="15">
        <v>72716</v>
      </c>
      <c r="Q155" s="11" t="s">
        <v>66</v>
      </c>
      <c r="R155" s="11">
        <v>0</v>
      </c>
    </row>
    <row r="156" spans="3:18" ht="36.75" thickBot="1">
      <c r="C156" s="10" t="s">
        <v>63</v>
      </c>
      <c r="D156" s="11">
        <v>149</v>
      </c>
      <c r="E156" s="11" t="str">
        <f>'Other non-financial'!F150</f>
        <v>r0390 - Non-financial liabilities</v>
      </c>
      <c r="F156" s="11" t="str">
        <f>IF(E156="r0170 - Employee liabilities (BRRD art. 44/2/g/i)","c001x   - Households",IF('Other non-financial'!C150="particulares","c001x   - Households",IF('Other non-financial'!C150="outras instituicoes financeiras","c005x   - Other financial corporations",IF('Other non-financial'!C150="instituicoes de credito","c004x   - Institutions",IF(AND('Other non-financial'!C150="outras empresas nao financeiras",'Other non-financial'!D150="1"),"c002x   - Micro &amp; SME",IF(AND('Other non-financial'!C150="outras empresas nao financeiras",'Other non-financial'!D150&lt;&gt;"1"),"c003x   - Corporates",IF('Other non-financial'!C150="","c010x   - Non-identified, not listed on an exchange platform",IF(OR('Other non-financial'!C150="setor publico",'Other non-financial'!C150="bancos centrais"),"c008x   - Government, central banks &amp; supranationals",""))))))))</f>
        <v>c003x   - Corporates</v>
      </c>
      <c r="G156" s="11" t="str">
        <f>'Other non-financial'!G150</f>
        <v>Rank 9 - Ranking in insolvency (master scale)</v>
      </c>
      <c r="H156" s="11">
        <v>0</v>
      </c>
      <c r="I156" s="11">
        <v>0</v>
      </c>
      <c r="J156" s="11" t="s">
        <v>64</v>
      </c>
      <c r="K156" s="14" t="s">
        <v>65</v>
      </c>
      <c r="L156" s="11" t="str">
        <f>'Other non-financial'!H150</f>
        <v>Provisions. Off-balance sheet exposures subject to credit risk</v>
      </c>
      <c r="M156" s="12">
        <f>'Other non-financial'!B150</f>
        <v>4687.79</v>
      </c>
      <c r="N156" s="11" t="str">
        <f>'Other non-financial'!A150</f>
        <v>EURO</v>
      </c>
      <c r="O156" s="11" t="str">
        <f>'Other non-financial'!E150</f>
        <v>2022-12-31</v>
      </c>
      <c r="P156" s="15">
        <v>72716</v>
      </c>
      <c r="Q156" s="11" t="s">
        <v>66</v>
      </c>
      <c r="R156" s="11">
        <v>0</v>
      </c>
    </row>
    <row r="157" spans="3:18" ht="36.75" thickBot="1">
      <c r="C157" s="10" t="s">
        <v>63</v>
      </c>
      <c r="D157" s="11">
        <v>150</v>
      </c>
      <c r="E157" s="11" t="str">
        <f>'Other non-financial'!F151</f>
        <v>r0390 - Non-financial liabilities</v>
      </c>
      <c r="F157" s="11" t="str">
        <f>IF(E157="r0170 - Employee liabilities (BRRD art. 44/2/g/i)","c001x   - Households",IF('Other non-financial'!C151="particulares","c001x   - Households",IF('Other non-financial'!C151="outras instituicoes financeiras","c005x   - Other financial corporations",IF('Other non-financial'!C151="instituicoes de credito","c004x   - Institutions",IF(AND('Other non-financial'!C151="outras empresas nao financeiras",'Other non-financial'!D151="1"),"c002x   - Micro &amp; SME",IF(AND('Other non-financial'!C151="outras empresas nao financeiras",'Other non-financial'!D151&lt;&gt;"1"),"c003x   - Corporates",IF('Other non-financial'!C151="","c010x   - Non-identified, not listed on an exchange platform",IF(OR('Other non-financial'!C151="setor publico",'Other non-financial'!C151="bancos centrais"),"c008x   - Government, central banks &amp; supranationals",""))))))))</f>
        <v>c003x   - Corporates</v>
      </c>
      <c r="G157" s="11" t="str">
        <f>'Other non-financial'!G151</f>
        <v>Rank 9 - Ranking in insolvency (master scale)</v>
      </c>
      <c r="H157" s="11">
        <v>0</v>
      </c>
      <c r="I157" s="11">
        <v>0</v>
      </c>
      <c r="J157" s="11" t="s">
        <v>64</v>
      </c>
      <c r="K157" s="14" t="s">
        <v>65</v>
      </c>
      <c r="L157" s="11" t="str">
        <f>'Other non-financial'!H151</f>
        <v>Provisions. Off-balance sheet exposures subject to credit risk</v>
      </c>
      <c r="M157" s="12">
        <f>'Other non-financial'!B151</f>
        <v>5760123.5100000016</v>
      </c>
      <c r="N157" s="11" t="str">
        <f>'Other non-financial'!A151</f>
        <v>EURO</v>
      </c>
      <c r="O157" s="11" t="str">
        <f>'Other non-financial'!E151</f>
        <v>2022-12-31</v>
      </c>
      <c r="P157" s="15">
        <v>72716</v>
      </c>
      <c r="Q157" s="11" t="s">
        <v>66</v>
      </c>
      <c r="R157" s="11">
        <v>0</v>
      </c>
    </row>
    <row r="158" spans="3:18" ht="36.75" thickBot="1">
      <c r="C158" s="10" t="s">
        <v>63</v>
      </c>
      <c r="D158" s="11">
        <v>151</v>
      </c>
      <c r="E158" s="11" t="str">
        <f>'Other non-financial'!F152</f>
        <v>r0390 - Non-financial liabilities</v>
      </c>
      <c r="F158" s="11" t="str">
        <f>IF(E158="r0170 - Employee liabilities (BRRD art. 44/2/g/i)","c001x   - Households",IF('Other non-financial'!C152="particulares","c001x   - Households",IF('Other non-financial'!C152="outras instituicoes financeiras","c005x   - Other financial corporations",IF('Other non-financial'!C152="instituicoes de credito","c004x   - Institutions",IF(AND('Other non-financial'!C152="outras empresas nao financeiras",'Other non-financial'!D152="1"),"c002x   - Micro &amp; SME",IF(AND('Other non-financial'!C152="outras empresas nao financeiras",'Other non-financial'!D152&lt;&gt;"1"),"c003x   - Corporates",IF('Other non-financial'!C152="","c010x   - Non-identified, not listed on an exchange platform",IF(OR('Other non-financial'!C152="setor publico",'Other non-financial'!C152="bancos centrais"),"c008x   - Government, central banks &amp; supranationals",""))))))))</f>
        <v>c003x   - Corporates</v>
      </c>
      <c r="G158" s="11" t="str">
        <f>'Other non-financial'!G152</f>
        <v>Rank 9 - Ranking in insolvency (master scale)</v>
      </c>
      <c r="H158" s="11">
        <v>0</v>
      </c>
      <c r="I158" s="11">
        <v>0</v>
      </c>
      <c r="J158" s="11" t="s">
        <v>64</v>
      </c>
      <c r="K158" s="14" t="s">
        <v>65</v>
      </c>
      <c r="L158" s="11" t="str">
        <f>'Other non-financial'!H152</f>
        <v>Provisions. Off-balance sheet exposures subject to credit risk</v>
      </c>
      <c r="M158" s="12">
        <f>'Other non-financial'!B152</f>
        <v>66945.99000000002</v>
      </c>
      <c r="N158" s="11" t="str">
        <f>'Other non-financial'!A152</f>
        <v>EURO</v>
      </c>
      <c r="O158" s="11" t="str">
        <f>'Other non-financial'!E152</f>
        <v>2022-12-31</v>
      </c>
      <c r="P158" s="15">
        <v>72716</v>
      </c>
      <c r="Q158" s="11" t="s">
        <v>66</v>
      </c>
      <c r="R158" s="11">
        <v>0</v>
      </c>
    </row>
    <row r="159" spans="3:18" ht="36.75" thickBot="1">
      <c r="C159" s="10" t="s">
        <v>63</v>
      </c>
      <c r="D159" s="11">
        <v>152</v>
      </c>
      <c r="E159" s="11" t="str">
        <f>'Other non-financial'!F153</f>
        <v>r0390 - Non-financial liabilities</v>
      </c>
      <c r="F159" s="11" t="str">
        <f>IF(E159="r0170 - Employee liabilities (BRRD art. 44/2/g/i)","c001x   - Households",IF('Other non-financial'!C153="particulares","c001x   - Households",IF('Other non-financial'!C153="outras instituicoes financeiras","c005x   - Other financial corporations",IF('Other non-financial'!C153="instituicoes de credito","c004x   - Institutions",IF(AND('Other non-financial'!C153="outras empresas nao financeiras",'Other non-financial'!D153="1"),"c002x   - Micro &amp; SME",IF(AND('Other non-financial'!C153="outras empresas nao financeiras",'Other non-financial'!D153&lt;&gt;"1"),"c003x   - Corporates",IF('Other non-financial'!C153="","c010x   - Non-identified, not listed on an exchange platform",IF(OR('Other non-financial'!C153="setor publico",'Other non-financial'!C153="bancos centrais"),"c008x   - Government, central banks &amp; supranationals",""))))))))</f>
        <v>c003x   - Corporates</v>
      </c>
      <c r="G159" s="11" t="str">
        <f>'Other non-financial'!G153</f>
        <v>Rank 9 - Ranking in insolvency (master scale)</v>
      </c>
      <c r="H159" s="11">
        <v>0</v>
      </c>
      <c r="I159" s="11">
        <v>0</v>
      </c>
      <c r="J159" s="11" t="s">
        <v>64</v>
      </c>
      <c r="K159" s="14" t="s">
        <v>65</v>
      </c>
      <c r="L159" s="11" t="str">
        <f>'Other non-financial'!H153</f>
        <v>Provisions. Off-balance sheet exposures subject to credit risk</v>
      </c>
      <c r="M159" s="12">
        <f>'Other non-financial'!B153</f>
        <v>2354618.0000049896</v>
      </c>
      <c r="N159" s="11" t="str">
        <f>'Other non-financial'!A153</f>
        <v>EURO</v>
      </c>
      <c r="O159" s="11" t="str">
        <f>'Other non-financial'!E153</f>
        <v>2022-12-31</v>
      </c>
      <c r="P159" s="15">
        <v>72716</v>
      </c>
      <c r="Q159" s="11" t="s">
        <v>66</v>
      </c>
      <c r="R159" s="11">
        <v>0</v>
      </c>
    </row>
    <row r="160" spans="3:18" ht="36.75" thickBot="1">
      <c r="C160" s="10" t="s">
        <v>63</v>
      </c>
      <c r="D160" s="11">
        <v>153</v>
      </c>
      <c r="E160" s="11" t="str">
        <f>'Other non-financial'!F154</f>
        <v>r0390 - Non-financial liabilities</v>
      </c>
      <c r="F160" s="11" t="str">
        <f>IF(E160="r0170 - Employee liabilities (BRRD art. 44/2/g/i)","c001x   - Households",IF('Other non-financial'!C154="particulares","c001x   - Households",IF('Other non-financial'!C154="outras instituicoes financeiras","c005x   - Other financial corporations",IF('Other non-financial'!C154="instituicoes de credito","c004x   - Institutions",IF(AND('Other non-financial'!C154="outras empresas nao financeiras",'Other non-financial'!D154="1"),"c002x   - Micro &amp; SME",IF(AND('Other non-financial'!C154="outras empresas nao financeiras",'Other non-financial'!D154&lt;&gt;"1"),"c003x   - Corporates",IF('Other non-financial'!C154="","c010x   - Non-identified, not listed on an exchange platform",IF(OR('Other non-financial'!C154="setor publico",'Other non-financial'!C154="bancos centrais"),"c008x   - Government, central banks &amp; supranationals",""))))))))</f>
        <v>c003x   - Corporates</v>
      </c>
      <c r="G160" s="11" t="str">
        <f>'Other non-financial'!G154</f>
        <v>Rank 9 - Ranking in insolvency (master scale)</v>
      </c>
      <c r="H160" s="11">
        <v>0</v>
      </c>
      <c r="I160" s="11">
        <v>0</v>
      </c>
      <c r="J160" s="11" t="s">
        <v>64</v>
      </c>
      <c r="K160" s="14" t="s">
        <v>65</v>
      </c>
      <c r="L160" s="11" t="str">
        <f>'Other non-financial'!H154</f>
        <v>Provisions. Off-balance sheet exposures subject to credit risk</v>
      </c>
      <c r="M160" s="12">
        <f>'Other non-financial'!B154</f>
        <v>455.68</v>
      </c>
      <c r="N160" s="11" t="str">
        <f>'Other non-financial'!A154</f>
        <v>EURO</v>
      </c>
      <c r="O160" s="11" t="str">
        <f>'Other non-financial'!E154</f>
        <v>2022-12-31</v>
      </c>
      <c r="P160" s="15">
        <v>72716</v>
      </c>
      <c r="Q160" s="11" t="s">
        <v>66</v>
      </c>
      <c r="R160" s="11">
        <v>0</v>
      </c>
    </row>
    <row r="161" spans="3:18" ht="36.75" thickBot="1">
      <c r="C161" s="10" t="s">
        <v>63</v>
      </c>
      <c r="D161" s="11">
        <v>154</v>
      </c>
      <c r="E161" s="11" t="str">
        <f>'Other non-financial'!F155</f>
        <v>r0390 - Non-financial liabilities</v>
      </c>
      <c r="F161" s="11" t="str">
        <f>IF(E161="r0170 - Employee liabilities (BRRD art. 44/2/g/i)","c001x   - Households",IF('Other non-financial'!C155="particulares","c001x   - Households",IF('Other non-financial'!C155="outras instituicoes financeiras","c005x   - Other financial corporations",IF('Other non-financial'!C155="instituicoes de credito","c004x   - Institutions",IF(AND('Other non-financial'!C155="outras empresas nao financeiras",'Other non-financial'!D155="1"),"c002x   - Micro &amp; SME",IF(AND('Other non-financial'!C155="outras empresas nao financeiras",'Other non-financial'!D155&lt;&gt;"1"),"c003x   - Corporates",IF('Other non-financial'!C155="","c010x   - Non-identified, not listed on an exchange platform",IF(OR('Other non-financial'!C155="setor publico",'Other non-financial'!C155="bancos centrais"),"c008x   - Government, central banks &amp; supranationals",""))))))))</f>
        <v>c003x   - Corporates</v>
      </c>
      <c r="G161" s="11" t="str">
        <f>'Other non-financial'!G155</f>
        <v>Rank 9 - Ranking in insolvency (master scale)</v>
      </c>
      <c r="H161" s="11">
        <v>0</v>
      </c>
      <c r="I161" s="11">
        <v>0</v>
      </c>
      <c r="J161" s="11" t="s">
        <v>64</v>
      </c>
      <c r="K161" s="14" t="s">
        <v>65</v>
      </c>
      <c r="L161" s="11" t="str">
        <f>'Other non-financial'!H155</f>
        <v>Provisions. Off-balance sheet exposures subject to credit risk</v>
      </c>
      <c r="M161" s="12">
        <f>'Other non-financial'!B155</f>
        <v>38914.610000000022</v>
      </c>
      <c r="N161" s="11" t="str">
        <f>'Other non-financial'!A155</f>
        <v>EURO</v>
      </c>
      <c r="O161" s="11" t="str">
        <f>'Other non-financial'!E155</f>
        <v>2022-12-31</v>
      </c>
      <c r="P161" s="15">
        <v>72716</v>
      </c>
      <c r="Q161" s="11" t="s">
        <v>66</v>
      </c>
      <c r="R161" s="11">
        <v>0</v>
      </c>
    </row>
    <row r="162" spans="3:18" ht="36.75" thickBot="1">
      <c r="C162" s="10" t="s">
        <v>63</v>
      </c>
      <c r="D162" s="11">
        <v>155</v>
      </c>
      <c r="E162" s="11" t="str">
        <f>'Other non-financial'!F156</f>
        <v>r0390 - Non-financial liabilities</v>
      </c>
      <c r="F162" s="11" t="str">
        <f>IF(E162="r0170 - Employee liabilities (BRRD art. 44/2/g/i)","c001x   - Households",IF('Other non-financial'!C156="particulares","c001x   - Households",IF('Other non-financial'!C156="outras instituicoes financeiras","c005x   - Other financial corporations",IF('Other non-financial'!C156="instituicoes de credito","c004x   - Institutions",IF(AND('Other non-financial'!C156="outras empresas nao financeiras",'Other non-financial'!D156="1"),"c002x   - Micro &amp; SME",IF(AND('Other non-financial'!C156="outras empresas nao financeiras",'Other non-financial'!D156&lt;&gt;"1"),"c003x   - Corporates",IF('Other non-financial'!C156="","c010x   - Non-identified, not listed on an exchange platform",IF(OR('Other non-financial'!C156="setor publico",'Other non-financial'!C156="bancos centrais"),"c008x   - Government, central banks &amp; supranationals",""))))))))</f>
        <v>c003x   - Corporates</v>
      </c>
      <c r="G162" s="11" t="str">
        <f>'Other non-financial'!G156</f>
        <v>Rank 9 - Ranking in insolvency (master scale)</v>
      </c>
      <c r="H162" s="11">
        <v>0</v>
      </c>
      <c r="I162" s="11">
        <v>0</v>
      </c>
      <c r="J162" s="11" t="s">
        <v>64</v>
      </c>
      <c r="K162" s="14" t="s">
        <v>65</v>
      </c>
      <c r="L162" s="11" t="str">
        <f>'Other non-financial'!H156</f>
        <v>Provisions. Off-balance sheet exposures subject to credit risk</v>
      </c>
      <c r="M162" s="12">
        <f>'Other non-financial'!B156</f>
        <v>22922.22</v>
      </c>
      <c r="N162" s="11" t="str">
        <f>'Other non-financial'!A156</f>
        <v>EURO</v>
      </c>
      <c r="O162" s="11" t="str">
        <f>'Other non-financial'!E156</f>
        <v>2022-12-31</v>
      </c>
      <c r="P162" s="15">
        <v>72716</v>
      </c>
      <c r="Q162" s="11" t="s">
        <v>66</v>
      </c>
      <c r="R162" s="11">
        <v>0</v>
      </c>
    </row>
    <row r="163" spans="3:18" ht="60.75" thickBot="1">
      <c r="C163" s="10" t="s">
        <v>63</v>
      </c>
      <c r="D163" s="11">
        <v>156</v>
      </c>
      <c r="E163" s="11" t="str">
        <f>'Other non-financial'!F157</f>
        <v>r0390 - Non-financial liabilities</v>
      </c>
      <c r="F163" s="11" t="str">
        <f>IF(E163="r0170 - Employee liabilities (BRRD art. 44/2/g/i)","c001x   - Households",IF('Other non-financial'!C157="particulares","c001x   - Households",IF('Other non-financial'!C157="outras instituicoes financeiras","c005x   - Other financial corporations",IF('Other non-financial'!C157="instituicoes de credito","c004x   - Institutions",IF(AND('Other non-financial'!C157="outras empresas nao financeiras",'Other non-financial'!D157="1"),"c002x   - Micro &amp; SME",IF(AND('Other non-financial'!C157="outras empresas nao financeiras",'Other non-financial'!D157&lt;&gt;"1"),"c003x   - Corporates",IF('Other non-financial'!C157="","c010x   - Non-identified, not listed on an exchange platform",IF(OR('Other non-financial'!C157="setor publico",'Other non-financial'!C157="bancos centrais"),"c008x   - Government, central banks &amp; supranationals",""))))))))</f>
        <v>c002x   - Micro &amp; SME</v>
      </c>
      <c r="G163" s="11" t="str">
        <f>'Other non-financial'!G157</f>
        <v>Rank 9 - Ranking in insolvency (master scale)</v>
      </c>
      <c r="H163" s="11">
        <v>0</v>
      </c>
      <c r="I163" s="11">
        <v>0</v>
      </c>
      <c r="J163" s="11" t="s">
        <v>64</v>
      </c>
      <c r="K163" s="14" t="s">
        <v>65</v>
      </c>
      <c r="L163" s="11" t="str">
        <f>'Other non-financial'!H157</f>
        <v>Liabilities other than financial liabilities, provisions, tax liabilities, deferred income</v>
      </c>
      <c r="M163" s="12">
        <f>'Other non-financial'!B157</f>
        <v>236899.13</v>
      </c>
      <c r="N163" s="11" t="str">
        <f>'Other non-financial'!A157</f>
        <v>EURO</v>
      </c>
      <c r="O163" s="11" t="str">
        <f>'Other non-financial'!E157</f>
        <v>2022-12-31</v>
      </c>
      <c r="P163" s="15">
        <v>72716</v>
      </c>
      <c r="Q163" s="11" t="s">
        <v>66</v>
      </c>
      <c r="R163" s="11">
        <v>0</v>
      </c>
    </row>
    <row r="164" spans="3:18" ht="60.75" thickBot="1">
      <c r="C164" s="10" t="s">
        <v>63</v>
      </c>
      <c r="D164" s="11">
        <v>157</v>
      </c>
      <c r="E164" s="11" t="str">
        <f>'Other non-financial'!F158</f>
        <v>r0390 - Non-financial liabilities</v>
      </c>
      <c r="F164" s="11" t="str">
        <f>IF(E164="r0170 - Employee liabilities (BRRD art. 44/2/g/i)","c001x   - Households",IF('Other non-financial'!C158="particulares","c001x   - Households",IF('Other non-financial'!C158="outras instituicoes financeiras","c005x   - Other financial corporations",IF('Other non-financial'!C158="instituicoes de credito","c004x   - Institutions",IF(AND('Other non-financial'!C158="outras empresas nao financeiras",'Other non-financial'!D158="1"),"c002x   - Micro &amp; SME",IF(AND('Other non-financial'!C158="outras empresas nao financeiras",'Other non-financial'!D158&lt;&gt;"1"),"c003x   - Corporates",IF('Other non-financial'!C158="","c010x   - Non-identified, not listed on an exchange platform",IF(OR('Other non-financial'!C158="setor publico",'Other non-financial'!C158="bancos centrais"),"c008x   - Government, central banks &amp; supranationals",""))))))))</f>
        <v>c002x   - Micro &amp; SME</v>
      </c>
      <c r="G164" s="11" t="str">
        <f>'Other non-financial'!G158</f>
        <v>Rank 9 - Ranking in insolvency (master scale)</v>
      </c>
      <c r="H164" s="11">
        <v>0</v>
      </c>
      <c r="I164" s="11">
        <v>0</v>
      </c>
      <c r="J164" s="11" t="s">
        <v>64</v>
      </c>
      <c r="K164" s="14" t="s">
        <v>65</v>
      </c>
      <c r="L164" s="11" t="str">
        <f>'Other non-financial'!H158</f>
        <v>Liabilities other than financial liabilities, provisions, tax liabilities, deferred income</v>
      </c>
      <c r="M164" s="12">
        <f>'Other non-financial'!B158</f>
        <v>1580.62</v>
      </c>
      <c r="N164" s="11" t="str">
        <f>'Other non-financial'!A158</f>
        <v>EURO</v>
      </c>
      <c r="O164" s="11" t="str">
        <f>'Other non-financial'!E158</f>
        <v>2022-12-31</v>
      </c>
      <c r="P164" s="15">
        <v>72716</v>
      </c>
      <c r="Q164" s="11" t="s">
        <v>66</v>
      </c>
      <c r="R164" s="11">
        <v>0</v>
      </c>
    </row>
    <row r="165" spans="3:18" ht="60.75" thickBot="1">
      <c r="C165" s="10" t="s">
        <v>63</v>
      </c>
      <c r="D165" s="11">
        <v>158</v>
      </c>
      <c r="E165" s="11" t="str">
        <f>'Other non-financial'!F159</f>
        <v>r0390 - Non-financial liabilities</v>
      </c>
      <c r="F165" s="11" t="str">
        <f>IF(E165="r0170 - Employee liabilities (BRRD art. 44/2/g/i)","c001x   - Households",IF('Other non-financial'!C159="particulares","c001x   - Households",IF('Other non-financial'!C159="outras instituicoes financeiras","c005x   - Other financial corporations",IF('Other non-financial'!C159="instituicoes de credito","c004x   - Institutions",IF(AND('Other non-financial'!C159="outras empresas nao financeiras",'Other non-financial'!D159="1"),"c002x   - Micro &amp; SME",IF(AND('Other non-financial'!C159="outras empresas nao financeiras",'Other non-financial'!D159&lt;&gt;"1"),"c003x   - Corporates",IF('Other non-financial'!C159="","c010x   - Non-identified, not listed on an exchange platform",IF(OR('Other non-financial'!C159="setor publico",'Other non-financial'!C159="bancos centrais"),"c008x   - Government, central banks &amp; supranationals",""))))))))</f>
        <v>c002x   - Micro &amp; SME</v>
      </c>
      <c r="G165" s="11" t="str">
        <f>'Other non-financial'!G159</f>
        <v>Rank 9 - Ranking in insolvency (master scale)</v>
      </c>
      <c r="H165" s="11">
        <v>0</v>
      </c>
      <c r="I165" s="11">
        <v>0</v>
      </c>
      <c r="J165" s="11" t="s">
        <v>64</v>
      </c>
      <c r="K165" s="14" t="s">
        <v>65</v>
      </c>
      <c r="L165" s="11" t="str">
        <f>'Other non-financial'!H159</f>
        <v>Liabilities other than financial liabilities, provisions, tax liabilities, deferred income</v>
      </c>
      <c r="M165" s="12">
        <f>'Other non-financial'!B159</f>
        <v>7019.66</v>
      </c>
      <c r="N165" s="11" t="str">
        <f>'Other non-financial'!A159</f>
        <v>EURO</v>
      </c>
      <c r="O165" s="11" t="str">
        <f>'Other non-financial'!E159</f>
        <v>2022-12-31</v>
      </c>
      <c r="P165" s="15">
        <v>72716</v>
      </c>
      <c r="Q165" s="11" t="s">
        <v>66</v>
      </c>
      <c r="R165" s="11">
        <v>0</v>
      </c>
    </row>
    <row r="166" spans="3:18" ht="60.75" thickBot="1">
      <c r="C166" s="10" t="s">
        <v>63</v>
      </c>
      <c r="D166" s="11">
        <v>159</v>
      </c>
      <c r="E166" s="11" t="str">
        <f>'Other non-financial'!F160</f>
        <v>r0390 - Non-financial liabilities</v>
      </c>
      <c r="F166" s="11" t="str">
        <f>IF(E166="r0170 - Employee liabilities (BRRD art. 44/2/g/i)","c001x   - Households",IF('Other non-financial'!C160="particulares","c001x   - Households",IF('Other non-financial'!C160="outras instituicoes financeiras","c005x   - Other financial corporations",IF('Other non-financial'!C160="instituicoes de credito","c004x   - Institutions",IF(AND('Other non-financial'!C160="outras empresas nao financeiras",'Other non-financial'!D160="1"),"c002x   - Micro &amp; SME",IF(AND('Other non-financial'!C160="outras empresas nao financeiras",'Other non-financial'!D160&lt;&gt;"1"),"c003x   - Corporates",IF('Other non-financial'!C160="","c010x   - Non-identified, not listed on an exchange platform",IF(OR('Other non-financial'!C160="setor publico",'Other non-financial'!C160="bancos centrais"),"c008x   - Government, central banks &amp; supranationals",""))))))))</f>
        <v>c002x   - Micro &amp; SME</v>
      </c>
      <c r="G166" s="11" t="str">
        <f>'Other non-financial'!G160</f>
        <v>Rank 9 - Ranking in insolvency (master scale)</v>
      </c>
      <c r="H166" s="11">
        <v>0</v>
      </c>
      <c r="I166" s="11">
        <v>0</v>
      </c>
      <c r="J166" s="11" t="s">
        <v>64</v>
      </c>
      <c r="K166" s="14" t="s">
        <v>65</v>
      </c>
      <c r="L166" s="11" t="str">
        <f>'Other non-financial'!H160</f>
        <v>Liabilities other than financial liabilities, provisions, tax liabilities, deferred income</v>
      </c>
      <c r="M166" s="12">
        <f>'Other non-financial'!B160</f>
        <v>380417.62999999971</v>
      </c>
      <c r="N166" s="11" t="str">
        <f>'Other non-financial'!A160</f>
        <v>EURO</v>
      </c>
      <c r="O166" s="11" t="str">
        <f>'Other non-financial'!E160</f>
        <v>2022-12-31</v>
      </c>
      <c r="P166" s="15">
        <v>72716</v>
      </c>
      <c r="Q166" s="11" t="s">
        <v>66</v>
      </c>
      <c r="R166" s="11">
        <v>0</v>
      </c>
    </row>
    <row r="167" spans="3:18" ht="60.75" thickBot="1">
      <c r="C167" s="10" t="s">
        <v>63</v>
      </c>
      <c r="D167" s="11">
        <v>160</v>
      </c>
      <c r="E167" s="11" t="str">
        <f>'Other non-financial'!F161</f>
        <v>r0390 - Non-financial liabilities</v>
      </c>
      <c r="F167" s="11" t="str">
        <f>IF(E167="r0170 - Employee liabilities (BRRD art. 44/2/g/i)","c001x   - Households",IF('Other non-financial'!C161="particulares","c001x   - Households",IF('Other non-financial'!C161="outras instituicoes financeiras","c005x   - Other financial corporations",IF('Other non-financial'!C161="instituicoes de credito","c004x   - Institutions",IF(AND('Other non-financial'!C161="outras empresas nao financeiras",'Other non-financial'!D161="1"),"c002x   - Micro &amp; SME",IF(AND('Other non-financial'!C161="outras empresas nao financeiras",'Other non-financial'!D161&lt;&gt;"1"),"c003x   - Corporates",IF('Other non-financial'!C161="","c010x   - Non-identified, not listed on an exchange platform",IF(OR('Other non-financial'!C161="setor publico",'Other non-financial'!C161="bancos centrais"),"c008x   - Government, central banks &amp; supranationals",""))))))))</f>
        <v>c002x   - Micro &amp; SME</v>
      </c>
      <c r="G167" s="11" t="str">
        <f>'Other non-financial'!G161</f>
        <v>Rank 9 - Ranking in insolvency (master scale)</v>
      </c>
      <c r="H167" s="11">
        <v>0</v>
      </c>
      <c r="I167" s="11">
        <v>0</v>
      </c>
      <c r="J167" s="11" t="s">
        <v>64</v>
      </c>
      <c r="K167" s="14" t="s">
        <v>65</v>
      </c>
      <c r="L167" s="11" t="str">
        <f>'Other non-financial'!H161</f>
        <v>Liabilities other than financial liabilities, provisions, tax liabilities, deferred income</v>
      </c>
      <c r="M167" s="12">
        <f>'Other non-financial'!B161</f>
        <v>3248648.8999999929</v>
      </c>
      <c r="N167" s="11" t="str">
        <f>'Other non-financial'!A161</f>
        <v>EURO</v>
      </c>
      <c r="O167" s="11" t="str">
        <f>'Other non-financial'!E161</f>
        <v>2022-12-31</v>
      </c>
      <c r="P167" s="15">
        <v>72716</v>
      </c>
      <c r="Q167" s="11" t="s">
        <v>66</v>
      </c>
      <c r="R167" s="11">
        <v>0</v>
      </c>
    </row>
    <row r="168" spans="3:18" ht="60.75" thickBot="1">
      <c r="C168" s="10" t="s">
        <v>63</v>
      </c>
      <c r="D168" s="11">
        <v>161</v>
      </c>
      <c r="E168" s="11" t="str">
        <f>'Other non-financial'!F162</f>
        <v>r0390 - Non-financial liabilities</v>
      </c>
      <c r="F168" s="11" t="str">
        <f>IF(E168="r0170 - Employee liabilities (BRRD art. 44/2/g/i)","c001x   - Households",IF('Other non-financial'!C162="particulares","c001x   - Households",IF('Other non-financial'!C162="outras instituicoes financeiras","c005x   - Other financial corporations",IF('Other non-financial'!C162="instituicoes de credito","c004x   - Institutions",IF(AND('Other non-financial'!C162="outras empresas nao financeiras",'Other non-financial'!D162="1"),"c002x   - Micro &amp; SME",IF(AND('Other non-financial'!C162="outras empresas nao financeiras",'Other non-financial'!D162&lt;&gt;"1"),"c003x   - Corporates",IF('Other non-financial'!C162="","c010x   - Non-identified, not listed on an exchange platform",IF(OR('Other non-financial'!C162="setor publico",'Other non-financial'!C162="bancos centrais"),"c008x   - Government, central banks &amp; supranationals",""))))))))</f>
        <v>c002x   - Micro &amp; SME</v>
      </c>
      <c r="G168" s="11" t="str">
        <f>'Other non-financial'!G162</f>
        <v>Rank 9 - Ranking in insolvency (master scale)</v>
      </c>
      <c r="H168" s="11">
        <v>0</v>
      </c>
      <c r="I168" s="11">
        <v>0</v>
      </c>
      <c r="J168" s="11" t="s">
        <v>64</v>
      </c>
      <c r="K168" s="14" t="s">
        <v>65</v>
      </c>
      <c r="L168" s="11" t="str">
        <f>'Other non-financial'!H162</f>
        <v>Liabilities other than financial liabilities, provisions, tax liabilities, deferred income</v>
      </c>
      <c r="M168" s="12">
        <f>'Other non-financial'!B162</f>
        <v>5659.3600000000015</v>
      </c>
      <c r="N168" s="11" t="str">
        <f>'Other non-financial'!A162</f>
        <v>EURO</v>
      </c>
      <c r="O168" s="11" t="str">
        <f>'Other non-financial'!E162</f>
        <v>2022-12-31</v>
      </c>
      <c r="P168" s="15">
        <v>72716</v>
      </c>
      <c r="Q168" s="11" t="s">
        <v>66</v>
      </c>
      <c r="R168" s="11">
        <v>0</v>
      </c>
    </row>
    <row r="169" spans="3:18" ht="36.75" thickBot="1">
      <c r="C169" s="10" t="s">
        <v>63</v>
      </c>
      <c r="D169" s="11">
        <v>162</v>
      </c>
      <c r="E169" s="11" t="str">
        <f>'Other non-financial'!F163</f>
        <v>r0390 - Non-financial liabilities</v>
      </c>
      <c r="F169" s="11" t="str">
        <f>IF(E169="r0170 - Employee liabilities (BRRD art. 44/2/g/i)","c001x   - Households",IF('Other non-financial'!C163="particulares","c001x   - Households",IF('Other non-financial'!C163="outras instituicoes financeiras","c005x   - Other financial corporations",IF('Other non-financial'!C163="instituicoes de credito","c004x   - Institutions",IF(AND('Other non-financial'!C163="outras empresas nao financeiras",'Other non-financial'!D163="1"),"c002x   - Micro &amp; SME",IF(AND('Other non-financial'!C163="outras empresas nao financeiras",'Other non-financial'!D163&lt;&gt;"1"),"c003x   - Corporates",IF('Other non-financial'!C163="","c010x   - Non-identified, not listed on an exchange platform",IF(OR('Other non-financial'!C163="setor publico",'Other non-financial'!C163="bancos centrais"),"c008x   - Government, central banks &amp; supranationals",""))))))))</f>
        <v>c002x   - Micro &amp; SME</v>
      </c>
      <c r="G169" s="11" t="str">
        <f>'Other non-financial'!G163</f>
        <v>Rank 9 - Ranking in insolvency (master scale)</v>
      </c>
      <c r="H169" s="11">
        <v>0</v>
      </c>
      <c r="I169" s="11">
        <v>0</v>
      </c>
      <c r="J169" s="11" t="s">
        <v>64</v>
      </c>
      <c r="K169" s="14" t="s">
        <v>65</v>
      </c>
      <c r="L169" s="11" t="str">
        <f>'Other non-financial'!H163</f>
        <v>Provisions. Off-balance sheet exposures subject to credit risk</v>
      </c>
      <c r="M169" s="12">
        <f>'Other non-financial'!B163</f>
        <v>297023.9599999995</v>
      </c>
      <c r="N169" s="11" t="str">
        <f>'Other non-financial'!A163</f>
        <v>EURO</v>
      </c>
      <c r="O169" s="11" t="str">
        <f>'Other non-financial'!E163</f>
        <v>2022-12-31</v>
      </c>
      <c r="P169" s="15">
        <v>72716</v>
      </c>
      <c r="Q169" s="11" t="s">
        <v>66</v>
      </c>
      <c r="R169" s="11">
        <v>0</v>
      </c>
    </row>
    <row r="170" spans="3:18" ht="36.75" thickBot="1">
      <c r="C170" s="10" t="s">
        <v>63</v>
      </c>
      <c r="D170" s="11">
        <v>163</v>
      </c>
      <c r="E170" s="11" t="str">
        <f>'Other non-financial'!F164</f>
        <v>r0390 - Non-financial liabilities</v>
      </c>
      <c r="F170" s="11" t="str">
        <f>IF(E170="r0170 - Employee liabilities (BRRD art. 44/2/g/i)","c001x   - Households",IF('Other non-financial'!C164="particulares","c001x   - Households",IF('Other non-financial'!C164="outras instituicoes financeiras","c005x   - Other financial corporations",IF('Other non-financial'!C164="instituicoes de credito","c004x   - Institutions",IF(AND('Other non-financial'!C164="outras empresas nao financeiras",'Other non-financial'!D164="1"),"c002x   - Micro &amp; SME",IF(AND('Other non-financial'!C164="outras empresas nao financeiras",'Other non-financial'!D164&lt;&gt;"1"),"c003x   - Corporates",IF('Other non-financial'!C164="","c010x   - Non-identified, not listed on an exchange platform",IF(OR('Other non-financial'!C164="setor publico",'Other non-financial'!C164="bancos centrais"),"c008x   - Government, central banks &amp; supranationals",""))))))))</f>
        <v>c002x   - Micro &amp; SME</v>
      </c>
      <c r="G170" s="11" t="str">
        <f>'Other non-financial'!G164</f>
        <v>Rank 9 - Ranking in insolvency (master scale)</v>
      </c>
      <c r="H170" s="11">
        <v>0</v>
      </c>
      <c r="I170" s="11">
        <v>0</v>
      </c>
      <c r="J170" s="11" t="s">
        <v>64</v>
      </c>
      <c r="K170" s="14" t="s">
        <v>65</v>
      </c>
      <c r="L170" s="11" t="str">
        <f>'Other non-financial'!H164</f>
        <v>Provisions. Off-balance sheet exposures subject to credit risk</v>
      </c>
      <c r="M170" s="12">
        <f>'Other non-financial'!B164</f>
        <v>408140.80999999988</v>
      </c>
      <c r="N170" s="11" t="str">
        <f>'Other non-financial'!A164</f>
        <v>EURO</v>
      </c>
      <c r="O170" s="11" t="str">
        <f>'Other non-financial'!E164</f>
        <v>2022-12-31</v>
      </c>
      <c r="P170" s="15">
        <v>72716</v>
      </c>
      <c r="Q170" s="11" t="s">
        <v>66</v>
      </c>
      <c r="R170" s="11">
        <v>0</v>
      </c>
    </row>
    <row r="171" spans="3:18" ht="36.75" thickBot="1">
      <c r="C171" s="10" t="s">
        <v>63</v>
      </c>
      <c r="D171" s="11">
        <v>164</v>
      </c>
      <c r="E171" s="11" t="str">
        <f>'Other non-financial'!F165</f>
        <v>r0390 - Non-financial liabilities</v>
      </c>
      <c r="F171" s="11" t="str">
        <f>IF(E171="r0170 - Employee liabilities (BRRD art. 44/2/g/i)","c001x   - Households",IF('Other non-financial'!C165="particulares","c001x   - Households",IF('Other non-financial'!C165="outras instituicoes financeiras","c005x   - Other financial corporations",IF('Other non-financial'!C165="instituicoes de credito","c004x   - Institutions",IF(AND('Other non-financial'!C165="outras empresas nao financeiras",'Other non-financial'!D165="1"),"c002x   - Micro &amp; SME",IF(AND('Other non-financial'!C165="outras empresas nao financeiras",'Other non-financial'!D165&lt;&gt;"1"),"c003x   - Corporates",IF('Other non-financial'!C165="","c010x   - Non-identified, not listed on an exchange platform",IF(OR('Other non-financial'!C165="setor publico",'Other non-financial'!C165="bancos centrais"),"c008x   - Government, central banks &amp; supranationals",""))))))))</f>
        <v>c002x   - Micro &amp; SME</v>
      </c>
      <c r="G171" s="11" t="str">
        <f>'Other non-financial'!G165</f>
        <v>Rank 9 - Ranking in insolvency (master scale)</v>
      </c>
      <c r="H171" s="11">
        <v>0</v>
      </c>
      <c r="I171" s="11">
        <v>0</v>
      </c>
      <c r="J171" s="11" t="s">
        <v>64</v>
      </c>
      <c r="K171" s="14" t="s">
        <v>65</v>
      </c>
      <c r="L171" s="11" t="str">
        <f>'Other non-financial'!H165</f>
        <v>Provisions. Off-balance sheet exposures subject to credit risk</v>
      </c>
      <c r="M171" s="12">
        <f>'Other non-financial'!B165</f>
        <v>26073.27</v>
      </c>
      <c r="N171" s="11" t="str">
        <f>'Other non-financial'!A165</f>
        <v>EURO</v>
      </c>
      <c r="O171" s="11" t="str">
        <f>'Other non-financial'!E165</f>
        <v>2022-12-31</v>
      </c>
      <c r="P171" s="15">
        <v>72716</v>
      </c>
      <c r="Q171" s="11" t="s">
        <v>66</v>
      </c>
      <c r="R171" s="11">
        <v>0</v>
      </c>
    </row>
    <row r="172" spans="3:18" ht="36.75" thickBot="1">
      <c r="C172" s="10" t="s">
        <v>63</v>
      </c>
      <c r="D172" s="11">
        <v>165</v>
      </c>
      <c r="E172" s="11" t="str">
        <f>'Other non-financial'!F166</f>
        <v>r0390 - Non-financial liabilities</v>
      </c>
      <c r="F172" s="11" t="str">
        <f>IF(E172="r0170 - Employee liabilities (BRRD art. 44/2/g/i)","c001x   - Households",IF('Other non-financial'!C166="particulares","c001x   - Households",IF('Other non-financial'!C166="outras instituicoes financeiras","c005x   - Other financial corporations",IF('Other non-financial'!C166="instituicoes de credito","c004x   - Institutions",IF(AND('Other non-financial'!C166="outras empresas nao financeiras",'Other non-financial'!D166="1"),"c002x   - Micro &amp; SME",IF(AND('Other non-financial'!C166="outras empresas nao financeiras",'Other non-financial'!D166&lt;&gt;"1"),"c003x   - Corporates",IF('Other non-financial'!C166="","c010x   - Non-identified, not listed on an exchange platform",IF(OR('Other non-financial'!C166="setor publico",'Other non-financial'!C166="bancos centrais"),"c008x   - Government, central banks &amp; supranationals",""))))))))</f>
        <v>c002x   - Micro &amp; SME</v>
      </c>
      <c r="G172" s="11" t="str">
        <f>'Other non-financial'!G166</f>
        <v>Rank 9 - Ranking in insolvency (master scale)</v>
      </c>
      <c r="H172" s="11">
        <v>0</v>
      </c>
      <c r="I172" s="11">
        <v>0</v>
      </c>
      <c r="J172" s="11" t="s">
        <v>64</v>
      </c>
      <c r="K172" s="14" t="s">
        <v>65</v>
      </c>
      <c r="L172" s="11" t="str">
        <f>'Other non-financial'!H166</f>
        <v>Provisions. Off-balance sheet exposures subject to credit risk</v>
      </c>
      <c r="M172" s="12">
        <f>'Other non-financial'!B166</f>
        <v>4439757.4799999986</v>
      </c>
      <c r="N172" s="11" t="str">
        <f>'Other non-financial'!A166</f>
        <v>EURO</v>
      </c>
      <c r="O172" s="11" t="str">
        <f>'Other non-financial'!E166</f>
        <v>2022-12-31</v>
      </c>
      <c r="P172" s="15">
        <v>72716</v>
      </c>
      <c r="Q172" s="11" t="s">
        <v>66</v>
      </c>
      <c r="R172" s="11">
        <v>0</v>
      </c>
    </row>
    <row r="173" spans="3:18" ht="36.75" thickBot="1">
      <c r="C173" s="10" t="s">
        <v>63</v>
      </c>
      <c r="D173" s="11">
        <v>166</v>
      </c>
      <c r="E173" s="11" t="str">
        <f>'Other non-financial'!F167</f>
        <v>r0390 - Non-financial liabilities</v>
      </c>
      <c r="F173" s="11" t="str">
        <f>IF(E173="r0170 - Employee liabilities (BRRD art. 44/2/g/i)","c001x   - Households",IF('Other non-financial'!C167="particulares","c001x   - Households",IF('Other non-financial'!C167="outras instituicoes financeiras","c005x   - Other financial corporations",IF('Other non-financial'!C167="instituicoes de credito","c004x   - Institutions",IF(AND('Other non-financial'!C167="outras empresas nao financeiras",'Other non-financial'!D167="1"),"c002x   - Micro &amp; SME",IF(AND('Other non-financial'!C167="outras empresas nao financeiras",'Other non-financial'!D167&lt;&gt;"1"),"c003x   - Corporates",IF('Other non-financial'!C167="","c010x   - Non-identified, not listed on an exchange platform",IF(OR('Other non-financial'!C167="setor publico",'Other non-financial'!C167="bancos centrais"),"c008x   - Government, central banks &amp; supranationals",""))))))))</f>
        <v>c002x   - Micro &amp; SME</v>
      </c>
      <c r="G173" s="11" t="str">
        <f>'Other non-financial'!G167</f>
        <v>Rank 9 - Ranking in insolvency (master scale)</v>
      </c>
      <c r="H173" s="11">
        <v>0</v>
      </c>
      <c r="I173" s="11">
        <v>0</v>
      </c>
      <c r="J173" s="11" t="s">
        <v>64</v>
      </c>
      <c r="K173" s="14" t="s">
        <v>65</v>
      </c>
      <c r="L173" s="11" t="str">
        <f>'Other non-financial'!H167</f>
        <v>Provisions. Off-balance sheet exposures subject to credit risk</v>
      </c>
      <c r="M173" s="12">
        <f>'Other non-financial'!B167</f>
        <v>131289.40999999992</v>
      </c>
      <c r="N173" s="11" t="str">
        <f>'Other non-financial'!A167</f>
        <v>EURO</v>
      </c>
      <c r="O173" s="11" t="str">
        <f>'Other non-financial'!E167</f>
        <v>2022-12-31</v>
      </c>
      <c r="P173" s="15">
        <v>72716</v>
      </c>
      <c r="Q173" s="11" t="s">
        <v>66</v>
      </c>
      <c r="R173" s="11">
        <v>0</v>
      </c>
    </row>
    <row r="174" spans="3:18" ht="36.75" thickBot="1">
      <c r="C174" s="10" t="s">
        <v>63</v>
      </c>
      <c r="D174" s="11">
        <v>167</v>
      </c>
      <c r="E174" s="11" t="str">
        <f>'Other non-financial'!F168</f>
        <v>r0390 - Non-financial liabilities</v>
      </c>
      <c r="F174" s="11" t="str">
        <f>IF(E174="r0170 - Employee liabilities (BRRD art. 44/2/g/i)","c001x   - Households",IF('Other non-financial'!C168="particulares","c001x   - Households",IF('Other non-financial'!C168="outras instituicoes financeiras","c005x   - Other financial corporations",IF('Other non-financial'!C168="instituicoes de credito","c004x   - Institutions",IF(AND('Other non-financial'!C168="outras empresas nao financeiras",'Other non-financial'!D168="1"),"c002x   - Micro &amp; SME",IF(AND('Other non-financial'!C168="outras empresas nao financeiras",'Other non-financial'!D168&lt;&gt;"1"),"c003x   - Corporates",IF('Other non-financial'!C168="","c010x   - Non-identified, not listed on an exchange platform",IF(OR('Other non-financial'!C168="setor publico",'Other non-financial'!C168="bancos centrais"),"c008x   - Government, central banks &amp; supranationals",""))))))))</f>
        <v>c002x   - Micro &amp; SME</v>
      </c>
      <c r="G174" s="11" t="str">
        <f>'Other non-financial'!G168</f>
        <v>Rank 9 - Ranking in insolvency (master scale)</v>
      </c>
      <c r="H174" s="11">
        <v>0</v>
      </c>
      <c r="I174" s="11">
        <v>0</v>
      </c>
      <c r="J174" s="11" t="s">
        <v>64</v>
      </c>
      <c r="K174" s="14" t="s">
        <v>65</v>
      </c>
      <c r="L174" s="11" t="str">
        <f>'Other non-financial'!H168</f>
        <v>Provisions. Off-balance sheet exposures subject to credit risk</v>
      </c>
      <c r="M174" s="12">
        <f>'Other non-financial'!B168</f>
        <v>7120.3499999999985</v>
      </c>
      <c r="N174" s="11" t="str">
        <f>'Other non-financial'!A168</f>
        <v>EURO</v>
      </c>
      <c r="O174" s="11" t="str">
        <f>'Other non-financial'!E168</f>
        <v>2022-12-31</v>
      </c>
      <c r="P174" s="15">
        <v>72716</v>
      </c>
      <c r="Q174" s="11" t="s">
        <v>66</v>
      </c>
      <c r="R174" s="11">
        <v>0</v>
      </c>
    </row>
    <row r="175" spans="3:18" ht="36.75" thickBot="1">
      <c r="C175" s="10" t="s">
        <v>63</v>
      </c>
      <c r="D175" s="11">
        <v>168</v>
      </c>
      <c r="E175" s="11" t="str">
        <f>'Other non-financial'!F169</f>
        <v>r0390 - Non-financial liabilities</v>
      </c>
      <c r="F175" s="11" t="str">
        <f>IF(E175="r0170 - Employee liabilities (BRRD art. 44/2/g/i)","c001x   - Households",IF('Other non-financial'!C169="particulares","c001x   - Households",IF('Other non-financial'!C169="outras instituicoes financeiras","c005x   - Other financial corporations",IF('Other non-financial'!C169="instituicoes de credito","c004x   - Institutions",IF(AND('Other non-financial'!C169="outras empresas nao financeiras",'Other non-financial'!D169="1"),"c002x   - Micro &amp; SME",IF(AND('Other non-financial'!C169="outras empresas nao financeiras",'Other non-financial'!D169&lt;&gt;"1"),"c003x   - Corporates",IF('Other non-financial'!C169="","c010x   - Non-identified, not listed on an exchange platform",IF(OR('Other non-financial'!C169="setor publico",'Other non-financial'!C169="bancos centrais"),"c008x   - Government, central banks &amp; supranationals",""))))))))</f>
        <v>c002x   - Micro &amp; SME</v>
      </c>
      <c r="G175" s="11" t="str">
        <f>'Other non-financial'!G169</f>
        <v>Rank 9 - Ranking in insolvency (master scale)</v>
      </c>
      <c r="H175" s="11">
        <v>0</v>
      </c>
      <c r="I175" s="11">
        <v>0</v>
      </c>
      <c r="J175" s="11" t="s">
        <v>64</v>
      </c>
      <c r="K175" s="14" t="s">
        <v>65</v>
      </c>
      <c r="L175" s="11" t="str">
        <f>'Other non-financial'!H169</f>
        <v>Provisions. Off-balance sheet exposures subject to credit risk</v>
      </c>
      <c r="M175" s="12">
        <f>'Other non-financial'!B169</f>
        <v>368661.59000000049</v>
      </c>
      <c r="N175" s="11" t="str">
        <f>'Other non-financial'!A169</f>
        <v>EURO</v>
      </c>
      <c r="O175" s="11" t="str">
        <f>'Other non-financial'!E169</f>
        <v>2022-12-31</v>
      </c>
      <c r="P175" s="15">
        <v>72716</v>
      </c>
      <c r="Q175" s="11" t="s">
        <v>66</v>
      </c>
      <c r="R175" s="11">
        <v>0</v>
      </c>
    </row>
    <row r="176" spans="3:18" ht="36.75" thickBot="1">
      <c r="C176" s="10" t="s">
        <v>63</v>
      </c>
      <c r="D176" s="11">
        <v>169</v>
      </c>
      <c r="E176" s="11" t="str">
        <f>'Other non-financial'!F170</f>
        <v>r0390 - Non-financial liabilities</v>
      </c>
      <c r="F176" s="11" t="str">
        <f>IF(E176="r0170 - Employee liabilities (BRRD art. 44/2/g/i)","c001x   - Households",IF('Other non-financial'!C170="particulares","c001x   - Households",IF('Other non-financial'!C170="outras instituicoes financeiras","c005x   - Other financial corporations",IF('Other non-financial'!C170="instituicoes de credito","c004x   - Institutions",IF(AND('Other non-financial'!C170="outras empresas nao financeiras",'Other non-financial'!D170="1"),"c002x   - Micro &amp; SME",IF(AND('Other non-financial'!C170="outras empresas nao financeiras",'Other non-financial'!D170&lt;&gt;"1"),"c003x   - Corporates",IF('Other non-financial'!C170="","c010x   - Non-identified, not listed on an exchange platform",IF(OR('Other non-financial'!C170="setor publico",'Other non-financial'!C170="bancos centrais"),"c008x   - Government, central banks &amp; supranationals",""))))))))</f>
        <v>c002x   - Micro &amp; SME</v>
      </c>
      <c r="G176" s="11" t="str">
        <f>'Other non-financial'!G170</f>
        <v>Rank 9 - Ranking in insolvency (master scale)</v>
      </c>
      <c r="H176" s="11">
        <v>0</v>
      </c>
      <c r="I176" s="11">
        <v>0</v>
      </c>
      <c r="J176" s="11" t="s">
        <v>64</v>
      </c>
      <c r="K176" s="14" t="s">
        <v>65</v>
      </c>
      <c r="L176" s="11" t="str">
        <f>'Other non-financial'!H170</f>
        <v>Provisions. Off-balance sheet exposures subject to credit risk</v>
      </c>
      <c r="M176" s="12">
        <f>'Other non-financial'!B170</f>
        <v>12357.429999999998</v>
      </c>
      <c r="N176" s="11" t="str">
        <f>'Other non-financial'!A170</f>
        <v>EURO</v>
      </c>
      <c r="O176" s="11" t="str">
        <f>'Other non-financial'!E170</f>
        <v>2022-12-31</v>
      </c>
      <c r="P176" s="15">
        <v>72716</v>
      </c>
      <c r="Q176" s="11" t="s">
        <v>66</v>
      </c>
      <c r="R176" s="11">
        <v>0</v>
      </c>
    </row>
    <row r="177" spans="3:18" ht="36.75" thickBot="1">
      <c r="C177" s="10" t="s">
        <v>63</v>
      </c>
      <c r="D177" s="11">
        <v>170</v>
      </c>
      <c r="E177" s="11" t="str">
        <f>'Other non-financial'!F171</f>
        <v>r0390 - Non-financial liabilities</v>
      </c>
      <c r="F177" s="11" t="str">
        <f>IF(E177="r0170 - Employee liabilities (BRRD art. 44/2/g/i)","c001x   - Households",IF('Other non-financial'!C171="particulares","c001x   - Households",IF('Other non-financial'!C171="outras instituicoes financeiras","c005x   - Other financial corporations",IF('Other non-financial'!C171="instituicoes de credito","c004x   - Institutions",IF(AND('Other non-financial'!C171="outras empresas nao financeiras",'Other non-financial'!D171="1"),"c002x   - Micro &amp; SME",IF(AND('Other non-financial'!C171="outras empresas nao financeiras",'Other non-financial'!D171&lt;&gt;"1"),"c003x   - Corporates",IF('Other non-financial'!C171="","c010x   - Non-identified, not listed on an exchange platform",IF(OR('Other non-financial'!C171="setor publico",'Other non-financial'!C171="bancos centrais"),"c008x   - Government, central banks &amp; supranationals",""))))))))</f>
        <v>c002x   - Micro &amp; SME</v>
      </c>
      <c r="G177" s="11" t="str">
        <f>'Other non-financial'!G171</f>
        <v>Rank 9 - Ranking in insolvency (master scale)</v>
      </c>
      <c r="H177" s="11">
        <v>0</v>
      </c>
      <c r="I177" s="11">
        <v>0</v>
      </c>
      <c r="J177" s="11" t="s">
        <v>64</v>
      </c>
      <c r="K177" s="14" t="s">
        <v>65</v>
      </c>
      <c r="L177" s="11" t="str">
        <f>'Other non-financial'!H171</f>
        <v>Provisions. Off-balance sheet exposures subject to credit risk</v>
      </c>
      <c r="M177" s="12">
        <f>'Other non-financial'!B171</f>
        <v>749727.01</v>
      </c>
      <c r="N177" s="11" t="str">
        <f>'Other non-financial'!A171</f>
        <v>EURO</v>
      </c>
      <c r="O177" s="11" t="str">
        <f>'Other non-financial'!E171</f>
        <v>2022-12-31</v>
      </c>
      <c r="P177" s="15">
        <v>72716</v>
      </c>
      <c r="Q177" s="11" t="s">
        <v>66</v>
      </c>
      <c r="R177" s="11">
        <v>0</v>
      </c>
    </row>
    <row r="178" spans="3:18" ht="36.75" thickBot="1">
      <c r="C178" s="10" t="s">
        <v>63</v>
      </c>
      <c r="D178" s="11">
        <v>171</v>
      </c>
      <c r="E178" s="11" t="str">
        <f>'Other non-financial'!F172</f>
        <v>r0390 - Non-financial liabilities</v>
      </c>
      <c r="F178" s="11" t="str">
        <f>IF(E178="r0170 - Employee liabilities (BRRD art. 44/2/g/i)","c001x   - Households",IF('Other non-financial'!C172="particulares","c001x   - Households",IF('Other non-financial'!C172="outras instituicoes financeiras","c005x   - Other financial corporations",IF('Other non-financial'!C172="instituicoes de credito","c004x   - Institutions",IF(AND('Other non-financial'!C172="outras empresas nao financeiras",'Other non-financial'!D172="1"),"c002x   - Micro &amp; SME",IF(AND('Other non-financial'!C172="outras empresas nao financeiras",'Other non-financial'!D172&lt;&gt;"1"),"c003x   - Corporates",IF('Other non-financial'!C172="","c010x   - Non-identified, not listed on an exchange platform",IF(OR('Other non-financial'!C172="setor publico",'Other non-financial'!C172="bancos centrais"),"c008x   - Government, central banks &amp; supranationals",""))))))))</f>
        <v>c002x   - Micro &amp; SME</v>
      </c>
      <c r="G178" s="11" t="str">
        <f>'Other non-financial'!G172</f>
        <v>Rank 9 - Ranking in insolvency (master scale)</v>
      </c>
      <c r="H178" s="11">
        <v>0</v>
      </c>
      <c r="I178" s="11">
        <v>0</v>
      </c>
      <c r="J178" s="11" t="s">
        <v>64</v>
      </c>
      <c r="K178" s="14" t="s">
        <v>65</v>
      </c>
      <c r="L178" s="11" t="str">
        <f>'Other non-financial'!H172</f>
        <v>Provisions. Off-balance sheet exposures subject to credit risk</v>
      </c>
      <c r="M178" s="12">
        <f>'Other non-financial'!B172</f>
        <v>10661773.969999993</v>
      </c>
      <c r="N178" s="11" t="str">
        <f>'Other non-financial'!A172</f>
        <v>EURO</v>
      </c>
      <c r="O178" s="11" t="str">
        <f>'Other non-financial'!E172</f>
        <v>2022-12-31</v>
      </c>
      <c r="P178" s="15">
        <v>72716</v>
      </c>
      <c r="Q178" s="11" t="s">
        <v>66</v>
      </c>
      <c r="R178" s="11">
        <v>0</v>
      </c>
    </row>
    <row r="179" spans="3:18" ht="36.75" thickBot="1">
      <c r="C179" s="10" t="s">
        <v>63</v>
      </c>
      <c r="D179" s="11">
        <v>172</v>
      </c>
      <c r="E179" s="11" t="str">
        <f>'Other non-financial'!F173</f>
        <v>r0390 - Non-financial liabilities</v>
      </c>
      <c r="F179" s="11" t="str">
        <f>IF(E179="r0170 - Employee liabilities (BRRD art. 44/2/g/i)","c001x   - Households",IF('Other non-financial'!C173="particulares","c001x   - Households",IF('Other non-financial'!C173="outras instituicoes financeiras","c005x   - Other financial corporations",IF('Other non-financial'!C173="instituicoes de credito","c004x   - Institutions",IF(AND('Other non-financial'!C173="outras empresas nao financeiras",'Other non-financial'!D173="1"),"c002x   - Micro &amp; SME",IF(AND('Other non-financial'!C173="outras empresas nao financeiras",'Other non-financial'!D173&lt;&gt;"1"),"c003x   - Corporates",IF('Other non-financial'!C173="","c010x   - Non-identified, not listed on an exchange platform",IF(OR('Other non-financial'!C173="setor publico",'Other non-financial'!C173="bancos centrais"),"c008x   - Government, central banks &amp; supranationals",""))))))))</f>
        <v>c002x   - Micro &amp; SME</v>
      </c>
      <c r="G179" s="11" t="str">
        <f>'Other non-financial'!G173</f>
        <v>Rank 9 - Ranking in insolvency (master scale)</v>
      </c>
      <c r="H179" s="11">
        <v>0</v>
      </c>
      <c r="I179" s="11">
        <v>0</v>
      </c>
      <c r="J179" s="11" t="s">
        <v>64</v>
      </c>
      <c r="K179" s="14" t="s">
        <v>65</v>
      </c>
      <c r="L179" s="11" t="str">
        <f>'Other non-financial'!H173</f>
        <v>Provisions. Off-balance sheet exposures subject to credit risk</v>
      </c>
      <c r="M179" s="12">
        <f>'Other non-financial'!B173</f>
        <v>61478.500000000007</v>
      </c>
      <c r="N179" s="11" t="str">
        <f>'Other non-financial'!A173</f>
        <v>EURO</v>
      </c>
      <c r="O179" s="11" t="str">
        <f>'Other non-financial'!E173</f>
        <v>2022-12-31</v>
      </c>
      <c r="P179" s="15">
        <v>72716</v>
      </c>
      <c r="Q179" s="11" t="s">
        <v>66</v>
      </c>
      <c r="R179" s="11">
        <v>0</v>
      </c>
    </row>
    <row r="180" spans="3:18" ht="36.75" thickBot="1">
      <c r="C180" s="10" t="s">
        <v>63</v>
      </c>
      <c r="D180" s="11">
        <v>173</v>
      </c>
      <c r="E180" s="11" t="str">
        <f>'Other non-financial'!F174</f>
        <v>r0390 - Non-financial liabilities</v>
      </c>
      <c r="F180" s="11" t="str">
        <f>IF(E180="r0170 - Employee liabilities (BRRD art. 44/2/g/i)","c001x   - Households",IF('Other non-financial'!C174="particulares","c001x   - Households",IF('Other non-financial'!C174="outras instituicoes financeiras","c005x   - Other financial corporations",IF('Other non-financial'!C174="instituicoes de credito","c004x   - Institutions",IF(AND('Other non-financial'!C174="outras empresas nao financeiras",'Other non-financial'!D174="1"),"c002x   - Micro &amp; SME",IF(AND('Other non-financial'!C174="outras empresas nao financeiras",'Other non-financial'!D174&lt;&gt;"1"),"c003x   - Corporates",IF('Other non-financial'!C174="","c010x   - Non-identified, not listed on an exchange platform",IF(OR('Other non-financial'!C174="setor publico",'Other non-financial'!C174="bancos centrais"),"c008x   - Government, central banks &amp; supranationals",""))))))))</f>
        <v>c002x   - Micro &amp; SME</v>
      </c>
      <c r="G180" s="11" t="str">
        <f>'Other non-financial'!G174</f>
        <v>Rank 9 - Ranking in insolvency (master scale)</v>
      </c>
      <c r="H180" s="11">
        <v>0</v>
      </c>
      <c r="I180" s="11">
        <v>0</v>
      </c>
      <c r="J180" s="11" t="s">
        <v>64</v>
      </c>
      <c r="K180" s="14" t="s">
        <v>65</v>
      </c>
      <c r="L180" s="11" t="str">
        <f>'Other non-financial'!H174</f>
        <v>Provisions. Off-balance sheet exposures subject to credit risk</v>
      </c>
      <c r="M180" s="12">
        <f>'Other non-financial'!B174</f>
        <v>10109.809999999998</v>
      </c>
      <c r="N180" s="11" t="str">
        <f>'Other non-financial'!A174</f>
        <v>EURO</v>
      </c>
      <c r="O180" s="11" t="str">
        <f>'Other non-financial'!E174</f>
        <v>2022-12-31</v>
      </c>
      <c r="P180" s="15">
        <v>72716</v>
      </c>
      <c r="Q180" s="11" t="s">
        <v>66</v>
      </c>
      <c r="R180" s="11">
        <v>0</v>
      </c>
    </row>
    <row r="181" spans="3:18" ht="36.75" thickBot="1">
      <c r="C181" s="10" t="s">
        <v>63</v>
      </c>
      <c r="D181" s="11">
        <v>174</v>
      </c>
      <c r="E181" s="11" t="str">
        <f>'Other non-financial'!F175</f>
        <v>r0390 - Non-financial liabilities</v>
      </c>
      <c r="F181" s="11" t="str">
        <f>IF(E181="r0170 - Employee liabilities (BRRD art. 44/2/g/i)","c001x   - Households",IF('Other non-financial'!C175="particulares","c001x   - Households",IF('Other non-financial'!C175="outras instituicoes financeiras","c005x   - Other financial corporations",IF('Other non-financial'!C175="instituicoes de credito","c004x   - Institutions",IF(AND('Other non-financial'!C175="outras empresas nao financeiras",'Other non-financial'!D175="1"),"c002x   - Micro &amp; SME",IF(AND('Other non-financial'!C175="outras empresas nao financeiras",'Other non-financial'!D175&lt;&gt;"1"),"c003x   - Corporates",IF('Other non-financial'!C175="","c010x   - Non-identified, not listed on an exchange platform",IF(OR('Other non-financial'!C175="setor publico",'Other non-financial'!C175="bancos centrais"),"c008x   - Government, central banks &amp; supranationals",""))))))))</f>
        <v>c002x   - Micro &amp; SME</v>
      </c>
      <c r="G181" s="11" t="str">
        <f>'Other non-financial'!G175</f>
        <v>Rank 9 - Ranking in insolvency (master scale)</v>
      </c>
      <c r="H181" s="11">
        <v>0</v>
      </c>
      <c r="I181" s="11">
        <v>0</v>
      </c>
      <c r="J181" s="11" t="s">
        <v>64</v>
      </c>
      <c r="K181" s="14" t="s">
        <v>65</v>
      </c>
      <c r="L181" s="11" t="str">
        <f>'Other non-financial'!H175</f>
        <v>Provisions. Off-balance sheet exposures subject to credit risk</v>
      </c>
      <c r="M181" s="12">
        <f>'Other non-financial'!B175</f>
        <v>1475832.4400001706</v>
      </c>
      <c r="N181" s="11" t="str">
        <f>'Other non-financial'!A175</f>
        <v>EURO</v>
      </c>
      <c r="O181" s="11" t="str">
        <f>'Other non-financial'!E175</f>
        <v>2022-12-31</v>
      </c>
      <c r="P181" s="15">
        <v>72716</v>
      </c>
      <c r="Q181" s="11" t="s">
        <v>66</v>
      </c>
      <c r="R181" s="11">
        <v>0</v>
      </c>
    </row>
    <row r="182" spans="3:18" ht="36.75" thickBot="1">
      <c r="C182" s="10" t="s">
        <v>63</v>
      </c>
      <c r="D182" s="11">
        <v>175</v>
      </c>
      <c r="E182" s="11" t="str">
        <f>'Other non-financial'!F176</f>
        <v>r0390 - Non-financial liabilities</v>
      </c>
      <c r="F182" s="11" t="str">
        <f>IF(E182="r0170 - Employee liabilities (BRRD art. 44/2/g/i)","c001x   - Households",IF('Other non-financial'!C176="particulares","c001x   - Households",IF('Other non-financial'!C176="outras instituicoes financeiras","c005x   - Other financial corporations",IF('Other non-financial'!C176="instituicoes de credito","c004x   - Institutions",IF(AND('Other non-financial'!C176="outras empresas nao financeiras",'Other non-financial'!D176="1"),"c002x   - Micro &amp; SME",IF(AND('Other non-financial'!C176="outras empresas nao financeiras",'Other non-financial'!D176&lt;&gt;"1"),"c003x   - Corporates",IF('Other non-financial'!C176="","c010x   - Non-identified, not listed on an exchange platform",IF(OR('Other non-financial'!C176="setor publico",'Other non-financial'!C176="bancos centrais"),"c008x   - Government, central banks &amp; supranationals",""))))))))</f>
        <v>c002x   - Micro &amp; SME</v>
      </c>
      <c r="G182" s="11" t="str">
        <f>'Other non-financial'!G176</f>
        <v>Rank 9 - Ranking in insolvency (master scale)</v>
      </c>
      <c r="H182" s="11">
        <v>0</v>
      </c>
      <c r="I182" s="11">
        <v>0</v>
      </c>
      <c r="J182" s="11" t="s">
        <v>64</v>
      </c>
      <c r="K182" s="14" t="s">
        <v>65</v>
      </c>
      <c r="L182" s="11" t="str">
        <f>'Other non-financial'!H176</f>
        <v>Provisions. Off-balance sheet exposures subject to credit risk</v>
      </c>
      <c r="M182" s="12">
        <f>'Other non-financial'!B176</f>
        <v>34626.43</v>
      </c>
      <c r="N182" s="11" t="str">
        <f>'Other non-financial'!A176</f>
        <v>EURO</v>
      </c>
      <c r="O182" s="11" t="str">
        <f>'Other non-financial'!E176</f>
        <v>2022-12-31</v>
      </c>
      <c r="P182" s="15">
        <v>72716</v>
      </c>
      <c r="Q182" s="11" t="s">
        <v>66</v>
      </c>
      <c r="R182" s="11">
        <v>0</v>
      </c>
    </row>
    <row r="183" spans="3:18" ht="36.75" thickBot="1">
      <c r="C183" s="10" t="s">
        <v>63</v>
      </c>
      <c r="D183" s="11">
        <v>176</v>
      </c>
      <c r="E183" s="11" t="str">
        <f>'Other non-financial'!F177</f>
        <v>r0390 - Non-financial liabilities</v>
      </c>
      <c r="F183" s="11" t="str">
        <f>IF(E183="r0170 - Employee liabilities (BRRD art. 44/2/g/i)","c001x   - Households",IF('Other non-financial'!C177="particulares","c001x   - Households",IF('Other non-financial'!C177="outras instituicoes financeiras","c005x   - Other financial corporations",IF('Other non-financial'!C177="instituicoes de credito","c004x   - Institutions",IF(AND('Other non-financial'!C177="outras empresas nao financeiras",'Other non-financial'!D177="1"),"c002x   - Micro &amp; SME",IF(AND('Other non-financial'!C177="outras empresas nao financeiras",'Other non-financial'!D177&lt;&gt;"1"),"c003x   - Corporates",IF('Other non-financial'!C177="","c010x   - Non-identified, not listed on an exchange platform",IF(OR('Other non-financial'!C177="setor publico",'Other non-financial'!C177="bancos centrais"),"c008x   - Government, central banks &amp; supranationals",""))))))))</f>
        <v>c002x   - Micro &amp; SME</v>
      </c>
      <c r="G183" s="11" t="str">
        <f>'Other non-financial'!G177</f>
        <v>Rank 9 - Ranking in insolvency (master scale)</v>
      </c>
      <c r="H183" s="11">
        <v>0</v>
      </c>
      <c r="I183" s="11">
        <v>0</v>
      </c>
      <c r="J183" s="11" t="s">
        <v>64</v>
      </c>
      <c r="K183" s="14" t="s">
        <v>65</v>
      </c>
      <c r="L183" s="11" t="str">
        <f>'Other non-financial'!H177</f>
        <v>Provisions. Off-balance sheet exposures subject to credit risk</v>
      </c>
      <c r="M183" s="12">
        <f>'Other non-financial'!B177</f>
        <v>1477183.5000009716</v>
      </c>
      <c r="N183" s="11" t="str">
        <f>'Other non-financial'!A177</f>
        <v>EURO</v>
      </c>
      <c r="O183" s="11" t="str">
        <f>'Other non-financial'!E177</f>
        <v>2022-12-31</v>
      </c>
      <c r="P183" s="15">
        <v>72716</v>
      </c>
      <c r="Q183" s="11" t="s">
        <v>66</v>
      </c>
      <c r="R183" s="11">
        <v>0</v>
      </c>
    </row>
    <row r="184" spans="3:18" ht="36.75" thickBot="1">
      <c r="C184" s="10" t="s">
        <v>63</v>
      </c>
      <c r="D184" s="11">
        <v>177</v>
      </c>
      <c r="E184" s="11" t="str">
        <f>'Other non-financial'!F178</f>
        <v>r0390 - Non-financial liabilities</v>
      </c>
      <c r="F184" s="11" t="str">
        <f>IF(E184="r0170 - Employee liabilities (BRRD art. 44/2/g/i)","c001x   - Households",IF('Other non-financial'!C178="particulares","c001x   - Households",IF('Other non-financial'!C178="outras instituicoes financeiras","c005x   - Other financial corporations",IF('Other non-financial'!C178="instituicoes de credito","c004x   - Institutions",IF(AND('Other non-financial'!C178="outras empresas nao financeiras",'Other non-financial'!D178="1"),"c002x   - Micro &amp; SME",IF(AND('Other non-financial'!C178="outras empresas nao financeiras",'Other non-financial'!D178&lt;&gt;"1"),"c003x   - Corporates",IF('Other non-financial'!C178="","c010x   - Non-identified, not listed on an exchange platform",IF(OR('Other non-financial'!C178="setor publico",'Other non-financial'!C178="bancos centrais"),"c008x   - Government, central banks &amp; supranationals",""))))))))</f>
        <v>c002x   - Micro &amp; SME</v>
      </c>
      <c r="G184" s="11" t="str">
        <f>'Other non-financial'!G178</f>
        <v>Rank 9 - Ranking in insolvency (master scale)</v>
      </c>
      <c r="H184" s="11">
        <v>0</v>
      </c>
      <c r="I184" s="11">
        <v>0</v>
      </c>
      <c r="J184" s="11" t="s">
        <v>64</v>
      </c>
      <c r="K184" s="14" t="s">
        <v>65</v>
      </c>
      <c r="L184" s="11" t="str">
        <f>'Other non-financial'!H178</f>
        <v>Provisions. Off-balance sheet exposures subject to credit risk</v>
      </c>
      <c r="M184" s="12">
        <f>'Other non-financial'!B178</f>
        <v>4639.24</v>
      </c>
      <c r="N184" s="11" t="str">
        <f>'Other non-financial'!A178</f>
        <v>EURO</v>
      </c>
      <c r="O184" s="11" t="str">
        <f>'Other non-financial'!E178</f>
        <v>2022-12-31</v>
      </c>
      <c r="P184" s="15">
        <v>72716</v>
      </c>
      <c r="Q184" s="11" t="s">
        <v>66</v>
      </c>
      <c r="R184" s="11">
        <v>0</v>
      </c>
    </row>
    <row r="185" spans="3:18" ht="60.75" thickBot="1">
      <c r="C185" s="10" t="s">
        <v>63</v>
      </c>
      <c r="D185" s="11">
        <v>178</v>
      </c>
      <c r="E185" s="11" t="str">
        <f>'Other non-financial'!F179</f>
        <v>r0390 - Non-financial liabilities</v>
      </c>
      <c r="F185" s="11" t="str">
        <f>IF(E185="r0170 - Employee liabilities (BRRD art. 44/2/g/i)","c001x   - Households",IF('Other non-financial'!C179="particulares","c001x   - Households",IF('Other non-financial'!C179="outras instituicoes financeiras","c005x   - Other financial corporations",IF('Other non-financial'!C179="instituicoes de credito","c004x   - Institutions",IF(AND('Other non-financial'!C179="outras empresas nao financeiras",'Other non-financial'!D179="1"),"c002x   - Micro &amp; SME",IF(AND('Other non-financial'!C179="outras empresas nao financeiras",'Other non-financial'!D179&lt;&gt;"1"),"c003x   - Corporates",IF('Other non-financial'!C179="","c010x   - Non-identified, not listed on an exchange platform",IF(OR('Other non-financial'!C179="setor publico",'Other non-financial'!C179="bancos centrais"),"c008x   - Government, central banks &amp; supranationals",""))))))))</f>
        <v>c005x   - Other financial corporations</v>
      </c>
      <c r="G185" s="11" t="str">
        <f>'Other non-financial'!G179</f>
        <v>Rank 9 - Ranking in insolvency (master scale)</v>
      </c>
      <c r="H185" s="11">
        <v>0</v>
      </c>
      <c r="I185" s="11">
        <v>0</v>
      </c>
      <c r="J185" s="11" t="s">
        <v>64</v>
      </c>
      <c r="K185" s="14" t="s">
        <v>65</v>
      </c>
      <c r="L185" s="11" t="str">
        <f>'Other non-financial'!H179</f>
        <v>Liabilities other than financial liabilities, provisions, tax liabilities, deferred income</v>
      </c>
      <c r="M185" s="12">
        <f>'Other non-financial'!B179</f>
        <v>344498.76</v>
      </c>
      <c r="N185" s="11" t="str">
        <f>'Other non-financial'!A179</f>
        <v>EURO</v>
      </c>
      <c r="O185" s="11" t="str">
        <f>'Other non-financial'!E179</f>
        <v>2022-12-31</v>
      </c>
      <c r="P185" s="15">
        <v>72716</v>
      </c>
      <c r="Q185" s="11" t="s">
        <v>66</v>
      </c>
      <c r="R185" s="11">
        <v>0</v>
      </c>
    </row>
    <row r="186" spans="3:18" ht="60.75" thickBot="1">
      <c r="C186" s="10" t="s">
        <v>63</v>
      </c>
      <c r="D186" s="11">
        <v>179</v>
      </c>
      <c r="E186" s="11" t="str">
        <f>'Other non-financial'!F180</f>
        <v>r0390 - Non-financial liabilities</v>
      </c>
      <c r="F186" s="11" t="str">
        <f>IF(E186="r0170 - Employee liabilities (BRRD art. 44/2/g/i)","c001x   - Households",IF('Other non-financial'!C180="particulares","c001x   - Households",IF('Other non-financial'!C180="outras instituicoes financeiras","c005x   - Other financial corporations",IF('Other non-financial'!C180="instituicoes de credito","c004x   - Institutions",IF(AND('Other non-financial'!C180="outras empresas nao financeiras",'Other non-financial'!D180="1"),"c002x   - Micro &amp; SME",IF(AND('Other non-financial'!C180="outras empresas nao financeiras",'Other non-financial'!D180&lt;&gt;"1"),"c003x   - Corporates",IF('Other non-financial'!C180="","c010x   - Non-identified, not listed on an exchange platform",IF(OR('Other non-financial'!C180="setor publico",'Other non-financial'!C180="bancos centrais"),"c008x   - Government, central banks &amp; supranationals",""))))))))</f>
        <v>c005x   - Other financial corporations</v>
      </c>
      <c r="G186" s="11" t="str">
        <f>'Other non-financial'!G180</f>
        <v>Rank 9 - Ranking in insolvency (master scale)</v>
      </c>
      <c r="H186" s="11">
        <v>0</v>
      </c>
      <c r="I186" s="11">
        <v>0</v>
      </c>
      <c r="J186" s="11" t="s">
        <v>64</v>
      </c>
      <c r="K186" s="14" t="s">
        <v>65</v>
      </c>
      <c r="L186" s="11" t="str">
        <f>'Other non-financial'!H180</f>
        <v>Liabilities other than financial liabilities, provisions, tax liabilities, deferred income</v>
      </c>
      <c r="M186" s="12">
        <f>'Other non-financial'!B180</f>
        <v>-0.03</v>
      </c>
      <c r="N186" s="11" t="str">
        <f>'Other non-financial'!A180</f>
        <v>EURO</v>
      </c>
      <c r="O186" s="11" t="str">
        <f>'Other non-financial'!E180</f>
        <v>2022-12-31</v>
      </c>
      <c r="P186" s="15">
        <v>72716</v>
      </c>
      <c r="Q186" s="11" t="s">
        <v>66</v>
      </c>
      <c r="R186" s="11">
        <v>0</v>
      </c>
    </row>
    <row r="187" spans="3:18" ht="36.75" thickBot="1">
      <c r="C187" s="10" t="s">
        <v>63</v>
      </c>
      <c r="D187" s="11">
        <v>180</v>
      </c>
      <c r="E187" s="11" t="str">
        <f>'Other non-financial'!F181</f>
        <v>r0390 - Non-financial liabilities</v>
      </c>
      <c r="F187" s="11" t="str">
        <f>IF(E187="r0170 - Employee liabilities (BRRD art. 44/2/g/i)","c001x   - Households",IF('Other non-financial'!C181="particulares","c001x   - Households",IF('Other non-financial'!C181="outras instituicoes financeiras","c005x   - Other financial corporations",IF('Other non-financial'!C181="instituicoes de credito","c004x   - Institutions",IF(AND('Other non-financial'!C181="outras empresas nao financeiras",'Other non-financial'!D181="1"),"c002x   - Micro &amp; SME",IF(AND('Other non-financial'!C181="outras empresas nao financeiras",'Other non-financial'!D181&lt;&gt;"1"),"c003x   - Corporates",IF('Other non-financial'!C181="","c010x   - Non-identified, not listed on an exchange platform",IF(OR('Other non-financial'!C181="setor publico",'Other non-financial'!C181="bancos centrais"),"c008x   - Government, central banks &amp; supranationals",""))))))))</f>
        <v>c005x   - Other financial corporations</v>
      </c>
      <c r="G187" s="11" t="str">
        <f>'Other non-financial'!G181</f>
        <v>Rank 9 - Ranking in insolvency (master scale)</v>
      </c>
      <c r="H187" s="11">
        <v>0</v>
      </c>
      <c r="I187" s="11">
        <v>0</v>
      </c>
      <c r="J187" s="11" t="s">
        <v>64</v>
      </c>
      <c r="K187" s="14" t="s">
        <v>65</v>
      </c>
      <c r="L187" s="11" t="str">
        <f>'Other non-financial'!H181</f>
        <v>Provisions. Off-balance sheet exposures subject to credit risk</v>
      </c>
      <c r="M187" s="12">
        <f>'Other non-financial'!B181</f>
        <v>9622339.1099999994</v>
      </c>
      <c r="N187" s="11" t="str">
        <f>'Other non-financial'!A181</f>
        <v>EURO</v>
      </c>
      <c r="O187" s="11" t="str">
        <f>'Other non-financial'!E181</f>
        <v>2022-12-31</v>
      </c>
      <c r="P187" s="15">
        <v>72716</v>
      </c>
      <c r="Q187" s="11" t="s">
        <v>66</v>
      </c>
      <c r="R187" s="11">
        <v>0</v>
      </c>
    </row>
    <row r="188" spans="3:18" ht="36.75" thickBot="1">
      <c r="C188" s="10" t="s">
        <v>63</v>
      </c>
      <c r="D188" s="11">
        <v>181</v>
      </c>
      <c r="E188" s="11" t="str">
        <f>'Other non-financial'!F182</f>
        <v>r0390 - Non-financial liabilities</v>
      </c>
      <c r="F188" s="11" t="str">
        <f>IF(E188="r0170 - Employee liabilities (BRRD art. 44/2/g/i)","c001x   - Households",IF('Other non-financial'!C182="particulares","c001x   - Households",IF('Other non-financial'!C182="outras instituicoes financeiras","c005x   - Other financial corporations",IF('Other non-financial'!C182="instituicoes de credito","c004x   - Institutions",IF(AND('Other non-financial'!C182="outras empresas nao financeiras",'Other non-financial'!D182="1"),"c002x   - Micro &amp; SME",IF(AND('Other non-financial'!C182="outras empresas nao financeiras",'Other non-financial'!D182&lt;&gt;"1"),"c003x   - Corporates",IF('Other non-financial'!C182="","c010x   - Non-identified, not listed on an exchange platform",IF(OR('Other non-financial'!C182="setor publico",'Other non-financial'!C182="bancos centrais"),"c008x   - Government, central banks &amp; supranationals",""))))))))</f>
        <v>c005x   - Other financial corporations</v>
      </c>
      <c r="G188" s="11" t="str">
        <f>'Other non-financial'!G182</f>
        <v>Rank 9 - Ranking in insolvency (master scale)</v>
      </c>
      <c r="H188" s="11">
        <v>0</v>
      </c>
      <c r="I188" s="11">
        <v>0</v>
      </c>
      <c r="J188" s="11" t="s">
        <v>64</v>
      </c>
      <c r="K188" s="14" t="s">
        <v>65</v>
      </c>
      <c r="L188" s="11" t="str">
        <f>'Other non-financial'!H182</f>
        <v>Provisions. Off-balance sheet exposures subject to credit risk</v>
      </c>
      <c r="M188" s="12">
        <f>'Other non-financial'!B182</f>
        <v>-0.01</v>
      </c>
      <c r="N188" s="11" t="str">
        <f>'Other non-financial'!A182</f>
        <v>EURO</v>
      </c>
      <c r="O188" s="11" t="str">
        <f>'Other non-financial'!E182</f>
        <v>2022-12-31</v>
      </c>
      <c r="P188" s="15">
        <v>72716</v>
      </c>
      <c r="Q188" s="11" t="s">
        <v>66</v>
      </c>
      <c r="R188" s="11">
        <v>0</v>
      </c>
    </row>
    <row r="189" spans="3:18" ht="60.75" thickBot="1">
      <c r="C189" s="10" t="s">
        <v>63</v>
      </c>
      <c r="D189" s="11">
        <v>182</v>
      </c>
      <c r="E189" s="11" t="str">
        <f>'Other non-financial'!F183</f>
        <v>r0390 - Non-financial liabilities</v>
      </c>
      <c r="F189" s="11" t="str">
        <f>IF(E189="r0170 - Employee liabilities (BRRD art. 44/2/g/i)","c001x   - Households",IF('Other non-financial'!C183="particulares","c001x   - Households",IF('Other non-financial'!C183="outras instituicoes financeiras","c005x   - Other financial corporations",IF('Other non-financial'!C183="instituicoes de credito","c004x   - Institutions",IF(AND('Other non-financial'!C183="outras empresas nao financeiras",'Other non-financial'!D183="1"),"c002x   - Micro &amp; SME",IF(AND('Other non-financial'!C183="outras empresas nao financeiras",'Other non-financial'!D183&lt;&gt;"1"),"c003x   - Corporates",IF('Other non-financial'!C183="","c010x   - Non-identified, not listed on an exchange platform",IF(OR('Other non-financial'!C183="setor publico",'Other non-financial'!C183="bancos centrais"),"c008x   - Government, central banks &amp; supranationals",""))))))))</f>
        <v>c005x   - Other financial corporations</v>
      </c>
      <c r="G189" s="11" t="str">
        <f>'Other non-financial'!G183</f>
        <v>Rank 9 - Ranking in insolvency (master scale)</v>
      </c>
      <c r="H189" s="11">
        <v>0</v>
      </c>
      <c r="I189" s="11">
        <v>0</v>
      </c>
      <c r="J189" s="11" t="s">
        <v>64</v>
      </c>
      <c r="K189" s="14" t="s">
        <v>65</v>
      </c>
      <c r="L189" s="11" t="str">
        <f>'Other non-financial'!H183</f>
        <v>Liabilities other than financial liabilities, provisions, tax liabilities, deferred income</v>
      </c>
      <c r="M189" s="12">
        <f>'Other non-financial'!B183</f>
        <v>84312.38</v>
      </c>
      <c r="N189" s="11" t="str">
        <f>'Other non-financial'!A183</f>
        <v>EURO</v>
      </c>
      <c r="O189" s="11" t="str">
        <f>'Other non-financial'!E183</f>
        <v>2022-12-31</v>
      </c>
      <c r="P189" s="15">
        <v>72716</v>
      </c>
      <c r="Q189" s="11" t="s">
        <v>66</v>
      </c>
      <c r="R189" s="11">
        <v>0</v>
      </c>
    </row>
    <row r="190" spans="3:18" ht="60.75" thickBot="1">
      <c r="C190" s="10" t="s">
        <v>63</v>
      </c>
      <c r="D190" s="11">
        <v>183</v>
      </c>
      <c r="E190" s="11" t="str">
        <f>'Other non-financial'!F184</f>
        <v>r0390 - Non-financial liabilities</v>
      </c>
      <c r="F190" s="11" t="str">
        <f>IF(E190="r0170 - Employee liabilities (BRRD art. 44/2/g/i)","c001x   - Households",IF('Other non-financial'!C184="particulares","c001x   - Households",IF('Other non-financial'!C184="outras instituicoes financeiras","c005x   - Other financial corporations",IF('Other non-financial'!C184="instituicoes de credito","c004x   - Institutions",IF(AND('Other non-financial'!C184="outras empresas nao financeiras",'Other non-financial'!D184="1"),"c002x   - Micro &amp; SME",IF(AND('Other non-financial'!C184="outras empresas nao financeiras",'Other non-financial'!D184&lt;&gt;"1"),"c003x   - Corporates",IF('Other non-financial'!C184="","c010x   - Non-identified, not listed on an exchange platform",IF(OR('Other non-financial'!C184="setor publico",'Other non-financial'!C184="bancos centrais"),"c008x   - Government, central banks &amp; supranationals",""))))))))</f>
        <v>c005x   - Other financial corporations</v>
      </c>
      <c r="G190" s="11" t="str">
        <f>'Other non-financial'!G184</f>
        <v>Rank 9 - Ranking in insolvency (master scale)</v>
      </c>
      <c r="H190" s="11">
        <v>0</v>
      </c>
      <c r="I190" s="11">
        <v>0</v>
      </c>
      <c r="J190" s="11" t="s">
        <v>64</v>
      </c>
      <c r="K190" s="14" t="s">
        <v>65</v>
      </c>
      <c r="L190" s="11" t="str">
        <f>'Other non-financial'!H184</f>
        <v>Liabilities other than financial liabilities, provisions, tax liabilities, deferred income</v>
      </c>
      <c r="M190" s="12">
        <f>'Other non-financial'!B184</f>
        <v>3002174.06</v>
      </c>
      <c r="N190" s="11" t="str">
        <f>'Other non-financial'!A184</f>
        <v>EURO</v>
      </c>
      <c r="O190" s="11" t="str">
        <f>'Other non-financial'!E184</f>
        <v>2022-12-31</v>
      </c>
      <c r="P190" s="15">
        <v>72716</v>
      </c>
      <c r="Q190" s="11" t="s">
        <v>66</v>
      </c>
      <c r="R190" s="11">
        <v>0</v>
      </c>
    </row>
    <row r="191" spans="3:18" ht="60.75" thickBot="1">
      <c r="C191" s="10" t="s">
        <v>63</v>
      </c>
      <c r="D191" s="11">
        <v>184</v>
      </c>
      <c r="E191" s="11" t="str">
        <f>'Other non-financial'!F185</f>
        <v>r0390 - Non-financial liabilities</v>
      </c>
      <c r="F191" s="11" t="str">
        <f>IF(E191="r0170 - Employee liabilities (BRRD art. 44/2/g/i)","c001x   - Households",IF('Other non-financial'!C185="particulares","c001x   - Households",IF('Other non-financial'!C185="outras instituicoes financeiras","c005x   - Other financial corporations",IF('Other non-financial'!C185="instituicoes de credito","c004x   - Institutions",IF(AND('Other non-financial'!C185="outras empresas nao financeiras",'Other non-financial'!D185="1"),"c002x   - Micro &amp; SME",IF(AND('Other non-financial'!C185="outras empresas nao financeiras",'Other non-financial'!D185&lt;&gt;"1"),"c003x   - Corporates",IF('Other non-financial'!C185="","c010x   - Non-identified, not listed on an exchange platform",IF(OR('Other non-financial'!C185="setor publico",'Other non-financial'!C185="bancos centrais"),"c008x   - Government, central banks &amp; supranationals",""))))))))</f>
        <v>c005x   - Other financial corporations</v>
      </c>
      <c r="G191" s="11" t="str">
        <f>'Other non-financial'!G185</f>
        <v>Rank 9 - Ranking in insolvency (master scale)</v>
      </c>
      <c r="H191" s="11">
        <v>0</v>
      </c>
      <c r="I191" s="11">
        <v>0</v>
      </c>
      <c r="J191" s="11" t="s">
        <v>64</v>
      </c>
      <c r="K191" s="14" t="s">
        <v>65</v>
      </c>
      <c r="L191" s="11" t="str">
        <f>'Other non-financial'!H185</f>
        <v>Liabilities other than financial liabilities, provisions, tax liabilities, deferred income</v>
      </c>
      <c r="M191" s="12">
        <f>'Other non-financial'!B185</f>
        <v>4588.1600000000008</v>
      </c>
      <c r="N191" s="11" t="str">
        <f>'Other non-financial'!A185</f>
        <v>EURO</v>
      </c>
      <c r="O191" s="11" t="str">
        <f>'Other non-financial'!E185</f>
        <v>2022-12-31</v>
      </c>
      <c r="P191" s="15">
        <v>72716</v>
      </c>
      <c r="Q191" s="11" t="s">
        <v>66</v>
      </c>
      <c r="R191" s="11">
        <v>0</v>
      </c>
    </row>
    <row r="192" spans="3:18" ht="60.75" thickBot="1">
      <c r="C192" s="10" t="s">
        <v>63</v>
      </c>
      <c r="D192" s="11">
        <v>185</v>
      </c>
      <c r="E192" s="11" t="str">
        <f>'Other non-financial'!F186</f>
        <v>r0390 - Non-financial liabilities</v>
      </c>
      <c r="F192" s="11" t="str">
        <f>IF(E192="r0170 - Employee liabilities (BRRD art. 44/2/g/i)","c001x   - Households",IF('Other non-financial'!C186="particulares","c001x   - Households",IF('Other non-financial'!C186="outras instituicoes financeiras","c005x   - Other financial corporations",IF('Other non-financial'!C186="instituicoes de credito","c004x   - Institutions",IF(AND('Other non-financial'!C186="outras empresas nao financeiras",'Other non-financial'!D186="1"),"c002x   - Micro &amp; SME",IF(AND('Other non-financial'!C186="outras empresas nao financeiras",'Other non-financial'!D186&lt;&gt;"1"),"c003x   - Corporates",IF('Other non-financial'!C186="","c010x   - Non-identified, not listed on an exchange platform",IF(OR('Other non-financial'!C186="setor publico",'Other non-financial'!C186="bancos centrais"),"c008x   - Government, central banks &amp; supranationals",""))))))))</f>
        <v>c005x   - Other financial corporations</v>
      </c>
      <c r="G192" s="11" t="str">
        <f>'Other non-financial'!G186</f>
        <v>Rank 9 - Ranking in insolvency (master scale)</v>
      </c>
      <c r="H192" s="11">
        <v>0</v>
      </c>
      <c r="I192" s="11">
        <v>0</v>
      </c>
      <c r="J192" s="11" t="s">
        <v>64</v>
      </c>
      <c r="K192" s="14" t="s">
        <v>65</v>
      </c>
      <c r="L192" s="11" t="str">
        <f>'Other non-financial'!H186</f>
        <v>Liabilities other than financial liabilities, provisions, tax liabilities, deferred income</v>
      </c>
      <c r="M192" s="12">
        <f>'Other non-financial'!B186</f>
        <v>6635.14</v>
      </c>
      <c r="N192" s="11" t="str">
        <f>'Other non-financial'!A186</f>
        <v>EURO</v>
      </c>
      <c r="O192" s="11" t="str">
        <f>'Other non-financial'!E186</f>
        <v>2022-12-31</v>
      </c>
      <c r="P192" s="15">
        <v>72716</v>
      </c>
      <c r="Q192" s="11" t="s">
        <v>66</v>
      </c>
      <c r="R192" s="11">
        <v>0</v>
      </c>
    </row>
    <row r="193" spans="3:18" ht="36.75" thickBot="1">
      <c r="C193" s="10" t="s">
        <v>63</v>
      </c>
      <c r="D193" s="11">
        <v>186</v>
      </c>
      <c r="E193" s="11" t="str">
        <f>'Other non-financial'!F187</f>
        <v>r0390 - Non-financial liabilities</v>
      </c>
      <c r="F193" s="11" t="str">
        <f>IF(E193="r0170 - Employee liabilities (BRRD art. 44/2/g/i)","c001x   - Households",IF('Other non-financial'!C187="particulares","c001x   - Households",IF('Other non-financial'!C187="outras instituicoes financeiras","c005x   - Other financial corporations",IF('Other non-financial'!C187="instituicoes de credito","c004x   - Institutions",IF(AND('Other non-financial'!C187="outras empresas nao financeiras",'Other non-financial'!D187="1"),"c002x   - Micro &amp; SME",IF(AND('Other non-financial'!C187="outras empresas nao financeiras",'Other non-financial'!D187&lt;&gt;"1"),"c003x   - Corporates",IF('Other non-financial'!C187="","c010x   - Non-identified, not listed on an exchange platform",IF(OR('Other non-financial'!C187="setor publico",'Other non-financial'!C187="bancos centrais"),"c008x   - Government, central banks &amp; supranationals",""))))))))</f>
        <v>c005x   - Other financial corporations</v>
      </c>
      <c r="G193" s="11" t="str">
        <f>'Other non-financial'!G187</f>
        <v>Rank 9 - Ranking in insolvency (master scale)</v>
      </c>
      <c r="H193" s="11">
        <v>0</v>
      </c>
      <c r="I193" s="11">
        <v>0</v>
      </c>
      <c r="J193" s="11" t="s">
        <v>64</v>
      </c>
      <c r="K193" s="14" t="s">
        <v>65</v>
      </c>
      <c r="L193" s="11" t="str">
        <f>'Other non-financial'!H187</f>
        <v>Provisions. Off-balance sheet exposures subject to credit risk</v>
      </c>
      <c r="M193" s="12">
        <f>'Other non-financial'!B187</f>
        <v>20453.930000000004</v>
      </c>
      <c r="N193" s="11" t="str">
        <f>'Other non-financial'!A187</f>
        <v>EURO</v>
      </c>
      <c r="O193" s="11" t="str">
        <f>'Other non-financial'!E187</f>
        <v>2022-12-31</v>
      </c>
      <c r="P193" s="15">
        <v>72716</v>
      </c>
      <c r="Q193" s="11" t="s">
        <v>66</v>
      </c>
      <c r="R193" s="11">
        <v>0</v>
      </c>
    </row>
    <row r="194" spans="3:18" ht="36.75" thickBot="1">
      <c r="C194" s="10" t="s">
        <v>63</v>
      </c>
      <c r="D194" s="11">
        <v>187</v>
      </c>
      <c r="E194" s="11" t="str">
        <f>'Other non-financial'!F188</f>
        <v>r0390 - Non-financial liabilities</v>
      </c>
      <c r="F194" s="11" t="str">
        <f>IF(E194="r0170 - Employee liabilities (BRRD art. 44/2/g/i)","c001x   - Households",IF('Other non-financial'!C188="particulares","c001x   - Households",IF('Other non-financial'!C188="outras instituicoes financeiras","c005x   - Other financial corporations",IF('Other non-financial'!C188="instituicoes de credito","c004x   - Institutions",IF(AND('Other non-financial'!C188="outras empresas nao financeiras",'Other non-financial'!D188="1"),"c002x   - Micro &amp; SME",IF(AND('Other non-financial'!C188="outras empresas nao financeiras",'Other non-financial'!D188&lt;&gt;"1"),"c003x   - Corporates",IF('Other non-financial'!C188="","c010x   - Non-identified, not listed on an exchange platform",IF(OR('Other non-financial'!C188="setor publico",'Other non-financial'!C188="bancos centrais"),"c008x   - Government, central banks &amp; supranationals",""))))))))</f>
        <v>c005x   - Other financial corporations</v>
      </c>
      <c r="G194" s="11" t="str">
        <f>'Other non-financial'!G188</f>
        <v>Rank 9 - Ranking in insolvency (master scale)</v>
      </c>
      <c r="H194" s="11">
        <v>0</v>
      </c>
      <c r="I194" s="11">
        <v>0</v>
      </c>
      <c r="J194" s="11" t="s">
        <v>64</v>
      </c>
      <c r="K194" s="14" t="s">
        <v>65</v>
      </c>
      <c r="L194" s="11" t="str">
        <f>'Other non-financial'!H188</f>
        <v>Provisions. Off-balance sheet exposures subject to credit risk</v>
      </c>
      <c r="M194" s="12">
        <f>'Other non-financial'!B188</f>
        <v>151.15</v>
      </c>
      <c r="N194" s="11" t="str">
        <f>'Other non-financial'!A188</f>
        <v>EURO</v>
      </c>
      <c r="O194" s="11" t="str">
        <f>'Other non-financial'!E188</f>
        <v>2022-12-31</v>
      </c>
      <c r="P194" s="15">
        <v>72716</v>
      </c>
      <c r="Q194" s="11" t="s">
        <v>66</v>
      </c>
      <c r="R194" s="11">
        <v>0</v>
      </c>
    </row>
    <row r="195" spans="3:18" ht="36.75" thickBot="1">
      <c r="C195" s="10" t="s">
        <v>63</v>
      </c>
      <c r="D195" s="11">
        <v>188</v>
      </c>
      <c r="E195" s="11" t="str">
        <f>'Other non-financial'!F189</f>
        <v>r0390 - Non-financial liabilities</v>
      </c>
      <c r="F195" s="11" t="str">
        <f>IF(E195="r0170 - Employee liabilities (BRRD art. 44/2/g/i)","c001x   - Households",IF('Other non-financial'!C189="particulares","c001x   - Households",IF('Other non-financial'!C189="outras instituicoes financeiras","c005x   - Other financial corporations",IF('Other non-financial'!C189="instituicoes de credito","c004x   - Institutions",IF(AND('Other non-financial'!C189="outras empresas nao financeiras",'Other non-financial'!D189="1"),"c002x   - Micro &amp; SME",IF(AND('Other non-financial'!C189="outras empresas nao financeiras",'Other non-financial'!D189&lt;&gt;"1"),"c003x   - Corporates",IF('Other non-financial'!C189="","c010x   - Non-identified, not listed on an exchange platform",IF(OR('Other non-financial'!C189="setor publico",'Other non-financial'!C189="bancos centrais"),"c008x   - Government, central banks &amp; supranationals",""))))))))</f>
        <v>c005x   - Other financial corporations</v>
      </c>
      <c r="G195" s="11" t="str">
        <f>'Other non-financial'!G189</f>
        <v>Rank 9 - Ranking in insolvency (master scale)</v>
      </c>
      <c r="H195" s="11">
        <v>0</v>
      </c>
      <c r="I195" s="11">
        <v>0</v>
      </c>
      <c r="J195" s="11" t="s">
        <v>64</v>
      </c>
      <c r="K195" s="14" t="s">
        <v>65</v>
      </c>
      <c r="L195" s="11" t="str">
        <f>'Other non-financial'!H189</f>
        <v>Provisions. Off-balance sheet exposures subject to credit risk</v>
      </c>
      <c r="M195" s="12">
        <f>'Other non-financial'!B189</f>
        <v>2336.0200000000004</v>
      </c>
      <c r="N195" s="11" t="str">
        <f>'Other non-financial'!A189</f>
        <v>EURO</v>
      </c>
      <c r="O195" s="11" t="str">
        <f>'Other non-financial'!E189</f>
        <v>2022-12-31</v>
      </c>
      <c r="P195" s="15">
        <v>72716</v>
      </c>
      <c r="Q195" s="11" t="s">
        <v>66</v>
      </c>
      <c r="R195" s="11">
        <v>0</v>
      </c>
    </row>
    <row r="196" spans="3:18" ht="36.75" thickBot="1">
      <c r="C196" s="10" t="s">
        <v>63</v>
      </c>
      <c r="D196" s="11">
        <v>189</v>
      </c>
      <c r="E196" s="11" t="str">
        <f>'Other non-financial'!F190</f>
        <v>r0390 - Non-financial liabilities</v>
      </c>
      <c r="F196" s="11" t="str">
        <f>IF(E196="r0170 - Employee liabilities (BRRD art. 44/2/g/i)","c001x   - Households",IF('Other non-financial'!C190="particulares","c001x   - Households",IF('Other non-financial'!C190="outras instituicoes financeiras","c005x   - Other financial corporations",IF('Other non-financial'!C190="instituicoes de credito","c004x   - Institutions",IF(AND('Other non-financial'!C190="outras empresas nao financeiras",'Other non-financial'!D190="1"),"c002x   - Micro &amp; SME",IF(AND('Other non-financial'!C190="outras empresas nao financeiras",'Other non-financial'!D190&lt;&gt;"1"),"c003x   - Corporates",IF('Other non-financial'!C190="","c010x   - Non-identified, not listed on an exchange platform",IF(OR('Other non-financial'!C190="setor publico",'Other non-financial'!C190="bancos centrais"),"c008x   - Government, central banks &amp; supranationals",""))))))))</f>
        <v>c005x   - Other financial corporations</v>
      </c>
      <c r="G196" s="11" t="str">
        <f>'Other non-financial'!G190</f>
        <v>Rank 9 - Ranking in insolvency (master scale)</v>
      </c>
      <c r="H196" s="11">
        <v>0</v>
      </c>
      <c r="I196" s="11">
        <v>0</v>
      </c>
      <c r="J196" s="11" t="s">
        <v>64</v>
      </c>
      <c r="K196" s="14" t="s">
        <v>65</v>
      </c>
      <c r="L196" s="11" t="str">
        <f>'Other non-financial'!H190</f>
        <v>Provisions. Off-balance sheet exposures subject to credit risk</v>
      </c>
      <c r="M196" s="12">
        <f>'Other non-financial'!B190</f>
        <v>556.71</v>
      </c>
      <c r="N196" s="11" t="str">
        <f>'Other non-financial'!A190</f>
        <v>EURO</v>
      </c>
      <c r="O196" s="11" t="str">
        <f>'Other non-financial'!E190</f>
        <v>2022-12-31</v>
      </c>
      <c r="P196" s="15">
        <v>72716</v>
      </c>
      <c r="Q196" s="11" t="s">
        <v>66</v>
      </c>
      <c r="R196" s="11">
        <v>0</v>
      </c>
    </row>
    <row r="197" spans="3:18" ht="36.75" thickBot="1">
      <c r="C197" s="10" t="s">
        <v>63</v>
      </c>
      <c r="D197" s="11">
        <v>190</v>
      </c>
      <c r="E197" s="11" t="str">
        <f>'Other non-financial'!F191</f>
        <v>r0390 - Non-financial liabilities</v>
      </c>
      <c r="F197" s="11" t="str">
        <f>IF(E197="r0170 - Employee liabilities (BRRD art. 44/2/g/i)","c001x   - Households",IF('Other non-financial'!C191="particulares","c001x   - Households",IF('Other non-financial'!C191="outras instituicoes financeiras","c005x   - Other financial corporations",IF('Other non-financial'!C191="instituicoes de credito","c004x   - Institutions",IF(AND('Other non-financial'!C191="outras empresas nao financeiras",'Other non-financial'!D191="1"),"c002x   - Micro &amp; SME",IF(AND('Other non-financial'!C191="outras empresas nao financeiras",'Other non-financial'!D191&lt;&gt;"1"),"c003x   - Corporates",IF('Other non-financial'!C191="","c010x   - Non-identified, not listed on an exchange platform",IF(OR('Other non-financial'!C191="setor publico",'Other non-financial'!C191="bancos centrais"),"c008x   - Government, central banks &amp; supranationals",""))))))))</f>
        <v>c005x   - Other financial corporations</v>
      </c>
      <c r="G197" s="11" t="str">
        <f>'Other non-financial'!G191</f>
        <v>Rank 9 - Ranking in insolvency (master scale)</v>
      </c>
      <c r="H197" s="11">
        <v>0</v>
      </c>
      <c r="I197" s="11">
        <v>0</v>
      </c>
      <c r="J197" s="11" t="s">
        <v>64</v>
      </c>
      <c r="K197" s="14" t="s">
        <v>65</v>
      </c>
      <c r="L197" s="11" t="str">
        <f>'Other non-financial'!H191</f>
        <v>Provisions. Off-balance sheet exposures subject to credit risk</v>
      </c>
      <c r="M197" s="12">
        <f>'Other non-financial'!B191</f>
        <v>8144.0099999999993</v>
      </c>
      <c r="N197" s="11" t="str">
        <f>'Other non-financial'!A191</f>
        <v>EURO</v>
      </c>
      <c r="O197" s="11" t="str">
        <f>'Other non-financial'!E191</f>
        <v>2022-12-31</v>
      </c>
      <c r="P197" s="15">
        <v>72716</v>
      </c>
      <c r="Q197" s="11" t="s">
        <v>66</v>
      </c>
      <c r="R197" s="11">
        <v>0</v>
      </c>
    </row>
    <row r="198" spans="3:18" ht="60.75" thickBot="1">
      <c r="C198" s="10" t="s">
        <v>63</v>
      </c>
      <c r="D198" s="11">
        <v>191</v>
      </c>
      <c r="E198" s="11" t="str">
        <f>'Other non-financial'!F192</f>
        <v>r0390 - Non-financial liabilities</v>
      </c>
      <c r="F198" s="11" t="str">
        <f>IF(E198="r0170 - Employee liabilities (BRRD art. 44/2/g/i)","c001x   - Households",IF('Other non-financial'!C192="particulares","c001x   - Households",IF('Other non-financial'!C192="outras instituicoes financeiras","c005x   - Other financial corporations",IF('Other non-financial'!C192="instituicoes de credito","c004x   - Institutions",IF(AND('Other non-financial'!C192="outras empresas nao financeiras",'Other non-financial'!D192="1"),"c002x   - Micro &amp; SME",IF(AND('Other non-financial'!C192="outras empresas nao financeiras",'Other non-financial'!D192&lt;&gt;"1"),"c003x   - Corporates",IF('Other non-financial'!C192="","c010x   - Non-identified, not listed on an exchange platform",IF(OR('Other non-financial'!C192="setor publico",'Other non-financial'!C192="bancos centrais"),"c008x   - Government, central banks &amp; supranationals",""))))))))</f>
        <v>c005x   - Other financial corporations</v>
      </c>
      <c r="G198" s="11" t="str">
        <f>'Other non-financial'!G192</f>
        <v>Rank 9 - Ranking in insolvency (master scale)</v>
      </c>
      <c r="H198" s="11">
        <v>0</v>
      </c>
      <c r="I198" s="11">
        <v>0</v>
      </c>
      <c r="J198" s="11" t="s">
        <v>64</v>
      </c>
      <c r="K198" s="14" t="s">
        <v>65</v>
      </c>
      <c r="L198" s="11" t="str">
        <f>'Other non-financial'!H192</f>
        <v>Liabilities other than financial liabilities, provisions, tax liabilities, deferred income</v>
      </c>
      <c r="M198" s="12">
        <f>'Other non-financial'!B192</f>
        <v>77463.820000000007</v>
      </c>
      <c r="N198" s="11" t="str">
        <f>'Other non-financial'!A192</f>
        <v>EURO</v>
      </c>
      <c r="O198" s="11" t="str">
        <f>'Other non-financial'!E192</f>
        <v>2022-12-31</v>
      </c>
      <c r="P198" s="15">
        <v>72716</v>
      </c>
      <c r="Q198" s="11" t="s">
        <v>66</v>
      </c>
      <c r="R198" s="11">
        <v>0</v>
      </c>
    </row>
    <row r="199" spans="3:18" ht="60.75" thickBot="1">
      <c r="C199" s="10" t="s">
        <v>63</v>
      </c>
      <c r="D199" s="11">
        <v>192</v>
      </c>
      <c r="E199" s="11" t="str">
        <f>'Other non-financial'!F193</f>
        <v>r0390 - Non-financial liabilities</v>
      </c>
      <c r="F199" s="11" t="str">
        <f>IF(E199="r0170 - Employee liabilities (BRRD art. 44/2/g/i)","c001x   - Households",IF('Other non-financial'!C193="particulares","c001x   - Households",IF('Other non-financial'!C193="outras instituicoes financeiras","c005x   - Other financial corporations",IF('Other non-financial'!C193="instituicoes de credito","c004x   - Institutions",IF(AND('Other non-financial'!C193="outras empresas nao financeiras",'Other non-financial'!D193="1"),"c002x   - Micro &amp; SME",IF(AND('Other non-financial'!C193="outras empresas nao financeiras",'Other non-financial'!D193&lt;&gt;"1"),"c003x   - Corporates",IF('Other non-financial'!C193="","c010x   - Non-identified, not listed on an exchange platform",IF(OR('Other non-financial'!C193="setor publico",'Other non-financial'!C193="bancos centrais"),"c008x   - Government, central banks &amp; supranationals",""))))))))</f>
        <v>c005x   - Other financial corporations</v>
      </c>
      <c r="G199" s="11" t="str">
        <f>'Other non-financial'!G193</f>
        <v>Rank 9 - Ranking in insolvency (master scale)</v>
      </c>
      <c r="H199" s="11">
        <v>0</v>
      </c>
      <c r="I199" s="11">
        <v>0</v>
      </c>
      <c r="J199" s="11" t="s">
        <v>64</v>
      </c>
      <c r="K199" s="14" t="s">
        <v>65</v>
      </c>
      <c r="L199" s="11" t="str">
        <f>'Other non-financial'!H193</f>
        <v>Liabilities other than financial liabilities, provisions, tax liabilities, deferred income</v>
      </c>
      <c r="M199" s="12">
        <f>'Other non-financial'!B193</f>
        <v>426530</v>
      </c>
      <c r="N199" s="11" t="str">
        <f>'Other non-financial'!A193</f>
        <v>EURO</v>
      </c>
      <c r="O199" s="11" t="str">
        <f>'Other non-financial'!E193</f>
        <v>2022-12-31</v>
      </c>
      <c r="P199" s="15">
        <v>72716</v>
      </c>
      <c r="Q199" s="11" t="s">
        <v>66</v>
      </c>
      <c r="R199" s="11">
        <v>0</v>
      </c>
    </row>
    <row r="200" spans="3:18" ht="60.75" thickBot="1">
      <c r="C200" s="10" t="s">
        <v>63</v>
      </c>
      <c r="D200" s="11">
        <v>193</v>
      </c>
      <c r="E200" s="11" t="str">
        <f>'Other non-financial'!F194</f>
        <v>r0390 - Non-financial liabilities</v>
      </c>
      <c r="F200" s="11" t="str">
        <f>IF(E200="r0170 - Employee liabilities (BRRD art. 44/2/g/i)","c001x   - Households",IF('Other non-financial'!C194="particulares","c001x   - Households",IF('Other non-financial'!C194="outras instituicoes financeiras","c005x   - Other financial corporations",IF('Other non-financial'!C194="instituicoes de credito","c004x   - Institutions",IF(AND('Other non-financial'!C194="outras empresas nao financeiras",'Other non-financial'!D194="1"),"c002x   - Micro &amp; SME",IF(AND('Other non-financial'!C194="outras empresas nao financeiras",'Other non-financial'!D194&lt;&gt;"1"),"c003x   - Corporates",IF('Other non-financial'!C194="","c010x   - Non-identified, not listed on an exchange platform",IF(OR('Other non-financial'!C194="setor publico",'Other non-financial'!C194="bancos centrais"),"c008x   - Government, central banks &amp; supranationals",""))))))))</f>
        <v>c005x   - Other financial corporations</v>
      </c>
      <c r="G200" s="11" t="str">
        <f>'Other non-financial'!G194</f>
        <v>Rank 9 - Ranking in insolvency (master scale)</v>
      </c>
      <c r="H200" s="11">
        <v>0</v>
      </c>
      <c r="I200" s="11">
        <v>0</v>
      </c>
      <c r="J200" s="11" t="s">
        <v>64</v>
      </c>
      <c r="K200" s="14" t="s">
        <v>65</v>
      </c>
      <c r="L200" s="11" t="str">
        <f>'Other non-financial'!H194</f>
        <v>Liabilities other than financial liabilities, provisions, tax liabilities, deferred income</v>
      </c>
      <c r="M200" s="12">
        <f>'Other non-financial'!B194</f>
        <v>1197.07</v>
      </c>
      <c r="N200" s="11" t="str">
        <f>'Other non-financial'!A194</f>
        <v>EURO</v>
      </c>
      <c r="O200" s="11" t="str">
        <f>'Other non-financial'!E194</f>
        <v>2022-12-31</v>
      </c>
      <c r="P200" s="15">
        <v>72716</v>
      </c>
      <c r="Q200" s="11" t="s">
        <v>66</v>
      </c>
      <c r="R200" s="11">
        <v>0</v>
      </c>
    </row>
    <row r="201" spans="3:18" ht="60.75" thickBot="1">
      <c r="C201" s="10" t="s">
        <v>63</v>
      </c>
      <c r="D201" s="11">
        <v>194</v>
      </c>
      <c r="E201" s="11" t="str">
        <f>'Other non-financial'!F195</f>
        <v>r0390 - Non-financial liabilities</v>
      </c>
      <c r="F201" s="11" t="str">
        <f>IF(E201="r0170 - Employee liabilities (BRRD art. 44/2/g/i)","c001x   - Households",IF('Other non-financial'!C195="particulares","c001x   - Households",IF('Other non-financial'!C195="outras instituicoes financeiras","c005x   - Other financial corporations",IF('Other non-financial'!C195="instituicoes de credito","c004x   - Institutions",IF(AND('Other non-financial'!C195="outras empresas nao financeiras",'Other non-financial'!D195="1"),"c002x   - Micro &amp; SME",IF(AND('Other non-financial'!C195="outras empresas nao financeiras",'Other non-financial'!D195&lt;&gt;"1"),"c003x   - Corporates",IF('Other non-financial'!C195="","c010x   - Non-identified, not listed on an exchange platform",IF(OR('Other non-financial'!C195="setor publico",'Other non-financial'!C195="bancos centrais"),"c008x   - Government, central banks &amp; supranationals",""))))))))</f>
        <v>c005x   - Other financial corporations</v>
      </c>
      <c r="G201" s="11" t="str">
        <f>'Other non-financial'!G195</f>
        <v>Rank 9 - Ranking in insolvency (master scale)</v>
      </c>
      <c r="H201" s="11">
        <v>0</v>
      </c>
      <c r="I201" s="11">
        <v>0</v>
      </c>
      <c r="J201" s="11" t="s">
        <v>64</v>
      </c>
      <c r="K201" s="14" t="s">
        <v>65</v>
      </c>
      <c r="L201" s="11" t="str">
        <f>'Other non-financial'!H195</f>
        <v>Liabilities other than financial liabilities, provisions, tax liabilities, deferred income</v>
      </c>
      <c r="M201" s="12">
        <f>'Other non-financial'!B195</f>
        <v>16108.869999999994</v>
      </c>
      <c r="N201" s="11" t="str">
        <f>'Other non-financial'!A195</f>
        <v>EURO</v>
      </c>
      <c r="O201" s="11" t="str">
        <f>'Other non-financial'!E195</f>
        <v>2022-12-31</v>
      </c>
      <c r="P201" s="15">
        <v>72716</v>
      </c>
      <c r="Q201" s="11" t="s">
        <v>66</v>
      </c>
      <c r="R201" s="11">
        <v>0</v>
      </c>
    </row>
    <row r="202" spans="3:18" ht="36.75" thickBot="1">
      <c r="C202" s="10" t="s">
        <v>63</v>
      </c>
      <c r="D202" s="11">
        <v>195</v>
      </c>
      <c r="E202" s="11" t="str">
        <f>'Other non-financial'!F196</f>
        <v>r0390 - Non-financial liabilities</v>
      </c>
      <c r="F202" s="11" t="str">
        <f>IF(E202="r0170 - Employee liabilities (BRRD art. 44/2/g/i)","c001x   - Households",IF('Other non-financial'!C196="particulares","c001x   - Households",IF('Other non-financial'!C196="outras instituicoes financeiras","c005x   - Other financial corporations",IF('Other non-financial'!C196="instituicoes de credito","c004x   - Institutions",IF(AND('Other non-financial'!C196="outras empresas nao financeiras",'Other non-financial'!D196="1"),"c002x   - Micro &amp; SME",IF(AND('Other non-financial'!C196="outras empresas nao financeiras",'Other non-financial'!D196&lt;&gt;"1"),"c003x   - Corporates",IF('Other non-financial'!C196="","c010x   - Non-identified, not listed on an exchange platform",IF(OR('Other non-financial'!C196="setor publico",'Other non-financial'!C196="bancos centrais"),"c008x   - Government, central banks &amp; supranationals",""))))))))</f>
        <v>c005x   - Other financial corporations</v>
      </c>
      <c r="G202" s="11" t="str">
        <f>'Other non-financial'!G196</f>
        <v>Rank 9 - Ranking in insolvency (master scale)</v>
      </c>
      <c r="H202" s="11">
        <v>0</v>
      </c>
      <c r="I202" s="11">
        <v>0</v>
      </c>
      <c r="J202" s="11" t="s">
        <v>64</v>
      </c>
      <c r="K202" s="14" t="s">
        <v>65</v>
      </c>
      <c r="L202" s="11" t="str">
        <f>'Other non-financial'!H196</f>
        <v>Provisions. Off-balance sheet exposures subject to credit risk</v>
      </c>
      <c r="M202" s="12">
        <f>'Other non-financial'!B196</f>
        <v>535.34</v>
      </c>
      <c r="N202" s="11" t="str">
        <f>'Other non-financial'!A196</f>
        <v>EURO</v>
      </c>
      <c r="O202" s="11" t="str">
        <f>'Other non-financial'!E196</f>
        <v>2022-12-31</v>
      </c>
      <c r="P202" s="15">
        <v>72716</v>
      </c>
      <c r="Q202" s="11" t="s">
        <v>66</v>
      </c>
      <c r="R202" s="11">
        <v>0</v>
      </c>
    </row>
    <row r="203" spans="3:18" ht="36.75" thickBot="1">
      <c r="C203" s="10" t="s">
        <v>63</v>
      </c>
      <c r="D203" s="11">
        <v>196</v>
      </c>
      <c r="E203" s="11" t="str">
        <f>'Other non-financial'!F197</f>
        <v>r0390 - Non-financial liabilities</v>
      </c>
      <c r="F203" s="11" t="str">
        <f>IF(E203="r0170 - Employee liabilities (BRRD art. 44/2/g/i)","c001x   - Households",IF('Other non-financial'!C197="particulares","c001x   - Households",IF('Other non-financial'!C197="outras instituicoes financeiras","c005x   - Other financial corporations",IF('Other non-financial'!C197="instituicoes de credito","c004x   - Institutions",IF(AND('Other non-financial'!C197="outras empresas nao financeiras",'Other non-financial'!D197="1"),"c002x   - Micro &amp; SME",IF(AND('Other non-financial'!C197="outras empresas nao financeiras",'Other non-financial'!D197&lt;&gt;"1"),"c003x   - Corporates",IF('Other non-financial'!C197="","c010x   - Non-identified, not listed on an exchange platform",IF(OR('Other non-financial'!C197="setor publico",'Other non-financial'!C197="bancos centrais"),"c008x   - Government, central banks &amp; supranationals",""))))))))</f>
        <v>c005x   - Other financial corporations</v>
      </c>
      <c r="G203" s="11" t="str">
        <f>'Other non-financial'!G197</f>
        <v>Rank 9 - Ranking in insolvency (master scale)</v>
      </c>
      <c r="H203" s="11">
        <v>0</v>
      </c>
      <c r="I203" s="11">
        <v>0</v>
      </c>
      <c r="J203" s="11" t="s">
        <v>64</v>
      </c>
      <c r="K203" s="14" t="s">
        <v>65</v>
      </c>
      <c r="L203" s="11" t="str">
        <f>'Other non-financial'!H197</f>
        <v>Provisions. Off-balance sheet exposures subject to credit risk</v>
      </c>
      <c r="M203" s="12">
        <f>'Other non-financial'!B197</f>
        <v>693.82999999999993</v>
      </c>
      <c r="N203" s="11" t="str">
        <f>'Other non-financial'!A197</f>
        <v>EURO</v>
      </c>
      <c r="O203" s="11" t="str">
        <f>'Other non-financial'!E197</f>
        <v>2022-12-31</v>
      </c>
      <c r="P203" s="15">
        <v>72716</v>
      </c>
      <c r="Q203" s="11" t="s">
        <v>66</v>
      </c>
      <c r="R203" s="11">
        <v>0</v>
      </c>
    </row>
    <row r="204" spans="3:18" ht="36.75" thickBot="1">
      <c r="C204" s="10" t="s">
        <v>63</v>
      </c>
      <c r="D204" s="11">
        <v>197</v>
      </c>
      <c r="E204" s="11" t="str">
        <f>'Other non-financial'!F198</f>
        <v>r0390 - Non-financial liabilities</v>
      </c>
      <c r="F204" s="11" t="str">
        <f>IF(E204="r0170 - Employee liabilities (BRRD art. 44/2/g/i)","c001x   - Households",IF('Other non-financial'!C198="particulares","c001x   - Households",IF('Other non-financial'!C198="outras instituicoes financeiras","c005x   - Other financial corporations",IF('Other non-financial'!C198="instituicoes de credito","c004x   - Institutions",IF(AND('Other non-financial'!C198="outras empresas nao financeiras",'Other non-financial'!D198="1"),"c002x   - Micro &amp; SME",IF(AND('Other non-financial'!C198="outras empresas nao financeiras",'Other non-financial'!D198&lt;&gt;"1"),"c003x   - Corporates",IF('Other non-financial'!C198="","c010x   - Non-identified, not listed on an exchange platform",IF(OR('Other non-financial'!C198="setor publico",'Other non-financial'!C198="bancos centrais"),"c008x   - Government, central banks &amp; supranationals",""))))))))</f>
        <v>c005x   - Other financial corporations</v>
      </c>
      <c r="G204" s="11" t="str">
        <f>'Other non-financial'!G198</f>
        <v>Rank 9 - Ranking in insolvency (master scale)</v>
      </c>
      <c r="H204" s="11">
        <v>0</v>
      </c>
      <c r="I204" s="11">
        <v>0</v>
      </c>
      <c r="J204" s="11" t="s">
        <v>64</v>
      </c>
      <c r="K204" s="14" t="s">
        <v>65</v>
      </c>
      <c r="L204" s="11" t="str">
        <f>'Other non-financial'!H198</f>
        <v>Provisions. Off-balance sheet exposures subject to credit risk</v>
      </c>
      <c r="M204" s="12">
        <f>'Other non-financial'!B198</f>
        <v>15.56</v>
      </c>
      <c r="N204" s="11" t="str">
        <f>'Other non-financial'!A198</f>
        <v>EURO</v>
      </c>
      <c r="O204" s="11" t="str">
        <f>'Other non-financial'!E198</f>
        <v>2022-12-31</v>
      </c>
      <c r="P204" s="15">
        <v>72716</v>
      </c>
      <c r="Q204" s="11" t="s">
        <v>66</v>
      </c>
      <c r="R204" s="11">
        <v>0</v>
      </c>
    </row>
    <row r="205" spans="3:18" ht="36.75" thickBot="1">
      <c r="C205" s="10" t="s">
        <v>63</v>
      </c>
      <c r="D205" s="11">
        <v>198</v>
      </c>
      <c r="E205" s="11" t="str">
        <f>'Other non-financial'!F199</f>
        <v>r0390 - Non-financial liabilities</v>
      </c>
      <c r="F205" s="11" t="str">
        <f>IF(E205="r0170 - Employee liabilities (BRRD art. 44/2/g/i)","c001x   - Households",IF('Other non-financial'!C199="particulares","c001x   - Households",IF('Other non-financial'!C199="outras instituicoes financeiras","c005x   - Other financial corporations",IF('Other non-financial'!C199="instituicoes de credito","c004x   - Institutions",IF(AND('Other non-financial'!C199="outras empresas nao financeiras",'Other non-financial'!D199="1"),"c002x   - Micro &amp; SME",IF(AND('Other non-financial'!C199="outras empresas nao financeiras",'Other non-financial'!D199&lt;&gt;"1"),"c003x   - Corporates",IF('Other non-financial'!C199="","c010x   - Non-identified, not listed on an exchange platform",IF(OR('Other non-financial'!C199="setor publico",'Other non-financial'!C199="bancos centrais"),"c008x   - Government, central banks &amp; supranationals",""))))))))</f>
        <v>c005x   - Other financial corporations</v>
      </c>
      <c r="G205" s="11" t="str">
        <f>'Other non-financial'!G199</f>
        <v>Rank 9 - Ranking in insolvency (master scale)</v>
      </c>
      <c r="H205" s="11">
        <v>0</v>
      </c>
      <c r="I205" s="11">
        <v>0</v>
      </c>
      <c r="J205" s="11" t="s">
        <v>64</v>
      </c>
      <c r="K205" s="14" t="s">
        <v>65</v>
      </c>
      <c r="L205" s="11" t="str">
        <f>'Other non-financial'!H199</f>
        <v>Provisions. Off-balance sheet exposures subject to credit risk</v>
      </c>
      <c r="M205" s="12">
        <f>'Other non-financial'!B199</f>
        <v>572.23</v>
      </c>
      <c r="N205" s="11" t="str">
        <f>'Other non-financial'!A199</f>
        <v>EURO</v>
      </c>
      <c r="O205" s="11" t="str">
        <f>'Other non-financial'!E199</f>
        <v>2022-12-31</v>
      </c>
      <c r="P205" s="15">
        <v>72716</v>
      </c>
      <c r="Q205" s="11" t="s">
        <v>66</v>
      </c>
      <c r="R205" s="11">
        <v>0</v>
      </c>
    </row>
    <row r="206" spans="3:18" ht="36.75" thickBot="1">
      <c r="C206" s="10" t="s">
        <v>63</v>
      </c>
      <c r="D206" s="11">
        <v>199</v>
      </c>
      <c r="E206" s="11" t="str">
        <f>'Other non-financial'!F200</f>
        <v>r0390 - Non-financial liabilities</v>
      </c>
      <c r="F206" s="11" t="str">
        <f>IF(E206="r0170 - Employee liabilities (BRRD art. 44/2/g/i)","c001x   - Households",IF('Other non-financial'!C200="particulares","c001x   - Households",IF('Other non-financial'!C200="outras instituicoes financeiras","c005x   - Other financial corporations",IF('Other non-financial'!C200="instituicoes de credito","c004x   - Institutions",IF(AND('Other non-financial'!C200="outras empresas nao financeiras",'Other non-financial'!D200="1"),"c002x   - Micro &amp; SME",IF(AND('Other non-financial'!C200="outras empresas nao financeiras",'Other non-financial'!D200&lt;&gt;"1"),"c003x   - Corporates",IF('Other non-financial'!C200="","c010x   - Non-identified, not listed on an exchange platform",IF(OR('Other non-financial'!C200="setor publico",'Other non-financial'!C200="bancos centrais"),"c008x   - Government, central banks &amp; supranationals",""))))))))</f>
        <v>c005x   - Other financial corporations</v>
      </c>
      <c r="G206" s="11" t="str">
        <f>'Other non-financial'!G200</f>
        <v>Rank 9 - Ranking in insolvency (master scale)</v>
      </c>
      <c r="H206" s="11">
        <v>0</v>
      </c>
      <c r="I206" s="11">
        <v>0</v>
      </c>
      <c r="J206" s="11" t="s">
        <v>64</v>
      </c>
      <c r="K206" s="14" t="s">
        <v>65</v>
      </c>
      <c r="L206" s="11" t="str">
        <f>'Other non-financial'!H200</f>
        <v>Provisions. Off-balance sheet exposures subject to credit risk</v>
      </c>
      <c r="M206" s="12">
        <f>'Other non-financial'!B200</f>
        <v>9466.73</v>
      </c>
      <c r="N206" s="11" t="str">
        <f>'Other non-financial'!A200</f>
        <v>EURO</v>
      </c>
      <c r="O206" s="11" t="str">
        <f>'Other non-financial'!E200</f>
        <v>2022-12-31</v>
      </c>
      <c r="P206" s="15">
        <v>72716</v>
      </c>
      <c r="Q206" s="11" t="s">
        <v>66</v>
      </c>
      <c r="R206" s="11">
        <v>0</v>
      </c>
    </row>
    <row r="207" spans="3:18" ht="36.75" thickBot="1">
      <c r="C207" s="10" t="s">
        <v>63</v>
      </c>
      <c r="D207" s="11">
        <v>200</v>
      </c>
      <c r="E207" s="11" t="str">
        <f>'Other non-financial'!F201</f>
        <v>r0390 - Non-financial liabilities</v>
      </c>
      <c r="F207" s="11" t="str">
        <f>IF(E207="r0170 - Employee liabilities (BRRD art. 44/2/g/i)","c001x   - Households",IF('Other non-financial'!C201="particulares","c001x   - Households",IF('Other non-financial'!C201="outras instituicoes financeiras","c005x   - Other financial corporations",IF('Other non-financial'!C201="instituicoes de credito","c004x   - Institutions",IF(AND('Other non-financial'!C201="outras empresas nao financeiras",'Other non-financial'!D201="1"),"c002x   - Micro &amp; SME",IF(AND('Other non-financial'!C201="outras empresas nao financeiras",'Other non-financial'!D201&lt;&gt;"1"),"c003x   - Corporates",IF('Other non-financial'!C201="","c010x   - Non-identified, not listed on an exchange platform",IF(OR('Other non-financial'!C201="setor publico",'Other non-financial'!C201="bancos centrais"),"c008x   - Government, central banks &amp; supranationals",""))))))))</f>
        <v>c005x   - Other financial corporations</v>
      </c>
      <c r="G207" s="11" t="str">
        <f>'Other non-financial'!G201</f>
        <v>Rank 9 - Ranking in insolvency (master scale)</v>
      </c>
      <c r="H207" s="11">
        <v>0</v>
      </c>
      <c r="I207" s="11">
        <v>0</v>
      </c>
      <c r="J207" s="11" t="s">
        <v>64</v>
      </c>
      <c r="K207" s="14" t="s">
        <v>65</v>
      </c>
      <c r="L207" s="11" t="str">
        <f>'Other non-financial'!H201</f>
        <v>Provisions. Off-balance sheet exposures subject to credit risk</v>
      </c>
      <c r="M207" s="12">
        <f>'Other non-financial'!B201</f>
        <v>3654.3600000000019</v>
      </c>
      <c r="N207" s="11" t="str">
        <f>'Other non-financial'!A201</f>
        <v>EURO</v>
      </c>
      <c r="O207" s="11" t="str">
        <f>'Other non-financial'!E201</f>
        <v>2022-12-31</v>
      </c>
      <c r="P207" s="15">
        <v>72716</v>
      </c>
      <c r="Q207" s="11" t="s">
        <v>66</v>
      </c>
      <c r="R207" s="11">
        <v>0</v>
      </c>
    </row>
    <row r="208" spans="3:18" ht="36.75" thickBot="1">
      <c r="C208" s="10" t="s">
        <v>63</v>
      </c>
      <c r="D208" s="11">
        <v>201</v>
      </c>
      <c r="E208" s="11" t="str">
        <f>'Other non-financial'!F202</f>
        <v>r0390 - Non-financial liabilities</v>
      </c>
      <c r="F208" s="11" t="str">
        <f>IF(E208="r0170 - Employee liabilities (BRRD art. 44/2/g/i)","c001x   - Households",IF('Other non-financial'!C202="particulares","c001x   - Households",IF('Other non-financial'!C202="outras instituicoes financeiras","c005x   - Other financial corporations",IF('Other non-financial'!C202="instituicoes de credito","c004x   - Institutions",IF(AND('Other non-financial'!C202="outras empresas nao financeiras",'Other non-financial'!D202="1"),"c002x   - Micro &amp; SME",IF(AND('Other non-financial'!C202="outras empresas nao financeiras",'Other non-financial'!D202&lt;&gt;"1"),"c003x   - Corporates",IF('Other non-financial'!C202="","c010x   - Non-identified, not listed on an exchange platform",IF(OR('Other non-financial'!C202="setor publico",'Other non-financial'!C202="bancos centrais"),"c008x   - Government, central banks &amp; supranationals",""))))))))</f>
        <v>c005x   - Other financial corporations</v>
      </c>
      <c r="G208" s="11" t="str">
        <f>'Other non-financial'!G202</f>
        <v>Rank 9 - Ranking in insolvency (master scale)</v>
      </c>
      <c r="H208" s="11">
        <v>0</v>
      </c>
      <c r="I208" s="11">
        <v>0</v>
      </c>
      <c r="J208" s="11" t="s">
        <v>64</v>
      </c>
      <c r="K208" s="14" t="s">
        <v>65</v>
      </c>
      <c r="L208" s="11" t="str">
        <f>'Other non-financial'!H202</f>
        <v>Provisions. Off-balance sheet exposures subject to credit risk</v>
      </c>
      <c r="M208" s="12">
        <f>'Other non-financial'!B202</f>
        <v>36915.769999999997</v>
      </c>
      <c r="N208" s="11" t="str">
        <f>'Other non-financial'!A202</f>
        <v>EURO</v>
      </c>
      <c r="O208" s="11" t="str">
        <f>'Other non-financial'!E202</f>
        <v>2022-12-31</v>
      </c>
      <c r="P208" s="15">
        <v>72716</v>
      </c>
      <c r="Q208" s="11" t="s">
        <v>66</v>
      </c>
      <c r="R208" s="11">
        <v>0</v>
      </c>
    </row>
    <row r="209" spans="3:18" ht="60.75" thickBot="1">
      <c r="C209" s="10" t="s">
        <v>63</v>
      </c>
      <c r="D209" s="11">
        <v>202</v>
      </c>
      <c r="E209" s="11" t="str">
        <f>'Other non-financial'!F203</f>
        <v>r0390 - Non-financial liabilities</v>
      </c>
      <c r="F209" s="11" t="str">
        <f>IF(E209="r0170 - Employee liabilities (BRRD art. 44/2/g/i)","c001x   - Households",IF('Other non-financial'!C203="particulares","c001x   - Households",IF('Other non-financial'!C203="outras instituicoes financeiras","c005x   - Other financial corporations",IF('Other non-financial'!C203="instituicoes de credito","c004x   - Institutions",IF(AND('Other non-financial'!C203="outras empresas nao financeiras",'Other non-financial'!D203="1"),"c002x   - Micro &amp; SME",IF(AND('Other non-financial'!C203="outras empresas nao financeiras",'Other non-financial'!D203&lt;&gt;"1"),"c003x   - Corporates",IF('Other non-financial'!C203="","c010x   - Non-identified, not listed on an exchange platform",IF(OR('Other non-financial'!C203="setor publico",'Other non-financial'!C203="bancos centrais"),"c008x   - Government, central banks &amp; supranationals",""))))))))</f>
        <v>c001x   - Households</v>
      </c>
      <c r="G209" s="11" t="str">
        <f>'Other non-financial'!G203</f>
        <v>Rank 9 - Ranking in insolvency (master scale)</v>
      </c>
      <c r="H209" s="11">
        <v>0</v>
      </c>
      <c r="I209" s="11">
        <v>0</v>
      </c>
      <c r="J209" s="11" t="s">
        <v>64</v>
      </c>
      <c r="K209" s="14" t="s">
        <v>65</v>
      </c>
      <c r="L209" s="11" t="str">
        <f>'Other non-financial'!H203</f>
        <v>Liabilities other than financial liabilities, provisions, tax liabilities, deferred income</v>
      </c>
      <c r="M209" s="12">
        <f>'Other non-financial'!B203</f>
        <v>58138981.160000004</v>
      </c>
      <c r="N209" s="11" t="str">
        <f>'Other non-financial'!A203</f>
        <v>EURO</v>
      </c>
      <c r="O209" s="11" t="str">
        <f>'Other non-financial'!E203</f>
        <v>2022-12-31</v>
      </c>
      <c r="P209" s="15">
        <v>72716</v>
      </c>
      <c r="Q209" s="11" t="s">
        <v>66</v>
      </c>
      <c r="R209" s="11">
        <v>0</v>
      </c>
    </row>
    <row r="210" spans="3:18" ht="60.75" thickBot="1">
      <c r="C210" s="10" t="s">
        <v>63</v>
      </c>
      <c r="D210" s="11">
        <v>203</v>
      </c>
      <c r="E210" s="11" t="str">
        <f>'Other non-financial'!F204</f>
        <v>r0390 - Non-financial liabilities</v>
      </c>
      <c r="F210" s="11" t="str">
        <f>IF(E210="r0170 - Employee liabilities (BRRD art. 44/2/g/i)","c001x   - Households",IF('Other non-financial'!C204="particulares","c001x   - Households",IF('Other non-financial'!C204="outras instituicoes financeiras","c005x   - Other financial corporations",IF('Other non-financial'!C204="instituicoes de credito","c004x   - Institutions",IF(AND('Other non-financial'!C204="outras empresas nao financeiras",'Other non-financial'!D204="1"),"c002x   - Micro &amp; SME",IF(AND('Other non-financial'!C204="outras empresas nao financeiras",'Other non-financial'!D204&lt;&gt;"1"),"c003x   - Corporates",IF('Other non-financial'!C204="","c010x   - Non-identified, not listed on an exchange platform",IF(OR('Other non-financial'!C204="setor publico",'Other non-financial'!C204="bancos centrais"),"c008x   - Government, central banks &amp; supranationals",""))))))))</f>
        <v>c001x   - Households</v>
      </c>
      <c r="G210" s="11" t="str">
        <f>'Other non-financial'!G204</f>
        <v>Rank 9 - Ranking in insolvency (master scale)</v>
      </c>
      <c r="H210" s="11">
        <v>0</v>
      </c>
      <c r="I210" s="11">
        <v>0</v>
      </c>
      <c r="J210" s="11" t="s">
        <v>64</v>
      </c>
      <c r="K210" s="14" t="s">
        <v>65</v>
      </c>
      <c r="L210" s="11" t="str">
        <f>'Other non-financial'!H204</f>
        <v>Liabilities other than financial liabilities, provisions, tax liabilities, deferred income</v>
      </c>
      <c r="M210" s="12">
        <f>'Other non-financial'!B204</f>
        <v>132805196.15999998</v>
      </c>
      <c r="N210" s="11" t="str">
        <f>'Other non-financial'!A204</f>
        <v>EURO</v>
      </c>
      <c r="O210" s="11" t="str">
        <f>'Other non-financial'!E204</f>
        <v>2022-12-31</v>
      </c>
      <c r="P210" s="15">
        <v>72716</v>
      </c>
      <c r="Q210" s="11" t="s">
        <v>66</v>
      </c>
      <c r="R210" s="11">
        <v>0</v>
      </c>
    </row>
    <row r="211" spans="3:18" ht="60.75" thickBot="1">
      <c r="C211" s="10" t="s">
        <v>63</v>
      </c>
      <c r="D211" s="11">
        <v>204</v>
      </c>
      <c r="E211" s="11" t="str">
        <f>'Other non-financial'!F205</f>
        <v>r0390 - Non-financial liabilities</v>
      </c>
      <c r="F211" s="11" t="str">
        <f>IF(E211="r0170 - Employee liabilities (BRRD art. 44/2/g/i)","c001x   - Households",IF('Other non-financial'!C205="particulares","c001x   - Households",IF('Other non-financial'!C205="outras instituicoes financeiras","c005x   - Other financial corporations",IF('Other non-financial'!C205="instituicoes de credito","c004x   - Institutions",IF(AND('Other non-financial'!C205="outras empresas nao financeiras",'Other non-financial'!D205="1"),"c002x   - Micro &amp; SME",IF(AND('Other non-financial'!C205="outras empresas nao financeiras",'Other non-financial'!D205&lt;&gt;"1"),"c003x   - Corporates",IF('Other non-financial'!C205="","c010x   - Non-identified, not listed on an exchange platform",IF(OR('Other non-financial'!C205="setor publico",'Other non-financial'!C205="bancos centrais"),"c008x   - Government, central banks &amp; supranationals",""))))))))</f>
        <v>c001x   - Households</v>
      </c>
      <c r="G211" s="11" t="str">
        <f>'Other non-financial'!G205</f>
        <v>Rank 9 - Ranking in insolvency (master scale)</v>
      </c>
      <c r="H211" s="11">
        <v>0</v>
      </c>
      <c r="I211" s="11">
        <v>0</v>
      </c>
      <c r="J211" s="11" t="s">
        <v>64</v>
      </c>
      <c r="K211" s="14" t="s">
        <v>65</v>
      </c>
      <c r="L211" s="11" t="str">
        <f>'Other non-financial'!H205</f>
        <v>Liabilities other than financial liabilities, provisions, tax liabilities, deferred income</v>
      </c>
      <c r="M211" s="12">
        <f>'Other non-financial'!B205</f>
        <v>13445614.67</v>
      </c>
      <c r="N211" s="11" t="str">
        <f>'Other non-financial'!A205</f>
        <v>EURO</v>
      </c>
      <c r="O211" s="11" t="str">
        <f>'Other non-financial'!E205</f>
        <v>2022-12-31</v>
      </c>
      <c r="P211" s="15">
        <v>72716</v>
      </c>
      <c r="Q211" s="11" t="s">
        <v>66</v>
      </c>
      <c r="R211" s="11">
        <v>0</v>
      </c>
    </row>
    <row r="212" spans="3:18" ht="60.75" thickBot="1">
      <c r="C212" s="10" t="s">
        <v>63</v>
      </c>
      <c r="D212" s="11">
        <v>205</v>
      </c>
      <c r="E212" s="11" t="str">
        <f>'Other non-financial'!F206</f>
        <v>r0390 - Non-financial liabilities</v>
      </c>
      <c r="F212" s="11" t="str">
        <f>IF(E212="r0170 - Employee liabilities (BRRD art. 44/2/g/i)","c001x   - Households",IF('Other non-financial'!C206="particulares","c001x   - Households",IF('Other non-financial'!C206="outras instituicoes financeiras","c005x   - Other financial corporations",IF('Other non-financial'!C206="instituicoes de credito","c004x   - Institutions",IF(AND('Other non-financial'!C206="outras empresas nao financeiras",'Other non-financial'!D206="1"),"c002x   - Micro &amp; SME",IF(AND('Other non-financial'!C206="outras empresas nao financeiras",'Other non-financial'!D206&lt;&gt;"1"),"c003x   - Corporates",IF('Other non-financial'!C206="","c010x   - Non-identified, not listed on an exchange platform",IF(OR('Other non-financial'!C206="setor publico",'Other non-financial'!C206="bancos centrais"),"c008x   - Government, central banks &amp; supranationals",""))))))))</f>
        <v>c001x   - Households</v>
      </c>
      <c r="G212" s="11" t="str">
        <f>'Other non-financial'!G206</f>
        <v>Rank 9 - Ranking in insolvency (master scale)</v>
      </c>
      <c r="H212" s="11">
        <v>0</v>
      </c>
      <c r="I212" s="11">
        <v>0</v>
      </c>
      <c r="J212" s="11" t="s">
        <v>64</v>
      </c>
      <c r="K212" s="14" t="s">
        <v>65</v>
      </c>
      <c r="L212" s="11" t="str">
        <f>'Other non-financial'!H206</f>
        <v>Liabilities other than financial liabilities, provisions, tax liabilities, deferred income</v>
      </c>
      <c r="M212" s="12">
        <f>'Other non-financial'!B206</f>
        <v>2660.43</v>
      </c>
      <c r="N212" s="11" t="str">
        <f>'Other non-financial'!A206</f>
        <v>EURO</v>
      </c>
      <c r="O212" s="11" t="str">
        <f>'Other non-financial'!E206</f>
        <v>2022-12-31</v>
      </c>
      <c r="P212" s="15">
        <v>72716</v>
      </c>
      <c r="Q212" s="11" t="s">
        <v>66</v>
      </c>
      <c r="R212" s="11">
        <v>0</v>
      </c>
    </row>
    <row r="213" spans="3:18" ht="60.75" thickBot="1">
      <c r="C213" s="10" t="s">
        <v>63</v>
      </c>
      <c r="D213" s="11">
        <v>206</v>
      </c>
      <c r="E213" s="11" t="str">
        <f>'Other non-financial'!F207</f>
        <v>r0390 - Non-financial liabilities</v>
      </c>
      <c r="F213" s="11" t="str">
        <f>IF(E213="r0170 - Employee liabilities (BRRD art. 44/2/g/i)","c001x   - Households",IF('Other non-financial'!C207="particulares","c001x   - Households",IF('Other non-financial'!C207="outras instituicoes financeiras","c005x   - Other financial corporations",IF('Other non-financial'!C207="instituicoes de credito","c004x   - Institutions",IF(AND('Other non-financial'!C207="outras empresas nao financeiras",'Other non-financial'!D207="1"),"c002x   - Micro &amp; SME",IF(AND('Other non-financial'!C207="outras empresas nao financeiras",'Other non-financial'!D207&lt;&gt;"1"),"c003x   - Corporates",IF('Other non-financial'!C207="","c010x   - Non-identified, not listed on an exchange platform",IF(OR('Other non-financial'!C207="setor publico",'Other non-financial'!C207="bancos centrais"),"c008x   - Government, central banks &amp; supranationals",""))))))))</f>
        <v>c001x   - Households</v>
      </c>
      <c r="G213" s="11" t="str">
        <f>'Other non-financial'!G207</f>
        <v>Rank 9 - Ranking in insolvency (master scale)</v>
      </c>
      <c r="H213" s="11">
        <v>0</v>
      </c>
      <c r="I213" s="11">
        <v>0</v>
      </c>
      <c r="J213" s="11" t="s">
        <v>64</v>
      </c>
      <c r="K213" s="14" t="s">
        <v>65</v>
      </c>
      <c r="L213" s="11" t="str">
        <f>'Other non-financial'!H207</f>
        <v>Liabilities other than financial liabilities, provisions, tax liabilities, deferred income</v>
      </c>
      <c r="M213" s="12">
        <f>'Other non-financial'!B207</f>
        <v>16055.159999999998</v>
      </c>
      <c r="N213" s="11" t="str">
        <f>'Other non-financial'!A207</f>
        <v>EURO</v>
      </c>
      <c r="O213" s="11" t="str">
        <f>'Other non-financial'!E207</f>
        <v>2022-12-31</v>
      </c>
      <c r="P213" s="15">
        <v>72716</v>
      </c>
      <c r="Q213" s="11" t="s">
        <v>66</v>
      </c>
      <c r="R213" s="11">
        <v>0</v>
      </c>
    </row>
    <row r="214" spans="3:18" ht="60.75" thickBot="1">
      <c r="C214" s="10" t="s">
        <v>63</v>
      </c>
      <c r="D214" s="11">
        <v>207</v>
      </c>
      <c r="E214" s="11" t="str">
        <f>'Other non-financial'!F208</f>
        <v>r0390 - Non-financial liabilities</v>
      </c>
      <c r="F214" s="11" t="str">
        <f>IF(E214="r0170 - Employee liabilities (BRRD art. 44/2/g/i)","c001x   - Households",IF('Other non-financial'!C208="particulares","c001x   - Households",IF('Other non-financial'!C208="outras instituicoes financeiras","c005x   - Other financial corporations",IF('Other non-financial'!C208="instituicoes de credito","c004x   - Institutions",IF(AND('Other non-financial'!C208="outras empresas nao financeiras",'Other non-financial'!D208="1"),"c002x   - Micro &amp; SME",IF(AND('Other non-financial'!C208="outras empresas nao financeiras",'Other non-financial'!D208&lt;&gt;"1"),"c003x   - Corporates",IF('Other non-financial'!C208="","c010x   - Non-identified, not listed on an exchange platform",IF(OR('Other non-financial'!C208="setor publico",'Other non-financial'!C208="bancos centrais"),"c008x   - Government, central banks &amp; supranationals",""))))))))</f>
        <v>c001x   - Households</v>
      </c>
      <c r="G214" s="11" t="str">
        <f>'Other non-financial'!G208</f>
        <v>Rank 9 - Ranking in insolvency (master scale)</v>
      </c>
      <c r="H214" s="11">
        <v>0</v>
      </c>
      <c r="I214" s="11">
        <v>0</v>
      </c>
      <c r="J214" s="11" t="s">
        <v>64</v>
      </c>
      <c r="K214" s="14" t="s">
        <v>65</v>
      </c>
      <c r="L214" s="11" t="str">
        <f>'Other non-financial'!H208</f>
        <v>Liabilities other than financial liabilities, provisions, tax liabilities, deferred income</v>
      </c>
      <c r="M214" s="12">
        <f>'Other non-financial'!B208</f>
        <v>2555.4</v>
      </c>
      <c r="N214" s="11" t="str">
        <f>'Other non-financial'!A208</f>
        <v>EURO</v>
      </c>
      <c r="O214" s="11" t="str">
        <f>'Other non-financial'!E208</f>
        <v>2022-12-31</v>
      </c>
      <c r="P214" s="15">
        <v>72716</v>
      </c>
      <c r="Q214" s="11" t="s">
        <v>66</v>
      </c>
      <c r="R214" s="11">
        <v>0</v>
      </c>
    </row>
    <row r="215" spans="3:18" ht="60.75" thickBot="1">
      <c r="C215" s="10" t="s">
        <v>63</v>
      </c>
      <c r="D215" s="11">
        <v>208</v>
      </c>
      <c r="E215" s="11" t="str">
        <f>'Other non-financial'!F209</f>
        <v>r0390 - Non-financial liabilities</v>
      </c>
      <c r="F215" s="11" t="str">
        <f>IF(E215="r0170 - Employee liabilities (BRRD art. 44/2/g/i)","c001x   - Households",IF('Other non-financial'!C209="particulares","c001x   - Households",IF('Other non-financial'!C209="outras instituicoes financeiras","c005x   - Other financial corporations",IF('Other non-financial'!C209="instituicoes de credito","c004x   - Institutions",IF(AND('Other non-financial'!C209="outras empresas nao financeiras",'Other non-financial'!D209="1"),"c002x   - Micro &amp; SME",IF(AND('Other non-financial'!C209="outras empresas nao financeiras",'Other non-financial'!D209&lt;&gt;"1"),"c003x   - Corporates",IF('Other non-financial'!C209="","c010x   - Non-identified, not listed on an exchange platform",IF(OR('Other non-financial'!C209="setor publico",'Other non-financial'!C209="bancos centrais"),"c008x   - Government, central banks &amp; supranationals",""))))))))</f>
        <v>c001x   - Households</v>
      </c>
      <c r="G215" s="11" t="str">
        <f>'Other non-financial'!G209</f>
        <v>Rank 9 - Ranking in insolvency (master scale)</v>
      </c>
      <c r="H215" s="11">
        <v>0</v>
      </c>
      <c r="I215" s="11">
        <v>0</v>
      </c>
      <c r="J215" s="11" t="s">
        <v>64</v>
      </c>
      <c r="K215" s="14" t="s">
        <v>65</v>
      </c>
      <c r="L215" s="11" t="str">
        <f>'Other non-financial'!H209</f>
        <v>Liabilities other than financial liabilities, provisions, tax liabilities, deferred income</v>
      </c>
      <c r="M215" s="12">
        <f>'Other non-financial'!B209</f>
        <v>53803.099999999948</v>
      </c>
      <c r="N215" s="11" t="str">
        <f>'Other non-financial'!A209</f>
        <v>EURO</v>
      </c>
      <c r="O215" s="11" t="str">
        <f>'Other non-financial'!E209</f>
        <v>2022-12-31</v>
      </c>
      <c r="P215" s="15">
        <v>72716</v>
      </c>
      <c r="Q215" s="11" t="s">
        <v>66</v>
      </c>
      <c r="R215" s="11">
        <v>0</v>
      </c>
    </row>
    <row r="216" spans="3:18" ht="60.75" thickBot="1">
      <c r="C216" s="10" t="s">
        <v>63</v>
      </c>
      <c r="D216" s="11">
        <v>209</v>
      </c>
      <c r="E216" s="11" t="str">
        <f>'Other non-financial'!F210</f>
        <v>r0390 - Non-financial liabilities</v>
      </c>
      <c r="F216" s="11" t="str">
        <f>IF(E216="r0170 - Employee liabilities (BRRD art. 44/2/g/i)","c001x   - Households",IF('Other non-financial'!C210="particulares","c001x   - Households",IF('Other non-financial'!C210="outras instituicoes financeiras","c005x   - Other financial corporations",IF('Other non-financial'!C210="instituicoes de credito","c004x   - Institutions",IF(AND('Other non-financial'!C210="outras empresas nao financeiras",'Other non-financial'!D210="1"),"c002x   - Micro &amp; SME",IF(AND('Other non-financial'!C210="outras empresas nao financeiras",'Other non-financial'!D210&lt;&gt;"1"),"c003x   - Corporates",IF('Other non-financial'!C210="","c010x   - Non-identified, not listed on an exchange platform",IF(OR('Other non-financial'!C210="setor publico",'Other non-financial'!C210="bancos centrais"),"c008x   - Government, central banks &amp; supranationals",""))))))))</f>
        <v>c001x   - Households</v>
      </c>
      <c r="G216" s="11" t="str">
        <f>'Other non-financial'!G210</f>
        <v>Rank 9 - Ranking in insolvency (master scale)</v>
      </c>
      <c r="H216" s="11">
        <v>0</v>
      </c>
      <c r="I216" s="11">
        <v>0</v>
      </c>
      <c r="J216" s="11" t="s">
        <v>64</v>
      </c>
      <c r="K216" s="14" t="s">
        <v>65</v>
      </c>
      <c r="L216" s="11" t="str">
        <f>'Other non-financial'!H210</f>
        <v>Liabilities other than financial liabilities, provisions, tax liabilities, deferred income</v>
      </c>
      <c r="M216" s="12">
        <f>'Other non-financial'!B210</f>
        <v>39784.449999999975</v>
      </c>
      <c r="N216" s="11" t="str">
        <f>'Other non-financial'!A210</f>
        <v>EURO</v>
      </c>
      <c r="O216" s="11" t="str">
        <f>'Other non-financial'!E210</f>
        <v>2022-12-31</v>
      </c>
      <c r="P216" s="15">
        <v>72716</v>
      </c>
      <c r="Q216" s="11" t="s">
        <v>66</v>
      </c>
      <c r="R216" s="11">
        <v>0</v>
      </c>
    </row>
    <row r="217" spans="3:18" ht="60.75" thickBot="1">
      <c r="C217" s="10" t="s">
        <v>63</v>
      </c>
      <c r="D217" s="11">
        <v>210</v>
      </c>
      <c r="E217" s="11" t="str">
        <f>'Other non-financial'!F211</f>
        <v>r0390 - Non-financial liabilities</v>
      </c>
      <c r="F217" s="11" t="str">
        <f>IF(E217="r0170 - Employee liabilities (BRRD art. 44/2/g/i)","c001x   - Households",IF('Other non-financial'!C211="particulares","c001x   - Households",IF('Other non-financial'!C211="outras instituicoes financeiras","c005x   - Other financial corporations",IF('Other non-financial'!C211="instituicoes de credito","c004x   - Institutions",IF(AND('Other non-financial'!C211="outras empresas nao financeiras",'Other non-financial'!D211="1"),"c002x   - Micro &amp; SME",IF(AND('Other non-financial'!C211="outras empresas nao financeiras",'Other non-financial'!D211&lt;&gt;"1"),"c003x   - Corporates",IF('Other non-financial'!C211="","c010x   - Non-identified, not listed on an exchange platform",IF(OR('Other non-financial'!C211="setor publico",'Other non-financial'!C211="bancos centrais"),"c008x   - Government, central banks &amp; supranationals",""))))))))</f>
        <v>c001x   - Households</v>
      </c>
      <c r="G217" s="11" t="str">
        <f>'Other non-financial'!G211</f>
        <v>Rank 9 - Ranking in insolvency (master scale)</v>
      </c>
      <c r="H217" s="11">
        <v>0</v>
      </c>
      <c r="I217" s="11">
        <v>0</v>
      </c>
      <c r="J217" s="11" t="s">
        <v>64</v>
      </c>
      <c r="K217" s="14" t="s">
        <v>65</v>
      </c>
      <c r="L217" s="11" t="str">
        <f>'Other non-financial'!H211</f>
        <v>Liabilities other than financial liabilities, provisions, tax liabilities, deferred income</v>
      </c>
      <c r="M217" s="12">
        <f>'Other non-financial'!B211</f>
        <v>35</v>
      </c>
      <c r="N217" s="11" t="str">
        <f>'Other non-financial'!A211</f>
        <v>EURO</v>
      </c>
      <c r="O217" s="11" t="str">
        <f>'Other non-financial'!E211</f>
        <v>2022-12-31</v>
      </c>
      <c r="P217" s="15">
        <v>72716</v>
      </c>
      <c r="Q217" s="11" t="s">
        <v>66</v>
      </c>
      <c r="R217" s="11">
        <v>0</v>
      </c>
    </row>
    <row r="218" spans="3:18" ht="36.75" thickBot="1">
      <c r="C218" s="10" t="s">
        <v>63</v>
      </c>
      <c r="D218" s="11">
        <v>211</v>
      </c>
      <c r="E218" s="11" t="str">
        <f>'Other non-financial'!F212</f>
        <v>r0390 - Non-financial liabilities</v>
      </c>
      <c r="F218" s="11" t="str">
        <f>IF(E218="r0170 - Employee liabilities (BRRD art. 44/2/g/i)","c001x   - Households",IF('Other non-financial'!C212="particulares","c001x   - Households",IF('Other non-financial'!C212="outras instituicoes financeiras","c005x   - Other financial corporations",IF('Other non-financial'!C212="instituicoes de credito","c004x   - Institutions",IF(AND('Other non-financial'!C212="outras empresas nao financeiras",'Other non-financial'!D212="1"),"c002x   - Micro &amp; SME",IF(AND('Other non-financial'!C212="outras empresas nao financeiras",'Other non-financial'!D212&lt;&gt;"1"),"c003x   - Corporates",IF('Other non-financial'!C212="","c010x   - Non-identified, not listed on an exchange platform",IF(OR('Other non-financial'!C212="setor publico",'Other non-financial'!C212="bancos centrais"),"c008x   - Government, central banks &amp; supranationals",""))))))))</f>
        <v>c001x   - Households</v>
      </c>
      <c r="G218" s="11" t="str">
        <f>'Other non-financial'!G212</f>
        <v>Rank 9 - Ranking in insolvency (master scale)</v>
      </c>
      <c r="H218" s="11">
        <v>0</v>
      </c>
      <c r="I218" s="11">
        <v>0</v>
      </c>
      <c r="J218" s="11" t="s">
        <v>64</v>
      </c>
      <c r="K218" s="14" t="s">
        <v>65</v>
      </c>
      <c r="L218" s="11" t="str">
        <f>'Other non-financial'!H212</f>
        <v>Provisions. Off-balance sheet exposures subject to credit risk</v>
      </c>
      <c r="M218" s="12">
        <f>'Other non-financial'!B212</f>
        <v>59.86</v>
      </c>
      <c r="N218" s="11" t="str">
        <f>'Other non-financial'!A212</f>
        <v>EURO</v>
      </c>
      <c r="O218" s="11" t="str">
        <f>'Other non-financial'!E212</f>
        <v>2022-12-31</v>
      </c>
      <c r="P218" s="15">
        <v>72716</v>
      </c>
      <c r="Q218" s="11" t="s">
        <v>66</v>
      </c>
      <c r="R218" s="11">
        <v>0</v>
      </c>
    </row>
    <row r="219" spans="3:18" ht="36.75" thickBot="1">
      <c r="C219" s="10" t="s">
        <v>63</v>
      </c>
      <c r="D219" s="11">
        <v>212</v>
      </c>
      <c r="E219" s="11" t="str">
        <f>'Other non-financial'!F213</f>
        <v>r0390 - Non-financial liabilities</v>
      </c>
      <c r="F219" s="11" t="str">
        <f>IF(E219="r0170 - Employee liabilities (BRRD art. 44/2/g/i)","c001x   - Households",IF('Other non-financial'!C213="particulares","c001x   - Households",IF('Other non-financial'!C213="outras instituicoes financeiras","c005x   - Other financial corporations",IF('Other non-financial'!C213="instituicoes de credito","c004x   - Institutions",IF(AND('Other non-financial'!C213="outras empresas nao financeiras",'Other non-financial'!D213="1"),"c002x   - Micro &amp; SME",IF(AND('Other non-financial'!C213="outras empresas nao financeiras",'Other non-financial'!D213&lt;&gt;"1"),"c003x   - Corporates",IF('Other non-financial'!C213="","c010x   - Non-identified, not listed on an exchange platform",IF(OR('Other non-financial'!C213="setor publico",'Other non-financial'!C213="bancos centrais"),"c008x   - Government, central banks &amp; supranationals",""))))))))</f>
        <v>c001x   - Households</v>
      </c>
      <c r="G219" s="11" t="str">
        <f>'Other non-financial'!G213</f>
        <v>Rank 9 - Ranking in insolvency (master scale)</v>
      </c>
      <c r="H219" s="11">
        <v>0</v>
      </c>
      <c r="I219" s="11">
        <v>0</v>
      </c>
      <c r="J219" s="11" t="s">
        <v>64</v>
      </c>
      <c r="K219" s="14" t="s">
        <v>65</v>
      </c>
      <c r="L219" s="11" t="str">
        <f>'Other non-financial'!H213</f>
        <v>Provisions. Off-balance sheet exposures subject to credit risk</v>
      </c>
      <c r="M219" s="12">
        <f>'Other non-financial'!B213</f>
        <v>19736.810000000001</v>
      </c>
      <c r="N219" s="11" t="str">
        <f>'Other non-financial'!A213</f>
        <v>EURO</v>
      </c>
      <c r="O219" s="11" t="str">
        <f>'Other non-financial'!E213</f>
        <v>2022-12-31</v>
      </c>
      <c r="P219" s="15">
        <v>72716</v>
      </c>
      <c r="Q219" s="11" t="s">
        <v>66</v>
      </c>
      <c r="R219" s="11">
        <v>0</v>
      </c>
    </row>
    <row r="220" spans="3:18" ht="36.75" thickBot="1">
      <c r="C220" s="10" t="s">
        <v>63</v>
      </c>
      <c r="D220" s="11">
        <v>213</v>
      </c>
      <c r="E220" s="11" t="str">
        <f>'Other non-financial'!F214</f>
        <v>r0390 - Non-financial liabilities</v>
      </c>
      <c r="F220" s="11" t="str">
        <f>IF(E220="r0170 - Employee liabilities (BRRD art. 44/2/g/i)","c001x   - Households",IF('Other non-financial'!C214="particulares","c001x   - Households",IF('Other non-financial'!C214="outras instituicoes financeiras","c005x   - Other financial corporations",IF('Other non-financial'!C214="instituicoes de credito","c004x   - Institutions",IF(AND('Other non-financial'!C214="outras empresas nao financeiras",'Other non-financial'!D214="1"),"c002x   - Micro &amp; SME",IF(AND('Other non-financial'!C214="outras empresas nao financeiras",'Other non-financial'!D214&lt;&gt;"1"),"c003x   - Corporates",IF('Other non-financial'!C214="","c010x   - Non-identified, not listed on an exchange platform",IF(OR('Other non-financial'!C214="setor publico",'Other non-financial'!C214="bancos centrais"),"c008x   - Government, central banks &amp; supranationals",""))))))))</f>
        <v>c001x   - Households</v>
      </c>
      <c r="G220" s="11" t="str">
        <f>'Other non-financial'!G214</f>
        <v>Rank 9 - Ranking in insolvency (master scale)</v>
      </c>
      <c r="H220" s="11">
        <v>0</v>
      </c>
      <c r="I220" s="11">
        <v>0</v>
      </c>
      <c r="J220" s="11" t="s">
        <v>64</v>
      </c>
      <c r="K220" s="14" t="s">
        <v>65</v>
      </c>
      <c r="L220" s="11" t="str">
        <f>'Other non-financial'!H214</f>
        <v>Provisions. Off-balance sheet exposures subject to credit risk</v>
      </c>
      <c r="M220" s="12">
        <f>'Other non-financial'!B214</f>
        <v>1545.22</v>
      </c>
      <c r="N220" s="11" t="str">
        <f>'Other non-financial'!A214</f>
        <v>EURO</v>
      </c>
      <c r="O220" s="11" t="str">
        <f>'Other non-financial'!E214</f>
        <v>2022-12-31</v>
      </c>
      <c r="P220" s="15">
        <v>72716</v>
      </c>
      <c r="Q220" s="11" t="s">
        <v>66</v>
      </c>
      <c r="R220" s="11">
        <v>0</v>
      </c>
    </row>
    <row r="221" spans="3:18" ht="36.75" thickBot="1">
      <c r="C221" s="10" t="s">
        <v>63</v>
      </c>
      <c r="D221" s="11">
        <v>214</v>
      </c>
      <c r="E221" s="11" t="str">
        <f>'Other non-financial'!F215</f>
        <v>r0390 - Non-financial liabilities</v>
      </c>
      <c r="F221" s="11" t="str">
        <f>IF(E221="r0170 - Employee liabilities (BRRD art. 44/2/g/i)","c001x   - Households",IF('Other non-financial'!C215="particulares","c001x   - Households",IF('Other non-financial'!C215="outras instituicoes financeiras","c005x   - Other financial corporations",IF('Other non-financial'!C215="instituicoes de credito","c004x   - Institutions",IF(AND('Other non-financial'!C215="outras empresas nao financeiras",'Other non-financial'!D215="1"),"c002x   - Micro &amp; SME",IF(AND('Other non-financial'!C215="outras empresas nao financeiras",'Other non-financial'!D215&lt;&gt;"1"),"c003x   - Corporates",IF('Other non-financial'!C215="","c010x   - Non-identified, not listed on an exchange platform",IF(OR('Other non-financial'!C215="setor publico",'Other non-financial'!C215="bancos centrais"),"c008x   - Government, central banks &amp; supranationals",""))))))))</f>
        <v>c001x   - Households</v>
      </c>
      <c r="G221" s="11" t="str">
        <f>'Other non-financial'!G215</f>
        <v>Rank 9 - Ranking in insolvency (master scale)</v>
      </c>
      <c r="H221" s="11">
        <v>0</v>
      </c>
      <c r="I221" s="11">
        <v>0</v>
      </c>
      <c r="J221" s="11" t="s">
        <v>64</v>
      </c>
      <c r="K221" s="14" t="s">
        <v>65</v>
      </c>
      <c r="L221" s="11" t="str">
        <f>'Other non-financial'!H215</f>
        <v>Provisions. Off-balance sheet exposures subject to credit risk</v>
      </c>
      <c r="M221" s="12">
        <f>'Other non-financial'!B215</f>
        <v>135215.33999999997</v>
      </c>
      <c r="N221" s="11" t="str">
        <f>'Other non-financial'!A215</f>
        <v>EURO</v>
      </c>
      <c r="O221" s="11" t="str">
        <f>'Other non-financial'!E215</f>
        <v>2022-12-31</v>
      </c>
      <c r="P221" s="15">
        <v>72716</v>
      </c>
      <c r="Q221" s="11" t="s">
        <v>66</v>
      </c>
      <c r="R221" s="11">
        <v>0</v>
      </c>
    </row>
    <row r="222" spans="3:18" ht="36.75" thickBot="1">
      <c r="C222" s="10" t="s">
        <v>63</v>
      </c>
      <c r="D222" s="11">
        <v>215</v>
      </c>
      <c r="E222" s="11" t="str">
        <f>'Other non-financial'!F216</f>
        <v>r0390 - Non-financial liabilities</v>
      </c>
      <c r="F222" s="11" t="str">
        <f>IF(E222="r0170 - Employee liabilities (BRRD art. 44/2/g/i)","c001x   - Households",IF('Other non-financial'!C216="particulares","c001x   - Households",IF('Other non-financial'!C216="outras instituicoes financeiras","c005x   - Other financial corporations",IF('Other non-financial'!C216="instituicoes de credito","c004x   - Institutions",IF(AND('Other non-financial'!C216="outras empresas nao financeiras",'Other non-financial'!D216="1"),"c002x   - Micro &amp; SME",IF(AND('Other non-financial'!C216="outras empresas nao financeiras",'Other non-financial'!D216&lt;&gt;"1"),"c003x   - Corporates",IF('Other non-financial'!C216="","c010x   - Non-identified, not listed on an exchange platform",IF(OR('Other non-financial'!C216="setor publico",'Other non-financial'!C216="bancos centrais"),"c008x   - Government, central banks &amp; supranationals",""))))))))</f>
        <v>c001x   - Households</v>
      </c>
      <c r="G222" s="11" t="str">
        <f>'Other non-financial'!G216</f>
        <v>Rank 9 - Ranking in insolvency (master scale)</v>
      </c>
      <c r="H222" s="11">
        <v>0</v>
      </c>
      <c r="I222" s="11">
        <v>0</v>
      </c>
      <c r="J222" s="11" t="s">
        <v>64</v>
      </c>
      <c r="K222" s="14" t="s">
        <v>65</v>
      </c>
      <c r="L222" s="11" t="str">
        <f>'Other non-financial'!H216</f>
        <v>Provisions. Off-balance sheet exposures subject to credit risk</v>
      </c>
      <c r="M222" s="12">
        <f>'Other non-financial'!B216</f>
        <v>27726.929999999986</v>
      </c>
      <c r="N222" s="11" t="str">
        <f>'Other non-financial'!A216</f>
        <v>EURO</v>
      </c>
      <c r="O222" s="11" t="str">
        <f>'Other non-financial'!E216</f>
        <v>2022-12-31</v>
      </c>
      <c r="P222" s="15">
        <v>72716</v>
      </c>
      <c r="Q222" s="11" t="s">
        <v>66</v>
      </c>
      <c r="R222" s="11">
        <v>0</v>
      </c>
    </row>
    <row r="223" spans="3:18" ht="36.75" thickBot="1">
      <c r="C223" s="10" t="s">
        <v>63</v>
      </c>
      <c r="D223" s="11">
        <v>216</v>
      </c>
      <c r="E223" s="11" t="str">
        <f>'Other non-financial'!F217</f>
        <v>r0390 - Non-financial liabilities</v>
      </c>
      <c r="F223" s="11" t="str">
        <f>IF(E223="r0170 - Employee liabilities (BRRD art. 44/2/g/i)","c001x   - Households",IF('Other non-financial'!C217="particulares","c001x   - Households",IF('Other non-financial'!C217="outras instituicoes financeiras","c005x   - Other financial corporations",IF('Other non-financial'!C217="instituicoes de credito","c004x   - Institutions",IF(AND('Other non-financial'!C217="outras empresas nao financeiras",'Other non-financial'!D217="1"),"c002x   - Micro &amp; SME",IF(AND('Other non-financial'!C217="outras empresas nao financeiras",'Other non-financial'!D217&lt;&gt;"1"),"c003x   - Corporates",IF('Other non-financial'!C217="","c010x   - Non-identified, not listed on an exchange platform",IF(OR('Other non-financial'!C217="setor publico",'Other non-financial'!C217="bancos centrais"),"c008x   - Government, central banks &amp; supranationals",""))))))))</f>
        <v>c001x   - Households</v>
      </c>
      <c r="G223" s="11" t="str">
        <f>'Other non-financial'!G217</f>
        <v>Rank 9 - Ranking in insolvency (master scale)</v>
      </c>
      <c r="H223" s="11">
        <v>0</v>
      </c>
      <c r="I223" s="11">
        <v>0</v>
      </c>
      <c r="J223" s="11" t="s">
        <v>64</v>
      </c>
      <c r="K223" s="14" t="s">
        <v>65</v>
      </c>
      <c r="L223" s="11" t="str">
        <f>'Other non-financial'!H217</f>
        <v>Provisions. Off-balance sheet exposures subject to credit risk</v>
      </c>
      <c r="M223" s="12">
        <f>'Other non-financial'!B217</f>
        <v>4313.3599999999997</v>
      </c>
      <c r="N223" s="11" t="str">
        <f>'Other non-financial'!A217</f>
        <v>EURO</v>
      </c>
      <c r="O223" s="11" t="str">
        <f>'Other non-financial'!E217</f>
        <v>2022-12-31</v>
      </c>
      <c r="P223" s="15">
        <v>72716</v>
      </c>
      <c r="Q223" s="11" t="s">
        <v>66</v>
      </c>
      <c r="R223" s="11">
        <v>0</v>
      </c>
    </row>
    <row r="224" spans="3:18" ht="36.75" thickBot="1">
      <c r="C224" s="10" t="s">
        <v>63</v>
      </c>
      <c r="D224" s="11">
        <v>217</v>
      </c>
      <c r="E224" s="11" t="str">
        <f>'Other non-financial'!F218</f>
        <v>r0390 - Non-financial liabilities</v>
      </c>
      <c r="F224" s="11" t="str">
        <f>IF(E224="r0170 - Employee liabilities (BRRD art. 44/2/g/i)","c001x   - Households",IF('Other non-financial'!C218="particulares","c001x   - Households",IF('Other non-financial'!C218="outras instituicoes financeiras","c005x   - Other financial corporations",IF('Other non-financial'!C218="instituicoes de credito","c004x   - Institutions",IF(AND('Other non-financial'!C218="outras empresas nao financeiras",'Other non-financial'!D218="1"),"c002x   - Micro &amp; SME",IF(AND('Other non-financial'!C218="outras empresas nao financeiras",'Other non-financial'!D218&lt;&gt;"1"),"c003x   - Corporates",IF('Other non-financial'!C218="","c010x   - Non-identified, not listed on an exchange platform",IF(OR('Other non-financial'!C218="setor publico",'Other non-financial'!C218="bancos centrais"),"c008x   - Government, central banks &amp; supranationals",""))))))))</f>
        <v>c001x   - Households</v>
      </c>
      <c r="G224" s="11" t="str">
        <f>'Other non-financial'!G218</f>
        <v>Rank 9 - Ranking in insolvency (master scale)</v>
      </c>
      <c r="H224" s="11">
        <v>0</v>
      </c>
      <c r="I224" s="11">
        <v>0</v>
      </c>
      <c r="J224" s="11" t="s">
        <v>64</v>
      </c>
      <c r="K224" s="14" t="s">
        <v>65</v>
      </c>
      <c r="L224" s="11" t="str">
        <f>'Other non-financial'!H218</f>
        <v>Provisions. Off-balance sheet exposures subject to credit risk</v>
      </c>
      <c r="M224" s="12">
        <f>'Other non-financial'!B218</f>
        <v>55625.41</v>
      </c>
      <c r="N224" s="11" t="str">
        <f>'Other non-financial'!A218</f>
        <v>EURO</v>
      </c>
      <c r="O224" s="11" t="str">
        <f>'Other non-financial'!E218</f>
        <v>2022-12-31</v>
      </c>
      <c r="P224" s="15">
        <v>72716</v>
      </c>
      <c r="Q224" s="11" t="s">
        <v>66</v>
      </c>
      <c r="R224" s="11">
        <v>0</v>
      </c>
    </row>
    <row r="225" spans="3:18" ht="36.75" thickBot="1">
      <c r="C225" s="10" t="s">
        <v>63</v>
      </c>
      <c r="D225" s="11">
        <v>218</v>
      </c>
      <c r="E225" s="11" t="str">
        <f>'Other non-financial'!F219</f>
        <v>r0390 - Non-financial liabilities</v>
      </c>
      <c r="F225" s="11" t="str">
        <f>IF(E225="r0170 - Employee liabilities (BRRD art. 44/2/g/i)","c001x   - Households",IF('Other non-financial'!C219="particulares","c001x   - Households",IF('Other non-financial'!C219="outras instituicoes financeiras","c005x   - Other financial corporations",IF('Other non-financial'!C219="instituicoes de credito","c004x   - Institutions",IF(AND('Other non-financial'!C219="outras empresas nao financeiras",'Other non-financial'!D219="1"),"c002x   - Micro &amp; SME",IF(AND('Other non-financial'!C219="outras empresas nao financeiras",'Other non-financial'!D219&lt;&gt;"1"),"c003x   - Corporates",IF('Other non-financial'!C219="","c010x   - Non-identified, not listed on an exchange platform",IF(OR('Other non-financial'!C219="setor publico",'Other non-financial'!C219="bancos centrais"),"c008x   - Government, central banks &amp; supranationals",""))))))))</f>
        <v>c001x   - Households</v>
      </c>
      <c r="G225" s="11" t="str">
        <f>'Other non-financial'!G219</f>
        <v>Rank 9 - Ranking in insolvency (master scale)</v>
      </c>
      <c r="H225" s="11">
        <v>0</v>
      </c>
      <c r="I225" s="11">
        <v>0</v>
      </c>
      <c r="J225" s="11" t="s">
        <v>64</v>
      </c>
      <c r="K225" s="14" t="s">
        <v>65</v>
      </c>
      <c r="L225" s="11" t="str">
        <f>'Other non-financial'!H219</f>
        <v>Provisions. Off-balance sheet exposures subject to credit risk</v>
      </c>
      <c r="M225" s="12">
        <f>'Other non-financial'!B219</f>
        <v>376150.1599999998</v>
      </c>
      <c r="N225" s="11" t="str">
        <f>'Other non-financial'!A219</f>
        <v>EURO</v>
      </c>
      <c r="O225" s="11" t="str">
        <f>'Other non-financial'!E219</f>
        <v>2022-12-31</v>
      </c>
      <c r="P225" s="15">
        <v>72716</v>
      </c>
      <c r="Q225" s="11" t="s">
        <v>66</v>
      </c>
      <c r="R225" s="11">
        <v>0</v>
      </c>
    </row>
    <row r="226" spans="3:18" ht="36.75" thickBot="1">
      <c r="C226" s="10" t="s">
        <v>63</v>
      </c>
      <c r="D226" s="11">
        <v>219</v>
      </c>
      <c r="E226" s="11" t="str">
        <f>'Other non-financial'!F220</f>
        <v>r0390 - Non-financial liabilities</v>
      </c>
      <c r="F226" s="11" t="str">
        <f>IF(E226="r0170 - Employee liabilities (BRRD art. 44/2/g/i)","c001x   - Households",IF('Other non-financial'!C220="particulares","c001x   - Households",IF('Other non-financial'!C220="outras instituicoes financeiras","c005x   - Other financial corporations",IF('Other non-financial'!C220="instituicoes de credito","c004x   - Institutions",IF(AND('Other non-financial'!C220="outras empresas nao financeiras",'Other non-financial'!D220="1"),"c002x   - Micro &amp; SME",IF(AND('Other non-financial'!C220="outras empresas nao financeiras",'Other non-financial'!D220&lt;&gt;"1"),"c003x   - Corporates",IF('Other non-financial'!C220="","c010x   - Non-identified, not listed on an exchange platform",IF(OR('Other non-financial'!C220="setor publico",'Other non-financial'!C220="bancos centrais"),"c008x   - Government, central banks &amp; supranationals",""))))))))</f>
        <v>c001x   - Households</v>
      </c>
      <c r="G226" s="11" t="str">
        <f>'Other non-financial'!G220</f>
        <v>Rank 9 - Ranking in insolvency (master scale)</v>
      </c>
      <c r="H226" s="11">
        <v>0</v>
      </c>
      <c r="I226" s="11">
        <v>0</v>
      </c>
      <c r="J226" s="11" t="s">
        <v>64</v>
      </c>
      <c r="K226" s="14" t="s">
        <v>65</v>
      </c>
      <c r="L226" s="11" t="str">
        <f>'Other non-financial'!H220</f>
        <v>Provisions. Off-balance sheet exposures subject to credit risk</v>
      </c>
      <c r="M226" s="12">
        <f>'Other non-financial'!B220</f>
        <v>2706114.9202268557</v>
      </c>
      <c r="N226" s="11" t="str">
        <f>'Other non-financial'!A220</f>
        <v>EURO</v>
      </c>
      <c r="O226" s="11" t="str">
        <f>'Other non-financial'!E220</f>
        <v>2022-12-31</v>
      </c>
      <c r="P226" s="15">
        <v>72716</v>
      </c>
      <c r="Q226" s="11" t="s">
        <v>66</v>
      </c>
      <c r="R226" s="11">
        <v>0</v>
      </c>
    </row>
    <row r="227" spans="3:18" ht="36.75" thickBot="1">
      <c r="C227" s="10" t="s">
        <v>63</v>
      </c>
      <c r="D227" s="11">
        <v>220</v>
      </c>
      <c r="E227" s="11" t="str">
        <f>'Other non-financial'!F221</f>
        <v>r0390 - Non-financial liabilities</v>
      </c>
      <c r="F227" s="11" t="str">
        <f>IF(E227="r0170 - Employee liabilities (BRRD art. 44/2/g/i)","c001x   - Households",IF('Other non-financial'!C221="particulares","c001x   - Households",IF('Other non-financial'!C221="outras instituicoes financeiras","c005x   - Other financial corporations",IF('Other non-financial'!C221="instituicoes de credito","c004x   - Institutions",IF(AND('Other non-financial'!C221="outras empresas nao financeiras",'Other non-financial'!D221="1"),"c002x   - Micro &amp; SME",IF(AND('Other non-financial'!C221="outras empresas nao financeiras",'Other non-financial'!D221&lt;&gt;"1"),"c003x   - Corporates",IF('Other non-financial'!C221="","c010x   - Non-identified, not listed on an exchange platform",IF(OR('Other non-financial'!C221="setor publico",'Other non-financial'!C221="bancos centrais"),"c008x   - Government, central banks &amp; supranationals",""))))))))</f>
        <v>c001x   - Households</v>
      </c>
      <c r="G227" s="11" t="str">
        <f>'Other non-financial'!G221</f>
        <v>Rank 9 - Ranking in insolvency (master scale)</v>
      </c>
      <c r="H227" s="11">
        <v>0</v>
      </c>
      <c r="I227" s="11">
        <v>0</v>
      </c>
      <c r="J227" s="11" t="s">
        <v>64</v>
      </c>
      <c r="K227" s="14" t="s">
        <v>65</v>
      </c>
      <c r="L227" s="11" t="str">
        <f>'Other non-financial'!H221</f>
        <v>Provisions. Off-balance sheet exposures subject to credit risk</v>
      </c>
      <c r="M227" s="12">
        <f>'Other non-financial'!B221</f>
        <v>3292732.2700063353</v>
      </c>
      <c r="N227" s="11" t="str">
        <f>'Other non-financial'!A221</f>
        <v>EURO</v>
      </c>
      <c r="O227" s="11" t="str">
        <f>'Other non-financial'!E221</f>
        <v>2022-12-31</v>
      </c>
      <c r="P227" s="15">
        <v>72716</v>
      </c>
      <c r="Q227" s="11" t="s">
        <v>66</v>
      </c>
      <c r="R227" s="11">
        <v>0</v>
      </c>
    </row>
    <row r="228" spans="3:18" ht="36.75" thickBot="1">
      <c r="C228" s="10" t="s">
        <v>63</v>
      </c>
      <c r="D228" s="11">
        <v>221</v>
      </c>
      <c r="E228" s="11" t="str">
        <f>'Other non-financial'!F222</f>
        <v>r0390 - Non-financial liabilities</v>
      </c>
      <c r="F228" s="11" t="str">
        <f>IF(E228="r0170 - Employee liabilities (BRRD art. 44/2/g/i)","c001x   - Households",IF('Other non-financial'!C222="particulares","c001x   - Households",IF('Other non-financial'!C222="outras instituicoes financeiras","c005x   - Other financial corporations",IF('Other non-financial'!C222="instituicoes de credito","c004x   - Institutions",IF(AND('Other non-financial'!C222="outras empresas nao financeiras",'Other non-financial'!D222="1"),"c002x   - Micro &amp; SME",IF(AND('Other non-financial'!C222="outras empresas nao financeiras",'Other non-financial'!D222&lt;&gt;"1"),"c003x   - Corporates",IF('Other non-financial'!C222="","c010x   - Non-identified, not listed on an exchange platform",IF(OR('Other non-financial'!C222="setor publico",'Other non-financial'!C222="bancos centrais"),"c008x   - Government, central banks &amp; supranationals",""))))))))</f>
        <v>c001x   - Households</v>
      </c>
      <c r="G228" s="11" t="str">
        <f>'Other non-financial'!G222</f>
        <v>Rank 9 - Ranking in insolvency (master scale)</v>
      </c>
      <c r="H228" s="11">
        <v>0</v>
      </c>
      <c r="I228" s="11">
        <v>0</v>
      </c>
      <c r="J228" s="11" t="s">
        <v>64</v>
      </c>
      <c r="K228" s="14" t="s">
        <v>65</v>
      </c>
      <c r="L228" s="11" t="str">
        <f>'Other non-financial'!H222</f>
        <v>Provisions. Off-balance sheet exposures subject to credit risk</v>
      </c>
      <c r="M228" s="12">
        <f>'Other non-financial'!B222</f>
        <v>922.67000000000007</v>
      </c>
      <c r="N228" s="11" t="str">
        <f>'Other non-financial'!A222</f>
        <v>EURO</v>
      </c>
      <c r="O228" s="11" t="str">
        <f>'Other non-financial'!E222</f>
        <v>2022-12-31</v>
      </c>
      <c r="P228" s="15">
        <v>72716</v>
      </c>
      <c r="Q228" s="11" t="s">
        <v>66</v>
      </c>
      <c r="R228" s="11">
        <v>0</v>
      </c>
    </row>
    <row r="229" spans="3:18" ht="60.75" thickBot="1">
      <c r="C229" s="10" t="s">
        <v>63</v>
      </c>
      <c r="D229" s="11">
        <v>222</v>
      </c>
      <c r="E229" s="11" t="str">
        <f>'Other non-financial'!F223</f>
        <v>r0390 - Non-financial liabilities</v>
      </c>
      <c r="F229" s="11" t="str">
        <f>IF(E229="r0170 - Employee liabilities (BRRD art. 44/2/g/i)","c001x   - Households",IF('Other non-financial'!C223="particulares","c001x   - Households",IF('Other non-financial'!C223="outras instituicoes financeiras","c005x   - Other financial corporations",IF('Other non-financial'!C223="instituicoes de credito","c004x   - Institutions",IF(AND('Other non-financial'!C223="outras empresas nao financeiras",'Other non-financial'!D223="1"),"c002x   - Micro &amp; SME",IF(AND('Other non-financial'!C223="outras empresas nao financeiras",'Other non-financial'!D223&lt;&gt;"1"),"c003x   - Corporates",IF('Other non-financial'!C223="","c010x   - Non-identified, not listed on an exchange platform",IF(OR('Other non-financial'!C223="setor publico",'Other non-financial'!C223="bancos centrais"),"c008x   - Government, central banks &amp; supranationals",""))))))))</f>
        <v>c001x   - Households</v>
      </c>
      <c r="G229" s="11" t="str">
        <f>'Other non-financial'!G223</f>
        <v>Rank 9 - Ranking in insolvency (master scale)</v>
      </c>
      <c r="H229" s="11">
        <v>0</v>
      </c>
      <c r="I229" s="11">
        <v>0</v>
      </c>
      <c r="J229" s="11" t="s">
        <v>64</v>
      </c>
      <c r="K229" s="14" t="s">
        <v>65</v>
      </c>
      <c r="L229" s="11" t="str">
        <f>'Other non-financial'!H223</f>
        <v>Liabilities other than financial liabilities, provisions, tax liabilities, deferred income</v>
      </c>
      <c r="M229" s="12">
        <f>'Other non-financial'!B223</f>
        <v>58925</v>
      </c>
      <c r="N229" s="11" t="str">
        <f>'Other non-financial'!A223</f>
        <v>EURO</v>
      </c>
      <c r="O229" s="11" t="str">
        <f>'Other non-financial'!E223</f>
        <v>2022-12-31</v>
      </c>
      <c r="P229" s="15">
        <v>72716</v>
      </c>
      <c r="Q229" s="11" t="s">
        <v>66</v>
      </c>
      <c r="R229" s="11">
        <v>0</v>
      </c>
    </row>
    <row r="230" spans="3:18" ht="60.75" thickBot="1">
      <c r="C230" s="10" t="s">
        <v>63</v>
      </c>
      <c r="D230" s="11">
        <v>223</v>
      </c>
      <c r="E230" s="11" t="str">
        <f>'Other non-financial'!F224</f>
        <v>r0390 - Non-financial liabilities</v>
      </c>
      <c r="F230" s="11" t="str">
        <f>IF(E230="r0170 - Employee liabilities (BRRD art. 44/2/g/i)","c001x   - Households",IF('Other non-financial'!C224="particulares","c001x   - Households",IF('Other non-financial'!C224="outras instituicoes financeiras","c005x   - Other financial corporations",IF('Other non-financial'!C224="instituicoes de credito","c004x   - Institutions",IF(AND('Other non-financial'!C224="outras empresas nao financeiras",'Other non-financial'!D224="1"),"c002x   - Micro &amp; SME",IF(AND('Other non-financial'!C224="outras empresas nao financeiras",'Other non-financial'!D224&lt;&gt;"1"),"c003x   - Corporates",IF('Other non-financial'!C224="","c010x   - Non-identified, not listed on an exchange platform",IF(OR('Other non-financial'!C224="setor publico",'Other non-financial'!C224="bancos centrais"),"c008x   - Government, central banks &amp; supranationals",""))))))))</f>
        <v>c001x   - Households</v>
      </c>
      <c r="G230" s="11" t="str">
        <f>'Other non-financial'!G224</f>
        <v>Rank 9 - Ranking in insolvency (master scale)</v>
      </c>
      <c r="H230" s="11">
        <v>0</v>
      </c>
      <c r="I230" s="11">
        <v>0</v>
      </c>
      <c r="J230" s="11" t="s">
        <v>64</v>
      </c>
      <c r="K230" s="14" t="s">
        <v>65</v>
      </c>
      <c r="L230" s="11" t="str">
        <f>'Other non-financial'!H224</f>
        <v>Liabilities other than financial liabilities, provisions, tax liabilities, deferred income</v>
      </c>
      <c r="M230" s="12">
        <f>'Other non-financial'!B224</f>
        <v>10727.400000000001</v>
      </c>
      <c r="N230" s="11" t="str">
        <f>'Other non-financial'!A224</f>
        <v>EURO</v>
      </c>
      <c r="O230" s="11" t="str">
        <f>'Other non-financial'!E224</f>
        <v>2022-12-31</v>
      </c>
      <c r="P230" s="15">
        <v>72716</v>
      </c>
      <c r="Q230" s="11" t="s">
        <v>66</v>
      </c>
      <c r="R230" s="11">
        <v>0</v>
      </c>
    </row>
    <row r="231" spans="3:18" ht="60.75" thickBot="1">
      <c r="C231" s="10" t="s">
        <v>63</v>
      </c>
      <c r="D231" s="11">
        <v>224</v>
      </c>
      <c r="E231" s="11" t="str">
        <f>'Other non-financial'!F225</f>
        <v>r0390 - Non-financial liabilities</v>
      </c>
      <c r="F231" s="11" t="str">
        <f>IF(E231="r0170 - Employee liabilities (BRRD art. 44/2/g/i)","c001x   - Households",IF('Other non-financial'!C225="particulares","c001x   - Households",IF('Other non-financial'!C225="outras instituicoes financeiras","c005x   - Other financial corporations",IF('Other non-financial'!C225="instituicoes de credito","c004x   - Institutions",IF(AND('Other non-financial'!C225="outras empresas nao financeiras",'Other non-financial'!D225="1"),"c002x   - Micro &amp; SME",IF(AND('Other non-financial'!C225="outras empresas nao financeiras",'Other non-financial'!D225&lt;&gt;"1"),"c003x   - Corporates",IF('Other non-financial'!C225="","c010x   - Non-identified, not listed on an exchange platform",IF(OR('Other non-financial'!C225="setor publico",'Other non-financial'!C225="bancos centrais"),"c008x   - Government, central banks &amp; supranationals",""))))))))</f>
        <v>c001x   - Households</v>
      </c>
      <c r="G231" s="11" t="str">
        <f>'Other non-financial'!G225</f>
        <v>Rank 9 - Ranking in insolvency (master scale)</v>
      </c>
      <c r="H231" s="11">
        <v>0</v>
      </c>
      <c r="I231" s="11">
        <v>0</v>
      </c>
      <c r="J231" s="11" t="s">
        <v>64</v>
      </c>
      <c r="K231" s="14" t="s">
        <v>65</v>
      </c>
      <c r="L231" s="11" t="str">
        <f>'Other non-financial'!H225</f>
        <v>Liabilities other than financial liabilities, provisions, tax liabilities, deferred income</v>
      </c>
      <c r="M231" s="12">
        <f>'Other non-financial'!B225</f>
        <v>6</v>
      </c>
      <c r="N231" s="11" t="str">
        <f>'Other non-financial'!A225</f>
        <v>EURO</v>
      </c>
      <c r="O231" s="11" t="str">
        <f>'Other non-financial'!E225</f>
        <v>2022-12-31</v>
      </c>
      <c r="P231" s="15">
        <v>72716</v>
      </c>
      <c r="Q231" s="11" t="s">
        <v>66</v>
      </c>
      <c r="R231" s="11">
        <v>0</v>
      </c>
    </row>
    <row r="232" spans="3:18" ht="60.75" thickBot="1">
      <c r="C232" s="10" t="s">
        <v>63</v>
      </c>
      <c r="D232" s="11">
        <v>225</v>
      </c>
      <c r="E232" s="11" t="str">
        <f>'Other non-financial'!F226</f>
        <v>r0390 - Non-financial liabilities</v>
      </c>
      <c r="F232" s="11" t="str">
        <f>IF(E232="r0170 - Employee liabilities (BRRD art. 44/2/g/i)","c001x   - Households",IF('Other non-financial'!C226="particulares","c001x   - Households",IF('Other non-financial'!C226="outras instituicoes financeiras","c005x   - Other financial corporations",IF('Other non-financial'!C226="instituicoes de credito","c004x   - Institutions",IF(AND('Other non-financial'!C226="outras empresas nao financeiras",'Other non-financial'!D226="1"),"c002x   - Micro &amp; SME",IF(AND('Other non-financial'!C226="outras empresas nao financeiras",'Other non-financial'!D226&lt;&gt;"1"),"c003x   - Corporates",IF('Other non-financial'!C226="","c010x   - Non-identified, not listed on an exchange platform",IF(OR('Other non-financial'!C226="setor publico",'Other non-financial'!C226="bancos centrais"),"c008x   - Government, central banks &amp; supranationals",""))))))))</f>
        <v>c001x   - Households</v>
      </c>
      <c r="G232" s="11" t="str">
        <f>'Other non-financial'!G226</f>
        <v>Rank 9 - Ranking in insolvency (master scale)</v>
      </c>
      <c r="H232" s="11">
        <v>0</v>
      </c>
      <c r="I232" s="11">
        <v>0</v>
      </c>
      <c r="J232" s="11" t="s">
        <v>64</v>
      </c>
      <c r="K232" s="14" t="s">
        <v>65</v>
      </c>
      <c r="L232" s="11" t="str">
        <f>'Other non-financial'!H226</f>
        <v>Liabilities other than financial liabilities, provisions, tax liabilities, deferred income</v>
      </c>
      <c r="M232" s="12">
        <f>'Other non-financial'!B226</f>
        <v>10099.959999999997</v>
      </c>
      <c r="N232" s="11" t="str">
        <f>'Other non-financial'!A226</f>
        <v>EURO</v>
      </c>
      <c r="O232" s="11" t="str">
        <f>'Other non-financial'!E226</f>
        <v>2022-12-31</v>
      </c>
      <c r="P232" s="15">
        <v>72716</v>
      </c>
      <c r="Q232" s="11" t="s">
        <v>66</v>
      </c>
      <c r="R232" s="11">
        <v>0</v>
      </c>
    </row>
    <row r="233" spans="3:18" ht="60.75" thickBot="1">
      <c r="C233" s="10" t="s">
        <v>63</v>
      </c>
      <c r="D233" s="11">
        <v>226</v>
      </c>
      <c r="E233" s="11" t="str">
        <f>'Other non-financial'!F227</f>
        <v>r0390 - Non-financial liabilities</v>
      </c>
      <c r="F233" s="11" t="str">
        <f>IF(E233="r0170 - Employee liabilities (BRRD art. 44/2/g/i)","c001x   - Households",IF('Other non-financial'!C227="particulares","c001x   - Households",IF('Other non-financial'!C227="outras instituicoes financeiras","c005x   - Other financial corporations",IF('Other non-financial'!C227="instituicoes de credito","c004x   - Institutions",IF(AND('Other non-financial'!C227="outras empresas nao financeiras",'Other non-financial'!D227="1"),"c002x   - Micro &amp; SME",IF(AND('Other non-financial'!C227="outras empresas nao financeiras",'Other non-financial'!D227&lt;&gt;"1"),"c003x   - Corporates",IF('Other non-financial'!C227="","c010x   - Non-identified, not listed on an exchange platform",IF(OR('Other non-financial'!C227="setor publico",'Other non-financial'!C227="bancos centrais"),"c008x   - Government, central banks &amp; supranationals",""))))))))</f>
        <v>c001x   - Households</v>
      </c>
      <c r="G233" s="11" t="str">
        <f>'Other non-financial'!G227</f>
        <v>Rank 9 - Ranking in insolvency (master scale)</v>
      </c>
      <c r="H233" s="11">
        <v>0</v>
      </c>
      <c r="I233" s="11">
        <v>0</v>
      </c>
      <c r="J233" s="11" t="s">
        <v>64</v>
      </c>
      <c r="K233" s="14" t="s">
        <v>65</v>
      </c>
      <c r="L233" s="11" t="str">
        <f>'Other non-financial'!H227</f>
        <v>Liabilities other than financial liabilities, provisions, tax liabilities, deferred income</v>
      </c>
      <c r="M233" s="12">
        <f>'Other non-financial'!B227</f>
        <v>187232.13999999998</v>
      </c>
      <c r="N233" s="11" t="str">
        <f>'Other non-financial'!A227</f>
        <v>EURO</v>
      </c>
      <c r="O233" s="11" t="str">
        <f>'Other non-financial'!E227</f>
        <v>2022-12-31</v>
      </c>
      <c r="P233" s="15">
        <v>72716</v>
      </c>
      <c r="Q233" s="11" t="s">
        <v>66</v>
      </c>
      <c r="R233" s="11">
        <v>0</v>
      </c>
    </row>
    <row r="234" spans="3:18" ht="60.75" thickBot="1">
      <c r="C234" s="10" t="s">
        <v>63</v>
      </c>
      <c r="D234" s="11">
        <v>227</v>
      </c>
      <c r="E234" s="11" t="str">
        <f>'Other non-financial'!F228</f>
        <v>r0390 - Non-financial liabilities</v>
      </c>
      <c r="F234" s="11" t="str">
        <f>IF(E234="r0170 - Employee liabilities (BRRD art. 44/2/g/i)","c001x   - Households",IF('Other non-financial'!C228="particulares","c001x   - Households",IF('Other non-financial'!C228="outras instituicoes financeiras","c005x   - Other financial corporations",IF('Other non-financial'!C228="instituicoes de credito","c004x   - Institutions",IF(AND('Other non-financial'!C228="outras empresas nao financeiras",'Other non-financial'!D228="1"),"c002x   - Micro &amp; SME",IF(AND('Other non-financial'!C228="outras empresas nao financeiras",'Other non-financial'!D228&lt;&gt;"1"),"c003x   - Corporates",IF('Other non-financial'!C228="","c010x   - Non-identified, not listed on an exchange platform",IF(OR('Other non-financial'!C228="setor publico",'Other non-financial'!C228="bancos centrais"),"c008x   - Government, central banks &amp; supranationals",""))))))))</f>
        <v>c001x   - Households</v>
      </c>
      <c r="G234" s="11" t="str">
        <f>'Other non-financial'!G228</f>
        <v>Rank 9 - Ranking in insolvency (master scale)</v>
      </c>
      <c r="H234" s="11">
        <v>0</v>
      </c>
      <c r="I234" s="11">
        <v>0</v>
      </c>
      <c r="J234" s="11" t="s">
        <v>64</v>
      </c>
      <c r="K234" s="14" t="s">
        <v>65</v>
      </c>
      <c r="L234" s="11" t="str">
        <f>'Other non-financial'!H228</f>
        <v>Liabilities other than financial liabilities, provisions, tax liabilities, deferred income</v>
      </c>
      <c r="M234" s="12">
        <f>'Other non-financial'!B228</f>
        <v>706.07000000000016</v>
      </c>
      <c r="N234" s="11" t="str">
        <f>'Other non-financial'!A228</f>
        <v>EURO</v>
      </c>
      <c r="O234" s="11" t="str">
        <f>'Other non-financial'!E228</f>
        <v>2022-12-31</v>
      </c>
      <c r="P234" s="15">
        <v>72716</v>
      </c>
      <c r="Q234" s="11" t="s">
        <v>66</v>
      </c>
      <c r="R234" s="11">
        <v>0</v>
      </c>
    </row>
    <row r="235" spans="3:18" ht="36.75" thickBot="1">
      <c r="C235" s="10" t="s">
        <v>63</v>
      </c>
      <c r="D235" s="11">
        <v>228</v>
      </c>
      <c r="E235" s="11" t="str">
        <f>'Other non-financial'!F229</f>
        <v>r0390 - Non-financial liabilities</v>
      </c>
      <c r="F235" s="11" t="str">
        <f>IF(E235="r0170 - Employee liabilities (BRRD art. 44/2/g/i)","c001x   - Households",IF('Other non-financial'!C229="particulares","c001x   - Households",IF('Other non-financial'!C229="outras instituicoes financeiras","c005x   - Other financial corporations",IF('Other non-financial'!C229="instituicoes de credito","c004x   - Institutions",IF(AND('Other non-financial'!C229="outras empresas nao financeiras",'Other non-financial'!D229="1"),"c002x   - Micro &amp; SME",IF(AND('Other non-financial'!C229="outras empresas nao financeiras",'Other non-financial'!D229&lt;&gt;"1"),"c003x   - Corporates",IF('Other non-financial'!C229="","c010x   - Non-identified, not listed on an exchange platform",IF(OR('Other non-financial'!C229="setor publico",'Other non-financial'!C229="bancos centrais"),"c008x   - Government, central banks &amp; supranationals",""))))))))</f>
        <v>c001x   - Households</v>
      </c>
      <c r="G235" s="11" t="str">
        <f>'Other non-financial'!G229</f>
        <v>Rank 9 - Ranking in insolvency (master scale)</v>
      </c>
      <c r="H235" s="11">
        <v>0</v>
      </c>
      <c r="I235" s="11">
        <v>0</v>
      </c>
      <c r="J235" s="11" t="s">
        <v>64</v>
      </c>
      <c r="K235" s="14" t="s">
        <v>65</v>
      </c>
      <c r="L235" s="11" t="str">
        <f>'Other non-financial'!H229</f>
        <v>Provisions. Off-balance sheet exposures subject to credit risk</v>
      </c>
      <c r="M235" s="12">
        <f>'Other non-financial'!B229</f>
        <v>3083.57</v>
      </c>
      <c r="N235" s="11" t="str">
        <f>'Other non-financial'!A229</f>
        <v>EURO</v>
      </c>
      <c r="O235" s="11" t="str">
        <f>'Other non-financial'!E229</f>
        <v>2022-12-31</v>
      </c>
      <c r="P235" s="15">
        <v>72716</v>
      </c>
      <c r="Q235" s="11" t="s">
        <v>66</v>
      </c>
      <c r="R235" s="11">
        <v>0</v>
      </c>
    </row>
    <row r="236" spans="3:18" ht="36.75" thickBot="1">
      <c r="C236" s="10" t="s">
        <v>63</v>
      </c>
      <c r="D236" s="11">
        <v>229</v>
      </c>
      <c r="E236" s="11" t="str">
        <f>'Other non-financial'!F230</f>
        <v>r0390 - Non-financial liabilities</v>
      </c>
      <c r="F236" s="11" t="str">
        <f>IF(E236="r0170 - Employee liabilities (BRRD art. 44/2/g/i)","c001x   - Households",IF('Other non-financial'!C230="particulares","c001x   - Households",IF('Other non-financial'!C230="outras instituicoes financeiras","c005x   - Other financial corporations",IF('Other non-financial'!C230="instituicoes de credito","c004x   - Institutions",IF(AND('Other non-financial'!C230="outras empresas nao financeiras",'Other non-financial'!D230="1"),"c002x   - Micro &amp; SME",IF(AND('Other non-financial'!C230="outras empresas nao financeiras",'Other non-financial'!D230&lt;&gt;"1"),"c003x   - Corporates",IF('Other non-financial'!C230="","c010x   - Non-identified, not listed on an exchange platform",IF(OR('Other non-financial'!C230="setor publico",'Other non-financial'!C230="bancos centrais"),"c008x   - Government, central banks &amp; supranationals",""))))))))</f>
        <v>c001x   - Households</v>
      </c>
      <c r="G236" s="11" t="str">
        <f>'Other non-financial'!G230</f>
        <v>Rank 9 - Ranking in insolvency (master scale)</v>
      </c>
      <c r="H236" s="11">
        <v>0</v>
      </c>
      <c r="I236" s="11">
        <v>0</v>
      </c>
      <c r="J236" s="11" t="s">
        <v>64</v>
      </c>
      <c r="K236" s="14" t="s">
        <v>65</v>
      </c>
      <c r="L236" s="11" t="str">
        <f>'Other non-financial'!H230</f>
        <v>Provisions. Off-balance sheet exposures subject to credit risk</v>
      </c>
      <c r="M236" s="12">
        <f>'Other non-financial'!B230</f>
        <v>1098.4299999999998</v>
      </c>
      <c r="N236" s="11" t="str">
        <f>'Other non-financial'!A230</f>
        <v>EURO</v>
      </c>
      <c r="O236" s="11" t="str">
        <f>'Other non-financial'!E230</f>
        <v>2022-12-31</v>
      </c>
      <c r="P236" s="15">
        <v>72716</v>
      </c>
      <c r="Q236" s="11" t="s">
        <v>66</v>
      </c>
      <c r="R236" s="11">
        <v>0</v>
      </c>
    </row>
    <row r="237" spans="3:18" ht="36.75" thickBot="1">
      <c r="C237" s="10" t="s">
        <v>63</v>
      </c>
      <c r="D237" s="11">
        <v>230</v>
      </c>
      <c r="E237" s="11" t="str">
        <f>'Other non-financial'!F231</f>
        <v>r0390 - Non-financial liabilities</v>
      </c>
      <c r="F237" s="11" t="str">
        <f>IF(E237="r0170 - Employee liabilities (BRRD art. 44/2/g/i)","c001x   - Households",IF('Other non-financial'!C231="particulares","c001x   - Households",IF('Other non-financial'!C231="outras instituicoes financeiras","c005x   - Other financial corporations",IF('Other non-financial'!C231="instituicoes de credito","c004x   - Institutions",IF(AND('Other non-financial'!C231="outras empresas nao financeiras",'Other non-financial'!D231="1"),"c002x   - Micro &amp; SME",IF(AND('Other non-financial'!C231="outras empresas nao financeiras",'Other non-financial'!D231&lt;&gt;"1"),"c003x   - Corporates",IF('Other non-financial'!C231="","c010x   - Non-identified, not listed on an exchange platform",IF(OR('Other non-financial'!C231="setor publico",'Other non-financial'!C231="bancos centrais"),"c008x   - Government, central banks &amp; supranationals",""))))))))</f>
        <v>c001x   - Households</v>
      </c>
      <c r="G237" s="11" t="str">
        <f>'Other non-financial'!G231</f>
        <v>Rank 9 - Ranking in insolvency (master scale)</v>
      </c>
      <c r="H237" s="11">
        <v>0</v>
      </c>
      <c r="I237" s="11">
        <v>0</v>
      </c>
      <c r="J237" s="11" t="s">
        <v>64</v>
      </c>
      <c r="K237" s="14" t="s">
        <v>65</v>
      </c>
      <c r="L237" s="11" t="str">
        <f>'Other non-financial'!H231</f>
        <v>Provisions. Off-balance sheet exposures subject to credit risk</v>
      </c>
      <c r="M237" s="12">
        <f>'Other non-financial'!B231</f>
        <v>5704.14</v>
      </c>
      <c r="N237" s="11" t="str">
        <f>'Other non-financial'!A231</f>
        <v>EURO</v>
      </c>
      <c r="O237" s="11" t="str">
        <f>'Other non-financial'!E231</f>
        <v>2022-12-31</v>
      </c>
      <c r="P237" s="15">
        <v>72716</v>
      </c>
      <c r="Q237" s="11" t="s">
        <v>66</v>
      </c>
      <c r="R237" s="11">
        <v>0</v>
      </c>
    </row>
    <row r="238" spans="3:18" ht="36.75" thickBot="1">
      <c r="C238" s="10" t="s">
        <v>63</v>
      </c>
      <c r="D238" s="11">
        <v>231</v>
      </c>
      <c r="E238" s="11" t="str">
        <f>'Other non-financial'!F232</f>
        <v>r0390 - Non-financial liabilities</v>
      </c>
      <c r="F238" s="11" t="str">
        <f>IF(E238="r0170 - Employee liabilities (BRRD art. 44/2/g/i)","c001x   - Households",IF('Other non-financial'!C232="particulares","c001x   - Households",IF('Other non-financial'!C232="outras instituicoes financeiras","c005x   - Other financial corporations",IF('Other non-financial'!C232="instituicoes de credito","c004x   - Institutions",IF(AND('Other non-financial'!C232="outras empresas nao financeiras",'Other non-financial'!D232="1"),"c002x   - Micro &amp; SME",IF(AND('Other non-financial'!C232="outras empresas nao financeiras",'Other non-financial'!D232&lt;&gt;"1"),"c003x   - Corporates",IF('Other non-financial'!C232="","c010x   - Non-identified, not listed on an exchange platform",IF(OR('Other non-financial'!C232="setor publico",'Other non-financial'!C232="bancos centrais"),"c008x   - Government, central banks &amp; supranationals",""))))))))</f>
        <v>c001x   - Households</v>
      </c>
      <c r="G238" s="11" t="str">
        <f>'Other non-financial'!G232</f>
        <v>Rank 9 - Ranking in insolvency (master scale)</v>
      </c>
      <c r="H238" s="11">
        <v>0</v>
      </c>
      <c r="I238" s="11">
        <v>0</v>
      </c>
      <c r="J238" s="11" t="s">
        <v>64</v>
      </c>
      <c r="K238" s="14" t="s">
        <v>65</v>
      </c>
      <c r="L238" s="11" t="str">
        <f>'Other non-financial'!H232</f>
        <v>Provisions. Off-balance sheet exposures subject to credit risk</v>
      </c>
      <c r="M238" s="12">
        <f>'Other non-financial'!B232</f>
        <v>2641.38</v>
      </c>
      <c r="N238" s="11" t="str">
        <f>'Other non-financial'!A232</f>
        <v>EURO</v>
      </c>
      <c r="O238" s="11" t="str">
        <f>'Other non-financial'!E232</f>
        <v>2022-12-31</v>
      </c>
      <c r="P238" s="15">
        <v>72716</v>
      </c>
      <c r="Q238" s="11" t="s">
        <v>66</v>
      </c>
      <c r="R238" s="11">
        <v>0</v>
      </c>
    </row>
    <row r="239" spans="3:18" ht="36.75" thickBot="1">
      <c r="C239" s="10" t="s">
        <v>63</v>
      </c>
      <c r="D239" s="11">
        <v>232</v>
      </c>
      <c r="E239" s="11" t="str">
        <f>'Other non-financial'!F233</f>
        <v>r0390 - Non-financial liabilities</v>
      </c>
      <c r="F239" s="11" t="str">
        <f>IF(E239="r0170 - Employee liabilities (BRRD art. 44/2/g/i)","c001x   - Households",IF('Other non-financial'!C233="particulares","c001x   - Households",IF('Other non-financial'!C233="outras instituicoes financeiras","c005x   - Other financial corporations",IF('Other non-financial'!C233="instituicoes de credito","c004x   - Institutions",IF(AND('Other non-financial'!C233="outras empresas nao financeiras",'Other non-financial'!D233="1"),"c002x   - Micro &amp; SME",IF(AND('Other non-financial'!C233="outras empresas nao financeiras",'Other non-financial'!D233&lt;&gt;"1"),"c003x   - Corporates",IF('Other non-financial'!C233="","c010x   - Non-identified, not listed on an exchange platform",IF(OR('Other non-financial'!C233="setor publico",'Other non-financial'!C233="bancos centrais"),"c008x   - Government, central banks &amp; supranationals",""))))))))</f>
        <v>c001x   - Households</v>
      </c>
      <c r="G239" s="11" t="str">
        <f>'Other non-financial'!G233</f>
        <v>Rank 9 - Ranking in insolvency (master scale)</v>
      </c>
      <c r="H239" s="11">
        <v>0</v>
      </c>
      <c r="I239" s="11">
        <v>0</v>
      </c>
      <c r="J239" s="11" t="s">
        <v>64</v>
      </c>
      <c r="K239" s="14" t="s">
        <v>65</v>
      </c>
      <c r="L239" s="11" t="str">
        <f>'Other non-financial'!H233</f>
        <v>Provisions. Off-balance sheet exposures subject to credit risk</v>
      </c>
      <c r="M239" s="12">
        <f>'Other non-financial'!B233</f>
        <v>43.230000000000004</v>
      </c>
      <c r="N239" s="11" t="str">
        <f>'Other non-financial'!A233</f>
        <v>EURO</v>
      </c>
      <c r="O239" s="11" t="str">
        <f>'Other non-financial'!E233</f>
        <v>2022-12-31</v>
      </c>
      <c r="P239" s="15">
        <v>72716</v>
      </c>
      <c r="Q239" s="11" t="s">
        <v>66</v>
      </c>
      <c r="R239" s="11">
        <v>0</v>
      </c>
    </row>
    <row r="240" spans="3:18" ht="36.75" thickBot="1">
      <c r="C240" s="10" t="s">
        <v>63</v>
      </c>
      <c r="D240" s="11">
        <v>233</v>
      </c>
      <c r="E240" s="11" t="str">
        <f>'Other non-financial'!F234</f>
        <v>r0390 - Non-financial liabilities</v>
      </c>
      <c r="F240" s="11" t="str">
        <f>IF(E240="r0170 - Employee liabilities (BRRD art. 44/2/g/i)","c001x   - Households",IF('Other non-financial'!C234="particulares","c001x   - Households",IF('Other non-financial'!C234="outras instituicoes financeiras","c005x   - Other financial corporations",IF('Other non-financial'!C234="instituicoes de credito","c004x   - Institutions",IF(AND('Other non-financial'!C234="outras empresas nao financeiras",'Other non-financial'!D234="1"),"c002x   - Micro &amp; SME",IF(AND('Other non-financial'!C234="outras empresas nao financeiras",'Other non-financial'!D234&lt;&gt;"1"),"c003x   - Corporates",IF('Other non-financial'!C234="","c010x   - Non-identified, not listed on an exchange platform",IF(OR('Other non-financial'!C234="setor publico",'Other non-financial'!C234="bancos centrais"),"c008x   - Government, central banks &amp; supranationals",""))))))))</f>
        <v>c001x   - Households</v>
      </c>
      <c r="G240" s="11" t="str">
        <f>'Other non-financial'!G234</f>
        <v>Rank 9 - Ranking in insolvency (master scale)</v>
      </c>
      <c r="H240" s="11">
        <v>0</v>
      </c>
      <c r="I240" s="11">
        <v>0</v>
      </c>
      <c r="J240" s="11" t="s">
        <v>64</v>
      </c>
      <c r="K240" s="14" t="s">
        <v>65</v>
      </c>
      <c r="L240" s="11" t="str">
        <f>'Other non-financial'!H234</f>
        <v>Provisions. Off-balance sheet exposures subject to credit risk</v>
      </c>
      <c r="M240" s="12">
        <f>'Other non-financial'!B234</f>
        <v>4225.3200000000006</v>
      </c>
      <c r="N240" s="11" t="str">
        <f>'Other non-financial'!A234</f>
        <v>EURO</v>
      </c>
      <c r="O240" s="11" t="str">
        <f>'Other non-financial'!E234</f>
        <v>2022-12-31</v>
      </c>
      <c r="P240" s="15">
        <v>72716</v>
      </c>
      <c r="Q240" s="11" t="s">
        <v>66</v>
      </c>
      <c r="R240" s="11">
        <v>0</v>
      </c>
    </row>
    <row r="241" spans="3:18" ht="36.75" thickBot="1">
      <c r="C241" s="10" t="s">
        <v>63</v>
      </c>
      <c r="D241" s="11">
        <v>234</v>
      </c>
      <c r="E241" s="11" t="str">
        <f>'Other non-financial'!F235</f>
        <v>r0390 - Non-financial liabilities</v>
      </c>
      <c r="F241" s="11" t="str">
        <f>IF(E241="r0170 - Employee liabilities (BRRD art. 44/2/g/i)","c001x   - Households",IF('Other non-financial'!C235="particulares","c001x   - Households",IF('Other non-financial'!C235="outras instituicoes financeiras","c005x   - Other financial corporations",IF('Other non-financial'!C235="instituicoes de credito","c004x   - Institutions",IF(AND('Other non-financial'!C235="outras empresas nao financeiras",'Other non-financial'!D235="1"),"c002x   - Micro &amp; SME",IF(AND('Other non-financial'!C235="outras empresas nao financeiras",'Other non-financial'!D235&lt;&gt;"1"),"c003x   - Corporates",IF('Other non-financial'!C235="","c010x   - Non-identified, not listed on an exchange platform",IF(OR('Other non-financial'!C235="setor publico",'Other non-financial'!C235="bancos centrais"),"c008x   - Government, central banks &amp; supranationals",""))))))))</f>
        <v>c001x   - Households</v>
      </c>
      <c r="G241" s="11" t="str">
        <f>'Other non-financial'!G235</f>
        <v>Rank 9 - Ranking in insolvency (master scale)</v>
      </c>
      <c r="H241" s="11">
        <v>0</v>
      </c>
      <c r="I241" s="11">
        <v>0</v>
      </c>
      <c r="J241" s="11" t="s">
        <v>64</v>
      </c>
      <c r="K241" s="14" t="s">
        <v>65</v>
      </c>
      <c r="L241" s="11" t="str">
        <f>'Other non-financial'!H235</f>
        <v>Provisions. Off-balance sheet exposures subject to credit risk</v>
      </c>
      <c r="M241" s="12">
        <f>'Other non-financial'!B235</f>
        <v>117831.40000000004</v>
      </c>
      <c r="N241" s="11" t="str">
        <f>'Other non-financial'!A235</f>
        <v>EURO</v>
      </c>
      <c r="O241" s="11" t="str">
        <f>'Other non-financial'!E235</f>
        <v>2022-12-31</v>
      </c>
      <c r="P241" s="15">
        <v>72716</v>
      </c>
      <c r="Q241" s="11" t="s">
        <v>66</v>
      </c>
      <c r="R241" s="11">
        <v>0</v>
      </c>
    </row>
    <row r="242" spans="3:18" ht="36.75" thickBot="1">
      <c r="C242" s="10" t="s">
        <v>63</v>
      </c>
      <c r="D242" s="11">
        <v>235</v>
      </c>
      <c r="E242" s="11" t="str">
        <f>'Other non-financial'!F236</f>
        <v>r0390 - Non-financial liabilities</v>
      </c>
      <c r="F242" s="11" t="str">
        <f>IF(E242="r0170 - Employee liabilities (BRRD art. 44/2/g/i)","c001x   - Households",IF('Other non-financial'!C236="particulares","c001x   - Households",IF('Other non-financial'!C236="outras instituicoes financeiras","c005x   - Other financial corporations",IF('Other non-financial'!C236="instituicoes de credito","c004x   - Institutions",IF(AND('Other non-financial'!C236="outras empresas nao financeiras",'Other non-financial'!D236="1"),"c002x   - Micro &amp; SME",IF(AND('Other non-financial'!C236="outras empresas nao financeiras",'Other non-financial'!D236&lt;&gt;"1"),"c003x   - Corporates",IF('Other non-financial'!C236="","c010x   - Non-identified, not listed on an exchange platform",IF(OR('Other non-financial'!C236="setor publico",'Other non-financial'!C236="bancos centrais"),"c008x   - Government, central banks &amp; supranationals",""))))))))</f>
        <v>c001x   - Households</v>
      </c>
      <c r="G242" s="11" t="str">
        <f>'Other non-financial'!G236</f>
        <v>Rank 9 - Ranking in insolvency (master scale)</v>
      </c>
      <c r="H242" s="11">
        <v>0</v>
      </c>
      <c r="I242" s="11">
        <v>0</v>
      </c>
      <c r="J242" s="11" t="s">
        <v>64</v>
      </c>
      <c r="K242" s="14" t="s">
        <v>65</v>
      </c>
      <c r="L242" s="11" t="str">
        <f>'Other non-financial'!H236</f>
        <v>Provisions. Off-balance sheet exposures subject to credit risk</v>
      </c>
      <c r="M242" s="12">
        <f>'Other non-financial'!B236</f>
        <v>80649.640001998589</v>
      </c>
      <c r="N242" s="11" t="str">
        <f>'Other non-financial'!A236</f>
        <v>EURO</v>
      </c>
      <c r="O242" s="11" t="str">
        <f>'Other non-financial'!E236</f>
        <v>2022-12-31</v>
      </c>
      <c r="P242" s="15">
        <v>72716</v>
      </c>
      <c r="Q242" s="11" t="s">
        <v>66</v>
      </c>
      <c r="R242" s="11">
        <v>0</v>
      </c>
    </row>
    <row r="243" spans="3:18" ht="36.75" thickBot="1">
      <c r="C243" s="10" t="s">
        <v>63</v>
      </c>
      <c r="D243" s="11">
        <v>236</v>
      </c>
      <c r="E243" s="11" t="str">
        <f>'Other non-financial'!F237</f>
        <v>r0390 - Non-financial liabilities</v>
      </c>
      <c r="F243" s="11" t="str">
        <f>IF(E243="r0170 - Employee liabilities (BRRD art. 44/2/g/i)","c001x   - Households",IF('Other non-financial'!C237="particulares","c001x   - Households",IF('Other non-financial'!C237="outras instituicoes financeiras","c005x   - Other financial corporations",IF('Other non-financial'!C237="instituicoes de credito","c004x   - Institutions",IF(AND('Other non-financial'!C237="outras empresas nao financeiras",'Other non-financial'!D237="1"),"c002x   - Micro &amp; SME",IF(AND('Other non-financial'!C237="outras empresas nao financeiras",'Other non-financial'!D237&lt;&gt;"1"),"c003x   - Corporates",IF('Other non-financial'!C237="","c010x   - Non-identified, not listed on an exchange platform",IF(OR('Other non-financial'!C237="setor publico",'Other non-financial'!C237="bancos centrais"),"c008x   - Government, central banks &amp; supranationals",""))))))))</f>
        <v>c001x   - Households</v>
      </c>
      <c r="G243" s="11" t="str">
        <f>'Other non-financial'!G237</f>
        <v>Rank 9 - Ranking in insolvency (master scale)</v>
      </c>
      <c r="H243" s="11">
        <v>0</v>
      </c>
      <c r="I243" s="11">
        <v>0</v>
      </c>
      <c r="J243" s="11" t="s">
        <v>64</v>
      </c>
      <c r="K243" s="14" t="s">
        <v>65</v>
      </c>
      <c r="L243" s="11" t="str">
        <f>'Other non-financial'!H237</f>
        <v>Provisions. Off-balance sheet exposures subject to credit risk</v>
      </c>
      <c r="M243" s="12">
        <f>'Other non-financial'!B237</f>
        <v>78940.300000000236</v>
      </c>
      <c r="N243" s="11" t="str">
        <f>'Other non-financial'!A237</f>
        <v>EURO</v>
      </c>
      <c r="O243" s="11" t="str">
        <f>'Other non-financial'!E237</f>
        <v>2022-12-31</v>
      </c>
      <c r="P243" s="15">
        <v>72716</v>
      </c>
      <c r="Q243" s="11" t="s">
        <v>66</v>
      </c>
      <c r="R243" s="11">
        <v>0</v>
      </c>
    </row>
    <row r="244" spans="3:18" ht="36.75" thickBot="1">
      <c r="C244" s="10" t="s">
        <v>63</v>
      </c>
      <c r="D244" s="11">
        <v>237</v>
      </c>
      <c r="E244" s="11" t="str">
        <f>'Other non-financial'!F238</f>
        <v>r0390 - Non-financial liabilities</v>
      </c>
      <c r="F244" s="11" t="str">
        <f>IF(E244="r0170 - Employee liabilities (BRRD art. 44/2/g/i)","c001x   - Households",IF('Other non-financial'!C238="particulares","c001x   - Households",IF('Other non-financial'!C238="outras instituicoes financeiras","c005x   - Other financial corporations",IF('Other non-financial'!C238="instituicoes de credito","c004x   - Institutions",IF(AND('Other non-financial'!C238="outras empresas nao financeiras",'Other non-financial'!D238="1"),"c002x   - Micro &amp; SME",IF(AND('Other non-financial'!C238="outras empresas nao financeiras",'Other non-financial'!D238&lt;&gt;"1"),"c003x   - Corporates",IF('Other non-financial'!C238="","c010x   - Non-identified, not listed on an exchange platform",IF(OR('Other non-financial'!C238="setor publico",'Other non-financial'!C238="bancos centrais"),"c008x   - Government, central banks &amp; supranationals",""))))))))</f>
        <v>c001x   - Households</v>
      </c>
      <c r="G244" s="11" t="str">
        <f>'Other non-financial'!G238</f>
        <v>Rank 9 - Ranking in insolvency (master scale)</v>
      </c>
      <c r="H244" s="11">
        <v>0</v>
      </c>
      <c r="I244" s="11">
        <v>0</v>
      </c>
      <c r="J244" s="11" t="s">
        <v>64</v>
      </c>
      <c r="K244" s="14" t="s">
        <v>65</v>
      </c>
      <c r="L244" s="11" t="str">
        <f>'Other non-financial'!H238</f>
        <v>Provisions. Off-balance sheet exposures subject to credit risk</v>
      </c>
      <c r="M244" s="12">
        <f>'Other non-financial'!B238</f>
        <v>3.0000000000000002E-2</v>
      </c>
      <c r="N244" s="11" t="str">
        <f>'Other non-financial'!A238</f>
        <v>EURO</v>
      </c>
      <c r="O244" s="11" t="str">
        <f>'Other non-financial'!E238</f>
        <v>2022-12-31</v>
      </c>
      <c r="P244" s="15">
        <v>72716</v>
      </c>
      <c r="Q244" s="11" t="s">
        <v>66</v>
      </c>
      <c r="R244" s="11">
        <v>0</v>
      </c>
    </row>
    <row r="245" spans="3:18" ht="60.75" thickBot="1">
      <c r="C245" s="10" t="s">
        <v>63</v>
      </c>
      <c r="D245" s="11">
        <v>238</v>
      </c>
      <c r="E245" s="11" t="str">
        <f>'Other non-financial'!F239</f>
        <v>r0390 - Non-financial liabilities</v>
      </c>
      <c r="F245" s="11" t="str">
        <f>IF(E245="r0170 - Employee liabilities (BRRD art. 44/2/g/i)","c001x   - Households",IF('Other non-financial'!C239="particulares","c001x   - Households",IF('Other non-financial'!C239="outras instituicoes financeiras","c005x   - Other financial corporations",IF('Other non-financial'!C239="instituicoes de credito","c004x   - Institutions",IF(AND('Other non-financial'!C239="outras empresas nao financeiras",'Other non-financial'!D239="1"),"c002x   - Micro &amp; SME",IF(AND('Other non-financial'!C239="outras empresas nao financeiras",'Other non-financial'!D239&lt;&gt;"1"),"c003x   - Corporates",IF('Other non-financial'!C239="","c010x   - Non-identified, not listed on an exchange platform",IF(OR('Other non-financial'!C239="setor publico",'Other non-financial'!C239="bancos centrais"),"c008x   - Government, central banks &amp; supranationals",""))))))))</f>
        <v>c008x   - Government, central banks &amp; supranationals</v>
      </c>
      <c r="G245" s="11" t="str">
        <f>'Other non-financial'!G239</f>
        <v>Rank 9 - Ranking in insolvency (master scale)</v>
      </c>
      <c r="H245" s="11">
        <v>0</v>
      </c>
      <c r="I245" s="11">
        <v>0</v>
      </c>
      <c r="J245" s="11" t="s">
        <v>64</v>
      </c>
      <c r="K245" s="14" t="s">
        <v>65</v>
      </c>
      <c r="L245" s="11" t="str">
        <f>'Other non-financial'!H239</f>
        <v>Liabilities other than financial liabilities, provisions, tax liabilities, deferred income</v>
      </c>
      <c r="M245" s="12">
        <f>'Other non-financial'!B239</f>
        <v>481336.25</v>
      </c>
      <c r="N245" s="11" t="str">
        <f>'Other non-financial'!A239</f>
        <v>EURO</v>
      </c>
      <c r="O245" s="11" t="str">
        <f>'Other non-financial'!E239</f>
        <v>2022-12-31</v>
      </c>
      <c r="P245" s="15">
        <v>72716</v>
      </c>
      <c r="Q245" s="11" t="s">
        <v>66</v>
      </c>
      <c r="R245" s="11">
        <v>0</v>
      </c>
    </row>
    <row r="246" spans="3:18" ht="60.75" thickBot="1">
      <c r="C246" s="10" t="s">
        <v>63</v>
      </c>
      <c r="D246" s="11">
        <v>239</v>
      </c>
      <c r="E246" s="11" t="str">
        <f>'Other non-financial'!F240</f>
        <v>r0390 - Non-financial liabilities</v>
      </c>
      <c r="F246" s="11" t="str">
        <f>IF(E246="r0170 - Employee liabilities (BRRD art. 44/2/g/i)","c001x   - Households",IF('Other non-financial'!C240="particulares","c001x   - Households",IF('Other non-financial'!C240="outras instituicoes financeiras","c005x   - Other financial corporations",IF('Other non-financial'!C240="instituicoes de credito","c004x   - Institutions",IF(AND('Other non-financial'!C240="outras empresas nao financeiras",'Other non-financial'!D240="1"),"c002x   - Micro &amp; SME",IF(AND('Other non-financial'!C240="outras empresas nao financeiras",'Other non-financial'!D240&lt;&gt;"1"),"c003x   - Corporates",IF('Other non-financial'!C240="","c010x   - Non-identified, not listed on an exchange platform",IF(OR('Other non-financial'!C240="setor publico",'Other non-financial'!C240="bancos centrais"),"c008x   - Government, central banks &amp; supranationals",""))))))))</f>
        <v>c008x   - Government, central banks &amp; supranationals</v>
      </c>
      <c r="G246" s="11" t="str">
        <f>'Other non-financial'!G240</f>
        <v>Rank 9 - Ranking in insolvency (master scale)</v>
      </c>
      <c r="H246" s="11">
        <v>0</v>
      </c>
      <c r="I246" s="11">
        <v>0</v>
      </c>
      <c r="J246" s="11" t="s">
        <v>64</v>
      </c>
      <c r="K246" s="14" t="s">
        <v>65</v>
      </c>
      <c r="L246" s="11" t="str">
        <f>'Other non-financial'!H240</f>
        <v>Liabilities other than financial liabilities, provisions, tax liabilities, deferred income</v>
      </c>
      <c r="M246" s="12">
        <f>'Other non-financial'!B240</f>
        <v>117784.6</v>
      </c>
      <c r="N246" s="11" t="str">
        <f>'Other non-financial'!A240</f>
        <v>EURO</v>
      </c>
      <c r="O246" s="11" t="str">
        <f>'Other non-financial'!E240</f>
        <v>2022-12-31</v>
      </c>
      <c r="P246" s="15">
        <v>72716</v>
      </c>
      <c r="Q246" s="11" t="s">
        <v>66</v>
      </c>
      <c r="R246" s="11">
        <v>0</v>
      </c>
    </row>
    <row r="247" spans="3:18" ht="60.75" thickBot="1">
      <c r="C247" s="10" t="s">
        <v>63</v>
      </c>
      <c r="D247" s="11">
        <v>240</v>
      </c>
      <c r="E247" s="11" t="str">
        <f>'Other non-financial'!F241</f>
        <v>r0390 - Non-financial liabilities</v>
      </c>
      <c r="F247" s="11" t="str">
        <f>IF(E247="r0170 - Employee liabilities (BRRD art. 44/2/g/i)","c001x   - Households",IF('Other non-financial'!C241="particulares","c001x   - Households",IF('Other non-financial'!C241="outras instituicoes financeiras","c005x   - Other financial corporations",IF('Other non-financial'!C241="instituicoes de credito","c004x   - Institutions",IF(AND('Other non-financial'!C241="outras empresas nao financeiras",'Other non-financial'!D241="1"),"c002x   - Micro &amp; SME",IF(AND('Other non-financial'!C241="outras empresas nao financeiras",'Other non-financial'!D241&lt;&gt;"1"),"c003x   - Corporates",IF('Other non-financial'!C241="","c010x   - Non-identified, not listed on an exchange platform",IF(OR('Other non-financial'!C241="setor publico",'Other non-financial'!C241="bancos centrais"),"c008x   - Government, central banks &amp; supranationals",""))))))))</f>
        <v>c008x   - Government, central banks &amp; supranationals</v>
      </c>
      <c r="G247" s="11" t="str">
        <f>'Other non-financial'!G241</f>
        <v>Rank 9 - Ranking in insolvency (master scale)</v>
      </c>
      <c r="H247" s="11">
        <v>0</v>
      </c>
      <c r="I247" s="11">
        <v>0</v>
      </c>
      <c r="J247" s="11" t="s">
        <v>64</v>
      </c>
      <c r="K247" s="14" t="s">
        <v>65</v>
      </c>
      <c r="L247" s="11" t="str">
        <f>'Other non-financial'!H241</f>
        <v>Liabilities other than financial liabilities, provisions, tax liabilities, deferred income</v>
      </c>
      <c r="M247" s="12">
        <f>'Other non-financial'!B241</f>
        <v>15482.33</v>
      </c>
      <c r="N247" s="11" t="str">
        <f>'Other non-financial'!A241</f>
        <v>EURO</v>
      </c>
      <c r="O247" s="11" t="str">
        <f>'Other non-financial'!E241</f>
        <v>2022-12-31</v>
      </c>
      <c r="P247" s="15">
        <v>72716</v>
      </c>
      <c r="Q247" s="11" t="s">
        <v>66</v>
      </c>
      <c r="R247" s="11">
        <v>0</v>
      </c>
    </row>
    <row r="248" spans="3:18" ht="60.75" thickBot="1">
      <c r="C248" s="10" t="s">
        <v>63</v>
      </c>
      <c r="D248" s="11">
        <v>241</v>
      </c>
      <c r="E248" s="11" t="str">
        <f>'Other non-financial'!F242</f>
        <v>r0390 - Non-financial liabilities</v>
      </c>
      <c r="F248" s="11" t="str">
        <f>IF(E248="r0170 - Employee liabilities (BRRD art. 44/2/g/i)","c001x   - Households",IF('Other non-financial'!C242="particulares","c001x   - Households",IF('Other non-financial'!C242="outras instituicoes financeiras","c005x   - Other financial corporations",IF('Other non-financial'!C242="instituicoes de credito","c004x   - Institutions",IF(AND('Other non-financial'!C242="outras empresas nao financeiras",'Other non-financial'!D242="1"),"c002x   - Micro &amp; SME",IF(AND('Other non-financial'!C242="outras empresas nao financeiras",'Other non-financial'!D242&lt;&gt;"1"),"c003x   - Corporates",IF('Other non-financial'!C242="","c010x   - Non-identified, not listed on an exchange platform",IF(OR('Other non-financial'!C242="setor publico",'Other non-financial'!C242="bancos centrais"),"c008x   - Government, central banks &amp; supranationals",""))))))))</f>
        <v>c008x   - Government, central banks &amp; supranationals</v>
      </c>
      <c r="G248" s="11" t="str">
        <f>'Other non-financial'!G242</f>
        <v>Rank 9 - Ranking in insolvency (master scale)</v>
      </c>
      <c r="H248" s="11">
        <v>0</v>
      </c>
      <c r="I248" s="11">
        <v>0</v>
      </c>
      <c r="J248" s="11" t="s">
        <v>64</v>
      </c>
      <c r="K248" s="14" t="s">
        <v>65</v>
      </c>
      <c r="L248" s="11" t="str">
        <f>'Other non-financial'!H242</f>
        <v>Liabilities other than financial liabilities, provisions, tax liabilities, deferred income</v>
      </c>
      <c r="M248" s="12">
        <f>'Other non-financial'!B242</f>
        <v>168478.50999999998</v>
      </c>
      <c r="N248" s="11" t="str">
        <f>'Other non-financial'!A242</f>
        <v>EURO</v>
      </c>
      <c r="O248" s="11" t="str">
        <f>'Other non-financial'!E242</f>
        <v>2022-12-31</v>
      </c>
      <c r="P248" s="15">
        <v>72716</v>
      </c>
      <c r="Q248" s="11" t="s">
        <v>66</v>
      </c>
      <c r="R248" s="11">
        <v>0</v>
      </c>
    </row>
    <row r="249" spans="3:18" ht="60.75" thickBot="1">
      <c r="C249" s="10" t="s">
        <v>63</v>
      </c>
      <c r="D249" s="11">
        <v>242</v>
      </c>
      <c r="E249" s="11" t="str">
        <f>'Other non-financial'!F243</f>
        <v>r0390 - Non-financial liabilities</v>
      </c>
      <c r="F249" s="11" t="str">
        <f>IF(E249="r0170 - Employee liabilities (BRRD art. 44/2/g/i)","c001x   - Households",IF('Other non-financial'!C243="particulares","c001x   - Households",IF('Other non-financial'!C243="outras instituicoes financeiras","c005x   - Other financial corporations",IF('Other non-financial'!C243="instituicoes de credito","c004x   - Institutions",IF(AND('Other non-financial'!C243="outras empresas nao financeiras",'Other non-financial'!D243="1"),"c002x   - Micro &amp; SME",IF(AND('Other non-financial'!C243="outras empresas nao financeiras",'Other non-financial'!D243&lt;&gt;"1"),"c003x   - Corporates",IF('Other non-financial'!C243="","c010x   - Non-identified, not listed on an exchange platform",IF(OR('Other non-financial'!C243="setor publico",'Other non-financial'!C243="bancos centrais"),"c008x   - Government, central banks &amp; supranationals",""))))))))</f>
        <v>c008x   - Government, central banks &amp; supranationals</v>
      </c>
      <c r="G249" s="11" t="str">
        <f>'Other non-financial'!G243</f>
        <v>Rank 9 - Ranking in insolvency (master scale)</v>
      </c>
      <c r="H249" s="11">
        <v>0</v>
      </c>
      <c r="I249" s="11">
        <v>0</v>
      </c>
      <c r="J249" s="11" t="s">
        <v>64</v>
      </c>
      <c r="K249" s="14" t="s">
        <v>65</v>
      </c>
      <c r="L249" s="11" t="str">
        <f>'Other non-financial'!H243</f>
        <v>Liabilities other than financial liabilities, provisions, tax liabilities, deferred income</v>
      </c>
      <c r="M249" s="12">
        <f>'Other non-financial'!B243</f>
        <v>7399.7299999999923</v>
      </c>
      <c r="N249" s="11" t="str">
        <f>'Other non-financial'!A243</f>
        <v>EURO</v>
      </c>
      <c r="O249" s="11" t="str">
        <f>'Other non-financial'!E243</f>
        <v>2022-12-31</v>
      </c>
      <c r="P249" s="15">
        <v>72716</v>
      </c>
      <c r="Q249" s="11" t="s">
        <v>66</v>
      </c>
      <c r="R249" s="11">
        <v>0</v>
      </c>
    </row>
    <row r="250" spans="3:18" ht="60.75" thickBot="1">
      <c r="C250" s="10" t="s">
        <v>63</v>
      </c>
      <c r="D250" s="11">
        <v>243</v>
      </c>
      <c r="E250" s="11" t="str">
        <f>'Other non-financial'!F244</f>
        <v>r0390 - Non-financial liabilities</v>
      </c>
      <c r="F250" s="11" t="str">
        <f>IF(E250="r0170 - Employee liabilities (BRRD art. 44/2/g/i)","c001x   - Households",IF('Other non-financial'!C244="particulares","c001x   - Households",IF('Other non-financial'!C244="outras instituicoes financeiras","c005x   - Other financial corporations",IF('Other non-financial'!C244="instituicoes de credito","c004x   - Institutions",IF(AND('Other non-financial'!C244="outras empresas nao financeiras",'Other non-financial'!D244="1"),"c002x   - Micro &amp; SME",IF(AND('Other non-financial'!C244="outras empresas nao financeiras",'Other non-financial'!D244&lt;&gt;"1"),"c003x   - Corporates",IF('Other non-financial'!C244="","c010x   - Non-identified, not listed on an exchange platform",IF(OR('Other non-financial'!C244="setor publico",'Other non-financial'!C244="bancos centrais"),"c008x   - Government, central banks &amp; supranationals",""))))))))</f>
        <v>c008x   - Government, central banks &amp; supranationals</v>
      </c>
      <c r="G250" s="11" t="str">
        <f>'Other non-financial'!G244</f>
        <v>Rank 9 - Ranking in insolvency (master scale)</v>
      </c>
      <c r="H250" s="11">
        <v>0</v>
      </c>
      <c r="I250" s="11">
        <v>0</v>
      </c>
      <c r="J250" s="11" t="s">
        <v>64</v>
      </c>
      <c r="K250" s="14" t="s">
        <v>65</v>
      </c>
      <c r="L250" s="11" t="str">
        <f>'Other non-financial'!H244</f>
        <v>Liabilities other than financial liabilities, provisions, tax liabilities, deferred income</v>
      </c>
      <c r="M250" s="12">
        <f>'Other non-financial'!B244</f>
        <v>6997.8099999999995</v>
      </c>
      <c r="N250" s="11" t="str">
        <f>'Other non-financial'!A244</f>
        <v>EURO</v>
      </c>
      <c r="O250" s="11" t="str">
        <f>'Other non-financial'!E244</f>
        <v>2022-12-31</v>
      </c>
      <c r="P250" s="15">
        <v>72716</v>
      </c>
      <c r="Q250" s="11" t="s">
        <v>66</v>
      </c>
      <c r="R250" s="11">
        <v>0</v>
      </c>
    </row>
    <row r="251" spans="3:18" ht="36.75" thickBot="1">
      <c r="C251" s="10" t="s">
        <v>63</v>
      </c>
      <c r="D251" s="11">
        <v>244</v>
      </c>
      <c r="E251" s="11" t="str">
        <f>'Other non-financial'!F245</f>
        <v>r0390 - Non-financial liabilities</v>
      </c>
      <c r="F251" s="11" t="str">
        <f>IF(E251="r0170 - Employee liabilities (BRRD art. 44/2/g/i)","c001x   - Households",IF('Other non-financial'!C245="particulares","c001x   - Households",IF('Other non-financial'!C245="outras instituicoes financeiras","c005x   - Other financial corporations",IF('Other non-financial'!C245="instituicoes de credito","c004x   - Institutions",IF(AND('Other non-financial'!C245="outras empresas nao financeiras",'Other non-financial'!D245="1"),"c002x   - Micro &amp; SME",IF(AND('Other non-financial'!C245="outras empresas nao financeiras",'Other non-financial'!D245&lt;&gt;"1"),"c003x   - Corporates",IF('Other non-financial'!C245="","c010x   - Non-identified, not listed on an exchange platform",IF(OR('Other non-financial'!C245="setor publico",'Other non-financial'!C245="bancos centrais"),"c008x   - Government, central banks &amp; supranationals",""))))))))</f>
        <v>c008x   - Government, central banks &amp; supranationals</v>
      </c>
      <c r="G251" s="11" t="str">
        <f>'Other non-financial'!G245</f>
        <v>Rank 9 - Ranking in insolvency (master scale)</v>
      </c>
      <c r="H251" s="11">
        <v>0</v>
      </c>
      <c r="I251" s="11">
        <v>0</v>
      </c>
      <c r="J251" s="11" t="s">
        <v>64</v>
      </c>
      <c r="K251" s="14" t="s">
        <v>65</v>
      </c>
      <c r="L251" s="11" t="str">
        <f>'Other non-financial'!H245</f>
        <v>Provisions. Off-balance sheet exposures subject to credit risk</v>
      </c>
      <c r="M251" s="12">
        <f>'Other non-financial'!B245</f>
        <v>1009.7899999999998</v>
      </c>
      <c r="N251" s="11" t="str">
        <f>'Other non-financial'!A245</f>
        <v>EURO</v>
      </c>
      <c r="O251" s="11" t="str">
        <f>'Other non-financial'!E245</f>
        <v>2022-12-31</v>
      </c>
      <c r="P251" s="15">
        <v>72716</v>
      </c>
      <c r="Q251" s="11" t="s">
        <v>66</v>
      </c>
      <c r="R251" s="11">
        <v>0</v>
      </c>
    </row>
    <row r="252" spans="3:18" ht="36.75" thickBot="1">
      <c r="C252" s="10" t="s">
        <v>63</v>
      </c>
      <c r="D252" s="11">
        <v>245</v>
      </c>
      <c r="E252" s="11" t="str">
        <f>'Other non-financial'!F246</f>
        <v>r0390 - Non-financial liabilities</v>
      </c>
      <c r="F252" s="11" t="str">
        <f>IF(E252="r0170 - Employee liabilities (BRRD art. 44/2/g/i)","c001x   - Households",IF('Other non-financial'!C246="particulares","c001x   - Households",IF('Other non-financial'!C246="outras instituicoes financeiras","c005x   - Other financial corporations",IF('Other non-financial'!C246="instituicoes de credito","c004x   - Institutions",IF(AND('Other non-financial'!C246="outras empresas nao financeiras",'Other non-financial'!D246="1"),"c002x   - Micro &amp; SME",IF(AND('Other non-financial'!C246="outras empresas nao financeiras",'Other non-financial'!D246&lt;&gt;"1"),"c003x   - Corporates",IF('Other non-financial'!C246="","c010x   - Non-identified, not listed on an exchange platform",IF(OR('Other non-financial'!C246="setor publico",'Other non-financial'!C246="bancos centrais"),"c008x   - Government, central banks &amp; supranationals",""))))))))</f>
        <v>c008x   - Government, central banks &amp; supranationals</v>
      </c>
      <c r="G252" s="11" t="str">
        <f>'Other non-financial'!G246</f>
        <v>Rank 9 - Ranking in insolvency (master scale)</v>
      </c>
      <c r="H252" s="11">
        <v>0</v>
      </c>
      <c r="I252" s="11">
        <v>0</v>
      </c>
      <c r="J252" s="11" t="s">
        <v>64</v>
      </c>
      <c r="K252" s="14" t="s">
        <v>65</v>
      </c>
      <c r="L252" s="11" t="str">
        <f>'Other non-financial'!H246</f>
        <v>Provisions. Off-balance sheet exposures subject to credit risk</v>
      </c>
      <c r="M252" s="12">
        <f>'Other non-financial'!B246</f>
        <v>157.25</v>
      </c>
      <c r="N252" s="11" t="str">
        <f>'Other non-financial'!A246</f>
        <v>EURO</v>
      </c>
      <c r="O252" s="11" t="str">
        <f>'Other non-financial'!E246</f>
        <v>2022-12-31</v>
      </c>
      <c r="P252" s="15">
        <v>72716</v>
      </c>
      <c r="Q252" s="11" t="s">
        <v>66</v>
      </c>
      <c r="R252" s="11">
        <v>0</v>
      </c>
    </row>
    <row r="253" spans="3:18" ht="36.75" thickBot="1">
      <c r="C253" s="10" t="s">
        <v>63</v>
      </c>
      <c r="D253" s="11">
        <v>246</v>
      </c>
      <c r="E253" s="11" t="str">
        <f>'Other non-financial'!F247</f>
        <v>r0390 - Non-financial liabilities</v>
      </c>
      <c r="F253" s="11" t="str">
        <f>IF(E253="r0170 - Employee liabilities (BRRD art. 44/2/g/i)","c001x   - Households",IF('Other non-financial'!C247="particulares","c001x   - Households",IF('Other non-financial'!C247="outras instituicoes financeiras","c005x   - Other financial corporations",IF('Other non-financial'!C247="instituicoes de credito","c004x   - Institutions",IF(AND('Other non-financial'!C247="outras empresas nao financeiras",'Other non-financial'!D247="1"),"c002x   - Micro &amp; SME",IF(AND('Other non-financial'!C247="outras empresas nao financeiras",'Other non-financial'!D247&lt;&gt;"1"),"c003x   - Corporates",IF('Other non-financial'!C247="","c010x   - Non-identified, not listed on an exchange platform",IF(OR('Other non-financial'!C247="setor publico",'Other non-financial'!C247="bancos centrais"),"c008x   - Government, central banks &amp; supranationals",""))))))))</f>
        <v>c008x   - Government, central banks &amp; supranationals</v>
      </c>
      <c r="G253" s="11" t="str">
        <f>'Other non-financial'!G247</f>
        <v>Rank 9 - Ranking in insolvency (master scale)</v>
      </c>
      <c r="H253" s="11">
        <v>0</v>
      </c>
      <c r="I253" s="11">
        <v>0</v>
      </c>
      <c r="J253" s="11" t="s">
        <v>64</v>
      </c>
      <c r="K253" s="14" t="s">
        <v>65</v>
      </c>
      <c r="L253" s="11" t="str">
        <f>'Other non-financial'!H247</f>
        <v>Provisions. Off-balance sheet exposures subject to credit risk</v>
      </c>
      <c r="M253" s="12">
        <f>'Other non-financial'!B247</f>
        <v>175.40999999999991</v>
      </c>
      <c r="N253" s="11" t="str">
        <f>'Other non-financial'!A247</f>
        <v>EURO</v>
      </c>
      <c r="O253" s="11" t="str">
        <f>'Other non-financial'!E247</f>
        <v>2022-12-31</v>
      </c>
      <c r="P253" s="15">
        <v>72716</v>
      </c>
      <c r="Q253" s="11" t="s">
        <v>66</v>
      </c>
      <c r="R253" s="11">
        <v>0</v>
      </c>
    </row>
    <row r="254" spans="3:18" ht="36.75" thickBot="1">
      <c r="C254" s="10" t="s">
        <v>63</v>
      </c>
      <c r="D254" s="11">
        <v>247</v>
      </c>
      <c r="E254" s="11" t="str">
        <f>'Other non-financial'!F248</f>
        <v>r0390 - Non-financial liabilities</v>
      </c>
      <c r="F254" s="11" t="str">
        <f>IF(E254="r0170 - Employee liabilities (BRRD art. 44/2/g/i)","c001x   - Households",IF('Other non-financial'!C248="particulares","c001x   - Households",IF('Other non-financial'!C248="outras instituicoes financeiras","c005x   - Other financial corporations",IF('Other non-financial'!C248="instituicoes de credito","c004x   - Institutions",IF(AND('Other non-financial'!C248="outras empresas nao financeiras",'Other non-financial'!D248="1"),"c002x   - Micro &amp; SME",IF(AND('Other non-financial'!C248="outras empresas nao financeiras",'Other non-financial'!D248&lt;&gt;"1"),"c003x   - Corporates",IF('Other non-financial'!C248="","c010x   - Non-identified, not listed on an exchange platform",IF(OR('Other non-financial'!C248="setor publico",'Other non-financial'!C248="bancos centrais"),"c008x   - Government, central banks &amp; supranationals",""))))))))</f>
        <v>c008x   - Government, central banks &amp; supranationals</v>
      </c>
      <c r="G254" s="11" t="str">
        <f>'Other non-financial'!G248</f>
        <v>Rank 9 - Ranking in insolvency (master scale)</v>
      </c>
      <c r="H254" s="11">
        <v>0</v>
      </c>
      <c r="I254" s="11">
        <v>0</v>
      </c>
      <c r="J254" s="11" t="s">
        <v>64</v>
      </c>
      <c r="K254" s="14" t="s">
        <v>65</v>
      </c>
      <c r="L254" s="11" t="str">
        <f>'Other non-financial'!H248</f>
        <v>Provisions. Off-balance sheet exposures subject to credit risk</v>
      </c>
      <c r="M254" s="12">
        <f>'Other non-financial'!B248</f>
        <v>4.87</v>
      </c>
      <c r="N254" s="11" t="str">
        <f>'Other non-financial'!A248</f>
        <v>EURO</v>
      </c>
      <c r="O254" s="11" t="str">
        <f>'Other non-financial'!E248</f>
        <v>2022-12-31</v>
      </c>
      <c r="P254" s="15">
        <v>72716</v>
      </c>
      <c r="Q254" s="11" t="s">
        <v>66</v>
      </c>
      <c r="R254" s="11">
        <v>0</v>
      </c>
    </row>
    <row r="255" spans="3:18" ht="36.75" thickBot="1">
      <c r="C255" s="10" t="s">
        <v>63</v>
      </c>
      <c r="D255" s="11">
        <v>248</v>
      </c>
      <c r="E255" s="11" t="str">
        <f>'Other non-financial'!F249</f>
        <v>r0390 - Non-financial liabilities</v>
      </c>
      <c r="F255" s="11" t="str">
        <f>IF(E255="r0170 - Employee liabilities (BRRD art. 44/2/g/i)","c001x   - Households",IF('Other non-financial'!C249="particulares","c001x   - Households",IF('Other non-financial'!C249="outras instituicoes financeiras","c005x   - Other financial corporations",IF('Other non-financial'!C249="instituicoes de credito","c004x   - Institutions",IF(AND('Other non-financial'!C249="outras empresas nao financeiras",'Other non-financial'!D249="1"),"c002x   - Micro &amp; SME",IF(AND('Other non-financial'!C249="outras empresas nao financeiras",'Other non-financial'!D249&lt;&gt;"1"),"c003x   - Corporates",IF('Other non-financial'!C249="","c010x   - Non-identified, not listed on an exchange platform",IF(OR('Other non-financial'!C249="setor publico",'Other non-financial'!C249="bancos centrais"),"c008x   - Government, central banks &amp; supranationals",""))))))))</f>
        <v>c008x   - Government, central banks &amp; supranationals</v>
      </c>
      <c r="G255" s="11" t="str">
        <f>'Other non-financial'!G249</f>
        <v>Rank 9 - Ranking in insolvency (master scale)</v>
      </c>
      <c r="H255" s="11">
        <v>0</v>
      </c>
      <c r="I255" s="11">
        <v>0</v>
      </c>
      <c r="J255" s="11" t="s">
        <v>64</v>
      </c>
      <c r="K255" s="14" t="s">
        <v>65</v>
      </c>
      <c r="L255" s="11" t="str">
        <f>'Other non-financial'!H249</f>
        <v>Provisions. Off-balance sheet exposures subject to credit risk</v>
      </c>
      <c r="M255" s="12">
        <f>'Other non-financial'!B249</f>
        <v>1351.5100000000002</v>
      </c>
      <c r="N255" s="11" t="str">
        <f>'Other non-financial'!A249</f>
        <v>EURO</v>
      </c>
      <c r="O255" s="11" t="str">
        <f>'Other non-financial'!E249</f>
        <v>2022-12-31</v>
      </c>
      <c r="P255" s="15">
        <v>72716</v>
      </c>
      <c r="Q255" s="11" t="s">
        <v>66</v>
      </c>
      <c r="R255" s="11">
        <v>0</v>
      </c>
    </row>
    <row r="256" spans="3:18" ht="60.75" thickBot="1">
      <c r="C256" s="10" t="s">
        <v>63</v>
      </c>
      <c r="D256" s="11">
        <v>249</v>
      </c>
      <c r="E256" s="11" t="str">
        <f>'Other non-financial'!F250</f>
        <v>r0390 - Non-financial liabilities</v>
      </c>
      <c r="F256" s="11" t="str">
        <f>IF(E256="r0170 - Employee liabilities (BRRD art. 44/2/g/i)","c001x   - Households",IF('Other non-financial'!C250="particulares","c001x   - Households",IF('Other non-financial'!C250="outras instituicoes financeiras","c005x   - Other financial corporations",IF('Other non-financial'!C250="instituicoes de credito","c004x   - Institutions",IF(AND('Other non-financial'!C250="outras empresas nao financeiras",'Other non-financial'!D250="1"),"c002x   - Micro &amp; SME",IF(AND('Other non-financial'!C250="outras empresas nao financeiras",'Other non-financial'!D250&lt;&gt;"1"),"c003x   - Corporates",IF('Other non-financial'!C250="","c010x   - Non-identified, not listed on an exchange platform",IF(OR('Other non-financial'!C250="setor publico",'Other non-financial'!C250="bancos centrais"),"c008x   - Government, central banks &amp; supranationals",""))))))))</f>
        <v>c008x   - Government, central banks &amp; supranationals</v>
      </c>
      <c r="G256" s="11" t="str">
        <f>'Other non-financial'!G250</f>
        <v>Rank 9 - Ranking in insolvency (master scale)</v>
      </c>
      <c r="H256" s="11">
        <v>0</v>
      </c>
      <c r="I256" s="11">
        <v>0</v>
      </c>
      <c r="J256" s="11" t="s">
        <v>64</v>
      </c>
      <c r="K256" s="14" t="s">
        <v>65</v>
      </c>
      <c r="L256" s="11" t="str">
        <f>'Other non-financial'!H250</f>
        <v>Liabilities other than financial liabilities, provisions, tax liabilities, deferred income</v>
      </c>
      <c r="M256" s="12">
        <f>'Other non-financial'!B250</f>
        <v>329947.34000000003</v>
      </c>
      <c r="N256" s="11" t="str">
        <f>'Other non-financial'!A250</f>
        <v>EURO</v>
      </c>
      <c r="O256" s="11" t="str">
        <f>'Other non-financial'!E250</f>
        <v>2022-12-31</v>
      </c>
      <c r="P256" s="15">
        <v>72716</v>
      </c>
      <c r="Q256" s="11" t="s">
        <v>66</v>
      </c>
      <c r="R256" s="11">
        <v>0</v>
      </c>
    </row>
    <row r="257" spans="3:18" ht="60.75" thickBot="1">
      <c r="C257" s="10" t="s">
        <v>63</v>
      </c>
      <c r="D257" s="11">
        <v>250</v>
      </c>
      <c r="E257" s="11" t="str">
        <f>'Other non-financial'!F251</f>
        <v>r0390 - Non-financial liabilities</v>
      </c>
      <c r="F257" s="11" t="str">
        <f>IF(E257="r0170 - Employee liabilities (BRRD art. 44/2/g/i)","c001x   - Households",IF('Other non-financial'!C251="particulares","c001x   - Households",IF('Other non-financial'!C251="outras instituicoes financeiras","c005x   - Other financial corporations",IF('Other non-financial'!C251="instituicoes de credito","c004x   - Institutions",IF(AND('Other non-financial'!C251="outras empresas nao financeiras",'Other non-financial'!D251="1"),"c002x   - Micro &amp; SME",IF(AND('Other non-financial'!C251="outras empresas nao financeiras",'Other non-financial'!D251&lt;&gt;"1"),"c003x   - Corporates",IF('Other non-financial'!C251="","c010x   - Non-identified, not listed on an exchange platform",IF(OR('Other non-financial'!C251="setor publico",'Other non-financial'!C251="bancos centrais"),"c008x   - Government, central banks &amp; supranationals",""))))))))</f>
        <v>c008x   - Government, central banks &amp; supranationals</v>
      </c>
      <c r="G257" s="11" t="str">
        <f>'Other non-financial'!G251</f>
        <v>Rank 9 - Ranking in insolvency (master scale)</v>
      </c>
      <c r="H257" s="11">
        <v>0</v>
      </c>
      <c r="I257" s="11">
        <v>0</v>
      </c>
      <c r="J257" s="11" t="s">
        <v>64</v>
      </c>
      <c r="K257" s="14" t="s">
        <v>65</v>
      </c>
      <c r="L257" s="11" t="str">
        <f>'Other non-financial'!H251</f>
        <v>Liabilities other than financial liabilities, provisions, tax liabilities, deferred income</v>
      </c>
      <c r="M257" s="12">
        <f>'Other non-financial'!B251</f>
        <v>211.85</v>
      </c>
      <c r="N257" s="11" t="str">
        <f>'Other non-financial'!A251</f>
        <v>EURO</v>
      </c>
      <c r="O257" s="11" t="str">
        <f>'Other non-financial'!E251</f>
        <v>2022-12-31</v>
      </c>
      <c r="P257" s="15">
        <v>72716</v>
      </c>
      <c r="Q257" s="11" t="s">
        <v>66</v>
      </c>
      <c r="R257" s="11">
        <v>0</v>
      </c>
    </row>
    <row r="258" spans="3:18" ht="36.75" thickBot="1">
      <c r="C258" s="10" t="s">
        <v>63</v>
      </c>
      <c r="D258" s="11">
        <v>251</v>
      </c>
      <c r="E258" s="11" t="str">
        <f>'Other non-financial'!F252</f>
        <v>r0390 - Non-financial liabilities</v>
      </c>
      <c r="F258" s="11" t="str">
        <f>IF(E258="r0170 - Employee liabilities (BRRD art. 44/2/g/i)","c001x   - Households",IF('Other non-financial'!C252="particulares","c001x   - Households",IF('Other non-financial'!C252="outras instituicoes financeiras","c005x   - Other financial corporations",IF('Other non-financial'!C252="instituicoes de credito","c004x   - Institutions",IF(AND('Other non-financial'!C252="outras empresas nao financeiras",'Other non-financial'!D252="1"),"c002x   - Micro &amp; SME",IF(AND('Other non-financial'!C252="outras empresas nao financeiras",'Other non-financial'!D252&lt;&gt;"1"),"c003x   - Corporates",IF('Other non-financial'!C252="","c010x   - Non-identified, not listed on an exchange platform",IF(OR('Other non-financial'!C252="setor publico",'Other non-financial'!C252="bancos centrais"),"c008x   - Government, central banks &amp; supranationals",""))))))))</f>
        <v>c008x   - Government, central banks &amp; supranationals</v>
      </c>
      <c r="G258" s="11" t="str">
        <f>'Other non-financial'!G252</f>
        <v>Rank 9 - Ranking in insolvency (master scale)</v>
      </c>
      <c r="H258" s="11">
        <v>0</v>
      </c>
      <c r="I258" s="11">
        <v>0</v>
      </c>
      <c r="J258" s="11" t="s">
        <v>64</v>
      </c>
      <c r="K258" s="14" t="s">
        <v>65</v>
      </c>
      <c r="L258" s="11" t="str">
        <f>'Other non-financial'!H252</f>
        <v>Provisions. Off-balance sheet exposures subject to credit risk</v>
      </c>
      <c r="M258" s="12">
        <f>'Other non-financial'!B252</f>
        <v>57.64</v>
      </c>
      <c r="N258" s="11" t="str">
        <f>'Other non-financial'!A252</f>
        <v>EURO</v>
      </c>
      <c r="O258" s="11" t="str">
        <f>'Other non-financial'!E252</f>
        <v>2022-12-31</v>
      </c>
      <c r="P258" s="15">
        <v>72716</v>
      </c>
      <c r="Q258" s="11" t="s">
        <v>66</v>
      </c>
      <c r="R258" s="11">
        <v>0</v>
      </c>
    </row>
    <row r="259" spans="3:18" ht="36.75" thickBot="1">
      <c r="C259" s="10" t="s">
        <v>63</v>
      </c>
      <c r="D259" s="11">
        <v>252</v>
      </c>
      <c r="E259" s="11" t="str">
        <f>'Other non-financial'!F253</f>
        <v>r0390 - Non-financial liabilities</v>
      </c>
      <c r="F259" s="11" t="str">
        <f>IF(E259="r0170 - Employee liabilities (BRRD art. 44/2/g/i)","c001x   - Households",IF('Other non-financial'!C253="particulares","c001x   - Households",IF('Other non-financial'!C253="outras instituicoes financeiras","c005x   - Other financial corporations",IF('Other non-financial'!C253="instituicoes de credito","c004x   - Institutions",IF(AND('Other non-financial'!C253="outras empresas nao financeiras",'Other non-financial'!D253="1"),"c002x   - Micro &amp; SME",IF(AND('Other non-financial'!C253="outras empresas nao financeiras",'Other non-financial'!D253&lt;&gt;"1"),"c003x   - Corporates",IF('Other non-financial'!C253="","c010x   - Non-identified, not listed on an exchange platform",IF(OR('Other non-financial'!C253="setor publico",'Other non-financial'!C253="bancos centrais"),"c008x   - Government, central banks &amp; supranationals",""))))))))</f>
        <v>c008x   - Government, central banks &amp; supranationals</v>
      </c>
      <c r="G259" s="11" t="str">
        <f>'Other non-financial'!G253</f>
        <v>Rank 9 - Ranking in insolvency (master scale)</v>
      </c>
      <c r="H259" s="11">
        <v>0</v>
      </c>
      <c r="I259" s="11">
        <v>0</v>
      </c>
      <c r="J259" s="11" t="s">
        <v>64</v>
      </c>
      <c r="K259" s="14" t="s">
        <v>65</v>
      </c>
      <c r="L259" s="11" t="str">
        <f>'Other non-financial'!H253</f>
        <v>Provisions. Off-balance sheet exposures subject to credit risk</v>
      </c>
      <c r="M259" s="12">
        <f>'Other non-financial'!B253</f>
        <v>145.86000000000001</v>
      </c>
      <c r="N259" s="11" t="str">
        <f>'Other non-financial'!A253</f>
        <v>EURO</v>
      </c>
      <c r="O259" s="11" t="str">
        <f>'Other non-financial'!E253</f>
        <v>2022-12-31</v>
      </c>
      <c r="P259" s="15">
        <v>72716</v>
      </c>
      <c r="Q259" s="11" t="s">
        <v>66</v>
      </c>
      <c r="R259" s="11">
        <v>0</v>
      </c>
    </row>
    <row r="260" spans="3:18" ht="36.75" thickBot="1">
      <c r="C260" s="10" t="s">
        <v>63</v>
      </c>
      <c r="D260" s="11">
        <v>253</v>
      </c>
      <c r="E260" s="11" t="str">
        <f>'Other non-financial'!F254</f>
        <v>r0390 - Non-financial liabilities</v>
      </c>
      <c r="F260" s="11" t="str">
        <f>IF(E260="r0170 - Employee liabilities (BRRD art. 44/2/g/i)","c001x   - Households",IF('Other non-financial'!C254="particulares","c001x   - Households",IF('Other non-financial'!C254="outras instituicoes financeiras","c005x   - Other financial corporations",IF('Other non-financial'!C254="instituicoes de credito","c004x   - Institutions",IF(AND('Other non-financial'!C254="outras empresas nao financeiras",'Other non-financial'!D254="1"),"c002x   - Micro &amp; SME",IF(AND('Other non-financial'!C254="outras empresas nao financeiras",'Other non-financial'!D254&lt;&gt;"1"),"c003x   - Corporates",IF('Other non-financial'!C254="","c010x   - Non-identified, not listed on an exchange platform",IF(OR('Other non-financial'!C254="setor publico",'Other non-financial'!C254="bancos centrais"),"c008x   - Government, central banks &amp; supranationals",""))))))))</f>
        <v>c008x   - Government, central banks &amp; supranationals</v>
      </c>
      <c r="G260" s="11" t="str">
        <f>'Other non-financial'!G254</f>
        <v>Rank 9 - Ranking in insolvency (master scale)</v>
      </c>
      <c r="H260" s="11">
        <v>0</v>
      </c>
      <c r="I260" s="11">
        <v>0</v>
      </c>
      <c r="J260" s="11" t="s">
        <v>64</v>
      </c>
      <c r="K260" s="14" t="s">
        <v>65</v>
      </c>
      <c r="L260" s="11" t="str">
        <f>'Other non-financial'!H254</f>
        <v>Provisions. Off-balance sheet exposures subject to credit risk</v>
      </c>
      <c r="M260" s="12">
        <f>'Other non-financial'!B254</f>
        <v>194.03999999999996</v>
      </c>
      <c r="N260" s="11" t="str">
        <f>'Other non-financial'!A254</f>
        <v>EURO</v>
      </c>
      <c r="O260" s="11" t="str">
        <f>'Other non-financial'!E254</f>
        <v>2022-12-31</v>
      </c>
      <c r="P260" s="15">
        <v>72716</v>
      </c>
      <c r="Q260" s="11" t="s">
        <v>66</v>
      </c>
      <c r="R260" s="11">
        <v>0</v>
      </c>
    </row>
    <row r="261" spans="3:18" ht="36.75" thickBot="1">
      <c r="C261" s="10" t="s">
        <v>63</v>
      </c>
      <c r="D261" s="11">
        <v>254</v>
      </c>
      <c r="E261" s="11" t="str">
        <f>'Other non-financial'!F255</f>
        <v>r0390 - Non-financial liabilities</v>
      </c>
      <c r="F261" s="11" t="str">
        <f>IF(E261="r0170 - Employee liabilities (BRRD art. 44/2/g/i)","c001x   - Households",IF('Other non-financial'!C255="particulares","c001x   - Households",IF('Other non-financial'!C255="outras instituicoes financeiras","c005x   - Other financial corporations",IF('Other non-financial'!C255="instituicoes de credito","c004x   - Institutions",IF(AND('Other non-financial'!C255="outras empresas nao financeiras",'Other non-financial'!D255="1"),"c002x   - Micro &amp; SME",IF(AND('Other non-financial'!C255="outras empresas nao financeiras",'Other non-financial'!D255&lt;&gt;"1"),"c003x   - Corporates",IF('Other non-financial'!C255="","c010x   - Non-identified, not listed on an exchange platform",IF(OR('Other non-financial'!C255="setor publico",'Other non-financial'!C255="bancos centrais"),"c008x   - Government, central banks &amp; supranationals",""))))))))</f>
        <v>c008x   - Government, central banks &amp; supranationals</v>
      </c>
      <c r="G261" s="11" t="str">
        <f>'Other non-financial'!G255</f>
        <v>Rank 9 - Ranking in insolvency (master scale)</v>
      </c>
      <c r="H261" s="11">
        <v>0</v>
      </c>
      <c r="I261" s="11">
        <v>0</v>
      </c>
      <c r="J261" s="11" t="s">
        <v>64</v>
      </c>
      <c r="K261" s="14" t="s">
        <v>65</v>
      </c>
      <c r="L261" s="11" t="str">
        <f>'Other non-financial'!H255</f>
        <v>Provisions. Off-balance sheet exposures subject to credit risk</v>
      </c>
      <c r="M261" s="12">
        <f>'Other non-financial'!B255</f>
        <v>21.45</v>
      </c>
      <c r="N261" s="11" t="str">
        <f>'Other non-financial'!A255</f>
        <v>EURO</v>
      </c>
      <c r="O261" s="11" t="str">
        <f>'Other non-financial'!E255</f>
        <v>2022-12-31</v>
      </c>
      <c r="P261" s="15">
        <v>72716</v>
      </c>
      <c r="Q261" s="11" t="s">
        <v>66</v>
      </c>
      <c r="R261" s="11">
        <v>0</v>
      </c>
    </row>
    <row r="262" spans="3:18" ht="60.75" thickBot="1">
      <c r="C262" s="10" t="s">
        <v>63</v>
      </c>
      <c r="D262" s="11">
        <v>255</v>
      </c>
      <c r="E262" s="11" t="str">
        <f>'Other non-financial'!F256</f>
        <v>r0390 - Non-financial liabilities</v>
      </c>
      <c r="F262" s="11" t="str">
        <f>IF(E262="r0170 - Employee liabilities (BRRD art. 44/2/g/i)","c001x   - Households",IF('Other non-financial'!C256="particulares","c001x   - Households",IF('Other non-financial'!C256="outras instituicoes financeiras","c005x   - Other financial corporations",IF('Other non-financial'!C256="instituicoes de credito","c004x   - Institutions",IF(AND('Other non-financial'!C256="outras empresas nao financeiras",'Other non-financial'!D256="1"),"c002x   - Micro &amp; SME",IF(AND('Other non-financial'!C256="outras empresas nao financeiras",'Other non-financial'!D256&lt;&gt;"1"),"c003x   - Corporates",IF('Other non-financial'!C256="","c010x   - Non-identified, not listed on an exchange platform",IF(OR('Other non-financial'!C256="setor publico",'Other non-financial'!C256="bancos centrais"),"c008x   - Government, central banks &amp; supranationals",""))))))))</f>
        <v>c010x   - Non-identified, not listed on an exchange platform</v>
      </c>
      <c r="G262" s="11" t="str">
        <f>'Other non-financial'!G256</f>
        <v>Rank 9 - Ranking in insolvency (master scale)</v>
      </c>
      <c r="H262" s="11">
        <v>0</v>
      </c>
      <c r="I262" s="11">
        <v>0</v>
      </c>
      <c r="J262" s="11" t="s">
        <v>64</v>
      </c>
      <c r="K262" s="14" t="s">
        <v>65</v>
      </c>
      <c r="L262" s="11" t="str">
        <f>'Other non-financial'!H256</f>
        <v>Liabilities other than financial liabilities, provisions, tax liabilities, deferred income</v>
      </c>
      <c r="M262" s="12">
        <f>'Other non-financial'!B256</f>
        <v>2451.7314919999999</v>
      </c>
      <c r="N262" s="11" t="str">
        <f>'Other non-financial'!A256</f>
        <v>FRANCO SUICO</v>
      </c>
      <c r="O262" s="11" t="str">
        <f>'Other non-financial'!E256</f>
        <v>2022-12-31</v>
      </c>
      <c r="P262" s="15">
        <v>72716</v>
      </c>
      <c r="Q262" s="11" t="s">
        <v>66</v>
      </c>
      <c r="R262" s="11">
        <v>0</v>
      </c>
    </row>
    <row r="263" spans="3:18" ht="60.75" thickBot="1">
      <c r="C263" s="10" t="s">
        <v>63</v>
      </c>
      <c r="D263" s="11">
        <v>256</v>
      </c>
      <c r="E263" s="11" t="str">
        <f>'Other non-financial'!F257</f>
        <v>r0390 - Non-financial liabilities</v>
      </c>
      <c r="F263" s="11" t="str">
        <f>IF(E263="r0170 - Employee liabilities (BRRD art. 44/2/g/i)","c001x   - Households",IF('Other non-financial'!C257="particulares","c001x   - Households",IF('Other non-financial'!C257="outras instituicoes financeiras","c005x   - Other financial corporations",IF('Other non-financial'!C257="instituicoes de credito","c004x   - Institutions",IF(AND('Other non-financial'!C257="outras empresas nao financeiras",'Other non-financial'!D257="1"),"c002x   - Micro &amp; SME",IF(AND('Other non-financial'!C257="outras empresas nao financeiras",'Other non-financial'!D257&lt;&gt;"1"),"c003x   - Corporates",IF('Other non-financial'!C257="","c010x   - Non-identified, not listed on an exchange platform",IF(OR('Other non-financial'!C257="setor publico",'Other non-financial'!C257="bancos centrais"),"c008x   - Government, central banks &amp; supranationals",""))))))))</f>
        <v>c010x   - Non-identified, not listed on an exchange platform</v>
      </c>
      <c r="G263" s="11" t="str">
        <f>'Other non-financial'!G257</f>
        <v>Rank 9 - Ranking in insolvency (master scale)</v>
      </c>
      <c r="H263" s="11">
        <v>0</v>
      </c>
      <c r="I263" s="11">
        <v>0</v>
      </c>
      <c r="J263" s="11" t="s">
        <v>64</v>
      </c>
      <c r="K263" s="14" t="s">
        <v>65</v>
      </c>
      <c r="L263" s="11" t="str">
        <f>'Other non-financial'!H257</f>
        <v>Liabilities other than financial liabilities, provisions, tax liabilities, deferred income</v>
      </c>
      <c r="M263" s="12">
        <f>'Other non-financial'!B257</f>
        <v>0.243729</v>
      </c>
      <c r="N263" s="11" t="str">
        <f>'Other non-financial'!A257</f>
        <v>FRANCO SUICO</v>
      </c>
      <c r="O263" s="11" t="str">
        <f>'Other non-financial'!E257</f>
        <v>2022-12-31</v>
      </c>
      <c r="P263" s="15">
        <v>72716</v>
      </c>
      <c r="Q263" s="11" t="s">
        <v>66</v>
      </c>
      <c r="R263" s="11">
        <v>0</v>
      </c>
    </row>
    <row r="264" spans="3:18" ht="60.75" thickBot="1">
      <c r="C264" s="10" t="s">
        <v>63</v>
      </c>
      <c r="D264" s="11">
        <v>257</v>
      </c>
      <c r="E264" s="11" t="str">
        <f>'Other non-financial'!F258</f>
        <v>r0390 - Non-financial liabilities</v>
      </c>
      <c r="F264" s="11" t="str">
        <f>IF(E264="r0170 - Employee liabilities (BRRD art. 44/2/g/i)","c001x   - Households",IF('Other non-financial'!C258="particulares","c001x   - Households",IF('Other non-financial'!C258="outras instituicoes financeiras","c005x   - Other financial corporations",IF('Other non-financial'!C258="instituicoes de credito","c004x   - Institutions",IF(AND('Other non-financial'!C258="outras empresas nao financeiras",'Other non-financial'!D258="1"),"c002x   - Micro &amp; SME",IF(AND('Other non-financial'!C258="outras empresas nao financeiras",'Other non-financial'!D258&lt;&gt;"1"),"c003x   - Corporates",IF('Other non-financial'!C258="","c010x   - Non-identified, not listed on an exchange platform",IF(OR('Other non-financial'!C258="setor publico",'Other non-financial'!C258="bancos centrais"),"c008x   - Government, central banks &amp; supranationals",""))))))))</f>
        <v>c005x   - Other financial corporations</v>
      </c>
      <c r="G264" s="11" t="str">
        <f>'Other non-financial'!G258</f>
        <v>Rank 9 - Ranking in insolvency (master scale)</v>
      </c>
      <c r="H264" s="11">
        <v>0</v>
      </c>
      <c r="I264" s="11">
        <v>0</v>
      </c>
      <c r="J264" s="11" t="s">
        <v>64</v>
      </c>
      <c r="K264" s="14" t="s">
        <v>65</v>
      </c>
      <c r="L264" s="11" t="str">
        <f>'Other non-financial'!H258</f>
        <v>Liabilities other than financial liabilities, provisions, tax liabilities, deferred income</v>
      </c>
      <c r="M264" s="12">
        <f>'Other non-financial'!B258</f>
        <v>73118.716360000006</v>
      </c>
      <c r="N264" s="11" t="str">
        <f>'Other non-financial'!A258</f>
        <v>FRANCO SUICO</v>
      </c>
      <c r="O264" s="11" t="str">
        <f>'Other non-financial'!E258</f>
        <v>2022-12-31</v>
      </c>
      <c r="P264" s="15">
        <v>72716</v>
      </c>
      <c r="Q264" s="11" t="s">
        <v>66</v>
      </c>
      <c r="R264" s="11">
        <v>0</v>
      </c>
    </row>
    <row r="265" spans="3:18" ht="36.75" thickBot="1">
      <c r="C265" s="10" t="s">
        <v>63</v>
      </c>
      <c r="D265" s="11">
        <v>258</v>
      </c>
      <c r="E265" s="11" t="str">
        <f>'Other non-financial'!F259</f>
        <v>r0390 - Non-financial liabilities</v>
      </c>
      <c r="F265" s="11" t="str">
        <f>IF(E265="r0170 - Employee liabilities (BRRD art. 44/2/g/i)","c001x   - Households",IF('Other non-financial'!C259="particulares","c001x   - Households",IF('Other non-financial'!C259="outras instituicoes financeiras","c005x   - Other financial corporations",IF('Other non-financial'!C259="instituicoes de credito","c004x   - Institutions",IF(AND('Other non-financial'!C259="outras empresas nao financeiras",'Other non-financial'!D259="1"),"c002x   - Micro &amp; SME",IF(AND('Other non-financial'!C259="outras empresas nao financeiras",'Other non-financial'!D259&lt;&gt;"1"),"c003x   - Corporates",IF('Other non-financial'!C259="","c010x   - Non-identified, not listed on an exchange platform",IF(OR('Other non-financial'!C259="setor publico",'Other non-financial'!C259="bancos centrais"),"c008x   - Government, central banks &amp; supranationals",""))))))))</f>
        <v>c005x   - Other financial corporations</v>
      </c>
      <c r="G265" s="11" t="str">
        <f>'Other non-financial'!G259</f>
        <v>Rank 9 - Ranking in insolvency (master scale)</v>
      </c>
      <c r="H265" s="11">
        <v>0</v>
      </c>
      <c r="I265" s="11">
        <v>0</v>
      </c>
      <c r="J265" s="11" t="s">
        <v>64</v>
      </c>
      <c r="K265" s="14" t="s">
        <v>65</v>
      </c>
      <c r="L265" s="11" t="str">
        <f>'Other non-financial'!H259</f>
        <v>Provisions. Off-balance sheet exposures subject to credit risk</v>
      </c>
      <c r="M265" s="12">
        <f>'Other non-financial'!B259</f>
        <v>85.112217000000001</v>
      </c>
      <c r="N265" s="11" t="str">
        <f>'Other non-financial'!A259</f>
        <v>FRANCO SUICO</v>
      </c>
      <c r="O265" s="11" t="str">
        <f>'Other non-financial'!E259</f>
        <v>2022-12-31</v>
      </c>
      <c r="P265" s="15">
        <v>72716</v>
      </c>
      <c r="Q265" s="11" t="s">
        <v>66</v>
      </c>
      <c r="R265" s="11">
        <v>0</v>
      </c>
    </row>
    <row r="266" spans="3:18" ht="60.75" thickBot="1">
      <c r="C266" s="10" t="s">
        <v>63</v>
      </c>
      <c r="D266" s="11">
        <v>259</v>
      </c>
      <c r="E266" s="11" t="str">
        <f>'Other non-financial'!F260</f>
        <v>r0390 - Non-financial liabilities</v>
      </c>
      <c r="F266" s="11" t="str">
        <f>IF(E266="r0170 - Employee liabilities (BRRD art. 44/2/g/i)","c001x   - Households",IF('Other non-financial'!C260="particulares","c001x   - Households",IF('Other non-financial'!C260="outras instituicoes financeiras","c005x   - Other financial corporations",IF('Other non-financial'!C260="instituicoes de credito","c004x   - Institutions",IF(AND('Other non-financial'!C260="outras empresas nao financeiras",'Other non-financial'!D260="1"),"c002x   - Micro &amp; SME",IF(AND('Other non-financial'!C260="outras empresas nao financeiras",'Other non-financial'!D260&lt;&gt;"1"),"c003x   - Corporates",IF('Other non-financial'!C260="","c010x   - Non-identified, not listed on an exchange platform",IF(OR('Other non-financial'!C260="setor publico",'Other non-financial'!C260="bancos centrais"),"c008x   - Government, central banks &amp; supranationals",""))))))))</f>
        <v>c005x   - Other financial corporations</v>
      </c>
      <c r="G266" s="11" t="str">
        <f>'Other non-financial'!G260</f>
        <v>Rank 9 - Ranking in insolvency (master scale)</v>
      </c>
      <c r="H266" s="11">
        <v>0</v>
      </c>
      <c r="I266" s="11">
        <v>0</v>
      </c>
      <c r="J266" s="11" t="s">
        <v>64</v>
      </c>
      <c r="K266" s="14" t="s">
        <v>65</v>
      </c>
      <c r="L266" s="11" t="str">
        <f>'Other non-financial'!H260</f>
        <v>Liabilities other than financial liabilities, provisions, tax liabilities, deferred income</v>
      </c>
      <c r="M266" s="12">
        <f>'Other non-financial'!B260</f>
        <v>2045524.4845710001</v>
      </c>
      <c r="N266" s="11" t="str">
        <f>'Other non-financial'!A260</f>
        <v>IENE JAPONES</v>
      </c>
      <c r="O266" s="11" t="str">
        <f>'Other non-financial'!E260</f>
        <v>2022-12-31</v>
      </c>
      <c r="P266" s="15">
        <v>72716</v>
      </c>
      <c r="Q266" s="11" t="s">
        <v>66</v>
      </c>
      <c r="R266" s="11">
        <v>0</v>
      </c>
    </row>
    <row r="267" spans="3:18" ht="60.75" thickBot="1">
      <c r="C267" s="10" t="s">
        <v>63</v>
      </c>
      <c r="D267" s="11">
        <v>260</v>
      </c>
      <c r="E267" s="11" t="str">
        <f>'Other non-financial'!F261</f>
        <v>r0390 - Non-financial liabilities</v>
      </c>
      <c r="F267" s="11" t="str">
        <f>IF(E267="r0170 - Employee liabilities (BRRD art. 44/2/g/i)","c001x   - Households",IF('Other non-financial'!C261="particulares","c001x   - Households",IF('Other non-financial'!C261="outras instituicoes financeiras","c005x   - Other financial corporations",IF('Other non-financial'!C261="instituicoes de credito","c004x   - Institutions",IF(AND('Other non-financial'!C261="outras empresas nao financeiras",'Other non-financial'!D261="1"),"c002x   - Micro &amp; SME",IF(AND('Other non-financial'!C261="outras empresas nao financeiras",'Other non-financial'!D261&lt;&gt;"1"),"c003x   - Corporates",IF('Other non-financial'!C261="","c010x   - Non-identified, not listed on an exchange platform",IF(OR('Other non-financial'!C261="setor publico",'Other non-financial'!C261="bancos centrais"),"c008x   - Government, central banks &amp; supranationals",""))))))))</f>
        <v>c005x   - Other financial corporations</v>
      </c>
      <c r="G267" s="11" t="str">
        <f>'Other non-financial'!G261</f>
        <v>Rank 9 - Ranking in insolvency (master scale)</v>
      </c>
      <c r="H267" s="11">
        <v>0</v>
      </c>
      <c r="I267" s="11">
        <v>0</v>
      </c>
      <c r="J267" s="11" t="s">
        <v>64</v>
      </c>
      <c r="K267" s="14" t="s">
        <v>65</v>
      </c>
      <c r="L267" s="11" t="str">
        <f>'Other non-financial'!H261</f>
        <v>Liabilities other than financial liabilities, provisions, tax liabilities, deferred income</v>
      </c>
      <c r="M267" s="12">
        <f>'Other non-financial'!B261</f>
        <v>89933.172187999997</v>
      </c>
      <c r="N267" s="11" t="str">
        <f>'Other non-financial'!A261</f>
        <v>IENE JAPONES</v>
      </c>
      <c r="O267" s="11" t="str">
        <f>'Other non-financial'!E261</f>
        <v>2022-12-31</v>
      </c>
      <c r="P267" s="15">
        <v>72716</v>
      </c>
      <c r="Q267" s="11" t="s">
        <v>66</v>
      </c>
      <c r="R267" s="11">
        <v>0</v>
      </c>
    </row>
    <row r="268" spans="3:18" ht="60.75" thickBot="1">
      <c r="C268" s="10" t="s">
        <v>63</v>
      </c>
      <c r="D268" s="11">
        <v>261</v>
      </c>
      <c r="E268" s="11" t="str">
        <f>'Other non-financial'!F262</f>
        <v>r0390 - Non-financial liabilities</v>
      </c>
      <c r="F268" s="11" t="str">
        <f>IF(E268="r0170 - Employee liabilities (BRRD art. 44/2/g/i)","c001x   - Households",IF('Other non-financial'!C262="particulares","c001x   - Households",IF('Other non-financial'!C262="outras instituicoes financeiras","c005x   - Other financial corporations",IF('Other non-financial'!C262="instituicoes de credito","c004x   - Institutions",IF(AND('Other non-financial'!C262="outras empresas nao financeiras",'Other non-financial'!D262="1"),"c002x   - Micro &amp; SME",IF(AND('Other non-financial'!C262="outras empresas nao financeiras",'Other non-financial'!D262&lt;&gt;"1"),"c003x   - Corporates",IF('Other non-financial'!C262="","c010x   - Non-identified, not listed on an exchange platform",IF(OR('Other non-financial'!C262="setor publico",'Other non-financial'!C262="bancos centrais"),"c008x   - Government, central banks &amp; supranationals",""))))))))</f>
        <v>c010x   - Non-identified, not listed on an exchange platform</v>
      </c>
      <c r="G268" s="11" t="str">
        <f>'Other non-financial'!G262</f>
        <v>Rank 9 - Ranking in insolvency (master scale)</v>
      </c>
      <c r="H268" s="11">
        <v>0</v>
      </c>
      <c r="I268" s="11">
        <v>0</v>
      </c>
      <c r="J268" s="11" t="s">
        <v>64</v>
      </c>
      <c r="K268" s="14" t="s">
        <v>65</v>
      </c>
      <c r="L268" s="11" t="str">
        <f>'Other non-financial'!H262</f>
        <v>Liabilities other than financial liabilities, provisions, tax liabilities, deferred income</v>
      </c>
      <c r="M268" s="12">
        <f>'Other non-financial'!B262</f>
        <v>112.748469</v>
      </c>
      <c r="N268" s="11" t="str">
        <f>'Other non-financial'!A262</f>
        <v>LIBRA INGLESA</v>
      </c>
      <c r="O268" s="11" t="str">
        <f>'Other non-financial'!E262</f>
        <v>2022-12-31</v>
      </c>
      <c r="P268" s="15">
        <v>72716</v>
      </c>
      <c r="Q268" s="11" t="s">
        <v>66</v>
      </c>
      <c r="R268" s="11">
        <v>0</v>
      </c>
    </row>
    <row r="269" spans="3:18" ht="60.75" thickBot="1">
      <c r="C269" s="10" t="s">
        <v>63</v>
      </c>
      <c r="D269" s="11">
        <v>262</v>
      </c>
      <c r="E269" s="11" t="str">
        <f>'Other non-financial'!F263</f>
        <v>r0390 - Non-financial liabilities</v>
      </c>
      <c r="F269" s="11" t="str">
        <f>IF(E269="r0170 - Employee liabilities (BRRD art. 44/2/g/i)","c001x   - Households",IF('Other non-financial'!C263="particulares","c001x   - Households",IF('Other non-financial'!C263="outras instituicoes financeiras","c005x   - Other financial corporations",IF('Other non-financial'!C263="instituicoes de credito","c004x   - Institutions",IF(AND('Other non-financial'!C263="outras empresas nao financeiras",'Other non-financial'!D263="1"),"c002x   - Micro &amp; SME",IF(AND('Other non-financial'!C263="outras empresas nao financeiras",'Other non-financial'!D263&lt;&gt;"1"),"c003x   - Corporates",IF('Other non-financial'!C263="","c010x   - Non-identified, not listed on an exchange platform",IF(OR('Other non-financial'!C263="setor publico",'Other non-financial'!C263="bancos centrais"),"c008x   - Government, central banks &amp; supranationals",""))))))))</f>
        <v>c010x   - Non-identified, not listed on an exchange platform</v>
      </c>
      <c r="G269" s="11" t="str">
        <f>'Other non-financial'!G263</f>
        <v>Rank 9 - Ranking in insolvency (master scale)</v>
      </c>
      <c r="H269" s="11">
        <v>0</v>
      </c>
      <c r="I269" s="11">
        <v>0</v>
      </c>
      <c r="J269" s="11" t="s">
        <v>64</v>
      </c>
      <c r="K269" s="14" t="s">
        <v>65</v>
      </c>
      <c r="L269" s="11" t="str">
        <f>'Other non-financial'!H263</f>
        <v>Liabilities other than financial liabilities, provisions, tax liabilities, deferred income</v>
      </c>
      <c r="M269" s="12">
        <f>'Other non-financial'!B263</f>
        <v>2169.4384</v>
      </c>
      <c r="N269" s="11" t="str">
        <f>'Other non-financial'!A263</f>
        <v>LIBRA INGLESA</v>
      </c>
      <c r="O269" s="11" t="str">
        <f>'Other non-financial'!E263</f>
        <v>2022-12-31</v>
      </c>
      <c r="P269" s="15">
        <v>72716</v>
      </c>
      <c r="Q269" s="11" t="s">
        <v>66</v>
      </c>
      <c r="R269" s="11">
        <v>0</v>
      </c>
    </row>
    <row r="270" spans="3:18" ht="60.75" thickBot="1">
      <c r="C270" s="10" t="s">
        <v>63</v>
      </c>
      <c r="D270" s="11">
        <v>263</v>
      </c>
      <c r="E270" s="11" t="str">
        <f>'Other non-financial'!F264</f>
        <v>r0390 - Non-financial liabilities</v>
      </c>
      <c r="F270" s="11" t="str">
        <f>IF(E270="r0170 - Employee liabilities (BRRD art. 44/2/g/i)","c001x   - Households",IF('Other non-financial'!C264="particulares","c001x   - Households",IF('Other non-financial'!C264="outras instituicoes financeiras","c005x   - Other financial corporations",IF('Other non-financial'!C264="instituicoes de credito","c004x   - Institutions",IF(AND('Other non-financial'!C264="outras empresas nao financeiras",'Other non-financial'!D264="1"),"c002x   - Micro &amp; SME",IF(AND('Other non-financial'!C264="outras empresas nao financeiras",'Other non-financial'!D264&lt;&gt;"1"),"c003x   - Corporates",IF('Other non-financial'!C264="","c010x   - Non-identified, not listed on an exchange platform",IF(OR('Other non-financial'!C264="setor publico",'Other non-financial'!C264="bancos centrais"),"c008x   - Government, central banks &amp; supranationals",""))))))))</f>
        <v>c010x   - Non-identified, not listed on an exchange platform</v>
      </c>
      <c r="G270" s="11" t="str">
        <f>'Other non-financial'!G264</f>
        <v>Rank 9 - Ranking in insolvency (master scale)</v>
      </c>
      <c r="H270" s="11">
        <v>0</v>
      </c>
      <c r="I270" s="11">
        <v>0</v>
      </c>
      <c r="J270" s="11" t="s">
        <v>64</v>
      </c>
      <c r="K270" s="14" t="s">
        <v>65</v>
      </c>
      <c r="L270" s="11" t="str">
        <f>'Other non-financial'!H264</f>
        <v>Liabilities other than financial liabilities, provisions, tax liabilities, deferred income</v>
      </c>
      <c r="M270" s="12">
        <f>'Other non-financial'!B264</f>
        <v>942.67867799999999</v>
      </c>
      <c r="N270" s="11" t="str">
        <f>'Other non-financial'!A264</f>
        <v>LIBRA INGLESA</v>
      </c>
      <c r="O270" s="11" t="str">
        <f>'Other non-financial'!E264</f>
        <v>2022-12-31</v>
      </c>
      <c r="P270" s="15">
        <v>72716</v>
      </c>
      <c r="Q270" s="11" t="s">
        <v>66</v>
      </c>
      <c r="R270" s="11">
        <v>0</v>
      </c>
    </row>
    <row r="271" spans="3:18" ht="60.75" thickBot="1">
      <c r="C271" s="10" t="s">
        <v>63</v>
      </c>
      <c r="D271" s="11">
        <v>264</v>
      </c>
      <c r="E271" s="11" t="str">
        <f>'Other non-financial'!F265</f>
        <v>r0390 - Non-financial liabilities</v>
      </c>
      <c r="F271" s="11" t="str">
        <f>IF(E271="r0170 - Employee liabilities (BRRD art. 44/2/g/i)","c001x   - Households",IF('Other non-financial'!C265="particulares","c001x   - Households",IF('Other non-financial'!C265="outras instituicoes financeiras","c005x   - Other financial corporations",IF('Other non-financial'!C265="instituicoes de credito","c004x   - Institutions",IF(AND('Other non-financial'!C265="outras empresas nao financeiras",'Other non-financial'!D265="1"),"c002x   - Micro &amp; SME",IF(AND('Other non-financial'!C265="outras empresas nao financeiras",'Other non-financial'!D265&lt;&gt;"1"),"c003x   - Corporates",IF('Other non-financial'!C265="","c010x   - Non-identified, not listed on an exchange platform",IF(OR('Other non-financial'!C265="setor publico",'Other non-financial'!C265="bancos centrais"),"c008x   - Government, central banks &amp; supranationals",""))))))))</f>
        <v>c010x   - Non-identified, not listed on an exchange platform</v>
      </c>
      <c r="G271" s="11" t="str">
        <f>'Other non-financial'!G265</f>
        <v>Rank 9 - Ranking in insolvency (master scale)</v>
      </c>
      <c r="H271" s="11">
        <v>0</v>
      </c>
      <c r="I271" s="11">
        <v>0</v>
      </c>
      <c r="J271" s="11" t="s">
        <v>64</v>
      </c>
      <c r="K271" s="14" t="s">
        <v>65</v>
      </c>
      <c r="L271" s="11" t="str">
        <f>'Other non-financial'!H265</f>
        <v>Liabilities other than financial liabilities, provisions, tax liabilities, deferred income</v>
      </c>
      <c r="M271" s="12">
        <f>'Other non-financial'!B265</f>
        <v>272.15225599999997</v>
      </c>
      <c r="N271" s="11" t="str">
        <f>'Other non-financial'!A265</f>
        <v>LIBRA INGLESA</v>
      </c>
      <c r="O271" s="11" t="str">
        <f>'Other non-financial'!E265</f>
        <v>2022-12-31</v>
      </c>
      <c r="P271" s="15">
        <v>72716</v>
      </c>
      <c r="Q271" s="11" t="s">
        <v>66</v>
      </c>
      <c r="R271" s="11">
        <v>0</v>
      </c>
    </row>
    <row r="272" spans="3:18" ht="60.75" thickBot="1">
      <c r="C272" s="10" t="s">
        <v>63</v>
      </c>
      <c r="D272" s="11">
        <v>265</v>
      </c>
      <c r="E272" s="11" t="str">
        <f>'Other non-financial'!F266</f>
        <v>r0390 - Non-financial liabilities</v>
      </c>
      <c r="F272" s="11" t="str">
        <f>IF(E272="r0170 - Employee liabilities (BRRD art. 44/2/g/i)","c001x   - Households",IF('Other non-financial'!C266="particulares","c001x   - Households",IF('Other non-financial'!C266="outras instituicoes financeiras","c005x   - Other financial corporations",IF('Other non-financial'!C266="instituicoes de credito","c004x   - Institutions",IF(AND('Other non-financial'!C266="outras empresas nao financeiras",'Other non-financial'!D266="1"),"c002x   - Micro &amp; SME",IF(AND('Other non-financial'!C266="outras empresas nao financeiras",'Other non-financial'!D266&lt;&gt;"1"),"c003x   - Corporates",IF('Other non-financial'!C266="","c010x   - Non-identified, not listed on an exchange platform",IF(OR('Other non-financial'!C266="setor publico",'Other non-financial'!C266="bancos centrais"),"c008x   - Government, central banks &amp; supranationals",""))))))))</f>
        <v>c005x   - Other financial corporations</v>
      </c>
      <c r="G272" s="11" t="str">
        <f>'Other non-financial'!G266</f>
        <v>Rank 9 - Ranking in insolvency (master scale)</v>
      </c>
      <c r="H272" s="11">
        <v>0</v>
      </c>
      <c r="I272" s="11">
        <v>0</v>
      </c>
      <c r="J272" s="11" t="s">
        <v>64</v>
      </c>
      <c r="K272" s="14" t="s">
        <v>65</v>
      </c>
      <c r="L272" s="11" t="str">
        <f>'Other non-financial'!H266</f>
        <v>Liabilities other than financial liabilities, provisions, tax liabilities, deferred income</v>
      </c>
      <c r="M272" s="12">
        <f>'Other non-financial'!B266</f>
        <v>107605.45928099999</v>
      </c>
      <c r="N272" s="11" t="str">
        <f>'Other non-financial'!A266</f>
        <v>LIBRA INGLESA</v>
      </c>
      <c r="O272" s="11" t="str">
        <f>'Other non-financial'!E266</f>
        <v>2022-12-31</v>
      </c>
      <c r="P272" s="15">
        <v>72716</v>
      </c>
      <c r="Q272" s="11" t="s">
        <v>66</v>
      </c>
      <c r="R272" s="11">
        <v>0</v>
      </c>
    </row>
    <row r="273" spans="3:18" ht="36.75" thickBot="1">
      <c r="C273" s="10" t="s">
        <v>63</v>
      </c>
      <c r="D273" s="11">
        <v>266</v>
      </c>
      <c r="E273" s="11" t="str">
        <f>'Other non-financial'!F267</f>
        <v>r0390 - Non-financial liabilities</v>
      </c>
      <c r="F273" s="11" t="str">
        <f>IF(E273="r0170 - Employee liabilities (BRRD art. 44/2/g/i)","c001x   - Households",IF('Other non-financial'!C267="particulares","c001x   - Households",IF('Other non-financial'!C267="outras instituicoes financeiras","c005x   - Other financial corporations",IF('Other non-financial'!C267="instituicoes de credito","c004x   - Institutions",IF(AND('Other non-financial'!C267="outras empresas nao financeiras",'Other non-financial'!D267="1"),"c002x   - Micro &amp; SME",IF(AND('Other non-financial'!C267="outras empresas nao financeiras",'Other non-financial'!D267&lt;&gt;"1"),"c003x   - Corporates",IF('Other non-financial'!C267="","c010x   - Non-identified, not listed on an exchange platform",IF(OR('Other non-financial'!C267="setor publico",'Other non-financial'!C267="bancos centrais"),"c008x   - Government, central banks &amp; supranationals",""))))))))</f>
        <v>c005x   - Other financial corporations</v>
      </c>
      <c r="G273" s="11" t="str">
        <f>'Other non-financial'!G267</f>
        <v>Rank 9 - Ranking in insolvency (master scale)</v>
      </c>
      <c r="H273" s="11">
        <v>0</v>
      </c>
      <c r="I273" s="11">
        <v>0</v>
      </c>
      <c r="J273" s="11" t="s">
        <v>64</v>
      </c>
      <c r="K273" s="14" t="s">
        <v>65</v>
      </c>
      <c r="L273" s="11" t="str">
        <f>'Other non-financial'!H267</f>
        <v>Provisions. Off-balance sheet exposures subject to credit risk</v>
      </c>
      <c r="M273" s="12">
        <f>'Other non-financial'!B267</f>
        <v>1109.388565</v>
      </c>
      <c r="N273" s="11" t="str">
        <f>'Other non-financial'!A267</f>
        <v>LIBRA INGLESA</v>
      </c>
      <c r="O273" s="11" t="str">
        <f>'Other non-financial'!E267</f>
        <v>2022-12-31</v>
      </c>
      <c r="P273" s="15">
        <v>72716</v>
      </c>
      <c r="Q273" s="11" t="s">
        <v>66</v>
      </c>
      <c r="R273" s="11">
        <v>0</v>
      </c>
    </row>
    <row r="274" spans="3:18" ht="60.75" thickBot="1">
      <c r="C274" s="10" t="s">
        <v>63</v>
      </c>
      <c r="D274" s="11">
        <v>267</v>
      </c>
      <c r="E274" s="11" t="str">
        <f>'Other non-financial'!F268</f>
        <v>r0390 - Non-financial liabilities</v>
      </c>
      <c r="F274" s="11" t="str">
        <f>IF(E274="r0170 - Employee liabilities (BRRD art. 44/2/g/i)","c001x   - Households",IF('Other non-financial'!C268="particulares","c001x   - Households",IF('Other non-financial'!C268="outras instituicoes financeiras","c005x   - Other financial corporations",IF('Other non-financial'!C268="instituicoes de credito","c004x   - Institutions",IF(AND('Other non-financial'!C268="outras empresas nao financeiras",'Other non-financial'!D268="1"),"c002x   - Micro &amp; SME",IF(AND('Other non-financial'!C268="outras empresas nao financeiras",'Other non-financial'!D268&lt;&gt;"1"),"c003x   - Corporates",IF('Other non-financial'!C268="","c010x   - Non-identified, not listed on an exchange platform",IF(OR('Other non-financial'!C268="setor publico",'Other non-financial'!C268="bancos centrais"),"c008x   - Government, central banks &amp; supranationals",""))))))))</f>
        <v>c005x   - Other financial corporations</v>
      </c>
      <c r="G274" s="11" t="str">
        <f>'Other non-financial'!G268</f>
        <v>Rank 9 - Ranking in insolvency (master scale)</v>
      </c>
      <c r="H274" s="11">
        <v>0</v>
      </c>
      <c r="I274" s="11">
        <v>0</v>
      </c>
      <c r="J274" s="11" t="s">
        <v>64</v>
      </c>
      <c r="K274" s="14" t="s">
        <v>65</v>
      </c>
      <c r="L274" s="11" t="str">
        <f>'Other non-financial'!H268</f>
        <v>Liabilities other than financial liabilities, provisions, tax liabilities, deferred income</v>
      </c>
      <c r="M274" s="12">
        <f>'Other non-financial'!B268</f>
        <v>125015.502915</v>
      </c>
      <c r="N274" s="11" t="str">
        <f>'Other non-financial'!A268</f>
        <v>LIBRA INGLESA</v>
      </c>
      <c r="O274" s="11" t="str">
        <f>'Other non-financial'!E268</f>
        <v>2022-12-31</v>
      </c>
      <c r="P274" s="15">
        <v>72716</v>
      </c>
      <c r="Q274" s="11" t="s">
        <v>66</v>
      </c>
      <c r="R274" s="11">
        <v>0</v>
      </c>
    </row>
    <row r="275" spans="3:18" ht="36.75" thickBot="1">
      <c r="C275" s="10" t="s">
        <v>63</v>
      </c>
      <c r="D275" s="11">
        <v>268</v>
      </c>
      <c r="E275" s="11" t="str">
        <f>'Other non-financial'!F269</f>
        <v>r0390 - Non-financial liabilities</v>
      </c>
      <c r="F275" s="11" t="str">
        <f>IF(E275="r0170 - Employee liabilities (BRRD art. 44/2/g/i)","c001x   - Households",IF('Other non-financial'!C269="particulares","c001x   - Households",IF('Other non-financial'!C269="outras instituicoes financeiras","c005x   - Other financial corporations",IF('Other non-financial'!C269="instituicoes de credito","c004x   - Institutions",IF(AND('Other non-financial'!C269="outras empresas nao financeiras",'Other non-financial'!D269="1"),"c002x   - Micro &amp; SME",IF(AND('Other non-financial'!C269="outras empresas nao financeiras",'Other non-financial'!D269&lt;&gt;"1"),"c003x   - Corporates",IF('Other non-financial'!C269="","c010x   - Non-identified, not listed on an exchange platform",IF(OR('Other non-financial'!C269="setor publico",'Other non-financial'!C269="bancos centrais"),"c008x   - Government, central banks &amp; supranationals",""))))))))</f>
        <v>c005x   - Other financial corporations</v>
      </c>
      <c r="G275" s="11" t="str">
        <f>'Other non-financial'!G269</f>
        <v>Rank 9 - Ranking in insolvency (master scale)</v>
      </c>
      <c r="H275" s="11">
        <v>0</v>
      </c>
      <c r="I275" s="11">
        <v>0</v>
      </c>
      <c r="J275" s="11" t="s">
        <v>64</v>
      </c>
      <c r="K275" s="14" t="s">
        <v>65</v>
      </c>
      <c r="L275" s="11" t="str">
        <f>'Other non-financial'!H269</f>
        <v>Provisions. Off-balance sheet exposures subject to credit risk</v>
      </c>
      <c r="M275" s="12">
        <f>'Other non-financial'!B269</f>
        <v>98.835307999999998</v>
      </c>
      <c r="N275" s="11" t="str">
        <f>'Other non-financial'!A269</f>
        <v>LIBRA INGLESA</v>
      </c>
      <c r="O275" s="11" t="str">
        <f>'Other non-financial'!E269</f>
        <v>2022-12-31</v>
      </c>
      <c r="P275" s="15">
        <v>72716</v>
      </c>
      <c r="Q275" s="11" t="s">
        <v>66</v>
      </c>
      <c r="R275" s="11">
        <v>0</v>
      </c>
    </row>
  </sheetData>
  <autoFilter ref="A7:S49"/>
  <mergeCells count="5">
    <mergeCell ref="A1:R1"/>
    <mergeCell ref="D4:R4"/>
    <mergeCell ref="E5:F5"/>
    <mergeCell ref="G5:R5"/>
    <mergeCell ref="S5:S6"/>
  </mergeCells>
  <phoneticPr fontId="9" type="noConversion"/>
  <conditionalFormatting sqref="D8:R275">
    <cfRule type="expression" dxfId="10" priority="2">
      <formula>LEN(TRIM(D8))=0</formula>
    </cfRule>
    <cfRule type="expression" dxfId="9" priority="3">
      <formula>LEN(TRIM(D8))=0</formula>
    </cfRule>
    <cfRule type="expression" dxfId="8" priority="4">
      <formula>LEN(TRIM(D8))=0</formula>
    </cfRule>
    <cfRule type="expression" dxfId="7" priority="5">
      <formula>LEN(TRIM(D8))=0</formula>
    </cfRule>
    <cfRule type="expression" dxfId="6" priority="6">
      <formula>LEN(TRIM(D8))=0</formula>
    </cfRule>
    <cfRule type="expression" dxfId="5" priority="7">
      <formula>LEN(TRIM(D8))=0</formula>
    </cfRule>
    <cfRule type="expression" dxfId="4" priority="8">
      <formula>LEN(TRIM(D8))=0</formula>
    </cfRule>
    <cfRule type="expression" dxfId="3" priority="9">
      <formula>LEN(TRIM(D8))=0</formula>
    </cfRule>
    <cfRule type="expression" dxfId="2" priority="10">
      <formula>LEN(TRIM(D8))=0</formula>
    </cfRule>
    <cfRule type="expression" dxfId="1" priority="11">
      <formula>LEN(TRIM(D8))=0</formula>
    </cfRule>
    <cfRule type="expression" dxfId="0" priority="1">
      <formula>LEN(TRIM(D8))=0</formula>
    </cfRule>
  </conditionalFormatting>
  <pageMargins left="0.7" right="0.7" top="0.75" bottom="0.75" header="0.3" footer="0.3"/>
  <pageSetup scale="33" orientation="landscape" verticalDpi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B6B9A5E792D2446B8986FAE34BEC557" ma:contentTypeVersion="13" ma:contentTypeDescription="Criar um novo documento." ma:contentTypeScope="" ma:versionID="76c42d233f396c620dfe843c8ada89d5">
  <xsd:schema xmlns:xsd="http://www.w3.org/2001/XMLSchema" xmlns:xs="http://www.w3.org/2001/XMLSchema" xmlns:p="http://schemas.microsoft.com/office/2006/metadata/properties" xmlns:ns1="http://schemas.microsoft.com/sharepoint/v3" xmlns:ns2="5ad20f8b-9281-4829-a9aa-2b5a878ba2cc" xmlns:ns3="09d3dac3-f296-4107-b579-4b1e37be6169" targetNamespace="http://schemas.microsoft.com/office/2006/metadata/properties" ma:root="true" ma:fieldsID="ee5843f5cb2ee2b6912e5b34715a9ac2" ns1:_="" ns2:_="" ns3:_="">
    <xsd:import namespace="http://schemas.microsoft.com/sharepoint/v3"/>
    <xsd:import namespace="5ad20f8b-9281-4829-a9aa-2b5a878ba2cc"/>
    <xsd:import namespace="09d3dac3-f296-4107-b579-4b1e37be61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d20f8b-9281-4829-a9aa-2b5a878ba2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e471ada5-31db-43fa-8830-84ca9293ff4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9d3dac3-f296-4107-b579-4b1e37be6169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2f43633d-4f01-4e5f-8ed6-670c29f8108f}" ma:internalName="TaxCatchAll" ma:showField="CatchAllData" ma:web="09d3dac3-f296-4107-b579-4b1e37be616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09d3dac3-f296-4107-b579-4b1e37be6169" xsi:nil="true"/>
    <lcf76f155ced4ddcb4097134ff3c332f xmlns="5ad20f8b-9281-4829-a9aa-2b5a878ba2c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F1D62D9-597A-4F22-BBD9-A6E644370ECF}"/>
</file>

<file path=customXml/itemProps2.xml><?xml version="1.0" encoding="utf-8"?>
<ds:datastoreItem xmlns:ds="http://schemas.openxmlformats.org/officeDocument/2006/customXml" ds:itemID="{2403A92E-FB8E-414B-B9D4-0670DC516386}"/>
</file>

<file path=customXml/itemProps3.xml><?xml version="1.0" encoding="utf-8"?>
<ds:datastoreItem xmlns:ds="http://schemas.openxmlformats.org/officeDocument/2006/customXml" ds:itemID="{38668766-ACCE-4288-89B3-91203A90509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Instruções</vt:lpstr>
      <vt:lpstr>Other non-financial</vt:lpstr>
      <vt:lpstr>T 09.00</vt:lpstr>
      <vt:lpstr>'T 09.00'!Print_Area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Filipe Hetzel de Oliveira Ferreira</dc:creator>
  <cp:lastModifiedBy>Flávia Daniela Costa Pinho</cp:lastModifiedBy>
  <dcterms:created xsi:type="dcterms:W3CDTF">2021-10-07T10:55:00Z</dcterms:created>
  <dcterms:modified xsi:type="dcterms:W3CDTF">2023-03-27T17:20:27Z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MSIP_Label_0c2abd79-57a9-4473-8700-c843f76a1e37_Enabled">
    <vt:lpwstr>true</vt:lpwstr>
  </property>
  <property fmtid="{D5CDD505-2E9C-101B-9397-08002B2CF9AE}" pid="5" name="MSIP_Label_0c2abd79-57a9-4473-8700-c843f76a1e37_SetDate">
    <vt:lpwstr>2022-04-28T09:44:01Z</vt:lpwstr>
  </property>
  <property fmtid="{D5CDD505-2E9C-101B-9397-08002B2CF9AE}" pid="6" name="MSIP_Label_0c2abd79-57a9-4473-8700-c843f76a1e37_Method">
    <vt:lpwstr>Privileged</vt:lpwstr>
  </property>
  <property fmtid="{D5CDD505-2E9C-101B-9397-08002B2CF9AE}" pid="7" name="MSIP_Label_0c2abd79-57a9-4473-8700-c843f76a1e37_Name">
    <vt:lpwstr>Internal</vt:lpwstr>
  </property>
  <property fmtid="{D5CDD505-2E9C-101B-9397-08002B2CF9AE}" pid="8" name="MSIP_Label_0c2abd79-57a9-4473-8700-c843f76a1e37_SiteId">
    <vt:lpwstr>35595a02-4d6d-44ac-99e1-f9ab4cd872db</vt:lpwstr>
  </property>
  <property fmtid="{D5CDD505-2E9C-101B-9397-08002B2CF9AE}" pid="9" name="MSIP_Label_0c2abd79-57a9-4473-8700-c843f76a1e37_ActionId">
    <vt:lpwstr>ce068508-9f5e-416e-833e-669f52894824</vt:lpwstr>
  </property>
  <property fmtid="{D5CDD505-2E9C-101B-9397-08002B2CF9AE}" pid="10" name="MSIP_Label_0c2abd79-57a9-4473-8700-c843f76a1e37_ContentBits">
    <vt:lpwstr>0</vt:lpwstr>
  </property>
  <property fmtid="{D5CDD505-2E9C-101B-9397-08002B2CF9AE}" pid="11" name="ContentTypeId">
    <vt:lpwstr>0x0101000B6B9A5E792D2446B8986FAE34BEC557</vt:lpwstr>
  </property>
</Properties>
</file>