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6" r:id="rId1"/>
    <sheet name="T 03.03" sheetId="2" r:id="rId2"/>
    <sheet name="Guarantees provided" sheetId="5" r:id="rId3"/>
  </sheets>
  <definedNames>
    <definedName name="_xlnm._FilterDatabase" localSheetId="1" hidden="1">'T 03.03'!$E$1:$E$271</definedName>
    <definedName name="_xlnm.Print_Area" localSheetId="1">'T 03.03'!$A$1:$Q$8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" i="2" l="1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8" i="2"/>
  <c r="J3" i="2" l="1"/>
</calcChain>
</file>

<file path=xl/comments1.xml><?xml version="1.0" encoding="utf-8"?>
<comments xmlns="http://schemas.openxmlformats.org/spreadsheetml/2006/main">
  <authors>
    <author>Haizhen Li</author>
    <author>ojones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Metric  =  Ranking in insolvency [ei:ZZ:ZZ28]_x000D_
Base  =  Off balance sheet items_x000D_
Main category  =  Financial guarantees given_x000D_
Related parties/Relationships  =  Intra-group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>Metric  =  Contract identifier [si]_x000D_
Base  =  Off balance sheet items_x000D_
Main category  =  Financial guarantees given_x000D_
Related parties/Relationships  =  Intra-group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Metric  =  Name of entity [si]_x000D_
Main category of item that is the object of the transaction / contract  =  Financial guarantees given_x000D_
Related parties/Relationships  =  Intra-group_x000D_
Role in the contract  =  Obligor under guarantee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Financial guarantees given_x000D_
Related parties/Relationships  =  Intra-group_x000D_
Role in the contract  =  Obligor under guarantee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Financial guarantees given_x000D_
Related parties/Relationships  =  Intra-group_x000D_
Role in the contract  =  Obligor under guarantee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Metric  =  Entity is included in the resolution group of reporting entity [bi]_x000D_
Main category of item that is the object of the transaction / contract  =  Financial guarantees given_x000D_
Related parties/Relationships  =  Intra-group_x000D_
Role in the contract  =  Obligor under guarantee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Off balance sheet items_x000D_
Main category  =  Financial guarantees given_x000D_
Related parties/Relationships  =  Intra-group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>Metric  =  Type of guarantee [ei:MC:MC73]_x000D_
Main category  =  Financial guarantees given_x000D_
Related parties/Relationships  =  Intra-group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Metric  =  Nominal amount [mi]_x000D_
Main category  =  Financial guarantees given_x000D_
Related parties/Relationships  =  Intra-group</t>
        </r>
      </text>
    </comment>
    <comment ref="N7" authorId="0" shapeId="0">
      <text>
        <r>
          <rPr>
            <sz val="9"/>
            <color indexed="81"/>
            <rFont val="Tahoma"/>
            <family val="2"/>
          </rPr>
          <t>Metric  =  Is collateralised [bi]_x000D_
Main category  =  Financial guarantees given_x000D_
Related parties/Relationships  =  Intra-group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Metric  =  Carrying amount [mi]_x000D_
Main category  =  Collateral posted_x000D_
Main category of item that is the object of the transaction / contract  =  Financial guarantees given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Metric  =  Type of event triggering the activation of the guarantee / financial support [ei:ZZ:ZZ31]_x000D_
Main category  =  Financial guarantees given_x000D_
Related parties/Relationships  =  Intra-group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D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E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F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G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I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J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L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M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N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O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P8" authorId="1" shapeId="0">
      <text>
        <r>
          <rPr>
            <sz val="9"/>
            <color indexed="81"/>
            <rFont val="Tahoma"/>
            <family val="2"/>
          </rPr>
          <t>The &lt;Key value&gt; (combination of all &lt;Key value&gt; columns when more than one) must uniquely specify each row.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6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8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9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0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1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2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3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4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5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7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8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19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0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1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2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3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4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5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2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3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4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5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6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7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8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69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70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  <comment ref="C271" authorId="0" shapeId="0">
      <text>
        <r>
          <rPr>
            <sz val="9"/>
            <color indexed="81"/>
            <rFont val="Tahoma"/>
            <family val="2"/>
          </rPr>
          <t>Row ID (intragroup guarantees provided)  =  &lt;Key value&gt;</t>
        </r>
      </text>
    </comment>
  </commentList>
</comments>
</file>

<file path=xl/sharedStrings.xml><?xml version="1.0" encoding="utf-8"?>
<sst xmlns="http://schemas.openxmlformats.org/spreadsheetml/2006/main" count="7349" uniqueCount="498">
  <si>
    <t>gcliente</t>
  </si>
  <si>
    <t>clei</t>
  </si>
  <si>
    <t>zcliente</t>
  </si>
  <si>
    <t>SUM_of_SUM_of_msaldo_final</t>
  </si>
  <si>
    <t>SUM_of_Colateral</t>
  </si>
  <si>
    <t>lei_aplicavel</t>
  </si>
  <si>
    <t>#</t>
  </si>
  <si>
    <t>BANCO SANTANDER S.A.  SUCURSAL FRANKFURT</t>
  </si>
  <si>
    <t>0000046859</t>
  </si>
  <si>
    <t>BANCO SANTANDER SA</t>
  </si>
  <si>
    <t>8000176024</t>
  </si>
  <si>
    <t>BANCO SANTANDER, SA  SUCURSAL LONDRES</t>
  </si>
  <si>
    <t>7400930664</t>
  </si>
  <si>
    <t>CONSULTEAM - CONSULTORES DE GESTAO, LDA</t>
  </si>
  <si>
    <t>5100262318</t>
  </si>
  <si>
    <t>54930006K2IUPA083C07</t>
  </si>
  <si>
    <t>8046077493</t>
  </si>
  <si>
    <t>SANTANDER UK, PLC</t>
  </si>
  <si>
    <t>7400416271</t>
  </si>
  <si>
    <t>TOTTAURBE-EMPRESA DE ADMINISTRACAO E CONSTRUCOES, S.A.</t>
  </si>
  <si>
    <t>8000391312</t>
  </si>
  <si>
    <t>T 03.03 - Intragroup guarantees - provided</t>
  </si>
  <si>
    <t>Columns</t>
  </si>
  <si>
    <t>Number</t>
  </si>
  <si>
    <t>Intragroup guarantees - provided</t>
  </si>
  <si>
    <t>Insolvency ranking</t>
  </si>
  <si>
    <t>Contract identifier</t>
  </si>
  <si>
    <t>Entity name of beneficiary</t>
  </si>
  <si>
    <t>Identifier of beneficiary</t>
  </si>
  <si>
    <t>Type of identifier</t>
  </si>
  <si>
    <t>Is beneficiary included in the resolution group of reporting entity?</t>
  </si>
  <si>
    <t>Governing law</t>
  </si>
  <si>
    <t>Guarantee Type</t>
  </si>
  <si>
    <t>Potential maximum guaranteed amount</t>
  </si>
  <si>
    <t>Collateralised</t>
  </si>
  <si>
    <t>Amount of collateral provided</t>
  </si>
  <si>
    <t>Guarantee trigger</t>
  </si>
  <si>
    <t>0010</t>
  </si>
  <si>
    <t>0020</t>
  </si>
  <si>
    <t>0030</t>
  </si>
  <si>
    <t>0035</t>
  </si>
  <si>
    <t>0040</t>
  </si>
  <si>
    <t>0045</t>
  </si>
  <si>
    <t>0047</t>
  </si>
  <si>
    <t>0050</t>
  </si>
  <si>
    <t>0060</t>
  </si>
  <si>
    <t>0070</t>
  </si>
  <si>
    <t>0080</t>
  </si>
  <si>
    <t>0090</t>
  </si>
  <si>
    <t>0100</t>
  </si>
  <si>
    <t>Rows</t>
  </si>
  <si>
    <t>999</t>
  </si>
  <si>
    <t>Rank 9 - Ranking in insolvency (master scale)</t>
  </si>
  <si>
    <t>PORTUGAL</t>
  </si>
  <si>
    <t>Counterparty</t>
  </si>
  <si>
    <t>No</t>
  </si>
  <si>
    <t>Default</t>
  </si>
  <si>
    <t>962304840171880</t>
  </si>
  <si>
    <t>962304820251290</t>
  </si>
  <si>
    <t>962304820254330</t>
  </si>
  <si>
    <t>zdeposit1</t>
  </si>
  <si>
    <t>162304840046380</t>
  </si>
  <si>
    <t>162304840071020</t>
  </si>
  <si>
    <t>162304840738540</t>
  </si>
  <si>
    <t>162304848005620</t>
  </si>
  <si>
    <t>262304820019340</t>
  </si>
  <si>
    <t>262304820020190</t>
  </si>
  <si>
    <t>262304820022810</t>
  </si>
  <si>
    <t>262304820022820</t>
  </si>
  <si>
    <t>262304820022840</t>
  </si>
  <si>
    <t>262304820022850</t>
  </si>
  <si>
    <t>262304820022860</t>
  </si>
  <si>
    <t>262304820023840</t>
  </si>
  <si>
    <t>262304820025410</t>
  </si>
  <si>
    <t>262304820025720</t>
  </si>
  <si>
    <t>262304820026620</t>
  </si>
  <si>
    <t>262304820026870</t>
  </si>
  <si>
    <t>362304820864440</t>
  </si>
  <si>
    <t>962304820028010</t>
  </si>
  <si>
    <t>962304820037810</t>
  </si>
  <si>
    <t>962304820072940</t>
  </si>
  <si>
    <t>962304820111240</t>
  </si>
  <si>
    <t>962304820131600</t>
  </si>
  <si>
    <t>962304820132350</t>
  </si>
  <si>
    <t>962304820139030</t>
  </si>
  <si>
    <t>962304820150010</t>
  </si>
  <si>
    <t>962304820150970</t>
  </si>
  <si>
    <t>962304820153890</t>
  </si>
  <si>
    <t>962304820163410</t>
  </si>
  <si>
    <t>962304820167570</t>
  </si>
  <si>
    <t>962304820177650</t>
  </si>
  <si>
    <t>962304820200900</t>
  </si>
  <si>
    <t>962304820201320</t>
  </si>
  <si>
    <t>962304820205570</t>
  </si>
  <si>
    <t>962304820211210</t>
  </si>
  <si>
    <t>962304820216980</t>
  </si>
  <si>
    <t>962304820225180</t>
  </si>
  <si>
    <t>962304820232660</t>
  </si>
  <si>
    <t>962304820250510</t>
  </si>
  <si>
    <t>962304820260590</t>
  </si>
  <si>
    <t>962304820272510</t>
  </si>
  <si>
    <t>962304820272570</t>
  </si>
  <si>
    <t>962304820272590</t>
  </si>
  <si>
    <t>962304820272600</t>
  </si>
  <si>
    <t>962304820276890</t>
  </si>
  <si>
    <t>962304820282740</t>
  </si>
  <si>
    <t>962304820295900</t>
  </si>
  <si>
    <t>962304820302710</t>
  </si>
  <si>
    <t>962304820309020</t>
  </si>
  <si>
    <t>962304820311230</t>
  </si>
  <si>
    <t>962304820321330</t>
  </si>
  <si>
    <t>962304820325080</t>
  </si>
  <si>
    <t>962304820336320</t>
  </si>
  <si>
    <t>962304820336330</t>
  </si>
  <si>
    <t>962304870323050</t>
  </si>
  <si>
    <t>962304870326550</t>
  </si>
  <si>
    <t>962304870327990</t>
  </si>
  <si>
    <t>262304840018860</t>
  </si>
  <si>
    <t>262304840018920</t>
  </si>
  <si>
    <t>262304840021030</t>
  </si>
  <si>
    <t>262304840026320</t>
  </si>
  <si>
    <t>399904875248090</t>
  </si>
  <si>
    <t>599904815306350</t>
  </si>
  <si>
    <t>599904815306400</t>
  </si>
  <si>
    <t>599904815306540</t>
  </si>
  <si>
    <t>599904815306690</t>
  </si>
  <si>
    <t>599904815306730</t>
  </si>
  <si>
    <t>599904815306880</t>
  </si>
  <si>
    <t>599904815306920</t>
  </si>
  <si>
    <t>599904815307070</t>
  </si>
  <si>
    <t>599904815307110</t>
  </si>
  <si>
    <t>599904815307260</t>
  </si>
  <si>
    <t>599904815307300</t>
  </si>
  <si>
    <t>599904815307450</t>
  </si>
  <si>
    <t>599904815307500</t>
  </si>
  <si>
    <t>599904815307640</t>
  </si>
  <si>
    <t>599904836417420</t>
  </si>
  <si>
    <t>st_sgps_portugal_ifrs</t>
  </si>
  <si>
    <t>x</t>
  </si>
  <si>
    <t>Instruções</t>
  </si>
  <si>
    <t>3- Carregar no button</t>
  </si>
  <si>
    <t>962304870355340</t>
  </si>
  <si>
    <t>5493006QMFDDMYWIAM13</t>
  </si>
  <si>
    <t>962304830362520</t>
  </si>
  <si>
    <t>962304830364570</t>
  </si>
  <si>
    <t>962304870343130</t>
  </si>
  <si>
    <t>962304870352020</t>
  </si>
  <si>
    <t>962304870356080</t>
  </si>
  <si>
    <t>962304870356900</t>
  </si>
  <si>
    <t>BANCO SANTANDER TOTTA S.A.</t>
  </si>
  <si>
    <t>549300URJH9VSI58CS32</t>
  </si>
  <si>
    <t>2100707445</t>
  </si>
  <si>
    <t>262304820021230</t>
  </si>
  <si>
    <t>262304820025500</t>
  </si>
  <si>
    <t>262304840000980</t>
  </si>
  <si>
    <t>262304840010980</t>
  </si>
  <si>
    <t>862304840000660</t>
  </si>
  <si>
    <t>862304840002100</t>
  </si>
  <si>
    <t>862304840002110</t>
  </si>
  <si>
    <t>862304840002610</t>
  </si>
  <si>
    <t>862304840003370</t>
  </si>
  <si>
    <t>862304840004970</t>
  </si>
  <si>
    <t>862304840005380</t>
  </si>
  <si>
    <t>862304840007410</t>
  </si>
  <si>
    <t>862304840007560</t>
  </si>
  <si>
    <t>862304840007750</t>
  </si>
  <si>
    <t>862304840007900</t>
  </si>
  <si>
    <t>862304840007910</t>
  </si>
  <si>
    <t>862304840008490</t>
  </si>
  <si>
    <t>862304840022990</t>
  </si>
  <si>
    <t>862304840033050</t>
  </si>
  <si>
    <t>862304840039730</t>
  </si>
  <si>
    <t>862304840042940</t>
  </si>
  <si>
    <t>862304840044920</t>
  </si>
  <si>
    <t>862304840049330</t>
  </si>
  <si>
    <t>862304840057070</t>
  </si>
  <si>
    <t>862304840097570</t>
  </si>
  <si>
    <t>862304840097700</t>
  </si>
  <si>
    <t>862304840110540</t>
  </si>
  <si>
    <t>862304840132710</t>
  </si>
  <si>
    <t>862304840237230</t>
  </si>
  <si>
    <t>862304840237260</t>
  </si>
  <si>
    <t>8000000013</t>
  </si>
  <si>
    <t>162304840013480</t>
  </si>
  <si>
    <t>162304848006190</t>
  </si>
  <si>
    <t>588804815139970</t>
  </si>
  <si>
    <t>588804815175670</t>
  </si>
  <si>
    <t>588804815175860</t>
  </si>
  <si>
    <t>588804815189570</t>
  </si>
  <si>
    <t>588804815682400</t>
  </si>
  <si>
    <t>599904815004320</t>
  </si>
  <si>
    <t>599904815136520</t>
  </si>
  <si>
    <t>599904815137200</t>
  </si>
  <si>
    <t>599904815137350</t>
  </si>
  <si>
    <t>599904815281080</t>
  </si>
  <si>
    <t>599904815282370</t>
  </si>
  <si>
    <t>599904815282560</t>
  </si>
  <si>
    <t>599904815283090</t>
  </si>
  <si>
    <t>599904815283510</t>
  </si>
  <si>
    <t>599904815644120</t>
  </si>
  <si>
    <t>599904815745530</t>
  </si>
  <si>
    <t>599904815760970</t>
  </si>
  <si>
    <t>599904815790580</t>
  </si>
  <si>
    <t>599904816160530</t>
  </si>
  <si>
    <t>599904816238600</t>
  </si>
  <si>
    <t>599904816311510</t>
  </si>
  <si>
    <t>599904816347150</t>
  </si>
  <si>
    <t>599904816530910</t>
  </si>
  <si>
    <t>599904817123520</t>
  </si>
  <si>
    <t>9000796656</t>
  </si>
  <si>
    <t>362304840002560</t>
  </si>
  <si>
    <t>362304840008310</t>
  </si>
  <si>
    <t>399904810171700</t>
  </si>
  <si>
    <t>399904810290270</t>
  </si>
  <si>
    <t>399904810301850</t>
  </si>
  <si>
    <t>399904810324650</t>
  </si>
  <si>
    <t>399904810324780</t>
  </si>
  <si>
    <t>399904810339790</t>
  </si>
  <si>
    <t>399904810437210</t>
  </si>
  <si>
    <t>399904810461790</t>
  </si>
  <si>
    <t>399904810479030</t>
  </si>
  <si>
    <t>399904810497040</t>
  </si>
  <si>
    <t>399904810531930</t>
  </si>
  <si>
    <t>399904810554730</t>
  </si>
  <si>
    <t>399904810597970</t>
  </si>
  <si>
    <t>399904810734920</t>
  </si>
  <si>
    <t>399904811239040</t>
  </si>
  <si>
    <t>399904811255440</t>
  </si>
  <si>
    <t>399904811425540</t>
  </si>
  <si>
    <t>399904811497630</t>
  </si>
  <si>
    <t>399904811578720</t>
  </si>
  <si>
    <t>399904811642910</t>
  </si>
  <si>
    <t>399904844726000</t>
  </si>
  <si>
    <t>399904898776070</t>
  </si>
  <si>
    <t>562304840000020</t>
  </si>
  <si>
    <t>599904830435070</t>
  </si>
  <si>
    <t>599904830662040</t>
  </si>
  <si>
    <t>599904830669740</t>
  </si>
  <si>
    <t>599904831081820</t>
  </si>
  <si>
    <t>599904831629960</t>
  </si>
  <si>
    <t>599904832419600</t>
  </si>
  <si>
    <t>599904833295100</t>
  </si>
  <si>
    <t>599904833864040</t>
  </si>
  <si>
    <t>599904834357780</t>
  </si>
  <si>
    <t>599904835462910</t>
  </si>
  <si>
    <t>599904835787360</t>
  </si>
  <si>
    <t>599904836292030</t>
  </si>
  <si>
    <t>599904836790900</t>
  </si>
  <si>
    <t>599904891725540</t>
  </si>
  <si>
    <t>BANCO SANTANDER TOTTA SA</t>
  </si>
  <si>
    <t>5100262397</t>
  </si>
  <si>
    <t>262304820020770</t>
  </si>
  <si>
    <t>262304840010120</t>
  </si>
  <si>
    <t>262304840015500</t>
  </si>
  <si>
    <t>262304840016400</t>
  </si>
  <si>
    <t>262304840018350</t>
  </si>
  <si>
    <t>262304840018660</t>
  </si>
  <si>
    <t>262304840018750</t>
  </si>
  <si>
    <t>262304840019360</t>
  </si>
  <si>
    <t>262304840019550</t>
  </si>
  <si>
    <t>262304840020520</t>
  </si>
  <si>
    <t>262304840020660</t>
  </si>
  <si>
    <t>262304840020670</t>
  </si>
  <si>
    <t>262304840021820</t>
  </si>
  <si>
    <t>262304840022340</t>
  </si>
  <si>
    <t>262304840022580</t>
  </si>
  <si>
    <t>262304840022600</t>
  </si>
  <si>
    <t>262304840022620</t>
  </si>
  <si>
    <t>262304840022770</t>
  </si>
  <si>
    <t>262304840023130</t>
  </si>
  <si>
    <t>262304840023140</t>
  </si>
  <si>
    <t>262304840023740</t>
  </si>
  <si>
    <t>262304840023760</t>
  </si>
  <si>
    <t>262304840024230</t>
  </si>
  <si>
    <t>262304840024560</t>
  </si>
  <si>
    <t>262304840025010</t>
  </si>
  <si>
    <t>262304840025790</t>
  </si>
  <si>
    <t>262304840026200</t>
  </si>
  <si>
    <t>262304840026280</t>
  </si>
  <si>
    <t>262304840026710</t>
  </si>
  <si>
    <t>262304840026860</t>
  </si>
  <si>
    <t>262304840027200</t>
  </si>
  <si>
    <t>262304840027210</t>
  </si>
  <si>
    <t>9000699338</t>
  </si>
  <si>
    <t>588804815653320</t>
  </si>
  <si>
    <t>588804815653470</t>
  </si>
  <si>
    <t>588804815653510</t>
  </si>
  <si>
    <t>588804815653660</t>
  </si>
  <si>
    <t>588804815653700</t>
  </si>
  <si>
    <t>588804815653850</t>
  </si>
  <si>
    <t>588804815653900</t>
  </si>
  <si>
    <t>588804815654230</t>
  </si>
  <si>
    <t>588804815654380</t>
  </si>
  <si>
    <t>588804815654420</t>
  </si>
  <si>
    <t>588804815654570</t>
  </si>
  <si>
    <t>588804830050560</t>
  </si>
  <si>
    <t>588804830385540</t>
  </si>
  <si>
    <t>588804830644890</t>
  </si>
  <si>
    <t>588804830644930</t>
  </si>
  <si>
    <t>588804830645120</t>
  </si>
  <si>
    <t>588804830645270</t>
  </si>
  <si>
    <t>588804830645310</t>
  </si>
  <si>
    <t>588804830656670</t>
  </si>
  <si>
    <t>588804830676600</t>
  </si>
  <si>
    <t>588804830744900</t>
  </si>
  <si>
    <t>588804830753910</t>
  </si>
  <si>
    <t>588804830754060</t>
  </si>
  <si>
    <t>588804831263660</t>
  </si>
  <si>
    <t>588804831316870</t>
  </si>
  <si>
    <t>588804831738600</t>
  </si>
  <si>
    <t>588804831842570</t>
  </si>
  <si>
    <t>588804832515310</t>
  </si>
  <si>
    <t>588804832535910</t>
  </si>
  <si>
    <t>588804832575100</t>
  </si>
  <si>
    <t>588804833132030</t>
  </si>
  <si>
    <t>588804833230480</t>
  </si>
  <si>
    <t>599904816261560</t>
  </si>
  <si>
    <t>599904816261600</t>
  </si>
  <si>
    <t>599904816261750</t>
  </si>
  <si>
    <t>599904816261800</t>
  </si>
  <si>
    <t>599904816261940</t>
  </si>
  <si>
    <t>599904816262090</t>
  </si>
  <si>
    <t>599904816262130</t>
  </si>
  <si>
    <t>599904816262280</t>
  </si>
  <si>
    <t>599904816262320</t>
  </si>
  <si>
    <t>599904816262470</t>
  </si>
  <si>
    <t>599904816262510</t>
  </si>
  <si>
    <t>599904816262660</t>
  </si>
  <si>
    <t>599904816262700</t>
  </si>
  <si>
    <t>599904816262850</t>
  </si>
  <si>
    <t>599904816262900</t>
  </si>
  <si>
    <t>599904816263040</t>
  </si>
  <si>
    <t>599904816263190</t>
  </si>
  <si>
    <t>599904816263230</t>
  </si>
  <si>
    <t>599904816263380</t>
  </si>
  <si>
    <t>599904816263420</t>
  </si>
  <si>
    <t>599904816263570</t>
  </si>
  <si>
    <t>599904816263610</t>
  </si>
  <si>
    <t>599904816263760</t>
  </si>
  <si>
    <t>599904816263800</t>
  </si>
  <si>
    <t>599904816263950</t>
  </si>
  <si>
    <t>599904816264000</t>
  </si>
  <si>
    <t>599904816264140</t>
  </si>
  <si>
    <t>599904816264290</t>
  </si>
  <si>
    <t>599904816264330</t>
  </si>
  <si>
    <t>599904816264480</t>
  </si>
  <si>
    <t>599904816264520</t>
  </si>
  <si>
    <t>599904816264670</t>
  </si>
  <si>
    <t>599904816264710</t>
  </si>
  <si>
    <t>599904816264860</t>
  </si>
  <si>
    <t>599904816264900</t>
  </si>
  <si>
    <t>599904816265050</t>
  </si>
  <si>
    <t>599904816265100</t>
  </si>
  <si>
    <t>599904816265240</t>
  </si>
  <si>
    <t>599904816265390</t>
  </si>
  <si>
    <t>599904816265430</t>
  </si>
  <si>
    <t>599904816265580</t>
  </si>
  <si>
    <t>599904816265620</t>
  </si>
  <si>
    <t>599904816265770</t>
  </si>
  <si>
    <t>599904830044470</t>
  </si>
  <si>
    <t>599904830058070</t>
  </si>
  <si>
    <t>599904830061240</t>
  </si>
  <si>
    <t>599904830084230</t>
  </si>
  <si>
    <t>599904830085000</t>
  </si>
  <si>
    <t>599904830098020</t>
  </si>
  <si>
    <t>599904830098170</t>
  </si>
  <si>
    <t>599904830123080</t>
  </si>
  <si>
    <t>599904830145540</t>
  </si>
  <si>
    <t>599904830182910</t>
  </si>
  <si>
    <t>599904830386640</t>
  </si>
  <si>
    <t>599904830389560</t>
  </si>
  <si>
    <t>599904830395650</t>
  </si>
  <si>
    <t>599904830412460</t>
  </si>
  <si>
    <t>599904830441010</t>
  </si>
  <si>
    <t>599904830441160</t>
  </si>
  <si>
    <t>599904830441200</t>
  </si>
  <si>
    <t>599904830508690</t>
  </si>
  <si>
    <t>599904830543900</t>
  </si>
  <si>
    <t>599904830601490</t>
  </si>
  <si>
    <t>599904830632240</t>
  </si>
  <si>
    <t>599904830652990</t>
  </si>
  <si>
    <t>599904830658490</t>
  </si>
  <si>
    <t>599904830658530</t>
  </si>
  <si>
    <t>599904830686130</t>
  </si>
  <si>
    <t>599904830809470</t>
  </si>
  <si>
    <t>599904830905040</t>
  </si>
  <si>
    <t>599904830926210</t>
  </si>
  <si>
    <t>599904830936470</t>
  </si>
  <si>
    <t>599904830971830</t>
  </si>
  <si>
    <t>599904831017190</t>
  </si>
  <si>
    <t>599904831095190</t>
  </si>
  <si>
    <t>599904831108000</t>
  </si>
  <si>
    <t>599904831114050</t>
  </si>
  <si>
    <t>599904831116060</t>
  </si>
  <si>
    <t>599904831122910</t>
  </si>
  <si>
    <t>599904831156010</t>
  </si>
  <si>
    <t>599904831166990</t>
  </si>
  <si>
    <t>599904831208120</t>
  </si>
  <si>
    <t>599904831214600</t>
  </si>
  <si>
    <t>599904831217850</t>
  </si>
  <si>
    <t>599904831229300</t>
  </si>
  <si>
    <t>599904831241620</t>
  </si>
  <si>
    <t>599904831352190</t>
  </si>
  <si>
    <t>599904831355910</t>
  </si>
  <si>
    <t>599904831356060</t>
  </si>
  <si>
    <t>599904831359210</t>
  </si>
  <si>
    <t>599904831382560</t>
  </si>
  <si>
    <t>599904831386240</t>
  </si>
  <si>
    <t>599904831386390</t>
  </si>
  <si>
    <t>599904831386430</t>
  </si>
  <si>
    <t>599904831393960</t>
  </si>
  <si>
    <t>599904831401380</t>
  </si>
  <si>
    <t>599904831436490</t>
  </si>
  <si>
    <t>599904831524870</t>
  </si>
  <si>
    <t>599904831545280</t>
  </si>
  <si>
    <t>599904831565540</t>
  </si>
  <si>
    <t>599904831618220</t>
  </si>
  <si>
    <t>599904831618370</t>
  </si>
  <si>
    <t>599904831634040</t>
  </si>
  <si>
    <t>599904831638300</t>
  </si>
  <si>
    <t>599904831655400</t>
  </si>
  <si>
    <t>599904831672470</t>
  </si>
  <si>
    <t>599904831712500</t>
  </si>
  <si>
    <t>599904831731960</t>
  </si>
  <si>
    <t>599904831749770</t>
  </si>
  <si>
    <t>599904831752180</t>
  </si>
  <si>
    <t>599904831752220</t>
  </si>
  <si>
    <t>599904831758780</t>
  </si>
  <si>
    <t>599904831758970</t>
  </si>
  <si>
    <t>599904832221680</t>
  </si>
  <si>
    <t>599904832284390</t>
  </si>
  <si>
    <t>599904832298600</t>
  </si>
  <si>
    <t>599904832317190</t>
  </si>
  <si>
    <t>599904832357140</t>
  </si>
  <si>
    <t>599904832399440</t>
  </si>
  <si>
    <t>599904832399590</t>
  </si>
  <si>
    <t>599904832399630</t>
  </si>
  <si>
    <t>599904832439770</t>
  </si>
  <si>
    <t>599904832468850</t>
  </si>
  <si>
    <t>599904832479910</t>
  </si>
  <si>
    <t>599904832482470</t>
  </si>
  <si>
    <t>599904832486720</t>
  </si>
  <si>
    <t>599904832487060</t>
  </si>
  <si>
    <t>599904832497550</t>
  </si>
  <si>
    <t>599904832516560</t>
  </si>
  <si>
    <t>599904832527100</t>
  </si>
  <si>
    <t>599904832529820</t>
  </si>
  <si>
    <t>599904832537730</t>
  </si>
  <si>
    <t>599904832573580</t>
  </si>
  <si>
    <t>599904832573620</t>
  </si>
  <si>
    <t>599904832580100</t>
  </si>
  <si>
    <t>599904832597710</t>
  </si>
  <si>
    <t>599904832660000</t>
  </si>
  <si>
    <t>599904832711680</t>
  </si>
  <si>
    <t>599904832711720</t>
  </si>
  <si>
    <t>599904832793400</t>
  </si>
  <si>
    <t>599904832808140</t>
  </si>
  <si>
    <t>599904832822140</t>
  </si>
  <si>
    <t>599904832822290</t>
  </si>
  <si>
    <t>599904832822330</t>
  </si>
  <si>
    <t>599904832822520</t>
  </si>
  <si>
    <t>599904832822670</t>
  </si>
  <si>
    <t>599904832838280</t>
  </si>
  <si>
    <t>599904832838320</t>
  </si>
  <si>
    <t>599904832838470</t>
  </si>
  <si>
    <t>599904832849910</t>
  </si>
  <si>
    <t>599904832884660</t>
  </si>
  <si>
    <t>599904832884700</t>
  </si>
  <si>
    <t>599904832899890</t>
  </si>
  <si>
    <t>599904832899930</t>
  </si>
  <si>
    <t>599904832900180</t>
  </si>
  <si>
    <t>599904833172470</t>
  </si>
  <si>
    <t>599904833172510</t>
  </si>
  <si>
    <t>599904833212120</t>
  </si>
  <si>
    <t>599904833215760</t>
  </si>
  <si>
    <t>599904833223330</t>
  </si>
  <si>
    <t>599904833246280</t>
  </si>
  <si>
    <t>599904833277030</t>
  </si>
  <si>
    <t>599904833360250</t>
  </si>
  <si>
    <t>599904833381760</t>
  </si>
  <si>
    <t>599904833381800</t>
  </si>
  <si>
    <t>BANCO SANTANDER TOTTA, S.A.</t>
  </si>
  <si>
    <t>8003987621</t>
  </si>
  <si>
    <t>599904815013560</t>
  </si>
  <si>
    <t>599904815013600</t>
  </si>
  <si>
    <t>962304820341720</t>
  </si>
  <si>
    <t>962304870364230</t>
  </si>
  <si>
    <t>1- Apagar a informação que consta na folha "Guarantees provided"</t>
  </si>
  <si>
    <t>2- Copiar a informação da tabela T03.03 extraída do projeto SAS e copiar para a folha "Guarantees provided"</t>
  </si>
  <si>
    <t>4- Se a macro der erro, verificar que a sheet "Guarantees provided" não tem filtros e recomeçar do inicio</t>
  </si>
  <si>
    <t>962304820179130</t>
  </si>
  <si>
    <t>962304830371210</t>
  </si>
  <si>
    <t>962304830379180</t>
  </si>
  <si>
    <t>962304830386740</t>
  </si>
  <si>
    <t>962304830386760</t>
  </si>
  <si>
    <t>962304830389610</t>
  </si>
  <si>
    <t>962304870370420</t>
  </si>
  <si>
    <t>SANTANDER TOTTA SEGUROS - COMPANHIA DE SEGUROS DE VIDA S.A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</si>
</sst>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0">
    <font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6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6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164" fontId="0" fillId="0" borderId="0" xfId="0" applyNumberFormat="1"/>
    <xf numFmtId="0" fontId="1" fillId="0" borderId="0" xfId="1" applyAlignment="1">
      <alignment wrapText="1"/>
    </xf>
    <xf numFmtId="0" fontId="1" fillId="0" borderId="0" xfId="1"/>
    <xf numFmtId="0" fontId="1" fillId="2" borderId="2" xfId="1" applyFill="1" applyBorder="1" applyAlignment="1">
      <alignment horizontal="left" vertical="top" wrapText="1"/>
    </xf>
    <xf numFmtId="0" fontId="1" fillId="2" borderId="6" xfId="1" applyFill="1" applyBorder="1" applyAlignment="1">
      <alignment horizontal="left" vertical="top" wrapText="1"/>
    </xf>
    <xf numFmtId="0" fontId="1" fillId="2" borderId="7" xfId="1" applyFill="1" applyBorder="1" applyAlignment="1">
      <alignment horizontal="left" vertical="top" wrapText="1"/>
    </xf>
    <xf numFmtId="0" fontId="1" fillId="2" borderId="7" xfId="1" quotePrefix="1" applyFill="1" applyBorder="1" applyAlignment="1">
      <alignment horizontal="left" vertical="top" wrapText="1"/>
    </xf>
    <xf numFmtId="0" fontId="2" fillId="2" borderId="3" xfId="1" applyFont="1" applyFill="1" applyBorder="1" applyAlignment="1">
      <alignment horizontal="center" vertical="center" textRotation="90"/>
    </xf>
    <xf numFmtId="0" fontId="1" fillId="2" borderId="5" xfId="1" applyFill="1" applyBorder="1" applyAlignment="1">
      <alignment horizontal="left" vertical="center" wrapText="1"/>
    </xf>
    <xf numFmtId="0" fontId="1" fillId="2" borderId="7" xfId="1" quotePrefix="1" applyFill="1" applyBorder="1" applyAlignment="1">
      <alignment horizontal="left" vertical="center"/>
    </xf>
    <xf numFmtId="0" fontId="4" fillId="0" borderId="8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5" fillId="0" borderId="0" xfId="1" applyFont="1" applyAlignment="1">
      <alignment horizontal="left" vertical="top" wrapText="1"/>
    </xf>
    <xf numFmtId="0" fontId="4" fillId="0" borderId="8" xfId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0" fillId="0" borderId="0" xfId="0" applyAlignment="1">
      <alignment horizontal="center"/>
    </xf>
    <xf numFmtId="0" fontId="2" fillId="2" borderId="1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center" vertical="center"/>
    </xf>
    <xf numFmtId="0" fontId="1" fillId="2" borderId="3" xfId="1" applyFill="1" applyBorder="1" applyAlignment="1">
      <alignment horizontal="left" vertical="top" wrapText="1"/>
    </xf>
    <xf numFmtId="0" fontId="1" fillId="2" borderId="4" xfId="1" applyFill="1" applyBorder="1" applyAlignment="1">
      <alignment horizontal="left" vertical="top" wrapText="1"/>
    </xf>
    <xf numFmtId="0" fontId="1" fillId="2" borderId="5" xfId="1" applyFill="1" applyBorder="1" applyAlignment="1">
      <alignment horizontal="left" vertical="top" wrapText="1"/>
    </xf>
    <xf numFmtId="0" fontId="3" fillId="0" borderId="1" xfId="1" applyFont="1" applyBorder="1" applyAlignment="1">
      <alignment horizontal="left" wrapText="1"/>
    </xf>
  </cellXfs>
  <cellStyles count="2">
    <cellStyle name="Normal" xfId="0" builtinId="0"/>
    <cellStyle name="Normal 2" xfId="1"/>
  </cellStyles>
  <dxfs count="7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161925</xdr:rowOff>
    </xdr:from>
    <xdr:to>
      <xdr:col>3</xdr:col>
      <xdr:colOff>342900</xdr:colOff>
      <xdr:row>9</xdr:row>
      <xdr:rowOff>38100</xdr:rowOff>
    </xdr:to>
    <xdr:sp macro="[0]!GuaranteesprovidedT0303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03.03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15"/>
  <sheetViews>
    <sheetView showGridLines="0" workbookViewId="0">
      <selection activeCell="I26" sqref="I26"/>
    </sheetView>
  </sheetViews>
  <sheetFormatPr defaultRowHeight="14.25"/>
  <sheetData>
    <row r="2" spans="2:14">
      <c r="B2" s="15" t="s">
        <v>139</v>
      </c>
    </row>
    <row r="3" spans="2:14">
      <c r="B3" t="s">
        <v>487</v>
      </c>
    </row>
    <row r="4" spans="2:14">
      <c r="B4" t="s">
        <v>488</v>
      </c>
    </row>
    <row r="5" spans="2:14">
      <c r="B5" t="s">
        <v>140</v>
      </c>
    </row>
    <row r="6" spans="2:14">
      <c r="B6" s="16" t="s">
        <v>489</v>
      </c>
    </row>
    <row r="15" spans="2:14">
      <c r="N15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Q941"/>
  <sheetViews>
    <sheetView showGridLines="0"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11" sqref="D11"/>
    </sheetView>
  </sheetViews>
  <sheetFormatPr defaultColWidth="9.1328125" defaultRowHeight="14.25"/>
  <cols>
    <col min="1" max="1" width="5.59765625" style="3" customWidth="1"/>
    <col min="2" max="2" width="25.265625" style="3" bestFit="1" customWidth="1"/>
    <col min="3" max="3" width="3.86328125" style="3" bestFit="1" customWidth="1"/>
    <col min="4" max="16" width="20.59765625" style="3" customWidth="1"/>
    <col min="17" max="17" width="25.59765625" style="2" customWidth="1"/>
    <col min="18" max="16384" width="9.1328125" style="3"/>
  </cols>
  <sheetData>
    <row r="1" spans="1:17">
      <c r="A1" s="18" t="s">
        <v>21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3" spans="1:17">
      <c r="J3" s="3" t="str">
        <f>IF(OR('Guarantees provided'!H2="E",'Guarantees provided'!H2="x"),"True","False")</f>
        <v>False</v>
      </c>
    </row>
    <row r="4" spans="1:17">
      <c r="D4" s="20" t="s">
        <v>22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7">
      <c r="D5" s="4" t="s">
        <v>23</v>
      </c>
      <c r="E5" s="21" t="s">
        <v>24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3"/>
      <c r="Q5" s="24"/>
    </row>
    <row r="6" spans="1:17" ht="42.75">
      <c r="D6" s="5"/>
      <c r="E6" s="6" t="s">
        <v>25</v>
      </c>
      <c r="F6" s="6" t="s">
        <v>26</v>
      </c>
      <c r="G6" s="6" t="s">
        <v>27</v>
      </c>
      <c r="H6" s="6" t="s">
        <v>28</v>
      </c>
      <c r="I6" s="6" t="s">
        <v>29</v>
      </c>
      <c r="J6" s="6" t="s">
        <v>30</v>
      </c>
      <c r="K6" s="6" t="s">
        <v>31</v>
      </c>
      <c r="L6" s="6" t="s">
        <v>32</v>
      </c>
      <c r="M6" s="6" t="s">
        <v>33</v>
      </c>
      <c r="N6" s="6" t="s">
        <v>34</v>
      </c>
      <c r="O6" s="6" t="s">
        <v>35</v>
      </c>
      <c r="P6" s="6" t="s">
        <v>36</v>
      </c>
      <c r="Q6" s="24"/>
    </row>
    <row r="7" spans="1:17" ht="14.65" thickBot="1">
      <c r="D7" s="7" t="s">
        <v>37</v>
      </c>
      <c r="E7" s="7" t="s">
        <v>38</v>
      </c>
      <c r="F7" s="7" t="s">
        <v>39</v>
      </c>
      <c r="G7" s="7" t="s">
        <v>40</v>
      </c>
      <c r="H7" s="7" t="s">
        <v>41</v>
      </c>
      <c r="I7" s="7" t="s">
        <v>42</v>
      </c>
      <c r="J7" s="7" t="s">
        <v>43</v>
      </c>
      <c r="K7" s="7" t="s">
        <v>44</v>
      </c>
      <c r="L7" s="7" t="s">
        <v>45</v>
      </c>
      <c r="M7" s="7" t="s">
        <v>46</v>
      </c>
      <c r="N7" s="7" t="s">
        <v>47</v>
      </c>
      <c r="O7" s="7" t="s">
        <v>48</v>
      </c>
      <c r="P7" s="7" t="s">
        <v>49</v>
      </c>
    </row>
    <row r="8" spans="1:17" ht="29.25" thickBot="1">
      <c r="A8" s="8" t="s">
        <v>50</v>
      </c>
      <c r="B8" s="9" t="s">
        <v>24</v>
      </c>
      <c r="C8" s="10" t="s">
        <v>51</v>
      </c>
      <c r="D8" s="11">
        <v>1</v>
      </c>
      <c r="E8" s="11" t="s">
        <v>52</v>
      </c>
      <c r="F8" s="11" t="str">
        <f>'Guarantees provided'!G2</f>
        <v>962304820251290</v>
      </c>
      <c r="G8" s="11" t="str">
        <f>'Guarantees provided'!A2</f>
        <v>BANCO SANTANDER S.A.  SUCURSAL FRANKFURT</v>
      </c>
      <c r="H8" s="11" t="str">
        <f>IF('Guarantees provided'!B2="#",'Guarantees provided'!C2,'Guarantees provided'!B2)</f>
        <v>0000046859</v>
      </c>
      <c r="I8" s="11" t="str">
        <f>IF('Guarantees provided'!B2="#","Type of identifier, other than LEI or MFI code","LEI code")</f>
        <v>Type of identifier, other than LEI or MFI code</v>
      </c>
      <c r="J8" s="14" t="str">
        <f>IF(OR('Guarantees provided'!H2="E",'Guarantees provided'!H2="x"),"True","False")</f>
        <v>False</v>
      </c>
      <c r="K8" s="11" t="s">
        <v>53</v>
      </c>
      <c r="L8" s="11" t="s">
        <v>54</v>
      </c>
      <c r="M8" s="11">
        <f>-'Guarantees provided'!D2</f>
        <v>2500000</v>
      </c>
      <c r="N8" s="11" t="s">
        <v>55</v>
      </c>
      <c r="O8" s="11">
        <v>0</v>
      </c>
      <c r="P8" s="12" t="s">
        <v>56</v>
      </c>
      <c r="Q8" s="13"/>
    </row>
    <row r="9" spans="1:17" ht="23.65" thickBot="1">
      <c r="C9" s="10" t="s">
        <v>51</v>
      </c>
      <c r="D9" s="11">
        <v>2</v>
      </c>
      <c r="E9" s="11" t="s">
        <v>52</v>
      </c>
      <c r="F9" s="11" t="str">
        <f>'Guarantees provided'!G3</f>
        <v>962304870355340</v>
      </c>
      <c r="G9" s="11" t="str">
        <f>'Guarantees provided'!A3</f>
        <v>BANCO SANTANDER S.A.  SUCURSAL FRANKFURT</v>
      </c>
      <c r="H9" s="11" t="str">
        <f>IF('Guarantees provided'!B3="#",'Guarantees provided'!C3,'Guarantees provided'!B3)</f>
        <v>0000046859</v>
      </c>
      <c r="I9" s="11" t="str">
        <f>IF('Guarantees provided'!B3="#","Type of identifier, other than LEI or MFI code","LEI code")</f>
        <v>Type of identifier, other than LEI or MFI code</v>
      </c>
      <c r="J9" s="14" t="str">
        <f>IF(OR('Guarantees provided'!H3="E",'Guarantees provided'!H3="x"),"True","False")</f>
        <v>False</v>
      </c>
      <c r="K9" s="11" t="s">
        <v>53</v>
      </c>
      <c r="L9" s="11" t="s">
        <v>54</v>
      </c>
      <c r="M9" s="11">
        <f>-'Guarantees provided'!D3</f>
        <v>78095</v>
      </c>
      <c r="N9" s="11" t="s">
        <v>55</v>
      </c>
      <c r="O9" s="11">
        <v>0</v>
      </c>
      <c r="P9" s="12" t="s">
        <v>56</v>
      </c>
    </row>
    <row r="10" spans="1:17" ht="23.65" thickBot="1">
      <c r="C10" s="10" t="s">
        <v>51</v>
      </c>
      <c r="D10" s="11">
        <v>3</v>
      </c>
      <c r="E10" s="11" t="s">
        <v>52</v>
      </c>
      <c r="F10" s="11" t="str">
        <f>'Guarantees provided'!G4</f>
        <v>162304840046380</v>
      </c>
      <c r="G10" s="11" t="str">
        <f>'Guarantees provided'!A4</f>
        <v>BANCO SANTANDER SA</v>
      </c>
      <c r="H10" s="11" t="str">
        <f>IF('Guarantees provided'!B4="#",'Guarantees provided'!C4,'Guarantees provided'!B4)</f>
        <v>5493006QMFDDMYWIAM13</v>
      </c>
      <c r="I10" s="11" t="str">
        <f>IF('Guarantees provided'!B4="#","Type of identifier, other than LEI or MFI code","LEI code")</f>
        <v>LEI code</v>
      </c>
      <c r="J10" s="14" t="str">
        <f>IF(OR('Guarantees provided'!H4="E",'Guarantees provided'!H4="x"),"True","False")</f>
        <v>False</v>
      </c>
      <c r="K10" s="11" t="s">
        <v>53</v>
      </c>
      <c r="L10" s="11" t="s">
        <v>54</v>
      </c>
      <c r="M10" s="11">
        <f>-'Guarantees provided'!D4</f>
        <v>1458.43</v>
      </c>
      <c r="N10" s="11" t="s">
        <v>55</v>
      </c>
      <c r="O10" s="11">
        <v>0</v>
      </c>
      <c r="P10" s="12" t="s">
        <v>56</v>
      </c>
    </row>
    <row r="11" spans="1:17" ht="23.65" thickBot="1">
      <c r="C11" s="10" t="s">
        <v>51</v>
      </c>
      <c r="D11" s="11">
        <v>4</v>
      </c>
      <c r="E11" s="11" t="s">
        <v>52</v>
      </c>
      <c r="F11" s="11" t="str">
        <f>'Guarantees provided'!G5</f>
        <v>162304840071020</v>
      </c>
      <c r="G11" s="11" t="str">
        <f>'Guarantees provided'!A5</f>
        <v>BANCO SANTANDER SA</v>
      </c>
      <c r="H11" s="11" t="str">
        <f>IF('Guarantees provided'!B5="#",'Guarantees provided'!C5,'Guarantees provided'!B5)</f>
        <v>5493006QMFDDMYWIAM13</v>
      </c>
      <c r="I11" s="11" t="str">
        <f>IF('Guarantees provided'!B5="#","Type of identifier, other than LEI or MFI code","LEI code")</f>
        <v>LEI code</v>
      </c>
      <c r="J11" s="14" t="str">
        <f>IF(OR('Guarantees provided'!H5="E",'Guarantees provided'!H5="x"),"True","False")</f>
        <v>False</v>
      </c>
      <c r="K11" s="11" t="s">
        <v>53</v>
      </c>
      <c r="L11" s="11" t="s">
        <v>54</v>
      </c>
      <c r="M11" s="11">
        <f>-'Guarantees provided'!D5</f>
        <v>24000</v>
      </c>
      <c r="N11" s="11" t="s">
        <v>55</v>
      </c>
      <c r="O11" s="11">
        <v>0</v>
      </c>
      <c r="P11" s="12" t="s">
        <v>56</v>
      </c>
    </row>
    <row r="12" spans="1:17" ht="23.65" thickBot="1">
      <c r="C12" s="10" t="s">
        <v>51</v>
      </c>
      <c r="D12" s="11">
        <v>5</v>
      </c>
      <c r="E12" s="11" t="s">
        <v>52</v>
      </c>
      <c r="F12" s="11" t="str">
        <f>'Guarantees provided'!G6</f>
        <v>162304840738540</v>
      </c>
      <c r="G12" s="11" t="str">
        <f>'Guarantees provided'!A6</f>
        <v>BANCO SANTANDER SA</v>
      </c>
      <c r="H12" s="11" t="str">
        <f>IF('Guarantees provided'!B6="#",'Guarantees provided'!C6,'Guarantees provided'!B6)</f>
        <v>5493006QMFDDMYWIAM13</v>
      </c>
      <c r="I12" s="11" t="str">
        <f>IF('Guarantees provided'!B6="#","Type of identifier, other than LEI or MFI code","LEI code")</f>
        <v>LEI code</v>
      </c>
      <c r="J12" s="14" t="str">
        <f>IF(OR('Guarantees provided'!H6="E",'Guarantees provided'!H6="x"),"True","False")</f>
        <v>False</v>
      </c>
      <c r="K12" s="11" t="s">
        <v>53</v>
      </c>
      <c r="L12" s="11" t="s">
        <v>54</v>
      </c>
      <c r="M12" s="11">
        <f>-'Guarantees provided'!D6</f>
        <v>6500</v>
      </c>
      <c r="N12" s="11" t="s">
        <v>55</v>
      </c>
      <c r="O12" s="11">
        <v>0</v>
      </c>
      <c r="P12" s="12" t="s">
        <v>56</v>
      </c>
    </row>
    <row r="13" spans="1:17" ht="23.65" thickBot="1">
      <c r="C13" s="10" t="s">
        <v>51</v>
      </c>
      <c r="D13" s="11">
        <v>6</v>
      </c>
      <c r="E13" s="11" t="s">
        <v>52</v>
      </c>
      <c r="F13" s="11" t="str">
        <f>'Guarantees provided'!G7</f>
        <v>162304848005620</v>
      </c>
      <c r="G13" s="11" t="str">
        <f>'Guarantees provided'!A7</f>
        <v>BANCO SANTANDER SA</v>
      </c>
      <c r="H13" s="11" t="str">
        <f>IF('Guarantees provided'!B7="#",'Guarantees provided'!C7,'Guarantees provided'!B7)</f>
        <v>5493006QMFDDMYWIAM13</v>
      </c>
      <c r="I13" s="11" t="str">
        <f>IF('Guarantees provided'!B7="#","Type of identifier, other than LEI or MFI code","LEI code")</f>
        <v>LEI code</v>
      </c>
      <c r="J13" s="14" t="str">
        <f>IF(OR('Guarantees provided'!H7="E",'Guarantees provided'!H7="x"),"True","False")</f>
        <v>False</v>
      </c>
      <c r="K13" s="11" t="s">
        <v>53</v>
      </c>
      <c r="L13" s="11" t="s">
        <v>54</v>
      </c>
      <c r="M13" s="11">
        <f>-'Guarantees provided'!D7</f>
        <v>83520.78</v>
      </c>
      <c r="N13" s="11" t="s">
        <v>55</v>
      </c>
      <c r="O13" s="11">
        <v>0</v>
      </c>
      <c r="P13" s="12" t="s">
        <v>56</v>
      </c>
    </row>
    <row r="14" spans="1:17" ht="23.65" thickBot="1">
      <c r="C14" s="10" t="s">
        <v>51</v>
      </c>
      <c r="D14" s="11">
        <v>7</v>
      </c>
      <c r="E14" s="11" t="s">
        <v>52</v>
      </c>
      <c r="F14" s="11" t="str">
        <f>'Guarantees provided'!G8</f>
        <v>262304820019340</v>
      </c>
      <c r="G14" s="11" t="str">
        <f>'Guarantees provided'!A8</f>
        <v>BANCO SANTANDER SA</v>
      </c>
      <c r="H14" s="11" t="str">
        <f>IF('Guarantees provided'!B8="#",'Guarantees provided'!C8,'Guarantees provided'!B8)</f>
        <v>5493006QMFDDMYWIAM13</v>
      </c>
      <c r="I14" s="11" t="str">
        <f>IF('Guarantees provided'!B8="#","Type of identifier, other than LEI or MFI code","LEI code")</f>
        <v>LEI code</v>
      </c>
      <c r="J14" s="14" t="str">
        <f>IF(OR('Guarantees provided'!H8="E",'Guarantees provided'!H8="x"),"True","False")</f>
        <v>False</v>
      </c>
      <c r="K14" s="11" t="s">
        <v>53</v>
      </c>
      <c r="L14" s="11" t="s">
        <v>54</v>
      </c>
      <c r="M14" s="11">
        <f>-'Guarantees provided'!D8</f>
        <v>10000</v>
      </c>
      <c r="N14" s="11" t="s">
        <v>55</v>
      </c>
      <c r="O14" s="11">
        <v>0</v>
      </c>
      <c r="P14" s="12" t="s">
        <v>56</v>
      </c>
    </row>
    <row r="15" spans="1:17" ht="23.65" thickBot="1">
      <c r="C15" s="10" t="s">
        <v>51</v>
      </c>
      <c r="D15" s="11">
        <v>8</v>
      </c>
      <c r="E15" s="11" t="s">
        <v>52</v>
      </c>
      <c r="F15" s="11" t="str">
        <f>'Guarantees provided'!G9</f>
        <v>262304820020190</v>
      </c>
      <c r="G15" s="11" t="str">
        <f>'Guarantees provided'!A9</f>
        <v>BANCO SANTANDER SA</v>
      </c>
      <c r="H15" s="11" t="str">
        <f>IF('Guarantees provided'!B9="#",'Guarantees provided'!C9,'Guarantees provided'!B9)</f>
        <v>5493006QMFDDMYWIAM13</v>
      </c>
      <c r="I15" s="11" t="str">
        <f>IF('Guarantees provided'!B9="#","Type of identifier, other than LEI or MFI code","LEI code")</f>
        <v>LEI code</v>
      </c>
      <c r="J15" s="14" t="str">
        <f>IF(OR('Guarantees provided'!H9="E",'Guarantees provided'!H9="x"),"True","False")</f>
        <v>False</v>
      </c>
      <c r="K15" s="11" t="s">
        <v>53</v>
      </c>
      <c r="L15" s="11" t="s">
        <v>54</v>
      </c>
      <c r="M15" s="11">
        <f>-'Guarantees provided'!D9</f>
        <v>50000</v>
      </c>
      <c r="N15" s="11" t="s">
        <v>55</v>
      </c>
      <c r="O15" s="11">
        <v>0</v>
      </c>
      <c r="P15" s="12" t="s">
        <v>56</v>
      </c>
    </row>
    <row r="16" spans="1:17" ht="23.65" thickBot="1">
      <c r="C16" s="10" t="s">
        <v>51</v>
      </c>
      <c r="D16" s="11">
        <v>9</v>
      </c>
      <c r="E16" s="11" t="s">
        <v>52</v>
      </c>
      <c r="F16" s="11" t="str">
        <f>'Guarantees provided'!G10</f>
        <v>262304820022810</v>
      </c>
      <c r="G16" s="11" t="str">
        <f>'Guarantees provided'!A10</f>
        <v>BANCO SANTANDER SA</v>
      </c>
      <c r="H16" s="11" t="str">
        <f>IF('Guarantees provided'!B10="#",'Guarantees provided'!C10,'Guarantees provided'!B10)</f>
        <v>5493006QMFDDMYWIAM13</v>
      </c>
      <c r="I16" s="11" t="str">
        <f>IF('Guarantees provided'!B10="#","Type of identifier, other than LEI or MFI code","LEI code")</f>
        <v>LEI code</v>
      </c>
      <c r="J16" s="14" t="str">
        <f>IF(OR('Guarantees provided'!H10="E",'Guarantees provided'!H10="x"),"True","False")</f>
        <v>False</v>
      </c>
      <c r="K16" s="11" t="s">
        <v>53</v>
      </c>
      <c r="L16" s="11" t="s">
        <v>54</v>
      </c>
      <c r="M16" s="11">
        <f>-'Guarantees provided'!D10</f>
        <v>831977.2</v>
      </c>
      <c r="N16" s="11" t="s">
        <v>55</v>
      </c>
      <c r="O16" s="11">
        <v>0</v>
      </c>
      <c r="P16" s="12" t="s">
        <v>56</v>
      </c>
    </row>
    <row r="17" spans="3:16" ht="23.65" thickBot="1">
      <c r="C17" s="10" t="s">
        <v>51</v>
      </c>
      <c r="D17" s="11">
        <v>10</v>
      </c>
      <c r="E17" s="11" t="s">
        <v>52</v>
      </c>
      <c r="F17" s="11" t="str">
        <f>'Guarantees provided'!G11</f>
        <v>262304820022820</v>
      </c>
      <c r="G17" s="11" t="str">
        <f>'Guarantees provided'!A11</f>
        <v>BANCO SANTANDER SA</v>
      </c>
      <c r="H17" s="11" t="str">
        <f>IF('Guarantees provided'!B11="#",'Guarantees provided'!C11,'Guarantees provided'!B11)</f>
        <v>5493006QMFDDMYWIAM13</v>
      </c>
      <c r="I17" s="11" t="str">
        <f>IF('Guarantees provided'!B11="#","Type of identifier, other than LEI or MFI code","LEI code")</f>
        <v>LEI code</v>
      </c>
      <c r="J17" s="14" t="str">
        <f>IF(OR('Guarantees provided'!H11="E",'Guarantees provided'!H11="x"),"True","False")</f>
        <v>False</v>
      </c>
      <c r="K17" s="11" t="s">
        <v>53</v>
      </c>
      <c r="L17" s="11" t="s">
        <v>54</v>
      </c>
      <c r="M17" s="11">
        <f>-'Guarantees provided'!D11</f>
        <v>548087.1</v>
      </c>
      <c r="N17" s="11" t="s">
        <v>55</v>
      </c>
      <c r="O17" s="11">
        <v>0</v>
      </c>
      <c r="P17" s="12" t="s">
        <v>56</v>
      </c>
    </row>
    <row r="18" spans="3:16" ht="23.65" thickBot="1">
      <c r="C18" s="10" t="s">
        <v>51</v>
      </c>
      <c r="D18" s="11">
        <v>11</v>
      </c>
      <c r="E18" s="11" t="s">
        <v>52</v>
      </c>
      <c r="F18" s="11" t="str">
        <f>'Guarantees provided'!G12</f>
        <v>262304820022840</v>
      </c>
      <c r="G18" s="11" t="str">
        <f>'Guarantees provided'!A12</f>
        <v>BANCO SANTANDER SA</v>
      </c>
      <c r="H18" s="11" t="str">
        <f>IF('Guarantees provided'!B12="#",'Guarantees provided'!C12,'Guarantees provided'!B12)</f>
        <v>5493006QMFDDMYWIAM13</v>
      </c>
      <c r="I18" s="11" t="str">
        <f>IF('Guarantees provided'!B12="#","Type of identifier, other than LEI or MFI code","LEI code")</f>
        <v>LEI code</v>
      </c>
      <c r="J18" s="14" t="str">
        <f>IF(OR('Guarantees provided'!H12="E",'Guarantees provided'!H12="x"),"True","False")</f>
        <v>False</v>
      </c>
      <c r="K18" s="11" t="s">
        <v>53</v>
      </c>
      <c r="L18" s="11" t="s">
        <v>54</v>
      </c>
      <c r="M18" s="11">
        <f>-'Guarantees provided'!D12</f>
        <v>7774.54</v>
      </c>
      <c r="N18" s="11" t="s">
        <v>55</v>
      </c>
      <c r="O18" s="11">
        <v>0</v>
      </c>
      <c r="P18" s="12" t="s">
        <v>56</v>
      </c>
    </row>
    <row r="19" spans="3:16" ht="23.65" thickBot="1">
      <c r="C19" s="10" t="s">
        <v>51</v>
      </c>
      <c r="D19" s="11">
        <v>12</v>
      </c>
      <c r="E19" s="11" t="s">
        <v>52</v>
      </c>
      <c r="F19" s="11" t="str">
        <f>'Guarantees provided'!G13</f>
        <v>262304820022850</v>
      </c>
      <c r="G19" s="11" t="str">
        <f>'Guarantees provided'!A13</f>
        <v>BANCO SANTANDER SA</v>
      </c>
      <c r="H19" s="11" t="str">
        <f>IF('Guarantees provided'!B13="#",'Guarantees provided'!C13,'Guarantees provided'!B13)</f>
        <v>5493006QMFDDMYWIAM13</v>
      </c>
      <c r="I19" s="11" t="str">
        <f>IF('Guarantees provided'!B13="#","Type of identifier, other than LEI or MFI code","LEI code")</f>
        <v>LEI code</v>
      </c>
      <c r="J19" s="14" t="str">
        <f>IF(OR('Guarantees provided'!H13="E",'Guarantees provided'!H13="x"),"True","False")</f>
        <v>False</v>
      </c>
      <c r="K19" s="11" t="s">
        <v>53</v>
      </c>
      <c r="L19" s="11" t="s">
        <v>54</v>
      </c>
      <c r="M19" s="11">
        <f>-'Guarantees provided'!D13</f>
        <v>2407128.2999999998</v>
      </c>
      <c r="N19" s="11" t="s">
        <v>55</v>
      </c>
      <c r="O19" s="11">
        <v>0</v>
      </c>
      <c r="P19" s="12" t="s">
        <v>56</v>
      </c>
    </row>
    <row r="20" spans="3:16" ht="23.65" thickBot="1">
      <c r="C20" s="10" t="s">
        <v>51</v>
      </c>
      <c r="D20" s="11">
        <v>13</v>
      </c>
      <c r="E20" s="11" t="s">
        <v>52</v>
      </c>
      <c r="F20" s="11" t="str">
        <f>'Guarantees provided'!G14</f>
        <v>262304820022860</v>
      </c>
      <c r="G20" s="11" t="str">
        <f>'Guarantees provided'!A14</f>
        <v>BANCO SANTANDER SA</v>
      </c>
      <c r="H20" s="11" t="str">
        <f>IF('Guarantees provided'!B14="#",'Guarantees provided'!C14,'Guarantees provided'!B14)</f>
        <v>5493006QMFDDMYWIAM13</v>
      </c>
      <c r="I20" s="11" t="str">
        <f>IF('Guarantees provided'!B14="#","Type of identifier, other than LEI or MFI code","LEI code")</f>
        <v>LEI code</v>
      </c>
      <c r="J20" s="14" t="str">
        <f>IF(OR('Guarantees provided'!H14="E",'Guarantees provided'!H14="x"),"True","False")</f>
        <v>False</v>
      </c>
      <c r="K20" s="11" t="s">
        <v>53</v>
      </c>
      <c r="L20" s="11" t="s">
        <v>54</v>
      </c>
      <c r="M20" s="11">
        <f>-'Guarantees provided'!D14</f>
        <v>94010.87</v>
      </c>
      <c r="N20" s="11" t="s">
        <v>55</v>
      </c>
      <c r="O20" s="11">
        <v>0</v>
      </c>
      <c r="P20" s="12" t="s">
        <v>56</v>
      </c>
    </row>
    <row r="21" spans="3:16" ht="23.65" thickBot="1">
      <c r="C21" s="10" t="s">
        <v>51</v>
      </c>
      <c r="D21" s="11">
        <v>14</v>
      </c>
      <c r="E21" s="11" t="s">
        <v>52</v>
      </c>
      <c r="F21" s="11" t="str">
        <f>'Guarantees provided'!G15</f>
        <v>262304820023840</v>
      </c>
      <c r="G21" s="11" t="str">
        <f>'Guarantees provided'!A15</f>
        <v>BANCO SANTANDER SA</v>
      </c>
      <c r="H21" s="11" t="str">
        <f>IF('Guarantees provided'!B15="#",'Guarantees provided'!C15,'Guarantees provided'!B15)</f>
        <v>5493006QMFDDMYWIAM13</v>
      </c>
      <c r="I21" s="11" t="str">
        <f>IF('Guarantees provided'!B15="#","Type of identifier, other than LEI or MFI code","LEI code")</f>
        <v>LEI code</v>
      </c>
      <c r="J21" s="14" t="str">
        <f>IF(OR('Guarantees provided'!H15="E",'Guarantees provided'!H15="x"),"True","False")</f>
        <v>False</v>
      </c>
      <c r="K21" s="11" t="s">
        <v>53</v>
      </c>
      <c r="L21" s="11" t="s">
        <v>54</v>
      </c>
      <c r="M21" s="11">
        <f>-'Guarantees provided'!D15</f>
        <v>403793</v>
      </c>
      <c r="N21" s="11" t="s">
        <v>55</v>
      </c>
      <c r="O21" s="11">
        <v>0</v>
      </c>
      <c r="P21" s="12" t="s">
        <v>56</v>
      </c>
    </row>
    <row r="22" spans="3:16" ht="23.65" thickBot="1">
      <c r="C22" s="10" t="s">
        <v>51</v>
      </c>
      <c r="D22" s="11">
        <v>15</v>
      </c>
      <c r="E22" s="11" t="s">
        <v>52</v>
      </c>
      <c r="F22" s="11" t="str">
        <f>'Guarantees provided'!G16</f>
        <v>262304820025410</v>
      </c>
      <c r="G22" s="11" t="str">
        <f>'Guarantees provided'!A16</f>
        <v>BANCO SANTANDER SA</v>
      </c>
      <c r="H22" s="11" t="str">
        <f>IF('Guarantees provided'!B16="#",'Guarantees provided'!C16,'Guarantees provided'!B16)</f>
        <v>5493006QMFDDMYWIAM13</v>
      </c>
      <c r="I22" s="11" t="str">
        <f>IF('Guarantees provided'!B16="#","Type of identifier, other than LEI or MFI code","LEI code")</f>
        <v>LEI code</v>
      </c>
      <c r="J22" s="14" t="str">
        <f>IF(OR('Guarantees provided'!H16="E",'Guarantees provided'!H16="x"),"True","False")</f>
        <v>False</v>
      </c>
      <c r="K22" s="11" t="s">
        <v>53</v>
      </c>
      <c r="L22" s="11" t="s">
        <v>54</v>
      </c>
      <c r="M22" s="11">
        <f>-'Guarantees provided'!D16</f>
        <v>1750</v>
      </c>
      <c r="N22" s="11" t="s">
        <v>55</v>
      </c>
      <c r="O22" s="11">
        <v>0</v>
      </c>
      <c r="P22" s="12" t="s">
        <v>56</v>
      </c>
    </row>
    <row r="23" spans="3:16" ht="23.65" thickBot="1">
      <c r="C23" s="10" t="s">
        <v>51</v>
      </c>
      <c r="D23" s="11">
        <v>16</v>
      </c>
      <c r="E23" s="11" t="s">
        <v>52</v>
      </c>
      <c r="F23" s="11" t="str">
        <f>'Guarantees provided'!G17</f>
        <v>262304820025720</v>
      </c>
      <c r="G23" s="11" t="str">
        <f>'Guarantees provided'!A17</f>
        <v>BANCO SANTANDER SA</v>
      </c>
      <c r="H23" s="11" t="str">
        <f>IF('Guarantees provided'!B17="#",'Guarantees provided'!C17,'Guarantees provided'!B17)</f>
        <v>5493006QMFDDMYWIAM13</v>
      </c>
      <c r="I23" s="11" t="str">
        <f>IF('Guarantees provided'!B17="#","Type of identifier, other than LEI or MFI code","LEI code")</f>
        <v>LEI code</v>
      </c>
      <c r="J23" s="14" t="str">
        <f>IF(OR('Guarantees provided'!H17="E",'Guarantees provided'!H17="x"),"True","False")</f>
        <v>False</v>
      </c>
      <c r="K23" s="11" t="s">
        <v>53</v>
      </c>
      <c r="L23" s="11" t="s">
        <v>54</v>
      </c>
      <c r="M23" s="11">
        <f>-'Guarantees provided'!D17</f>
        <v>21935.66</v>
      </c>
      <c r="N23" s="11" t="s">
        <v>55</v>
      </c>
      <c r="O23" s="11">
        <v>0</v>
      </c>
      <c r="P23" s="12" t="s">
        <v>56</v>
      </c>
    </row>
    <row r="24" spans="3:16" ht="23.65" thickBot="1">
      <c r="C24" s="10" t="s">
        <v>51</v>
      </c>
      <c r="D24" s="11">
        <v>17</v>
      </c>
      <c r="E24" s="11" t="s">
        <v>52</v>
      </c>
      <c r="F24" s="11" t="str">
        <f>'Guarantees provided'!G18</f>
        <v>262304820026620</v>
      </c>
      <c r="G24" s="11" t="str">
        <f>'Guarantees provided'!A18</f>
        <v>BANCO SANTANDER SA</v>
      </c>
      <c r="H24" s="11" t="str">
        <f>IF('Guarantees provided'!B18="#",'Guarantees provided'!C18,'Guarantees provided'!B18)</f>
        <v>5493006QMFDDMYWIAM13</v>
      </c>
      <c r="I24" s="11" t="str">
        <f>IF('Guarantees provided'!B18="#","Type of identifier, other than LEI or MFI code","LEI code")</f>
        <v>LEI code</v>
      </c>
      <c r="J24" s="14" t="str">
        <f>IF(OR('Guarantees provided'!H18="E",'Guarantees provided'!H18="x"),"True","False")</f>
        <v>False</v>
      </c>
      <c r="K24" s="11" t="s">
        <v>53</v>
      </c>
      <c r="L24" s="11" t="s">
        <v>54</v>
      </c>
      <c r="M24" s="11">
        <f>-'Guarantees provided'!D18</f>
        <v>131735.04000000001</v>
      </c>
      <c r="N24" s="11" t="s">
        <v>55</v>
      </c>
      <c r="O24" s="11">
        <v>0</v>
      </c>
      <c r="P24" s="12" t="s">
        <v>56</v>
      </c>
    </row>
    <row r="25" spans="3:16" ht="23.65" thickBot="1">
      <c r="C25" s="10" t="s">
        <v>51</v>
      </c>
      <c r="D25" s="11">
        <v>18</v>
      </c>
      <c r="E25" s="11" t="s">
        <v>52</v>
      </c>
      <c r="F25" s="11" t="str">
        <f>'Guarantees provided'!G19</f>
        <v>262304820026870</v>
      </c>
      <c r="G25" s="11" t="str">
        <f>'Guarantees provided'!A19</f>
        <v>BANCO SANTANDER SA</v>
      </c>
      <c r="H25" s="11" t="str">
        <f>IF('Guarantees provided'!B19="#",'Guarantees provided'!C19,'Guarantees provided'!B19)</f>
        <v>5493006QMFDDMYWIAM13</v>
      </c>
      <c r="I25" s="11" t="str">
        <f>IF('Guarantees provided'!B19="#","Type of identifier, other than LEI or MFI code","LEI code")</f>
        <v>LEI code</v>
      </c>
      <c r="J25" s="14" t="str">
        <f>IF(OR('Guarantees provided'!H19="E",'Guarantees provided'!H19="x"),"True","False")</f>
        <v>False</v>
      </c>
      <c r="K25" s="11" t="s">
        <v>53</v>
      </c>
      <c r="L25" s="11" t="s">
        <v>54</v>
      </c>
      <c r="M25" s="11">
        <f>-'Guarantees provided'!D19</f>
        <v>51065.91</v>
      </c>
      <c r="N25" s="11" t="s">
        <v>55</v>
      </c>
      <c r="O25" s="11">
        <v>0</v>
      </c>
      <c r="P25" s="12" t="s">
        <v>56</v>
      </c>
    </row>
    <row r="26" spans="3:16" ht="23.65" thickBot="1">
      <c r="C26" s="10" t="s">
        <v>51</v>
      </c>
      <c r="D26" s="11">
        <v>19</v>
      </c>
      <c r="E26" s="11" t="s">
        <v>52</v>
      </c>
      <c r="F26" s="11" t="str">
        <f>'Guarantees provided'!G20</f>
        <v>362304820864440</v>
      </c>
      <c r="G26" s="11" t="str">
        <f>'Guarantees provided'!A20</f>
        <v>BANCO SANTANDER SA</v>
      </c>
      <c r="H26" s="11" t="str">
        <f>IF('Guarantees provided'!B20="#",'Guarantees provided'!C20,'Guarantees provided'!B20)</f>
        <v>5493006QMFDDMYWIAM13</v>
      </c>
      <c r="I26" s="11" t="str">
        <f>IF('Guarantees provided'!B20="#","Type of identifier, other than LEI or MFI code","LEI code")</f>
        <v>LEI code</v>
      </c>
      <c r="J26" s="14" t="str">
        <f>IF(OR('Guarantees provided'!H20="E",'Guarantees provided'!H20="x"),"True","False")</f>
        <v>False</v>
      </c>
      <c r="K26" s="11" t="s">
        <v>53</v>
      </c>
      <c r="L26" s="11" t="s">
        <v>54</v>
      </c>
      <c r="M26" s="11">
        <f>-'Guarantees provided'!D20</f>
        <v>19686</v>
      </c>
      <c r="N26" s="11" t="s">
        <v>55</v>
      </c>
      <c r="O26" s="11">
        <v>0</v>
      </c>
      <c r="P26" s="12" t="s">
        <v>56</v>
      </c>
    </row>
    <row r="27" spans="3:16" ht="23.65" thickBot="1">
      <c r="C27" s="10" t="s">
        <v>51</v>
      </c>
      <c r="D27" s="11">
        <v>20</v>
      </c>
      <c r="E27" s="11" t="s">
        <v>52</v>
      </c>
      <c r="F27" s="11" t="str">
        <f>'Guarantees provided'!G21</f>
        <v>962304820028010</v>
      </c>
      <c r="G27" s="11" t="str">
        <f>'Guarantees provided'!A21</f>
        <v>BANCO SANTANDER SA</v>
      </c>
      <c r="H27" s="11" t="str">
        <f>IF('Guarantees provided'!B21="#",'Guarantees provided'!C21,'Guarantees provided'!B21)</f>
        <v>5493006QMFDDMYWIAM13</v>
      </c>
      <c r="I27" s="11" t="str">
        <f>IF('Guarantees provided'!B21="#","Type of identifier, other than LEI or MFI code","LEI code")</f>
        <v>LEI code</v>
      </c>
      <c r="J27" s="14" t="str">
        <f>IF(OR('Guarantees provided'!H21="E",'Guarantees provided'!H21="x"),"True","False")</f>
        <v>False</v>
      </c>
      <c r="K27" s="11" t="s">
        <v>53</v>
      </c>
      <c r="L27" s="11" t="s">
        <v>54</v>
      </c>
      <c r="M27" s="11">
        <f>-'Guarantees provided'!D21</f>
        <v>30000</v>
      </c>
      <c r="N27" s="11" t="s">
        <v>55</v>
      </c>
      <c r="O27" s="11">
        <v>0</v>
      </c>
      <c r="P27" s="12" t="s">
        <v>56</v>
      </c>
    </row>
    <row r="28" spans="3:16" ht="23.65" thickBot="1">
      <c r="C28" s="10" t="s">
        <v>51</v>
      </c>
      <c r="D28" s="11">
        <v>21</v>
      </c>
      <c r="E28" s="11" t="s">
        <v>52</v>
      </c>
      <c r="F28" s="11" t="str">
        <f>'Guarantees provided'!G22</f>
        <v>962304820037810</v>
      </c>
      <c r="G28" s="11" t="str">
        <f>'Guarantees provided'!A22</f>
        <v>BANCO SANTANDER SA</v>
      </c>
      <c r="H28" s="11" t="str">
        <f>IF('Guarantees provided'!B22="#",'Guarantees provided'!C22,'Guarantees provided'!B22)</f>
        <v>5493006QMFDDMYWIAM13</v>
      </c>
      <c r="I28" s="11" t="str">
        <f>IF('Guarantees provided'!B22="#","Type of identifier, other than LEI or MFI code","LEI code")</f>
        <v>LEI code</v>
      </c>
      <c r="J28" s="14" t="str">
        <f>IF(OR('Guarantees provided'!H22="E",'Guarantees provided'!H22="x"),"True","False")</f>
        <v>False</v>
      </c>
      <c r="K28" s="11" t="s">
        <v>53</v>
      </c>
      <c r="L28" s="11" t="s">
        <v>54</v>
      </c>
      <c r="M28" s="11">
        <f>-'Guarantees provided'!D22</f>
        <v>35836.379999999997</v>
      </c>
      <c r="N28" s="11" t="s">
        <v>55</v>
      </c>
      <c r="O28" s="11">
        <v>0</v>
      </c>
      <c r="P28" s="12" t="s">
        <v>56</v>
      </c>
    </row>
    <row r="29" spans="3:16" ht="23.65" thickBot="1">
      <c r="C29" s="10" t="s">
        <v>51</v>
      </c>
      <c r="D29" s="11">
        <v>22</v>
      </c>
      <c r="E29" s="11" t="s">
        <v>52</v>
      </c>
      <c r="F29" s="11" t="str">
        <f>'Guarantees provided'!G23</f>
        <v>962304820072940</v>
      </c>
      <c r="G29" s="11" t="str">
        <f>'Guarantees provided'!A23</f>
        <v>BANCO SANTANDER SA</v>
      </c>
      <c r="H29" s="11" t="str">
        <f>IF('Guarantees provided'!B23="#",'Guarantees provided'!C23,'Guarantees provided'!B23)</f>
        <v>5493006QMFDDMYWIAM13</v>
      </c>
      <c r="I29" s="11" t="str">
        <f>IF('Guarantees provided'!B23="#","Type of identifier, other than LEI or MFI code","LEI code")</f>
        <v>LEI code</v>
      </c>
      <c r="J29" s="14" t="str">
        <f>IF(OR('Guarantees provided'!H23="E",'Guarantees provided'!H23="x"),"True","False")</f>
        <v>False</v>
      </c>
      <c r="K29" s="11" t="s">
        <v>53</v>
      </c>
      <c r="L29" s="11" t="s">
        <v>54</v>
      </c>
      <c r="M29" s="11">
        <f>-'Guarantees provided'!D23</f>
        <v>120000</v>
      </c>
      <c r="N29" s="11" t="s">
        <v>55</v>
      </c>
      <c r="O29" s="11">
        <v>0</v>
      </c>
      <c r="P29" s="12" t="s">
        <v>56</v>
      </c>
    </row>
    <row r="30" spans="3:16" ht="23.65" thickBot="1">
      <c r="C30" s="10" t="s">
        <v>51</v>
      </c>
      <c r="D30" s="11">
        <v>23</v>
      </c>
      <c r="E30" s="11" t="s">
        <v>52</v>
      </c>
      <c r="F30" s="11" t="str">
        <f>'Guarantees provided'!G24</f>
        <v>962304820111240</v>
      </c>
      <c r="G30" s="11" t="str">
        <f>'Guarantees provided'!A24</f>
        <v>BANCO SANTANDER SA</v>
      </c>
      <c r="H30" s="11" t="str">
        <f>IF('Guarantees provided'!B24="#",'Guarantees provided'!C24,'Guarantees provided'!B24)</f>
        <v>5493006QMFDDMYWIAM13</v>
      </c>
      <c r="I30" s="11" t="str">
        <f>IF('Guarantees provided'!B24="#","Type of identifier, other than LEI or MFI code","LEI code")</f>
        <v>LEI code</v>
      </c>
      <c r="J30" s="14" t="str">
        <f>IF(OR('Guarantees provided'!H24="E",'Guarantees provided'!H24="x"),"True","False")</f>
        <v>False</v>
      </c>
      <c r="K30" s="11" t="s">
        <v>53</v>
      </c>
      <c r="L30" s="11" t="s">
        <v>54</v>
      </c>
      <c r="M30" s="11">
        <f>-'Guarantees provided'!D24</f>
        <v>10000</v>
      </c>
      <c r="N30" s="11" t="s">
        <v>55</v>
      </c>
      <c r="O30" s="11">
        <v>0</v>
      </c>
      <c r="P30" s="12" t="s">
        <v>56</v>
      </c>
    </row>
    <row r="31" spans="3:16" ht="23.65" thickBot="1">
      <c r="C31" s="10" t="s">
        <v>51</v>
      </c>
      <c r="D31" s="11">
        <v>24</v>
      </c>
      <c r="E31" s="11" t="s">
        <v>52</v>
      </c>
      <c r="F31" s="11" t="str">
        <f>'Guarantees provided'!G25</f>
        <v>962304820131600</v>
      </c>
      <c r="G31" s="11" t="str">
        <f>'Guarantees provided'!A25</f>
        <v>BANCO SANTANDER SA</v>
      </c>
      <c r="H31" s="11" t="str">
        <f>IF('Guarantees provided'!B25="#",'Guarantees provided'!C25,'Guarantees provided'!B25)</f>
        <v>5493006QMFDDMYWIAM13</v>
      </c>
      <c r="I31" s="11" t="str">
        <f>IF('Guarantees provided'!B25="#","Type of identifier, other than LEI or MFI code","LEI code")</f>
        <v>LEI code</v>
      </c>
      <c r="J31" s="14" t="str">
        <f>IF(OR('Guarantees provided'!H25="E",'Guarantees provided'!H25="x"),"True","False")</f>
        <v>False</v>
      </c>
      <c r="K31" s="11" t="s">
        <v>53</v>
      </c>
      <c r="L31" s="11" t="s">
        <v>54</v>
      </c>
      <c r="M31" s="11">
        <f>-'Guarantees provided'!D25</f>
        <v>3000</v>
      </c>
      <c r="N31" s="11" t="s">
        <v>55</v>
      </c>
      <c r="O31" s="11">
        <v>0</v>
      </c>
      <c r="P31" s="12" t="s">
        <v>56</v>
      </c>
    </row>
    <row r="32" spans="3:16" ht="23.65" thickBot="1">
      <c r="C32" s="10" t="s">
        <v>51</v>
      </c>
      <c r="D32" s="11">
        <v>25</v>
      </c>
      <c r="E32" s="11" t="s">
        <v>52</v>
      </c>
      <c r="F32" s="11" t="str">
        <f>'Guarantees provided'!G26</f>
        <v>962304820132350</v>
      </c>
      <c r="G32" s="11" t="str">
        <f>'Guarantees provided'!A26</f>
        <v>BANCO SANTANDER SA</v>
      </c>
      <c r="H32" s="11" t="str">
        <f>IF('Guarantees provided'!B26="#",'Guarantees provided'!C26,'Guarantees provided'!B26)</f>
        <v>5493006QMFDDMYWIAM13</v>
      </c>
      <c r="I32" s="11" t="str">
        <f>IF('Guarantees provided'!B26="#","Type of identifier, other than LEI or MFI code","LEI code")</f>
        <v>LEI code</v>
      </c>
      <c r="J32" s="14" t="str">
        <f>IF(OR('Guarantees provided'!H26="E",'Guarantees provided'!H26="x"),"True","False")</f>
        <v>False</v>
      </c>
      <c r="K32" s="11" t="s">
        <v>53</v>
      </c>
      <c r="L32" s="11" t="s">
        <v>54</v>
      </c>
      <c r="M32" s="11">
        <f>-'Guarantees provided'!D26</f>
        <v>15000</v>
      </c>
      <c r="N32" s="11" t="s">
        <v>55</v>
      </c>
      <c r="O32" s="11">
        <v>0</v>
      </c>
      <c r="P32" s="12" t="s">
        <v>56</v>
      </c>
    </row>
    <row r="33" spans="3:16" ht="23.65" thickBot="1">
      <c r="C33" s="10" t="s">
        <v>51</v>
      </c>
      <c r="D33" s="11">
        <v>26</v>
      </c>
      <c r="E33" s="11" t="s">
        <v>52</v>
      </c>
      <c r="F33" s="11" t="str">
        <f>'Guarantees provided'!G27</f>
        <v>962304820139030</v>
      </c>
      <c r="G33" s="11" t="str">
        <f>'Guarantees provided'!A27</f>
        <v>BANCO SANTANDER SA</v>
      </c>
      <c r="H33" s="11" t="str">
        <f>IF('Guarantees provided'!B27="#",'Guarantees provided'!C27,'Guarantees provided'!B27)</f>
        <v>5493006QMFDDMYWIAM13</v>
      </c>
      <c r="I33" s="11" t="str">
        <f>IF('Guarantees provided'!B27="#","Type of identifier, other than LEI or MFI code","LEI code")</f>
        <v>LEI code</v>
      </c>
      <c r="J33" s="14" t="str">
        <f>IF(OR('Guarantees provided'!H27="E",'Guarantees provided'!H27="x"),"True","False")</f>
        <v>False</v>
      </c>
      <c r="K33" s="11" t="s">
        <v>53</v>
      </c>
      <c r="L33" s="11" t="s">
        <v>54</v>
      </c>
      <c r="M33" s="11">
        <f>-'Guarantees provided'!D27</f>
        <v>36226.58</v>
      </c>
      <c r="N33" s="11" t="s">
        <v>55</v>
      </c>
      <c r="O33" s="11">
        <v>0</v>
      </c>
      <c r="P33" s="12" t="s">
        <v>56</v>
      </c>
    </row>
    <row r="34" spans="3:16" ht="23.65" thickBot="1">
      <c r="C34" s="10" t="s">
        <v>51</v>
      </c>
      <c r="D34" s="11">
        <v>27</v>
      </c>
      <c r="E34" s="11" t="s">
        <v>52</v>
      </c>
      <c r="F34" s="11" t="str">
        <f>'Guarantees provided'!G28</f>
        <v>962304820150010</v>
      </c>
      <c r="G34" s="11" t="str">
        <f>'Guarantees provided'!A28</f>
        <v>BANCO SANTANDER SA</v>
      </c>
      <c r="H34" s="11" t="str">
        <f>IF('Guarantees provided'!B28="#",'Guarantees provided'!C28,'Guarantees provided'!B28)</f>
        <v>5493006QMFDDMYWIAM13</v>
      </c>
      <c r="I34" s="11" t="str">
        <f>IF('Guarantees provided'!B28="#","Type of identifier, other than LEI or MFI code","LEI code")</f>
        <v>LEI code</v>
      </c>
      <c r="J34" s="14" t="str">
        <f>IF(OR('Guarantees provided'!H28="E",'Guarantees provided'!H28="x"),"True","False")</f>
        <v>False</v>
      </c>
      <c r="K34" s="11" t="s">
        <v>53</v>
      </c>
      <c r="L34" s="11" t="s">
        <v>54</v>
      </c>
      <c r="M34" s="11">
        <f>-'Guarantees provided'!D28</f>
        <v>9000</v>
      </c>
      <c r="N34" s="11" t="s">
        <v>55</v>
      </c>
      <c r="O34" s="11">
        <v>0</v>
      </c>
      <c r="P34" s="12" t="s">
        <v>56</v>
      </c>
    </row>
    <row r="35" spans="3:16" ht="23.65" thickBot="1">
      <c r="C35" s="10" t="s">
        <v>51</v>
      </c>
      <c r="D35" s="11">
        <v>28</v>
      </c>
      <c r="E35" s="11" t="s">
        <v>52</v>
      </c>
      <c r="F35" s="11" t="str">
        <f>'Guarantees provided'!G29</f>
        <v>962304820150970</v>
      </c>
      <c r="G35" s="11" t="str">
        <f>'Guarantees provided'!A29</f>
        <v>BANCO SANTANDER SA</v>
      </c>
      <c r="H35" s="11" t="str">
        <f>IF('Guarantees provided'!B29="#",'Guarantees provided'!C29,'Guarantees provided'!B29)</f>
        <v>5493006QMFDDMYWIAM13</v>
      </c>
      <c r="I35" s="11" t="str">
        <f>IF('Guarantees provided'!B29="#","Type of identifier, other than LEI or MFI code","LEI code")</f>
        <v>LEI code</v>
      </c>
      <c r="J35" s="14" t="str">
        <f>IF(OR('Guarantees provided'!H29="E",'Guarantees provided'!H29="x"),"True","False")</f>
        <v>False</v>
      </c>
      <c r="K35" s="11" t="s">
        <v>53</v>
      </c>
      <c r="L35" s="11" t="s">
        <v>54</v>
      </c>
      <c r="M35" s="11">
        <f>-'Guarantees provided'!D29</f>
        <v>18260.41</v>
      </c>
      <c r="N35" s="11" t="s">
        <v>55</v>
      </c>
      <c r="O35" s="11">
        <v>0</v>
      </c>
      <c r="P35" s="12" t="s">
        <v>56</v>
      </c>
    </row>
    <row r="36" spans="3:16" ht="23.65" thickBot="1">
      <c r="C36" s="10" t="s">
        <v>51</v>
      </c>
      <c r="D36" s="11">
        <v>29</v>
      </c>
      <c r="E36" s="11" t="s">
        <v>52</v>
      </c>
      <c r="F36" s="11" t="str">
        <f>'Guarantees provided'!G30</f>
        <v>962304820153890</v>
      </c>
      <c r="G36" s="11" t="str">
        <f>'Guarantees provided'!A30</f>
        <v>BANCO SANTANDER SA</v>
      </c>
      <c r="H36" s="11" t="str">
        <f>IF('Guarantees provided'!B30="#",'Guarantees provided'!C30,'Guarantees provided'!B30)</f>
        <v>5493006QMFDDMYWIAM13</v>
      </c>
      <c r="I36" s="11" t="str">
        <f>IF('Guarantees provided'!B30="#","Type of identifier, other than LEI or MFI code","LEI code")</f>
        <v>LEI code</v>
      </c>
      <c r="J36" s="14" t="str">
        <f>IF(OR('Guarantees provided'!H30="E",'Guarantees provided'!H30="x"),"True","False")</f>
        <v>False</v>
      </c>
      <c r="K36" s="11" t="s">
        <v>53</v>
      </c>
      <c r="L36" s="11" t="s">
        <v>54</v>
      </c>
      <c r="M36" s="11">
        <f>-'Guarantees provided'!D30</f>
        <v>15000</v>
      </c>
      <c r="N36" s="11" t="s">
        <v>55</v>
      </c>
      <c r="O36" s="11">
        <v>0</v>
      </c>
      <c r="P36" s="12" t="s">
        <v>56</v>
      </c>
    </row>
    <row r="37" spans="3:16" ht="23.65" thickBot="1">
      <c r="C37" s="10" t="s">
        <v>51</v>
      </c>
      <c r="D37" s="11">
        <v>30</v>
      </c>
      <c r="E37" s="11" t="s">
        <v>52</v>
      </c>
      <c r="F37" s="11" t="str">
        <f>'Guarantees provided'!G31</f>
        <v>962304820163410</v>
      </c>
      <c r="G37" s="11" t="str">
        <f>'Guarantees provided'!A31</f>
        <v>BANCO SANTANDER SA</v>
      </c>
      <c r="H37" s="11" t="str">
        <f>IF('Guarantees provided'!B31="#",'Guarantees provided'!C31,'Guarantees provided'!B31)</f>
        <v>5493006QMFDDMYWIAM13</v>
      </c>
      <c r="I37" s="11" t="str">
        <f>IF('Guarantees provided'!B31="#","Type of identifier, other than LEI or MFI code","LEI code")</f>
        <v>LEI code</v>
      </c>
      <c r="J37" s="14" t="str">
        <f>IF(OR('Guarantees provided'!H31="E",'Guarantees provided'!H31="x"),"True","False")</f>
        <v>False</v>
      </c>
      <c r="K37" s="11" t="s">
        <v>53</v>
      </c>
      <c r="L37" s="11" t="s">
        <v>54</v>
      </c>
      <c r="M37" s="11">
        <f>-'Guarantees provided'!D31</f>
        <v>1722035</v>
      </c>
      <c r="N37" s="11" t="s">
        <v>55</v>
      </c>
      <c r="O37" s="11">
        <v>0</v>
      </c>
      <c r="P37" s="12" t="s">
        <v>56</v>
      </c>
    </row>
    <row r="38" spans="3:16" ht="23.65" thickBot="1">
      <c r="C38" s="10" t="s">
        <v>51</v>
      </c>
      <c r="D38" s="11">
        <v>31</v>
      </c>
      <c r="E38" s="11" t="s">
        <v>52</v>
      </c>
      <c r="F38" s="11" t="str">
        <f>'Guarantees provided'!G32</f>
        <v>962304820167570</v>
      </c>
      <c r="G38" s="11" t="str">
        <f>'Guarantees provided'!A32</f>
        <v>BANCO SANTANDER SA</v>
      </c>
      <c r="H38" s="11" t="str">
        <f>IF('Guarantees provided'!B32="#",'Guarantees provided'!C32,'Guarantees provided'!B32)</f>
        <v>5493006QMFDDMYWIAM13</v>
      </c>
      <c r="I38" s="11" t="str">
        <f>IF('Guarantees provided'!B32="#","Type of identifier, other than LEI or MFI code","LEI code")</f>
        <v>LEI code</v>
      </c>
      <c r="J38" s="14" t="str">
        <f>IF(OR('Guarantees provided'!H32="E",'Guarantees provided'!H32="x"),"True","False")</f>
        <v>False</v>
      </c>
      <c r="K38" s="11" t="s">
        <v>53</v>
      </c>
      <c r="L38" s="11" t="s">
        <v>54</v>
      </c>
      <c r="M38" s="11">
        <f>-'Guarantees provided'!D32</f>
        <v>24294.36</v>
      </c>
      <c r="N38" s="11" t="s">
        <v>55</v>
      </c>
      <c r="O38" s="11">
        <v>0</v>
      </c>
      <c r="P38" s="12" t="s">
        <v>56</v>
      </c>
    </row>
    <row r="39" spans="3:16" ht="23.65" thickBot="1">
      <c r="C39" s="10" t="s">
        <v>51</v>
      </c>
      <c r="D39" s="11">
        <v>32</v>
      </c>
      <c r="E39" s="11" t="s">
        <v>52</v>
      </c>
      <c r="F39" s="11" t="str">
        <f>'Guarantees provided'!G33</f>
        <v>962304820177650</v>
      </c>
      <c r="G39" s="11" t="str">
        <f>'Guarantees provided'!A33</f>
        <v>BANCO SANTANDER SA</v>
      </c>
      <c r="H39" s="11" t="str">
        <f>IF('Guarantees provided'!B33="#",'Guarantees provided'!C33,'Guarantees provided'!B33)</f>
        <v>5493006QMFDDMYWIAM13</v>
      </c>
      <c r="I39" s="11" t="str">
        <f>IF('Guarantees provided'!B33="#","Type of identifier, other than LEI or MFI code","LEI code")</f>
        <v>LEI code</v>
      </c>
      <c r="J39" s="14" t="str">
        <f>IF(OR('Guarantees provided'!H33="E",'Guarantees provided'!H33="x"),"True","False")</f>
        <v>False</v>
      </c>
      <c r="K39" s="11" t="s">
        <v>53</v>
      </c>
      <c r="L39" s="11" t="s">
        <v>54</v>
      </c>
      <c r="M39" s="11">
        <f>-'Guarantees provided'!D33</f>
        <v>71930.92</v>
      </c>
      <c r="N39" s="11" t="s">
        <v>55</v>
      </c>
      <c r="O39" s="11">
        <v>0</v>
      </c>
      <c r="P39" s="12" t="s">
        <v>56</v>
      </c>
    </row>
    <row r="40" spans="3:16" ht="23.65" thickBot="1">
      <c r="C40" s="10" t="s">
        <v>51</v>
      </c>
      <c r="D40" s="11">
        <v>33</v>
      </c>
      <c r="E40" s="11" t="s">
        <v>52</v>
      </c>
      <c r="F40" s="11" t="str">
        <f>'Guarantees provided'!G34</f>
        <v>962304820179130</v>
      </c>
      <c r="G40" s="11" t="str">
        <f>'Guarantees provided'!A34</f>
        <v>BANCO SANTANDER SA</v>
      </c>
      <c r="H40" s="11" t="str">
        <f>IF('Guarantees provided'!B34="#",'Guarantees provided'!C34,'Guarantees provided'!B34)</f>
        <v>5493006QMFDDMYWIAM13</v>
      </c>
      <c r="I40" s="11" t="str">
        <f>IF('Guarantees provided'!B34="#","Type of identifier, other than LEI or MFI code","LEI code")</f>
        <v>LEI code</v>
      </c>
      <c r="J40" s="14" t="str">
        <f>IF(OR('Guarantees provided'!H34="E",'Guarantees provided'!H34="x"),"True","False")</f>
        <v>False</v>
      </c>
      <c r="K40" s="11" t="s">
        <v>53</v>
      </c>
      <c r="L40" s="11" t="s">
        <v>54</v>
      </c>
      <c r="M40" s="11">
        <f>-'Guarantees provided'!D34</f>
        <v>13063.49</v>
      </c>
      <c r="N40" s="11" t="s">
        <v>55</v>
      </c>
      <c r="O40" s="11">
        <v>0</v>
      </c>
      <c r="P40" s="12" t="s">
        <v>56</v>
      </c>
    </row>
    <row r="41" spans="3:16" ht="23.65" thickBot="1">
      <c r="C41" s="10" t="s">
        <v>51</v>
      </c>
      <c r="D41" s="11">
        <v>34</v>
      </c>
      <c r="E41" s="11" t="s">
        <v>52</v>
      </c>
      <c r="F41" s="11" t="str">
        <f>'Guarantees provided'!G35</f>
        <v>962304820200900</v>
      </c>
      <c r="G41" s="11" t="str">
        <f>'Guarantees provided'!A35</f>
        <v>BANCO SANTANDER SA</v>
      </c>
      <c r="H41" s="11" t="str">
        <f>IF('Guarantees provided'!B35="#",'Guarantees provided'!C35,'Guarantees provided'!B35)</f>
        <v>5493006QMFDDMYWIAM13</v>
      </c>
      <c r="I41" s="11" t="str">
        <f>IF('Guarantees provided'!B35="#","Type of identifier, other than LEI or MFI code","LEI code")</f>
        <v>LEI code</v>
      </c>
      <c r="J41" s="14" t="str">
        <f>IF(OR('Guarantees provided'!H35="E",'Guarantees provided'!H35="x"),"True","False")</f>
        <v>False</v>
      </c>
      <c r="K41" s="11" t="s">
        <v>53</v>
      </c>
      <c r="L41" s="11" t="s">
        <v>54</v>
      </c>
      <c r="M41" s="11">
        <f>-'Guarantees provided'!D35</f>
        <v>20000</v>
      </c>
      <c r="N41" s="11" t="s">
        <v>55</v>
      </c>
      <c r="O41" s="11">
        <v>0</v>
      </c>
      <c r="P41" s="12" t="s">
        <v>56</v>
      </c>
    </row>
    <row r="42" spans="3:16" ht="23.65" thickBot="1">
      <c r="C42" s="10" t="s">
        <v>51</v>
      </c>
      <c r="D42" s="11">
        <v>35</v>
      </c>
      <c r="E42" s="11" t="s">
        <v>52</v>
      </c>
      <c r="F42" s="11" t="str">
        <f>'Guarantees provided'!G36</f>
        <v>962304820201320</v>
      </c>
      <c r="G42" s="11" t="str">
        <f>'Guarantees provided'!A36</f>
        <v>BANCO SANTANDER SA</v>
      </c>
      <c r="H42" s="11" t="str">
        <f>IF('Guarantees provided'!B36="#",'Guarantees provided'!C36,'Guarantees provided'!B36)</f>
        <v>5493006QMFDDMYWIAM13</v>
      </c>
      <c r="I42" s="11" t="str">
        <f>IF('Guarantees provided'!B36="#","Type of identifier, other than LEI or MFI code","LEI code")</f>
        <v>LEI code</v>
      </c>
      <c r="J42" s="14" t="str">
        <f>IF(OR('Guarantees provided'!H36="E",'Guarantees provided'!H36="x"),"True","False")</f>
        <v>False</v>
      </c>
      <c r="K42" s="11" t="s">
        <v>53</v>
      </c>
      <c r="L42" s="11" t="s">
        <v>54</v>
      </c>
      <c r="M42" s="11">
        <f>-'Guarantees provided'!D36</f>
        <v>40690.44</v>
      </c>
      <c r="N42" s="11" t="s">
        <v>55</v>
      </c>
      <c r="O42" s="11">
        <v>0</v>
      </c>
      <c r="P42" s="12" t="s">
        <v>56</v>
      </c>
    </row>
    <row r="43" spans="3:16" ht="23.65" thickBot="1">
      <c r="C43" s="10" t="s">
        <v>51</v>
      </c>
      <c r="D43" s="11">
        <v>36</v>
      </c>
      <c r="E43" s="11" t="s">
        <v>52</v>
      </c>
      <c r="F43" s="11" t="str">
        <f>'Guarantees provided'!G37</f>
        <v>962304820205570</v>
      </c>
      <c r="G43" s="11" t="str">
        <f>'Guarantees provided'!A37</f>
        <v>BANCO SANTANDER SA</v>
      </c>
      <c r="H43" s="11" t="str">
        <f>IF('Guarantees provided'!B37="#",'Guarantees provided'!C37,'Guarantees provided'!B37)</f>
        <v>5493006QMFDDMYWIAM13</v>
      </c>
      <c r="I43" s="11" t="str">
        <f>IF('Guarantees provided'!B37="#","Type of identifier, other than LEI or MFI code","LEI code")</f>
        <v>LEI code</v>
      </c>
      <c r="J43" s="14" t="str">
        <f>IF(OR('Guarantees provided'!H37="E",'Guarantees provided'!H37="x"),"True","False")</f>
        <v>False</v>
      </c>
      <c r="K43" s="11" t="s">
        <v>53</v>
      </c>
      <c r="L43" s="11" t="s">
        <v>54</v>
      </c>
      <c r="M43" s="11">
        <f>-'Guarantees provided'!D37</f>
        <v>120175.08</v>
      </c>
      <c r="N43" s="11" t="s">
        <v>55</v>
      </c>
      <c r="O43" s="11">
        <v>0</v>
      </c>
      <c r="P43" s="12" t="s">
        <v>56</v>
      </c>
    </row>
    <row r="44" spans="3:16" ht="23.65" thickBot="1">
      <c r="C44" s="10" t="s">
        <v>51</v>
      </c>
      <c r="D44" s="11">
        <v>37</v>
      </c>
      <c r="E44" s="11" t="s">
        <v>52</v>
      </c>
      <c r="F44" s="11" t="str">
        <f>'Guarantees provided'!G38</f>
        <v>962304820211210</v>
      </c>
      <c r="G44" s="11" t="str">
        <f>'Guarantees provided'!A38</f>
        <v>BANCO SANTANDER SA</v>
      </c>
      <c r="H44" s="11" t="str">
        <f>IF('Guarantees provided'!B38="#",'Guarantees provided'!C38,'Guarantees provided'!B38)</f>
        <v>5493006QMFDDMYWIAM13</v>
      </c>
      <c r="I44" s="11" t="str">
        <f>IF('Guarantees provided'!B38="#","Type of identifier, other than LEI or MFI code","LEI code")</f>
        <v>LEI code</v>
      </c>
      <c r="J44" s="14" t="str">
        <f>IF(OR('Guarantees provided'!H38="E",'Guarantees provided'!H38="x"),"True","False")</f>
        <v>False</v>
      </c>
      <c r="K44" s="11" t="s">
        <v>53</v>
      </c>
      <c r="L44" s="11" t="s">
        <v>54</v>
      </c>
      <c r="M44" s="11">
        <f>-'Guarantees provided'!D38</f>
        <v>34505.120000000003</v>
      </c>
      <c r="N44" s="11" t="s">
        <v>55</v>
      </c>
      <c r="O44" s="11">
        <v>0</v>
      </c>
      <c r="P44" s="12" t="s">
        <v>56</v>
      </c>
    </row>
    <row r="45" spans="3:16" ht="23.65" thickBot="1">
      <c r="C45" s="10" t="s">
        <v>51</v>
      </c>
      <c r="D45" s="11">
        <v>38</v>
      </c>
      <c r="E45" s="11" t="s">
        <v>52</v>
      </c>
      <c r="F45" s="11" t="str">
        <f>'Guarantees provided'!G39</f>
        <v>962304820216980</v>
      </c>
      <c r="G45" s="11" t="str">
        <f>'Guarantees provided'!A39</f>
        <v>BANCO SANTANDER SA</v>
      </c>
      <c r="H45" s="11" t="str">
        <f>IF('Guarantees provided'!B39="#",'Guarantees provided'!C39,'Guarantees provided'!B39)</f>
        <v>5493006QMFDDMYWIAM13</v>
      </c>
      <c r="I45" s="11" t="str">
        <f>IF('Guarantees provided'!B39="#","Type of identifier, other than LEI or MFI code","LEI code")</f>
        <v>LEI code</v>
      </c>
      <c r="J45" s="14" t="str">
        <f>IF(OR('Guarantees provided'!H39="E",'Guarantees provided'!H39="x"),"True","False")</f>
        <v>False</v>
      </c>
      <c r="K45" s="11" t="s">
        <v>53</v>
      </c>
      <c r="L45" s="11" t="s">
        <v>54</v>
      </c>
      <c r="M45" s="11">
        <f>-'Guarantees provided'!D39</f>
        <v>11283</v>
      </c>
      <c r="N45" s="11" t="s">
        <v>55</v>
      </c>
      <c r="O45" s="11">
        <v>0</v>
      </c>
      <c r="P45" s="12" t="s">
        <v>56</v>
      </c>
    </row>
    <row r="46" spans="3:16" ht="23.65" thickBot="1">
      <c r="C46" s="10" t="s">
        <v>51</v>
      </c>
      <c r="D46" s="11">
        <v>39</v>
      </c>
      <c r="E46" s="11" t="s">
        <v>52</v>
      </c>
      <c r="F46" s="11" t="str">
        <f>'Guarantees provided'!G40</f>
        <v>962304820225180</v>
      </c>
      <c r="G46" s="11" t="str">
        <f>'Guarantees provided'!A40</f>
        <v>BANCO SANTANDER SA</v>
      </c>
      <c r="H46" s="11" t="str">
        <f>IF('Guarantees provided'!B40="#",'Guarantees provided'!C40,'Guarantees provided'!B40)</f>
        <v>5493006QMFDDMYWIAM13</v>
      </c>
      <c r="I46" s="11" t="str">
        <f>IF('Guarantees provided'!B40="#","Type of identifier, other than LEI or MFI code","LEI code")</f>
        <v>LEI code</v>
      </c>
      <c r="J46" s="14" t="str">
        <f>IF(OR('Guarantees provided'!H40="E",'Guarantees provided'!H40="x"),"True","False")</f>
        <v>False</v>
      </c>
      <c r="K46" s="11" t="s">
        <v>53</v>
      </c>
      <c r="L46" s="11" t="s">
        <v>54</v>
      </c>
      <c r="M46" s="11">
        <f>-'Guarantees provided'!D40</f>
        <v>50000</v>
      </c>
      <c r="N46" s="11" t="s">
        <v>55</v>
      </c>
      <c r="O46" s="11">
        <v>0</v>
      </c>
      <c r="P46" s="12" t="s">
        <v>56</v>
      </c>
    </row>
    <row r="47" spans="3:16" ht="23.65" thickBot="1">
      <c r="C47" s="10" t="s">
        <v>51</v>
      </c>
      <c r="D47" s="11">
        <v>40</v>
      </c>
      <c r="E47" s="11" t="s">
        <v>52</v>
      </c>
      <c r="F47" s="11" t="str">
        <f>'Guarantees provided'!G41</f>
        <v>962304820232660</v>
      </c>
      <c r="G47" s="11" t="str">
        <f>'Guarantees provided'!A41</f>
        <v>BANCO SANTANDER SA</v>
      </c>
      <c r="H47" s="11" t="str">
        <f>IF('Guarantees provided'!B41="#",'Guarantees provided'!C41,'Guarantees provided'!B41)</f>
        <v>5493006QMFDDMYWIAM13</v>
      </c>
      <c r="I47" s="11" t="str">
        <f>IF('Guarantees provided'!B41="#","Type of identifier, other than LEI or MFI code","LEI code")</f>
        <v>LEI code</v>
      </c>
      <c r="J47" s="14" t="str">
        <f>IF(OR('Guarantees provided'!H41="E",'Guarantees provided'!H41="x"),"True","False")</f>
        <v>False</v>
      </c>
      <c r="K47" s="11" t="s">
        <v>53</v>
      </c>
      <c r="L47" s="11" t="s">
        <v>54</v>
      </c>
      <c r="M47" s="11">
        <f>-'Guarantees provided'!D41</f>
        <v>36000</v>
      </c>
      <c r="N47" s="11" t="s">
        <v>55</v>
      </c>
      <c r="O47" s="11">
        <v>0</v>
      </c>
      <c r="P47" s="12" t="s">
        <v>56</v>
      </c>
    </row>
    <row r="48" spans="3:16" ht="23.65" thickBot="1">
      <c r="C48" s="10" t="s">
        <v>51</v>
      </c>
      <c r="D48" s="11">
        <v>41</v>
      </c>
      <c r="E48" s="11" t="s">
        <v>52</v>
      </c>
      <c r="F48" s="11" t="str">
        <f>'Guarantees provided'!G42</f>
        <v>962304820250510</v>
      </c>
      <c r="G48" s="11" t="str">
        <f>'Guarantees provided'!A42</f>
        <v>BANCO SANTANDER SA</v>
      </c>
      <c r="H48" s="11" t="str">
        <f>IF('Guarantees provided'!B42="#",'Guarantees provided'!C42,'Guarantees provided'!B42)</f>
        <v>5493006QMFDDMYWIAM13</v>
      </c>
      <c r="I48" s="11" t="str">
        <f>IF('Guarantees provided'!B42="#","Type of identifier, other than LEI or MFI code","LEI code")</f>
        <v>LEI code</v>
      </c>
      <c r="J48" s="14" t="str">
        <f>IF(OR('Guarantees provided'!H42="E",'Guarantees provided'!H42="x"),"True","False")</f>
        <v>False</v>
      </c>
      <c r="K48" s="11" t="s">
        <v>53</v>
      </c>
      <c r="L48" s="11" t="s">
        <v>54</v>
      </c>
      <c r="M48" s="11">
        <f>-'Guarantees provided'!D42</f>
        <v>19247</v>
      </c>
      <c r="N48" s="11" t="s">
        <v>55</v>
      </c>
      <c r="O48" s="11">
        <v>0</v>
      </c>
      <c r="P48" s="12" t="s">
        <v>56</v>
      </c>
    </row>
    <row r="49" spans="3:16" ht="23.65" thickBot="1">
      <c r="C49" s="10" t="s">
        <v>51</v>
      </c>
      <c r="D49" s="11">
        <v>42</v>
      </c>
      <c r="E49" s="11" t="s">
        <v>52</v>
      </c>
      <c r="F49" s="11" t="str">
        <f>'Guarantees provided'!G43</f>
        <v>962304820260590</v>
      </c>
      <c r="G49" s="11" t="str">
        <f>'Guarantees provided'!A43</f>
        <v>BANCO SANTANDER SA</v>
      </c>
      <c r="H49" s="11" t="str">
        <f>IF('Guarantees provided'!B43="#",'Guarantees provided'!C43,'Guarantees provided'!B43)</f>
        <v>5493006QMFDDMYWIAM13</v>
      </c>
      <c r="I49" s="11" t="str">
        <f>IF('Guarantees provided'!B43="#","Type of identifier, other than LEI or MFI code","LEI code")</f>
        <v>LEI code</v>
      </c>
      <c r="J49" s="14" t="str">
        <f>IF(OR('Guarantees provided'!H43="E",'Guarantees provided'!H43="x"),"True","False")</f>
        <v>False</v>
      </c>
      <c r="K49" s="11" t="s">
        <v>53</v>
      </c>
      <c r="L49" s="11" t="s">
        <v>54</v>
      </c>
      <c r="M49" s="11">
        <f>-'Guarantees provided'!D43</f>
        <v>14100</v>
      </c>
      <c r="N49" s="11" t="s">
        <v>55</v>
      </c>
      <c r="O49" s="11">
        <v>0</v>
      </c>
      <c r="P49" s="12" t="s">
        <v>56</v>
      </c>
    </row>
    <row r="50" spans="3:16" ht="23.65" thickBot="1">
      <c r="C50" s="10" t="s">
        <v>51</v>
      </c>
      <c r="D50" s="11">
        <v>43</v>
      </c>
      <c r="E50" s="11" t="s">
        <v>52</v>
      </c>
      <c r="F50" s="11" t="str">
        <f>'Guarantees provided'!G44</f>
        <v>962304820272510</v>
      </c>
      <c r="G50" s="11" t="str">
        <f>'Guarantees provided'!A44</f>
        <v>BANCO SANTANDER SA</v>
      </c>
      <c r="H50" s="11" t="str">
        <f>IF('Guarantees provided'!B44="#",'Guarantees provided'!C44,'Guarantees provided'!B44)</f>
        <v>5493006QMFDDMYWIAM13</v>
      </c>
      <c r="I50" s="11" t="str">
        <f>IF('Guarantees provided'!B44="#","Type of identifier, other than LEI or MFI code","LEI code")</f>
        <v>LEI code</v>
      </c>
      <c r="J50" s="14" t="str">
        <f>IF(OR('Guarantees provided'!H44="E",'Guarantees provided'!H44="x"),"True","False")</f>
        <v>False</v>
      </c>
      <c r="K50" s="11" t="s">
        <v>53</v>
      </c>
      <c r="L50" s="11" t="s">
        <v>54</v>
      </c>
      <c r="M50" s="11">
        <f>-'Guarantees provided'!D44</f>
        <v>33939.660000000003</v>
      </c>
      <c r="N50" s="11" t="s">
        <v>55</v>
      </c>
      <c r="O50" s="11">
        <v>0</v>
      </c>
      <c r="P50" s="12" t="s">
        <v>56</v>
      </c>
    </row>
    <row r="51" spans="3:16" ht="23.65" thickBot="1">
      <c r="C51" s="10" t="s">
        <v>51</v>
      </c>
      <c r="D51" s="11">
        <v>44</v>
      </c>
      <c r="E51" s="11" t="s">
        <v>52</v>
      </c>
      <c r="F51" s="11" t="str">
        <f>'Guarantees provided'!G45</f>
        <v>962304820272570</v>
      </c>
      <c r="G51" s="11" t="str">
        <f>'Guarantees provided'!A45</f>
        <v>BANCO SANTANDER SA</v>
      </c>
      <c r="H51" s="11" t="str">
        <f>IF('Guarantees provided'!B45="#",'Guarantees provided'!C45,'Guarantees provided'!B45)</f>
        <v>5493006QMFDDMYWIAM13</v>
      </c>
      <c r="I51" s="11" t="str">
        <f>IF('Guarantees provided'!B45="#","Type of identifier, other than LEI or MFI code","LEI code")</f>
        <v>LEI code</v>
      </c>
      <c r="J51" s="14" t="str">
        <f>IF(OR('Guarantees provided'!H45="E",'Guarantees provided'!H45="x"),"True","False")</f>
        <v>False</v>
      </c>
      <c r="K51" s="11" t="s">
        <v>53</v>
      </c>
      <c r="L51" s="11" t="s">
        <v>54</v>
      </c>
      <c r="M51" s="11">
        <f>-'Guarantees provided'!D45</f>
        <v>990000</v>
      </c>
      <c r="N51" s="11" t="s">
        <v>55</v>
      </c>
      <c r="O51" s="11">
        <v>0</v>
      </c>
      <c r="P51" s="12" t="s">
        <v>56</v>
      </c>
    </row>
    <row r="52" spans="3:16" ht="23.65" thickBot="1">
      <c r="C52" s="10" t="s">
        <v>51</v>
      </c>
      <c r="D52" s="11">
        <v>45</v>
      </c>
      <c r="E52" s="11" t="s">
        <v>52</v>
      </c>
      <c r="F52" s="11" t="str">
        <f>'Guarantees provided'!G46</f>
        <v>962304820272590</v>
      </c>
      <c r="G52" s="11" t="str">
        <f>'Guarantees provided'!A46</f>
        <v>BANCO SANTANDER SA</v>
      </c>
      <c r="H52" s="11" t="str">
        <f>IF('Guarantees provided'!B46="#",'Guarantees provided'!C46,'Guarantees provided'!B46)</f>
        <v>5493006QMFDDMYWIAM13</v>
      </c>
      <c r="I52" s="11" t="str">
        <f>IF('Guarantees provided'!B46="#","Type of identifier, other than LEI or MFI code","LEI code")</f>
        <v>LEI code</v>
      </c>
      <c r="J52" s="14" t="str">
        <f>IF(OR('Guarantees provided'!H46="E",'Guarantees provided'!H46="x"),"True","False")</f>
        <v>False</v>
      </c>
      <c r="K52" s="11" t="s">
        <v>53</v>
      </c>
      <c r="L52" s="11" t="s">
        <v>54</v>
      </c>
      <c r="M52" s="11">
        <f>-'Guarantees provided'!D46</f>
        <v>794000</v>
      </c>
      <c r="N52" s="11" t="s">
        <v>55</v>
      </c>
      <c r="O52" s="11">
        <v>0</v>
      </c>
      <c r="P52" s="12" t="s">
        <v>56</v>
      </c>
    </row>
    <row r="53" spans="3:16" ht="23.65" thickBot="1">
      <c r="C53" s="10" t="s">
        <v>51</v>
      </c>
      <c r="D53" s="11">
        <v>46</v>
      </c>
      <c r="E53" s="11" t="s">
        <v>52</v>
      </c>
      <c r="F53" s="11" t="str">
        <f>'Guarantees provided'!G47</f>
        <v>962304820272600</v>
      </c>
      <c r="G53" s="11" t="str">
        <f>'Guarantees provided'!A47</f>
        <v>BANCO SANTANDER SA</v>
      </c>
      <c r="H53" s="11" t="str">
        <f>IF('Guarantees provided'!B47="#",'Guarantees provided'!C47,'Guarantees provided'!B47)</f>
        <v>5493006QMFDDMYWIAM13</v>
      </c>
      <c r="I53" s="11" t="str">
        <f>IF('Guarantees provided'!B47="#","Type of identifier, other than LEI or MFI code","LEI code")</f>
        <v>LEI code</v>
      </c>
      <c r="J53" s="14" t="str">
        <f>IF(OR('Guarantees provided'!H47="E",'Guarantees provided'!H47="x"),"True","False")</f>
        <v>False</v>
      </c>
      <c r="K53" s="11" t="s">
        <v>53</v>
      </c>
      <c r="L53" s="11" t="s">
        <v>54</v>
      </c>
      <c r="M53" s="11">
        <f>-'Guarantees provided'!D47</f>
        <v>346000</v>
      </c>
      <c r="N53" s="11" t="s">
        <v>55</v>
      </c>
      <c r="O53" s="11">
        <v>0</v>
      </c>
      <c r="P53" s="12" t="s">
        <v>56</v>
      </c>
    </row>
    <row r="54" spans="3:16" ht="23.65" thickBot="1">
      <c r="C54" s="10" t="s">
        <v>51</v>
      </c>
      <c r="D54" s="11">
        <v>47</v>
      </c>
      <c r="E54" s="11" t="s">
        <v>52</v>
      </c>
      <c r="F54" s="11" t="str">
        <f>'Guarantees provided'!G48</f>
        <v>962304820276890</v>
      </c>
      <c r="G54" s="11" t="str">
        <f>'Guarantees provided'!A48</f>
        <v>BANCO SANTANDER SA</v>
      </c>
      <c r="H54" s="11" t="str">
        <f>IF('Guarantees provided'!B48="#",'Guarantees provided'!C48,'Guarantees provided'!B48)</f>
        <v>5493006QMFDDMYWIAM13</v>
      </c>
      <c r="I54" s="11" t="str">
        <f>IF('Guarantees provided'!B48="#","Type of identifier, other than LEI or MFI code","LEI code")</f>
        <v>LEI code</v>
      </c>
      <c r="J54" s="14" t="str">
        <f>IF(OR('Guarantees provided'!H48="E",'Guarantees provided'!H48="x"),"True","False")</f>
        <v>False</v>
      </c>
      <c r="K54" s="11" t="s">
        <v>53</v>
      </c>
      <c r="L54" s="11" t="s">
        <v>54</v>
      </c>
      <c r="M54" s="11">
        <f>-'Guarantees provided'!D48</f>
        <v>30000</v>
      </c>
      <c r="N54" s="11" t="s">
        <v>55</v>
      </c>
      <c r="O54" s="11">
        <v>0</v>
      </c>
      <c r="P54" s="12" t="s">
        <v>56</v>
      </c>
    </row>
    <row r="55" spans="3:16" ht="23.65" thickBot="1">
      <c r="C55" s="10" t="s">
        <v>51</v>
      </c>
      <c r="D55" s="11">
        <v>48</v>
      </c>
      <c r="E55" s="11" t="s">
        <v>52</v>
      </c>
      <c r="F55" s="11" t="str">
        <f>'Guarantees provided'!G49</f>
        <v>962304820282740</v>
      </c>
      <c r="G55" s="11" t="str">
        <f>'Guarantees provided'!A49</f>
        <v>BANCO SANTANDER SA</v>
      </c>
      <c r="H55" s="11" t="str">
        <f>IF('Guarantees provided'!B49="#",'Guarantees provided'!C49,'Guarantees provided'!B49)</f>
        <v>5493006QMFDDMYWIAM13</v>
      </c>
      <c r="I55" s="11" t="str">
        <f>IF('Guarantees provided'!B49="#","Type of identifier, other than LEI or MFI code","LEI code")</f>
        <v>LEI code</v>
      </c>
      <c r="J55" s="14" t="str">
        <f>IF(OR('Guarantees provided'!H49="E",'Guarantees provided'!H49="x"),"True","False")</f>
        <v>False</v>
      </c>
      <c r="K55" s="11" t="s">
        <v>53</v>
      </c>
      <c r="L55" s="11" t="s">
        <v>54</v>
      </c>
      <c r="M55" s="11">
        <f>-'Guarantees provided'!D49</f>
        <v>550000</v>
      </c>
      <c r="N55" s="11" t="s">
        <v>55</v>
      </c>
      <c r="O55" s="11">
        <v>0</v>
      </c>
      <c r="P55" s="12" t="s">
        <v>56</v>
      </c>
    </row>
    <row r="56" spans="3:16" ht="23.65" thickBot="1">
      <c r="C56" s="10" t="s">
        <v>51</v>
      </c>
      <c r="D56" s="11">
        <v>49</v>
      </c>
      <c r="E56" s="11" t="s">
        <v>52</v>
      </c>
      <c r="F56" s="11" t="str">
        <f>'Guarantees provided'!G50</f>
        <v>962304820295900</v>
      </c>
      <c r="G56" s="11" t="str">
        <f>'Guarantees provided'!A50</f>
        <v>BANCO SANTANDER SA</v>
      </c>
      <c r="H56" s="11" t="str">
        <f>IF('Guarantees provided'!B50="#",'Guarantees provided'!C50,'Guarantees provided'!B50)</f>
        <v>5493006QMFDDMYWIAM13</v>
      </c>
      <c r="I56" s="11" t="str">
        <f>IF('Guarantees provided'!B50="#","Type of identifier, other than LEI or MFI code","LEI code")</f>
        <v>LEI code</v>
      </c>
      <c r="J56" s="14" t="str">
        <f>IF(OR('Guarantees provided'!H50="E",'Guarantees provided'!H50="x"),"True","False")</f>
        <v>False</v>
      </c>
      <c r="K56" s="11" t="s">
        <v>53</v>
      </c>
      <c r="L56" s="11" t="s">
        <v>54</v>
      </c>
      <c r="M56" s="11">
        <f>-'Guarantees provided'!D50</f>
        <v>60000</v>
      </c>
      <c r="N56" s="11" t="s">
        <v>55</v>
      </c>
      <c r="O56" s="11">
        <v>0</v>
      </c>
      <c r="P56" s="12" t="s">
        <v>56</v>
      </c>
    </row>
    <row r="57" spans="3:16" ht="23.65" thickBot="1">
      <c r="C57" s="10" t="s">
        <v>51</v>
      </c>
      <c r="D57" s="11">
        <v>50</v>
      </c>
      <c r="E57" s="11" t="s">
        <v>52</v>
      </c>
      <c r="F57" s="11" t="str">
        <f>'Guarantees provided'!G51</f>
        <v>962304820302710</v>
      </c>
      <c r="G57" s="11" t="str">
        <f>'Guarantees provided'!A51</f>
        <v>BANCO SANTANDER SA</v>
      </c>
      <c r="H57" s="11" t="str">
        <f>IF('Guarantees provided'!B51="#",'Guarantees provided'!C51,'Guarantees provided'!B51)</f>
        <v>5493006QMFDDMYWIAM13</v>
      </c>
      <c r="I57" s="11" t="str">
        <f>IF('Guarantees provided'!B51="#","Type of identifier, other than LEI or MFI code","LEI code")</f>
        <v>LEI code</v>
      </c>
      <c r="J57" s="14" t="str">
        <f>IF(OR('Guarantees provided'!H51="E",'Guarantees provided'!H51="x"),"True","False")</f>
        <v>False</v>
      </c>
      <c r="K57" s="11" t="s">
        <v>53</v>
      </c>
      <c r="L57" s="11" t="s">
        <v>54</v>
      </c>
      <c r="M57" s="11">
        <f>-'Guarantees provided'!D51</f>
        <v>23182.560000000001</v>
      </c>
      <c r="N57" s="11" t="s">
        <v>55</v>
      </c>
      <c r="O57" s="11">
        <v>0</v>
      </c>
      <c r="P57" s="12" t="s">
        <v>56</v>
      </c>
    </row>
    <row r="58" spans="3:16" ht="23.65" thickBot="1">
      <c r="C58" s="10" t="s">
        <v>51</v>
      </c>
      <c r="D58" s="11">
        <v>51</v>
      </c>
      <c r="E58" s="11" t="s">
        <v>52</v>
      </c>
      <c r="F58" s="11" t="str">
        <f>'Guarantees provided'!G52</f>
        <v>962304820309020</v>
      </c>
      <c r="G58" s="11" t="str">
        <f>'Guarantees provided'!A52</f>
        <v>BANCO SANTANDER SA</v>
      </c>
      <c r="H58" s="11" t="str">
        <f>IF('Guarantees provided'!B52="#",'Guarantees provided'!C52,'Guarantees provided'!B52)</f>
        <v>5493006QMFDDMYWIAM13</v>
      </c>
      <c r="I58" s="11" t="str">
        <f>IF('Guarantees provided'!B52="#","Type of identifier, other than LEI or MFI code","LEI code")</f>
        <v>LEI code</v>
      </c>
      <c r="J58" s="14" t="str">
        <f>IF(OR('Guarantees provided'!H52="E",'Guarantees provided'!H52="x"),"True","False")</f>
        <v>False</v>
      </c>
      <c r="K58" s="11" t="s">
        <v>53</v>
      </c>
      <c r="L58" s="11" t="s">
        <v>54</v>
      </c>
      <c r="M58" s="11">
        <f>-'Guarantees provided'!D52</f>
        <v>30000</v>
      </c>
      <c r="N58" s="11" t="s">
        <v>55</v>
      </c>
      <c r="O58" s="11">
        <v>0</v>
      </c>
      <c r="P58" s="12" t="s">
        <v>56</v>
      </c>
    </row>
    <row r="59" spans="3:16" ht="23.65" thickBot="1">
      <c r="C59" s="10" t="s">
        <v>51</v>
      </c>
      <c r="D59" s="11">
        <v>52</v>
      </c>
      <c r="E59" s="11" t="s">
        <v>52</v>
      </c>
      <c r="F59" s="11" t="str">
        <f>'Guarantees provided'!G53</f>
        <v>962304820311230</v>
      </c>
      <c r="G59" s="11" t="str">
        <f>'Guarantees provided'!A53</f>
        <v>BANCO SANTANDER SA</v>
      </c>
      <c r="H59" s="11" t="str">
        <f>IF('Guarantees provided'!B53="#",'Guarantees provided'!C53,'Guarantees provided'!B53)</f>
        <v>5493006QMFDDMYWIAM13</v>
      </c>
      <c r="I59" s="11" t="str">
        <f>IF('Guarantees provided'!B53="#","Type of identifier, other than LEI or MFI code","LEI code")</f>
        <v>LEI code</v>
      </c>
      <c r="J59" s="14" t="str">
        <f>IF(OR('Guarantees provided'!H53="E",'Guarantees provided'!H53="x"),"True","False")</f>
        <v>False</v>
      </c>
      <c r="K59" s="11" t="s">
        <v>53</v>
      </c>
      <c r="L59" s="11" t="s">
        <v>54</v>
      </c>
      <c r="M59" s="11">
        <f>-'Guarantees provided'!D53</f>
        <v>32563.06</v>
      </c>
      <c r="N59" s="11" t="s">
        <v>55</v>
      </c>
      <c r="O59" s="11">
        <v>0</v>
      </c>
      <c r="P59" s="12" t="s">
        <v>56</v>
      </c>
    </row>
    <row r="60" spans="3:16" ht="23.65" thickBot="1">
      <c r="C60" s="10" t="s">
        <v>51</v>
      </c>
      <c r="D60" s="11">
        <v>53</v>
      </c>
      <c r="E60" s="11" t="s">
        <v>52</v>
      </c>
      <c r="F60" s="11" t="str">
        <f>'Guarantees provided'!G54</f>
        <v>962304820321330</v>
      </c>
      <c r="G60" s="11" t="str">
        <f>'Guarantees provided'!A54</f>
        <v>BANCO SANTANDER SA</v>
      </c>
      <c r="H60" s="11" t="str">
        <f>IF('Guarantees provided'!B54="#",'Guarantees provided'!C54,'Guarantees provided'!B54)</f>
        <v>5493006QMFDDMYWIAM13</v>
      </c>
      <c r="I60" s="11" t="str">
        <f>IF('Guarantees provided'!B54="#","Type of identifier, other than LEI or MFI code","LEI code")</f>
        <v>LEI code</v>
      </c>
      <c r="J60" s="14" t="str">
        <f>IF(OR('Guarantees provided'!H54="E",'Guarantees provided'!H54="x"),"True","False")</f>
        <v>False</v>
      </c>
      <c r="K60" s="11" t="s">
        <v>53</v>
      </c>
      <c r="L60" s="11" t="s">
        <v>54</v>
      </c>
      <c r="M60" s="11">
        <f>-'Guarantees provided'!D54</f>
        <v>26286.959999999999</v>
      </c>
      <c r="N60" s="11" t="s">
        <v>55</v>
      </c>
      <c r="O60" s="11">
        <v>0</v>
      </c>
      <c r="P60" s="12" t="s">
        <v>56</v>
      </c>
    </row>
    <row r="61" spans="3:16" ht="23.65" thickBot="1">
      <c r="C61" s="10" t="s">
        <v>51</v>
      </c>
      <c r="D61" s="11">
        <v>54</v>
      </c>
      <c r="E61" s="11" t="s">
        <v>52</v>
      </c>
      <c r="F61" s="11" t="str">
        <f>'Guarantees provided'!G55</f>
        <v>962304820325080</v>
      </c>
      <c r="G61" s="11" t="str">
        <f>'Guarantees provided'!A55</f>
        <v>BANCO SANTANDER SA</v>
      </c>
      <c r="H61" s="11" t="str">
        <f>IF('Guarantees provided'!B55="#",'Guarantees provided'!C55,'Guarantees provided'!B55)</f>
        <v>5493006QMFDDMYWIAM13</v>
      </c>
      <c r="I61" s="11" t="str">
        <f>IF('Guarantees provided'!B55="#","Type of identifier, other than LEI or MFI code","LEI code")</f>
        <v>LEI code</v>
      </c>
      <c r="J61" s="14" t="str">
        <f>IF(OR('Guarantees provided'!H55="E",'Guarantees provided'!H55="x"),"True","False")</f>
        <v>False</v>
      </c>
      <c r="K61" s="11" t="s">
        <v>53</v>
      </c>
      <c r="L61" s="11" t="s">
        <v>54</v>
      </c>
      <c r="M61" s="11">
        <f>-'Guarantees provided'!D55</f>
        <v>100509.73</v>
      </c>
      <c r="N61" s="11" t="s">
        <v>55</v>
      </c>
      <c r="O61" s="11">
        <v>0</v>
      </c>
      <c r="P61" s="12" t="s">
        <v>56</v>
      </c>
    </row>
    <row r="62" spans="3:16" ht="23.65" thickBot="1">
      <c r="C62" s="10" t="s">
        <v>51</v>
      </c>
      <c r="D62" s="11">
        <v>55</v>
      </c>
      <c r="E62" s="11" t="s">
        <v>52</v>
      </c>
      <c r="F62" s="11" t="str">
        <f>'Guarantees provided'!G56</f>
        <v>962304820336320</v>
      </c>
      <c r="G62" s="11" t="str">
        <f>'Guarantees provided'!A56</f>
        <v>BANCO SANTANDER SA</v>
      </c>
      <c r="H62" s="11" t="str">
        <f>IF('Guarantees provided'!B56="#",'Guarantees provided'!C56,'Guarantees provided'!B56)</f>
        <v>5493006QMFDDMYWIAM13</v>
      </c>
      <c r="I62" s="11" t="str">
        <f>IF('Guarantees provided'!B56="#","Type of identifier, other than LEI or MFI code","LEI code")</f>
        <v>LEI code</v>
      </c>
      <c r="J62" s="14" t="str">
        <f>IF(OR('Guarantees provided'!H56="E",'Guarantees provided'!H56="x"),"True","False")</f>
        <v>False</v>
      </c>
      <c r="K62" s="11" t="s">
        <v>53</v>
      </c>
      <c r="L62" s="11" t="s">
        <v>54</v>
      </c>
      <c r="M62" s="11">
        <f>-'Guarantees provided'!D56</f>
        <v>400000</v>
      </c>
      <c r="N62" s="11" t="s">
        <v>55</v>
      </c>
      <c r="O62" s="11">
        <v>0</v>
      </c>
      <c r="P62" s="12" t="s">
        <v>56</v>
      </c>
    </row>
    <row r="63" spans="3:16" ht="23.65" thickBot="1">
      <c r="C63" s="10" t="s">
        <v>51</v>
      </c>
      <c r="D63" s="11">
        <v>56</v>
      </c>
      <c r="E63" s="11" t="s">
        <v>52</v>
      </c>
      <c r="F63" s="11" t="str">
        <f>'Guarantees provided'!G57</f>
        <v>962304820336330</v>
      </c>
      <c r="G63" s="11" t="str">
        <f>'Guarantees provided'!A57</f>
        <v>BANCO SANTANDER SA</v>
      </c>
      <c r="H63" s="11" t="str">
        <f>IF('Guarantees provided'!B57="#",'Guarantees provided'!C57,'Guarantees provided'!B57)</f>
        <v>5493006QMFDDMYWIAM13</v>
      </c>
      <c r="I63" s="11" t="str">
        <f>IF('Guarantees provided'!B57="#","Type of identifier, other than LEI or MFI code","LEI code")</f>
        <v>LEI code</v>
      </c>
      <c r="J63" s="14" t="str">
        <f>IF(OR('Guarantees provided'!H57="E",'Guarantees provided'!H57="x"),"True","False")</f>
        <v>False</v>
      </c>
      <c r="K63" s="11" t="s">
        <v>53</v>
      </c>
      <c r="L63" s="11" t="s">
        <v>54</v>
      </c>
      <c r="M63" s="11">
        <f>-'Guarantees provided'!D57</f>
        <v>100000</v>
      </c>
      <c r="N63" s="11" t="s">
        <v>55</v>
      </c>
      <c r="O63" s="11">
        <v>0</v>
      </c>
      <c r="P63" s="12" t="s">
        <v>56</v>
      </c>
    </row>
    <row r="64" spans="3:16" ht="23.65" thickBot="1">
      <c r="C64" s="10" t="s">
        <v>51</v>
      </c>
      <c r="D64" s="11">
        <v>57</v>
      </c>
      <c r="E64" s="11" t="s">
        <v>52</v>
      </c>
      <c r="F64" s="11" t="str">
        <f>'Guarantees provided'!G58</f>
        <v>962304830362520</v>
      </c>
      <c r="G64" s="11" t="str">
        <f>'Guarantees provided'!A58</f>
        <v>BANCO SANTANDER SA</v>
      </c>
      <c r="H64" s="11" t="str">
        <f>IF('Guarantees provided'!B58="#",'Guarantees provided'!C58,'Guarantees provided'!B58)</f>
        <v>5493006QMFDDMYWIAM13</v>
      </c>
      <c r="I64" s="11" t="str">
        <f>IF('Guarantees provided'!B58="#","Type of identifier, other than LEI or MFI code","LEI code")</f>
        <v>LEI code</v>
      </c>
      <c r="J64" s="14" t="str">
        <f>IF(OR('Guarantees provided'!H58="E",'Guarantees provided'!H58="x"),"True","False")</f>
        <v>False</v>
      </c>
      <c r="K64" s="11" t="s">
        <v>53</v>
      </c>
      <c r="L64" s="11" t="s">
        <v>54</v>
      </c>
      <c r="M64" s="11">
        <f>-'Guarantees provided'!D58</f>
        <v>234971.63</v>
      </c>
      <c r="N64" s="11" t="s">
        <v>55</v>
      </c>
      <c r="O64" s="11">
        <v>0</v>
      </c>
      <c r="P64" s="12" t="s">
        <v>56</v>
      </c>
    </row>
    <row r="65" spans="3:16" ht="23.65" thickBot="1">
      <c r="C65" s="10" t="s">
        <v>51</v>
      </c>
      <c r="D65" s="11">
        <v>58</v>
      </c>
      <c r="E65" s="11" t="s">
        <v>52</v>
      </c>
      <c r="F65" s="11" t="str">
        <f>'Guarantees provided'!G59</f>
        <v>962304830364570</v>
      </c>
      <c r="G65" s="11" t="str">
        <f>'Guarantees provided'!A59</f>
        <v>BANCO SANTANDER SA</v>
      </c>
      <c r="H65" s="11" t="str">
        <f>IF('Guarantees provided'!B59="#",'Guarantees provided'!C59,'Guarantees provided'!B59)</f>
        <v>5493006QMFDDMYWIAM13</v>
      </c>
      <c r="I65" s="11" t="str">
        <f>IF('Guarantees provided'!B59="#","Type of identifier, other than LEI or MFI code","LEI code")</f>
        <v>LEI code</v>
      </c>
      <c r="J65" s="14" t="str">
        <f>IF(OR('Guarantees provided'!H59="E",'Guarantees provided'!H59="x"),"True","False")</f>
        <v>False</v>
      </c>
      <c r="K65" s="11" t="s">
        <v>53</v>
      </c>
      <c r="L65" s="11" t="s">
        <v>54</v>
      </c>
      <c r="M65" s="11">
        <f>-'Guarantees provided'!D59</f>
        <v>112755.52</v>
      </c>
      <c r="N65" s="11" t="s">
        <v>55</v>
      </c>
      <c r="O65" s="11">
        <v>0</v>
      </c>
      <c r="P65" s="12" t="s">
        <v>56</v>
      </c>
    </row>
    <row r="66" spans="3:16" ht="23.65" thickBot="1">
      <c r="C66" s="10" t="s">
        <v>51</v>
      </c>
      <c r="D66" s="11">
        <v>59</v>
      </c>
      <c r="E66" s="11" t="s">
        <v>52</v>
      </c>
      <c r="F66" s="11" t="str">
        <f>'Guarantees provided'!G60</f>
        <v>962304830371210</v>
      </c>
      <c r="G66" s="11" t="str">
        <f>'Guarantees provided'!A60</f>
        <v>BANCO SANTANDER SA</v>
      </c>
      <c r="H66" s="11" t="str">
        <f>IF('Guarantees provided'!B60="#",'Guarantees provided'!C60,'Guarantees provided'!B60)</f>
        <v>5493006QMFDDMYWIAM13</v>
      </c>
      <c r="I66" s="11" t="str">
        <f>IF('Guarantees provided'!B60="#","Type of identifier, other than LEI or MFI code","LEI code")</f>
        <v>LEI code</v>
      </c>
      <c r="J66" s="14" t="str">
        <f>IF(OR('Guarantees provided'!H60="E",'Guarantees provided'!H60="x"),"True","False")</f>
        <v>False</v>
      </c>
      <c r="K66" s="11" t="s">
        <v>53</v>
      </c>
      <c r="L66" s="11" t="s">
        <v>54</v>
      </c>
      <c r="M66" s="11">
        <f>-'Guarantees provided'!D60</f>
        <v>20000</v>
      </c>
      <c r="N66" s="11" t="s">
        <v>55</v>
      </c>
      <c r="O66" s="11">
        <v>0</v>
      </c>
      <c r="P66" s="12" t="s">
        <v>56</v>
      </c>
    </row>
    <row r="67" spans="3:16" ht="23.65" thickBot="1">
      <c r="C67" s="10" t="s">
        <v>51</v>
      </c>
      <c r="D67" s="11">
        <v>60</v>
      </c>
      <c r="E67" s="11" t="s">
        <v>52</v>
      </c>
      <c r="F67" s="11" t="str">
        <f>'Guarantees provided'!G61</f>
        <v>962304830379180</v>
      </c>
      <c r="G67" s="11" t="str">
        <f>'Guarantees provided'!A61</f>
        <v>BANCO SANTANDER SA</v>
      </c>
      <c r="H67" s="11" t="str">
        <f>IF('Guarantees provided'!B61="#",'Guarantees provided'!C61,'Guarantees provided'!B61)</f>
        <v>5493006QMFDDMYWIAM13</v>
      </c>
      <c r="I67" s="11" t="str">
        <f>IF('Guarantees provided'!B61="#","Type of identifier, other than LEI or MFI code","LEI code")</f>
        <v>LEI code</v>
      </c>
      <c r="J67" s="14" t="str">
        <f>IF(OR('Guarantees provided'!H61="E",'Guarantees provided'!H61="x"),"True","False")</f>
        <v>False</v>
      </c>
      <c r="K67" s="11" t="s">
        <v>53</v>
      </c>
      <c r="L67" s="11" t="s">
        <v>54</v>
      </c>
      <c r="M67" s="11">
        <f>-'Guarantees provided'!D61</f>
        <v>150000</v>
      </c>
      <c r="N67" s="11" t="s">
        <v>55</v>
      </c>
      <c r="O67" s="11">
        <v>0</v>
      </c>
      <c r="P67" s="12" t="s">
        <v>56</v>
      </c>
    </row>
    <row r="68" spans="3:16" ht="23.65" thickBot="1">
      <c r="C68" s="10" t="s">
        <v>51</v>
      </c>
      <c r="D68" s="11">
        <v>61</v>
      </c>
      <c r="E68" s="11" t="s">
        <v>52</v>
      </c>
      <c r="F68" s="11" t="str">
        <f>'Guarantees provided'!G62</f>
        <v>962304830386740</v>
      </c>
      <c r="G68" s="11" t="str">
        <f>'Guarantees provided'!A62</f>
        <v>BANCO SANTANDER SA</v>
      </c>
      <c r="H68" s="11" t="str">
        <f>IF('Guarantees provided'!B62="#",'Guarantees provided'!C62,'Guarantees provided'!B62)</f>
        <v>5493006QMFDDMYWIAM13</v>
      </c>
      <c r="I68" s="11" t="str">
        <f>IF('Guarantees provided'!B62="#","Type of identifier, other than LEI or MFI code","LEI code")</f>
        <v>LEI code</v>
      </c>
      <c r="J68" s="14" t="str">
        <f>IF(OR('Guarantees provided'!H62="E",'Guarantees provided'!H62="x"),"True","False")</f>
        <v>False</v>
      </c>
      <c r="K68" s="11" t="s">
        <v>53</v>
      </c>
      <c r="L68" s="11" t="s">
        <v>54</v>
      </c>
      <c r="M68" s="11">
        <f>-'Guarantees provided'!D62</f>
        <v>113917.2</v>
      </c>
      <c r="N68" s="11" t="s">
        <v>55</v>
      </c>
      <c r="O68" s="11">
        <v>0</v>
      </c>
      <c r="P68" s="12" t="s">
        <v>56</v>
      </c>
    </row>
    <row r="69" spans="3:16" ht="23.65" thickBot="1">
      <c r="C69" s="10" t="s">
        <v>51</v>
      </c>
      <c r="D69" s="11">
        <v>62</v>
      </c>
      <c r="E69" s="11" t="s">
        <v>52</v>
      </c>
      <c r="F69" s="11" t="str">
        <f>'Guarantees provided'!G63</f>
        <v>962304830386760</v>
      </c>
      <c r="G69" s="11" t="str">
        <f>'Guarantees provided'!A63</f>
        <v>BANCO SANTANDER SA</v>
      </c>
      <c r="H69" s="11" t="str">
        <f>IF('Guarantees provided'!B63="#",'Guarantees provided'!C63,'Guarantees provided'!B63)</f>
        <v>5493006QMFDDMYWIAM13</v>
      </c>
      <c r="I69" s="11" t="str">
        <f>IF('Guarantees provided'!B63="#","Type of identifier, other than LEI or MFI code","LEI code")</f>
        <v>LEI code</v>
      </c>
      <c r="J69" s="14" t="str">
        <f>IF(OR('Guarantees provided'!H63="E",'Guarantees provided'!H63="x"),"True","False")</f>
        <v>False</v>
      </c>
      <c r="K69" s="11" t="s">
        <v>53</v>
      </c>
      <c r="L69" s="11" t="s">
        <v>54</v>
      </c>
      <c r="M69" s="11">
        <f>-'Guarantees provided'!D63</f>
        <v>138082.79999999999</v>
      </c>
      <c r="N69" s="11" t="s">
        <v>55</v>
      </c>
      <c r="O69" s="11">
        <v>0</v>
      </c>
      <c r="P69" s="12" t="s">
        <v>56</v>
      </c>
    </row>
    <row r="70" spans="3:16" ht="23.65" thickBot="1">
      <c r="C70" s="10" t="s">
        <v>51</v>
      </c>
      <c r="D70" s="11">
        <v>63</v>
      </c>
      <c r="E70" s="11" t="s">
        <v>52</v>
      </c>
      <c r="F70" s="11" t="str">
        <f>'Guarantees provided'!G64</f>
        <v>962304830389610</v>
      </c>
      <c r="G70" s="11" t="str">
        <f>'Guarantees provided'!A64</f>
        <v>BANCO SANTANDER SA</v>
      </c>
      <c r="H70" s="11" t="str">
        <f>IF('Guarantees provided'!B64="#",'Guarantees provided'!C64,'Guarantees provided'!B64)</f>
        <v>5493006QMFDDMYWIAM13</v>
      </c>
      <c r="I70" s="11" t="str">
        <f>IF('Guarantees provided'!B64="#","Type of identifier, other than LEI or MFI code","LEI code")</f>
        <v>LEI code</v>
      </c>
      <c r="J70" s="14" t="str">
        <f>IF(OR('Guarantees provided'!H64="E",'Guarantees provided'!H64="x"),"True","False")</f>
        <v>False</v>
      </c>
      <c r="K70" s="11" t="s">
        <v>53</v>
      </c>
      <c r="L70" s="11" t="s">
        <v>54</v>
      </c>
      <c r="M70" s="11">
        <f>-'Guarantees provided'!D64</f>
        <v>96000</v>
      </c>
      <c r="N70" s="11" t="s">
        <v>55</v>
      </c>
      <c r="O70" s="11">
        <v>0</v>
      </c>
      <c r="P70" s="12" t="s">
        <v>56</v>
      </c>
    </row>
    <row r="71" spans="3:16" ht="23.65" thickBot="1">
      <c r="C71" s="10" t="s">
        <v>51</v>
      </c>
      <c r="D71" s="11">
        <v>64</v>
      </c>
      <c r="E71" s="11" t="s">
        <v>52</v>
      </c>
      <c r="F71" s="11" t="str">
        <f>'Guarantees provided'!G65</f>
        <v>962304870323050</v>
      </c>
      <c r="G71" s="11" t="str">
        <f>'Guarantees provided'!A65</f>
        <v>BANCO SANTANDER SA</v>
      </c>
      <c r="H71" s="11" t="str">
        <f>IF('Guarantees provided'!B65="#",'Guarantees provided'!C65,'Guarantees provided'!B65)</f>
        <v>5493006QMFDDMYWIAM13</v>
      </c>
      <c r="I71" s="11" t="str">
        <f>IF('Guarantees provided'!B65="#","Type of identifier, other than LEI or MFI code","LEI code")</f>
        <v>LEI code</v>
      </c>
      <c r="J71" s="14" t="str">
        <f>IF(OR('Guarantees provided'!H65="E",'Guarantees provided'!H65="x"),"True","False")</f>
        <v>False</v>
      </c>
      <c r="K71" s="11" t="s">
        <v>53</v>
      </c>
      <c r="L71" s="11" t="s">
        <v>54</v>
      </c>
      <c r="M71" s="11">
        <f>-'Guarantees provided'!D65</f>
        <v>86527.21</v>
      </c>
      <c r="N71" s="11" t="s">
        <v>55</v>
      </c>
      <c r="O71" s="11">
        <v>0</v>
      </c>
      <c r="P71" s="12" t="s">
        <v>56</v>
      </c>
    </row>
    <row r="72" spans="3:16" ht="23.65" thickBot="1">
      <c r="C72" s="10" t="s">
        <v>51</v>
      </c>
      <c r="D72" s="11">
        <v>65</v>
      </c>
      <c r="E72" s="11" t="s">
        <v>52</v>
      </c>
      <c r="F72" s="11" t="str">
        <f>'Guarantees provided'!G66</f>
        <v>962304870326550</v>
      </c>
      <c r="G72" s="11" t="str">
        <f>'Guarantees provided'!A66</f>
        <v>BANCO SANTANDER SA</v>
      </c>
      <c r="H72" s="11" t="str">
        <f>IF('Guarantees provided'!B66="#",'Guarantees provided'!C66,'Guarantees provided'!B66)</f>
        <v>5493006QMFDDMYWIAM13</v>
      </c>
      <c r="I72" s="11" t="str">
        <f>IF('Guarantees provided'!B66="#","Type of identifier, other than LEI or MFI code","LEI code")</f>
        <v>LEI code</v>
      </c>
      <c r="J72" s="14" t="str">
        <f>IF(OR('Guarantees provided'!H66="E",'Guarantees provided'!H66="x"),"True","False")</f>
        <v>False</v>
      </c>
      <c r="K72" s="11" t="s">
        <v>53</v>
      </c>
      <c r="L72" s="11" t="s">
        <v>54</v>
      </c>
      <c r="M72" s="11">
        <f>-'Guarantees provided'!D66</f>
        <v>49034.78</v>
      </c>
      <c r="N72" s="11" t="s">
        <v>55</v>
      </c>
      <c r="O72" s="11">
        <v>0</v>
      </c>
      <c r="P72" s="12" t="s">
        <v>56</v>
      </c>
    </row>
    <row r="73" spans="3:16" ht="23.65" thickBot="1">
      <c r="C73" s="10" t="s">
        <v>51</v>
      </c>
      <c r="D73" s="11">
        <v>66</v>
      </c>
      <c r="E73" s="11" t="s">
        <v>52</v>
      </c>
      <c r="F73" s="11" t="str">
        <f>'Guarantees provided'!G67</f>
        <v>962304870327990</v>
      </c>
      <c r="G73" s="11" t="str">
        <f>'Guarantees provided'!A67</f>
        <v>BANCO SANTANDER SA</v>
      </c>
      <c r="H73" s="11" t="str">
        <f>IF('Guarantees provided'!B67="#",'Guarantees provided'!C67,'Guarantees provided'!B67)</f>
        <v>5493006QMFDDMYWIAM13</v>
      </c>
      <c r="I73" s="11" t="str">
        <f>IF('Guarantees provided'!B67="#","Type of identifier, other than LEI or MFI code","LEI code")</f>
        <v>LEI code</v>
      </c>
      <c r="J73" s="14" t="str">
        <f>IF(OR('Guarantees provided'!H67="E",'Guarantees provided'!H67="x"),"True","False")</f>
        <v>False</v>
      </c>
      <c r="K73" s="11" t="s">
        <v>53</v>
      </c>
      <c r="L73" s="11" t="s">
        <v>54</v>
      </c>
      <c r="M73" s="11">
        <f>-'Guarantees provided'!D67</f>
        <v>1829</v>
      </c>
      <c r="N73" s="11" t="s">
        <v>55</v>
      </c>
      <c r="O73" s="11">
        <v>0</v>
      </c>
      <c r="P73" s="12" t="s">
        <v>56</v>
      </c>
    </row>
    <row r="74" spans="3:16" ht="23.65" thickBot="1">
      <c r="C74" s="10" t="s">
        <v>51</v>
      </c>
      <c r="D74" s="11">
        <v>67</v>
      </c>
      <c r="E74" s="11" t="s">
        <v>52</v>
      </c>
      <c r="F74" s="11" t="str">
        <f>'Guarantees provided'!G68</f>
        <v>962304870343130</v>
      </c>
      <c r="G74" s="11" t="str">
        <f>'Guarantees provided'!A68</f>
        <v>BANCO SANTANDER SA</v>
      </c>
      <c r="H74" s="11" t="str">
        <f>IF('Guarantees provided'!B68="#",'Guarantees provided'!C68,'Guarantees provided'!B68)</f>
        <v>5493006QMFDDMYWIAM13</v>
      </c>
      <c r="I74" s="11" t="str">
        <f>IF('Guarantees provided'!B68="#","Type of identifier, other than LEI or MFI code","LEI code")</f>
        <v>LEI code</v>
      </c>
      <c r="J74" s="14" t="str">
        <f>IF(OR('Guarantees provided'!H68="E",'Guarantees provided'!H68="x"),"True","False")</f>
        <v>False</v>
      </c>
      <c r="K74" s="11" t="s">
        <v>53</v>
      </c>
      <c r="L74" s="11" t="s">
        <v>54</v>
      </c>
      <c r="M74" s="11">
        <f>-'Guarantees provided'!D68</f>
        <v>50000</v>
      </c>
      <c r="N74" s="11" t="s">
        <v>55</v>
      </c>
      <c r="O74" s="11">
        <v>0</v>
      </c>
      <c r="P74" s="12" t="s">
        <v>56</v>
      </c>
    </row>
    <row r="75" spans="3:16" ht="23.65" thickBot="1">
      <c r="C75" s="10" t="s">
        <v>51</v>
      </c>
      <c r="D75" s="11">
        <v>68</v>
      </c>
      <c r="E75" s="11" t="s">
        <v>52</v>
      </c>
      <c r="F75" s="11" t="str">
        <f>'Guarantees provided'!G69</f>
        <v>962304870352020</v>
      </c>
      <c r="G75" s="11" t="str">
        <f>'Guarantees provided'!A69</f>
        <v>BANCO SANTANDER SA</v>
      </c>
      <c r="H75" s="11" t="str">
        <f>IF('Guarantees provided'!B69="#",'Guarantees provided'!C69,'Guarantees provided'!B69)</f>
        <v>5493006QMFDDMYWIAM13</v>
      </c>
      <c r="I75" s="11" t="str">
        <f>IF('Guarantees provided'!B69="#","Type of identifier, other than LEI or MFI code","LEI code")</f>
        <v>LEI code</v>
      </c>
      <c r="J75" s="14" t="str">
        <f>IF(OR('Guarantees provided'!H69="E",'Guarantees provided'!H69="x"),"True","False")</f>
        <v>False</v>
      </c>
      <c r="K75" s="11" t="s">
        <v>53</v>
      </c>
      <c r="L75" s="11" t="s">
        <v>54</v>
      </c>
      <c r="M75" s="11">
        <f>-'Guarantees provided'!D69</f>
        <v>40000</v>
      </c>
      <c r="N75" s="11" t="s">
        <v>55</v>
      </c>
      <c r="O75" s="11">
        <v>0</v>
      </c>
      <c r="P75" s="12" t="s">
        <v>56</v>
      </c>
    </row>
    <row r="76" spans="3:16" ht="23.65" thickBot="1">
      <c r="C76" s="10" t="s">
        <v>51</v>
      </c>
      <c r="D76" s="11">
        <v>69</v>
      </c>
      <c r="E76" s="11" t="s">
        <v>52</v>
      </c>
      <c r="F76" s="11" t="str">
        <f>'Guarantees provided'!G70</f>
        <v>962304870356080</v>
      </c>
      <c r="G76" s="11" t="str">
        <f>'Guarantees provided'!A70</f>
        <v>BANCO SANTANDER SA</v>
      </c>
      <c r="H76" s="11" t="str">
        <f>IF('Guarantees provided'!B70="#",'Guarantees provided'!C70,'Guarantees provided'!B70)</f>
        <v>5493006QMFDDMYWIAM13</v>
      </c>
      <c r="I76" s="11" t="str">
        <f>IF('Guarantees provided'!B70="#","Type of identifier, other than LEI or MFI code","LEI code")</f>
        <v>LEI code</v>
      </c>
      <c r="J76" s="14" t="str">
        <f>IF(OR('Guarantees provided'!H70="E",'Guarantees provided'!H70="x"),"True","False")</f>
        <v>False</v>
      </c>
      <c r="K76" s="11" t="s">
        <v>53</v>
      </c>
      <c r="L76" s="11" t="s">
        <v>54</v>
      </c>
      <c r="M76" s="11">
        <f>-'Guarantees provided'!D70</f>
        <v>30492.240000000002</v>
      </c>
      <c r="N76" s="11" t="s">
        <v>55</v>
      </c>
      <c r="O76" s="11">
        <v>0</v>
      </c>
      <c r="P76" s="12" t="s">
        <v>56</v>
      </c>
    </row>
    <row r="77" spans="3:16" ht="23.65" thickBot="1">
      <c r="C77" s="10" t="s">
        <v>51</v>
      </c>
      <c r="D77" s="11">
        <v>70</v>
      </c>
      <c r="E77" s="11" t="s">
        <v>52</v>
      </c>
      <c r="F77" s="11" t="str">
        <f>'Guarantees provided'!G71</f>
        <v>962304870356900</v>
      </c>
      <c r="G77" s="11" t="str">
        <f>'Guarantees provided'!A71</f>
        <v>BANCO SANTANDER SA</v>
      </c>
      <c r="H77" s="11" t="str">
        <f>IF('Guarantees provided'!B71="#",'Guarantees provided'!C71,'Guarantees provided'!B71)</f>
        <v>5493006QMFDDMYWIAM13</v>
      </c>
      <c r="I77" s="11" t="str">
        <f>IF('Guarantees provided'!B71="#","Type of identifier, other than LEI or MFI code","LEI code")</f>
        <v>LEI code</v>
      </c>
      <c r="J77" s="14" t="str">
        <f>IF(OR('Guarantees provided'!H71="E",'Guarantees provided'!H71="x"),"True","False")</f>
        <v>False</v>
      </c>
      <c r="K77" s="11" t="s">
        <v>53</v>
      </c>
      <c r="L77" s="11" t="s">
        <v>54</v>
      </c>
      <c r="M77" s="11">
        <f>-'Guarantees provided'!D71</f>
        <v>142500</v>
      </c>
      <c r="N77" s="11" t="s">
        <v>55</v>
      </c>
      <c r="O77" s="11">
        <v>0</v>
      </c>
      <c r="P77" s="12" t="s">
        <v>56</v>
      </c>
    </row>
    <row r="78" spans="3:16" ht="23.65" thickBot="1">
      <c r="C78" s="10" t="s">
        <v>51</v>
      </c>
      <c r="D78" s="11">
        <v>71</v>
      </c>
      <c r="E78" s="11" t="s">
        <v>52</v>
      </c>
      <c r="F78" s="11" t="str">
        <f>'Guarantees provided'!G72</f>
        <v>962304870370420</v>
      </c>
      <c r="G78" s="11" t="str">
        <f>'Guarantees provided'!A72</f>
        <v>BANCO SANTANDER SA</v>
      </c>
      <c r="H78" s="11" t="str">
        <f>IF('Guarantees provided'!B72="#",'Guarantees provided'!C72,'Guarantees provided'!B72)</f>
        <v>5493006QMFDDMYWIAM13</v>
      </c>
      <c r="I78" s="11" t="str">
        <f>IF('Guarantees provided'!B72="#","Type of identifier, other than LEI or MFI code","LEI code")</f>
        <v>LEI code</v>
      </c>
      <c r="J78" s="14" t="str">
        <f>IF(OR('Guarantees provided'!H72="E",'Guarantees provided'!H72="x"),"True","False")</f>
        <v>False</v>
      </c>
      <c r="K78" s="11" t="s">
        <v>53</v>
      </c>
      <c r="L78" s="11" t="s">
        <v>54</v>
      </c>
      <c r="M78" s="11">
        <f>-'Guarantees provided'!D72</f>
        <v>506039.28</v>
      </c>
      <c r="N78" s="11" t="s">
        <v>55</v>
      </c>
      <c r="O78" s="11">
        <v>0</v>
      </c>
      <c r="P78" s="12" t="s">
        <v>56</v>
      </c>
    </row>
    <row r="79" spans="3:16" ht="23.65" thickBot="1">
      <c r="C79" s="10" t="s">
        <v>51</v>
      </c>
      <c r="D79" s="11">
        <v>72</v>
      </c>
      <c r="E79" s="11" t="s">
        <v>52</v>
      </c>
      <c r="F79" s="11" t="str">
        <f>'Guarantees provided'!G73</f>
        <v>262304820021230</v>
      </c>
      <c r="G79" s="11" t="str">
        <f>'Guarantees provided'!A73</f>
        <v>BANCO SANTANDER TOTTA S.A.</v>
      </c>
      <c r="H79" s="11" t="str">
        <f>IF('Guarantees provided'!B73="#",'Guarantees provided'!C73,'Guarantees provided'!B73)</f>
        <v>549300URJH9VSI58CS32</v>
      </c>
      <c r="I79" s="11" t="str">
        <f>IF('Guarantees provided'!B73="#","Type of identifier, other than LEI or MFI code","LEI code")</f>
        <v>LEI code</v>
      </c>
      <c r="J79" s="14" t="str">
        <f>IF(OR('Guarantees provided'!H73="E",'Guarantees provided'!H73="x"),"True","False")</f>
        <v>False</v>
      </c>
      <c r="K79" s="11" t="s">
        <v>53</v>
      </c>
      <c r="L79" s="11" t="s">
        <v>54</v>
      </c>
      <c r="M79" s="11">
        <f>-'Guarantees provided'!D73</f>
        <v>48000</v>
      </c>
      <c r="N79" s="11" t="s">
        <v>55</v>
      </c>
      <c r="O79" s="11">
        <v>0</v>
      </c>
      <c r="P79" s="12" t="s">
        <v>56</v>
      </c>
    </row>
    <row r="80" spans="3:16" ht="23.65" thickBot="1">
      <c r="C80" s="10" t="s">
        <v>51</v>
      </c>
      <c r="D80" s="11">
        <v>73</v>
      </c>
      <c r="E80" s="11" t="s">
        <v>52</v>
      </c>
      <c r="F80" s="11" t="str">
        <f>'Guarantees provided'!G74</f>
        <v>262304820025500</v>
      </c>
      <c r="G80" s="11" t="str">
        <f>'Guarantees provided'!A74</f>
        <v>BANCO SANTANDER TOTTA S.A.</v>
      </c>
      <c r="H80" s="11" t="str">
        <f>IF('Guarantees provided'!B74="#",'Guarantees provided'!C74,'Guarantees provided'!B74)</f>
        <v>549300URJH9VSI58CS32</v>
      </c>
      <c r="I80" s="11" t="str">
        <f>IF('Guarantees provided'!B74="#","Type of identifier, other than LEI or MFI code","LEI code")</f>
        <v>LEI code</v>
      </c>
      <c r="J80" s="14" t="str">
        <f>IF(OR('Guarantees provided'!H74="E",'Guarantees provided'!H74="x"),"True","False")</f>
        <v>False</v>
      </c>
      <c r="K80" s="11" t="s">
        <v>53</v>
      </c>
      <c r="L80" s="11" t="s">
        <v>54</v>
      </c>
      <c r="M80" s="11">
        <f>-'Guarantees provided'!D74</f>
        <v>56767.44</v>
      </c>
      <c r="N80" s="11" t="s">
        <v>55</v>
      </c>
      <c r="O80" s="11">
        <v>0</v>
      </c>
      <c r="P80" s="12" t="s">
        <v>56</v>
      </c>
    </row>
    <row r="81" spans="3:16" ht="23.65" thickBot="1">
      <c r="C81" s="10" t="s">
        <v>51</v>
      </c>
      <c r="D81" s="11">
        <v>74</v>
      </c>
      <c r="E81" s="11" t="s">
        <v>52</v>
      </c>
      <c r="F81" s="11" t="str">
        <f>'Guarantees provided'!G75</f>
        <v>262304840000980</v>
      </c>
      <c r="G81" s="11" t="str">
        <f>'Guarantees provided'!A75</f>
        <v>BANCO SANTANDER TOTTA S.A.</v>
      </c>
      <c r="H81" s="11" t="str">
        <f>IF('Guarantees provided'!B75="#",'Guarantees provided'!C75,'Guarantees provided'!B75)</f>
        <v>549300URJH9VSI58CS32</v>
      </c>
      <c r="I81" s="11" t="str">
        <f>IF('Guarantees provided'!B75="#","Type of identifier, other than LEI or MFI code","LEI code")</f>
        <v>LEI code</v>
      </c>
      <c r="J81" s="14" t="str">
        <f>IF(OR('Guarantees provided'!H75="E",'Guarantees provided'!H75="x"),"True","False")</f>
        <v>False</v>
      </c>
      <c r="K81" s="11" t="s">
        <v>53</v>
      </c>
      <c r="L81" s="11" t="s">
        <v>54</v>
      </c>
      <c r="M81" s="11">
        <f>-'Guarantees provided'!D75</f>
        <v>65635.990000000005</v>
      </c>
      <c r="N81" s="11" t="s">
        <v>55</v>
      </c>
      <c r="O81" s="11">
        <v>0</v>
      </c>
      <c r="P81" s="12" t="s">
        <v>56</v>
      </c>
    </row>
    <row r="82" spans="3:16" ht="23.65" thickBot="1">
      <c r="C82" s="10" t="s">
        <v>51</v>
      </c>
      <c r="D82" s="11">
        <v>75</v>
      </c>
      <c r="E82" s="11" t="s">
        <v>52</v>
      </c>
      <c r="F82" s="11" t="str">
        <f>'Guarantees provided'!G76</f>
        <v>262304840010980</v>
      </c>
      <c r="G82" s="11" t="str">
        <f>'Guarantees provided'!A76</f>
        <v>BANCO SANTANDER TOTTA S.A.</v>
      </c>
      <c r="H82" s="11" t="str">
        <f>IF('Guarantees provided'!B76="#",'Guarantees provided'!C76,'Guarantees provided'!B76)</f>
        <v>549300URJH9VSI58CS32</v>
      </c>
      <c r="I82" s="11" t="str">
        <f>IF('Guarantees provided'!B76="#","Type of identifier, other than LEI or MFI code","LEI code")</f>
        <v>LEI code</v>
      </c>
      <c r="J82" s="14" t="str">
        <f>IF(OR('Guarantees provided'!H76="E",'Guarantees provided'!H76="x"),"True","False")</f>
        <v>False</v>
      </c>
      <c r="K82" s="11" t="s">
        <v>53</v>
      </c>
      <c r="L82" s="11" t="s">
        <v>54</v>
      </c>
      <c r="M82" s="11">
        <f>-'Guarantees provided'!D76</f>
        <v>74819.69</v>
      </c>
      <c r="N82" s="11" t="s">
        <v>55</v>
      </c>
      <c r="O82" s="11">
        <v>0</v>
      </c>
      <c r="P82" s="12" t="s">
        <v>56</v>
      </c>
    </row>
    <row r="83" spans="3:16" ht="23.65" thickBot="1">
      <c r="C83" s="10" t="s">
        <v>51</v>
      </c>
      <c r="D83" s="11">
        <v>76</v>
      </c>
      <c r="E83" s="11" t="s">
        <v>52</v>
      </c>
      <c r="F83" s="11" t="str">
        <f>'Guarantees provided'!G77</f>
        <v>862304840000660</v>
      </c>
      <c r="G83" s="11" t="str">
        <f>'Guarantees provided'!A77</f>
        <v>BANCO SANTANDER TOTTA S.A.</v>
      </c>
      <c r="H83" s="11" t="str">
        <f>IF('Guarantees provided'!B77="#",'Guarantees provided'!C77,'Guarantees provided'!B77)</f>
        <v>549300URJH9VSI58CS32</v>
      </c>
      <c r="I83" s="11" t="str">
        <f>IF('Guarantees provided'!B77="#","Type of identifier, other than LEI or MFI code","LEI code")</f>
        <v>LEI code</v>
      </c>
      <c r="J83" s="14" t="str">
        <f>IF(OR('Guarantees provided'!H77="E",'Guarantees provided'!H77="x"),"True","False")</f>
        <v>False</v>
      </c>
      <c r="K83" s="11" t="s">
        <v>53</v>
      </c>
      <c r="L83" s="11" t="s">
        <v>54</v>
      </c>
      <c r="M83" s="11">
        <f>-'Guarantees provided'!D77</f>
        <v>663000</v>
      </c>
      <c r="N83" s="11" t="s">
        <v>55</v>
      </c>
      <c r="O83" s="11">
        <v>0</v>
      </c>
      <c r="P83" s="12" t="s">
        <v>56</v>
      </c>
    </row>
    <row r="84" spans="3:16" ht="23.65" thickBot="1">
      <c r="C84" s="10" t="s">
        <v>51</v>
      </c>
      <c r="D84" s="11">
        <v>77</v>
      </c>
      <c r="E84" s="11" t="s">
        <v>52</v>
      </c>
      <c r="F84" s="11" t="str">
        <f>'Guarantees provided'!G78</f>
        <v>862304840002100</v>
      </c>
      <c r="G84" s="11" t="str">
        <f>'Guarantees provided'!A78</f>
        <v>BANCO SANTANDER TOTTA S.A.</v>
      </c>
      <c r="H84" s="11" t="str">
        <f>IF('Guarantees provided'!B78="#",'Guarantees provided'!C78,'Guarantees provided'!B78)</f>
        <v>549300URJH9VSI58CS32</v>
      </c>
      <c r="I84" s="11" t="str">
        <f>IF('Guarantees provided'!B78="#","Type of identifier, other than LEI or MFI code","LEI code")</f>
        <v>LEI code</v>
      </c>
      <c r="J84" s="14" t="str">
        <f>IF(OR('Guarantees provided'!H78="E",'Guarantees provided'!H78="x"),"True","False")</f>
        <v>False</v>
      </c>
      <c r="K84" s="11" t="s">
        <v>53</v>
      </c>
      <c r="L84" s="11" t="s">
        <v>54</v>
      </c>
      <c r="M84" s="11">
        <f>-'Guarantees provided'!D78</f>
        <v>484162.4</v>
      </c>
      <c r="N84" s="11" t="s">
        <v>55</v>
      </c>
      <c r="O84" s="11">
        <v>0</v>
      </c>
      <c r="P84" s="12" t="s">
        <v>56</v>
      </c>
    </row>
    <row r="85" spans="3:16" ht="23.65" thickBot="1">
      <c r="C85" s="10" t="s">
        <v>51</v>
      </c>
      <c r="D85" s="11">
        <v>78</v>
      </c>
      <c r="E85" s="11" t="s">
        <v>52</v>
      </c>
      <c r="F85" s="11" t="str">
        <f>'Guarantees provided'!G79</f>
        <v>862304840002110</v>
      </c>
      <c r="G85" s="11" t="str">
        <f>'Guarantees provided'!A79</f>
        <v>BANCO SANTANDER TOTTA S.A.</v>
      </c>
      <c r="H85" s="11" t="str">
        <f>IF('Guarantees provided'!B79="#",'Guarantees provided'!C79,'Guarantees provided'!B79)</f>
        <v>549300URJH9VSI58CS32</v>
      </c>
      <c r="I85" s="11" t="str">
        <f>IF('Guarantees provided'!B79="#","Type of identifier, other than LEI or MFI code","LEI code")</f>
        <v>LEI code</v>
      </c>
      <c r="J85" s="14" t="str">
        <f>IF(OR('Guarantees provided'!H79="E",'Guarantees provided'!H79="x"),"True","False")</f>
        <v>False</v>
      </c>
      <c r="K85" s="11" t="s">
        <v>53</v>
      </c>
      <c r="L85" s="11" t="s">
        <v>54</v>
      </c>
      <c r="M85" s="11">
        <f>-'Guarantees provided'!D79</f>
        <v>36000</v>
      </c>
      <c r="N85" s="11" t="s">
        <v>55</v>
      </c>
      <c r="O85" s="11">
        <v>0</v>
      </c>
      <c r="P85" s="12" t="s">
        <v>56</v>
      </c>
    </row>
    <row r="86" spans="3:16" ht="23.65" thickBot="1">
      <c r="C86" s="10" t="s">
        <v>51</v>
      </c>
      <c r="D86" s="11">
        <v>79</v>
      </c>
      <c r="E86" s="11" t="s">
        <v>52</v>
      </c>
      <c r="F86" s="11" t="str">
        <f>'Guarantees provided'!G80</f>
        <v>862304840002610</v>
      </c>
      <c r="G86" s="11" t="str">
        <f>'Guarantees provided'!A80</f>
        <v>BANCO SANTANDER TOTTA S.A.</v>
      </c>
      <c r="H86" s="11" t="str">
        <f>IF('Guarantees provided'!B80="#",'Guarantees provided'!C80,'Guarantees provided'!B80)</f>
        <v>549300URJH9VSI58CS32</v>
      </c>
      <c r="I86" s="11" t="str">
        <f>IF('Guarantees provided'!B80="#","Type of identifier, other than LEI or MFI code","LEI code")</f>
        <v>LEI code</v>
      </c>
      <c r="J86" s="14" t="str">
        <f>IF(OR('Guarantees provided'!H80="E",'Guarantees provided'!H80="x"),"True","False")</f>
        <v>False</v>
      </c>
      <c r="K86" s="11" t="s">
        <v>53</v>
      </c>
      <c r="L86" s="11" t="s">
        <v>54</v>
      </c>
      <c r="M86" s="11">
        <f>-'Guarantees provided'!D80</f>
        <v>256000</v>
      </c>
      <c r="N86" s="11" t="s">
        <v>55</v>
      </c>
      <c r="O86" s="11">
        <v>0</v>
      </c>
      <c r="P86" s="12" t="s">
        <v>56</v>
      </c>
    </row>
    <row r="87" spans="3:16" ht="23.65" thickBot="1">
      <c r="C87" s="10" t="s">
        <v>51</v>
      </c>
      <c r="D87" s="11">
        <v>80</v>
      </c>
      <c r="E87" s="11" t="s">
        <v>52</v>
      </c>
      <c r="F87" s="11" t="str">
        <f>'Guarantees provided'!G81</f>
        <v>862304840003370</v>
      </c>
      <c r="G87" s="11" t="str">
        <f>'Guarantees provided'!A81</f>
        <v>BANCO SANTANDER TOTTA S.A.</v>
      </c>
      <c r="H87" s="11" t="str">
        <f>IF('Guarantees provided'!B81="#",'Guarantees provided'!C81,'Guarantees provided'!B81)</f>
        <v>549300URJH9VSI58CS32</v>
      </c>
      <c r="I87" s="11" t="str">
        <f>IF('Guarantees provided'!B81="#","Type of identifier, other than LEI or MFI code","LEI code")</f>
        <v>LEI code</v>
      </c>
      <c r="J87" s="14" t="str">
        <f>IF(OR('Guarantees provided'!H81="E",'Guarantees provided'!H81="x"),"True","False")</f>
        <v>False</v>
      </c>
      <c r="K87" s="11" t="s">
        <v>53</v>
      </c>
      <c r="L87" s="11" t="s">
        <v>54</v>
      </c>
      <c r="M87" s="11">
        <f>-'Guarantees provided'!D81</f>
        <v>98421.119999999995</v>
      </c>
      <c r="N87" s="11" t="s">
        <v>55</v>
      </c>
      <c r="O87" s="11">
        <v>0</v>
      </c>
      <c r="P87" s="12" t="s">
        <v>56</v>
      </c>
    </row>
    <row r="88" spans="3:16" ht="23.65" thickBot="1">
      <c r="C88" s="10" t="s">
        <v>51</v>
      </c>
      <c r="D88" s="11">
        <v>81</v>
      </c>
      <c r="E88" s="11" t="s">
        <v>52</v>
      </c>
      <c r="F88" s="11" t="str">
        <f>'Guarantees provided'!G82</f>
        <v>862304840004970</v>
      </c>
      <c r="G88" s="11" t="str">
        <f>'Guarantees provided'!A82</f>
        <v>BANCO SANTANDER TOTTA S.A.</v>
      </c>
      <c r="H88" s="11" t="str">
        <f>IF('Guarantees provided'!B82="#",'Guarantees provided'!C82,'Guarantees provided'!B82)</f>
        <v>549300URJH9VSI58CS32</v>
      </c>
      <c r="I88" s="11" t="str">
        <f>IF('Guarantees provided'!B82="#","Type of identifier, other than LEI or MFI code","LEI code")</f>
        <v>LEI code</v>
      </c>
      <c r="J88" s="14" t="str">
        <f>IF(OR('Guarantees provided'!H82="E",'Guarantees provided'!H82="x"),"True","False")</f>
        <v>False</v>
      </c>
      <c r="K88" s="11" t="s">
        <v>53</v>
      </c>
      <c r="L88" s="11" t="s">
        <v>54</v>
      </c>
      <c r="M88" s="11">
        <f>-'Guarantees provided'!D82</f>
        <v>3000</v>
      </c>
      <c r="N88" s="11" t="s">
        <v>55</v>
      </c>
      <c r="O88" s="11">
        <v>0</v>
      </c>
      <c r="P88" s="12" t="s">
        <v>56</v>
      </c>
    </row>
    <row r="89" spans="3:16" ht="23.65" thickBot="1">
      <c r="C89" s="10" t="s">
        <v>51</v>
      </c>
      <c r="D89" s="11">
        <v>82</v>
      </c>
      <c r="E89" s="11" t="s">
        <v>52</v>
      </c>
      <c r="F89" s="11" t="str">
        <f>'Guarantees provided'!G83</f>
        <v>862304840005380</v>
      </c>
      <c r="G89" s="11" t="str">
        <f>'Guarantees provided'!A83</f>
        <v>BANCO SANTANDER TOTTA S.A.</v>
      </c>
      <c r="H89" s="11" t="str">
        <f>IF('Guarantees provided'!B83="#",'Guarantees provided'!C83,'Guarantees provided'!B83)</f>
        <v>549300URJH9VSI58CS32</v>
      </c>
      <c r="I89" s="11" t="str">
        <f>IF('Guarantees provided'!B83="#","Type of identifier, other than LEI or MFI code","LEI code")</f>
        <v>LEI code</v>
      </c>
      <c r="J89" s="14" t="str">
        <f>IF(OR('Guarantees provided'!H83="E",'Guarantees provided'!H83="x"),"True","False")</f>
        <v>False</v>
      </c>
      <c r="K89" s="11" t="s">
        <v>53</v>
      </c>
      <c r="L89" s="11" t="s">
        <v>54</v>
      </c>
      <c r="M89" s="11">
        <f>-'Guarantees provided'!D83</f>
        <v>876476.51</v>
      </c>
      <c r="N89" s="11" t="s">
        <v>55</v>
      </c>
      <c r="O89" s="11">
        <v>0</v>
      </c>
      <c r="P89" s="12" t="s">
        <v>56</v>
      </c>
    </row>
    <row r="90" spans="3:16" ht="23.65" thickBot="1">
      <c r="C90" s="10" t="s">
        <v>51</v>
      </c>
      <c r="D90" s="11">
        <v>83</v>
      </c>
      <c r="E90" s="11" t="s">
        <v>52</v>
      </c>
      <c r="F90" s="11" t="str">
        <f>'Guarantees provided'!G84</f>
        <v>862304840007410</v>
      </c>
      <c r="G90" s="11" t="str">
        <f>'Guarantees provided'!A84</f>
        <v>BANCO SANTANDER TOTTA S.A.</v>
      </c>
      <c r="H90" s="11" t="str">
        <f>IF('Guarantees provided'!B84="#",'Guarantees provided'!C84,'Guarantees provided'!B84)</f>
        <v>549300URJH9VSI58CS32</v>
      </c>
      <c r="I90" s="11" t="str">
        <f>IF('Guarantees provided'!B84="#","Type of identifier, other than LEI or MFI code","LEI code")</f>
        <v>LEI code</v>
      </c>
      <c r="J90" s="14" t="str">
        <f>IF(OR('Guarantees provided'!H84="E",'Guarantees provided'!H84="x"),"True","False")</f>
        <v>False</v>
      </c>
      <c r="K90" s="11" t="s">
        <v>53</v>
      </c>
      <c r="L90" s="11" t="s">
        <v>54</v>
      </c>
      <c r="M90" s="11">
        <f>-'Guarantees provided'!D84</f>
        <v>33698.25</v>
      </c>
      <c r="N90" s="11" t="s">
        <v>55</v>
      </c>
      <c r="O90" s="11">
        <v>0</v>
      </c>
      <c r="P90" s="12" t="s">
        <v>56</v>
      </c>
    </row>
    <row r="91" spans="3:16" ht="23.65" thickBot="1">
      <c r="C91" s="10" t="s">
        <v>51</v>
      </c>
      <c r="D91" s="11">
        <v>84</v>
      </c>
      <c r="E91" s="11" t="s">
        <v>52</v>
      </c>
      <c r="F91" s="11" t="str">
        <f>'Guarantees provided'!G85</f>
        <v>862304840007560</v>
      </c>
      <c r="G91" s="11" t="str">
        <f>'Guarantees provided'!A85</f>
        <v>BANCO SANTANDER TOTTA S.A.</v>
      </c>
      <c r="H91" s="11" t="str">
        <f>IF('Guarantees provided'!B85="#",'Guarantees provided'!C85,'Guarantees provided'!B85)</f>
        <v>549300URJH9VSI58CS32</v>
      </c>
      <c r="I91" s="11" t="str">
        <f>IF('Guarantees provided'!B85="#","Type of identifier, other than LEI or MFI code","LEI code")</f>
        <v>LEI code</v>
      </c>
      <c r="J91" s="14" t="str">
        <f>IF(OR('Guarantees provided'!H85="E",'Guarantees provided'!H85="x"),"True","False")</f>
        <v>False</v>
      </c>
      <c r="K91" s="11" t="s">
        <v>53</v>
      </c>
      <c r="L91" s="11" t="s">
        <v>54</v>
      </c>
      <c r="M91" s="11">
        <f>-'Guarantees provided'!D85</f>
        <v>22400</v>
      </c>
      <c r="N91" s="11" t="s">
        <v>55</v>
      </c>
      <c r="O91" s="11">
        <v>0</v>
      </c>
      <c r="P91" s="12" t="s">
        <v>56</v>
      </c>
    </row>
    <row r="92" spans="3:16" ht="23.65" thickBot="1">
      <c r="C92" s="10" t="s">
        <v>51</v>
      </c>
      <c r="D92" s="11">
        <v>85</v>
      </c>
      <c r="E92" s="11" t="s">
        <v>52</v>
      </c>
      <c r="F92" s="11" t="str">
        <f>'Guarantees provided'!G86</f>
        <v>862304840007750</v>
      </c>
      <c r="G92" s="11" t="str">
        <f>'Guarantees provided'!A86</f>
        <v>BANCO SANTANDER TOTTA S.A.</v>
      </c>
      <c r="H92" s="11" t="str">
        <f>IF('Guarantees provided'!B86="#",'Guarantees provided'!C86,'Guarantees provided'!B86)</f>
        <v>549300URJH9VSI58CS32</v>
      </c>
      <c r="I92" s="11" t="str">
        <f>IF('Guarantees provided'!B86="#","Type of identifier, other than LEI or MFI code","LEI code")</f>
        <v>LEI code</v>
      </c>
      <c r="J92" s="14" t="str">
        <f>IF(OR('Guarantees provided'!H86="E",'Guarantees provided'!H86="x"),"True","False")</f>
        <v>False</v>
      </c>
      <c r="K92" s="11" t="s">
        <v>53</v>
      </c>
      <c r="L92" s="11" t="s">
        <v>54</v>
      </c>
      <c r="M92" s="11">
        <f>-'Guarantees provided'!D86</f>
        <v>2026400</v>
      </c>
      <c r="N92" s="11" t="s">
        <v>55</v>
      </c>
      <c r="O92" s="11">
        <v>0</v>
      </c>
      <c r="P92" s="12" t="s">
        <v>56</v>
      </c>
    </row>
    <row r="93" spans="3:16" ht="23.65" thickBot="1">
      <c r="C93" s="10" t="s">
        <v>51</v>
      </c>
      <c r="D93" s="11">
        <v>86</v>
      </c>
      <c r="E93" s="11" t="s">
        <v>52</v>
      </c>
      <c r="F93" s="11" t="str">
        <f>'Guarantees provided'!G87</f>
        <v>862304840007900</v>
      </c>
      <c r="G93" s="11" t="str">
        <f>'Guarantees provided'!A87</f>
        <v>BANCO SANTANDER TOTTA S.A.</v>
      </c>
      <c r="H93" s="11" t="str">
        <f>IF('Guarantees provided'!B87="#",'Guarantees provided'!C87,'Guarantees provided'!B87)</f>
        <v>549300URJH9VSI58CS32</v>
      </c>
      <c r="I93" s="11" t="str">
        <f>IF('Guarantees provided'!B87="#","Type of identifier, other than LEI or MFI code","LEI code")</f>
        <v>LEI code</v>
      </c>
      <c r="J93" s="14" t="str">
        <f>IF(OR('Guarantees provided'!H87="E",'Guarantees provided'!H87="x"),"True","False")</f>
        <v>False</v>
      </c>
      <c r="K93" s="11" t="s">
        <v>53</v>
      </c>
      <c r="L93" s="11" t="s">
        <v>54</v>
      </c>
      <c r="M93" s="11">
        <f>-'Guarantees provided'!D87</f>
        <v>799243.2</v>
      </c>
      <c r="N93" s="11" t="s">
        <v>55</v>
      </c>
      <c r="O93" s="11">
        <v>0</v>
      </c>
      <c r="P93" s="12" t="s">
        <v>56</v>
      </c>
    </row>
    <row r="94" spans="3:16" ht="23.65" thickBot="1">
      <c r="C94" s="10" t="s">
        <v>51</v>
      </c>
      <c r="D94" s="11">
        <v>87</v>
      </c>
      <c r="E94" s="11" t="s">
        <v>52</v>
      </c>
      <c r="F94" s="11" t="str">
        <f>'Guarantees provided'!G88</f>
        <v>862304840007910</v>
      </c>
      <c r="G94" s="11" t="str">
        <f>'Guarantees provided'!A88</f>
        <v>BANCO SANTANDER TOTTA S.A.</v>
      </c>
      <c r="H94" s="11" t="str">
        <f>IF('Guarantees provided'!B88="#",'Guarantees provided'!C88,'Guarantees provided'!B88)</f>
        <v>549300URJH9VSI58CS32</v>
      </c>
      <c r="I94" s="11" t="str">
        <f>IF('Guarantees provided'!B88="#","Type of identifier, other than LEI or MFI code","LEI code")</f>
        <v>LEI code</v>
      </c>
      <c r="J94" s="14" t="str">
        <f>IF(OR('Guarantees provided'!H88="E",'Guarantees provided'!H88="x"),"True","False")</f>
        <v>False</v>
      </c>
      <c r="K94" s="11" t="s">
        <v>53</v>
      </c>
      <c r="L94" s="11" t="s">
        <v>54</v>
      </c>
      <c r="M94" s="11">
        <f>-'Guarantees provided'!D88</f>
        <v>67600</v>
      </c>
      <c r="N94" s="11" t="s">
        <v>55</v>
      </c>
      <c r="O94" s="11">
        <v>0</v>
      </c>
      <c r="P94" s="12" t="s">
        <v>56</v>
      </c>
    </row>
    <row r="95" spans="3:16" ht="23.65" thickBot="1">
      <c r="C95" s="10" t="s">
        <v>51</v>
      </c>
      <c r="D95" s="11">
        <v>88</v>
      </c>
      <c r="E95" s="11" t="s">
        <v>52</v>
      </c>
      <c r="F95" s="11" t="str">
        <f>'Guarantees provided'!G89</f>
        <v>862304840008490</v>
      </c>
      <c r="G95" s="11" t="str">
        <f>'Guarantees provided'!A89</f>
        <v>BANCO SANTANDER TOTTA S.A.</v>
      </c>
      <c r="H95" s="11" t="str">
        <f>IF('Guarantees provided'!B89="#",'Guarantees provided'!C89,'Guarantees provided'!B89)</f>
        <v>549300URJH9VSI58CS32</v>
      </c>
      <c r="I95" s="11" t="str">
        <f>IF('Guarantees provided'!B89="#","Type of identifier, other than LEI or MFI code","LEI code")</f>
        <v>LEI code</v>
      </c>
      <c r="J95" s="14" t="str">
        <f>IF(OR('Guarantees provided'!H89="E",'Guarantees provided'!H89="x"),"True","False")</f>
        <v>False</v>
      </c>
      <c r="K95" s="11" t="s">
        <v>53</v>
      </c>
      <c r="L95" s="11" t="s">
        <v>54</v>
      </c>
      <c r="M95" s="11">
        <f>-'Guarantees provided'!D89</f>
        <v>1134424.21</v>
      </c>
      <c r="N95" s="11" t="s">
        <v>55</v>
      </c>
      <c r="O95" s="11">
        <v>0</v>
      </c>
      <c r="P95" s="12" t="s">
        <v>56</v>
      </c>
    </row>
    <row r="96" spans="3:16" ht="23.65" thickBot="1">
      <c r="C96" s="10" t="s">
        <v>51</v>
      </c>
      <c r="D96" s="11">
        <v>89</v>
      </c>
      <c r="E96" s="11" t="s">
        <v>52</v>
      </c>
      <c r="F96" s="11" t="str">
        <f>'Guarantees provided'!G90</f>
        <v>862304840022990</v>
      </c>
      <c r="G96" s="11" t="str">
        <f>'Guarantees provided'!A90</f>
        <v>BANCO SANTANDER TOTTA S.A.</v>
      </c>
      <c r="H96" s="11" t="str">
        <f>IF('Guarantees provided'!B90="#",'Guarantees provided'!C90,'Guarantees provided'!B90)</f>
        <v>549300URJH9VSI58CS32</v>
      </c>
      <c r="I96" s="11" t="str">
        <f>IF('Guarantees provided'!B90="#","Type of identifier, other than LEI or MFI code","LEI code")</f>
        <v>LEI code</v>
      </c>
      <c r="J96" s="14" t="str">
        <f>IF(OR('Guarantees provided'!H90="E",'Guarantees provided'!H90="x"),"True","False")</f>
        <v>False</v>
      </c>
      <c r="K96" s="11" t="s">
        <v>53</v>
      </c>
      <c r="L96" s="11" t="s">
        <v>54</v>
      </c>
      <c r="M96" s="11">
        <f>-'Guarantees provided'!D90</f>
        <v>45245.62</v>
      </c>
      <c r="N96" s="11" t="s">
        <v>55</v>
      </c>
      <c r="O96" s="11">
        <v>0</v>
      </c>
      <c r="P96" s="12" t="s">
        <v>56</v>
      </c>
    </row>
    <row r="97" spans="3:16" ht="23.65" thickBot="1">
      <c r="C97" s="10" t="s">
        <v>51</v>
      </c>
      <c r="D97" s="11">
        <v>90</v>
      </c>
      <c r="E97" s="11" t="s">
        <v>52</v>
      </c>
      <c r="F97" s="11" t="str">
        <f>'Guarantees provided'!G91</f>
        <v>862304840033050</v>
      </c>
      <c r="G97" s="11" t="str">
        <f>'Guarantees provided'!A91</f>
        <v>BANCO SANTANDER TOTTA S.A.</v>
      </c>
      <c r="H97" s="11" t="str">
        <f>IF('Guarantees provided'!B91="#",'Guarantees provided'!C91,'Guarantees provided'!B91)</f>
        <v>549300URJH9VSI58CS32</v>
      </c>
      <c r="I97" s="11" t="str">
        <f>IF('Guarantees provided'!B91="#","Type of identifier, other than LEI or MFI code","LEI code")</f>
        <v>LEI code</v>
      </c>
      <c r="J97" s="14" t="str">
        <f>IF(OR('Guarantees provided'!H91="E",'Guarantees provided'!H91="x"),"True","False")</f>
        <v>False</v>
      </c>
      <c r="K97" s="11" t="s">
        <v>53</v>
      </c>
      <c r="L97" s="11" t="s">
        <v>54</v>
      </c>
      <c r="M97" s="11">
        <f>-'Guarantees provided'!D91</f>
        <v>47280</v>
      </c>
      <c r="N97" s="11" t="s">
        <v>55</v>
      </c>
      <c r="O97" s="11">
        <v>0</v>
      </c>
      <c r="P97" s="12" t="s">
        <v>56</v>
      </c>
    </row>
    <row r="98" spans="3:16" ht="23.65" thickBot="1">
      <c r="C98" s="10" t="s">
        <v>51</v>
      </c>
      <c r="D98" s="11">
        <v>91</v>
      </c>
      <c r="E98" s="11" t="s">
        <v>52</v>
      </c>
      <c r="F98" s="11" t="str">
        <f>'Guarantees provided'!G92</f>
        <v>862304840039730</v>
      </c>
      <c r="G98" s="11" t="str">
        <f>'Guarantees provided'!A92</f>
        <v>BANCO SANTANDER TOTTA S.A.</v>
      </c>
      <c r="H98" s="11" t="str">
        <f>IF('Guarantees provided'!B92="#",'Guarantees provided'!C92,'Guarantees provided'!B92)</f>
        <v>549300URJH9VSI58CS32</v>
      </c>
      <c r="I98" s="11" t="str">
        <f>IF('Guarantees provided'!B92="#","Type of identifier, other than LEI or MFI code","LEI code")</f>
        <v>LEI code</v>
      </c>
      <c r="J98" s="14" t="str">
        <f>IF(OR('Guarantees provided'!H92="E",'Guarantees provided'!H92="x"),"True","False")</f>
        <v>False</v>
      </c>
      <c r="K98" s="11" t="s">
        <v>53</v>
      </c>
      <c r="L98" s="11" t="s">
        <v>54</v>
      </c>
      <c r="M98" s="11">
        <f>-'Guarantees provided'!D92</f>
        <v>38868</v>
      </c>
      <c r="N98" s="11" t="s">
        <v>55</v>
      </c>
      <c r="O98" s="11">
        <v>0</v>
      </c>
      <c r="P98" s="12" t="s">
        <v>56</v>
      </c>
    </row>
    <row r="99" spans="3:16" ht="23.65" thickBot="1">
      <c r="C99" s="10" t="s">
        <v>51</v>
      </c>
      <c r="D99" s="11">
        <v>92</v>
      </c>
      <c r="E99" s="11" t="s">
        <v>52</v>
      </c>
      <c r="F99" s="11" t="str">
        <f>'Guarantees provided'!G93</f>
        <v>862304840042940</v>
      </c>
      <c r="G99" s="11" t="str">
        <f>'Guarantees provided'!A93</f>
        <v>BANCO SANTANDER TOTTA S.A.</v>
      </c>
      <c r="H99" s="11" t="str">
        <f>IF('Guarantees provided'!B93="#",'Guarantees provided'!C93,'Guarantees provided'!B93)</f>
        <v>549300URJH9VSI58CS32</v>
      </c>
      <c r="I99" s="11" t="str">
        <f>IF('Guarantees provided'!B93="#","Type of identifier, other than LEI or MFI code","LEI code")</f>
        <v>LEI code</v>
      </c>
      <c r="J99" s="14" t="str">
        <f>IF(OR('Guarantees provided'!H93="E",'Guarantees provided'!H93="x"),"True","False")</f>
        <v>False</v>
      </c>
      <c r="K99" s="11" t="s">
        <v>53</v>
      </c>
      <c r="L99" s="11" t="s">
        <v>54</v>
      </c>
      <c r="M99" s="11">
        <f>-'Guarantees provided'!D93</f>
        <v>50000</v>
      </c>
      <c r="N99" s="11" t="s">
        <v>55</v>
      </c>
      <c r="O99" s="11">
        <v>0</v>
      </c>
      <c r="P99" s="12" t="s">
        <v>56</v>
      </c>
    </row>
    <row r="100" spans="3:16" ht="23.65" thickBot="1">
      <c r="C100" s="10" t="s">
        <v>51</v>
      </c>
      <c r="D100" s="11">
        <v>93</v>
      </c>
      <c r="E100" s="11" t="s">
        <v>52</v>
      </c>
      <c r="F100" s="11" t="str">
        <f>'Guarantees provided'!G94</f>
        <v>862304840044920</v>
      </c>
      <c r="G100" s="11" t="str">
        <f>'Guarantees provided'!A94</f>
        <v>BANCO SANTANDER TOTTA S.A.</v>
      </c>
      <c r="H100" s="11" t="str">
        <f>IF('Guarantees provided'!B94="#",'Guarantees provided'!C94,'Guarantees provided'!B94)</f>
        <v>549300URJH9VSI58CS32</v>
      </c>
      <c r="I100" s="11" t="str">
        <f>IF('Guarantees provided'!B94="#","Type of identifier, other than LEI or MFI code","LEI code")</f>
        <v>LEI code</v>
      </c>
      <c r="J100" s="14" t="str">
        <f>IF(OR('Guarantees provided'!H94="E",'Guarantees provided'!H94="x"),"True","False")</f>
        <v>False</v>
      </c>
      <c r="K100" s="11" t="s">
        <v>53</v>
      </c>
      <c r="L100" s="11" t="s">
        <v>54</v>
      </c>
      <c r="M100" s="11">
        <f>-'Guarantees provided'!D94</f>
        <v>43338.1</v>
      </c>
      <c r="N100" s="11" t="s">
        <v>55</v>
      </c>
      <c r="O100" s="11">
        <v>0</v>
      </c>
      <c r="P100" s="12" t="s">
        <v>56</v>
      </c>
    </row>
    <row r="101" spans="3:16" ht="23.65" thickBot="1">
      <c r="C101" s="10" t="s">
        <v>51</v>
      </c>
      <c r="D101" s="11">
        <v>94</v>
      </c>
      <c r="E101" s="11" t="s">
        <v>52</v>
      </c>
      <c r="F101" s="11" t="str">
        <f>'Guarantees provided'!G95</f>
        <v>862304840049330</v>
      </c>
      <c r="G101" s="11" t="str">
        <f>'Guarantees provided'!A95</f>
        <v>BANCO SANTANDER TOTTA S.A.</v>
      </c>
      <c r="H101" s="11" t="str">
        <f>IF('Guarantees provided'!B95="#",'Guarantees provided'!C95,'Guarantees provided'!B95)</f>
        <v>549300URJH9VSI58CS32</v>
      </c>
      <c r="I101" s="11" t="str">
        <f>IF('Guarantees provided'!B95="#","Type of identifier, other than LEI or MFI code","LEI code")</f>
        <v>LEI code</v>
      </c>
      <c r="J101" s="14" t="str">
        <f>IF(OR('Guarantees provided'!H95="E",'Guarantees provided'!H95="x"),"True","False")</f>
        <v>False</v>
      </c>
      <c r="K101" s="11" t="s">
        <v>53</v>
      </c>
      <c r="L101" s="11" t="s">
        <v>54</v>
      </c>
      <c r="M101" s="11">
        <f>-'Guarantees provided'!D95</f>
        <v>6609.56</v>
      </c>
      <c r="N101" s="11" t="s">
        <v>55</v>
      </c>
      <c r="O101" s="11">
        <v>0</v>
      </c>
      <c r="P101" s="12" t="s">
        <v>56</v>
      </c>
    </row>
    <row r="102" spans="3:16" ht="23.65" thickBot="1">
      <c r="C102" s="10" t="s">
        <v>51</v>
      </c>
      <c r="D102" s="11">
        <v>95</v>
      </c>
      <c r="E102" s="11" t="s">
        <v>52</v>
      </c>
      <c r="F102" s="11" t="str">
        <f>'Guarantees provided'!G96</f>
        <v>862304840057070</v>
      </c>
      <c r="G102" s="11" t="str">
        <f>'Guarantees provided'!A96</f>
        <v>BANCO SANTANDER TOTTA S.A.</v>
      </c>
      <c r="H102" s="11" t="str">
        <f>IF('Guarantees provided'!B96="#",'Guarantees provided'!C96,'Guarantees provided'!B96)</f>
        <v>549300URJH9VSI58CS32</v>
      </c>
      <c r="I102" s="11" t="str">
        <f>IF('Guarantees provided'!B96="#","Type of identifier, other than LEI or MFI code","LEI code")</f>
        <v>LEI code</v>
      </c>
      <c r="J102" s="14" t="str">
        <f>IF(OR('Guarantees provided'!H96="E",'Guarantees provided'!H96="x"),"True","False")</f>
        <v>False</v>
      </c>
      <c r="K102" s="11" t="s">
        <v>53</v>
      </c>
      <c r="L102" s="11" t="s">
        <v>54</v>
      </c>
      <c r="M102" s="11">
        <f>-'Guarantees provided'!D96</f>
        <v>2250</v>
      </c>
      <c r="N102" s="11" t="s">
        <v>55</v>
      </c>
      <c r="O102" s="11">
        <v>0</v>
      </c>
      <c r="P102" s="12" t="s">
        <v>56</v>
      </c>
    </row>
    <row r="103" spans="3:16" ht="23.65" thickBot="1">
      <c r="C103" s="10" t="s">
        <v>51</v>
      </c>
      <c r="D103" s="11">
        <v>96</v>
      </c>
      <c r="E103" s="11" t="s">
        <v>52</v>
      </c>
      <c r="F103" s="11" t="str">
        <f>'Guarantees provided'!G97</f>
        <v>862304840097570</v>
      </c>
      <c r="G103" s="11" t="str">
        <f>'Guarantees provided'!A97</f>
        <v>BANCO SANTANDER TOTTA S.A.</v>
      </c>
      <c r="H103" s="11" t="str">
        <f>IF('Guarantees provided'!B97="#",'Guarantees provided'!C97,'Guarantees provided'!B97)</f>
        <v>549300URJH9VSI58CS32</v>
      </c>
      <c r="I103" s="11" t="str">
        <f>IF('Guarantees provided'!B97="#","Type of identifier, other than LEI or MFI code","LEI code")</f>
        <v>LEI code</v>
      </c>
      <c r="J103" s="14" t="str">
        <f>IF(OR('Guarantees provided'!H97="E",'Guarantees provided'!H97="x"),"True","False")</f>
        <v>False</v>
      </c>
      <c r="K103" s="11" t="s">
        <v>53</v>
      </c>
      <c r="L103" s="11" t="s">
        <v>54</v>
      </c>
      <c r="M103" s="11">
        <f>-'Guarantees provided'!D97</f>
        <v>8335.4699999999993</v>
      </c>
      <c r="N103" s="11" t="s">
        <v>55</v>
      </c>
      <c r="O103" s="11">
        <v>0</v>
      </c>
      <c r="P103" s="12" t="s">
        <v>56</v>
      </c>
    </row>
    <row r="104" spans="3:16" ht="23.65" thickBot="1">
      <c r="C104" s="10" t="s">
        <v>51</v>
      </c>
      <c r="D104" s="11">
        <v>97</v>
      </c>
      <c r="E104" s="11" t="s">
        <v>52</v>
      </c>
      <c r="F104" s="11" t="str">
        <f>'Guarantees provided'!G98</f>
        <v>862304840097700</v>
      </c>
      <c r="G104" s="11" t="str">
        <f>'Guarantees provided'!A98</f>
        <v>BANCO SANTANDER TOTTA S.A.</v>
      </c>
      <c r="H104" s="11" t="str">
        <f>IF('Guarantees provided'!B98="#",'Guarantees provided'!C98,'Guarantees provided'!B98)</f>
        <v>549300URJH9VSI58CS32</v>
      </c>
      <c r="I104" s="11" t="str">
        <f>IF('Guarantees provided'!B98="#","Type of identifier, other than LEI or MFI code","LEI code")</f>
        <v>LEI code</v>
      </c>
      <c r="J104" s="14" t="str">
        <f>IF(OR('Guarantees provided'!H98="E",'Guarantees provided'!H98="x"),"True","False")</f>
        <v>False</v>
      </c>
      <c r="K104" s="11" t="s">
        <v>53</v>
      </c>
      <c r="L104" s="11" t="s">
        <v>54</v>
      </c>
      <c r="M104" s="11">
        <f>-'Guarantees provided'!D98</f>
        <v>4987.9799999999996</v>
      </c>
      <c r="N104" s="11" t="s">
        <v>55</v>
      </c>
      <c r="O104" s="11">
        <v>0</v>
      </c>
      <c r="P104" s="12" t="s">
        <v>56</v>
      </c>
    </row>
    <row r="105" spans="3:16" ht="23.65" thickBot="1">
      <c r="C105" s="10" t="s">
        <v>51</v>
      </c>
      <c r="D105" s="11">
        <v>98</v>
      </c>
      <c r="E105" s="11" t="s">
        <v>52</v>
      </c>
      <c r="F105" s="11" t="str">
        <f>'Guarantees provided'!G99</f>
        <v>862304840110540</v>
      </c>
      <c r="G105" s="11" t="str">
        <f>'Guarantees provided'!A99</f>
        <v>BANCO SANTANDER TOTTA S.A.</v>
      </c>
      <c r="H105" s="11" t="str">
        <f>IF('Guarantees provided'!B99="#",'Guarantees provided'!C99,'Guarantees provided'!B99)</f>
        <v>549300URJH9VSI58CS32</v>
      </c>
      <c r="I105" s="11" t="str">
        <f>IF('Guarantees provided'!B99="#","Type of identifier, other than LEI or MFI code","LEI code")</f>
        <v>LEI code</v>
      </c>
      <c r="J105" s="14" t="str">
        <f>IF(OR('Guarantees provided'!H99="E",'Guarantees provided'!H99="x"),"True","False")</f>
        <v>False</v>
      </c>
      <c r="K105" s="11" t="s">
        <v>53</v>
      </c>
      <c r="L105" s="11" t="s">
        <v>54</v>
      </c>
      <c r="M105" s="11">
        <f>-'Guarantees provided'!D99</f>
        <v>10000</v>
      </c>
      <c r="N105" s="11" t="s">
        <v>55</v>
      </c>
      <c r="O105" s="11">
        <v>0</v>
      </c>
      <c r="P105" s="12" t="s">
        <v>56</v>
      </c>
    </row>
    <row r="106" spans="3:16" ht="23.65" thickBot="1">
      <c r="C106" s="10" t="s">
        <v>51</v>
      </c>
      <c r="D106" s="11">
        <v>99</v>
      </c>
      <c r="E106" s="11" t="s">
        <v>52</v>
      </c>
      <c r="F106" s="11" t="str">
        <f>'Guarantees provided'!G100</f>
        <v>862304840132710</v>
      </c>
      <c r="G106" s="11" t="str">
        <f>'Guarantees provided'!A100</f>
        <v>BANCO SANTANDER TOTTA S.A.</v>
      </c>
      <c r="H106" s="11" t="str">
        <f>IF('Guarantees provided'!B100="#",'Guarantees provided'!C100,'Guarantees provided'!B100)</f>
        <v>549300URJH9VSI58CS32</v>
      </c>
      <c r="I106" s="11" t="str">
        <f>IF('Guarantees provided'!B100="#","Type of identifier, other than LEI or MFI code","LEI code")</f>
        <v>LEI code</v>
      </c>
      <c r="J106" s="14" t="str">
        <f>IF(OR('Guarantees provided'!H100="E",'Guarantees provided'!H100="x"),"True","False")</f>
        <v>False</v>
      </c>
      <c r="K106" s="11" t="s">
        <v>53</v>
      </c>
      <c r="L106" s="11" t="s">
        <v>54</v>
      </c>
      <c r="M106" s="11">
        <f>-'Guarantees provided'!D100</f>
        <v>27673.85</v>
      </c>
      <c r="N106" s="11" t="s">
        <v>55</v>
      </c>
      <c r="O106" s="11">
        <v>0</v>
      </c>
      <c r="P106" s="12" t="s">
        <v>56</v>
      </c>
    </row>
    <row r="107" spans="3:16" ht="23.65" thickBot="1">
      <c r="C107" s="10" t="s">
        <v>51</v>
      </c>
      <c r="D107" s="11">
        <v>100</v>
      </c>
      <c r="E107" s="11" t="s">
        <v>52</v>
      </c>
      <c r="F107" s="11" t="str">
        <f>'Guarantees provided'!G101</f>
        <v>862304840237230</v>
      </c>
      <c r="G107" s="11" t="str">
        <f>'Guarantees provided'!A101</f>
        <v>BANCO SANTANDER TOTTA S.A.</v>
      </c>
      <c r="H107" s="11" t="str">
        <f>IF('Guarantees provided'!B101="#",'Guarantees provided'!C101,'Guarantees provided'!B101)</f>
        <v>549300URJH9VSI58CS32</v>
      </c>
      <c r="I107" s="11" t="str">
        <f>IF('Guarantees provided'!B101="#","Type of identifier, other than LEI or MFI code","LEI code")</f>
        <v>LEI code</v>
      </c>
      <c r="J107" s="14" t="str">
        <f>IF(OR('Guarantees provided'!H101="E",'Guarantees provided'!H101="x"),"True","False")</f>
        <v>False</v>
      </c>
      <c r="K107" s="11" t="s">
        <v>53</v>
      </c>
      <c r="L107" s="11" t="s">
        <v>54</v>
      </c>
      <c r="M107" s="11">
        <f>-'Guarantees provided'!D101</f>
        <v>1680000</v>
      </c>
      <c r="N107" s="11" t="s">
        <v>55</v>
      </c>
      <c r="O107" s="11">
        <v>0</v>
      </c>
      <c r="P107" s="12" t="s">
        <v>56</v>
      </c>
    </row>
    <row r="108" spans="3:16" ht="23.65" thickBot="1">
      <c r="C108" s="10" t="s">
        <v>51</v>
      </c>
      <c r="D108" s="11">
        <v>101</v>
      </c>
      <c r="E108" s="11" t="s">
        <v>52</v>
      </c>
      <c r="F108" s="11" t="str">
        <f>'Guarantees provided'!G102</f>
        <v>862304840237260</v>
      </c>
      <c r="G108" s="11" t="str">
        <f>'Guarantees provided'!A102</f>
        <v>BANCO SANTANDER TOTTA S.A.</v>
      </c>
      <c r="H108" s="11" t="str">
        <f>IF('Guarantees provided'!B102="#",'Guarantees provided'!C102,'Guarantees provided'!B102)</f>
        <v>549300URJH9VSI58CS32</v>
      </c>
      <c r="I108" s="11" t="str">
        <f>IF('Guarantees provided'!B102="#","Type of identifier, other than LEI or MFI code","LEI code")</f>
        <v>LEI code</v>
      </c>
      <c r="J108" s="14" t="str">
        <f>IF(OR('Guarantees provided'!H102="E",'Guarantees provided'!H102="x"),"True","False")</f>
        <v>False</v>
      </c>
      <c r="K108" s="11" t="s">
        <v>53</v>
      </c>
      <c r="L108" s="11" t="s">
        <v>54</v>
      </c>
      <c r="M108" s="11">
        <f>-'Guarantees provided'!D102</f>
        <v>260000</v>
      </c>
      <c r="N108" s="11" t="s">
        <v>55</v>
      </c>
      <c r="O108" s="11">
        <v>0</v>
      </c>
      <c r="P108" s="12" t="s">
        <v>56</v>
      </c>
    </row>
    <row r="109" spans="3:16" ht="23.65" thickBot="1">
      <c r="C109" s="10" t="s">
        <v>51</v>
      </c>
      <c r="D109" s="11">
        <v>102</v>
      </c>
      <c r="E109" s="11" t="s">
        <v>52</v>
      </c>
      <c r="F109" s="11" t="str">
        <f>'Guarantees provided'!G103</f>
        <v>162304840013480</v>
      </c>
      <c r="G109" s="11" t="str">
        <f>'Guarantees provided'!A103</f>
        <v>BANCO SANTANDER TOTTA S.A.</v>
      </c>
      <c r="H109" s="11" t="str">
        <f>IF('Guarantees provided'!B103="#",'Guarantees provided'!C103,'Guarantees provided'!B103)</f>
        <v>549300URJH9VSI58CS32</v>
      </c>
      <c r="I109" s="11" t="str">
        <f>IF('Guarantees provided'!B103="#","Type of identifier, other than LEI or MFI code","LEI code")</f>
        <v>LEI code</v>
      </c>
      <c r="J109" s="14" t="str">
        <f>IF(OR('Guarantees provided'!H103="E",'Guarantees provided'!H103="x"),"True","False")</f>
        <v>False</v>
      </c>
      <c r="K109" s="11" t="s">
        <v>53</v>
      </c>
      <c r="L109" s="11" t="s">
        <v>54</v>
      </c>
      <c r="M109" s="11">
        <f>-'Guarantees provided'!D103</f>
        <v>540022.24</v>
      </c>
      <c r="N109" s="11" t="s">
        <v>55</v>
      </c>
      <c r="O109" s="11">
        <v>0</v>
      </c>
      <c r="P109" s="12" t="s">
        <v>56</v>
      </c>
    </row>
    <row r="110" spans="3:16" ht="23.65" thickBot="1">
      <c r="C110" s="10" t="s">
        <v>51</v>
      </c>
      <c r="D110" s="11">
        <v>103</v>
      </c>
      <c r="E110" s="11" t="s">
        <v>52</v>
      </c>
      <c r="F110" s="11" t="str">
        <f>'Guarantees provided'!G104</f>
        <v>162304848006190</v>
      </c>
      <c r="G110" s="11" t="str">
        <f>'Guarantees provided'!A104</f>
        <v>BANCO SANTANDER TOTTA S.A.</v>
      </c>
      <c r="H110" s="11" t="str">
        <f>IF('Guarantees provided'!B104="#",'Guarantees provided'!C104,'Guarantees provided'!B104)</f>
        <v>549300URJH9VSI58CS32</v>
      </c>
      <c r="I110" s="11" t="str">
        <f>IF('Guarantees provided'!B104="#","Type of identifier, other than LEI or MFI code","LEI code")</f>
        <v>LEI code</v>
      </c>
      <c r="J110" s="14" t="str">
        <f>IF(OR('Guarantees provided'!H104="E",'Guarantees provided'!H104="x"),"True","False")</f>
        <v>False</v>
      </c>
      <c r="K110" s="11" t="s">
        <v>53</v>
      </c>
      <c r="L110" s="11" t="s">
        <v>54</v>
      </c>
      <c r="M110" s="11">
        <f>-'Guarantees provided'!D104</f>
        <v>137189.37</v>
      </c>
      <c r="N110" s="11" t="s">
        <v>55</v>
      </c>
      <c r="O110" s="11">
        <v>0</v>
      </c>
      <c r="P110" s="12" t="s">
        <v>56</v>
      </c>
    </row>
    <row r="111" spans="3:16" ht="23.65" thickBot="1">
      <c r="C111" s="10" t="s">
        <v>51</v>
      </c>
      <c r="D111" s="11">
        <v>104</v>
      </c>
      <c r="E111" s="11" t="s">
        <v>52</v>
      </c>
      <c r="F111" s="11" t="str">
        <f>'Guarantees provided'!G105</f>
        <v>588804815139970</v>
      </c>
      <c r="G111" s="11" t="str">
        <f>'Guarantees provided'!A105</f>
        <v>BANCO SANTANDER TOTTA S.A.</v>
      </c>
      <c r="H111" s="11" t="str">
        <f>IF('Guarantees provided'!B105="#",'Guarantees provided'!C105,'Guarantees provided'!B105)</f>
        <v>549300URJH9VSI58CS32</v>
      </c>
      <c r="I111" s="11" t="str">
        <f>IF('Guarantees provided'!B105="#","Type of identifier, other than LEI or MFI code","LEI code")</f>
        <v>LEI code</v>
      </c>
      <c r="J111" s="14" t="str">
        <f>IF(OR('Guarantees provided'!H105="E",'Guarantees provided'!H105="x"),"True","False")</f>
        <v>False</v>
      </c>
      <c r="K111" s="11" t="s">
        <v>53</v>
      </c>
      <c r="L111" s="11" t="s">
        <v>54</v>
      </c>
      <c r="M111" s="11">
        <f>-'Guarantees provided'!D105</f>
        <v>4738.58</v>
      </c>
      <c r="N111" s="11" t="s">
        <v>55</v>
      </c>
      <c r="O111" s="11">
        <v>0</v>
      </c>
      <c r="P111" s="12" t="s">
        <v>56</v>
      </c>
    </row>
    <row r="112" spans="3:16" ht="23.65" thickBot="1">
      <c r="C112" s="10" t="s">
        <v>51</v>
      </c>
      <c r="D112" s="11">
        <v>105</v>
      </c>
      <c r="E112" s="11" t="s">
        <v>52</v>
      </c>
      <c r="F112" s="11" t="str">
        <f>'Guarantees provided'!G106</f>
        <v>588804815175670</v>
      </c>
      <c r="G112" s="11" t="str">
        <f>'Guarantees provided'!A106</f>
        <v>BANCO SANTANDER TOTTA S.A.</v>
      </c>
      <c r="H112" s="11" t="str">
        <f>IF('Guarantees provided'!B106="#",'Guarantees provided'!C106,'Guarantees provided'!B106)</f>
        <v>549300URJH9VSI58CS32</v>
      </c>
      <c r="I112" s="11" t="str">
        <f>IF('Guarantees provided'!B106="#","Type of identifier, other than LEI or MFI code","LEI code")</f>
        <v>LEI code</v>
      </c>
      <c r="J112" s="14" t="str">
        <f>IF(OR('Guarantees provided'!H106="E",'Guarantees provided'!H106="x"),"True","False")</f>
        <v>False</v>
      </c>
      <c r="K112" s="11" t="s">
        <v>53</v>
      </c>
      <c r="L112" s="11" t="s">
        <v>54</v>
      </c>
      <c r="M112" s="11">
        <f>-'Guarantees provided'!D106</f>
        <v>14963.94</v>
      </c>
      <c r="N112" s="11" t="s">
        <v>55</v>
      </c>
      <c r="O112" s="11">
        <v>0</v>
      </c>
      <c r="P112" s="12" t="s">
        <v>56</v>
      </c>
    </row>
    <row r="113" spans="3:16" ht="23.65" thickBot="1">
      <c r="C113" s="10" t="s">
        <v>51</v>
      </c>
      <c r="D113" s="11">
        <v>106</v>
      </c>
      <c r="E113" s="11" t="s">
        <v>52</v>
      </c>
      <c r="F113" s="11" t="str">
        <f>'Guarantees provided'!G107</f>
        <v>588804815175860</v>
      </c>
      <c r="G113" s="11" t="str">
        <f>'Guarantees provided'!A107</f>
        <v>BANCO SANTANDER TOTTA S.A.</v>
      </c>
      <c r="H113" s="11" t="str">
        <f>IF('Guarantees provided'!B107="#",'Guarantees provided'!C107,'Guarantees provided'!B107)</f>
        <v>549300URJH9VSI58CS32</v>
      </c>
      <c r="I113" s="11" t="str">
        <f>IF('Guarantees provided'!B107="#","Type of identifier, other than LEI or MFI code","LEI code")</f>
        <v>LEI code</v>
      </c>
      <c r="J113" s="14" t="str">
        <f>IF(OR('Guarantees provided'!H107="E",'Guarantees provided'!H107="x"),"True","False")</f>
        <v>False</v>
      </c>
      <c r="K113" s="11" t="s">
        <v>53</v>
      </c>
      <c r="L113" s="11" t="s">
        <v>54</v>
      </c>
      <c r="M113" s="11">
        <f>-'Guarantees provided'!D107</f>
        <v>24939.89</v>
      </c>
      <c r="N113" s="11" t="s">
        <v>55</v>
      </c>
      <c r="O113" s="11">
        <v>0</v>
      </c>
      <c r="P113" s="12" t="s">
        <v>56</v>
      </c>
    </row>
    <row r="114" spans="3:16" ht="23.65" thickBot="1">
      <c r="C114" s="10" t="s">
        <v>51</v>
      </c>
      <c r="D114" s="11">
        <v>107</v>
      </c>
      <c r="E114" s="11" t="s">
        <v>52</v>
      </c>
      <c r="F114" s="11" t="str">
        <f>'Guarantees provided'!G108</f>
        <v>588804815189570</v>
      </c>
      <c r="G114" s="11" t="str">
        <f>'Guarantees provided'!A108</f>
        <v>BANCO SANTANDER TOTTA S.A.</v>
      </c>
      <c r="H114" s="11" t="str">
        <f>IF('Guarantees provided'!B108="#",'Guarantees provided'!C108,'Guarantees provided'!B108)</f>
        <v>549300URJH9VSI58CS32</v>
      </c>
      <c r="I114" s="11" t="str">
        <f>IF('Guarantees provided'!B108="#","Type of identifier, other than LEI or MFI code","LEI code")</f>
        <v>LEI code</v>
      </c>
      <c r="J114" s="14" t="str">
        <f>IF(OR('Guarantees provided'!H108="E",'Guarantees provided'!H108="x"),"True","False")</f>
        <v>False</v>
      </c>
      <c r="K114" s="11" t="s">
        <v>53</v>
      </c>
      <c r="L114" s="11" t="s">
        <v>54</v>
      </c>
      <c r="M114" s="11">
        <f>-'Guarantees provided'!D108</f>
        <v>238375.52</v>
      </c>
      <c r="N114" s="11" t="s">
        <v>55</v>
      </c>
      <c r="O114" s="11">
        <v>0</v>
      </c>
      <c r="P114" s="12" t="s">
        <v>56</v>
      </c>
    </row>
    <row r="115" spans="3:16" ht="23.65" thickBot="1">
      <c r="C115" s="10" t="s">
        <v>51</v>
      </c>
      <c r="D115" s="11">
        <v>108</v>
      </c>
      <c r="E115" s="11" t="s">
        <v>52</v>
      </c>
      <c r="F115" s="11" t="str">
        <f>'Guarantees provided'!G109</f>
        <v>588804815682400</v>
      </c>
      <c r="G115" s="11" t="str">
        <f>'Guarantees provided'!A109</f>
        <v>BANCO SANTANDER TOTTA S.A.</v>
      </c>
      <c r="H115" s="11" t="str">
        <f>IF('Guarantees provided'!B109="#",'Guarantees provided'!C109,'Guarantees provided'!B109)</f>
        <v>549300URJH9VSI58CS32</v>
      </c>
      <c r="I115" s="11" t="str">
        <f>IF('Guarantees provided'!B109="#","Type of identifier, other than LEI or MFI code","LEI code")</f>
        <v>LEI code</v>
      </c>
      <c r="J115" s="14" t="str">
        <f>IF(OR('Guarantees provided'!H109="E",'Guarantees provided'!H109="x"),"True","False")</f>
        <v>False</v>
      </c>
      <c r="K115" s="11" t="s">
        <v>53</v>
      </c>
      <c r="L115" s="11" t="s">
        <v>54</v>
      </c>
      <c r="M115" s="11">
        <f>-'Guarantees provided'!D109</f>
        <v>14963.94</v>
      </c>
      <c r="N115" s="11" t="s">
        <v>55</v>
      </c>
      <c r="O115" s="11">
        <v>0</v>
      </c>
      <c r="P115" s="12" t="s">
        <v>56</v>
      </c>
    </row>
    <row r="116" spans="3:16" ht="23.65" thickBot="1">
      <c r="C116" s="10" t="s">
        <v>51</v>
      </c>
      <c r="D116" s="11">
        <v>109</v>
      </c>
      <c r="E116" s="11" t="s">
        <v>52</v>
      </c>
      <c r="F116" s="11" t="str">
        <f>'Guarantees provided'!G110</f>
        <v>599904815004320</v>
      </c>
      <c r="G116" s="11" t="str">
        <f>'Guarantees provided'!A110</f>
        <v>BANCO SANTANDER TOTTA S.A.</v>
      </c>
      <c r="H116" s="11" t="str">
        <f>IF('Guarantees provided'!B110="#",'Guarantees provided'!C110,'Guarantees provided'!B110)</f>
        <v>549300URJH9VSI58CS32</v>
      </c>
      <c r="I116" s="11" t="str">
        <f>IF('Guarantees provided'!B110="#","Type of identifier, other than LEI or MFI code","LEI code")</f>
        <v>LEI code</v>
      </c>
      <c r="J116" s="14" t="str">
        <f>IF(OR('Guarantees provided'!H110="E",'Guarantees provided'!H110="x"),"True","False")</f>
        <v>False</v>
      </c>
      <c r="K116" s="11" t="s">
        <v>53</v>
      </c>
      <c r="L116" s="11" t="s">
        <v>54</v>
      </c>
      <c r="M116" s="11">
        <f>-'Guarantees provided'!D110</f>
        <v>33389.589999999997</v>
      </c>
      <c r="N116" s="11" t="s">
        <v>55</v>
      </c>
      <c r="O116" s="11">
        <v>0</v>
      </c>
      <c r="P116" s="12" t="s">
        <v>56</v>
      </c>
    </row>
    <row r="117" spans="3:16" ht="23.65" thickBot="1">
      <c r="C117" s="10" t="s">
        <v>51</v>
      </c>
      <c r="D117" s="11">
        <v>110</v>
      </c>
      <c r="E117" s="11" t="s">
        <v>52</v>
      </c>
      <c r="F117" s="11" t="str">
        <f>'Guarantees provided'!G111</f>
        <v>599904815136520</v>
      </c>
      <c r="G117" s="11" t="str">
        <f>'Guarantees provided'!A111</f>
        <v>BANCO SANTANDER TOTTA S.A.</v>
      </c>
      <c r="H117" s="11" t="str">
        <f>IF('Guarantees provided'!B111="#",'Guarantees provided'!C111,'Guarantees provided'!B111)</f>
        <v>549300URJH9VSI58CS32</v>
      </c>
      <c r="I117" s="11" t="str">
        <f>IF('Guarantees provided'!B111="#","Type of identifier, other than LEI or MFI code","LEI code")</f>
        <v>LEI code</v>
      </c>
      <c r="J117" s="14" t="str">
        <f>IF(OR('Guarantees provided'!H111="E",'Guarantees provided'!H111="x"),"True","False")</f>
        <v>False</v>
      </c>
      <c r="K117" s="11" t="s">
        <v>53</v>
      </c>
      <c r="L117" s="11" t="s">
        <v>54</v>
      </c>
      <c r="M117" s="11">
        <f>-'Guarantees provided'!D111</f>
        <v>41948.9</v>
      </c>
      <c r="N117" s="11" t="s">
        <v>55</v>
      </c>
      <c r="O117" s="11">
        <v>0</v>
      </c>
      <c r="P117" s="12" t="s">
        <v>56</v>
      </c>
    </row>
    <row r="118" spans="3:16" ht="23.65" thickBot="1">
      <c r="C118" s="10" t="s">
        <v>51</v>
      </c>
      <c r="D118" s="11">
        <v>111</v>
      </c>
      <c r="E118" s="11" t="s">
        <v>52</v>
      </c>
      <c r="F118" s="11" t="str">
        <f>'Guarantees provided'!G112</f>
        <v>599904815137200</v>
      </c>
      <c r="G118" s="11" t="str">
        <f>'Guarantees provided'!A112</f>
        <v>BANCO SANTANDER TOTTA S.A.</v>
      </c>
      <c r="H118" s="11" t="str">
        <f>IF('Guarantees provided'!B112="#",'Guarantees provided'!C112,'Guarantees provided'!B112)</f>
        <v>549300URJH9VSI58CS32</v>
      </c>
      <c r="I118" s="11" t="str">
        <f>IF('Guarantees provided'!B112="#","Type of identifier, other than LEI or MFI code","LEI code")</f>
        <v>LEI code</v>
      </c>
      <c r="J118" s="14" t="str">
        <f>IF(OR('Guarantees provided'!H112="E",'Guarantees provided'!H112="x"),"True","False")</f>
        <v>False</v>
      </c>
      <c r="K118" s="11" t="s">
        <v>53</v>
      </c>
      <c r="L118" s="11" t="s">
        <v>54</v>
      </c>
      <c r="M118" s="11">
        <f>-'Guarantees provided'!D112</f>
        <v>15401.85</v>
      </c>
      <c r="N118" s="11" t="s">
        <v>55</v>
      </c>
      <c r="O118" s="11">
        <v>0</v>
      </c>
      <c r="P118" s="12" t="s">
        <v>56</v>
      </c>
    </row>
    <row r="119" spans="3:16" ht="23.65" thickBot="1">
      <c r="C119" s="10" t="s">
        <v>51</v>
      </c>
      <c r="D119" s="11">
        <v>112</v>
      </c>
      <c r="E119" s="11" t="s">
        <v>52</v>
      </c>
      <c r="F119" s="11" t="str">
        <f>'Guarantees provided'!G113</f>
        <v>599904815137350</v>
      </c>
      <c r="G119" s="11" t="str">
        <f>'Guarantees provided'!A113</f>
        <v>BANCO SANTANDER TOTTA S.A.</v>
      </c>
      <c r="H119" s="11" t="str">
        <f>IF('Guarantees provided'!B113="#",'Guarantees provided'!C113,'Guarantees provided'!B113)</f>
        <v>549300URJH9VSI58CS32</v>
      </c>
      <c r="I119" s="11" t="str">
        <f>IF('Guarantees provided'!B113="#","Type of identifier, other than LEI or MFI code","LEI code")</f>
        <v>LEI code</v>
      </c>
      <c r="J119" s="14" t="str">
        <f>IF(OR('Guarantees provided'!H113="E",'Guarantees provided'!H113="x"),"True","False")</f>
        <v>False</v>
      </c>
      <c r="K119" s="11" t="s">
        <v>53</v>
      </c>
      <c r="L119" s="11" t="s">
        <v>54</v>
      </c>
      <c r="M119" s="11">
        <f>-'Guarantees provided'!D113</f>
        <v>17144.759999999998</v>
      </c>
      <c r="N119" s="11" t="s">
        <v>55</v>
      </c>
      <c r="O119" s="11">
        <v>0</v>
      </c>
      <c r="P119" s="12" t="s">
        <v>56</v>
      </c>
    </row>
    <row r="120" spans="3:16" ht="23.65" thickBot="1">
      <c r="C120" s="10" t="s">
        <v>51</v>
      </c>
      <c r="D120" s="11">
        <v>113</v>
      </c>
      <c r="E120" s="11" t="s">
        <v>52</v>
      </c>
      <c r="F120" s="11" t="str">
        <f>'Guarantees provided'!G114</f>
        <v>599904815281080</v>
      </c>
      <c r="G120" s="11" t="str">
        <f>'Guarantees provided'!A114</f>
        <v>BANCO SANTANDER TOTTA S.A.</v>
      </c>
      <c r="H120" s="11" t="str">
        <f>IF('Guarantees provided'!B114="#",'Guarantees provided'!C114,'Guarantees provided'!B114)</f>
        <v>549300URJH9VSI58CS32</v>
      </c>
      <c r="I120" s="11" t="str">
        <f>IF('Guarantees provided'!B114="#","Type of identifier, other than LEI or MFI code","LEI code")</f>
        <v>LEI code</v>
      </c>
      <c r="J120" s="14" t="str">
        <f>IF(OR('Guarantees provided'!H114="E",'Guarantees provided'!H114="x"),"True","False")</f>
        <v>False</v>
      </c>
      <c r="K120" s="11" t="s">
        <v>53</v>
      </c>
      <c r="L120" s="11" t="s">
        <v>54</v>
      </c>
      <c r="M120" s="11">
        <f>-'Guarantees provided'!D114</f>
        <v>94870.14</v>
      </c>
      <c r="N120" s="11" t="s">
        <v>55</v>
      </c>
      <c r="O120" s="11">
        <v>0</v>
      </c>
      <c r="P120" s="12" t="s">
        <v>56</v>
      </c>
    </row>
    <row r="121" spans="3:16" ht="23.65" thickBot="1">
      <c r="C121" s="10" t="s">
        <v>51</v>
      </c>
      <c r="D121" s="11">
        <v>114</v>
      </c>
      <c r="E121" s="11" t="s">
        <v>52</v>
      </c>
      <c r="F121" s="11" t="str">
        <f>'Guarantees provided'!G115</f>
        <v>599904815282370</v>
      </c>
      <c r="G121" s="11" t="str">
        <f>'Guarantees provided'!A115</f>
        <v>BANCO SANTANDER TOTTA S.A.</v>
      </c>
      <c r="H121" s="11" t="str">
        <f>IF('Guarantees provided'!B115="#",'Guarantees provided'!C115,'Guarantees provided'!B115)</f>
        <v>549300URJH9VSI58CS32</v>
      </c>
      <c r="I121" s="11" t="str">
        <f>IF('Guarantees provided'!B115="#","Type of identifier, other than LEI or MFI code","LEI code")</f>
        <v>LEI code</v>
      </c>
      <c r="J121" s="14" t="str">
        <f>IF(OR('Guarantees provided'!H115="E",'Guarantees provided'!H115="x"),"True","False")</f>
        <v>False</v>
      </c>
      <c r="K121" s="11" t="s">
        <v>53</v>
      </c>
      <c r="L121" s="11" t="s">
        <v>54</v>
      </c>
      <c r="M121" s="11">
        <f>-'Guarantees provided'!D115</f>
        <v>6197.26</v>
      </c>
      <c r="N121" s="11" t="s">
        <v>55</v>
      </c>
      <c r="O121" s="11">
        <v>0</v>
      </c>
      <c r="P121" s="12" t="s">
        <v>56</v>
      </c>
    </row>
    <row r="122" spans="3:16" ht="23.65" thickBot="1">
      <c r="C122" s="10" t="s">
        <v>51</v>
      </c>
      <c r="D122" s="11">
        <v>115</v>
      </c>
      <c r="E122" s="11" t="s">
        <v>52</v>
      </c>
      <c r="F122" s="11" t="str">
        <f>'Guarantees provided'!G116</f>
        <v>599904815282560</v>
      </c>
      <c r="G122" s="11" t="str">
        <f>'Guarantees provided'!A116</f>
        <v>BANCO SANTANDER TOTTA S.A.</v>
      </c>
      <c r="H122" s="11" t="str">
        <f>IF('Guarantees provided'!B116="#",'Guarantees provided'!C116,'Guarantees provided'!B116)</f>
        <v>549300URJH9VSI58CS32</v>
      </c>
      <c r="I122" s="11" t="str">
        <f>IF('Guarantees provided'!B116="#","Type of identifier, other than LEI or MFI code","LEI code")</f>
        <v>LEI code</v>
      </c>
      <c r="J122" s="14" t="str">
        <f>IF(OR('Guarantees provided'!H116="E",'Guarantees provided'!H116="x"),"True","False")</f>
        <v>False</v>
      </c>
      <c r="K122" s="11" t="s">
        <v>53</v>
      </c>
      <c r="L122" s="11" t="s">
        <v>54</v>
      </c>
      <c r="M122" s="11">
        <f>-'Guarantees provided'!D116</f>
        <v>2019.29</v>
      </c>
      <c r="N122" s="11" t="s">
        <v>55</v>
      </c>
      <c r="O122" s="11">
        <v>0</v>
      </c>
      <c r="P122" s="12" t="s">
        <v>56</v>
      </c>
    </row>
    <row r="123" spans="3:16" ht="23.65" thickBot="1">
      <c r="C123" s="10" t="s">
        <v>51</v>
      </c>
      <c r="D123" s="11">
        <v>116</v>
      </c>
      <c r="E123" s="11" t="s">
        <v>52</v>
      </c>
      <c r="F123" s="11" t="str">
        <f>'Guarantees provided'!G117</f>
        <v>599904815283090</v>
      </c>
      <c r="G123" s="11" t="str">
        <f>'Guarantees provided'!A117</f>
        <v>BANCO SANTANDER TOTTA S.A.</v>
      </c>
      <c r="H123" s="11" t="str">
        <f>IF('Guarantees provided'!B117="#",'Guarantees provided'!C117,'Guarantees provided'!B117)</f>
        <v>549300URJH9VSI58CS32</v>
      </c>
      <c r="I123" s="11" t="str">
        <f>IF('Guarantees provided'!B117="#","Type of identifier, other than LEI or MFI code","LEI code")</f>
        <v>LEI code</v>
      </c>
      <c r="J123" s="14" t="str">
        <f>IF(OR('Guarantees provided'!H117="E",'Guarantees provided'!H117="x"),"True","False")</f>
        <v>False</v>
      </c>
      <c r="K123" s="11" t="s">
        <v>53</v>
      </c>
      <c r="L123" s="11" t="s">
        <v>54</v>
      </c>
      <c r="M123" s="11">
        <f>-'Guarantees provided'!D117</f>
        <v>666.28</v>
      </c>
      <c r="N123" s="11" t="s">
        <v>55</v>
      </c>
      <c r="O123" s="11">
        <v>0</v>
      </c>
      <c r="P123" s="12" t="s">
        <v>56</v>
      </c>
    </row>
    <row r="124" spans="3:16" ht="23.65" thickBot="1">
      <c r="C124" s="10" t="s">
        <v>51</v>
      </c>
      <c r="D124" s="11">
        <v>117</v>
      </c>
      <c r="E124" s="11" t="s">
        <v>52</v>
      </c>
      <c r="F124" s="11" t="str">
        <f>'Guarantees provided'!G118</f>
        <v>599904815283510</v>
      </c>
      <c r="G124" s="11" t="str">
        <f>'Guarantees provided'!A118</f>
        <v>BANCO SANTANDER TOTTA S.A.</v>
      </c>
      <c r="H124" s="11" t="str">
        <f>IF('Guarantees provided'!B118="#",'Guarantees provided'!C118,'Guarantees provided'!B118)</f>
        <v>549300URJH9VSI58CS32</v>
      </c>
      <c r="I124" s="11" t="str">
        <f>IF('Guarantees provided'!B118="#","Type of identifier, other than LEI or MFI code","LEI code")</f>
        <v>LEI code</v>
      </c>
      <c r="J124" s="14" t="str">
        <f>IF(OR('Guarantees provided'!H118="E",'Guarantees provided'!H118="x"),"True","False")</f>
        <v>False</v>
      </c>
      <c r="K124" s="11" t="s">
        <v>53</v>
      </c>
      <c r="L124" s="11" t="s">
        <v>54</v>
      </c>
      <c r="M124" s="11">
        <f>-'Guarantees provided'!D118</f>
        <v>25908.62</v>
      </c>
      <c r="N124" s="11" t="s">
        <v>55</v>
      </c>
      <c r="O124" s="11">
        <v>0</v>
      </c>
      <c r="P124" s="12" t="s">
        <v>56</v>
      </c>
    </row>
    <row r="125" spans="3:16" ht="23.65" thickBot="1">
      <c r="C125" s="10" t="s">
        <v>51</v>
      </c>
      <c r="D125" s="11">
        <v>118</v>
      </c>
      <c r="E125" s="11" t="s">
        <v>52</v>
      </c>
      <c r="F125" s="11" t="str">
        <f>'Guarantees provided'!G119</f>
        <v>599904815644120</v>
      </c>
      <c r="G125" s="11" t="str">
        <f>'Guarantees provided'!A119</f>
        <v>BANCO SANTANDER TOTTA S.A.</v>
      </c>
      <c r="H125" s="11" t="str">
        <f>IF('Guarantees provided'!B119="#",'Guarantees provided'!C119,'Guarantees provided'!B119)</f>
        <v>549300URJH9VSI58CS32</v>
      </c>
      <c r="I125" s="11" t="str">
        <f>IF('Guarantees provided'!B119="#","Type of identifier, other than LEI or MFI code","LEI code")</f>
        <v>LEI code</v>
      </c>
      <c r="J125" s="14" t="str">
        <f>IF(OR('Guarantees provided'!H119="E",'Guarantees provided'!H119="x"),"True","False")</f>
        <v>False</v>
      </c>
      <c r="K125" s="11" t="s">
        <v>53</v>
      </c>
      <c r="L125" s="11" t="s">
        <v>54</v>
      </c>
      <c r="M125" s="11">
        <f>-'Guarantees provided'!D119</f>
        <v>661.69</v>
      </c>
      <c r="N125" s="11" t="s">
        <v>55</v>
      </c>
      <c r="O125" s="11">
        <v>0</v>
      </c>
      <c r="P125" s="12" t="s">
        <v>56</v>
      </c>
    </row>
    <row r="126" spans="3:16" ht="23.65" thickBot="1">
      <c r="C126" s="10" t="s">
        <v>51</v>
      </c>
      <c r="D126" s="11">
        <v>119</v>
      </c>
      <c r="E126" s="11" t="s">
        <v>52</v>
      </c>
      <c r="F126" s="11" t="str">
        <f>'Guarantees provided'!G120</f>
        <v>599904815745530</v>
      </c>
      <c r="G126" s="11" t="str">
        <f>'Guarantees provided'!A120</f>
        <v>BANCO SANTANDER TOTTA S.A.</v>
      </c>
      <c r="H126" s="11" t="str">
        <f>IF('Guarantees provided'!B120="#",'Guarantees provided'!C120,'Guarantees provided'!B120)</f>
        <v>549300URJH9VSI58CS32</v>
      </c>
      <c r="I126" s="11" t="str">
        <f>IF('Guarantees provided'!B120="#","Type of identifier, other than LEI or MFI code","LEI code")</f>
        <v>LEI code</v>
      </c>
      <c r="J126" s="14" t="str">
        <f>IF(OR('Guarantees provided'!H120="E",'Guarantees provided'!H120="x"),"True","False")</f>
        <v>False</v>
      </c>
      <c r="K126" s="11" t="s">
        <v>53</v>
      </c>
      <c r="L126" s="11" t="s">
        <v>54</v>
      </c>
      <c r="M126" s="11">
        <f>-'Guarantees provided'!D120</f>
        <v>1488.91</v>
      </c>
      <c r="N126" s="11" t="s">
        <v>55</v>
      </c>
      <c r="O126" s="11">
        <v>0</v>
      </c>
      <c r="P126" s="12" t="s">
        <v>56</v>
      </c>
    </row>
    <row r="127" spans="3:16" ht="23.65" thickBot="1">
      <c r="C127" s="10" t="s">
        <v>51</v>
      </c>
      <c r="D127" s="11">
        <v>120</v>
      </c>
      <c r="E127" s="11" t="s">
        <v>52</v>
      </c>
      <c r="F127" s="11" t="str">
        <f>'Guarantees provided'!G121</f>
        <v>599904815760970</v>
      </c>
      <c r="G127" s="11" t="str">
        <f>'Guarantees provided'!A121</f>
        <v>BANCO SANTANDER TOTTA S.A.</v>
      </c>
      <c r="H127" s="11" t="str">
        <f>IF('Guarantees provided'!B121="#",'Guarantees provided'!C121,'Guarantees provided'!B121)</f>
        <v>549300URJH9VSI58CS32</v>
      </c>
      <c r="I127" s="11" t="str">
        <f>IF('Guarantees provided'!B121="#","Type of identifier, other than LEI or MFI code","LEI code")</f>
        <v>LEI code</v>
      </c>
      <c r="J127" s="14" t="str">
        <f>IF(OR('Guarantees provided'!H121="E",'Guarantees provided'!H121="x"),"True","False")</f>
        <v>False</v>
      </c>
      <c r="K127" s="11" t="s">
        <v>53</v>
      </c>
      <c r="L127" s="11" t="s">
        <v>54</v>
      </c>
      <c r="M127" s="11">
        <f>-'Guarantees provided'!D121</f>
        <v>3649.77</v>
      </c>
      <c r="N127" s="11" t="s">
        <v>55</v>
      </c>
      <c r="O127" s="11">
        <v>0</v>
      </c>
      <c r="P127" s="12" t="s">
        <v>56</v>
      </c>
    </row>
    <row r="128" spans="3:16" ht="23.65" thickBot="1">
      <c r="C128" s="10" t="s">
        <v>51</v>
      </c>
      <c r="D128" s="11">
        <v>121</v>
      </c>
      <c r="E128" s="11" t="s">
        <v>52</v>
      </c>
      <c r="F128" s="11" t="str">
        <f>'Guarantees provided'!G122</f>
        <v>599904815790580</v>
      </c>
      <c r="G128" s="11" t="str">
        <f>'Guarantees provided'!A122</f>
        <v>BANCO SANTANDER TOTTA S.A.</v>
      </c>
      <c r="H128" s="11" t="str">
        <f>IF('Guarantees provided'!B122="#",'Guarantees provided'!C122,'Guarantees provided'!B122)</f>
        <v>549300URJH9VSI58CS32</v>
      </c>
      <c r="I128" s="11" t="str">
        <f>IF('Guarantees provided'!B122="#","Type of identifier, other than LEI or MFI code","LEI code")</f>
        <v>LEI code</v>
      </c>
      <c r="J128" s="14" t="str">
        <f>IF(OR('Guarantees provided'!H122="E",'Guarantees provided'!H122="x"),"True","False")</f>
        <v>False</v>
      </c>
      <c r="K128" s="11" t="s">
        <v>53</v>
      </c>
      <c r="L128" s="11" t="s">
        <v>54</v>
      </c>
      <c r="M128" s="11">
        <f>-'Guarantees provided'!D122</f>
        <v>56969.36</v>
      </c>
      <c r="N128" s="11" t="s">
        <v>55</v>
      </c>
      <c r="O128" s="11">
        <v>0</v>
      </c>
      <c r="P128" s="12" t="s">
        <v>56</v>
      </c>
    </row>
    <row r="129" spans="3:16" ht="23.65" thickBot="1">
      <c r="C129" s="10" t="s">
        <v>51</v>
      </c>
      <c r="D129" s="11">
        <v>122</v>
      </c>
      <c r="E129" s="11" t="s">
        <v>52</v>
      </c>
      <c r="F129" s="11" t="str">
        <f>'Guarantees provided'!G123</f>
        <v>599904816160530</v>
      </c>
      <c r="G129" s="11" t="str">
        <f>'Guarantees provided'!A123</f>
        <v>BANCO SANTANDER TOTTA S.A.</v>
      </c>
      <c r="H129" s="11" t="str">
        <f>IF('Guarantees provided'!B123="#",'Guarantees provided'!C123,'Guarantees provided'!B123)</f>
        <v>549300URJH9VSI58CS32</v>
      </c>
      <c r="I129" s="11" t="str">
        <f>IF('Guarantees provided'!B123="#","Type of identifier, other than LEI or MFI code","LEI code")</f>
        <v>LEI code</v>
      </c>
      <c r="J129" s="14" t="str">
        <f>IF(OR('Guarantees provided'!H123="E",'Guarantees provided'!H123="x"),"True","False")</f>
        <v>False</v>
      </c>
      <c r="K129" s="11" t="s">
        <v>53</v>
      </c>
      <c r="L129" s="11" t="s">
        <v>54</v>
      </c>
      <c r="M129" s="11">
        <f>-'Guarantees provided'!D123</f>
        <v>7041.45</v>
      </c>
      <c r="N129" s="11" t="s">
        <v>55</v>
      </c>
      <c r="O129" s="11">
        <v>0</v>
      </c>
      <c r="P129" s="12" t="s">
        <v>56</v>
      </c>
    </row>
    <row r="130" spans="3:16" ht="23.65" thickBot="1">
      <c r="C130" s="10" t="s">
        <v>51</v>
      </c>
      <c r="D130" s="11">
        <v>123</v>
      </c>
      <c r="E130" s="11" t="s">
        <v>52</v>
      </c>
      <c r="F130" s="11" t="str">
        <f>'Guarantees provided'!G124</f>
        <v>599904816238600</v>
      </c>
      <c r="G130" s="11" t="str">
        <f>'Guarantees provided'!A124</f>
        <v>BANCO SANTANDER TOTTA S.A.</v>
      </c>
      <c r="H130" s="11" t="str">
        <f>IF('Guarantees provided'!B124="#",'Guarantees provided'!C124,'Guarantees provided'!B124)</f>
        <v>549300URJH9VSI58CS32</v>
      </c>
      <c r="I130" s="11" t="str">
        <f>IF('Guarantees provided'!B124="#","Type of identifier, other than LEI or MFI code","LEI code")</f>
        <v>LEI code</v>
      </c>
      <c r="J130" s="14" t="str">
        <f>IF(OR('Guarantees provided'!H124="E",'Guarantees provided'!H124="x"),"True","False")</f>
        <v>False</v>
      </c>
      <c r="K130" s="11" t="s">
        <v>53</v>
      </c>
      <c r="L130" s="11" t="s">
        <v>54</v>
      </c>
      <c r="M130" s="11">
        <f>-'Guarantees provided'!D124</f>
        <v>229.45</v>
      </c>
      <c r="N130" s="11" t="s">
        <v>55</v>
      </c>
      <c r="O130" s="11">
        <v>0</v>
      </c>
      <c r="P130" s="12" t="s">
        <v>56</v>
      </c>
    </row>
    <row r="131" spans="3:16" ht="23.65" thickBot="1">
      <c r="C131" s="10" t="s">
        <v>51</v>
      </c>
      <c r="D131" s="11">
        <v>124</v>
      </c>
      <c r="E131" s="11" t="s">
        <v>52</v>
      </c>
      <c r="F131" s="11" t="str">
        <f>'Guarantees provided'!G125</f>
        <v>599904816311510</v>
      </c>
      <c r="G131" s="11" t="str">
        <f>'Guarantees provided'!A125</f>
        <v>BANCO SANTANDER TOTTA S.A.</v>
      </c>
      <c r="H131" s="11" t="str">
        <f>IF('Guarantees provided'!B125="#",'Guarantees provided'!C125,'Guarantees provided'!B125)</f>
        <v>549300URJH9VSI58CS32</v>
      </c>
      <c r="I131" s="11" t="str">
        <f>IF('Guarantees provided'!B125="#","Type of identifier, other than LEI or MFI code","LEI code")</f>
        <v>LEI code</v>
      </c>
      <c r="J131" s="14" t="str">
        <f>IF(OR('Guarantees provided'!H125="E",'Guarantees provided'!H125="x"),"True","False")</f>
        <v>False</v>
      </c>
      <c r="K131" s="11" t="s">
        <v>53</v>
      </c>
      <c r="L131" s="11" t="s">
        <v>54</v>
      </c>
      <c r="M131" s="11">
        <f>-'Guarantees provided'!D125</f>
        <v>17107</v>
      </c>
      <c r="N131" s="11" t="s">
        <v>55</v>
      </c>
      <c r="O131" s="11">
        <v>0</v>
      </c>
      <c r="P131" s="12" t="s">
        <v>56</v>
      </c>
    </row>
    <row r="132" spans="3:16" ht="23.65" thickBot="1">
      <c r="C132" s="10" t="s">
        <v>51</v>
      </c>
      <c r="D132" s="11">
        <v>125</v>
      </c>
      <c r="E132" s="11" t="s">
        <v>52</v>
      </c>
      <c r="F132" s="11" t="str">
        <f>'Guarantees provided'!G126</f>
        <v>599904816347150</v>
      </c>
      <c r="G132" s="11" t="str">
        <f>'Guarantees provided'!A126</f>
        <v>BANCO SANTANDER TOTTA S.A.</v>
      </c>
      <c r="H132" s="11" t="str">
        <f>IF('Guarantees provided'!B126="#",'Guarantees provided'!C126,'Guarantees provided'!B126)</f>
        <v>549300URJH9VSI58CS32</v>
      </c>
      <c r="I132" s="11" t="str">
        <f>IF('Guarantees provided'!B126="#","Type of identifier, other than LEI or MFI code","LEI code")</f>
        <v>LEI code</v>
      </c>
      <c r="J132" s="14" t="str">
        <f>IF(OR('Guarantees provided'!H126="E",'Guarantees provided'!H126="x"),"True","False")</f>
        <v>False</v>
      </c>
      <c r="K132" s="11" t="s">
        <v>53</v>
      </c>
      <c r="L132" s="11" t="s">
        <v>54</v>
      </c>
      <c r="M132" s="11">
        <f>-'Guarantees provided'!D126</f>
        <v>668.5</v>
      </c>
      <c r="N132" s="11" t="s">
        <v>55</v>
      </c>
      <c r="O132" s="11">
        <v>0</v>
      </c>
      <c r="P132" s="12" t="s">
        <v>56</v>
      </c>
    </row>
    <row r="133" spans="3:16" ht="23.65" thickBot="1">
      <c r="C133" s="10" t="s">
        <v>51</v>
      </c>
      <c r="D133" s="11">
        <v>126</v>
      </c>
      <c r="E133" s="11" t="s">
        <v>52</v>
      </c>
      <c r="F133" s="11" t="str">
        <f>'Guarantees provided'!G127</f>
        <v>599904816530910</v>
      </c>
      <c r="G133" s="11" t="str">
        <f>'Guarantees provided'!A127</f>
        <v>BANCO SANTANDER TOTTA S.A.</v>
      </c>
      <c r="H133" s="11" t="str">
        <f>IF('Guarantees provided'!B127="#",'Guarantees provided'!C127,'Guarantees provided'!B127)</f>
        <v>549300URJH9VSI58CS32</v>
      </c>
      <c r="I133" s="11" t="str">
        <f>IF('Guarantees provided'!B127="#","Type of identifier, other than LEI or MFI code","LEI code")</f>
        <v>LEI code</v>
      </c>
      <c r="J133" s="14" t="str">
        <f>IF(OR('Guarantees provided'!H127="E",'Guarantees provided'!H127="x"),"True","False")</f>
        <v>False</v>
      </c>
      <c r="K133" s="11" t="s">
        <v>53</v>
      </c>
      <c r="L133" s="11" t="s">
        <v>54</v>
      </c>
      <c r="M133" s="11">
        <f>-'Guarantees provided'!D127</f>
        <v>249.4</v>
      </c>
      <c r="N133" s="11" t="s">
        <v>55</v>
      </c>
      <c r="O133" s="11">
        <v>0</v>
      </c>
      <c r="P133" s="12" t="s">
        <v>56</v>
      </c>
    </row>
    <row r="134" spans="3:16" ht="23.65" thickBot="1">
      <c r="C134" s="10" t="s">
        <v>51</v>
      </c>
      <c r="D134" s="11">
        <v>127</v>
      </c>
      <c r="E134" s="11" t="s">
        <v>52</v>
      </c>
      <c r="F134" s="11" t="str">
        <f>'Guarantees provided'!G128</f>
        <v>599904817123520</v>
      </c>
      <c r="G134" s="11" t="str">
        <f>'Guarantees provided'!A128</f>
        <v>BANCO SANTANDER TOTTA S.A.</v>
      </c>
      <c r="H134" s="11" t="str">
        <f>IF('Guarantees provided'!B128="#",'Guarantees provided'!C128,'Guarantees provided'!B128)</f>
        <v>549300URJH9VSI58CS32</v>
      </c>
      <c r="I134" s="11" t="str">
        <f>IF('Guarantees provided'!B128="#","Type of identifier, other than LEI or MFI code","LEI code")</f>
        <v>LEI code</v>
      </c>
      <c r="J134" s="14" t="str">
        <f>IF(OR('Guarantees provided'!H128="E",'Guarantees provided'!H128="x"),"True","False")</f>
        <v>False</v>
      </c>
      <c r="K134" s="11" t="s">
        <v>53</v>
      </c>
      <c r="L134" s="11" t="s">
        <v>54</v>
      </c>
      <c r="M134" s="11">
        <f>-'Guarantees provided'!D128</f>
        <v>35210.14</v>
      </c>
      <c r="N134" s="11" t="s">
        <v>55</v>
      </c>
      <c r="O134" s="11">
        <v>0</v>
      </c>
      <c r="P134" s="12" t="s">
        <v>56</v>
      </c>
    </row>
    <row r="135" spans="3:16" ht="23.65" thickBot="1">
      <c r="C135" s="10" t="s">
        <v>51</v>
      </c>
      <c r="D135" s="11">
        <v>128</v>
      </c>
      <c r="E135" s="11" t="s">
        <v>52</v>
      </c>
      <c r="F135" s="11" t="str">
        <f>'Guarantees provided'!G129</f>
        <v>362304840002560</v>
      </c>
      <c r="G135" s="11" t="str">
        <f>'Guarantees provided'!A129</f>
        <v>BANCO SANTANDER TOTTA S.A.</v>
      </c>
      <c r="H135" s="11" t="str">
        <f>IF('Guarantees provided'!B129="#",'Guarantees provided'!C129,'Guarantees provided'!B129)</f>
        <v>549300URJH9VSI58CS32</v>
      </c>
      <c r="I135" s="11" t="str">
        <f>IF('Guarantees provided'!B129="#","Type of identifier, other than LEI or MFI code","LEI code")</f>
        <v>LEI code</v>
      </c>
      <c r="J135" s="14" t="str">
        <f>IF(OR('Guarantees provided'!H129="E",'Guarantees provided'!H129="x"),"True","False")</f>
        <v>False</v>
      </c>
      <c r="K135" s="11" t="s">
        <v>53</v>
      </c>
      <c r="L135" s="11" t="s">
        <v>54</v>
      </c>
      <c r="M135" s="11">
        <f>-'Guarantees provided'!D129</f>
        <v>9975.9599999999991</v>
      </c>
      <c r="N135" s="11" t="s">
        <v>55</v>
      </c>
      <c r="O135" s="11">
        <v>0</v>
      </c>
      <c r="P135" s="12" t="s">
        <v>56</v>
      </c>
    </row>
    <row r="136" spans="3:16" ht="23.65" thickBot="1">
      <c r="C136" s="10" t="s">
        <v>51</v>
      </c>
      <c r="D136" s="11">
        <v>129</v>
      </c>
      <c r="E136" s="11" t="s">
        <v>52</v>
      </c>
      <c r="F136" s="11" t="str">
        <f>'Guarantees provided'!G130</f>
        <v>362304840008310</v>
      </c>
      <c r="G136" s="11" t="str">
        <f>'Guarantees provided'!A130</f>
        <v>BANCO SANTANDER TOTTA S.A.</v>
      </c>
      <c r="H136" s="11" t="str">
        <f>IF('Guarantees provided'!B130="#",'Guarantees provided'!C130,'Guarantees provided'!B130)</f>
        <v>549300URJH9VSI58CS32</v>
      </c>
      <c r="I136" s="11" t="str">
        <f>IF('Guarantees provided'!B130="#","Type of identifier, other than LEI or MFI code","LEI code")</f>
        <v>LEI code</v>
      </c>
      <c r="J136" s="14" t="str">
        <f>IF(OR('Guarantees provided'!H130="E",'Guarantees provided'!H130="x"),"True","False")</f>
        <v>False</v>
      </c>
      <c r="K136" s="11" t="s">
        <v>53</v>
      </c>
      <c r="L136" s="11" t="s">
        <v>54</v>
      </c>
      <c r="M136" s="11">
        <f>-'Guarantees provided'!D130</f>
        <v>3100.93</v>
      </c>
      <c r="N136" s="11" t="s">
        <v>55</v>
      </c>
      <c r="O136" s="11">
        <v>0</v>
      </c>
      <c r="P136" s="12" t="s">
        <v>56</v>
      </c>
    </row>
    <row r="137" spans="3:16" ht="23.65" thickBot="1">
      <c r="C137" s="10" t="s">
        <v>51</v>
      </c>
      <c r="D137" s="11">
        <v>130</v>
      </c>
      <c r="E137" s="11" t="s">
        <v>52</v>
      </c>
      <c r="F137" s="11" t="str">
        <f>'Guarantees provided'!G131</f>
        <v>399904810171700</v>
      </c>
      <c r="G137" s="11" t="str">
        <f>'Guarantees provided'!A131</f>
        <v>BANCO SANTANDER TOTTA S.A.</v>
      </c>
      <c r="H137" s="11" t="str">
        <f>IF('Guarantees provided'!B131="#",'Guarantees provided'!C131,'Guarantees provided'!B131)</f>
        <v>549300URJH9VSI58CS32</v>
      </c>
      <c r="I137" s="11" t="str">
        <f>IF('Guarantees provided'!B131="#","Type of identifier, other than LEI or MFI code","LEI code")</f>
        <v>LEI code</v>
      </c>
      <c r="J137" s="14" t="str">
        <f>IF(OR('Guarantees provided'!H131="E",'Guarantees provided'!H131="x"),"True","False")</f>
        <v>False</v>
      </c>
      <c r="K137" s="11" t="s">
        <v>53</v>
      </c>
      <c r="L137" s="11" t="s">
        <v>54</v>
      </c>
      <c r="M137" s="11">
        <f>-'Guarantees provided'!D131</f>
        <v>1665.98</v>
      </c>
      <c r="N137" s="11" t="s">
        <v>55</v>
      </c>
      <c r="O137" s="11">
        <v>0</v>
      </c>
      <c r="P137" s="12" t="s">
        <v>56</v>
      </c>
    </row>
    <row r="138" spans="3:16" ht="23.65" thickBot="1">
      <c r="C138" s="10" t="s">
        <v>51</v>
      </c>
      <c r="D138" s="11">
        <v>131</v>
      </c>
      <c r="E138" s="11" t="s">
        <v>52</v>
      </c>
      <c r="F138" s="11" t="str">
        <f>'Guarantees provided'!G132</f>
        <v>399904810290270</v>
      </c>
      <c r="G138" s="11" t="str">
        <f>'Guarantees provided'!A132</f>
        <v>BANCO SANTANDER TOTTA S.A.</v>
      </c>
      <c r="H138" s="11" t="str">
        <f>IF('Guarantees provided'!B132="#",'Guarantees provided'!C132,'Guarantees provided'!B132)</f>
        <v>549300URJH9VSI58CS32</v>
      </c>
      <c r="I138" s="11" t="str">
        <f>IF('Guarantees provided'!B132="#","Type of identifier, other than LEI or MFI code","LEI code")</f>
        <v>LEI code</v>
      </c>
      <c r="J138" s="14" t="str">
        <f>IF(OR('Guarantees provided'!H132="E",'Guarantees provided'!H132="x"),"True","False")</f>
        <v>False</v>
      </c>
      <c r="K138" s="11" t="s">
        <v>53</v>
      </c>
      <c r="L138" s="11" t="s">
        <v>54</v>
      </c>
      <c r="M138" s="11">
        <f>-'Guarantees provided'!D132</f>
        <v>1977.73</v>
      </c>
      <c r="N138" s="11" t="s">
        <v>55</v>
      </c>
      <c r="O138" s="11">
        <v>0</v>
      </c>
      <c r="P138" s="12" t="s">
        <v>56</v>
      </c>
    </row>
    <row r="139" spans="3:16" ht="23.65" thickBot="1">
      <c r="C139" s="10" t="s">
        <v>51</v>
      </c>
      <c r="D139" s="11">
        <v>132</v>
      </c>
      <c r="E139" s="11" t="s">
        <v>52</v>
      </c>
      <c r="F139" s="11" t="str">
        <f>'Guarantees provided'!G133</f>
        <v>399904810301850</v>
      </c>
      <c r="G139" s="11" t="str">
        <f>'Guarantees provided'!A133</f>
        <v>BANCO SANTANDER TOTTA S.A.</v>
      </c>
      <c r="H139" s="11" t="str">
        <f>IF('Guarantees provided'!B133="#",'Guarantees provided'!C133,'Guarantees provided'!B133)</f>
        <v>549300URJH9VSI58CS32</v>
      </c>
      <c r="I139" s="11" t="str">
        <f>IF('Guarantees provided'!B133="#","Type of identifier, other than LEI or MFI code","LEI code")</f>
        <v>LEI code</v>
      </c>
      <c r="J139" s="14" t="str">
        <f>IF(OR('Guarantees provided'!H133="E",'Guarantees provided'!H133="x"),"True","False")</f>
        <v>False</v>
      </c>
      <c r="K139" s="11" t="s">
        <v>53</v>
      </c>
      <c r="L139" s="11" t="s">
        <v>54</v>
      </c>
      <c r="M139" s="11">
        <f>-'Guarantees provided'!D133</f>
        <v>224459.05</v>
      </c>
      <c r="N139" s="11" t="s">
        <v>55</v>
      </c>
      <c r="O139" s="11">
        <v>0</v>
      </c>
      <c r="P139" s="12" t="s">
        <v>56</v>
      </c>
    </row>
    <row r="140" spans="3:16" ht="23.65" thickBot="1">
      <c r="C140" s="10" t="s">
        <v>51</v>
      </c>
      <c r="D140" s="11">
        <v>133</v>
      </c>
      <c r="E140" s="11" t="s">
        <v>52</v>
      </c>
      <c r="F140" s="11" t="str">
        <f>'Guarantees provided'!G134</f>
        <v>399904810324650</v>
      </c>
      <c r="G140" s="11" t="str">
        <f>'Guarantees provided'!A134</f>
        <v>BANCO SANTANDER TOTTA S.A.</v>
      </c>
      <c r="H140" s="11" t="str">
        <f>IF('Guarantees provided'!B134="#",'Guarantees provided'!C134,'Guarantees provided'!B134)</f>
        <v>549300URJH9VSI58CS32</v>
      </c>
      <c r="I140" s="11" t="str">
        <f>IF('Guarantees provided'!B134="#","Type of identifier, other than LEI or MFI code","LEI code")</f>
        <v>LEI code</v>
      </c>
      <c r="J140" s="14" t="str">
        <f>IF(OR('Guarantees provided'!H134="E",'Guarantees provided'!H134="x"),"True","False")</f>
        <v>False</v>
      </c>
      <c r="K140" s="11" t="s">
        <v>53</v>
      </c>
      <c r="L140" s="11" t="s">
        <v>54</v>
      </c>
      <c r="M140" s="11">
        <f>-'Guarantees provided'!D134</f>
        <v>1478.94</v>
      </c>
      <c r="N140" s="11" t="s">
        <v>55</v>
      </c>
      <c r="O140" s="11">
        <v>0</v>
      </c>
      <c r="P140" s="12" t="s">
        <v>56</v>
      </c>
    </row>
    <row r="141" spans="3:16" ht="23.65" thickBot="1">
      <c r="C141" s="10" t="s">
        <v>51</v>
      </c>
      <c r="D141" s="11">
        <v>134</v>
      </c>
      <c r="E141" s="11" t="s">
        <v>52</v>
      </c>
      <c r="F141" s="11" t="str">
        <f>'Guarantees provided'!G135</f>
        <v>399904810324780</v>
      </c>
      <c r="G141" s="11" t="str">
        <f>'Guarantees provided'!A135</f>
        <v>BANCO SANTANDER TOTTA S.A.</v>
      </c>
      <c r="H141" s="11" t="str">
        <f>IF('Guarantees provided'!B135="#",'Guarantees provided'!C135,'Guarantees provided'!B135)</f>
        <v>549300URJH9VSI58CS32</v>
      </c>
      <c r="I141" s="11" t="str">
        <f>IF('Guarantees provided'!B135="#","Type of identifier, other than LEI or MFI code","LEI code")</f>
        <v>LEI code</v>
      </c>
      <c r="J141" s="14" t="str">
        <f>IF(OR('Guarantees provided'!H135="E",'Guarantees provided'!H135="x"),"True","False")</f>
        <v>False</v>
      </c>
      <c r="K141" s="11" t="s">
        <v>53</v>
      </c>
      <c r="L141" s="11" t="s">
        <v>54</v>
      </c>
      <c r="M141" s="11">
        <f>-'Guarantees provided'!D135</f>
        <v>1603.64</v>
      </c>
      <c r="N141" s="11" t="s">
        <v>55</v>
      </c>
      <c r="O141" s="11">
        <v>0</v>
      </c>
      <c r="P141" s="12" t="s">
        <v>56</v>
      </c>
    </row>
    <row r="142" spans="3:16" ht="23.65" thickBot="1">
      <c r="C142" s="10" t="s">
        <v>51</v>
      </c>
      <c r="D142" s="11">
        <v>135</v>
      </c>
      <c r="E142" s="11" t="s">
        <v>52</v>
      </c>
      <c r="F142" s="11" t="str">
        <f>'Guarantees provided'!G136</f>
        <v>399904810339790</v>
      </c>
      <c r="G142" s="11" t="str">
        <f>'Guarantees provided'!A136</f>
        <v>BANCO SANTANDER TOTTA S.A.</v>
      </c>
      <c r="H142" s="11" t="str">
        <f>IF('Guarantees provided'!B136="#",'Guarantees provided'!C136,'Guarantees provided'!B136)</f>
        <v>549300URJH9VSI58CS32</v>
      </c>
      <c r="I142" s="11" t="str">
        <f>IF('Guarantees provided'!B136="#","Type of identifier, other than LEI or MFI code","LEI code")</f>
        <v>LEI code</v>
      </c>
      <c r="J142" s="14" t="str">
        <f>IF(OR('Guarantees provided'!H136="E",'Guarantees provided'!H136="x"),"True","False")</f>
        <v>False</v>
      </c>
      <c r="K142" s="11" t="s">
        <v>53</v>
      </c>
      <c r="L142" s="11" t="s">
        <v>54</v>
      </c>
      <c r="M142" s="11">
        <f>-'Guarantees provided'!D136</f>
        <v>4135.03</v>
      </c>
      <c r="N142" s="11" t="s">
        <v>55</v>
      </c>
      <c r="O142" s="11">
        <v>0</v>
      </c>
      <c r="P142" s="12" t="s">
        <v>56</v>
      </c>
    </row>
    <row r="143" spans="3:16" ht="23.65" thickBot="1">
      <c r="C143" s="10" t="s">
        <v>51</v>
      </c>
      <c r="D143" s="11">
        <v>136</v>
      </c>
      <c r="E143" s="11" t="s">
        <v>52</v>
      </c>
      <c r="F143" s="11" t="str">
        <f>'Guarantees provided'!G137</f>
        <v>399904810437210</v>
      </c>
      <c r="G143" s="11" t="str">
        <f>'Guarantees provided'!A137</f>
        <v>BANCO SANTANDER TOTTA S.A.</v>
      </c>
      <c r="H143" s="11" t="str">
        <f>IF('Guarantees provided'!B137="#",'Guarantees provided'!C137,'Guarantees provided'!B137)</f>
        <v>549300URJH9VSI58CS32</v>
      </c>
      <c r="I143" s="11" t="str">
        <f>IF('Guarantees provided'!B137="#","Type of identifier, other than LEI or MFI code","LEI code")</f>
        <v>LEI code</v>
      </c>
      <c r="J143" s="14" t="str">
        <f>IF(OR('Guarantees provided'!H137="E",'Guarantees provided'!H137="x"),"True","False")</f>
        <v>False</v>
      </c>
      <c r="K143" s="11" t="s">
        <v>53</v>
      </c>
      <c r="L143" s="11" t="s">
        <v>54</v>
      </c>
      <c r="M143" s="11">
        <f>-'Guarantees provided'!D137</f>
        <v>2464.06</v>
      </c>
      <c r="N143" s="11" t="s">
        <v>55</v>
      </c>
      <c r="O143" s="11">
        <v>0</v>
      </c>
      <c r="P143" s="12" t="s">
        <v>56</v>
      </c>
    </row>
    <row r="144" spans="3:16" ht="23.65" thickBot="1">
      <c r="C144" s="10" t="s">
        <v>51</v>
      </c>
      <c r="D144" s="11">
        <v>137</v>
      </c>
      <c r="E144" s="11" t="s">
        <v>52</v>
      </c>
      <c r="F144" s="11" t="str">
        <f>'Guarantees provided'!G138</f>
        <v>399904810461790</v>
      </c>
      <c r="G144" s="11" t="str">
        <f>'Guarantees provided'!A138</f>
        <v>BANCO SANTANDER TOTTA S.A.</v>
      </c>
      <c r="H144" s="11" t="str">
        <f>IF('Guarantees provided'!B138="#",'Guarantees provided'!C138,'Guarantees provided'!B138)</f>
        <v>549300URJH9VSI58CS32</v>
      </c>
      <c r="I144" s="11" t="str">
        <f>IF('Guarantees provided'!B138="#","Type of identifier, other than LEI or MFI code","LEI code")</f>
        <v>LEI code</v>
      </c>
      <c r="J144" s="14" t="str">
        <f>IF(OR('Guarantees provided'!H138="E",'Guarantees provided'!H138="x"),"True","False")</f>
        <v>False</v>
      </c>
      <c r="K144" s="11" t="s">
        <v>53</v>
      </c>
      <c r="L144" s="11" t="s">
        <v>54</v>
      </c>
      <c r="M144" s="11">
        <f>-'Guarantees provided'!D138</f>
        <v>2102.4299999999998</v>
      </c>
      <c r="N144" s="11" t="s">
        <v>55</v>
      </c>
      <c r="O144" s="11">
        <v>0</v>
      </c>
      <c r="P144" s="12" t="s">
        <v>56</v>
      </c>
    </row>
    <row r="145" spans="3:16" ht="23.65" thickBot="1">
      <c r="C145" s="10" t="s">
        <v>51</v>
      </c>
      <c r="D145" s="11">
        <v>138</v>
      </c>
      <c r="E145" s="11" t="s">
        <v>52</v>
      </c>
      <c r="F145" s="11" t="str">
        <f>'Guarantees provided'!G139</f>
        <v>399904810479030</v>
      </c>
      <c r="G145" s="11" t="str">
        <f>'Guarantees provided'!A139</f>
        <v>BANCO SANTANDER TOTTA S.A.</v>
      </c>
      <c r="H145" s="11" t="str">
        <f>IF('Guarantees provided'!B139="#",'Guarantees provided'!C139,'Guarantees provided'!B139)</f>
        <v>549300URJH9VSI58CS32</v>
      </c>
      <c r="I145" s="11" t="str">
        <f>IF('Guarantees provided'!B139="#","Type of identifier, other than LEI or MFI code","LEI code")</f>
        <v>LEI code</v>
      </c>
      <c r="J145" s="14" t="str">
        <f>IF(OR('Guarantees provided'!H139="E",'Guarantees provided'!H139="x"),"True","False")</f>
        <v>False</v>
      </c>
      <c r="K145" s="11" t="s">
        <v>53</v>
      </c>
      <c r="L145" s="11" t="s">
        <v>54</v>
      </c>
      <c r="M145" s="11">
        <f>-'Guarantees provided'!D139</f>
        <v>32837.660000000003</v>
      </c>
      <c r="N145" s="11" t="s">
        <v>55</v>
      </c>
      <c r="O145" s="11">
        <v>0</v>
      </c>
      <c r="P145" s="12" t="s">
        <v>56</v>
      </c>
    </row>
    <row r="146" spans="3:16" ht="23.65" thickBot="1">
      <c r="C146" s="10" t="s">
        <v>51</v>
      </c>
      <c r="D146" s="11">
        <v>139</v>
      </c>
      <c r="E146" s="11" t="s">
        <v>52</v>
      </c>
      <c r="F146" s="11" t="str">
        <f>'Guarantees provided'!G140</f>
        <v>399904810497040</v>
      </c>
      <c r="G146" s="11" t="str">
        <f>'Guarantees provided'!A140</f>
        <v>BANCO SANTANDER TOTTA S.A.</v>
      </c>
      <c r="H146" s="11" t="str">
        <f>IF('Guarantees provided'!B140="#",'Guarantees provided'!C140,'Guarantees provided'!B140)</f>
        <v>549300URJH9VSI58CS32</v>
      </c>
      <c r="I146" s="11" t="str">
        <f>IF('Guarantees provided'!B140="#","Type of identifier, other than LEI or MFI code","LEI code")</f>
        <v>LEI code</v>
      </c>
      <c r="J146" s="14" t="str">
        <f>IF(OR('Guarantees provided'!H140="E",'Guarantees provided'!H140="x"),"True","False")</f>
        <v>False</v>
      </c>
      <c r="K146" s="11" t="s">
        <v>53</v>
      </c>
      <c r="L146" s="11" t="s">
        <v>54</v>
      </c>
      <c r="M146" s="11">
        <f>-'Guarantees provided'!D140</f>
        <v>1940.32</v>
      </c>
      <c r="N146" s="11" t="s">
        <v>55</v>
      </c>
      <c r="O146" s="11">
        <v>0</v>
      </c>
      <c r="P146" s="12" t="s">
        <v>56</v>
      </c>
    </row>
    <row r="147" spans="3:16" ht="23.65" thickBot="1">
      <c r="C147" s="10" t="s">
        <v>51</v>
      </c>
      <c r="D147" s="11">
        <v>140</v>
      </c>
      <c r="E147" s="11" t="s">
        <v>52</v>
      </c>
      <c r="F147" s="11" t="str">
        <f>'Guarantees provided'!G141</f>
        <v>399904810531930</v>
      </c>
      <c r="G147" s="11" t="str">
        <f>'Guarantees provided'!A141</f>
        <v>BANCO SANTANDER TOTTA S.A.</v>
      </c>
      <c r="H147" s="11" t="str">
        <f>IF('Guarantees provided'!B141="#",'Guarantees provided'!C141,'Guarantees provided'!B141)</f>
        <v>549300URJH9VSI58CS32</v>
      </c>
      <c r="I147" s="11" t="str">
        <f>IF('Guarantees provided'!B141="#","Type of identifier, other than LEI or MFI code","LEI code")</f>
        <v>LEI code</v>
      </c>
      <c r="J147" s="14" t="str">
        <f>IF(OR('Guarantees provided'!H141="E",'Guarantees provided'!H141="x"),"True","False")</f>
        <v>False</v>
      </c>
      <c r="K147" s="11" t="s">
        <v>53</v>
      </c>
      <c r="L147" s="11" t="s">
        <v>54</v>
      </c>
      <c r="M147" s="11">
        <f>-'Guarantees provided'!D141</f>
        <v>1179.6600000000001</v>
      </c>
      <c r="N147" s="11" t="s">
        <v>55</v>
      </c>
      <c r="O147" s="11">
        <v>0</v>
      </c>
      <c r="P147" s="12" t="s">
        <v>56</v>
      </c>
    </row>
    <row r="148" spans="3:16" ht="23.65" thickBot="1">
      <c r="C148" s="10" t="s">
        <v>51</v>
      </c>
      <c r="D148" s="11">
        <v>141</v>
      </c>
      <c r="E148" s="11" t="s">
        <v>52</v>
      </c>
      <c r="F148" s="11" t="str">
        <f>'Guarantees provided'!G142</f>
        <v>399904810554730</v>
      </c>
      <c r="G148" s="11" t="str">
        <f>'Guarantees provided'!A142</f>
        <v>BANCO SANTANDER TOTTA S.A.</v>
      </c>
      <c r="H148" s="11" t="str">
        <f>IF('Guarantees provided'!B142="#",'Guarantees provided'!C142,'Guarantees provided'!B142)</f>
        <v>549300URJH9VSI58CS32</v>
      </c>
      <c r="I148" s="11" t="str">
        <f>IF('Guarantees provided'!B142="#","Type of identifier, other than LEI or MFI code","LEI code")</f>
        <v>LEI code</v>
      </c>
      <c r="J148" s="14" t="str">
        <f>IF(OR('Guarantees provided'!H142="E",'Guarantees provided'!H142="x"),"True","False")</f>
        <v>False</v>
      </c>
      <c r="K148" s="11" t="s">
        <v>53</v>
      </c>
      <c r="L148" s="11" t="s">
        <v>54</v>
      </c>
      <c r="M148" s="11">
        <f>-'Guarantees provided'!D142</f>
        <v>1175.92</v>
      </c>
      <c r="N148" s="11" t="s">
        <v>55</v>
      </c>
      <c r="O148" s="11">
        <v>0</v>
      </c>
      <c r="P148" s="12" t="s">
        <v>56</v>
      </c>
    </row>
    <row r="149" spans="3:16" ht="23.65" thickBot="1">
      <c r="C149" s="10" t="s">
        <v>51</v>
      </c>
      <c r="D149" s="11">
        <v>142</v>
      </c>
      <c r="E149" s="11" t="s">
        <v>52</v>
      </c>
      <c r="F149" s="11" t="str">
        <f>'Guarantees provided'!G143</f>
        <v>399904810597970</v>
      </c>
      <c r="G149" s="11" t="str">
        <f>'Guarantees provided'!A143</f>
        <v>BANCO SANTANDER TOTTA S.A.</v>
      </c>
      <c r="H149" s="11" t="str">
        <f>IF('Guarantees provided'!B143="#",'Guarantees provided'!C143,'Guarantees provided'!B143)</f>
        <v>549300URJH9VSI58CS32</v>
      </c>
      <c r="I149" s="11" t="str">
        <f>IF('Guarantees provided'!B143="#","Type of identifier, other than LEI or MFI code","LEI code")</f>
        <v>LEI code</v>
      </c>
      <c r="J149" s="14" t="str">
        <f>IF(OR('Guarantees provided'!H143="E",'Guarantees provided'!H143="x"),"True","False")</f>
        <v>False</v>
      </c>
      <c r="K149" s="11" t="s">
        <v>53</v>
      </c>
      <c r="L149" s="11" t="s">
        <v>54</v>
      </c>
      <c r="M149" s="11">
        <f>-'Guarantees provided'!D143</f>
        <v>3208.02</v>
      </c>
      <c r="N149" s="11" t="s">
        <v>55</v>
      </c>
      <c r="O149" s="11">
        <v>0</v>
      </c>
      <c r="P149" s="12" t="s">
        <v>56</v>
      </c>
    </row>
    <row r="150" spans="3:16" ht="23.65" thickBot="1">
      <c r="C150" s="10" t="s">
        <v>51</v>
      </c>
      <c r="D150" s="11">
        <v>143</v>
      </c>
      <c r="E150" s="11" t="s">
        <v>52</v>
      </c>
      <c r="F150" s="11" t="str">
        <f>'Guarantees provided'!G144</f>
        <v>399904810734920</v>
      </c>
      <c r="G150" s="11" t="str">
        <f>'Guarantees provided'!A144</f>
        <v>BANCO SANTANDER TOTTA S.A.</v>
      </c>
      <c r="H150" s="11" t="str">
        <f>IF('Guarantees provided'!B144="#",'Guarantees provided'!C144,'Guarantees provided'!B144)</f>
        <v>549300URJH9VSI58CS32</v>
      </c>
      <c r="I150" s="11" t="str">
        <f>IF('Guarantees provided'!B144="#","Type of identifier, other than LEI or MFI code","LEI code")</f>
        <v>LEI code</v>
      </c>
      <c r="J150" s="14" t="str">
        <f>IF(OR('Guarantees provided'!H144="E",'Guarantees provided'!H144="x"),"True","False")</f>
        <v>False</v>
      </c>
      <c r="K150" s="11" t="s">
        <v>53</v>
      </c>
      <c r="L150" s="11" t="s">
        <v>54</v>
      </c>
      <c r="M150" s="11">
        <f>-'Guarantees provided'!D144</f>
        <v>448.92</v>
      </c>
      <c r="N150" s="11" t="s">
        <v>55</v>
      </c>
      <c r="O150" s="11">
        <v>0</v>
      </c>
      <c r="P150" s="12" t="s">
        <v>56</v>
      </c>
    </row>
    <row r="151" spans="3:16" ht="23.65" thickBot="1">
      <c r="C151" s="10" t="s">
        <v>51</v>
      </c>
      <c r="D151" s="11">
        <v>144</v>
      </c>
      <c r="E151" s="11" t="s">
        <v>52</v>
      </c>
      <c r="F151" s="11" t="str">
        <f>'Guarantees provided'!G145</f>
        <v>399904811239040</v>
      </c>
      <c r="G151" s="11" t="str">
        <f>'Guarantees provided'!A145</f>
        <v>BANCO SANTANDER TOTTA S.A.</v>
      </c>
      <c r="H151" s="11" t="str">
        <f>IF('Guarantees provided'!B145="#",'Guarantees provided'!C145,'Guarantees provided'!B145)</f>
        <v>549300URJH9VSI58CS32</v>
      </c>
      <c r="I151" s="11" t="str">
        <f>IF('Guarantees provided'!B145="#","Type of identifier, other than LEI or MFI code","LEI code")</f>
        <v>LEI code</v>
      </c>
      <c r="J151" s="14" t="str">
        <f>IF(OR('Guarantees provided'!H145="E",'Guarantees provided'!H145="x"),"True","False")</f>
        <v>False</v>
      </c>
      <c r="K151" s="11" t="s">
        <v>53</v>
      </c>
      <c r="L151" s="11" t="s">
        <v>54</v>
      </c>
      <c r="M151" s="11">
        <f>-'Guarantees provided'!D145</f>
        <v>49879.79</v>
      </c>
      <c r="N151" s="11" t="s">
        <v>55</v>
      </c>
      <c r="O151" s="11">
        <v>0</v>
      </c>
      <c r="P151" s="12" t="s">
        <v>56</v>
      </c>
    </row>
    <row r="152" spans="3:16" ht="23.65" thickBot="1">
      <c r="C152" s="10" t="s">
        <v>51</v>
      </c>
      <c r="D152" s="11">
        <v>145</v>
      </c>
      <c r="E152" s="11" t="s">
        <v>52</v>
      </c>
      <c r="F152" s="11" t="str">
        <f>'Guarantees provided'!G146</f>
        <v>399904811255440</v>
      </c>
      <c r="G152" s="11" t="str">
        <f>'Guarantees provided'!A146</f>
        <v>BANCO SANTANDER TOTTA S.A.</v>
      </c>
      <c r="H152" s="11" t="str">
        <f>IF('Guarantees provided'!B146="#",'Guarantees provided'!C146,'Guarantees provided'!B146)</f>
        <v>549300URJH9VSI58CS32</v>
      </c>
      <c r="I152" s="11" t="str">
        <f>IF('Guarantees provided'!B146="#","Type of identifier, other than LEI or MFI code","LEI code")</f>
        <v>LEI code</v>
      </c>
      <c r="J152" s="14" t="str">
        <f>IF(OR('Guarantees provided'!H146="E",'Guarantees provided'!H146="x"),"True","False")</f>
        <v>False</v>
      </c>
      <c r="K152" s="11" t="s">
        <v>53</v>
      </c>
      <c r="L152" s="11" t="s">
        <v>54</v>
      </c>
      <c r="M152" s="11">
        <f>-'Guarantees provided'!D146</f>
        <v>37409.839999999997</v>
      </c>
      <c r="N152" s="11" t="s">
        <v>55</v>
      </c>
      <c r="O152" s="11">
        <v>0</v>
      </c>
      <c r="P152" s="12" t="s">
        <v>56</v>
      </c>
    </row>
    <row r="153" spans="3:16" ht="23.65" thickBot="1">
      <c r="C153" s="10" t="s">
        <v>51</v>
      </c>
      <c r="D153" s="11">
        <v>146</v>
      </c>
      <c r="E153" s="11" t="s">
        <v>52</v>
      </c>
      <c r="F153" s="11" t="str">
        <f>'Guarantees provided'!G147</f>
        <v>399904811425540</v>
      </c>
      <c r="G153" s="11" t="str">
        <f>'Guarantees provided'!A147</f>
        <v>BANCO SANTANDER TOTTA S.A.</v>
      </c>
      <c r="H153" s="11" t="str">
        <f>IF('Guarantees provided'!B147="#",'Guarantees provided'!C147,'Guarantees provided'!B147)</f>
        <v>549300URJH9VSI58CS32</v>
      </c>
      <c r="I153" s="11" t="str">
        <f>IF('Guarantees provided'!B147="#","Type of identifier, other than LEI or MFI code","LEI code")</f>
        <v>LEI code</v>
      </c>
      <c r="J153" s="14" t="str">
        <f>IF(OR('Guarantees provided'!H147="E",'Guarantees provided'!H147="x"),"True","False")</f>
        <v>False</v>
      </c>
      <c r="K153" s="11" t="s">
        <v>53</v>
      </c>
      <c r="L153" s="11" t="s">
        <v>54</v>
      </c>
      <c r="M153" s="11">
        <f>-'Guarantees provided'!D147</f>
        <v>1298.73</v>
      </c>
      <c r="N153" s="11" t="s">
        <v>55</v>
      </c>
      <c r="O153" s="11">
        <v>0</v>
      </c>
      <c r="P153" s="12" t="s">
        <v>56</v>
      </c>
    </row>
    <row r="154" spans="3:16" ht="23.65" thickBot="1">
      <c r="C154" s="10" t="s">
        <v>51</v>
      </c>
      <c r="D154" s="11">
        <v>147</v>
      </c>
      <c r="E154" s="11" t="s">
        <v>52</v>
      </c>
      <c r="F154" s="11" t="str">
        <f>'Guarantees provided'!G148</f>
        <v>399904811497630</v>
      </c>
      <c r="G154" s="11" t="str">
        <f>'Guarantees provided'!A148</f>
        <v>BANCO SANTANDER TOTTA S.A.</v>
      </c>
      <c r="H154" s="11" t="str">
        <f>IF('Guarantees provided'!B148="#",'Guarantees provided'!C148,'Guarantees provided'!B148)</f>
        <v>549300URJH9VSI58CS32</v>
      </c>
      <c r="I154" s="11" t="str">
        <f>IF('Guarantees provided'!B148="#","Type of identifier, other than LEI or MFI code","LEI code")</f>
        <v>LEI code</v>
      </c>
      <c r="J154" s="14" t="str">
        <f>IF(OR('Guarantees provided'!H148="E",'Guarantees provided'!H148="x"),"True","False")</f>
        <v>False</v>
      </c>
      <c r="K154" s="11" t="s">
        <v>53</v>
      </c>
      <c r="L154" s="11" t="s">
        <v>54</v>
      </c>
      <c r="M154" s="11">
        <f>-'Guarantees provided'!D148</f>
        <v>4489.18</v>
      </c>
      <c r="N154" s="11" t="s">
        <v>55</v>
      </c>
      <c r="O154" s="11">
        <v>0</v>
      </c>
      <c r="P154" s="12" t="s">
        <v>56</v>
      </c>
    </row>
    <row r="155" spans="3:16" ht="23.65" thickBot="1">
      <c r="C155" s="10" t="s">
        <v>51</v>
      </c>
      <c r="D155" s="11">
        <v>148</v>
      </c>
      <c r="E155" s="11" t="s">
        <v>52</v>
      </c>
      <c r="F155" s="11" t="str">
        <f>'Guarantees provided'!G149</f>
        <v>399904811578720</v>
      </c>
      <c r="G155" s="11" t="str">
        <f>'Guarantees provided'!A149</f>
        <v>BANCO SANTANDER TOTTA S.A.</v>
      </c>
      <c r="H155" s="11" t="str">
        <f>IF('Guarantees provided'!B149="#",'Guarantees provided'!C149,'Guarantees provided'!B149)</f>
        <v>549300URJH9VSI58CS32</v>
      </c>
      <c r="I155" s="11" t="str">
        <f>IF('Guarantees provided'!B149="#","Type of identifier, other than LEI or MFI code","LEI code")</f>
        <v>LEI code</v>
      </c>
      <c r="J155" s="14" t="str">
        <f>IF(OR('Guarantees provided'!H149="E",'Guarantees provided'!H149="x"),"True","False")</f>
        <v>False</v>
      </c>
      <c r="K155" s="11" t="s">
        <v>53</v>
      </c>
      <c r="L155" s="11" t="s">
        <v>54</v>
      </c>
      <c r="M155" s="11">
        <f>-'Guarantees provided'!D149</f>
        <v>7592.75</v>
      </c>
      <c r="N155" s="11" t="s">
        <v>55</v>
      </c>
      <c r="O155" s="11">
        <v>0</v>
      </c>
      <c r="P155" s="12" t="s">
        <v>56</v>
      </c>
    </row>
    <row r="156" spans="3:16" ht="23.65" thickBot="1">
      <c r="C156" s="10" t="s">
        <v>51</v>
      </c>
      <c r="D156" s="11">
        <v>149</v>
      </c>
      <c r="E156" s="11" t="s">
        <v>52</v>
      </c>
      <c r="F156" s="11" t="str">
        <f>'Guarantees provided'!G150</f>
        <v>399904811642910</v>
      </c>
      <c r="G156" s="11" t="str">
        <f>'Guarantees provided'!A150</f>
        <v>BANCO SANTANDER TOTTA S.A.</v>
      </c>
      <c r="H156" s="11" t="str">
        <f>IF('Guarantees provided'!B150="#",'Guarantees provided'!C150,'Guarantees provided'!B150)</f>
        <v>549300URJH9VSI58CS32</v>
      </c>
      <c r="I156" s="11" t="str">
        <f>IF('Guarantees provided'!B150="#","Type of identifier, other than LEI or MFI code","LEI code")</f>
        <v>LEI code</v>
      </c>
      <c r="J156" s="14" t="str">
        <f>IF(OR('Guarantees provided'!H150="E",'Guarantees provided'!H150="x"),"True","False")</f>
        <v>False</v>
      </c>
      <c r="K156" s="11" t="s">
        <v>53</v>
      </c>
      <c r="L156" s="11" t="s">
        <v>54</v>
      </c>
      <c r="M156" s="11">
        <f>-'Guarantees provided'!D150</f>
        <v>19951.919999999998</v>
      </c>
      <c r="N156" s="11" t="s">
        <v>55</v>
      </c>
      <c r="O156" s="11">
        <v>0</v>
      </c>
      <c r="P156" s="12" t="s">
        <v>56</v>
      </c>
    </row>
    <row r="157" spans="3:16" ht="23.65" thickBot="1">
      <c r="C157" s="10" t="s">
        <v>51</v>
      </c>
      <c r="D157" s="11">
        <v>150</v>
      </c>
      <c r="E157" s="11" t="s">
        <v>52</v>
      </c>
      <c r="F157" s="11" t="str">
        <f>'Guarantees provided'!G151</f>
        <v>399904844726000</v>
      </c>
      <c r="G157" s="11" t="str">
        <f>'Guarantees provided'!A151</f>
        <v>BANCO SANTANDER TOTTA S.A.</v>
      </c>
      <c r="H157" s="11" t="str">
        <f>IF('Guarantees provided'!B151="#",'Guarantees provided'!C151,'Guarantees provided'!B151)</f>
        <v>549300URJH9VSI58CS32</v>
      </c>
      <c r="I157" s="11" t="str">
        <f>IF('Guarantees provided'!B151="#","Type of identifier, other than LEI or MFI code","LEI code")</f>
        <v>LEI code</v>
      </c>
      <c r="J157" s="14" t="str">
        <f>IF(OR('Guarantees provided'!H151="E",'Guarantees provided'!H151="x"),"True","False")</f>
        <v>False</v>
      </c>
      <c r="K157" s="11" t="s">
        <v>53</v>
      </c>
      <c r="L157" s="11" t="s">
        <v>54</v>
      </c>
      <c r="M157" s="11">
        <f>-'Guarantees provided'!D151</f>
        <v>22445.91</v>
      </c>
      <c r="N157" s="11" t="s">
        <v>55</v>
      </c>
      <c r="O157" s="11">
        <v>0</v>
      </c>
      <c r="P157" s="12" t="s">
        <v>56</v>
      </c>
    </row>
    <row r="158" spans="3:16" ht="23.65" thickBot="1">
      <c r="C158" s="10" t="s">
        <v>51</v>
      </c>
      <c r="D158" s="11">
        <v>151</v>
      </c>
      <c r="E158" s="11" t="s">
        <v>52</v>
      </c>
      <c r="F158" s="11" t="str">
        <f>'Guarantees provided'!G152</f>
        <v>399904898776070</v>
      </c>
      <c r="G158" s="11" t="str">
        <f>'Guarantees provided'!A152</f>
        <v>BANCO SANTANDER TOTTA S.A.</v>
      </c>
      <c r="H158" s="11" t="str">
        <f>IF('Guarantees provided'!B152="#",'Guarantees provided'!C152,'Guarantees provided'!B152)</f>
        <v>549300URJH9VSI58CS32</v>
      </c>
      <c r="I158" s="11" t="str">
        <f>IF('Guarantees provided'!B152="#","Type of identifier, other than LEI or MFI code","LEI code")</f>
        <v>LEI code</v>
      </c>
      <c r="J158" s="14" t="str">
        <f>IF(OR('Guarantees provided'!H152="E",'Guarantees provided'!H152="x"),"True","False")</f>
        <v>False</v>
      </c>
      <c r="K158" s="11" t="s">
        <v>53</v>
      </c>
      <c r="L158" s="11" t="s">
        <v>54</v>
      </c>
      <c r="M158" s="11">
        <f>-'Guarantees provided'!D152</f>
        <v>10931.16</v>
      </c>
      <c r="N158" s="11" t="s">
        <v>55</v>
      </c>
      <c r="O158" s="11">
        <v>0</v>
      </c>
      <c r="P158" s="12" t="s">
        <v>56</v>
      </c>
    </row>
    <row r="159" spans="3:16" ht="23.65" thickBot="1">
      <c r="C159" s="10" t="s">
        <v>51</v>
      </c>
      <c r="D159" s="11">
        <v>152</v>
      </c>
      <c r="E159" s="11" t="s">
        <v>52</v>
      </c>
      <c r="F159" s="11" t="str">
        <f>'Guarantees provided'!G153</f>
        <v>562304840000020</v>
      </c>
      <c r="G159" s="11" t="str">
        <f>'Guarantees provided'!A153</f>
        <v>BANCO SANTANDER TOTTA S.A.</v>
      </c>
      <c r="H159" s="11" t="str">
        <f>IF('Guarantees provided'!B153="#",'Guarantees provided'!C153,'Guarantees provided'!B153)</f>
        <v>549300URJH9VSI58CS32</v>
      </c>
      <c r="I159" s="11" t="str">
        <f>IF('Guarantees provided'!B153="#","Type of identifier, other than LEI or MFI code","LEI code")</f>
        <v>LEI code</v>
      </c>
      <c r="J159" s="14" t="str">
        <f>IF(OR('Guarantees provided'!H153="E",'Guarantees provided'!H153="x"),"True","False")</f>
        <v>False</v>
      </c>
      <c r="K159" s="11" t="s">
        <v>53</v>
      </c>
      <c r="L159" s="11" t="s">
        <v>54</v>
      </c>
      <c r="M159" s="11">
        <f>-'Guarantees provided'!D153</f>
        <v>14870.78</v>
      </c>
      <c r="N159" s="11" t="s">
        <v>55</v>
      </c>
      <c r="O159" s="11">
        <v>0</v>
      </c>
      <c r="P159" s="12" t="s">
        <v>56</v>
      </c>
    </row>
    <row r="160" spans="3:16" ht="23.65" thickBot="1">
      <c r="C160" s="10" t="s">
        <v>51</v>
      </c>
      <c r="D160" s="11">
        <v>153</v>
      </c>
      <c r="E160" s="11" t="s">
        <v>52</v>
      </c>
      <c r="F160" s="11" t="str">
        <f>'Guarantees provided'!G154</f>
        <v>599904830435070</v>
      </c>
      <c r="G160" s="11" t="str">
        <f>'Guarantees provided'!A154</f>
        <v>BANCO SANTANDER TOTTA S.A.</v>
      </c>
      <c r="H160" s="11" t="str">
        <f>IF('Guarantees provided'!B154="#",'Guarantees provided'!C154,'Guarantees provided'!B154)</f>
        <v>549300URJH9VSI58CS32</v>
      </c>
      <c r="I160" s="11" t="str">
        <f>IF('Guarantees provided'!B154="#","Type of identifier, other than LEI or MFI code","LEI code")</f>
        <v>LEI code</v>
      </c>
      <c r="J160" s="14" t="str">
        <f>IF(OR('Guarantees provided'!H154="E",'Guarantees provided'!H154="x"),"True","False")</f>
        <v>False</v>
      </c>
      <c r="K160" s="11" t="s">
        <v>53</v>
      </c>
      <c r="L160" s="11" t="s">
        <v>54</v>
      </c>
      <c r="M160" s="11">
        <f>-'Guarantees provided'!D154</f>
        <v>11525.44</v>
      </c>
      <c r="N160" s="11" t="s">
        <v>55</v>
      </c>
      <c r="O160" s="11">
        <v>0</v>
      </c>
      <c r="P160" s="12" t="s">
        <v>56</v>
      </c>
    </row>
    <row r="161" spans="3:16" ht="23.65" thickBot="1">
      <c r="C161" s="10" t="s">
        <v>51</v>
      </c>
      <c r="D161" s="11">
        <v>154</v>
      </c>
      <c r="E161" s="11" t="s">
        <v>52</v>
      </c>
      <c r="F161" s="11" t="str">
        <f>'Guarantees provided'!G155</f>
        <v>599904830662040</v>
      </c>
      <c r="G161" s="11" t="str">
        <f>'Guarantees provided'!A155</f>
        <v>BANCO SANTANDER TOTTA S.A.</v>
      </c>
      <c r="H161" s="11" t="str">
        <f>IF('Guarantees provided'!B155="#",'Guarantees provided'!C155,'Guarantees provided'!B155)</f>
        <v>549300URJH9VSI58CS32</v>
      </c>
      <c r="I161" s="11" t="str">
        <f>IF('Guarantees provided'!B155="#","Type of identifier, other than LEI or MFI code","LEI code")</f>
        <v>LEI code</v>
      </c>
      <c r="J161" s="14" t="str">
        <f>IF(OR('Guarantees provided'!H155="E",'Guarantees provided'!H155="x"),"True","False")</f>
        <v>False</v>
      </c>
      <c r="K161" s="11" t="s">
        <v>53</v>
      </c>
      <c r="L161" s="11" t="s">
        <v>54</v>
      </c>
      <c r="M161" s="11">
        <f>-'Guarantees provided'!D155</f>
        <v>10973.55</v>
      </c>
      <c r="N161" s="11" t="s">
        <v>55</v>
      </c>
      <c r="O161" s="11">
        <v>0</v>
      </c>
      <c r="P161" s="12" t="s">
        <v>56</v>
      </c>
    </row>
    <row r="162" spans="3:16" ht="23.65" thickBot="1">
      <c r="C162" s="10" t="s">
        <v>51</v>
      </c>
      <c r="D162" s="11">
        <v>155</v>
      </c>
      <c r="E162" s="11" t="s">
        <v>52</v>
      </c>
      <c r="F162" s="11" t="str">
        <f>'Guarantees provided'!G156</f>
        <v>599904830669740</v>
      </c>
      <c r="G162" s="11" t="str">
        <f>'Guarantees provided'!A156</f>
        <v>BANCO SANTANDER TOTTA S.A.</v>
      </c>
      <c r="H162" s="11" t="str">
        <f>IF('Guarantees provided'!B156="#",'Guarantees provided'!C156,'Guarantees provided'!B156)</f>
        <v>549300URJH9VSI58CS32</v>
      </c>
      <c r="I162" s="11" t="str">
        <f>IF('Guarantees provided'!B156="#","Type of identifier, other than LEI or MFI code","LEI code")</f>
        <v>LEI code</v>
      </c>
      <c r="J162" s="14" t="str">
        <f>IF(OR('Guarantees provided'!H156="E",'Guarantees provided'!H156="x"),"True","False")</f>
        <v>False</v>
      </c>
      <c r="K162" s="11" t="s">
        <v>53</v>
      </c>
      <c r="L162" s="11" t="s">
        <v>54</v>
      </c>
      <c r="M162" s="11">
        <f>-'Guarantees provided'!D156</f>
        <v>934.85</v>
      </c>
      <c r="N162" s="11" t="s">
        <v>55</v>
      </c>
      <c r="O162" s="11">
        <v>0</v>
      </c>
      <c r="P162" s="12" t="s">
        <v>56</v>
      </c>
    </row>
    <row r="163" spans="3:16" ht="23.65" thickBot="1">
      <c r="C163" s="10" t="s">
        <v>51</v>
      </c>
      <c r="D163" s="11">
        <v>156</v>
      </c>
      <c r="E163" s="11" t="s">
        <v>52</v>
      </c>
      <c r="F163" s="11" t="str">
        <f>'Guarantees provided'!G157</f>
        <v>599904831081820</v>
      </c>
      <c r="G163" s="11" t="str">
        <f>'Guarantees provided'!A157</f>
        <v>BANCO SANTANDER TOTTA S.A.</v>
      </c>
      <c r="H163" s="11" t="str">
        <f>IF('Guarantees provided'!B157="#",'Guarantees provided'!C157,'Guarantees provided'!B157)</f>
        <v>549300URJH9VSI58CS32</v>
      </c>
      <c r="I163" s="11" t="str">
        <f>IF('Guarantees provided'!B157="#","Type of identifier, other than LEI or MFI code","LEI code")</f>
        <v>LEI code</v>
      </c>
      <c r="J163" s="14" t="str">
        <f>IF(OR('Guarantees provided'!H157="E",'Guarantees provided'!H157="x"),"True","False")</f>
        <v>False</v>
      </c>
      <c r="K163" s="11" t="s">
        <v>53</v>
      </c>
      <c r="L163" s="11" t="s">
        <v>54</v>
      </c>
      <c r="M163" s="11">
        <f>-'Guarantees provided'!D157</f>
        <v>10582.5</v>
      </c>
      <c r="N163" s="11" t="s">
        <v>55</v>
      </c>
      <c r="O163" s="11">
        <v>0</v>
      </c>
      <c r="P163" s="12" t="s">
        <v>56</v>
      </c>
    </row>
    <row r="164" spans="3:16" ht="23.65" thickBot="1">
      <c r="C164" s="10" t="s">
        <v>51</v>
      </c>
      <c r="D164" s="11">
        <v>157</v>
      </c>
      <c r="E164" s="11" t="s">
        <v>52</v>
      </c>
      <c r="F164" s="11" t="str">
        <f>'Guarantees provided'!G158</f>
        <v>599904831629960</v>
      </c>
      <c r="G164" s="11" t="str">
        <f>'Guarantees provided'!A158</f>
        <v>BANCO SANTANDER TOTTA S.A.</v>
      </c>
      <c r="H164" s="11" t="str">
        <f>IF('Guarantees provided'!B158="#",'Guarantees provided'!C158,'Guarantees provided'!B158)</f>
        <v>549300URJH9VSI58CS32</v>
      </c>
      <c r="I164" s="11" t="str">
        <f>IF('Guarantees provided'!B158="#","Type of identifier, other than LEI or MFI code","LEI code")</f>
        <v>LEI code</v>
      </c>
      <c r="J164" s="14" t="str">
        <f>IF(OR('Guarantees provided'!H158="E",'Guarantees provided'!H158="x"),"True","False")</f>
        <v>False</v>
      </c>
      <c r="K164" s="11" t="s">
        <v>53</v>
      </c>
      <c r="L164" s="11" t="s">
        <v>54</v>
      </c>
      <c r="M164" s="11">
        <f>-'Guarantees provided'!D158</f>
        <v>11410.9</v>
      </c>
      <c r="N164" s="11" t="s">
        <v>55</v>
      </c>
      <c r="O164" s="11">
        <v>0</v>
      </c>
      <c r="P164" s="12" t="s">
        <v>56</v>
      </c>
    </row>
    <row r="165" spans="3:16" ht="23.65" thickBot="1">
      <c r="C165" s="10" t="s">
        <v>51</v>
      </c>
      <c r="D165" s="11">
        <v>158</v>
      </c>
      <c r="E165" s="11" t="s">
        <v>52</v>
      </c>
      <c r="F165" s="11" t="str">
        <f>'Guarantees provided'!G159</f>
        <v>599904832419600</v>
      </c>
      <c r="G165" s="11" t="str">
        <f>'Guarantees provided'!A159</f>
        <v>BANCO SANTANDER TOTTA S.A.</v>
      </c>
      <c r="H165" s="11" t="str">
        <f>IF('Guarantees provided'!B159="#",'Guarantees provided'!C159,'Guarantees provided'!B159)</f>
        <v>549300URJH9VSI58CS32</v>
      </c>
      <c r="I165" s="11" t="str">
        <f>IF('Guarantees provided'!B159="#","Type of identifier, other than LEI or MFI code","LEI code")</f>
        <v>LEI code</v>
      </c>
      <c r="J165" s="14" t="str">
        <f>IF(OR('Guarantees provided'!H159="E",'Guarantees provided'!H159="x"),"True","False")</f>
        <v>False</v>
      </c>
      <c r="K165" s="11" t="s">
        <v>53</v>
      </c>
      <c r="L165" s="11" t="s">
        <v>54</v>
      </c>
      <c r="M165" s="11">
        <f>-'Guarantees provided'!D159</f>
        <v>46655.89</v>
      </c>
      <c r="N165" s="11" t="s">
        <v>55</v>
      </c>
      <c r="O165" s="11">
        <v>0</v>
      </c>
      <c r="P165" s="12" t="s">
        <v>56</v>
      </c>
    </row>
    <row r="166" spans="3:16" ht="23.65" thickBot="1">
      <c r="C166" s="10" t="s">
        <v>51</v>
      </c>
      <c r="D166" s="11">
        <v>159</v>
      </c>
      <c r="E166" s="11" t="s">
        <v>52</v>
      </c>
      <c r="F166" s="11" t="str">
        <f>'Guarantees provided'!G160</f>
        <v>599904833295100</v>
      </c>
      <c r="G166" s="11" t="str">
        <f>'Guarantees provided'!A160</f>
        <v>BANCO SANTANDER TOTTA S.A.</v>
      </c>
      <c r="H166" s="11" t="str">
        <f>IF('Guarantees provided'!B160="#",'Guarantees provided'!C160,'Guarantees provided'!B160)</f>
        <v>549300URJH9VSI58CS32</v>
      </c>
      <c r="I166" s="11" t="str">
        <f>IF('Guarantees provided'!B160="#","Type of identifier, other than LEI or MFI code","LEI code")</f>
        <v>LEI code</v>
      </c>
      <c r="J166" s="14" t="str">
        <f>IF(OR('Guarantees provided'!H160="E",'Guarantees provided'!H160="x"),"True","False")</f>
        <v>False</v>
      </c>
      <c r="K166" s="11" t="s">
        <v>53</v>
      </c>
      <c r="L166" s="11" t="s">
        <v>54</v>
      </c>
      <c r="M166" s="11">
        <f>-'Guarantees provided'!D160</f>
        <v>7047.14</v>
      </c>
      <c r="N166" s="11" t="s">
        <v>55</v>
      </c>
      <c r="O166" s="11">
        <v>0</v>
      </c>
      <c r="P166" s="12" t="s">
        <v>56</v>
      </c>
    </row>
    <row r="167" spans="3:16" ht="23.65" thickBot="1">
      <c r="C167" s="10" t="s">
        <v>51</v>
      </c>
      <c r="D167" s="11">
        <v>160</v>
      </c>
      <c r="E167" s="11" t="s">
        <v>52</v>
      </c>
      <c r="F167" s="11" t="str">
        <f>'Guarantees provided'!G161</f>
        <v>599904833864040</v>
      </c>
      <c r="G167" s="11" t="str">
        <f>'Guarantees provided'!A161</f>
        <v>BANCO SANTANDER TOTTA S.A.</v>
      </c>
      <c r="H167" s="11" t="str">
        <f>IF('Guarantees provided'!B161="#",'Guarantees provided'!C161,'Guarantees provided'!B161)</f>
        <v>549300URJH9VSI58CS32</v>
      </c>
      <c r="I167" s="11" t="str">
        <f>IF('Guarantees provided'!B161="#","Type of identifier, other than LEI or MFI code","LEI code")</f>
        <v>LEI code</v>
      </c>
      <c r="J167" s="14" t="str">
        <f>IF(OR('Guarantees provided'!H161="E",'Guarantees provided'!H161="x"),"True","False")</f>
        <v>False</v>
      </c>
      <c r="K167" s="11" t="s">
        <v>53</v>
      </c>
      <c r="L167" s="11" t="s">
        <v>54</v>
      </c>
      <c r="M167" s="11">
        <f>-'Guarantees provided'!D161</f>
        <v>44896.11</v>
      </c>
      <c r="N167" s="11" t="s">
        <v>55</v>
      </c>
      <c r="O167" s="11">
        <v>0</v>
      </c>
      <c r="P167" s="12" t="s">
        <v>56</v>
      </c>
    </row>
    <row r="168" spans="3:16" ht="23.65" thickBot="1">
      <c r="C168" s="10" t="s">
        <v>51</v>
      </c>
      <c r="D168" s="11">
        <v>161</v>
      </c>
      <c r="E168" s="11" t="s">
        <v>52</v>
      </c>
      <c r="F168" s="11" t="str">
        <f>'Guarantees provided'!G162</f>
        <v>599904834357780</v>
      </c>
      <c r="G168" s="11" t="str">
        <f>'Guarantees provided'!A162</f>
        <v>BANCO SANTANDER TOTTA S.A.</v>
      </c>
      <c r="H168" s="11" t="str">
        <f>IF('Guarantees provided'!B162="#",'Guarantees provided'!C162,'Guarantees provided'!B162)</f>
        <v>549300URJH9VSI58CS32</v>
      </c>
      <c r="I168" s="11" t="str">
        <f>IF('Guarantees provided'!B162="#","Type of identifier, other than LEI or MFI code","LEI code")</f>
        <v>LEI code</v>
      </c>
      <c r="J168" s="14" t="str">
        <f>IF(OR('Guarantees provided'!H162="E",'Guarantees provided'!H162="x"),"True","False")</f>
        <v>False</v>
      </c>
      <c r="K168" s="11" t="s">
        <v>53</v>
      </c>
      <c r="L168" s="11" t="s">
        <v>54</v>
      </c>
      <c r="M168" s="11">
        <f>-'Guarantees provided'!D162</f>
        <v>17208.53</v>
      </c>
      <c r="N168" s="11" t="s">
        <v>55</v>
      </c>
      <c r="O168" s="11">
        <v>0</v>
      </c>
      <c r="P168" s="12" t="s">
        <v>56</v>
      </c>
    </row>
    <row r="169" spans="3:16" ht="23.65" thickBot="1">
      <c r="C169" s="10" t="s">
        <v>51</v>
      </c>
      <c r="D169" s="11">
        <v>162</v>
      </c>
      <c r="E169" s="11" t="s">
        <v>52</v>
      </c>
      <c r="F169" s="11" t="str">
        <f>'Guarantees provided'!G163</f>
        <v>599904835462910</v>
      </c>
      <c r="G169" s="11" t="str">
        <f>'Guarantees provided'!A163</f>
        <v>BANCO SANTANDER TOTTA S.A.</v>
      </c>
      <c r="H169" s="11" t="str">
        <f>IF('Guarantees provided'!B163="#",'Guarantees provided'!C163,'Guarantees provided'!B163)</f>
        <v>549300URJH9VSI58CS32</v>
      </c>
      <c r="I169" s="11" t="str">
        <f>IF('Guarantees provided'!B163="#","Type of identifier, other than LEI or MFI code","LEI code")</f>
        <v>LEI code</v>
      </c>
      <c r="J169" s="14" t="str">
        <f>IF(OR('Guarantees provided'!H163="E",'Guarantees provided'!H163="x"),"True","False")</f>
        <v>False</v>
      </c>
      <c r="K169" s="11" t="s">
        <v>53</v>
      </c>
      <c r="L169" s="11" t="s">
        <v>54</v>
      </c>
      <c r="M169" s="11">
        <f>-'Guarantees provided'!D163</f>
        <v>29927.87</v>
      </c>
      <c r="N169" s="11" t="s">
        <v>55</v>
      </c>
      <c r="O169" s="11">
        <v>0</v>
      </c>
      <c r="P169" s="12" t="s">
        <v>56</v>
      </c>
    </row>
    <row r="170" spans="3:16" ht="23.65" thickBot="1">
      <c r="C170" s="10" t="s">
        <v>51</v>
      </c>
      <c r="D170" s="11">
        <v>163</v>
      </c>
      <c r="E170" s="11" t="s">
        <v>52</v>
      </c>
      <c r="F170" s="11" t="str">
        <f>'Guarantees provided'!G164</f>
        <v>599904835787360</v>
      </c>
      <c r="G170" s="11" t="str">
        <f>'Guarantees provided'!A164</f>
        <v>BANCO SANTANDER TOTTA S.A.</v>
      </c>
      <c r="H170" s="11" t="str">
        <f>IF('Guarantees provided'!B164="#",'Guarantees provided'!C164,'Guarantees provided'!B164)</f>
        <v>549300URJH9VSI58CS32</v>
      </c>
      <c r="I170" s="11" t="str">
        <f>IF('Guarantees provided'!B164="#","Type of identifier, other than LEI or MFI code","LEI code")</f>
        <v>LEI code</v>
      </c>
      <c r="J170" s="14" t="str">
        <f>IF(OR('Guarantees provided'!H164="E",'Guarantees provided'!H164="x"),"True","False")</f>
        <v>False</v>
      </c>
      <c r="K170" s="11" t="s">
        <v>53</v>
      </c>
      <c r="L170" s="11" t="s">
        <v>54</v>
      </c>
      <c r="M170" s="11">
        <f>-'Guarantees provided'!D164</f>
        <v>7481.97</v>
      </c>
      <c r="N170" s="11" t="s">
        <v>55</v>
      </c>
      <c r="O170" s="11">
        <v>0</v>
      </c>
      <c r="P170" s="12" t="s">
        <v>56</v>
      </c>
    </row>
    <row r="171" spans="3:16" ht="23.65" thickBot="1">
      <c r="C171" s="10" t="s">
        <v>51</v>
      </c>
      <c r="D171" s="11">
        <v>164</v>
      </c>
      <c r="E171" s="11" t="s">
        <v>52</v>
      </c>
      <c r="F171" s="11" t="str">
        <f>'Guarantees provided'!G165</f>
        <v>599904836292030</v>
      </c>
      <c r="G171" s="11" t="str">
        <f>'Guarantees provided'!A165</f>
        <v>BANCO SANTANDER TOTTA S.A.</v>
      </c>
      <c r="H171" s="11" t="str">
        <f>IF('Guarantees provided'!B165="#",'Guarantees provided'!C165,'Guarantees provided'!B165)</f>
        <v>549300URJH9VSI58CS32</v>
      </c>
      <c r="I171" s="11" t="str">
        <f>IF('Guarantees provided'!B165="#","Type of identifier, other than LEI or MFI code","LEI code")</f>
        <v>LEI code</v>
      </c>
      <c r="J171" s="14" t="str">
        <f>IF(OR('Guarantees provided'!H165="E",'Guarantees provided'!H165="x"),"True","False")</f>
        <v>False</v>
      </c>
      <c r="K171" s="11" t="s">
        <v>53</v>
      </c>
      <c r="L171" s="11" t="s">
        <v>54</v>
      </c>
      <c r="M171" s="11">
        <f>-'Guarantees provided'!D165</f>
        <v>5985.57</v>
      </c>
      <c r="N171" s="11" t="s">
        <v>55</v>
      </c>
      <c r="O171" s="11">
        <v>0</v>
      </c>
      <c r="P171" s="12" t="s">
        <v>56</v>
      </c>
    </row>
    <row r="172" spans="3:16" ht="23.65" thickBot="1">
      <c r="C172" s="10" t="s">
        <v>51</v>
      </c>
      <c r="D172" s="11">
        <v>165</v>
      </c>
      <c r="E172" s="11" t="s">
        <v>52</v>
      </c>
      <c r="F172" s="11" t="str">
        <f>'Guarantees provided'!G166</f>
        <v>599904836790900</v>
      </c>
      <c r="G172" s="11" t="str">
        <f>'Guarantees provided'!A166</f>
        <v>BANCO SANTANDER TOTTA S.A.</v>
      </c>
      <c r="H172" s="11" t="str">
        <f>IF('Guarantees provided'!B166="#",'Guarantees provided'!C166,'Guarantees provided'!B166)</f>
        <v>549300URJH9VSI58CS32</v>
      </c>
      <c r="I172" s="11" t="str">
        <f>IF('Guarantees provided'!B166="#","Type of identifier, other than LEI or MFI code","LEI code")</f>
        <v>LEI code</v>
      </c>
      <c r="J172" s="14" t="str">
        <f>IF(OR('Guarantees provided'!H166="E",'Guarantees provided'!H166="x"),"True","False")</f>
        <v>False</v>
      </c>
      <c r="K172" s="11" t="s">
        <v>53</v>
      </c>
      <c r="L172" s="11" t="s">
        <v>54</v>
      </c>
      <c r="M172" s="11">
        <f>-'Guarantees provided'!D166</f>
        <v>24939.89</v>
      </c>
      <c r="N172" s="11" t="s">
        <v>55</v>
      </c>
      <c r="O172" s="11">
        <v>0</v>
      </c>
      <c r="P172" s="12" t="s">
        <v>56</v>
      </c>
    </row>
    <row r="173" spans="3:16" ht="23.65" thickBot="1">
      <c r="C173" s="10" t="s">
        <v>51</v>
      </c>
      <c r="D173" s="11">
        <v>166</v>
      </c>
      <c r="E173" s="11" t="s">
        <v>52</v>
      </c>
      <c r="F173" s="11" t="str">
        <f>'Guarantees provided'!G167</f>
        <v>599904891725540</v>
      </c>
      <c r="G173" s="11" t="str">
        <f>'Guarantees provided'!A167</f>
        <v>BANCO SANTANDER TOTTA S.A.</v>
      </c>
      <c r="H173" s="11" t="str">
        <f>IF('Guarantees provided'!B167="#",'Guarantees provided'!C167,'Guarantees provided'!B167)</f>
        <v>549300URJH9VSI58CS32</v>
      </c>
      <c r="I173" s="11" t="str">
        <f>IF('Guarantees provided'!B167="#","Type of identifier, other than LEI or MFI code","LEI code")</f>
        <v>LEI code</v>
      </c>
      <c r="J173" s="14" t="str">
        <f>IF(OR('Guarantees provided'!H167="E",'Guarantees provided'!H167="x"),"True","False")</f>
        <v>False</v>
      </c>
      <c r="K173" s="11" t="s">
        <v>53</v>
      </c>
      <c r="L173" s="11" t="s">
        <v>54</v>
      </c>
      <c r="M173" s="11">
        <f>-'Guarantees provided'!D167</f>
        <v>3637059.69</v>
      </c>
      <c r="N173" s="11" t="s">
        <v>55</v>
      </c>
      <c r="O173" s="11">
        <v>0</v>
      </c>
      <c r="P173" s="12" t="s">
        <v>56</v>
      </c>
    </row>
    <row r="174" spans="3:16" ht="23.65" thickBot="1">
      <c r="C174" s="10" t="s">
        <v>51</v>
      </c>
      <c r="D174" s="11">
        <v>167</v>
      </c>
      <c r="E174" s="11" t="s">
        <v>52</v>
      </c>
      <c r="F174" s="11" t="str">
        <f>'Guarantees provided'!G168</f>
        <v>262304820020770</v>
      </c>
      <c r="G174" s="11" t="str">
        <f>'Guarantees provided'!A168</f>
        <v>BANCO SANTANDER TOTTA SA</v>
      </c>
      <c r="H174" s="11" t="str">
        <f>IF('Guarantees provided'!B168="#",'Guarantees provided'!C168,'Guarantees provided'!B168)</f>
        <v>549300URJH9VSI58CS32</v>
      </c>
      <c r="I174" s="11" t="str">
        <f>IF('Guarantees provided'!B168="#","Type of identifier, other than LEI or MFI code","LEI code")</f>
        <v>LEI code</v>
      </c>
      <c r="J174" s="14" t="str">
        <f>IF(OR('Guarantees provided'!H168="E",'Guarantees provided'!H168="x"),"True","False")</f>
        <v>False</v>
      </c>
      <c r="K174" s="11" t="s">
        <v>53</v>
      </c>
      <c r="L174" s="11" t="s">
        <v>54</v>
      </c>
      <c r="M174" s="11">
        <f>-'Guarantees provided'!D168</f>
        <v>5355273.5</v>
      </c>
      <c r="N174" s="11" t="s">
        <v>55</v>
      </c>
      <c r="O174" s="11">
        <v>0</v>
      </c>
      <c r="P174" s="12" t="s">
        <v>56</v>
      </c>
    </row>
    <row r="175" spans="3:16" ht="23.65" thickBot="1">
      <c r="C175" s="10" t="s">
        <v>51</v>
      </c>
      <c r="D175" s="11">
        <v>168</v>
      </c>
      <c r="E175" s="11" t="s">
        <v>52</v>
      </c>
      <c r="F175" s="11" t="str">
        <f>'Guarantees provided'!G169</f>
        <v>262304840010120</v>
      </c>
      <c r="G175" s="11" t="str">
        <f>'Guarantees provided'!A169</f>
        <v>BANCO SANTANDER TOTTA SA</v>
      </c>
      <c r="H175" s="11" t="str">
        <f>IF('Guarantees provided'!B169="#",'Guarantees provided'!C169,'Guarantees provided'!B169)</f>
        <v>549300URJH9VSI58CS32</v>
      </c>
      <c r="I175" s="11" t="str">
        <f>IF('Guarantees provided'!B169="#","Type of identifier, other than LEI or MFI code","LEI code")</f>
        <v>LEI code</v>
      </c>
      <c r="J175" s="14" t="str">
        <f>IF(OR('Guarantees provided'!H169="E",'Guarantees provided'!H169="x"),"True","False")</f>
        <v>False</v>
      </c>
      <c r="K175" s="11" t="s">
        <v>53</v>
      </c>
      <c r="L175" s="11" t="s">
        <v>54</v>
      </c>
      <c r="M175" s="11">
        <f>-'Guarantees provided'!D169</f>
        <v>8766.3799999999992</v>
      </c>
      <c r="N175" s="11" t="s">
        <v>55</v>
      </c>
      <c r="O175" s="11">
        <v>0</v>
      </c>
      <c r="P175" s="12" t="s">
        <v>56</v>
      </c>
    </row>
    <row r="176" spans="3:16" ht="23.65" thickBot="1">
      <c r="C176" s="10" t="s">
        <v>51</v>
      </c>
      <c r="D176" s="11">
        <v>169</v>
      </c>
      <c r="E176" s="11" t="s">
        <v>52</v>
      </c>
      <c r="F176" s="11" t="str">
        <f>'Guarantees provided'!G170</f>
        <v>262304840015500</v>
      </c>
      <c r="G176" s="11" t="str">
        <f>'Guarantees provided'!A170</f>
        <v>BANCO SANTANDER TOTTA SA</v>
      </c>
      <c r="H176" s="11" t="str">
        <f>IF('Guarantees provided'!B170="#",'Guarantees provided'!C170,'Guarantees provided'!B170)</f>
        <v>549300URJH9VSI58CS32</v>
      </c>
      <c r="I176" s="11" t="str">
        <f>IF('Guarantees provided'!B170="#","Type of identifier, other than LEI or MFI code","LEI code")</f>
        <v>LEI code</v>
      </c>
      <c r="J176" s="14" t="str">
        <f>IF(OR('Guarantees provided'!H170="E",'Guarantees provided'!H170="x"),"True","False")</f>
        <v>False</v>
      </c>
      <c r="K176" s="11" t="s">
        <v>53</v>
      </c>
      <c r="L176" s="11" t="s">
        <v>54</v>
      </c>
      <c r="M176" s="11">
        <f>-'Guarantees provided'!D170</f>
        <v>48000</v>
      </c>
      <c r="N176" s="11" t="s">
        <v>55</v>
      </c>
      <c r="O176" s="11">
        <v>0</v>
      </c>
      <c r="P176" s="12" t="s">
        <v>56</v>
      </c>
    </row>
    <row r="177" spans="3:16" ht="23.65" thickBot="1">
      <c r="C177" s="10" t="s">
        <v>51</v>
      </c>
      <c r="D177" s="11">
        <v>170</v>
      </c>
      <c r="E177" s="11" t="s">
        <v>52</v>
      </c>
      <c r="F177" s="11" t="str">
        <f>'Guarantees provided'!G171</f>
        <v>262304840016400</v>
      </c>
      <c r="G177" s="11" t="str">
        <f>'Guarantees provided'!A171</f>
        <v>BANCO SANTANDER TOTTA SA</v>
      </c>
      <c r="H177" s="11" t="str">
        <f>IF('Guarantees provided'!B171="#",'Guarantees provided'!C171,'Guarantees provided'!B171)</f>
        <v>549300URJH9VSI58CS32</v>
      </c>
      <c r="I177" s="11" t="str">
        <f>IF('Guarantees provided'!B171="#","Type of identifier, other than LEI or MFI code","LEI code")</f>
        <v>LEI code</v>
      </c>
      <c r="J177" s="14" t="str">
        <f>IF(OR('Guarantees provided'!H171="E",'Guarantees provided'!H171="x"),"True","False")</f>
        <v>False</v>
      </c>
      <c r="K177" s="11" t="s">
        <v>53</v>
      </c>
      <c r="L177" s="11" t="s">
        <v>54</v>
      </c>
      <c r="M177" s="11">
        <f>-'Guarantees provided'!D171</f>
        <v>14824.52</v>
      </c>
      <c r="N177" s="11" t="s">
        <v>55</v>
      </c>
      <c r="O177" s="11">
        <v>0</v>
      </c>
      <c r="P177" s="12" t="s">
        <v>56</v>
      </c>
    </row>
    <row r="178" spans="3:16" ht="23.65" thickBot="1">
      <c r="C178" s="10" t="s">
        <v>51</v>
      </c>
      <c r="D178" s="11">
        <v>171</v>
      </c>
      <c r="E178" s="11" t="s">
        <v>52</v>
      </c>
      <c r="F178" s="11" t="str">
        <f>'Guarantees provided'!G172</f>
        <v>262304840018350</v>
      </c>
      <c r="G178" s="11" t="str">
        <f>'Guarantees provided'!A172</f>
        <v>BANCO SANTANDER TOTTA SA</v>
      </c>
      <c r="H178" s="11" t="str">
        <f>IF('Guarantees provided'!B172="#",'Guarantees provided'!C172,'Guarantees provided'!B172)</f>
        <v>549300URJH9VSI58CS32</v>
      </c>
      <c r="I178" s="11" t="str">
        <f>IF('Guarantees provided'!B172="#","Type of identifier, other than LEI or MFI code","LEI code")</f>
        <v>LEI code</v>
      </c>
      <c r="J178" s="14" t="str">
        <f>IF(OR('Guarantees provided'!H172="E",'Guarantees provided'!H172="x"),"True","False")</f>
        <v>False</v>
      </c>
      <c r="K178" s="11" t="s">
        <v>53</v>
      </c>
      <c r="L178" s="11" t="s">
        <v>54</v>
      </c>
      <c r="M178" s="11">
        <f>-'Guarantees provided'!D172</f>
        <v>810280.8</v>
      </c>
      <c r="N178" s="11" t="s">
        <v>55</v>
      </c>
      <c r="O178" s="11">
        <v>0</v>
      </c>
      <c r="P178" s="12" t="s">
        <v>56</v>
      </c>
    </row>
    <row r="179" spans="3:16" ht="23.65" thickBot="1">
      <c r="C179" s="10" t="s">
        <v>51</v>
      </c>
      <c r="D179" s="11">
        <v>172</v>
      </c>
      <c r="E179" s="11" t="s">
        <v>52</v>
      </c>
      <c r="F179" s="11" t="str">
        <f>'Guarantees provided'!G173</f>
        <v>262304840018660</v>
      </c>
      <c r="G179" s="11" t="str">
        <f>'Guarantees provided'!A173</f>
        <v>BANCO SANTANDER TOTTA SA</v>
      </c>
      <c r="H179" s="11" t="str">
        <f>IF('Guarantees provided'!B173="#",'Guarantees provided'!C173,'Guarantees provided'!B173)</f>
        <v>549300URJH9VSI58CS32</v>
      </c>
      <c r="I179" s="11" t="str">
        <f>IF('Guarantees provided'!B173="#","Type of identifier, other than LEI or MFI code","LEI code")</f>
        <v>LEI code</v>
      </c>
      <c r="J179" s="14" t="str">
        <f>IF(OR('Guarantees provided'!H173="E",'Guarantees provided'!H173="x"),"True","False")</f>
        <v>False</v>
      </c>
      <c r="K179" s="11" t="s">
        <v>53</v>
      </c>
      <c r="L179" s="11" t="s">
        <v>54</v>
      </c>
      <c r="M179" s="11">
        <f>-'Guarantees provided'!D173</f>
        <v>180000</v>
      </c>
      <c r="N179" s="11" t="s">
        <v>55</v>
      </c>
      <c r="O179" s="11">
        <v>0</v>
      </c>
      <c r="P179" s="12" t="s">
        <v>56</v>
      </c>
    </row>
    <row r="180" spans="3:16" ht="23.65" thickBot="1">
      <c r="C180" s="10" t="s">
        <v>51</v>
      </c>
      <c r="D180" s="11">
        <v>173</v>
      </c>
      <c r="E180" s="11" t="s">
        <v>52</v>
      </c>
      <c r="F180" s="11" t="str">
        <f>'Guarantees provided'!G174</f>
        <v>262304840018750</v>
      </c>
      <c r="G180" s="11" t="str">
        <f>'Guarantees provided'!A174</f>
        <v>BANCO SANTANDER TOTTA SA</v>
      </c>
      <c r="H180" s="11" t="str">
        <f>IF('Guarantees provided'!B174="#",'Guarantees provided'!C174,'Guarantees provided'!B174)</f>
        <v>549300URJH9VSI58CS32</v>
      </c>
      <c r="I180" s="11" t="str">
        <f>IF('Guarantees provided'!B174="#","Type of identifier, other than LEI or MFI code","LEI code")</f>
        <v>LEI code</v>
      </c>
      <c r="J180" s="14" t="str">
        <f>IF(OR('Guarantees provided'!H174="E",'Guarantees provided'!H174="x"),"True","False")</f>
        <v>False</v>
      </c>
      <c r="K180" s="11" t="s">
        <v>53</v>
      </c>
      <c r="L180" s="11" t="s">
        <v>54</v>
      </c>
      <c r="M180" s="11">
        <f>-'Guarantees provided'!D174</f>
        <v>38756</v>
      </c>
      <c r="N180" s="11" t="s">
        <v>55</v>
      </c>
      <c r="O180" s="11">
        <v>0</v>
      </c>
      <c r="P180" s="12" t="s">
        <v>56</v>
      </c>
    </row>
    <row r="181" spans="3:16" ht="23.65" thickBot="1">
      <c r="C181" s="10" t="s">
        <v>51</v>
      </c>
      <c r="D181" s="11">
        <v>174</v>
      </c>
      <c r="E181" s="11" t="s">
        <v>52</v>
      </c>
      <c r="F181" s="11" t="str">
        <f>'Guarantees provided'!G175</f>
        <v>262304840019360</v>
      </c>
      <c r="G181" s="11" t="str">
        <f>'Guarantees provided'!A175</f>
        <v>BANCO SANTANDER TOTTA SA</v>
      </c>
      <c r="H181" s="11" t="str">
        <f>IF('Guarantees provided'!B175="#",'Guarantees provided'!C175,'Guarantees provided'!B175)</f>
        <v>549300URJH9VSI58CS32</v>
      </c>
      <c r="I181" s="11" t="str">
        <f>IF('Guarantees provided'!B175="#","Type of identifier, other than LEI or MFI code","LEI code")</f>
        <v>LEI code</v>
      </c>
      <c r="J181" s="14" t="str">
        <f>IF(OR('Guarantees provided'!H175="E",'Guarantees provided'!H175="x"),"True","False")</f>
        <v>False</v>
      </c>
      <c r="K181" s="11" t="s">
        <v>53</v>
      </c>
      <c r="L181" s="11" t="s">
        <v>54</v>
      </c>
      <c r="M181" s="11">
        <f>-'Guarantees provided'!D175</f>
        <v>48000</v>
      </c>
      <c r="N181" s="11" t="s">
        <v>55</v>
      </c>
      <c r="O181" s="11">
        <v>0</v>
      </c>
      <c r="P181" s="12" t="s">
        <v>56</v>
      </c>
    </row>
    <row r="182" spans="3:16" ht="23.65" thickBot="1">
      <c r="C182" s="10" t="s">
        <v>51</v>
      </c>
      <c r="D182" s="11">
        <v>175</v>
      </c>
      <c r="E182" s="11" t="s">
        <v>52</v>
      </c>
      <c r="F182" s="11" t="str">
        <f>'Guarantees provided'!G176</f>
        <v>262304840019550</v>
      </c>
      <c r="G182" s="11" t="str">
        <f>'Guarantees provided'!A176</f>
        <v>BANCO SANTANDER TOTTA SA</v>
      </c>
      <c r="H182" s="11" t="str">
        <f>IF('Guarantees provided'!B176="#",'Guarantees provided'!C176,'Guarantees provided'!B176)</f>
        <v>549300URJH9VSI58CS32</v>
      </c>
      <c r="I182" s="11" t="str">
        <f>IF('Guarantees provided'!B176="#","Type of identifier, other than LEI or MFI code","LEI code")</f>
        <v>LEI code</v>
      </c>
      <c r="J182" s="14" t="str">
        <f>IF(OR('Guarantees provided'!H176="E",'Guarantees provided'!H176="x"),"True","False")</f>
        <v>False</v>
      </c>
      <c r="K182" s="11" t="s">
        <v>53</v>
      </c>
      <c r="L182" s="11" t="s">
        <v>54</v>
      </c>
      <c r="M182" s="11">
        <f>-'Guarantees provided'!D176</f>
        <v>43260.01</v>
      </c>
      <c r="N182" s="11" t="s">
        <v>55</v>
      </c>
      <c r="O182" s="11">
        <v>0</v>
      </c>
      <c r="P182" s="12" t="s">
        <v>56</v>
      </c>
    </row>
    <row r="183" spans="3:16" ht="23.65" thickBot="1">
      <c r="C183" s="10" t="s">
        <v>51</v>
      </c>
      <c r="D183" s="11">
        <v>176</v>
      </c>
      <c r="E183" s="11" t="s">
        <v>52</v>
      </c>
      <c r="F183" s="11" t="str">
        <f>'Guarantees provided'!G177</f>
        <v>262304840020520</v>
      </c>
      <c r="G183" s="11" t="str">
        <f>'Guarantees provided'!A177</f>
        <v>BANCO SANTANDER TOTTA SA</v>
      </c>
      <c r="H183" s="11" t="str">
        <f>IF('Guarantees provided'!B177="#",'Guarantees provided'!C177,'Guarantees provided'!B177)</f>
        <v>549300URJH9VSI58CS32</v>
      </c>
      <c r="I183" s="11" t="str">
        <f>IF('Guarantees provided'!B177="#","Type of identifier, other than LEI or MFI code","LEI code")</f>
        <v>LEI code</v>
      </c>
      <c r="J183" s="14" t="str">
        <f>IF(OR('Guarantees provided'!H177="E",'Guarantees provided'!H177="x"),"True","False")</f>
        <v>False</v>
      </c>
      <c r="K183" s="11" t="s">
        <v>53</v>
      </c>
      <c r="L183" s="11" t="s">
        <v>54</v>
      </c>
      <c r="M183" s="11">
        <f>-'Guarantees provided'!D177</f>
        <v>36400</v>
      </c>
      <c r="N183" s="11" t="s">
        <v>55</v>
      </c>
      <c r="O183" s="11">
        <v>0</v>
      </c>
      <c r="P183" s="12" t="s">
        <v>56</v>
      </c>
    </row>
    <row r="184" spans="3:16" ht="23.65" thickBot="1">
      <c r="C184" s="10" t="s">
        <v>51</v>
      </c>
      <c r="D184" s="11">
        <v>177</v>
      </c>
      <c r="E184" s="11" t="s">
        <v>52</v>
      </c>
      <c r="F184" s="11" t="str">
        <f>'Guarantees provided'!G178</f>
        <v>262304840020660</v>
      </c>
      <c r="G184" s="11" t="str">
        <f>'Guarantees provided'!A178</f>
        <v>BANCO SANTANDER TOTTA SA</v>
      </c>
      <c r="H184" s="11" t="str">
        <f>IF('Guarantees provided'!B178="#",'Guarantees provided'!C178,'Guarantees provided'!B178)</f>
        <v>549300URJH9VSI58CS32</v>
      </c>
      <c r="I184" s="11" t="str">
        <f>IF('Guarantees provided'!B178="#","Type of identifier, other than LEI or MFI code","LEI code")</f>
        <v>LEI code</v>
      </c>
      <c r="J184" s="14" t="str">
        <f>IF(OR('Guarantees provided'!H178="E",'Guarantees provided'!H178="x"),"True","False")</f>
        <v>False</v>
      </c>
      <c r="K184" s="11" t="s">
        <v>53</v>
      </c>
      <c r="L184" s="11" t="s">
        <v>54</v>
      </c>
      <c r="M184" s="11">
        <f>-'Guarantees provided'!D178</f>
        <v>44391.08</v>
      </c>
      <c r="N184" s="11" t="s">
        <v>55</v>
      </c>
      <c r="O184" s="11">
        <v>0</v>
      </c>
      <c r="P184" s="12" t="s">
        <v>56</v>
      </c>
    </row>
    <row r="185" spans="3:16" ht="23.65" thickBot="1">
      <c r="C185" s="10" t="s">
        <v>51</v>
      </c>
      <c r="D185" s="11">
        <v>178</v>
      </c>
      <c r="E185" s="11" t="s">
        <v>52</v>
      </c>
      <c r="F185" s="11" t="str">
        <f>'Guarantees provided'!G179</f>
        <v>262304840020670</v>
      </c>
      <c r="G185" s="11" t="str">
        <f>'Guarantees provided'!A179</f>
        <v>BANCO SANTANDER TOTTA SA</v>
      </c>
      <c r="H185" s="11" t="str">
        <f>IF('Guarantees provided'!B179="#",'Guarantees provided'!C179,'Guarantees provided'!B179)</f>
        <v>549300URJH9VSI58CS32</v>
      </c>
      <c r="I185" s="11" t="str">
        <f>IF('Guarantees provided'!B179="#","Type of identifier, other than LEI or MFI code","LEI code")</f>
        <v>LEI code</v>
      </c>
      <c r="J185" s="14" t="str">
        <f>IF(OR('Guarantees provided'!H179="E",'Guarantees provided'!H179="x"),"True","False")</f>
        <v>False</v>
      </c>
      <c r="K185" s="11" t="s">
        <v>53</v>
      </c>
      <c r="L185" s="11" t="s">
        <v>54</v>
      </c>
      <c r="M185" s="11">
        <f>-'Guarantees provided'!D179</f>
        <v>27320</v>
      </c>
      <c r="N185" s="11" t="s">
        <v>55</v>
      </c>
      <c r="O185" s="11">
        <v>0</v>
      </c>
      <c r="P185" s="12" t="s">
        <v>56</v>
      </c>
    </row>
    <row r="186" spans="3:16" ht="23.65" thickBot="1">
      <c r="C186" s="10" t="s">
        <v>51</v>
      </c>
      <c r="D186" s="11">
        <v>179</v>
      </c>
      <c r="E186" s="11" t="s">
        <v>52</v>
      </c>
      <c r="F186" s="11" t="str">
        <f>'Guarantees provided'!G180</f>
        <v>262304840021820</v>
      </c>
      <c r="G186" s="11" t="str">
        <f>'Guarantees provided'!A180</f>
        <v>BANCO SANTANDER TOTTA SA</v>
      </c>
      <c r="H186" s="11" t="str">
        <f>IF('Guarantees provided'!B180="#",'Guarantees provided'!C180,'Guarantees provided'!B180)</f>
        <v>549300URJH9VSI58CS32</v>
      </c>
      <c r="I186" s="11" t="str">
        <f>IF('Guarantees provided'!B180="#","Type of identifier, other than LEI or MFI code","LEI code")</f>
        <v>LEI code</v>
      </c>
      <c r="J186" s="14" t="str">
        <f>IF(OR('Guarantees provided'!H180="E",'Guarantees provided'!H180="x"),"True","False")</f>
        <v>False</v>
      </c>
      <c r="K186" s="11" t="s">
        <v>53</v>
      </c>
      <c r="L186" s="11" t="s">
        <v>54</v>
      </c>
      <c r="M186" s="11">
        <f>-'Guarantees provided'!D180</f>
        <v>37840</v>
      </c>
      <c r="N186" s="11" t="s">
        <v>55</v>
      </c>
      <c r="O186" s="11">
        <v>0</v>
      </c>
      <c r="P186" s="12" t="s">
        <v>56</v>
      </c>
    </row>
    <row r="187" spans="3:16" ht="23.65" thickBot="1">
      <c r="C187" s="10" t="s">
        <v>51</v>
      </c>
      <c r="D187" s="11">
        <v>180</v>
      </c>
      <c r="E187" s="11" t="s">
        <v>52</v>
      </c>
      <c r="F187" s="11" t="str">
        <f>'Guarantees provided'!G181</f>
        <v>262304840022340</v>
      </c>
      <c r="G187" s="11" t="str">
        <f>'Guarantees provided'!A181</f>
        <v>BANCO SANTANDER TOTTA SA</v>
      </c>
      <c r="H187" s="11" t="str">
        <f>IF('Guarantees provided'!B181="#",'Guarantees provided'!C181,'Guarantees provided'!B181)</f>
        <v>549300URJH9VSI58CS32</v>
      </c>
      <c r="I187" s="11" t="str">
        <f>IF('Guarantees provided'!B181="#","Type of identifier, other than LEI or MFI code","LEI code")</f>
        <v>LEI code</v>
      </c>
      <c r="J187" s="14" t="str">
        <f>IF(OR('Guarantees provided'!H181="E",'Guarantees provided'!H181="x"),"True","False")</f>
        <v>False</v>
      </c>
      <c r="K187" s="11" t="s">
        <v>53</v>
      </c>
      <c r="L187" s="11" t="s">
        <v>54</v>
      </c>
      <c r="M187" s="11">
        <f>-'Guarantees provided'!D181</f>
        <v>18599.47</v>
      </c>
      <c r="N187" s="11" t="s">
        <v>55</v>
      </c>
      <c r="O187" s="11">
        <v>0</v>
      </c>
      <c r="P187" s="12" t="s">
        <v>56</v>
      </c>
    </row>
    <row r="188" spans="3:16" ht="23.65" thickBot="1">
      <c r="C188" s="10" t="s">
        <v>51</v>
      </c>
      <c r="D188" s="11">
        <v>181</v>
      </c>
      <c r="E188" s="11" t="s">
        <v>52</v>
      </c>
      <c r="F188" s="11" t="str">
        <f>'Guarantees provided'!G182</f>
        <v>262304840022580</v>
      </c>
      <c r="G188" s="11" t="str">
        <f>'Guarantees provided'!A182</f>
        <v>BANCO SANTANDER TOTTA SA</v>
      </c>
      <c r="H188" s="11" t="str">
        <f>IF('Guarantees provided'!B182="#",'Guarantees provided'!C182,'Guarantees provided'!B182)</f>
        <v>549300URJH9VSI58CS32</v>
      </c>
      <c r="I188" s="11" t="str">
        <f>IF('Guarantees provided'!B182="#","Type of identifier, other than LEI or MFI code","LEI code")</f>
        <v>LEI code</v>
      </c>
      <c r="J188" s="14" t="str">
        <f>IF(OR('Guarantees provided'!H182="E",'Guarantees provided'!H182="x"),"True","False")</f>
        <v>False</v>
      </c>
      <c r="K188" s="11" t="s">
        <v>53</v>
      </c>
      <c r="L188" s="11" t="s">
        <v>54</v>
      </c>
      <c r="M188" s="11">
        <f>-'Guarantees provided'!D182</f>
        <v>19520</v>
      </c>
      <c r="N188" s="11" t="s">
        <v>55</v>
      </c>
      <c r="O188" s="11">
        <v>0</v>
      </c>
      <c r="P188" s="12" t="s">
        <v>56</v>
      </c>
    </row>
    <row r="189" spans="3:16" ht="23.65" thickBot="1">
      <c r="C189" s="10" t="s">
        <v>51</v>
      </c>
      <c r="D189" s="11">
        <v>182</v>
      </c>
      <c r="E189" s="11" t="s">
        <v>52</v>
      </c>
      <c r="F189" s="11" t="str">
        <f>'Guarantees provided'!G183</f>
        <v>262304840022600</v>
      </c>
      <c r="G189" s="11" t="str">
        <f>'Guarantees provided'!A183</f>
        <v>BANCO SANTANDER TOTTA SA</v>
      </c>
      <c r="H189" s="11" t="str">
        <f>IF('Guarantees provided'!B183="#",'Guarantees provided'!C183,'Guarantees provided'!B183)</f>
        <v>549300URJH9VSI58CS32</v>
      </c>
      <c r="I189" s="11" t="str">
        <f>IF('Guarantees provided'!B183="#","Type of identifier, other than LEI or MFI code","LEI code")</f>
        <v>LEI code</v>
      </c>
      <c r="J189" s="14" t="str">
        <f>IF(OR('Guarantees provided'!H183="E",'Guarantees provided'!H183="x"),"True","False")</f>
        <v>False</v>
      </c>
      <c r="K189" s="11" t="s">
        <v>53</v>
      </c>
      <c r="L189" s="11" t="s">
        <v>54</v>
      </c>
      <c r="M189" s="11">
        <f>-'Guarantees provided'!D183</f>
        <v>26000</v>
      </c>
      <c r="N189" s="11" t="s">
        <v>55</v>
      </c>
      <c r="O189" s="11">
        <v>0</v>
      </c>
      <c r="P189" s="12" t="s">
        <v>56</v>
      </c>
    </row>
    <row r="190" spans="3:16" ht="23.65" thickBot="1">
      <c r="C190" s="10" t="s">
        <v>51</v>
      </c>
      <c r="D190" s="11">
        <v>183</v>
      </c>
      <c r="E190" s="11" t="s">
        <v>52</v>
      </c>
      <c r="F190" s="11" t="str">
        <f>'Guarantees provided'!G184</f>
        <v>262304840022620</v>
      </c>
      <c r="G190" s="11" t="str">
        <f>'Guarantees provided'!A184</f>
        <v>BANCO SANTANDER TOTTA SA</v>
      </c>
      <c r="H190" s="11" t="str">
        <f>IF('Guarantees provided'!B184="#",'Guarantees provided'!C184,'Guarantees provided'!B184)</f>
        <v>549300URJH9VSI58CS32</v>
      </c>
      <c r="I190" s="11" t="str">
        <f>IF('Guarantees provided'!B184="#","Type of identifier, other than LEI or MFI code","LEI code")</f>
        <v>LEI code</v>
      </c>
      <c r="J190" s="14" t="str">
        <f>IF(OR('Guarantees provided'!H184="E",'Guarantees provided'!H184="x"),"True","False")</f>
        <v>False</v>
      </c>
      <c r="K190" s="11" t="s">
        <v>53</v>
      </c>
      <c r="L190" s="11" t="s">
        <v>54</v>
      </c>
      <c r="M190" s="11">
        <f>-'Guarantees provided'!D184</f>
        <v>26000</v>
      </c>
      <c r="N190" s="11" t="s">
        <v>55</v>
      </c>
      <c r="O190" s="11">
        <v>0</v>
      </c>
      <c r="P190" s="12" t="s">
        <v>56</v>
      </c>
    </row>
    <row r="191" spans="3:16" ht="23.65" thickBot="1">
      <c r="C191" s="10" t="s">
        <v>51</v>
      </c>
      <c r="D191" s="11">
        <v>184</v>
      </c>
      <c r="E191" s="11" t="s">
        <v>52</v>
      </c>
      <c r="F191" s="11" t="str">
        <f>'Guarantees provided'!G185</f>
        <v>262304840022770</v>
      </c>
      <c r="G191" s="11" t="str">
        <f>'Guarantees provided'!A185</f>
        <v>BANCO SANTANDER TOTTA SA</v>
      </c>
      <c r="H191" s="11" t="str">
        <f>IF('Guarantees provided'!B185="#",'Guarantees provided'!C185,'Guarantees provided'!B185)</f>
        <v>549300URJH9VSI58CS32</v>
      </c>
      <c r="I191" s="11" t="str">
        <f>IF('Guarantees provided'!B185="#","Type of identifier, other than LEI or MFI code","LEI code")</f>
        <v>LEI code</v>
      </c>
      <c r="J191" s="14" t="str">
        <f>IF(OR('Guarantees provided'!H185="E",'Guarantees provided'!H185="x"),"True","False")</f>
        <v>False</v>
      </c>
      <c r="K191" s="11" t="s">
        <v>53</v>
      </c>
      <c r="L191" s="11" t="s">
        <v>54</v>
      </c>
      <c r="M191" s="11">
        <f>-'Guarantees provided'!D185</f>
        <v>44000</v>
      </c>
      <c r="N191" s="11" t="s">
        <v>55</v>
      </c>
      <c r="O191" s="11">
        <v>0</v>
      </c>
      <c r="P191" s="12" t="s">
        <v>56</v>
      </c>
    </row>
    <row r="192" spans="3:16" ht="23.65" thickBot="1">
      <c r="C192" s="10" t="s">
        <v>51</v>
      </c>
      <c r="D192" s="11">
        <v>185</v>
      </c>
      <c r="E192" s="11" t="s">
        <v>52</v>
      </c>
      <c r="F192" s="11" t="str">
        <f>'Guarantees provided'!G186</f>
        <v>262304840023130</v>
      </c>
      <c r="G192" s="11" t="str">
        <f>'Guarantees provided'!A186</f>
        <v>BANCO SANTANDER TOTTA SA</v>
      </c>
      <c r="H192" s="11" t="str">
        <f>IF('Guarantees provided'!B186="#",'Guarantees provided'!C186,'Guarantees provided'!B186)</f>
        <v>549300URJH9VSI58CS32</v>
      </c>
      <c r="I192" s="11" t="str">
        <f>IF('Guarantees provided'!B186="#","Type of identifier, other than LEI or MFI code","LEI code")</f>
        <v>LEI code</v>
      </c>
      <c r="J192" s="14" t="str">
        <f>IF(OR('Guarantees provided'!H186="E",'Guarantees provided'!H186="x"),"True","False")</f>
        <v>False</v>
      </c>
      <c r="K192" s="11" t="s">
        <v>53</v>
      </c>
      <c r="L192" s="11" t="s">
        <v>54</v>
      </c>
      <c r="M192" s="11">
        <f>-'Guarantees provided'!D186</f>
        <v>33600</v>
      </c>
      <c r="N192" s="11" t="s">
        <v>55</v>
      </c>
      <c r="O192" s="11">
        <v>0</v>
      </c>
      <c r="P192" s="12" t="s">
        <v>56</v>
      </c>
    </row>
    <row r="193" spans="3:16" ht="23.65" thickBot="1">
      <c r="C193" s="10" t="s">
        <v>51</v>
      </c>
      <c r="D193" s="11">
        <v>186</v>
      </c>
      <c r="E193" s="11" t="s">
        <v>52</v>
      </c>
      <c r="F193" s="11" t="str">
        <f>'Guarantees provided'!G187</f>
        <v>262304840023140</v>
      </c>
      <c r="G193" s="11" t="str">
        <f>'Guarantees provided'!A187</f>
        <v>BANCO SANTANDER TOTTA SA</v>
      </c>
      <c r="H193" s="11" t="str">
        <f>IF('Guarantees provided'!B187="#",'Guarantees provided'!C187,'Guarantees provided'!B187)</f>
        <v>549300URJH9VSI58CS32</v>
      </c>
      <c r="I193" s="11" t="str">
        <f>IF('Guarantees provided'!B187="#","Type of identifier, other than LEI or MFI code","LEI code")</f>
        <v>LEI code</v>
      </c>
      <c r="J193" s="14" t="str">
        <f>IF(OR('Guarantees provided'!H187="E",'Guarantees provided'!H187="x"),"True","False")</f>
        <v>False</v>
      </c>
      <c r="K193" s="11" t="s">
        <v>53</v>
      </c>
      <c r="L193" s="11" t="s">
        <v>54</v>
      </c>
      <c r="M193" s="11">
        <f>-'Guarantees provided'!D187</f>
        <v>5000</v>
      </c>
      <c r="N193" s="11" t="s">
        <v>55</v>
      </c>
      <c r="O193" s="11">
        <v>0</v>
      </c>
      <c r="P193" s="12" t="s">
        <v>56</v>
      </c>
    </row>
    <row r="194" spans="3:16" ht="23.65" thickBot="1">
      <c r="C194" s="10" t="s">
        <v>51</v>
      </c>
      <c r="D194" s="11">
        <v>187</v>
      </c>
      <c r="E194" s="11" t="s">
        <v>52</v>
      </c>
      <c r="F194" s="11" t="str">
        <f>'Guarantees provided'!G188</f>
        <v>262304840023740</v>
      </c>
      <c r="G194" s="11" t="str">
        <f>'Guarantees provided'!A188</f>
        <v>BANCO SANTANDER TOTTA SA</v>
      </c>
      <c r="H194" s="11" t="str">
        <f>IF('Guarantees provided'!B188="#",'Guarantees provided'!C188,'Guarantees provided'!B188)</f>
        <v>549300URJH9VSI58CS32</v>
      </c>
      <c r="I194" s="11" t="str">
        <f>IF('Guarantees provided'!B188="#","Type of identifier, other than LEI or MFI code","LEI code")</f>
        <v>LEI code</v>
      </c>
      <c r="J194" s="14" t="str">
        <f>IF(OR('Guarantees provided'!H188="E",'Guarantees provided'!H188="x"),"True","False")</f>
        <v>False</v>
      </c>
      <c r="K194" s="11" t="s">
        <v>53</v>
      </c>
      <c r="L194" s="11" t="s">
        <v>54</v>
      </c>
      <c r="M194" s="11">
        <f>-'Guarantees provided'!D188</f>
        <v>24712.29</v>
      </c>
      <c r="N194" s="11" t="s">
        <v>55</v>
      </c>
      <c r="O194" s="11">
        <v>0</v>
      </c>
      <c r="P194" s="12" t="s">
        <v>56</v>
      </c>
    </row>
    <row r="195" spans="3:16" ht="23.65" thickBot="1">
      <c r="C195" s="10" t="s">
        <v>51</v>
      </c>
      <c r="D195" s="11">
        <v>188</v>
      </c>
      <c r="E195" s="11" t="s">
        <v>52</v>
      </c>
      <c r="F195" s="11" t="str">
        <f>'Guarantees provided'!G189</f>
        <v>262304840023760</v>
      </c>
      <c r="G195" s="11" t="str">
        <f>'Guarantees provided'!A189</f>
        <v>BANCO SANTANDER TOTTA SA</v>
      </c>
      <c r="H195" s="11" t="str">
        <f>IF('Guarantees provided'!B189="#",'Guarantees provided'!C189,'Guarantees provided'!B189)</f>
        <v>549300URJH9VSI58CS32</v>
      </c>
      <c r="I195" s="11" t="str">
        <f>IF('Guarantees provided'!B189="#","Type of identifier, other than LEI or MFI code","LEI code")</f>
        <v>LEI code</v>
      </c>
      <c r="J195" s="14" t="str">
        <f>IF(OR('Guarantees provided'!H189="E",'Guarantees provided'!H189="x"),"True","False")</f>
        <v>False</v>
      </c>
      <c r="K195" s="11" t="s">
        <v>53</v>
      </c>
      <c r="L195" s="11" t="s">
        <v>54</v>
      </c>
      <c r="M195" s="11">
        <f>-'Guarantees provided'!D189</f>
        <v>24712.28</v>
      </c>
      <c r="N195" s="11" t="s">
        <v>55</v>
      </c>
      <c r="O195" s="11">
        <v>0</v>
      </c>
      <c r="P195" s="12" t="s">
        <v>56</v>
      </c>
    </row>
    <row r="196" spans="3:16" ht="23.65" thickBot="1">
      <c r="C196" s="10" t="s">
        <v>51</v>
      </c>
      <c r="D196" s="11">
        <v>189</v>
      </c>
      <c r="E196" s="11" t="s">
        <v>52</v>
      </c>
      <c r="F196" s="11" t="str">
        <f>'Guarantees provided'!G190</f>
        <v>262304840024230</v>
      </c>
      <c r="G196" s="11" t="str">
        <f>'Guarantees provided'!A190</f>
        <v>BANCO SANTANDER TOTTA SA</v>
      </c>
      <c r="H196" s="11" t="str">
        <f>IF('Guarantees provided'!B190="#",'Guarantees provided'!C190,'Guarantees provided'!B190)</f>
        <v>549300URJH9VSI58CS32</v>
      </c>
      <c r="I196" s="11" t="str">
        <f>IF('Guarantees provided'!B190="#","Type of identifier, other than LEI or MFI code","LEI code")</f>
        <v>LEI code</v>
      </c>
      <c r="J196" s="14" t="str">
        <f>IF(OR('Guarantees provided'!H190="E",'Guarantees provided'!H190="x"),"True","False")</f>
        <v>False</v>
      </c>
      <c r="K196" s="11" t="s">
        <v>53</v>
      </c>
      <c r="L196" s="11" t="s">
        <v>54</v>
      </c>
      <c r="M196" s="11">
        <f>-'Guarantees provided'!D190</f>
        <v>27000</v>
      </c>
      <c r="N196" s="11" t="s">
        <v>55</v>
      </c>
      <c r="O196" s="11">
        <v>0</v>
      </c>
      <c r="P196" s="12" t="s">
        <v>56</v>
      </c>
    </row>
    <row r="197" spans="3:16" ht="23.65" thickBot="1">
      <c r="C197" s="10" t="s">
        <v>51</v>
      </c>
      <c r="D197" s="11">
        <v>190</v>
      </c>
      <c r="E197" s="11" t="s">
        <v>52</v>
      </c>
      <c r="F197" s="11" t="str">
        <f>'Guarantees provided'!G191</f>
        <v>262304840024560</v>
      </c>
      <c r="G197" s="11" t="str">
        <f>'Guarantees provided'!A191</f>
        <v>BANCO SANTANDER TOTTA SA</v>
      </c>
      <c r="H197" s="11" t="str">
        <f>IF('Guarantees provided'!B191="#",'Guarantees provided'!C191,'Guarantees provided'!B191)</f>
        <v>549300URJH9VSI58CS32</v>
      </c>
      <c r="I197" s="11" t="str">
        <f>IF('Guarantees provided'!B191="#","Type of identifier, other than LEI or MFI code","LEI code")</f>
        <v>LEI code</v>
      </c>
      <c r="J197" s="14" t="str">
        <f>IF(OR('Guarantees provided'!H191="E",'Guarantees provided'!H191="x"),"True","False")</f>
        <v>False</v>
      </c>
      <c r="K197" s="11" t="s">
        <v>53</v>
      </c>
      <c r="L197" s="11" t="s">
        <v>54</v>
      </c>
      <c r="M197" s="11">
        <f>-'Guarantees provided'!D191</f>
        <v>27377.93</v>
      </c>
      <c r="N197" s="11" t="s">
        <v>55</v>
      </c>
      <c r="O197" s="11">
        <v>0</v>
      </c>
      <c r="P197" s="12" t="s">
        <v>56</v>
      </c>
    </row>
    <row r="198" spans="3:16" ht="23.65" thickBot="1">
      <c r="C198" s="10" t="s">
        <v>51</v>
      </c>
      <c r="D198" s="11">
        <v>191</v>
      </c>
      <c r="E198" s="11" t="s">
        <v>52</v>
      </c>
      <c r="F198" s="11" t="str">
        <f>'Guarantees provided'!G192</f>
        <v>262304840025010</v>
      </c>
      <c r="G198" s="11" t="str">
        <f>'Guarantees provided'!A192</f>
        <v>BANCO SANTANDER TOTTA SA</v>
      </c>
      <c r="H198" s="11" t="str">
        <f>IF('Guarantees provided'!B192="#",'Guarantees provided'!C192,'Guarantees provided'!B192)</f>
        <v>549300URJH9VSI58CS32</v>
      </c>
      <c r="I198" s="11" t="str">
        <f>IF('Guarantees provided'!B192="#","Type of identifier, other than LEI or MFI code","LEI code")</f>
        <v>LEI code</v>
      </c>
      <c r="J198" s="14" t="str">
        <f>IF(OR('Guarantees provided'!H192="E",'Guarantees provided'!H192="x"),"True","False")</f>
        <v>False</v>
      </c>
      <c r="K198" s="11" t="s">
        <v>53</v>
      </c>
      <c r="L198" s="11" t="s">
        <v>54</v>
      </c>
      <c r="M198" s="11">
        <f>-'Guarantees provided'!D192</f>
        <v>22671.439999999999</v>
      </c>
      <c r="N198" s="11" t="s">
        <v>55</v>
      </c>
      <c r="O198" s="11">
        <v>0</v>
      </c>
      <c r="P198" s="12" t="s">
        <v>56</v>
      </c>
    </row>
    <row r="199" spans="3:16" ht="23.65" thickBot="1">
      <c r="C199" s="10" t="s">
        <v>51</v>
      </c>
      <c r="D199" s="11">
        <v>192</v>
      </c>
      <c r="E199" s="11" t="s">
        <v>52</v>
      </c>
      <c r="F199" s="11" t="str">
        <f>'Guarantees provided'!G193</f>
        <v>262304840025790</v>
      </c>
      <c r="G199" s="11" t="str">
        <f>'Guarantees provided'!A193</f>
        <v>BANCO SANTANDER TOTTA SA</v>
      </c>
      <c r="H199" s="11" t="str">
        <f>IF('Guarantees provided'!B193="#",'Guarantees provided'!C193,'Guarantees provided'!B193)</f>
        <v>549300URJH9VSI58CS32</v>
      </c>
      <c r="I199" s="11" t="str">
        <f>IF('Guarantees provided'!B193="#","Type of identifier, other than LEI or MFI code","LEI code")</f>
        <v>LEI code</v>
      </c>
      <c r="J199" s="14" t="str">
        <f>IF(OR('Guarantees provided'!H193="E",'Guarantees provided'!H193="x"),"True","False")</f>
        <v>False</v>
      </c>
      <c r="K199" s="11" t="s">
        <v>53</v>
      </c>
      <c r="L199" s="11" t="s">
        <v>54</v>
      </c>
      <c r="M199" s="11">
        <f>-'Guarantees provided'!D193</f>
        <v>29456.69</v>
      </c>
      <c r="N199" s="11" t="s">
        <v>55</v>
      </c>
      <c r="O199" s="11">
        <v>0</v>
      </c>
      <c r="P199" s="12" t="s">
        <v>56</v>
      </c>
    </row>
    <row r="200" spans="3:16" ht="23.65" thickBot="1">
      <c r="C200" s="10" t="s">
        <v>51</v>
      </c>
      <c r="D200" s="11">
        <v>193</v>
      </c>
      <c r="E200" s="11" t="s">
        <v>52</v>
      </c>
      <c r="F200" s="11" t="str">
        <f>'Guarantees provided'!G194</f>
        <v>262304840026200</v>
      </c>
      <c r="G200" s="11" t="str">
        <f>'Guarantees provided'!A194</f>
        <v>BANCO SANTANDER TOTTA SA</v>
      </c>
      <c r="H200" s="11" t="str">
        <f>IF('Guarantees provided'!B194="#",'Guarantees provided'!C194,'Guarantees provided'!B194)</f>
        <v>549300URJH9VSI58CS32</v>
      </c>
      <c r="I200" s="11" t="str">
        <f>IF('Guarantees provided'!B194="#","Type of identifier, other than LEI or MFI code","LEI code")</f>
        <v>LEI code</v>
      </c>
      <c r="J200" s="14" t="str">
        <f>IF(OR('Guarantees provided'!H194="E",'Guarantees provided'!H194="x"),"True","False")</f>
        <v>False</v>
      </c>
      <c r="K200" s="11" t="s">
        <v>53</v>
      </c>
      <c r="L200" s="11" t="s">
        <v>54</v>
      </c>
      <c r="M200" s="11">
        <f>-'Guarantees provided'!D194</f>
        <v>22000</v>
      </c>
      <c r="N200" s="11" t="s">
        <v>55</v>
      </c>
      <c r="O200" s="11">
        <v>0</v>
      </c>
      <c r="P200" s="12" t="s">
        <v>56</v>
      </c>
    </row>
    <row r="201" spans="3:16" ht="23.65" thickBot="1">
      <c r="C201" s="10" t="s">
        <v>51</v>
      </c>
      <c r="D201" s="11">
        <v>194</v>
      </c>
      <c r="E201" s="11" t="s">
        <v>52</v>
      </c>
      <c r="F201" s="11" t="str">
        <f>'Guarantees provided'!G195</f>
        <v>262304840026280</v>
      </c>
      <c r="G201" s="11" t="str">
        <f>'Guarantees provided'!A195</f>
        <v>BANCO SANTANDER TOTTA SA</v>
      </c>
      <c r="H201" s="11" t="str">
        <f>IF('Guarantees provided'!B195="#",'Guarantees provided'!C195,'Guarantees provided'!B195)</f>
        <v>549300URJH9VSI58CS32</v>
      </c>
      <c r="I201" s="11" t="str">
        <f>IF('Guarantees provided'!B195="#","Type of identifier, other than LEI or MFI code","LEI code")</f>
        <v>LEI code</v>
      </c>
      <c r="J201" s="14" t="str">
        <f>IF(OR('Guarantees provided'!H195="E",'Guarantees provided'!H195="x"),"True","False")</f>
        <v>False</v>
      </c>
      <c r="K201" s="11" t="s">
        <v>53</v>
      </c>
      <c r="L201" s="11" t="s">
        <v>54</v>
      </c>
      <c r="M201" s="11">
        <f>-'Guarantees provided'!D195</f>
        <v>35760</v>
      </c>
      <c r="N201" s="11" t="s">
        <v>55</v>
      </c>
      <c r="O201" s="11">
        <v>0</v>
      </c>
      <c r="P201" s="12" t="s">
        <v>56</v>
      </c>
    </row>
    <row r="202" spans="3:16" ht="23.65" thickBot="1">
      <c r="C202" s="10" t="s">
        <v>51</v>
      </c>
      <c r="D202" s="11">
        <v>195</v>
      </c>
      <c r="E202" s="11" t="s">
        <v>52</v>
      </c>
      <c r="F202" s="11" t="str">
        <f>'Guarantees provided'!G196</f>
        <v>262304840026710</v>
      </c>
      <c r="G202" s="11" t="str">
        <f>'Guarantees provided'!A196</f>
        <v>BANCO SANTANDER TOTTA SA</v>
      </c>
      <c r="H202" s="11" t="str">
        <f>IF('Guarantees provided'!B196="#",'Guarantees provided'!C196,'Guarantees provided'!B196)</f>
        <v>549300URJH9VSI58CS32</v>
      </c>
      <c r="I202" s="11" t="str">
        <f>IF('Guarantees provided'!B196="#","Type of identifier, other than LEI or MFI code","LEI code")</f>
        <v>LEI code</v>
      </c>
      <c r="J202" s="14" t="str">
        <f>IF(OR('Guarantees provided'!H196="E",'Guarantees provided'!H196="x"),"True","False")</f>
        <v>False</v>
      </c>
      <c r="K202" s="11" t="s">
        <v>53</v>
      </c>
      <c r="L202" s="11" t="s">
        <v>54</v>
      </c>
      <c r="M202" s="11">
        <f>-'Guarantees provided'!D196</f>
        <v>48000</v>
      </c>
      <c r="N202" s="11" t="s">
        <v>55</v>
      </c>
      <c r="O202" s="11">
        <v>0</v>
      </c>
      <c r="P202" s="12" t="s">
        <v>56</v>
      </c>
    </row>
    <row r="203" spans="3:16" ht="23.65" thickBot="1">
      <c r="C203" s="10" t="s">
        <v>51</v>
      </c>
      <c r="D203" s="11">
        <v>196</v>
      </c>
      <c r="E203" s="11" t="s">
        <v>52</v>
      </c>
      <c r="F203" s="11" t="str">
        <f>'Guarantees provided'!G197</f>
        <v>262304840026860</v>
      </c>
      <c r="G203" s="11" t="str">
        <f>'Guarantees provided'!A197</f>
        <v>BANCO SANTANDER TOTTA SA</v>
      </c>
      <c r="H203" s="11" t="str">
        <f>IF('Guarantees provided'!B197="#",'Guarantees provided'!C197,'Guarantees provided'!B197)</f>
        <v>549300URJH9VSI58CS32</v>
      </c>
      <c r="I203" s="11" t="str">
        <f>IF('Guarantees provided'!B197="#","Type of identifier, other than LEI or MFI code","LEI code")</f>
        <v>LEI code</v>
      </c>
      <c r="J203" s="14" t="str">
        <f>IF(OR('Guarantees provided'!H197="E",'Guarantees provided'!H197="x"),"True","False")</f>
        <v>False</v>
      </c>
      <c r="K203" s="11" t="s">
        <v>53</v>
      </c>
      <c r="L203" s="11" t="s">
        <v>54</v>
      </c>
      <c r="M203" s="11">
        <f>-'Guarantees provided'!D197</f>
        <v>32880</v>
      </c>
      <c r="N203" s="11" t="s">
        <v>55</v>
      </c>
      <c r="O203" s="11">
        <v>0</v>
      </c>
      <c r="P203" s="12" t="s">
        <v>56</v>
      </c>
    </row>
    <row r="204" spans="3:16" ht="23.65" thickBot="1">
      <c r="C204" s="10" t="s">
        <v>51</v>
      </c>
      <c r="D204" s="11">
        <v>197</v>
      </c>
      <c r="E204" s="11" t="s">
        <v>52</v>
      </c>
      <c r="F204" s="11" t="str">
        <f>'Guarantees provided'!G198</f>
        <v>262304840027200</v>
      </c>
      <c r="G204" s="11" t="str">
        <f>'Guarantees provided'!A198</f>
        <v>BANCO SANTANDER TOTTA SA</v>
      </c>
      <c r="H204" s="11" t="str">
        <f>IF('Guarantees provided'!B198="#",'Guarantees provided'!C198,'Guarantees provided'!B198)</f>
        <v>549300URJH9VSI58CS32</v>
      </c>
      <c r="I204" s="11" t="str">
        <f>IF('Guarantees provided'!B198="#","Type of identifier, other than LEI or MFI code","LEI code")</f>
        <v>LEI code</v>
      </c>
      <c r="J204" s="14" t="str">
        <f>IF(OR('Guarantees provided'!H198="E",'Guarantees provided'!H198="x"),"True","False")</f>
        <v>False</v>
      </c>
      <c r="K204" s="11" t="s">
        <v>53</v>
      </c>
      <c r="L204" s="11" t="s">
        <v>54</v>
      </c>
      <c r="M204" s="11">
        <f>-'Guarantees provided'!D198</f>
        <v>35450.910000000003</v>
      </c>
      <c r="N204" s="11" t="s">
        <v>55</v>
      </c>
      <c r="O204" s="11">
        <v>0</v>
      </c>
      <c r="P204" s="12" t="s">
        <v>56</v>
      </c>
    </row>
    <row r="205" spans="3:16" ht="23.65" thickBot="1">
      <c r="C205" s="10" t="s">
        <v>51</v>
      </c>
      <c r="D205" s="11">
        <v>198</v>
      </c>
      <c r="E205" s="11" t="s">
        <v>52</v>
      </c>
      <c r="F205" s="11" t="str">
        <f>'Guarantees provided'!G199</f>
        <v>262304840027210</v>
      </c>
      <c r="G205" s="11" t="str">
        <f>'Guarantees provided'!A199</f>
        <v>BANCO SANTANDER TOTTA SA</v>
      </c>
      <c r="H205" s="11" t="str">
        <f>IF('Guarantees provided'!B199="#",'Guarantees provided'!C199,'Guarantees provided'!B199)</f>
        <v>549300URJH9VSI58CS32</v>
      </c>
      <c r="I205" s="11" t="str">
        <f>IF('Guarantees provided'!B199="#","Type of identifier, other than LEI or MFI code","LEI code")</f>
        <v>LEI code</v>
      </c>
      <c r="J205" s="14" t="str">
        <f>IF(OR('Guarantees provided'!H199="E",'Guarantees provided'!H199="x"),"True","False")</f>
        <v>False</v>
      </c>
      <c r="K205" s="11" t="s">
        <v>53</v>
      </c>
      <c r="L205" s="11" t="s">
        <v>54</v>
      </c>
      <c r="M205" s="11">
        <f>-'Guarantees provided'!D199</f>
        <v>35450.910000000003</v>
      </c>
      <c r="N205" s="11" t="s">
        <v>55</v>
      </c>
      <c r="O205" s="11">
        <v>0</v>
      </c>
      <c r="P205" s="12" t="s">
        <v>56</v>
      </c>
    </row>
    <row r="206" spans="3:16" ht="23.65" thickBot="1">
      <c r="C206" s="10" t="s">
        <v>51</v>
      </c>
      <c r="D206" s="11">
        <v>199</v>
      </c>
      <c r="E206" s="11" t="s">
        <v>52</v>
      </c>
      <c r="F206" s="11" t="str">
        <f>'Guarantees provided'!G200</f>
        <v>588804815653320</v>
      </c>
      <c r="G206" s="11" t="str">
        <f>'Guarantees provided'!A200</f>
        <v>BANCO SANTANDER TOTTA SA</v>
      </c>
      <c r="H206" s="11" t="str">
        <f>IF('Guarantees provided'!B200="#",'Guarantees provided'!C200,'Guarantees provided'!B200)</f>
        <v>549300URJH9VSI58CS32</v>
      </c>
      <c r="I206" s="11" t="str">
        <f>IF('Guarantees provided'!B200="#","Type of identifier, other than LEI or MFI code","LEI code")</f>
        <v>LEI code</v>
      </c>
      <c r="J206" s="14" t="str">
        <f>IF(OR('Guarantees provided'!H200="E",'Guarantees provided'!H200="x"),"True","False")</f>
        <v>False</v>
      </c>
      <c r="K206" s="11" t="s">
        <v>53</v>
      </c>
      <c r="L206" s="11" t="s">
        <v>54</v>
      </c>
      <c r="M206" s="11">
        <f>-'Guarantees provided'!D200</f>
        <v>3262.14</v>
      </c>
      <c r="N206" s="11" t="s">
        <v>55</v>
      </c>
      <c r="O206" s="11">
        <v>0</v>
      </c>
      <c r="P206" s="12" t="s">
        <v>56</v>
      </c>
    </row>
    <row r="207" spans="3:16" ht="23.65" thickBot="1">
      <c r="C207" s="10" t="s">
        <v>51</v>
      </c>
      <c r="D207" s="11">
        <v>200</v>
      </c>
      <c r="E207" s="11" t="s">
        <v>52</v>
      </c>
      <c r="F207" s="11" t="str">
        <f>'Guarantees provided'!G201</f>
        <v>588804815653470</v>
      </c>
      <c r="G207" s="11" t="str">
        <f>'Guarantees provided'!A201</f>
        <v>BANCO SANTANDER TOTTA SA</v>
      </c>
      <c r="H207" s="11" t="str">
        <f>IF('Guarantees provided'!B201="#",'Guarantees provided'!C201,'Guarantees provided'!B201)</f>
        <v>549300URJH9VSI58CS32</v>
      </c>
      <c r="I207" s="11" t="str">
        <f>IF('Guarantees provided'!B201="#","Type of identifier, other than LEI or MFI code","LEI code")</f>
        <v>LEI code</v>
      </c>
      <c r="J207" s="14" t="str">
        <f>IF(OR('Guarantees provided'!H201="E",'Guarantees provided'!H201="x"),"True","False")</f>
        <v>False</v>
      </c>
      <c r="K207" s="11" t="s">
        <v>53</v>
      </c>
      <c r="L207" s="11" t="s">
        <v>54</v>
      </c>
      <c r="M207" s="11">
        <f>-'Guarantees provided'!D201</f>
        <v>11193.02</v>
      </c>
      <c r="N207" s="11" t="s">
        <v>55</v>
      </c>
      <c r="O207" s="11">
        <v>0</v>
      </c>
      <c r="P207" s="12" t="s">
        <v>56</v>
      </c>
    </row>
    <row r="208" spans="3:16" ht="23.65" thickBot="1">
      <c r="C208" s="10" t="s">
        <v>51</v>
      </c>
      <c r="D208" s="11">
        <v>201</v>
      </c>
      <c r="E208" s="11" t="s">
        <v>52</v>
      </c>
      <c r="F208" s="11" t="str">
        <f>'Guarantees provided'!G202</f>
        <v>588804815653510</v>
      </c>
      <c r="G208" s="11" t="str">
        <f>'Guarantees provided'!A202</f>
        <v>BANCO SANTANDER TOTTA SA</v>
      </c>
      <c r="H208" s="11" t="str">
        <f>IF('Guarantees provided'!B202="#",'Guarantees provided'!C202,'Guarantees provided'!B202)</f>
        <v>549300URJH9VSI58CS32</v>
      </c>
      <c r="I208" s="11" t="str">
        <f>IF('Guarantees provided'!B202="#","Type of identifier, other than LEI or MFI code","LEI code")</f>
        <v>LEI code</v>
      </c>
      <c r="J208" s="14" t="str">
        <f>IF(OR('Guarantees provided'!H202="E",'Guarantees provided'!H202="x"),"True","False")</f>
        <v>False</v>
      </c>
      <c r="K208" s="11" t="s">
        <v>53</v>
      </c>
      <c r="L208" s="11" t="s">
        <v>54</v>
      </c>
      <c r="M208" s="11">
        <f>-'Guarantees provided'!D202</f>
        <v>4239.78</v>
      </c>
      <c r="N208" s="11" t="s">
        <v>55</v>
      </c>
      <c r="O208" s="11">
        <v>0</v>
      </c>
      <c r="P208" s="12" t="s">
        <v>56</v>
      </c>
    </row>
    <row r="209" spans="3:16" ht="23.65" thickBot="1">
      <c r="C209" s="10" t="s">
        <v>51</v>
      </c>
      <c r="D209" s="11">
        <v>202</v>
      </c>
      <c r="E209" s="11" t="s">
        <v>52</v>
      </c>
      <c r="F209" s="11" t="str">
        <f>'Guarantees provided'!G203</f>
        <v>588804815653660</v>
      </c>
      <c r="G209" s="11" t="str">
        <f>'Guarantees provided'!A203</f>
        <v>BANCO SANTANDER TOTTA SA</v>
      </c>
      <c r="H209" s="11" t="str">
        <f>IF('Guarantees provided'!B203="#",'Guarantees provided'!C203,'Guarantees provided'!B203)</f>
        <v>549300URJH9VSI58CS32</v>
      </c>
      <c r="I209" s="11" t="str">
        <f>IF('Guarantees provided'!B203="#","Type of identifier, other than LEI or MFI code","LEI code")</f>
        <v>LEI code</v>
      </c>
      <c r="J209" s="14" t="str">
        <f>IF(OR('Guarantees provided'!H203="E",'Guarantees provided'!H203="x"),"True","False")</f>
        <v>False</v>
      </c>
      <c r="K209" s="11" t="s">
        <v>53</v>
      </c>
      <c r="L209" s="11" t="s">
        <v>54</v>
      </c>
      <c r="M209" s="11">
        <f>-'Guarantees provided'!D203</f>
        <v>3164.87</v>
      </c>
      <c r="N209" s="11" t="s">
        <v>55</v>
      </c>
      <c r="O209" s="11">
        <v>0</v>
      </c>
      <c r="P209" s="12" t="s">
        <v>56</v>
      </c>
    </row>
    <row r="210" spans="3:16" ht="23.65" thickBot="1">
      <c r="C210" s="10" t="s">
        <v>51</v>
      </c>
      <c r="D210" s="11">
        <v>203</v>
      </c>
      <c r="E210" s="11" t="s">
        <v>52</v>
      </c>
      <c r="F210" s="11" t="str">
        <f>'Guarantees provided'!G204</f>
        <v>588804815653700</v>
      </c>
      <c r="G210" s="11" t="str">
        <f>'Guarantees provided'!A204</f>
        <v>BANCO SANTANDER TOTTA SA</v>
      </c>
      <c r="H210" s="11" t="str">
        <f>IF('Guarantees provided'!B204="#",'Guarantees provided'!C204,'Guarantees provided'!B204)</f>
        <v>549300URJH9VSI58CS32</v>
      </c>
      <c r="I210" s="11" t="str">
        <f>IF('Guarantees provided'!B204="#","Type of identifier, other than LEI or MFI code","LEI code")</f>
        <v>LEI code</v>
      </c>
      <c r="J210" s="14" t="str">
        <f>IF(OR('Guarantees provided'!H204="E",'Guarantees provided'!H204="x"),"True","False")</f>
        <v>False</v>
      </c>
      <c r="K210" s="11" t="s">
        <v>53</v>
      </c>
      <c r="L210" s="11" t="s">
        <v>54</v>
      </c>
      <c r="M210" s="11">
        <f>-'Guarantees provided'!D204</f>
        <v>8200.24</v>
      </c>
      <c r="N210" s="11" t="s">
        <v>55</v>
      </c>
      <c r="O210" s="11">
        <v>0</v>
      </c>
      <c r="P210" s="12" t="s">
        <v>56</v>
      </c>
    </row>
    <row r="211" spans="3:16" ht="23.65" thickBot="1">
      <c r="C211" s="10" t="s">
        <v>51</v>
      </c>
      <c r="D211" s="11">
        <v>204</v>
      </c>
      <c r="E211" s="11" t="s">
        <v>52</v>
      </c>
      <c r="F211" s="11" t="str">
        <f>'Guarantees provided'!G205</f>
        <v>588804815653850</v>
      </c>
      <c r="G211" s="11" t="str">
        <f>'Guarantees provided'!A205</f>
        <v>BANCO SANTANDER TOTTA SA</v>
      </c>
      <c r="H211" s="11" t="str">
        <f>IF('Guarantees provided'!B205="#",'Guarantees provided'!C205,'Guarantees provided'!B205)</f>
        <v>549300URJH9VSI58CS32</v>
      </c>
      <c r="I211" s="11" t="str">
        <f>IF('Guarantees provided'!B205="#","Type of identifier, other than LEI or MFI code","LEI code")</f>
        <v>LEI code</v>
      </c>
      <c r="J211" s="14" t="str">
        <f>IF(OR('Guarantees provided'!H205="E",'Guarantees provided'!H205="x"),"True","False")</f>
        <v>False</v>
      </c>
      <c r="K211" s="11" t="s">
        <v>53</v>
      </c>
      <c r="L211" s="11" t="s">
        <v>54</v>
      </c>
      <c r="M211" s="11">
        <f>-'Guarantees provided'!D205</f>
        <v>4623.8599999999997</v>
      </c>
      <c r="N211" s="11" t="s">
        <v>55</v>
      </c>
      <c r="O211" s="11">
        <v>0</v>
      </c>
      <c r="P211" s="12" t="s">
        <v>56</v>
      </c>
    </row>
    <row r="212" spans="3:16" ht="23.65" thickBot="1">
      <c r="C212" s="10" t="s">
        <v>51</v>
      </c>
      <c r="D212" s="11">
        <v>205</v>
      </c>
      <c r="E212" s="11" t="s">
        <v>52</v>
      </c>
      <c r="F212" s="11" t="str">
        <f>'Guarantees provided'!G206</f>
        <v>588804815653900</v>
      </c>
      <c r="G212" s="11" t="str">
        <f>'Guarantees provided'!A206</f>
        <v>BANCO SANTANDER TOTTA SA</v>
      </c>
      <c r="H212" s="11" t="str">
        <f>IF('Guarantees provided'!B206="#",'Guarantees provided'!C206,'Guarantees provided'!B206)</f>
        <v>549300URJH9VSI58CS32</v>
      </c>
      <c r="I212" s="11" t="str">
        <f>IF('Guarantees provided'!B206="#","Type of identifier, other than LEI or MFI code","LEI code")</f>
        <v>LEI code</v>
      </c>
      <c r="J212" s="14" t="str">
        <f>IF(OR('Guarantees provided'!H206="E",'Guarantees provided'!H206="x"),"True","False")</f>
        <v>False</v>
      </c>
      <c r="K212" s="11" t="s">
        <v>53</v>
      </c>
      <c r="L212" s="11" t="s">
        <v>54</v>
      </c>
      <c r="M212" s="11">
        <f>-'Guarantees provided'!D206</f>
        <v>10851.35</v>
      </c>
      <c r="N212" s="11" t="s">
        <v>55</v>
      </c>
      <c r="O212" s="11">
        <v>0</v>
      </c>
      <c r="P212" s="12" t="s">
        <v>56</v>
      </c>
    </row>
    <row r="213" spans="3:16" ht="23.65" thickBot="1">
      <c r="C213" s="10" t="s">
        <v>51</v>
      </c>
      <c r="D213" s="11">
        <v>206</v>
      </c>
      <c r="E213" s="11" t="s">
        <v>52</v>
      </c>
      <c r="F213" s="11" t="str">
        <f>'Guarantees provided'!G207</f>
        <v>588804815654230</v>
      </c>
      <c r="G213" s="11" t="str">
        <f>'Guarantees provided'!A207</f>
        <v>BANCO SANTANDER TOTTA SA</v>
      </c>
      <c r="H213" s="11" t="str">
        <f>IF('Guarantees provided'!B207="#",'Guarantees provided'!C207,'Guarantees provided'!B207)</f>
        <v>549300URJH9VSI58CS32</v>
      </c>
      <c r="I213" s="11" t="str">
        <f>IF('Guarantees provided'!B207="#","Type of identifier, other than LEI or MFI code","LEI code")</f>
        <v>LEI code</v>
      </c>
      <c r="J213" s="14" t="str">
        <f>IF(OR('Guarantees provided'!H207="E",'Guarantees provided'!H207="x"),"True","False")</f>
        <v>False</v>
      </c>
      <c r="K213" s="11" t="s">
        <v>53</v>
      </c>
      <c r="L213" s="11" t="s">
        <v>54</v>
      </c>
      <c r="M213" s="11">
        <f>-'Guarantees provided'!D207</f>
        <v>7878.51</v>
      </c>
      <c r="N213" s="11" t="s">
        <v>55</v>
      </c>
      <c r="O213" s="11">
        <v>0</v>
      </c>
      <c r="P213" s="12" t="s">
        <v>56</v>
      </c>
    </row>
    <row r="214" spans="3:16" ht="23.65" thickBot="1">
      <c r="C214" s="10" t="s">
        <v>51</v>
      </c>
      <c r="D214" s="11">
        <v>207</v>
      </c>
      <c r="E214" s="11" t="s">
        <v>52</v>
      </c>
      <c r="F214" s="11" t="str">
        <f>'Guarantees provided'!G208</f>
        <v>588804815654380</v>
      </c>
      <c r="G214" s="11" t="str">
        <f>'Guarantees provided'!A208</f>
        <v>BANCO SANTANDER TOTTA SA</v>
      </c>
      <c r="H214" s="11" t="str">
        <f>IF('Guarantees provided'!B208="#",'Guarantees provided'!C208,'Guarantees provided'!B208)</f>
        <v>549300URJH9VSI58CS32</v>
      </c>
      <c r="I214" s="11" t="str">
        <f>IF('Guarantees provided'!B208="#","Type of identifier, other than LEI or MFI code","LEI code")</f>
        <v>LEI code</v>
      </c>
      <c r="J214" s="14" t="str">
        <f>IF(OR('Guarantees provided'!H208="E",'Guarantees provided'!H208="x"),"True","False")</f>
        <v>False</v>
      </c>
      <c r="K214" s="11" t="s">
        <v>53</v>
      </c>
      <c r="L214" s="11" t="s">
        <v>54</v>
      </c>
      <c r="M214" s="11">
        <f>-'Guarantees provided'!D208</f>
        <v>3501.56</v>
      </c>
      <c r="N214" s="11" t="s">
        <v>55</v>
      </c>
      <c r="O214" s="11">
        <v>0</v>
      </c>
      <c r="P214" s="12" t="s">
        <v>56</v>
      </c>
    </row>
    <row r="215" spans="3:16" ht="23.65" thickBot="1">
      <c r="C215" s="10" t="s">
        <v>51</v>
      </c>
      <c r="D215" s="11">
        <v>208</v>
      </c>
      <c r="E215" s="11" t="s">
        <v>52</v>
      </c>
      <c r="F215" s="11" t="str">
        <f>'Guarantees provided'!G209</f>
        <v>588804815654420</v>
      </c>
      <c r="G215" s="11" t="str">
        <f>'Guarantees provided'!A209</f>
        <v>BANCO SANTANDER TOTTA SA</v>
      </c>
      <c r="H215" s="11" t="str">
        <f>IF('Guarantees provided'!B209="#",'Guarantees provided'!C209,'Guarantees provided'!B209)</f>
        <v>549300URJH9VSI58CS32</v>
      </c>
      <c r="I215" s="11" t="str">
        <f>IF('Guarantees provided'!B209="#","Type of identifier, other than LEI or MFI code","LEI code")</f>
        <v>LEI code</v>
      </c>
      <c r="J215" s="14" t="str">
        <f>IF(OR('Guarantees provided'!H209="E",'Guarantees provided'!H209="x"),"True","False")</f>
        <v>False</v>
      </c>
      <c r="K215" s="11" t="s">
        <v>53</v>
      </c>
      <c r="L215" s="11" t="s">
        <v>54</v>
      </c>
      <c r="M215" s="11">
        <f>-'Guarantees provided'!D209</f>
        <v>3860.7</v>
      </c>
      <c r="N215" s="11" t="s">
        <v>55</v>
      </c>
      <c r="O215" s="11">
        <v>0</v>
      </c>
      <c r="P215" s="12" t="s">
        <v>56</v>
      </c>
    </row>
    <row r="216" spans="3:16" ht="23.65" thickBot="1">
      <c r="C216" s="10" t="s">
        <v>51</v>
      </c>
      <c r="D216" s="11">
        <v>209</v>
      </c>
      <c r="E216" s="11" t="s">
        <v>52</v>
      </c>
      <c r="F216" s="11" t="str">
        <f>'Guarantees provided'!G210</f>
        <v>588804815654570</v>
      </c>
      <c r="G216" s="11" t="str">
        <f>'Guarantees provided'!A210</f>
        <v>BANCO SANTANDER TOTTA SA</v>
      </c>
      <c r="H216" s="11" t="str">
        <f>IF('Guarantees provided'!B210="#",'Guarantees provided'!C210,'Guarantees provided'!B210)</f>
        <v>549300URJH9VSI58CS32</v>
      </c>
      <c r="I216" s="11" t="str">
        <f>IF('Guarantees provided'!B210="#","Type of identifier, other than LEI or MFI code","LEI code")</f>
        <v>LEI code</v>
      </c>
      <c r="J216" s="14" t="str">
        <f>IF(OR('Guarantees provided'!H210="E",'Guarantees provided'!H210="x"),"True","False")</f>
        <v>False</v>
      </c>
      <c r="K216" s="11" t="s">
        <v>53</v>
      </c>
      <c r="L216" s="11" t="s">
        <v>54</v>
      </c>
      <c r="M216" s="11">
        <f>-'Guarantees provided'!D210</f>
        <v>48453.23</v>
      </c>
      <c r="N216" s="11" t="s">
        <v>55</v>
      </c>
      <c r="O216" s="11">
        <v>0</v>
      </c>
      <c r="P216" s="12" t="s">
        <v>56</v>
      </c>
    </row>
    <row r="217" spans="3:16" ht="23.65" thickBot="1">
      <c r="C217" s="10" t="s">
        <v>51</v>
      </c>
      <c r="D217" s="11">
        <v>210</v>
      </c>
      <c r="E217" s="11" t="s">
        <v>52</v>
      </c>
      <c r="F217" s="11" t="str">
        <f>'Guarantees provided'!G211</f>
        <v>588804830050560</v>
      </c>
      <c r="G217" s="11" t="str">
        <f>'Guarantees provided'!A211</f>
        <v>BANCO SANTANDER TOTTA SA</v>
      </c>
      <c r="H217" s="11" t="str">
        <f>IF('Guarantees provided'!B211="#",'Guarantees provided'!C211,'Guarantees provided'!B211)</f>
        <v>549300URJH9VSI58CS32</v>
      </c>
      <c r="I217" s="11" t="str">
        <f>IF('Guarantees provided'!B211="#","Type of identifier, other than LEI or MFI code","LEI code")</f>
        <v>LEI code</v>
      </c>
      <c r="J217" s="14" t="str">
        <f>IF(OR('Guarantees provided'!H211="E",'Guarantees provided'!H211="x"),"True","False")</f>
        <v>False</v>
      </c>
      <c r="K217" s="11" t="s">
        <v>53</v>
      </c>
      <c r="L217" s="11" t="s">
        <v>54</v>
      </c>
      <c r="M217" s="11">
        <f>-'Guarantees provided'!D211</f>
        <v>24226.61</v>
      </c>
      <c r="N217" s="11" t="s">
        <v>55</v>
      </c>
      <c r="O217" s="11">
        <v>0</v>
      </c>
      <c r="P217" s="12" t="s">
        <v>56</v>
      </c>
    </row>
    <row r="218" spans="3:16" ht="23.65" thickBot="1">
      <c r="C218" s="10" t="s">
        <v>51</v>
      </c>
      <c r="D218" s="11">
        <v>211</v>
      </c>
      <c r="E218" s="11" t="s">
        <v>52</v>
      </c>
      <c r="F218" s="11" t="str">
        <f>'Guarantees provided'!G212</f>
        <v>588804830385540</v>
      </c>
      <c r="G218" s="11" t="str">
        <f>'Guarantees provided'!A212</f>
        <v>BANCO SANTANDER TOTTA SA</v>
      </c>
      <c r="H218" s="11" t="str">
        <f>IF('Guarantees provided'!B212="#",'Guarantees provided'!C212,'Guarantees provided'!B212)</f>
        <v>549300URJH9VSI58CS32</v>
      </c>
      <c r="I218" s="11" t="str">
        <f>IF('Guarantees provided'!B212="#","Type of identifier, other than LEI or MFI code","LEI code")</f>
        <v>LEI code</v>
      </c>
      <c r="J218" s="14" t="str">
        <f>IF(OR('Guarantees provided'!H212="E",'Guarantees provided'!H212="x"),"True","False")</f>
        <v>False</v>
      </c>
      <c r="K218" s="11" t="s">
        <v>53</v>
      </c>
      <c r="L218" s="11" t="s">
        <v>54</v>
      </c>
      <c r="M218" s="11">
        <f>-'Guarantees provided'!D212</f>
        <v>3785.88</v>
      </c>
      <c r="N218" s="11" t="s">
        <v>55</v>
      </c>
      <c r="O218" s="11">
        <v>0</v>
      </c>
      <c r="P218" s="12" t="s">
        <v>56</v>
      </c>
    </row>
    <row r="219" spans="3:16" ht="23.65" thickBot="1">
      <c r="C219" s="10" t="s">
        <v>51</v>
      </c>
      <c r="D219" s="11">
        <v>212</v>
      </c>
      <c r="E219" s="11" t="s">
        <v>52</v>
      </c>
      <c r="F219" s="11" t="str">
        <f>'Guarantees provided'!G213</f>
        <v>588804830644890</v>
      </c>
      <c r="G219" s="11" t="str">
        <f>'Guarantees provided'!A213</f>
        <v>BANCO SANTANDER TOTTA SA</v>
      </c>
      <c r="H219" s="11" t="str">
        <f>IF('Guarantees provided'!B213="#",'Guarantees provided'!C213,'Guarantees provided'!B213)</f>
        <v>549300URJH9VSI58CS32</v>
      </c>
      <c r="I219" s="11" t="str">
        <f>IF('Guarantees provided'!B213="#","Type of identifier, other than LEI or MFI code","LEI code")</f>
        <v>LEI code</v>
      </c>
      <c r="J219" s="14" t="str">
        <f>IF(OR('Guarantees provided'!H213="E",'Guarantees provided'!H213="x"),"True","False")</f>
        <v>False</v>
      </c>
      <c r="K219" s="11" t="s">
        <v>53</v>
      </c>
      <c r="L219" s="11" t="s">
        <v>54</v>
      </c>
      <c r="M219" s="11">
        <f>-'Guarantees provided'!D213</f>
        <v>8462.11</v>
      </c>
      <c r="N219" s="11" t="s">
        <v>55</v>
      </c>
      <c r="O219" s="11">
        <v>0</v>
      </c>
      <c r="P219" s="12" t="s">
        <v>56</v>
      </c>
    </row>
    <row r="220" spans="3:16" ht="23.65" thickBot="1">
      <c r="C220" s="10" t="s">
        <v>51</v>
      </c>
      <c r="D220" s="11">
        <v>213</v>
      </c>
      <c r="E220" s="11" t="s">
        <v>52</v>
      </c>
      <c r="F220" s="11" t="str">
        <f>'Guarantees provided'!G214</f>
        <v>588804830644930</v>
      </c>
      <c r="G220" s="11" t="str">
        <f>'Guarantees provided'!A214</f>
        <v>BANCO SANTANDER TOTTA SA</v>
      </c>
      <c r="H220" s="11" t="str">
        <f>IF('Guarantees provided'!B214="#",'Guarantees provided'!C214,'Guarantees provided'!B214)</f>
        <v>549300URJH9VSI58CS32</v>
      </c>
      <c r="I220" s="11" t="str">
        <f>IF('Guarantees provided'!B214="#","Type of identifier, other than LEI or MFI code","LEI code")</f>
        <v>LEI code</v>
      </c>
      <c r="J220" s="14" t="str">
        <f>IF(OR('Guarantees provided'!H214="E",'Guarantees provided'!H214="x"),"True","False")</f>
        <v>False</v>
      </c>
      <c r="K220" s="11" t="s">
        <v>53</v>
      </c>
      <c r="L220" s="11" t="s">
        <v>54</v>
      </c>
      <c r="M220" s="11">
        <f>-'Guarantees provided'!D214</f>
        <v>32875.769999999997</v>
      </c>
      <c r="N220" s="11" t="s">
        <v>55</v>
      </c>
      <c r="O220" s="11">
        <v>0</v>
      </c>
      <c r="P220" s="12" t="s">
        <v>56</v>
      </c>
    </row>
    <row r="221" spans="3:16" ht="23.65" thickBot="1">
      <c r="C221" s="10" t="s">
        <v>51</v>
      </c>
      <c r="D221" s="11">
        <v>214</v>
      </c>
      <c r="E221" s="11" t="s">
        <v>52</v>
      </c>
      <c r="F221" s="11" t="str">
        <f>'Guarantees provided'!G215</f>
        <v>588804830645120</v>
      </c>
      <c r="G221" s="11" t="str">
        <f>'Guarantees provided'!A215</f>
        <v>BANCO SANTANDER TOTTA SA</v>
      </c>
      <c r="H221" s="11" t="str">
        <f>IF('Guarantees provided'!B215="#",'Guarantees provided'!C215,'Guarantees provided'!B215)</f>
        <v>549300URJH9VSI58CS32</v>
      </c>
      <c r="I221" s="11" t="str">
        <f>IF('Guarantees provided'!B215="#","Type of identifier, other than LEI or MFI code","LEI code")</f>
        <v>LEI code</v>
      </c>
      <c r="J221" s="14" t="str">
        <f>IF(OR('Guarantees provided'!H215="E",'Guarantees provided'!H215="x"),"True","False")</f>
        <v>False</v>
      </c>
      <c r="K221" s="11" t="s">
        <v>53</v>
      </c>
      <c r="L221" s="11" t="s">
        <v>54</v>
      </c>
      <c r="M221" s="11">
        <f>-'Guarantees provided'!D215</f>
        <v>3763.43</v>
      </c>
      <c r="N221" s="11" t="s">
        <v>55</v>
      </c>
      <c r="O221" s="11">
        <v>0</v>
      </c>
      <c r="P221" s="12" t="s">
        <v>56</v>
      </c>
    </row>
    <row r="222" spans="3:16" ht="23.65" thickBot="1">
      <c r="C222" s="10" t="s">
        <v>51</v>
      </c>
      <c r="D222" s="11">
        <v>215</v>
      </c>
      <c r="E222" s="11" t="s">
        <v>52</v>
      </c>
      <c r="F222" s="11" t="str">
        <f>'Guarantees provided'!G216</f>
        <v>588804830645270</v>
      </c>
      <c r="G222" s="11" t="str">
        <f>'Guarantees provided'!A216</f>
        <v>BANCO SANTANDER TOTTA SA</v>
      </c>
      <c r="H222" s="11" t="str">
        <f>IF('Guarantees provided'!B216="#",'Guarantees provided'!C216,'Guarantees provided'!B216)</f>
        <v>549300URJH9VSI58CS32</v>
      </c>
      <c r="I222" s="11" t="str">
        <f>IF('Guarantees provided'!B216="#","Type of identifier, other than LEI or MFI code","LEI code")</f>
        <v>LEI code</v>
      </c>
      <c r="J222" s="14" t="str">
        <f>IF(OR('Guarantees provided'!H216="E",'Guarantees provided'!H216="x"),"True","False")</f>
        <v>False</v>
      </c>
      <c r="K222" s="11" t="s">
        <v>53</v>
      </c>
      <c r="L222" s="11" t="s">
        <v>54</v>
      </c>
      <c r="M222" s="11">
        <f>-'Guarantees provided'!D216</f>
        <v>787.6</v>
      </c>
      <c r="N222" s="11" t="s">
        <v>55</v>
      </c>
      <c r="O222" s="11">
        <v>0</v>
      </c>
      <c r="P222" s="12" t="s">
        <v>56</v>
      </c>
    </row>
    <row r="223" spans="3:16" ht="23.65" thickBot="1">
      <c r="C223" s="10" t="s">
        <v>51</v>
      </c>
      <c r="D223" s="11">
        <v>216</v>
      </c>
      <c r="E223" s="11" t="s">
        <v>52</v>
      </c>
      <c r="F223" s="11" t="str">
        <f>'Guarantees provided'!G217</f>
        <v>588804830645310</v>
      </c>
      <c r="G223" s="11" t="str">
        <f>'Guarantees provided'!A217</f>
        <v>BANCO SANTANDER TOTTA SA</v>
      </c>
      <c r="H223" s="11" t="str">
        <f>IF('Guarantees provided'!B217="#",'Guarantees provided'!C217,'Guarantees provided'!B217)</f>
        <v>549300URJH9VSI58CS32</v>
      </c>
      <c r="I223" s="11" t="str">
        <f>IF('Guarantees provided'!B217="#","Type of identifier, other than LEI or MFI code","LEI code")</f>
        <v>LEI code</v>
      </c>
      <c r="J223" s="14" t="str">
        <f>IF(OR('Guarantees provided'!H217="E",'Guarantees provided'!H217="x"),"True","False")</f>
        <v>False</v>
      </c>
      <c r="K223" s="11" t="s">
        <v>53</v>
      </c>
      <c r="L223" s="11" t="s">
        <v>54</v>
      </c>
      <c r="M223" s="11">
        <f>-'Guarantees provided'!D217</f>
        <v>149639.37</v>
      </c>
      <c r="N223" s="11" t="s">
        <v>55</v>
      </c>
      <c r="O223" s="11">
        <v>0</v>
      </c>
      <c r="P223" s="12" t="s">
        <v>56</v>
      </c>
    </row>
    <row r="224" spans="3:16" ht="23.65" thickBot="1">
      <c r="C224" s="10" t="s">
        <v>51</v>
      </c>
      <c r="D224" s="11">
        <v>217</v>
      </c>
      <c r="E224" s="11" t="s">
        <v>52</v>
      </c>
      <c r="F224" s="11" t="str">
        <f>'Guarantees provided'!G218</f>
        <v>588804830656670</v>
      </c>
      <c r="G224" s="11" t="str">
        <f>'Guarantees provided'!A218</f>
        <v>BANCO SANTANDER TOTTA SA</v>
      </c>
      <c r="H224" s="11" t="str">
        <f>IF('Guarantees provided'!B218="#",'Guarantees provided'!C218,'Guarantees provided'!B218)</f>
        <v>549300URJH9VSI58CS32</v>
      </c>
      <c r="I224" s="11" t="str">
        <f>IF('Guarantees provided'!B218="#","Type of identifier, other than LEI or MFI code","LEI code")</f>
        <v>LEI code</v>
      </c>
      <c r="J224" s="14" t="str">
        <f>IF(OR('Guarantees provided'!H218="E",'Guarantees provided'!H218="x"),"True","False")</f>
        <v>False</v>
      </c>
      <c r="K224" s="11" t="s">
        <v>53</v>
      </c>
      <c r="L224" s="11" t="s">
        <v>54</v>
      </c>
      <c r="M224" s="11">
        <f>-'Guarantees provided'!D218</f>
        <v>6329.75</v>
      </c>
      <c r="N224" s="11" t="s">
        <v>55</v>
      </c>
      <c r="O224" s="11">
        <v>0</v>
      </c>
      <c r="P224" s="12" t="s">
        <v>56</v>
      </c>
    </row>
    <row r="225" spans="3:16" ht="23.65" thickBot="1">
      <c r="C225" s="10" t="s">
        <v>51</v>
      </c>
      <c r="D225" s="11">
        <v>218</v>
      </c>
      <c r="E225" s="11" t="s">
        <v>52</v>
      </c>
      <c r="F225" s="11" t="str">
        <f>'Guarantees provided'!G219</f>
        <v>588804830676600</v>
      </c>
      <c r="G225" s="11" t="str">
        <f>'Guarantees provided'!A219</f>
        <v>BANCO SANTANDER TOTTA SA</v>
      </c>
      <c r="H225" s="11" t="str">
        <f>IF('Guarantees provided'!B219="#",'Guarantees provided'!C219,'Guarantees provided'!B219)</f>
        <v>549300URJH9VSI58CS32</v>
      </c>
      <c r="I225" s="11" t="str">
        <f>IF('Guarantees provided'!B219="#","Type of identifier, other than LEI or MFI code","LEI code")</f>
        <v>LEI code</v>
      </c>
      <c r="J225" s="14" t="str">
        <f>IF(OR('Guarantees provided'!H219="E",'Guarantees provided'!H219="x"),"True","False")</f>
        <v>False</v>
      </c>
      <c r="K225" s="11" t="s">
        <v>53</v>
      </c>
      <c r="L225" s="11" t="s">
        <v>54</v>
      </c>
      <c r="M225" s="11">
        <f>-'Guarantees provided'!D219</f>
        <v>15786.95</v>
      </c>
      <c r="N225" s="11" t="s">
        <v>55</v>
      </c>
      <c r="O225" s="11">
        <v>0</v>
      </c>
      <c r="P225" s="12" t="s">
        <v>56</v>
      </c>
    </row>
    <row r="226" spans="3:16" ht="23.65" thickBot="1">
      <c r="C226" s="10" t="s">
        <v>51</v>
      </c>
      <c r="D226" s="11">
        <v>219</v>
      </c>
      <c r="E226" s="11" t="s">
        <v>52</v>
      </c>
      <c r="F226" s="11" t="str">
        <f>'Guarantees provided'!G220</f>
        <v>588804830744900</v>
      </c>
      <c r="G226" s="11" t="str">
        <f>'Guarantees provided'!A220</f>
        <v>BANCO SANTANDER TOTTA SA</v>
      </c>
      <c r="H226" s="11" t="str">
        <f>IF('Guarantees provided'!B220="#",'Guarantees provided'!C220,'Guarantees provided'!B220)</f>
        <v>549300URJH9VSI58CS32</v>
      </c>
      <c r="I226" s="11" t="str">
        <f>IF('Guarantees provided'!B220="#","Type of identifier, other than LEI or MFI code","LEI code")</f>
        <v>LEI code</v>
      </c>
      <c r="J226" s="14" t="str">
        <f>IF(OR('Guarantees provided'!H220="E",'Guarantees provided'!H220="x"),"True","False")</f>
        <v>False</v>
      </c>
      <c r="K226" s="11" t="s">
        <v>53</v>
      </c>
      <c r="L226" s="11" t="s">
        <v>54</v>
      </c>
      <c r="M226" s="11">
        <f>-'Guarantees provided'!D220</f>
        <v>17028.96</v>
      </c>
      <c r="N226" s="11" t="s">
        <v>55</v>
      </c>
      <c r="O226" s="11">
        <v>0</v>
      </c>
      <c r="P226" s="12" t="s">
        <v>56</v>
      </c>
    </row>
    <row r="227" spans="3:16" ht="23.65" thickBot="1">
      <c r="C227" s="10" t="s">
        <v>51</v>
      </c>
      <c r="D227" s="11">
        <v>220</v>
      </c>
      <c r="E227" s="11" t="s">
        <v>52</v>
      </c>
      <c r="F227" s="11" t="str">
        <f>'Guarantees provided'!G221</f>
        <v>588804830753910</v>
      </c>
      <c r="G227" s="11" t="str">
        <f>'Guarantees provided'!A221</f>
        <v>BANCO SANTANDER TOTTA SA</v>
      </c>
      <c r="H227" s="11" t="str">
        <f>IF('Guarantees provided'!B221="#",'Guarantees provided'!C221,'Guarantees provided'!B221)</f>
        <v>549300URJH9VSI58CS32</v>
      </c>
      <c r="I227" s="11" t="str">
        <f>IF('Guarantees provided'!B221="#","Type of identifier, other than LEI or MFI code","LEI code")</f>
        <v>LEI code</v>
      </c>
      <c r="J227" s="14" t="str">
        <f>IF(OR('Guarantees provided'!H221="E",'Guarantees provided'!H221="x"),"True","False")</f>
        <v>False</v>
      </c>
      <c r="K227" s="11" t="s">
        <v>53</v>
      </c>
      <c r="L227" s="11" t="s">
        <v>54</v>
      </c>
      <c r="M227" s="11">
        <f>-'Guarantees provided'!D221</f>
        <v>3486.6</v>
      </c>
      <c r="N227" s="11" t="s">
        <v>55</v>
      </c>
      <c r="O227" s="11">
        <v>0</v>
      </c>
      <c r="P227" s="12" t="s">
        <v>56</v>
      </c>
    </row>
    <row r="228" spans="3:16" ht="23.65" thickBot="1">
      <c r="C228" s="10" t="s">
        <v>51</v>
      </c>
      <c r="D228" s="11">
        <v>221</v>
      </c>
      <c r="E228" s="11" t="s">
        <v>52</v>
      </c>
      <c r="F228" s="11" t="str">
        <f>'Guarantees provided'!G222</f>
        <v>588804830754060</v>
      </c>
      <c r="G228" s="11" t="str">
        <f>'Guarantees provided'!A222</f>
        <v>BANCO SANTANDER TOTTA SA</v>
      </c>
      <c r="H228" s="11" t="str">
        <f>IF('Guarantees provided'!B222="#",'Guarantees provided'!C222,'Guarantees provided'!B222)</f>
        <v>549300URJH9VSI58CS32</v>
      </c>
      <c r="I228" s="11" t="str">
        <f>IF('Guarantees provided'!B222="#","Type of identifier, other than LEI or MFI code","LEI code")</f>
        <v>LEI code</v>
      </c>
      <c r="J228" s="14" t="str">
        <f>IF(OR('Guarantees provided'!H222="E",'Guarantees provided'!H222="x"),"True","False")</f>
        <v>False</v>
      </c>
      <c r="K228" s="11" t="s">
        <v>53</v>
      </c>
      <c r="L228" s="11" t="s">
        <v>54</v>
      </c>
      <c r="M228" s="11">
        <f>-'Guarantees provided'!D222</f>
        <v>4010.34</v>
      </c>
      <c r="N228" s="11" t="s">
        <v>55</v>
      </c>
      <c r="O228" s="11">
        <v>0</v>
      </c>
      <c r="P228" s="12" t="s">
        <v>56</v>
      </c>
    </row>
    <row r="229" spans="3:16" ht="23.65" thickBot="1">
      <c r="C229" s="10" t="s">
        <v>51</v>
      </c>
      <c r="D229" s="11">
        <v>222</v>
      </c>
      <c r="E229" s="11" t="s">
        <v>52</v>
      </c>
      <c r="F229" s="11" t="str">
        <f>'Guarantees provided'!G223</f>
        <v>588804831263660</v>
      </c>
      <c r="G229" s="11" t="str">
        <f>'Guarantees provided'!A223</f>
        <v>BANCO SANTANDER TOTTA SA</v>
      </c>
      <c r="H229" s="11" t="str">
        <f>IF('Guarantees provided'!B223="#",'Guarantees provided'!C223,'Guarantees provided'!B223)</f>
        <v>549300URJH9VSI58CS32</v>
      </c>
      <c r="I229" s="11" t="str">
        <f>IF('Guarantees provided'!B223="#","Type of identifier, other than LEI or MFI code","LEI code")</f>
        <v>LEI code</v>
      </c>
      <c r="J229" s="14" t="str">
        <f>IF(OR('Guarantees provided'!H223="E",'Guarantees provided'!H223="x"),"True","False")</f>
        <v>False</v>
      </c>
      <c r="K229" s="11" t="s">
        <v>53</v>
      </c>
      <c r="L229" s="11" t="s">
        <v>54</v>
      </c>
      <c r="M229" s="11">
        <f>-'Guarantees provided'!D223</f>
        <v>4309.6099999999997</v>
      </c>
      <c r="N229" s="11" t="s">
        <v>55</v>
      </c>
      <c r="O229" s="11">
        <v>0</v>
      </c>
      <c r="P229" s="12" t="s">
        <v>56</v>
      </c>
    </row>
    <row r="230" spans="3:16" ht="23.65" thickBot="1">
      <c r="C230" s="10" t="s">
        <v>51</v>
      </c>
      <c r="D230" s="11">
        <v>223</v>
      </c>
      <c r="E230" s="11" t="s">
        <v>52</v>
      </c>
      <c r="F230" s="11" t="str">
        <f>'Guarantees provided'!G224</f>
        <v>588804831316870</v>
      </c>
      <c r="G230" s="11" t="str">
        <f>'Guarantees provided'!A224</f>
        <v>BANCO SANTANDER TOTTA SA</v>
      </c>
      <c r="H230" s="11" t="str">
        <f>IF('Guarantees provided'!B224="#",'Guarantees provided'!C224,'Guarantees provided'!B224)</f>
        <v>549300URJH9VSI58CS32</v>
      </c>
      <c r="I230" s="11" t="str">
        <f>IF('Guarantees provided'!B224="#","Type of identifier, other than LEI or MFI code","LEI code")</f>
        <v>LEI code</v>
      </c>
      <c r="J230" s="14" t="str">
        <f>IF(OR('Guarantees provided'!H224="E",'Guarantees provided'!H224="x"),"True","False")</f>
        <v>False</v>
      </c>
      <c r="K230" s="11" t="s">
        <v>53</v>
      </c>
      <c r="L230" s="11" t="s">
        <v>54</v>
      </c>
      <c r="M230" s="11">
        <f>-'Guarantees provided'!D224</f>
        <v>9621.81</v>
      </c>
      <c r="N230" s="11" t="s">
        <v>55</v>
      </c>
      <c r="O230" s="11">
        <v>0</v>
      </c>
      <c r="P230" s="12" t="s">
        <v>56</v>
      </c>
    </row>
    <row r="231" spans="3:16" ht="23.65" thickBot="1">
      <c r="C231" s="10" t="s">
        <v>51</v>
      </c>
      <c r="D231" s="11">
        <v>224</v>
      </c>
      <c r="E231" s="11" t="s">
        <v>52</v>
      </c>
      <c r="F231" s="11" t="str">
        <f>'Guarantees provided'!G225</f>
        <v>588804831738600</v>
      </c>
      <c r="G231" s="11" t="str">
        <f>'Guarantees provided'!A225</f>
        <v>BANCO SANTANDER TOTTA SA</v>
      </c>
      <c r="H231" s="11" t="str">
        <f>IF('Guarantees provided'!B225="#",'Guarantees provided'!C225,'Guarantees provided'!B225)</f>
        <v>549300URJH9VSI58CS32</v>
      </c>
      <c r="I231" s="11" t="str">
        <f>IF('Guarantees provided'!B225="#","Type of identifier, other than LEI or MFI code","LEI code")</f>
        <v>LEI code</v>
      </c>
      <c r="J231" s="14" t="str">
        <f>IF(OR('Guarantees provided'!H225="E",'Guarantees provided'!H225="x"),"True","False")</f>
        <v>False</v>
      </c>
      <c r="K231" s="11" t="s">
        <v>53</v>
      </c>
      <c r="L231" s="11" t="s">
        <v>54</v>
      </c>
      <c r="M231" s="11">
        <f>-'Guarantees provided'!D225</f>
        <v>19498.009999999998</v>
      </c>
      <c r="N231" s="11" t="s">
        <v>55</v>
      </c>
      <c r="O231" s="11">
        <v>0</v>
      </c>
      <c r="P231" s="12" t="s">
        <v>56</v>
      </c>
    </row>
    <row r="232" spans="3:16" ht="23.65" thickBot="1">
      <c r="C232" s="10" t="s">
        <v>51</v>
      </c>
      <c r="D232" s="11">
        <v>225</v>
      </c>
      <c r="E232" s="11" t="s">
        <v>52</v>
      </c>
      <c r="F232" s="11" t="str">
        <f>'Guarantees provided'!G226</f>
        <v>588804831842570</v>
      </c>
      <c r="G232" s="11" t="str">
        <f>'Guarantees provided'!A226</f>
        <v>BANCO SANTANDER TOTTA SA</v>
      </c>
      <c r="H232" s="11" t="str">
        <f>IF('Guarantees provided'!B226="#",'Guarantees provided'!C226,'Guarantees provided'!B226)</f>
        <v>549300URJH9VSI58CS32</v>
      </c>
      <c r="I232" s="11" t="str">
        <f>IF('Guarantees provided'!B226="#","Type of identifier, other than LEI or MFI code","LEI code")</f>
        <v>LEI code</v>
      </c>
      <c r="J232" s="14" t="str">
        <f>IF(OR('Guarantees provided'!H226="E",'Guarantees provided'!H226="x"),"True","False")</f>
        <v>False</v>
      </c>
      <c r="K232" s="11" t="s">
        <v>53</v>
      </c>
      <c r="L232" s="11" t="s">
        <v>54</v>
      </c>
      <c r="M232" s="11">
        <f>-'Guarantees provided'!D226</f>
        <v>6120.25</v>
      </c>
      <c r="N232" s="11" t="s">
        <v>55</v>
      </c>
      <c r="O232" s="11">
        <v>0</v>
      </c>
      <c r="P232" s="12" t="s">
        <v>56</v>
      </c>
    </row>
    <row r="233" spans="3:16" ht="23.65" thickBot="1">
      <c r="C233" s="10" t="s">
        <v>51</v>
      </c>
      <c r="D233" s="11">
        <v>226</v>
      </c>
      <c r="E233" s="11" t="s">
        <v>52</v>
      </c>
      <c r="F233" s="11" t="str">
        <f>'Guarantees provided'!G227</f>
        <v>588804832515310</v>
      </c>
      <c r="G233" s="11" t="str">
        <f>'Guarantees provided'!A227</f>
        <v>BANCO SANTANDER TOTTA SA</v>
      </c>
      <c r="H233" s="11" t="str">
        <f>IF('Guarantees provided'!B227="#",'Guarantees provided'!C227,'Guarantees provided'!B227)</f>
        <v>549300URJH9VSI58CS32</v>
      </c>
      <c r="I233" s="11" t="str">
        <f>IF('Guarantees provided'!B227="#","Type of identifier, other than LEI or MFI code","LEI code")</f>
        <v>LEI code</v>
      </c>
      <c r="J233" s="14" t="str">
        <f>IF(OR('Guarantees provided'!H227="E",'Guarantees provided'!H227="x"),"True","False")</f>
        <v>False</v>
      </c>
      <c r="K233" s="11" t="s">
        <v>53</v>
      </c>
      <c r="L233" s="11" t="s">
        <v>54</v>
      </c>
      <c r="M233" s="11">
        <f>-'Guarantees provided'!D227</f>
        <v>4758.53</v>
      </c>
      <c r="N233" s="11" t="s">
        <v>55</v>
      </c>
      <c r="O233" s="11">
        <v>0</v>
      </c>
      <c r="P233" s="12" t="s">
        <v>56</v>
      </c>
    </row>
    <row r="234" spans="3:16" ht="23.65" thickBot="1">
      <c r="C234" s="10" t="s">
        <v>51</v>
      </c>
      <c r="D234" s="11">
        <v>227</v>
      </c>
      <c r="E234" s="11" t="s">
        <v>52</v>
      </c>
      <c r="F234" s="11" t="str">
        <f>'Guarantees provided'!G228</f>
        <v>588804832535910</v>
      </c>
      <c r="G234" s="11" t="str">
        <f>'Guarantees provided'!A228</f>
        <v>BANCO SANTANDER TOTTA SA</v>
      </c>
      <c r="H234" s="11" t="str">
        <f>IF('Guarantees provided'!B228="#",'Guarantees provided'!C228,'Guarantees provided'!B228)</f>
        <v>549300URJH9VSI58CS32</v>
      </c>
      <c r="I234" s="11" t="str">
        <f>IF('Guarantees provided'!B228="#","Type of identifier, other than LEI or MFI code","LEI code")</f>
        <v>LEI code</v>
      </c>
      <c r="J234" s="14" t="str">
        <f>IF(OR('Guarantees provided'!H228="E",'Guarantees provided'!H228="x"),"True","False")</f>
        <v>False</v>
      </c>
      <c r="K234" s="11" t="s">
        <v>53</v>
      </c>
      <c r="L234" s="11" t="s">
        <v>54</v>
      </c>
      <c r="M234" s="11">
        <f>-'Guarantees provided'!D228</f>
        <v>3636.24</v>
      </c>
      <c r="N234" s="11" t="s">
        <v>55</v>
      </c>
      <c r="O234" s="11">
        <v>0</v>
      </c>
      <c r="P234" s="12" t="s">
        <v>56</v>
      </c>
    </row>
    <row r="235" spans="3:16" ht="23.65" thickBot="1">
      <c r="C235" s="10" t="s">
        <v>51</v>
      </c>
      <c r="D235" s="11">
        <v>228</v>
      </c>
      <c r="E235" s="11" t="s">
        <v>52</v>
      </c>
      <c r="F235" s="11" t="str">
        <f>'Guarantees provided'!G229</f>
        <v>588804832575100</v>
      </c>
      <c r="G235" s="11" t="str">
        <f>'Guarantees provided'!A229</f>
        <v>BANCO SANTANDER TOTTA SA</v>
      </c>
      <c r="H235" s="11" t="str">
        <f>IF('Guarantees provided'!B229="#",'Guarantees provided'!C229,'Guarantees provided'!B229)</f>
        <v>549300URJH9VSI58CS32</v>
      </c>
      <c r="I235" s="11" t="str">
        <f>IF('Guarantees provided'!B229="#","Type of identifier, other than LEI or MFI code","LEI code")</f>
        <v>LEI code</v>
      </c>
      <c r="J235" s="14" t="str">
        <f>IF(OR('Guarantees provided'!H229="E",'Guarantees provided'!H229="x"),"True","False")</f>
        <v>False</v>
      </c>
      <c r="K235" s="11" t="s">
        <v>53</v>
      </c>
      <c r="L235" s="11" t="s">
        <v>54</v>
      </c>
      <c r="M235" s="11">
        <f>-'Guarantees provided'!D229</f>
        <v>3486.6</v>
      </c>
      <c r="N235" s="11" t="s">
        <v>55</v>
      </c>
      <c r="O235" s="11">
        <v>0</v>
      </c>
      <c r="P235" s="12" t="s">
        <v>56</v>
      </c>
    </row>
    <row r="236" spans="3:16" ht="23.65" thickBot="1">
      <c r="C236" s="10" t="s">
        <v>51</v>
      </c>
      <c r="D236" s="11">
        <v>229</v>
      </c>
      <c r="E236" s="11" t="s">
        <v>52</v>
      </c>
      <c r="F236" s="11" t="str">
        <f>'Guarantees provided'!G230</f>
        <v>588804833132030</v>
      </c>
      <c r="G236" s="11" t="str">
        <f>'Guarantees provided'!A230</f>
        <v>BANCO SANTANDER TOTTA SA</v>
      </c>
      <c r="H236" s="11" t="str">
        <f>IF('Guarantees provided'!B230="#",'Guarantees provided'!C230,'Guarantees provided'!B230)</f>
        <v>549300URJH9VSI58CS32</v>
      </c>
      <c r="I236" s="11" t="str">
        <f>IF('Guarantees provided'!B230="#","Type of identifier, other than LEI or MFI code","LEI code")</f>
        <v>LEI code</v>
      </c>
      <c r="J236" s="14" t="str">
        <f>IF(OR('Guarantees provided'!H230="E",'Guarantees provided'!H230="x"),"True","False")</f>
        <v>False</v>
      </c>
      <c r="K236" s="11" t="s">
        <v>53</v>
      </c>
      <c r="L236" s="11" t="s">
        <v>54</v>
      </c>
      <c r="M236" s="11">
        <f>-'Guarantees provided'!D230</f>
        <v>4249.76</v>
      </c>
      <c r="N236" s="11" t="s">
        <v>55</v>
      </c>
      <c r="O236" s="11">
        <v>0</v>
      </c>
      <c r="P236" s="12" t="s">
        <v>56</v>
      </c>
    </row>
    <row r="237" spans="3:16" ht="23.65" thickBot="1">
      <c r="C237" s="10" t="s">
        <v>51</v>
      </c>
      <c r="D237" s="11">
        <v>230</v>
      </c>
      <c r="E237" s="11" t="s">
        <v>52</v>
      </c>
      <c r="F237" s="11" t="str">
        <f>'Guarantees provided'!G231</f>
        <v>588804833230480</v>
      </c>
      <c r="G237" s="11" t="str">
        <f>'Guarantees provided'!A231</f>
        <v>BANCO SANTANDER TOTTA SA</v>
      </c>
      <c r="H237" s="11" t="str">
        <f>IF('Guarantees provided'!B231="#",'Guarantees provided'!C231,'Guarantees provided'!B231)</f>
        <v>549300URJH9VSI58CS32</v>
      </c>
      <c r="I237" s="11" t="str">
        <f>IF('Guarantees provided'!B231="#","Type of identifier, other than LEI or MFI code","LEI code")</f>
        <v>LEI code</v>
      </c>
      <c r="J237" s="14" t="str">
        <f>IF(OR('Guarantees provided'!H231="E",'Guarantees provided'!H231="x"),"True","False")</f>
        <v>False</v>
      </c>
      <c r="K237" s="11" t="s">
        <v>53</v>
      </c>
      <c r="L237" s="11" t="s">
        <v>54</v>
      </c>
      <c r="M237" s="11">
        <f>-'Guarantees provided'!D231</f>
        <v>6681.4</v>
      </c>
      <c r="N237" s="11" t="s">
        <v>55</v>
      </c>
      <c r="O237" s="11">
        <v>0</v>
      </c>
      <c r="P237" s="12" t="s">
        <v>56</v>
      </c>
    </row>
    <row r="238" spans="3:16" ht="23.65" thickBot="1">
      <c r="C238" s="10" t="s">
        <v>51</v>
      </c>
      <c r="D238" s="11">
        <v>231</v>
      </c>
      <c r="E238" s="11" t="s">
        <v>52</v>
      </c>
      <c r="F238" s="11" t="str">
        <f>'Guarantees provided'!G232</f>
        <v>599904816261560</v>
      </c>
      <c r="G238" s="11" t="str">
        <f>'Guarantees provided'!A232</f>
        <v>BANCO SANTANDER TOTTA SA</v>
      </c>
      <c r="H238" s="11" t="str">
        <f>IF('Guarantees provided'!B232="#",'Guarantees provided'!C232,'Guarantees provided'!B232)</f>
        <v>549300URJH9VSI58CS32</v>
      </c>
      <c r="I238" s="11" t="str">
        <f>IF('Guarantees provided'!B232="#","Type of identifier, other than LEI or MFI code","LEI code")</f>
        <v>LEI code</v>
      </c>
      <c r="J238" s="14" t="str">
        <f>IF(OR('Guarantees provided'!H232="E",'Guarantees provided'!H232="x"),"True","False")</f>
        <v>False</v>
      </c>
      <c r="K238" s="11" t="s">
        <v>53</v>
      </c>
      <c r="L238" s="11" t="s">
        <v>54</v>
      </c>
      <c r="M238" s="11">
        <f>-'Guarantees provided'!D232</f>
        <v>2603.73</v>
      </c>
      <c r="N238" s="11" t="s">
        <v>55</v>
      </c>
      <c r="O238" s="11">
        <v>0</v>
      </c>
      <c r="P238" s="12" t="s">
        <v>56</v>
      </c>
    </row>
    <row r="239" spans="3:16" ht="23.65" thickBot="1">
      <c r="C239" s="10" t="s">
        <v>51</v>
      </c>
      <c r="D239" s="11">
        <v>232</v>
      </c>
      <c r="E239" s="11" t="s">
        <v>52</v>
      </c>
      <c r="F239" s="11" t="str">
        <f>'Guarantees provided'!G233</f>
        <v>599904816261600</v>
      </c>
      <c r="G239" s="11" t="str">
        <f>'Guarantees provided'!A233</f>
        <v>BANCO SANTANDER TOTTA SA</v>
      </c>
      <c r="H239" s="11" t="str">
        <f>IF('Guarantees provided'!B233="#",'Guarantees provided'!C233,'Guarantees provided'!B233)</f>
        <v>549300URJH9VSI58CS32</v>
      </c>
      <c r="I239" s="11" t="str">
        <f>IF('Guarantees provided'!B233="#","Type of identifier, other than LEI or MFI code","LEI code")</f>
        <v>LEI code</v>
      </c>
      <c r="J239" s="14" t="str">
        <f>IF(OR('Guarantees provided'!H233="E",'Guarantees provided'!H233="x"),"True","False")</f>
        <v>False</v>
      </c>
      <c r="K239" s="11" t="s">
        <v>53</v>
      </c>
      <c r="L239" s="11" t="s">
        <v>54</v>
      </c>
      <c r="M239" s="11">
        <f>-'Guarantees provided'!D233</f>
        <v>2325.65</v>
      </c>
      <c r="N239" s="11" t="s">
        <v>55</v>
      </c>
      <c r="O239" s="11">
        <v>0</v>
      </c>
      <c r="P239" s="12" t="s">
        <v>56</v>
      </c>
    </row>
    <row r="240" spans="3:16" ht="23.65" thickBot="1">
      <c r="C240" s="10" t="s">
        <v>51</v>
      </c>
      <c r="D240" s="11">
        <v>233</v>
      </c>
      <c r="E240" s="11" t="s">
        <v>52</v>
      </c>
      <c r="F240" s="11" t="str">
        <f>'Guarantees provided'!G234</f>
        <v>599904816261750</v>
      </c>
      <c r="G240" s="11" t="str">
        <f>'Guarantees provided'!A234</f>
        <v>BANCO SANTANDER TOTTA SA</v>
      </c>
      <c r="H240" s="11" t="str">
        <f>IF('Guarantees provided'!B234="#",'Guarantees provided'!C234,'Guarantees provided'!B234)</f>
        <v>549300URJH9VSI58CS32</v>
      </c>
      <c r="I240" s="11" t="str">
        <f>IF('Guarantees provided'!B234="#","Type of identifier, other than LEI or MFI code","LEI code")</f>
        <v>LEI code</v>
      </c>
      <c r="J240" s="14" t="str">
        <f>IF(OR('Guarantees provided'!H234="E",'Guarantees provided'!H234="x"),"True","False")</f>
        <v>False</v>
      </c>
      <c r="K240" s="11" t="s">
        <v>53</v>
      </c>
      <c r="L240" s="11" t="s">
        <v>54</v>
      </c>
      <c r="M240" s="11">
        <f>-'Guarantees provided'!D234</f>
        <v>1179.6600000000001</v>
      </c>
      <c r="N240" s="11" t="s">
        <v>55</v>
      </c>
      <c r="O240" s="11">
        <v>0</v>
      </c>
      <c r="P240" s="12" t="s">
        <v>56</v>
      </c>
    </row>
    <row r="241" spans="3:16" ht="23.65" thickBot="1">
      <c r="C241" s="10" t="s">
        <v>51</v>
      </c>
      <c r="D241" s="11">
        <v>234</v>
      </c>
      <c r="E241" s="11" t="s">
        <v>52</v>
      </c>
      <c r="F241" s="11" t="str">
        <f>'Guarantees provided'!G235</f>
        <v>599904816261800</v>
      </c>
      <c r="G241" s="11" t="str">
        <f>'Guarantees provided'!A235</f>
        <v>BANCO SANTANDER TOTTA SA</v>
      </c>
      <c r="H241" s="11" t="str">
        <f>IF('Guarantees provided'!B235="#",'Guarantees provided'!C235,'Guarantees provided'!B235)</f>
        <v>549300URJH9VSI58CS32</v>
      </c>
      <c r="I241" s="11" t="str">
        <f>IF('Guarantees provided'!B235="#","Type of identifier, other than LEI or MFI code","LEI code")</f>
        <v>LEI code</v>
      </c>
      <c r="J241" s="14" t="str">
        <f>IF(OR('Guarantees provided'!H235="E",'Guarantees provided'!H235="x"),"True","False")</f>
        <v>False</v>
      </c>
      <c r="K241" s="11" t="s">
        <v>53</v>
      </c>
      <c r="L241" s="11" t="s">
        <v>54</v>
      </c>
      <c r="M241" s="11">
        <f>-'Guarantees provided'!D235</f>
        <v>24939.89</v>
      </c>
      <c r="N241" s="11" t="s">
        <v>55</v>
      </c>
      <c r="O241" s="11">
        <v>0</v>
      </c>
      <c r="P241" s="12" t="s">
        <v>56</v>
      </c>
    </row>
    <row r="242" spans="3:16" ht="23.65" thickBot="1">
      <c r="C242" s="10" t="s">
        <v>51</v>
      </c>
      <c r="D242" s="11">
        <v>235</v>
      </c>
      <c r="E242" s="11" t="s">
        <v>52</v>
      </c>
      <c r="F242" s="11" t="str">
        <f>'Guarantees provided'!G236</f>
        <v>599904816261940</v>
      </c>
      <c r="G242" s="11" t="str">
        <f>'Guarantees provided'!A236</f>
        <v>BANCO SANTANDER TOTTA SA</v>
      </c>
      <c r="H242" s="11" t="str">
        <f>IF('Guarantees provided'!B236="#",'Guarantees provided'!C236,'Guarantees provided'!B236)</f>
        <v>549300URJH9VSI58CS32</v>
      </c>
      <c r="I242" s="11" t="str">
        <f>IF('Guarantees provided'!B236="#","Type of identifier, other than LEI or MFI code","LEI code")</f>
        <v>LEI code</v>
      </c>
      <c r="J242" s="14" t="str">
        <f>IF(OR('Guarantees provided'!H236="E",'Guarantees provided'!H236="x"),"True","False")</f>
        <v>False</v>
      </c>
      <c r="K242" s="11" t="s">
        <v>53</v>
      </c>
      <c r="L242" s="11" t="s">
        <v>54</v>
      </c>
      <c r="M242" s="11">
        <f>-'Guarantees provided'!D236</f>
        <v>1414.09</v>
      </c>
      <c r="N242" s="11" t="s">
        <v>55</v>
      </c>
      <c r="O242" s="11">
        <v>0</v>
      </c>
      <c r="P242" s="12" t="s">
        <v>56</v>
      </c>
    </row>
    <row r="243" spans="3:16" ht="23.65" thickBot="1">
      <c r="C243" s="10" t="s">
        <v>51</v>
      </c>
      <c r="D243" s="11">
        <v>236</v>
      </c>
      <c r="E243" s="11" t="s">
        <v>52</v>
      </c>
      <c r="F243" s="11" t="str">
        <f>'Guarantees provided'!G237</f>
        <v>599904816262090</v>
      </c>
      <c r="G243" s="11" t="str">
        <f>'Guarantees provided'!A237</f>
        <v>BANCO SANTANDER TOTTA SA</v>
      </c>
      <c r="H243" s="11" t="str">
        <f>IF('Guarantees provided'!B237="#",'Guarantees provided'!C237,'Guarantees provided'!B237)</f>
        <v>549300URJH9VSI58CS32</v>
      </c>
      <c r="I243" s="11" t="str">
        <f>IF('Guarantees provided'!B237="#","Type of identifier, other than LEI or MFI code","LEI code")</f>
        <v>LEI code</v>
      </c>
      <c r="J243" s="14" t="str">
        <f>IF(OR('Guarantees provided'!H237="E",'Guarantees provided'!H237="x"),"True","False")</f>
        <v>False</v>
      </c>
      <c r="K243" s="11" t="s">
        <v>53</v>
      </c>
      <c r="L243" s="11" t="s">
        <v>54</v>
      </c>
      <c r="M243" s="11">
        <f>-'Guarantees provided'!D237</f>
        <v>1179.6600000000001</v>
      </c>
      <c r="N243" s="11" t="s">
        <v>55</v>
      </c>
      <c r="O243" s="11">
        <v>0</v>
      </c>
      <c r="P243" s="12" t="s">
        <v>56</v>
      </c>
    </row>
    <row r="244" spans="3:16" ht="23.65" thickBot="1">
      <c r="C244" s="10" t="s">
        <v>51</v>
      </c>
      <c r="D244" s="11">
        <v>237</v>
      </c>
      <c r="E244" s="11" t="s">
        <v>52</v>
      </c>
      <c r="F244" s="11" t="str">
        <f>'Guarantees provided'!G238</f>
        <v>599904816262130</v>
      </c>
      <c r="G244" s="11" t="str">
        <f>'Guarantees provided'!A238</f>
        <v>BANCO SANTANDER TOTTA SA</v>
      </c>
      <c r="H244" s="11" t="str">
        <f>IF('Guarantees provided'!B238="#",'Guarantees provided'!C238,'Guarantees provided'!B238)</f>
        <v>549300URJH9VSI58CS32</v>
      </c>
      <c r="I244" s="11" t="str">
        <f>IF('Guarantees provided'!B238="#","Type of identifier, other than LEI or MFI code","LEI code")</f>
        <v>LEI code</v>
      </c>
      <c r="J244" s="14" t="str">
        <f>IF(OR('Guarantees provided'!H238="E",'Guarantees provided'!H238="x"),"True","False")</f>
        <v>False</v>
      </c>
      <c r="K244" s="11" t="s">
        <v>53</v>
      </c>
      <c r="L244" s="11" t="s">
        <v>54</v>
      </c>
      <c r="M244" s="11">
        <f>-'Guarantees provided'!D238</f>
        <v>543.69000000000005</v>
      </c>
      <c r="N244" s="11" t="s">
        <v>55</v>
      </c>
      <c r="O244" s="11">
        <v>0</v>
      </c>
      <c r="P244" s="12" t="s">
        <v>56</v>
      </c>
    </row>
    <row r="245" spans="3:16" ht="23.65" thickBot="1">
      <c r="C245" s="10" t="s">
        <v>51</v>
      </c>
      <c r="D245" s="11">
        <v>238</v>
      </c>
      <c r="E245" s="11" t="s">
        <v>52</v>
      </c>
      <c r="F245" s="11" t="str">
        <f>'Guarantees provided'!G239</f>
        <v>599904816262280</v>
      </c>
      <c r="G245" s="11" t="str">
        <f>'Guarantees provided'!A239</f>
        <v>BANCO SANTANDER TOTTA SA</v>
      </c>
      <c r="H245" s="11" t="str">
        <f>IF('Guarantees provided'!B239="#",'Guarantees provided'!C239,'Guarantees provided'!B239)</f>
        <v>549300URJH9VSI58CS32</v>
      </c>
      <c r="I245" s="11" t="str">
        <f>IF('Guarantees provided'!B239="#","Type of identifier, other than LEI or MFI code","LEI code")</f>
        <v>LEI code</v>
      </c>
      <c r="J245" s="14" t="str">
        <f>IF(OR('Guarantees provided'!H239="E",'Guarantees provided'!H239="x"),"True","False")</f>
        <v>False</v>
      </c>
      <c r="K245" s="11" t="s">
        <v>53</v>
      </c>
      <c r="L245" s="11" t="s">
        <v>54</v>
      </c>
      <c r="M245" s="11">
        <f>-'Guarantees provided'!D239</f>
        <v>2536.39</v>
      </c>
      <c r="N245" s="11" t="s">
        <v>55</v>
      </c>
      <c r="O245" s="11">
        <v>0</v>
      </c>
      <c r="P245" s="12" t="s">
        <v>56</v>
      </c>
    </row>
    <row r="246" spans="3:16" ht="23.65" thickBot="1">
      <c r="C246" s="10" t="s">
        <v>51</v>
      </c>
      <c r="D246" s="11">
        <v>239</v>
      </c>
      <c r="E246" s="11" t="s">
        <v>52</v>
      </c>
      <c r="F246" s="11" t="str">
        <f>'Guarantees provided'!G240</f>
        <v>599904816262320</v>
      </c>
      <c r="G246" s="11" t="str">
        <f>'Guarantees provided'!A240</f>
        <v>BANCO SANTANDER TOTTA SA</v>
      </c>
      <c r="H246" s="11" t="str">
        <f>IF('Guarantees provided'!B240="#",'Guarantees provided'!C240,'Guarantees provided'!B240)</f>
        <v>549300URJH9VSI58CS32</v>
      </c>
      <c r="I246" s="11" t="str">
        <f>IF('Guarantees provided'!B240="#","Type of identifier, other than LEI or MFI code","LEI code")</f>
        <v>LEI code</v>
      </c>
      <c r="J246" s="14" t="str">
        <f>IF(OR('Guarantees provided'!H240="E",'Guarantees provided'!H240="x"),"True","False")</f>
        <v>False</v>
      </c>
      <c r="K246" s="11" t="s">
        <v>53</v>
      </c>
      <c r="L246" s="11" t="s">
        <v>54</v>
      </c>
      <c r="M246" s="11">
        <f>-'Guarantees provided'!D240</f>
        <v>1930.35</v>
      </c>
      <c r="N246" s="11" t="s">
        <v>55</v>
      </c>
      <c r="O246" s="11">
        <v>0</v>
      </c>
      <c r="P246" s="12" t="s">
        <v>56</v>
      </c>
    </row>
    <row r="247" spans="3:16" ht="23.65" thickBot="1">
      <c r="C247" s="10" t="s">
        <v>51</v>
      </c>
      <c r="D247" s="11">
        <v>240</v>
      </c>
      <c r="E247" s="11" t="s">
        <v>52</v>
      </c>
      <c r="F247" s="11" t="str">
        <f>'Guarantees provided'!G241</f>
        <v>599904816262470</v>
      </c>
      <c r="G247" s="11" t="str">
        <f>'Guarantees provided'!A241</f>
        <v>BANCO SANTANDER TOTTA SA</v>
      </c>
      <c r="H247" s="11" t="str">
        <f>IF('Guarantees provided'!B241="#",'Guarantees provided'!C241,'Guarantees provided'!B241)</f>
        <v>549300URJH9VSI58CS32</v>
      </c>
      <c r="I247" s="11" t="str">
        <f>IF('Guarantees provided'!B241="#","Type of identifier, other than LEI or MFI code","LEI code")</f>
        <v>LEI code</v>
      </c>
      <c r="J247" s="14" t="str">
        <f>IF(OR('Guarantees provided'!H241="E",'Guarantees provided'!H241="x"),"True","False")</f>
        <v>False</v>
      </c>
      <c r="K247" s="11" t="s">
        <v>53</v>
      </c>
      <c r="L247" s="11" t="s">
        <v>54</v>
      </c>
      <c r="M247" s="11">
        <f>-'Guarantees provided'!D241</f>
        <v>2154.81</v>
      </c>
      <c r="N247" s="11" t="s">
        <v>55</v>
      </c>
      <c r="O247" s="11">
        <v>0</v>
      </c>
      <c r="P247" s="12" t="s">
        <v>56</v>
      </c>
    </row>
    <row r="248" spans="3:16" ht="23.65" thickBot="1">
      <c r="C248" s="10" t="s">
        <v>51</v>
      </c>
      <c r="D248" s="11">
        <v>241</v>
      </c>
      <c r="E248" s="11" t="s">
        <v>52</v>
      </c>
      <c r="F248" s="11" t="str">
        <f>'Guarantees provided'!G242</f>
        <v>599904816262510</v>
      </c>
      <c r="G248" s="11" t="str">
        <f>'Guarantees provided'!A242</f>
        <v>BANCO SANTANDER TOTTA SA</v>
      </c>
      <c r="H248" s="11" t="str">
        <f>IF('Guarantees provided'!B242="#",'Guarantees provided'!C242,'Guarantees provided'!B242)</f>
        <v>549300URJH9VSI58CS32</v>
      </c>
      <c r="I248" s="11" t="str">
        <f>IF('Guarantees provided'!B242="#","Type of identifier, other than LEI or MFI code","LEI code")</f>
        <v>LEI code</v>
      </c>
      <c r="J248" s="14" t="str">
        <f>IF(OR('Guarantees provided'!H242="E",'Guarantees provided'!H242="x"),"True","False")</f>
        <v>False</v>
      </c>
      <c r="K248" s="11" t="s">
        <v>53</v>
      </c>
      <c r="L248" s="11" t="s">
        <v>54</v>
      </c>
      <c r="M248" s="11">
        <f>-'Guarantees provided'!D242</f>
        <v>9756.49</v>
      </c>
      <c r="N248" s="11" t="s">
        <v>55</v>
      </c>
      <c r="O248" s="11">
        <v>0</v>
      </c>
      <c r="P248" s="12" t="s">
        <v>56</v>
      </c>
    </row>
    <row r="249" spans="3:16" ht="23.65" thickBot="1">
      <c r="C249" s="10" t="s">
        <v>51</v>
      </c>
      <c r="D249" s="11">
        <v>242</v>
      </c>
      <c r="E249" s="11" t="s">
        <v>52</v>
      </c>
      <c r="F249" s="11" t="str">
        <f>'Guarantees provided'!G243</f>
        <v>599904816262660</v>
      </c>
      <c r="G249" s="11" t="str">
        <f>'Guarantees provided'!A243</f>
        <v>BANCO SANTANDER TOTTA SA</v>
      </c>
      <c r="H249" s="11" t="str">
        <f>IF('Guarantees provided'!B243="#",'Guarantees provided'!C243,'Guarantees provided'!B243)</f>
        <v>549300URJH9VSI58CS32</v>
      </c>
      <c r="I249" s="11" t="str">
        <f>IF('Guarantees provided'!B243="#","Type of identifier, other than LEI or MFI code","LEI code")</f>
        <v>LEI code</v>
      </c>
      <c r="J249" s="14" t="str">
        <f>IF(OR('Guarantees provided'!H243="E",'Guarantees provided'!H243="x"),"True","False")</f>
        <v>False</v>
      </c>
      <c r="K249" s="11" t="s">
        <v>53</v>
      </c>
      <c r="L249" s="11" t="s">
        <v>54</v>
      </c>
      <c r="M249" s="11">
        <f>-'Guarantees provided'!D243</f>
        <v>1518.84</v>
      </c>
      <c r="N249" s="11" t="s">
        <v>55</v>
      </c>
      <c r="O249" s="11">
        <v>0</v>
      </c>
      <c r="P249" s="12" t="s">
        <v>56</v>
      </c>
    </row>
    <row r="250" spans="3:16" ht="23.65" thickBot="1">
      <c r="C250" s="10" t="s">
        <v>51</v>
      </c>
      <c r="D250" s="11">
        <v>243</v>
      </c>
      <c r="E250" s="11" t="s">
        <v>52</v>
      </c>
      <c r="F250" s="11" t="str">
        <f>'Guarantees provided'!G244</f>
        <v>599904816262700</v>
      </c>
      <c r="G250" s="11" t="str">
        <f>'Guarantees provided'!A244</f>
        <v>BANCO SANTANDER TOTTA SA</v>
      </c>
      <c r="H250" s="11" t="str">
        <f>IF('Guarantees provided'!B244="#",'Guarantees provided'!C244,'Guarantees provided'!B244)</f>
        <v>549300URJH9VSI58CS32</v>
      </c>
      <c r="I250" s="11" t="str">
        <f>IF('Guarantees provided'!B244="#","Type of identifier, other than LEI or MFI code","LEI code")</f>
        <v>LEI code</v>
      </c>
      <c r="J250" s="14" t="str">
        <f>IF(OR('Guarantees provided'!H244="E",'Guarantees provided'!H244="x"),"True","False")</f>
        <v>False</v>
      </c>
      <c r="K250" s="11" t="s">
        <v>53</v>
      </c>
      <c r="L250" s="11" t="s">
        <v>54</v>
      </c>
      <c r="M250" s="11">
        <f>-'Guarantees provided'!D244</f>
        <v>9962.24</v>
      </c>
      <c r="N250" s="11" t="s">
        <v>55</v>
      </c>
      <c r="O250" s="11">
        <v>0</v>
      </c>
      <c r="P250" s="12" t="s">
        <v>56</v>
      </c>
    </row>
    <row r="251" spans="3:16" ht="23.65" thickBot="1">
      <c r="C251" s="10" t="s">
        <v>51</v>
      </c>
      <c r="D251" s="11">
        <v>244</v>
      </c>
      <c r="E251" s="11" t="s">
        <v>52</v>
      </c>
      <c r="F251" s="11" t="str">
        <f>'Guarantees provided'!G245</f>
        <v>599904816262850</v>
      </c>
      <c r="G251" s="11" t="str">
        <f>'Guarantees provided'!A245</f>
        <v>BANCO SANTANDER TOTTA SA</v>
      </c>
      <c r="H251" s="11" t="str">
        <f>IF('Guarantees provided'!B245="#",'Guarantees provided'!C245,'Guarantees provided'!B245)</f>
        <v>549300URJH9VSI58CS32</v>
      </c>
      <c r="I251" s="11" t="str">
        <f>IF('Guarantees provided'!B245="#","Type of identifier, other than LEI or MFI code","LEI code")</f>
        <v>LEI code</v>
      </c>
      <c r="J251" s="14" t="str">
        <f>IF(OR('Guarantees provided'!H245="E",'Guarantees provided'!H245="x"),"True","False")</f>
        <v>False</v>
      </c>
      <c r="K251" s="11" t="s">
        <v>53</v>
      </c>
      <c r="L251" s="11" t="s">
        <v>54</v>
      </c>
      <c r="M251" s="11">
        <f>-'Guarantees provided'!D245</f>
        <v>5678.81</v>
      </c>
      <c r="N251" s="11" t="s">
        <v>55</v>
      </c>
      <c r="O251" s="11">
        <v>0</v>
      </c>
      <c r="P251" s="12" t="s">
        <v>56</v>
      </c>
    </row>
    <row r="252" spans="3:16" ht="23.65" thickBot="1">
      <c r="C252" s="10" t="s">
        <v>51</v>
      </c>
      <c r="D252" s="11">
        <v>245</v>
      </c>
      <c r="E252" s="11" t="s">
        <v>52</v>
      </c>
      <c r="F252" s="11" t="str">
        <f>'Guarantees provided'!G246</f>
        <v>599904816262900</v>
      </c>
      <c r="G252" s="11" t="str">
        <f>'Guarantees provided'!A246</f>
        <v>BANCO SANTANDER TOTTA SA</v>
      </c>
      <c r="H252" s="11" t="str">
        <f>IF('Guarantees provided'!B246="#",'Guarantees provided'!C246,'Guarantees provided'!B246)</f>
        <v>549300URJH9VSI58CS32</v>
      </c>
      <c r="I252" s="11" t="str">
        <f>IF('Guarantees provided'!B246="#","Type of identifier, other than LEI or MFI code","LEI code")</f>
        <v>LEI code</v>
      </c>
      <c r="J252" s="14" t="str">
        <f>IF(OR('Guarantees provided'!H246="E",'Guarantees provided'!H246="x"),"True","False")</f>
        <v>False</v>
      </c>
      <c r="K252" s="11" t="s">
        <v>53</v>
      </c>
      <c r="L252" s="11" t="s">
        <v>54</v>
      </c>
      <c r="M252" s="11">
        <f>-'Guarantees provided'!D246</f>
        <v>3853.36</v>
      </c>
      <c r="N252" s="11" t="s">
        <v>55</v>
      </c>
      <c r="O252" s="11">
        <v>0</v>
      </c>
      <c r="P252" s="12" t="s">
        <v>56</v>
      </c>
    </row>
    <row r="253" spans="3:16" ht="23.65" thickBot="1">
      <c r="C253" s="10" t="s">
        <v>51</v>
      </c>
      <c r="D253" s="11">
        <v>246</v>
      </c>
      <c r="E253" s="11" t="s">
        <v>52</v>
      </c>
      <c r="F253" s="11" t="str">
        <f>'Guarantees provided'!G247</f>
        <v>599904816263040</v>
      </c>
      <c r="G253" s="11" t="str">
        <f>'Guarantees provided'!A247</f>
        <v>BANCO SANTANDER TOTTA SA</v>
      </c>
      <c r="H253" s="11" t="str">
        <f>IF('Guarantees provided'!B247="#",'Guarantees provided'!C247,'Guarantees provided'!B247)</f>
        <v>549300URJH9VSI58CS32</v>
      </c>
      <c r="I253" s="11" t="str">
        <f>IF('Guarantees provided'!B247="#","Type of identifier, other than LEI or MFI code","LEI code")</f>
        <v>LEI code</v>
      </c>
      <c r="J253" s="14" t="str">
        <f>IF(OR('Guarantees provided'!H247="E",'Guarantees provided'!H247="x"),"True","False")</f>
        <v>False</v>
      </c>
      <c r="K253" s="11" t="s">
        <v>53</v>
      </c>
      <c r="L253" s="11" t="s">
        <v>54</v>
      </c>
      <c r="M253" s="11">
        <f>-'Guarantees provided'!D247</f>
        <v>1769.49</v>
      </c>
      <c r="N253" s="11" t="s">
        <v>55</v>
      </c>
      <c r="O253" s="11">
        <v>0</v>
      </c>
      <c r="P253" s="12" t="s">
        <v>56</v>
      </c>
    </row>
    <row r="254" spans="3:16" ht="23.65" thickBot="1">
      <c r="C254" s="10" t="s">
        <v>51</v>
      </c>
      <c r="D254" s="11">
        <v>247</v>
      </c>
      <c r="E254" s="11" t="s">
        <v>52</v>
      </c>
      <c r="F254" s="11" t="str">
        <f>'Guarantees provided'!G248</f>
        <v>599904816263190</v>
      </c>
      <c r="G254" s="11" t="str">
        <f>'Guarantees provided'!A248</f>
        <v>BANCO SANTANDER TOTTA SA</v>
      </c>
      <c r="H254" s="11" t="str">
        <f>IF('Guarantees provided'!B248="#",'Guarantees provided'!C248,'Guarantees provided'!B248)</f>
        <v>549300URJH9VSI58CS32</v>
      </c>
      <c r="I254" s="11" t="str">
        <f>IF('Guarantees provided'!B248="#","Type of identifier, other than LEI or MFI code","LEI code")</f>
        <v>LEI code</v>
      </c>
      <c r="J254" s="14" t="str">
        <f>IF(OR('Guarantees provided'!H248="E",'Guarantees provided'!H248="x"),"True","False")</f>
        <v>False</v>
      </c>
      <c r="K254" s="11" t="s">
        <v>53</v>
      </c>
      <c r="L254" s="11" t="s">
        <v>54</v>
      </c>
      <c r="M254" s="11">
        <f>-'Guarantees provided'!D248</f>
        <v>21645.33</v>
      </c>
      <c r="N254" s="11" t="s">
        <v>55</v>
      </c>
      <c r="O254" s="11">
        <v>0</v>
      </c>
      <c r="P254" s="12" t="s">
        <v>56</v>
      </c>
    </row>
    <row r="255" spans="3:16" ht="23.65" thickBot="1">
      <c r="C255" s="10" t="s">
        <v>51</v>
      </c>
      <c r="D255" s="11">
        <v>248</v>
      </c>
      <c r="E255" s="11" t="s">
        <v>52</v>
      </c>
      <c r="F255" s="11" t="str">
        <f>'Guarantees provided'!G249</f>
        <v>599904816263230</v>
      </c>
      <c r="G255" s="11" t="str">
        <f>'Guarantees provided'!A249</f>
        <v>BANCO SANTANDER TOTTA SA</v>
      </c>
      <c r="H255" s="11" t="str">
        <f>IF('Guarantees provided'!B249="#",'Guarantees provided'!C249,'Guarantees provided'!B249)</f>
        <v>549300URJH9VSI58CS32</v>
      </c>
      <c r="I255" s="11" t="str">
        <f>IF('Guarantees provided'!B249="#","Type of identifier, other than LEI or MFI code","LEI code")</f>
        <v>LEI code</v>
      </c>
      <c r="J255" s="14" t="str">
        <f>IF(OR('Guarantees provided'!H249="E",'Guarantees provided'!H249="x"),"True","False")</f>
        <v>False</v>
      </c>
      <c r="K255" s="11" t="s">
        <v>53</v>
      </c>
      <c r="L255" s="11" t="s">
        <v>54</v>
      </c>
      <c r="M255" s="11">
        <f>-'Guarantees provided'!D249</f>
        <v>4623.8599999999997</v>
      </c>
      <c r="N255" s="11" t="s">
        <v>55</v>
      </c>
      <c r="O255" s="11">
        <v>0</v>
      </c>
      <c r="P255" s="12" t="s">
        <v>56</v>
      </c>
    </row>
    <row r="256" spans="3:16" ht="23.65" thickBot="1">
      <c r="C256" s="10" t="s">
        <v>51</v>
      </c>
      <c r="D256" s="11">
        <v>249</v>
      </c>
      <c r="E256" s="11" t="s">
        <v>52</v>
      </c>
      <c r="F256" s="11" t="str">
        <f>'Guarantees provided'!G250</f>
        <v>599904816263380</v>
      </c>
      <c r="G256" s="11" t="str">
        <f>'Guarantees provided'!A250</f>
        <v>BANCO SANTANDER TOTTA SA</v>
      </c>
      <c r="H256" s="11" t="str">
        <f>IF('Guarantees provided'!B250="#",'Guarantees provided'!C250,'Guarantees provided'!B250)</f>
        <v>549300URJH9VSI58CS32</v>
      </c>
      <c r="I256" s="11" t="str">
        <f>IF('Guarantees provided'!B250="#","Type of identifier, other than LEI or MFI code","LEI code")</f>
        <v>LEI code</v>
      </c>
      <c r="J256" s="14" t="str">
        <f>IF(OR('Guarantees provided'!H250="E",'Guarantees provided'!H250="x"),"True","False")</f>
        <v>False</v>
      </c>
      <c r="K256" s="11" t="s">
        <v>53</v>
      </c>
      <c r="L256" s="11" t="s">
        <v>54</v>
      </c>
      <c r="M256" s="11">
        <f>-'Guarantees provided'!D250</f>
        <v>4219.83</v>
      </c>
      <c r="N256" s="11" t="s">
        <v>55</v>
      </c>
      <c r="O256" s="11">
        <v>0</v>
      </c>
      <c r="P256" s="12" t="s">
        <v>56</v>
      </c>
    </row>
    <row r="257" spans="3:16" ht="23.65" thickBot="1">
      <c r="C257" s="10" t="s">
        <v>51</v>
      </c>
      <c r="D257" s="11">
        <v>250</v>
      </c>
      <c r="E257" s="11" t="s">
        <v>52</v>
      </c>
      <c r="F257" s="11" t="str">
        <f>'Guarantees provided'!G251</f>
        <v>599904816263420</v>
      </c>
      <c r="G257" s="11" t="str">
        <f>'Guarantees provided'!A251</f>
        <v>BANCO SANTANDER TOTTA SA</v>
      </c>
      <c r="H257" s="11" t="str">
        <f>IF('Guarantees provided'!B251="#",'Guarantees provided'!C251,'Guarantees provided'!B251)</f>
        <v>549300URJH9VSI58CS32</v>
      </c>
      <c r="I257" s="11" t="str">
        <f>IF('Guarantees provided'!B251="#","Type of identifier, other than LEI or MFI code","LEI code")</f>
        <v>LEI code</v>
      </c>
      <c r="J257" s="14" t="str">
        <f>IF(OR('Guarantees provided'!H251="E",'Guarantees provided'!H251="x"),"True","False")</f>
        <v>False</v>
      </c>
      <c r="K257" s="11" t="s">
        <v>53</v>
      </c>
      <c r="L257" s="11" t="s">
        <v>54</v>
      </c>
      <c r="M257" s="11">
        <f>-'Guarantees provided'!D251</f>
        <v>6604.71</v>
      </c>
      <c r="N257" s="11" t="s">
        <v>55</v>
      </c>
      <c r="O257" s="11">
        <v>0</v>
      </c>
      <c r="P257" s="12" t="s">
        <v>56</v>
      </c>
    </row>
    <row r="258" spans="3:16" ht="23.65" thickBot="1">
      <c r="C258" s="10" t="s">
        <v>51</v>
      </c>
      <c r="D258" s="11">
        <v>251</v>
      </c>
      <c r="E258" s="11" t="s">
        <v>52</v>
      </c>
      <c r="F258" s="11" t="str">
        <f>'Guarantees provided'!G252</f>
        <v>599904816263570</v>
      </c>
      <c r="G258" s="11" t="str">
        <f>'Guarantees provided'!A252</f>
        <v>BANCO SANTANDER TOTTA SA</v>
      </c>
      <c r="H258" s="11" t="str">
        <f>IF('Guarantees provided'!B252="#",'Guarantees provided'!C252,'Guarantees provided'!B252)</f>
        <v>549300URJH9VSI58CS32</v>
      </c>
      <c r="I258" s="11" t="str">
        <f>IF('Guarantees provided'!B252="#","Type of identifier, other than LEI or MFI code","LEI code")</f>
        <v>LEI code</v>
      </c>
      <c r="J258" s="14" t="str">
        <f>IF(OR('Guarantees provided'!H252="E",'Guarantees provided'!H252="x"),"True","False")</f>
        <v>False</v>
      </c>
      <c r="K258" s="11" t="s">
        <v>53</v>
      </c>
      <c r="L258" s="11" t="s">
        <v>54</v>
      </c>
      <c r="M258" s="11">
        <f>-'Guarantees provided'!D252</f>
        <v>3999.11</v>
      </c>
      <c r="N258" s="11" t="s">
        <v>55</v>
      </c>
      <c r="O258" s="11">
        <v>0</v>
      </c>
      <c r="P258" s="12" t="s">
        <v>56</v>
      </c>
    </row>
    <row r="259" spans="3:16" ht="23.65" thickBot="1">
      <c r="C259" s="10" t="s">
        <v>51</v>
      </c>
      <c r="D259" s="11">
        <v>252</v>
      </c>
      <c r="E259" s="11" t="s">
        <v>52</v>
      </c>
      <c r="F259" s="11" t="str">
        <f>'Guarantees provided'!G253</f>
        <v>599904816263610</v>
      </c>
      <c r="G259" s="11" t="str">
        <f>'Guarantees provided'!A253</f>
        <v>BANCO SANTANDER TOTTA SA</v>
      </c>
      <c r="H259" s="11" t="str">
        <f>IF('Guarantees provided'!B253="#",'Guarantees provided'!C253,'Guarantees provided'!B253)</f>
        <v>549300URJH9VSI58CS32</v>
      </c>
      <c r="I259" s="11" t="str">
        <f>IF('Guarantees provided'!B253="#","Type of identifier, other than LEI or MFI code","LEI code")</f>
        <v>LEI code</v>
      </c>
      <c r="J259" s="14" t="str">
        <f>IF(OR('Guarantees provided'!H253="E",'Guarantees provided'!H253="x"),"True","False")</f>
        <v>False</v>
      </c>
      <c r="K259" s="11" t="s">
        <v>53</v>
      </c>
      <c r="L259" s="11" t="s">
        <v>54</v>
      </c>
      <c r="M259" s="11">
        <f>-'Guarantees provided'!D253</f>
        <v>11993.6</v>
      </c>
      <c r="N259" s="11" t="s">
        <v>55</v>
      </c>
      <c r="O259" s="11">
        <v>0</v>
      </c>
      <c r="P259" s="12" t="s">
        <v>56</v>
      </c>
    </row>
    <row r="260" spans="3:16" ht="23.65" thickBot="1">
      <c r="C260" s="10" t="s">
        <v>51</v>
      </c>
      <c r="D260" s="11">
        <v>253</v>
      </c>
      <c r="E260" s="11" t="s">
        <v>52</v>
      </c>
      <c r="F260" s="11" t="str">
        <f>'Guarantees provided'!G254</f>
        <v>599904816263760</v>
      </c>
      <c r="G260" s="11" t="str">
        <f>'Guarantees provided'!A254</f>
        <v>BANCO SANTANDER TOTTA SA</v>
      </c>
      <c r="H260" s="11" t="str">
        <f>IF('Guarantees provided'!B254="#",'Guarantees provided'!C254,'Guarantees provided'!B254)</f>
        <v>549300URJH9VSI58CS32</v>
      </c>
      <c r="I260" s="11" t="str">
        <f>IF('Guarantees provided'!B254="#","Type of identifier, other than LEI or MFI code","LEI code")</f>
        <v>LEI code</v>
      </c>
      <c r="J260" s="14" t="str">
        <f>IF(OR('Guarantees provided'!H254="E",'Guarantees provided'!H254="x"),"True","False")</f>
        <v>False</v>
      </c>
      <c r="K260" s="11" t="s">
        <v>53</v>
      </c>
      <c r="L260" s="11" t="s">
        <v>54</v>
      </c>
      <c r="M260" s="11">
        <f>-'Guarantees provided'!D254</f>
        <v>11993.6</v>
      </c>
      <c r="N260" s="11" t="s">
        <v>55</v>
      </c>
      <c r="O260" s="11">
        <v>0</v>
      </c>
      <c r="P260" s="12" t="s">
        <v>56</v>
      </c>
    </row>
    <row r="261" spans="3:16" ht="23.65" thickBot="1">
      <c r="C261" s="10" t="s">
        <v>51</v>
      </c>
      <c r="D261" s="11">
        <v>254</v>
      </c>
      <c r="E261" s="11" t="s">
        <v>52</v>
      </c>
      <c r="F261" s="11" t="str">
        <f>'Guarantees provided'!G255</f>
        <v>599904816263800</v>
      </c>
      <c r="G261" s="11" t="str">
        <f>'Guarantees provided'!A255</f>
        <v>BANCO SANTANDER TOTTA SA</v>
      </c>
      <c r="H261" s="11" t="str">
        <f>IF('Guarantees provided'!B255="#",'Guarantees provided'!C255,'Guarantees provided'!B255)</f>
        <v>549300URJH9VSI58CS32</v>
      </c>
      <c r="I261" s="11" t="str">
        <f>IF('Guarantees provided'!B255="#","Type of identifier, other than LEI or MFI code","LEI code")</f>
        <v>LEI code</v>
      </c>
      <c r="J261" s="14" t="str">
        <f>IF(OR('Guarantees provided'!H255="E",'Guarantees provided'!H255="x"),"True","False")</f>
        <v>False</v>
      </c>
      <c r="K261" s="11" t="s">
        <v>53</v>
      </c>
      <c r="L261" s="11" t="s">
        <v>54</v>
      </c>
      <c r="M261" s="11">
        <f>-'Guarantees provided'!D255</f>
        <v>6221.26</v>
      </c>
      <c r="N261" s="11" t="s">
        <v>55</v>
      </c>
      <c r="O261" s="11">
        <v>0</v>
      </c>
      <c r="P261" s="12" t="s">
        <v>56</v>
      </c>
    </row>
    <row r="262" spans="3:16" ht="23.65" thickBot="1">
      <c r="C262" s="10" t="s">
        <v>51</v>
      </c>
      <c r="D262" s="11">
        <v>255</v>
      </c>
      <c r="E262" s="11" t="s">
        <v>52</v>
      </c>
      <c r="F262" s="11" t="str">
        <f>'Guarantees provided'!G256</f>
        <v>599904816263950</v>
      </c>
      <c r="G262" s="11" t="str">
        <f>'Guarantees provided'!A256</f>
        <v>BANCO SANTANDER TOTTA SA</v>
      </c>
      <c r="H262" s="11" t="str">
        <f>IF('Guarantees provided'!B256="#",'Guarantees provided'!C256,'Guarantees provided'!B256)</f>
        <v>549300URJH9VSI58CS32</v>
      </c>
      <c r="I262" s="11" t="str">
        <f>IF('Guarantees provided'!B256="#","Type of identifier, other than LEI or MFI code","LEI code")</f>
        <v>LEI code</v>
      </c>
      <c r="J262" s="14" t="str">
        <f>IF(OR('Guarantees provided'!H256="E",'Guarantees provided'!H256="x"),"True","False")</f>
        <v>False</v>
      </c>
      <c r="K262" s="11" t="s">
        <v>53</v>
      </c>
      <c r="L262" s="11" t="s">
        <v>54</v>
      </c>
      <c r="M262" s="11">
        <f>-'Guarantees provided'!D256</f>
        <v>7077.94</v>
      </c>
      <c r="N262" s="11" t="s">
        <v>55</v>
      </c>
      <c r="O262" s="11">
        <v>0</v>
      </c>
      <c r="P262" s="12" t="s">
        <v>56</v>
      </c>
    </row>
    <row r="263" spans="3:16" ht="23.65" thickBot="1">
      <c r="C263" s="10" t="s">
        <v>51</v>
      </c>
      <c r="D263" s="11">
        <v>256</v>
      </c>
      <c r="E263" s="11" t="s">
        <v>52</v>
      </c>
      <c r="F263" s="11" t="str">
        <f>'Guarantees provided'!G257</f>
        <v>599904816264000</v>
      </c>
      <c r="G263" s="11" t="str">
        <f>'Guarantees provided'!A257</f>
        <v>BANCO SANTANDER TOTTA SA</v>
      </c>
      <c r="H263" s="11" t="str">
        <f>IF('Guarantees provided'!B257="#",'Guarantees provided'!C257,'Guarantees provided'!B257)</f>
        <v>549300URJH9VSI58CS32</v>
      </c>
      <c r="I263" s="11" t="str">
        <f>IF('Guarantees provided'!B257="#","Type of identifier, other than LEI or MFI code","LEI code")</f>
        <v>LEI code</v>
      </c>
      <c r="J263" s="14" t="str">
        <f>IF(OR('Guarantees provided'!H257="E",'Guarantees provided'!H257="x"),"True","False")</f>
        <v>False</v>
      </c>
      <c r="K263" s="11" t="s">
        <v>53</v>
      </c>
      <c r="L263" s="11" t="s">
        <v>54</v>
      </c>
      <c r="M263" s="11">
        <f>-'Guarantees provided'!D257</f>
        <v>3860.7</v>
      </c>
      <c r="N263" s="11" t="s">
        <v>55</v>
      </c>
      <c r="O263" s="11">
        <v>0</v>
      </c>
      <c r="P263" s="12" t="s">
        <v>56</v>
      </c>
    </row>
    <row r="264" spans="3:16" ht="23.65" thickBot="1">
      <c r="C264" s="10" t="s">
        <v>51</v>
      </c>
      <c r="D264" s="11">
        <v>257</v>
      </c>
      <c r="E264" s="11" t="s">
        <v>52</v>
      </c>
      <c r="F264" s="11" t="str">
        <f>'Guarantees provided'!G258</f>
        <v>599904816264140</v>
      </c>
      <c r="G264" s="11" t="str">
        <f>'Guarantees provided'!A258</f>
        <v>BANCO SANTANDER TOTTA SA</v>
      </c>
      <c r="H264" s="11" t="str">
        <f>IF('Guarantees provided'!B258="#",'Guarantees provided'!C258,'Guarantees provided'!B258)</f>
        <v>549300URJH9VSI58CS32</v>
      </c>
      <c r="I264" s="11" t="str">
        <f>IF('Guarantees provided'!B258="#","Type of identifier, other than LEI or MFI code","LEI code")</f>
        <v>LEI code</v>
      </c>
      <c r="J264" s="14" t="str">
        <f>IF(OR('Guarantees provided'!H258="E",'Guarantees provided'!H258="x"),"True","False")</f>
        <v>False</v>
      </c>
      <c r="K264" s="11" t="s">
        <v>53</v>
      </c>
      <c r="L264" s="11" t="s">
        <v>54</v>
      </c>
      <c r="M264" s="11">
        <f>-'Guarantees provided'!D258</f>
        <v>8679.08</v>
      </c>
      <c r="N264" s="11" t="s">
        <v>55</v>
      </c>
      <c r="O264" s="11">
        <v>0</v>
      </c>
      <c r="P264" s="12" t="s">
        <v>56</v>
      </c>
    </row>
    <row r="265" spans="3:16" ht="23.65" thickBot="1">
      <c r="C265" s="10" t="s">
        <v>51</v>
      </c>
      <c r="D265" s="11">
        <v>258</v>
      </c>
      <c r="E265" s="11" t="s">
        <v>52</v>
      </c>
      <c r="F265" s="11" t="str">
        <f>'Guarantees provided'!G259</f>
        <v>599904816264290</v>
      </c>
      <c r="G265" s="11" t="str">
        <f>'Guarantees provided'!A259</f>
        <v>BANCO SANTANDER TOTTA SA</v>
      </c>
      <c r="H265" s="11" t="str">
        <f>IF('Guarantees provided'!B259="#",'Guarantees provided'!C259,'Guarantees provided'!B259)</f>
        <v>549300URJH9VSI58CS32</v>
      </c>
      <c r="I265" s="11" t="str">
        <f>IF('Guarantees provided'!B259="#","Type of identifier, other than LEI or MFI code","LEI code")</f>
        <v>LEI code</v>
      </c>
      <c r="J265" s="14" t="str">
        <f>IF(OR('Guarantees provided'!H259="E",'Guarantees provided'!H259="x"),"True","False")</f>
        <v>False</v>
      </c>
      <c r="K265" s="11" t="s">
        <v>53</v>
      </c>
      <c r="L265" s="11" t="s">
        <v>54</v>
      </c>
      <c r="M265" s="11">
        <f>-'Guarantees provided'!D259</f>
        <v>6105.29</v>
      </c>
      <c r="N265" s="11" t="s">
        <v>55</v>
      </c>
      <c r="O265" s="11">
        <v>0</v>
      </c>
      <c r="P265" s="12" t="s">
        <v>56</v>
      </c>
    </row>
    <row r="266" spans="3:16" ht="23.65" thickBot="1">
      <c r="C266" s="10" t="s">
        <v>51</v>
      </c>
      <c r="D266" s="11">
        <v>259</v>
      </c>
      <c r="E266" s="11" t="s">
        <v>52</v>
      </c>
      <c r="F266" s="11" t="str">
        <f>'Guarantees provided'!G260</f>
        <v>599904816264330</v>
      </c>
      <c r="G266" s="11" t="str">
        <f>'Guarantees provided'!A260</f>
        <v>BANCO SANTANDER TOTTA SA</v>
      </c>
      <c r="H266" s="11" t="str">
        <f>IF('Guarantees provided'!B260="#",'Guarantees provided'!C260,'Guarantees provided'!B260)</f>
        <v>549300URJH9VSI58CS32</v>
      </c>
      <c r="I266" s="11" t="str">
        <f>IF('Guarantees provided'!B260="#","Type of identifier, other than LEI or MFI code","LEI code")</f>
        <v>LEI code</v>
      </c>
      <c r="J266" s="14" t="str">
        <f>IF(OR('Guarantees provided'!H260="E",'Guarantees provided'!H260="x"),"True","False")</f>
        <v>False</v>
      </c>
      <c r="K266" s="11" t="s">
        <v>53</v>
      </c>
      <c r="L266" s="11" t="s">
        <v>54</v>
      </c>
      <c r="M266" s="11">
        <f>-'Guarantees provided'!D260</f>
        <v>6254.93</v>
      </c>
      <c r="N266" s="11" t="s">
        <v>55</v>
      </c>
      <c r="O266" s="11">
        <v>0</v>
      </c>
      <c r="P266" s="12" t="s">
        <v>56</v>
      </c>
    </row>
    <row r="267" spans="3:16" ht="23.65" thickBot="1">
      <c r="C267" s="10" t="s">
        <v>51</v>
      </c>
      <c r="D267" s="11">
        <v>260</v>
      </c>
      <c r="E267" s="11" t="s">
        <v>52</v>
      </c>
      <c r="F267" s="11" t="str">
        <f>'Guarantees provided'!G261</f>
        <v>599904816264480</v>
      </c>
      <c r="G267" s="11" t="str">
        <f>'Guarantees provided'!A261</f>
        <v>BANCO SANTANDER TOTTA SA</v>
      </c>
      <c r="H267" s="11" t="str">
        <f>IF('Guarantees provided'!B261="#",'Guarantees provided'!C261,'Guarantees provided'!B261)</f>
        <v>549300URJH9VSI58CS32</v>
      </c>
      <c r="I267" s="11" t="str">
        <f>IF('Guarantees provided'!B261="#","Type of identifier, other than LEI or MFI code","LEI code")</f>
        <v>LEI code</v>
      </c>
      <c r="J267" s="14" t="str">
        <f>IF(OR('Guarantees provided'!H261="E",'Guarantees provided'!H261="x"),"True","False")</f>
        <v>False</v>
      </c>
      <c r="K267" s="11" t="s">
        <v>53</v>
      </c>
      <c r="L267" s="11" t="s">
        <v>54</v>
      </c>
      <c r="M267" s="11">
        <f>-'Guarantees provided'!D261</f>
        <v>7676.5</v>
      </c>
      <c r="N267" s="11" t="s">
        <v>55</v>
      </c>
      <c r="O267" s="11">
        <v>0</v>
      </c>
      <c r="P267" s="12" t="s">
        <v>56</v>
      </c>
    </row>
    <row r="268" spans="3:16" ht="23.65" thickBot="1">
      <c r="C268" s="10" t="s">
        <v>51</v>
      </c>
      <c r="D268" s="11">
        <v>261</v>
      </c>
      <c r="E268" s="11" t="s">
        <v>52</v>
      </c>
      <c r="F268" s="11" t="str">
        <f>'Guarantees provided'!G262</f>
        <v>599904816264520</v>
      </c>
      <c r="G268" s="11" t="str">
        <f>'Guarantees provided'!A262</f>
        <v>BANCO SANTANDER TOTTA SA</v>
      </c>
      <c r="H268" s="11" t="str">
        <f>IF('Guarantees provided'!B262="#",'Guarantees provided'!C262,'Guarantees provided'!B262)</f>
        <v>549300URJH9VSI58CS32</v>
      </c>
      <c r="I268" s="11" t="str">
        <f>IF('Guarantees provided'!B262="#","Type of identifier, other than LEI or MFI code","LEI code")</f>
        <v>LEI code</v>
      </c>
      <c r="J268" s="14" t="str">
        <f>IF(OR('Guarantees provided'!H262="E",'Guarantees provided'!H262="x"),"True","False")</f>
        <v>False</v>
      </c>
      <c r="K268" s="11" t="s">
        <v>53</v>
      </c>
      <c r="L268" s="11" t="s">
        <v>54</v>
      </c>
      <c r="M268" s="11">
        <f>-'Guarantees provided'!D262</f>
        <v>16220.91</v>
      </c>
      <c r="N268" s="11" t="s">
        <v>55</v>
      </c>
      <c r="O268" s="11">
        <v>0</v>
      </c>
      <c r="P268" s="12" t="s">
        <v>56</v>
      </c>
    </row>
    <row r="269" spans="3:16" ht="23.65" thickBot="1">
      <c r="C269" s="10" t="s">
        <v>51</v>
      </c>
      <c r="D269" s="11">
        <v>262</v>
      </c>
      <c r="E269" s="11" t="s">
        <v>52</v>
      </c>
      <c r="F269" s="11" t="str">
        <f>'Guarantees provided'!G263</f>
        <v>599904816264670</v>
      </c>
      <c r="G269" s="11" t="str">
        <f>'Guarantees provided'!A263</f>
        <v>BANCO SANTANDER TOTTA SA</v>
      </c>
      <c r="H269" s="11" t="str">
        <f>IF('Guarantees provided'!B263="#",'Guarantees provided'!C263,'Guarantees provided'!B263)</f>
        <v>549300URJH9VSI58CS32</v>
      </c>
      <c r="I269" s="11" t="str">
        <f>IF('Guarantees provided'!B263="#","Type of identifier, other than LEI or MFI code","LEI code")</f>
        <v>LEI code</v>
      </c>
      <c r="J269" s="14" t="str">
        <f>IF(OR('Guarantees provided'!H263="E",'Guarantees provided'!H263="x"),"True","False")</f>
        <v>False</v>
      </c>
      <c r="K269" s="11" t="s">
        <v>53</v>
      </c>
      <c r="L269" s="11" t="s">
        <v>54</v>
      </c>
      <c r="M269" s="11">
        <f>-'Guarantees provided'!D263</f>
        <v>12659.49</v>
      </c>
      <c r="N269" s="11" t="s">
        <v>55</v>
      </c>
      <c r="O269" s="11">
        <v>0</v>
      </c>
      <c r="P269" s="12" t="s">
        <v>56</v>
      </c>
    </row>
    <row r="270" spans="3:16" ht="23.65" thickBot="1">
      <c r="C270" s="10" t="s">
        <v>51</v>
      </c>
      <c r="D270" s="11">
        <v>263</v>
      </c>
      <c r="E270" s="11" t="s">
        <v>52</v>
      </c>
      <c r="F270" s="11" t="str">
        <f>'Guarantees provided'!G264</f>
        <v>599904816264710</v>
      </c>
      <c r="G270" s="11" t="str">
        <f>'Guarantees provided'!A264</f>
        <v>BANCO SANTANDER TOTTA SA</v>
      </c>
      <c r="H270" s="11" t="str">
        <f>IF('Guarantees provided'!B264="#",'Guarantees provided'!C264,'Guarantees provided'!B264)</f>
        <v>549300URJH9VSI58CS32</v>
      </c>
      <c r="I270" s="11" t="str">
        <f>IF('Guarantees provided'!B264="#","Type of identifier, other than LEI or MFI code","LEI code")</f>
        <v>LEI code</v>
      </c>
      <c r="J270" s="14" t="str">
        <f>IF(OR('Guarantees provided'!H264="E",'Guarantees provided'!H264="x"),"True","False")</f>
        <v>False</v>
      </c>
      <c r="K270" s="11" t="s">
        <v>53</v>
      </c>
      <c r="L270" s="11" t="s">
        <v>54</v>
      </c>
      <c r="M270" s="11">
        <f>-'Guarantees provided'!D264</f>
        <v>4309.6099999999997</v>
      </c>
      <c r="N270" s="11" t="s">
        <v>55</v>
      </c>
      <c r="O270" s="11">
        <v>0</v>
      </c>
      <c r="P270" s="12" t="s">
        <v>56</v>
      </c>
    </row>
    <row r="271" spans="3:16" ht="23.65" thickBot="1">
      <c r="C271" s="10" t="s">
        <v>51</v>
      </c>
      <c r="D271" s="11">
        <v>264</v>
      </c>
      <c r="E271" s="11" t="s">
        <v>52</v>
      </c>
      <c r="F271" s="11" t="str">
        <f>'Guarantees provided'!G265</f>
        <v>599904816264860</v>
      </c>
      <c r="G271" s="11" t="str">
        <f>'Guarantees provided'!A265</f>
        <v>BANCO SANTANDER TOTTA SA</v>
      </c>
      <c r="H271" s="11" t="str">
        <f>IF('Guarantees provided'!B265="#",'Guarantees provided'!C265,'Guarantees provided'!B265)</f>
        <v>549300URJH9VSI58CS32</v>
      </c>
      <c r="I271" s="11" t="str">
        <f>IF('Guarantees provided'!B265="#","Type of identifier, other than LEI or MFI code","LEI code")</f>
        <v>LEI code</v>
      </c>
      <c r="J271" s="14" t="str">
        <f>IF(OR('Guarantees provided'!H265="E",'Guarantees provided'!H265="x"),"True","False")</f>
        <v>False</v>
      </c>
      <c r="K271" s="11" t="s">
        <v>53</v>
      </c>
      <c r="L271" s="11" t="s">
        <v>54</v>
      </c>
      <c r="M271" s="11">
        <f>-'Guarantees provided'!D265</f>
        <v>5057.8100000000004</v>
      </c>
      <c r="N271" s="11" t="s">
        <v>55</v>
      </c>
      <c r="O271" s="11">
        <v>0</v>
      </c>
      <c r="P271" s="12" t="s">
        <v>56</v>
      </c>
    </row>
    <row r="272" spans="3:16" ht="23.65" thickBot="1">
      <c r="C272" s="10" t="s">
        <v>51</v>
      </c>
      <c r="D272" s="11">
        <v>265</v>
      </c>
      <c r="E272" s="11" t="s">
        <v>52</v>
      </c>
      <c r="F272" s="11" t="str">
        <f>'Guarantees provided'!G266</f>
        <v>599904816264900</v>
      </c>
      <c r="G272" s="11" t="str">
        <f>'Guarantees provided'!A266</f>
        <v>BANCO SANTANDER TOTTA SA</v>
      </c>
      <c r="H272" s="11" t="str">
        <f>IF('Guarantees provided'!B266="#",'Guarantees provided'!C266,'Guarantees provided'!B266)</f>
        <v>549300URJH9VSI58CS32</v>
      </c>
      <c r="I272" s="11" t="str">
        <f>IF('Guarantees provided'!B266="#","Type of identifier, other than LEI or MFI code","LEI code")</f>
        <v>LEI code</v>
      </c>
      <c r="J272" s="14" t="str">
        <f>IF(OR('Guarantees provided'!H266="E",'Guarantees provided'!H266="x"),"True","False")</f>
        <v>False</v>
      </c>
      <c r="K272" s="11" t="s">
        <v>53</v>
      </c>
      <c r="L272" s="11" t="s">
        <v>54</v>
      </c>
      <c r="M272" s="11">
        <f>-'Guarantees provided'!D266</f>
        <v>16310.69</v>
      </c>
      <c r="N272" s="11" t="s">
        <v>55</v>
      </c>
      <c r="O272" s="11">
        <v>0</v>
      </c>
      <c r="P272" s="12" t="s">
        <v>56</v>
      </c>
    </row>
    <row r="273" spans="3:16" ht="23.65" thickBot="1">
      <c r="C273" s="10" t="s">
        <v>51</v>
      </c>
      <c r="D273" s="11">
        <v>266</v>
      </c>
      <c r="E273" s="11" t="s">
        <v>52</v>
      </c>
      <c r="F273" s="11" t="str">
        <f>'Guarantees provided'!G267</f>
        <v>599904816265050</v>
      </c>
      <c r="G273" s="11" t="str">
        <f>'Guarantees provided'!A267</f>
        <v>BANCO SANTANDER TOTTA SA</v>
      </c>
      <c r="H273" s="11" t="str">
        <f>IF('Guarantees provided'!B267="#",'Guarantees provided'!C267,'Guarantees provided'!B267)</f>
        <v>549300URJH9VSI58CS32</v>
      </c>
      <c r="I273" s="11" t="str">
        <f>IF('Guarantees provided'!B267="#","Type of identifier, other than LEI or MFI code","LEI code")</f>
        <v>LEI code</v>
      </c>
      <c r="J273" s="14" t="str">
        <f>IF(OR('Guarantees provided'!H267="E",'Guarantees provided'!H267="x"),"True","False")</f>
        <v>False</v>
      </c>
      <c r="K273" s="11" t="s">
        <v>53</v>
      </c>
      <c r="L273" s="11" t="s">
        <v>54</v>
      </c>
      <c r="M273" s="11">
        <f>-'Guarantees provided'!D267</f>
        <v>3711.06</v>
      </c>
      <c r="N273" s="11" t="s">
        <v>55</v>
      </c>
      <c r="O273" s="11">
        <v>0</v>
      </c>
      <c r="P273" s="12" t="s">
        <v>56</v>
      </c>
    </row>
    <row r="274" spans="3:16" ht="23.65" thickBot="1">
      <c r="C274" s="10" t="s">
        <v>51</v>
      </c>
      <c r="D274" s="11">
        <v>267</v>
      </c>
      <c r="E274" s="11" t="s">
        <v>52</v>
      </c>
      <c r="F274" s="11" t="str">
        <f>'Guarantees provided'!G268</f>
        <v>599904816265100</v>
      </c>
      <c r="G274" s="11" t="str">
        <f>'Guarantees provided'!A268</f>
        <v>BANCO SANTANDER TOTTA SA</v>
      </c>
      <c r="H274" s="11" t="str">
        <f>IF('Guarantees provided'!B268="#",'Guarantees provided'!C268,'Guarantees provided'!B268)</f>
        <v>549300URJH9VSI58CS32</v>
      </c>
      <c r="I274" s="11" t="str">
        <f>IF('Guarantees provided'!B268="#","Type of identifier, other than LEI or MFI code","LEI code")</f>
        <v>LEI code</v>
      </c>
      <c r="J274" s="14" t="str">
        <f>IF(OR('Guarantees provided'!H268="E",'Guarantees provided'!H268="x"),"True","False")</f>
        <v>False</v>
      </c>
      <c r="K274" s="11" t="s">
        <v>53</v>
      </c>
      <c r="L274" s="11" t="s">
        <v>54</v>
      </c>
      <c r="M274" s="11">
        <f>-'Guarantees provided'!D268</f>
        <v>9367.42</v>
      </c>
      <c r="N274" s="11" t="s">
        <v>55</v>
      </c>
      <c r="O274" s="11">
        <v>0</v>
      </c>
      <c r="P274" s="12" t="s">
        <v>56</v>
      </c>
    </row>
    <row r="275" spans="3:16" ht="23.65" thickBot="1">
      <c r="C275" s="10" t="s">
        <v>51</v>
      </c>
      <c r="D275" s="11">
        <v>268</v>
      </c>
      <c r="E275" s="11" t="s">
        <v>52</v>
      </c>
      <c r="F275" s="11" t="str">
        <f>'Guarantees provided'!G269</f>
        <v>599904816265240</v>
      </c>
      <c r="G275" s="11" t="str">
        <f>'Guarantees provided'!A269</f>
        <v>BANCO SANTANDER TOTTA SA</v>
      </c>
      <c r="H275" s="11" t="str">
        <f>IF('Guarantees provided'!B269="#",'Guarantees provided'!C269,'Guarantees provided'!B269)</f>
        <v>549300URJH9VSI58CS32</v>
      </c>
      <c r="I275" s="11" t="str">
        <f>IF('Guarantees provided'!B269="#","Type of identifier, other than LEI or MFI code","LEI code")</f>
        <v>LEI code</v>
      </c>
      <c r="J275" s="14" t="str">
        <f>IF(OR('Guarantees provided'!H269="E",'Guarantees provided'!H269="x"),"True","False")</f>
        <v>False</v>
      </c>
      <c r="K275" s="11" t="s">
        <v>53</v>
      </c>
      <c r="L275" s="11" t="s">
        <v>54</v>
      </c>
      <c r="M275" s="11">
        <f>-'Guarantees provided'!D269</f>
        <v>9965.98</v>
      </c>
      <c r="N275" s="11" t="s">
        <v>55</v>
      </c>
      <c r="O275" s="11">
        <v>0</v>
      </c>
      <c r="P275" s="12" t="s">
        <v>56</v>
      </c>
    </row>
    <row r="276" spans="3:16" ht="23.65" thickBot="1">
      <c r="C276" s="10" t="s">
        <v>51</v>
      </c>
      <c r="D276" s="11">
        <v>269</v>
      </c>
      <c r="E276" s="11" t="s">
        <v>52</v>
      </c>
      <c r="F276" s="11" t="str">
        <f>'Guarantees provided'!G270</f>
        <v>599904816265390</v>
      </c>
      <c r="G276" s="11" t="str">
        <f>'Guarantees provided'!A270</f>
        <v>BANCO SANTANDER TOTTA SA</v>
      </c>
      <c r="H276" s="11" t="str">
        <f>IF('Guarantees provided'!B270="#",'Guarantees provided'!C270,'Guarantees provided'!B270)</f>
        <v>549300URJH9VSI58CS32</v>
      </c>
      <c r="I276" s="11" t="str">
        <f>IF('Guarantees provided'!B270="#","Type of identifier, other than LEI or MFI code","LEI code")</f>
        <v>LEI code</v>
      </c>
      <c r="J276" s="14" t="str">
        <f>IF(OR('Guarantees provided'!H270="E",'Guarantees provided'!H270="x"),"True","False")</f>
        <v>False</v>
      </c>
      <c r="K276" s="11" t="s">
        <v>53</v>
      </c>
      <c r="L276" s="11" t="s">
        <v>54</v>
      </c>
      <c r="M276" s="11">
        <f>-'Guarantees provided'!D270</f>
        <v>4982.99</v>
      </c>
      <c r="N276" s="11" t="s">
        <v>55</v>
      </c>
      <c r="O276" s="11">
        <v>0</v>
      </c>
      <c r="P276" s="12" t="s">
        <v>56</v>
      </c>
    </row>
    <row r="277" spans="3:16" ht="23.65" thickBot="1">
      <c r="C277" s="10" t="s">
        <v>51</v>
      </c>
      <c r="D277" s="11">
        <v>270</v>
      </c>
      <c r="E277" s="11" t="s">
        <v>52</v>
      </c>
      <c r="F277" s="11" t="str">
        <f>'Guarantees provided'!G271</f>
        <v>599904816265430</v>
      </c>
      <c r="G277" s="11" t="str">
        <f>'Guarantees provided'!A271</f>
        <v>BANCO SANTANDER TOTTA SA</v>
      </c>
      <c r="H277" s="11" t="str">
        <f>IF('Guarantees provided'!B271="#",'Guarantees provided'!C271,'Guarantees provided'!B271)</f>
        <v>549300URJH9VSI58CS32</v>
      </c>
      <c r="I277" s="11" t="str">
        <f>IF('Guarantees provided'!B271="#","Type of identifier, other than LEI or MFI code","LEI code")</f>
        <v>LEI code</v>
      </c>
      <c r="J277" s="14" t="str">
        <f>IF(OR('Guarantees provided'!H271="E",'Guarantees provided'!H271="x"),"True","False")</f>
        <v>False</v>
      </c>
      <c r="K277" s="11" t="s">
        <v>53</v>
      </c>
      <c r="L277" s="11" t="s">
        <v>54</v>
      </c>
      <c r="M277" s="11">
        <f>-'Guarantees provided'!D271</f>
        <v>4608.8900000000003</v>
      </c>
      <c r="N277" s="11" t="s">
        <v>55</v>
      </c>
      <c r="O277" s="11">
        <v>0</v>
      </c>
      <c r="P277" s="12" t="s">
        <v>56</v>
      </c>
    </row>
    <row r="278" spans="3:16" ht="23.65" thickBot="1">
      <c r="C278" s="10" t="s">
        <v>51</v>
      </c>
      <c r="D278" s="11">
        <v>271</v>
      </c>
      <c r="E278" s="11" t="s">
        <v>52</v>
      </c>
      <c r="F278" s="11" t="str">
        <f>'Guarantees provided'!G272</f>
        <v>599904816265580</v>
      </c>
      <c r="G278" s="11" t="str">
        <f>'Guarantees provided'!A272</f>
        <v>BANCO SANTANDER TOTTA SA</v>
      </c>
      <c r="H278" s="11" t="str">
        <f>IF('Guarantees provided'!B272="#",'Guarantees provided'!C272,'Guarantees provided'!B272)</f>
        <v>549300URJH9VSI58CS32</v>
      </c>
      <c r="I278" s="11" t="str">
        <f>IF('Guarantees provided'!B272="#","Type of identifier, other than LEI or MFI code","LEI code")</f>
        <v>LEI code</v>
      </c>
      <c r="J278" s="14" t="str">
        <f>IF(OR('Guarantees provided'!H272="E",'Guarantees provided'!H272="x"),"True","False")</f>
        <v>False</v>
      </c>
      <c r="K278" s="11" t="s">
        <v>53</v>
      </c>
      <c r="L278" s="11" t="s">
        <v>54</v>
      </c>
      <c r="M278" s="11">
        <f>-'Guarantees provided'!D272</f>
        <v>3711.06</v>
      </c>
      <c r="N278" s="11" t="s">
        <v>55</v>
      </c>
      <c r="O278" s="11">
        <v>0</v>
      </c>
      <c r="P278" s="12" t="s">
        <v>56</v>
      </c>
    </row>
    <row r="279" spans="3:16" ht="23.65" thickBot="1">
      <c r="C279" s="10" t="s">
        <v>51</v>
      </c>
      <c r="D279" s="11">
        <v>272</v>
      </c>
      <c r="E279" s="11" t="s">
        <v>52</v>
      </c>
      <c r="F279" s="11" t="str">
        <f>'Guarantees provided'!G273</f>
        <v>599904816265620</v>
      </c>
      <c r="G279" s="11" t="str">
        <f>'Guarantees provided'!A273</f>
        <v>BANCO SANTANDER TOTTA SA</v>
      </c>
      <c r="H279" s="11" t="str">
        <f>IF('Guarantees provided'!B273="#",'Guarantees provided'!C273,'Guarantees provided'!B273)</f>
        <v>549300URJH9VSI58CS32</v>
      </c>
      <c r="I279" s="11" t="str">
        <f>IF('Guarantees provided'!B273="#","Type of identifier, other than LEI or MFI code","LEI code")</f>
        <v>LEI code</v>
      </c>
      <c r="J279" s="14" t="str">
        <f>IF(OR('Guarantees provided'!H273="E",'Guarantees provided'!H273="x"),"True","False")</f>
        <v>False</v>
      </c>
      <c r="K279" s="11" t="s">
        <v>53</v>
      </c>
      <c r="L279" s="11" t="s">
        <v>54</v>
      </c>
      <c r="M279" s="11">
        <f>-'Guarantees provided'!D273</f>
        <v>13482.51</v>
      </c>
      <c r="N279" s="11" t="s">
        <v>55</v>
      </c>
      <c r="O279" s="11">
        <v>0</v>
      </c>
      <c r="P279" s="12" t="s">
        <v>56</v>
      </c>
    </row>
    <row r="280" spans="3:16" ht="23.65" thickBot="1">
      <c r="C280" s="10" t="s">
        <v>51</v>
      </c>
      <c r="D280" s="11">
        <v>273</v>
      </c>
      <c r="E280" s="11" t="s">
        <v>52</v>
      </c>
      <c r="F280" s="11" t="str">
        <f>'Guarantees provided'!G274</f>
        <v>599904816265770</v>
      </c>
      <c r="G280" s="11" t="str">
        <f>'Guarantees provided'!A274</f>
        <v>BANCO SANTANDER TOTTA SA</v>
      </c>
      <c r="H280" s="11" t="str">
        <f>IF('Guarantees provided'!B274="#",'Guarantees provided'!C274,'Guarantees provided'!B274)</f>
        <v>549300URJH9VSI58CS32</v>
      </c>
      <c r="I280" s="11" t="str">
        <f>IF('Guarantees provided'!B274="#","Type of identifier, other than LEI or MFI code","LEI code")</f>
        <v>LEI code</v>
      </c>
      <c r="J280" s="14" t="str">
        <f>IF(OR('Guarantees provided'!H274="E",'Guarantees provided'!H274="x"),"True","False")</f>
        <v>False</v>
      </c>
      <c r="K280" s="11" t="s">
        <v>53</v>
      </c>
      <c r="L280" s="11" t="s">
        <v>54</v>
      </c>
      <c r="M280" s="11">
        <f>-'Guarantees provided'!D274</f>
        <v>32396.92</v>
      </c>
      <c r="N280" s="11" t="s">
        <v>55</v>
      </c>
      <c r="O280" s="11">
        <v>0</v>
      </c>
      <c r="P280" s="12" t="s">
        <v>56</v>
      </c>
    </row>
    <row r="281" spans="3:16" ht="23.65" thickBot="1">
      <c r="C281" s="10" t="s">
        <v>51</v>
      </c>
      <c r="D281" s="11">
        <v>274</v>
      </c>
      <c r="E281" s="11" t="s">
        <v>52</v>
      </c>
      <c r="F281" s="11" t="str">
        <f>'Guarantees provided'!G275</f>
        <v>599904830044470</v>
      </c>
      <c r="G281" s="11" t="str">
        <f>'Guarantees provided'!A275</f>
        <v>BANCO SANTANDER TOTTA SA</v>
      </c>
      <c r="H281" s="11" t="str">
        <f>IF('Guarantees provided'!B275="#",'Guarantees provided'!C275,'Guarantees provided'!B275)</f>
        <v>549300URJH9VSI58CS32</v>
      </c>
      <c r="I281" s="11" t="str">
        <f>IF('Guarantees provided'!B275="#","Type of identifier, other than LEI or MFI code","LEI code")</f>
        <v>LEI code</v>
      </c>
      <c r="J281" s="14" t="str">
        <f>IF(OR('Guarantees provided'!H275="E",'Guarantees provided'!H275="x"),"True","False")</f>
        <v>False</v>
      </c>
      <c r="K281" s="11" t="s">
        <v>53</v>
      </c>
      <c r="L281" s="11" t="s">
        <v>54</v>
      </c>
      <c r="M281" s="11">
        <f>-'Guarantees provided'!D275</f>
        <v>4010.34</v>
      </c>
      <c r="N281" s="11" t="s">
        <v>55</v>
      </c>
      <c r="O281" s="11">
        <v>0</v>
      </c>
      <c r="P281" s="12" t="s">
        <v>56</v>
      </c>
    </row>
    <row r="282" spans="3:16" ht="23.65" thickBot="1">
      <c r="C282" s="10" t="s">
        <v>51</v>
      </c>
      <c r="D282" s="11">
        <v>275</v>
      </c>
      <c r="E282" s="11" t="s">
        <v>52</v>
      </c>
      <c r="F282" s="11" t="str">
        <f>'Guarantees provided'!G276</f>
        <v>599904830058070</v>
      </c>
      <c r="G282" s="11" t="str">
        <f>'Guarantees provided'!A276</f>
        <v>BANCO SANTANDER TOTTA SA</v>
      </c>
      <c r="H282" s="11" t="str">
        <f>IF('Guarantees provided'!B276="#",'Guarantees provided'!C276,'Guarantees provided'!B276)</f>
        <v>549300URJH9VSI58CS32</v>
      </c>
      <c r="I282" s="11" t="str">
        <f>IF('Guarantees provided'!B276="#","Type of identifier, other than LEI or MFI code","LEI code")</f>
        <v>LEI code</v>
      </c>
      <c r="J282" s="14" t="str">
        <f>IF(OR('Guarantees provided'!H276="E",'Guarantees provided'!H276="x"),"True","False")</f>
        <v>False</v>
      </c>
      <c r="K282" s="11" t="s">
        <v>53</v>
      </c>
      <c r="L282" s="11" t="s">
        <v>54</v>
      </c>
      <c r="M282" s="11">
        <f>-'Guarantees provided'!D276</f>
        <v>17238.46</v>
      </c>
      <c r="N282" s="11" t="s">
        <v>55</v>
      </c>
      <c r="O282" s="11">
        <v>0</v>
      </c>
      <c r="P282" s="12" t="s">
        <v>56</v>
      </c>
    </row>
    <row r="283" spans="3:16" ht="23.65" thickBot="1">
      <c r="C283" s="10" t="s">
        <v>51</v>
      </c>
      <c r="D283" s="11">
        <v>276</v>
      </c>
      <c r="E283" s="11" t="s">
        <v>52</v>
      </c>
      <c r="F283" s="11" t="str">
        <f>'Guarantees provided'!G277</f>
        <v>599904830061240</v>
      </c>
      <c r="G283" s="11" t="str">
        <f>'Guarantees provided'!A277</f>
        <v>BANCO SANTANDER TOTTA SA</v>
      </c>
      <c r="H283" s="11" t="str">
        <f>IF('Guarantees provided'!B277="#",'Guarantees provided'!C277,'Guarantees provided'!B277)</f>
        <v>549300URJH9VSI58CS32</v>
      </c>
      <c r="I283" s="11" t="str">
        <f>IF('Guarantees provided'!B277="#","Type of identifier, other than LEI or MFI code","LEI code")</f>
        <v>LEI code</v>
      </c>
      <c r="J283" s="14" t="str">
        <f>IF(OR('Guarantees provided'!H277="E",'Guarantees provided'!H277="x"),"True","False")</f>
        <v>False</v>
      </c>
      <c r="K283" s="11" t="s">
        <v>53</v>
      </c>
      <c r="L283" s="11" t="s">
        <v>54</v>
      </c>
      <c r="M283" s="11">
        <f>-'Guarantees provided'!D277</f>
        <v>8379.7999999999993</v>
      </c>
      <c r="N283" s="11" t="s">
        <v>55</v>
      </c>
      <c r="O283" s="11">
        <v>0</v>
      </c>
      <c r="P283" s="12" t="s">
        <v>56</v>
      </c>
    </row>
    <row r="284" spans="3:16" ht="23.65" thickBot="1">
      <c r="C284" s="10" t="s">
        <v>51</v>
      </c>
      <c r="D284" s="11">
        <v>277</v>
      </c>
      <c r="E284" s="11" t="s">
        <v>52</v>
      </c>
      <c r="F284" s="11" t="str">
        <f>'Guarantees provided'!G278</f>
        <v>599904830084230</v>
      </c>
      <c r="G284" s="11" t="str">
        <f>'Guarantees provided'!A278</f>
        <v>BANCO SANTANDER TOTTA SA</v>
      </c>
      <c r="H284" s="11" t="str">
        <f>IF('Guarantees provided'!B278="#",'Guarantees provided'!C278,'Guarantees provided'!B278)</f>
        <v>549300URJH9VSI58CS32</v>
      </c>
      <c r="I284" s="11" t="str">
        <f>IF('Guarantees provided'!B278="#","Type of identifier, other than LEI or MFI code","LEI code")</f>
        <v>LEI code</v>
      </c>
      <c r="J284" s="14" t="str">
        <f>IF(OR('Guarantees provided'!H278="E",'Guarantees provided'!H278="x"),"True","False")</f>
        <v>False</v>
      </c>
      <c r="K284" s="11" t="s">
        <v>53</v>
      </c>
      <c r="L284" s="11" t="s">
        <v>54</v>
      </c>
      <c r="M284" s="11">
        <f>-'Guarantees provided'!D278</f>
        <v>3935.52</v>
      </c>
      <c r="N284" s="11" t="s">
        <v>55</v>
      </c>
      <c r="O284" s="11">
        <v>0</v>
      </c>
      <c r="P284" s="12" t="s">
        <v>56</v>
      </c>
    </row>
    <row r="285" spans="3:16" ht="23.65" thickBot="1">
      <c r="C285" s="10" t="s">
        <v>51</v>
      </c>
      <c r="D285" s="11">
        <v>278</v>
      </c>
      <c r="E285" s="11" t="s">
        <v>52</v>
      </c>
      <c r="F285" s="11" t="str">
        <f>'Guarantees provided'!G279</f>
        <v>599904830085000</v>
      </c>
      <c r="G285" s="11" t="str">
        <f>'Guarantees provided'!A279</f>
        <v>BANCO SANTANDER TOTTA SA</v>
      </c>
      <c r="H285" s="11" t="str">
        <f>IF('Guarantees provided'!B279="#",'Guarantees provided'!C279,'Guarantees provided'!B279)</f>
        <v>549300URJH9VSI58CS32</v>
      </c>
      <c r="I285" s="11" t="str">
        <f>IF('Guarantees provided'!B279="#","Type of identifier, other than LEI or MFI code","LEI code")</f>
        <v>LEI code</v>
      </c>
      <c r="J285" s="14" t="str">
        <f>IF(OR('Guarantees provided'!H279="E",'Guarantees provided'!H279="x"),"True","False")</f>
        <v>False</v>
      </c>
      <c r="K285" s="11" t="s">
        <v>53</v>
      </c>
      <c r="L285" s="11" t="s">
        <v>54</v>
      </c>
      <c r="M285" s="11">
        <f>-'Guarantees provided'!D279</f>
        <v>9719.08</v>
      </c>
      <c r="N285" s="11" t="s">
        <v>55</v>
      </c>
      <c r="O285" s="11">
        <v>0</v>
      </c>
      <c r="P285" s="12" t="s">
        <v>56</v>
      </c>
    </row>
    <row r="286" spans="3:16" ht="23.65" thickBot="1">
      <c r="C286" s="10" t="s">
        <v>51</v>
      </c>
      <c r="D286" s="11">
        <v>279</v>
      </c>
      <c r="E286" s="11" t="s">
        <v>52</v>
      </c>
      <c r="F286" s="11" t="str">
        <f>'Guarantees provided'!G280</f>
        <v>599904830098020</v>
      </c>
      <c r="G286" s="11" t="str">
        <f>'Guarantees provided'!A280</f>
        <v>BANCO SANTANDER TOTTA SA</v>
      </c>
      <c r="H286" s="11" t="str">
        <f>IF('Guarantees provided'!B280="#",'Guarantees provided'!C280,'Guarantees provided'!B280)</f>
        <v>549300URJH9VSI58CS32</v>
      </c>
      <c r="I286" s="11" t="str">
        <f>IF('Guarantees provided'!B280="#","Type of identifier, other than LEI or MFI code","LEI code")</f>
        <v>LEI code</v>
      </c>
      <c r="J286" s="14" t="str">
        <f>IF(OR('Guarantees provided'!H280="E",'Guarantees provided'!H280="x"),"True","False")</f>
        <v>False</v>
      </c>
      <c r="K286" s="11" t="s">
        <v>53</v>
      </c>
      <c r="L286" s="11" t="s">
        <v>54</v>
      </c>
      <c r="M286" s="11">
        <f>-'Guarantees provided'!D280</f>
        <v>3561.42</v>
      </c>
      <c r="N286" s="11" t="s">
        <v>55</v>
      </c>
      <c r="O286" s="11">
        <v>0</v>
      </c>
      <c r="P286" s="12" t="s">
        <v>56</v>
      </c>
    </row>
    <row r="287" spans="3:16" ht="23.65" thickBot="1">
      <c r="C287" s="10" t="s">
        <v>51</v>
      </c>
      <c r="D287" s="11">
        <v>280</v>
      </c>
      <c r="E287" s="11" t="s">
        <v>52</v>
      </c>
      <c r="F287" s="11" t="str">
        <f>'Guarantees provided'!G281</f>
        <v>599904830098170</v>
      </c>
      <c r="G287" s="11" t="str">
        <f>'Guarantees provided'!A281</f>
        <v>BANCO SANTANDER TOTTA SA</v>
      </c>
      <c r="H287" s="11" t="str">
        <f>IF('Guarantees provided'!B281="#",'Guarantees provided'!C281,'Guarantees provided'!B281)</f>
        <v>549300URJH9VSI58CS32</v>
      </c>
      <c r="I287" s="11" t="str">
        <f>IF('Guarantees provided'!B281="#","Type of identifier, other than LEI or MFI code","LEI code")</f>
        <v>LEI code</v>
      </c>
      <c r="J287" s="14" t="str">
        <f>IF(OR('Guarantees provided'!H281="E",'Guarantees provided'!H281="x"),"True","False")</f>
        <v>False</v>
      </c>
      <c r="K287" s="11" t="s">
        <v>53</v>
      </c>
      <c r="L287" s="11" t="s">
        <v>54</v>
      </c>
      <c r="M287" s="11">
        <f>-'Guarantees provided'!D281</f>
        <v>3711.06</v>
      </c>
      <c r="N287" s="11" t="s">
        <v>55</v>
      </c>
      <c r="O287" s="11">
        <v>0</v>
      </c>
      <c r="P287" s="12" t="s">
        <v>56</v>
      </c>
    </row>
    <row r="288" spans="3:16" ht="23.65" thickBot="1">
      <c r="C288" s="10" t="s">
        <v>51</v>
      </c>
      <c r="D288" s="11">
        <v>281</v>
      </c>
      <c r="E288" s="11" t="s">
        <v>52</v>
      </c>
      <c r="F288" s="11" t="str">
        <f>'Guarantees provided'!G282</f>
        <v>599904830123080</v>
      </c>
      <c r="G288" s="11" t="str">
        <f>'Guarantees provided'!A282</f>
        <v>BANCO SANTANDER TOTTA SA</v>
      </c>
      <c r="H288" s="11" t="str">
        <f>IF('Guarantees provided'!B282="#",'Guarantees provided'!C282,'Guarantees provided'!B282)</f>
        <v>549300URJH9VSI58CS32</v>
      </c>
      <c r="I288" s="11" t="str">
        <f>IF('Guarantees provided'!B282="#","Type of identifier, other than LEI or MFI code","LEI code")</f>
        <v>LEI code</v>
      </c>
      <c r="J288" s="14" t="str">
        <f>IF(OR('Guarantees provided'!H282="E",'Guarantees provided'!H282="x"),"True","False")</f>
        <v>False</v>
      </c>
      <c r="K288" s="11" t="s">
        <v>53</v>
      </c>
      <c r="L288" s="11" t="s">
        <v>54</v>
      </c>
      <c r="M288" s="11">
        <f>-'Guarantees provided'!D282</f>
        <v>5806.01</v>
      </c>
      <c r="N288" s="11" t="s">
        <v>55</v>
      </c>
      <c r="O288" s="11">
        <v>0</v>
      </c>
      <c r="P288" s="12" t="s">
        <v>56</v>
      </c>
    </row>
    <row r="289" spans="3:16" ht="23.65" thickBot="1">
      <c r="C289" s="10" t="s">
        <v>51</v>
      </c>
      <c r="D289" s="11">
        <v>282</v>
      </c>
      <c r="E289" s="11" t="s">
        <v>52</v>
      </c>
      <c r="F289" s="11" t="str">
        <f>'Guarantees provided'!G283</f>
        <v>599904830145540</v>
      </c>
      <c r="G289" s="11" t="str">
        <f>'Guarantees provided'!A283</f>
        <v>BANCO SANTANDER TOTTA SA</v>
      </c>
      <c r="H289" s="11" t="str">
        <f>IF('Guarantees provided'!B283="#",'Guarantees provided'!C283,'Guarantees provided'!B283)</f>
        <v>549300URJH9VSI58CS32</v>
      </c>
      <c r="I289" s="11" t="str">
        <f>IF('Guarantees provided'!B283="#","Type of identifier, other than LEI or MFI code","LEI code")</f>
        <v>LEI code</v>
      </c>
      <c r="J289" s="14" t="str">
        <f>IF(OR('Guarantees provided'!H283="E",'Guarantees provided'!H283="x"),"True","False")</f>
        <v>False</v>
      </c>
      <c r="K289" s="11" t="s">
        <v>53</v>
      </c>
      <c r="L289" s="11" t="s">
        <v>54</v>
      </c>
      <c r="M289" s="11">
        <f>-'Guarantees provided'!D283</f>
        <v>6239.96</v>
      </c>
      <c r="N289" s="11" t="s">
        <v>55</v>
      </c>
      <c r="O289" s="11">
        <v>0</v>
      </c>
      <c r="P289" s="12" t="s">
        <v>56</v>
      </c>
    </row>
    <row r="290" spans="3:16" ht="23.65" thickBot="1">
      <c r="C290" s="10" t="s">
        <v>51</v>
      </c>
      <c r="D290" s="11">
        <v>283</v>
      </c>
      <c r="E290" s="11" t="s">
        <v>52</v>
      </c>
      <c r="F290" s="11" t="str">
        <f>'Guarantees provided'!G284</f>
        <v>599904830182910</v>
      </c>
      <c r="G290" s="11" t="str">
        <f>'Guarantees provided'!A284</f>
        <v>BANCO SANTANDER TOTTA SA</v>
      </c>
      <c r="H290" s="11" t="str">
        <f>IF('Guarantees provided'!B284="#",'Guarantees provided'!C284,'Guarantees provided'!B284)</f>
        <v>549300URJH9VSI58CS32</v>
      </c>
      <c r="I290" s="11" t="str">
        <f>IF('Guarantees provided'!B284="#","Type of identifier, other than LEI or MFI code","LEI code")</f>
        <v>LEI code</v>
      </c>
      <c r="J290" s="14" t="str">
        <f>IF(OR('Guarantees provided'!H284="E",'Guarantees provided'!H284="x"),"True","False")</f>
        <v>False</v>
      </c>
      <c r="K290" s="11" t="s">
        <v>53</v>
      </c>
      <c r="L290" s="11" t="s">
        <v>54</v>
      </c>
      <c r="M290" s="11">
        <f>-'Guarantees provided'!D284</f>
        <v>6629.02</v>
      </c>
      <c r="N290" s="11" t="s">
        <v>55</v>
      </c>
      <c r="O290" s="11">
        <v>0</v>
      </c>
      <c r="P290" s="12" t="s">
        <v>56</v>
      </c>
    </row>
    <row r="291" spans="3:16" ht="23.65" thickBot="1">
      <c r="C291" s="10" t="s">
        <v>51</v>
      </c>
      <c r="D291" s="11">
        <v>284</v>
      </c>
      <c r="E291" s="11" t="s">
        <v>52</v>
      </c>
      <c r="F291" s="11" t="str">
        <f>'Guarantees provided'!G285</f>
        <v>599904830386640</v>
      </c>
      <c r="G291" s="11" t="str">
        <f>'Guarantees provided'!A285</f>
        <v>BANCO SANTANDER TOTTA SA</v>
      </c>
      <c r="H291" s="11" t="str">
        <f>IF('Guarantees provided'!B285="#",'Guarantees provided'!C285,'Guarantees provided'!B285)</f>
        <v>549300URJH9VSI58CS32</v>
      </c>
      <c r="I291" s="11" t="str">
        <f>IF('Guarantees provided'!B285="#","Type of identifier, other than LEI or MFI code","LEI code")</f>
        <v>LEI code</v>
      </c>
      <c r="J291" s="14" t="str">
        <f>IF(OR('Guarantees provided'!H285="E",'Guarantees provided'!H285="x"),"True","False")</f>
        <v>False</v>
      </c>
      <c r="K291" s="11" t="s">
        <v>53</v>
      </c>
      <c r="L291" s="11" t="s">
        <v>54</v>
      </c>
      <c r="M291" s="11">
        <f>-'Guarantees provided'!D285</f>
        <v>3561.42</v>
      </c>
      <c r="N291" s="11" t="s">
        <v>55</v>
      </c>
      <c r="O291" s="11">
        <v>0</v>
      </c>
      <c r="P291" s="12" t="s">
        <v>56</v>
      </c>
    </row>
    <row r="292" spans="3:16" ht="23.65" thickBot="1">
      <c r="C292" s="10" t="s">
        <v>51</v>
      </c>
      <c r="D292" s="11">
        <v>285</v>
      </c>
      <c r="E292" s="11" t="s">
        <v>52</v>
      </c>
      <c r="F292" s="11" t="str">
        <f>'Guarantees provided'!G286</f>
        <v>599904830389560</v>
      </c>
      <c r="G292" s="11" t="str">
        <f>'Guarantees provided'!A286</f>
        <v>BANCO SANTANDER TOTTA SA</v>
      </c>
      <c r="H292" s="11" t="str">
        <f>IF('Guarantees provided'!B286="#",'Guarantees provided'!C286,'Guarantees provided'!B286)</f>
        <v>549300URJH9VSI58CS32</v>
      </c>
      <c r="I292" s="11" t="str">
        <f>IF('Guarantees provided'!B286="#","Type of identifier, other than LEI or MFI code","LEI code")</f>
        <v>LEI code</v>
      </c>
      <c r="J292" s="14" t="str">
        <f>IF(OR('Guarantees provided'!H286="E",'Guarantees provided'!H286="x"),"True","False")</f>
        <v>False</v>
      </c>
      <c r="K292" s="11" t="s">
        <v>53</v>
      </c>
      <c r="L292" s="11" t="s">
        <v>54</v>
      </c>
      <c r="M292" s="11">
        <f>-'Guarantees provided'!D286</f>
        <v>29920.39</v>
      </c>
      <c r="N292" s="11" t="s">
        <v>55</v>
      </c>
      <c r="O292" s="11">
        <v>0</v>
      </c>
      <c r="P292" s="12" t="s">
        <v>56</v>
      </c>
    </row>
    <row r="293" spans="3:16" ht="23.65" thickBot="1">
      <c r="C293" s="10" t="s">
        <v>51</v>
      </c>
      <c r="D293" s="11">
        <v>286</v>
      </c>
      <c r="E293" s="11" t="s">
        <v>52</v>
      </c>
      <c r="F293" s="11" t="str">
        <f>'Guarantees provided'!G287</f>
        <v>599904830395650</v>
      </c>
      <c r="G293" s="11" t="str">
        <f>'Guarantees provided'!A287</f>
        <v>BANCO SANTANDER TOTTA SA</v>
      </c>
      <c r="H293" s="11" t="str">
        <f>IF('Guarantees provided'!B287="#",'Guarantees provided'!C287,'Guarantees provided'!B287)</f>
        <v>549300URJH9VSI58CS32</v>
      </c>
      <c r="I293" s="11" t="str">
        <f>IF('Guarantees provided'!B287="#","Type of identifier, other than LEI or MFI code","LEI code")</f>
        <v>LEI code</v>
      </c>
      <c r="J293" s="14" t="str">
        <f>IF(OR('Guarantees provided'!H287="E",'Guarantees provided'!H287="x"),"True","False")</f>
        <v>False</v>
      </c>
      <c r="K293" s="11" t="s">
        <v>53</v>
      </c>
      <c r="L293" s="11" t="s">
        <v>54</v>
      </c>
      <c r="M293" s="11">
        <f>-'Guarantees provided'!D287</f>
        <v>7137.8</v>
      </c>
      <c r="N293" s="11" t="s">
        <v>55</v>
      </c>
      <c r="O293" s="11">
        <v>0</v>
      </c>
      <c r="P293" s="12" t="s">
        <v>56</v>
      </c>
    </row>
    <row r="294" spans="3:16" ht="23.65" thickBot="1">
      <c r="C294" s="10" t="s">
        <v>51</v>
      </c>
      <c r="D294" s="11">
        <v>287</v>
      </c>
      <c r="E294" s="11" t="s">
        <v>52</v>
      </c>
      <c r="F294" s="11" t="str">
        <f>'Guarantees provided'!G288</f>
        <v>599904830412460</v>
      </c>
      <c r="G294" s="11" t="str">
        <f>'Guarantees provided'!A288</f>
        <v>BANCO SANTANDER TOTTA SA</v>
      </c>
      <c r="H294" s="11" t="str">
        <f>IF('Guarantees provided'!B288="#",'Guarantees provided'!C288,'Guarantees provided'!B288)</f>
        <v>549300URJH9VSI58CS32</v>
      </c>
      <c r="I294" s="11" t="str">
        <f>IF('Guarantees provided'!B288="#","Type of identifier, other than LEI or MFI code","LEI code")</f>
        <v>LEI code</v>
      </c>
      <c r="J294" s="14" t="str">
        <f>IF(OR('Guarantees provided'!H288="E",'Guarantees provided'!H288="x"),"True","False")</f>
        <v>False</v>
      </c>
      <c r="K294" s="11" t="s">
        <v>53</v>
      </c>
      <c r="L294" s="11" t="s">
        <v>54</v>
      </c>
      <c r="M294" s="11">
        <f>-'Guarantees provided'!D288</f>
        <v>59855.75</v>
      </c>
      <c r="N294" s="11" t="s">
        <v>55</v>
      </c>
      <c r="O294" s="11">
        <v>0</v>
      </c>
      <c r="P294" s="12" t="s">
        <v>56</v>
      </c>
    </row>
    <row r="295" spans="3:16" ht="23.65" thickBot="1">
      <c r="C295" s="10" t="s">
        <v>51</v>
      </c>
      <c r="D295" s="11">
        <v>288</v>
      </c>
      <c r="E295" s="11" t="s">
        <v>52</v>
      </c>
      <c r="F295" s="11" t="str">
        <f>'Guarantees provided'!G289</f>
        <v>599904830441010</v>
      </c>
      <c r="G295" s="11" t="str">
        <f>'Guarantees provided'!A289</f>
        <v>BANCO SANTANDER TOTTA SA</v>
      </c>
      <c r="H295" s="11" t="str">
        <f>IF('Guarantees provided'!B289="#",'Guarantees provided'!C289,'Guarantees provided'!B289)</f>
        <v>549300URJH9VSI58CS32</v>
      </c>
      <c r="I295" s="11" t="str">
        <f>IF('Guarantees provided'!B289="#","Type of identifier, other than LEI or MFI code","LEI code")</f>
        <v>LEI code</v>
      </c>
      <c r="J295" s="14" t="str">
        <f>IF(OR('Guarantees provided'!H289="E",'Guarantees provided'!H289="x"),"True","False")</f>
        <v>False</v>
      </c>
      <c r="K295" s="11" t="s">
        <v>53</v>
      </c>
      <c r="L295" s="11" t="s">
        <v>54</v>
      </c>
      <c r="M295" s="11">
        <f>-'Guarantees provided'!D289</f>
        <v>6329.75</v>
      </c>
      <c r="N295" s="11" t="s">
        <v>55</v>
      </c>
      <c r="O295" s="11">
        <v>0</v>
      </c>
      <c r="P295" s="12" t="s">
        <v>56</v>
      </c>
    </row>
    <row r="296" spans="3:16" ht="23.65" thickBot="1">
      <c r="C296" s="10" t="s">
        <v>51</v>
      </c>
      <c r="D296" s="11">
        <v>289</v>
      </c>
      <c r="E296" s="11" t="s">
        <v>52</v>
      </c>
      <c r="F296" s="11" t="str">
        <f>'Guarantees provided'!G290</f>
        <v>599904830441160</v>
      </c>
      <c r="G296" s="11" t="str">
        <f>'Guarantees provided'!A290</f>
        <v>BANCO SANTANDER TOTTA SA</v>
      </c>
      <c r="H296" s="11" t="str">
        <f>IF('Guarantees provided'!B290="#",'Guarantees provided'!C290,'Guarantees provided'!B290)</f>
        <v>549300URJH9VSI58CS32</v>
      </c>
      <c r="I296" s="11" t="str">
        <f>IF('Guarantees provided'!B290="#","Type of identifier, other than LEI or MFI code","LEI code")</f>
        <v>LEI code</v>
      </c>
      <c r="J296" s="14" t="str">
        <f>IF(OR('Guarantees provided'!H290="E",'Guarantees provided'!H290="x"),"True","False")</f>
        <v>False</v>
      </c>
      <c r="K296" s="11" t="s">
        <v>53</v>
      </c>
      <c r="L296" s="11" t="s">
        <v>54</v>
      </c>
      <c r="M296" s="11">
        <f>-'Guarantees provided'!D290</f>
        <v>8918.51</v>
      </c>
      <c r="N296" s="11" t="s">
        <v>55</v>
      </c>
      <c r="O296" s="11">
        <v>0</v>
      </c>
      <c r="P296" s="12" t="s">
        <v>56</v>
      </c>
    </row>
    <row r="297" spans="3:16" ht="23.65" thickBot="1">
      <c r="C297" s="10" t="s">
        <v>51</v>
      </c>
      <c r="D297" s="11">
        <v>290</v>
      </c>
      <c r="E297" s="11" t="s">
        <v>52</v>
      </c>
      <c r="F297" s="11" t="str">
        <f>'Guarantees provided'!G291</f>
        <v>599904830441200</v>
      </c>
      <c r="G297" s="11" t="str">
        <f>'Guarantees provided'!A291</f>
        <v>BANCO SANTANDER TOTTA SA</v>
      </c>
      <c r="H297" s="11" t="str">
        <f>IF('Guarantees provided'!B291="#",'Guarantees provided'!C291,'Guarantees provided'!B291)</f>
        <v>549300URJH9VSI58CS32</v>
      </c>
      <c r="I297" s="11" t="str">
        <f>IF('Guarantees provided'!B291="#","Type of identifier, other than LEI or MFI code","LEI code")</f>
        <v>LEI code</v>
      </c>
      <c r="J297" s="14" t="str">
        <f>IF(OR('Guarantees provided'!H291="E",'Guarantees provided'!H291="x"),"True","False")</f>
        <v>False</v>
      </c>
      <c r="K297" s="11" t="s">
        <v>53</v>
      </c>
      <c r="L297" s="11" t="s">
        <v>54</v>
      </c>
      <c r="M297" s="11">
        <f>-'Guarantees provided'!D291</f>
        <v>3711.06</v>
      </c>
      <c r="N297" s="11" t="s">
        <v>55</v>
      </c>
      <c r="O297" s="11">
        <v>0</v>
      </c>
      <c r="P297" s="12" t="s">
        <v>56</v>
      </c>
    </row>
    <row r="298" spans="3:16" ht="23.65" thickBot="1">
      <c r="C298" s="10" t="s">
        <v>51</v>
      </c>
      <c r="D298" s="11">
        <v>291</v>
      </c>
      <c r="E298" s="11" t="s">
        <v>52</v>
      </c>
      <c r="F298" s="11" t="str">
        <f>'Guarantees provided'!G292</f>
        <v>599904830508690</v>
      </c>
      <c r="G298" s="11" t="str">
        <f>'Guarantees provided'!A292</f>
        <v>BANCO SANTANDER TOTTA SA</v>
      </c>
      <c r="H298" s="11" t="str">
        <f>IF('Guarantees provided'!B292="#",'Guarantees provided'!C292,'Guarantees provided'!B292)</f>
        <v>549300URJH9VSI58CS32</v>
      </c>
      <c r="I298" s="11" t="str">
        <f>IF('Guarantees provided'!B292="#","Type of identifier, other than LEI or MFI code","LEI code")</f>
        <v>LEI code</v>
      </c>
      <c r="J298" s="14" t="str">
        <f>IF(OR('Guarantees provided'!H292="E",'Guarantees provided'!H292="x"),"True","False")</f>
        <v>False</v>
      </c>
      <c r="K298" s="11" t="s">
        <v>53</v>
      </c>
      <c r="L298" s="11" t="s">
        <v>54</v>
      </c>
      <c r="M298" s="11">
        <f>-'Guarantees provided'!D292</f>
        <v>3935.52</v>
      </c>
      <c r="N298" s="11" t="s">
        <v>55</v>
      </c>
      <c r="O298" s="11">
        <v>0</v>
      </c>
      <c r="P298" s="12" t="s">
        <v>56</v>
      </c>
    </row>
    <row r="299" spans="3:16" ht="23.65" thickBot="1">
      <c r="C299" s="10" t="s">
        <v>51</v>
      </c>
      <c r="D299" s="11">
        <v>292</v>
      </c>
      <c r="E299" s="11" t="s">
        <v>52</v>
      </c>
      <c r="F299" s="11" t="str">
        <f>'Guarantees provided'!G293</f>
        <v>599904830543900</v>
      </c>
      <c r="G299" s="11" t="str">
        <f>'Guarantees provided'!A293</f>
        <v>BANCO SANTANDER TOTTA SA</v>
      </c>
      <c r="H299" s="11" t="str">
        <f>IF('Guarantees provided'!B293="#",'Guarantees provided'!C293,'Guarantees provided'!B293)</f>
        <v>549300URJH9VSI58CS32</v>
      </c>
      <c r="I299" s="11" t="str">
        <f>IF('Guarantees provided'!B293="#","Type of identifier, other than LEI or MFI code","LEI code")</f>
        <v>LEI code</v>
      </c>
      <c r="J299" s="14" t="str">
        <f>IF(OR('Guarantees provided'!H293="E",'Guarantees provided'!H293="x"),"True","False")</f>
        <v>False</v>
      </c>
      <c r="K299" s="11" t="s">
        <v>53</v>
      </c>
      <c r="L299" s="11" t="s">
        <v>54</v>
      </c>
      <c r="M299" s="11">
        <f>-'Guarantees provided'!D293</f>
        <v>3935.52</v>
      </c>
      <c r="N299" s="11" t="s">
        <v>55</v>
      </c>
      <c r="O299" s="11">
        <v>0</v>
      </c>
      <c r="P299" s="12" t="s">
        <v>56</v>
      </c>
    </row>
    <row r="300" spans="3:16" ht="23.65" thickBot="1">
      <c r="C300" s="10" t="s">
        <v>51</v>
      </c>
      <c r="D300" s="11">
        <v>293</v>
      </c>
      <c r="E300" s="11" t="s">
        <v>52</v>
      </c>
      <c r="F300" s="11" t="str">
        <f>'Guarantees provided'!G294</f>
        <v>599904830601490</v>
      </c>
      <c r="G300" s="11" t="str">
        <f>'Guarantees provided'!A294</f>
        <v>BANCO SANTANDER TOTTA SA</v>
      </c>
      <c r="H300" s="11" t="str">
        <f>IF('Guarantees provided'!B294="#",'Guarantees provided'!C294,'Guarantees provided'!B294)</f>
        <v>549300URJH9VSI58CS32</v>
      </c>
      <c r="I300" s="11" t="str">
        <f>IF('Guarantees provided'!B294="#","Type of identifier, other than LEI or MFI code","LEI code")</f>
        <v>LEI code</v>
      </c>
      <c r="J300" s="14" t="str">
        <f>IF(OR('Guarantees provided'!H294="E",'Guarantees provided'!H294="x"),"True","False")</f>
        <v>False</v>
      </c>
      <c r="K300" s="11" t="s">
        <v>53</v>
      </c>
      <c r="L300" s="11" t="s">
        <v>54</v>
      </c>
      <c r="M300" s="11">
        <f>-'Guarantees provided'!D294</f>
        <v>11402.52</v>
      </c>
      <c r="N300" s="11" t="s">
        <v>55</v>
      </c>
      <c r="O300" s="11">
        <v>0</v>
      </c>
      <c r="P300" s="12" t="s">
        <v>56</v>
      </c>
    </row>
    <row r="301" spans="3:16" ht="23.65" thickBot="1">
      <c r="C301" s="10" t="s">
        <v>51</v>
      </c>
      <c r="D301" s="11">
        <v>294</v>
      </c>
      <c r="E301" s="11" t="s">
        <v>52</v>
      </c>
      <c r="F301" s="11" t="str">
        <f>'Guarantees provided'!G295</f>
        <v>599904830632240</v>
      </c>
      <c r="G301" s="11" t="str">
        <f>'Guarantees provided'!A295</f>
        <v>BANCO SANTANDER TOTTA SA</v>
      </c>
      <c r="H301" s="11" t="str">
        <f>IF('Guarantees provided'!B295="#",'Guarantees provided'!C295,'Guarantees provided'!B295)</f>
        <v>549300URJH9VSI58CS32</v>
      </c>
      <c r="I301" s="11" t="str">
        <f>IF('Guarantees provided'!B295="#","Type of identifier, other than LEI or MFI code","LEI code")</f>
        <v>LEI code</v>
      </c>
      <c r="J301" s="14" t="str">
        <f>IF(OR('Guarantees provided'!H295="E",'Guarantees provided'!H295="x"),"True","False")</f>
        <v>False</v>
      </c>
      <c r="K301" s="11" t="s">
        <v>53</v>
      </c>
      <c r="L301" s="11" t="s">
        <v>54</v>
      </c>
      <c r="M301" s="11">
        <f>-'Guarantees provided'!D295</f>
        <v>5282.27</v>
      </c>
      <c r="N301" s="11" t="s">
        <v>55</v>
      </c>
      <c r="O301" s="11">
        <v>0</v>
      </c>
      <c r="P301" s="12" t="s">
        <v>56</v>
      </c>
    </row>
    <row r="302" spans="3:16" ht="23.65" thickBot="1">
      <c r="C302" s="10" t="s">
        <v>51</v>
      </c>
      <c r="D302" s="11">
        <v>295</v>
      </c>
      <c r="E302" s="11" t="s">
        <v>52</v>
      </c>
      <c r="F302" s="11" t="str">
        <f>'Guarantees provided'!G296</f>
        <v>599904830652990</v>
      </c>
      <c r="G302" s="11" t="str">
        <f>'Guarantees provided'!A296</f>
        <v>BANCO SANTANDER TOTTA SA</v>
      </c>
      <c r="H302" s="11" t="str">
        <f>IF('Guarantees provided'!B296="#",'Guarantees provided'!C296,'Guarantees provided'!B296)</f>
        <v>549300URJH9VSI58CS32</v>
      </c>
      <c r="I302" s="11" t="str">
        <f>IF('Guarantees provided'!B296="#","Type of identifier, other than LEI or MFI code","LEI code")</f>
        <v>LEI code</v>
      </c>
      <c r="J302" s="14" t="str">
        <f>IF(OR('Guarantees provided'!H296="E",'Guarantees provided'!H296="x"),"True","False")</f>
        <v>False</v>
      </c>
      <c r="K302" s="11" t="s">
        <v>53</v>
      </c>
      <c r="L302" s="11" t="s">
        <v>54</v>
      </c>
      <c r="M302" s="11">
        <f>-'Guarantees provided'!D296</f>
        <v>3711.06</v>
      </c>
      <c r="N302" s="11" t="s">
        <v>55</v>
      </c>
      <c r="O302" s="11">
        <v>0</v>
      </c>
      <c r="P302" s="12" t="s">
        <v>56</v>
      </c>
    </row>
    <row r="303" spans="3:16" ht="23.65" thickBot="1">
      <c r="C303" s="10" t="s">
        <v>51</v>
      </c>
      <c r="D303" s="11">
        <v>296</v>
      </c>
      <c r="E303" s="11" t="s">
        <v>52</v>
      </c>
      <c r="F303" s="11" t="str">
        <f>'Guarantees provided'!G297</f>
        <v>599904830658490</v>
      </c>
      <c r="G303" s="11" t="str">
        <f>'Guarantees provided'!A297</f>
        <v>BANCO SANTANDER TOTTA SA</v>
      </c>
      <c r="H303" s="11" t="str">
        <f>IF('Guarantees provided'!B297="#",'Guarantees provided'!C297,'Guarantees provided'!B297)</f>
        <v>549300URJH9VSI58CS32</v>
      </c>
      <c r="I303" s="11" t="str">
        <f>IF('Guarantees provided'!B297="#","Type of identifier, other than LEI or MFI code","LEI code")</f>
        <v>LEI code</v>
      </c>
      <c r="J303" s="14" t="str">
        <f>IF(OR('Guarantees provided'!H297="E",'Guarantees provided'!H297="x"),"True","False")</f>
        <v>False</v>
      </c>
      <c r="K303" s="11" t="s">
        <v>53</v>
      </c>
      <c r="L303" s="11" t="s">
        <v>54</v>
      </c>
      <c r="M303" s="11">
        <f>-'Guarantees provided'!D297</f>
        <v>5656.37</v>
      </c>
      <c r="N303" s="11" t="s">
        <v>55</v>
      </c>
      <c r="O303" s="11">
        <v>0</v>
      </c>
      <c r="P303" s="12" t="s">
        <v>56</v>
      </c>
    </row>
    <row r="304" spans="3:16" ht="23.65" thickBot="1">
      <c r="C304" s="10" t="s">
        <v>51</v>
      </c>
      <c r="D304" s="11">
        <v>297</v>
      </c>
      <c r="E304" s="11" t="s">
        <v>52</v>
      </c>
      <c r="F304" s="11" t="str">
        <f>'Guarantees provided'!G298</f>
        <v>599904830658530</v>
      </c>
      <c r="G304" s="11" t="str">
        <f>'Guarantees provided'!A298</f>
        <v>BANCO SANTANDER TOTTA SA</v>
      </c>
      <c r="H304" s="11" t="str">
        <f>IF('Guarantees provided'!B298="#",'Guarantees provided'!C298,'Guarantees provided'!B298)</f>
        <v>549300URJH9VSI58CS32</v>
      </c>
      <c r="I304" s="11" t="str">
        <f>IF('Guarantees provided'!B298="#","Type of identifier, other than LEI or MFI code","LEI code")</f>
        <v>LEI code</v>
      </c>
      <c r="J304" s="14" t="str">
        <f>IF(OR('Guarantees provided'!H298="E",'Guarantees provided'!H298="x"),"True","False")</f>
        <v>False</v>
      </c>
      <c r="K304" s="11" t="s">
        <v>53</v>
      </c>
      <c r="L304" s="11" t="s">
        <v>54</v>
      </c>
      <c r="M304" s="11">
        <f>-'Guarantees provided'!D298</f>
        <v>3785.88</v>
      </c>
      <c r="N304" s="11" t="s">
        <v>55</v>
      </c>
      <c r="O304" s="11">
        <v>0</v>
      </c>
      <c r="P304" s="12" t="s">
        <v>56</v>
      </c>
    </row>
    <row r="305" spans="3:16" ht="23.65" thickBot="1">
      <c r="C305" s="10" t="s">
        <v>51</v>
      </c>
      <c r="D305" s="11">
        <v>298</v>
      </c>
      <c r="E305" s="11" t="s">
        <v>52</v>
      </c>
      <c r="F305" s="11" t="str">
        <f>'Guarantees provided'!G299</f>
        <v>599904830686130</v>
      </c>
      <c r="G305" s="11" t="str">
        <f>'Guarantees provided'!A299</f>
        <v>BANCO SANTANDER TOTTA SA</v>
      </c>
      <c r="H305" s="11" t="str">
        <f>IF('Guarantees provided'!B299="#",'Guarantees provided'!C299,'Guarantees provided'!B299)</f>
        <v>549300URJH9VSI58CS32</v>
      </c>
      <c r="I305" s="11" t="str">
        <f>IF('Guarantees provided'!B299="#","Type of identifier, other than LEI or MFI code","LEI code")</f>
        <v>LEI code</v>
      </c>
      <c r="J305" s="14" t="str">
        <f>IF(OR('Guarantees provided'!H299="E",'Guarantees provided'!H299="x"),"True","False")</f>
        <v>False</v>
      </c>
      <c r="K305" s="11" t="s">
        <v>53</v>
      </c>
      <c r="L305" s="11" t="s">
        <v>54</v>
      </c>
      <c r="M305" s="11">
        <f>-'Guarantees provided'!D299</f>
        <v>18270.97</v>
      </c>
      <c r="N305" s="11" t="s">
        <v>55</v>
      </c>
      <c r="O305" s="11">
        <v>0</v>
      </c>
      <c r="P305" s="12" t="s">
        <v>56</v>
      </c>
    </row>
    <row r="306" spans="3:16" ht="23.65" thickBot="1">
      <c r="C306" s="10" t="s">
        <v>51</v>
      </c>
      <c r="D306" s="11">
        <v>299</v>
      </c>
      <c r="E306" s="11" t="s">
        <v>52</v>
      </c>
      <c r="F306" s="11" t="str">
        <f>'Guarantees provided'!G300</f>
        <v>599904830809470</v>
      </c>
      <c r="G306" s="11" t="str">
        <f>'Guarantees provided'!A300</f>
        <v>BANCO SANTANDER TOTTA SA</v>
      </c>
      <c r="H306" s="11" t="str">
        <f>IF('Guarantees provided'!B300="#",'Guarantees provided'!C300,'Guarantees provided'!B300)</f>
        <v>549300URJH9VSI58CS32</v>
      </c>
      <c r="I306" s="11" t="str">
        <f>IF('Guarantees provided'!B300="#","Type of identifier, other than LEI or MFI code","LEI code")</f>
        <v>LEI code</v>
      </c>
      <c r="J306" s="14" t="str">
        <f>IF(OR('Guarantees provided'!H300="E",'Guarantees provided'!H300="x"),"True","False")</f>
        <v>False</v>
      </c>
      <c r="K306" s="11" t="s">
        <v>53</v>
      </c>
      <c r="L306" s="11" t="s">
        <v>54</v>
      </c>
      <c r="M306" s="11">
        <f>-'Guarantees provided'!D300</f>
        <v>6030.47</v>
      </c>
      <c r="N306" s="11" t="s">
        <v>55</v>
      </c>
      <c r="O306" s="11">
        <v>0</v>
      </c>
      <c r="P306" s="12" t="s">
        <v>56</v>
      </c>
    </row>
    <row r="307" spans="3:16" ht="23.65" thickBot="1">
      <c r="C307" s="10" t="s">
        <v>51</v>
      </c>
      <c r="D307" s="11">
        <v>300</v>
      </c>
      <c r="E307" s="11" t="s">
        <v>52</v>
      </c>
      <c r="F307" s="11" t="str">
        <f>'Guarantees provided'!G301</f>
        <v>599904830905040</v>
      </c>
      <c r="G307" s="11" t="str">
        <f>'Guarantees provided'!A301</f>
        <v>BANCO SANTANDER TOTTA SA</v>
      </c>
      <c r="H307" s="11" t="str">
        <f>IF('Guarantees provided'!B301="#",'Guarantees provided'!C301,'Guarantees provided'!B301)</f>
        <v>549300URJH9VSI58CS32</v>
      </c>
      <c r="I307" s="11" t="str">
        <f>IF('Guarantees provided'!B301="#","Type of identifier, other than LEI or MFI code","LEI code")</f>
        <v>LEI code</v>
      </c>
      <c r="J307" s="14" t="str">
        <f>IF(OR('Guarantees provided'!H301="E",'Guarantees provided'!H301="x"),"True","False")</f>
        <v>False</v>
      </c>
      <c r="K307" s="11" t="s">
        <v>53</v>
      </c>
      <c r="L307" s="11" t="s">
        <v>54</v>
      </c>
      <c r="M307" s="11">
        <f>-'Guarantees provided'!D301</f>
        <v>4733.59</v>
      </c>
      <c r="N307" s="11" t="s">
        <v>55</v>
      </c>
      <c r="O307" s="11">
        <v>0</v>
      </c>
      <c r="P307" s="12" t="s">
        <v>56</v>
      </c>
    </row>
    <row r="308" spans="3:16" ht="23.65" thickBot="1">
      <c r="C308" s="10" t="s">
        <v>51</v>
      </c>
      <c r="D308" s="11">
        <v>301</v>
      </c>
      <c r="E308" s="11" t="s">
        <v>52</v>
      </c>
      <c r="F308" s="11" t="str">
        <f>'Guarantees provided'!G302</f>
        <v>599904830926210</v>
      </c>
      <c r="G308" s="11" t="str">
        <f>'Guarantees provided'!A302</f>
        <v>BANCO SANTANDER TOTTA SA</v>
      </c>
      <c r="H308" s="11" t="str">
        <f>IF('Guarantees provided'!B302="#",'Guarantees provided'!C302,'Guarantees provided'!B302)</f>
        <v>549300URJH9VSI58CS32</v>
      </c>
      <c r="I308" s="11" t="str">
        <f>IF('Guarantees provided'!B302="#","Type of identifier, other than LEI or MFI code","LEI code")</f>
        <v>LEI code</v>
      </c>
      <c r="J308" s="14" t="str">
        <f>IF(OR('Guarantees provided'!H302="E",'Guarantees provided'!H302="x"),"True","False")</f>
        <v>False</v>
      </c>
      <c r="K308" s="11" t="s">
        <v>53</v>
      </c>
      <c r="L308" s="11" t="s">
        <v>54</v>
      </c>
      <c r="M308" s="11">
        <f>-'Guarantees provided'!D302</f>
        <v>3262.14</v>
      </c>
      <c r="N308" s="11" t="s">
        <v>55</v>
      </c>
      <c r="O308" s="11">
        <v>0</v>
      </c>
      <c r="P308" s="12" t="s">
        <v>56</v>
      </c>
    </row>
    <row r="309" spans="3:16" ht="23.65" thickBot="1">
      <c r="C309" s="10" t="s">
        <v>51</v>
      </c>
      <c r="D309" s="11">
        <v>302</v>
      </c>
      <c r="E309" s="11" t="s">
        <v>52</v>
      </c>
      <c r="F309" s="11" t="str">
        <f>'Guarantees provided'!G303</f>
        <v>599904830936470</v>
      </c>
      <c r="G309" s="11" t="str">
        <f>'Guarantees provided'!A303</f>
        <v>BANCO SANTANDER TOTTA SA</v>
      </c>
      <c r="H309" s="11" t="str">
        <f>IF('Guarantees provided'!B303="#",'Guarantees provided'!C303,'Guarantees provided'!B303)</f>
        <v>549300URJH9VSI58CS32</v>
      </c>
      <c r="I309" s="11" t="str">
        <f>IF('Guarantees provided'!B303="#","Type of identifier, other than LEI or MFI code","LEI code")</f>
        <v>LEI code</v>
      </c>
      <c r="J309" s="14" t="str">
        <f>IF(OR('Guarantees provided'!H303="E",'Guarantees provided'!H303="x"),"True","False")</f>
        <v>False</v>
      </c>
      <c r="K309" s="11" t="s">
        <v>53</v>
      </c>
      <c r="L309" s="11" t="s">
        <v>54</v>
      </c>
      <c r="M309" s="11">
        <f>-'Guarantees provided'!D303</f>
        <v>3411.78</v>
      </c>
      <c r="N309" s="11" t="s">
        <v>55</v>
      </c>
      <c r="O309" s="11">
        <v>0</v>
      </c>
      <c r="P309" s="12" t="s">
        <v>56</v>
      </c>
    </row>
    <row r="310" spans="3:16" ht="23.65" thickBot="1">
      <c r="C310" s="10" t="s">
        <v>51</v>
      </c>
      <c r="D310" s="11">
        <v>303</v>
      </c>
      <c r="E310" s="11" t="s">
        <v>52</v>
      </c>
      <c r="F310" s="11" t="str">
        <f>'Guarantees provided'!G304</f>
        <v>599904830971830</v>
      </c>
      <c r="G310" s="11" t="str">
        <f>'Guarantees provided'!A304</f>
        <v>BANCO SANTANDER TOTTA SA</v>
      </c>
      <c r="H310" s="11" t="str">
        <f>IF('Guarantees provided'!B304="#",'Guarantees provided'!C304,'Guarantees provided'!B304)</f>
        <v>549300URJH9VSI58CS32</v>
      </c>
      <c r="I310" s="11" t="str">
        <f>IF('Guarantees provided'!B304="#","Type of identifier, other than LEI or MFI code","LEI code")</f>
        <v>LEI code</v>
      </c>
      <c r="J310" s="14" t="str">
        <f>IF(OR('Guarantees provided'!H304="E",'Guarantees provided'!H304="x"),"True","False")</f>
        <v>False</v>
      </c>
      <c r="K310" s="11" t="s">
        <v>53</v>
      </c>
      <c r="L310" s="11" t="s">
        <v>54</v>
      </c>
      <c r="M310" s="11">
        <f>-'Guarantees provided'!D304</f>
        <v>18270.97</v>
      </c>
      <c r="N310" s="11" t="s">
        <v>55</v>
      </c>
      <c r="O310" s="11">
        <v>0</v>
      </c>
      <c r="P310" s="12" t="s">
        <v>56</v>
      </c>
    </row>
    <row r="311" spans="3:16" ht="23.65" thickBot="1">
      <c r="C311" s="10" t="s">
        <v>51</v>
      </c>
      <c r="D311" s="11">
        <v>304</v>
      </c>
      <c r="E311" s="11" t="s">
        <v>52</v>
      </c>
      <c r="F311" s="11" t="str">
        <f>'Guarantees provided'!G305</f>
        <v>599904831017190</v>
      </c>
      <c r="G311" s="11" t="str">
        <f>'Guarantees provided'!A305</f>
        <v>BANCO SANTANDER TOTTA SA</v>
      </c>
      <c r="H311" s="11" t="str">
        <f>IF('Guarantees provided'!B305="#",'Guarantees provided'!C305,'Guarantees provided'!B305)</f>
        <v>549300URJH9VSI58CS32</v>
      </c>
      <c r="I311" s="11" t="str">
        <f>IF('Guarantees provided'!B305="#","Type of identifier, other than LEI or MFI code","LEI code")</f>
        <v>LEI code</v>
      </c>
      <c r="J311" s="14" t="str">
        <f>IF(OR('Guarantees provided'!H305="E",'Guarantees provided'!H305="x"),"True","False")</f>
        <v>False</v>
      </c>
      <c r="K311" s="11" t="s">
        <v>53</v>
      </c>
      <c r="L311" s="11" t="s">
        <v>54</v>
      </c>
      <c r="M311" s="11">
        <f>-'Guarantees provided'!D305</f>
        <v>4159.97</v>
      </c>
      <c r="N311" s="11" t="s">
        <v>55</v>
      </c>
      <c r="O311" s="11">
        <v>0</v>
      </c>
      <c r="P311" s="12" t="s">
        <v>56</v>
      </c>
    </row>
    <row r="312" spans="3:16" ht="23.65" thickBot="1">
      <c r="C312" s="10" t="s">
        <v>51</v>
      </c>
      <c r="D312" s="11">
        <v>305</v>
      </c>
      <c r="E312" s="11" t="s">
        <v>52</v>
      </c>
      <c r="F312" s="11" t="str">
        <f>'Guarantees provided'!G306</f>
        <v>599904831095190</v>
      </c>
      <c r="G312" s="11" t="str">
        <f>'Guarantees provided'!A306</f>
        <v>BANCO SANTANDER TOTTA SA</v>
      </c>
      <c r="H312" s="11" t="str">
        <f>IF('Guarantees provided'!B306="#",'Guarantees provided'!C306,'Guarantees provided'!B306)</f>
        <v>549300URJH9VSI58CS32</v>
      </c>
      <c r="I312" s="11" t="str">
        <f>IF('Guarantees provided'!B306="#","Type of identifier, other than LEI or MFI code","LEI code")</f>
        <v>LEI code</v>
      </c>
      <c r="J312" s="14" t="str">
        <f>IF(OR('Guarantees provided'!H306="E",'Guarantees provided'!H306="x"),"True","False")</f>
        <v>False</v>
      </c>
      <c r="K312" s="11" t="s">
        <v>53</v>
      </c>
      <c r="L312" s="11" t="s">
        <v>54</v>
      </c>
      <c r="M312" s="11">
        <f>-'Guarantees provided'!D306</f>
        <v>4309.6099999999997</v>
      </c>
      <c r="N312" s="11" t="s">
        <v>55</v>
      </c>
      <c r="O312" s="11">
        <v>0</v>
      </c>
      <c r="P312" s="12" t="s">
        <v>56</v>
      </c>
    </row>
    <row r="313" spans="3:16" ht="23.65" thickBot="1">
      <c r="C313" s="10" t="s">
        <v>51</v>
      </c>
      <c r="D313" s="11">
        <v>306</v>
      </c>
      <c r="E313" s="11" t="s">
        <v>52</v>
      </c>
      <c r="F313" s="11" t="str">
        <f>'Guarantees provided'!G307</f>
        <v>599904831108000</v>
      </c>
      <c r="G313" s="11" t="str">
        <f>'Guarantees provided'!A307</f>
        <v>BANCO SANTANDER TOTTA SA</v>
      </c>
      <c r="H313" s="11" t="str">
        <f>IF('Guarantees provided'!B307="#",'Guarantees provided'!C307,'Guarantees provided'!B307)</f>
        <v>549300URJH9VSI58CS32</v>
      </c>
      <c r="I313" s="11" t="str">
        <f>IF('Guarantees provided'!B307="#","Type of identifier, other than LEI or MFI code","LEI code")</f>
        <v>LEI code</v>
      </c>
      <c r="J313" s="14" t="str">
        <f>IF(OR('Guarantees provided'!H307="E",'Guarantees provided'!H307="x"),"True","False")</f>
        <v>False</v>
      </c>
      <c r="K313" s="11" t="s">
        <v>53</v>
      </c>
      <c r="L313" s="11" t="s">
        <v>54</v>
      </c>
      <c r="M313" s="11">
        <f>-'Guarantees provided'!D307</f>
        <v>13183.23</v>
      </c>
      <c r="N313" s="11" t="s">
        <v>55</v>
      </c>
      <c r="O313" s="11">
        <v>0</v>
      </c>
      <c r="P313" s="12" t="s">
        <v>56</v>
      </c>
    </row>
    <row r="314" spans="3:16" ht="23.65" thickBot="1">
      <c r="C314" s="10" t="s">
        <v>51</v>
      </c>
      <c r="D314" s="11">
        <v>307</v>
      </c>
      <c r="E314" s="11" t="s">
        <v>52</v>
      </c>
      <c r="F314" s="11" t="str">
        <f>'Guarantees provided'!G308</f>
        <v>599904831114050</v>
      </c>
      <c r="G314" s="11" t="str">
        <f>'Guarantees provided'!A308</f>
        <v>BANCO SANTANDER TOTTA SA</v>
      </c>
      <c r="H314" s="11" t="str">
        <f>IF('Guarantees provided'!B308="#",'Guarantees provided'!C308,'Guarantees provided'!B308)</f>
        <v>549300URJH9VSI58CS32</v>
      </c>
      <c r="I314" s="11" t="str">
        <f>IF('Guarantees provided'!B308="#","Type of identifier, other than LEI or MFI code","LEI code")</f>
        <v>LEI code</v>
      </c>
      <c r="J314" s="14" t="str">
        <f>IF(OR('Guarantees provided'!H308="E",'Guarantees provided'!H308="x"),"True","False")</f>
        <v>False</v>
      </c>
      <c r="K314" s="11" t="s">
        <v>53</v>
      </c>
      <c r="L314" s="11" t="s">
        <v>54</v>
      </c>
      <c r="M314" s="11">
        <f>-'Guarantees provided'!D308</f>
        <v>10444.83</v>
      </c>
      <c r="N314" s="11" t="s">
        <v>55</v>
      </c>
      <c r="O314" s="11">
        <v>0</v>
      </c>
      <c r="P314" s="12" t="s">
        <v>56</v>
      </c>
    </row>
    <row r="315" spans="3:16" ht="23.65" thickBot="1">
      <c r="C315" s="10" t="s">
        <v>51</v>
      </c>
      <c r="D315" s="11">
        <v>308</v>
      </c>
      <c r="E315" s="11" t="s">
        <v>52</v>
      </c>
      <c r="F315" s="11" t="str">
        <f>'Guarantees provided'!G309</f>
        <v>599904831116060</v>
      </c>
      <c r="G315" s="11" t="str">
        <f>'Guarantees provided'!A309</f>
        <v>BANCO SANTANDER TOTTA SA</v>
      </c>
      <c r="H315" s="11" t="str">
        <f>IF('Guarantees provided'!B309="#",'Guarantees provided'!C309,'Guarantees provided'!B309)</f>
        <v>549300URJH9VSI58CS32</v>
      </c>
      <c r="I315" s="11" t="str">
        <f>IF('Guarantees provided'!B309="#","Type of identifier, other than LEI or MFI code","LEI code")</f>
        <v>LEI code</v>
      </c>
      <c r="J315" s="14" t="str">
        <f>IF(OR('Guarantees provided'!H309="E",'Guarantees provided'!H309="x"),"True","False")</f>
        <v>False</v>
      </c>
      <c r="K315" s="11" t="s">
        <v>53</v>
      </c>
      <c r="L315" s="11" t="s">
        <v>54</v>
      </c>
      <c r="M315" s="11">
        <f>-'Guarantees provided'!D309</f>
        <v>8020.67</v>
      </c>
      <c r="N315" s="11" t="s">
        <v>55</v>
      </c>
      <c r="O315" s="11">
        <v>0</v>
      </c>
      <c r="P315" s="12" t="s">
        <v>56</v>
      </c>
    </row>
    <row r="316" spans="3:16" ht="23.65" thickBot="1">
      <c r="C316" s="10" t="s">
        <v>51</v>
      </c>
      <c r="D316" s="11">
        <v>309</v>
      </c>
      <c r="E316" s="11" t="s">
        <v>52</v>
      </c>
      <c r="F316" s="11" t="str">
        <f>'Guarantees provided'!G310</f>
        <v>599904831122910</v>
      </c>
      <c r="G316" s="11" t="str">
        <f>'Guarantees provided'!A310</f>
        <v>BANCO SANTANDER TOTTA SA</v>
      </c>
      <c r="H316" s="11" t="str">
        <f>IF('Guarantees provided'!B310="#",'Guarantees provided'!C310,'Guarantees provided'!B310)</f>
        <v>549300URJH9VSI58CS32</v>
      </c>
      <c r="I316" s="11" t="str">
        <f>IF('Guarantees provided'!B310="#","Type of identifier, other than LEI or MFI code","LEI code")</f>
        <v>LEI code</v>
      </c>
      <c r="J316" s="14" t="str">
        <f>IF(OR('Guarantees provided'!H310="E",'Guarantees provided'!H310="x"),"True","False")</f>
        <v>False</v>
      </c>
      <c r="K316" s="11" t="s">
        <v>53</v>
      </c>
      <c r="L316" s="11" t="s">
        <v>54</v>
      </c>
      <c r="M316" s="11">
        <f>-'Guarantees provided'!D310</f>
        <v>3411.78</v>
      </c>
      <c r="N316" s="11" t="s">
        <v>55</v>
      </c>
      <c r="O316" s="11">
        <v>0</v>
      </c>
      <c r="P316" s="12" t="s">
        <v>56</v>
      </c>
    </row>
    <row r="317" spans="3:16" ht="23.65" thickBot="1">
      <c r="C317" s="10" t="s">
        <v>51</v>
      </c>
      <c r="D317" s="11">
        <v>310</v>
      </c>
      <c r="E317" s="11" t="s">
        <v>52</v>
      </c>
      <c r="F317" s="11" t="str">
        <f>'Guarantees provided'!G311</f>
        <v>599904831156010</v>
      </c>
      <c r="G317" s="11" t="str">
        <f>'Guarantees provided'!A311</f>
        <v>BANCO SANTANDER TOTTA SA</v>
      </c>
      <c r="H317" s="11" t="str">
        <f>IF('Guarantees provided'!B311="#",'Guarantees provided'!C311,'Guarantees provided'!B311)</f>
        <v>549300URJH9VSI58CS32</v>
      </c>
      <c r="I317" s="11" t="str">
        <f>IF('Guarantees provided'!B311="#","Type of identifier, other than LEI or MFI code","LEI code")</f>
        <v>LEI code</v>
      </c>
      <c r="J317" s="14" t="str">
        <f>IF(OR('Guarantees provided'!H311="E",'Guarantees provided'!H311="x"),"True","False")</f>
        <v>False</v>
      </c>
      <c r="K317" s="11" t="s">
        <v>53</v>
      </c>
      <c r="L317" s="11" t="s">
        <v>54</v>
      </c>
      <c r="M317" s="11">
        <f>-'Guarantees provided'!D311</f>
        <v>3800.84</v>
      </c>
      <c r="N317" s="11" t="s">
        <v>55</v>
      </c>
      <c r="O317" s="11">
        <v>0</v>
      </c>
      <c r="P317" s="12" t="s">
        <v>56</v>
      </c>
    </row>
    <row r="318" spans="3:16" ht="23.65" thickBot="1">
      <c r="C318" s="10" t="s">
        <v>51</v>
      </c>
      <c r="D318" s="11">
        <v>311</v>
      </c>
      <c r="E318" s="11" t="s">
        <v>52</v>
      </c>
      <c r="F318" s="11" t="str">
        <f>'Guarantees provided'!G312</f>
        <v>599904831166990</v>
      </c>
      <c r="G318" s="11" t="str">
        <f>'Guarantees provided'!A312</f>
        <v>BANCO SANTANDER TOTTA SA</v>
      </c>
      <c r="H318" s="11" t="str">
        <f>IF('Guarantees provided'!B312="#",'Guarantees provided'!C312,'Guarantees provided'!B312)</f>
        <v>549300URJH9VSI58CS32</v>
      </c>
      <c r="I318" s="11" t="str">
        <f>IF('Guarantees provided'!B312="#","Type of identifier, other than LEI or MFI code","LEI code")</f>
        <v>LEI code</v>
      </c>
      <c r="J318" s="14" t="str">
        <f>IF(OR('Guarantees provided'!H312="E",'Guarantees provided'!H312="x"),"True","False")</f>
        <v>False</v>
      </c>
      <c r="K318" s="11" t="s">
        <v>53</v>
      </c>
      <c r="L318" s="11" t="s">
        <v>54</v>
      </c>
      <c r="M318" s="11">
        <f>-'Guarantees provided'!D312</f>
        <v>47764.89</v>
      </c>
      <c r="N318" s="11" t="s">
        <v>55</v>
      </c>
      <c r="O318" s="11">
        <v>0</v>
      </c>
      <c r="P318" s="12" t="s">
        <v>56</v>
      </c>
    </row>
    <row r="319" spans="3:16" ht="23.65" thickBot="1">
      <c r="C319" s="10" t="s">
        <v>51</v>
      </c>
      <c r="D319" s="11">
        <v>312</v>
      </c>
      <c r="E319" s="11" t="s">
        <v>52</v>
      </c>
      <c r="F319" s="11" t="str">
        <f>'Guarantees provided'!G313</f>
        <v>599904831208120</v>
      </c>
      <c r="G319" s="11" t="str">
        <f>'Guarantees provided'!A313</f>
        <v>BANCO SANTANDER TOTTA SA</v>
      </c>
      <c r="H319" s="11" t="str">
        <f>IF('Guarantees provided'!B313="#",'Guarantees provided'!C313,'Guarantees provided'!B313)</f>
        <v>549300URJH9VSI58CS32</v>
      </c>
      <c r="I319" s="11" t="str">
        <f>IF('Guarantees provided'!B313="#","Type of identifier, other than LEI or MFI code","LEI code")</f>
        <v>LEI code</v>
      </c>
      <c r="J319" s="14" t="str">
        <f>IF(OR('Guarantees provided'!H313="E",'Guarantees provided'!H313="x"),"True","False")</f>
        <v>False</v>
      </c>
      <c r="K319" s="11" t="s">
        <v>53</v>
      </c>
      <c r="L319" s="11" t="s">
        <v>54</v>
      </c>
      <c r="M319" s="11">
        <f>-'Guarantees provided'!D313</f>
        <v>3112.5</v>
      </c>
      <c r="N319" s="11" t="s">
        <v>55</v>
      </c>
      <c r="O319" s="11">
        <v>0</v>
      </c>
      <c r="P319" s="12" t="s">
        <v>56</v>
      </c>
    </row>
    <row r="320" spans="3:16" ht="23.65" thickBot="1">
      <c r="C320" s="10" t="s">
        <v>51</v>
      </c>
      <c r="D320" s="11">
        <v>313</v>
      </c>
      <c r="E320" s="11" t="s">
        <v>52</v>
      </c>
      <c r="F320" s="11" t="str">
        <f>'Guarantees provided'!G314</f>
        <v>599904831214600</v>
      </c>
      <c r="G320" s="11" t="str">
        <f>'Guarantees provided'!A314</f>
        <v>BANCO SANTANDER TOTTA SA</v>
      </c>
      <c r="H320" s="11" t="str">
        <f>IF('Guarantees provided'!B314="#",'Guarantees provided'!C314,'Guarantees provided'!B314)</f>
        <v>549300URJH9VSI58CS32</v>
      </c>
      <c r="I320" s="11" t="str">
        <f>IF('Guarantees provided'!B314="#","Type of identifier, other than LEI or MFI code","LEI code")</f>
        <v>LEI code</v>
      </c>
      <c r="J320" s="14" t="str">
        <f>IF(OR('Guarantees provided'!H314="E",'Guarantees provided'!H314="x"),"True","False")</f>
        <v>False</v>
      </c>
      <c r="K320" s="11" t="s">
        <v>53</v>
      </c>
      <c r="L320" s="11" t="s">
        <v>54</v>
      </c>
      <c r="M320" s="11">
        <f>-'Guarantees provided'!D314</f>
        <v>3336.96</v>
      </c>
      <c r="N320" s="11" t="s">
        <v>55</v>
      </c>
      <c r="O320" s="11">
        <v>0</v>
      </c>
      <c r="P320" s="12" t="s">
        <v>56</v>
      </c>
    </row>
    <row r="321" spans="3:16" ht="23.65" thickBot="1">
      <c r="C321" s="10" t="s">
        <v>51</v>
      </c>
      <c r="D321" s="11">
        <v>314</v>
      </c>
      <c r="E321" s="11" t="s">
        <v>52</v>
      </c>
      <c r="F321" s="11" t="str">
        <f>'Guarantees provided'!G315</f>
        <v>599904831217850</v>
      </c>
      <c r="G321" s="11" t="str">
        <f>'Guarantees provided'!A315</f>
        <v>BANCO SANTANDER TOTTA SA</v>
      </c>
      <c r="H321" s="11" t="str">
        <f>IF('Guarantees provided'!B315="#",'Guarantees provided'!C315,'Guarantees provided'!B315)</f>
        <v>549300URJH9VSI58CS32</v>
      </c>
      <c r="I321" s="11" t="str">
        <f>IF('Guarantees provided'!B315="#","Type of identifier, other than LEI or MFI code","LEI code")</f>
        <v>LEI code</v>
      </c>
      <c r="J321" s="14" t="str">
        <f>IF(OR('Guarantees provided'!H315="E",'Guarantees provided'!H315="x"),"True","False")</f>
        <v>False</v>
      </c>
      <c r="K321" s="11" t="s">
        <v>53</v>
      </c>
      <c r="L321" s="11" t="s">
        <v>54</v>
      </c>
      <c r="M321" s="11">
        <f>-'Guarantees provided'!D315</f>
        <v>4758.53</v>
      </c>
      <c r="N321" s="11" t="s">
        <v>55</v>
      </c>
      <c r="O321" s="11">
        <v>0</v>
      </c>
      <c r="P321" s="12" t="s">
        <v>56</v>
      </c>
    </row>
    <row r="322" spans="3:16" ht="23.65" thickBot="1">
      <c r="C322" s="10" t="s">
        <v>51</v>
      </c>
      <c r="D322" s="11">
        <v>315</v>
      </c>
      <c r="E322" s="11" t="s">
        <v>52</v>
      </c>
      <c r="F322" s="11" t="str">
        <f>'Guarantees provided'!G316</f>
        <v>599904831229300</v>
      </c>
      <c r="G322" s="11" t="str">
        <f>'Guarantees provided'!A316</f>
        <v>BANCO SANTANDER TOTTA SA</v>
      </c>
      <c r="H322" s="11" t="str">
        <f>IF('Guarantees provided'!B316="#",'Guarantees provided'!C316,'Guarantees provided'!B316)</f>
        <v>549300URJH9VSI58CS32</v>
      </c>
      <c r="I322" s="11" t="str">
        <f>IF('Guarantees provided'!B316="#","Type of identifier, other than LEI or MFI code","LEI code")</f>
        <v>LEI code</v>
      </c>
      <c r="J322" s="14" t="str">
        <f>IF(OR('Guarantees provided'!H316="E",'Guarantees provided'!H316="x"),"True","False")</f>
        <v>False</v>
      </c>
      <c r="K322" s="11" t="s">
        <v>53</v>
      </c>
      <c r="L322" s="11" t="s">
        <v>54</v>
      </c>
      <c r="M322" s="11">
        <f>-'Guarantees provided'!D316</f>
        <v>3770.91</v>
      </c>
      <c r="N322" s="11" t="s">
        <v>55</v>
      </c>
      <c r="O322" s="11">
        <v>0</v>
      </c>
      <c r="P322" s="12" t="s">
        <v>56</v>
      </c>
    </row>
    <row r="323" spans="3:16" ht="23.65" thickBot="1">
      <c r="C323" s="10" t="s">
        <v>51</v>
      </c>
      <c r="D323" s="11">
        <v>316</v>
      </c>
      <c r="E323" s="11" t="s">
        <v>52</v>
      </c>
      <c r="F323" s="11" t="str">
        <f>'Guarantees provided'!G317</f>
        <v>599904831241620</v>
      </c>
      <c r="G323" s="11" t="str">
        <f>'Guarantees provided'!A317</f>
        <v>BANCO SANTANDER TOTTA SA</v>
      </c>
      <c r="H323" s="11" t="str">
        <f>IF('Guarantees provided'!B317="#",'Guarantees provided'!C317,'Guarantees provided'!B317)</f>
        <v>549300URJH9VSI58CS32</v>
      </c>
      <c r="I323" s="11" t="str">
        <f>IF('Guarantees provided'!B317="#","Type of identifier, other than LEI or MFI code","LEI code")</f>
        <v>LEI code</v>
      </c>
      <c r="J323" s="14" t="str">
        <f>IF(OR('Guarantees provided'!H317="E",'Guarantees provided'!H317="x"),"True","False")</f>
        <v>False</v>
      </c>
      <c r="K323" s="11" t="s">
        <v>53</v>
      </c>
      <c r="L323" s="11" t="s">
        <v>54</v>
      </c>
      <c r="M323" s="11">
        <f>-'Guarantees provided'!D317</f>
        <v>4683.71</v>
      </c>
      <c r="N323" s="11" t="s">
        <v>55</v>
      </c>
      <c r="O323" s="11">
        <v>0</v>
      </c>
      <c r="P323" s="12" t="s">
        <v>56</v>
      </c>
    </row>
    <row r="324" spans="3:16" ht="23.65" thickBot="1">
      <c r="C324" s="10" t="s">
        <v>51</v>
      </c>
      <c r="D324" s="11">
        <v>317</v>
      </c>
      <c r="E324" s="11" t="s">
        <v>52</v>
      </c>
      <c r="F324" s="11" t="str">
        <f>'Guarantees provided'!G318</f>
        <v>599904831352190</v>
      </c>
      <c r="G324" s="11" t="str">
        <f>'Guarantees provided'!A318</f>
        <v>BANCO SANTANDER TOTTA SA</v>
      </c>
      <c r="H324" s="11" t="str">
        <f>IF('Guarantees provided'!B318="#",'Guarantees provided'!C318,'Guarantees provided'!B318)</f>
        <v>549300URJH9VSI58CS32</v>
      </c>
      <c r="I324" s="11" t="str">
        <f>IF('Guarantees provided'!B318="#","Type of identifier, other than LEI or MFI code","LEI code")</f>
        <v>LEI code</v>
      </c>
      <c r="J324" s="14" t="str">
        <f>IF(OR('Guarantees provided'!H318="E",'Guarantees provided'!H318="x"),"True","False")</f>
        <v>False</v>
      </c>
      <c r="K324" s="11" t="s">
        <v>53</v>
      </c>
      <c r="L324" s="11" t="s">
        <v>54</v>
      </c>
      <c r="M324" s="11">
        <f>-'Guarantees provided'!D318</f>
        <v>4908.17</v>
      </c>
      <c r="N324" s="11" t="s">
        <v>55</v>
      </c>
      <c r="O324" s="11">
        <v>0</v>
      </c>
      <c r="P324" s="12" t="s">
        <v>56</v>
      </c>
    </row>
    <row r="325" spans="3:16" ht="23.65" thickBot="1">
      <c r="C325" s="10" t="s">
        <v>51</v>
      </c>
      <c r="D325" s="11">
        <v>318</v>
      </c>
      <c r="E325" s="11" t="s">
        <v>52</v>
      </c>
      <c r="F325" s="11" t="str">
        <f>'Guarantees provided'!G319</f>
        <v>599904831355910</v>
      </c>
      <c r="G325" s="11" t="str">
        <f>'Guarantees provided'!A319</f>
        <v>BANCO SANTANDER TOTTA SA</v>
      </c>
      <c r="H325" s="11" t="str">
        <f>IF('Guarantees provided'!B319="#",'Guarantees provided'!C319,'Guarantees provided'!B319)</f>
        <v>549300URJH9VSI58CS32</v>
      </c>
      <c r="I325" s="11" t="str">
        <f>IF('Guarantees provided'!B319="#","Type of identifier, other than LEI or MFI code","LEI code")</f>
        <v>LEI code</v>
      </c>
      <c r="J325" s="14" t="str">
        <f>IF(OR('Guarantees provided'!H319="E",'Guarantees provided'!H319="x"),"True","False")</f>
        <v>False</v>
      </c>
      <c r="K325" s="11" t="s">
        <v>53</v>
      </c>
      <c r="L325" s="11" t="s">
        <v>54</v>
      </c>
      <c r="M325" s="11">
        <f>-'Guarantees provided'!D319</f>
        <v>3561.42</v>
      </c>
      <c r="N325" s="11" t="s">
        <v>55</v>
      </c>
      <c r="O325" s="11">
        <v>0</v>
      </c>
      <c r="P325" s="12" t="s">
        <v>56</v>
      </c>
    </row>
    <row r="326" spans="3:16" ht="23.65" thickBot="1">
      <c r="C326" s="10" t="s">
        <v>51</v>
      </c>
      <c r="D326" s="11">
        <v>319</v>
      </c>
      <c r="E326" s="11" t="s">
        <v>52</v>
      </c>
      <c r="F326" s="11" t="str">
        <f>'Guarantees provided'!G320</f>
        <v>599904831356060</v>
      </c>
      <c r="G326" s="11" t="str">
        <f>'Guarantees provided'!A320</f>
        <v>BANCO SANTANDER TOTTA SA</v>
      </c>
      <c r="H326" s="11" t="str">
        <f>IF('Guarantees provided'!B320="#",'Guarantees provided'!C320,'Guarantees provided'!B320)</f>
        <v>549300URJH9VSI58CS32</v>
      </c>
      <c r="I326" s="11" t="str">
        <f>IF('Guarantees provided'!B320="#","Type of identifier, other than LEI or MFI code","LEI code")</f>
        <v>LEI code</v>
      </c>
      <c r="J326" s="14" t="str">
        <f>IF(OR('Guarantees provided'!H320="E",'Guarantees provided'!H320="x"),"True","False")</f>
        <v>False</v>
      </c>
      <c r="K326" s="11" t="s">
        <v>53</v>
      </c>
      <c r="L326" s="11" t="s">
        <v>54</v>
      </c>
      <c r="M326" s="11">
        <f>-'Guarantees provided'!D320</f>
        <v>5581.55</v>
      </c>
      <c r="N326" s="11" t="s">
        <v>55</v>
      </c>
      <c r="O326" s="11">
        <v>0</v>
      </c>
      <c r="P326" s="12" t="s">
        <v>56</v>
      </c>
    </row>
    <row r="327" spans="3:16" ht="23.65" thickBot="1">
      <c r="C327" s="10" t="s">
        <v>51</v>
      </c>
      <c r="D327" s="11">
        <v>320</v>
      </c>
      <c r="E327" s="11" t="s">
        <v>52</v>
      </c>
      <c r="F327" s="11" t="str">
        <f>'Guarantees provided'!G321</f>
        <v>599904831359210</v>
      </c>
      <c r="G327" s="11" t="str">
        <f>'Guarantees provided'!A321</f>
        <v>BANCO SANTANDER TOTTA SA</v>
      </c>
      <c r="H327" s="11" t="str">
        <f>IF('Guarantees provided'!B321="#",'Guarantees provided'!C321,'Guarantees provided'!B321)</f>
        <v>549300URJH9VSI58CS32</v>
      </c>
      <c r="I327" s="11" t="str">
        <f>IF('Guarantees provided'!B321="#","Type of identifier, other than LEI or MFI code","LEI code")</f>
        <v>LEI code</v>
      </c>
      <c r="J327" s="14" t="str">
        <f>IF(OR('Guarantees provided'!H321="E",'Guarantees provided'!H321="x"),"True","False")</f>
        <v>False</v>
      </c>
      <c r="K327" s="11" t="s">
        <v>53</v>
      </c>
      <c r="L327" s="11" t="s">
        <v>54</v>
      </c>
      <c r="M327" s="11">
        <f>-'Guarantees provided'!D321</f>
        <v>10609.43</v>
      </c>
      <c r="N327" s="11" t="s">
        <v>55</v>
      </c>
      <c r="O327" s="11">
        <v>0</v>
      </c>
      <c r="P327" s="12" t="s">
        <v>56</v>
      </c>
    </row>
    <row r="328" spans="3:16" ht="23.65" thickBot="1">
      <c r="C328" s="10" t="s">
        <v>51</v>
      </c>
      <c r="D328" s="11">
        <v>321</v>
      </c>
      <c r="E328" s="11" t="s">
        <v>52</v>
      </c>
      <c r="F328" s="11" t="str">
        <f>'Guarantees provided'!G322</f>
        <v>599904831382560</v>
      </c>
      <c r="G328" s="11" t="str">
        <f>'Guarantees provided'!A322</f>
        <v>BANCO SANTANDER TOTTA SA</v>
      </c>
      <c r="H328" s="11" t="str">
        <f>IF('Guarantees provided'!B322="#",'Guarantees provided'!C322,'Guarantees provided'!B322)</f>
        <v>549300URJH9VSI58CS32</v>
      </c>
      <c r="I328" s="11" t="str">
        <f>IF('Guarantees provided'!B322="#","Type of identifier, other than LEI or MFI code","LEI code")</f>
        <v>LEI code</v>
      </c>
      <c r="J328" s="14" t="str">
        <f>IF(OR('Guarantees provided'!H322="E",'Guarantees provided'!H322="x"),"True","False")</f>
        <v>False</v>
      </c>
      <c r="K328" s="11" t="s">
        <v>53</v>
      </c>
      <c r="L328" s="11" t="s">
        <v>54</v>
      </c>
      <c r="M328" s="11">
        <f>-'Guarantees provided'!D322</f>
        <v>20246.21</v>
      </c>
      <c r="N328" s="11" t="s">
        <v>55</v>
      </c>
      <c r="O328" s="11">
        <v>0</v>
      </c>
      <c r="P328" s="12" t="s">
        <v>56</v>
      </c>
    </row>
    <row r="329" spans="3:16" ht="23.65" thickBot="1">
      <c r="C329" s="10" t="s">
        <v>51</v>
      </c>
      <c r="D329" s="11">
        <v>322</v>
      </c>
      <c r="E329" s="11" t="s">
        <v>52</v>
      </c>
      <c r="F329" s="11" t="str">
        <f>'Guarantees provided'!G323</f>
        <v>599904831386240</v>
      </c>
      <c r="G329" s="11" t="str">
        <f>'Guarantees provided'!A323</f>
        <v>BANCO SANTANDER TOTTA SA</v>
      </c>
      <c r="H329" s="11" t="str">
        <f>IF('Guarantees provided'!B323="#",'Guarantees provided'!C323,'Guarantees provided'!B323)</f>
        <v>549300URJH9VSI58CS32</v>
      </c>
      <c r="I329" s="11" t="str">
        <f>IF('Guarantees provided'!B323="#","Type of identifier, other than LEI or MFI code","LEI code")</f>
        <v>LEI code</v>
      </c>
      <c r="J329" s="14" t="str">
        <f>IF(OR('Guarantees provided'!H323="E",'Guarantees provided'!H323="x"),"True","False")</f>
        <v>False</v>
      </c>
      <c r="K329" s="11" t="s">
        <v>53</v>
      </c>
      <c r="L329" s="11" t="s">
        <v>54</v>
      </c>
      <c r="M329" s="11">
        <f>-'Guarantees provided'!D323</f>
        <v>32396.92</v>
      </c>
      <c r="N329" s="11" t="s">
        <v>55</v>
      </c>
      <c r="O329" s="11">
        <v>0</v>
      </c>
      <c r="P329" s="12" t="s">
        <v>56</v>
      </c>
    </row>
    <row r="330" spans="3:16" ht="23.65" thickBot="1">
      <c r="C330" s="10" t="s">
        <v>51</v>
      </c>
      <c r="D330" s="11">
        <v>323</v>
      </c>
      <c r="E330" s="11" t="s">
        <v>52</v>
      </c>
      <c r="F330" s="11" t="str">
        <f>'Guarantees provided'!G324</f>
        <v>599904831386390</v>
      </c>
      <c r="G330" s="11" t="str">
        <f>'Guarantees provided'!A324</f>
        <v>BANCO SANTANDER TOTTA SA</v>
      </c>
      <c r="H330" s="11" t="str">
        <f>IF('Guarantees provided'!B324="#",'Guarantees provided'!C324,'Guarantees provided'!B324)</f>
        <v>549300URJH9VSI58CS32</v>
      </c>
      <c r="I330" s="11" t="str">
        <f>IF('Guarantees provided'!B324="#","Type of identifier, other than LEI or MFI code","LEI code")</f>
        <v>LEI code</v>
      </c>
      <c r="J330" s="14" t="str">
        <f>IF(OR('Guarantees provided'!H324="E",'Guarantees provided'!H324="x"),"True","False")</f>
        <v>False</v>
      </c>
      <c r="K330" s="11" t="s">
        <v>53</v>
      </c>
      <c r="L330" s="11" t="s">
        <v>54</v>
      </c>
      <c r="M330" s="11">
        <f>-'Guarantees provided'!D324</f>
        <v>32396.92</v>
      </c>
      <c r="N330" s="11" t="s">
        <v>55</v>
      </c>
      <c r="O330" s="11">
        <v>0</v>
      </c>
      <c r="P330" s="12" t="s">
        <v>56</v>
      </c>
    </row>
    <row r="331" spans="3:16" ht="23.65" thickBot="1">
      <c r="C331" s="10" t="s">
        <v>51</v>
      </c>
      <c r="D331" s="11">
        <v>324</v>
      </c>
      <c r="E331" s="11" t="s">
        <v>52</v>
      </c>
      <c r="F331" s="11" t="str">
        <f>'Guarantees provided'!G325</f>
        <v>599904831386430</v>
      </c>
      <c r="G331" s="11" t="str">
        <f>'Guarantees provided'!A325</f>
        <v>BANCO SANTANDER TOTTA SA</v>
      </c>
      <c r="H331" s="11" t="str">
        <f>IF('Guarantees provided'!B325="#",'Guarantees provided'!C325,'Guarantees provided'!B325)</f>
        <v>549300URJH9VSI58CS32</v>
      </c>
      <c r="I331" s="11" t="str">
        <f>IF('Guarantees provided'!B325="#","Type of identifier, other than LEI or MFI code","LEI code")</f>
        <v>LEI code</v>
      </c>
      <c r="J331" s="14" t="str">
        <f>IF(OR('Guarantees provided'!H325="E",'Guarantees provided'!H325="x"),"True","False")</f>
        <v>False</v>
      </c>
      <c r="K331" s="11" t="s">
        <v>53</v>
      </c>
      <c r="L331" s="11" t="s">
        <v>54</v>
      </c>
      <c r="M331" s="11">
        <f>-'Guarantees provided'!D325</f>
        <v>32396.92</v>
      </c>
      <c r="N331" s="11" t="s">
        <v>55</v>
      </c>
      <c r="O331" s="11">
        <v>0</v>
      </c>
      <c r="P331" s="12" t="s">
        <v>56</v>
      </c>
    </row>
    <row r="332" spans="3:16" ht="23.65" thickBot="1">
      <c r="C332" s="10" t="s">
        <v>51</v>
      </c>
      <c r="D332" s="11">
        <v>325</v>
      </c>
      <c r="E332" s="11" t="s">
        <v>52</v>
      </c>
      <c r="F332" s="11" t="str">
        <f>'Guarantees provided'!G326</f>
        <v>599904831393960</v>
      </c>
      <c r="G332" s="11" t="str">
        <f>'Guarantees provided'!A326</f>
        <v>BANCO SANTANDER TOTTA SA</v>
      </c>
      <c r="H332" s="11" t="str">
        <f>IF('Guarantees provided'!B326="#",'Guarantees provided'!C326,'Guarantees provided'!B326)</f>
        <v>549300URJH9VSI58CS32</v>
      </c>
      <c r="I332" s="11" t="str">
        <f>IF('Guarantees provided'!B326="#","Type of identifier, other than LEI or MFI code","LEI code")</f>
        <v>LEI code</v>
      </c>
      <c r="J332" s="14" t="str">
        <f>IF(OR('Guarantees provided'!H326="E",'Guarantees provided'!H326="x"),"True","False")</f>
        <v>False</v>
      </c>
      <c r="K332" s="11" t="s">
        <v>53</v>
      </c>
      <c r="L332" s="11" t="s">
        <v>54</v>
      </c>
      <c r="M332" s="11">
        <f>-'Guarantees provided'!D326</f>
        <v>20799.87</v>
      </c>
      <c r="N332" s="11" t="s">
        <v>55</v>
      </c>
      <c r="O332" s="11">
        <v>0</v>
      </c>
      <c r="P332" s="12" t="s">
        <v>56</v>
      </c>
    </row>
    <row r="333" spans="3:16" ht="23.65" thickBot="1">
      <c r="C333" s="10" t="s">
        <v>51</v>
      </c>
      <c r="D333" s="11">
        <v>326</v>
      </c>
      <c r="E333" s="11" t="s">
        <v>52</v>
      </c>
      <c r="F333" s="11" t="str">
        <f>'Guarantees provided'!G327</f>
        <v>599904831401380</v>
      </c>
      <c r="G333" s="11" t="str">
        <f>'Guarantees provided'!A327</f>
        <v>BANCO SANTANDER TOTTA SA</v>
      </c>
      <c r="H333" s="11" t="str">
        <f>IF('Guarantees provided'!B327="#",'Guarantees provided'!C327,'Guarantees provided'!B327)</f>
        <v>549300URJH9VSI58CS32</v>
      </c>
      <c r="I333" s="11" t="str">
        <f>IF('Guarantees provided'!B327="#","Type of identifier, other than LEI or MFI code","LEI code")</f>
        <v>LEI code</v>
      </c>
      <c r="J333" s="14" t="str">
        <f>IF(OR('Guarantees provided'!H327="E",'Guarantees provided'!H327="x"),"True","False")</f>
        <v>False</v>
      </c>
      <c r="K333" s="11" t="s">
        <v>53</v>
      </c>
      <c r="L333" s="11" t="s">
        <v>54</v>
      </c>
      <c r="M333" s="11">
        <f>-'Guarantees provided'!D327</f>
        <v>3785.88</v>
      </c>
      <c r="N333" s="11" t="s">
        <v>55</v>
      </c>
      <c r="O333" s="11">
        <v>0</v>
      </c>
      <c r="P333" s="12" t="s">
        <v>56</v>
      </c>
    </row>
    <row r="334" spans="3:16" ht="23.65" thickBot="1">
      <c r="C334" s="10" t="s">
        <v>51</v>
      </c>
      <c r="D334" s="11">
        <v>327</v>
      </c>
      <c r="E334" s="11" t="s">
        <v>52</v>
      </c>
      <c r="F334" s="11" t="str">
        <f>'Guarantees provided'!G328</f>
        <v>599904831436490</v>
      </c>
      <c r="G334" s="11" t="str">
        <f>'Guarantees provided'!A328</f>
        <v>BANCO SANTANDER TOTTA SA</v>
      </c>
      <c r="H334" s="11" t="str">
        <f>IF('Guarantees provided'!B328="#",'Guarantees provided'!C328,'Guarantees provided'!B328)</f>
        <v>549300URJH9VSI58CS32</v>
      </c>
      <c r="I334" s="11" t="str">
        <f>IF('Guarantees provided'!B328="#","Type of identifier, other than LEI or MFI code","LEI code")</f>
        <v>LEI code</v>
      </c>
      <c r="J334" s="14" t="str">
        <f>IF(OR('Guarantees provided'!H328="E",'Guarantees provided'!H328="x"),"True","False")</f>
        <v>False</v>
      </c>
      <c r="K334" s="11" t="s">
        <v>53</v>
      </c>
      <c r="L334" s="11" t="s">
        <v>54</v>
      </c>
      <c r="M334" s="11">
        <f>-'Guarantees provided'!D328</f>
        <v>16220.91</v>
      </c>
      <c r="N334" s="11" t="s">
        <v>55</v>
      </c>
      <c r="O334" s="11">
        <v>0</v>
      </c>
      <c r="P334" s="12" t="s">
        <v>56</v>
      </c>
    </row>
    <row r="335" spans="3:16" ht="23.65" thickBot="1">
      <c r="C335" s="10" t="s">
        <v>51</v>
      </c>
      <c r="D335" s="11">
        <v>328</v>
      </c>
      <c r="E335" s="11" t="s">
        <v>52</v>
      </c>
      <c r="F335" s="11" t="str">
        <f>'Guarantees provided'!G329</f>
        <v>599904831524870</v>
      </c>
      <c r="G335" s="11" t="str">
        <f>'Guarantees provided'!A329</f>
        <v>BANCO SANTANDER TOTTA SA</v>
      </c>
      <c r="H335" s="11" t="str">
        <f>IF('Guarantees provided'!B329="#",'Guarantees provided'!C329,'Guarantees provided'!B329)</f>
        <v>549300URJH9VSI58CS32</v>
      </c>
      <c r="I335" s="11" t="str">
        <f>IF('Guarantees provided'!B329="#","Type of identifier, other than LEI or MFI code","LEI code")</f>
        <v>LEI code</v>
      </c>
      <c r="J335" s="14" t="str">
        <f>IF(OR('Guarantees provided'!H329="E",'Guarantees provided'!H329="x"),"True","False")</f>
        <v>False</v>
      </c>
      <c r="K335" s="11" t="s">
        <v>53</v>
      </c>
      <c r="L335" s="11" t="s">
        <v>54</v>
      </c>
      <c r="M335" s="11">
        <f>-'Guarantees provided'!D329</f>
        <v>5132.63</v>
      </c>
      <c r="N335" s="11" t="s">
        <v>55</v>
      </c>
      <c r="O335" s="11">
        <v>0</v>
      </c>
      <c r="P335" s="12" t="s">
        <v>56</v>
      </c>
    </row>
    <row r="336" spans="3:16" ht="23.65" thickBot="1">
      <c r="C336" s="10" t="s">
        <v>51</v>
      </c>
      <c r="D336" s="11">
        <v>329</v>
      </c>
      <c r="E336" s="11" t="s">
        <v>52</v>
      </c>
      <c r="F336" s="11" t="str">
        <f>'Guarantees provided'!G330</f>
        <v>599904831545280</v>
      </c>
      <c r="G336" s="11" t="str">
        <f>'Guarantees provided'!A330</f>
        <v>BANCO SANTANDER TOTTA SA</v>
      </c>
      <c r="H336" s="11" t="str">
        <f>IF('Guarantees provided'!B330="#",'Guarantees provided'!C330,'Guarantees provided'!B330)</f>
        <v>549300URJH9VSI58CS32</v>
      </c>
      <c r="I336" s="11" t="str">
        <f>IF('Guarantees provided'!B330="#","Type of identifier, other than LEI or MFI code","LEI code")</f>
        <v>LEI code</v>
      </c>
      <c r="J336" s="14" t="str">
        <f>IF(OR('Guarantees provided'!H330="E",'Guarantees provided'!H330="x"),"True","False")</f>
        <v>False</v>
      </c>
      <c r="K336" s="11" t="s">
        <v>53</v>
      </c>
      <c r="L336" s="11" t="s">
        <v>54</v>
      </c>
      <c r="M336" s="11">
        <f>-'Guarantees provided'!D330</f>
        <v>3411.78</v>
      </c>
      <c r="N336" s="11" t="s">
        <v>55</v>
      </c>
      <c r="O336" s="11">
        <v>0</v>
      </c>
      <c r="P336" s="12" t="s">
        <v>56</v>
      </c>
    </row>
    <row r="337" spans="3:16" ht="23.65" thickBot="1">
      <c r="C337" s="10" t="s">
        <v>51</v>
      </c>
      <c r="D337" s="11">
        <v>330</v>
      </c>
      <c r="E337" s="11" t="s">
        <v>52</v>
      </c>
      <c r="F337" s="11" t="str">
        <f>'Guarantees provided'!G331</f>
        <v>599904831565540</v>
      </c>
      <c r="G337" s="11" t="str">
        <f>'Guarantees provided'!A331</f>
        <v>BANCO SANTANDER TOTTA SA</v>
      </c>
      <c r="H337" s="11" t="str">
        <f>IF('Guarantees provided'!B331="#",'Guarantees provided'!C331,'Guarantees provided'!B331)</f>
        <v>549300URJH9VSI58CS32</v>
      </c>
      <c r="I337" s="11" t="str">
        <f>IF('Guarantees provided'!B331="#","Type of identifier, other than LEI or MFI code","LEI code")</f>
        <v>LEI code</v>
      </c>
      <c r="J337" s="14" t="str">
        <f>IF(OR('Guarantees provided'!H331="E",'Guarantees provided'!H331="x"),"True","False")</f>
        <v>False</v>
      </c>
      <c r="K337" s="11" t="s">
        <v>53</v>
      </c>
      <c r="L337" s="11" t="s">
        <v>54</v>
      </c>
      <c r="M337" s="11">
        <f>-'Guarantees provided'!D331</f>
        <v>3112.5</v>
      </c>
      <c r="N337" s="11" t="s">
        <v>55</v>
      </c>
      <c r="O337" s="11">
        <v>0</v>
      </c>
      <c r="P337" s="12" t="s">
        <v>56</v>
      </c>
    </row>
    <row r="338" spans="3:16" ht="23.65" thickBot="1">
      <c r="C338" s="10" t="s">
        <v>51</v>
      </c>
      <c r="D338" s="11">
        <v>331</v>
      </c>
      <c r="E338" s="11" t="s">
        <v>52</v>
      </c>
      <c r="F338" s="11" t="str">
        <f>'Guarantees provided'!G332</f>
        <v>599904831618220</v>
      </c>
      <c r="G338" s="11" t="str">
        <f>'Guarantees provided'!A332</f>
        <v>BANCO SANTANDER TOTTA SA</v>
      </c>
      <c r="H338" s="11" t="str">
        <f>IF('Guarantees provided'!B332="#",'Guarantees provided'!C332,'Guarantees provided'!B332)</f>
        <v>549300URJH9VSI58CS32</v>
      </c>
      <c r="I338" s="11" t="str">
        <f>IF('Guarantees provided'!B332="#","Type of identifier, other than LEI or MFI code","LEI code")</f>
        <v>LEI code</v>
      </c>
      <c r="J338" s="14" t="str">
        <f>IF(OR('Guarantees provided'!H332="E",'Guarantees provided'!H332="x"),"True","False")</f>
        <v>False</v>
      </c>
      <c r="K338" s="11" t="s">
        <v>53</v>
      </c>
      <c r="L338" s="11" t="s">
        <v>54</v>
      </c>
      <c r="M338" s="11">
        <f>-'Guarantees provided'!D332</f>
        <v>4234.79</v>
      </c>
      <c r="N338" s="11" t="s">
        <v>55</v>
      </c>
      <c r="O338" s="11">
        <v>0</v>
      </c>
      <c r="P338" s="12" t="s">
        <v>56</v>
      </c>
    </row>
    <row r="339" spans="3:16" ht="23.65" thickBot="1">
      <c r="C339" s="10" t="s">
        <v>51</v>
      </c>
      <c r="D339" s="11">
        <v>332</v>
      </c>
      <c r="E339" s="11" t="s">
        <v>52</v>
      </c>
      <c r="F339" s="11" t="str">
        <f>'Guarantees provided'!G333</f>
        <v>599904831618370</v>
      </c>
      <c r="G339" s="11" t="str">
        <f>'Guarantees provided'!A333</f>
        <v>BANCO SANTANDER TOTTA SA</v>
      </c>
      <c r="H339" s="11" t="str">
        <f>IF('Guarantees provided'!B333="#",'Guarantees provided'!C333,'Guarantees provided'!B333)</f>
        <v>549300URJH9VSI58CS32</v>
      </c>
      <c r="I339" s="11" t="str">
        <f>IF('Guarantees provided'!B333="#","Type of identifier, other than LEI or MFI code","LEI code")</f>
        <v>LEI code</v>
      </c>
      <c r="J339" s="14" t="str">
        <f>IF(OR('Guarantees provided'!H333="E",'Guarantees provided'!H333="x"),"True","False")</f>
        <v>False</v>
      </c>
      <c r="K339" s="11" t="s">
        <v>53</v>
      </c>
      <c r="L339" s="11" t="s">
        <v>54</v>
      </c>
      <c r="M339" s="11">
        <f>-'Guarantees provided'!D333</f>
        <v>8574.34</v>
      </c>
      <c r="N339" s="11" t="s">
        <v>55</v>
      </c>
      <c r="O339" s="11">
        <v>0</v>
      </c>
      <c r="P339" s="12" t="s">
        <v>56</v>
      </c>
    </row>
    <row r="340" spans="3:16" ht="23.65" thickBot="1">
      <c r="C340" s="10" t="s">
        <v>51</v>
      </c>
      <c r="D340" s="11">
        <v>333</v>
      </c>
      <c r="E340" s="11" t="s">
        <v>52</v>
      </c>
      <c r="F340" s="11" t="str">
        <f>'Guarantees provided'!G334</f>
        <v>599904831634040</v>
      </c>
      <c r="G340" s="11" t="str">
        <f>'Guarantees provided'!A334</f>
        <v>BANCO SANTANDER TOTTA SA</v>
      </c>
      <c r="H340" s="11" t="str">
        <f>IF('Guarantees provided'!B334="#",'Guarantees provided'!C334,'Guarantees provided'!B334)</f>
        <v>549300URJH9VSI58CS32</v>
      </c>
      <c r="I340" s="11" t="str">
        <f>IF('Guarantees provided'!B334="#","Type of identifier, other than LEI or MFI code","LEI code")</f>
        <v>LEI code</v>
      </c>
      <c r="J340" s="14" t="str">
        <f>IF(OR('Guarantees provided'!H334="E",'Guarantees provided'!H334="x"),"True","False")</f>
        <v>False</v>
      </c>
      <c r="K340" s="11" t="s">
        <v>53</v>
      </c>
      <c r="L340" s="11" t="s">
        <v>54</v>
      </c>
      <c r="M340" s="11">
        <f>-'Guarantees provided'!D334</f>
        <v>5820.97</v>
      </c>
      <c r="N340" s="11" t="s">
        <v>55</v>
      </c>
      <c r="O340" s="11">
        <v>0</v>
      </c>
      <c r="P340" s="12" t="s">
        <v>56</v>
      </c>
    </row>
    <row r="341" spans="3:16" ht="23.65" thickBot="1">
      <c r="C341" s="10" t="s">
        <v>51</v>
      </c>
      <c r="D341" s="11">
        <v>334</v>
      </c>
      <c r="E341" s="11" t="s">
        <v>52</v>
      </c>
      <c r="F341" s="11" t="str">
        <f>'Guarantees provided'!G335</f>
        <v>599904831638300</v>
      </c>
      <c r="G341" s="11" t="str">
        <f>'Guarantees provided'!A335</f>
        <v>BANCO SANTANDER TOTTA SA</v>
      </c>
      <c r="H341" s="11" t="str">
        <f>IF('Guarantees provided'!B335="#",'Guarantees provided'!C335,'Guarantees provided'!B335)</f>
        <v>549300URJH9VSI58CS32</v>
      </c>
      <c r="I341" s="11" t="str">
        <f>IF('Guarantees provided'!B335="#","Type of identifier, other than LEI or MFI code","LEI code")</f>
        <v>LEI code</v>
      </c>
      <c r="J341" s="14" t="str">
        <f>IF(OR('Guarantees provided'!H335="E",'Guarantees provided'!H335="x"),"True","False")</f>
        <v>False</v>
      </c>
      <c r="K341" s="11" t="s">
        <v>53</v>
      </c>
      <c r="L341" s="11" t="s">
        <v>54</v>
      </c>
      <c r="M341" s="11">
        <f>-'Guarantees provided'!D335</f>
        <v>6569.17</v>
      </c>
      <c r="N341" s="11" t="s">
        <v>55</v>
      </c>
      <c r="O341" s="11">
        <v>0</v>
      </c>
      <c r="P341" s="12" t="s">
        <v>56</v>
      </c>
    </row>
    <row r="342" spans="3:16" ht="23.65" thickBot="1">
      <c r="C342" s="10" t="s">
        <v>51</v>
      </c>
      <c r="D342" s="11">
        <v>335</v>
      </c>
      <c r="E342" s="11" t="s">
        <v>52</v>
      </c>
      <c r="F342" s="11" t="str">
        <f>'Guarantees provided'!G336</f>
        <v>599904831655400</v>
      </c>
      <c r="G342" s="11" t="str">
        <f>'Guarantees provided'!A336</f>
        <v>BANCO SANTANDER TOTTA SA</v>
      </c>
      <c r="H342" s="11" t="str">
        <f>IF('Guarantees provided'!B336="#",'Guarantees provided'!C336,'Guarantees provided'!B336)</f>
        <v>549300URJH9VSI58CS32</v>
      </c>
      <c r="I342" s="11" t="str">
        <f>IF('Guarantees provided'!B336="#","Type of identifier, other than LEI or MFI code","LEI code")</f>
        <v>LEI code</v>
      </c>
      <c r="J342" s="14" t="str">
        <f>IF(OR('Guarantees provided'!H336="E",'Guarantees provided'!H336="x"),"True","False")</f>
        <v>False</v>
      </c>
      <c r="K342" s="11" t="s">
        <v>53</v>
      </c>
      <c r="L342" s="11" t="s">
        <v>54</v>
      </c>
      <c r="M342" s="11">
        <f>-'Guarantees provided'!D336</f>
        <v>11357.63</v>
      </c>
      <c r="N342" s="11" t="s">
        <v>55</v>
      </c>
      <c r="O342" s="11">
        <v>0</v>
      </c>
      <c r="P342" s="12" t="s">
        <v>56</v>
      </c>
    </row>
    <row r="343" spans="3:16" ht="23.65" thickBot="1">
      <c r="C343" s="10" t="s">
        <v>51</v>
      </c>
      <c r="D343" s="11">
        <v>336</v>
      </c>
      <c r="E343" s="11" t="s">
        <v>52</v>
      </c>
      <c r="F343" s="11" t="str">
        <f>'Guarantees provided'!G337</f>
        <v>599904831672470</v>
      </c>
      <c r="G343" s="11" t="str">
        <f>'Guarantees provided'!A337</f>
        <v>BANCO SANTANDER TOTTA SA</v>
      </c>
      <c r="H343" s="11" t="str">
        <f>IF('Guarantees provided'!B337="#",'Guarantees provided'!C337,'Guarantees provided'!B337)</f>
        <v>549300URJH9VSI58CS32</v>
      </c>
      <c r="I343" s="11" t="str">
        <f>IF('Guarantees provided'!B337="#","Type of identifier, other than LEI or MFI code","LEI code")</f>
        <v>LEI code</v>
      </c>
      <c r="J343" s="14" t="str">
        <f>IF(OR('Guarantees provided'!H337="E",'Guarantees provided'!H337="x"),"True","False")</f>
        <v>False</v>
      </c>
      <c r="K343" s="11" t="s">
        <v>53</v>
      </c>
      <c r="L343" s="11" t="s">
        <v>54</v>
      </c>
      <c r="M343" s="11">
        <f>-'Guarantees provided'!D337</f>
        <v>5282.27</v>
      </c>
      <c r="N343" s="11" t="s">
        <v>55</v>
      </c>
      <c r="O343" s="11">
        <v>0</v>
      </c>
      <c r="P343" s="12" t="s">
        <v>56</v>
      </c>
    </row>
    <row r="344" spans="3:16" ht="23.65" thickBot="1">
      <c r="C344" s="10" t="s">
        <v>51</v>
      </c>
      <c r="D344" s="11">
        <v>337</v>
      </c>
      <c r="E344" s="11" t="s">
        <v>52</v>
      </c>
      <c r="F344" s="11" t="str">
        <f>'Guarantees provided'!G338</f>
        <v>599904831712500</v>
      </c>
      <c r="G344" s="11" t="str">
        <f>'Guarantees provided'!A338</f>
        <v>BANCO SANTANDER TOTTA SA</v>
      </c>
      <c r="H344" s="11" t="str">
        <f>IF('Guarantees provided'!B338="#",'Guarantees provided'!C338,'Guarantees provided'!B338)</f>
        <v>549300URJH9VSI58CS32</v>
      </c>
      <c r="I344" s="11" t="str">
        <f>IF('Guarantees provided'!B338="#","Type of identifier, other than LEI or MFI code","LEI code")</f>
        <v>LEI code</v>
      </c>
      <c r="J344" s="14" t="str">
        <f>IF(OR('Guarantees provided'!H338="E",'Guarantees provided'!H338="x"),"True","False")</f>
        <v>False</v>
      </c>
      <c r="K344" s="11" t="s">
        <v>53</v>
      </c>
      <c r="L344" s="11" t="s">
        <v>54</v>
      </c>
      <c r="M344" s="11">
        <f>-'Guarantees provided'!D338</f>
        <v>6254.93</v>
      </c>
      <c r="N344" s="11" t="s">
        <v>55</v>
      </c>
      <c r="O344" s="11">
        <v>0</v>
      </c>
      <c r="P344" s="12" t="s">
        <v>56</v>
      </c>
    </row>
    <row r="345" spans="3:16" ht="23.65" thickBot="1">
      <c r="C345" s="10" t="s">
        <v>51</v>
      </c>
      <c r="D345" s="11">
        <v>338</v>
      </c>
      <c r="E345" s="11" t="s">
        <v>52</v>
      </c>
      <c r="F345" s="11" t="str">
        <f>'Guarantees provided'!G339</f>
        <v>599904831731960</v>
      </c>
      <c r="G345" s="11" t="str">
        <f>'Guarantees provided'!A339</f>
        <v>BANCO SANTANDER TOTTA SA</v>
      </c>
      <c r="H345" s="11" t="str">
        <f>IF('Guarantees provided'!B339="#",'Guarantees provided'!C339,'Guarantees provided'!B339)</f>
        <v>549300URJH9VSI58CS32</v>
      </c>
      <c r="I345" s="11" t="str">
        <f>IF('Guarantees provided'!B339="#","Type of identifier, other than LEI or MFI code","LEI code")</f>
        <v>LEI code</v>
      </c>
      <c r="J345" s="14" t="str">
        <f>IF(OR('Guarantees provided'!H339="E",'Guarantees provided'!H339="x"),"True","False")</f>
        <v>False</v>
      </c>
      <c r="K345" s="11" t="s">
        <v>53</v>
      </c>
      <c r="L345" s="11" t="s">
        <v>54</v>
      </c>
      <c r="M345" s="11">
        <f>-'Guarantees provided'!D339</f>
        <v>7751.32</v>
      </c>
      <c r="N345" s="11" t="s">
        <v>55</v>
      </c>
      <c r="O345" s="11">
        <v>0</v>
      </c>
      <c r="P345" s="12" t="s">
        <v>56</v>
      </c>
    </row>
    <row r="346" spans="3:16" ht="23.65" thickBot="1">
      <c r="C346" s="10" t="s">
        <v>51</v>
      </c>
      <c r="D346" s="11">
        <v>339</v>
      </c>
      <c r="E346" s="11" t="s">
        <v>52</v>
      </c>
      <c r="F346" s="11" t="str">
        <f>'Guarantees provided'!G340</f>
        <v>599904831749770</v>
      </c>
      <c r="G346" s="11" t="str">
        <f>'Guarantees provided'!A340</f>
        <v>BANCO SANTANDER TOTTA SA</v>
      </c>
      <c r="H346" s="11" t="str">
        <f>IF('Guarantees provided'!B340="#",'Guarantees provided'!C340,'Guarantees provided'!B340)</f>
        <v>549300URJH9VSI58CS32</v>
      </c>
      <c r="I346" s="11" t="str">
        <f>IF('Guarantees provided'!B340="#","Type of identifier, other than LEI or MFI code","LEI code")</f>
        <v>LEI code</v>
      </c>
      <c r="J346" s="14" t="str">
        <f>IF(OR('Guarantees provided'!H340="E",'Guarantees provided'!H340="x"),"True","False")</f>
        <v>False</v>
      </c>
      <c r="K346" s="11" t="s">
        <v>53</v>
      </c>
      <c r="L346" s="11" t="s">
        <v>54</v>
      </c>
      <c r="M346" s="11">
        <f>-'Guarantees provided'!D340</f>
        <v>4908.17</v>
      </c>
      <c r="N346" s="11" t="s">
        <v>55</v>
      </c>
      <c r="O346" s="11">
        <v>0</v>
      </c>
      <c r="P346" s="12" t="s">
        <v>56</v>
      </c>
    </row>
    <row r="347" spans="3:16" ht="23.65" thickBot="1">
      <c r="C347" s="10" t="s">
        <v>51</v>
      </c>
      <c r="D347" s="11">
        <v>340</v>
      </c>
      <c r="E347" s="11" t="s">
        <v>52</v>
      </c>
      <c r="F347" s="11" t="str">
        <f>'Guarantees provided'!G341</f>
        <v>599904831752180</v>
      </c>
      <c r="G347" s="11" t="str">
        <f>'Guarantees provided'!A341</f>
        <v>BANCO SANTANDER TOTTA SA</v>
      </c>
      <c r="H347" s="11" t="str">
        <f>IF('Guarantees provided'!B341="#",'Guarantees provided'!C341,'Guarantees provided'!B341)</f>
        <v>549300URJH9VSI58CS32</v>
      </c>
      <c r="I347" s="11" t="str">
        <f>IF('Guarantees provided'!B341="#","Type of identifier, other than LEI or MFI code","LEI code")</f>
        <v>LEI code</v>
      </c>
      <c r="J347" s="14" t="str">
        <f>IF(OR('Guarantees provided'!H341="E",'Guarantees provided'!H341="x"),"True","False")</f>
        <v>False</v>
      </c>
      <c r="K347" s="11" t="s">
        <v>53</v>
      </c>
      <c r="L347" s="11" t="s">
        <v>54</v>
      </c>
      <c r="M347" s="11">
        <f>-'Guarantees provided'!D341</f>
        <v>4384.43</v>
      </c>
      <c r="N347" s="11" t="s">
        <v>55</v>
      </c>
      <c r="O347" s="11">
        <v>0</v>
      </c>
      <c r="P347" s="12" t="s">
        <v>56</v>
      </c>
    </row>
    <row r="348" spans="3:16" ht="23.65" thickBot="1">
      <c r="C348" s="10" t="s">
        <v>51</v>
      </c>
      <c r="D348" s="11">
        <v>341</v>
      </c>
      <c r="E348" s="11" t="s">
        <v>52</v>
      </c>
      <c r="F348" s="11" t="str">
        <f>'Guarantees provided'!G342</f>
        <v>599904831752220</v>
      </c>
      <c r="G348" s="11" t="str">
        <f>'Guarantees provided'!A342</f>
        <v>BANCO SANTANDER TOTTA SA</v>
      </c>
      <c r="H348" s="11" t="str">
        <f>IF('Guarantees provided'!B342="#",'Guarantees provided'!C342,'Guarantees provided'!B342)</f>
        <v>549300URJH9VSI58CS32</v>
      </c>
      <c r="I348" s="11" t="str">
        <f>IF('Guarantees provided'!B342="#","Type of identifier, other than LEI or MFI code","LEI code")</f>
        <v>LEI code</v>
      </c>
      <c r="J348" s="14" t="str">
        <f>IF(OR('Guarantees provided'!H342="E",'Guarantees provided'!H342="x"),"True","False")</f>
        <v>False</v>
      </c>
      <c r="K348" s="11" t="s">
        <v>53</v>
      </c>
      <c r="L348" s="11" t="s">
        <v>54</v>
      </c>
      <c r="M348" s="11">
        <f>-'Guarantees provided'!D342</f>
        <v>3711.06</v>
      </c>
      <c r="N348" s="11" t="s">
        <v>55</v>
      </c>
      <c r="O348" s="11">
        <v>0</v>
      </c>
      <c r="P348" s="12" t="s">
        <v>56</v>
      </c>
    </row>
    <row r="349" spans="3:16" ht="23.65" thickBot="1">
      <c r="C349" s="10" t="s">
        <v>51</v>
      </c>
      <c r="D349" s="11">
        <v>342</v>
      </c>
      <c r="E349" s="11" t="s">
        <v>52</v>
      </c>
      <c r="F349" s="11" t="str">
        <f>'Guarantees provided'!G343</f>
        <v>599904831758780</v>
      </c>
      <c r="G349" s="11" t="str">
        <f>'Guarantees provided'!A343</f>
        <v>BANCO SANTANDER TOTTA SA</v>
      </c>
      <c r="H349" s="11" t="str">
        <f>IF('Guarantees provided'!B343="#",'Guarantees provided'!C343,'Guarantees provided'!B343)</f>
        <v>549300URJH9VSI58CS32</v>
      </c>
      <c r="I349" s="11" t="str">
        <f>IF('Guarantees provided'!B343="#","Type of identifier, other than LEI or MFI code","LEI code")</f>
        <v>LEI code</v>
      </c>
      <c r="J349" s="14" t="str">
        <f>IF(OR('Guarantees provided'!H343="E",'Guarantees provided'!H343="x"),"True","False")</f>
        <v>False</v>
      </c>
      <c r="K349" s="11" t="s">
        <v>53</v>
      </c>
      <c r="L349" s="11" t="s">
        <v>54</v>
      </c>
      <c r="M349" s="11">
        <f>-'Guarantees provided'!D343</f>
        <v>5431.91</v>
      </c>
      <c r="N349" s="11" t="s">
        <v>55</v>
      </c>
      <c r="O349" s="11">
        <v>0</v>
      </c>
      <c r="P349" s="12" t="s">
        <v>56</v>
      </c>
    </row>
    <row r="350" spans="3:16" ht="23.65" thickBot="1">
      <c r="C350" s="10" t="s">
        <v>51</v>
      </c>
      <c r="D350" s="11">
        <v>343</v>
      </c>
      <c r="E350" s="11" t="s">
        <v>52</v>
      </c>
      <c r="F350" s="11" t="str">
        <f>'Guarantees provided'!G344</f>
        <v>599904831758970</v>
      </c>
      <c r="G350" s="11" t="str">
        <f>'Guarantees provided'!A344</f>
        <v>BANCO SANTANDER TOTTA SA</v>
      </c>
      <c r="H350" s="11" t="str">
        <f>IF('Guarantees provided'!B344="#",'Guarantees provided'!C344,'Guarantees provided'!B344)</f>
        <v>549300URJH9VSI58CS32</v>
      </c>
      <c r="I350" s="11" t="str">
        <f>IF('Guarantees provided'!B344="#","Type of identifier, other than LEI or MFI code","LEI code")</f>
        <v>LEI code</v>
      </c>
      <c r="J350" s="14" t="str">
        <f>IF(OR('Guarantees provided'!H344="E",'Guarantees provided'!H344="x"),"True","False")</f>
        <v>False</v>
      </c>
      <c r="K350" s="11" t="s">
        <v>53</v>
      </c>
      <c r="L350" s="11" t="s">
        <v>54</v>
      </c>
      <c r="M350" s="11">
        <f>-'Guarantees provided'!D344</f>
        <v>37230.28</v>
      </c>
      <c r="N350" s="11" t="s">
        <v>55</v>
      </c>
      <c r="O350" s="11">
        <v>0</v>
      </c>
      <c r="P350" s="12" t="s">
        <v>56</v>
      </c>
    </row>
    <row r="351" spans="3:16" ht="23.65" thickBot="1">
      <c r="C351" s="10" t="s">
        <v>51</v>
      </c>
      <c r="D351" s="11">
        <v>344</v>
      </c>
      <c r="E351" s="11" t="s">
        <v>52</v>
      </c>
      <c r="F351" s="11" t="str">
        <f>'Guarantees provided'!G345</f>
        <v>599904832221680</v>
      </c>
      <c r="G351" s="11" t="str">
        <f>'Guarantees provided'!A345</f>
        <v>BANCO SANTANDER TOTTA SA</v>
      </c>
      <c r="H351" s="11" t="str">
        <f>IF('Guarantees provided'!B345="#",'Guarantees provided'!C345,'Guarantees provided'!B345)</f>
        <v>549300URJH9VSI58CS32</v>
      </c>
      <c r="I351" s="11" t="str">
        <f>IF('Guarantees provided'!B345="#","Type of identifier, other than LEI or MFI code","LEI code")</f>
        <v>LEI code</v>
      </c>
      <c r="J351" s="14" t="str">
        <f>IF(OR('Guarantees provided'!H345="E",'Guarantees provided'!H345="x"),"True","False")</f>
        <v>False</v>
      </c>
      <c r="K351" s="11" t="s">
        <v>53</v>
      </c>
      <c r="L351" s="11" t="s">
        <v>54</v>
      </c>
      <c r="M351" s="11">
        <f>-'Guarantees provided'!D345</f>
        <v>22715.26</v>
      </c>
      <c r="N351" s="11" t="s">
        <v>55</v>
      </c>
      <c r="O351" s="11">
        <v>0</v>
      </c>
      <c r="P351" s="12" t="s">
        <v>56</v>
      </c>
    </row>
    <row r="352" spans="3:16" ht="23.65" thickBot="1">
      <c r="C352" s="10" t="s">
        <v>51</v>
      </c>
      <c r="D352" s="11">
        <v>345</v>
      </c>
      <c r="E352" s="11" t="s">
        <v>52</v>
      </c>
      <c r="F352" s="11" t="str">
        <f>'Guarantees provided'!G346</f>
        <v>599904832284390</v>
      </c>
      <c r="G352" s="11" t="str">
        <f>'Guarantees provided'!A346</f>
        <v>BANCO SANTANDER TOTTA SA</v>
      </c>
      <c r="H352" s="11" t="str">
        <f>IF('Guarantees provided'!B346="#",'Guarantees provided'!C346,'Guarantees provided'!B346)</f>
        <v>549300URJH9VSI58CS32</v>
      </c>
      <c r="I352" s="11" t="str">
        <f>IF('Guarantees provided'!B346="#","Type of identifier, other than LEI or MFI code","LEI code")</f>
        <v>LEI code</v>
      </c>
      <c r="J352" s="14" t="str">
        <f>IF(OR('Guarantees provided'!H346="E",'Guarantees provided'!H346="x"),"True","False")</f>
        <v>False</v>
      </c>
      <c r="K352" s="11" t="s">
        <v>53</v>
      </c>
      <c r="L352" s="11" t="s">
        <v>54</v>
      </c>
      <c r="M352" s="11">
        <f>-'Guarantees provided'!D346</f>
        <v>7452.04</v>
      </c>
      <c r="N352" s="11" t="s">
        <v>55</v>
      </c>
      <c r="O352" s="11">
        <v>0</v>
      </c>
      <c r="P352" s="12" t="s">
        <v>56</v>
      </c>
    </row>
    <row r="353" spans="3:16" ht="23.65" thickBot="1">
      <c r="C353" s="10" t="s">
        <v>51</v>
      </c>
      <c r="D353" s="11">
        <v>346</v>
      </c>
      <c r="E353" s="11" t="s">
        <v>52</v>
      </c>
      <c r="F353" s="11" t="str">
        <f>'Guarantees provided'!G347</f>
        <v>599904832298600</v>
      </c>
      <c r="G353" s="11" t="str">
        <f>'Guarantees provided'!A347</f>
        <v>BANCO SANTANDER TOTTA SA</v>
      </c>
      <c r="H353" s="11" t="str">
        <f>IF('Guarantees provided'!B347="#",'Guarantees provided'!C347,'Guarantees provided'!B347)</f>
        <v>549300URJH9VSI58CS32</v>
      </c>
      <c r="I353" s="11" t="str">
        <f>IF('Guarantees provided'!B347="#","Type of identifier, other than LEI or MFI code","LEI code")</f>
        <v>LEI code</v>
      </c>
      <c r="J353" s="14" t="str">
        <f>IF(OR('Guarantees provided'!H347="E",'Guarantees provided'!H347="x"),"True","False")</f>
        <v>False</v>
      </c>
      <c r="K353" s="11" t="s">
        <v>53</v>
      </c>
      <c r="L353" s="11" t="s">
        <v>54</v>
      </c>
      <c r="M353" s="11">
        <f>-'Guarantees provided'!D347</f>
        <v>4833.3500000000004</v>
      </c>
      <c r="N353" s="11" t="s">
        <v>55</v>
      </c>
      <c r="O353" s="11">
        <v>0</v>
      </c>
      <c r="P353" s="12" t="s">
        <v>56</v>
      </c>
    </row>
    <row r="354" spans="3:16" ht="23.65" thickBot="1">
      <c r="C354" s="10" t="s">
        <v>51</v>
      </c>
      <c r="D354" s="11">
        <v>347</v>
      </c>
      <c r="E354" s="11" t="s">
        <v>52</v>
      </c>
      <c r="F354" s="11" t="str">
        <f>'Guarantees provided'!G348</f>
        <v>599904832317190</v>
      </c>
      <c r="G354" s="11" t="str">
        <f>'Guarantees provided'!A348</f>
        <v>BANCO SANTANDER TOTTA SA</v>
      </c>
      <c r="H354" s="11" t="str">
        <f>IF('Guarantees provided'!B348="#",'Guarantees provided'!C348,'Guarantees provided'!B348)</f>
        <v>549300URJH9VSI58CS32</v>
      </c>
      <c r="I354" s="11" t="str">
        <f>IF('Guarantees provided'!B348="#","Type of identifier, other than LEI or MFI code","LEI code")</f>
        <v>LEI code</v>
      </c>
      <c r="J354" s="14" t="str">
        <f>IF(OR('Guarantees provided'!H348="E",'Guarantees provided'!H348="x"),"True","False")</f>
        <v>False</v>
      </c>
      <c r="K354" s="11" t="s">
        <v>53</v>
      </c>
      <c r="L354" s="11" t="s">
        <v>54</v>
      </c>
      <c r="M354" s="11">
        <f>-'Guarantees provided'!D348</f>
        <v>9030.74</v>
      </c>
      <c r="N354" s="11" t="s">
        <v>55</v>
      </c>
      <c r="O354" s="11">
        <v>0</v>
      </c>
      <c r="P354" s="12" t="s">
        <v>56</v>
      </c>
    </row>
    <row r="355" spans="3:16" ht="23.65" thickBot="1">
      <c r="C355" s="10" t="s">
        <v>51</v>
      </c>
      <c r="D355" s="11">
        <v>348</v>
      </c>
      <c r="E355" s="11" t="s">
        <v>52</v>
      </c>
      <c r="F355" s="11" t="str">
        <f>'Guarantees provided'!G349</f>
        <v>599904832357140</v>
      </c>
      <c r="G355" s="11" t="str">
        <f>'Guarantees provided'!A349</f>
        <v>BANCO SANTANDER TOTTA SA</v>
      </c>
      <c r="H355" s="11" t="str">
        <f>IF('Guarantees provided'!B349="#",'Guarantees provided'!C349,'Guarantees provided'!B349)</f>
        <v>549300URJH9VSI58CS32</v>
      </c>
      <c r="I355" s="11" t="str">
        <f>IF('Guarantees provided'!B349="#","Type of identifier, other than LEI or MFI code","LEI code")</f>
        <v>LEI code</v>
      </c>
      <c r="J355" s="14" t="str">
        <f>IF(OR('Guarantees provided'!H349="E",'Guarantees provided'!H349="x"),"True","False")</f>
        <v>False</v>
      </c>
      <c r="K355" s="11" t="s">
        <v>53</v>
      </c>
      <c r="L355" s="11" t="s">
        <v>54</v>
      </c>
      <c r="M355" s="11">
        <f>-'Guarantees provided'!D349</f>
        <v>12539.78</v>
      </c>
      <c r="N355" s="11" t="s">
        <v>55</v>
      </c>
      <c r="O355" s="11">
        <v>0</v>
      </c>
      <c r="P355" s="12" t="s">
        <v>56</v>
      </c>
    </row>
    <row r="356" spans="3:16" ht="23.65" thickBot="1">
      <c r="C356" s="10" t="s">
        <v>51</v>
      </c>
      <c r="D356" s="11">
        <v>349</v>
      </c>
      <c r="E356" s="11" t="s">
        <v>52</v>
      </c>
      <c r="F356" s="11" t="str">
        <f>'Guarantees provided'!G350</f>
        <v>599904832399440</v>
      </c>
      <c r="G356" s="11" t="str">
        <f>'Guarantees provided'!A350</f>
        <v>BANCO SANTANDER TOTTA SA</v>
      </c>
      <c r="H356" s="11" t="str">
        <f>IF('Guarantees provided'!B350="#",'Guarantees provided'!C350,'Guarantees provided'!B350)</f>
        <v>549300URJH9VSI58CS32</v>
      </c>
      <c r="I356" s="11" t="str">
        <f>IF('Guarantees provided'!B350="#","Type of identifier, other than LEI or MFI code","LEI code")</f>
        <v>LEI code</v>
      </c>
      <c r="J356" s="14" t="str">
        <f>IF(OR('Guarantees provided'!H350="E",'Guarantees provided'!H350="x"),"True","False")</f>
        <v>False</v>
      </c>
      <c r="K356" s="11" t="s">
        <v>53</v>
      </c>
      <c r="L356" s="11" t="s">
        <v>54</v>
      </c>
      <c r="M356" s="11">
        <f>-'Guarantees provided'!D350</f>
        <v>7227.58</v>
      </c>
      <c r="N356" s="11" t="s">
        <v>55</v>
      </c>
      <c r="O356" s="11">
        <v>0</v>
      </c>
      <c r="P356" s="12" t="s">
        <v>56</v>
      </c>
    </row>
    <row r="357" spans="3:16" ht="23.65" thickBot="1">
      <c r="C357" s="10" t="s">
        <v>51</v>
      </c>
      <c r="D357" s="11">
        <v>350</v>
      </c>
      <c r="E357" s="11" t="s">
        <v>52</v>
      </c>
      <c r="F357" s="11" t="str">
        <f>'Guarantees provided'!G351</f>
        <v>599904832399590</v>
      </c>
      <c r="G357" s="11" t="str">
        <f>'Guarantees provided'!A351</f>
        <v>BANCO SANTANDER TOTTA SA</v>
      </c>
      <c r="H357" s="11" t="str">
        <f>IF('Guarantees provided'!B351="#",'Guarantees provided'!C351,'Guarantees provided'!B351)</f>
        <v>549300URJH9VSI58CS32</v>
      </c>
      <c r="I357" s="11" t="str">
        <f>IF('Guarantees provided'!B351="#","Type of identifier, other than LEI or MFI code","LEI code")</f>
        <v>LEI code</v>
      </c>
      <c r="J357" s="14" t="str">
        <f>IF(OR('Guarantees provided'!H351="E",'Guarantees provided'!H351="x"),"True","False")</f>
        <v>False</v>
      </c>
      <c r="K357" s="11" t="s">
        <v>53</v>
      </c>
      <c r="L357" s="11" t="s">
        <v>54</v>
      </c>
      <c r="M357" s="11">
        <f>-'Guarantees provided'!D351</f>
        <v>4459.25</v>
      </c>
      <c r="N357" s="11" t="s">
        <v>55</v>
      </c>
      <c r="O357" s="11">
        <v>0</v>
      </c>
      <c r="P357" s="12" t="s">
        <v>56</v>
      </c>
    </row>
    <row r="358" spans="3:16" ht="23.65" thickBot="1">
      <c r="C358" s="10" t="s">
        <v>51</v>
      </c>
      <c r="D358" s="11">
        <v>351</v>
      </c>
      <c r="E358" s="11" t="s">
        <v>52</v>
      </c>
      <c r="F358" s="11" t="str">
        <f>'Guarantees provided'!G352</f>
        <v>599904832399630</v>
      </c>
      <c r="G358" s="11" t="str">
        <f>'Guarantees provided'!A352</f>
        <v>BANCO SANTANDER TOTTA SA</v>
      </c>
      <c r="H358" s="11" t="str">
        <f>IF('Guarantees provided'!B352="#",'Guarantees provided'!C352,'Guarantees provided'!B352)</f>
        <v>549300URJH9VSI58CS32</v>
      </c>
      <c r="I358" s="11" t="str">
        <f>IF('Guarantees provided'!B352="#","Type of identifier, other than LEI or MFI code","LEI code")</f>
        <v>LEI code</v>
      </c>
      <c r="J358" s="14" t="str">
        <f>IF(OR('Guarantees provided'!H352="E",'Guarantees provided'!H352="x"),"True","False")</f>
        <v>False</v>
      </c>
      <c r="K358" s="11" t="s">
        <v>53</v>
      </c>
      <c r="L358" s="11" t="s">
        <v>54</v>
      </c>
      <c r="M358" s="11">
        <f>-'Guarantees provided'!D352</f>
        <v>8873.61</v>
      </c>
      <c r="N358" s="11" t="s">
        <v>55</v>
      </c>
      <c r="O358" s="11">
        <v>0</v>
      </c>
      <c r="P358" s="12" t="s">
        <v>56</v>
      </c>
    </row>
    <row r="359" spans="3:16" ht="23.65" thickBot="1">
      <c r="C359" s="10" t="s">
        <v>51</v>
      </c>
      <c r="D359" s="11">
        <v>352</v>
      </c>
      <c r="E359" s="11" t="s">
        <v>52</v>
      </c>
      <c r="F359" s="11" t="str">
        <f>'Guarantees provided'!G353</f>
        <v>599904832439770</v>
      </c>
      <c r="G359" s="11" t="str">
        <f>'Guarantees provided'!A353</f>
        <v>BANCO SANTANDER TOTTA SA</v>
      </c>
      <c r="H359" s="11" t="str">
        <f>IF('Guarantees provided'!B353="#",'Guarantees provided'!C353,'Guarantees provided'!B353)</f>
        <v>549300URJH9VSI58CS32</v>
      </c>
      <c r="I359" s="11" t="str">
        <f>IF('Guarantees provided'!B353="#","Type of identifier, other than LEI or MFI code","LEI code")</f>
        <v>LEI code</v>
      </c>
      <c r="J359" s="14" t="str">
        <f>IF(OR('Guarantees provided'!H353="E",'Guarantees provided'!H353="x"),"True","False")</f>
        <v>False</v>
      </c>
      <c r="K359" s="11" t="s">
        <v>53</v>
      </c>
      <c r="L359" s="11" t="s">
        <v>54</v>
      </c>
      <c r="M359" s="11">
        <f>-'Guarantees provided'!D353</f>
        <v>5506.73</v>
      </c>
      <c r="N359" s="11" t="s">
        <v>55</v>
      </c>
      <c r="O359" s="11">
        <v>0</v>
      </c>
      <c r="P359" s="12" t="s">
        <v>56</v>
      </c>
    </row>
    <row r="360" spans="3:16" ht="23.65" thickBot="1">
      <c r="C360" s="10" t="s">
        <v>51</v>
      </c>
      <c r="D360" s="11">
        <v>353</v>
      </c>
      <c r="E360" s="11" t="s">
        <v>52</v>
      </c>
      <c r="F360" s="11" t="str">
        <f>'Guarantees provided'!G354</f>
        <v>599904832468850</v>
      </c>
      <c r="G360" s="11" t="str">
        <f>'Guarantees provided'!A354</f>
        <v>BANCO SANTANDER TOTTA SA</v>
      </c>
      <c r="H360" s="11" t="str">
        <f>IF('Guarantees provided'!B354="#",'Guarantees provided'!C354,'Guarantees provided'!B354)</f>
        <v>549300URJH9VSI58CS32</v>
      </c>
      <c r="I360" s="11" t="str">
        <f>IF('Guarantees provided'!B354="#","Type of identifier, other than LEI or MFI code","LEI code")</f>
        <v>LEI code</v>
      </c>
      <c r="J360" s="14" t="str">
        <f>IF(OR('Guarantees provided'!H354="E",'Guarantees provided'!H354="x"),"True","False")</f>
        <v>False</v>
      </c>
      <c r="K360" s="11" t="s">
        <v>53</v>
      </c>
      <c r="L360" s="11" t="s">
        <v>54</v>
      </c>
      <c r="M360" s="11">
        <f>-'Guarantees provided'!D354</f>
        <v>8574.34</v>
      </c>
      <c r="N360" s="11" t="s">
        <v>55</v>
      </c>
      <c r="O360" s="11">
        <v>0</v>
      </c>
      <c r="P360" s="12" t="s">
        <v>56</v>
      </c>
    </row>
    <row r="361" spans="3:16" ht="23.65" thickBot="1">
      <c r="C361" s="10" t="s">
        <v>51</v>
      </c>
      <c r="D361" s="11">
        <v>354</v>
      </c>
      <c r="E361" s="11" t="s">
        <v>52</v>
      </c>
      <c r="F361" s="11" t="str">
        <f>'Guarantees provided'!G355</f>
        <v>599904832479910</v>
      </c>
      <c r="G361" s="11" t="str">
        <f>'Guarantees provided'!A355</f>
        <v>BANCO SANTANDER TOTTA SA</v>
      </c>
      <c r="H361" s="11" t="str">
        <f>IF('Guarantees provided'!B355="#",'Guarantees provided'!C355,'Guarantees provided'!B355)</f>
        <v>549300URJH9VSI58CS32</v>
      </c>
      <c r="I361" s="11" t="str">
        <f>IF('Guarantees provided'!B355="#","Type of identifier, other than LEI or MFI code","LEI code")</f>
        <v>LEI code</v>
      </c>
      <c r="J361" s="14" t="str">
        <f>IF(OR('Guarantees provided'!H355="E",'Guarantees provided'!H355="x"),"True","False")</f>
        <v>False</v>
      </c>
      <c r="K361" s="11" t="s">
        <v>53</v>
      </c>
      <c r="L361" s="11" t="s">
        <v>54</v>
      </c>
      <c r="M361" s="11">
        <f>-'Guarantees provided'!D355</f>
        <v>4608.8900000000003</v>
      </c>
      <c r="N361" s="11" t="s">
        <v>55</v>
      </c>
      <c r="O361" s="11">
        <v>0</v>
      </c>
      <c r="P361" s="12" t="s">
        <v>56</v>
      </c>
    </row>
    <row r="362" spans="3:16" ht="23.65" thickBot="1">
      <c r="C362" s="10" t="s">
        <v>51</v>
      </c>
      <c r="D362" s="11">
        <v>355</v>
      </c>
      <c r="E362" s="11" t="s">
        <v>52</v>
      </c>
      <c r="F362" s="11" t="str">
        <f>'Guarantees provided'!G356</f>
        <v>599904832482470</v>
      </c>
      <c r="G362" s="11" t="str">
        <f>'Guarantees provided'!A356</f>
        <v>BANCO SANTANDER TOTTA SA</v>
      </c>
      <c r="H362" s="11" t="str">
        <f>IF('Guarantees provided'!B356="#",'Guarantees provided'!C356,'Guarantees provided'!B356)</f>
        <v>549300URJH9VSI58CS32</v>
      </c>
      <c r="I362" s="11" t="str">
        <f>IF('Guarantees provided'!B356="#","Type of identifier, other than LEI or MFI code","LEI code")</f>
        <v>LEI code</v>
      </c>
      <c r="J362" s="14" t="str">
        <f>IF(OR('Guarantees provided'!H356="E",'Guarantees provided'!H356="x"),"True","False")</f>
        <v>False</v>
      </c>
      <c r="K362" s="11" t="s">
        <v>53</v>
      </c>
      <c r="L362" s="11" t="s">
        <v>54</v>
      </c>
      <c r="M362" s="11">
        <f>-'Guarantees provided'!D356</f>
        <v>3785.88</v>
      </c>
      <c r="N362" s="11" t="s">
        <v>55</v>
      </c>
      <c r="O362" s="11">
        <v>0</v>
      </c>
      <c r="P362" s="12" t="s">
        <v>56</v>
      </c>
    </row>
    <row r="363" spans="3:16" ht="23.65" thickBot="1">
      <c r="C363" s="10" t="s">
        <v>51</v>
      </c>
      <c r="D363" s="11">
        <v>356</v>
      </c>
      <c r="E363" s="11" t="s">
        <v>52</v>
      </c>
      <c r="F363" s="11" t="str">
        <f>'Guarantees provided'!G357</f>
        <v>599904832486720</v>
      </c>
      <c r="G363" s="11" t="str">
        <f>'Guarantees provided'!A357</f>
        <v>BANCO SANTANDER TOTTA SA</v>
      </c>
      <c r="H363" s="11" t="str">
        <f>IF('Guarantees provided'!B357="#",'Guarantees provided'!C357,'Guarantees provided'!B357)</f>
        <v>549300URJH9VSI58CS32</v>
      </c>
      <c r="I363" s="11" t="str">
        <f>IF('Guarantees provided'!B357="#","Type of identifier, other than LEI or MFI code","LEI code")</f>
        <v>LEI code</v>
      </c>
      <c r="J363" s="14" t="str">
        <f>IF(OR('Guarantees provided'!H357="E",'Guarantees provided'!H357="x"),"True","False")</f>
        <v>False</v>
      </c>
      <c r="K363" s="11" t="s">
        <v>53</v>
      </c>
      <c r="L363" s="11" t="s">
        <v>54</v>
      </c>
      <c r="M363" s="11">
        <f>-'Guarantees provided'!D357</f>
        <v>4534.07</v>
      </c>
      <c r="N363" s="11" t="s">
        <v>55</v>
      </c>
      <c r="O363" s="11">
        <v>0</v>
      </c>
      <c r="P363" s="12" t="s">
        <v>56</v>
      </c>
    </row>
    <row r="364" spans="3:16" ht="23.65" thickBot="1">
      <c r="C364" s="10" t="s">
        <v>51</v>
      </c>
      <c r="D364" s="11">
        <v>357</v>
      </c>
      <c r="E364" s="11" t="s">
        <v>52</v>
      </c>
      <c r="F364" s="11" t="str">
        <f>'Guarantees provided'!G358</f>
        <v>599904832487060</v>
      </c>
      <c r="G364" s="11" t="str">
        <f>'Guarantees provided'!A358</f>
        <v>BANCO SANTANDER TOTTA SA</v>
      </c>
      <c r="H364" s="11" t="str">
        <f>IF('Guarantees provided'!B358="#",'Guarantees provided'!C358,'Guarantees provided'!B358)</f>
        <v>549300URJH9VSI58CS32</v>
      </c>
      <c r="I364" s="11" t="str">
        <f>IF('Guarantees provided'!B358="#","Type of identifier, other than LEI or MFI code","LEI code")</f>
        <v>LEI code</v>
      </c>
      <c r="J364" s="14" t="str">
        <f>IF(OR('Guarantees provided'!H358="E",'Guarantees provided'!H358="x"),"True","False")</f>
        <v>False</v>
      </c>
      <c r="K364" s="11" t="s">
        <v>53</v>
      </c>
      <c r="L364" s="11" t="s">
        <v>54</v>
      </c>
      <c r="M364" s="11">
        <f>-'Guarantees provided'!D358</f>
        <v>3486.6</v>
      </c>
      <c r="N364" s="11" t="s">
        <v>55</v>
      </c>
      <c r="O364" s="11">
        <v>0</v>
      </c>
      <c r="P364" s="12" t="s">
        <v>56</v>
      </c>
    </row>
    <row r="365" spans="3:16" ht="23.65" thickBot="1">
      <c r="C365" s="10" t="s">
        <v>51</v>
      </c>
      <c r="D365" s="11">
        <v>358</v>
      </c>
      <c r="E365" s="11" t="s">
        <v>52</v>
      </c>
      <c r="F365" s="11" t="str">
        <f>'Guarantees provided'!G359</f>
        <v>599904832497550</v>
      </c>
      <c r="G365" s="11" t="str">
        <f>'Guarantees provided'!A359</f>
        <v>BANCO SANTANDER TOTTA SA</v>
      </c>
      <c r="H365" s="11" t="str">
        <f>IF('Guarantees provided'!B359="#",'Guarantees provided'!C359,'Guarantees provided'!B359)</f>
        <v>549300URJH9VSI58CS32</v>
      </c>
      <c r="I365" s="11" t="str">
        <f>IF('Guarantees provided'!B359="#","Type of identifier, other than LEI or MFI code","LEI code")</f>
        <v>LEI code</v>
      </c>
      <c r="J365" s="14" t="str">
        <f>IF(OR('Guarantees provided'!H359="E",'Guarantees provided'!H359="x"),"True","False")</f>
        <v>False</v>
      </c>
      <c r="K365" s="11" t="s">
        <v>53</v>
      </c>
      <c r="L365" s="11" t="s">
        <v>54</v>
      </c>
      <c r="M365" s="11">
        <f>-'Guarantees provided'!D359</f>
        <v>3935.52</v>
      </c>
      <c r="N365" s="11" t="s">
        <v>55</v>
      </c>
      <c r="O365" s="11">
        <v>0</v>
      </c>
      <c r="P365" s="12" t="s">
        <v>56</v>
      </c>
    </row>
    <row r="366" spans="3:16" ht="23.65" thickBot="1">
      <c r="C366" s="10" t="s">
        <v>51</v>
      </c>
      <c r="D366" s="11">
        <v>359</v>
      </c>
      <c r="E366" s="11" t="s">
        <v>52</v>
      </c>
      <c r="F366" s="11" t="str">
        <f>'Guarantees provided'!G360</f>
        <v>599904832516560</v>
      </c>
      <c r="G366" s="11" t="str">
        <f>'Guarantees provided'!A360</f>
        <v>BANCO SANTANDER TOTTA SA</v>
      </c>
      <c r="H366" s="11" t="str">
        <f>IF('Guarantees provided'!B360="#",'Guarantees provided'!C360,'Guarantees provided'!B360)</f>
        <v>549300URJH9VSI58CS32</v>
      </c>
      <c r="I366" s="11" t="str">
        <f>IF('Guarantees provided'!B360="#","Type of identifier, other than LEI or MFI code","LEI code")</f>
        <v>LEI code</v>
      </c>
      <c r="J366" s="14" t="str">
        <f>IF(OR('Guarantees provided'!H360="E",'Guarantees provided'!H360="x"),"True","False")</f>
        <v>False</v>
      </c>
      <c r="K366" s="11" t="s">
        <v>53</v>
      </c>
      <c r="L366" s="11" t="s">
        <v>54</v>
      </c>
      <c r="M366" s="11">
        <f>-'Guarantees provided'!D360</f>
        <v>3411.78</v>
      </c>
      <c r="N366" s="11" t="s">
        <v>55</v>
      </c>
      <c r="O366" s="11">
        <v>0</v>
      </c>
      <c r="P366" s="12" t="s">
        <v>56</v>
      </c>
    </row>
    <row r="367" spans="3:16" ht="23.65" thickBot="1">
      <c r="C367" s="10" t="s">
        <v>51</v>
      </c>
      <c r="D367" s="11">
        <v>360</v>
      </c>
      <c r="E367" s="11" t="s">
        <v>52</v>
      </c>
      <c r="F367" s="11" t="str">
        <f>'Guarantees provided'!G361</f>
        <v>599904832527100</v>
      </c>
      <c r="G367" s="11" t="str">
        <f>'Guarantees provided'!A361</f>
        <v>BANCO SANTANDER TOTTA SA</v>
      </c>
      <c r="H367" s="11" t="str">
        <f>IF('Guarantees provided'!B361="#",'Guarantees provided'!C361,'Guarantees provided'!B361)</f>
        <v>549300URJH9VSI58CS32</v>
      </c>
      <c r="I367" s="11" t="str">
        <f>IF('Guarantees provided'!B361="#","Type of identifier, other than LEI or MFI code","LEI code")</f>
        <v>LEI code</v>
      </c>
      <c r="J367" s="14" t="str">
        <f>IF(OR('Guarantees provided'!H361="E",'Guarantees provided'!H361="x"),"True","False")</f>
        <v>False</v>
      </c>
      <c r="K367" s="11" t="s">
        <v>53</v>
      </c>
      <c r="L367" s="11" t="s">
        <v>54</v>
      </c>
      <c r="M367" s="11">
        <f>-'Guarantees provided'!D361</f>
        <v>4085.15</v>
      </c>
      <c r="N367" s="11" t="s">
        <v>55</v>
      </c>
      <c r="O367" s="11">
        <v>0</v>
      </c>
      <c r="P367" s="12" t="s">
        <v>56</v>
      </c>
    </row>
    <row r="368" spans="3:16" ht="23.65" thickBot="1">
      <c r="C368" s="10" t="s">
        <v>51</v>
      </c>
      <c r="D368" s="11">
        <v>361</v>
      </c>
      <c r="E368" s="11" t="s">
        <v>52</v>
      </c>
      <c r="F368" s="11" t="str">
        <f>'Guarantees provided'!G362</f>
        <v>599904832529820</v>
      </c>
      <c r="G368" s="11" t="str">
        <f>'Guarantees provided'!A362</f>
        <v>BANCO SANTANDER TOTTA SA</v>
      </c>
      <c r="H368" s="11" t="str">
        <f>IF('Guarantees provided'!B362="#",'Guarantees provided'!C362,'Guarantees provided'!B362)</f>
        <v>549300URJH9VSI58CS32</v>
      </c>
      <c r="I368" s="11" t="str">
        <f>IF('Guarantees provided'!B362="#","Type of identifier, other than LEI or MFI code","LEI code")</f>
        <v>LEI code</v>
      </c>
      <c r="J368" s="14" t="str">
        <f>IF(OR('Guarantees provided'!H362="E",'Guarantees provided'!H362="x"),"True","False")</f>
        <v>False</v>
      </c>
      <c r="K368" s="11" t="s">
        <v>53</v>
      </c>
      <c r="L368" s="11" t="s">
        <v>54</v>
      </c>
      <c r="M368" s="11">
        <f>-'Guarantees provided'!D362</f>
        <v>3112.5</v>
      </c>
      <c r="N368" s="11" t="s">
        <v>55</v>
      </c>
      <c r="O368" s="11">
        <v>0</v>
      </c>
      <c r="P368" s="12" t="s">
        <v>56</v>
      </c>
    </row>
    <row r="369" spans="3:16" ht="23.65" thickBot="1">
      <c r="C369" s="10" t="s">
        <v>51</v>
      </c>
      <c r="D369" s="11">
        <v>362</v>
      </c>
      <c r="E369" s="11" t="s">
        <v>52</v>
      </c>
      <c r="F369" s="11" t="str">
        <f>'Guarantees provided'!G363</f>
        <v>599904832537730</v>
      </c>
      <c r="G369" s="11" t="str">
        <f>'Guarantees provided'!A363</f>
        <v>BANCO SANTANDER TOTTA SA</v>
      </c>
      <c r="H369" s="11" t="str">
        <f>IF('Guarantees provided'!B363="#",'Guarantees provided'!C363,'Guarantees provided'!B363)</f>
        <v>549300URJH9VSI58CS32</v>
      </c>
      <c r="I369" s="11" t="str">
        <f>IF('Guarantees provided'!B363="#","Type of identifier, other than LEI or MFI code","LEI code")</f>
        <v>LEI code</v>
      </c>
      <c r="J369" s="14" t="str">
        <f>IF(OR('Guarantees provided'!H363="E",'Guarantees provided'!H363="x"),"True","False")</f>
        <v>False</v>
      </c>
      <c r="K369" s="11" t="s">
        <v>53</v>
      </c>
      <c r="L369" s="11" t="s">
        <v>54</v>
      </c>
      <c r="M369" s="11">
        <f>-'Guarantees provided'!D363</f>
        <v>8125.42</v>
      </c>
      <c r="N369" s="11" t="s">
        <v>55</v>
      </c>
      <c r="O369" s="11">
        <v>0</v>
      </c>
      <c r="P369" s="12" t="s">
        <v>56</v>
      </c>
    </row>
    <row r="370" spans="3:16" ht="23.65" thickBot="1">
      <c r="C370" s="10" t="s">
        <v>51</v>
      </c>
      <c r="D370" s="11">
        <v>363</v>
      </c>
      <c r="E370" s="11" t="s">
        <v>52</v>
      </c>
      <c r="F370" s="11" t="str">
        <f>'Guarantees provided'!G364</f>
        <v>599904832573580</v>
      </c>
      <c r="G370" s="11" t="str">
        <f>'Guarantees provided'!A364</f>
        <v>BANCO SANTANDER TOTTA SA</v>
      </c>
      <c r="H370" s="11" t="str">
        <f>IF('Guarantees provided'!B364="#",'Guarantees provided'!C364,'Guarantees provided'!B364)</f>
        <v>549300URJH9VSI58CS32</v>
      </c>
      <c r="I370" s="11" t="str">
        <f>IF('Guarantees provided'!B364="#","Type of identifier, other than LEI or MFI code","LEI code")</f>
        <v>LEI code</v>
      </c>
      <c r="J370" s="14" t="str">
        <f>IF(OR('Guarantees provided'!H364="E",'Guarantees provided'!H364="x"),"True","False")</f>
        <v>False</v>
      </c>
      <c r="K370" s="11" t="s">
        <v>53</v>
      </c>
      <c r="L370" s="11" t="s">
        <v>54</v>
      </c>
      <c r="M370" s="11">
        <f>-'Guarantees provided'!D364</f>
        <v>3164.87</v>
      </c>
      <c r="N370" s="11" t="s">
        <v>55</v>
      </c>
      <c r="O370" s="11">
        <v>0</v>
      </c>
      <c r="P370" s="12" t="s">
        <v>56</v>
      </c>
    </row>
    <row r="371" spans="3:16" ht="23.65" thickBot="1">
      <c r="C371" s="10" t="s">
        <v>51</v>
      </c>
      <c r="D371" s="11">
        <v>364</v>
      </c>
      <c r="E371" s="11" t="s">
        <v>52</v>
      </c>
      <c r="F371" s="11" t="str">
        <f>'Guarantees provided'!G365</f>
        <v>599904832573620</v>
      </c>
      <c r="G371" s="11" t="str">
        <f>'Guarantees provided'!A365</f>
        <v>BANCO SANTANDER TOTTA SA</v>
      </c>
      <c r="H371" s="11" t="str">
        <f>IF('Guarantees provided'!B365="#",'Guarantees provided'!C365,'Guarantees provided'!B365)</f>
        <v>549300URJH9VSI58CS32</v>
      </c>
      <c r="I371" s="11" t="str">
        <f>IF('Guarantees provided'!B365="#","Type of identifier, other than LEI or MFI code","LEI code")</f>
        <v>LEI code</v>
      </c>
      <c r="J371" s="14" t="str">
        <f>IF(OR('Guarantees provided'!H365="E",'Guarantees provided'!H365="x"),"True","False")</f>
        <v>False</v>
      </c>
      <c r="K371" s="11" t="s">
        <v>53</v>
      </c>
      <c r="L371" s="11" t="s">
        <v>54</v>
      </c>
      <c r="M371" s="11">
        <f>-'Guarantees provided'!D365</f>
        <v>10347.56</v>
      </c>
      <c r="N371" s="11" t="s">
        <v>55</v>
      </c>
      <c r="O371" s="11">
        <v>0</v>
      </c>
      <c r="P371" s="12" t="s">
        <v>56</v>
      </c>
    </row>
    <row r="372" spans="3:16" ht="23.65" thickBot="1">
      <c r="C372" s="10" t="s">
        <v>51</v>
      </c>
      <c r="D372" s="11">
        <v>365</v>
      </c>
      <c r="E372" s="11" t="s">
        <v>52</v>
      </c>
      <c r="F372" s="11" t="str">
        <f>'Guarantees provided'!G366</f>
        <v>599904832580100</v>
      </c>
      <c r="G372" s="11" t="str">
        <f>'Guarantees provided'!A366</f>
        <v>BANCO SANTANDER TOTTA SA</v>
      </c>
      <c r="H372" s="11" t="str">
        <f>IF('Guarantees provided'!B366="#",'Guarantees provided'!C366,'Guarantees provided'!B366)</f>
        <v>549300URJH9VSI58CS32</v>
      </c>
      <c r="I372" s="11" t="str">
        <f>IF('Guarantees provided'!B366="#","Type of identifier, other than LEI or MFI code","LEI code")</f>
        <v>LEI code</v>
      </c>
      <c r="J372" s="14" t="str">
        <f>IF(OR('Guarantees provided'!H366="E",'Guarantees provided'!H366="x"),"True","False")</f>
        <v>False</v>
      </c>
      <c r="K372" s="11" t="s">
        <v>53</v>
      </c>
      <c r="L372" s="11" t="s">
        <v>54</v>
      </c>
      <c r="M372" s="11">
        <f>-'Guarantees provided'!D366</f>
        <v>4713.6400000000003</v>
      </c>
      <c r="N372" s="11" t="s">
        <v>55</v>
      </c>
      <c r="O372" s="11">
        <v>0</v>
      </c>
      <c r="P372" s="12" t="s">
        <v>56</v>
      </c>
    </row>
    <row r="373" spans="3:16" ht="23.65" thickBot="1">
      <c r="C373" s="10" t="s">
        <v>51</v>
      </c>
      <c r="D373" s="11">
        <v>366</v>
      </c>
      <c r="E373" s="11" t="s">
        <v>52</v>
      </c>
      <c r="F373" s="11" t="str">
        <f>'Guarantees provided'!G367</f>
        <v>599904832597710</v>
      </c>
      <c r="G373" s="11" t="str">
        <f>'Guarantees provided'!A367</f>
        <v>BANCO SANTANDER TOTTA SA</v>
      </c>
      <c r="H373" s="11" t="str">
        <f>IF('Guarantees provided'!B367="#",'Guarantees provided'!C367,'Guarantees provided'!B367)</f>
        <v>549300URJH9VSI58CS32</v>
      </c>
      <c r="I373" s="11" t="str">
        <f>IF('Guarantees provided'!B367="#","Type of identifier, other than LEI or MFI code","LEI code")</f>
        <v>LEI code</v>
      </c>
      <c r="J373" s="14" t="str">
        <f>IF(OR('Guarantees provided'!H367="E",'Guarantees provided'!H367="x"),"True","False")</f>
        <v>False</v>
      </c>
      <c r="K373" s="11" t="s">
        <v>53</v>
      </c>
      <c r="L373" s="11" t="s">
        <v>54</v>
      </c>
      <c r="M373" s="11">
        <f>-'Guarantees provided'!D367</f>
        <v>3561.42</v>
      </c>
      <c r="N373" s="11" t="s">
        <v>55</v>
      </c>
      <c r="O373" s="11">
        <v>0</v>
      </c>
      <c r="P373" s="12" t="s">
        <v>56</v>
      </c>
    </row>
    <row r="374" spans="3:16" ht="23.65" thickBot="1">
      <c r="C374" s="10" t="s">
        <v>51</v>
      </c>
      <c r="D374" s="11">
        <v>367</v>
      </c>
      <c r="E374" s="11" t="s">
        <v>52</v>
      </c>
      <c r="F374" s="11" t="str">
        <f>'Guarantees provided'!G368</f>
        <v>599904832660000</v>
      </c>
      <c r="G374" s="11" t="str">
        <f>'Guarantees provided'!A368</f>
        <v>BANCO SANTANDER TOTTA SA</v>
      </c>
      <c r="H374" s="11" t="str">
        <f>IF('Guarantees provided'!B368="#",'Guarantees provided'!C368,'Guarantees provided'!B368)</f>
        <v>549300URJH9VSI58CS32</v>
      </c>
      <c r="I374" s="11" t="str">
        <f>IF('Guarantees provided'!B368="#","Type of identifier, other than LEI or MFI code","LEI code")</f>
        <v>LEI code</v>
      </c>
      <c r="J374" s="14" t="str">
        <f>IF(OR('Guarantees provided'!H368="E",'Guarantees provided'!H368="x"),"True","False")</f>
        <v>False</v>
      </c>
      <c r="K374" s="11" t="s">
        <v>53</v>
      </c>
      <c r="L374" s="11" t="s">
        <v>54</v>
      </c>
      <c r="M374" s="11">
        <f>-'Guarantees provided'!D368</f>
        <v>4833.3500000000004</v>
      </c>
      <c r="N374" s="11" t="s">
        <v>55</v>
      </c>
      <c r="O374" s="11">
        <v>0</v>
      </c>
      <c r="P374" s="12" t="s">
        <v>56</v>
      </c>
    </row>
    <row r="375" spans="3:16" ht="23.65" thickBot="1">
      <c r="C375" s="10" t="s">
        <v>51</v>
      </c>
      <c r="D375" s="11">
        <v>368</v>
      </c>
      <c r="E375" s="11" t="s">
        <v>52</v>
      </c>
      <c r="F375" s="11" t="str">
        <f>'Guarantees provided'!G369</f>
        <v>599904832711680</v>
      </c>
      <c r="G375" s="11" t="str">
        <f>'Guarantees provided'!A369</f>
        <v>BANCO SANTANDER TOTTA SA</v>
      </c>
      <c r="H375" s="11" t="str">
        <f>IF('Guarantees provided'!B369="#",'Guarantees provided'!C369,'Guarantees provided'!B369)</f>
        <v>549300URJH9VSI58CS32</v>
      </c>
      <c r="I375" s="11" t="str">
        <f>IF('Guarantees provided'!B369="#","Type of identifier, other than LEI or MFI code","LEI code")</f>
        <v>LEI code</v>
      </c>
      <c r="J375" s="14" t="str">
        <f>IF(OR('Guarantees provided'!H369="E",'Guarantees provided'!H369="x"),"True","False")</f>
        <v>False</v>
      </c>
      <c r="K375" s="11" t="s">
        <v>53</v>
      </c>
      <c r="L375" s="11" t="s">
        <v>54</v>
      </c>
      <c r="M375" s="11">
        <f>-'Guarantees provided'!D369</f>
        <v>3561.42</v>
      </c>
      <c r="N375" s="11" t="s">
        <v>55</v>
      </c>
      <c r="O375" s="11">
        <v>0</v>
      </c>
      <c r="P375" s="12" t="s">
        <v>56</v>
      </c>
    </row>
    <row r="376" spans="3:16" ht="23.65" thickBot="1">
      <c r="C376" s="10" t="s">
        <v>51</v>
      </c>
      <c r="D376" s="11">
        <v>369</v>
      </c>
      <c r="E376" s="11" t="s">
        <v>52</v>
      </c>
      <c r="F376" s="11" t="str">
        <f>'Guarantees provided'!G370</f>
        <v>599904832711720</v>
      </c>
      <c r="G376" s="11" t="str">
        <f>'Guarantees provided'!A370</f>
        <v>BANCO SANTANDER TOTTA SA</v>
      </c>
      <c r="H376" s="11" t="str">
        <f>IF('Guarantees provided'!B370="#",'Guarantees provided'!C370,'Guarantees provided'!B370)</f>
        <v>549300URJH9VSI58CS32</v>
      </c>
      <c r="I376" s="11" t="str">
        <f>IF('Guarantees provided'!B370="#","Type of identifier, other than LEI or MFI code","LEI code")</f>
        <v>LEI code</v>
      </c>
      <c r="J376" s="14" t="str">
        <f>IF(OR('Guarantees provided'!H370="E",'Guarantees provided'!H370="x"),"True","False")</f>
        <v>False</v>
      </c>
      <c r="K376" s="11" t="s">
        <v>53</v>
      </c>
      <c r="L376" s="11" t="s">
        <v>54</v>
      </c>
      <c r="M376" s="11">
        <f>-'Guarantees provided'!D370</f>
        <v>3187.32</v>
      </c>
      <c r="N376" s="11" t="s">
        <v>55</v>
      </c>
      <c r="O376" s="11">
        <v>0</v>
      </c>
      <c r="P376" s="12" t="s">
        <v>56</v>
      </c>
    </row>
    <row r="377" spans="3:16" ht="23.65" thickBot="1">
      <c r="C377" s="10" t="s">
        <v>51</v>
      </c>
      <c r="D377" s="11">
        <v>370</v>
      </c>
      <c r="E377" s="11" t="s">
        <v>52</v>
      </c>
      <c r="F377" s="11" t="str">
        <f>'Guarantees provided'!G371</f>
        <v>599904832793400</v>
      </c>
      <c r="G377" s="11" t="str">
        <f>'Guarantees provided'!A371</f>
        <v>BANCO SANTANDER TOTTA SA</v>
      </c>
      <c r="H377" s="11" t="str">
        <f>IF('Guarantees provided'!B371="#",'Guarantees provided'!C371,'Guarantees provided'!B371)</f>
        <v>549300URJH9VSI58CS32</v>
      </c>
      <c r="I377" s="11" t="str">
        <f>IF('Guarantees provided'!B371="#","Type of identifier, other than LEI or MFI code","LEI code")</f>
        <v>LEI code</v>
      </c>
      <c r="J377" s="14" t="str">
        <f>IF(OR('Guarantees provided'!H371="E",'Guarantees provided'!H371="x"),"True","False")</f>
        <v>False</v>
      </c>
      <c r="K377" s="11" t="s">
        <v>53</v>
      </c>
      <c r="L377" s="11" t="s">
        <v>54</v>
      </c>
      <c r="M377" s="11">
        <f>-'Guarantees provided'!D371</f>
        <v>7429.59</v>
      </c>
      <c r="N377" s="11" t="s">
        <v>55</v>
      </c>
      <c r="O377" s="11">
        <v>0</v>
      </c>
      <c r="P377" s="12" t="s">
        <v>56</v>
      </c>
    </row>
    <row r="378" spans="3:16" ht="23.65" thickBot="1">
      <c r="C378" s="10" t="s">
        <v>51</v>
      </c>
      <c r="D378" s="11">
        <v>371</v>
      </c>
      <c r="E378" s="11" t="s">
        <v>52</v>
      </c>
      <c r="F378" s="11" t="str">
        <f>'Guarantees provided'!G372</f>
        <v>599904832808140</v>
      </c>
      <c r="G378" s="11" t="str">
        <f>'Guarantees provided'!A372</f>
        <v>BANCO SANTANDER TOTTA SA</v>
      </c>
      <c r="H378" s="11" t="str">
        <f>IF('Guarantees provided'!B372="#",'Guarantees provided'!C372,'Guarantees provided'!B372)</f>
        <v>549300URJH9VSI58CS32</v>
      </c>
      <c r="I378" s="11" t="str">
        <f>IF('Guarantees provided'!B372="#","Type of identifier, other than LEI or MFI code","LEI code")</f>
        <v>LEI code</v>
      </c>
      <c r="J378" s="14" t="str">
        <f>IF(OR('Guarantees provided'!H372="E",'Guarantees provided'!H372="x"),"True","False")</f>
        <v>False</v>
      </c>
      <c r="K378" s="11" t="s">
        <v>53</v>
      </c>
      <c r="L378" s="11" t="s">
        <v>54</v>
      </c>
      <c r="M378" s="11">
        <f>-'Guarantees provided'!D372</f>
        <v>7826.14</v>
      </c>
      <c r="N378" s="11" t="s">
        <v>55</v>
      </c>
      <c r="O378" s="11">
        <v>0</v>
      </c>
      <c r="P378" s="12" t="s">
        <v>56</v>
      </c>
    </row>
    <row r="379" spans="3:16" ht="23.65" thickBot="1">
      <c r="C379" s="10" t="s">
        <v>51</v>
      </c>
      <c r="D379" s="11">
        <v>372</v>
      </c>
      <c r="E379" s="11" t="s">
        <v>52</v>
      </c>
      <c r="F379" s="11" t="str">
        <f>'Guarantees provided'!G373</f>
        <v>599904832822140</v>
      </c>
      <c r="G379" s="11" t="str">
        <f>'Guarantees provided'!A373</f>
        <v>BANCO SANTANDER TOTTA SA</v>
      </c>
      <c r="H379" s="11" t="str">
        <f>IF('Guarantees provided'!B373="#",'Guarantees provided'!C373,'Guarantees provided'!B373)</f>
        <v>549300URJH9VSI58CS32</v>
      </c>
      <c r="I379" s="11" t="str">
        <f>IF('Guarantees provided'!B373="#","Type of identifier, other than LEI or MFI code","LEI code")</f>
        <v>LEI code</v>
      </c>
      <c r="J379" s="14" t="str">
        <f>IF(OR('Guarantees provided'!H373="E",'Guarantees provided'!H373="x"),"True","False")</f>
        <v>False</v>
      </c>
      <c r="K379" s="11" t="s">
        <v>53</v>
      </c>
      <c r="L379" s="11" t="s">
        <v>54</v>
      </c>
      <c r="M379" s="11">
        <f>-'Guarantees provided'!D373</f>
        <v>3112.5</v>
      </c>
      <c r="N379" s="11" t="s">
        <v>55</v>
      </c>
      <c r="O379" s="11">
        <v>0</v>
      </c>
      <c r="P379" s="12" t="s">
        <v>56</v>
      </c>
    </row>
    <row r="380" spans="3:16" ht="23.65" thickBot="1">
      <c r="C380" s="10" t="s">
        <v>51</v>
      </c>
      <c r="D380" s="11">
        <v>373</v>
      </c>
      <c r="E380" s="11" t="s">
        <v>52</v>
      </c>
      <c r="F380" s="11" t="str">
        <f>'Guarantees provided'!G374</f>
        <v>599904832822290</v>
      </c>
      <c r="G380" s="11" t="str">
        <f>'Guarantees provided'!A374</f>
        <v>BANCO SANTANDER TOTTA SA</v>
      </c>
      <c r="H380" s="11" t="str">
        <f>IF('Guarantees provided'!B374="#",'Guarantees provided'!C374,'Guarantees provided'!B374)</f>
        <v>549300URJH9VSI58CS32</v>
      </c>
      <c r="I380" s="11" t="str">
        <f>IF('Guarantees provided'!B374="#","Type of identifier, other than LEI or MFI code","LEI code")</f>
        <v>LEI code</v>
      </c>
      <c r="J380" s="14" t="str">
        <f>IF(OR('Guarantees provided'!H374="E",'Guarantees provided'!H374="x"),"True","False")</f>
        <v>False</v>
      </c>
      <c r="K380" s="11" t="s">
        <v>53</v>
      </c>
      <c r="L380" s="11" t="s">
        <v>54</v>
      </c>
      <c r="M380" s="11">
        <f>-'Guarantees provided'!D374</f>
        <v>4309.6099999999997</v>
      </c>
      <c r="N380" s="11" t="s">
        <v>55</v>
      </c>
      <c r="O380" s="11">
        <v>0</v>
      </c>
      <c r="P380" s="12" t="s">
        <v>56</v>
      </c>
    </row>
    <row r="381" spans="3:16" ht="23.65" thickBot="1">
      <c r="C381" s="10" t="s">
        <v>51</v>
      </c>
      <c r="D381" s="11">
        <v>374</v>
      </c>
      <c r="E381" s="11" t="s">
        <v>52</v>
      </c>
      <c r="F381" s="11" t="str">
        <f>'Guarantees provided'!G375</f>
        <v>599904832822330</v>
      </c>
      <c r="G381" s="11" t="str">
        <f>'Guarantees provided'!A375</f>
        <v>BANCO SANTANDER TOTTA SA</v>
      </c>
      <c r="H381" s="11" t="str">
        <f>IF('Guarantees provided'!B375="#",'Guarantees provided'!C375,'Guarantees provided'!B375)</f>
        <v>549300URJH9VSI58CS32</v>
      </c>
      <c r="I381" s="11" t="str">
        <f>IF('Guarantees provided'!B375="#","Type of identifier, other than LEI or MFI code","LEI code")</f>
        <v>LEI code</v>
      </c>
      <c r="J381" s="14" t="str">
        <f>IF(OR('Guarantees provided'!H375="E",'Guarantees provided'!H375="x"),"True","False")</f>
        <v>False</v>
      </c>
      <c r="K381" s="11" t="s">
        <v>53</v>
      </c>
      <c r="L381" s="11" t="s">
        <v>54</v>
      </c>
      <c r="M381" s="11">
        <f>-'Guarantees provided'!D375</f>
        <v>3561.42</v>
      </c>
      <c r="N381" s="11" t="s">
        <v>55</v>
      </c>
      <c r="O381" s="11">
        <v>0</v>
      </c>
      <c r="P381" s="12" t="s">
        <v>56</v>
      </c>
    </row>
    <row r="382" spans="3:16" ht="23.65" thickBot="1">
      <c r="C382" s="10" t="s">
        <v>51</v>
      </c>
      <c r="D382" s="11">
        <v>375</v>
      </c>
      <c r="E382" s="11" t="s">
        <v>52</v>
      </c>
      <c r="F382" s="11" t="str">
        <f>'Guarantees provided'!G376</f>
        <v>599904832822520</v>
      </c>
      <c r="G382" s="11" t="str">
        <f>'Guarantees provided'!A376</f>
        <v>BANCO SANTANDER TOTTA SA</v>
      </c>
      <c r="H382" s="11" t="str">
        <f>IF('Guarantees provided'!B376="#",'Guarantees provided'!C376,'Guarantees provided'!B376)</f>
        <v>549300URJH9VSI58CS32</v>
      </c>
      <c r="I382" s="11" t="str">
        <f>IF('Guarantees provided'!B376="#","Type of identifier, other than LEI or MFI code","LEI code")</f>
        <v>LEI code</v>
      </c>
      <c r="J382" s="14" t="str">
        <f>IF(OR('Guarantees provided'!H376="E",'Guarantees provided'!H376="x"),"True","False")</f>
        <v>False</v>
      </c>
      <c r="K382" s="11" t="s">
        <v>53</v>
      </c>
      <c r="L382" s="11" t="s">
        <v>54</v>
      </c>
      <c r="M382" s="11">
        <f>-'Guarantees provided'!D376</f>
        <v>10145.549999999999</v>
      </c>
      <c r="N382" s="11" t="s">
        <v>55</v>
      </c>
      <c r="O382" s="11">
        <v>0</v>
      </c>
      <c r="P382" s="12" t="s">
        <v>56</v>
      </c>
    </row>
    <row r="383" spans="3:16" ht="23.65" thickBot="1">
      <c r="C383" s="10" t="s">
        <v>51</v>
      </c>
      <c r="D383" s="11">
        <v>376</v>
      </c>
      <c r="E383" s="11" t="s">
        <v>52</v>
      </c>
      <c r="F383" s="11" t="str">
        <f>'Guarantees provided'!G377</f>
        <v>599904832822670</v>
      </c>
      <c r="G383" s="11" t="str">
        <f>'Guarantees provided'!A377</f>
        <v>BANCO SANTANDER TOTTA SA</v>
      </c>
      <c r="H383" s="11" t="str">
        <f>IF('Guarantees provided'!B377="#",'Guarantees provided'!C377,'Guarantees provided'!B377)</f>
        <v>549300URJH9VSI58CS32</v>
      </c>
      <c r="I383" s="11" t="str">
        <f>IF('Guarantees provided'!B377="#","Type of identifier, other than LEI or MFI code","LEI code")</f>
        <v>LEI code</v>
      </c>
      <c r="J383" s="14" t="str">
        <f>IF(OR('Guarantees provided'!H377="E",'Guarantees provided'!H377="x"),"True","False")</f>
        <v>False</v>
      </c>
      <c r="K383" s="11" t="s">
        <v>53</v>
      </c>
      <c r="L383" s="11" t="s">
        <v>54</v>
      </c>
      <c r="M383" s="11">
        <f>-'Guarantees provided'!D377</f>
        <v>12240.5</v>
      </c>
      <c r="N383" s="11" t="s">
        <v>55</v>
      </c>
      <c r="O383" s="11">
        <v>0</v>
      </c>
      <c r="P383" s="12" t="s">
        <v>56</v>
      </c>
    </row>
    <row r="384" spans="3:16" ht="23.65" thickBot="1">
      <c r="C384" s="10" t="s">
        <v>51</v>
      </c>
      <c r="D384" s="11">
        <v>377</v>
      </c>
      <c r="E384" s="11" t="s">
        <v>52</v>
      </c>
      <c r="F384" s="11" t="str">
        <f>'Guarantees provided'!G378</f>
        <v>599904832838280</v>
      </c>
      <c r="G384" s="11" t="str">
        <f>'Guarantees provided'!A378</f>
        <v>BANCO SANTANDER TOTTA SA</v>
      </c>
      <c r="H384" s="11" t="str">
        <f>IF('Guarantees provided'!B378="#",'Guarantees provided'!C378,'Guarantees provided'!B378)</f>
        <v>549300URJH9VSI58CS32</v>
      </c>
      <c r="I384" s="11" t="str">
        <f>IF('Guarantees provided'!B378="#","Type of identifier, other than LEI or MFI code","LEI code")</f>
        <v>LEI code</v>
      </c>
      <c r="J384" s="14" t="str">
        <f>IF(OR('Guarantees provided'!H378="E",'Guarantees provided'!H378="x"),"True","False")</f>
        <v>False</v>
      </c>
      <c r="K384" s="11" t="s">
        <v>53</v>
      </c>
      <c r="L384" s="11" t="s">
        <v>54</v>
      </c>
      <c r="M384" s="11">
        <f>-'Guarantees provided'!D378</f>
        <v>3561.42</v>
      </c>
      <c r="N384" s="11" t="s">
        <v>55</v>
      </c>
      <c r="O384" s="11">
        <v>0</v>
      </c>
      <c r="P384" s="12" t="s">
        <v>56</v>
      </c>
    </row>
    <row r="385" spans="3:16" ht="23.65" thickBot="1">
      <c r="C385" s="10" t="s">
        <v>51</v>
      </c>
      <c r="D385" s="11">
        <v>378</v>
      </c>
      <c r="E385" s="11" t="s">
        <v>52</v>
      </c>
      <c r="F385" s="11" t="str">
        <f>'Guarantees provided'!G379</f>
        <v>599904832838320</v>
      </c>
      <c r="G385" s="11" t="str">
        <f>'Guarantees provided'!A379</f>
        <v>BANCO SANTANDER TOTTA SA</v>
      </c>
      <c r="H385" s="11" t="str">
        <f>IF('Guarantees provided'!B379="#",'Guarantees provided'!C379,'Guarantees provided'!B379)</f>
        <v>549300URJH9VSI58CS32</v>
      </c>
      <c r="I385" s="11" t="str">
        <f>IF('Guarantees provided'!B379="#","Type of identifier, other than LEI or MFI code","LEI code")</f>
        <v>LEI code</v>
      </c>
      <c r="J385" s="14" t="str">
        <f>IF(OR('Guarantees provided'!H379="E",'Guarantees provided'!H379="x"),"True","False")</f>
        <v>False</v>
      </c>
      <c r="K385" s="11" t="s">
        <v>53</v>
      </c>
      <c r="L385" s="11" t="s">
        <v>54</v>
      </c>
      <c r="M385" s="11">
        <f>-'Guarantees provided'!D379</f>
        <v>5282.27</v>
      </c>
      <c r="N385" s="11" t="s">
        <v>55</v>
      </c>
      <c r="O385" s="11">
        <v>0</v>
      </c>
      <c r="P385" s="12" t="s">
        <v>56</v>
      </c>
    </row>
    <row r="386" spans="3:16" ht="23.65" thickBot="1">
      <c r="C386" s="10" t="s">
        <v>51</v>
      </c>
      <c r="D386" s="11">
        <v>379</v>
      </c>
      <c r="E386" s="11" t="s">
        <v>52</v>
      </c>
      <c r="F386" s="11" t="str">
        <f>'Guarantees provided'!G380</f>
        <v>599904832838470</v>
      </c>
      <c r="G386" s="11" t="str">
        <f>'Guarantees provided'!A380</f>
        <v>BANCO SANTANDER TOTTA SA</v>
      </c>
      <c r="H386" s="11" t="str">
        <f>IF('Guarantees provided'!B380="#",'Guarantees provided'!C380,'Guarantees provided'!B380)</f>
        <v>549300URJH9VSI58CS32</v>
      </c>
      <c r="I386" s="11" t="str">
        <f>IF('Guarantees provided'!B380="#","Type of identifier, other than LEI or MFI code","LEI code")</f>
        <v>LEI code</v>
      </c>
      <c r="J386" s="14" t="str">
        <f>IF(OR('Guarantees provided'!H380="E",'Guarantees provided'!H380="x"),"True","False")</f>
        <v>False</v>
      </c>
      <c r="K386" s="11" t="s">
        <v>53</v>
      </c>
      <c r="L386" s="11" t="s">
        <v>54</v>
      </c>
      <c r="M386" s="11">
        <f>-'Guarantees provided'!D380</f>
        <v>3187.32</v>
      </c>
      <c r="N386" s="11" t="s">
        <v>55</v>
      </c>
      <c r="O386" s="11">
        <v>0</v>
      </c>
      <c r="P386" s="12" t="s">
        <v>56</v>
      </c>
    </row>
    <row r="387" spans="3:16" ht="23.65" thickBot="1">
      <c r="C387" s="10" t="s">
        <v>51</v>
      </c>
      <c r="D387" s="11">
        <v>380</v>
      </c>
      <c r="E387" s="11" t="s">
        <v>52</v>
      </c>
      <c r="F387" s="11" t="str">
        <f>'Guarantees provided'!G381</f>
        <v>599904832849910</v>
      </c>
      <c r="G387" s="11" t="str">
        <f>'Guarantees provided'!A381</f>
        <v>BANCO SANTANDER TOTTA SA</v>
      </c>
      <c r="H387" s="11" t="str">
        <f>IF('Guarantees provided'!B381="#",'Guarantees provided'!C381,'Guarantees provided'!B381)</f>
        <v>549300URJH9VSI58CS32</v>
      </c>
      <c r="I387" s="11" t="str">
        <f>IF('Guarantees provided'!B381="#","Type of identifier, other than LEI or MFI code","LEI code")</f>
        <v>LEI code</v>
      </c>
      <c r="J387" s="14" t="str">
        <f>IF(OR('Guarantees provided'!H381="E",'Guarantees provided'!H381="x"),"True","False")</f>
        <v>False</v>
      </c>
      <c r="K387" s="11" t="s">
        <v>53</v>
      </c>
      <c r="L387" s="11" t="s">
        <v>54</v>
      </c>
      <c r="M387" s="11">
        <f>-'Guarantees provided'!D381</f>
        <v>4234.79</v>
      </c>
      <c r="N387" s="11" t="s">
        <v>55</v>
      </c>
      <c r="O387" s="11">
        <v>0</v>
      </c>
      <c r="P387" s="12" t="s">
        <v>56</v>
      </c>
    </row>
    <row r="388" spans="3:16" ht="23.65" thickBot="1">
      <c r="C388" s="10" t="s">
        <v>51</v>
      </c>
      <c r="D388" s="11">
        <v>381</v>
      </c>
      <c r="E388" s="11" t="s">
        <v>52</v>
      </c>
      <c r="F388" s="11" t="str">
        <f>'Guarantees provided'!G382</f>
        <v>599904832884660</v>
      </c>
      <c r="G388" s="11" t="str">
        <f>'Guarantees provided'!A382</f>
        <v>BANCO SANTANDER TOTTA SA</v>
      </c>
      <c r="H388" s="11" t="str">
        <f>IF('Guarantees provided'!B382="#",'Guarantees provided'!C382,'Guarantees provided'!B382)</f>
        <v>549300URJH9VSI58CS32</v>
      </c>
      <c r="I388" s="11" t="str">
        <f>IF('Guarantees provided'!B382="#","Type of identifier, other than LEI or MFI code","LEI code")</f>
        <v>LEI code</v>
      </c>
      <c r="J388" s="14" t="str">
        <f>IF(OR('Guarantees provided'!H382="E",'Guarantees provided'!H382="x"),"True","False")</f>
        <v>False</v>
      </c>
      <c r="K388" s="11" t="s">
        <v>53</v>
      </c>
      <c r="L388" s="11" t="s">
        <v>54</v>
      </c>
      <c r="M388" s="11">
        <f>-'Guarantees provided'!D382</f>
        <v>3262.14</v>
      </c>
      <c r="N388" s="11" t="s">
        <v>55</v>
      </c>
      <c r="O388" s="11">
        <v>0</v>
      </c>
      <c r="P388" s="12" t="s">
        <v>56</v>
      </c>
    </row>
    <row r="389" spans="3:16" ht="23.65" thickBot="1">
      <c r="C389" s="10" t="s">
        <v>51</v>
      </c>
      <c r="D389" s="11">
        <v>382</v>
      </c>
      <c r="E389" s="11" t="s">
        <v>52</v>
      </c>
      <c r="F389" s="11" t="str">
        <f>'Guarantees provided'!G383</f>
        <v>599904832884700</v>
      </c>
      <c r="G389" s="11" t="str">
        <f>'Guarantees provided'!A383</f>
        <v>BANCO SANTANDER TOTTA SA</v>
      </c>
      <c r="H389" s="11" t="str">
        <f>IF('Guarantees provided'!B383="#",'Guarantees provided'!C383,'Guarantees provided'!B383)</f>
        <v>549300URJH9VSI58CS32</v>
      </c>
      <c r="I389" s="11" t="str">
        <f>IF('Guarantees provided'!B383="#","Type of identifier, other than LEI or MFI code","LEI code")</f>
        <v>LEI code</v>
      </c>
      <c r="J389" s="14" t="str">
        <f>IF(OR('Guarantees provided'!H383="E",'Guarantees provided'!H383="x"),"True","False")</f>
        <v>False</v>
      </c>
      <c r="K389" s="11" t="s">
        <v>53</v>
      </c>
      <c r="L389" s="11" t="s">
        <v>54</v>
      </c>
      <c r="M389" s="11">
        <f>-'Guarantees provided'!D383</f>
        <v>10968.57</v>
      </c>
      <c r="N389" s="11" t="s">
        <v>55</v>
      </c>
      <c r="O389" s="11">
        <v>0</v>
      </c>
      <c r="P389" s="12" t="s">
        <v>56</v>
      </c>
    </row>
    <row r="390" spans="3:16" ht="23.65" thickBot="1">
      <c r="C390" s="10" t="s">
        <v>51</v>
      </c>
      <c r="D390" s="11">
        <v>383</v>
      </c>
      <c r="E390" s="11" t="s">
        <v>52</v>
      </c>
      <c r="F390" s="11" t="str">
        <f>'Guarantees provided'!G384</f>
        <v>599904832899890</v>
      </c>
      <c r="G390" s="11" t="str">
        <f>'Guarantees provided'!A384</f>
        <v>BANCO SANTANDER TOTTA SA</v>
      </c>
      <c r="H390" s="11" t="str">
        <f>IF('Guarantees provided'!B384="#",'Guarantees provided'!C384,'Guarantees provided'!B384)</f>
        <v>549300URJH9VSI58CS32</v>
      </c>
      <c r="I390" s="11" t="str">
        <f>IF('Guarantees provided'!B384="#","Type of identifier, other than LEI or MFI code","LEI code")</f>
        <v>LEI code</v>
      </c>
      <c r="J390" s="14" t="str">
        <f>IF(OR('Guarantees provided'!H384="E",'Guarantees provided'!H384="x"),"True","False")</f>
        <v>False</v>
      </c>
      <c r="K390" s="11" t="s">
        <v>53</v>
      </c>
      <c r="L390" s="11" t="s">
        <v>54</v>
      </c>
      <c r="M390" s="11">
        <f>-'Guarantees provided'!D384</f>
        <v>7003.12</v>
      </c>
      <c r="N390" s="11" t="s">
        <v>55</v>
      </c>
      <c r="O390" s="11">
        <v>0</v>
      </c>
      <c r="P390" s="12" t="s">
        <v>56</v>
      </c>
    </row>
    <row r="391" spans="3:16" ht="23.65" thickBot="1">
      <c r="C391" s="10" t="s">
        <v>51</v>
      </c>
      <c r="D391" s="11">
        <v>384</v>
      </c>
      <c r="E391" s="11" t="s">
        <v>52</v>
      </c>
      <c r="F391" s="11" t="str">
        <f>'Guarantees provided'!G385</f>
        <v>599904832899930</v>
      </c>
      <c r="G391" s="11" t="str">
        <f>'Guarantees provided'!A385</f>
        <v>BANCO SANTANDER TOTTA SA</v>
      </c>
      <c r="H391" s="11" t="str">
        <f>IF('Guarantees provided'!B385="#",'Guarantees provided'!C385,'Guarantees provided'!B385)</f>
        <v>549300URJH9VSI58CS32</v>
      </c>
      <c r="I391" s="11" t="str">
        <f>IF('Guarantees provided'!B385="#","Type of identifier, other than LEI or MFI code","LEI code")</f>
        <v>LEI code</v>
      </c>
      <c r="J391" s="14" t="str">
        <f>IF(OR('Guarantees provided'!H385="E",'Guarantees provided'!H385="x"),"True","False")</f>
        <v>False</v>
      </c>
      <c r="K391" s="11" t="s">
        <v>53</v>
      </c>
      <c r="L391" s="11" t="s">
        <v>54</v>
      </c>
      <c r="M391" s="11">
        <f>-'Guarantees provided'!D385</f>
        <v>11043.39</v>
      </c>
      <c r="N391" s="11" t="s">
        <v>55</v>
      </c>
      <c r="O391" s="11">
        <v>0</v>
      </c>
      <c r="P391" s="12" t="s">
        <v>56</v>
      </c>
    </row>
    <row r="392" spans="3:16" ht="23.65" thickBot="1">
      <c r="C392" s="10" t="s">
        <v>51</v>
      </c>
      <c r="D392" s="11">
        <v>385</v>
      </c>
      <c r="E392" s="11" t="s">
        <v>52</v>
      </c>
      <c r="F392" s="11" t="str">
        <f>'Guarantees provided'!G386</f>
        <v>599904832900180</v>
      </c>
      <c r="G392" s="11" t="str">
        <f>'Guarantees provided'!A386</f>
        <v>BANCO SANTANDER TOTTA SA</v>
      </c>
      <c r="H392" s="11" t="str">
        <f>IF('Guarantees provided'!B386="#",'Guarantees provided'!C386,'Guarantees provided'!B386)</f>
        <v>549300URJH9VSI58CS32</v>
      </c>
      <c r="I392" s="11" t="str">
        <f>IF('Guarantees provided'!B386="#","Type of identifier, other than LEI or MFI code","LEI code")</f>
        <v>LEI code</v>
      </c>
      <c r="J392" s="14" t="str">
        <f>IF(OR('Guarantees provided'!H386="E",'Guarantees provided'!H386="x"),"True","False")</f>
        <v>False</v>
      </c>
      <c r="K392" s="11" t="s">
        <v>53</v>
      </c>
      <c r="L392" s="11" t="s">
        <v>54</v>
      </c>
      <c r="M392" s="11">
        <f>-'Guarantees provided'!D386</f>
        <v>9621.81</v>
      </c>
      <c r="N392" s="11" t="s">
        <v>55</v>
      </c>
      <c r="O392" s="11">
        <v>0</v>
      </c>
      <c r="P392" s="12" t="s">
        <v>56</v>
      </c>
    </row>
    <row r="393" spans="3:16" ht="23.65" thickBot="1">
      <c r="C393" s="10" t="s">
        <v>51</v>
      </c>
      <c r="D393" s="11">
        <v>386</v>
      </c>
      <c r="E393" s="11" t="s">
        <v>52</v>
      </c>
      <c r="F393" s="11" t="str">
        <f>'Guarantees provided'!G387</f>
        <v>599904833172470</v>
      </c>
      <c r="G393" s="11" t="str">
        <f>'Guarantees provided'!A387</f>
        <v>BANCO SANTANDER TOTTA SA</v>
      </c>
      <c r="H393" s="11" t="str">
        <f>IF('Guarantees provided'!B387="#",'Guarantees provided'!C387,'Guarantees provided'!B387)</f>
        <v>549300URJH9VSI58CS32</v>
      </c>
      <c r="I393" s="11" t="str">
        <f>IF('Guarantees provided'!B387="#","Type of identifier, other than LEI or MFI code","LEI code")</f>
        <v>LEI code</v>
      </c>
      <c r="J393" s="14" t="str">
        <f>IF(OR('Guarantees provided'!H387="E",'Guarantees provided'!H387="x"),"True","False")</f>
        <v>False</v>
      </c>
      <c r="K393" s="11" t="s">
        <v>53</v>
      </c>
      <c r="L393" s="11" t="s">
        <v>54</v>
      </c>
      <c r="M393" s="11">
        <f>-'Guarantees provided'!D387</f>
        <v>4234.79</v>
      </c>
      <c r="N393" s="11" t="s">
        <v>55</v>
      </c>
      <c r="O393" s="11">
        <v>0</v>
      </c>
      <c r="P393" s="12" t="s">
        <v>56</v>
      </c>
    </row>
    <row r="394" spans="3:16" ht="23.65" thickBot="1">
      <c r="C394" s="10" t="s">
        <v>51</v>
      </c>
      <c r="D394" s="11">
        <v>387</v>
      </c>
      <c r="E394" s="11" t="s">
        <v>52</v>
      </c>
      <c r="F394" s="11" t="str">
        <f>'Guarantees provided'!G388</f>
        <v>599904833172510</v>
      </c>
      <c r="G394" s="11" t="str">
        <f>'Guarantees provided'!A388</f>
        <v>BANCO SANTANDER TOTTA SA</v>
      </c>
      <c r="H394" s="11" t="str">
        <f>IF('Guarantees provided'!B388="#",'Guarantees provided'!C388,'Guarantees provided'!B388)</f>
        <v>549300URJH9VSI58CS32</v>
      </c>
      <c r="I394" s="11" t="str">
        <f>IF('Guarantees provided'!B388="#","Type of identifier, other than LEI or MFI code","LEI code")</f>
        <v>LEI code</v>
      </c>
      <c r="J394" s="14" t="str">
        <f>IF(OR('Guarantees provided'!H388="E",'Guarantees provided'!H388="x"),"True","False")</f>
        <v>False</v>
      </c>
      <c r="K394" s="11" t="s">
        <v>53</v>
      </c>
      <c r="L394" s="11" t="s">
        <v>54</v>
      </c>
      <c r="M394" s="11">
        <f>-'Guarantees provided'!D388</f>
        <v>9023.25</v>
      </c>
      <c r="N394" s="11" t="s">
        <v>55</v>
      </c>
      <c r="O394" s="11">
        <v>0</v>
      </c>
      <c r="P394" s="12" t="s">
        <v>56</v>
      </c>
    </row>
    <row r="395" spans="3:16" ht="23.65" thickBot="1">
      <c r="C395" s="10" t="s">
        <v>51</v>
      </c>
      <c r="D395" s="11">
        <v>388</v>
      </c>
      <c r="E395" s="11" t="s">
        <v>52</v>
      </c>
      <c r="F395" s="11" t="str">
        <f>'Guarantees provided'!G389</f>
        <v>599904833212120</v>
      </c>
      <c r="G395" s="11" t="str">
        <f>'Guarantees provided'!A389</f>
        <v>BANCO SANTANDER TOTTA SA</v>
      </c>
      <c r="H395" s="11" t="str">
        <f>IF('Guarantees provided'!B389="#",'Guarantees provided'!C389,'Guarantees provided'!B389)</f>
        <v>549300URJH9VSI58CS32</v>
      </c>
      <c r="I395" s="11" t="str">
        <f>IF('Guarantees provided'!B389="#","Type of identifier, other than LEI or MFI code","LEI code")</f>
        <v>LEI code</v>
      </c>
      <c r="J395" s="14" t="str">
        <f>IF(OR('Guarantees provided'!H389="E",'Guarantees provided'!H389="x"),"True","False")</f>
        <v>False</v>
      </c>
      <c r="K395" s="11" t="s">
        <v>53</v>
      </c>
      <c r="L395" s="11" t="s">
        <v>54</v>
      </c>
      <c r="M395" s="11">
        <f>-'Guarantees provided'!D389</f>
        <v>7751.32</v>
      </c>
      <c r="N395" s="11" t="s">
        <v>55</v>
      </c>
      <c r="O395" s="11">
        <v>0</v>
      </c>
      <c r="P395" s="12" t="s">
        <v>56</v>
      </c>
    </row>
    <row r="396" spans="3:16" ht="23.65" thickBot="1">
      <c r="C396" s="10" t="s">
        <v>51</v>
      </c>
      <c r="D396" s="11">
        <v>389</v>
      </c>
      <c r="E396" s="11" t="s">
        <v>52</v>
      </c>
      <c r="F396" s="11" t="str">
        <f>'Guarantees provided'!G390</f>
        <v>599904833215760</v>
      </c>
      <c r="G396" s="11" t="str">
        <f>'Guarantees provided'!A390</f>
        <v>BANCO SANTANDER TOTTA SA</v>
      </c>
      <c r="H396" s="11" t="str">
        <f>IF('Guarantees provided'!B390="#",'Guarantees provided'!C390,'Guarantees provided'!B390)</f>
        <v>549300URJH9VSI58CS32</v>
      </c>
      <c r="I396" s="11" t="str">
        <f>IF('Guarantees provided'!B390="#","Type of identifier, other than LEI or MFI code","LEI code")</f>
        <v>LEI code</v>
      </c>
      <c r="J396" s="14" t="str">
        <f>IF(OR('Guarantees provided'!H390="E",'Guarantees provided'!H390="x"),"True","False")</f>
        <v>False</v>
      </c>
      <c r="K396" s="11" t="s">
        <v>53</v>
      </c>
      <c r="L396" s="11" t="s">
        <v>54</v>
      </c>
      <c r="M396" s="11">
        <f>-'Guarantees provided'!D390</f>
        <v>10956.59</v>
      </c>
      <c r="N396" s="11" t="s">
        <v>55</v>
      </c>
      <c r="O396" s="11">
        <v>0</v>
      </c>
      <c r="P396" s="12" t="s">
        <v>56</v>
      </c>
    </row>
    <row r="397" spans="3:16" ht="23.65" thickBot="1">
      <c r="C397" s="10" t="s">
        <v>51</v>
      </c>
      <c r="D397" s="11">
        <v>390</v>
      </c>
      <c r="E397" s="11" t="s">
        <v>52</v>
      </c>
      <c r="F397" s="11" t="str">
        <f>'Guarantees provided'!G391</f>
        <v>599904833223330</v>
      </c>
      <c r="G397" s="11" t="str">
        <f>'Guarantees provided'!A391</f>
        <v>BANCO SANTANDER TOTTA SA</v>
      </c>
      <c r="H397" s="11" t="str">
        <f>IF('Guarantees provided'!B391="#",'Guarantees provided'!C391,'Guarantees provided'!B391)</f>
        <v>549300URJH9VSI58CS32</v>
      </c>
      <c r="I397" s="11" t="str">
        <f>IF('Guarantees provided'!B391="#","Type of identifier, other than LEI or MFI code","LEI code")</f>
        <v>LEI code</v>
      </c>
      <c r="J397" s="14" t="str">
        <f>IF(OR('Guarantees provided'!H391="E",'Guarantees provided'!H391="x"),"True","False")</f>
        <v>False</v>
      </c>
      <c r="K397" s="11" t="s">
        <v>53</v>
      </c>
      <c r="L397" s="11" t="s">
        <v>54</v>
      </c>
      <c r="M397" s="11">
        <f>-'Guarantees provided'!D391</f>
        <v>6254.93</v>
      </c>
      <c r="N397" s="11" t="s">
        <v>55</v>
      </c>
      <c r="O397" s="11">
        <v>0</v>
      </c>
      <c r="P397" s="12" t="s">
        <v>56</v>
      </c>
    </row>
    <row r="398" spans="3:16" ht="23.65" thickBot="1">
      <c r="C398" s="10" t="s">
        <v>51</v>
      </c>
      <c r="D398" s="11">
        <v>391</v>
      </c>
      <c r="E398" s="11" t="s">
        <v>52</v>
      </c>
      <c r="F398" s="11" t="str">
        <f>'Guarantees provided'!G392</f>
        <v>599904833246280</v>
      </c>
      <c r="G398" s="11" t="str">
        <f>'Guarantees provided'!A392</f>
        <v>BANCO SANTANDER TOTTA SA</v>
      </c>
      <c r="H398" s="11" t="str">
        <f>IF('Guarantees provided'!B392="#",'Guarantees provided'!C392,'Guarantees provided'!B392)</f>
        <v>549300URJH9VSI58CS32</v>
      </c>
      <c r="I398" s="11" t="str">
        <f>IF('Guarantees provided'!B392="#","Type of identifier, other than LEI or MFI code","LEI code")</f>
        <v>LEI code</v>
      </c>
      <c r="J398" s="14" t="str">
        <f>IF(OR('Guarantees provided'!H392="E",'Guarantees provided'!H392="x"),"True","False")</f>
        <v>False</v>
      </c>
      <c r="K398" s="11" t="s">
        <v>53</v>
      </c>
      <c r="L398" s="11" t="s">
        <v>54</v>
      </c>
      <c r="M398" s="11">
        <f>-'Guarantees provided'!D392</f>
        <v>4833.3500000000004</v>
      </c>
      <c r="N398" s="11" t="s">
        <v>55</v>
      </c>
      <c r="O398" s="11">
        <v>0</v>
      </c>
      <c r="P398" s="12" t="s">
        <v>56</v>
      </c>
    </row>
    <row r="399" spans="3:16" ht="23.65" thickBot="1">
      <c r="C399" s="10" t="s">
        <v>51</v>
      </c>
      <c r="D399" s="11">
        <v>392</v>
      </c>
      <c r="E399" s="11" t="s">
        <v>52</v>
      </c>
      <c r="F399" s="11" t="str">
        <f>'Guarantees provided'!G393</f>
        <v>599904833277030</v>
      </c>
      <c r="G399" s="11" t="str">
        <f>'Guarantees provided'!A393</f>
        <v>BANCO SANTANDER TOTTA SA</v>
      </c>
      <c r="H399" s="11" t="str">
        <f>IF('Guarantees provided'!B393="#",'Guarantees provided'!C393,'Guarantees provided'!B393)</f>
        <v>549300URJH9VSI58CS32</v>
      </c>
      <c r="I399" s="11" t="str">
        <f>IF('Guarantees provided'!B393="#","Type of identifier, other than LEI or MFI code","LEI code")</f>
        <v>LEI code</v>
      </c>
      <c r="J399" s="14" t="str">
        <f>IF(OR('Guarantees provided'!H393="E",'Guarantees provided'!H393="x"),"True","False")</f>
        <v>False</v>
      </c>
      <c r="K399" s="11" t="s">
        <v>53</v>
      </c>
      <c r="L399" s="11" t="s">
        <v>54</v>
      </c>
      <c r="M399" s="11">
        <f>-'Guarantees provided'!D393</f>
        <v>3763.43</v>
      </c>
      <c r="N399" s="11" t="s">
        <v>55</v>
      </c>
      <c r="O399" s="11">
        <v>0</v>
      </c>
      <c r="P399" s="12" t="s">
        <v>56</v>
      </c>
    </row>
    <row r="400" spans="3:16" ht="23.65" thickBot="1">
      <c r="C400" s="10" t="s">
        <v>51</v>
      </c>
      <c r="D400" s="11">
        <v>393</v>
      </c>
      <c r="E400" s="11" t="s">
        <v>52</v>
      </c>
      <c r="F400" s="11" t="str">
        <f>'Guarantees provided'!G394</f>
        <v>599904833360250</v>
      </c>
      <c r="G400" s="11" t="str">
        <f>'Guarantees provided'!A394</f>
        <v>BANCO SANTANDER TOTTA SA</v>
      </c>
      <c r="H400" s="11" t="str">
        <f>IF('Guarantees provided'!B394="#",'Guarantees provided'!C394,'Guarantees provided'!B394)</f>
        <v>549300URJH9VSI58CS32</v>
      </c>
      <c r="I400" s="11" t="str">
        <f>IF('Guarantees provided'!B394="#","Type of identifier, other than LEI or MFI code","LEI code")</f>
        <v>LEI code</v>
      </c>
      <c r="J400" s="14" t="str">
        <f>IF(OR('Guarantees provided'!H394="E",'Guarantees provided'!H394="x"),"True","False")</f>
        <v>False</v>
      </c>
      <c r="K400" s="11" t="s">
        <v>53</v>
      </c>
      <c r="L400" s="11" t="s">
        <v>54</v>
      </c>
      <c r="M400" s="11">
        <f>-'Guarantees provided'!D394</f>
        <v>8025.66</v>
      </c>
      <c r="N400" s="11" t="s">
        <v>55</v>
      </c>
      <c r="O400" s="11">
        <v>0</v>
      </c>
      <c r="P400" s="12" t="s">
        <v>56</v>
      </c>
    </row>
    <row r="401" spans="3:16" ht="23.65" thickBot="1">
      <c r="C401" s="10" t="s">
        <v>51</v>
      </c>
      <c r="D401" s="11">
        <v>394</v>
      </c>
      <c r="E401" s="11" t="s">
        <v>52</v>
      </c>
      <c r="F401" s="11" t="str">
        <f>'Guarantees provided'!G395</f>
        <v>599904833381760</v>
      </c>
      <c r="G401" s="11" t="str">
        <f>'Guarantees provided'!A395</f>
        <v>BANCO SANTANDER TOTTA SA</v>
      </c>
      <c r="H401" s="11" t="str">
        <f>IF('Guarantees provided'!B395="#",'Guarantees provided'!C395,'Guarantees provided'!B395)</f>
        <v>549300URJH9VSI58CS32</v>
      </c>
      <c r="I401" s="11" t="str">
        <f>IF('Guarantees provided'!B395="#","Type of identifier, other than LEI or MFI code","LEI code")</f>
        <v>LEI code</v>
      </c>
      <c r="J401" s="14" t="str">
        <f>IF(OR('Guarantees provided'!H395="E",'Guarantees provided'!H395="x"),"True","False")</f>
        <v>False</v>
      </c>
      <c r="K401" s="11" t="s">
        <v>53</v>
      </c>
      <c r="L401" s="11" t="s">
        <v>54</v>
      </c>
      <c r="M401" s="11">
        <f>-'Guarantees provided'!D395</f>
        <v>4908.17</v>
      </c>
      <c r="N401" s="11" t="s">
        <v>55</v>
      </c>
      <c r="O401" s="11">
        <v>0</v>
      </c>
      <c r="P401" s="12" t="s">
        <v>56</v>
      </c>
    </row>
    <row r="402" spans="3:16" ht="23.65" thickBot="1">
      <c r="C402" s="10" t="s">
        <v>51</v>
      </c>
      <c r="D402" s="11">
        <v>395</v>
      </c>
      <c r="E402" s="11" t="s">
        <v>52</v>
      </c>
      <c r="F402" s="11" t="str">
        <f>'Guarantees provided'!G396</f>
        <v>599904833381800</v>
      </c>
      <c r="G402" s="11" t="str">
        <f>'Guarantees provided'!A396</f>
        <v>BANCO SANTANDER TOTTA SA</v>
      </c>
      <c r="H402" s="11" t="str">
        <f>IF('Guarantees provided'!B396="#",'Guarantees provided'!C396,'Guarantees provided'!B396)</f>
        <v>549300URJH9VSI58CS32</v>
      </c>
      <c r="I402" s="11" t="str">
        <f>IF('Guarantees provided'!B396="#","Type of identifier, other than LEI or MFI code","LEI code")</f>
        <v>LEI code</v>
      </c>
      <c r="J402" s="14" t="str">
        <f>IF(OR('Guarantees provided'!H396="E",'Guarantees provided'!H396="x"),"True","False")</f>
        <v>False</v>
      </c>
      <c r="K402" s="11" t="s">
        <v>53</v>
      </c>
      <c r="L402" s="11" t="s">
        <v>54</v>
      </c>
      <c r="M402" s="11">
        <f>-'Guarantees provided'!D396</f>
        <v>3636.24</v>
      </c>
      <c r="N402" s="11" t="s">
        <v>55</v>
      </c>
      <c r="O402" s="11">
        <v>0</v>
      </c>
      <c r="P402" s="12" t="s">
        <v>56</v>
      </c>
    </row>
    <row r="403" spans="3:16" ht="23.65" thickBot="1">
      <c r="C403" s="10" t="s">
        <v>51</v>
      </c>
      <c r="D403" s="11">
        <v>396</v>
      </c>
      <c r="E403" s="11" t="s">
        <v>52</v>
      </c>
      <c r="F403" s="11" t="str">
        <f>'Guarantees provided'!G397</f>
        <v>599904815013560</v>
      </c>
      <c r="G403" s="11" t="str">
        <f>'Guarantees provided'!A397</f>
        <v>BANCO SANTANDER TOTTA, S.A.</v>
      </c>
      <c r="H403" s="11" t="str">
        <f>IF('Guarantees provided'!B397="#",'Guarantees provided'!C397,'Guarantees provided'!B397)</f>
        <v>8003987621</v>
      </c>
      <c r="I403" s="11" t="str">
        <f>IF('Guarantees provided'!B397="#","Type of identifier, other than LEI or MFI code","LEI code")</f>
        <v>Type of identifier, other than LEI or MFI code</v>
      </c>
      <c r="J403" s="14" t="str">
        <f>IF(OR('Guarantees provided'!H397="E",'Guarantees provided'!H397="x"),"True","False")</f>
        <v>False</v>
      </c>
      <c r="K403" s="11" t="s">
        <v>53</v>
      </c>
      <c r="L403" s="11" t="s">
        <v>54</v>
      </c>
      <c r="M403" s="11">
        <f>-'Guarantees provided'!D397</f>
        <v>1745.79</v>
      </c>
      <c r="N403" s="11" t="s">
        <v>55</v>
      </c>
      <c r="O403" s="11">
        <v>0</v>
      </c>
      <c r="P403" s="12" t="s">
        <v>56</v>
      </c>
    </row>
    <row r="404" spans="3:16" ht="23.65" thickBot="1">
      <c r="C404" s="10" t="s">
        <v>51</v>
      </c>
      <c r="D404" s="11">
        <v>397</v>
      </c>
      <c r="E404" s="11" t="s">
        <v>52</v>
      </c>
      <c r="F404" s="11" t="str">
        <f>'Guarantees provided'!G398</f>
        <v>599904815013600</v>
      </c>
      <c r="G404" s="11" t="str">
        <f>'Guarantees provided'!A398</f>
        <v>BANCO SANTANDER TOTTA, S.A.</v>
      </c>
      <c r="H404" s="11" t="str">
        <f>IF('Guarantees provided'!B398="#",'Guarantees provided'!C398,'Guarantees provided'!B398)</f>
        <v>8003987621</v>
      </c>
      <c r="I404" s="11" t="str">
        <f>IF('Guarantees provided'!B398="#","Type of identifier, other than LEI or MFI code","LEI code")</f>
        <v>Type of identifier, other than LEI or MFI code</v>
      </c>
      <c r="J404" s="14" t="str">
        <f>IF(OR('Guarantees provided'!H398="E",'Guarantees provided'!H398="x"),"True","False")</f>
        <v>False</v>
      </c>
      <c r="K404" s="11" t="s">
        <v>53</v>
      </c>
      <c r="L404" s="11" t="s">
        <v>54</v>
      </c>
      <c r="M404" s="11">
        <f>-'Guarantees provided'!D398</f>
        <v>1745.79</v>
      </c>
      <c r="N404" s="11" t="s">
        <v>55</v>
      </c>
      <c r="O404" s="11">
        <v>0</v>
      </c>
      <c r="P404" s="12" t="s">
        <v>56</v>
      </c>
    </row>
    <row r="405" spans="3:16" ht="23.65" thickBot="1">
      <c r="C405" s="10" t="s">
        <v>51</v>
      </c>
      <c r="D405" s="11">
        <v>398</v>
      </c>
      <c r="E405" s="11" t="s">
        <v>52</v>
      </c>
      <c r="F405" s="11" t="str">
        <f>'Guarantees provided'!G399</f>
        <v>962304820341720</v>
      </c>
      <c r="G405" s="11" t="str">
        <f>'Guarantees provided'!A399</f>
        <v>BANCO SANTANDER, SA  SUCURSAL LONDRES</v>
      </c>
      <c r="H405" s="11" t="str">
        <f>IF('Guarantees provided'!B399="#",'Guarantees provided'!C399,'Guarantees provided'!B399)</f>
        <v>7400930664</v>
      </c>
      <c r="I405" s="11" t="str">
        <f>IF('Guarantees provided'!B399="#","Type of identifier, other than LEI or MFI code","LEI code")</f>
        <v>Type of identifier, other than LEI or MFI code</v>
      </c>
      <c r="J405" s="14" t="str">
        <f>IF(OR('Guarantees provided'!H399="E",'Guarantees provided'!H399="x"),"True","False")</f>
        <v>False</v>
      </c>
      <c r="K405" s="11" t="s">
        <v>53</v>
      </c>
      <c r="L405" s="11" t="s">
        <v>54</v>
      </c>
      <c r="M405" s="11">
        <f>-'Guarantees provided'!D399</f>
        <v>1695760</v>
      </c>
      <c r="N405" s="11" t="s">
        <v>55</v>
      </c>
      <c r="O405" s="11">
        <v>0</v>
      </c>
      <c r="P405" s="12" t="s">
        <v>56</v>
      </c>
    </row>
    <row r="406" spans="3:16" ht="23.65" thickBot="1">
      <c r="C406" s="10" t="s">
        <v>51</v>
      </c>
      <c r="D406" s="11">
        <v>399</v>
      </c>
      <c r="E406" s="11" t="s">
        <v>52</v>
      </c>
      <c r="F406" s="11" t="str">
        <f>'Guarantees provided'!G400</f>
        <v>962304870364230</v>
      </c>
      <c r="G406" s="11" t="str">
        <f>'Guarantees provided'!A400</f>
        <v>BANCO SANTANDER, SA  SUCURSAL LONDRES</v>
      </c>
      <c r="H406" s="11" t="str">
        <f>IF('Guarantees provided'!B400="#",'Guarantees provided'!C400,'Guarantees provided'!B400)</f>
        <v>7400930664</v>
      </c>
      <c r="I406" s="11" t="str">
        <f>IF('Guarantees provided'!B400="#","Type of identifier, other than LEI or MFI code","LEI code")</f>
        <v>Type of identifier, other than LEI or MFI code</v>
      </c>
      <c r="J406" s="14" t="str">
        <f>IF(OR('Guarantees provided'!H400="E",'Guarantees provided'!H400="x"),"True","False")</f>
        <v>False</v>
      </c>
      <c r="K406" s="11" t="s">
        <v>53</v>
      </c>
      <c r="L406" s="11" t="s">
        <v>54</v>
      </c>
      <c r="M406" s="11">
        <f>-'Guarantees provided'!D400</f>
        <v>82850.7</v>
      </c>
      <c r="N406" s="11" t="s">
        <v>55</v>
      </c>
      <c r="O406" s="11">
        <v>0</v>
      </c>
      <c r="P406" s="12" t="s">
        <v>56</v>
      </c>
    </row>
    <row r="407" spans="3:16" ht="35.25" thickBot="1">
      <c r="C407" s="10" t="s">
        <v>51</v>
      </c>
      <c r="D407" s="11">
        <v>400</v>
      </c>
      <c r="E407" s="11" t="s">
        <v>52</v>
      </c>
      <c r="F407" s="11" t="str">
        <f>'Guarantees provided'!G401</f>
        <v>262304840018860</v>
      </c>
      <c r="G407" s="11" t="str">
        <f>'Guarantees provided'!A401</f>
        <v>CONSULTEAM - CONSULTORES DE GESTAO, LDA</v>
      </c>
      <c r="H407" s="11" t="str">
        <f>IF('Guarantees provided'!B401="#",'Guarantees provided'!C401,'Guarantees provided'!B401)</f>
        <v>5100262318</v>
      </c>
      <c r="I407" s="11" t="str">
        <f>IF('Guarantees provided'!B401="#","Type of identifier, other than LEI or MFI code","LEI code")</f>
        <v>Type of identifier, other than LEI or MFI code</v>
      </c>
      <c r="J407" s="14" t="str">
        <f>IF(OR('Guarantees provided'!H401="E",'Guarantees provided'!H401="x"),"True","False")</f>
        <v>False</v>
      </c>
      <c r="K407" s="11" t="s">
        <v>53</v>
      </c>
      <c r="L407" s="11" t="s">
        <v>54</v>
      </c>
      <c r="M407" s="11">
        <f>-'Guarantees provided'!D401</f>
        <v>1011960</v>
      </c>
      <c r="N407" s="11" t="s">
        <v>55</v>
      </c>
      <c r="O407" s="11">
        <v>0</v>
      </c>
      <c r="P407" s="12" t="s">
        <v>56</v>
      </c>
    </row>
    <row r="408" spans="3:16" ht="35.25" thickBot="1">
      <c r="C408" s="10" t="s">
        <v>51</v>
      </c>
      <c r="D408" s="11">
        <v>401</v>
      </c>
      <c r="E408" s="11" t="s">
        <v>52</v>
      </c>
      <c r="F408" s="11" t="str">
        <f>'Guarantees provided'!G402</f>
        <v>262304840018920</v>
      </c>
      <c r="G408" s="11" t="str">
        <f>'Guarantees provided'!A402</f>
        <v>CONSULTEAM - CONSULTORES DE GESTAO, LDA</v>
      </c>
      <c r="H408" s="11" t="str">
        <f>IF('Guarantees provided'!B402="#",'Guarantees provided'!C402,'Guarantees provided'!B402)</f>
        <v>5100262318</v>
      </c>
      <c r="I408" s="11" t="str">
        <f>IF('Guarantees provided'!B402="#","Type of identifier, other than LEI or MFI code","LEI code")</f>
        <v>Type of identifier, other than LEI or MFI code</v>
      </c>
      <c r="J408" s="14" t="str">
        <f>IF(OR('Guarantees provided'!H402="E",'Guarantees provided'!H402="x"),"True","False")</f>
        <v>False</v>
      </c>
      <c r="K408" s="11" t="s">
        <v>53</v>
      </c>
      <c r="L408" s="11" t="s">
        <v>54</v>
      </c>
      <c r="M408" s="11">
        <f>-'Guarantees provided'!D402</f>
        <v>1829436.3</v>
      </c>
      <c r="N408" s="11" t="s">
        <v>55</v>
      </c>
      <c r="O408" s="11">
        <v>0</v>
      </c>
      <c r="P408" s="12" t="s">
        <v>56</v>
      </c>
    </row>
    <row r="409" spans="3:16" ht="35.25" thickBot="1">
      <c r="C409" s="10" t="s">
        <v>51</v>
      </c>
      <c r="D409" s="11">
        <v>402</v>
      </c>
      <c r="E409" s="11" t="s">
        <v>52</v>
      </c>
      <c r="F409" s="11" t="str">
        <f>'Guarantees provided'!G403</f>
        <v>262304840021030</v>
      </c>
      <c r="G409" s="11" t="str">
        <f>'Guarantees provided'!A403</f>
        <v>CONSULTEAM - CONSULTORES DE GESTAO, LDA</v>
      </c>
      <c r="H409" s="11" t="str">
        <f>IF('Guarantees provided'!B403="#",'Guarantees provided'!C403,'Guarantees provided'!B403)</f>
        <v>5100262318</v>
      </c>
      <c r="I409" s="11" t="str">
        <f>IF('Guarantees provided'!B403="#","Type of identifier, other than LEI or MFI code","LEI code")</f>
        <v>Type of identifier, other than LEI or MFI code</v>
      </c>
      <c r="J409" s="14" t="str">
        <f>IF(OR('Guarantees provided'!H403="E",'Guarantees provided'!H403="x"),"True","False")</f>
        <v>False</v>
      </c>
      <c r="K409" s="11" t="s">
        <v>53</v>
      </c>
      <c r="L409" s="11" t="s">
        <v>54</v>
      </c>
      <c r="M409" s="11">
        <f>-'Guarantees provided'!D403</f>
        <v>48977.29</v>
      </c>
      <c r="N409" s="11" t="s">
        <v>55</v>
      </c>
      <c r="O409" s="11">
        <v>0</v>
      </c>
      <c r="P409" s="12" t="s">
        <v>56</v>
      </c>
    </row>
    <row r="410" spans="3:16" ht="35.25" thickBot="1">
      <c r="C410" s="10" t="s">
        <v>51</v>
      </c>
      <c r="D410" s="11">
        <v>403</v>
      </c>
      <c r="E410" s="11" t="s">
        <v>52</v>
      </c>
      <c r="F410" s="11" t="str">
        <f>'Guarantees provided'!G404</f>
        <v>262304840026320</v>
      </c>
      <c r="G410" s="11" t="str">
        <f>'Guarantees provided'!A404</f>
        <v>CONSULTEAM - CONSULTORES DE GESTAO, LDA</v>
      </c>
      <c r="H410" s="11" t="str">
        <f>IF('Guarantees provided'!B404="#",'Guarantees provided'!C404,'Guarantees provided'!B404)</f>
        <v>5100262318</v>
      </c>
      <c r="I410" s="11" t="str">
        <f>IF('Guarantees provided'!B404="#","Type of identifier, other than LEI or MFI code","LEI code")</f>
        <v>Type of identifier, other than LEI or MFI code</v>
      </c>
      <c r="J410" s="14" t="str">
        <f>IF(OR('Guarantees provided'!H404="E",'Guarantees provided'!H404="x"),"True","False")</f>
        <v>False</v>
      </c>
      <c r="K410" s="11" t="s">
        <v>53</v>
      </c>
      <c r="L410" s="11" t="s">
        <v>54</v>
      </c>
      <c r="M410" s="11">
        <f>-'Guarantees provided'!D404</f>
        <v>3470</v>
      </c>
      <c r="N410" s="11" t="s">
        <v>55</v>
      </c>
      <c r="O410" s="11">
        <v>0</v>
      </c>
      <c r="P410" s="12" t="s">
        <v>56</v>
      </c>
    </row>
    <row r="411" spans="3:16" ht="35.25" thickBot="1">
      <c r="C411" s="10" t="s">
        <v>51</v>
      </c>
      <c r="D411" s="11">
        <v>404</v>
      </c>
      <c r="E411" s="11" t="s">
        <v>52</v>
      </c>
      <c r="F411" s="11" t="str">
        <f>'Guarantees provided'!G405</f>
        <v>962304840171880</v>
      </c>
      <c r="G411" s="11" t="str">
        <f>'Guarantees provided'!A405</f>
        <v>SANTANDER TOTTA SEGUROS - COMPANHIA DE SEGUROS DE VIDA S.A</v>
      </c>
      <c r="H411" s="11" t="str">
        <f>IF('Guarantees provided'!B405="#",'Guarantees provided'!C405,'Guarantees provided'!B405)</f>
        <v>54930006K2IUPA083C07</v>
      </c>
      <c r="I411" s="11" t="str">
        <f>IF('Guarantees provided'!B405="#","Type of identifier, other than LEI or MFI code","LEI code")</f>
        <v>LEI code</v>
      </c>
      <c r="J411" s="14" t="str">
        <f>IF(OR('Guarantees provided'!H405="E",'Guarantees provided'!H405="x"),"True","False")</f>
        <v>True</v>
      </c>
      <c r="K411" s="11" t="s">
        <v>53</v>
      </c>
      <c r="L411" s="11" t="s">
        <v>54</v>
      </c>
      <c r="M411" s="11">
        <f>-'Guarantees provided'!D405</f>
        <v>8000</v>
      </c>
      <c r="N411" s="11" t="s">
        <v>55</v>
      </c>
      <c r="O411" s="11">
        <v>0</v>
      </c>
      <c r="P411" s="12" t="s">
        <v>56</v>
      </c>
    </row>
    <row r="412" spans="3:16" ht="23.65" thickBot="1">
      <c r="C412" s="10" t="s">
        <v>51</v>
      </c>
      <c r="D412" s="11">
        <v>405</v>
      </c>
      <c r="E412" s="11" t="s">
        <v>52</v>
      </c>
      <c r="F412" s="11" t="str">
        <f>'Guarantees provided'!G406</f>
        <v>962304820254330</v>
      </c>
      <c r="G412" s="11" t="str">
        <f>'Guarantees provided'!A406</f>
        <v>SANTANDER UK, PLC</v>
      </c>
      <c r="H412" s="11" t="str">
        <f>IF('Guarantees provided'!B406="#",'Guarantees provided'!C406,'Guarantees provided'!B406)</f>
        <v>7400416271</v>
      </c>
      <c r="I412" s="11" t="str">
        <f>IF('Guarantees provided'!B406="#","Type of identifier, other than LEI or MFI code","LEI code")</f>
        <v>Type of identifier, other than LEI or MFI code</v>
      </c>
      <c r="J412" s="14" t="str">
        <f>IF(OR('Guarantees provided'!H406="E",'Guarantees provided'!H406="x"),"True","False")</f>
        <v>False</v>
      </c>
      <c r="K412" s="11" t="s">
        <v>53</v>
      </c>
      <c r="L412" s="11" t="s">
        <v>54</v>
      </c>
      <c r="M412" s="11">
        <f>-'Guarantees provided'!D406</f>
        <v>704880</v>
      </c>
      <c r="N412" s="11" t="s">
        <v>55</v>
      </c>
      <c r="O412" s="11">
        <v>0</v>
      </c>
      <c r="P412" s="12" t="s">
        <v>56</v>
      </c>
    </row>
    <row r="413" spans="3:16" ht="35.25" thickBot="1">
      <c r="C413" s="10" t="s">
        <v>51</v>
      </c>
      <c r="D413" s="11">
        <v>406</v>
      </c>
      <c r="E413" s="11" t="s">
        <v>52</v>
      </c>
      <c r="F413" s="11" t="str">
        <f>'Guarantees provided'!G407</f>
        <v>399904875248090</v>
      </c>
      <c r="G413" s="11" t="str">
        <f>'Guarantees provided'!A407</f>
        <v>TOTTAURBE-EMPRESA DE ADMINISTRACAO E CONSTRUCOES, S.A.</v>
      </c>
      <c r="H413" s="11" t="str">
        <f>IF('Guarantees provided'!B407="#",'Guarantees provided'!C407,'Guarantees provided'!B407)</f>
        <v>8000391312</v>
      </c>
      <c r="I413" s="11" t="str">
        <f>IF('Guarantees provided'!B407="#","Type of identifier, other than LEI or MFI code","LEI code")</f>
        <v>Type of identifier, other than LEI or MFI code</v>
      </c>
      <c r="J413" s="14" t="str">
        <f>IF(OR('Guarantees provided'!H407="E",'Guarantees provided'!H407="x"),"True","False")</f>
        <v>True</v>
      </c>
      <c r="K413" s="11" t="s">
        <v>53</v>
      </c>
      <c r="L413" s="11" t="s">
        <v>54</v>
      </c>
      <c r="M413" s="11">
        <f>-'Guarantees provided'!D407</f>
        <v>448.92</v>
      </c>
      <c r="N413" s="11" t="s">
        <v>55</v>
      </c>
      <c r="O413" s="11">
        <v>0</v>
      </c>
      <c r="P413" s="12" t="s">
        <v>56</v>
      </c>
    </row>
    <row r="414" spans="3:16" ht="35.25" thickBot="1">
      <c r="C414" s="10" t="s">
        <v>51</v>
      </c>
      <c r="D414" s="11">
        <v>407</v>
      </c>
      <c r="E414" s="11" t="s">
        <v>52</v>
      </c>
      <c r="F414" s="11" t="str">
        <f>'Guarantees provided'!G408</f>
        <v>599904815306350</v>
      </c>
      <c r="G414" s="11" t="str">
        <f>'Guarantees provided'!A408</f>
        <v>TOTTAURBE-EMPRESA DE ADMINISTRACAO E CONSTRUCOES, S.A.</v>
      </c>
      <c r="H414" s="11" t="str">
        <f>IF('Guarantees provided'!B408="#",'Guarantees provided'!C408,'Guarantees provided'!B408)</f>
        <v>8000391312</v>
      </c>
      <c r="I414" s="11" t="str">
        <f>IF('Guarantees provided'!B408="#","Type of identifier, other than LEI or MFI code","LEI code")</f>
        <v>Type of identifier, other than LEI or MFI code</v>
      </c>
      <c r="J414" s="14" t="str">
        <f>IF(OR('Guarantees provided'!H408="E",'Guarantees provided'!H408="x"),"True","False")</f>
        <v>True</v>
      </c>
      <c r="K414" s="11" t="s">
        <v>53</v>
      </c>
      <c r="L414" s="11" t="s">
        <v>54</v>
      </c>
      <c r="M414" s="11">
        <f>-'Guarantees provided'!D408</f>
        <v>139.66</v>
      </c>
      <c r="N414" s="11" t="s">
        <v>55</v>
      </c>
      <c r="O414" s="11">
        <v>0</v>
      </c>
      <c r="P414" s="12" t="s">
        <v>56</v>
      </c>
    </row>
    <row r="415" spans="3:16" ht="35.25" thickBot="1">
      <c r="C415" s="10" t="s">
        <v>51</v>
      </c>
      <c r="D415" s="11">
        <v>408</v>
      </c>
      <c r="E415" s="11" t="s">
        <v>52</v>
      </c>
      <c r="F415" s="11" t="str">
        <f>'Guarantees provided'!G409</f>
        <v>599904815306400</v>
      </c>
      <c r="G415" s="11" t="str">
        <f>'Guarantees provided'!A409</f>
        <v>TOTTAURBE-EMPRESA DE ADMINISTRACAO E CONSTRUCOES, S.A.</v>
      </c>
      <c r="H415" s="11" t="str">
        <f>IF('Guarantees provided'!B409="#",'Guarantees provided'!C409,'Guarantees provided'!B409)</f>
        <v>8000391312</v>
      </c>
      <c r="I415" s="11" t="str">
        <f>IF('Guarantees provided'!B409="#","Type of identifier, other than LEI or MFI code","LEI code")</f>
        <v>Type of identifier, other than LEI or MFI code</v>
      </c>
      <c r="J415" s="14" t="str">
        <f>IF(OR('Guarantees provided'!H409="E",'Guarantees provided'!H409="x"),"True","False")</f>
        <v>True</v>
      </c>
      <c r="K415" s="11" t="s">
        <v>53</v>
      </c>
      <c r="L415" s="11" t="s">
        <v>54</v>
      </c>
      <c r="M415" s="11">
        <f>-'Guarantees provided'!D409</f>
        <v>49.88</v>
      </c>
      <c r="N415" s="11" t="s">
        <v>55</v>
      </c>
      <c r="O415" s="11">
        <v>0</v>
      </c>
      <c r="P415" s="12" t="s">
        <v>56</v>
      </c>
    </row>
    <row r="416" spans="3:16" ht="35.25" thickBot="1">
      <c r="C416" s="10" t="s">
        <v>51</v>
      </c>
      <c r="D416" s="11">
        <v>409</v>
      </c>
      <c r="E416" s="11" t="s">
        <v>52</v>
      </c>
      <c r="F416" s="11" t="str">
        <f>'Guarantees provided'!G410</f>
        <v>599904815306540</v>
      </c>
      <c r="G416" s="11" t="str">
        <f>'Guarantees provided'!A410</f>
        <v>TOTTAURBE-EMPRESA DE ADMINISTRACAO E CONSTRUCOES, S.A.</v>
      </c>
      <c r="H416" s="11" t="str">
        <f>IF('Guarantees provided'!B410="#",'Guarantees provided'!C410,'Guarantees provided'!B410)</f>
        <v>8000391312</v>
      </c>
      <c r="I416" s="11" t="str">
        <f>IF('Guarantees provided'!B410="#","Type of identifier, other than LEI or MFI code","LEI code")</f>
        <v>Type of identifier, other than LEI or MFI code</v>
      </c>
      <c r="J416" s="14" t="str">
        <f>IF(OR('Guarantees provided'!H410="E",'Guarantees provided'!H410="x"),"True","False")</f>
        <v>True</v>
      </c>
      <c r="K416" s="11" t="s">
        <v>53</v>
      </c>
      <c r="L416" s="11" t="s">
        <v>54</v>
      </c>
      <c r="M416" s="11">
        <f>-'Guarantees provided'!D410</f>
        <v>4539.0600000000004</v>
      </c>
      <c r="N416" s="11" t="s">
        <v>55</v>
      </c>
      <c r="O416" s="11">
        <v>0</v>
      </c>
      <c r="P416" s="12" t="s">
        <v>56</v>
      </c>
    </row>
    <row r="417" spans="3:16" ht="35.25" thickBot="1">
      <c r="C417" s="10" t="s">
        <v>51</v>
      </c>
      <c r="D417" s="11">
        <v>410</v>
      </c>
      <c r="E417" s="11" t="s">
        <v>52</v>
      </c>
      <c r="F417" s="11" t="str">
        <f>'Guarantees provided'!G411</f>
        <v>599904815306690</v>
      </c>
      <c r="G417" s="11" t="str">
        <f>'Guarantees provided'!A411</f>
        <v>TOTTAURBE-EMPRESA DE ADMINISTRACAO E CONSTRUCOES, S.A.</v>
      </c>
      <c r="H417" s="11" t="str">
        <f>IF('Guarantees provided'!B411="#",'Guarantees provided'!C411,'Guarantees provided'!B411)</f>
        <v>8000391312</v>
      </c>
      <c r="I417" s="11" t="str">
        <f>IF('Guarantees provided'!B411="#","Type of identifier, other than LEI or MFI code","LEI code")</f>
        <v>Type of identifier, other than LEI or MFI code</v>
      </c>
      <c r="J417" s="14" t="str">
        <f>IF(OR('Guarantees provided'!H411="E",'Guarantees provided'!H411="x"),"True","False")</f>
        <v>True</v>
      </c>
      <c r="K417" s="11" t="s">
        <v>53</v>
      </c>
      <c r="L417" s="11" t="s">
        <v>54</v>
      </c>
      <c r="M417" s="11">
        <f>-'Guarantees provided'!D411</f>
        <v>79.81</v>
      </c>
      <c r="N417" s="11" t="s">
        <v>55</v>
      </c>
      <c r="O417" s="11">
        <v>0</v>
      </c>
      <c r="P417" s="12" t="s">
        <v>56</v>
      </c>
    </row>
    <row r="418" spans="3:16" ht="35.25" thickBot="1">
      <c r="C418" s="10" t="s">
        <v>51</v>
      </c>
      <c r="D418" s="11">
        <v>411</v>
      </c>
      <c r="E418" s="11" t="s">
        <v>52</v>
      </c>
      <c r="F418" s="11" t="str">
        <f>'Guarantees provided'!G412</f>
        <v>599904815306730</v>
      </c>
      <c r="G418" s="11" t="str">
        <f>'Guarantees provided'!A412</f>
        <v>TOTTAURBE-EMPRESA DE ADMINISTRACAO E CONSTRUCOES, S.A.</v>
      </c>
      <c r="H418" s="11" t="str">
        <f>IF('Guarantees provided'!B412="#",'Guarantees provided'!C412,'Guarantees provided'!B412)</f>
        <v>8000391312</v>
      </c>
      <c r="I418" s="11" t="str">
        <f>IF('Guarantees provided'!B412="#","Type of identifier, other than LEI or MFI code","LEI code")</f>
        <v>Type of identifier, other than LEI or MFI code</v>
      </c>
      <c r="J418" s="14" t="str">
        <f>IF(OR('Guarantees provided'!H412="E",'Guarantees provided'!H412="x"),"True","False")</f>
        <v>True</v>
      </c>
      <c r="K418" s="11" t="s">
        <v>53</v>
      </c>
      <c r="L418" s="11" t="s">
        <v>54</v>
      </c>
      <c r="M418" s="11">
        <f>-'Guarantees provided'!D412</f>
        <v>79.81</v>
      </c>
      <c r="N418" s="11" t="s">
        <v>55</v>
      </c>
      <c r="O418" s="11">
        <v>0</v>
      </c>
      <c r="P418" s="12" t="s">
        <v>56</v>
      </c>
    </row>
    <row r="419" spans="3:16" ht="35.25" thickBot="1">
      <c r="C419" s="10" t="s">
        <v>51</v>
      </c>
      <c r="D419" s="11">
        <v>412</v>
      </c>
      <c r="E419" s="11" t="s">
        <v>52</v>
      </c>
      <c r="F419" s="11" t="str">
        <f>'Guarantees provided'!G413</f>
        <v>599904815306880</v>
      </c>
      <c r="G419" s="11" t="str">
        <f>'Guarantees provided'!A413</f>
        <v>TOTTAURBE-EMPRESA DE ADMINISTRACAO E CONSTRUCOES, S.A.</v>
      </c>
      <c r="H419" s="11" t="str">
        <f>IF('Guarantees provided'!B413="#",'Guarantees provided'!C413,'Guarantees provided'!B413)</f>
        <v>8000391312</v>
      </c>
      <c r="I419" s="11" t="str">
        <f>IF('Guarantees provided'!B413="#","Type of identifier, other than LEI or MFI code","LEI code")</f>
        <v>Type of identifier, other than LEI or MFI code</v>
      </c>
      <c r="J419" s="14" t="str">
        <f>IF(OR('Guarantees provided'!H413="E",'Guarantees provided'!H413="x"),"True","False")</f>
        <v>True</v>
      </c>
      <c r="K419" s="11" t="s">
        <v>53</v>
      </c>
      <c r="L419" s="11" t="s">
        <v>54</v>
      </c>
      <c r="M419" s="11">
        <f>-'Guarantees provided'!D413</f>
        <v>79.81</v>
      </c>
      <c r="N419" s="11" t="s">
        <v>55</v>
      </c>
      <c r="O419" s="11">
        <v>0</v>
      </c>
      <c r="P419" s="12" t="s">
        <v>56</v>
      </c>
    </row>
    <row r="420" spans="3:16" ht="35.25" thickBot="1">
      <c r="C420" s="10" t="s">
        <v>51</v>
      </c>
      <c r="D420" s="11">
        <v>413</v>
      </c>
      <c r="E420" s="11" t="s">
        <v>52</v>
      </c>
      <c r="F420" s="11" t="str">
        <f>'Guarantees provided'!G414</f>
        <v>599904815306920</v>
      </c>
      <c r="G420" s="11" t="str">
        <f>'Guarantees provided'!A414</f>
        <v>TOTTAURBE-EMPRESA DE ADMINISTRACAO E CONSTRUCOES, S.A.</v>
      </c>
      <c r="H420" s="11" t="str">
        <f>IF('Guarantees provided'!B414="#",'Guarantees provided'!C414,'Guarantees provided'!B414)</f>
        <v>8000391312</v>
      </c>
      <c r="I420" s="11" t="str">
        <f>IF('Guarantees provided'!B414="#","Type of identifier, other than LEI or MFI code","LEI code")</f>
        <v>Type of identifier, other than LEI or MFI code</v>
      </c>
      <c r="J420" s="14" t="str">
        <f>IF(OR('Guarantees provided'!H414="E",'Guarantees provided'!H414="x"),"True","False")</f>
        <v>True</v>
      </c>
      <c r="K420" s="11" t="s">
        <v>53</v>
      </c>
      <c r="L420" s="11" t="s">
        <v>54</v>
      </c>
      <c r="M420" s="11">
        <f>-'Guarantees provided'!D414</f>
        <v>897.84</v>
      </c>
      <c r="N420" s="11" t="s">
        <v>55</v>
      </c>
      <c r="O420" s="11">
        <v>0</v>
      </c>
      <c r="P420" s="12" t="s">
        <v>56</v>
      </c>
    </row>
    <row r="421" spans="3:16" ht="35.25" thickBot="1">
      <c r="C421" s="10" t="s">
        <v>51</v>
      </c>
      <c r="D421" s="11">
        <v>414</v>
      </c>
      <c r="E421" s="11" t="s">
        <v>52</v>
      </c>
      <c r="F421" s="11" t="str">
        <f>'Guarantees provided'!G415</f>
        <v>599904815307070</v>
      </c>
      <c r="G421" s="11" t="str">
        <f>'Guarantees provided'!A415</f>
        <v>TOTTAURBE-EMPRESA DE ADMINISTRACAO E CONSTRUCOES, S.A.</v>
      </c>
      <c r="H421" s="11" t="str">
        <f>IF('Guarantees provided'!B415="#",'Guarantees provided'!C415,'Guarantees provided'!B415)</f>
        <v>8000391312</v>
      </c>
      <c r="I421" s="11" t="str">
        <f>IF('Guarantees provided'!B415="#","Type of identifier, other than LEI or MFI code","LEI code")</f>
        <v>Type of identifier, other than LEI or MFI code</v>
      </c>
      <c r="J421" s="14" t="str">
        <f>IF(OR('Guarantees provided'!H415="E",'Guarantees provided'!H415="x"),"True","False")</f>
        <v>True</v>
      </c>
      <c r="K421" s="11" t="s">
        <v>53</v>
      </c>
      <c r="L421" s="11" t="s">
        <v>54</v>
      </c>
      <c r="M421" s="11">
        <f>-'Guarantees provided'!D415</f>
        <v>74.819999999999993</v>
      </c>
      <c r="N421" s="11" t="s">
        <v>55</v>
      </c>
      <c r="O421" s="11">
        <v>0</v>
      </c>
      <c r="P421" s="12" t="s">
        <v>56</v>
      </c>
    </row>
    <row r="422" spans="3:16" ht="35.25" thickBot="1">
      <c r="C422" s="10" t="s">
        <v>51</v>
      </c>
      <c r="D422" s="11">
        <v>415</v>
      </c>
      <c r="E422" s="11" t="s">
        <v>52</v>
      </c>
      <c r="F422" s="11" t="str">
        <f>'Guarantees provided'!G416</f>
        <v>599904815307110</v>
      </c>
      <c r="G422" s="11" t="str">
        <f>'Guarantees provided'!A416</f>
        <v>TOTTAURBE-EMPRESA DE ADMINISTRACAO E CONSTRUCOES, S.A.</v>
      </c>
      <c r="H422" s="11" t="str">
        <f>IF('Guarantees provided'!B416="#",'Guarantees provided'!C416,'Guarantees provided'!B416)</f>
        <v>8000391312</v>
      </c>
      <c r="I422" s="11" t="str">
        <f>IF('Guarantees provided'!B416="#","Type of identifier, other than LEI or MFI code","LEI code")</f>
        <v>Type of identifier, other than LEI or MFI code</v>
      </c>
      <c r="J422" s="14" t="str">
        <f>IF(OR('Guarantees provided'!H416="E",'Guarantees provided'!H416="x"),"True","False")</f>
        <v>True</v>
      </c>
      <c r="K422" s="11" t="s">
        <v>53</v>
      </c>
      <c r="L422" s="11" t="s">
        <v>54</v>
      </c>
      <c r="M422" s="11">
        <f>-'Guarantees provided'!D416</f>
        <v>74.819999999999993</v>
      </c>
      <c r="N422" s="11" t="s">
        <v>55</v>
      </c>
      <c r="O422" s="11">
        <v>0</v>
      </c>
      <c r="P422" s="12" t="s">
        <v>56</v>
      </c>
    </row>
    <row r="423" spans="3:16" ht="35.25" thickBot="1">
      <c r="C423" s="10" t="s">
        <v>51</v>
      </c>
      <c r="D423" s="11">
        <v>416</v>
      </c>
      <c r="E423" s="11" t="s">
        <v>52</v>
      </c>
      <c r="F423" s="11" t="str">
        <f>'Guarantees provided'!G417</f>
        <v>599904815307260</v>
      </c>
      <c r="G423" s="11" t="str">
        <f>'Guarantees provided'!A417</f>
        <v>TOTTAURBE-EMPRESA DE ADMINISTRACAO E CONSTRUCOES, S.A.</v>
      </c>
      <c r="H423" s="11" t="str">
        <f>IF('Guarantees provided'!B417="#",'Guarantees provided'!C417,'Guarantees provided'!B417)</f>
        <v>8000391312</v>
      </c>
      <c r="I423" s="11" t="str">
        <f>IF('Guarantees provided'!B417="#","Type of identifier, other than LEI or MFI code","LEI code")</f>
        <v>Type of identifier, other than LEI or MFI code</v>
      </c>
      <c r="J423" s="14" t="str">
        <f>IF(OR('Guarantees provided'!H417="E",'Guarantees provided'!H417="x"),"True","False")</f>
        <v>True</v>
      </c>
      <c r="K423" s="11" t="s">
        <v>53</v>
      </c>
      <c r="L423" s="11" t="s">
        <v>54</v>
      </c>
      <c r="M423" s="11">
        <f>-'Guarantees provided'!D417</f>
        <v>374.1</v>
      </c>
      <c r="N423" s="11" t="s">
        <v>55</v>
      </c>
      <c r="O423" s="11">
        <v>0</v>
      </c>
      <c r="P423" s="12" t="s">
        <v>56</v>
      </c>
    </row>
    <row r="424" spans="3:16" ht="35.25" thickBot="1">
      <c r="C424" s="10" t="s">
        <v>51</v>
      </c>
      <c r="D424" s="11">
        <v>417</v>
      </c>
      <c r="E424" s="11" t="s">
        <v>52</v>
      </c>
      <c r="F424" s="11" t="str">
        <f>'Guarantees provided'!G418</f>
        <v>599904815307300</v>
      </c>
      <c r="G424" s="11" t="str">
        <f>'Guarantees provided'!A418</f>
        <v>TOTTAURBE-EMPRESA DE ADMINISTRACAO E CONSTRUCOES, S.A.</v>
      </c>
      <c r="H424" s="11" t="str">
        <f>IF('Guarantees provided'!B418="#",'Guarantees provided'!C418,'Guarantees provided'!B418)</f>
        <v>8000391312</v>
      </c>
      <c r="I424" s="11" t="str">
        <f>IF('Guarantees provided'!B418="#","Type of identifier, other than LEI or MFI code","LEI code")</f>
        <v>Type of identifier, other than LEI or MFI code</v>
      </c>
      <c r="J424" s="14" t="str">
        <f>IF(OR('Guarantees provided'!H418="E",'Guarantees provided'!H418="x"),"True","False")</f>
        <v>True</v>
      </c>
      <c r="K424" s="11" t="s">
        <v>53</v>
      </c>
      <c r="L424" s="11" t="s">
        <v>54</v>
      </c>
      <c r="M424" s="11">
        <f>-'Guarantees provided'!D418</f>
        <v>49.88</v>
      </c>
      <c r="N424" s="11" t="s">
        <v>55</v>
      </c>
      <c r="O424" s="11">
        <v>0</v>
      </c>
      <c r="P424" s="12" t="s">
        <v>56</v>
      </c>
    </row>
    <row r="425" spans="3:16" ht="35.25" thickBot="1">
      <c r="C425" s="10" t="s">
        <v>51</v>
      </c>
      <c r="D425" s="11">
        <v>418</v>
      </c>
      <c r="E425" s="11" t="s">
        <v>52</v>
      </c>
      <c r="F425" s="11" t="str">
        <f>'Guarantees provided'!G419</f>
        <v>599904815307450</v>
      </c>
      <c r="G425" s="11" t="str">
        <f>'Guarantees provided'!A419</f>
        <v>TOTTAURBE-EMPRESA DE ADMINISTRACAO E CONSTRUCOES, S.A.</v>
      </c>
      <c r="H425" s="11" t="str">
        <f>IF('Guarantees provided'!B419="#",'Guarantees provided'!C419,'Guarantees provided'!B419)</f>
        <v>8000391312</v>
      </c>
      <c r="I425" s="11" t="str">
        <f>IF('Guarantees provided'!B419="#","Type of identifier, other than LEI or MFI code","LEI code")</f>
        <v>Type of identifier, other than LEI or MFI code</v>
      </c>
      <c r="J425" s="14" t="str">
        <f>IF(OR('Guarantees provided'!H419="E",'Guarantees provided'!H419="x"),"True","False")</f>
        <v>True</v>
      </c>
      <c r="K425" s="11" t="s">
        <v>53</v>
      </c>
      <c r="L425" s="11" t="s">
        <v>54</v>
      </c>
      <c r="M425" s="11">
        <f>-'Guarantees provided'!D419</f>
        <v>49.88</v>
      </c>
      <c r="N425" s="11" t="s">
        <v>55</v>
      </c>
      <c r="O425" s="11">
        <v>0</v>
      </c>
      <c r="P425" s="12" t="s">
        <v>56</v>
      </c>
    </row>
    <row r="426" spans="3:16" ht="35.25" thickBot="1">
      <c r="C426" s="10" t="s">
        <v>51</v>
      </c>
      <c r="D426" s="11">
        <v>419</v>
      </c>
      <c r="E426" s="11" t="s">
        <v>52</v>
      </c>
      <c r="F426" s="11" t="str">
        <f>'Guarantees provided'!G420</f>
        <v>599904815307500</v>
      </c>
      <c r="G426" s="11" t="str">
        <f>'Guarantees provided'!A420</f>
        <v>TOTTAURBE-EMPRESA DE ADMINISTRACAO E CONSTRUCOES, S.A.</v>
      </c>
      <c r="H426" s="11" t="str">
        <f>IF('Guarantees provided'!B420="#",'Guarantees provided'!C420,'Guarantees provided'!B420)</f>
        <v>8000391312</v>
      </c>
      <c r="I426" s="11" t="str">
        <f>IF('Guarantees provided'!B420="#","Type of identifier, other than LEI or MFI code","LEI code")</f>
        <v>Type of identifier, other than LEI or MFI code</v>
      </c>
      <c r="J426" s="14" t="str">
        <f>IF(OR('Guarantees provided'!H420="E",'Guarantees provided'!H420="x"),"True","False")</f>
        <v>True</v>
      </c>
      <c r="K426" s="11" t="s">
        <v>53</v>
      </c>
      <c r="L426" s="11" t="s">
        <v>54</v>
      </c>
      <c r="M426" s="11">
        <f>-'Guarantees provided'!D420</f>
        <v>49.88</v>
      </c>
      <c r="N426" s="11" t="s">
        <v>55</v>
      </c>
      <c r="O426" s="11">
        <v>0</v>
      </c>
      <c r="P426" s="12" t="s">
        <v>56</v>
      </c>
    </row>
    <row r="427" spans="3:16" ht="35.25" thickBot="1">
      <c r="C427" s="10" t="s">
        <v>51</v>
      </c>
      <c r="D427" s="11">
        <v>420</v>
      </c>
      <c r="E427" s="11" t="s">
        <v>52</v>
      </c>
      <c r="F427" s="11" t="str">
        <f>'Guarantees provided'!G421</f>
        <v>599904815307640</v>
      </c>
      <c r="G427" s="11" t="str">
        <f>'Guarantees provided'!A421</f>
        <v>TOTTAURBE-EMPRESA DE ADMINISTRACAO E CONSTRUCOES, S.A.</v>
      </c>
      <c r="H427" s="11" t="str">
        <f>IF('Guarantees provided'!B421="#",'Guarantees provided'!C421,'Guarantees provided'!B421)</f>
        <v>8000391312</v>
      </c>
      <c r="I427" s="11" t="str">
        <f>IF('Guarantees provided'!B421="#","Type of identifier, other than LEI or MFI code","LEI code")</f>
        <v>Type of identifier, other than LEI or MFI code</v>
      </c>
      <c r="J427" s="14" t="str">
        <f>IF(OR('Guarantees provided'!H421="E",'Guarantees provided'!H421="x"),"True","False")</f>
        <v>True</v>
      </c>
      <c r="K427" s="11" t="s">
        <v>53</v>
      </c>
      <c r="L427" s="11" t="s">
        <v>54</v>
      </c>
      <c r="M427" s="11">
        <f>-'Guarantees provided'!D421</f>
        <v>90.28</v>
      </c>
      <c r="N427" s="11" t="s">
        <v>55</v>
      </c>
      <c r="O427" s="11">
        <v>0</v>
      </c>
      <c r="P427" s="12" t="s">
        <v>56</v>
      </c>
    </row>
    <row r="428" spans="3:16" ht="35.25" thickBot="1">
      <c r="C428" s="10" t="s">
        <v>51</v>
      </c>
      <c r="D428" s="11">
        <v>421</v>
      </c>
      <c r="E428" s="11" t="s">
        <v>52</v>
      </c>
      <c r="F428" s="11" t="str">
        <f>'Guarantees provided'!G422</f>
        <v>599904836417420</v>
      </c>
      <c r="G428" s="11" t="str">
        <f>'Guarantees provided'!A422</f>
        <v>TOTTAURBE-EMPRESA DE ADMINISTRACAO E CONSTRUCOES, S.A.</v>
      </c>
      <c r="H428" s="11" t="str">
        <f>IF('Guarantees provided'!B422="#",'Guarantees provided'!C422,'Guarantees provided'!B422)</f>
        <v>8000391312</v>
      </c>
      <c r="I428" s="11" t="str">
        <f>IF('Guarantees provided'!B422="#","Type of identifier, other than LEI or MFI code","LEI code")</f>
        <v>Type of identifier, other than LEI or MFI code</v>
      </c>
      <c r="J428" s="14" t="str">
        <f>IF(OR('Guarantees provided'!H422="E",'Guarantees provided'!H422="x"),"True","False")</f>
        <v>True</v>
      </c>
      <c r="K428" s="11" t="s">
        <v>53</v>
      </c>
      <c r="L428" s="11" t="s">
        <v>54</v>
      </c>
      <c r="M428" s="11">
        <f>-'Guarantees provided'!D422</f>
        <v>3491.59</v>
      </c>
      <c r="N428" s="11" t="s">
        <v>55</v>
      </c>
      <c r="O428" s="11">
        <v>0</v>
      </c>
      <c r="P428" s="12" t="s">
        <v>56</v>
      </c>
    </row>
    <row r="429" spans="3:16" ht="23.65" thickBot="1">
      <c r="C429" s="10" t="s">
        <v>51</v>
      </c>
      <c r="D429" s="11">
        <v>422</v>
      </c>
      <c r="E429" s="11" t="s">
        <v>52</v>
      </c>
      <c r="F429" s="11">
        <f>'Guarantees provided'!G423</f>
        <v>0</v>
      </c>
      <c r="G429" s="11">
        <f>'Guarantees provided'!A423</f>
        <v>0</v>
      </c>
      <c r="H429" s="11">
        <f>IF('Guarantees provided'!B423="#",'Guarantees provided'!C423,'Guarantees provided'!B423)</f>
        <v>0</v>
      </c>
      <c r="I429" s="11" t="str">
        <f>IF('Guarantees provided'!B423="#","Type of identifier, other than LEI or MFI code","LEI code")</f>
        <v>LEI code</v>
      </c>
      <c r="J429" s="14" t="str">
        <f>IF(OR('Guarantees provided'!H423="E",'Guarantees provided'!H423="x"),"True","False")</f>
        <v>False</v>
      </c>
      <c r="K429" s="11" t="s">
        <v>53</v>
      </c>
      <c r="L429" s="11" t="s">
        <v>54</v>
      </c>
      <c r="M429" s="11">
        <f>-'Guarantees provided'!D423</f>
        <v>0</v>
      </c>
      <c r="N429" s="11" t="s">
        <v>55</v>
      </c>
      <c r="O429" s="11">
        <v>0</v>
      </c>
      <c r="P429" s="12" t="s">
        <v>56</v>
      </c>
    </row>
    <row r="430" spans="3:16" ht="23.65" thickBot="1">
      <c r="C430" s="10" t="s">
        <v>51</v>
      </c>
      <c r="D430" s="11">
        <v>423</v>
      </c>
      <c r="E430" s="11" t="s">
        <v>52</v>
      </c>
      <c r="F430" s="11">
        <f>'Guarantees provided'!G424</f>
        <v>0</v>
      </c>
      <c r="G430" s="11">
        <f>'Guarantees provided'!A424</f>
        <v>0</v>
      </c>
      <c r="H430" s="11">
        <f>IF('Guarantees provided'!B424="#",'Guarantees provided'!C424,'Guarantees provided'!B424)</f>
        <v>0</v>
      </c>
      <c r="I430" s="11" t="str">
        <f>IF('Guarantees provided'!B424="#","Type of identifier, other than LEI or MFI code","LEI code")</f>
        <v>LEI code</v>
      </c>
      <c r="J430" s="14" t="str">
        <f>IF(OR('Guarantees provided'!H424="E",'Guarantees provided'!H424="x"),"True","False")</f>
        <v>False</v>
      </c>
      <c r="K430" s="11" t="s">
        <v>53</v>
      </c>
      <c r="L430" s="11" t="s">
        <v>54</v>
      </c>
      <c r="M430" s="11">
        <f>-'Guarantees provided'!D424</f>
        <v>0</v>
      </c>
      <c r="N430" s="11" t="s">
        <v>55</v>
      </c>
      <c r="O430" s="11">
        <v>0</v>
      </c>
      <c r="P430" s="12" t="s">
        <v>56</v>
      </c>
    </row>
    <row r="431" spans="3:16" ht="23.65" thickBot="1">
      <c r="C431" s="10" t="s">
        <v>51</v>
      </c>
      <c r="D431" s="11">
        <v>424</v>
      </c>
      <c r="E431" s="11" t="s">
        <v>52</v>
      </c>
      <c r="F431" s="11">
        <f>'Guarantees provided'!G425</f>
        <v>0</v>
      </c>
      <c r="G431" s="11">
        <f>'Guarantees provided'!A425</f>
        <v>0</v>
      </c>
      <c r="H431" s="11">
        <f>IF('Guarantees provided'!B425="#",'Guarantees provided'!C425,'Guarantees provided'!B425)</f>
        <v>0</v>
      </c>
      <c r="I431" s="11" t="str">
        <f>IF('Guarantees provided'!B425="#","Type of identifier, other than LEI or MFI code","LEI code")</f>
        <v>LEI code</v>
      </c>
      <c r="J431" s="14" t="str">
        <f>IF(OR('Guarantees provided'!H425="E",'Guarantees provided'!H425="x"),"True","False")</f>
        <v>False</v>
      </c>
      <c r="K431" s="11" t="s">
        <v>53</v>
      </c>
      <c r="L431" s="11" t="s">
        <v>54</v>
      </c>
      <c r="M431" s="11">
        <f>-'Guarantees provided'!D425</f>
        <v>0</v>
      </c>
      <c r="N431" s="11" t="s">
        <v>55</v>
      </c>
      <c r="O431" s="11">
        <v>0</v>
      </c>
      <c r="P431" s="12" t="s">
        <v>56</v>
      </c>
    </row>
    <row r="432" spans="3:16" ht="23.65" thickBot="1">
      <c r="C432" s="10" t="s">
        <v>51</v>
      </c>
      <c r="D432" s="11">
        <v>425</v>
      </c>
      <c r="E432" s="11" t="s">
        <v>52</v>
      </c>
      <c r="F432" s="11">
        <f>'Guarantees provided'!G426</f>
        <v>0</v>
      </c>
      <c r="G432" s="11">
        <f>'Guarantees provided'!A426</f>
        <v>0</v>
      </c>
      <c r="H432" s="11">
        <f>IF('Guarantees provided'!B426="#",'Guarantees provided'!C426,'Guarantees provided'!B426)</f>
        <v>0</v>
      </c>
      <c r="I432" s="11" t="str">
        <f>IF('Guarantees provided'!B426="#","Type of identifier, other than LEI or MFI code","LEI code")</f>
        <v>LEI code</v>
      </c>
      <c r="J432" s="14" t="str">
        <f>IF(OR('Guarantees provided'!H426="E",'Guarantees provided'!H426="x"),"True","False")</f>
        <v>False</v>
      </c>
      <c r="K432" s="11" t="s">
        <v>53</v>
      </c>
      <c r="L432" s="11" t="s">
        <v>54</v>
      </c>
      <c r="M432" s="11">
        <f>-'Guarantees provided'!D426</f>
        <v>0</v>
      </c>
      <c r="N432" s="11" t="s">
        <v>55</v>
      </c>
      <c r="O432" s="11">
        <v>0</v>
      </c>
      <c r="P432" s="12" t="s">
        <v>56</v>
      </c>
    </row>
    <row r="433" spans="3:16" ht="23.65" thickBot="1">
      <c r="C433" s="10" t="s">
        <v>51</v>
      </c>
      <c r="D433" s="11">
        <v>426</v>
      </c>
      <c r="E433" s="11" t="s">
        <v>52</v>
      </c>
      <c r="F433" s="11">
        <f>'Guarantees provided'!G427</f>
        <v>0</v>
      </c>
      <c r="G433" s="11">
        <f>'Guarantees provided'!A427</f>
        <v>0</v>
      </c>
      <c r="H433" s="11">
        <f>IF('Guarantees provided'!B427="#",'Guarantees provided'!C427,'Guarantees provided'!B427)</f>
        <v>0</v>
      </c>
      <c r="I433" s="11" t="str">
        <f>IF('Guarantees provided'!B427="#","Type of identifier, other than LEI or MFI code","LEI code")</f>
        <v>LEI code</v>
      </c>
      <c r="J433" s="14" t="str">
        <f>IF(OR('Guarantees provided'!H427="E",'Guarantees provided'!H427="x"),"True","False")</f>
        <v>False</v>
      </c>
      <c r="K433" s="11" t="s">
        <v>53</v>
      </c>
      <c r="L433" s="11" t="s">
        <v>54</v>
      </c>
      <c r="M433" s="11">
        <f>-'Guarantees provided'!D427</f>
        <v>0</v>
      </c>
      <c r="N433" s="11" t="s">
        <v>55</v>
      </c>
      <c r="O433" s="11">
        <v>0</v>
      </c>
      <c r="P433" s="12" t="s">
        <v>56</v>
      </c>
    </row>
    <row r="434" spans="3:16" ht="23.65" thickBot="1">
      <c r="C434" s="10" t="s">
        <v>51</v>
      </c>
      <c r="D434" s="11">
        <v>427</v>
      </c>
      <c r="E434" s="11" t="s">
        <v>52</v>
      </c>
      <c r="F434" s="11">
        <f>'Guarantees provided'!G428</f>
        <v>0</v>
      </c>
      <c r="G434" s="11">
        <f>'Guarantees provided'!A428</f>
        <v>0</v>
      </c>
      <c r="H434" s="11">
        <f>IF('Guarantees provided'!B428="#",'Guarantees provided'!C428,'Guarantees provided'!B428)</f>
        <v>0</v>
      </c>
      <c r="I434" s="11" t="str">
        <f>IF('Guarantees provided'!B428="#","Type of identifier, other than LEI or MFI code","LEI code")</f>
        <v>LEI code</v>
      </c>
      <c r="J434" s="14" t="str">
        <f>IF(OR('Guarantees provided'!H428="E",'Guarantees provided'!H428="x"),"True","False")</f>
        <v>False</v>
      </c>
      <c r="K434" s="11" t="s">
        <v>53</v>
      </c>
      <c r="L434" s="11" t="s">
        <v>54</v>
      </c>
      <c r="M434" s="11">
        <f>-'Guarantees provided'!D428</f>
        <v>0</v>
      </c>
      <c r="N434" s="11" t="s">
        <v>55</v>
      </c>
      <c r="O434" s="11">
        <v>0</v>
      </c>
      <c r="P434" s="12" t="s">
        <v>56</v>
      </c>
    </row>
    <row r="435" spans="3:16" ht="23.65" thickBot="1">
      <c r="C435" s="10" t="s">
        <v>51</v>
      </c>
      <c r="D435" s="11">
        <v>428</v>
      </c>
      <c r="E435" s="11" t="s">
        <v>52</v>
      </c>
      <c r="F435" s="11">
        <f>'Guarantees provided'!G429</f>
        <v>0</v>
      </c>
      <c r="G435" s="11">
        <f>'Guarantees provided'!A429</f>
        <v>0</v>
      </c>
      <c r="H435" s="11">
        <f>IF('Guarantees provided'!B429="#",'Guarantees provided'!C429,'Guarantees provided'!B429)</f>
        <v>0</v>
      </c>
      <c r="I435" s="11" t="str">
        <f>IF('Guarantees provided'!B429="#","Type of identifier, other than LEI or MFI code","LEI code")</f>
        <v>LEI code</v>
      </c>
      <c r="J435" s="14" t="str">
        <f>IF(OR('Guarantees provided'!H429="E",'Guarantees provided'!H429="x"),"True","False")</f>
        <v>False</v>
      </c>
      <c r="K435" s="11" t="s">
        <v>53</v>
      </c>
      <c r="L435" s="11" t="s">
        <v>54</v>
      </c>
      <c r="M435" s="11">
        <f>-'Guarantees provided'!D429</f>
        <v>0</v>
      </c>
      <c r="N435" s="11" t="s">
        <v>55</v>
      </c>
      <c r="O435" s="11">
        <v>0</v>
      </c>
      <c r="P435" s="12" t="s">
        <v>56</v>
      </c>
    </row>
    <row r="436" spans="3:16" ht="23.65" thickBot="1">
      <c r="C436" s="10" t="s">
        <v>51</v>
      </c>
      <c r="D436" s="11">
        <v>429</v>
      </c>
      <c r="E436" s="11" t="s">
        <v>52</v>
      </c>
      <c r="F436" s="11">
        <f>'Guarantees provided'!G430</f>
        <v>0</v>
      </c>
      <c r="G436" s="11">
        <f>'Guarantees provided'!A430</f>
        <v>0</v>
      </c>
      <c r="H436" s="11">
        <f>IF('Guarantees provided'!B430="#",'Guarantees provided'!C430,'Guarantees provided'!B430)</f>
        <v>0</v>
      </c>
      <c r="I436" s="11" t="str">
        <f>IF('Guarantees provided'!B430="#","Type of identifier, other than LEI or MFI code","LEI code")</f>
        <v>LEI code</v>
      </c>
      <c r="J436" s="14" t="str">
        <f>IF(OR('Guarantees provided'!H430="E",'Guarantees provided'!H430="x"),"True","False")</f>
        <v>False</v>
      </c>
      <c r="K436" s="11" t="s">
        <v>53</v>
      </c>
      <c r="L436" s="11" t="s">
        <v>54</v>
      </c>
      <c r="M436" s="11">
        <f>-'Guarantees provided'!D430</f>
        <v>0</v>
      </c>
      <c r="N436" s="11" t="s">
        <v>55</v>
      </c>
      <c r="O436" s="11">
        <v>0</v>
      </c>
      <c r="P436" s="12" t="s">
        <v>56</v>
      </c>
    </row>
    <row r="437" spans="3:16" ht="23.65" thickBot="1">
      <c r="C437" s="10" t="s">
        <v>51</v>
      </c>
      <c r="D437" s="11">
        <v>430</v>
      </c>
      <c r="E437" s="11" t="s">
        <v>52</v>
      </c>
      <c r="F437" s="11">
        <f>'Guarantees provided'!G431</f>
        <v>0</v>
      </c>
      <c r="G437" s="11">
        <f>'Guarantees provided'!A431</f>
        <v>0</v>
      </c>
      <c r="H437" s="11">
        <f>IF('Guarantees provided'!B431="#",'Guarantees provided'!C431,'Guarantees provided'!B431)</f>
        <v>0</v>
      </c>
      <c r="I437" s="11" t="str">
        <f>IF('Guarantees provided'!B431="#","Type of identifier, other than LEI or MFI code","LEI code")</f>
        <v>LEI code</v>
      </c>
      <c r="J437" s="14" t="str">
        <f>IF(OR('Guarantees provided'!H431="E",'Guarantees provided'!H431="x"),"True","False")</f>
        <v>False</v>
      </c>
      <c r="K437" s="11" t="s">
        <v>53</v>
      </c>
      <c r="L437" s="11" t="s">
        <v>54</v>
      </c>
      <c r="M437" s="11">
        <f>-'Guarantees provided'!D431</f>
        <v>0</v>
      </c>
      <c r="N437" s="11" t="s">
        <v>55</v>
      </c>
      <c r="O437" s="11">
        <v>0</v>
      </c>
      <c r="P437" s="12" t="s">
        <v>56</v>
      </c>
    </row>
    <row r="438" spans="3:16" ht="23.65" thickBot="1">
      <c r="C438" s="10" t="s">
        <v>51</v>
      </c>
      <c r="D438" s="11">
        <v>431</v>
      </c>
      <c r="E438" s="11" t="s">
        <v>52</v>
      </c>
      <c r="F438" s="11">
        <f>'Guarantees provided'!G432</f>
        <v>0</v>
      </c>
      <c r="G438" s="11">
        <f>'Guarantees provided'!A432</f>
        <v>0</v>
      </c>
      <c r="H438" s="11">
        <f>IF('Guarantees provided'!B432="#",'Guarantees provided'!C432,'Guarantees provided'!B432)</f>
        <v>0</v>
      </c>
      <c r="I438" s="11" t="str">
        <f>IF('Guarantees provided'!B432="#","Type of identifier, other than LEI or MFI code","LEI code")</f>
        <v>LEI code</v>
      </c>
      <c r="J438" s="14" t="str">
        <f>IF(OR('Guarantees provided'!H432="E",'Guarantees provided'!H432="x"),"True","False")</f>
        <v>False</v>
      </c>
      <c r="K438" s="11" t="s">
        <v>53</v>
      </c>
      <c r="L438" s="11" t="s">
        <v>54</v>
      </c>
      <c r="M438" s="11">
        <f>-'Guarantees provided'!D432</f>
        <v>0</v>
      </c>
      <c r="N438" s="11" t="s">
        <v>55</v>
      </c>
      <c r="O438" s="11">
        <v>0</v>
      </c>
      <c r="P438" s="12" t="s">
        <v>56</v>
      </c>
    </row>
    <row r="439" spans="3:16" ht="23.65" thickBot="1">
      <c r="C439" s="10" t="s">
        <v>51</v>
      </c>
      <c r="D439" s="11">
        <v>432</v>
      </c>
      <c r="E439" s="11" t="s">
        <v>52</v>
      </c>
      <c r="F439" s="11">
        <f>'Guarantees provided'!G433</f>
        <v>0</v>
      </c>
      <c r="G439" s="11">
        <f>'Guarantees provided'!A433</f>
        <v>0</v>
      </c>
      <c r="H439" s="11">
        <f>IF('Guarantees provided'!B433="#",'Guarantees provided'!C433,'Guarantees provided'!B433)</f>
        <v>0</v>
      </c>
      <c r="I439" s="11" t="str">
        <f>IF('Guarantees provided'!B433="#","Type of identifier, other than LEI or MFI code","LEI code")</f>
        <v>LEI code</v>
      </c>
      <c r="J439" s="14" t="str">
        <f>IF(OR('Guarantees provided'!H433="E",'Guarantees provided'!H433="x"),"True","False")</f>
        <v>False</v>
      </c>
      <c r="K439" s="11" t="s">
        <v>53</v>
      </c>
      <c r="L439" s="11" t="s">
        <v>54</v>
      </c>
      <c r="M439" s="11">
        <f>-'Guarantees provided'!D433</f>
        <v>0</v>
      </c>
      <c r="N439" s="11" t="s">
        <v>55</v>
      </c>
      <c r="O439" s="11">
        <v>0</v>
      </c>
      <c r="P439" s="12" t="s">
        <v>56</v>
      </c>
    </row>
    <row r="440" spans="3:16" ht="23.65" thickBot="1">
      <c r="C440" s="10" t="s">
        <v>51</v>
      </c>
      <c r="D440" s="11">
        <v>433</v>
      </c>
      <c r="E440" s="11" t="s">
        <v>52</v>
      </c>
      <c r="F440" s="11">
        <f>'Guarantees provided'!G434</f>
        <v>0</v>
      </c>
      <c r="G440" s="11">
        <f>'Guarantees provided'!A434</f>
        <v>0</v>
      </c>
      <c r="H440" s="11">
        <f>IF('Guarantees provided'!B434="#",'Guarantees provided'!C434,'Guarantees provided'!B434)</f>
        <v>0</v>
      </c>
      <c r="I440" s="11" t="str">
        <f>IF('Guarantees provided'!B434="#","Type of identifier, other than LEI or MFI code","LEI code")</f>
        <v>LEI code</v>
      </c>
      <c r="J440" s="14" t="str">
        <f>IF(OR('Guarantees provided'!H434="E",'Guarantees provided'!H434="x"),"True","False")</f>
        <v>False</v>
      </c>
      <c r="K440" s="11" t="s">
        <v>53</v>
      </c>
      <c r="L440" s="11" t="s">
        <v>54</v>
      </c>
      <c r="M440" s="11">
        <f>-'Guarantees provided'!D434</f>
        <v>0</v>
      </c>
      <c r="N440" s="11" t="s">
        <v>55</v>
      </c>
      <c r="O440" s="11">
        <v>0</v>
      </c>
      <c r="P440" s="12" t="s">
        <v>56</v>
      </c>
    </row>
    <row r="441" spans="3:16" ht="23.65" thickBot="1">
      <c r="C441" s="10" t="s">
        <v>51</v>
      </c>
      <c r="D441" s="11">
        <v>434</v>
      </c>
      <c r="E441" s="11" t="s">
        <v>52</v>
      </c>
      <c r="F441" s="11">
        <f>'Guarantees provided'!G435</f>
        <v>0</v>
      </c>
      <c r="G441" s="11">
        <f>'Guarantees provided'!A435</f>
        <v>0</v>
      </c>
      <c r="H441" s="11">
        <f>IF('Guarantees provided'!B435="#",'Guarantees provided'!C435,'Guarantees provided'!B435)</f>
        <v>0</v>
      </c>
      <c r="I441" s="11" t="str">
        <f>IF('Guarantees provided'!B435="#","Type of identifier, other than LEI or MFI code","LEI code")</f>
        <v>LEI code</v>
      </c>
      <c r="J441" s="14" t="str">
        <f>IF(OR('Guarantees provided'!H435="E",'Guarantees provided'!H435="x"),"True","False")</f>
        <v>False</v>
      </c>
      <c r="K441" s="11" t="s">
        <v>53</v>
      </c>
      <c r="L441" s="11" t="s">
        <v>54</v>
      </c>
      <c r="M441" s="11">
        <f>-'Guarantees provided'!D435</f>
        <v>0</v>
      </c>
      <c r="N441" s="11" t="s">
        <v>55</v>
      </c>
      <c r="O441" s="11">
        <v>0</v>
      </c>
      <c r="P441" s="12" t="s">
        <v>56</v>
      </c>
    </row>
    <row r="442" spans="3:16" ht="23.65" thickBot="1">
      <c r="C442" s="10" t="s">
        <v>51</v>
      </c>
      <c r="D442" s="11">
        <v>435</v>
      </c>
      <c r="E442" s="11" t="s">
        <v>52</v>
      </c>
      <c r="F442" s="11">
        <f>'Guarantees provided'!G436</f>
        <v>0</v>
      </c>
      <c r="G442" s="11">
        <f>'Guarantees provided'!A436</f>
        <v>0</v>
      </c>
      <c r="H442" s="11">
        <f>IF('Guarantees provided'!B436="#",'Guarantees provided'!C436,'Guarantees provided'!B436)</f>
        <v>0</v>
      </c>
      <c r="I442" s="11" t="str">
        <f>IF('Guarantees provided'!B436="#","Type of identifier, other than LEI or MFI code","LEI code")</f>
        <v>LEI code</v>
      </c>
      <c r="J442" s="14" t="str">
        <f>IF(OR('Guarantees provided'!H436="E",'Guarantees provided'!H436="x"),"True","False")</f>
        <v>False</v>
      </c>
      <c r="K442" s="11" t="s">
        <v>53</v>
      </c>
      <c r="L442" s="11" t="s">
        <v>54</v>
      </c>
      <c r="M442" s="11">
        <f>-'Guarantees provided'!D436</f>
        <v>0</v>
      </c>
      <c r="N442" s="11" t="s">
        <v>55</v>
      </c>
      <c r="O442" s="11">
        <v>0</v>
      </c>
      <c r="P442" s="12" t="s">
        <v>56</v>
      </c>
    </row>
    <row r="443" spans="3:16" ht="23.65" thickBot="1">
      <c r="C443" s="10" t="s">
        <v>51</v>
      </c>
      <c r="D443" s="11">
        <v>436</v>
      </c>
      <c r="E443" s="11" t="s">
        <v>52</v>
      </c>
      <c r="F443" s="11">
        <f>'Guarantees provided'!G437</f>
        <v>0</v>
      </c>
      <c r="G443" s="11">
        <f>'Guarantees provided'!A437</f>
        <v>0</v>
      </c>
      <c r="H443" s="11">
        <f>IF('Guarantees provided'!B437="#",'Guarantees provided'!C437,'Guarantees provided'!B437)</f>
        <v>0</v>
      </c>
      <c r="I443" s="11" t="str">
        <f>IF('Guarantees provided'!B437="#","Type of identifier, other than LEI or MFI code","LEI code")</f>
        <v>LEI code</v>
      </c>
      <c r="J443" s="14" t="str">
        <f>IF(OR('Guarantees provided'!H437="E",'Guarantees provided'!H437="x"),"True","False")</f>
        <v>False</v>
      </c>
      <c r="K443" s="11" t="s">
        <v>53</v>
      </c>
      <c r="L443" s="11" t="s">
        <v>54</v>
      </c>
      <c r="M443" s="11">
        <f>-'Guarantees provided'!D437</f>
        <v>0</v>
      </c>
      <c r="N443" s="11" t="s">
        <v>55</v>
      </c>
      <c r="O443" s="11">
        <v>0</v>
      </c>
      <c r="P443" s="12" t="s">
        <v>56</v>
      </c>
    </row>
    <row r="444" spans="3:16" ht="23.65" thickBot="1">
      <c r="C444" s="10" t="s">
        <v>51</v>
      </c>
      <c r="D444" s="11">
        <v>437</v>
      </c>
      <c r="E444" s="11" t="s">
        <v>52</v>
      </c>
      <c r="F444" s="11">
        <f>'Guarantees provided'!G438</f>
        <v>0</v>
      </c>
      <c r="G444" s="11">
        <f>'Guarantees provided'!A438</f>
        <v>0</v>
      </c>
      <c r="H444" s="11">
        <f>IF('Guarantees provided'!B438="#",'Guarantees provided'!C438,'Guarantees provided'!B438)</f>
        <v>0</v>
      </c>
      <c r="I444" s="11" t="str">
        <f>IF('Guarantees provided'!B438="#","Type of identifier, other than LEI or MFI code","LEI code")</f>
        <v>LEI code</v>
      </c>
      <c r="J444" s="14" t="str">
        <f>IF(OR('Guarantees provided'!H438="E",'Guarantees provided'!H438="x"),"True","False")</f>
        <v>False</v>
      </c>
      <c r="K444" s="11" t="s">
        <v>53</v>
      </c>
      <c r="L444" s="11" t="s">
        <v>54</v>
      </c>
      <c r="M444" s="11">
        <f>-'Guarantees provided'!D438</f>
        <v>0</v>
      </c>
      <c r="N444" s="11" t="s">
        <v>55</v>
      </c>
      <c r="O444" s="11">
        <v>0</v>
      </c>
      <c r="P444" s="12" t="s">
        <v>56</v>
      </c>
    </row>
    <row r="445" spans="3:16" ht="23.65" thickBot="1">
      <c r="C445" s="10" t="s">
        <v>51</v>
      </c>
      <c r="D445" s="11">
        <v>438</v>
      </c>
      <c r="E445" s="11" t="s">
        <v>52</v>
      </c>
      <c r="F445" s="11">
        <f>'Guarantees provided'!G439</f>
        <v>0</v>
      </c>
      <c r="G445" s="11">
        <f>'Guarantees provided'!A439</f>
        <v>0</v>
      </c>
      <c r="H445" s="11">
        <f>IF('Guarantees provided'!B439="#",'Guarantees provided'!C439,'Guarantees provided'!B439)</f>
        <v>0</v>
      </c>
      <c r="I445" s="11" t="str">
        <f>IF('Guarantees provided'!B439="#","Type of identifier, other than LEI or MFI code","LEI code")</f>
        <v>LEI code</v>
      </c>
      <c r="J445" s="14" t="str">
        <f>IF(OR('Guarantees provided'!H439="E",'Guarantees provided'!H439="x"),"True","False")</f>
        <v>False</v>
      </c>
      <c r="K445" s="11" t="s">
        <v>53</v>
      </c>
      <c r="L445" s="11" t="s">
        <v>54</v>
      </c>
      <c r="M445" s="11">
        <f>-'Guarantees provided'!D439</f>
        <v>0</v>
      </c>
      <c r="N445" s="11" t="s">
        <v>55</v>
      </c>
      <c r="O445" s="11">
        <v>0</v>
      </c>
      <c r="P445" s="12" t="s">
        <v>56</v>
      </c>
    </row>
    <row r="446" spans="3:16" ht="23.65" thickBot="1">
      <c r="C446" s="10" t="s">
        <v>51</v>
      </c>
      <c r="D446" s="11">
        <v>439</v>
      </c>
      <c r="E446" s="11" t="s">
        <v>52</v>
      </c>
      <c r="F446" s="11">
        <f>'Guarantees provided'!G440</f>
        <v>0</v>
      </c>
      <c r="G446" s="11">
        <f>'Guarantees provided'!A440</f>
        <v>0</v>
      </c>
      <c r="H446" s="11">
        <f>IF('Guarantees provided'!B440="#",'Guarantees provided'!C440,'Guarantees provided'!B440)</f>
        <v>0</v>
      </c>
      <c r="I446" s="11" t="str">
        <f>IF('Guarantees provided'!B440="#","Type of identifier, other than LEI or MFI code","LEI code")</f>
        <v>LEI code</v>
      </c>
      <c r="J446" s="14" t="str">
        <f>IF(OR('Guarantees provided'!H440="E",'Guarantees provided'!H440="x"),"True","False")</f>
        <v>False</v>
      </c>
      <c r="K446" s="11" t="s">
        <v>53</v>
      </c>
      <c r="L446" s="11" t="s">
        <v>54</v>
      </c>
      <c r="M446" s="11">
        <f>-'Guarantees provided'!D440</f>
        <v>0</v>
      </c>
      <c r="N446" s="11" t="s">
        <v>55</v>
      </c>
      <c r="O446" s="11">
        <v>0</v>
      </c>
      <c r="P446" s="12" t="s">
        <v>56</v>
      </c>
    </row>
    <row r="447" spans="3:16" ht="23.65" thickBot="1">
      <c r="C447" s="10" t="s">
        <v>51</v>
      </c>
      <c r="D447" s="11">
        <v>440</v>
      </c>
      <c r="E447" s="11" t="s">
        <v>52</v>
      </c>
      <c r="F447" s="11">
        <f>'Guarantees provided'!G441</f>
        <v>0</v>
      </c>
      <c r="G447" s="11">
        <f>'Guarantees provided'!A441</f>
        <v>0</v>
      </c>
      <c r="H447" s="11">
        <f>IF('Guarantees provided'!B441="#",'Guarantees provided'!C441,'Guarantees provided'!B441)</f>
        <v>0</v>
      </c>
      <c r="I447" s="11" t="str">
        <f>IF('Guarantees provided'!B441="#","Type of identifier, other than LEI or MFI code","LEI code")</f>
        <v>LEI code</v>
      </c>
      <c r="J447" s="14" t="str">
        <f>IF(OR('Guarantees provided'!H441="E",'Guarantees provided'!H441="x"),"True","False")</f>
        <v>False</v>
      </c>
      <c r="K447" s="11" t="s">
        <v>53</v>
      </c>
      <c r="L447" s="11" t="s">
        <v>54</v>
      </c>
      <c r="M447" s="11">
        <f>-'Guarantees provided'!D441</f>
        <v>0</v>
      </c>
      <c r="N447" s="11" t="s">
        <v>55</v>
      </c>
      <c r="O447" s="11">
        <v>0</v>
      </c>
      <c r="P447" s="12" t="s">
        <v>56</v>
      </c>
    </row>
    <row r="448" spans="3:16" ht="23.65" thickBot="1">
      <c r="C448" s="10" t="s">
        <v>51</v>
      </c>
      <c r="D448" s="11">
        <v>441</v>
      </c>
      <c r="E448" s="11" t="s">
        <v>52</v>
      </c>
      <c r="F448" s="11">
        <f>'Guarantees provided'!G442</f>
        <v>0</v>
      </c>
      <c r="G448" s="11">
        <f>'Guarantees provided'!A442</f>
        <v>0</v>
      </c>
      <c r="H448" s="11">
        <f>IF('Guarantees provided'!B442="#",'Guarantees provided'!C442,'Guarantees provided'!B442)</f>
        <v>0</v>
      </c>
      <c r="I448" s="11" t="str">
        <f>IF('Guarantees provided'!B442="#","Type of identifier, other than LEI or MFI code","LEI code")</f>
        <v>LEI code</v>
      </c>
      <c r="J448" s="14" t="str">
        <f>IF(OR('Guarantees provided'!H442="E",'Guarantees provided'!H442="x"),"True","False")</f>
        <v>False</v>
      </c>
      <c r="K448" s="11" t="s">
        <v>53</v>
      </c>
      <c r="L448" s="11" t="s">
        <v>54</v>
      </c>
      <c r="M448" s="11">
        <f>-'Guarantees provided'!D442</f>
        <v>0</v>
      </c>
      <c r="N448" s="11" t="s">
        <v>55</v>
      </c>
      <c r="O448" s="11">
        <v>0</v>
      </c>
      <c r="P448" s="12" t="s">
        <v>56</v>
      </c>
    </row>
    <row r="449" spans="3:16" ht="23.65" thickBot="1">
      <c r="C449" s="10" t="s">
        <v>51</v>
      </c>
      <c r="D449" s="11">
        <v>442</v>
      </c>
      <c r="E449" s="11" t="s">
        <v>52</v>
      </c>
      <c r="F449" s="11">
        <f>'Guarantees provided'!G443</f>
        <v>0</v>
      </c>
      <c r="G449" s="11">
        <f>'Guarantees provided'!A443</f>
        <v>0</v>
      </c>
      <c r="H449" s="11">
        <f>IF('Guarantees provided'!B443="#",'Guarantees provided'!C443,'Guarantees provided'!B443)</f>
        <v>0</v>
      </c>
      <c r="I449" s="11" t="str">
        <f>IF('Guarantees provided'!B443="#","Type of identifier, other than LEI or MFI code","LEI code")</f>
        <v>LEI code</v>
      </c>
      <c r="J449" s="14" t="str">
        <f>IF(OR('Guarantees provided'!H443="E",'Guarantees provided'!H443="x"),"True","False")</f>
        <v>False</v>
      </c>
      <c r="K449" s="11" t="s">
        <v>53</v>
      </c>
      <c r="L449" s="11" t="s">
        <v>54</v>
      </c>
      <c r="M449" s="11">
        <f>-'Guarantees provided'!D443</f>
        <v>0</v>
      </c>
      <c r="N449" s="11" t="s">
        <v>55</v>
      </c>
      <c r="O449" s="11">
        <v>0</v>
      </c>
      <c r="P449" s="12" t="s">
        <v>56</v>
      </c>
    </row>
    <row r="450" spans="3:16" ht="23.65" thickBot="1">
      <c r="C450" s="10" t="s">
        <v>51</v>
      </c>
      <c r="D450" s="11">
        <v>443</v>
      </c>
      <c r="E450" s="11" t="s">
        <v>52</v>
      </c>
      <c r="F450" s="11">
        <f>'Guarantees provided'!G444</f>
        <v>0</v>
      </c>
      <c r="G450" s="11">
        <f>'Guarantees provided'!A444</f>
        <v>0</v>
      </c>
      <c r="H450" s="11">
        <f>IF('Guarantees provided'!B444="#",'Guarantees provided'!C444,'Guarantees provided'!B444)</f>
        <v>0</v>
      </c>
      <c r="I450" s="11" t="str">
        <f>IF('Guarantees provided'!B444="#","Type of identifier, other than LEI or MFI code","LEI code")</f>
        <v>LEI code</v>
      </c>
      <c r="J450" s="14" t="str">
        <f>IF(OR('Guarantees provided'!H444="E",'Guarantees provided'!H444="x"),"True","False")</f>
        <v>False</v>
      </c>
      <c r="K450" s="11" t="s">
        <v>53</v>
      </c>
      <c r="L450" s="11" t="s">
        <v>54</v>
      </c>
      <c r="M450" s="11">
        <f>-'Guarantees provided'!D444</f>
        <v>0</v>
      </c>
      <c r="N450" s="11" t="s">
        <v>55</v>
      </c>
      <c r="O450" s="11">
        <v>0</v>
      </c>
      <c r="P450" s="12" t="s">
        <v>56</v>
      </c>
    </row>
    <row r="451" spans="3:16" ht="23.65" thickBot="1">
      <c r="C451" s="10" t="s">
        <v>51</v>
      </c>
      <c r="D451" s="11">
        <v>444</v>
      </c>
      <c r="E451" s="11" t="s">
        <v>52</v>
      </c>
      <c r="F451" s="11">
        <f>'Guarantees provided'!G445</f>
        <v>0</v>
      </c>
      <c r="G451" s="11">
        <f>'Guarantees provided'!A445</f>
        <v>0</v>
      </c>
      <c r="H451" s="11">
        <f>IF('Guarantees provided'!B445="#",'Guarantees provided'!C445,'Guarantees provided'!B445)</f>
        <v>0</v>
      </c>
      <c r="I451" s="11" t="str">
        <f>IF('Guarantees provided'!B445="#","Type of identifier, other than LEI or MFI code","LEI code")</f>
        <v>LEI code</v>
      </c>
      <c r="J451" s="14" t="str">
        <f>IF(OR('Guarantees provided'!H445="E",'Guarantees provided'!H445="x"),"True","False")</f>
        <v>False</v>
      </c>
      <c r="K451" s="11" t="s">
        <v>53</v>
      </c>
      <c r="L451" s="11" t="s">
        <v>54</v>
      </c>
      <c r="M451" s="11">
        <f>-'Guarantees provided'!D445</f>
        <v>0</v>
      </c>
      <c r="N451" s="11" t="s">
        <v>55</v>
      </c>
      <c r="O451" s="11">
        <v>0</v>
      </c>
      <c r="P451" s="12" t="s">
        <v>56</v>
      </c>
    </row>
    <row r="452" spans="3:16" ht="23.65" thickBot="1">
      <c r="C452" s="10" t="s">
        <v>51</v>
      </c>
      <c r="D452" s="11">
        <v>445</v>
      </c>
      <c r="E452" s="11" t="s">
        <v>52</v>
      </c>
      <c r="F452" s="11">
        <f>'Guarantees provided'!G446</f>
        <v>0</v>
      </c>
      <c r="G452" s="11">
        <f>'Guarantees provided'!A446</f>
        <v>0</v>
      </c>
      <c r="H452" s="11">
        <f>IF('Guarantees provided'!B446="#",'Guarantees provided'!C446,'Guarantees provided'!B446)</f>
        <v>0</v>
      </c>
      <c r="I452" s="11" t="str">
        <f>IF('Guarantees provided'!B446="#","Type of identifier, other than LEI or MFI code","LEI code")</f>
        <v>LEI code</v>
      </c>
      <c r="J452" s="14" t="str">
        <f>IF(OR('Guarantees provided'!H446="E",'Guarantees provided'!H446="x"),"True","False")</f>
        <v>False</v>
      </c>
      <c r="K452" s="11" t="s">
        <v>53</v>
      </c>
      <c r="L452" s="11" t="s">
        <v>54</v>
      </c>
      <c r="M452" s="11">
        <f>-'Guarantees provided'!D446</f>
        <v>0</v>
      </c>
      <c r="N452" s="11" t="s">
        <v>55</v>
      </c>
      <c r="O452" s="11">
        <v>0</v>
      </c>
      <c r="P452" s="12" t="s">
        <v>56</v>
      </c>
    </row>
    <row r="453" spans="3:16" ht="23.65" thickBot="1">
      <c r="C453" s="10" t="s">
        <v>51</v>
      </c>
      <c r="D453" s="11">
        <v>446</v>
      </c>
      <c r="E453" s="11" t="s">
        <v>52</v>
      </c>
      <c r="F453" s="11">
        <f>'Guarantees provided'!G447</f>
        <v>0</v>
      </c>
      <c r="G453" s="11">
        <f>'Guarantees provided'!A447</f>
        <v>0</v>
      </c>
      <c r="H453" s="11">
        <f>IF('Guarantees provided'!B447="#",'Guarantees provided'!C447,'Guarantees provided'!B447)</f>
        <v>0</v>
      </c>
      <c r="I453" s="11" t="str">
        <f>IF('Guarantees provided'!B447="#","Type of identifier, other than LEI or MFI code","LEI code")</f>
        <v>LEI code</v>
      </c>
      <c r="J453" s="14" t="str">
        <f>IF(OR('Guarantees provided'!H447="E",'Guarantees provided'!H447="x"),"True","False")</f>
        <v>False</v>
      </c>
      <c r="K453" s="11" t="s">
        <v>53</v>
      </c>
      <c r="L453" s="11" t="s">
        <v>54</v>
      </c>
      <c r="M453" s="11">
        <f>-'Guarantees provided'!D447</f>
        <v>0</v>
      </c>
      <c r="N453" s="11" t="s">
        <v>55</v>
      </c>
      <c r="O453" s="11">
        <v>0</v>
      </c>
      <c r="P453" s="12" t="s">
        <v>56</v>
      </c>
    </row>
    <row r="454" spans="3:16" ht="23.65" thickBot="1">
      <c r="C454" s="10" t="s">
        <v>51</v>
      </c>
      <c r="D454" s="11">
        <v>447</v>
      </c>
      <c r="E454" s="11" t="s">
        <v>52</v>
      </c>
      <c r="F454" s="11">
        <f>'Guarantees provided'!G448</f>
        <v>0</v>
      </c>
      <c r="G454" s="11">
        <f>'Guarantees provided'!A448</f>
        <v>0</v>
      </c>
      <c r="H454" s="11">
        <f>IF('Guarantees provided'!B448="#",'Guarantees provided'!C448,'Guarantees provided'!B448)</f>
        <v>0</v>
      </c>
      <c r="I454" s="11" t="str">
        <f>IF('Guarantees provided'!B448="#","Type of identifier, other than LEI or MFI code","LEI code")</f>
        <v>LEI code</v>
      </c>
      <c r="J454" s="14" t="str">
        <f>IF(OR('Guarantees provided'!H448="E",'Guarantees provided'!H448="x"),"True","False")</f>
        <v>False</v>
      </c>
      <c r="K454" s="11" t="s">
        <v>53</v>
      </c>
      <c r="L454" s="11" t="s">
        <v>54</v>
      </c>
      <c r="M454" s="11">
        <f>-'Guarantees provided'!D448</f>
        <v>0</v>
      </c>
      <c r="N454" s="11" t="s">
        <v>55</v>
      </c>
      <c r="O454" s="11">
        <v>0</v>
      </c>
      <c r="P454" s="12" t="s">
        <v>56</v>
      </c>
    </row>
    <row r="455" spans="3:16" ht="23.65" thickBot="1">
      <c r="C455" s="10" t="s">
        <v>51</v>
      </c>
      <c r="D455" s="11">
        <v>448</v>
      </c>
      <c r="E455" s="11" t="s">
        <v>52</v>
      </c>
      <c r="F455" s="11">
        <f>'Guarantees provided'!G449</f>
        <v>0</v>
      </c>
      <c r="G455" s="11">
        <f>'Guarantees provided'!A449</f>
        <v>0</v>
      </c>
      <c r="H455" s="11">
        <f>IF('Guarantees provided'!B449="#",'Guarantees provided'!C449,'Guarantees provided'!B449)</f>
        <v>0</v>
      </c>
      <c r="I455" s="11" t="str">
        <f>IF('Guarantees provided'!B449="#","Type of identifier, other than LEI or MFI code","LEI code")</f>
        <v>LEI code</v>
      </c>
      <c r="J455" s="14" t="str">
        <f>IF(OR('Guarantees provided'!H449="E",'Guarantees provided'!H449="x"),"True","False")</f>
        <v>False</v>
      </c>
      <c r="K455" s="11" t="s">
        <v>53</v>
      </c>
      <c r="L455" s="11" t="s">
        <v>54</v>
      </c>
      <c r="M455" s="11">
        <f>-'Guarantees provided'!D449</f>
        <v>0</v>
      </c>
      <c r="N455" s="11" t="s">
        <v>55</v>
      </c>
      <c r="O455" s="11">
        <v>0</v>
      </c>
      <c r="P455" s="12" t="s">
        <v>56</v>
      </c>
    </row>
    <row r="456" spans="3:16" ht="23.65" thickBot="1">
      <c r="C456" s="10" t="s">
        <v>51</v>
      </c>
      <c r="D456" s="11">
        <v>449</v>
      </c>
      <c r="E456" s="11" t="s">
        <v>52</v>
      </c>
      <c r="F456" s="11">
        <f>'Guarantees provided'!G450</f>
        <v>0</v>
      </c>
      <c r="G456" s="11">
        <f>'Guarantees provided'!A450</f>
        <v>0</v>
      </c>
      <c r="H456" s="11">
        <f>IF('Guarantees provided'!B450="#",'Guarantees provided'!C450,'Guarantees provided'!B450)</f>
        <v>0</v>
      </c>
      <c r="I456" s="11" t="str">
        <f>IF('Guarantees provided'!B450="#","Type of identifier, other than LEI or MFI code","LEI code")</f>
        <v>LEI code</v>
      </c>
      <c r="J456" s="14" t="str">
        <f>IF(OR('Guarantees provided'!H450="E",'Guarantees provided'!H450="x"),"True","False")</f>
        <v>False</v>
      </c>
      <c r="K456" s="11" t="s">
        <v>53</v>
      </c>
      <c r="L456" s="11" t="s">
        <v>54</v>
      </c>
      <c r="M456" s="11">
        <f>-'Guarantees provided'!D450</f>
        <v>0</v>
      </c>
      <c r="N456" s="11" t="s">
        <v>55</v>
      </c>
      <c r="O456" s="11">
        <v>0</v>
      </c>
      <c r="P456" s="12" t="s">
        <v>56</v>
      </c>
    </row>
    <row r="457" spans="3:16" ht="23.65" thickBot="1">
      <c r="C457" s="10" t="s">
        <v>51</v>
      </c>
      <c r="D457" s="11">
        <v>450</v>
      </c>
      <c r="E457" s="11" t="s">
        <v>52</v>
      </c>
      <c r="F457" s="11">
        <f>'Guarantees provided'!G451</f>
        <v>0</v>
      </c>
      <c r="G457" s="11">
        <f>'Guarantees provided'!A451</f>
        <v>0</v>
      </c>
      <c r="H457" s="11">
        <f>IF('Guarantees provided'!B451="#",'Guarantees provided'!C451,'Guarantees provided'!B451)</f>
        <v>0</v>
      </c>
      <c r="I457" s="11" t="str">
        <f>IF('Guarantees provided'!B451="#","Type of identifier, other than LEI or MFI code","LEI code")</f>
        <v>LEI code</v>
      </c>
      <c r="J457" s="14" t="str">
        <f>IF(OR('Guarantees provided'!H451="E",'Guarantees provided'!H451="x"),"True","False")</f>
        <v>False</v>
      </c>
      <c r="K457" s="11" t="s">
        <v>53</v>
      </c>
      <c r="L457" s="11" t="s">
        <v>54</v>
      </c>
      <c r="M457" s="11">
        <f>-'Guarantees provided'!D451</f>
        <v>0</v>
      </c>
      <c r="N457" s="11" t="s">
        <v>55</v>
      </c>
      <c r="O457" s="11">
        <v>0</v>
      </c>
      <c r="P457" s="12" t="s">
        <v>56</v>
      </c>
    </row>
    <row r="458" spans="3:16" ht="23.65" thickBot="1">
      <c r="C458" s="10" t="s">
        <v>51</v>
      </c>
      <c r="D458" s="11">
        <v>451</v>
      </c>
      <c r="E458" s="11" t="s">
        <v>52</v>
      </c>
      <c r="F458" s="11">
        <f>'Guarantees provided'!G452</f>
        <v>0</v>
      </c>
      <c r="G458" s="11">
        <f>'Guarantees provided'!A452</f>
        <v>0</v>
      </c>
      <c r="H458" s="11">
        <f>IF('Guarantees provided'!B452="#",'Guarantees provided'!C452,'Guarantees provided'!B452)</f>
        <v>0</v>
      </c>
      <c r="I458" s="11" t="str">
        <f>IF('Guarantees provided'!B452="#","Type of identifier, other than LEI or MFI code","LEI code")</f>
        <v>LEI code</v>
      </c>
      <c r="J458" s="14" t="str">
        <f>IF(OR('Guarantees provided'!H452="E",'Guarantees provided'!H452="x"),"True","False")</f>
        <v>False</v>
      </c>
      <c r="K458" s="11" t="s">
        <v>53</v>
      </c>
      <c r="L458" s="11" t="s">
        <v>54</v>
      </c>
      <c r="M458" s="11">
        <f>-'Guarantees provided'!D452</f>
        <v>0</v>
      </c>
      <c r="N458" s="11" t="s">
        <v>55</v>
      </c>
      <c r="O458" s="11">
        <v>0</v>
      </c>
      <c r="P458" s="12" t="s">
        <v>56</v>
      </c>
    </row>
    <row r="459" spans="3:16" ht="23.65" thickBot="1">
      <c r="C459" s="10" t="s">
        <v>51</v>
      </c>
      <c r="D459" s="11">
        <v>452</v>
      </c>
      <c r="E459" s="11" t="s">
        <v>52</v>
      </c>
      <c r="F459" s="11">
        <f>'Guarantees provided'!G453</f>
        <v>0</v>
      </c>
      <c r="G459" s="11">
        <f>'Guarantees provided'!A453</f>
        <v>0</v>
      </c>
      <c r="H459" s="11">
        <f>IF('Guarantees provided'!B453="#",'Guarantees provided'!C453,'Guarantees provided'!B453)</f>
        <v>0</v>
      </c>
      <c r="I459" s="11" t="str">
        <f>IF('Guarantees provided'!B453="#","Type of identifier, other than LEI or MFI code","LEI code")</f>
        <v>LEI code</v>
      </c>
      <c r="J459" s="14" t="str">
        <f>IF(OR('Guarantees provided'!H453="E",'Guarantees provided'!H453="x"),"True","False")</f>
        <v>False</v>
      </c>
      <c r="K459" s="11" t="s">
        <v>53</v>
      </c>
      <c r="L459" s="11" t="s">
        <v>54</v>
      </c>
      <c r="M459" s="11">
        <f>-'Guarantees provided'!D453</f>
        <v>0</v>
      </c>
      <c r="N459" s="11" t="s">
        <v>55</v>
      </c>
      <c r="O459" s="11">
        <v>0</v>
      </c>
      <c r="P459" s="12" t="s">
        <v>56</v>
      </c>
    </row>
    <row r="460" spans="3:16" ht="23.65" thickBot="1">
      <c r="C460" s="10" t="s">
        <v>51</v>
      </c>
      <c r="D460" s="11">
        <v>453</v>
      </c>
      <c r="E460" s="11" t="s">
        <v>52</v>
      </c>
      <c r="F460" s="11">
        <f>'Guarantees provided'!G454</f>
        <v>0</v>
      </c>
      <c r="G460" s="11">
        <f>'Guarantees provided'!A454</f>
        <v>0</v>
      </c>
      <c r="H460" s="11">
        <f>IF('Guarantees provided'!B454="#",'Guarantees provided'!C454,'Guarantees provided'!B454)</f>
        <v>0</v>
      </c>
      <c r="I460" s="11" t="str">
        <f>IF('Guarantees provided'!B454="#","Type of identifier, other than LEI or MFI code","LEI code")</f>
        <v>LEI code</v>
      </c>
      <c r="J460" s="14" t="str">
        <f>IF(OR('Guarantees provided'!H454="E",'Guarantees provided'!H454="x"),"True","False")</f>
        <v>False</v>
      </c>
      <c r="K460" s="11" t="s">
        <v>53</v>
      </c>
      <c r="L460" s="11" t="s">
        <v>54</v>
      </c>
      <c r="M460" s="11">
        <f>-'Guarantees provided'!D454</f>
        <v>0</v>
      </c>
      <c r="N460" s="11" t="s">
        <v>55</v>
      </c>
      <c r="O460" s="11">
        <v>0</v>
      </c>
      <c r="P460" s="12" t="s">
        <v>56</v>
      </c>
    </row>
    <row r="461" spans="3:16" ht="23.65" thickBot="1">
      <c r="C461" s="10" t="s">
        <v>51</v>
      </c>
      <c r="D461" s="11">
        <v>454</v>
      </c>
      <c r="E461" s="11" t="s">
        <v>52</v>
      </c>
      <c r="F461" s="11">
        <f>'Guarantees provided'!G455</f>
        <v>0</v>
      </c>
      <c r="G461" s="11">
        <f>'Guarantees provided'!A455</f>
        <v>0</v>
      </c>
      <c r="H461" s="11">
        <f>IF('Guarantees provided'!B455="#",'Guarantees provided'!C455,'Guarantees provided'!B455)</f>
        <v>0</v>
      </c>
      <c r="I461" s="11" t="str">
        <f>IF('Guarantees provided'!B455="#","Type of identifier, other than LEI or MFI code","LEI code")</f>
        <v>LEI code</v>
      </c>
      <c r="J461" s="14" t="str">
        <f>IF(OR('Guarantees provided'!H455="E",'Guarantees provided'!H455="x"),"True","False")</f>
        <v>False</v>
      </c>
      <c r="K461" s="11" t="s">
        <v>53</v>
      </c>
      <c r="L461" s="11" t="s">
        <v>54</v>
      </c>
      <c r="M461" s="11">
        <f>-'Guarantees provided'!D455</f>
        <v>0</v>
      </c>
      <c r="N461" s="11" t="s">
        <v>55</v>
      </c>
      <c r="O461" s="11">
        <v>0</v>
      </c>
      <c r="P461" s="12" t="s">
        <v>56</v>
      </c>
    </row>
    <row r="462" spans="3:16" ht="23.65" thickBot="1">
      <c r="C462" s="10" t="s">
        <v>51</v>
      </c>
      <c r="D462" s="11">
        <v>455</v>
      </c>
      <c r="E462" s="11" t="s">
        <v>52</v>
      </c>
      <c r="F462" s="11">
        <f>'Guarantees provided'!G456</f>
        <v>0</v>
      </c>
      <c r="G462" s="11">
        <f>'Guarantees provided'!A456</f>
        <v>0</v>
      </c>
      <c r="H462" s="11">
        <f>IF('Guarantees provided'!B456="#",'Guarantees provided'!C456,'Guarantees provided'!B456)</f>
        <v>0</v>
      </c>
      <c r="I462" s="11" t="str">
        <f>IF('Guarantees provided'!B456="#","Type of identifier, other than LEI or MFI code","LEI code")</f>
        <v>LEI code</v>
      </c>
      <c r="J462" s="14" t="str">
        <f>IF(OR('Guarantees provided'!H456="E",'Guarantees provided'!H456="x"),"True","False")</f>
        <v>False</v>
      </c>
      <c r="K462" s="11" t="s">
        <v>53</v>
      </c>
      <c r="L462" s="11" t="s">
        <v>54</v>
      </c>
      <c r="M462" s="11">
        <f>-'Guarantees provided'!D456</f>
        <v>0</v>
      </c>
      <c r="N462" s="11" t="s">
        <v>55</v>
      </c>
      <c r="O462" s="11">
        <v>0</v>
      </c>
      <c r="P462" s="12" t="s">
        <v>56</v>
      </c>
    </row>
    <row r="463" spans="3:16" ht="23.65" thickBot="1">
      <c r="C463" s="10" t="s">
        <v>51</v>
      </c>
      <c r="D463" s="11">
        <v>456</v>
      </c>
      <c r="E463" s="11" t="s">
        <v>52</v>
      </c>
      <c r="F463" s="11">
        <f>'Guarantees provided'!G457</f>
        <v>0</v>
      </c>
      <c r="G463" s="11">
        <f>'Guarantees provided'!A457</f>
        <v>0</v>
      </c>
      <c r="H463" s="11">
        <f>IF('Guarantees provided'!B457="#",'Guarantees provided'!C457,'Guarantees provided'!B457)</f>
        <v>0</v>
      </c>
      <c r="I463" s="11" t="str">
        <f>IF('Guarantees provided'!B457="#","Type of identifier, other than LEI or MFI code","LEI code")</f>
        <v>LEI code</v>
      </c>
      <c r="J463" s="14" t="str">
        <f>IF(OR('Guarantees provided'!H457="E",'Guarantees provided'!H457="x"),"True","False")</f>
        <v>False</v>
      </c>
      <c r="K463" s="11" t="s">
        <v>53</v>
      </c>
      <c r="L463" s="11" t="s">
        <v>54</v>
      </c>
      <c r="M463" s="11">
        <f>-'Guarantees provided'!D457</f>
        <v>0</v>
      </c>
      <c r="N463" s="11" t="s">
        <v>55</v>
      </c>
      <c r="O463" s="11">
        <v>0</v>
      </c>
      <c r="P463" s="12" t="s">
        <v>56</v>
      </c>
    </row>
    <row r="464" spans="3:16" ht="23.65" thickBot="1">
      <c r="C464" s="10" t="s">
        <v>51</v>
      </c>
      <c r="D464" s="11">
        <v>457</v>
      </c>
      <c r="E464" s="11" t="s">
        <v>52</v>
      </c>
      <c r="F464" s="11">
        <f>'Guarantees provided'!G458</f>
        <v>0</v>
      </c>
      <c r="G464" s="11">
        <f>'Guarantees provided'!A458</f>
        <v>0</v>
      </c>
      <c r="H464" s="11">
        <f>IF('Guarantees provided'!B458="#",'Guarantees provided'!C458,'Guarantees provided'!B458)</f>
        <v>0</v>
      </c>
      <c r="I464" s="11" t="str">
        <f>IF('Guarantees provided'!B458="#","Type of identifier, other than LEI or MFI code","LEI code")</f>
        <v>LEI code</v>
      </c>
      <c r="J464" s="14" t="str">
        <f>IF(OR('Guarantees provided'!H458="E",'Guarantees provided'!H458="x"),"True","False")</f>
        <v>False</v>
      </c>
      <c r="K464" s="11" t="s">
        <v>53</v>
      </c>
      <c r="L464" s="11" t="s">
        <v>54</v>
      </c>
      <c r="M464" s="11">
        <f>-'Guarantees provided'!D458</f>
        <v>0</v>
      </c>
      <c r="N464" s="11" t="s">
        <v>55</v>
      </c>
      <c r="O464" s="11">
        <v>0</v>
      </c>
      <c r="P464" s="12" t="s">
        <v>56</v>
      </c>
    </row>
    <row r="465" spans="3:16" ht="23.65" thickBot="1">
      <c r="C465" s="10" t="s">
        <v>51</v>
      </c>
      <c r="D465" s="11">
        <v>458</v>
      </c>
      <c r="E465" s="11" t="s">
        <v>52</v>
      </c>
      <c r="F465" s="11">
        <f>'Guarantees provided'!G459</f>
        <v>0</v>
      </c>
      <c r="G465" s="11">
        <f>'Guarantees provided'!A459</f>
        <v>0</v>
      </c>
      <c r="H465" s="11">
        <f>IF('Guarantees provided'!B459="#",'Guarantees provided'!C459,'Guarantees provided'!B459)</f>
        <v>0</v>
      </c>
      <c r="I465" s="11" t="str">
        <f>IF('Guarantees provided'!B459="#","Type of identifier, other than LEI or MFI code","LEI code")</f>
        <v>LEI code</v>
      </c>
      <c r="J465" s="14" t="str">
        <f>IF(OR('Guarantees provided'!H459="E",'Guarantees provided'!H459="x"),"True","False")</f>
        <v>False</v>
      </c>
      <c r="K465" s="11" t="s">
        <v>53</v>
      </c>
      <c r="L465" s="11" t="s">
        <v>54</v>
      </c>
      <c r="M465" s="11">
        <f>-'Guarantees provided'!D459</f>
        <v>0</v>
      </c>
      <c r="N465" s="11" t="s">
        <v>55</v>
      </c>
      <c r="O465" s="11">
        <v>0</v>
      </c>
      <c r="P465" s="12" t="s">
        <v>56</v>
      </c>
    </row>
    <row r="466" spans="3:16" ht="23.65" thickBot="1">
      <c r="C466" s="10" t="s">
        <v>51</v>
      </c>
      <c r="D466" s="11">
        <v>459</v>
      </c>
      <c r="E466" s="11" t="s">
        <v>52</v>
      </c>
      <c r="F466" s="11">
        <f>'Guarantees provided'!G460</f>
        <v>0</v>
      </c>
      <c r="G466" s="11">
        <f>'Guarantees provided'!A460</f>
        <v>0</v>
      </c>
      <c r="H466" s="11">
        <f>IF('Guarantees provided'!B460="#",'Guarantees provided'!C460,'Guarantees provided'!B460)</f>
        <v>0</v>
      </c>
      <c r="I466" s="11" t="str">
        <f>IF('Guarantees provided'!B460="#","Type of identifier, other than LEI or MFI code","LEI code")</f>
        <v>LEI code</v>
      </c>
      <c r="J466" s="14" t="str">
        <f>IF(OR('Guarantees provided'!H460="E",'Guarantees provided'!H460="x"),"True","False")</f>
        <v>False</v>
      </c>
      <c r="K466" s="11" t="s">
        <v>53</v>
      </c>
      <c r="L466" s="11" t="s">
        <v>54</v>
      </c>
      <c r="M466" s="11">
        <f>-'Guarantees provided'!D460</f>
        <v>0</v>
      </c>
      <c r="N466" s="11" t="s">
        <v>55</v>
      </c>
      <c r="O466" s="11">
        <v>0</v>
      </c>
      <c r="P466" s="12" t="s">
        <v>56</v>
      </c>
    </row>
    <row r="467" spans="3:16" ht="23.65" thickBot="1">
      <c r="C467" s="10" t="s">
        <v>51</v>
      </c>
      <c r="D467" s="11">
        <v>460</v>
      </c>
      <c r="E467" s="11" t="s">
        <v>52</v>
      </c>
      <c r="F467" s="11">
        <f>'Guarantees provided'!G461</f>
        <v>0</v>
      </c>
      <c r="G467" s="11">
        <f>'Guarantees provided'!A461</f>
        <v>0</v>
      </c>
      <c r="H467" s="11">
        <f>IF('Guarantees provided'!B461="#",'Guarantees provided'!C461,'Guarantees provided'!B461)</f>
        <v>0</v>
      </c>
      <c r="I467" s="11" t="str">
        <f>IF('Guarantees provided'!B461="#","Type of identifier, other than LEI or MFI code","LEI code")</f>
        <v>LEI code</v>
      </c>
      <c r="J467" s="14" t="str">
        <f>IF(OR('Guarantees provided'!H461="E",'Guarantees provided'!H461="x"),"True","False")</f>
        <v>False</v>
      </c>
      <c r="K467" s="11" t="s">
        <v>53</v>
      </c>
      <c r="L467" s="11" t="s">
        <v>54</v>
      </c>
      <c r="M467" s="11">
        <f>-'Guarantees provided'!D461</f>
        <v>0</v>
      </c>
      <c r="N467" s="11" t="s">
        <v>55</v>
      </c>
      <c r="O467" s="11">
        <v>0</v>
      </c>
      <c r="P467" s="12" t="s">
        <v>56</v>
      </c>
    </row>
    <row r="468" spans="3:16" ht="23.65" thickBot="1">
      <c r="C468" s="10" t="s">
        <v>51</v>
      </c>
      <c r="D468" s="11">
        <v>461</v>
      </c>
      <c r="E468" s="11" t="s">
        <v>52</v>
      </c>
      <c r="F468" s="11">
        <f>'Guarantees provided'!G462</f>
        <v>0</v>
      </c>
      <c r="G468" s="11">
        <f>'Guarantees provided'!A462</f>
        <v>0</v>
      </c>
      <c r="H468" s="11">
        <f>IF('Guarantees provided'!B462="#",'Guarantees provided'!C462,'Guarantees provided'!B462)</f>
        <v>0</v>
      </c>
      <c r="I468" s="11" t="str">
        <f>IF('Guarantees provided'!B462="#","Type of identifier, other than LEI or MFI code","LEI code")</f>
        <v>LEI code</v>
      </c>
      <c r="J468" s="14" t="str">
        <f>IF(OR('Guarantees provided'!H462="E",'Guarantees provided'!H462="x"),"True","False")</f>
        <v>False</v>
      </c>
      <c r="K468" s="11" t="s">
        <v>53</v>
      </c>
      <c r="L468" s="11" t="s">
        <v>54</v>
      </c>
      <c r="M468" s="11">
        <f>-'Guarantees provided'!D462</f>
        <v>0</v>
      </c>
      <c r="N468" s="11" t="s">
        <v>55</v>
      </c>
      <c r="O468" s="11">
        <v>0</v>
      </c>
      <c r="P468" s="12" t="s">
        <v>56</v>
      </c>
    </row>
    <row r="469" spans="3:16" ht="23.65" thickBot="1">
      <c r="C469" s="10" t="s">
        <v>51</v>
      </c>
      <c r="D469" s="11">
        <v>462</v>
      </c>
      <c r="E469" s="11" t="s">
        <v>52</v>
      </c>
      <c r="F469" s="11">
        <f>'Guarantees provided'!G463</f>
        <v>0</v>
      </c>
      <c r="G469" s="11">
        <f>'Guarantees provided'!A463</f>
        <v>0</v>
      </c>
      <c r="H469" s="11">
        <f>IF('Guarantees provided'!B463="#",'Guarantees provided'!C463,'Guarantees provided'!B463)</f>
        <v>0</v>
      </c>
      <c r="I469" s="11" t="str">
        <f>IF('Guarantees provided'!B463="#","Type of identifier, other than LEI or MFI code","LEI code")</f>
        <v>LEI code</v>
      </c>
      <c r="J469" s="14" t="str">
        <f>IF(OR('Guarantees provided'!H463="E",'Guarantees provided'!H463="x"),"True","False")</f>
        <v>False</v>
      </c>
      <c r="K469" s="11" t="s">
        <v>53</v>
      </c>
      <c r="L469" s="11" t="s">
        <v>54</v>
      </c>
      <c r="M469" s="11">
        <f>-'Guarantees provided'!D463</f>
        <v>0</v>
      </c>
      <c r="N469" s="11" t="s">
        <v>55</v>
      </c>
      <c r="O469" s="11">
        <v>0</v>
      </c>
      <c r="P469" s="12" t="s">
        <v>56</v>
      </c>
    </row>
    <row r="470" spans="3:16" ht="23.65" thickBot="1">
      <c r="C470" s="10" t="s">
        <v>51</v>
      </c>
      <c r="D470" s="11">
        <v>463</v>
      </c>
      <c r="E470" s="11" t="s">
        <v>52</v>
      </c>
      <c r="F470" s="11">
        <f>'Guarantees provided'!G464</f>
        <v>0</v>
      </c>
      <c r="G470" s="11">
        <f>'Guarantees provided'!A464</f>
        <v>0</v>
      </c>
      <c r="H470" s="11">
        <f>IF('Guarantees provided'!B464="#",'Guarantees provided'!C464,'Guarantees provided'!B464)</f>
        <v>0</v>
      </c>
      <c r="I470" s="11" t="str">
        <f>IF('Guarantees provided'!B464="#","Type of identifier, other than LEI or MFI code","LEI code")</f>
        <v>LEI code</v>
      </c>
      <c r="J470" s="14" t="str">
        <f>IF(OR('Guarantees provided'!H464="E",'Guarantees provided'!H464="x"),"True","False")</f>
        <v>False</v>
      </c>
      <c r="K470" s="11" t="s">
        <v>53</v>
      </c>
      <c r="L470" s="11" t="s">
        <v>54</v>
      </c>
      <c r="M470" s="11">
        <f>-'Guarantees provided'!D464</f>
        <v>0</v>
      </c>
      <c r="N470" s="11" t="s">
        <v>55</v>
      </c>
      <c r="O470" s="11">
        <v>0</v>
      </c>
      <c r="P470" s="12" t="s">
        <v>56</v>
      </c>
    </row>
    <row r="471" spans="3:16" ht="23.65" thickBot="1">
      <c r="C471" s="10" t="s">
        <v>51</v>
      </c>
      <c r="D471" s="11">
        <v>464</v>
      </c>
      <c r="E471" s="11" t="s">
        <v>52</v>
      </c>
      <c r="F471" s="11">
        <f>'Guarantees provided'!G465</f>
        <v>0</v>
      </c>
      <c r="G471" s="11">
        <f>'Guarantees provided'!A465</f>
        <v>0</v>
      </c>
      <c r="H471" s="11">
        <f>IF('Guarantees provided'!B465="#",'Guarantees provided'!C465,'Guarantees provided'!B465)</f>
        <v>0</v>
      </c>
      <c r="I471" s="11" t="str">
        <f>IF('Guarantees provided'!B465="#","Type of identifier, other than LEI or MFI code","LEI code")</f>
        <v>LEI code</v>
      </c>
      <c r="J471" s="14" t="str">
        <f>IF(OR('Guarantees provided'!H465="E",'Guarantees provided'!H465="x"),"True","False")</f>
        <v>False</v>
      </c>
      <c r="K471" s="11" t="s">
        <v>53</v>
      </c>
      <c r="L471" s="11" t="s">
        <v>54</v>
      </c>
      <c r="M471" s="11">
        <f>-'Guarantees provided'!D465</f>
        <v>0</v>
      </c>
      <c r="N471" s="11" t="s">
        <v>55</v>
      </c>
      <c r="O471" s="11">
        <v>0</v>
      </c>
      <c r="P471" s="12" t="s">
        <v>56</v>
      </c>
    </row>
    <row r="472" spans="3:16" ht="23.65" thickBot="1">
      <c r="C472" s="10" t="s">
        <v>51</v>
      </c>
      <c r="D472" s="11">
        <v>465</v>
      </c>
      <c r="E472" s="11" t="s">
        <v>52</v>
      </c>
      <c r="F472" s="11">
        <f>'Guarantees provided'!G466</f>
        <v>0</v>
      </c>
      <c r="G472" s="11">
        <f>'Guarantees provided'!A466</f>
        <v>0</v>
      </c>
      <c r="H472" s="11">
        <f>IF('Guarantees provided'!B466="#",'Guarantees provided'!C466,'Guarantees provided'!B466)</f>
        <v>0</v>
      </c>
      <c r="I472" s="11" t="str">
        <f>IF('Guarantees provided'!B466="#","Type of identifier, other than LEI or MFI code","LEI code")</f>
        <v>LEI code</v>
      </c>
      <c r="J472" s="14" t="str">
        <f>IF(OR('Guarantees provided'!H466="E",'Guarantees provided'!H466="x"),"True","False")</f>
        <v>False</v>
      </c>
      <c r="K472" s="11" t="s">
        <v>53</v>
      </c>
      <c r="L472" s="11" t="s">
        <v>54</v>
      </c>
      <c r="M472" s="11">
        <f>-'Guarantees provided'!D466</f>
        <v>0</v>
      </c>
      <c r="N472" s="11" t="s">
        <v>55</v>
      </c>
      <c r="O472" s="11">
        <v>0</v>
      </c>
      <c r="P472" s="12" t="s">
        <v>56</v>
      </c>
    </row>
    <row r="473" spans="3:16" ht="23.65" thickBot="1">
      <c r="C473" s="10" t="s">
        <v>51</v>
      </c>
      <c r="D473" s="11">
        <v>466</v>
      </c>
      <c r="E473" s="11" t="s">
        <v>52</v>
      </c>
      <c r="F473" s="11">
        <f>'Guarantees provided'!G467</f>
        <v>0</v>
      </c>
      <c r="G473" s="11">
        <f>'Guarantees provided'!A467</f>
        <v>0</v>
      </c>
      <c r="H473" s="11">
        <f>IF('Guarantees provided'!B467="#",'Guarantees provided'!C467,'Guarantees provided'!B467)</f>
        <v>0</v>
      </c>
      <c r="I473" s="11" t="str">
        <f>IF('Guarantees provided'!B467="#","Type of identifier, other than LEI or MFI code","LEI code")</f>
        <v>LEI code</v>
      </c>
      <c r="J473" s="14" t="str">
        <f>IF(OR('Guarantees provided'!H467="E",'Guarantees provided'!H467="x"),"True","False")</f>
        <v>False</v>
      </c>
      <c r="K473" s="11" t="s">
        <v>53</v>
      </c>
      <c r="L473" s="11" t="s">
        <v>54</v>
      </c>
      <c r="M473" s="11">
        <f>-'Guarantees provided'!D467</f>
        <v>0</v>
      </c>
      <c r="N473" s="11" t="s">
        <v>55</v>
      </c>
      <c r="O473" s="11">
        <v>0</v>
      </c>
      <c r="P473" s="12" t="s">
        <v>56</v>
      </c>
    </row>
    <row r="474" spans="3:16" ht="23.65" thickBot="1">
      <c r="C474" s="10" t="s">
        <v>51</v>
      </c>
      <c r="D474" s="11">
        <v>467</v>
      </c>
      <c r="E474" s="11" t="s">
        <v>52</v>
      </c>
      <c r="F474" s="11">
        <f>'Guarantees provided'!G468</f>
        <v>0</v>
      </c>
      <c r="G474" s="11">
        <f>'Guarantees provided'!A468</f>
        <v>0</v>
      </c>
      <c r="H474" s="11">
        <f>IF('Guarantees provided'!B468="#",'Guarantees provided'!C468,'Guarantees provided'!B468)</f>
        <v>0</v>
      </c>
      <c r="I474" s="11" t="str">
        <f>IF('Guarantees provided'!B468="#","Type of identifier, other than LEI or MFI code","LEI code")</f>
        <v>LEI code</v>
      </c>
      <c r="J474" s="14" t="str">
        <f>IF(OR('Guarantees provided'!H468="E",'Guarantees provided'!H468="x"),"True","False")</f>
        <v>False</v>
      </c>
      <c r="K474" s="11" t="s">
        <v>53</v>
      </c>
      <c r="L474" s="11" t="s">
        <v>54</v>
      </c>
      <c r="M474" s="11">
        <f>-'Guarantees provided'!D468</f>
        <v>0</v>
      </c>
      <c r="N474" s="11" t="s">
        <v>55</v>
      </c>
      <c r="O474" s="11">
        <v>0</v>
      </c>
      <c r="P474" s="12" t="s">
        <v>56</v>
      </c>
    </row>
    <row r="475" spans="3:16" ht="23.65" thickBot="1">
      <c r="C475" s="10" t="s">
        <v>51</v>
      </c>
      <c r="D475" s="11">
        <v>468</v>
      </c>
      <c r="E475" s="11" t="s">
        <v>52</v>
      </c>
      <c r="F475" s="11">
        <f>'Guarantees provided'!G469</f>
        <v>0</v>
      </c>
      <c r="G475" s="11">
        <f>'Guarantees provided'!A469</f>
        <v>0</v>
      </c>
      <c r="H475" s="11">
        <f>IF('Guarantees provided'!B469="#",'Guarantees provided'!C469,'Guarantees provided'!B469)</f>
        <v>0</v>
      </c>
      <c r="I475" s="11" t="str">
        <f>IF('Guarantees provided'!B469="#","Type of identifier, other than LEI or MFI code","LEI code")</f>
        <v>LEI code</v>
      </c>
      <c r="J475" s="14" t="str">
        <f>IF(OR('Guarantees provided'!H469="E",'Guarantees provided'!H469="x"),"True","False")</f>
        <v>False</v>
      </c>
      <c r="K475" s="11" t="s">
        <v>53</v>
      </c>
      <c r="L475" s="11" t="s">
        <v>54</v>
      </c>
      <c r="M475" s="11">
        <f>-'Guarantees provided'!D469</f>
        <v>0</v>
      </c>
      <c r="N475" s="11" t="s">
        <v>55</v>
      </c>
      <c r="O475" s="11">
        <v>0</v>
      </c>
      <c r="P475" s="12" t="s">
        <v>56</v>
      </c>
    </row>
    <row r="476" spans="3:16" ht="23.65" thickBot="1">
      <c r="C476" s="10" t="s">
        <v>51</v>
      </c>
      <c r="D476" s="11">
        <v>469</v>
      </c>
      <c r="E476" s="11" t="s">
        <v>52</v>
      </c>
      <c r="F476" s="11">
        <f>'Guarantees provided'!G470</f>
        <v>0</v>
      </c>
      <c r="G476" s="11">
        <f>'Guarantees provided'!A470</f>
        <v>0</v>
      </c>
      <c r="H476" s="11">
        <f>IF('Guarantees provided'!B470="#",'Guarantees provided'!C470,'Guarantees provided'!B470)</f>
        <v>0</v>
      </c>
      <c r="I476" s="11" t="str">
        <f>IF('Guarantees provided'!B470="#","Type of identifier, other than LEI or MFI code","LEI code")</f>
        <v>LEI code</v>
      </c>
      <c r="J476" s="14" t="str">
        <f>IF(OR('Guarantees provided'!H470="E",'Guarantees provided'!H470="x"),"True","False")</f>
        <v>False</v>
      </c>
      <c r="K476" s="11" t="s">
        <v>53</v>
      </c>
      <c r="L476" s="11" t="s">
        <v>54</v>
      </c>
      <c r="M476" s="11">
        <f>-'Guarantees provided'!D470</f>
        <v>0</v>
      </c>
      <c r="N476" s="11" t="s">
        <v>55</v>
      </c>
      <c r="O476" s="11">
        <v>0</v>
      </c>
      <c r="P476" s="12" t="s">
        <v>56</v>
      </c>
    </row>
    <row r="477" spans="3:16" ht="23.65" thickBot="1">
      <c r="C477" s="10" t="s">
        <v>51</v>
      </c>
      <c r="D477" s="11">
        <v>470</v>
      </c>
      <c r="E477" s="11" t="s">
        <v>52</v>
      </c>
      <c r="F477" s="11">
        <f>'Guarantees provided'!G471</f>
        <v>0</v>
      </c>
      <c r="G477" s="11">
        <f>'Guarantees provided'!A471</f>
        <v>0</v>
      </c>
      <c r="H477" s="11">
        <f>IF('Guarantees provided'!B471="#",'Guarantees provided'!C471,'Guarantees provided'!B471)</f>
        <v>0</v>
      </c>
      <c r="I477" s="11" t="str">
        <f>IF('Guarantees provided'!B471="#","Type of identifier, other than LEI or MFI code","LEI code")</f>
        <v>LEI code</v>
      </c>
      <c r="J477" s="14" t="str">
        <f>IF(OR('Guarantees provided'!H471="E",'Guarantees provided'!H471="x"),"True","False")</f>
        <v>False</v>
      </c>
      <c r="K477" s="11" t="s">
        <v>53</v>
      </c>
      <c r="L477" s="11" t="s">
        <v>54</v>
      </c>
      <c r="M477" s="11">
        <f>-'Guarantees provided'!D471</f>
        <v>0</v>
      </c>
      <c r="N477" s="11" t="s">
        <v>55</v>
      </c>
      <c r="O477" s="11">
        <v>0</v>
      </c>
      <c r="P477" s="12" t="s">
        <v>56</v>
      </c>
    </row>
    <row r="478" spans="3:16" ht="23.65" thickBot="1">
      <c r="C478" s="10" t="s">
        <v>51</v>
      </c>
      <c r="D478" s="11">
        <v>471</v>
      </c>
      <c r="E478" s="11" t="s">
        <v>52</v>
      </c>
      <c r="F478" s="11">
        <f>'Guarantees provided'!G472</f>
        <v>0</v>
      </c>
      <c r="G478" s="11">
        <f>'Guarantees provided'!A472</f>
        <v>0</v>
      </c>
      <c r="H478" s="11">
        <f>IF('Guarantees provided'!B472="#",'Guarantees provided'!C472,'Guarantees provided'!B472)</f>
        <v>0</v>
      </c>
      <c r="I478" s="11" t="str">
        <f>IF('Guarantees provided'!B472="#","Type of identifier, other than LEI or MFI code","LEI code")</f>
        <v>LEI code</v>
      </c>
      <c r="J478" s="14" t="str">
        <f>IF(OR('Guarantees provided'!H472="E",'Guarantees provided'!H472="x"),"True","False")</f>
        <v>False</v>
      </c>
      <c r="K478" s="11" t="s">
        <v>53</v>
      </c>
      <c r="L478" s="11" t="s">
        <v>54</v>
      </c>
      <c r="M478" s="11">
        <f>-'Guarantees provided'!D472</f>
        <v>0</v>
      </c>
      <c r="N478" s="11" t="s">
        <v>55</v>
      </c>
      <c r="O478" s="11">
        <v>0</v>
      </c>
      <c r="P478" s="12" t="s">
        <v>56</v>
      </c>
    </row>
    <row r="479" spans="3:16" ht="23.65" thickBot="1">
      <c r="C479" s="10" t="s">
        <v>51</v>
      </c>
      <c r="D479" s="11">
        <v>472</v>
      </c>
      <c r="E479" s="11" t="s">
        <v>52</v>
      </c>
      <c r="F479" s="11">
        <f>'Guarantees provided'!G473</f>
        <v>0</v>
      </c>
      <c r="G479" s="11">
        <f>'Guarantees provided'!A473</f>
        <v>0</v>
      </c>
      <c r="H479" s="11">
        <f>IF('Guarantees provided'!B473="#",'Guarantees provided'!C473,'Guarantees provided'!B473)</f>
        <v>0</v>
      </c>
      <c r="I479" s="11" t="str">
        <f>IF('Guarantees provided'!B473="#","Type of identifier, other than LEI or MFI code","LEI code")</f>
        <v>LEI code</v>
      </c>
      <c r="J479" s="14" t="str">
        <f>IF(OR('Guarantees provided'!H473="E",'Guarantees provided'!H473="x"),"True","False")</f>
        <v>False</v>
      </c>
      <c r="K479" s="11" t="s">
        <v>53</v>
      </c>
      <c r="L479" s="11" t="s">
        <v>54</v>
      </c>
      <c r="M479" s="11">
        <f>-'Guarantees provided'!D473</f>
        <v>0</v>
      </c>
      <c r="N479" s="11" t="s">
        <v>55</v>
      </c>
      <c r="O479" s="11">
        <v>0</v>
      </c>
      <c r="P479" s="12" t="s">
        <v>56</v>
      </c>
    </row>
    <row r="480" spans="3:16" ht="23.65" thickBot="1">
      <c r="C480" s="10" t="s">
        <v>51</v>
      </c>
      <c r="D480" s="11">
        <v>473</v>
      </c>
      <c r="E480" s="11" t="s">
        <v>52</v>
      </c>
      <c r="F480" s="11">
        <f>'Guarantees provided'!G474</f>
        <v>0</v>
      </c>
      <c r="G480" s="11">
        <f>'Guarantees provided'!A474</f>
        <v>0</v>
      </c>
      <c r="H480" s="11">
        <f>IF('Guarantees provided'!B474="#",'Guarantees provided'!C474,'Guarantees provided'!B474)</f>
        <v>0</v>
      </c>
      <c r="I480" s="11" t="str">
        <f>IF('Guarantees provided'!B474="#","Type of identifier, other than LEI or MFI code","LEI code")</f>
        <v>LEI code</v>
      </c>
      <c r="J480" s="14" t="str">
        <f>IF(OR('Guarantees provided'!H474="E",'Guarantees provided'!H474="x"),"True","False")</f>
        <v>False</v>
      </c>
      <c r="K480" s="11" t="s">
        <v>53</v>
      </c>
      <c r="L480" s="11" t="s">
        <v>54</v>
      </c>
      <c r="M480" s="11">
        <f>-'Guarantees provided'!D474</f>
        <v>0</v>
      </c>
      <c r="N480" s="11" t="s">
        <v>55</v>
      </c>
      <c r="O480" s="11">
        <v>0</v>
      </c>
      <c r="P480" s="12" t="s">
        <v>56</v>
      </c>
    </row>
    <row r="481" spans="3:16" ht="23.65" thickBot="1">
      <c r="C481" s="10" t="s">
        <v>51</v>
      </c>
      <c r="D481" s="11">
        <v>474</v>
      </c>
      <c r="E481" s="11" t="s">
        <v>52</v>
      </c>
      <c r="F481" s="11">
        <f>'Guarantees provided'!G475</f>
        <v>0</v>
      </c>
      <c r="G481" s="11">
        <f>'Guarantees provided'!A475</f>
        <v>0</v>
      </c>
      <c r="H481" s="11">
        <f>IF('Guarantees provided'!B475="#",'Guarantees provided'!C475,'Guarantees provided'!B475)</f>
        <v>0</v>
      </c>
      <c r="I481" s="11" t="str">
        <f>IF('Guarantees provided'!B475="#","Type of identifier, other than LEI or MFI code","LEI code")</f>
        <v>LEI code</v>
      </c>
      <c r="J481" s="14" t="str">
        <f>IF(OR('Guarantees provided'!H475="E",'Guarantees provided'!H475="x"),"True","False")</f>
        <v>False</v>
      </c>
      <c r="K481" s="11" t="s">
        <v>53</v>
      </c>
      <c r="L481" s="11" t="s">
        <v>54</v>
      </c>
      <c r="M481" s="11">
        <f>-'Guarantees provided'!D475</f>
        <v>0</v>
      </c>
      <c r="N481" s="11" t="s">
        <v>55</v>
      </c>
      <c r="O481" s="11">
        <v>0</v>
      </c>
      <c r="P481" s="12" t="s">
        <v>56</v>
      </c>
    </row>
    <row r="482" spans="3:16" ht="23.65" thickBot="1">
      <c r="C482" s="10" t="s">
        <v>51</v>
      </c>
      <c r="D482" s="11">
        <v>475</v>
      </c>
      <c r="E482" s="11" t="s">
        <v>52</v>
      </c>
      <c r="F482" s="11">
        <f>'Guarantees provided'!G476</f>
        <v>0</v>
      </c>
      <c r="G482" s="11">
        <f>'Guarantees provided'!A476</f>
        <v>0</v>
      </c>
      <c r="H482" s="11">
        <f>IF('Guarantees provided'!B476="#",'Guarantees provided'!C476,'Guarantees provided'!B476)</f>
        <v>0</v>
      </c>
      <c r="I482" s="11" t="str">
        <f>IF('Guarantees provided'!B476="#","Type of identifier, other than LEI or MFI code","LEI code")</f>
        <v>LEI code</v>
      </c>
      <c r="J482" s="14" t="str">
        <f>IF(OR('Guarantees provided'!H476="E",'Guarantees provided'!H476="x"),"True","False")</f>
        <v>False</v>
      </c>
      <c r="K482" s="11" t="s">
        <v>53</v>
      </c>
      <c r="L482" s="11" t="s">
        <v>54</v>
      </c>
      <c r="M482" s="11">
        <f>-'Guarantees provided'!D476</f>
        <v>0</v>
      </c>
      <c r="N482" s="11" t="s">
        <v>55</v>
      </c>
      <c r="O482" s="11">
        <v>0</v>
      </c>
      <c r="P482" s="12" t="s">
        <v>56</v>
      </c>
    </row>
    <row r="483" spans="3:16" ht="23.65" thickBot="1">
      <c r="C483" s="10" t="s">
        <v>51</v>
      </c>
      <c r="D483" s="11">
        <v>476</v>
      </c>
      <c r="E483" s="11" t="s">
        <v>52</v>
      </c>
      <c r="F483" s="11">
        <f>'Guarantees provided'!G477</f>
        <v>0</v>
      </c>
      <c r="G483" s="11">
        <f>'Guarantees provided'!A477</f>
        <v>0</v>
      </c>
      <c r="H483" s="11">
        <f>IF('Guarantees provided'!B477="#",'Guarantees provided'!C477,'Guarantees provided'!B477)</f>
        <v>0</v>
      </c>
      <c r="I483" s="11" t="str">
        <f>IF('Guarantees provided'!B477="#","Type of identifier, other than LEI or MFI code","LEI code")</f>
        <v>LEI code</v>
      </c>
      <c r="J483" s="14" t="str">
        <f>IF(OR('Guarantees provided'!H477="E",'Guarantees provided'!H477="x"),"True","False")</f>
        <v>False</v>
      </c>
      <c r="K483" s="11" t="s">
        <v>53</v>
      </c>
      <c r="L483" s="11" t="s">
        <v>54</v>
      </c>
      <c r="M483" s="11">
        <f>-'Guarantees provided'!D477</f>
        <v>0</v>
      </c>
      <c r="N483" s="11" t="s">
        <v>55</v>
      </c>
      <c r="O483" s="11">
        <v>0</v>
      </c>
      <c r="P483" s="12" t="s">
        <v>56</v>
      </c>
    </row>
    <row r="484" spans="3:16" ht="23.65" thickBot="1">
      <c r="C484" s="10" t="s">
        <v>51</v>
      </c>
      <c r="D484" s="11">
        <v>477</v>
      </c>
      <c r="E484" s="11" t="s">
        <v>52</v>
      </c>
      <c r="F484" s="11">
        <f>'Guarantees provided'!G478</f>
        <v>0</v>
      </c>
      <c r="G484" s="11">
        <f>'Guarantees provided'!A478</f>
        <v>0</v>
      </c>
      <c r="H484" s="11">
        <f>IF('Guarantees provided'!B478="#",'Guarantees provided'!C478,'Guarantees provided'!B478)</f>
        <v>0</v>
      </c>
      <c r="I484" s="11" t="str">
        <f>IF('Guarantees provided'!B478="#","Type of identifier, other than LEI or MFI code","LEI code")</f>
        <v>LEI code</v>
      </c>
      <c r="J484" s="14" t="str">
        <f>IF(OR('Guarantees provided'!H478="E",'Guarantees provided'!H478="x"),"True","False")</f>
        <v>False</v>
      </c>
      <c r="K484" s="11" t="s">
        <v>53</v>
      </c>
      <c r="L484" s="11" t="s">
        <v>54</v>
      </c>
      <c r="M484" s="11">
        <f>-'Guarantees provided'!D478</f>
        <v>0</v>
      </c>
      <c r="N484" s="11" t="s">
        <v>55</v>
      </c>
      <c r="O484" s="11">
        <v>0</v>
      </c>
      <c r="P484" s="12" t="s">
        <v>56</v>
      </c>
    </row>
    <row r="485" spans="3:16" ht="23.65" thickBot="1">
      <c r="C485" s="10" t="s">
        <v>51</v>
      </c>
      <c r="D485" s="11">
        <v>478</v>
      </c>
      <c r="E485" s="11" t="s">
        <v>52</v>
      </c>
      <c r="F485" s="11">
        <f>'Guarantees provided'!G479</f>
        <v>0</v>
      </c>
      <c r="G485" s="11">
        <f>'Guarantees provided'!A479</f>
        <v>0</v>
      </c>
      <c r="H485" s="11">
        <f>IF('Guarantees provided'!B479="#",'Guarantees provided'!C479,'Guarantees provided'!B479)</f>
        <v>0</v>
      </c>
      <c r="I485" s="11" t="str">
        <f>IF('Guarantees provided'!B479="#","Type of identifier, other than LEI or MFI code","LEI code")</f>
        <v>LEI code</v>
      </c>
      <c r="J485" s="14" t="str">
        <f>IF(OR('Guarantees provided'!H479="E",'Guarantees provided'!H479="x"),"True","False")</f>
        <v>False</v>
      </c>
      <c r="K485" s="11" t="s">
        <v>53</v>
      </c>
      <c r="L485" s="11" t="s">
        <v>54</v>
      </c>
      <c r="M485" s="11">
        <f>-'Guarantees provided'!D479</f>
        <v>0</v>
      </c>
      <c r="N485" s="11" t="s">
        <v>55</v>
      </c>
      <c r="O485" s="11">
        <v>0</v>
      </c>
      <c r="P485" s="12" t="s">
        <v>56</v>
      </c>
    </row>
    <row r="486" spans="3:16" ht="23.65" thickBot="1">
      <c r="C486" s="10" t="s">
        <v>51</v>
      </c>
      <c r="D486" s="11">
        <v>479</v>
      </c>
      <c r="E486" s="11" t="s">
        <v>52</v>
      </c>
      <c r="F486" s="11">
        <f>'Guarantees provided'!G480</f>
        <v>0</v>
      </c>
      <c r="G486" s="11">
        <f>'Guarantees provided'!A480</f>
        <v>0</v>
      </c>
      <c r="H486" s="11">
        <f>IF('Guarantees provided'!B480="#",'Guarantees provided'!C480,'Guarantees provided'!B480)</f>
        <v>0</v>
      </c>
      <c r="I486" s="11" t="str">
        <f>IF('Guarantees provided'!B480="#","Type of identifier, other than LEI or MFI code","LEI code")</f>
        <v>LEI code</v>
      </c>
      <c r="J486" s="14" t="str">
        <f>IF(OR('Guarantees provided'!H480="E",'Guarantees provided'!H480="x"),"True","False")</f>
        <v>False</v>
      </c>
      <c r="K486" s="11" t="s">
        <v>53</v>
      </c>
      <c r="L486" s="11" t="s">
        <v>54</v>
      </c>
      <c r="M486" s="11">
        <f>-'Guarantees provided'!D480</f>
        <v>0</v>
      </c>
      <c r="N486" s="11" t="s">
        <v>55</v>
      </c>
      <c r="O486" s="11">
        <v>0</v>
      </c>
      <c r="P486" s="12" t="s">
        <v>56</v>
      </c>
    </row>
    <row r="487" spans="3:16" ht="23.65" thickBot="1">
      <c r="C487" s="10" t="s">
        <v>51</v>
      </c>
      <c r="D487" s="11">
        <v>480</v>
      </c>
      <c r="E487" s="11" t="s">
        <v>52</v>
      </c>
      <c r="F487" s="11">
        <f>'Guarantees provided'!G481</f>
        <v>0</v>
      </c>
      <c r="G487" s="11">
        <f>'Guarantees provided'!A481</f>
        <v>0</v>
      </c>
      <c r="H487" s="11">
        <f>IF('Guarantees provided'!B481="#",'Guarantees provided'!C481,'Guarantees provided'!B481)</f>
        <v>0</v>
      </c>
      <c r="I487" s="11" t="str">
        <f>IF('Guarantees provided'!B481="#","Type of identifier, other than LEI or MFI code","LEI code")</f>
        <v>LEI code</v>
      </c>
      <c r="J487" s="14" t="str">
        <f>IF(OR('Guarantees provided'!H481="E",'Guarantees provided'!H481="x"),"True","False")</f>
        <v>False</v>
      </c>
      <c r="K487" s="11" t="s">
        <v>53</v>
      </c>
      <c r="L487" s="11" t="s">
        <v>54</v>
      </c>
      <c r="M487" s="11">
        <f>-'Guarantees provided'!D481</f>
        <v>0</v>
      </c>
      <c r="N487" s="11" t="s">
        <v>55</v>
      </c>
      <c r="O487" s="11">
        <v>0</v>
      </c>
      <c r="P487" s="12" t="s">
        <v>56</v>
      </c>
    </row>
    <row r="488" spans="3:16" ht="23.65" thickBot="1">
      <c r="C488" s="10" t="s">
        <v>51</v>
      </c>
      <c r="D488" s="11">
        <v>481</v>
      </c>
      <c r="E488" s="11" t="s">
        <v>52</v>
      </c>
      <c r="F488" s="11">
        <f>'Guarantees provided'!G482</f>
        <v>0</v>
      </c>
      <c r="G488" s="11">
        <f>'Guarantees provided'!A482</f>
        <v>0</v>
      </c>
      <c r="H488" s="11">
        <f>IF('Guarantees provided'!B482="#",'Guarantees provided'!C482,'Guarantees provided'!B482)</f>
        <v>0</v>
      </c>
      <c r="I488" s="11" t="str">
        <f>IF('Guarantees provided'!B482="#","Type of identifier, other than LEI or MFI code","LEI code")</f>
        <v>LEI code</v>
      </c>
      <c r="J488" s="14" t="str">
        <f>IF(OR('Guarantees provided'!H482="E",'Guarantees provided'!H482="x"),"True","False")</f>
        <v>False</v>
      </c>
      <c r="K488" s="11" t="s">
        <v>53</v>
      </c>
      <c r="L488" s="11" t="s">
        <v>54</v>
      </c>
      <c r="M488" s="11">
        <f>-'Guarantees provided'!D482</f>
        <v>0</v>
      </c>
      <c r="N488" s="11" t="s">
        <v>55</v>
      </c>
      <c r="O488" s="11">
        <v>0</v>
      </c>
      <c r="P488" s="12" t="s">
        <v>56</v>
      </c>
    </row>
    <row r="489" spans="3:16" ht="23.65" thickBot="1">
      <c r="C489" s="10" t="s">
        <v>51</v>
      </c>
      <c r="D489" s="11">
        <v>482</v>
      </c>
      <c r="E489" s="11" t="s">
        <v>52</v>
      </c>
      <c r="F489" s="11">
        <f>'Guarantees provided'!G483</f>
        <v>0</v>
      </c>
      <c r="G489" s="11">
        <f>'Guarantees provided'!A483</f>
        <v>0</v>
      </c>
      <c r="H489" s="11">
        <f>IF('Guarantees provided'!B483="#",'Guarantees provided'!C483,'Guarantees provided'!B483)</f>
        <v>0</v>
      </c>
      <c r="I489" s="11" t="str">
        <f>IF('Guarantees provided'!B483="#","Type of identifier, other than LEI or MFI code","LEI code")</f>
        <v>LEI code</v>
      </c>
      <c r="J489" s="14" t="str">
        <f>IF(OR('Guarantees provided'!H483="E",'Guarantees provided'!H483="x"),"True","False")</f>
        <v>False</v>
      </c>
      <c r="K489" s="11" t="s">
        <v>53</v>
      </c>
      <c r="L489" s="11" t="s">
        <v>54</v>
      </c>
      <c r="M489" s="11">
        <f>-'Guarantees provided'!D483</f>
        <v>0</v>
      </c>
      <c r="N489" s="11" t="s">
        <v>55</v>
      </c>
      <c r="O489" s="11">
        <v>0</v>
      </c>
      <c r="P489" s="12" t="s">
        <v>56</v>
      </c>
    </row>
    <row r="490" spans="3:16" ht="23.65" thickBot="1">
      <c r="C490" s="10" t="s">
        <v>51</v>
      </c>
      <c r="D490" s="11">
        <v>483</v>
      </c>
      <c r="E490" s="11" t="s">
        <v>52</v>
      </c>
      <c r="F490" s="11">
        <f>'Guarantees provided'!G484</f>
        <v>0</v>
      </c>
      <c r="G490" s="11">
        <f>'Guarantees provided'!A484</f>
        <v>0</v>
      </c>
      <c r="H490" s="11">
        <f>IF('Guarantees provided'!B484="#",'Guarantees provided'!C484,'Guarantees provided'!B484)</f>
        <v>0</v>
      </c>
      <c r="I490" s="11" t="str">
        <f>IF('Guarantees provided'!B484="#","Type of identifier, other than LEI or MFI code","LEI code")</f>
        <v>LEI code</v>
      </c>
      <c r="J490" s="14" t="str">
        <f>IF(OR('Guarantees provided'!H484="E",'Guarantees provided'!H484="x"),"True","False")</f>
        <v>False</v>
      </c>
      <c r="K490" s="11" t="s">
        <v>53</v>
      </c>
      <c r="L490" s="11" t="s">
        <v>54</v>
      </c>
      <c r="M490" s="11">
        <f>-'Guarantees provided'!D484</f>
        <v>0</v>
      </c>
      <c r="N490" s="11" t="s">
        <v>55</v>
      </c>
      <c r="O490" s="11">
        <v>0</v>
      </c>
      <c r="P490" s="12" t="s">
        <v>56</v>
      </c>
    </row>
    <row r="491" spans="3:16" ht="23.65" thickBot="1">
      <c r="C491" s="10" t="s">
        <v>51</v>
      </c>
      <c r="D491" s="11">
        <v>484</v>
      </c>
      <c r="E491" s="11" t="s">
        <v>52</v>
      </c>
      <c r="F491" s="11">
        <f>'Guarantees provided'!G485</f>
        <v>0</v>
      </c>
      <c r="G491" s="11">
        <f>'Guarantees provided'!A485</f>
        <v>0</v>
      </c>
      <c r="H491" s="11">
        <f>IF('Guarantees provided'!B485="#",'Guarantees provided'!C485,'Guarantees provided'!B485)</f>
        <v>0</v>
      </c>
      <c r="I491" s="11" t="str">
        <f>IF('Guarantees provided'!B485="#","Type of identifier, other than LEI or MFI code","LEI code")</f>
        <v>LEI code</v>
      </c>
      <c r="J491" s="14" t="str">
        <f>IF(OR('Guarantees provided'!H485="E",'Guarantees provided'!H485="x"),"True","False")</f>
        <v>False</v>
      </c>
      <c r="K491" s="11" t="s">
        <v>53</v>
      </c>
      <c r="L491" s="11" t="s">
        <v>54</v>
      </c>
      <c r="M491" s="11">
        <f>-'Guarantees provided'!D485</f>
        <v>0</v>
      </c>
      <c r="N491" s="11" t="s">
        <v>55</v>
      </c>
      <c r="O491" s="11">
        <v>0</v>
      </c>
      <c r="P491" s="12" t="s">
        <v>56</v>
      </c>
    </row>
    <row r="492" spans="3:16" ht="23.65" thickBot="1">
      <c r="C492" s="10" t="s">
        <v>51</v>
      </c>
      <c r="D492" s="11">
        <v>485</v>
      </c>
      <c r="E492" s="11" t="s">
        <v>52</v>
      </c>
      <c r="F492" s="11">
        <f>'Guarantees provided'!G486</f>
        <v>0</v>
      </c>
      <c r="G492" s="11">
        <f>'Guarantees provided'!A486</f>
        <v>0</v>
      </c>
      <c r="H492" s="11">
        <f>IF('Guarantees provided'!B486="#",'Guarantees provided'!C486,'Guarantees provided'!B486)</f>
        <v>0</v>
      </c>
      <c r="I492" s="11" t="str">
        <f>IF('Guarantees provided'!B486="#","Type of identifier, other than LEI or MFI code","LEI code")</f>
        <v>LEI code</v>
      </c>
      <c r="J492" s="14" t="str">
        <f>IF(OR('Guarantees provided'!H486="E",'Guarantees provided'!H486="x"),"True","False")</f>
        <v>False</v>
      </c>
      <c r="K492" s="11" t="s">
        <v>53</v>
      </c>
      <c r="L492" s="11" t="s">
        <v>54</v>
      </c>
      <c r="M492" s="11">
        <f>-'Guarantees provided'!D486</f>
        <v>0</v>
      </c>
      <c r="N492" s="11" t="s">
        <v>55</v>
      </c>
      <c r="O492" s="11">
        <v>0</v>
      </c>
      <c r="P492" s="12" t="s">
        <v>56</v>
      </c>
    </row>
    <row r="493" spans="3:16" ht="23.65" thickBot="1">
      <c r="C493" s="10" t="s">
        <v>51</v>
      </c>
      <c r="D493" s="11">
        <v>486</v>
      </c>
      <c r="E493" s="11" t="s">
        <v>52</v>
      </c>
      <c r="F493" s="11">
        <f>'Guarantees provided'!G487</f>
        <v>0</v>
      </c>
      <c r="G493" s="11">
        <f>'Guarantees provided'!A487</f>
        <v>0</v>
      </c>
      <c r="H493" s="11">
        <f>IF('Guarantees provided'!B487="#",'Guarantees provided'!C487,'Guarantees provided'!B487)</f>
        <v>0</v>
      </c>
      <c r="I493" s="11" t="str">
        <f>IF('Guarantees provided'!B487="#","Type of identifier, other than LEI or MFI code","LEI code")</f>
        <v>LEI code</v>
      </c>
      <c r="J493" s="14" t="str">
        <f>IF(OR('Guarantees provided'!H487="E",'Guarantees provided'!H487="x"),"True","False")</f>
        <v>False</v>
      </c>
      <c r="K493" s="11" t="s">
        <v>53</v>
      </c>
      <c r="L493" s="11" t="s">
        <v>54</v>
      </c>
      <c r="M493" s="11">
        <f>-'Guarantees provided'!D487</f>
        <v>0</v>
      </c>
      <c r="N493" s="11" t="s">
        <v>55</v>
      </c>
      <c r="O493" s="11">
        <v>0</v>
      </c>
      <c r="P493" s="12" t="s">
        <v>56</v>
      </c>
    </row>
    <row r="494" spans="3:16" ht="23.65" thickBot="1">
      <c r="C494" s="10" t="s">
        <v>51</v>
      </c>
      <c r="D494" s="11">
        <v>487</v>
      </c>
      <c r="E494" s="11" t="s">
        <v>52</v>
      </c>
      <c r="F494" s="11">
        <f>'Guarantees provided'!G488</f>
        <v>0</v>
      </c>
      <c r="G494" s="11">
        <f>'Guarantees provided'!A488</f>
        <v>0</v>
      </c>
      <c r="H494" s="11">
        <f>IF('Guarantees provided'!B488="#",'Guarantees provided'!C488,'Guarantees provided'!B488)</f>
        <v>0</v>
      </c>
      <c r="I494" s="11" t="str">
        <f>IF('Guarantees provided'!B488="#","Type of identifier, other than LEI or MFI code","LEI code")</f>
        <v>LEI code</v>
      </c>
      <c r="J494" s="14" t="str">
        <f>IF(OR('Guarantees provided'!H488="E",'Guarantees provided'!H488="x"),"True","False")</f>
        <v>False</v>
      </c>
      <c r="K494" s="11" t="s">
        <v>53</v>
      </c>
      <c r="L494" s="11" t="s">
        <v>54</v>
      </c>
      <c r="M494" s="11">
        <f>-'Guarantees provided'!D488</f>
        <v>0</v>
      </c>
      <c r="N494" s="11" t="s">
        <v>55</v>
      </c>
      <c r="O494" s="11">
        <v>0</v>
      </c>
      <c r="P494" s="12" t="s">
        <v>56</v>
      </c>
    </row>
    <row r="495" spans="3:16" ht="23.65" thickBot="1">
      <c r="C495" s="10" t="s">
        <v>51</v>
      </c>
      <c r="D495" s="11">
        <v>488</v>
      </c>
      <c r="E495" s="11" t="s">
        <v>52</v>
      </c>
      <c r="F495" s="11">
        <f>'Guarantees provided'!G489</f>
        <v>0</v>
      </c>
      <c r="G495" s="11">
        <f>'Guarantees provided'!A489</f>
        <v>0</v>
      </c>
      <c r="H495" s="11">
        <f>IF('Guarantees provided'!B489="#",'Guarantees provided'!C489,'Guarantees provided'!B489)</f>
        <v>0</v>
      </c>
      <c r="I495" s="11" t="str">
        <f>IF('Guarantees provided'!B489="#","Type of identifier, other than LEI or MFI code","LEI code")</f>
        <v>LEI code</v>
      </c>
      <c r="J495" s="14" t="str">
        <f>IF(OR('Guarantees provided'!H489="E",'Guarantees provided'!H489="x"),"True","False")</f>
        <v>False</v>
      </c>
      <c r="K495" s="11" t="s">
        <v>53</v>
      </c>
      <c r="L495" s="11" t="s">
        <v>54</v>
      </c>
      <c r="M495" s="11">
        <f>-'Guarantees provided'!D489</f>
        <v>0</v>
      </c>
      <c r="N495" s="11" t="s">
        <v>55</v>
      </c>
      <c r="O495" s="11">
        <v>0</v>
      </c>
      <c r="P495" s="12" t="s">
        <v>56</v>
      </c>
    </row>
    <row r="496" spans="3:16" ht="23.65" thickBot="1">
      <c r="C496" s="10" t="s">
        <v>51</v>
      </c>
      <c r="D496" s="11">
        <v>489</v>
      </c>
      <c r="E496" s="11" t="s">
        <v>52</v>
      </c>
      <c r="F496" s="11">
        <f>'Guarantees provided'!G490</f>
        <v>0</v>
      </c>
      <c r="G496" s="11">
        <f>'Guarantees provided'!A490</f>
        <v>0</v>
      </c>
      <c r="H496" s="11">
        <f>IF('Guarantees provided'!B490="#",'Guarantees provided'!C490,'Guarantees provided'!B490)</f>
        <v>0</v>
      </c>
      <c r="I496" s="11" t="str">
        <f>IF('Guarantees provided'!B490="#","Type of identifier, other than LEI or MFI code","LEI code")</f>
        <v>LEI code</v>
      </c>
      <c r="J496" s="14" t="str">
        <f>IF(OR('Guarantees provided'!H490="E",'Guarantees provided'!H490="x"),"True","False")</f>
        <v>False</v>
      </c>
      <c r="K496" s="11" t="s">
        <v>53</v>
      </c>
      <c r="L496" s="11" t="s">
        <v>54</v>
      </c>
      <c r="M496" s="11">
        <f>-'Guarantees provided'!D490</f>
        <v>0</v>
      </c>
      <c r="N496" s="11" t="s">
        <v>55</v>
      </c>
      <c r="O496" s="11">
        <v>0</v>
      </c>
      <c r="P496" s="12" t="s">
        <v>56</v>
      </c>
    </row>
    <row r="497" spans="3:16" ht="23.65" thickBot="1">
      <c r="C497" s="10" t="s">
        <v>51</v>
      </c>
      <c r="D497" s="11">
        <v>490</v>
      </c>
      <c r="E497" s="11" t="s">
        <v>52</v>
      </c>
      <c r="F497" s="11">
        <f>'Guarantees provided'!G491</f>
        <v>0</v>
      </c>
      <c r="G497" s="11">
        <f>'Guarantees provided'!A491</f>
        <v>0</v>
      </c>
      <c r="H497" s="11">
        <f>IF('Guarantees provided'!B491="#",'Guarantees provided'!C491,'Guarantees provided'!B491)</f>
        <v>0</v>
      </c>
      <c r="I497" s="11" t="str">
        <f>IF('Guarantees provided'!B491="#","Type of identifier, other than LEI or MFI code","LEI code")</f>
        <v>LEI code</v>
      </c>
      <c r="J497" s="14" t="str">
        <f>IF(OR('Guarantees provided'!H491="E",'Guarantees provided'!H491="x"),"True","False")</f>
        <v>False</v>
      </c>
      <c r="K497" s="11" t="s">
        <v>53</v>
      </c>
      <c r="L497" s="11" t="s">
        <v>54</v>
      </c>
      <c r="M497" s="11">
        <f>-'Guarantees provided'!D491</f>
        <v>0</v>
      </c>
      <c r="N497" s="11" t="s">
        <v>55</v>
      </c>
      <c r="O497" s="11">
        <v>0</v>
      </c>
      <c r="P497" s="12" t="s">
        <v>56</v>
      </c>
    </row>
    <row r="498" spans="3:16" ht="23.65" thickBot="1">
      <c r="C498" s="10" t="s">
        <v>51</v>
      </c>
      <c r="D498" s="11">
        <v>491</v>
      </c>
      <c r="E498" s="11" t="s">
        <v>52</v>
      </c>
      <c r="F498" s="11">
        <f>'Guarantees provided'!G492</f>
        <v>0</v>
      </c>
      <c r="G498" s="11">
        <f>'Guarantees provided'!A492</f>
        <v>0</v>
      </c>
      <c r="H498" s="11">
        <f>IF('Guarantees provided'!B492="#",'Guarantees provided'!C492,'Guarantees provided'!B492)</f>
        <v>0</v>
      </c>
      <c r="I498" s="11" t="str">
        <f>IF('Guarantees provided'!B492="#","Type of identifier, other than LEI or MFI code","LEI code")</f>
        <v>LEI code</v>
      </c>
      <c r="J498" s="14" t="str">
        <f>IF(OR('Guarantees provided'!H492="E",'Guarantees provided'!H492="x"),"True","False")</f>
        <v>False</v>
      </c>
      <c r="K498" s="11" t="s">
        <v>53</v>
      </c>
      <c r="L498" s="11" t="s">
        <v>54</v>
      </c>
      <c r="M498" s="11">
        <f>-'Guarantees provided'!D492</f>
        <v>0</v>
      </c>
      <c r="N498" s="11" t="s">
        <v>55</v>
      </c>
      <c r="O498" s="11">
        <v>0</v>
      </c>
      <c r="P498" s="12" t="s">
        <v>56</v>
      </c>
    </row>
    <row r="499" spans="3:16" ht="23.65" thickBot="1">
      <c r="C499" s="10" t="s">
        <v>51</v>
      </c>
      <c r="D499" s="11">
        <v>492</v>
      </c>
      <c r="E499" s="11" t="s">
        <v>52</v>
      </c>
      <c r="F499" s="11">
        <f>'Guarantees provided'!G493</f>
        <v>0</v>
      </c>
      <c r="G499" s="11">
        <f>'Guarantees provided'!A493</f>
        <v>0</v>
      </c>
      <c r="H499" s="11">
        <f>IF('Guarantees provided'!B493="#",'Guarantees provided'!C493,'Guarantees provided'!B493)</f>
        <v>0</v>
      </c>
      <c r="I499" s="11" t="str">
        <f>IF('Guarantees provided'!B493="#","Type of identifier, other than LEI or MFI code","LEI code")</f>
        <v>LEI code</v>
      </c>
      <c r="J499" s="14" t="str">
        <f>IF(OR('Guarantees provided'!H493="E",'Guarantees provided'!H493="x"),"True","False")</f>
        <v>False</v>
      </c>
      <c r="K499" s="11" t="s">
        <v>53</v>
      </c>
      <c r="L499" s="11" t="s">
        <v>54</v>
      </c>
      <c r="M499" s="11">
        <f>-'Guarantees provided'!D493</f>
        <v>0</v>
      </c>
      <c r="N499" s="11" t="s">
        <v>55</v>
      </c>
      <c r="O499" s="11">
        <v>0</v>
      </c>
      <c r="P499" s="12" t="s">
        <v>56</v>
      </c>
    </row>
    <row r="500" spans="3:16" ht="23.65" thickBot="1">
      <c r="C500" s="10" t="s">
        <v>51</v>
      </c>
      <c r="D500" s="11">
        <v>493</v>
      </c>
      <c r="E500" s="11" t="s">
        <v>52</v>
      </c>
      <c r="F500" s="11">
        <f>'Guarantees provided'!G494</f>
        <v>0</v>
      </c>
      <c r="G500" s="11">
        <f>'Guarantees provided'!A494</f>
        <v>0</v>
      </c>
      <c r="H500" s="11">
        <f>IF('Guarantees provided'!B494="#",'Guarantees provided'!C494,'Guarantees provided'!B494)</f>
        <v>0</v>
      </c>
      <c r="I500" s="11" t="str">
        <f>IF('Guarantees provided'!B494="#","Type of identifier, other than LEI or MFI code","LEI code")</f>
        <v>LEI code</v>
      </c>
      <c r="J500" s="14" t="str">
        <f>IF(OR('Guarantees provided'!H494="E",'Guarantees provided'!H494="x"),"True","False")</f>
        <v>False</v>
      </c>
      <c r="K500" s="11" t="s">
        <v>53</v>
      </c>
      <c r="L500" s="11" t="s">
        <v>54</v>
      </c>
      <c r="M500" s="11">
        <f>-'Guarantees provided'!D494</f>
        <v>0</v>
      </c>
      <c r="N500" s="11" t="s">
        <v>55</v>
      </c>
      <c r="O500" s="11">
        <v>0</v>
      </c>
      <c r="P500" s="12" t="s">
        <v>56</v>
      </c>
    </row>
    <row r="501" spans="3:16" ht="23.65" thickBot="1">
      <c r="C501" s="10" t="s">
        <v>51</v>
      </c>
      <c r="D501" s="11">
        <v>494</v>
      </c>
      <c r="E501" s="11" t="s">
        <v>52</v>
      </c>
      <c r="F501" s="11">
        <f>'Guarantees provided'!G495</f>
        <v>0</v>
      </c>
      <c r="G501" s="11">
        <f>'Guarantees provided'!A495</f>
        <v>0</v>
      </c>
      <c r="H501" s="11">
        <f>IF('Guarantees provided'!B495="#",'Guarantees provided'!C495,'Guarantees provided'!B495)</f>
        <v>0</v>
      </c>
      <c r="I501" s="11" t="str">
        <f>IF('Guarantees provided'!B495="#","Type of identifier, other than LEI or MFI code","LEI code")</f>
        <v>LEI code</v>
      </c>
      <c r="J501" s="14" t="str">
        <f>IF(OR('Guarantees provided'!H495="E",'Guarantees provided'!H495="x"),"True","False")</f>
        <v>False</v>
      </c>
      <c r="K501" s="11" t="s">
        <v>53</v>
      </c>
      <c r="L501" s="11" t="s">
        <v>54</v>
      </c>
      <c r="M501" s="11">
        <f>-'Guarantees provided'!D495</f>
        <v>0</v>
      </c>
      <c r="N501" s="11" t="s">
        <v>55</v>
      </c>
      <c r="O501" s="11">
        <v>0</v>
      </c>
      <c r="P501" s="12" t="s">
        <v>56</v>
      </c>
    </row>
    <row r="502" spans="3:16" ht="23.65" thickBot="1">
      <c r="C502" s="10" t="s">
        <v>51</v>
      </c>
      <c r="D502" s="11">
        <v>495</v>
      </c>
      <c r="E502" s="11" t="s">
        <v>52</v>
      </c>
      <c r="F502" s="11">
        <f>'Guarantees provided'!G496</f>
        <v>0</v>
      </c>
      <c r="G502" s="11">
        <f>'Guarantees provided'!A496</f>
        <v>0</v>
      </c>
      <c r="H502" s="11">
        <f>IF('Guarantees provided'!B496="#",'Guarantees provided'!C496,'Guarantees provided'!B496)</f>
        <v>0</v>
      </c>
      <c r="I502" s="11" t="str">
        <f>IF('Guarantees provided'!B496="#","Type of identifier, other than LEI or MFI code","LEI code")</f>
        <v>LEI code</v>
      </c>
      <c r="J502" s="14" t="str">
        <f>IF(OR('Guarantees provided'!H496="E",'Guarantees provided'!H496="x"),"True","False")</f>
        <v>False</v>
      </c>
      <c r="K502" s="11" t="s">
        <v>53</v>
      </c>
      <c r="L502" s="11" t="s">
        <v>54</v>
      </c>
      <c r="M502" s="11">
        <f>-'Guarantees provided'!D496</f>
        <v>0</v>
      </c>
      <c r="N502" s="11" t="s">
        <v>55</v>
      </c>
      <c r="O502" s="11">
        <v>0</v>
      </c>
      <c r="P502" s="12" t="s">
        <v>56</v>
      </c>
    </row>
    <row r="503" spans="3:16" ht="23.65" thickBot="1">
      <c r="C503" s="10" t="s">
        <v>51</v>
      </c>
      <c r="D503" s="11">
        <v>496</v>
      </c>
      <c r="E503" s="11" t="s">
        <v>52</v>
      </c>
      <c r="F503" s="11">
        <f>'Guarantees provided'!G497</f>
        <v>0</v>
      </c>
      <c r="G503" s="11">
        <f>'Guarantees provided'!A497</f>
        <v>0</v>
      </c>
      <c r="H503" s="11">
        <f>IF('Guarantees provided'!B497="#",'Guarantees provided'!C497,'Guarantees provided'!B497)</f>
        <v>0</v>
      </c>
      <c r="I503" s="11" t="str">
        <f>IF('Guarantees provided'!B497="#","Type of identifier, other than LEI or MFI code","LEI code")</f>
        <v>LEI code</v>
      </c>
      <c r="J503" s="14" t="str">
        <f>IF(OR('Guarantees provided'!H497="E",'Guarantees provided'!H497="x"),"True","False")</f>
        <v>False</v>
      </c>
      <c r="K503" s="11" t="s">
        <v>53</v>
      </c>
      <c r="L503" s="11" t="s">
        <v>54</v>
      </c>
      <c r="M503" s="11">
        <f>-'Guarantees provided'!D497</f>
        <v>0</v>
      </c>
      <c r="N503" s="11" t="s">
        <v>55</v>
      </c>
      <c r="O503" s="11">
        <v>0</v>
      </c>
      <c r="P503" s="12" t="s">
        <v>56</v>
      </c>
    </row>
    <row r="504" spans="3:16" ht="23.65" thickBot="1">
      <c r="C504" s="10" t="s">
        <v>51</v>
      </c>
      <c r="D504" s="11">
        <v>497</v>
      </c>
      <c r="E504" s="11" t="s">
        <v>52</v>
      </c>
      <c r="F504" s="11">
        <f>'Guarantees provided'!G498</f>
        <v>0</v>
      </c>
      <c r="G504" s="11">
        <f>'Guarantees provided'!A498</f>
        <v>0</v>
      </c>
      <c r="H504" s="11">
        <f>IF('Guarantees provided'!B498="#",'Guarantees provided'!C498,'Guarantees provided'!B498)</f>
        <v>0</v>
      </c>
      <c r="I504" s="11" t="str">
        <f>IF('Guarantees provided'!B498="#","Type of identifier, other than LEI or MFI code","LEI code")</f>
        <v>LEI code</v>
      </c>
      <c r="J504" s="14" t="str">
        <f>IF(OR('Guarantees provided'!H498="E",'Guarantees provided'!H498="x"),"True","False")</f>
        <v>False</v>
      </c>
      <c r="K504" s="11" t="s">
        <v>53</v>
      </c>
      <c r="L504" s="11" t="s">
        <v>54</v>
      </c>
      <c r="M504" s="11">
        <f>-'Guarantees provided'!D498</f>
        <v>0</v>
      </c>
      <c r="N504" s="11" t="s">
        <v>55</v>
      </c>
      <c r="O504" s="11">
        <v>0</v>
      </c>
      <c r="P504" s="12" t="s">
        <v>56</v>
      </c>
    </row>
    <row r="505" spans="3:16" ht="23.65" thickBot="1">
      <c r="C505" s="10" t="s">
        <v>51</v>
      </c>
      <c r="D505" s="11">
        <v>498</v>
      </c>
      <c r="E505" s="11" t="s">
        <v>52</v>
      </c>
      <c r="F505" s="11">
        <f>'Guarantees provided'!G499</f>
        <v>0</v>
      </c>
      <c r="G505" s="11">
        <f>'Guarantees provided'!A499</f>
        <v>0</v>
      </c>
      <c r="H505" s="11">
        <f>IF('Guarantees provided'!B499="#",'Guarantees provided'!C499,'Guarantees provided'!B499)</f>
        <v>0</v>
      </c>
      <c r="I505" s="11" t="str">
        <f>IF('Guarantees provided'!B499="#","Type of identifier, other than LEI or MFI code","LEI code")</f>
        <v>LEI code</v>
      </c>
      <c r="J505" s="14" t="str">
        <f>IF(OR('Guarantees provided'!H499="E",'Guarantees provided'!H499="x"),"True","False")</f>
        <v>False</v>
      </c>
      <c r="K505" s="11" t="s">
        <v>53</v>
      </c>
      <c r="L505" s="11" t="s">
        <v>54</v>
      </c>
      <c r="M505" s="11">
        <f>-'Guarantees provided'!D499</f>
        <v>0</v>
      </c>
      <c r="N505" s="11" t="s">
        <v>55</v>
      </c>
      <c r="O505" s="11">
        <v>0</v>
      </c>
      <c r="P505" s="12" t="s">
        <v>56</v>
      </c>
    </row>
    <row r="506" spans="3:16" ht="23.65" thickBot="1">
      <c r="C506" s="10" t="s">
        <v>51</v>
      </c>
      <c r="D506" s="11">
        <v>499</v>
      </c>
      <c r="E506" s="11" t="s">
        <v>52</v>
      </c>
      <c r="F506" s="11">
        <f>'Guarantees provided'!G500</f>
        <v>0</v>
      </c>
      <c r="G506" s="11">
        <f>'Guarantees provided'!A500</f>
        <v>0</v>
      </c>
      <c r="H506" s="11">
        <f>IF('Guarantees provided'!B500="#",'Guarantees provided'!C500,'Guarantees provided'!B500)</f>
        <v>0</v>
      </c>
      <c r="I506" s="11" t="str">
        <f>IF('Guarantees provided'!B500="#","Type of identifier, other than LEI or MFI code","LEI code")</f>
        <v>LEI code</v>
      </c>
      <c r="J506" s="14" t="str">
        <f>IF(OR('Guarantees provided'!H500="E",'Guarantees provided'!H500="x"),"True","False")</f>
        <v>False</v>
      </c>
      <c r="K506" s="11" t="s">
        <v>53</v>
      </c>
      <c r="L506" s="11" t="s">
        <v>54</v>
      </c>
      <c r="M506" s="11">
        <f>-'Guarantees provided'!D500</f>
        <v>0</v>
      </c>
      <c r="N506" s="11" t="s">
        <v>55</v>
      </c>
      <c r="O506" s="11">
        <v>0</v>
      </c>
      <c r="P506" s="12" t="s">
        <v>56</v>
      </c>
    </row>
    <row r="507" spans="3:16" ht="23.65" thickBot="1">
      <c r="C507" s="10" t="s">
        <v>51</v>
      </c>
      <c r="D507" s="11">
        <v>500</v>
      </c>
      <c r="E507" s="11" t="s">
        <v>52</v>
      </c>
      <c r="F507" s="11">
        <f>'Guarantees provided'!G501</f>
        <v>0</v>
      </c>
      <c r="G507" s="11">
        <f>'Guarantees provided'!A501</f>
        <v>0</v>
      </c>
      <c r="H507" s="11">
        <f>IF('Guarantees provided'!B501="#",'Guarantees provided'!C501,'Guarantees provided'!B501)</f>
        <v>0</v>
      </c>
      <c r="I507" s="11" t="str">
        <f>IF('Guarantees provided'!B501="#","Type of identifier, other than LEI or MFI code","LEI code")</f>
        <v>LEI code</v>
      </c>
      <c r="J507" s="14" t="str">
        <f>IF(OR('Guarantees provided'!H501="E",'Guarantees provided'!H501="x"),"True","False")</f>
        <v>False</v>
      </c>
      <c r="K507" s="11" t="s">
        <v>53</v>
      </c>
      <c r="L507" s="11" t="s">
        <v>54</v>
      </c>
      <c r="M507" s="11">
        <f>-'Guarantees provided'!D501</f>
        <v>0</v>
      </c>
      <c r="N507" s="11" t="s">
        <v>55</v>
      </c>
      <c r="O507" s="11">
        <v>0</v>
      </c>
      <c r="P507" s="12" t="s">
        <v>56</v>
      </c>
    </row>
    <row r="508" spans="3:16" ht="23.65" thickBot="1">
      <c r="C508" s="10" t="s">
        <v>51</v>
      </c>
      <c r="D508" s="11">
        <v>501</v>
      </c>
      <c r="E508" s="11" t="s">
        <v>52</v>
      </c>
      <c r="F508" s="11">
        <f>'Guarantees provided'!G502</f>
        <v>0</v>
      </c>
      <c r="G508" s="11">
        <f>'Guarantees provided'!A502</f>
        <v>0</v>
      </c>
      <c r="H508" s="11">
        <f>IF('Guarantees provided'!B502="#",'Guarantees provided'!C502,'Guarantees provided'!B502)</f>
        <v>0</v>
      </c>
      <c r="I508" s="11" t="str">
        <f>IF('Guarantees provided'!B502="#","Type of identifier, other than LEI or MFI code","LEI code")</f>
        <v>LEI code</v>
      </c>
      <c r="J508" s="14" t="str">
        <f>IF(OR('Guarantees provided'!H502="E",'Guarantees provided'!H502="x"),"True","False")</f>
        <v>False</v>
      </c>
      <c r="K508" s="11" t="s">
        <v>53</v>
      </c>
      <c r="L508" s="11" t="s">
        <v>54</v>
      </c>
      <c r="M508" s="11">
        <f>-'Guarantees provided'!D502</f>
        <v>0</v>
      </c>
      <c r="N508" s="11" t="s">
        <v>55</v>
      </c>
      <c r="O508" s="11">
        <v>0</v>
      </c>
      <c r="P508" s="12" t="s">
        <v>56</v>
      </c>
    </row>
    <row r="509" spans="3:16" ht="23.65" thickBot="1">
      <c r="C509" s="10" t="s">
        <v>51</v>
      </c>
      <c r="D509" s="11">
        <v>502</v>
      </c>
      <c r="E509" s="11" t="s">
        <v>52</v>
      </c>
      <c r="F509" s="11">
        <f>'Guarantees provided'!G503</f>
        <v>0</v>
      </c>
      <c r="G509" s="11">
        <f>'Guarantees provided'!A503</f>
        <v>0</v>
      </c>
      <c r="H509" s="11">
        <f>IF('Guarantees provided'!B503="#",'Guarantees provided'!C503,'Guarantees provided'!B503)</f>
        <v>0</v>
      </c>
      <c r="I509" s="11" t="str">
        <f>IF('Guarantees provided'!B503="#","Type of identifier, other than LEI or MFI code","LEI code")</f>
        <v>LEI code</v>
      </c>
      <c r="J509" s="14" t="str">
        <f>IF(OR('Guarantees provided'!H503="E",'Guarantees provided'!H503="x"),"True","False")</f>
        <v>False</v>
      </c>
      <c r="K509" s="11" t="s">
        <v>53</v>
      </c>
      <c r="L509" s="11" t="s">
        <v>54</v>
      </c>
      <c r="M509" s="11">
        <f>-'Guarantees provided'!D503</f>
        <v>0</v>
      </c>
      <c r="N509" s="11" t="s">
        <v>55</v>
      </c>
      <c r="O509" s="11">
        <v>0</v>
      </c>
      <c r="P509" s="12" t="s">
        <v>56</v>
      </c>
    </row>
    <row r="510" spans="3:16" ht="23.65" thickBot="1">
      <c r="C510" s="10" t="s">
        <v>51</v>
      </c>
      <c r="D510" s="11">
        <v>503</v>
      </c>
      <c r="E510" s="11" t="s">
        <v>52</v>
      </c>
      <c r="F510" s="11">
        <f>'Guarantees provided'!G504</f>
        <v>0</v>
      </c>
      <c r="G510" s="11">
        <f>'Guarantees provided'!A504</f>
        <v>0</v>
      </c>
      <c r="H510" s="11">
        <f>IF('Guarantees provided'!B504="#",'Guarantees provided'!C504,'Guarantees provided'!B504)</f>
        <v>0</v>
      </c>
      <c r="I510" s="11" t="str">
        <f>IF('Guarantees provided'!B504="#","Type of identifier, other than LEI or MFI code","LEI code")</f>
        <v>LEI code</v>
      </c>
      <c r="J510" s="14" t="str">
        <f>IF(OR('Guarantees provided'!H504="E",'Guarantees provided'!H504="x"),"True","False")</f>
        <v>False</v>
      </c>
      <c r="K510" s="11" t="s">
        <v>53</v>
      </c>
      <c r="L510" s="11" t="s">
        <v>54</v>
      </c>
      <c r="M510" s="11">
        <f>-'Guarantees provided'!D504</f>
        <v>0</v>
      </c>
      <c r="N510" s="11" t="s">
        <v>55</v>
      </c>
      <c r="O510" s="11">
        <v>0</v>
      </c>
      <c r="P510" s="12" t="s">
        <v>56</v>
      </c>
    </row>
    <row r="511" spans="3:16" ht="23.65" thickBot="1">
      <c r="C511" s="10" t="s">
        <v>51</v>
      </c>
      <c r="D511" s="11">
        <v>504</v>
      </c>
      <c r="E511" s="11" t="s">
        <v>52</v>
      </c>
      <c r="F511" s="11">
        <f>'Guarantees provided'!G505</f>
        <v>0</v>
      </c>
      <c r="G511" s="11">
        <f>'Guarantees provided'!A505</f>
        <v>0</v>
      </c>
      <c r="H511" s="11">
        <f>IF('Guarantees provided'!B505="#",'Guarantees provided'!C505,'Guarantees provided'!B505)</f>
        <v>0</v>
      </c>
      <c r="I511" s="11" t="str">
        <f>IF('Guarantees provided'!B505="#","Type of identifier, other than LEI or MFI code","LEI code")</f>
        <v>LEI code</v>
      </c>
      <c r="J511" s="14" t="str">
        <f>IF(OR('Guarantees provided'!H505="E",'Guarantees provided'!H505="x"),"True","False")</f>
        <v>False</v>
      </c>
      <c r="K511" s="11" t="s">
        <v>53</v>
      </c>
      <c r="L511" s="11" t="s">
        <v>54</v>
      </c>
      <c r="M511" s="11">
        <f>-'Guarantees provided'!D505</f>
        <v>0</v>
      </c>
      <c r="N511" s="11" t="s">
        <v>55</v>
      </c>
      <c r="O511" s="11">
        <v>0</v>
      </c>
      <c r="P511" s="12" t="s">
        <v>56</v>
      </c>
    </row>
    <row r="512" spans="3:16" ht="23.65" thickBot="1">
      <c r="C512" s="10" t="s">
        <v>51</v>
      </c>
      <c r="D512" s="11">
        <v>505</v>
      </c>
      <c r="E512" s="11" t="s">
        <v>52</v>
      </c>
      <c r="F512" s="11">
        <f>'Guarantees provided'!G506</f>
        <v>0</v>
      </c>
      <c r="G512" s="11">
        <f>'Guarantees provided'!A506</f>
        <v>0</v>
      </c>
      <c r="H512" s="11">
        <f>IF('Guarantees provided'!B506="#",'Guarantees provided'!C506,'Guarantees provided'!B506)</f>
        <v>0</v>
      </c>
      <c r="I512" s="11" t="str">
        <f>IF('Guarantees provided'!B506="#","Type of identifier, other than LEI or MFI code","LEI code")</f>
        <v>LEI code</v>
      </c>
      <c r="J512" s="14" t="str">
        <f>IF(OR('Guarantees provided'!H506="E",'Guarantees provided'!H506="x"),"True","False")</f>
        <v>False</v>
      </c>
      <c r="K512" s="11" t="s">
        <v>53</v>
      </c>
      <c r="L512" s="11" t="s">
        <v>54</v>
      </c>
      <c r="M512" s="11">
        <f>-'Guarantees provided'!D506</f>
        <v>0</v>
      </c>
      <c r="N512" s="11" t="s">
        <v>55</v>
      </c>
      <c r="O512" s="11">
        <v>0</v>
      </c>
      <c r="P512" s="12" t="s">
        <v>56</v>
      </c>
    </row>
    <row r="513" spans="3:16" ht="23.65" thickBot="1">
      <c r="C513" s="10" t="s">
        <v>51</v>
      </c>
      <c r="D513" s="11">
        <v>506</v>
      </c>
      <c r="E513" s="11" t="s">
        <v>52</v>
      </c>
      <c r="F513" s="11">
        <f>'Guarantees provided'!G507</f>
        <v>0</v>
      </c>
      <c r="G513" s="11">
        <f>'Guarantees provided'!A507</f>
        <v>0</v>
      </c>
      <c r="H513" s="11">
        <f>IF('Guarantees provided'!B507="#",'Guarantees provided'!C507,'Guarantees provided'!B507)</f>
        <v>0</v>
      </c>
      <c r="I513" s="11" t="str">
        <f>IF('Guarantees provided'!B507="#","Type of identifier, other than LEI or MFI code","LEI code")</f>
        <v>LEI code</v>
      </c>
      <c r="J513" s="14" t="str">
        <f>IF(OR('Guarantees provided'!H507="E",'Guarantees provided'!H507="x"),"True","False")</f>
        <v>False</v>
      </c>
      <c r="K513" s="11" t="s">
        <v>53</v>
      </c>
      <c r="L513" s="11" t="s">
        <v>54</v>
      </c>
      <c r="M513" s="11">
        <f>-'Guarantees provided'!D507</f>
        <v>0</v>
      </c>
      <c r="N513" s="11" t="s">
        <v>55</v>
      </c>
      <c r="O513" s="11">
        <v>0</v>
      </c>
      <c r="P513" s="12" t="s">
        <v>56</v>
      </c>
    </row>
    <row r="514" spans="3:16" ht="23.65" thickBot="1">
      <c r="C514" s="10" t="s">
        <v>51</v>
      </c>
      <c r="D514" s="11">
        <v>507</v>
      </c>
      <c r="E514" s="11" t="s">
        <v>52</v>
      </c>
      <c r="F514" s="11">
        <f>'Guarantees provided'!G508</f>
        <v>0</v>
      </c>
      <c r="G514" s="11">
        <f>'Guarantees provided'!A508</f>
        <v>0</v>
      </c>
      <c r="H514" s="11">
        <f>IF('Guarantees provided'!B508="#",'Guarantees provided'!C508,'Guarantees provided'!B508)</f>
        <v>0</v>
      </c>
      <c r="I514" s="11" t="str">
        <f>IF('Guarantees provided'!B508="#","Type of identifier, other than LEI or MFI code","LEI code")</f>
        <v>LEI code</v>
      </c>
      <c r="J514" s="14" t="str">
        <f>IF(OR('Guarantees provided'!H508="E",'Guarantees provided'!H508="x"),"True","False")</f>
        <v>False</v>
      </c>
      <c r="K514" s="11" t="s">
        <v>53</v>
      </c>
      <c r="L514" s="11" t="s">
        <v>54</v>
      </c>
      <c r="M514" s="11">
        <f>-'Guarantees provided'!D508</f>
        <v>0</v>
      </c>
      <c r="N514" s="11" t="s">
        <v>55</v>
      </c>
      <c r="O514" s="11">
        <v>0</v>
      </c>
      <c r="P514" s="12" t="s">
        <v>56</v>
      </c>
    </row>
    <row r="515" spans="3:16" ht="23.65" thickBot="1">
      <c r="C515" s="10" t="s">
        <v>51</v>
      </c>
      <c r="D515" s="11">
        <v>508</v>
      </c>
      <c r="E515" s="11" t="s">
        <v>52</v>
      </c>
      <c r="F515" s="11">
        <f>'Guarantees provided'!G509</f>
        <v>0</v>
      </c>
      <c r="G515" s="11">
        <f>'Guarantees provided'!A509</f>
        <v>0</v>
      </c>
      <c r="H515" s="11">
        <f>IF('Guarantees provided'!B509="#",'Guarantees provided'!C509,'Guarantees provided'!B509)</f>
        <v>0</v>
      </c>
      <c r="I515" s="11" t="str">
        <f>IF('Guarantees provided'!B509="#","Type of identifier, other than LEI or MFI code","LEI code")</f>
        <v>LEI code</v>
      </c>
      <c r="J515" s="14" t="str">
        <f>IF(OR('Guarantees provided'!H509="E",'Guarantees provided'!H509="x"),"True","False")</f>
        <v>False</v>
      </c>
      <c r="K515" s="11" t="s">
        <v>53</v>
      </c>
      <c r="L515" s="11" t="s">
        <v>54</v>
      </c>
      <c r="M515" s="11">
        <f>-'Guarantees provided'!D509</f>
        <v>0</v>
      </c>
      <c r="N515" s="11" t="s">
        <v>55</v>
      </c>
      <c r="O515" s="11">
        <v>0</v>
      </c>
      <c r="P515" s="12" t="s">
        <v>56</v>
      </c>
    </row>
    <row r="516" spans="3:16" ht="23.65" thickBot="1">
      <c r="C516" s="10" t="s">
        <v>51</v>
      </c>
      <c r="D516" s="11">
        <v>509</v>
      </c>
      <c r="E516" s="11" t="s">
        <v>52</v>
      </c>
      <c r="F516" s="11">
        <f>'Guarantees provided'!G510</f>
        <v>0</v>
      </c>
      <c r="G516" s="11">
        <f>'Guarantees provided'!A510</f>
        <v>0</v>
      </c>
      <c r="H516" s="11">
        <f>IF('Guarantees provided'!B510="#",'Guarantees provided'!C510,'Guarantees provided'!B510)</f>
        <v>0</v>
      </c>
      <c r="I516" s="11" t="str">
        <f>IF('Guarantees provided'!B510="#","Type of identifier, other than LEI or MFI code","LEI code")</f>
        <v>LEI code</v>
      </c>
      <c r="J516" s="14" t="str">
        <f>IF(OR('Guarantees provided'!H510="E",'Guarantees provided'!H510="x"),"True","False")</f>
        <v>False</v>
      </c>
      <c r="K516" s="11" t="s">
        <v>53</v>
      </c>
      <c r="L516" s="11" t="s">
        <v>54</v>
      </c>
      <c r="M516" s="11">
        <f>-'Guarantees provided'!D510</f>
        <v>0</v>
      </c>
      <c r="N516" s="11" t="s">
        <v>55</v>
      </c>
      <c r="O516" s="11">
        <v>0</v>
      </c>
      <c r="P516" s="12" t="s">
        <v>56</v>
      </c>
    </row>
    <row r="517" spans="3:16" ht="23.65" thickBot="1">
      <c r="C517" s="10" t="s">
        <v>51</v>
      </c>
      <c r="D517" s="11">
        <v>510</v>
      </c>
      <c r="E517" s="11" t="s">
        <v>52</v>
      </c>
      <c r="F517" s="11">
        <f>'Guarantees provided'!G511</f>
        <v>0</v>
      </c>
      <c r="G517" s="11">
        <f>'Guarantees provided'!A511</f>
        <v>0</v>
      </c>
      <c r="H517" s="11">
        <f>IF('Guarantees provided'!B511="#",'Guarantees provided'!C511,'Guarantees provided'!B511)</f>
        <v>0</v>
      </c>
      <c r="I517" s="11" t="str">
        <f>IF('Guarantees provided'!B511="#","Type of identifier, other than LEI or MFI code","LEI code")</f>
        <v>LEI code</v>
      </c>
      <c r="J517" s="14" t="str">
        <f>IF(OR('Guarantees provided'!H511="E",'Guarantees provided'!H511="x"),"True","False")</f>
        <v>False</v>
      </c>
      <c r="K517" s="11" t="s">
        <v>53</v>
      </c>
      <c r="L517" s="11" t="s">
        <v>54</v>
      </c>
      <c r="M517" s="11">
        <f>-'Guarantees provided'!D511</f>
        <v>0</v>
      </c>
      <c r="N517" s="11" t="s">
        <v>55</v>
      </c>
      <c r="O517" s="11">
        <v>0</v>
      </c>
      <c r="P517" s="12" t="s">
        <v>56</v>
      </c>
    </row>
    <row r="518" spans="3:16" ht="23.65" thickBot="1">
      <c r="C518" s="10" t="s">
        <v>51</v>
      </c>
      <c r="D518" s="11">
        <v>511</v>
      </c>
      <c r="E518" s="11" t="s">
        <v>52</v>
      </c>
      <c r="F518" s="11">
        <f>'Guarantees provided'!G512</f>
        <v>0</v>
      </c>
      <c r="G518" s="11">
        <f>'Guarantees provided'!A512</f>
        <v>0</v>
      </c>
      <c r="H518" s="11">
        <f>IF('Guarantees provided'!B512="#",'Guarantees provided'!C512,'Guarantees provided'!B512)</f>
        <v>0</v>
      </c>
      <c r="I518" s="11" t="str">
        <f>IF('Guarantees provided'!B512="#","Type of identifier, other than LEI or MFI code","LEI code")</f>
        <v>LEI code</v>
      </c>
      <c r="J518" s="14" t="str">
        <f>IF(OR('Guarantees provided'!H512="E",'Guarantees provided'!H512="x"),"True","False")</f>
        <v>False</v>
      </c>
      <c r="K518" s="11" t="s">
        <v>53</v>
      </c>
      <c r="L518" s="11" t="s">
        <v>54</v>
      </c>
      <c r="M518" s="11">
        <f>-'Guarantees provided'!D512</f>
        <v>0</v>
      </c>
      <c r="N518" s="11" t="s">
        <v>55</v>
      </c>
      <c r="O518" s="11">
        <v>0</v>
      </c>
      <c r="P518" s="12" t="s">
        <v>56</v>
      </c>
    </row>
    <row r="519" spans="3:16" ht="23.65" thickBot="1">
      <c r="C519" s="10" t="s">
        <v>51</v>
      </c>
      <c r="D519" s="11">
        <v>512</v>
      </c>
      <c r="E519" s="11" t="s">
        <v>52</v>
      </c>
      <c r="F519" s="11">
        <f>'Guarantees provided'!G513</f>
        <v>0</v>
      </c>
      <c r="G519" s="11">
        <f>'Guarantees provided'!A513</f>
        <v>0</v>
      </c>
      <c r="H519" s="11">
        <f>IF('Guarantees provided'!B513="#",'Guarantees provided'!C513,'Guarantees provided'!B513)</f>
        <v>0</v>
      </c>
      <c r="I519" s="11" t="str">
        <f>IF('Guarantees provided'!B513="#","Type of identifier, other than LEI or MFI code","LEI code")</f>
        <v>LEI code</v>
      </c>
      <c r="J519" s="14" t="str">
        <f>IF(OR('Guarantees provided'!H513="E",'Guarantees provided'!H513="x"),"True","False")</f>
        <v>False</v>
      </c>
      <c r="K519" s="11" t="s">
        <v>53</v>
      </c>
      <c r="L519" s="11" t="s">
        <v>54</v>
      </c>
      <c r="M519" s="11">
        <f>-'Guarantees provided'!D513</f>
        <v>0</v>
      </c>
      <c r="N519" s="11" t="s">
        <v>55</v>
      </c>
      <c r="O519" s="11">
        <v>0</v>
      </c>
      <c r="P519" s="12" t="s">
        <v>56</v>
      </c>
    </row>
    <row r="520" spans="3:16" ht="23.65" thickBot="1">
      <c r="C520" s="10" t="s">
        <v>51</v>
      </c>
      <c r="D520" s="11">
        <v>513</v>
      </c>
      <c r="E520" s="11" t="s">
        <v>52</v>
      </c>
      <c r="F520" s="11">
        <f>'Guarantees provided'!G514</f>
        <v>0</v>
      </c>
      <c r="G520" s="11">
        <f>'Guarantees provided'!A514</f>
        <v>0</v>
      </c>
      <c r="H520" s="11">
        <f>IF('Guarantees provided'!B514="#",'Guarantees provided'!C514,'Guarantees provided'!B514)</f>
        <v>0</v>
      </c>
      <c r="I520" s="11" t="str">
        <f>IF('Guarantees provided'!B514="#","Type of identifier, other than LEI or MFI code","LEI code")</f>
        <v>LEI code</v>
      </c>
      <c r="J520" s="14" t="str">
        <f>IF(OR('Guarantees provided'!H514="E",'Guarantees provided'!H514="x"),"True","False")</f>
        <v>False</v>
      </c>
      <c r="K520" s="11" t="s">
        <v>53</v>
      </c>
      <c r="L520" s="11" t="s">
        <v>54</v>
      </c>
      <c r="M520" s="11">
        <f>-'Guarantees provided'!D514</f>
        <v>0</v>
      </c>
      <c r="N520" s="11" t="s">
        <v>55</v>
      </c>
      <c r="O520" s="11">
        <v>0</v>
      </c>
      <c r="P520" s="12" t="s">
        <v>56</v>
      </c>
    </row>
    <row r="521" spans="3:16" ht="23.65" thickBot="1">
      <c r="C521" s="10" t="s">
        <v>51</v>
      </c>
      <c r="D521" s="11">
        <v>514</v>
      </c>
      <c r="E521" s="11" t="s">
        <v>52</v>
      </c>
      <c r="F521" s="11">
        <f>'Guarantees provided'!G515</f>
        <v>0</v>
      </c>
      <c r="G521" s="11">
        <f>'Guarantees provided'!A515</f>
        <v>0</v>
      </c>
      <c r="H521" s="11">
        <f>IF('Guarantees provided'!B515="#",'Guarantees provided'!C515,'Guarantees provided'!B515)</f>
        <v>0</v>
      </c>
      <c r="I521" s="11" t="str">
        <f>IF('Guarantees provided'!B515="#","Type of identifier, other than LEI or MFI code","LEI code")</f>
        <v>LEI code</v>
      </c>
      <c r="J521" s="14" t="str">
        <f>IF(OR('Guarantees provided'!H515="E",'Guarantees provided'!H515="x"),"True","False")</f>
        <v>False</v>
      </c>
      <c r="K521" s="11" t="s">
        <v>53</v>
      </c>
      <c r="L521" s="11" t="s">
        <v>54</v>
      </c>
      <c r="M521" s="11">
        <f>-'Guarantees provided'!D515</f>
        <v>0</v>
      </c>
      <c r="N521" s="11" t="s">
        <v>55</v>
      </c>
      <c r="O521" s="11">
        <v>0</v>
      </c>
      <c r="P521" s="12" t="s">
        <v>56</v>
      </c>
    </row>
    <row r="522" spans="3:16" ht="23.65" thickBot="1">
      <c r="C522" s="10" t="s">
        <v>51</v>
      </c>
      <c r="D522" s="11">
        <v>515</v>
      </c>
      <c r="E522" s="11" t="s">
        <v>52</v>
      </c>
      <c r="F522" s="11">
        <f>'Guarantees provided'!G516</f>
        <v>0</v>
      </c>
      <c r="G522" s="11">
        <f>'Guarantees provided'!A516</f>
        <v>0</v>
      </c>
      <c r="H522" s="11">
        <f>IF('Guarantees provided'!B516="#",'Guarantees provided'!C516,'Guarantees provided'!B516)</f>
        <v>0</v>
      </c>
      <c r="I522" s="11" t="str">
        <f>IF('Guarantees provided'!B516="#","Type of identifier, other than LEI or MFI code","LEI code")</f>
        <v>LEI code</v>
      </c>
      <c r="J522" s="14" t="str">
        <f>IF(OR('Guarantees provided'!H516="E",'Guarantees provided'!H516="x"),"True","False")</f>
        <v>False</v>
      </c>
      <c r="K522" s="11" t="s">
        <v>53</v>
      </c>
      <c r="L522" s="11" t="s">
        <v>54</v>
      </c>
      <c r="M522" s="11">
        <f>-'Guarantees provided'!D516</f>
        <v>0</v>
      </c>
      <c r="N522" s="11" t="s">
        <v>55</v>
      </c>
      <c r="O522" s="11">
        <v>0</v>
      </c>
      <c r="P522" s="12" t="s">
        <v>56</v>
      </c>
    </row>
    <row r="523" spans="3:16" ht="23.65" thickBot="1">
      <c r="C523" s="10" t="s">
        <v>51</v>
      </c>
      <c r="D523" s="11">
        <v>516</v>
      </c>
      <c r="E523" s="11" t="s">
        <v>52</v>
      </c>
      <c r="F523" s="11">
        <f>'Guarantees provided'!G517</f>
        <v>0</v>
      </c>
      <c r="G523" s="11">
        <f>'Guarantees provided'!A517</f>
        <v>0</v>
      </c>
      <c r="H523" s="11">
        <f>IF('Guarantees provided'!B517="#",'Guarantees provided'!C517,'Guarantees provided'!B517)</f>
        <v>0</v>
      </c>
      <c r="I523" s="11" t="str">
        <f>IF('Guarantees provided'!B517="#","Type of identifier, other than LEI or MFI code","LEI code")</f>
        <v>LEI code</v>
      </c>
      <c r="J523" s="14" t="str">
        <f>IF(OR('Guarantees provided'!H517="E",'Guarantees provided'!H517="x"),"True","False")</f>
        <v>False</v>
      </c>
      <c r="K523" s="11" t="s">
        <v>53</v>
      </c>
      <c r="L523" s="11" t="s">
        <v>54</v>
      </c>
      <c r="M523" s="11">
        <f>-'Guarantees provided'!D517</f>
        <v>0</v>
      </c>
      <c r="N523" s="11" t="s">
        <v>55</v>
      </c>
      <c r="O523" s="11">
        <v>0</v>
      </c>
      <c r="P523" s="12" t="s">
        <v>56</v>
      </c>
    </row>
    <row r="524" spans="3:16" ht="23.65" thickBot="1">
      <c r="C524" s="10" t="s">
        <v>51</v>
      </c>
      <c r="D524" s="11">
        <v>517</v>
      </c>
      <c r="E524" s="11" t="s">
        <v>52</v>
      </c>
      <c r="F524" s="11">
        <f>'Guarantees provided'!G518</f>
        <v>0</v>
      </c>
      <c r="G524" s="11">
        <f>'Guarantees provided'!A518</f>
        <v>0</v>
      </c>
      <c r="H524" s="11">
        <f>IF('Guarantees provided'!B518="#",'Guarantees provided'!C518,'Guarantees provided'!B518)</f>
        <v>0</v>
      </c>
      <c r="I524" s="11" t="str">
        <f>IF('Guarantees provided'!B518="#","Type of identifier, other than LEI or MFI code","LEI code")</f>
        <v>LEI code</v>
      </c>
      <c r="J524" s="14" t="str">
        <f>IF(OR('Guarantees provided'!H518="E",'Guarantees provided'!H518="x"),"True","False")</f>
        <v>False</v>
      </c>
      <c r="K524" s="11" t="s">
        <v>53</v>
      </c>
      <c r="L524" s="11" t="s">
        <v>54</v>
      </c>
      <c r="M524" s="11">
        <f>-'Guarantees provided'!D518</f>
        <v>0</v>
      </c>
      <c r="N524" s="11" t="s">
        <v>55</v>
      </c>
      <c r="O524" s="11">
        <v>0</v>
      </c>
      <c r="P524" s="12" t="s">
        <v>56</v>
      </c>
    </row>
    <row r="525" spans="3:16" ht="23.65" thickBot="1">
      <c r="C525" s="10" t="s">
        <v>51</v>
      </c>
      <c r="D525" s="11">
        <v>518</v>
      </c>
      <c r="E525" s="11" t="s">
        <v>52</v>
      </c>
      <c r="F525" s="11">
        <f>'Guarantees provided'!G519</f>
        <v>0</v>
      </c>
      <c r="G525" s="11">
        <f>'Guarantees provided'!A519</f>
        <v>0</v>
      </c>
      <c r="H525" s="11">
        <f>IF('Guarantees provided'!B519="#",'Guarantees provided'!C519,'Guarantees provided'!B519)</f>
        <v>0</v>
      </c>
      <c r="I525" s="11" t="str">
        <f>IF('Guarantees provided'!B519="#","Type of identifier, other than LEI or MFI code","LEI code")</f>
        <v>LEI code</v>
      </c>
      <c r="J525" s="14" t="str">
        <f>IF(OR('Guarantees provided'!H519="E",'Guarantees provided'!H519="x"),"True","False")</f>
        <v>False</v>
      </c>
      <c r="K525" s="11" t="s">
        <v>53</v>
      </c>
      <c r="L525" s="11" t="s">
        <v>54</v>
      </c>
      <c r="M525" s="11">
        <f>-'Guarantees provided'!D519</f>
        <v>0</v>
      </c>
      <c r="N525" s="11" t="s">
        <v>55</v>
      </c>
      <c r="O525" s="11">
        <v>0</v>
      </c>
      <c r="P525" s="12" t="s">
        <v>56</v>
      </c>
    </row>
    <row r="526" spans="3:16" ht="23.65" thickBot="1">
      <c r="C526" s="10" t="s">
        <v>51</v>
      </c>
      <c r="D526" s="11">
        <v>519</v>
      </c>
      <c r="E526" s="11" t="s">
        <v>52</v>
      </c>
      <c r="F526" s="11">
        <f>'Guarantees provided'!G520</f>
        <v>0</v>
      </c>
      <c r="G526" s="11">
        <f>'Guarantees provided'!A520</f>
        <v>0</v>
      </c>
      <c r="H526" s="11">
        <f>IF('Guarantees provided'!B520="#",'Guarantees provided'!C520,'Guarantees provided'!B520)</f>
        <v>0</v>
      </c>
      <c r="I526" s="11" t="str">
        <f>IF('Guarantees provided'!B520="#","Type of identifier, other than LEI or MFI code","LEI code")</f>
        <v>LEI code</v>
      </c>
      <c r="J526" s="14" t="str">
        <f>IF(OR('Guarantees provided'!H520="E",'Guarantees provided'!H520="x"),"True","False")</f>
        <v>False</v>
      </c>
      <c r="K526" s="11" t="s">
        <v>53</v>
      </c>
      <c r="L526" s="11" t="s">
        <v>54</v>
      </c>
      <c r="M526" s="11">
        <f>-'Guarantees provided'!D520</f>
        <v>0</v>
      </c>
      <c r="N526" s="11" t="s">
        <v>55</v>
      </c>
      <c r="O526" s="11">
        <v>0</v>
      </c>
      <c r="P526" s="12" t="s">
        <v>56</v>
      </c>
    </row>
    <row r="527" spans="3:16" ht="23.65" thickBot="1">
      <c r="C527" s="10" t="s">
        <v>51</v>
      </c>
      <c r="D527" s="11">
        <v>520</v>
      </c>
      <c r="E527" s="11" t="s">
        <v>52</v>
      </c>
      <c r="F527" s="11">
        <f>'Guarantees provided'!G521</f>
        <v>0</v>
      </c>
      <c r="G527" s="11">
        <f>'Guarantees provided'!A521</f>
        <v>0</v>
      </c>
      <c r="H527" s="11">
        <f>IF('Guarantees provided'!B521="#",'Guarantees provided'!C521,'Guarantees provided'!B521)</f>
        <v>0</v>
      </c>
      <c r="I527" s="11" t="str">
        <f>IF('Guarantees provided'!B521="#","Type of identifier, other than LEI or MFI code","LEI code")</f>
        <v>LEI code</v>
      </c>
      <c r="J527" s="14" t="str">
        <f>IF(OR('Guarantees provided'!H521="E",'Guarantees provided'!H521="x"),"True","False")</f>
        <v>False</v>
      </c>
      <c r="K527" s="11" t="s">
        <v>53</v>
      </c>
      <c r="L527" s="11" t="s">
        <v>54</v>
      </c>
      <c r="M527" s="11">
        <f>-'Guarantees provided'!D521</f>
        <v>0</v>
      </c>
      <c r="N527" s="11" t="s">
        <v>55</v>
      </c>
      <c r="O527" s="11">
        <v>0</v>
      </c>
      <c r="P527" s="12" t="s">
        <v>56</v>
      </c>
    </row>
    <row r="528" spans="3:16" ht="23.65" thickBot="1">
      <c r="C528" s="10" t="s">
        <v>51</v>
      </c>
      <c r="D528" s="11">
        <v>521</v>
      </c>
      <c r="E528" s="11" t="s">
        <v>52</v>
      </c>
      <c r="F528" s="11">
        <f>'Guarantees provided'!G522</f>
        <v>0</v>
      </c>
      <c r="G528" s="11">
        <f>'Guarantees provided'!A522</f>
        <v>0</v>
      </c>
      <c r="H528" s="11">
        <f>IF('Guarantees provided'!B522="#",'Guarantees provided'!C522,'Guarantees provided'!B522)</f>
        <v>0</v>
      </c>
      <c r="I528" s="11" t="str">
        <f>IF('Guarantees provided'!B522="#","Type of identifier, other than LEI or MFI code","LEI code")</f>
        <v>LEI code</v>
      </c>
      <c r="J528" s="14" t="str">
        <f>IF(OR('Guarantees provided'!H522="E",'Guarantees provided'!H522="x"),"True","False")</f>
        <v>False</v>
      </c>
      <c r="K528" s="11" t="s">
        <v>53</v>
      </c>
      <c r="L528" s="11" t="s">
        <v>54</v>
      </c>
      <c r="M528" s="11">
        <f>-'Guarantees provided'!D522</f>
        <v>0</v>
      </c>
      <c r="N528" s="11" t="s">
        <v>55</v>
      </c>
      <c r="O528" s="11">
        <v>0</v>
      </c>
      <c r="P528" s="12" t="s">
        <v>56</v>
      </c>
    </row>
    <row r="529" spans="3:16" ht="23.65" thickBot="1">
      <c r="C529" s="10" t="s">
        <v>51</v>
      </c>
      <c r="D529" s="11">
        <v>522</v>
      </c>
      <c r="E529" s="11" t="s">
        <v>52</v>
      </c>
      <c r="F529" s="11">
        <f>'Guarantees provided'!G523</f>
        <v>0</v>
      </c>
      <c r="G529" s="11">
        <f>'Guarantees provided'!A523</f>
        <v>0</v>
      </c>
      <c r="H529" s="11">
        <f>IF('Guarantees provided'!B523="#",'Guarantees provided'!C523,'Guarantees provided'!B523)</f>
        <v>0</v>
      </c>
      <c r="I529" s="11" t="str">
        <f>IF('Guarantees provided'!B523="#","Type of identifier, other than LEI or MFI code","LEI code")</f>
        <v>LEI code</v>
      </c>
      <c r="J529" s="14" t="str">
        <f>IF(OR('Guarantees provided'!H523="E",'Guarantees provided'!H523="x"),"True","False")</f>
        <v>False</v>
      </c>
      <c r="K529" s="11" t="s">
        <v>53</v>
      </c>
      <c r="L529" s="11" t="s">
        <v>54</v>
      </c>
      <c r="M529" s="11">
        <f>-'Guarantees provided'!D523</f>
        <v>0</v>
      </c>
      <c r="N529" s="11" t="s">
        <v>55</v>
      </c>
      <c r="O529" s="11">
        <v>0</v>
      </c>
      <c r="P529" s="12" t="s">
        <v>56</v>
      </c>
    </row>
    <row r="530" spans="3:16" ht="23.65" thickBot="1">
      <c r="C530" s="10" t="s">
        <v>51</v>
      </c>
      <c r="D530" s="11">
        <v>523</v>
      </c>
      <c r="E530" s="11" t="s">
        <v>52</v>
      </c>
      <c r="F530" s="11">
        <f>'Guarantees provided'!G524</f>
        <v>0</v>
      </c>
      <c r="G530" s="11">
        <f>'Guarantees provided'!A524</f>
        <v>0</v>
      </c>
      <c r="H530" s="11">
        <f>IF('Guarantees provided'!B524="#",'Guarantees provided'!C524,'Guarantees provided'!B524)</f>
        <v>0</v>
      </c>
      <c r="I530" s="11" t="str">
        <f>IF('Guarantees provided'!B524="#","Type of identifier, other than LEI or MFI code","LEI code")</f>
        <v>LEI code</v>
      </c>
      <c r="J530" s="14" t="str">
        <f>IF(OR('Guarantees provided'!H524="E",'Guarantees provided'!H524="x"),"True","False")</f>
        <v>False</v>
      </c>
      <c r="K530" s="11" t="s">
        <v>53</v>
      </c>
      <c r="L530" s="11" t="s">
        <v>54</v>
      </c>
      <c r="M530" s="11">
        <f>-'Guarantees provided'!D524</f>
        <v>0</v>
      </c>
      <c r="N530" s="11" t="s">
        <v>55</v>
      </c>
      <c r="O530" s="11">
        <v>0</v>
      </c>
      <c r="P530" s="12" t="s">
        <v>56</v>
      </c>
    </row>
    <row r="531" spans="3:16" ht="23.65" thickBot="1">
      <c r="C531" s="10" t="s">
        <v>51</v>
      </c>
      <c r="D531" s="11">
        <v>524</v>
      </c>
      <c r="E531" s="11" t="s">
        <v>52</v>
      </c>
      <c r="F531" s="11">
        <f>'Guarantees provided'!G525</f>
        <v>0</v>
      </c>
      <c r="G531" s="11">
        <f>'Guarantees provided'!A525</f>
        <v>0</v>
      </c>
      <c r="H531" s="11">
        <f>IF('Guarantees provided'!B525="#",'Guarantees provided'!C525,'Guarantees provided'!B525)</f>
        <v>0</v>
      </c>
      <c r="I531" s="11" t="str">
        <f>IF('Guarantees provided'!B525="#","Type of identifier, other than LEI or MFI code","LEI code")</f>
        <v>LEI code</v>
      </c>
      <c r="J531" s="14" t="str">
        <f>IF(OR('Guarantees provided'!H525="E",'Guarantees provided'!H525="x"),"True","False")</f>
        <v>False</v>
      </c>
      <c r="K531" s="11" t="s">
        <v>53</v>
      </c>
      <c r="L531" s="11" t="s">
        <v>54</v>
      </c>
      <c r="M531" s="11">
        <f>-'Guarantees provided'!D525</f>
        <v>0</v>
      </c>
      <c r="N531" s="11" t="s">
        <v>55</v>
      </c>
      <c r="O531" s="11">
        <v>0</v>
      </c>
      <c r="P531" s="12" t="s">
        <v>56</v>
      </c>
    </row>
    <row r="532" spans="3:16" ht="23.65" thickBot="1">
      <c r="C532" s="10" t="s">
        <v>51</v>
      </c>
      <c r="D532" s="11">
        <v>525</v>
      </c>
      <c r="E532" s="11" t="s">
        <v>52</v>
      </c>
      <c r="F532" s="11">
        <f>'Guarantees provided'!G526</f>
        <v>0</v>
      </c>
      <c r="G532" s="11">
        <f>'Guarantees provided'!A526</f>
        <v>0</v>
      </c>
      <c r="H532" s="11">
        <f>IF('Guarantees provided'!B526="#",'Guarantees provided'!C526,'Guarantees provided'!B526)</f>
        <v>0</v>
      </c>
      <c r="I532" s="11" t="str">
        <f>IF('Guarantees provided'!B526="#","Type of identifier, other than LEI or MFI code","LEI code")</f>
        <v>LEI code</v>
      </c>
      <c r="J532" s="14" t="str">
        <f>IF(OR('Guarantees provided'!H526="E",'Guarantees provided'!H526="x"),"True","False")</f>
        <v>False</v>
      </c>
      <c r="K532" s="11" t="s">
        <v>53</v>
      </c>
      <c r="L532" s="11" t="s">
        <v>54</v>
      </c>
      <c r="M532" s="11">
        <f>-'Guarantees provided'!D526</f>
        <v>0</v>
      </c>
      <c r="N532" s="11" t="s">
        <v>55</v>
      </c>
      <c r="O532" s="11">
        <v>0</v>
      </c>
      <c r="P532" s="12" t="s">
        <v>56</v>
      </c>
    </row>
    <row r="533" spans="3:16" ht="23.65" thickBot="1">
      <c r="C533" s="10" t="s">
        <v>51</v>
      </c>
      <c r="D533" s="11">
        <v>526</v>
      </c>
      <c r="E533" s="11" t="s">
        <v>52</v>
      </c>
      <c r="F533" s="11">
        <f>'Guarantees provided'!G527</f>
        <v>0</v>
      </c>
      <c r="G533" s="11">
        <f>'Guarantees provided'!A527</f>
        <v>0</v>
      </c>
      <c r="H533" s="11">
        <f>IF('Guarantees provided'!B527="#",'Guarantees provided'!C527,'Guarantees provided'!B527)</f>
        <v>0</v>
      </c>
      <c r="I533" s="11" t="str">
        <f>IF('Guarantees provided'!B527="#","Type of identifier, other than LEI or MFI code","LEI code")</f>
        <v>LEI code</v>
      </c>
      <c r="J533" s="14" t="str">
        <f>IF(OR('Guarantees provided'!H527="E",'Guarantees provided'!H527="x"),"True","False")</f>
        <v>False</v>
      </c>
      <c r="K533" s="11" t="s">
        <v>53</v>
      </c>
      <c r="L533" s="11" t="s">
        <v>54</v>
      </c>
      <c r="M533" s="11">
        <f>-'Guarantees provided'!D527</f>
        <v>0</v>
      </c>
      <c r="N533" s="11" t="s">
        <v>55</v>
      </c>
      <c r="O533" s="11">
        <v>0</v>
      </c>
      <c r="P533" s="12" t="s">
        <v>56</v>
      </c>
    </row>
    <row r="534" spans="3:16" ht="23.65" thickBot="1">
      <c r="C534" s="10" t="s">
        <v>51</v>
      </c>
      <c r="D534" s="11">
        <v>527</v>
      </c>
      <c r="E534" s="11" t="s">
        <v>52</v>
      </c>
      <c r="F534" s="11">
        <f>'Guarantees provided'!G528</f>
        <v>0</v>
      </c>
      <c r="G534" s="11">
        <f>'Guarantees provided'!A528</f>
        <v>0</v>
      </c>
      <c r="H534" s="11">
        <f>IF('Guarantees provided'!B528="#",'Guarantees provided'!C528,'Guarantees provided'!B528)</f>
        <v>0</v>
      </c>
      <c r="I534" s="11" t="str">
        <f>IF('Guarantees provided'!B528="#","Type of identifier, other than LEI or MFI code","LEI code")</f>
        <v>LEI code</v>
      </c>
      <c r="J534" s="14" t="str">
        <f>IF(OR('Guarantees provided'!H528="E",'Guarantees provided'!H528="x"),"True","False")</f>
        <v>False</v>
      </c>
      <c r="K534" s="11" t="s">
        <v>53</v>
      </c>
      <c r="L534" s="11" t="s">
        <v>54</v>
      </c>
      <c r="M534" s="11">
        <f>-'Guarantees provided'!D528</f>
        <v>0</v>
      </c>
      <c r="N534" s="11" t="s">
        <v>55</v>
      </c>
      <c r="O534" s="11">
        <v>0</v>
      </c>
      <c r="P534" s="12" t="s">
        <v>56</v>
      </c>
    </row>
    <row r="535" spans="3:16" ht="23.65" thickBot="1">
      <c r="C535" s="10" t="s">
        <v>51</v>
      </c>
      <c r="D535" s="11">
        <v>528</v>
      </c>
      <c r="E535" s="11" t="s">
        <v>52</v>
      </c>
      <c r="F535" s="11">
        <f>'Guarantees provided'!G529</f>
        <v>0</v>
      </c>
      <c r="G535" s="11">
        <f>'Guarantees provided'!A529</f>
        <v>0</v>
      </c>
      <c r="H535" s="11">
        <f>IF('Guarantees provided'!B529="#",'Guarantees provided'!C529,'Guarantees provided'!B529)</f>
        <v>0</v>
      </c>
      <c r="I535" s="11" t="str">
        <f>IF('Guarantees provided'!B529="#","Type of identifier, other than LEI or MFI code","LEI code")</f>
        <v>LEI code</v>
      </c>
      <c r="J535" s="14" t="str">
        <f>IF(OR('Guarantees provided'!H529="E",'Guarantees provided'!H529="x"),"True","False")</f>
        <v>False</v>
      </c>
      <c r="K535" s="11" t="s">
        <v>53</v>
      </c>
      <c r="L535" s="11" t="s">
        <v>54</v>
      </c>
      <c r="M535" s="11">
        <f>-'Guarantees provided'!D529</f>
        <v>0</v>
      </c>
      <c r="N535" s="11" t="s">
        <v>55</v>
      </c>
      <c r="O535" s="11">
        <v>0</v>
      </c>
      <c r="P535" s="12" t="s">
        <v>56</v>
      </c>
    </row>
    <row r="536" spans="3:16" ht="23.65" thickBot="1">
      <c r="C536" s="10" t="s">
        <v>51</v>
      </c>
      <c r="D536" s="11">
        <v>529</v>
      </c>
      <c r="E536" s="11" t="s">
        <v>52</v>
      </c>
      <c r="F536" s="11">
        <f>'Guarantees provided'!G530</f>
        <v>0</v>
      </c>
      <c r="G536" s="11">
        <f>'Guarantees provided'!A530</f>
        <v>0</v>
      </c>
      <c r="H536" s="11">
        <f>IF('Guarantees provided'!B530="#",'Guarantees provided'!C530,'Guarantees provided'!B530)</f>
        <v>0</v>
      </c>
      <c r="I536" s="11" t="str">
        <f>IF('Guarantees provided'!B530="#","Type of identifier, other than LEI or MFI code","LEI code")</f>
        <v>LEI code</v>
      </c>
      <c r="J536" s="14" t="str">
        <f>IF(OR('Guarantees provided'!H530="E",'Guarantees provided'!H530="x"),"True","False")</f>
        <v>False</v>
      </c>
      <c r="K536" s="11" t="s">
        <v>53</v>
      </c>
      <c r="L536" s="11" t="s">
        <v>54</v>
      </c>
      <c r="M536" s="11">
        <f>-'Guarantees provided'!D530</f>
        <v>0</v>
      </c>
      <c r="N536" s="11" t="s">
        <v>55</v>
      </c>
      <c r="O536" s="11">
        <v>0</v>
      </c>
      <c r="P536" s="12" t="s">
        <v>56</v>
      </c>
    </row>
    <row r="537" spans="3:16" ht="23.65" thickBot="1">
      <c r="C537" s="10" t="s">
        <v>51</v>
      </c>
      <c r="D537" s="11">
        <v>530</v>
      </c>
      <c r="E537" s="11" t="s">
        <v>52</v>
      </c>
      <c r="F537" s="11">
        <f>'Guarantees provided'!G531</f>
        <v>0</v>
      </c>
      <c r="G537" s="11">
        <f>'Guarantees provided'!A531</f>
        <v>0</v>
      </c>
      <c r="H537" s="11">
        <f>IF('Guarantees provided'!B531="#",'Guarantees provided'!C531,'Guarantees provided'!B531)</f>
        <v>0</v>
      </c>
      <c r="I537" s="11" t="str">
        <f>IF('Guarantees provided'!B531="#","Type of identifier, other than LEI or MFI code","LEI code")</f>
        <v>LEI code</v>
      </c>
      <c r="J537" s="14" t="str">
        <f>IF(OR('Guarantees provided'!H531="E",'Guarantees provided'!H531="x"),"True","False")</f>
        <v>False</v>
      </c>
      <c r="K537" s="11" t="s">
        <v>53</v>
      </c>
      <c r="L537" s="11" t="s">
        <v>54</v>
      </c>
      <c r="M537" s="11">
        <f>-'Guarantees provided'!D531</f>
        <v>0</v>
      </c>
      <c r="N537" s="11" t="s">
        <v>55</v>
      </c>
      <c r="O537" s="11">
        <v>0</v>
      </c>
      <c r="P537" s="12" t="s">
        <v>56</v>
      </c>
    </row>
    <row r="538" spans="3:16" ht="23.65" thickBot="1">
      <c r="C538" s="10" t="s">
        <v>51</v>
      </c>
      <c r="D538" s="11">
        <v>531</v>
      </c>
      <c r="E538" s="11" t="s">
        <v>52</v>
      </c>
      <c r="F538" s="11">
        <f>'Guarantees provided'!G532</f>
        <v>0</v>
      </c>
      <c r="G538" s="11">
        <f>'Guarantees provided'!A532</f>
        <v>0</v>
      </c>
      <c r="H538" s="11">
        <f>IF('Guarantees provided'!B532="#",'Guarantees provided'!C532,'Guarantees provided'!B532)</f>
        <v>0</v>
      </c>
      <c r="I538" s="11" t="str">
        <f>IF('Guarantees provided'!B532="#","Type of identifier, other than LEI or MFI code","LEI code")</f>
        <v>LEI code</v>
      </c>
      <c r="J538" s="14" t="str">
        <f>IF(OR('Guarantees provided'!H532="E",'Guarantees provided'!H532="x"),"True","False")</f>
        <v>False</v>
      </c>
      <c r="K538" s="11" t="s">
        <v>53</v>
      </c>
      <c r="L538" s="11" t="s">
        <v>54</v>
      </c>
      <c r="M538" s="11">
        <f>-'Guarantees provided'!D532</f>
        <v>0</v>
      </c>
      <c r="N538" s="11" t="s">
        <v>55</v>
      </c>
      <c r="O538" s="11">
        <v>0</v>
      </c>
      <c r="P538" s="12" t="s">
        <v>56</v>
      </c>
    </row>
    <row r="539" spans="3:16" ht="23.65" thickBot="1">
      <c r="C539" s="10" t="s">
        <v>51</v>
      </c>
      <c r="D539" s="11">
        <v>532</v>
      </c>
      <c r="E539" s="11" t="s">
        <v>52</v>
      </c>
      <c r="F539" s="11">
        <f>'Guarantees provided'!G533</f>
        <v>0</v>
      </c>
      <c r="G539" s="11">
        <f>'Guarantees provided'!A533</f>
        <v>0</v>
      </c>
      <c r="H539" s="11">
        <f>IF('Guarantees provided'!B533="#",'Guarantees provided'!C533,'Guarantees provided'!B533)</f>
        <v>0</v>
      </c>
      <c r="I539" s="11" t="str">
        <f>IF('Guarantees provided'!B533="#","Type of identifier, other than LEI or MFI code","LEI code")</f>
        <v>LEI code</v>
      </c>
      <c r="J539" s="14" t="str">
        <f>IF(OR('Guarantees provided'!H533="E",'Guarantees provided'!H533="x"),"True","False")</f>
        <v>False</v>
      </c>
      <c r="K539" s="11" t="s">
        <v>53</v>
      </c>
      <c r="L539" s="11" t="s">
        <v>54</v>
      </c>
      <c r="M539" s="11">
        <f>-'Guarantees provided'!D533</f>
        <v>0</v>
      </c>
      <c r="N539" s="11" t="s">
        <v>55</v>
      </c>
      <c r="O539" s="11">
        <v>0</v>
      </c>
      <c r="P539" s="12" t="s">
        <v>56</v>
      </c>
    </row>
    <row r="540" spans="3:16" ht="23.65" thickBot="1">
      <c r="C540" s="10" t="s">
        <v>51</v>
      </c>
      <c r="D540" s="11">
        <v>533</v>
      </c>
      <c r="E540" s="11" t="s">
        <v>52</v>
      </c>
      <c r="F540" s="11">
        <f>'Guarantees provided'!G534</f>
        <v>0</v>
      </c>
      <c r="G540" s="11">
        <f>'Guarantees provided'!A534</f>
        <v>0</v>
      </c>
      <c r="H540" s="11">
        <f>IF('Guarantees provided'!B534="#",'Guarantees provided'!C534,'Guarantees provided'!B534)</f>
        <v>0</v>
      </c>
      <c r="I540" s="11" t="str">
        <f>IF('Guarantees provided'!B534="#","Type of identifier, other than LEI or MFI code","LEI code")</f>
        <v>LEI code</v>
      </c>
      <c r="J540" s="14" t="str">
        <f>IF(OR('Guarantees provided'!H534="E",'Guarantees provided'!H534="x"),"True","False")</f>
        <v>False</v>
      </c>
      <c r="K540" s="11" t="s">
        <v>53</v>
      </c>
      <c r="L540" s="11" t="s">
        <v>54</v>
      </c>
      <c r="M540" s="11">
        <f>-'Guarantees provided'!D534</f>
        <v>0</v>
      </c>
      <c r="N540" s="11" t="s">
        <v>55</v>
      </c>
      <c r="O540" s="11">
        <v>0</v>
      </c>
      <c r="P540" s="12" t="s">
        <v>56</v>
      </c>
    </row>
    <row r="541" spans="3:16" ht="23.65" thickBot="1">
      <c r="C541" s="10" t="s">
        <v>51</v>
      </c>
      <c r="D541" s="11">
        <v>534</v>
      </c>
      <c r="E541" s="11" t="s">
        <v>52</v>
      </c>
      <c r="F541" s="11">
        <f>'Guarantees provided'!G535</f>
        <v>0</v>
      </c>
      <c r="G541" s="11">
        <f>'Guarantees provided'!A535</f>
        <v>0</v>
      </c>
      <c r="H541" s="11">
        <f>IF('Guarantees provided'!B535="#",'Guarantees provided'!C535,'Guarantees provided'!B535)</f>
        <v>0</v>
      </c>
      <c r="I541" s="11" t="str">
        <f>IF('Guarantees provided'!B535="#","Type of identifier, other than LEI or MFI code","LEI code")</f>
        <v>LEI code</v>
      </c>
      <c r="J541" s="14" t="str">
        <f>IF(OR('Guarantees provided'!H535="E",'Guarantees provided'!H535="x"),"True","False")</f>
        <v>False</v>
      </c>
      <c r="K541" s="11" t="s">
        <v>53</v>
      </c>
      <c r="L541" s="11" t="s">
        <v>54</v>
      </c>
      <c r="M541" s="11">
        <f>-'Guarantees provided'!D535</f>
        <v>0</v>
      </c>
      <c r="N541" s="11" t="s">
        <v>55</v>
      </c>
      <c r="O541" s="11">
        <v>0</v>
      </c>
      <c r="P541" s="12" t="s">
        <v>56</v>
      </c>
    </row>
    <row r="542" spans="3:16" ht="23.65" thickBot="1">
      <c r="C542" s="10" t="s">
        <v>51</v>
      </c>
      <c r="D542" s="11">
        <v>535</v>
      </c>
      <c r="E542" s="11" t="s">
        <v>52</v>
      </c>
      <c r="F542" s="11">
        <f>'Guarantees provided'!G536</f>
        <v>0</v>
      </c>
      <c r="G542" s="11">
        <f>'Guarantees provided'!A536</f>
        <v>0</v>
      </c>
      <c r="H542" s="11">
        <f>IF('Guarantees provided'!B536="#",'Guarantees provided'!C536,'Guarantees provided'!B536)</f>
        <v>0</v>
      </c>
      <c r="I542" s="11" t="str">
        <f>IF('Guarantees provided'!B536="#","Type of identifier, other than LEI or MFI code","LEI code")</f>
        <v>LEI code</v>
      </c>
      <c r="J542" s="14" t="str">
        <f>IF(OR('Guarantees provided'!H536="E",'Guarantees provided'!H536="x"),"True","False")</f>
        <v>False</v>
      </c>
      <c r="K542" s="11" t="s">
        <v>53</v>
      </c>
      <c r="L542" s="11" t="s">
        <v>54</v>
      </c>
      <c r="M542" s="11">
        <f>-'Guarantees provided'!D536</f>
        <v>0</v>
      </c>
      <c r="N542" s="11" t="s">
        <v>55</v>
      </c>
      <c r="O542" s="11">
        <v>0</v>
      </c>
      <c r="P542" s="12" t="s">
        <v>56</v>
      </c>
    </row>
    <row r="543" spans="3:16" ht="23.65" thickBot="1">
      <c r="C543" s="10" t="s">
        <v>51</v>
      </c>
      <c r="D543" s="11">
        <v>536</v>
      </c>
      <c r="E543" s="11" t="s">
        <v>52</v>
      </c>
      <c r="F543" s="11">
        <f>'Guarantees provided'!G537</f>
        <v>0</v>
      </c>
      <c r="G543" s="11">
        <f>'Guarantees provided'!A537</f>
        <v>0</v>
      </c>
      <c r="H543" s="11">
        <f>IF('Guarantees provided'!B537="#",'Guarantees provided'!C537,'Guarantees provided'!B537)</f>
        <v>0</v>
      </c>
      <c r="I543" s="11" t="str">
        <f>IF('Guarantees provided'!B537="#","Type of identifier, other than LEI or MFI code","LEI code")</f>
        <v>LEI code</v>
      </c>
      <c r="J543" s="14" t="str">
        <f>IF(OR('Guarantees provided'!H537="E",'Guarantees provided'!H537="x"),"True","False")</f>
        <v>False</v>
      </c>
      <c r="K543" s="11" t="s">
        <v>53</v>
      </c>
      <c r="L543" s="11" t="s">
        <v>54</v>
      </c>
      <c r="M543" s="11">
        <f>-'Guarantees provided'!D537</f>
        <v>0</v>
      </c>
      <c r="N543" s="11" t="s">
        <v>55</v>
      </c>
      <c r="O543" s="11">
        <v>0</v>
      </c>
      <c r="P543" s="12" t="s">
        <v>56</v>
      </c>
    </row>
    <row r="544" spans="3:16" ht="23.65" thickBot="1">
      <c r="C544" s="10" t="s">
        <v>51</v>
      </c>
      <c r="D544" s="11">
        <v>537</v>
      </c>
      <c r="E544" s="11" t="s">
        <v>52</v>
      </c>
      <c r="F544" s="11">
        <f>'Guarantees provided'!G538</f>
        <v>0</v>
      </c>
      <c r="G544" s="11">
        <f>'Guarantees provided'!A538</f>
        <v>0</v>
      </c>
      <c r="H544" s="11">
        <f>IF('Guarantees provided'!B538="#",'Guarantees provided'!C538,'Guarantees provided'!B538)</f>
        <v>0</v>
      </c>
      <c r="I544" s="11" t="str">
        <f>IF('Guarantees provided'!B538="#","Type of identifier, other than LEI or MFI code","LEI code")</f>
        <v>LEI code</v>
      </c>
      <c r="J544" s="14" t="str">
        <f>IF(OR('Guarantees provided'!H538="E",'Guarantees provided'!H538="x"),"True","False")</f>
        <v>False</v>
      </c>
      <c r="K544" s="11" t="s">
        <v>53</v>
      </c>
      <c r="L544" s="11" t="s">
        <v>54</v>
      </c>
      <c r="M544" s="11">
        <f>-'Guarantees provided'!D538</f>
        <v>0</v>
      </c>
      <c r="N544" s="11" t="s">
        <v>55</v>
      </c>
      <c r="O544" s="11">
        <v>0</v>
      </c>
      <c r="P544" s="12" t="s">
        <v>56</v>
      </c>
    </row>
    <row r="545" spans="3:16" ht="23.65" thickBot="1">
      <c r="C545" s="10" t="s">
        <v>51</v>
      </c>
      <c r="D545" s="11">
        <v>538</v>
      </c>
      <c r="E545" s="11" t="s">
        <v>52</v>
      </c>
      <c r="F545" s="11">
        <f>'Guarantees provided'!G539</f>
        <v>0</v>
      </c>
      <c r="G545" s="11">
        <f>'Guarantees provided'!A539</f>
        <v>0</v>
      </c>
      <c r="H545" s="11">
        <f>IF('Guarantees provided'!B539="#",'Guarantees provided'!C539,'Guarantees provided'!B539)</f>
        <v>0</v>
      </c>
      <c r="I545" s="11" t="str">
        <f>IF('Guarantees provided'!B539="#","Type of identifier, other than LEI or MFI code","LEI code")</f>
        <v>LEI code</v>
      </c>
      <c r="J545" s="14" t="str">
        <f>IF(OR('Guarantees provided'!H539="E",'Guarantees provided'!H539="x"),"True","False")</f>
        <v>False</v>
      </c>
      <c r="K545" s="11" t="s">
        <v>53</v>
      </c>
      <c r="L545" s="11" t="s">
        <v>54</v>
      </c>
      <c r="M545" s="11">
        <f>-'Guarantees provided'!D539</f>
        <v>0</v>
      </c>
      <c r="N545" s="11" t="s">
        <v>55</v>
      </c>
      <c r="O545" s="11">
        <v>0</v>
      </c>
      <c r="P545" s="12" t="s">
        <v>56</v>
      </c>
    </row>
    <row r="546" spans="3:16" ht="23.65" thickBot="1">
      <c r="C546" s="10" t="s">
        <v>51</v>
      </c>
      <c r="D546" s="11">
        <v>539</v>
      </c>
      <c r="E546" s="11" t="s">
        <v>52</v>
      </c>
      <c r="F546" s="11">
        <f>'Guarantees provided'!G540</f>
        <v>0</v>
      </c>
      <c r="G546" s="11">
        <f>'Guarantees provided'!A540</f>
        <v>0</v>
      </c>
      <c r="H546" s="11">
        <f>IF('Guarantees provided'!B540="#",'Guarantees provided'!C540,'Guarantees provided'!B540)</f>
        <v>0</v>
      </c>
      <c r="I546" s="11" t="str">
        <f>IF('Guarantees provided'!B540="#","Type of identifier, other than LEI or MFI code","LEI code")</f>
        <v>LEI code</v>
      </c>
      <c r="J546" s="14" t="str">
        <f>IF(OR('Guarantees provided'!H540="E",'Guarantees provided'!H540="x"),"True","False")</f>
        <v>False</v>
      </c>
      <c r="K546" s="11" t="s">
        <v>53</v>
      </c>
      <c r="L546" s="11" t="s">
        <v>54</v>
      </c>
      <c r="M546" s="11">
        <f>-'Guarantees provided'!D540</f>
        <v>0</v>
      </c>
      <c r="N546" s="11" t="s">
        <v>55</v>
      </c>
      <c r="O546" s="11">
        <v>0</v>
      </c>
      <c r="P546" s="12" t="s">
        <v>56</v>
      </c>
    </row>
    <row r="547" spans="3:16" ht="23.65" thickBot="1">
      <c r="C547" s="10" t="s">
        <v>51</v>
      </c>
      <c r="D547" s="11">
        <v>540</v>
      </c>
      <c r="E547" s="11" t="s">
        <v>52</v>
      </c>
      <c r="F547" s="11">
        <f>'Guarantees provided'!G541</f>
        <v>0</v>
      </c>
      <c r="G547" s="11">
        <f>'Guarantees provided'!A541</f>
        <v>0</v>
      </c>
      <c r="H547" s="11">
        <f>IF('Guarantees provided'!B541="#",'Guarantees provided'!C541,'Guarantees provided'!B541)</f>
        <v>0</v>
      </c>
      <c r="I547" s="11" t="str">
        <f>IF('Guarantees provided'!B541="#","Type of identifier, other than LEI or MFI code","LEI code")</f>
        <v>LEI code</v>
      </c>
      <c r="J547" s="14" t="str">
        <f>IF(OR('Guarantees provided'!H541="E",'Guarantees provided'!H541="x"),"True","False")</f>
        <v>False</v>
      </c>
      <c r="K547" s="11" t="s">
        <v>53</v>
      </c>
      <c r="L547" s="11" t="s">
        <v>54</v>
      </c>
      <c r="M547" s="11">
        <f>-'Guarantees provided'!D541</f>
        <v>0</v>
      </c>
      <c r="N547" s="11" t="s">
        <v>55</v>
      </c>
      <c r="O547" s="11">
        <v>0</v>
      </c>
      <c r="P547" s="12" t="s">
        <v>56</v>
      </c>
    </row>
    <row r="548" spans="3:16" ht="23.65" thickBot="1">
      <c r="C548" s="10" t="s">
        <v>51</v>
      </c>
      <c r="D548" s="11">
        <v>541</v>
      </c>
      <c r="E548" s="11" t="s">
        <v>52</v>
      </c>
      <c r="F548" s="11">
        <f>'Guarantees provided'!G542</f>
        <v>0</v>
      </c>
      <c r="G548" s="11">
        <f>'Guarantees provided'!A542</f>
        <v>0</v>
      </c>
      <c r="H548" s="11">
        <f>IF('Guarantees provided'!B542="#",'Guarantees provided'!C542,'Guarantees provided'!B542)</f>
        <v>0</v>
      </c>
      <c r="I548" s="11" t="str">
        <f>IF('Guarantees provided'!B542="#","Type of identifier, other than LEI or MFI code","LEI code")</f>
        <v>LEI code</v>
      </c>
      <c r="J548" s="14" t="str">
        <f>IF(OR('Guarantees provided'!H542="E",'Guarantees provided'!H542="x"),"True","False")</f>
        <v>False</v>
      </c>
      <c r="K548" s="11" t="s">
        <v>53</v>
      </c>
      <c r="L548" s="11" t="s">
        <v>54</v>
      </c>
      <c r="M548" s="11">
        <f>-'Guarantees provided'!D542</f>
        <v>0</v>
      </c>
      <c r="N548" s="11" t="s">
        <v>55</v>
      </c>
      <c r="O548" s="11">
        <v>0</v>
      </c>
      <c r="P548" s="12" t="s">
        <v>56</v>
      </c>
    </row>
    <row r="549" spans="3:16" ht="23.65" thickBot="1">
      <c r="C549" s="10" t="s">
        <v>51</v>
      </c>
      <c r="D549" s="11">
        <v>542</v>
      </c>
      <c r="E549" s="11" t="s">
        <v>52</v>
      </c>
      <c r="F549" s="11">
        <f>'Guarantees provided'!G543</f>
        <v>0</v>
      </c>
      <c r="G549" s="11">
        <f>'Guarantees provided'!A543</f>
        <v>0</v>
      </c>
      <c r="H549" s="11">
        <f>IF('Guarantees provided'!B543="#",'Guarantees provided'!C543,'Guarantees provided'!B543)</f>
        <v>0</v>
      </c>
      <c r="I549" s="11" t="str">
        <f>IF('Guarantees provided'!B543="#","Type of identifier, other than LEI or MFI code","LEI code")</f>
        <v>LEI code</v>
      </c>
      <c r="J549" s="14" t="str">
        <f>IF(OR('Guarantees provided'!H543="E",'Guarantees provided'!H543="x"),"True","False")</f>
        <v>False</v>
      </c>
      <c r="K549" s="11" t="s">
        <v>53</v>
      </c>
      <c r="L549" s="11" t="s">
        <v>54</v>
      </c>
      <c r="M549" s="11">
        <f>-'Guarantees provided'!D543</f>
        <v>0</v>
      </c>
      <c r="N549" s="11" t="s">
        <v>55</v>
      </c>
      <c r="O549" s="11">
        <v>0</v>
      </c>
      <c r="P549" s="12" t="s">
        <v>56</v>
      </c>
    </row>
    <row r="550" spans="3:16" ht="23.65" thickBot="1">
      <c r="C550" s="10" t="s">
        <v>51</v>
      </c>
      <c r="D550" s="11">
        <v>543</v>
      </c>
      <c r="E550" s="11" t="s">
        <v>52</v>
      </c>
      <c r="F550" s="11">
        <f>'Guarantees provided'!G544</f>
        <v>0</v>
      </c>
      <c r="G550" s="11">
        <f>'Guarantees provided'!A544</f>
        <v>0</v>
      </c>
      <c r="H550" s="11">
        <f>IF('Guarantees provided'!B544="#",'Guarantees provided'!C544,'Guarantees provided'!B544)</f>
        <v>0</v>
      </c>
      <c r="I550" s="11" t="str">
        <f>IF('Guarantees provided'!B544="#","Type of identifier, other than LEI or MFI code","LEI code")</f>
        <v>LEI code</v>
      </c>
      <c r="J550" s="14" t="str">
        <f>IF(OR('Guarantees provided'!H544="E",'Guarantees provided'!H544="x"),"True","False")</f>
        <v>False</v>
      </c>
      <c r="K550" s="11" t="s">
        <v>53</v>
      </c>
      <c r="L550" s="11" t="s">
        <v>54</v>
      </c>
      <c r="M550" s="11">
        <f>-'Guarantees provided'!D544</f>
        <v>0</v>
      </c>
      <c r="N550" s="11" t="s">
        <v>55</v>
      </c>
      <c r="O550" s="11">
        <v>0</v>
      </c>
      <c r="P550" s="12" t="s">
        <v>56</v>
      </c>
    </row>
    <row r="551" spans="3:16" ht="23.65" thickBot="1">
      <c r="C551" s="10" t="s">
        <v>51</v>
      </c>
      <c r="D551" s="11">
        <v>544</v>
      </c>
      <c r="E551" s="11" t="s">
        <v>52</v>
      </c>
      <c r="F551" s="11">
        <f>'Guarantees provided'!G545</f>
        <v>0</v>
      </c>
      <c r="G551" s="11">
        <f>'Guarantees provided'!A545</f>
        <v>0</v>
      </c>
      <c r="H551" s="11">
        <f>IF('Guarantees provided'!B545="#",'Guarantees provided'!C545,'Guarantees provided'!B545)</f>
        <v>0</v>
      </c>
      <c r="I551" s="11" t="str">
        <f>IF('Guarantees provided'!B545="#","Type of identifier, other than LEI or MFI code","LEI code")</f>
        <v>LEI code</v>
      </c>
      <c r="J551" s="14" t="str">
        <f>IF(OR('Guarantees provided'!H545="E",'Guarantees provided'!H545="x"),"True","False")</f>
        <v>False</v>
      </c>
      <c r="K551" s="11" t="s">
        <v>53</v>
      </c>
      <c r="L551" s="11" t="s">
        <v>54</v>
      </c>
      <c r="M551" s="11">
        <f>-'Guarantees provided'!D545</f>
        <v>0</v>
      </c>
      <c r="N551" s="11" t="s">
        <v>55</v>
      </c>
      <c r="O551" s="11">
        <v>0</v>
      </c>
      <c r="P551" s="12" t="s">
        <v>56</v>
      </c>
    </row>
    <row r="552" spans="3:16" ht="23.65" thickBot="1">
      <c r="C552" s="10" t="s">
        <v>51</v>
      </c>
      <c r="D552" s="11">
        <v>545</v>
      </c>
      <c r="E552" s="11" t="s">
        <v>52</v>
      </c>
      <c r="F552" s="11">
        <f>'Guarantees provided'!G546</f>
        <v>0</v>
      </c>
      <c r="G552" s="11">
        <f>'Guarantees provided'!A546</f>
        <v>0</v>
      </c>
      <c r="H552" s="11">
        <f>IF('Guarantees provided'!B546="#",'Guarantees provided'!C546,'Guarantees provided'!B546)</f>
        <v>0</v>
      </c>
      <c r="I552" s="11" t="str">
        <f>IF('Guarantees provided'!B546="#","Type of identifier, other than LEI or MFI code","LEI code")</f>
        <v>LEI code</v>
      </c>
      <c r="J552" s="14" t="str">
        <f>IF(OR('Guarantees provided'!H546="E",'Guarantees provided'!H546="x"),"True","False")</f>
        <v>False</v>
      </c>
      <c r="K552" s="11" t="s">
        <v>53</v>
      </c>
      <c r="L552" s="11" t="s">
        <v>54</v>
      </c>
      <c r="M552" s="11">
        <f>-'Guarantees provided'!D546</f>
        <v>0</v>
      </c>
      <c r="N552" s="11" t="s">
        <v>55</v>
      </c>
      <c r="O552" s="11">
        <v>0</v>
      </c>
      <c r="P552" s="12" t="s">
        <v>56</v>
      </c>
    </row>
    <row r="553" spans="3:16" ht="23.65" thickBot="1">
      <c r="C553" s="10" t="s">
        <v>51</v>
      </c>
      <c r="D553" s="11">
        <v>546</v>
      </c>
      <c r="E553" s="11" t="s">
        <v>52</v>
      </c>
      <c r="F553" s="11">
        <f>'Guarantees provided'!G547</f>
        <v>0</v>
      </c>
      <c r="G553" s="11">
        <f>'Guarantees provided'!A547</f>
        <v>0</v>
      </c>
      <c r="H553" s="11">
        <f>IF('Guarantees provided'!B547="#",'Guarantees provided'!C547,'Guarantees provided'!B547)</f>
        <v>0</v>
      </c>
      <c r="I553" s="11" t="str">
        <f>IF('Guarantees provided'!B547="#","Type of identifier, other than LEI or MFI code","LEI code")</f>
        <v>LEI code</v>
      </c>
      <c r="J553" s="14" t="str">
        <f>IF(OR('Guarantees provided'!H547="E",'Guarantees provided'!H547="x"),"True","False")</f>
        <v>False</v>
      </c>
      <c r="K553" s="11" t="s">
        <v>53</v>
      </c>
      <c r="L553" s="11" t="s">
        <v>54</v>
      </c>
      <c r="M553" s="11">
        <f>-'Guarantees provided'!D547</f>
        <v>0</v>
      </c>
      <c r="N553" s="11" t="s">
        <v>55</v>
      </c>
      <c r="O553" s="11">
        <v>0</v>
      </c>
      <c r="P553" s="12" t="s">
        <v>56</v>
      </c>
    </row>
    <row r="554" spans="3:16" ht="23.65" thickBot="1">
      <c r="C554" s="10" t="s">
        <v>51</v>
      </c>
      <c r="D554" s="11">
        <v>547</v>
      </c>
      <c r="E554" s="11" t="s">
        <v>52</v>
      </c>
      <c r="F554" s="11">
        <f>'Guarantees provided'!G548</f>
        <v>0</v>
      </c>
      <c r="G554" s="11">
        <f>'Guarantees provided'!A548</f>
        <v>0</v>
      </c>
      <c r="H554" s="11">
        <f>IF('Guarantees provided'!B548="#",'Guarantees provided'!C548,'Guarantees provided'!B548)</f>
        <v>0</v>
      </c>
      <c r="I554" s="11" t="str">
        <f>IF('Guarantees provided'!B548="#","Type of identifier, other than LEI or MFI code","LEI code")</f>
        <v>LEI code</v>
      </c>
      <c r="J554" s="14" t="str">
        <f>IF(OR('Guarantees provided'!H548="E",'Guarantees provided'!H548="x"),"True","False")</f>
        <v>False</v>
      </c>
      <c r="K554" s="11" t="s">
        <v>53</v>
      </c>
      <c r="L554" s="11" t="s">
        <v>54</v>
      </c>
      <c r="M554" s="11">
        <f>-'Guarantees provided'!D548</f>
        <v>0</v>
      </c>
      <c r="N554" s="11" t="s">
        <v>55</v>
      </c>
      <c r="O554" s="11">
        <v>0</v>
      </c>
      <c r="P554" s="12" t="s">
        <v>56</v>
      </c>
    </row>
    <row r="555" spans="3:16" ht="23.65" thickBot="1">
      <c r="C555" s="10" t="s">
        <v>51</v>
      </c>
      <c r="D555" s="11">
        <v>548</v>
      </c>
      <c r="E555" s="11" t="s">
        <v>52</v>
      </c>
      <c r="F555" s="11">
        <f>'Guarantees provided'!G549</f>
        <v>0</v>
      </c>
      <c r="G555" s="11">
        <f>'Guarantees provided'!A549</f>
        <v>0</v>
      </c>
      <c r="H555" s="11">
        <f>IF('Guarantees provided'!B549="#",'Guarantees provided'!C549,'Guarantees provided'!B549)</f>
        <v>0</v>
      </c>
      <c r="I555" s="11" t="str">
        <f>IF('Guarantees provided'!B549="#","Type of identifier, other than LEI or MFI code","LEI code")</f>
        <v>LEI code</v>
      </c>
      <c r="J555" s="14" t="str">
        <f>IF(OR('Guarantees provided'!H549="E",'Guarantees provided'!H549="x"),"True","False")</f>
        <v>False</v>
      </c>
      <c r="K555" s="11" t="s">
        <v>53</v>
      </c>
      <c r="L555" s="11" t="s">
        <v>54</v>
      </c>
      <c r="M555" s="11">
        <f>-'Guarantees provided'!D549</f>
        <v>0</v>
      </c>
      <c r="N555" s="11" t="s">
        <v>55</v>
      </c>
      <c r="O555" s="11">
        <v>0</v>
      </c>
      <c r="P555" s="12" t="s">
        <v>56</v>
      </c>
    </row>
    <row r="556" spans="3:16" ht="23.65" thickBot="1">
      <c r="C556" s="10" t="s">
        <v>51</v>
      </c>
      <c r="D556" s="11">
        <v>549</v>
      </c>
      <c r="E556" s="11" t="s">
        <v>52</v>
      </c>
      <c r="F556" s="11">
        <f>'Guarantees provided'!G550</f>
        <v>0</v>
      </c>
      <c r="G556" s="11">
        <f>'Guarantees provided'!A550</f>
        <v>0</v>
      </c>
      <c r="H556" s="11">
        <f>IF('Guarantees provided'!B550="#",'Guarantees provided'!C550,'Guarantees provided'!B550)</f>
        <v>0</v>
      </c>
      <c r="I556" s="11" t="str">
        <f>IF('Guarantees provided'!B550="#","Type of identifier, other than LEI or MFI code","LEI code")</f>
        <v>LEI code</v>
      </c>
      <c r="J556" s="14" t="str">
        <f>IF(OR('Guarantees provided'!H550="E",'Guarantees provided'!H550="x"),"True","False")</f>
        <v>False</v>
      </c>
      <c r="K556" s="11" t="s">
        <v>53</v>
      </c>
      <c r="L556" s="11" t="s">
        <v>54</v>
      </c>
      <c r="M556" s="11">
        <f>-'Guarantees provided'!D550</f>
        <v>0</v>
      </c>
      <c r="N556" s="11" t="s">
        <v>55</v>
      </c>
      <c r="O556" s="11">
        <v>0</v>
      </c>
      <c r="P556" s="12" t="s">
        <v>56</v>
      </c>
    </row>
    <row r="557" spans="3:16" ht="23.65" thickBot="1">
      <c r="C557" s="10" t="s">
        <v>51</v>
      </c>
      <c r="D557" s="11">
        <v>550</v>
      </c>
      <c r="E557" s="11" t="s">
        <v>52</v>
      </c>
      <c r="F557" s="11">
        <f>'Guarantees provided'!G551</f>
        <v>0</v>
      </c>
      <c r="G557" s="11">
        <f>'Guarantees provided'!A551</f>
        <v>0</v>
      </c>
      <c r="H557" s="11">
        <f>IF('Guarantees provided'!B551="#",'Guarantees provided'!C551,'Guarantees provided'!B551)</f>
        <v>0</v>
      </c>
      <c r="I557" s="11" t="str">
        <f>IF('Guarantees provided'!B551="#","Type of identifier, other than LEI or MFI code","LEI code")</f>
        <v>LEI code</v>
      </c>
      <c r="J557" s="14" t="str">
        <f>IF(OR('Guarantees provided'!H551="E",'Guarantees provided'!H551="x"),"True","False")</f>
        <v>False</v>
      </c>
      <c r="K557" s="11" t="s">
        <v>53</v>
      </c>
      <c r="L557" s="11" t="s">
        <v>54</v>
      </c>
      <c r="M557" s="11">
        <f>-'Guarantees provided'!D551</f>
        <v>0</v>
      </c>
      <c r="N557" s="11" t="s">
        <v>55</v>
      </c>
      <c r="O557" s="11">
        <v>0</v>
      </c>
      <c r="P557" s="12" t="s">
        <v>56</v>
      </c>
    </row>
    <row r="558" spans="3:16" ht="23.65" thickBot="1">
      <c r="C558" s="10" t="s">
        <v>51</v>
      </c>
      <c r="D558" s="11">
        <v>551</v>
      </c>
      <c r="E558" s="11" t="s">
        <v>52</v>
      </c>
      <c r="F558" s="11">
        <f>'Guarantees provided'!G552</f>
        <v>0</v>
      </c>
      <c r="G558" s="11">
        <f>'Guarantees provided'!A552</f>
        <v>0</v>
      </c>
      <c r="H558" s="11">
        <f>IF('Guarantees provided'!B552="#",'Guarantees provided'!C552,'Guarantees provided'!B552)</f>
        <v>0</v>
      </c>
      <c r="I558" s="11" t="str">
        <f>IF('Guarantees provided'!B552="#","Type of identifier, other than LEI or MFI code","LEI code")</f>
        <v>LEI code</v>
      </c>
      <c r="J558" s="14" t="str">
        <f>IF(OR('Guarantees provided'!H552="E",'Guarantees provided'!H552="x"),"True","False")</f>
        <v>False</v>
      </c>
      <c r="K558" s="11" t="s">
        <v>53</v>
      </c>
      <c r="L558" s="11" t="s">
        <v>54</v>
      </c>
      <c r="M558" s="11">
        <f>-'Guarantees provided'!D552</f>
        <v>0</v>
      </c>
      <c r="N558" s="11" t="s">
        <v>55</v>
      </c>
      <c r="O558" s="11">
        <v>0</v>
      </c>
      <c r="P558" s="12" t="s">
        <v>56</v>
      </c>
    </row>
    <row r="559" spans="3:16" ht="23.65" thickBot="1">
      <c r="C559" s="10" t="s">
        <v>51</v>
      </c>
      <c r="D559" s="11">
        <v>552</v>
      </c>
      <c r="E559" s="11" t="s">
        <v>52</v>
      </c>
      <c r="F559" s="11">
        <f>'Guarantees provided'!G553</f>
        <v>0</v>
      </c>
      <c r="G559" s="11">
        <f>'Guarantees provided'!A553</f>
        <v>0</v>
      </c>
      <c r="H559" s="11">
        <f>IF('Guarantees provided'!B553="#",'Guarantees provided'!C553,'Guarantees provided'!B553)</f>
        <v>0</v>
      </c>
      <c r="I559" s="11" t="str">
        <f>IF('Guarantees provided'!B553="#","Type of identifier, other than LEI or MFI code","LEI code")</f>
        <v>LEI code</v>
      </c>
      <c r="J559" s="14" t="str">
        <f>IF(OR('Guarantees provided'!H553="E",'Guarantees provided'!H553="x"),"True","False")</f>
        <v>False</v>
      </c>
      <c r="K559" s="11" t="s">
        <v>53</v>
      </c>
      <c r="L559" s="11" t="s">
        <v>54</v>
      </c>
      <c r="M559" s="11">
        <f>-'Guarantees provided'!D553</f>
        <v>0</v>
      </c>
      <c r="N559" s="11" t="s">
        <v>55</v>
      </c>
      <c r="O559" s="11">
        <v>0</v>
      </c>
      <c r="P559" s="12" t="s">
        <v>56</v>
      </c>
    </row>
    <row r="560" spans="3:16" ht="23.65" thickBot="1">
      <c r="C560" s="10" t="s">
        <v>51</v>
      </c>
      <c r="D560" s="11">
        <v>553</v>
      </c>
      <c r="E560" s="11" t="s">
        <v>52</v>
      </c>
      <c r="F560" s="11">
        <f>'Guarantees provided'!G554</f>
        <v>0</v>
      </c>
      <c r="G560" s="11">
        <f>'Guarantees provided'!A554</f>
        <v>0</v>
      </c>
      <c r="H560" s="11">
        <f>IF('Guarantees provided'!B554="#",'Guarantees provided'!C554,'Guarantees provided'!B554)</f>
        <v>0</v>
      </c>
      <c r="I560" s="11" t="str">
        <f>IF('Guarantees provided'!B554="#","Type of identifier, other than LEI or MFI code","LEI code")</f>
        <v>LEI code</v>
      </c>
      <c r="J560" s="14" t="str">
        <f>IF(OR('Guarantees provided'!H554="E",'Guarantees provided'!H554="x"),"True","False")</f>
        <v>False</v>
      </c>
      <c r="K560" s="11" t="s">
        <v>53</v>
      </c>
      <c r="L560" s="11" t="s">
        <v>54</v>
      </c>
      <c r="M560" s="11">
        <f>-'Guarantees provided'!D554</f>
        <v>0</v>
      </c>
      <c r="N560" s="11" t="s">
        <v>55</v>
      </c>
      <c r="O560" s="11">
        <v>0</v>
      </c>
      <c r="P560" s="12" t="s">
        <v>56</v>
      </c>
    </row>
    <row r="561" spans="3:16" ht="23.65" thickBot="1">
      <c r="C561" s="10" t="s">
        <v>51</v>
      </c>
      <c r="D561" s="11">
        <v>554</v>
      </c>
      <c r="E561" s="11" t="s">
        <v>52</v>
      </c>
      <c r="F561" s="11">
        <f>'Guarantees provided'!G555</f>
        <v>0</v>
      </c>
      <c r="G561" s="11">
        <f>'Guarantees provided'!A555</f>
        <v>0</v>
      </c>
      <c r="H561" s="11">
        <f>IF('Guarantees provided'!B555="#",'Guarantees provided'!C555,'Guarantees provided'!B555)</f>
        <v>0</v>
      </c>
      <c r="I561" s="11" t="str">
        <f>IF('Guarantees provided'!B555="#","Type of identifier, other than LEI or MFI code","LEI code")</f>
        <v>LEI code</v>
      </c>
      <c r="J561" s="14" t="str">
        <f>IF(OR('Guarantees provided'!H555="E",'Guarantees provided'!H555="x"),"True","False")</f>
        <v>False</v>
      </c>
      <c r="K561" s="11" t="s">
        <v>53</v>
      </c>
      <c r="L561" s="11" t="s">
        <v>54</v>
      </c>
      <c r="M561" s="11">
        <f>-'Guarantees provided'!D555</f>
        <v>0</v>
      </c>
      <c r="N561" s="11" t="s">
        <v>55</v>
      </c>
      <c r="O561" s="11">
        <v>0</v>
      </c>
      <c r="P561" s="12" t="s">
        <v>56</v>
      </c>
    </row>
    <row r="562" spans="3:16" ht="23.65" thickBot="1">
      <c r="C562" s="10" t="s">
        <v>51</v>
      </c>
      <c r="D562" s="11">
        <v>555</v>
      </c>
      <c r="E562" s="11" t="s">
        <v>52</v>
      </c>
      <c r="F562" s="11">
        <f>'Guarantees provided'!G556</f>
        <v>0</v>
      </c>
      <c r="G562" s="11">
        <f>'Guarantees provided'!A556</f>
        <v>0</v>
      </c>
      <c r="H562" s="11">
        <f>IF('Guarantees provided'!B556="#",'Guarantees provided'!C556,'Guarantees provided'!B556)</f>
        <v>0</v>
      </c>
      <c r="I562" s="11" t="str">
        <f>IF('Guarantees provided'!B556="#","Type of identifier, other than LEI or MFI code","LEI code")</f>
        <v>LEI code</v>
      </c>
      <c r="J562" s="14" t="str">
        <f>IF(OR('Guarantees provided'!H556="E",'Guarantees provided'!H556="x"),"True","False")</f>
        <v>False</v>
      </c>
      <c r="K562" s="11" t="s">
        <v>53</v>
      </c>
      <c r="L562" s="11" t="s">
        <v>54</v>
      </c>
      <c r="M562" s="11">
        <f>-'Guarantees provided'!D556</f>
        <v>0</v>
      </c>
      <c r="N562" s="11" t="s">
        <v>55</v>
      </c>
      <c r="O562" s="11">
        <v>0</v>
      </c>
      <c r="P562" s="12" t="s">
        <v>56</v>
      </c>
    </row>
    <row r="563" spans="3:16" ht="23.65" thickBot="1">
      <c r="C563" s="10" t="s">
        <v>51</v>
      </c>
      <c r="D563" s="11">
        <v>556</v>
      </c>
      <c r="E563" s="11" t="s">
        <v>52</v>
      </c>
      <c r="F563" s="11">
        <f>'Guarantees provided'!G557</f>
        <v>0</v>
      </c>
      <c r="G563" s="11">
        <f>'Guarantees provided'!A557</f>
        <v>0</v>
      </c>
      <c r="H563" s="11">
        <f>IF('Guarantees provided'!B557="#",'Guarantees provided'!C557,'Guarantees provided'!B557)</f>
        <v>0</v>
      </c>
      <c r="I563" s="11" t="str">
        <f>IF('Guarantees provided'!B557="#","Type of identifier, other than LEI or MFI code","LEI code")</f>
        <v>LEI code</v>
      </c>
      <c r="J563" s="14" t="str">
        <f>IF(OR('Guarantees provided'!H557="E",'Guarantees provided'!H557="x"),"True","False")</f>
        <v>False</v>
      </c>
      <c r="K563" s="11" t="s">
        <v>53</v>
      </c>
      <c r="L563" s="11" t="s">
        <v>54</v>
      </c>
      <c r="M563" s="11">
        <f>-'Guarantees provided'!D557</f>
        <v>0</v>
      </c>
      <c r="N563" s="11" t="s">
        <v>55</v>
      </c>
      <c r="O563" s="11">
        <v>0</v>
      </c>
      <c r="P563" s="12" t="s">
        <v>56</v>
      </c>
    </row>
    <row r="564" spans="3:16" ht="23.65" thickBot="1">
      <c r="C564" s="10" t="s">
        <v>51</v>
      </c>
      <c r="D564" s="11">
        <v>557</v>
      </c>
      <c r="E564" s="11" t="s">
        <v>52</v>
      </c>
      <c r="F564" s="11">
        <f>'Guarantees provided'!G558</f>
        <v>0</v>
      </c>
      <c r="G564" s="11">
        <f>'Guarantees provided'!A558</f>
        <v>0</v>
      </c>
      <c r="H564" s="11">
        <f>IF('Guarantees provided'!B558="#",'Guarantees provided'!C558,'Guarantees provided'!B558)</f>
        <v>0</v>
      </c>
      <c r="I564" s="11" t="str">
        <f>IF('Guarantees provided'!B558="#","Type of identifier, other than LEI or MFI code","LEI code")</f>
        <v>LEI code</v>
      </c>
      <c r="J564" s="14" t="str">
        <f>IF(OR('Guarantees provided'!H558="E",'Guarantees provided'!H558="x"),"True","False")</f>
        <v>False</v>
      </c>
      <c r="K564" s="11" t="s">
        <v>53</v>
      </c>
      <c r="L564" s="11" t="s">
        <v>54</v>
      </c>
      <c r="M564" s="11">
        <f>-'Guarantees provided'!D558</f>
        <v>0</v>
      </c>
      <c r="N564" s="11" t="s">
        <v>55</v>
      </c>
      <c r="O564" s="11">
        <v>0</v>
      </c>
      <c r="P564" s="12" t="s">
        <v>56</v>
      </c>
    </row>
    <row r="565" spans="3:16" ht="23.65" thickBot="1">
      <c r="C565" s="10" t="s">
        <v>51</v>
      </c>
      <c r="D565" s="11">
        <v>558</v>
      </c>
      <c r="E565" s="11" t="s">
        <v>52</v>
      </c>
      <c r="F565" s="11">
        <f>'Guarantees provided'!G559</f>
        <v>0</v>
      </c>
      <c r="G565" s="11">
        <f>'Guarantees provided'!A559</f>
        <v>0</v>
      </c>
      <c r="H565" s="11">
        <f>IF('Guarantees provided'!B559="#",'Guarantees provided'!C559,'Guarantees provided'!B559)</f>
        <v>0</v>
      </c>
      <c r="I565" s="11" t="str">
        <f>IF('Guarantees provided'!B559="#","Type of identifier, other than LEI or MFI code","LEI code")</f>
        <v>LEI code</v>
      </c>
      <c r="J565" s="14" t="str">
        <f>IF(OR('Guarantees provided'!H559="E",'Guarantees provided'!H559="x"),"True","False")</f>
        <v>False</v>
      </c>
      <c r="K565" s="11" t="s">
        <v>53</v>
      </c>
      <c r="L565" s="11" t="s">
        <v>54</v>
      </c>
      <c r="M565" s="11">
        <f>-'Guarantees provided'!D559</f>
        <v>0</v>
      </c>
      <c r="N565" s="11" t="s">
        <v>55</v>
      </c>
      <c r="O565" s="11">
        <v>0</v>
      </c>
      <c r="P565" s="12" t="s">
        <v>56</v>
      </c>
    </row>
    <row r="566" spans="3:16" ht="23.65" thickBot="1">
      <c r="C566" s="10" t="s">
        <v>51</v>
      </c>
      <c r="D566" s="11">
        <v>559</v>
      </c>
      <c r="E566" s="11" t="s">
        <v>52</v>
      </c>
      <c r="F566" s="11">
        <f>'Guarantees provided'!G560</f>
        <v>0</v>
      </c>
      <c r="G566" s="11">
        <f>'Guarantees provided'!A560</f>
        <v>0</v>
      </c>
      <c r="H566" s="11">
        <f>IF('Guarantees provided'!B560="#",'Guarantees provided'!C560,'Guarantees provided'!B560)</f>
        <v>0</v>
      </c>
      <c r="I566" s="11" t="str">
        <f>IF('Guarantees provided'!B560="#","Type of identifier, other than LEI or MFI code","LEI code")</f>
        <v>LEI code</v>
      </c>
      <c r="J566" s="14" t="str">
        <f>IF(OR('Guarantees provided'!H560="E",'Guarantees provided'!H560="x"),"True","False")</f>
        <v>False</v>
      </c>
      <c r="K566" s="11" t="s">
        <v>53</v>
      </c>
      <c r="L566" s="11" t="s">
        <v>54</v>
      </c>
      <c r="M566" s="11">
        <f>-'Guarantees provided'!D560</f>
        <v>0</v>
      </c>
      <c r="N566" s="11" t="s">
        <v>55</v>
      </c>
      <c r="O566" s="11">
        <v>0</v>
      </c>
      <c r="P566" s="12" t="s">
        <v>56</v>
      </c>
    </row>
    <row r="567" spans="3:16" ht="23.65" thickBot="1">
      <c r="C567" s="10" t="s">
        <v>51</v>
      </c>
      <c r="D567" s="11">
        <v>560</v>
      </c>
      <c r="E567" s="11" t="s">
        <v>52</v>
      </c>
      <c r="F567" s="11">
        <f>'Guarantees provided'!G561</f>
        <v>0</v>
      </c>
      <c r="G567" s="11">
        <f>'Guarantees provided'!A561</f>
        <v>0</v>
      </c>
      <c r="H567" s="11">
        <f>IF('Guarantees provided'!B561="#",'Guarantees provided'!C561,'Guarantees provided'!B561)</f>
        <v>0</v>
      </c>
      <c r="I567" s="11" t="str">
        <f>IF('Guarantees provided'!B561="#","Type of identifier, other than LEI or MFI code","LEI code")</f>
        <v>LEI code</v>
      </c>
      <c r="J567" s="14" t="str">
        <f>IF(OR('Guarantees provided'!H561="E",'Guarantees provided'!H561="x"),"True","False")</f>
        <v>False</v>
      </c>
      <c r="K567" s="11" t="s">
        <v>53</v>
      </c>
      <c r="L567" s="11" t="s">
        <v>54</v>
      </c>
      <c r="M567" s="11">
        <f>-'Guarantees provided'!D561</f>
        <v>0</v>
      </c>
      <c r="N567" s="11" t="s">
        <v>55</v>
      </c>
      <c r="O567" s="11">
        <v>0</v>
      </c>
      <c r="P567" s="12" t="s">
        <v>56</v>
      </c>
    </row>
    <row r="568" spans="3:16" ht="23.65" thickBot="1">
      <c r="C568" s="10" t="s">
        <v>51</v>
      </c>
      <c r="D568" s="11">
        <v>561</v>
      </c>
      <c r="E568" s="11" t="s">
        <v>52</v>
      </c>
      <c r="F568" s="11">
        <f>'Guarantees provided'!G562</f>
        <v>0</v>
      </c>
      <c r="G568" s="11">
        <f>'Guarantees provided'!A562</f>
        <v>0</v>
      </c>
      <c r="H568" s="11">
        <f>IF('Guarantees provided'!B562="#",'Guarantees provided'!C562,'Guarantees provided'!B562)</f>
        <v>0</v>
      </c>
      <c r="I568" s="11" t="str">
        <f>IF('Guarantees provided'!B562="#","Type of identifier, other than LEI or MFI code","LEI code")</f>
        <v>LEI code</v>
      </c>
      <c r="J568" s="14" t="str">
        <f>IF(OR('Guarantees provided'!H562="E",'Guarantees provided'!H562="x"),"True","False")</f>
        <v>False</v>
      </c>
      <c r="K568" s="11" t="s">
        <v>53</v>
      </c>
      <c r="L568" s="11" t="s">
        <v>54</v>
      </c>
      <c r="M568" s="11">
        <f>-'Guarantees provided'!D562</f>
        <v>0</v>
      </c>
      <c r="N568" s="11" t="s">
        <v>55</v>
      </c>
      <c r="O568" s="11">
        <v>0</v>
      </c>
      <c r="P568" s="12" t="s">
        <v>56</v>
      </c>
    </row>
    <row r="569" spans="3:16" ht="23.65" thickBot="1">
      <c r="C569" s="10" t="s">
        <v>51</v>
      </c>
      <c r="D569" s="11">
        <v>562</v>
      </c>
      <c r="E569" s="11" t="s">
        <v>52</v>
      </c>
      <c r="F569" s="11">
        <f>'Guarantees provided'!G563</f>
        <v>0</v>
      </c>
      <c r="G569" s="11">
        <f>'Guarantees provided'!A563</f>
        <v>0</v>
      </c>
      <c r="H569" s="11">
        <f>IF('Guarantees provided'!B563="#",'Guarantees provided'!C563,'Guarantees provided'!B563)</f>
        <v>0</v>
      </c>
      <c r="I569" s="11" t="str">
        <f>IF('Guarantees provided'!B563="#","Type of identifier, other than LEI or MFI code","LEI code")</f>
        <v>LEI code</v>
      </c>
      <c r="J569" s="14" t="str">
        <f>IF(OR('Guarantees provided'!H563="E",'Guarantees provided'!H563="x"),"True","False")</f>
        <v>False</v>
      </c>
      <c r="K569" s="11" t="s">
        <v>53</v>
      </c>
      <c r="L569" s="11" t="s">
        <v>54</v>
      </c>
      <c r="M569" s="11">
        <f>-'Guarantees provided'!D563</f>
        <v>0</v>
      </c>
      <c r="N569" s="11" t="s">
        <v>55</v>
      </c>
      <c r="O569" s="11">
        <v>0</v>
      </c>
      <c r="P569" s="12" t="s">
        <v>56</v>
      </c>
    </row>
    <row r="570" spans="3:16" ht="23.65" thickBot="1">
      <c r="C570" s="10" t="s">
        <v>51</v>
      </c>
      <c r="D570" s="11">
        <v>563</v>
      </c>
      <c r="E570" s="11" t="s">
        <v>52</v>
      </c>
      <c r="F570" s="11">
        <f>'Guarantees provided'!G564</f>
        <v>0</v>
      </c>
      <c r="G570" s="11">
        <f>'Guarantees provided'!A564</f>
        <v>0</v>
      </c>
      <c r="H570" s="11">
        <f>IF('Guarantees provided'!B564="#",'Guarantees provided'!C564,'Guarantees provided'!B564)</f>
        <v>0</v>
      </c>
      <c r="I570" s="11" t="str">
        <f>IF('Guarantees provided'!B564="#","Type of identifier, other than LEI or MFI code","LEI code")</f>
        <v>LEI code</v>
      </c>
      <c r="J570" s="14" t="str">
        <f>IF(OR('Guarantees provided'!H564="E",'Guarantees provided'!H564="x"),"True","False")</f>
        <v>False</v>
      </c>
      <c r="K570" s="11" t="s">
        <v>53</v>
      </c>
      <c r="L570" s="11" t="s">
        <v>54</v>
      </c>
      <c r="M570" s="11">
        <f>-'Guarantees provided'!D564</f>
        <v>0</v>
      </c>
      <c r="N570" s="11" t="s">
        <v>55</v>
      </c>
      <c r="O570" s="11">
        <v>0</v>
      </c>
      <c r="P570" s="12" t="s">
        <v>56</v>
      </c>
    </row>
    <row r="571" spans="3:16" ht="23.65" thickBot="1">
      <c r="C571" s="10" t="s">
        <v>51</v>
      </c>
      <c r="D571" s="11">
        <v>564</v>
      </c>
      <c r="E571" s="11" t="s">
        <v>52</v>
      </c>
      <c r="F571" s="11">
        <f>'Guarantees provided'!G565</f>
        <v>0</v>
      </c>
      <c r="G571" s="11">
        <f>'Guarantees provided'!A565</f>
        <v>0</v>
      </c>
      <c r="H571" s="11">
        <f>IF('Guarantees provided'!B565="#",'Guarantees provided'!C565,'Guarantees provided'!B565)</f>
        <v>0</v>
      </c>
      <c r="I571" s="11" t="str">
        <f>IF('Guarantees provided'!B565="#","Type of identifier, other than LEI or MFI code","LEI code")</f>
        <v>LEI code</v>
      </c>
      <c r="J571" s="14" t="str">
        <f>IF(OR('Guarantees provided'!H565="E",'Guarantees provided'!H565="x"),"True","False")</f>
        <v>False</v>
      </c>
      <c r="K571" s="11" t="s">
        <v>53</v>
      </c>
      <c r="L571" s="11" t="s">
        <v>54</v>
      </c>
      <c r="M571" s="11">
        <f>-'Guarantees provided'!D565</f>
        <v>0</v>
      </c>
      <c r="N571" s="11" t="s">
        <v>55</v>
      </c>
      <c r="O571" s="11">
        <v>0</v>
      </c>
      <c r="P571" s="12" t="s">
        <v>56</v>
      </c>
    </row>
    <row r="572" spans="3:16" ht="23.65" thickBot="1">
      <c r="C572" s="10" t="s">
        <v>51</v>
      </c>
      <c r="D572" s="11">
        <v>565</v>
      </c>
      <c r="E572" s="11" t="s">
        <v>52</v>
      </c>
      <c r="F572" s="11">
        <f>'Guarantees provided'!G566</f>
        <v>0</v>
      </c>
      <c r="G572" s="11">
        <f>'Guarantees provided'!A566</f>
        <v>0</v>
      </c>
      <c r="H572" s="11">
        <f>IF('Guarantees provided'!B566="#",'Guarantees provided'!C566,'Guarantees provided'!B566)</f>
        <v>0</v>
      </c>
      <c r="I572" s="11" t="str">
        <f>IF('Guarantees provided'!B566="#","Type of identifier, other than LEI or MFI code","LEI code")</f>
        <v>LEI code</v>
      </c>
      <c r="J572" s="14" t="str">
        <f>IF(OR('Guarantees provided'!H566="E",'Guarantees provided'!H566="x"),"True","False")</f>
        <v>False</v>
      </c>
      <c r="K572" s="11" t="s">
        <v>53</v>
      </c>
      <c r="L572" s="11" t="s">
        <v>54</v>
      </c>
      <c r="M572" s="11">
        <f>-'Guarantees provided'!D566</f>
        <v>0</v>
      </c>
      <c r="N572" s="11" t="s">
        <v>55</v>
      </c>
      <c r="O572" s="11">
        <v>0</v>
      </c>
      <c r="P572" s="12" t="s">
        <v>56</v>
      </c>
    </row>
    <row r="573" spans="3:16" ht="23.65" thickBot="1">
      <c r="C573" s="10" t="s">
        <v>51</v>
      </c>
      <c r="D573" s="11">
        <v>566</v>
      </c>
      <c r="E573" s="11" t="s">
        <v>52</v>
      </c>
      <c r="F573" s="11">
        <f>'Guarantees provided'!G567</f>
        <v>0</v>
      </c>
      <c r="G573" s="11">
        <f>'Guarantees provided'!A567</f>
        <v>0</v>
      </c>
      <c r="H573" s="11">
        <f>IF('Guarantees provided'!B567="#",'Guarantees provided'!C567,'Guarantees provided'!B567)</f>
        <v>0</v>
      </c>
      <c r="I573" s="11" t="str">
        <f>IF('Guarantees provided'!B567="#","Type of identifier, other than LEI or MFI code","LEI code")</f>
        <v>LEI code</v>
      </c>
      <c r="J573" s="14" t="str">
        <f>IF(OR('Guarantees provided'!H567="E",'Guarantees provided'!H567="x"),"True","False")</f>
        <v>False</v>
      </c>
      <c r="K573" s="11" t="s">
        <v>53</v>
      </c>
      <c r="L573" s="11" t="s">
        <v>54</v>
      </c>
      <c r="M573" s="11">
        <f>-'Guarantees provided'!D567</f>
        <v>0</v>
      </c>
      <c r="N573" s="11" t="s">
        <v>55</v>
      </c>
      <c r="O573" s="11">
        <v>0</v>
      </c>
      <c r="P573" s="12" t="s">
        <v>56</v>
      </c>
    </row>
    <row r="574" spans="3:16" ht="23.65" thickBot="1">
      <c r="C574" s="10" t="s">
        <v>51</v>
      </c>
      <c r="D574" s="11">
        <v>567</v>
      </c>
      <c r="E574" s="11" t="s">
        <v>52</v>
      </c>
      <c r="F574" s="11">
        <f>'Guarantees provided'!G568</f>
        <v>0</v>
      </c>
      <c r="G574" s="11">
        <f>'Guarantees provided'!A568</f>
        <v>0</v>
      </c>
      <c r="H574" s="11">
        <f>IF('Guarantees provided'!B568="#",'Guarantees provided'!C568,'Guarantees provided'!B568)</f>
        <v>0</v>
      </c>
      <c r="I574" s="11" t="str">
        <f>IF('Guarantees provided'!B568="#","Type of identifier, other than LEI or MFI code","LEI code")</f>
        <v>LEI code</v>
      </c>
      <c r="J574" s="14" t="str">
        <f>IF(OR('Guarantees provided'!H568="E",'Guarantees provided'!H568="x"),"True","False")</f>
        <v>False</v>
      </c>
      <c r="K574" s="11" t="s">
        <v>53</v>
      </c>
      <c r="L574" s="11" t="s">
        <v>54</v>
      </c>
      <c r="M574" s="11">
        <f>-'Guarantees provided'!D568</f>
        <v>0</v>
      </c>
      <c r="N574" s="11" t="s">
        <v>55</v>
      </c>
      <c r="O574" s="11">
        <v>0</v>
      </c>
      <c r="P574" s="12" t="s">
        <v>56</v>
      </c>
    </row>
    <row r="575" spans="3:16" ht="23.65" thickBot="1">
      <c r="C575" s="10" t="s">
        <v>51</v>
      </c>
      <c r="D575" s="11">
        <v>568</v>
      </c>
      <c r="E575" s="11" t="s">
        <v>52</v>
      </c>
      <c r="F575" s="11">
        <f>'Guarantees provided'!G569</f>
        <v>0</v>
      </c>
      <c r="G575" s="11">
        <f>'Guarantees provided'!A569</f>
        <v>0</v>
      </c>
      <c r="H575" s="11">
        <f>IF('Guarantees provided'!B569="#",'Guarantees provided'!C569,'Guarantees provided'!B569)</f>
        <v>0</v>
      </c>
      <c r="I575" s="11" t="str">
        <f>IF('Guarantees provided'!B569="#","Type of identifier, other than LEI or MFI code","LEI code")</f>
        <v>LEI code</v>
      </c>
      <c r="J575" s="14" t="str">
        <f>IF(OR('Guarantees provided'!H569="E",'Guarantees provided'!H569="x"),"True","False")</f>
        <v>False</v>
      </c>
      <c r="K575" s="11" t="s">
        <v>53</v>
      </c>
      <c r="L575" s="11" t="s">
        <v>54</v>
      </c>
      <c r="M575" s="11">
        <f>-'Guarantees provided'!D569</f>
        <v>0</v>
      </c>
      <c r="N575" s="11" t="s">
        <v>55</v>
      </c>
      <c r="O575" s="11">
        <v>0</v>
      </c>
      <c r="P575" s="12" t="s">
        <v>56</v>
      </c>
    </row>
    <row r="576" spans="3:16" ht="23.65" thickBot="1">
      <c r="C576" s="10" t="s">
        <v>51</v>
      </c>
      <c r="D576" s="11">
        <v>569</v>
      </c>
      <c r="E576" s="11" t="s">
        <v>52</v>
      </c>
      <c r="F576" s="11">
        <f>'Guarantees provided'!G570</f>
        <v>0</v>
      </c>
      <c r="G576" s="11">
        <f>'Guarantees provided'!A570</f>
        <v>0</v>
      </c>
      <c r="H576" s="11">
        <f>IF('Guarantees provided'!B570="#",'Guarantees provided'!C570,'Guarantees provided'!B570)</f>
        <v>0</v>
      </c>
      <c r="I576" s="11" t="str">
        <f>IF('Guarantees provided'!B570="#","Type of identifier, other than LEI or MFI code","LEI code")</f>
        <v>LEI code</v>
      </c>
      <c r="J576" s="14" t="str">
        <f>IF(OR('Guarantees provided'!H570="E",'Guarantees provided'!H570="x"),"True","False")</f>
        <v>False</v>
      </c>
      <c r="K576" s="11" t="s">
        <v>53</v>
      </c>
      <c r="L576" s="11" t="s">
        <v>54</v>
      </c>
      <c r="M576" s="11">
        <f>-'Guarantees provided'!D570</f>
        <v>0</v>
      </c>
      <c r="N576" s="11" t="s">
        <v>55</v>
      </c>
      <c r="O576" s="11">
        <v>0</v>
      </c>
      <c r="P576" s="12" t="s">
        <v>56</v>
      </c>
    </row>
    <row r="577" spans="3:16" ht="23.65" thickBot="1">
      <c r="C577" s="10" t="s">
        <v>51</v>
      </c>
      <c r="D577" s="11">
        <v>570</v>
      </c>
      <c r="E577" s="11" t="s">
        <v>52</v>
      </c>
      <c r="F577" s="11">
        <f>'Guarantees provided'!G571</f>
        <v>0</v>
      </c>
      <c r="G577" s="11">
        <f>'Guarantees provided'!A571</f>
        <v>0</v>
      </c>
      <c r="H577" s="11">
        <f>IF('Guarantees provided'!B571="#",'Guarantees provided'!C571,'Guarantees provided'!B571)</f>
        <v>0</v>
      </c>
      <c r="I577" s="11" t="str">
        <f>IF('Guarantees provided'!B571="#","Type of identifier, other than LEI or MFI code","LEI code")</f>
        <v>LEI code</v>
      </c>
      <c r="J577" s="14" t="str">
        <f>IF(OR('Guarantees provided'!H571="E",'Guarantees provided'!H571="x"),"True","False")</f>
        <v>False</v>
      </c>
      <c r="K577" s="11" t="s">
        <v>53</v>
      </c>
      <c r="L577" s="11" t="s">
        <v>54</v>
      </c>
      <c r="M577" s="11">
        <f>-'Guarantees provided'!D571</f>
        <v>0</v>
      </c>
      <c r="N577" s="11" t="s">
        <v>55</v>
      </c>
      <c r="O577" s="11">
        <v>0</v>
      </c>
      <c r="P577" s="12" t="s">
        <v>56</v>
      </c>
    </row>
    <row r="578" spans="3:16" ht="23.65" thickBot="1">
      <c r="C578" s="10" t="s">
        <v>51</v>
      </c>
      <c r="D578" s="11">
        <v>571</v>
      </c>
      <c r="E578" s="11" t="s">
        <v>52</v>
      </c>
      <c r="F578" s="11">
        <f>'Guarantees provided'!G572</f>
        <v>0</v>
      </c>
      <c r="G578" s="11">
        <f>'Guarantees provided'!A572</f>
        <v>0</v>
      </c>
      <c r="H578" s="11">
        <f>IF('Guarantees provided'!B572="#",'Guarantees provided'!C572,'Guarantees provided'!B572)</f>
        <v>0</v>
      </c>
      <c r="I578" s="11" t="str">
        <f>IF('Guarantees provided'!B572="#","Type of identifier, other than LEI or MFI code","LEI code")</f>
        <v>LEI code</v>
      </c>
      <c r="J578" s="14" t="str">
        <f>IF(OR('Guarantees provided'!H572="E",'Guarantees provided'!H572="x"),"True","False")</f>
        <v>False</v>
      </c>
      <c r="K578" s="11" t="s">
        <v>53</v>
      </c>
      <c r="L578" s="11" t="s">
        <v>54</v>
      </c>
      <c r="M578" s="11">
        <f>-'Guarantees provided'!D572</f>
        <v>0</v>
      </c>
      <c r="N578" s="11" t="s">
        <v>55</v>
      </c>
      <c r="O578" s="11">
        <v>0</v>
      </c>
      <c r="P578" s="12" t="s">
        <v>56</v>
      </c>
    </row>
    <row r="579" spans="3:16" ht="23.65" thickBot="1">
      <c r="C579" s="10" t="s">
        <v>51</v>
      </c>
      <c r="D579" s="11">
        <v>572</v>
      </c>
      <c r="E579" s="11" t="s">
        <v>52</v>
      </c>
      <c r="F579" s="11">
        <f>'Guarantees provided'!G573</f>
        <v>0</v>
      </c>
      <c r="G579" s="11">
        <f>'Guarantees provided'!A573</f>
        <v>0</v>
      </c>
      <c r="H579" s="11">
        <f>IF('Guarantees provided'!B573="#",'Guarantees provided'!C573,'Guarantees provided'!B573)</f>
        <v>0</v>
      </c>
      <c r="I579" s="11" t="str">
        <f>IF('Guarantees provided'!B573="#","Type of identifier, other than LEI or MFI code","LEI code")</f>
        <v>LEI code</v>
      </c>
      <c r="J579" s="14" t="str">
        <f>IF(OR('Guarantees provided'!H573="E",'Guarantees provided'!H573="x"),"True","False")</f>
        <v>False</v>
      </c>
      <c r="K579" s="11" t="s">
        <v>53</v>
      </c>
      <c r="L579" s="11" t="s">
        <v>54</v>
      </c>
      <c r="M579" s="11">
        <f>-'Guarantees provided'!D573</f>
        <v>0</v>
      </c>
      <c r="N579" s="11" t="s">
        <v>55</v>
      </c>
      <c r="O579" s="11">
        <v>0</v>
      </c>
      <c r="P579" s="12" t="s">
        <v>56</v>
      </c>
    </row>
    <row r="580" spans="3:16" ht="23.65" thickBot="1">
      <c r="C580" s="10" t="s">
        <v>51</v>
      </c>
      <c r="D580" s="11">
        <v>573</v>
      </c>
      <c r="E580" s="11" t="s">
        <v>52</v>
      </c>
      <c r="F580" s="11">
        <f>'Guarantees provided'!G574</f>
        <v>0</v>
      </c>
      <c r="G580" s="11">
        <f>'Guarantees provided'!A574</f>
        <v>0</v>
      </c>
      <c r="H580" s="11">
        <f>IF('Guarantees provided'!B574="#",'Guarantees provided'!C574,'Guarantees provided'!B574)</f>
        <v>0</v>
      </c>
      <c r="I580" s="11" t="str">
        <f>IF('Guarantees provided'!B574="#","Type of identifier, other than LEI or MFI code","LEI code")</f>
        <v>LEI code</v>
      </c>
      <c r="J580" s="14" t="str">
        <f>IF(OR('Guarantees provided'!H574="E",'Guarantees provided'!H574="x"),"True","False")</f>
        <v>False</v>
      </c>
      <c r="K580" s="11" t="s">
        <v>53</v>
      </c>
      <c r="L580" s="11" t="s">
        <v>54</v>
      </c>
      <c r="M580" s="11">
        <f>-'Guarantees provided'!D574</f>
        <v>0</v>
      </c>
      <c r="N580" s="11" t="s">
        <v>55</v>
      </c>
      <c r="O580" s="11">
        <v>0</v>
      </c>
      <c r="P580" s="12" t="s">
        <v>56</v>
      </c>
    </row>
    <row r="581" spans="3:16" ht="23.65" thickBot="1">
      <c r="C581" s="10" t="s">
        <v>51</v>
      </c>
      <c r="D581" s="11">
        <v>574</v>
      </c>
      <c r="E581" s="11" t="s">
        <v>52</v>
      </c>
      <c r="F581" s="11">
        <f>'Guarantees provided'!G575</f>
        <v>0</v>
      </c>
      <c r="G581" s="11">
        <f>'Guarantees provided'!A575</f>
        <v>0</v>
      </c>
      <c r="H581" s="11">
        <f>IF('Guarantees provided'!B575="#",'Guarantees provided'!C575,'Guarantees provided'!B575)</f>
        <v>0</v>
      </c>
      <c r="I581" s="11" t="str">
        <f>IF('Guarantees provided'!B575="#","Type of identifier, other than LEI or MFI code","LEI code")</f>
        <v>LEI code</v>
      </c>
      <c r="J581" s="14" t="str">
        <f>IF(OR('Guarantees provided'!H575="E",'Guarantees provided'!H575="x"),"True","False")</f>
        <v>False</v>
      </c>
      <c r="K581" s="11" t="s">
        <v>53</v>
      </c>
      <c r="L581" s="11" t="s">
        <v>54</v>
      </c>
      <c r="M581" s="11">
        <f>-'Guarantees provided'!D575</f>
        <v>0</v>
      </c>
      <c r="N581" s="11" t="s">
        <v>55</v>
      </c>
      <c r="O581" s="11">
        <v>0</v>
      </c>
      <c r="P581" s="12" t="s">
        <v>56</v>
      </c>
    </row>
    <row r="582" spans="3:16" ht="23.65" thickBot="1">
      <c r="C582" s="10" t="s">
        <v>51</v>
      </c>
      <c r="D582" s="11">
        <v>575</v>
      </c>
      <c r="E582" s="11" t="s">
        <v>52</v>
      </c>
      <c r="F582" s="11">
        <f>'Guarantees provided'!G576</f>
        <v>0</v>
      </c>
      <c r="G582" s="11">
        <f>'Guarantees provided'!A576</f>
        <v>0</v>
      </c>
      <c r="H582" s="11">
        <f>IF('Guarantees provided'!B576="#",'Guarantees provided'!C576,'Guarantees provided'!B576)</f>
        <v>0</v>
      </c>
      <c r="I582" s="11" t="str">
        <f>IF('Guarantees provided'!B576="#","Type of identifier, other than LEI or MFI code","LEI code")</f>
        <v>LEI code</v>
      </c>
      <c r="J582" s="14" t="str">
        <f>IF(OR('Guarantees provided'!H576="E",'Guarantees provided'!H576="x"),"True","False")</f>
        <v>False</v>
      </c>
      <c r="K582" s="11" t="s">
        <v>53</v>
      </c>
      <c r="L582" s="11" t="s">
        <v>54</v>
      </c>
      <c r="M582" s="11">
        <f>-'Guarantees provided'!D576</f>
        <v>0</v>
      </c>
      <c r="N582" s="11" t="s">
        <v>55</v>
      </c>
      <c r="O582" s="11">
        <v>0</v>
      </c>
      <c r="P582" s="12" t="s">
        <v>56</v>
      </c>
    </row>
    <row r="583" spans="3:16" ht="23.65" thickBot="1">
      <c r="C583" s="10" t="s">
        <v>51</v>
      </c>
      <c r="D583" s="11">
        <v>576</v>
      </c>
      <c r="E583" s="11" t="s">
        <v>52</v>
      </c>
      <c r="F583" s="11">
        <f>'Guarantees provided'!G577</f>
        <v>0</v>
      </c>
      <c r="G583" s="11">
        <f>'Guarantees provided'!A577</f>
        <v>0</v>
      </c>
      <c r="H583" s="11">
        <f>IF('Guarantees provided'!B577="#",'Guarantees provided'!C577,'Guarantees provided'!B577)</f>
        <v>0</v>
      </c>
      <c r="I583" s="11" t="str">
        <f>IF('Guarantees provided'!B577="#","Type of identifier, other than LEI or MFI code","LEI code")</f>
        <v>LEI code</v>
      </c>
      <c r="J583" s="14" t="str">
        <f>IF(OR('Guarantees provided'!H577="E",'Guarantees provided'!H577="x"),"True","False")</f>
        <v>False</v>
      </c>
      <c r="K583" s="11" t="s">
        <v>53</v>
      </c>
      <c r="L583" s="11" t="s">
        <v>54</v>
      </c>
      <c r="M583" s="11">
        <f>-'Guarantees provided'!D577</f>
        <v>0</v>
      </c>
      <c r="N583" s="11" t="s">
        <v>55</v>
      </c>
      <c r="O583" s="11">
        <v>0</v>
      </c>
      <c r="P583" s="12" t="s">
        <v>56</v>
      </c>
    </row>
    <row r="584" spans="3:16" ht="23.65" thickBot="1">
      <c r="C584" s="10" t="s">
        <v>51</v>
      </c>
      <c r="D584" s="11">
        <v>577</v>
      </c>
      <c r="E584" s="11" t="s">
        <v>52</v>
      </c>
      <c r="F584" s="11">
        <f>'Guarantees provided'!G578</f>
        <v>0</v>
      </c>
      <c r="G584" s="11">
        <f>'Guarantees provided'!A578</f>
        <v>0</v>
      </c>
      <c r="H584" s="11">
        <f>IF('Guarantees provided'!B578="#",'Guarantees provided'!C578,'Guarantees provided'!B578)</f>
        <v>0</v>
      </c>
      <c r="I584" s="11" t="str">
        <f>IF('Guarantees provided'!B578="#","Type of identifier, other than LEI or MFI code","LEI code")</f>
        <v>LEI code</v>
      </c>
      <c r="J584" s="14" t="str">
        <f>IF(OR('Guarantees provided'!H578="E",'Guarantees provided'!H578="x"),"True","False")</f>
        <v>False</v>
      </c>
      <c r="K584" s="11" t="s">
        <v>53</v>
      </c>
      <c r="L584" s="11" t="s">
        <v>54</v>
      </c>
      <c r="M584" s="11">
        <f>-'Guarantees provided'!D578</f>
        <v>0</v>
      </c>
      <c r="N584" s="11" t="s">
        <v>55</v>
      </c>
      <c r="O584" s="11">
        <v>0</v>
      </c>
      <c r="P584" s="12" t="s">
        <v>56</v>
      </c>
    </row>
    <row r="585" spans="3:16" ht="23.65" thickBot="1">
      <c r="C585" s="10" t="s">
        <v>51</v>
      </c>
      <c r="D585" s="11">
        <v>578</v>
      </c>
      <c r="E585" s="11" t="s">
        <v>52</v>
      </c>
      <c r="F585" s="11">
        <f>'Guarantees provided'!G579</f>
        <v>0</v>
      </c>
      <c r="G585" s="11">
        <f>'Guarantees provided'!A579</f>
        <v>0</v>
      </c>
      <c r="H585" s="11">
        <f>IF('Guarantees provided'!B579="#",'Guarantees provided'!C579,'Guarantees provided'!B579)</f>
        <v>0</v>
      </c>
      <c r="I585" s="11" t="str">
        <f>IF('Guarantees provided'!B579="#","Type of identifier, other than LEI or MFI code","LEI code")</f>
        <v>LEI code</v>
      </c>
      <c r="J585" s="14" t="str">
        <f>IF(OR('Guarantees provided'!H579="E",'Guarantees provided'!H579="x"),"True","False")</f>
        <v>False</v>
      </c>
      <c r="K585" s="11" t="s">
        <v>53</v>
      </c>
      <c r="L585" s="11" t="s">
        <v>54</v>
      </c>
      <c r="M585" s="11">
        <f>-'Guarantees provided'!D579</f>
        <v>0</v>
      </c>
      <c r="N585" s="11" t="s">
        <v>55</v>
      </c>
      <c r="O585" s="11">
        <v>0</v>
      </c>
      <c r="P585" s="12" t="s">
        <v>56</v>
      </c>
    </row>
    <row r="586" spans="3:16" ht="23.65" thickBot="1">
      <c r="C586" s="10" t="s">
        <v>51</v>
      </c>
      <c r="D586" s="11">
        <v>579</v>
      </c>
      <c r="E586" s="11" t="s">
        <v>52</v>
      </c>
      <c r="F586" s="11">
        <f>'Guarantees provided'!G580</f>
        <v>0</v>
      </c>
      <c r="G586" s="11">
        <f>'Guarantees provided'!A580</f>
        <v>0</v>
      </c>
      <c r="H586" s="11">
        <f>IF('Guarantees provided'!B580="#",'Guarantees provided'!C580,'Guarantees provided'!B580)</f>
        <v>0</v>
      </c>
      <c r="I586" s="11" t="str">
        <f>IF('Guarantees provided'!B580="#","Type of identifier, other than LEI or MFI code","LEI code")</f>
        <v>LEI code</v>
      </c>
      <c r="J586" s="14" t="str">
        <f>IF(OR('Guarantees provided'!H580="E",'Guarantees provided'!H580="x"),"True","False")</f>
        <v>False</v>
      </c>
      <c r="K586" s="11" t="s">
        <v>53</v>
      </c>
      <c r="L586" s="11" t="s">
        <v>54</v>
      </c>
      <c r="M586" s="11">
        <f>-'Guarantees provided'!D580</f>
        <v>0</v>
      </c>
      <c r="N586" s="11" t="s">
        <v>55</v>
      </c>
      <c r="O586" s="11">
        <v>0</v>
      </c>
      <c r="P586" s="12" t="s">
        <v>56</v>
      </c>
    </row>
    <row r="587" spans="3:16" ht="23.65" thickBot="1">
      <c r="C587" s="10" t="s">
        <v>51</v>
      </c>
      <c r="D587" s="11">
        <v>580</v>
      </c>
      <c r="E587" s="11" t="s">
        <v>52</v>
      </c>
      <c r="F587" s="11">
        <f>'Guarantees provided'!G581</f>
        <v>0</v>
      </c>
      <c r="G587" s="11">
        <f>'Guarantees provided'!A581</f>
        <v>0</v>
      </c>
      <c r="H587" s="11">
        <f>IF('Guarantees provided'!B581="#",'Guarantees provided'!C581,'Guarantees provided'!B581)</f>
        <v>0</v>
      </c>
      <c r="I587" s="11" t="str">
        <f>IF('Guarantees provided'!B581="#","Type of identifier, other than LEI or MFI code","LEI code")</f>
        <v>LEI code</v>
      </c>
      <c r="J587" s="14" t="str">
        <f>IF(OR('Guarantees provided'!H581="E",'Guarantees provided'!H581="x"),"True","False")</f>
        <v>False</v>
      </c>
      <c r="K587" s="11" t="s">
        <v>53</v>
      </c>
      <c r="L587" s="11" t="s">
        <v>54</v>
      </c>
      <c r="M587" s="11">
        <f>-'Guarantees provided'!D581</f>
        <v>0</v>
      </c>
      <c r="N587" s="11" t="s">
        <v>55</v>
      </c>
      <c r="O587" s="11">
        <v>0</v>
      </c>
      <c r="P587" s="12" t="s">
        <v>56</v>
      </c>
    </row>
    <row r="588" spans="3:16" ht="23.65" thickBot="1">
      <c r="C588" s="10" t="s">
        <v>51</v>
      </c>
      <c r="D588" s="11">
        <v>581</v>
      </c>
      <c r="E588" s="11" t="s">
        <v>52</v>
      </c>
      <c r="F588" s="11">
        <f>'Guarantees provided'!G582</f>
        <v>0</v>
      </c>
      <c r="G588" s="11">
        <f>'Guarantees provided'!A582</f>
        <v>0</v>
      </c>
      <c r="H588" s="11">
        <f>IF('Guarantees provided'!B582="#",'Guarantees provided'!C582,'Guarantees provided'!B582)</f>
        <v>0</v>
      </c>
      <c r="I588" s="11" t="str">
        <f>IF('Guarantees provided'!B582="#","Type of identifier, other than LEI or MFI code","LEI code")</f>
        <v>LEI code</v>
      </c>
      <c r="J588" s="14" t="str">
        <f>IF(OR('Guarantees provided'!H582="E",'Guarantees provided'!H582="x"),"True","False")</f>
        <v>False</v>
      </c>
      <c r="K588" s="11" t="s">
        <v>53</v>
      </c>
      <c r="L588" s="11" t="s">
        <v>54</v>
      </c>
      <c r="M588" s="11">
        <f>-'Guarantees provided'!D582</f>
        <v>0</v>
      </c>
      <c r="N588" s="11" t="s">
        <v>55</v>
      </c>
      <c r="O588" s="11">
        <v>0</v>
      </c>
      <c r="P588" s="12" t="s">
        <v>56</v>
      </c>
    </row>
    <row r="589" spans="3:16" ht="23.65" thickBot="1">
      <c r="C589" s="10" t="s">
        <v>51</v>
      </c>
      <c r="D589" s="11">
        <v>582</v>
      </c>
      <c r="E589" s="11" t="s">
        <v>52</v>
      </c>
      <c r="F589" s="11">
        <f>'Guarantees provided'!G583</f>
        <v>0</v>
      </c>
      <c r="G589" s="11">
        <f>'Guarantees provided'!A583</f>
        <v>0</v>
      </c>
      <c r="H589" s="11">
        <f>IF('Guarantees provided'!B583="#",'Guarantees provided'!C583,'Guarantees provided'!B583)</f>
        <v>0</v>
      </c>
      <c r="I589" s="11" t="str">
        <f>IF('Guarantees provided'!B583="#","Type of identifier, other than LEI or MFI code","LEI code")</f>
        <v>LEI code</v>
      </c>
      <c r="J589" s="14" t="str">
        <f>IF(OR('Guarantees provided'!H583="E",'Guarantees provided'!H583="x"),"True","False")</f>
        <v>False</v>
      </c>
      <c r="K589" s="11" t="s">
        <v>53</v>
      </c>
      <c r="L589" s="11" t="s">
        <v>54</v>
      </c>
      <c r="M589" s="11">
        <f>-'Guarantees provided'!D583</f>
        <v>0</v>
      </c>
      <c r="N589" s="11" t="s">
        <v>55</v>
      </c>
      <c r="O589" s="11">
        <v>0</v>
      </c>
      <c r="P589" s="12" t="s">
        <v>56</v>
      </c>
    </row>
    <row r="590" spans="3:16" ht="23.65" thickBot="1">
      <c r="C590" s="10" t="s">
        <v>51</v>
      </c>
      <c r="D590" s="11">
        <v>583</v>
      </c>
      <c r="E590" s="11" t="s">
        <v>52</v>
      </c>
      <c r="F590" s="11">
        <f>'Guarantees provided'!G584</f>
        <v>0</v>
      </c>
      <c r="G590" s="11">
        <f>'Guarantees provided'!A584</f>
        <v>0</v>
      </c>
      <c r="H590" s="11">
        <f>IF('Guarantees provided'!B584="#",'Guarantees provided'!C584,'Guarantees provided'!B584)</f>
        <v>0</v>
      </c>
      <c r="I590" s="11" t="str">
        <f>IF('Guarantees provided'!B584="#","Type of identifier, other than LEI or MFI code","LEI code")</f>
        <v>LEI code</v>
      </c>
      <c r="J590" s="14" t="str">
        <f>IF(OR('Guarantees provided'!H584="E",'Guarantees provided'!H584="x"),"True","False")</f>
        <v>False</v>
      </c>
      <c r="K590" s="11" t="s">
        <v>53</v>
      </c>
      <c r="L590" s="11" t="s">
        <v>54</v>
      </c>
      <c r="M590" s="11">
        <f>-'Guarantees provided'!D584</f>
        <v>0</v>
      </c>
      <c r="N590" s="11" t="s">
        <v>55</v>
      </c>
      <c r="O590" s="11">
        <v>0</v>
      </c>
      <c r="P590" s="12" t="s">
        <v>56</v>
      </c>
    </row>
    <row r="591" spans="3:16" ht="23.65" thickBot="1">
      <c r="C591" s="10" t="s">
        <v>51</v>
      </c>
      <c r="D591" s="11">
        <v>584</v>
      </c>
      <c r="E591" s="11" t="s">
        <v>52</v>
      </c>
      <c r="F591" s="11">
        <f>'Guarantees provided'!G585</f>
        <v>0</v>
      </c>
      <c r="G591" s="11">
        <f>'Guarantees provided'!A585</f>
        <v>0</v>
      </c>
      <c r="H591" s="11">
        <f>IF('Guarantees provided'!B585="#",'Guarantees provided'!C585,'Guarantees provided'!B585)</f>
        <v>0</v>
      </c>
      <c r="I591" s="11" t="str">
        <f>IF('Guarantees provided'!B585="#","Type of identifier, other than LEI or MFI code","LEI code")</f>
        <v>LEI code</v>
      </c>
      <c r="J591" s="14" t="str">
        <f>IF(OR('Guarantees provided'!H585="E",'Guarantees provided'!H585="x"),"True","False")</f>
        <v>False</v>
      </c>
      <c r="K591" s="11" t="s">
        <v>53</v>
      </c>
      <c r="L591" s="11" t="s">
        <v>54</v>
      </c>
      <c r="M591" s="11">
        <f>-'Guarantees provided'!D585</f>
        <v>0</v>
      </c>
      <c r="N591" s="11" t="s">
        <v>55</v>
      </c>
      <c r="O591" s="11">
        <v>0</v>
      </c>
      <c r="P591" s="12" t="s">
        <v>56</v>
      </c>
    </row>
    <row r="592" spans="3:16" ht="23.65" thickBot="1">
      <c r="C592" s="10" t="s">
        <v>51</v>
      </c>
      <c r="D592" s="11">
        <v>585</v>
      </c>
      <c r="E592" s="11" t="s">
        <v>52</v>
      </c>
      <c r="F592" s="11">
        <f>'Guarantees provided'!G586</f>
        <v>0</v>
      </c>
      <c r="G592" s="11">
        <f>'Guarantees provided'!A586</f>
        <v>0</v>
      </c>
      <c r="H592" s="11">
        <f>IF('Guarantees provided'!B586="#",'Guarantees provided'!C586,'Guarantees provided'!B586)</f>
        <v>0</v>
      </c>
      <c r="I592" s="11" t="str">
        <f>IF('Guarantees provided'!B586="#","Type of identifier, other than LEI or MFI code","LEI code")</f>
        <v>LEI code</v>
      </c>
      <c r="J592" s="14" t="str">
        <f>IF(OR('Guarantees provided'!H586="E",'Guarantees provided'!H586="x"),"True","False")</f>
        <v>False</v>
      </c>
      <c r="K592" s="11" t="s">
        <v>53</v>
      </c>
      <c r="L592" s="11" t="s">
        <v>54</v>
      </c>
      <c r="M592" s="11">
        <f>-'Guarantees provided'!D586</f>
        <v>0</v>
      </c>
      <c r="N592" s="11" t="s">
        <v>55</v>
      </c>
      <c r="O592" s="11">
        <v>0</v>
      </c>
      <c r="P592" s="12" t="s">
        <v>56</v>
      </c>
    </row>
    <row r="593" spans="3:16" ht="23.65" thickBot="1">
      <c r="C593" s="10" t="s">
        <v>51</v>
      </c>
      <c r="D593" s="11">
        <v>586</v>
      </c>
      <c r="E593" s="11" t="s">
        <v>52</v>
      </c>
      <c r="F593" s="11">
        <f>'Guarantees provided'!G587</f>
        <v>0</v>
      </c>
      <c r="G593" s="11">
        <f>'Guarantees provided'!A587</f>
        <v>0</v>
      </c>
      <c r="H593" s="11">
        <f>IF('Guarantees provided'!B587="#",'Guarantees provided'!C587,'Guarantees provided'!B587)</f>
        <v>0</v>
      </c>
      <c r="I593" s="11" t="str">
        <f>IF('Guarantees provided'!B587="#","Type of identifier, other than LEI or MFI code","LEI code")</f>
        <v>LEI code</v>
      </c>
      <c r="J593" s="14" t="str">
        <f>IF(OR('Guarantees provided'!H587="E",'Guarantees provided'!H587="x"),"True","False")</f>
        <v>False</v>
      </c>
      <c r="K593" s="11" t="s">
        <v>53</v>
      </c>
      <c r="L593" s="11" t="s">
        <v>54</v>
      </c>
      <c r="M593" s="11">
        <f>-'Guarantees provided'!D587</f>
        <v>0</v>
      </c>
      <c r="N593" s="11" t="s">
        <v>55</v>
      </c>
      <c r="O593" s="11">
        <v>0</v>
      </c>
      <c r="P593" s="12" t="s">
        <v>56</v>
      </c>
    </row>
    <row r="594" spans="3:16" ht="23.65" thickBot="1">
      <c r="C594" s="10" t="s">
        <v>51</v>
      </c>
      <c r="D594" s="11">
        <v>587</v>
      </c>
      <c r="E594" s="11" t="s">
        <v>52</v>
      </c>
      <c r="F594" s="11">
        <f>'Guarantees provided'!G588</f>
        <v>0</v>
      </c>
      <c r="G594" s="11">
        <f>'Guarantees provided'!A588</f>
        <v>0</v>
      </c>
      <c r="H594" s="11">
        <f>IF('Guarantees provided'!B588="#",'Guarantees provided'!C588,'Guarantees provided'!B588)</f>
        <v>0</v>
      </c>
      <c r="I594" s="11" t="str">
        <f>IF('Guarantees provided'!B588="#","Type of identifier, other than LEI or MFI code","LEI code")</f>
        <v>LEI code</v>
      </c>
      <c r="J594" s="14" t="str">
        <f>IF(OR('Guarantees provided'!H588="E",'Guarantees provided'!H588="x"),"True","False")</f>
        <v>False</v>
      </c>
      <c r="K594" s="11" t="s">
        <v>53</v>
      </c>
      <c r="L594" s="11" t="s">
        <v>54</v>
      </c>
      <c r="M594" s="11">
        <f>-'Guarantees provided'!D588</f>
        <v>0</v>
      </c>
      <c r="N594" s="11" t="s">
        <v>55</v>
      </c>
      <c r="O594" s="11">
        <v>0</v>
      </c>
      <c r="P594" s="12" t="s">
        <v>56</v>
      </c>
    </row>
    <row r="595" spans="3:16" ht="23.65" thickBot="1">
      <c r="C595" s="10" t="s">
        <v>51</v>
      </c>
      <c r="D595" s="11">
        <v>588</v>
      </c>
      <c r="E595" s="11" t="s">
        <v>52</v>
      </c>
      <c r="F595" s="11">
        <f>'Guarantees provided'!G589</f>
        <v>0</v>
      </c>
      <c r="G595" s="11">
        <f>'Guarantees provided'!A589</f>
        <v>0</v>
      </c>
      <c r="H595" s="11">
        <f>IF('Guarantees provided'!B589="#",'Guarantees provided'!C589,'Guarantees provided'!B589)</f>
        <v>0</v>
      </c>
      <c r="I595" s="11" t="str">
        <f>IF('Guarantees provided'!B589="#","Type of identifier, other than LEI or MFI code","LEI code")</f>
        <v>LEI code</v>
      </c>
      <c r="J595" s="14" t="str">
        <f>IF(OR('Guarantees provided'!H589="E",'Guarantees provided'!H589="x"),"True","False")</f>
        <v>False</v>
      </c>
      <c r="K595" s="11" t="s">
        <v>53</v>
      </c>
      <c r="L595" s="11" t="s">
        <v>54</v>
      </c>
      <c r="M595" s="11">
        <f>-'Guarantees provided'!D589</f>
        <v>0</v>
      </c>
      <c r="N595" s="11" t="s">
        <v>55</v>
      </c>
      <c r="O595" s="11">
        <v>0</v>
      </c>
      <c r="P595" s="12" t="s">
        <v>56</v>
      </c>
    </row>
    <row r="596" spans="3:16" ht="23.65" thickBot="1">
      <c r="C596" s="10" t="s">
        <v>51</v>
      </c>
      <c r="D596" s="11">
        <v>589</v>
      </c>
      <c r="E596" s="11" t="s">
        <v>52</v>
      </c>
      <c r="F596" s="11">
        <f>'Guarantees provided'!G590</f>
        <v>0</v>
      </c>
      <c r="G596" s="11">
        <f>'Guarantees provided'!A590</f>
        <v>0</v>
      </c>
      <c r="H596" s="11">
        <f>IF('Guarantees provided'!B590="#",'Guarantees provided'!C590,'Guarantees provided'!B590)</f>
        <v>0</v>
      </c>
      <c r="I596" s="11" t="str">
        <f>IF('Guarantees provided'!B590="#","Type of identifier, other than LEI or MFI code","LEI code")</f>
        <v>LEI code</v>
      </c>
      <c r="J596" s="14" t="str">
        <f>IF(OR('Guarantees provided'!H590="E",'Guarantees provided'!H590="x"),"True","False")</f>
        <v>False</v>
      </c>
      <c r="K596" s="11" t="s">
        <v>53</v>
      </c>
      <c r="L596" s="11" t="s">
        <v>54</v>
      </c>
      <c r="M596" s="11">
        <f>-'Guarantees provided'!D590</f>
        <v>0</v>
      </c>
      <c r="N596" s="11" t="s">
        <v>55</v>
      </c>
      <c r="O596" s="11">
        <v>0</v>
      </c>
      <c r="P596" s="12" t="s">
        <v>56</v>
      </c>
    </row>
    <row r="597" spans="3:16" ht="23.65" thickBot="1">
      <c r="C597" s="10" t="s">
        <v>51</v>
      </c>
      <c r="D597" s="11">
        <v>590</v>
      </c>
      <c r="E597" s="11" t="s">
        <v>52</v>
      </c>
      <c r="F597" s="11">
        <f>'Guarantees provided'!G591</f>
        <v>0</v>
      </c>
      <c r="G597" s="11">
        <f>'Guarantees provided'!A591</f>
        <v>0</v>
      </c>
      <c r="H597" s="11">
        <f>IF('Guarantees provided'!B591="#",'Guarantees provided'!C591,'Guarantees provided'!B591)</f>
        <v>0</v>
      </c>
      <c r="I597" s="11" t="str">
        <f>IF('Guarantees provided'!B591="#","Type of identifier, other than LEI or MFI code","LEI code")</f>
        <v>LEI code</v>
      </c>
      <c r="J597" s="14" t="str">
        <f>IF(OR('Guarantees provided'!H591="E",'Guarantees provided'!H591="x"),"True","False")</f>
        <v>False</v>
      </c>
      <c r="K597" s="11" t="s">
        <v>53</v>
      </c>
      <c r="L597" s="11" t="s">
        <v>54</v>
      </c>
      <c r="M597" s="11">
        <f>-'Guarantees provided'!D591</f>
        <v>0</v>
      </c>
      <c r="N597" s="11" t="s">
        <v>55</v>
      </c>
      <c r="O597" s="11">
        <v>0</v>
      </c>
      <c r="P597" s="12" t="s">
        <v>56</v>
      </c>
    </row>
    <row r="598" spans="3:16" ht="23.65" thickBot="1">
      <c r="C598" s="10" t="s">
        <v>51</v>
      </c>
      <c r="D598" s="11">
        <v>591</v>
      </c>
      <c r="E598" s="11" t="s">
        <v>52</v>
      </c>
      <c r="F598" s="11">
        <f>'Guarantees provided'!G592</f>
        <v>0</v>
      </c>
      <c r="G598" s="11">
        <f>'Guarantees provided'!A592</f>
        <v>0</v>
      </c>
      <c r="H598" s="11">
        <f>IF('Guarantees provided'!B592="#",'Guarantees provided'!C592,'Guarantees provided'!B592)</f>
        <v>0</v>
      </c>
      <c r="I598" s="11" t="str">
        <f>IF('Guarantees provided'!B592="#","Type of identifier, other than LEI or MFI code","LEI code")</f>
        <v>LEI code</v>
      </c>
      <c r="J598" s="14" t="str">
        <f>IF(OR('Guarantees provided'!H592="E",'Guarantees provided'!H592="x"),"True","False")</f>
        <v>False</v>
      </c>
      <c r="K598" s="11" t="s">
        <v>53</v>
      </c>
      <c r="L598" s="11" t="s">
        <v>54</v>
      </c>
      <c r="M598" s="11">
        <f>-'Guarantees provided'!D592</f>
        <v>0</v>
      </c>
      <c r="N598" s="11" t="s">
        <v>55</v>
      </c>
      <c r="O598" s="11">
        <v>0</v>
      </c>
      <c r="P598" s="12" t="s">
        <v>56</v>
      </c>
    </row>
    <row r="599" spans="3:16" ht="23.65" thickBot="1">
      <c r="C599" s="10" t="s">
        <v>51</v>
      </c>
      <c r="D599" s="11">
        <v>592</v>
      </c>
      <c r="E599" s="11" t="s">
        <v>52</v>
      </c>
      <c r="F599" s="11">
        <f>'Guarantees provided'!G593</f>
        <v>0</v>
      </c>
      <c r="G599" s="11">
        <f>'Guarantees provided'!A593</f>
        <v>0</v>
      </c>
      <c r="H599" s="11">
        <f>IF('Guarantees provided'!B593="#",'Guarantees provided'!C593,'Guarantees provided'!B593)</f>
        <v>0</v>
      </c>
      <c r="I599" s="11" t="str">
        <f>IF('Guarantees provided'!B593="#","Type of identifier, other than LEI or MFI code","LEI code")</f>
        <v>LEI code</v>
      </c>
      <c r="J599" s="14" t="str">
        <f>IF(OR('Guarantees provided'!H593="E",'Guarantees provided'!H593="x"),"True","False")</f>
        <v>False</v>
      </c>
      <c r="K599" s="11" t="s">
        <v>53</v>
      </c>
      <c r="L599" s="11" t="s">
        <v>54</v>
      </c>
      <c r="M599" s="11">
        <f>-'Guarantees provided'!D593</f>
        <v>0</v>
      </c>
      <c r="N599" s="11" t="s">
        <v>55</v>
      </c>
      <c r="O599" s="11">
        <v>0</v>
      </c>
      <c r="P599" s="12" t="s">
        <v>56</v>
      </c>
    </row>
    <row r="600" spans="3:16" ht="23.65" thickBot="1">
      <c r="C600" s="10" t="s">
        <v>51</v>
      </c>
      <c r="D600" s="11">
        <v>593</v>
      </c>
      <c r="E600" s="11" t="s">
        <v>52</v>
      </c>
      <c r="F600" s="11">
        <f>'Guarantees provided'!G594</f>
        <v>0</v>
      </c>
      <c r="G600" s="11">
        <f>'Guarantees provided'!A594</f>
        <v>0</v>
      </c>
      <c r="H600" s="11">
        <f>IF('Guarantees provided'!B594="#",'Guarantees provided'!C594,'Guarantees provided'!B594)</f>
        <v>0</v>
      </c>
      <c r="I600" s="11" t="str">
        <f>IF('Guarantees provided'!B594="#","Type of identifier, other than LEI or MFI code","LEI code")</f>
        <v>LEI code</v>
      </c>
      <c r="J600" s="14" t="str">
        <f>IF(OR('Guarantees provided'!H594="E",'Guarantees provided'!H594="x"),"True","False")</f>
        <v>False</v>
      </c>
      <c r="K600" s="11" t="s">
        <v>53</v>
      </c>
      <c r="L600" s="11" t="s">
        <v>54</v>
      </c>
      <c r="M600" s="11">
        <f>-'Guarantees provided'!D594</f>
        <v>0</v>
      </c>
      <c r="N600" s="11" t="s">
        <v>55</v>
      </c>
      <c r="O600" s="11">
        <v>0</v>
      </c>
      <c r="P600" s="12" t="s">
        <v>56</v>
      </c>
    </row>
    <row r="601" spans="3:16" ht="23.65" thickBot="1">
      <c r="C601" s="10" t="s">
        <v>51</v>
      </c>
      <c r="D601" s="11">
        <v>594</v>
      </c>
      <c r="E601" s="11" t="s">
        <v>52</v>
      </c>
      <c r="F601" s="11">
        <f>'Guarantees provided'!G595</f>
        <v>0</v>
      </c>
      <c r="G601" s="11">
        <f>'Guarantees provided'!A595</f>
        <v>0</v>
      </c>
      <c r="H601" s="11">
        <f>IF('Guarantees provided'!B595="#",'Guarantees provided'!C595,'Guarantees provided'!B595)</f>
        <v>0</v>
      </c>
      <c r="I601" s="11" t="str">
        <f>IF('Guarantees provided'!B595="#","Type of identifier, other than LEI or MFI code","LEI code")</f>
        <v>LEI code</v>
      </c>
      <c r="J601" s="14" t="str">
        <f>IF(OR('Guarantees provided'!H595="E",'Guarantees provided'!H595="x"),"True","False")</f>
        <v>False</v>
      </c>
      <c r="K601" s="11" t="s">
        <v>53</v>
      </c>
      <c r="L601" s="11" t="s">
        <v>54</v>
      </c>
      <c r="M601" s="11">
        <f>-'Guarantees provided'!D595</f>
        <v>0</v>
      </c>
      <c r="N601" s="11" t="s">
        <v>55</v>
      </c>
      <c r="O601" s="11">
        <v>0</v>
      </c>
      <c r="P601" s="12" t="s">
        <v>56</v>
      </c>
    </row>
    <row r="602" spans="3:16" ht="23.65" thickBot="1">
      <c r="C602" s="10" t="s">
        <v>51</v>
      </c>
      <c r="D602" s="11">
        <v>595</v>
      </c>
      <c r="E602" s="11" t="s">
        <v>52</v>
      </c>
      <c r="F602" s="11">
        <f>'Guarantees provided'!G596</f>
        <v>0</v>
      </c>
      <c r="G602" s="11">
        <f>'Guarantees provided'!A596</f>
        <v>0</v>
      </c>
      <c r="H602" s="11">
        <f>IF('Guarantees provided'!B596="#",'Guarantees provided'!C596,'Guarantees provided'!B596)</f>
        <v>0</v>
      </c>
      <c r="I602" s="11" t="str">
        <f>IF('Guarantees provided'!B596="#","Type of identifier, other than LEI or MFI code","LEI code")</f>
        <v>LEI code</v>
      </c>
      <c r="J602" s="14" t="str">
        <f>IF(OR('Guarantees provided'!H596="E",'Guarantees provided'!H596="x"),"True","False")</f>
        <v>False</v>
      </c>
      <c r="K602" s="11" t="s">
        <v>53</v>
      </c>
      <c r="L602" s="11" t="s">
        <v>54</v>
      </c>
      <c r="M602" s="11">
        <f>-'Guarantees provided'!D596</f>
        <v>0</v>
      </c>
      <c r="N602" s="11" t="s">
        <v>55</v>
      </c>
      <c r="O602" s="11">
        <v>0</v>
      </c>
      <c r="P602" s="12" t="s">
        <v>56</v>
      </c>
    </row>
    <row r="603" spans="3:16" ht="23.65" thickBot="1">
      <c r="C603" s="10" t="s">
        <v>51</v>
      </c>
      <c r="D603" s="11">
        <v>596</v>
      </c>
      <c r="E603" s="11" t="s">
        <v>52</v>
      </c>
      <c r="F603" s="11">
        <f>'Guarantees provided'!G597</f>
        <v>0</v>
      </c>
      <c r="G603" s="11">
        <f>'Guarantees provided'!A597</f>
        <v>0</v>
      </c>
      <c r="H603" s="11">
        <f>IF('Guarantees provided'!B597="#",'Guarantees provided'!C597,'Guarantees provided'!B597)</f>
        <v>0</v>
      </c>
      <c r="I603" s="11" t="str">
        <f>IF('Guarantees provided'!B597="#","Type of identifier, other than LEI or MFI code","LEI code")</f>
        <v>LEI code</v>
      </c>
      <c r="J603" s="14" t="str">
        <f>IF(OR('Guarantees provided'!H597="E",'Guarantees provided'!H597="x"),"True","False")</f>
        <v>False</v>
      </c>
      <c r="K603" s="11" t="s">
        <v>53</v>
      </c>
      <c r="L603" s="11" t="s">
        <v>54</v>
      </c>
      <c r="M603" s="11">
        <f>-'Guarantees provided'!D597</f>
        <v>0</v>
      </c>
      <c r="N603" s="11" t="s">
        <v>55</v>
      </c>
      <c r="O603" s="11">
        <v>0</v>
      </c>
      <c r="P603" s="12" t="s">
        <v>56</v>
      </c>
    </row>
    <row r="604" spans="3:16" ht="23.65" thickBot="1">
      <c r="C604" s="10" t="s">
        <v>51</v>
      </c>
      <c r="D604" s="11">
        <v>597</v>
      </c>
      <c r="E604" s="11" t="s">
        <v>52</v>
      </c>
      <c r="F604" s="11">
        <f>'Guarantees provided'!G598</f>
        <v>0</v>
      </c>
      <c r="G604" s="11">
        <f>'Guarantees provided'!A598</f>
        <v>0</v>
      </c>
      <c r="H604" s="11">
        <f>IF('Guarantees provided'!B598="#",'Guarantees provided'!C598,'Guarantees provided'!B598)</f>
        <v>0</v>
      </c>
      <c r="I604" s="11" t="str">
        <f>IF('Guarantees provided'!B598="#","Type of identifier, other than LEI or MFI code","LEI code")</f>
        <v>LEI code</v>
      </c>
      <c r="J604" s="14" t="str">
        <f>IF(OR('Guarantees provided'!H598="E",'Guarantees provided'!H598="x"),"True","False")</f>
        <v>False</v>
      </c>
      <c r="K604" s="11" t="s">
        <v>53</v>
      </c>
      <c r="L604" s="11" t="s">
        <v>54</v>
      </c>
      <c r="M604" s="11">
        <f>-'Guarantees provided'!D598</f>
        <v>0</v>
      </c>
      <c r="N604" s="11" t="s">
        <v>55</v>
      </c>
      <c r="O604" s="11">
        <v>0</v>
      </c>
      <c r="P604" s="12" t="s">
        <v>56</v>
      </c>
    </row>
    <row r="605" spans="3:16" ht="23.65" thickBot="1">
      <c r="C605" s="10" t="s">
        <v>51</v>
      </c>
      <c r="D605" s="11">
        <v>598</v>
      </c>
      <c r="E605" s="11" t="s">
        <v>52</v>
      </c>
      <c r="F605" s="11">
        <f>'Guarantees provided'!G599</f>
        <v>0</v>
      </c>
      <c r="G605" s="11">
        <f>'Guarantees provided'!A599</f>
        <v>0</v>
      </c>
      <c r="H605" s="11">
        <f>IF('Guarantees provided'!B599="#",'Guarantees provided'!C599,'Guarantees provided'!B599)</f>
        <v>0</v>
      </c>
      <c r="I605" s="11" t="str">
        <f>IF('Guarantees provided'!B599="#","Type of identifier, other than LEI or MFI code","LEI code")</f>
        <v>LEI code</v>
      </c>
      <c r="J605" s="14" t="str">
        <f>IF(OR('Guarantees provided'!H599="E",'Guarantees provided'!H599="x"),"True","False")</f>
        <v>False</v>
      </c>
      <c r="K605" s="11" t="s">
        <v>53</v>
      </c>
      <c r="L605" s="11" t="s">
        <v>54</v>
      </c>
      <c r="M605" s="11">
        <f>-'Guarantees provided'!D599</f>
        <v>0</v>
      </c>
      <c r="N605" s="11" t="s">
        <v>55</v>
      </c>
      <c r="O605" s="11">
        <v>0</v>
      </c>
      <c r="P605" s="12" t="s">
        <v>56</v>
      </c>
    </row>
    <row r="606" spans="3:16" ht="23.65" thickBot="1">
      <c r="C606" s="10" t="s">
        <v>51</v>
      </c>
      <c r="D606" s="11">
        <v>599</v>
      </c>
      <c r="E606" s="11" t="s">
        <v>52</v>
      </c>
      <c r="F606" s="11">
        <f>'Guarantees provided'!G600</f>
        <v>0</v>
      </c>
      <c r="G606" s="11">
        <f>'Guarantees provided'!A600</f>
        <v>0</v>
      </c>
      <c r="H606" s="11">
        <f>IF('Guarantees provided'!B600="#",'Guarantees provided'!C600,'Guarantees provided'!B600)</f>
        <v>0</v>
      </c>
      <c r="I606" s="11" t="str">
        <f>IF('Guarantees provided'!B600="#","Type of identifier, other than LEI or MFI code","LEI code")</f>
        <v>LEI code</v>
      </c>
      <c r="J606" s="14" t="str">
        <f>IF(OR('Guarantees provided'!H600="E",'Guarantees provided'!H600="x"),"True","False")</f>
        <v>False</v>
      </c>
      <c r="K606" s="11" t="s">
        <v>53</v>
      </c>
      <c r="L606" s="11" t="s">
        <v>54</v>
      </c>
      <c r="M606" s="11">
        <f>-'Guarantees provided'!D600</f>
        <v>0</v>
      </c>
      <c r="N606" s="11" t="s">
        <v>55</v>
      </c>
      <c r="O606" s="11">
        <v>0</v>
      </c>
      <c r="P606" s="12" t="s">
        <v>56</v>
      </c>
    </row>
    <row r="607" spans="3:16" ht="23.65" thickBot="1">
      <c r="C607" s="10" t="s">
        <v>51</v>
      </c>
      <c r="D607" s="11">
        <v>600</v>
      </c>
      <c r="E607" s="11" t="s">
        <v>52</v>
      </c>
      <c r="F607" s="11">
        <f>'Guarantees provided'!G601</f>
        <v>0</v>
      </c>
      <c r="G607" s="11">
        <f>'Guarantees provided'!A601</f>
        <v>0</v>
      </c>
      <c r="H607" s="11">
        <f>IF('Guarantees provided'!B601="#",'Guarantees provided'!C601,'Guarantees provided'!B601)</f>
        <v>0</v>
      </c>
      <c r="I607" s="11" t="str">
        <f>IF('Guarantees provided'!B601="#","Type of identifier, other than LEI or MFI code","LEI code")</f>
        <v>LEI code</v>
      </c>
      <c r="J607" s="14" t="str">
        <f>IF(OR('Guarantees provided'!H601="E",'Guarantees provided'!H601="x"),"True","False")</f>
        <v>False</v>
      </c>
      <c r="K607" s="11" t="s">
        <v>53</v>
      </c>
      <c r="L607" s="11" t="s">
        <v>54</v>
      </c>
      <c r="M607" s="11">
        <f>-'Guarantees provided'!D601</f>
        <v>0</v>
      </c>
      <c r="N607" s="11" t="s">
        <v>55</v>
      </c>
      <c r="O607" s="11">
        <v>0</v>
      </c>
      <c r="P607" s="12" t="s">
        <v>56</v>
      </c>
    </row>
    <row r="608" spans="3:16" ht="23.65" thickBot="1">
      <c r="C608" s="10" t="s">
        <v>51</v>
      </c>
      <c r="D608" s="11">
        <v>601</v>
      </c>
      <c r="E608" s="11" t="s">
        <v>52</v>
      </c>
      <c r="F608" s="11">
        <f>'Guarantees provided'!G602</f>
        <v>0</v>
      </c>
      <c r="G608" s="11">
        <f>'Guarantees provided'!A602</f>
        <v>0</v>
      </c>
      <c r="H608" s="11">
        <f>IF('Guarantees provided'!B602="#",'Guarantees provided'!C602,'Guarantees provided'!B602)</f>
        <v>0</v>
      </c>
      <c r="I608" s="11" t="str">
        <f>IF('Guarantees provided'!B602="#","Type of identifier, other than LEI or MFI code","LEI code")</f>
        <v>LEI code</v>
      </c>
      <c r="J608" s="14" t="str">
        <f>IF(OR('Guarantees provided'!H602="E",'Guarantees provided'!H602="x"),"True","False")</f>
        <v>False</v>
      </c>
      <c r="K608" s="11" t="s">
        <v>53</v>
      </c>
      <c r="L608" s="11" t="s">
        <v>54</v>
      </c>
      <c r="M608" s="11">
        <f>-'Guarantees provided'!D602</f>
        <v>0</v>
      </c>
      <c r="N608" s="11" t="s">
        <v>55</v>
      </c>
      <c r="O608" s="11">
        <v>0</v>
      </c>
      <c r="P608" s="12" t="s">
        <v>56</v>
      </c>
    </row>
    <row r="609" spans="3:16" ht="23.65" thickBot="1">
      <c r="C609" s="10" t="s">
        <v>51</v>
      </c>
      <c r="D609" s="11">
        <v>602</v>
      </c>
      <c r="E609" s="11" t="s">
        <v>52</v>
      </c>
      <c r="F609" s="11">
        <f>'Guarantees provided'!G603</f>
        <v>0</v>
      </c>
      <c r="G609" s="11">
        <f>'Guarantees provided'!A603</f>
        <v>0</v>
      </c>
      <c r="H609" s="11">
        <f>IF('Guarantees provided'!B603="#",'Guarantees provided'!C603,'Guarantees provided'!B603)</f>
        <v>0</v>
      </c>
      <c r="I609" s="11" t="str">
        <f>IF('Guarantees provided'!B603="#","Type of identifier, other than LEI or MFI code","LEI code")</f>
        <v>LEI code</v>
      </c>
      <c r="J609" s="14" t="str">
        <f>IF(OR('Guarantees provided'!H603="E",'Guarantees provided'!H603="x"),"True","False")</f>
        <v>False</v>
      </c>
      <c r="K609" s="11" t="s">
        <v>53</v>
      </c>
      <c r="L609" s="11" t="s">
        <v>54</v>
      </c>
      <c r="M609" s="11">
        <f>-'Guarantees provided'!D603</f>
        <v>0</v>
      </c>
      <c r="N609" s="11" t="s">
        <v>55</v>
      </c>
      <c r="O609" s="11">
        <v>0</v>
      </c>
      <c r="P609" s="12" t="s">
        <v>56</v>
      </c>
    </row>
    <row r="610" spans="3:16" ht="23.65" thickBot="1">
      <c r="C610" s="10" t="s">
        <v>51</v>
      </c>
      <c r="D610" s="11">
        <v>603</v>
      </c>
      <c r="E610" s="11" t="s">
        <v>52</v>
      </c>
      <c r="F610" s="11">
        <f>'Guarantees provided'!G604</f>
        <v>0</v>
      </c>
      <c r="G610" s="11">
        <f>'Guarantees provided'!A604</f>
        <v>0</v>
      </c>
      <c r="H610" s="11">
        <f>IF('Guarantees provided'!B604="#",'Guarantees provided'!C604,'Guarantees provided'!B604)</f>
        <v>0</v>
      </c>
      <c r="I610" s="11" t="str">
        <f>IF('Guarantees provided'!B604="#","Type of identifier, other than LEI or MFI code","LEI code")</f>
        <v>LEI code</v>
      </c>
      <c r="J610" s="14" t="str">
        <f>IF(OR('Guarantees provided'!H604="E",'Guarantees provided'!H604="x"),"True","False")</f>
        <v>False</v>
      </c>
      <c r="K610" s="11" t="s">
        <v>53</v>
      </c>
      <c r="L610" s="11" t="s">
        <v>54</v>
      </c>
      <c r="M610" s="11">
        <f>-'Guarantees provided'!D604</f>
        <v>0</v>
      </c>
      <c r="N610" s="11" t="s">
        <v>55</v>
      </c>
      <c r="O610" s="11">
        <v>0</v>
      </c>
      <c r="P610" s="12" t="s">
        <v>56</v>
      </c>
    </row>
    <row r="611" spans="3:16" ht="23.65" thickBot="1">
      <c r="C611" s="10" t="s">
        <v>51</v>
      </c>
      <c r="D611" s="11">
        <v>604</v>
      </c>
      <c r="E611" s="11" t="s">
        <v>52</v>
      </c>
      <c r="F611" s="11">
        <f>'Guarantees provided'!G605</f>
        <v>0</v>
      </c>
      <c r="G611" s="11">
        <f>'Guarantees provided'!A605</f>
        <v>0</v>
      </c>
      <c r="H611" s="11">
        <f>IF('Guarantees provided'!B605="#",'Guarantees provided'!C605,'Guarantees provided'!B605)</f>
        <v>0</v>
      </c>
      <c r="I611" s="11" t="str">
        <f>IF('Guarantees provided'!B605="#","Type of identifier, other than LEI or MFI code","LEI code")</f>
        <v>LEI code</v>
      </c>
      <c r="J611" s="14" t="str">
        <f>IF(OR('Guarantees provided'!H605="E",'Guarantees provided'!H605="x"),"True","False")</f>
        <v>False</v>
      </c>
      <c r="K611" s="11" t="s">
        <v>53</v>
      </c>
      <c r="L611" s="11" t="s">
        <v>54</v>
      </c>
      <c r="M611" s="11">
        <f>-'Guarantees provided'!D605</f>
        <v>0</v>
      </c>
      <c r="N611" s="11" t="s">
        <v>55</v>
      </c>
      <c r="O611" s="11">
        <v>0</v>
      </c>
      <c r="P611" s="12" t="s">
        <v>56</v>
      </c>
    </row>
    <row r="612" spans="3:16" ht="23.65" thickBot="1">
      <c r="C612" s="10" t="s">
        <v>51</v>
      </c>
      <c r="D612" s="11">
        <v>605</v>
      </c>
      <c r="E612" s="11" t="s">
        <v>52</v>
      </c>
      <c r="F612" s="11">
        <f>'Guarantees provided'!G606</f>
        <v>0</v>
      </c>
      <c r="G612" s="11">
        <f>'Guarantees provided'!A606</f>
        <v>0</v>
      </c>
      <c r="H612" s="11">
        <f>IF('Guarantees provided'!B606="#",'Guarantees provided'!C606,'Guarantees provided'!B606)</f>
        <v>0</v>
      </c>
      <c r="I612" s="11" t="str">
        <f>IF('Guarantees provided'!B606="#","Type of identifier, other than LEI or MFI code","LEI code")</f>
        <v>LEI code</v>
      </c>
      <c r="J612" s="14" t="str">
        <f>IF(OR('Guarantees provided'!H606="E",'Guarantees provided'!H606="x"),"True","False")</f>
        <v>False</v>
      </c>
      <c r="K612" s="11" t="s">
        <v>53</v>
      </c>
      <c r="L612" s="11" t="s">
        <v>54</v>
      </c>
      <c r="M612" s="11">
        <f>-'Guarantees provided'!D606</f>
        <v>0</v>
      </c>
      <c r="N612" s="11" t="s">
        <v>55</v>
      </c>
      <c r="O612" s="11">
        <v>0</v>
      </c>
      <c r="P612" s="12" t="s">
        <v>56</v>
      </c>
    </row>
    <row r="613" spans="3:16" ht="23.65" thickBot="1">
      <c r="C613" s="10" t="s">
        <v>51</v>
      </c>
      <c r="D613" s="11">
        <v>606</v>
      </c>
      <c r="E613" s="11" t="s">
        <v>52</v>
      </c>
      <c r="F613" s="11">
        <f>'Guarantees provided'!G607</f>
        <v>0</v>
      </c>
      <c r="G613" s="11">
        <f>'Guarantees provided'!A607</f>
        <v>0</v>
      </c>
      <c r="H613" s="11">
        <f>IF('Guarantees provided'!B607="#",'Guarantees provided'!C607,'Guarantees provided'!B607)</f>
        <v>0</v>
      </c>
      <c r="I613" s="11" t="str">
        <f>IF('Guarantees provided'!B607="#","Type of identifier, other than LEI or MFI code","LEI code")</f>
        <v>LEI code</v>
      </c>
      <c r="J613" s="14" t="str">
        <f>IF(OR('Guarantees provided'!H607="E",'Guarantees provided'!H607="x"),"True","False")</f>
        <v>False</v>
      </c>
      <c r="K613" s="11" t="s">
        <v>53</v>
      </c>
      <c r="L613" s="11" t="s">
        <v>54</v>
      </c>
      <c r="M613" s="11">
        <f>-'Guarantees provided'!D607</f>
        <v>0</v>
      </c>
      <c r="N613" s="11" t="s">
        <v>55</v>
      </c>
      <c r="O613" s="11">
        <v>0</v>
      </c>
      <c r="P613" s="12" t="s">
        <v>56</v>
      </c>
    </row>
    <row r="614" spans="3:16" ht="23.65" thickBot="1">
      <c r="C614" s="10" t="s">
        <v>51</v>
      </c>
      <c r="D614" s="11">
        <v>607</v>
      </c>
      <c r="E614" s="11" t="s">
        <v>52</v>
      </c>
      <c r="F614" s="11">
        <f>'Guarantees provided'!G608</f>
        <v>0</v>
      </c>
      <c r="G614" s="11">
        <f>'Guarantees provided'!A608</f>
        <v>0</v>
      </c>
      <c r="H614" s="11">
        <f>IF('Guarantees provided'!B608="#",'Guarantees provided'!C608,'Guarantees provided'!B608)</f>
        <v>0</v>
      </c>
      <c r="I614" s="11" t="str">
        <f>IF('Guarantees provided'!B608="#","Type of identifier, other than LEI or MFI code","LEI code")</f>
        <v>LEI code</v>
      </c>
      <c r="J614" s="14" t="str">
        <f>IF(OR('Guarantees provided'!H608="E",'Guarantees provided'!H608="x"),"True","False")</f>
        <v>False</v>
      </c>
      <c r="K614" s="11" t="s">
        <v>53</v>
      </c>
      <c r="L614" s="11" t="s">
        <v>54</v>
      </c>
      <c r="M614" s="11">
        <f>-'Guarantees provided'!D608</f>
        <v>0</v>
      </c>
      <c r="N614" s="11" t="s">
        <v>55</v>
      </c>
      <c r="O614" s="11">
        <v>0</v>
      </c>
      <c r="P614" s="12" t="s">
        <v>56</v>
      </c>
    </row>
    <row r="615" spans="3:16" ht="23.65" thickBot="1">
      <c r="C615" s="10" t="s">
        <v>51</v>
      </c>
      <c r="D615" s="11">
        <v>608</v>
      </c>
      <c r="E615" s="11" t="s">
        <v>52</v>
      </c>
      <c r="F615" s="11">
        <f>'Guarantees provided'!G609</f>
        <v>0</v>
      </c>
      <c r="G615" s="11">
        <f>'Guarantees provided'!A609</f>
        <v>0</v>
      </c>
      <c r="H615" s="11">
        <f>IF('Guarantees provided'!B609="#",'Guarantees provided'!C609,'Guarantees provided'!B609)</f>
        <v>0</v>
      </c>
      <c r="I615" s="11" t="str">
        <f>IF('Guarantees provided'!B609="#","Type of identifier, other than LEI or MFI code","LEI code")</f>
        <v>LEI code</v>
      </c>
      <c r="J615" s="14" t="str">
        <f>IF(OR('Guarantees provided'!H609="E",'Guarantees provided'!H609="x"),"True","False")</f>
        <v>False</v>
      </c>
      <c r="K615" s="11" t="s">
        <v>53</v>
      </c>
      <c r="L615" s="11" t="s">
        <v>54</v>
      </c>
      <c r="M615" s="11">
        <f>-'Guarantees provided'!D609</f>
        <v>0</v>
      </c>
      <c r="N615" s="11" t="s">
        <v>55</v>
      </c>
      <c r="O615" s="11">
        <v>0</v>
      </c>
      <c r="P615" s="12" t="s">
        <v>56</v>
      </c>
    </row>
    <row r="616" spans="3:16" ht="23.65" thickBot="1">
      <c r="C616" s="10" t="s">
        <v>51</v>
      </c>
      <c r="D616" s="11">
        <v>609</v>
      </c>
      <c r="E616" s="11" t="s">
        <v>52</v>
      </c>
      <c r="F616" s="11">
        <f>'Guarantees provided'!G610</f>
        <v>0</v>
      </c>
      <c r="G616" s="11">
        <f>'Guarantees provided'!A610</f>
        <v>0</v>
      </c>
      <c r="H616" s="11">
        <f>IF('Guarantees provided'!B610="#",'Guarantees provided'!C610,'Guarantees provided'!B610)</f>
        <v>0</v>
      </c>
      <c r="I616" s="11" t="str">
        <f>IF('Guarantees provided'!B610="#","Type of identifier, other than LEI or MFI code","LEI code")</f>
        <v>LEI code</v>
      </c>
      <c r="J616" s="14" t="str">
        <f>IF(OR('Guarantees provided'!H610="E",'Guarantees provided'!H610="x"),"True","False")</f>
        <v>False</v>
      </c>
      <c r="K616" s="11" t="s">
        <v>53</v>
      </c>
      <c r="L616" s="11" t="s">
        <v>54</v>
      </c>
      <c r="M616" s="11">
        <f>-'Guarantees provided'!D610</f>
        <v>0</v>
      </c>
      <c r="N616" s="11" t="s">
        <v>55</v>
      </c>
      <c r="O616" s="11">
        <v>0</v>
      </c>
      <c r="P616" s="12" t="s">
        <v>56</v>
      </c>
    </row>
    <row r="617" spans="3:16" ht="23.65" thickBot="1">
      <c r="C617" s="10" t="s">
        <v>51</v>
      </c>
      <c r="D617" s="11">
        <v>610</v>
      </c>
      <c r="E617" s="11" t="s">
        <v>52</v>
      </c>
      <c r="F617" s="11">
        <f>'Guarantees provided'!G611</f>
        <v>0</v>
      </c>
      <c r="G617" s="11">
        <f>'Guarantees provided'!A611</f>
        <v>0</v>
      </c>
      <c r="H617" s="11">
        <f>IF('Guarantees provided'!B611="#",'Guarantees provided'!C611,'Guarantees provided'!B611)</f>
        <v>0</v>
      </c>
      <c r="I617" s="11" t="str">
        <f>IF('Guarantees provided'!B611="#","Type of identifier, other than LEI or MFI code","LEI code")</f>
        <v>LEI code</v>
      </c>
      <c r="J617" s="14" t="str">
        <f>IF(OR('Guarantees provided'!H611="E",'Guarantees provided'!H611="x"),"True","False")</f>
        <v>False</v>
      </c>
      <c r="K617" s="11" t="s">
        <v>53</v>
      </c>
      <c r="L617" s="11" t="s">
        <v>54</v>
      </c>
      <c r="M617" s="11">
        <f>-'Guarantees provided'!D611</f>
        <v>0</v>
      </c>
      <c r="N617" s="11" t="s">
        <v>55</v>
      </c>
      <c r="O617" s="11">
        <v>0</v>
      </c>
      <c r="P617" s="12" t="s">
        <v>56</v>
      </c>
    </row>
    <row r="618" spans="3:16" ht="23.65" thickBot="1">
      <c r="C618" s="10" t="s">
        <v>51</v>
      </c>
      <c r="D618" s="11">
        <v>611</v>
      </c>
      <c r="E618" s="11" t="s">
        <v>52</v>
      </c>
      <c r="F618" s="11">
        <f>'Guarantees provided'!G612</f>
        <v>0</v>
      </c>
      <c r="G618" s="11">
        <f>'Guarantees provided'!A612</f>
        <v>0</v>
      </c>
      <c r="H618" s="11">
        <f>IF('Guarantees provided'!B612="#",'Guarantees provided'!C612,'Guarantees provided'!B612)</f>
        <v>0</v>
      </c>
      <c r="I618" s="11" t="str">
        <f>IF('Guarantees provided'!B612="#","Type of identifier, other than LEI or MFI code","LEI code")</f>
        <v>LEI code</v>
      </c>
      <c r="J618" s="14" t="str">
        <f>IF(OR('Guarantees provided'!H612="E",'Guarantees provided'!H612="x"),"True","False")</f>
        <v>False</v>
      </c>
      <c r="K618" s="11" t="s">
        <v>53</v>
      </c>
      <c r="L618" s="11" t="s">
        <v>54</v>
      </c>
      <c r="M618" s="11">
        <f>-'Guarantees provided'!D612</f>
        <v>0</v>
      </c>
      <c r="N618" s="11" t="s">
        <v>55</v>
      </c>
      <c r="O618" s="11">
        <v>0</v>
      </c>
      <c r="P618" s="12" t="s">
        <v>56</v>
      </c>
    </row>
    <row r="619" spans="3:16" ht="23.65" thickBot="1">
      <c r="C619" s="10" t="s">
        <v>51</v>
      </c>
      <c r="D619" s="11">
        <v>612</v>
      </c>
      <c r="E619" s="11" t="s">
        <v>52</v>
      </c>
      <c r="F619" s="11">
        <f>'Guarantees provided'!G613</f>
        <v>0</v>
      </c>
      <c r="G619" s="11">
        <f>'Guarantees provided'!A613</f>
        <v>0</v>
      </c>
      <c r="H619" s="11">
        <f>IF('Guarantees provided'!B613="#",'Guarantees provided'!C613,'Guarantees provided'!B613)</f>
        <v>0</v>
      </c>
      <c r="I619" s="11" t="str">
        <f>IF('Guarantees provided'!B613="#","Type of identifier, other than LEI or MFI code","LEI code")</f>
        <v>LEI code</v>
      </c>
      <c r="J619" s="14" t="str">
        <f>IF(OR('Guarantees provided'!H613="E",'Guarantees provided'!H613="x"),"True","False")</f>
        <v>False</v>
      </c>
      <c r="K619" s="11" t="s">
        <v>53</v>
      </c>
      <c r="L619" s="11" t="s">
        <v>54</v>
      </c>
      <c r="M619" s="11">
        <f>-'Guarantees provided'!D613</f>
        <v>0</v>
      </c>
      <c r="N619" s="11" t="s">
        <v>55</v>
      </c>
      <c r="O619" s="11">
        <v>0</v>
      </c>
      <c r="P619" s="12" t="s">
        <v>56</v>
      </c>
    </row>
    <row r="620" spans="3:16" ht="23.65" thickBot="1">
      <c r="C620" s="10" t="s">
        <v>51</v>
      </c>
      <c r="D620" s="11">
        <v>613</v>
      </c>
      <c r="E620" s="11" t="s">
        <v>52</v>
      </c>
      <c r="F620" s="11">
        <f>'Guarantees provided'!G614</f>
        <v>0</v>
      </c>
      <c r="G620" s="11">
        <f>'Guarantees provided'!A614</f>
        <v>0</v>
      </c>
      <c r="H620" s="11">
        <f>IF('Guarantees provided'!B614="#",'Guarantees provided'!C614,'Guarantees provided'!B614)</f>
        <v>0</v>
      </c>
      <c r="I620" s="11" t="str">
        <f>IF('Guarantees provided'!B614="#","Type of identifier, other than LEI or MFI code","LEI code")</f>
        <v>LEI code</v>
      </c>
      <c r="J620" s="14" t="str">
        <f>IF(OR('Guarantees provided'!H614="E",'Guarantees provided'!H614="x"),"True","False")</f>
        <v>False</v>
      </c>
      <c r="K620" s="11" t="s">
        <v>53</v>
      </c>
      <c r="L620" s="11" t="s">
        <v>54</v>
      </c>
      <c r="M620" s="11">
        <f>-'Guarantees provided'!D614</f>
        <v>0</v>
      </c>
      <c r="N620" s="11" t="s">
        <v>55</v>
      </c>
      <c r="O620" s="11">
        <v>0</v>
      </c>
      <c r="P620" s="12" t="s">
        <v>56</v>
      </c>
    </row>
    <row r="621" spans="3:16" ht="23.65" thickBot="1">
      <c r="C621" s="10" t="s">
        <v>51</v>
      </c>
      <c r="D621" s="11">
        <v>614</v>
      </c>
      <c r="E621" s="11" t="s">
        <v>52</v>
      </c>
      <c r="F621" s="11">
        <f>'Guarantees provided'!G615</f>
        <v>0</v>
      </c>
      <c r="G621" s="11">
        <f>'Guarantees provided'!A615</f>
        <v>0</v>
      </c>
      <c r="H621" s="11">
        <f>IF('Guarantees provided'!B615="#",'Guarantees provided'!C615,'Guarantees provided'!B615)</f>
        <v>0</v>
      </c>
      <c r="I621" s="11" t="str">
        <f>IF('Guarantees provided'!B615="#","Type of identifier, other than LEI or MFI code","LEI code")</f>
        <v>LEI code</v>
      </c>
      <c r="J621" s="14" t="str">
        <f>IF(OR('Guarantees provided'!H615="E",'Guarantees provided'!H615="x"),"True","False")</f>
        <v>False</v>
      </c>
      <c r="K621" s="11" t="s">
        <v>53</v>
      </c>
      <c r="L621" s="11" t="s">
        <v>54</v>
      </c>
      <c r="M621" s="11">
        <f>-'Guarantees provided'!D615</f>
        <v>0</v>
      </c>
      <c r="N621" s="11" t="s">
        <v>55</v>
      </c>
      <c r="O621" s="11">
        <v>0</v>
      </c>
      <c r="P621" s="12" t="s">
        <v>56</v>
      </c>
    </row>
    <row r="622" spans="3:16" ht="23.65" thickBot="1">
      <c r="C622" s="10" t="s">
        <v>51</v>
      </c>
      <c r="D622" s="11">
        <v>615</v>
      </c>
      <c r="E622" s="11" t="s">
        <v>52</v>
      </c>
      <c r="F622" s="11">
        <f>'Guarantees provided'!G616</f>
        <v>0</v>
      </c>
      <c r="G622" s="11">
        <f>'Guarantees provided'!A616</f>
        <v>0</v>
      </c>
      <c r="H622" s="11">
        <f>IF('Guarantees provided'!B616="#",'Guarantees provided'!C616,'Guarantees provided'!B616)</f>
        <v>0</v>
      </c>
      <c r="I622" s="11" t="str">
        <f>IF('Guarantees provided'!B616="#","Type of identifier, other than LEI or MFI code","LEI code")</f>
        <v>LEI code</v>
      </c>
      <c r="J622" s="14" t="str">
        <f>IF(OR('Guarantees provided'!H616="E",'Guarantees provided'!H616="x"),"True","False")</f>
        <v>False</v>
      </c>
      <c r="K622" s="11" t="s">
        <v>53</v>
      </c>
      <c r="L622" s="11" t="s">
        <v>54</v>
      </c>
      <c r="M622" s="11">
        <f>-'Guarantees provided'!D616</f>
        <v>0</v>
      </c>
      <c r="N622" s="11" t="s">
        <v>55</v>
      </c>
      <c r="O622" s="11">
        <v>0</v>
      </c>
      <c r="P622" s="12" t="s">
        <v>56</v>
      </c>
    </row>
    <row r="623" spans="3:16" ht="23.65" thickBot="1">
      <c r="C623" s="10" t="s">
        <v>51</v>
      </c>
      <c r="D623" s="11">
        <v>616</v>
      </c>
      <c r="E623" s="11" t="s">
        <v>52</v>
      </c>
      <c r="F623" s="11">
        <f>'Guarantees provided'!G617</f>
        <v>0</v>
      </c>
      <c r="G623" s="11">
        <f>'Guarantees provided'!A617</f>
        <v>0</v>
      </c>
      <c r="H623" s="11">
        <f>IF('Guarantees provided'!B617="#",'Guarantees provided'!C617,'Guarantees provided'!B617)</f>
        <v>0</v>
      </c>
      <c r="I623" s="11" t="str">
        <f>IF('Guarantees provided'!B617="#","Type of identifier, other than LEI or MFI code","LEI code")</f>
        <v>LEI code</v>
      </c>
      <c r="J623" s="14" t="str">
        <f>IF(OR('Guarantees provided'!H617="E",'Guarantees provided'!H617="x"),"True","False")</f>
        <v>False</v>
      </c>
      <c r="K623" s="11" t="s">
        <v>53</v>
      </c>
      <c r="L623" s="11" t="s">
        <v>54</v>
      </c>
      <c r="M623" s="11">
        <f>-'Guarantees provided'!D617</f>
        <v>0</v>
      </c>
      <c r="N623" s="11" t="s">
        <v>55</v>
      </c>
      <c r="O623" s="11">
        <v>0</v>
      </c>
      <c r="P623" s="12" t="s">
        <v>56</v>
      </c>
    </row>
    <row r="624" spans="3:16" ht="23.65" thickBot="1">
      <c r="C624" s="10" t="s">
        <v>51</v>
      </c>
      <c r="D624" s="11">
        <v>617</v>
      </c>
      <c r="E624" s="11" t="s">
        <v>52</v>
      </c>
      <c r="F624" s="11">
        <f>'Guarantees provided'!G618</f>
        <v>0</v>
      </c>
      <c r="G624" s="11">
        <f>'Guarantees provided'!A618</f>
        <v>0</v>
      </c>
      <c r="H624" s="11">
        <f>IF('Guarantees provided'!B618="#",'Guarantees provided'!C618,'Guarantees provided'!B618)</f>
        <v>0</v>
      </c>
      <c r="I624" s="11" t="str">
        <f>IF('Guarantees provided'!B618="#","Type of identifier, other than LEI or MFI code","LEI code")</f>
        <v>LEI code</v>
      </c>
      <c r="J624" s="14" t="str">
        <f>IF(OR('Guarantees provided'!H618="E",'Guarantees provided'!H618="x"),"True","False")</f>
        <v>False</v>
      </c>
      <c r="K624" s="11" t="s">
        <v>53</v>
      </c>
      <c r="L624" s="11" t="s">
        <v>54</v>
      </c>
      <c r="M624" s="11">
        <f>-'Guarantees provided'!D618</f>
        <v>0</v>
      </c>
      <c r="N624" s="11" t="s">
        <v>55</v>
      </c>
      <c r="O624" s="11">
        <v>0</v>
      </c>
      <c r="P624" s="12" t="s">
        <v>56</v>
      </c>
    </row>
    <row r="625" spans="3:16" ht="23.65" thickBot="1">
      <c r="C625" s="10" t="s">
        <v>51</v>
      </c>
      <c r="D625" s="11">
        <v>618</v>
      </c>
      <c r="E625" s="11" t="s">
        <v>52</v>
      </c>
      <c r="F625" s="11">
        <f>'Guarantees provided'!G619</f>
        <v>0</v>
      </c>
      <c r="G625" s="11">
        <f>'Guarantees provided'!A619</f>
        <v>0</v>
      </c>
      <c r="H625" s="11">
        <f>IF('Guarantees provided'!B619="#",'Guarantees provided'!C619,'Guarantees provided'!B619)</f>
        <v>0</v>
      </c>
      <c r="I625" s="11" t="str">
        <f>IF('Guarantees provided'!B619="#","Type of identifier, other than LEI or MFI code","LEI code")</f>
        <v>LEI code</v>
      </c>
      <c r="J625" s="14" t="str">
        <f>IF(OR('Guarantees provided'!H619="E",'Guarantees provided'!H619="x"),"True","False")</f>
        <v>False</v>
      </c>
      <c r="K625" s="11" t="s">
        <v>53</v>
      </c>
      <c r="L625" s="11" t="s">
        <v>54</v>
      </c>
      <c r="M625" s="11">
        <f>-'Guarantees provided'!D619</f>
        <v>0</v>
      </c>
      <c r="N625" s="11" t="s">
        <v>55</v>
      </c>
      <c r="O625" s="11">
        <v>0</v>
      </c>
      <c r="P625" s="12" t="s">
        <v>56</v>
      </c>
    </row>
    <row r="626" spans="3:16" ht="23.65" thickBot="1">
      <c r="C626" s="10" t="s">
        <v>51</v>
      </c>
      <c r="D626" s="11">
        <v>619</v>
      </c>
      <c r="E626" s="11" t="s">
        <v>52</v>
      </c>
      <c r="F626" s="11">
        <f>'Guarantees provided'!G620</f>
        <v>0</v>
      </c>
      <c r="G626" s="11">
        <f>'Guarantees provided'!A620</f>
        <v>0</v>
      </c>
      <c r="H626" s="11">
        <f>IF('Guarantees provided'!B620="#",'Guarantees provided'!C620,'Guarantees provided'!B620)</f>
        <v>0</v>
      </c>
      <c r="I626" s="11" t="str">
        <f>IF('Guarantees provided'!B620="#","Type of identifier, other than LEI or MFI code","LEI code")</f>
        <v>LEI code</v>
      </c>
      <c r="J626" s="14" t="str">
        <f>IF(OR('Guarantees provided'!H620="E",'Guarantees provided'!H620="x"),"True","False")</f>
        <v>False</v>
      </c>
      <c r="K626" s="11" t="s">
        <v>53</v>
      </c>
      <c r="L626" s="11" t="s">
        <v>54</v>
      </c>
      <c r="M626" s="11">
        <f>-'Guarantees provided'!D620</f>
        <v>0</v>
      </c>
      <c r="N626" s="11" t="s">
        <v>55</v>
      </c>
      <c r="O626" s="11">
        <v>0</v>
      </c>
      <c r="P626" s="12" t="s">
        <v>56</v>
      </c>
    </row>
    <row r="627" spans="3:16" ht="23.65" thickBot="1">
      <c r="C627" s="10" t="s">
        <v>51</v>
      </c>
      <c r="D627" s="11">
        <v>620</v>
      </c>
      <c r="E627" s="11" t="s">
        <v>52</v>
      </c>
      <c r="F627" s="11">
        <f>'Guarantees provided'!G621</f>
        <v>0</v>
      </c>
      <c r="G627" s="11">
        <f>'Guarantees provided'!A621</f>
        <v>0</v>
      </c>
      <c r="H627" s="11">
        <f>IF('Guarantees provided'!B621="#",'Guarantees provided'!C621,'Guarantees provided'!B621)</f>
        <v>0</v>
      </c>
      <c r="I627" s="11" t="str">
        <f>IF('Guarantees provided'!B621="#","Type of identifier, other than LEI or MFI code","LEI code")</f>
        <v>LEI code</v>
      </c>
      <c r="J627" s="14" t="str">
        <f>IF(OR('Guarantees provided'!H621="E",'Guarantees provided'!H621="x"),"True","False")</f>
        <v>False</v>
      </c>
      <c r="K627" s="11" t="s">
        <v>53</v>
      </c>
      <c r="L627" s="11" t="s">
        <v>54</v>
      </c>
      <c r="M627" s="11">
        <f>-'Guarantees provided'!D621</f>
        <v>0</v>
      </c>
      <c r="N627" s="11" t="s">
        <v>55</v>
      </c>
      <c r="O627" s="11">
        <v>0</v>
      </c>
      <c r="P627" s="12" t="s">
        <v>56</v>
      </c>
    </row>
    <row r="628" spans="3:16" ht="23.65" thickBot="1">
      <c r="C628" s="10" t="s">
        <v>51</v>
      </c>
      <c r="D628" s="11">
        <v>621</v>
      </c>
      <c r="E628" s="11" t="s">
        <v>52</v>
      </c>
      <c r="F628" s="11">
        <f>'Guarantees provided'!G622</f>
        <v>0</v>
      </c>
      <c r="G628" s="11">
        <f>'Guarantees provided'!A622</f>
        <v>0</v>
      </c>
      <c r="H628" s="11">
        <f>IF('Guarantees provided'!B622="#",'Guarantees provided'!C622,'Guarantees provided'!B622)</f>
        <v>0</v>
      </c>
      <c r="I628" s="11" t="str">
        <f>IF('Guarantees provided'!B622="#","Type of identifier, other than LEI or MFI code","LEI code")</f>
        <v>LEI code</v>
      </c>
      <c r="J628" s="14" t="str">
        <f>IF(OR('Guarantees provided'!H622="E",'Guarantees provided'!H622="x"),"True","False")</f>
        <v>False</v>
      </c>
      <c r="K628" s="11" t="s">
        <v>53</v>
      </c>
      <c r="L628" s="11" t="s">
        <v>54</v>
      </c>
      <c r="M628" s="11">
        <f>-'Guarantees provided'!D622</f>
        <v>0</v>
      </c>
      <c r="N628" s="11" t="s">
        <v>55</v>
      </c>
      <c r="O628" s="11">
        <v>0</v>
      </c>
      <c r="P628" s="12" t="s">
        <v>56</v>
      </c>
    </row>
    <row r="629" spans="3:16" ht="23.65" thickBot="1">
      <c r="C629" s="10" t="s">
        <v>51</v>
      </c>
      <c r="D629" s="11">
        <v>622</v>
      </c>
      <c r="E629" s="11" t="s">
        <v>52</v>
      </c>
      <c r="F629" s="11">
        <f>'Guarantees provided'!G623</f>
        <v>0</v>
      </c>
      <c r="G629" s="11">
        <f>'Guarantees provided'!A623</f>
        <v>0</v>
      </c>
      <c r="H629" s="11">
        <f>IF('Guarantees provided'!B623="#",'Guarantees provided'!C623,'Guarantees provided'!B623)</f>
        <v>0</v>
      </c>
      <c r="I629" s="11" t="str">
        <f>IF('Guarantees provided'!B623="#","Type of identifier, other than LEI or MFI code","LEI code")</f>
        <v>LEI code</v>
      </c>
      <c r="J629" s="14" t="str">
        <f>IF(OR('Guarantees provided'!H623="E",'Guarantees provided'!H623="x"),"True","False")</f>
        <v>False</v>
      </c>
      <c r="K629" s="11" t="s">
        <v>53</v>
      </c>
      <c r="L629" s="11" t="s">
        <v>54</v>
      </c>
      <c r="M629" s="11">
        <f>-'Guarantees provided'!D623</f>
        <v>0</v>
      </c>
      <c r="N629" s="11" t="s">
        <v>55</v>
      </c>
      <c r="O629" s="11">
        <v>0</v>
      </c>
      <c r="P629" s="12" t="s">
        <v>56</v>
      </c>
    </row>
    <row r="630" spans="3:16" ht="23.65" thickBot="1">
      <c r="C630" s="10" t="s">
        <v>51</v>
      </c>
      <c r="D630" s="11">
        <v>623</v>
      </c>
      <c r="E630" s="11" t="s">
        <v>52</v>
      </c>
      <c r="F630" s="11">
        <f>'Guarantees provided'!G624</f>
        <v>0</v>
      </c>
      <c r="G630" s="11">
        <f>'Guarantees provided'!A624</f>
        <v>0</v>
      </c>
      <c r="H630" s="11">
        <f>IF('Guarantees provided'!B624="#",'Guarantees provided'!C624,'Guarantees provided'!B624)</f>
        <v>0</v>
      </c>
      <c r="I630" s="11" t="str">
        <f>IF('Guarantees provided'!B624="#","Type of identifier, other than LEI or MFI code","LEI code")</f>
        <v>LEI code</v>
      </c>
      <c r="J630" s="14" t="str">
        <f>IF(OR('Guarantees provided'!H624="E",'Guarantees provided'!H624="x"),"True","False")</f>
        <v>False</v>
      </c>
      <c r="K630" s="11" t="s">
        <v>53</v>
      </c>
      <c r="L630" s="11" t="s">
        <v>54</v>
      </c>
      <c r="M630" s="11">
        <f>-'Guarantees provided'!D624</f>
        <v>0</v>
      </c>
      <c r="N630" s="11" t="s">
        <v>55</v>
      </c>
      <c r="O630" s="11">
        <v>0</v>
      </c>
      <c r="P630" s="12" t="s">
        <v>56</v>
      </c>
    </row>
    <row r="631" spans="3:16" ht="23.65" thickBot="1">
      <c r="C631" s="10" t="s">
        <v>51</v>
      </c>
      <c r="D631" s="11">
        <v>624</v>
      </c>
      <c r="E631" s="11" t="s">
        <v>52</v>
      </c>
      <c r="F631" s="11">
        <f>'Guarantees provided'!G625</f>
        <v>0</v>
      </c>
      <c r="G631" s="11">
        <f>'Guarantees provided'!A625</f>
        <v>0</v>
      </c>
      <c r="H631" s="11">
        <f>IF('Guarantees provided'!B625="#",'Guarantees provided'!C625,'Guarantees provided'!B625)</f>
        <v>0</v>
      </c>
      <c r="I631" s="11" t="str">
        <f>IF('Guarantees provided'!B625="#","Type of identifier, other than LEI or MFI code","LEI code")</f>
        <v>LEI code</v>
      </c>
      <c r="J631" s="14" t="str">
        <f>IF(OR('Guarantees provided'!H625="E",'Guarantees provided'!H625="x"),"True","False")</f>
        <v>False</v>
      </c>
      <c r="K631" s="11" t="s">
        <v>53</v>
      </c>
      <c r="L631" s="11" t="s">
        <v>54</v>
      </c>
      <c r="M631" s="11">
        <f>-'Guarantees provided'!D625</f>
        <v>0</v>
      </c>
      <c r="N631" s="11" t="s">
        <v>55</v>
      </c>
      <c r="O631" s="11">
        <v>0</v>
      </c>
      <c r="P631" s="12" t="s">
        <v>56</v>
      </c>
    </row>
    <row r="632" spans="3:16" ht="23.65" thickBot="1">
      <c r="C632" s="10" t="s">
        <v>51</v>
      </c>
      <c r="D632" s="11">
        <v>625</v>
      </c>
      <c r="E632" s="11" t="s">
        <v>52</v>
      </c>
      <c r="F632" s="11">
        <f>'Guarantees provided'!G626</f>
        <v>0</v>
      </c>
      <c r="G632" s="11">
        <f>'Guarantees provided'!A626</f>
        <v>0</v>
      </c>
      <c r="H632" s="11">
        <f>IF('Guarantees provided'!B626="#",'Guarantees provided'!C626,'Guarantees provided'!B626)</f>
        <v>0</v>
      </c>
      <c r="I632" s="11" t="str">
        <f>IF('Guarantees provided'!B626="#","Type of identifier, other than LEI or MFI code","LEI code")</f>
        <v>LEI code</v>
      </c>
      <c r="J632" s="14" t="str">
        <f>IF(OR('Guarantees provided'!H626="E",'Guarantees provided'!H626="x"),"True","False")</f>
        <v>False</v>
      </c>
      <c r="K632" s="11" t="s">
        <v>53</v>
      </c>
      <c r="L632" s="11" t="s">
        <v>54</v>
      </c>
      <c r="M632" s="11">
        <f>-'Guarantees provided'!D626</f>
        <v>0</v>
      </c>
      <c r="N632" s="11" t="s">
        <v>55</v>
      </c>
      <c r="O632" s="11">
        <v>0</v>
      </c>
      <c r="P632" s="12" t="s">
        <v>56</v>
      </c>
    </row>
    <row r="633" spans="3:16" ht="23.65" thickBot="1">
      <c r="C633" s="10" t="s">
        <v>51</v>
      </c>
      <c r="D633" s="11">
        <v>626</v>
      </c>
      <c r="E633" s="11" t="s">
        <v>52</v>
      </c>
      <c r="F633" s="11">
        <f>'Guarantees provided'!G627</f>
        <v>0</v>
      </c>
      <c r="G633" s="11">
        <f>'Guarantees provided'!A627</f>
        <v>0</v>
      </c>
      <c r="H633" s="11">
        <f>IF('Guarantees provided'!B627="#",'Guarantees provided'!C627,'Guarantees provided'!B627)</f>
        <v>0</v>
      </c>
      <c r="I633" s="11" t="str">
        <f>IF('Guarantees provided'!B627="#","Type of identifier, other than LEI or MFI code","LEI code")</f>
        <v>LEI code</v>
      </c>
      <c r="J633" s="14" t="str">
        <f>IF(OR('Guarantees provided'!H627="E",'Guarantees provided'!H627="x"),"True","False")</f>
        <v>False</v>
      </c>
      <c r="K633" s="11" t="s">
        <v>53</v>
      </c>
      <c r="L633" s="11" t="s">
        <v>54</v>
      </c>
      <c r="M633" s="11">
        <f>-'Guarantees provided'!D627</f>
        <v>0</v>
      </c>
      <c r="N633" s="11" t="s">
        <v>55</v>
      </c>
      <c r="O633" s="11">
        <v>0</v>
      </c>
      <c r="P633" s="12" t="s">
        <v>56</v>
      </c>
    </row>
    <row r="634" spans="3:16" ht="23.65" thickBot="1">
      <c r="C634" s="10" t="s">
        <v>51</v>
      </c>
      <c r="D634" s="11">
        <v>627</v>
      </c>
      <c r="E634" s="11" t="s">
        <v>52</v>
      </c>
      <c r="F634" s="11">
        <f>'Guarantees provided'!G628</f>
        <v>0</v>
      </c>
      <c r="G634" s="11">
        <f>'Guarantees provided'!A628</f>
        <v>0</v>
      </c>
      <c r="H634" s="11">
        <f>IF('Guarantees provided'!B628="#",'Guarantees provided'!C628,'Guarantees provided'!B628)</f>
        <v>0</v>
      </c>
      <c r="I634" s="11" t="str">
        <f>IF('Guarantees provided'!B628="#","Type of identifier, other than LEI or MFI code","LEI code")</f>
        <v>LEI code</v>
      </c>
      <c r="J634" s="14" t="str">
        <f>IF(OR('Guarantees provided'!H628="E",'Guarantees provided'!H628="x"),"True","False")</f>
        <v>False</v>
      </c>
      <c r="K634" s="11" t="s">
        <v>53</v>
      </c>
      <c r="L634" s="11" t="s">
        <v>54</v>
      </c>
      <c r="M634" s="11">
        <f>-'Guarantees provided'!D628</f>
        <v>0</v>
      </c>
      <c r="N634" s="11" t="s">
        <v>55</v>
      </c>
      <c r="O634" s="11">
        <v>0</v>
      </c>
      <c r="P634" s="12" t="s">
        <v>56</v>
      </c>
    </row>
    <row r="635" spans="3:16" ht="23.65" thickBot="1">
      <c r="C635" s="10" t="s">
        <v>51</v>
      </c>
      <c r="D635" s="11">
        <v>628</v>
      </c>
      <c r="E635" s="11" t="s">
        <v>52</v>
      </c>
      <c r="F635" s="11">
        <f>'Guarantees provided'!G629</f>
        <v>0</v>
      </c>
      <c r="G635" s="11">
        <f>'Guarantees provided'!A629</f>
        <v>0</v>
      </c>
      <c r="H635" s="11">
        <f>IF('Guarantees provided'!B629="#",'Guarantees provided'!C629,'Guarantees provided'!B629)</f>
        <v>0</v>
      </c>
      <c r="I635" s="11" t="str">
        <f>IF('Guarantees provided'!B629="#","Type of identifier, other than LEI or MFI code","LEI code")</f>
        <v>LEI code</v>
      </c>
      <c r="J635" s="14" t="str">
        <f>IF(OR('Guarantees provided'!H629="E",'Guarantees provided'!H629="x"),"True","False")</f>
        <v>False</v>
      </c>
      <c r="K635" s="11" t="s">
        <v>53</v>
      </c>
      <c r="L635" s="11" t="s">
        <v>54</v>
      </c>
      <c r="M635" s="11">
        <f>-'Guarantees provided'!D629</f>
        <v>0</v>
      </c>
      <c r="N635" s="11" t="s">
        <v>55</v>
      </c>
      <c r="O635" s="11">
        <v>0</v>
      </c>
      <c r="P635" s="12" t="s">
        <v>56</v>
      </c>
    </row>
    <row r="636" spans="3:16" ht="23.65" thickBot="1">
      <c r="C636" s="10" t="s">
        <v>51</v>
      </c>
      <c r="D636" s="11">
        <v>629</v>
      </c>
      <c r="E636" s="11" t="s">
        <v>52</v>
      </c>
      <c r="F636" s="11">
        <f>'Guarantees provided'!G630</f>
        <v>0</v>
      </c>
      <c r="G636" s="11">
        <f>'Guarantees provided'!A630</f>
        <v>0</v>
      </c>
      <c r="H636" s="11">
        <f>IF('Guarantees provided'!B630="#",'Guarantees provided'!C630,'Guarantees provided'!B630)</f>
        <v>0</v>
      </c>
      <c r="I636" s="11" t="str">
        <f>IF('Guarantees provided'!B630="#","Type of identifier, other than LEI or MFI code","LEI code")</f>
        <v>LEI code</v>
      </c>
      <c r="J636" s="14" t="str">
        <f>IF(OR('Guarantees provided'!H630="E",'Guarantees provided'!H630="x"),"True","False")</f>
        <v>False</v>
      </c>
      <c r="K636" s="11" t="s">
        <v>53</v>
      </c>
      <c r="L636" s="11" t="s">
        <v>54</v>
      </c>
      <c r="M636" s="11">
        <f>-'Guarantees provided'!D630</f>
        <v>0</v>
      </c>
      <c r="N636" s="11" t="s">
        <v>55</v>
      </c>
      <c r="O636" s="11">
        <v>0</v>
      </c>
      <c r="P636" s="12" t="s">
        <v>56</v>
      </c>
    </row>
    <row r="637" spans="3:16" ht="23.65" thickBot="1">
      <c r="C637" s="10" t="s">
        <v>51</v>
      </c>
      <c r="D637" s="11">
        <v>630</v>
      </c>
      <c r="E637" s="11" t="s">
        <v>52</v>
      </c>
      <c r="F637" s="11">
        <f>'Guarantees provided'!G631</f>
        <v>0</v>
      </c>
      <c r="G637" s="11">
        <f>'Guarantees provided'!A631</f>
        <v>0</v>
      </c>
      <c r="H637" s="11">
        <f>IF('Guarantees provided'!B631="#",'Guarantees provided'!C631,'Guarantees provided'!B631)</f>
        <v>0</v>
      </c>
      <c r="I637" s="11" t="str">
        <f>IF('Guarantees provided'!B631="#","Type of identifier, other than LEI or MFI code","LEI code")</f>
        <v>LEI code</v>
      </c>
      <c r="J637" s="14" t="str">
        <f>IF(OR('Guarantees provided'!H631="E",'Guarantees provided'!H631="x"),"True","False")</f>
        <v>False</v>
      </c>
      <c r="K637" s="11" t="s">
        <v>53</v>
      </c>
      <c r="L637" s="11" t="s">
        <v>54</v>
      </c>
      <c r="M637" s="11">
        <f>-'Guarantees provided'!D631</f>
        <v>0</v>
      </c>
      <c r="N637" s="11" t="s">
        <v>55</v>
      </c>
      <c r="O637" s="11">
        <v>0</v>
      </c>
      <c r="P637" s="12" t="s">
        <v>56</v>
      </c>
    </row>
    <row r="638" spans="3:16" ht="23.65" thickBot="1">
      <c r="C638" s="10" t="s">
        <v>51</v>
      </c>
      <c r="D638" s="11">
        <v>631</v>
      </c>
      <c r="E638" s="11" t="s">
        <v>52</v>
      </c>
      <c r="F638" s="11">
        <f>'Guarantees provided'!G632</f>
        <v>0</v>
      </c>
      <c r="G638" s="11">
        <f>'Guarantees provided'!A632</f>
        <v>0</v>
      </c>
      <c r="H638" s="11">
        <f>IF('Guarantees provided'!B632="#",'Guarantees provided'!C632,'Guarantees provided'!B632)</f>
        <v>0</v>
      </c>
      <c r="I638" s="11" t="str">
        <f>IF('Guarantees provided'!B632="#","Type of identifier, other than LEI or MFI code","LEI code")</f>
        <v>LEI code</v>
      </c>
      <c r="J638" s="14" t="str">
        <f>IF(OR('Guarantees provided'!H632="E",'Guarantees provided'!H632="x"),"True","False")</f>
        <v>False</v>
      </c>
      <c r="K638" s="11" t="s">
        <v>53</v>
      </c>
      <c r="L638" s="11" t="s">
        <v>54</v>
      </c>
      <c r="M638" s="11">
        <f>-'Guarantees provided'!D632</f>
        <v>0</v>
      </c>
      <c r="N638" s="11" t="s">
        <v>55</v>
      </c>
      <c r="O638" s="11">
        <v>0</v>
      </c>
      <c r="P638" s="12" t="s">
        <v>56</v>
      </c>
    </row>
    <row r="639" spans="3:16" ht="23.65" thickBot="1">
      <c r="C639" s="10" t="s">
        <v>51</v>
      </c>
      <c r="D639" s="11">
        <v>632</v>
      </c>
      <c r="E639" s="11" t="s">
        <v>52</v>
      </c>
      <c r="F639" s="11">
        <f>'Guarantees provided'!G633</f>
        <v>0</v>
      </c>
      <c r="G639" s="11">
        <f>'Guarantees provided'!A633</f>
        <v>0</v>
      </c>
      <c r="H639" s="11">
        <f>IF('Guarantees provided'!B633="#",'Guarantees provided'!C633,'Guarantees provided'!B633)</f>
        <v>0</v>
      </c>
      <c r="I639" s="11" t="str">
        <f>IF('Guarantees provided'!B633="#","Type of identifier, other than LEI or MFI code","LEI code")</f>
        <v>LEI code</v>
      </c>
      <c r="J639" s="14" t="str">
        <f>IF(OR('Guarantees provided'!H633="E",'Guarantees provided'!H633="x"),"True","False")</f>
        <v>False</v>
      </c>
      <c r="K639" s="11" t="s">
        <v>53</v>
      </c>
      <c r="L639" s="11" t="s">
        <v>54</v>
      </c>
      <c r="M639" s="11">
        <f>-'Guarantees provided'!D633</f>
        <v>0</v>
      </c>
      <c r="N639" s="11" t="s">
        <v>55</v>
      </c>
      <c r="O639" s="11">
        <v>0</v>
      </c>
      <c r="P639" s="12" t="s">
        <v>56</v>
      </c>
    </row>
    <row r="640" spans="3:16" ht="23.65" thickBot="1">
      <c r="C640" s="10" t="s">
        <v>51</v>
      </c>
      <c r="D640" s="11">
        <v>633</v>
      </c>
      <c r="E640" s="11" t="s">
        <v>52</v>
      </c>
      <c r="F640" s="11">
        <f>'Guarantees provided'!G634</f>
        <v>0</v>
      </c>
      <c r="G640" s="11">
        <f>'Guarantees provided'!A634</f>
        <v>0</v>
      </c>
      <c r="H640" s="11">
        <f>IF('Guarantees provided'!B634="#",'Guarantees provided'!C634,'Guarantees provided'!B634)</f>
        <v>0</v>
      </c>
      <c r="I640" s="11" t="str">
        <f>IF('Guarantees provided'!B634="#","Type of identifier, other than LEI or MFI code","LEI code")</f>
        <v>LEI code</v>
      </c>
      <c r="J640" s="14" t="str">
        <f>IF(OR('Guarantees provided'!H634="E",'Guarantees provided'!H634="x"),"True","False")</f>
        <v>False</v>
      </c>
      <c r="K640" s="11" t="s">
        <v>53</v>
      </c>
      <c r="L640" s="11" t="s">
        <v>54</v>
      </c>
      <c r="M640" s="11">
        <f>-'Guarantees provided'!D634</f>
        <v>0</v>
      </c>
      <c r="N640" s="11" t="s">
        <v>55</v>
      </c>
      <c r="O640" s="11">
        <v>0</v>
      </c>
      <c r="P640" s="12" t="s">
        <v>56</v>
      </c>
    </row>
    <row r="641" spans="3:16" ht="23.65" thickBot="1">
      <c r="C641" s="10" t="s">
        <v>51</v>
      </c>
      <c r="D641" s="11">
        <v>634</v>
      </c>
      <c r="E641" s="11" t="s">
        <v>52</v>
      </c>
      <c r="F641" s="11">
        <f>'Guarantees provided'!G635</f>
        <v>0</v>
      </c>
      <c r="G641" s="11">
        <f>'Guarantees provided'!A635</f>
        <v>0</v>
      </c>
      <c r="H641" s="11">
        <f>IF('Guarantees provided'!B635="#",'Guarantees provided'!C635,'Guarantees provided'!B635)</f>
        <v>0</v>
      </c>
      <c r="I641" s="11" t="str">
        <f>IF('Guarantees provided'!B635="#","Type of identifier, other than LEI or MFI code","LEI code")</f>
        <v>LEI code</v>
      </c>
      <c r="J641" s="14" t="str">
        <f>IF(OR('Guarantees provided'!H635="E",'Guarantees provided'!H635="x"),"True","False")</f>
        <v>False</v>
      </c>
      <c r="K641" s="11" t="s">
        <v>53</v>
      </c>
      <c r="L641" s="11" t="s">
        <v>54</v>
      </c>
      <c r="M641" s="11">
        <f>-'Guarantees provided'!D635</f>
        <v>0</v>
      </c>
      <c r="N641" s="11" t="s">
        <v>55</v>
      </c>
      <c r="O641" s="11">
        <v>0</v>
      </c>
      <c r="P641" s="12" t="s">
        <v>56</v>
      </c>
    </row>
    <row r="642" spans="3:16" ht="23.65" thickBot="1">
      <c r="C642" s="10" t="s">
        <v>51</v>
      </c>
      <c r="D642" s="11">
        <v>635</v>
      </c>
      <c r="E642" s="11" t="s">
        <v>52</v>
      </c>
      <c r="F642" s="11">
        <f>'Guarantees provided'!G636</f>
        <v>0</v>
      </c>
      <c r="G642" s="11">
        <f>'Guarantees provided'!A636</f>
        <v>0</v>
      </c>
      <c r="H642" s="11">
        <f>IF('Guarantees provided'!B636="#",'Guarantees provided'!C636,'Guarantees provided'!B636)</f>
        <v>0</v>
      </c>
      <c r="I642" s="11" t="str">
        <f>IF('Guarantees provided'!B636="#","Type of identifier, other than LEI or MFI code","LEI code")</f>
        <v>LEI code</v>
      </c>
      <c r="J642" s="14" t="str">
        <f>IF(OR('Guarantees provided'!H636="E",'Guarantees provided'!H636="x"),"True","False")</f>
        <v>False</v>
      </c>
      <c r="K642" s="11" t="s">
        <v>53</v>
      </c>
      <c r="L642" s="11" t="s">
        <v>54</v>
      </c>
      <c r="M642" s="11">
        <f>-'Guarantees provided'!D636</f>
        <v>0</v>
      </c>
      <c r="N642" s="11" t="s">
        <v>55</v>
      </c>
      <c r="O642" s="11">
        <v>0</v>
      </c>
      <c r="P642" s="12" t="s">
        <v>56</v>
      </c>
    </row>
    <row r="643" spans="3:16" ht="23.65" thickBot="1">
      <c r="C643" s="10" t="s">
        <v>51</v>
      </c>
      <c r="D643" s="11">
        <v>636</v>
      </c>
      <c r="E643" s="11" t="s">
        <v>52</v>
      </c>
      <c r="F643" s="11">
        <f>'Guarantees provided'!G637</f>
        <v>0</v>
      </c>
      <c r="G643" s="11">
        <f>'Guarantees provided'!A637</f>
        <v>0</v>
      </c>
      <c r="H643" s="11">
        <f>IF('Guarantees provided'!B637="#",'Guarantees provided'!C637,'Guarantees provided'!B637)</f>
        <v>0</v>
      </c>
      <c r="I643" s="11" t="str">
        <f>IF('Guarantees provided'!B637="#","Type of identifier, other than LEI or MFI code","LEI code")</f>
        <v>LEI code</v>
      </c>
      <c r="J643" s="14" t="str">
        <f>IF(OR('Guarantees provided'!H637="E",'Guarantees provided'!H637="x"),"True","False")</f>
        <v>False</v>
      </c>
      <c r="K643" s="11" t="s">
        <v>53</v>
      </c>
      <c r="L643" s="11" t="s">
        <v>54</v>
      </c>
      <c r="M643" s="11">
        <f>-'Guarantees provided'!D637</f>
        <v>0</v>
      </c>
      <c r="N643" s="11" t="s">
        <v>55</v>
      </c>
      <c r="O643" s="11">
        <v>0</v>
      </c>
      <c r="P643" s="12" t="s">
        <v>56</v>
      </c>
    </row>
    <row r="644" spans="3:16" ht="23.65" thickBot="1">
      <c r="C644" s="10" t="s">
        <v>51</v>
      </c>
      <c r="D644" s="11">
        <v>637</v>
      </c>
      <c r="E644" s="11" t="s">
        <v>52</v>
      </c>
      <c r="F644" s="11">
        <f>'Guarantees provided'!G638</f>
        <v>0</v>
      </c>
      <c r="G644" s="11">
        <f>'Guarantees provided'!A638</f>
        <v>0</v>
      </c>
      <c r="H644" s="11">
        <f>IF('Guarantees provided'!B638="#",'Guarantees provided'!C638,'Guarantees provided'!B638)</f>
        <v>0</v>
      </c>
      <c r="I644" s="11" t="str">
        <f>IF('Guarantees provided'!B638="#","Type of identifier, other than LEI or MFI code","LEI code")</f>
        <v>LEI code</v>
      </c>
      <c r="J644" s="14" t="str">
        <f>IF(OR('Guarantees provided'!H638="E",'Guarantees provided'!H638="x"),"True","False")</f>
        <v>False</v>
      </c>
      <c r="K644" s="11" t="s">
        <v>53</v>
      </c>
      <c r="L644" s="11" t="s">
        <v>54</v>
      </c>
      <c r="M644" s="11">
        <f>-'Guarantees provided'!D638</f>
        <v>0</v>
      </c>
      <c r="N644" s="11" t="s">
        <v>55</v>
      </c>
      <c r="O644" s="11">
        <v>0</v>
      </c>
      <c r="P644" s="12" t="s">
        <v>56</v>
      </c>
    </row>
    <row r="645" spans="3:16" ht="23.65" thickBot="1">
      <c r="C645" s="10" t="s">
        <v>51</v>
      </c>
      <c r="D645" s="11">
        <v>638</v>
      </c>
      <c r="E645" s="11" t="s">
        <v>52</v>
      </c>
      <c r="F645" s="11">
        <f>'Guarantees provided'!G639</f>
        <v>0</v>
      </c>
      <c r="G645" s="11">
        <f>'Guarantees provided'!A639</f>
        <v>0</v>
      </c>
      <c r="H645" s="11">
        <f>IF('Guarantees provided'!B639="#",'Guarantees provided'!C639,'Guarantees provided'!B639)</f>
        <v>0</v>
      </c>
      <c r="I645" s="11" t="str">
        <f>IF('Guarantees provided'!B639="#","Type of identifier, other than LEI or MFI code","LEI code")</f>
        <v>LEI code</v>
      </c>
      <c r="J645" s="14" t="str">
        <f>IF(OR('Guarantees provided'!H639="E",'Guarantees provided'!H639="x"),"True","False")</f>
        <v>False</v>
      </c>
      <c r="K645" s="11" t="s">
        <v>53</v>
      </c>
      <c r="L645" s="11" t="s">
        <v>54</v>
      </c>
      <c r="M645" s="11">
        <f>-'Guarantees provided'!D639</f>
        <v>0</v>
      </c>
      <c r="N645" s="11" t="s">
        <v>55</v>
      </c>
      <c r="O645" s="11">
        <v>0</v>
      </c>
      <c r="P645" s="12" t="s">
        <v>56</v>
      </c>
    </row>
    <row r="646" spans="3:16" ht="23.65" thickBot="1">
      <c r="C646" s="10" t="s">
        <v>51</v>
      </c>
      <c r="D646" s="11">
        <v>639</v>
      </c>
      <c r="E646" s="11" t="s">
        <v>52</v>
      </c>
      <c r="F646" s="11">
        <f>'Guarantees provided'!G640</f>
        <v>0</v>
      </c>
      <c r="G646" s="11">
        <f>'Guarantees provided'!A640</f>
        <v>0</v>
      </c>
      <c r="H646" s="11">
        <f>IF('Guarantees provided'!B640="#",'Guarantees provided'!C640,'Guarantees provided'!B640)</f>
        <v>0</v>
      </c>
      <c r="I646" s="11" t="str">
        <f>IF('Guarantees provided'!B640="#","Type of identifier, other than LEI or MFI code","LEI code")</f>
        <v>LEI code</v>
      </c>
      <c r="J646" s="14" t="str">
        <f>IF(OR('Guarantees provided'!H640="E",'Guarantees provided'!H640="x"),"True","False")</f>
        <v>False</v>
      </c>
      <c r="K646" s="11" t="s">
        <v>53</v>
      </c>
      <c r="L646" s="11" t="s">
        <v>54</v>
      </c>
      <c r="M646" s="11">
        <f>-'Guarantees provided'!D640</f>
        <v>0</v>
      </c>
      <c r="N646" s="11" t="s">
        <v>55</v>
      </c>
      <c r="O646" s="11">
        <v>0</v>
      </c>
      <c r="P646" s="12" t="s">
        <v>56</v>
      </c>
    </row>
    <row r="647" spans="3:16" ht="23.65" thickBot="1">
      <c r="C647" s="10" t="s">
        <v>51</v>
      </c>
      <c r="D647" s="11">
        <v>640</v>
      </c>
      <c r="E647" s="11" t="s">
        <v>52</v>
      </c>
      <c r="F647" s="11">
        <f>'Guarantees provided'!G641</f>
        <v>0</v>
      </c>
      <c r="G647" s="11">
        <f>'Guarantees provided'!A641</f>
        <v>0</v>
      </c>
      <c r="H647" s="11">
        <f>IF('Guarantees provided'!B641="#",'Guarantees provided'!C641,'Guarantees provided'!B641)</f>
        <v>0</v>
      </c>
      <c r="I647" s="11" t="str">
        <f>IF('Guarantees provided'!B641="#","Type of identifier, other than LEI or MFI code","LEI code")</f>
        <v>LEI code</v>
      </c>
      <c r="J647" s="14" t="str">
        <f>IF(OR('Guarantees provided'!H641="E",'Guarantees provided'!H641="x"),"True","False")</f>
        <v>False</v>
      </c>
      <c r="K647" s="11" t="s">
        <v>53</v>
      </c>
      <c r="L647" s="11" t="s">
        <v>54</v>
      </c>
      <c r="M647" s="11">
        <f>-'Guarantees provided'!D641</f>
        <v>0</v>
      </c>
      <c r="N647" s="11" t="s">
        <v>55</v>
      </c>
      <c r="O647" s="11">
        <v>0</v>
      </c>
      <c r="P647" s="12" t="s">
        <v>56</v>
      </c>
    </row>
    <row r="648" spans="3:16" ht="23.65" thickBot="1">
      <c r="C648" s="10" t="s">
        <v>51</v>
      </c>
      <c r="D648" s="11">
        <v>641</v>
      </c>
      <c r="E648" s="11" t="s">
        <v>52</v>
      </c>
      <c r="F648" s="11">
        <f>'Guarantees provided'!G642</f>
        <v>0</v>
      </c>
      <c r="G648" s="11">
        <f>'Guarantees provided'!A642</f>
        <v>0</v>
      </c>
      <c r="H648" s="11">
        <f>IF('Guarantees provided'!B642="#",'Guarantees provided'!C642,'Guarantees provided'!B642)</f>
        <v>0</v>
      </c>
      <c r="I648" s="11" t="str">
        <f>IF('Guarantees provided'!B642="#","Type of identifier, other than LEI or MFI code","LEI code")</f>
        <v>LEI code</v>
      </c>
      <c r="J648" s="14" t="str">
        <f>IF(OR('Guarantees provided'!H642="E",'Guarantees provided'!H642="x"),"True","False")</f>
        <v>False</v>
      </c>
      <c r="K648" s="11" t="s">
        <v>53</v>
      </c>
      <c r="L648" s="11" t="s">
        <v>54</v>
      </c>
      <c r="M648" s="11">
        <f>-'Guarantees provided'!D642</f>
        <v>0</v>
      </c>
      <c r="N648" s="11" t="s">
        <v>55</v>
      </c>
      <c r="O648" s="11">
        <v>0</v>
      </c>
      <c r="P648" s="12" t="s">
        <v>56</v>
      </c>
    </row>
    <row r="649" spans="3:16" ht="23.65" thickBot="1">
      <c r="C649" s="10" t="s">
        <v>51</v>
      </c>
      <c r="D649" s="11">
        <v>642</v>
      </c>
      <c r="E649" s="11" t="s">
        <v>52</v>
      </c>
      <c r="F649" s="11">
        <f>'Guarantees provided'!G643</f>
        <v>0</v>
      </c>
      <c r="G649" s="11">
        <f>'Guarantees provided'!A643</f>
        <v>0</v>
      </c>
      <c r="H649" s="11">
        <f>IF('Guarantees provided'!B643="#",'Guarantees provided'!C643,'Guarantees provided'!B643)</f>
        <v>0</v>
      </c>
      <c r="I649" s="11" t="str">
        <f>IF('Guarantees provided'!B643="#","Type of identifier, other than LEI or MFI code","LEI code")</f>
        <v>LEI code</v>
      </c>
      <c r="J649" s="14" t="str">
        <f>IF(OR('Guarantees provided'!H643="E",'Guarantees provided'!H643="x"),"True","False")</f>
        <v>False</v>
      </c>
      <c r="K649" s="11" t="s">
        <v>53</v>
      </c>
      <c r="L649" s="11" t="s">
        <v>54</v>
      </c>
      <c r="M649" s="11">
        <f>-'Guarantees provided'!D643</f>
        <v>0</v>
      </c>
      <c r="N649" s="11" t="s">
        <v>55</v>
      </c>
      <c r="O649" s="11">
        <v>0</v>
      </c>
      <c r="P649" s="12" t="s">
        <v>56</v>
      </c>
    </row>
    <row r="650" spans="3:16" ht="23.65" thickBot="1">
      <c r="C650" s="10" t="s">
        <v>51</v>
      </c>
      <c r="D650" s="11">
        <v>643</v>
      </c>
      <c r="E650" s="11" t="s">
        <v>52</v>
      </c>
      <c r="F650" s="11">
        <f>'Guarantees provided'!G644</f>
        <v>0</v>
      </c>
      <c r="G650" s="11">
        <f>'Guarantees provided'!A644</f>
        <v>0</v>
      </c>
      <c r="H650" s="11">
        <f>IF('Guarantees provided'!B644="#",'Guarantees provided'!C644,'Guarantees provided'!B644)</f>
        <v>0</v>
      </c>
      <c r="I650" s="11" t="str">
        <f>IF('Guarantees provided'!B644="#","Type of identifier, other than LEI or MFI code","LEI code")</f>
        <v>LEI code</v>
      </c>
      <c r="J650" s="14" t="str">
        <f>IF(OR('Guarantees provided'!H644="E",'Guarantees provided'!H644="x"),"True","False")</f>
        <v>False</v>
      </c>
      <c r="K650" s="11" t="s">
        <v>53</v>
      </c>
      <c r="L650" s="11" t="s">
        <v>54</v>
      </c>
      <c r="M650" s="11">
        <f>-'Guarantees provided'!D644</f>
        <v>0</v>
      </c>
      <c r="N650" s="11" t="s">
        <v>55</v>
      </c>
      <c r="O650" s="11">
        <v>0</v>
      </c>
      <c r="P650" s="12" t="s">
        <v>56</v>
      </c>
    </row>
    <row r="651" spans="3:16" ht="23.65" thickBot="1">
      <c r="C651" s="10" t="s">
        <v>51</v>
      </c>
      <c r="D651" s="11">
        <v>644</v>
      </c>
      <c r="E651" s="11" t="s">
        <v>52</v>
      </c>
      <c r="F651" s="11">
        <f>'Guarantees provided'!G645</f>
        <v>0</v>
      </c>
      <c r="G651" s="11">
        <f>'Guarantees provided'!A645</f>
        <v>0</v>
      </c>
      <c r="H651" s="11">
        <f>IF('Guarantees provided'!B645="#",'Guarantees provided'!C645,'Guarantees provided'!B645)</f>
        <v>0</v>
      </c>
      <c r="I651" s="11" t="str">
        <f>IF('Guarantees provided'!B645="#","Type of identifier, other than LEI or MFI code","LEI code")</f>
        <v>LEI code</v>
      </c>
      <c r="J651" s="14" t="str">
        <f>IF(OR('Guarantees provided'!H645="E",'Guarantees provided'!H645="x"),"True","False")</f>
        <v>False</v>
      </c>
      <c r="K651" s="11" t="s">
        <v>53</v>
      </c>
      <c r="L651" s="11" t="s">
        <v>54</v>
      </c>
      <c r="M651" s="11">
        <f>-'Guarantees provided'!D645</f>
        <v>0</v>
      </c>
      <c r="N651" s="11" t="s">
        <v>55</v>
      </c>
      <c r="O651" s="11">
        <v>0</v>
      </c>
      <c r="P651" s="12" t="s">
        <v>56</v>
      </c>
    </row>
    <row r="652" spans="3:16" ht="23.65" thickBot="1">
      <c r="C652" s="10" t="s">
        <v>51</v>
      </c>
      <c r="D652" s="11">
        <v>645</v>
      </c>
      <c r="E652" s="11" t="s">
        <v>52</v>
      </c>
      <c r="F652" s="11">
        <f>'Guarantees provided'!G646</f>
        <v>0</v>
      </c>
      <c r="G652" s="11">
        <f>'Guarantees provided'!A646</f>
        <v>0</v>
      </c>
      <c r="H652" s="11">
        <f>IF('Guarantees provided'!B646="#",'Guarantees provided'!C646,'Guarantees provided'!B646)</f>
        <v>0</v>
      </c>
      <c r="I652" s="11" t="str">
        <f>IF('Guarantees provided'!B646="#","Type of identifier, other than LEI or MFI code","LEI code")</f>
        <v>LEI code</v>
      </c>
      <c r="J652" s="14" t="str">
        <f>IF(OR('Guarantees provided'!H646="E",'Guarantees provided'!H646="x"),"True","False")</f>
        <v>False</v>
      </c>
      <c r="K652" s="11" t="s">
        <v>53</v>
      </c>
      <c r="L652" s="11" t="s">
        <v>54</v>
      </c>
      <c r="M652" s="11">
        <f>-'Guarantees provided'!D646</f>
        <v>0</v>
      </c>
      <c r="N652" s="11" t="s">
        <v>55</v>
      </c>
      <c r="O652" s="11">
        <v>0</v>
      </c>
      <c r="P652" s="12" t="s">
        <v>56</v>
      </c>
    </row>
    <row r="653" spans="3:16" ht="23.65" thickBot="1">
      <c r="C653" s="10" t="s">
        <v>51</v>
      </c>
      <c r="D653" s="11">
        <v>646</v>
      </c>
      <c r="E653" s="11" t="s">
        <v>52</v>
      </c>
      <c r="F653" s="11">
        <f>'Guarantees provided'!G647</f>
        <v>0</v>
      </c>
      <c r="G653" s="11">
        <f>'Guarantees provided'!A647</f>
        <v>0</v>
      </c>
      <c r="H653" s="11">
        <f>IF('Guarantees provided'!B647="#",'Guarantees provided'!C647,'Guarantees provided'!B647)</f>
        <v>0</v>
      </c>
      <c r="I653" s="11" t="str">
        <f>IF('Guarantees provided'!B647="#","Type of identifier, other than LEI or MFI code","LEI code")</f>
        <v>LEI code</v>
      </c>
      <c r="J653" s="14" t="str">
        <f>IF(OR('Guarantees provided'!H647="E",'Guarantees provided'!H647="x"),"True","False")</f>
        <v>False</v>
      </c>
      <c r="K653" s="11" t="s">
        <v>53</v>
      </c>
      <c r="L653" s="11" t="s">
        <v>54</v>
      </c>
      <c r="M653" s="11">
        <f>-'Guarantees provided'!D647</f>
        <v>0</v>
      </c>
      <c r="N653" s="11" t="s">
        <v>55</v>
      </c>
      <c r="O653" s="11">
        <v>0</v>
      </c>
      <c r="P653" s="12" t="s">
        <v>56</v>
      </c>
    </row>
    <row r="654" spans="3:16" ht="23.65" thickBot="1">
      <c r="C654" s="10" t="s">
        <v>51</v>
      </c>
      <c r="D654" s="11">
        <v>647</v>
      </c>
      <c r="E654" s="11" t="s">
        <v>52</v>
      </c>
      <c r="F654" s="11">
        <f>'Guarantees provided'!G648</f>
        <v>0</v>
      </c>
      <c r="G654" s="11">
        <f>'Guarantees provided'!A648</f>
        <v>0</v>
      </c>
      <c r="H654" s="11">
        <f>IF('Guarantees provided'!B648="#",'Guarantees provided'!C648,'Guarantees provided'!B648)</f>
        <v>0</v>
      </c>
      <c r="I654" s="11" t="str">
        <f>IF('Guarantees provided'!B648="#","Type of identifier, other than LEI or MFI code","LEI code")</f>
        <v>LEI code</v>
      </c>
      <c r="J654" s="14" t="str">
        <f>IF(OR('Guarantees provided'!H648="E",'Guarantees provided'!H648="x"),"True","False")</f>
        <v>False</v>
      </c>
      <c r="K654" s="11" t="s">
        <v>53</v>
      </c>
      <c r="L654" s="11" t="s">
        <v>54</v>
      </c>
      <c r="M654" s="11">
        <f>-'Guarantees provided'!D648</f>
        <v>0</v>
      </c>
      <c r="N654" s="11" t="s">
        <v>55</v>
      </c>
      <c r="O654" s="11">
        <v>0</v>
      </c>
      <c r="P654" s="12" t="s">
        <v>56</v>
      </c>
    </row>
    <row r="655" spans="3:16" ht="23.65" thickBot="1">
      <c r="C655" s="10" t="s">
        <v>51</v>
      </c>
      <c r="D655" s="11">
        <v>648</v>
      </c>
      <c r="E655" s="11" t="s">
        <v>52</v>
      </c>
      <c r="F655" s="11">
        <f>'Guarantees provided'!G649</f>
        <v>0</v>
      </c>
      <c r="G655" s="11">
        <f>'Guarantees provided'!A649</f>
        <v>0</v>
      </c>
      <c r="H655" s="11">
        <f>IF('Guarantees provided'!B649="#",'Guarantees provided'!C649,'Guarantees provided'!B649)</f>
        <v>0</v>
      </c>
      <c r="I655" s="11" t="str">
        <f>IF('Guarantees provided'!B649="#","Type of identifier, other than LEI or MFI code","LEI code")</f>
        <v>LEI code</v>
      </c>
      <c r="J655" s="14" t="str">
        <f>IF(OR('Guarantees provided'!H649="E",'Guarantees provided'!H649="x"),"True","False")</f>
        <v>False</v>
      </c>
      <c r="K655" s="11" t="s">
        <v>53</v>
      </c>
      <c r="L655" s="11" t="s">
        <v>54</v>
      </c>
      <c r="M655" s="11">
        <f>-'Guarantees provided'!D649</f>
        <v>0</v>
      </c>
      <c r="N655" s="11" t="s">
        <v>55</v>
      </c>
      <c r="O655" s="11">
        <v>0</v>
      </c>
      <c r="P655" s="12" t="s">
        <v>56</v>
      </c>
    </row>
    <row r="656" spans="3:16" ht="23.65" thickBot="1">
      <c r="C656" s="10" t="s">
        <v>51</v>
      </c>
      <c r="D656" s="11">
        <v>649</v>
      </c>
      <c r="E656" s="11" t="s">
        <v>52</v>
      </c>
      <c r="F656" s="11">
        <f>'Guarantees provided'!G650</f>
        <v>0</v>
      </c>
      <c r="G656" s="11">
        <f>'Guarantees provided'!A650</f>
        <v>0</v>
      </c>
      <c r="H656" s="11">
        <f>IF('Guarantees provided'!B650="#",'Guarantees provided'!C650,'Guarantees provided'!B650)</f>
        <v>0</v>
      </c>
      <c r="I656" s="11" t="str">
        <f>IF('Guarantees provided'!B650="#","Type of identifier, other than LEI or MFI code","LEI code")</f>
        <v>LEI code</v>
      </c>
      <c r="J656" s="14" t="str">
        <f>IF(OR('Guarantees provided'!H650="E",'Guarantees provided'!H650="x"),"True","False")</f>
        <v>False</v>
      </c>
      <c r="K656" s="11" t="s">
        <v>53</v>
      </c>
      <c r="L656" s="11" t="s">
        <v>54</v>
      </c>
      <c r="M656" s="11">
        <f>-'Guarantees provided'!D650</f>
        <v>0</v>
      </c>
      <c r="N656" s="11" t="s">
        <v>55</v>
      </c>
      <c r="O656" s="11">
        <v>0</v>
      </c>
      <c r="P656" s="12" t="s">
        <v>56</v>
      </c>
    </row>
    <row r="657" spans="3:16" ht="23.65" thickBot="1">
      <c r="C657" s="10" t="s">
        <v>51</v>
      </c>
      <c r="D657" s="11">
        <v>650</v>
      </c>
      <c r="E657" s="11" t="s">
        <v>52</v>
      </c>
      <c r="F657" s="11">
        <f>'Guarantees provided'!G651</f>
        <v>0</v>
      </c>
      <c r="G657" s="11">
        <f>'Guarantees provided'!A651</f>
        <v>0</v>
      </c>
      <c r="H657" s="11">
        <f>IF('Guarantees provided'!B651="#",'Guarantees provided'!C651,'Guarantees provided'!B651)</f>
        <v>0</v>
      </c>
      <c r="I657" s="11" t="str">
        <f>IF('Guarantees provided'!B651="#","Type of identifier, other than LEI or MFI code","LEI code")</f>
        <v>LEI code</v>
      </c>
      <c r="J657" s="14" t="str">
        <f>IF(OR('Guarantees provided'!H651="E",'Guarantees provided'!H651="x"),"True","False")</f>
        <v>False</v>
      </c>
      <c r="K657" s="11" t="s">
        <v>53</v>
      </c>
      <c r="L657" s="11" t="s">
        <v>54</v>
      </c>
      <c r="M657" s="11">
        <f>-'Guarantees provided'!D651</f>
        <v>0</v>
      </c>
      <c r="N657" s="11" t="s">
        <v>55</v>
      </c>
      <c r="O657" s="11">
        <v>0</v>
      </c>
      <c r="P657" s="12" t="s">
        <v>56</v>
      </c>
    </row>
    <row r="658" spans="3:16" ht="23.65" thickBot="1">
      <c r="C658" s="10" t="s">
        <v>51</v>
      </c>
      <c r="D658" s="11">
        <v>651</v>
      </c>
      <c r="E658" s="11" t="s">
        <v>52</v>
      </c>
      <c r="F658" s="11">
        <f>'Guarantees provided'!G652</f>
        <v>0</v>
      </c>
      <c r="G658" s="11">
        <f>'Guarantees provided'!A652</f>
        <v>0</v>
      </c>
      <c r="H658" s="11">
        <f>IF('Guarantees provided'!B652="#",'Guarantees provided'!C652,'Guarantees provided'!B652)</f>
        <v>0</v>
      </c>
      <c r="I658" s="11" t="str">
        <f>IF('Guarantees provided'!B652="#","Type of identifier, other than LEI or MFI code","LEI code")</f>
        <v>LEI code</v>
      </c>
      <c r="J658" s="14" t="str">
        <f>IF(OR('Guarantees provided'!H652="E",'Guarantees provided'!H652="x"),"True","False")</f>
        <v>False</v>
      </c>
      <c r="K658" s="11" t="s">
        <v>53</v>
      </c>
      <c r="L658" s="11" t="s">
        <v>54</v>
      </c>
      <c r="M658" s="11">
        <f>-'Guarantees provided'!D652</f>
        <v>0</v>
      </c>
      <c r="N658" s="11" t="s">
        <v>55</v>
      </c>
      <c r="O658" s="11">
        <v>0</v>
      </c>
      <c r="P658" s="12" t="s">
        <v>56</v>
      </c>
    </row>
    <row r="659" spans="3:16" ht="23.65" thickBot="1">
      <c r="C659" s="10" t="s">
        <v>51</v>
      </c>
      <c r="D659" s="11">
        <v>652</v>
      </c>
      <c r="E659" s="11" t="s">
        <v>52</v>
      </c>
      <c r="F659" s="11">
        <f>'Guarantees provided'!G653</f>
        <v>0</v>
      </c>
      <c r="G659" s="11">
        <f>'Guarantees provided'!A653</f>
        <v>0</v>
      </c>
      <c r="H659" s="11">
        <f>IF('Guarantees provided'!B653="#",'Guarantees provided'!C653,'Guarantees provided'!B653)</f>
        <v>0</v>
      </c>
      <c r="I659" s="11" t="str">
        <f>IF('Guarantees provided'!B653="#","Type of identifier, other than LEI or MFI code","LEI code")</f>
        <v>LEI code</v>
      </c>
      <c r="J659" s="14" t="str">
        <f>IF(OR('Guarantees provided'!H653="E",'Guarantees provided'!H653="x"),"True","False")</f>
        <v>False</v>
      </c>
      <c r="K659" s="11" t="s">
        <v>53</v>
      </c>
      <c r="L659" s="11" t="s">
        <v>54</v>
      </c>
      <c r="M659" s="11">
        <f>-'Guarantees provided'!D653</f>
        <v>0</v>
      </c>
      <c r="N659" s="11" t="s">
        <v>55</v>
      </c>
      <c r="O659" s="11">
        <v>0</v>
      </c>
      <c r="P659" s="12" t="s">
        <v>56</v>
      </c>
    </row>
    <row r="660" spans="3:16" ht="23.65" thickBot="1">
      <c r="C660" s="10" t="s">
        <v>51</v>
      </c>
      <c r="D660" s="11">
        <v>653</v>
      </c>
      <c r="E660" s="11" t="s">
        <v>52</v>
      </c>
      <c r="F660" s="11">
        <f>'Guarantees provided'!G654</f>
        <v>0</v>
      </c>
      <c r="G660" s="11">
        <f>'Guarantees provided'!A654</f>
        <v>0</v>
      </c>
      <c r="H660" s="11">
        <f>IF('Guarantees provided'!B654="#",'Guarantees provided'!C654,'Guarantees provided'!B654)</f>
        <v>0</v>
      </c>
      <c r="I660" s="11" t="str">
        <f>IF('Guarantees provided'!B654="#","Type of identifier, other than LEI or MFI code","LEI code")</f>
        <v>LEI code</v>
      </c>
      <c r="J660" s="14" t="str">
        <f>IF(OR('Guarantees provided'!H654="E",'Guarantees provided'!H654="x"),"True","False")</f>
        <v>False</v>
      </c>
      <c r="K660" s="11" t="s">
        <v>53</v>
      </c>
      <c r="L660" s="11" t="s">
        <v>54</v>
      </c>
      <c r="M660" s="11">
        <f>-'Guarantees provided'!D654</f>
        <v>0</v>
      </c>
      <c r="N660" s="11" t="s">
        <v>55</v>
      </c>
      <c r="O660" s="11">
        <v>0</v>
      </c>
      <c r="P660" s="12" t="s">
        <v>56</v>
      </c>
    </row>
    <row r="661" spans="3:16" ht="23.65" thickBot="1">
      <c r="C661" s="10" t="s">
        <v>51</v>
      </c>
      <c r="D661" s="11">
        <v>654</v>
      </c>
      <c r="E661" s="11" t="s">
        <v>52</v>
      </c>
      <c r="F661" s="11">
        <f>'Guarantees provided'!G655</f>
        <v>0</v>
      </c>
      <c r="G661" s="11">
        <f>'Guarantees provided'!A655</f>
        <v>0</v>
      </c>
      <c r="H661" s="11">
        <f>IF('Guarantees provided'!B655="#",'Guarantees provided'!C655,'Guarantees provided'!B655)</f>
        <v>0</v>
      </c>
      <c r="I661" s="11" t="str">
        <f>IF('Guarantees provided'!B655="#","Type of identifier, other than LEI or MFI code","LEI code")</f>
        <v>LEI code</v>
      </c>
      <c r="J661" s="14" t="str">
        <f>IF(OR('Guarantees provided'!H655="E",'Guarantees provided'!H655="x"),"True","False")</f>
        <v>False</v>
      </c>
      <c r="K661" s="11" t="s">
        <v>53</v>
      </c>
      <c r="L661" s="11" t="s">
        <v>54</v>
      </c>
      <c r="M661" s="11">
        <f>-'Guarantees provided'!D655</f>
        <v>0</v>
      </c>
      <c r="N661" s="11" t="s">
        <v>55</v>
      </c>
      <c r="O661" s="11">
        <v>0</v>
      </c>
      <c r="P661" s="12" t="s">
        <v>56</v>
      </c>
    </row>
    <row r="662" spans="3:16" ht="23.65" thickBot="1">
      <c r="C662" s="10" t="s">
        <v>51</v>
      </c>
      <c r="D662" s="11">
        <v>655</v>
      </c>
      <c r="E662" s="11" t="s">
        <v>52</v>
      </c>
      <c r="F662" s="11">
        <f>'Guarantees provided'!G656</f>
        <v>0</v>
      </c>
      <c r="G662" s="11">
        <f>'Guarantees provided'!A656</f>
        <v>0</v>
      </c>
      <c r="H662" s="11">
        <f>IF('Guarantees provided'!B656="#",'Guarantees provided'!C656,'Guarantees provided'!B656)</f>
        <v>0</v>
      </c>
      <c r="I662" s="11" t="str">
        <f>IF('Guarantees provided'!B656="#","Type of identifier, other than LEI or MFI code","LEI code")</f>
        <v>LEI code</v>
      </c>
      <c r="J662" s="14" t="str">
        <f>IF(OR('Guarantees provided'!H656="E",'Guarantees provided'!H656="x"),"True","False")</f>
        <v>False</v>
      </c>
      <c r="K662" s="11" t="s">
        <v>53</v>
      </c>
      <c r="L662" s="11" t="s">
        <v>54</v>
      </c>
      <c r="M662" s="11">
        <f>-'Guarantees provided'!D656</f>
        <v>0</v>
      </c>
      <c r="N662" s="11" t="s">
        <v>55</v>
      </c>
      <c r="O662" s="11">
        <v>0</v>
      </c>
      <c r="P662" s="12" t="s">
        <v>56</v>
      </c>
    </row>
    <row r="663" spans="3:16" ht="23.65" thickBot="1">
      <c r="C663" s="10" t="s">
        <v>51</v>
      </c>
      <c r="D663" s="11">
        <v>656</v>
      </c>
      <c r="E663" s="11" t="s">
        <v>52</v>
      </c>
      <c r="F663" s="11">
        <f>'Guarantees provided'!G657</f>
        <v>0</v>
      </c>
      <c r="G663" s="11">
        <f>'Guarantees provided'!A657</f>
        <v>0</v>
      </c>
      <c r="H663" s="11">
        <f>IF('Guarantees provided'!B657="#",'Guarantees provided'!C657,'Guarantees provided'!B657)</f>
        <v>0</v>
      </c>
      <c r="I663" s="11" t="str">
        <f>IF('Guarantees provided'!B657="#","Type of identifier, other than LEI or MFI code","LEI code")</f>
        <v>LEI code</v>
      </c>
      <c r="J663" s="14" t="str">
        <f>IF(OR('Guarantees provided'!H657="E",'Guarantees provided'!H657="x"),"True","False")</f>
        <v>False</v>
      </c>
      <c r="K663" s="11" t="s">
        <v>53</v>
      </c>
      <c r="L663" s="11" t="s">
        <v>54</v>
      </c>
      <c r="M663" s="11">
        <f>-'Guarantees provided'!D657</f>
        <v>0</v>
      </c>
      <c r="N663" s="11" t="s">
        <v>55</v>
      </c>
      <c r="O663" s="11">
        <v>0</v>
      </c>
      <c r="P663" s="12" t="s">
        <v>56</v>
      </c>
    </row>
    <row r="664" spans="3:16" ht="23.65" thickBot="1">
      <c r="C664" s="10" t="s">
        <v>51</v>
      </c>
      <c r="D664" s="11">
        <v>657</v>
      </c>
      <c r="E664" s="11" t="s">
        <v>52</v>
      </c>
      <c r="F664" s="11">
        <f>'Guarantees provided'!G658</f>
        <v>0</v>
      </c>
      <c r="G664" s="11">
        <f>'Guarantees provided'!A658</f>
        <v>0</v>
      </c>
      <c r="H664" s="11">
        <f>IF('Guarantees provided'!B658="#",'Guarantees provided'!C658,'Guarantees provided'!B658)</f>
        <v>0</v>
      </c>
      <c r="I664" s="11" t="str">
        <f>IF('Guarantees provided'!B658="#","Type of identifier, other than LEI or MFI code","LEI code")</f>
        <v>LEI code</v>
      </c>
      <c r="J664" s="14" t="str">
        <f>IF(OR('Guarantees provided'!H658="E",'Guarantees provided'!H658="x"),"True","False")</f>
        <v>False</v>
      </c>
      <c r="K664" s="11" t="s">
        <v>53</v>
      </c>
      <c r="L664" s="11" t="s">
        <v>54</v>
      </c>
      <c r="M664" s="11">
        <f>-'Guarantees provided'!D658</f>
        <v>0</v>
      </c>
      <c r="N664" s="11" t="s">
        <v>55</v>
      </c>
      <c r="O664" s="11">
        <v>0</v>
      </c>
      <c r="P664" s="12" t="s">
        <v>56</v>
      </c>
    </row>
    <row r="665" spans="3:16" ht="23.65" thickBot="1">
      <c r="C665" s="10" t="s">
        <v>51</v>
      </c>
      <c r="D665" s="11">
        <v>658</v>
      </c>
      <c r="E665" s="11" t="s">
        <v>52</v>
      </c>
      <c r="F665" s="11">
        <f>'Guarantees provided'!G659</f>
        <v>0</v>
      </c>
      <c r="G665" s="11">
        <f>'Guarantees provided'!A659</f>
        <v>0</v>
      </c>
      <c r="H665" s="11">
        <f>IF('Guarantees provided'!B659="#",'Guarantees provided'!C659,'Guarantees provided'!B659)</f>
        <v>0</v>
      </c>
      <c r="I665" s="11" t="str">
        <f>IF('Guarantees provided'!B659="#","Type of identifier, other than LEI or MFI code","LEI code")</f>
        <v>LEI code</v>
      </c>
      <c r="J665" s="14" t="str">
        <f>IF(OR('Guarantees provided'!H659="E",'Guarantees provided'!H659="x"),"True","False")</f>
        <v>False</v>
      </c>
      <c r="K665" s="11" t="s">
        <v>53</v>
      </c>
      <c r="L665" s="11" t="s">
        <v>54</v>
      </c>
      <c r="M665" s="11">
        <f>-'Guarantees provided'!D659</f>
        <v>0</v>
      </c>
      <c r="N665" s="11" t="s">
        <v>55</v>
      </c>
      <c r="O665" s="11">
        <v>0</v>
      </c>
      <c r="P665" s="12" t="s">
        <v>56</v>
      </c>
    </row>
    <row r="666" spans="3:16" ht="23.65" thickBot="1">
      <c r="C666" s="10" t="s">
        <v>51</v>
      </c>
      <c r="D666" s="11">
        <v>659</v>
      </c>
      <c r="E666" s="11" t="s">
        <v>52</v>
      </c>
      <c r="F666" s="11">
        <f>'Guarantees provided'!G660</f>
        <v>0</v>
      </c>
      <c r="G666" s="11">
        <f>'Guarantees provided'!A660</f>
        <v>0</v>
      </c>
      <c r="H666" s="11">
        <f>IF('Guarantees provided'!B660="#",'Guarantees provided'!C660,'Guarantees provided'!B660)</f>
        <v>0</v>
      </c>
      <c r="I666" s="11" t="str">
        <f>IF('Guarantees provided'!B660="#","Type of identifier, other than LEI or MFI code","LEI code")</f>
        <v>LEI code</v>
      </c>
      <c r="J666" s="14" t="str">
        <f>IF(OR('Guarantees provided'!H660="E",'Guarantees provided'!H660="x"),"True","False")</f>
        <v>False</v>
      </c>
      <c r="K666" s="11" t="s">
        <v>53</v>
      </c>
      <c r="L666" s="11" t="s">
        <v>54</v>
      </c>
      <c r="M666" s="11">
        <f>-'Guarantees provided'!D660</f>
        <v>0</v>
      </c>
      <c r="N666" s="11" t="s">
        <v>55</v>
      </c>
      <c r="O666" s="11">
        <v>0</v>
      </c>
      <c r="P666" s="12" t="s">
        <v>56</v>
      </c>
    </row>
    <row r="667" spans="3:16" ht="23.65" thickBot="1">
      <c r="C667" s="10" t="s">
        <v>51</v>
      </c>
      <c r="D667" s="11">
        <v>660</v>
      </c>
      <c r="E667" s="11" t="s">
        <v>52</v>
      </c>
      <c r="F667" s="11">
        <f>'Guarantees provided'!G661</f>
        <v>0</v>
      </c>
      <c r="G667" s="11">
        <f>'Guarantees provided'!A661</f>
        <v>0</v>
      </c>
      <c r="H667" s="11">
        <f>IF('Guarantees provided'!B661="#",'Guarantees provided'!C661,'Guarantees provided'!B661)</f>
        <v>0</v>
      </c>
      <c r="I667" s="11" t="str">
        <f>IF('Guarantees provided'!B661="#","Type of identifier, other than LEI or MFI code","LEI code")</f>
        <v>LEI code</v>
      </c>
      <c r="J667" s="14" t="str">
        <f>IF(OR('Guarantees provided'!H661="E",'Guarantees provided'!H661="x"),"True","False")</f>
        <v>False</v>
      </c>
      <c r="K667" s="11" t="s">
        <v>53</v>
      </c>
      <c r="L667" s="11" t="s">
        <v>54</v>
      </c>
      <c r="M667" s="11">
        <f>-'Guarantees provided'!D661</f>
        <v>0</v>
      </c>
      <c r="N667" s="11" t="s">
        <v>55</v>
      </c>
      <c r="O667" s="11">
        <v>0</v>
      </c>
      <c r="P667" s="12" t="s">
        <v>56</v>
      </c>
    </row>
    <row r="668" spans="3:16" ht="23.65" thickBot="1">
      <c r="C668" s="10" t="s">
        <v>51</v>
      </c>
      <c r="D668" s="11">
        <v>661</v>
      </c>
      <c r="E668" s="11" t="s">
        <v>52</v>
      </c>
      <c r="F668" s="11">
        <f>'Guarantees provided'!G662</f>
        <v>0</v>
      </c>
      <c r="G668" s="11">
        <f>'Guarantees provided'!A662</f>
        <v>0</v>
      </c>
      <c r="H668" s="11">
        <f>IF('Guarantees provided'!B662="#",'Guarantees provided'!C662,'Guarantees provided'!B662)</f>
        <v>0</v>
      </c>
      <c r="I668" s="11" t="str">
        <f>IF('Guarantees provided'!B662="#","Type of identifier, other than LEI or MFI code","LEI code")</f>
        <v>LEI code</v>
      </c>
      <c r="J668" s="14" t="str">
        <f>IF(OR('Guarantees provided'!H662="E",'Guarantees provided'!H662="x"),"True","False")</f>
        <v>False</v>
      </c>
      <c r="K668" s="11" t="s">
        <v>53</v>
      </c>
      <c r="L668" s="11" t="s">
        <v>54</v>
      </c>
      <c r="M668" s="11">
        <f>-'Guarantees provided'!D662</f>
        <v>0</v>
      </c>
      <c r="N668" s="11" t="s">
        <v>55</v>
      </c>
      <c r="O668" s="11">
        <v>0</v>
      </c>
      <c r="P668" s="12" t="s">
        <v>56</v>
      </c>
    </row>
    <row r="669" spans="3:16" ht="23.65" thickBot="1">
      <c r="C669" s="10" t="s">
        <v>51</v>
      </c>
      <c r="D669" s="11">
        <v>662</v>
      </c>
      <c r="E669" s="11" t="s">
        <v>52</v>
      </c>
      <c r="F669" s="11">
        <f>'Guarantees provided'!G663</f>
        <v>0</v>
      </c>
      <c r="G669" s="11">
        <f>'Guarantees provided'!A663</f>
        <v>0</v>
      </c>
      <c r="H669" s="11">
        <f>IF('Guarantees provided'!B663="#",'Guarantees provided'!C663,'Guarantees provided'!B663)</f>
        <v>0</v>
      </c>
      <c r="I669" s="11" t="str">
        <f>IF('Guarantees provided'!B663="#","Type of identifier, other than LEI or MFI code","LEI code")</f>
        <v>LEI code</v>
      </c>
      <c r="J669" s="14" t="str">
        <f>IF(OR('Guarantees provided'!H663="E",'Guarantees provided'!H663="x"),"True","False")</f>
        <v>False</v>
      </c>
      <c r="K669" s="11" t="s">
        <v>53</v>
      </c>
      <c r="L669" s="11" t="s">
        <v>54</v>
      </c>
      <c r="M669" s="11">
        <f>-'Guarantees provided'!D663</f>
        <v>0</v>
      </c>
      <c r="N669" s="11" t="s">
        <v>55</v>
      </c>
      <c r="O669" s="11">
        <v>0</v>
      </c>
      <c r="P669" s="12" t="s">
        <v>56</v>
      </c>
    </row>
    <row r="670" spans="3:16" ht="23.65" thickBot="1">
      <c r="C670" s="10" t="s">
        <v>51</v>
      </c>
      <c r="D670" s="11">
        <v>663</v>
      </c>
      <c r="E670" s="11" t="s">
        <v>52</v>
      </c>
      <c r="F670" s="11">
        <f>'Guarantees provided'!G664</f>
        <v>0</v>
      </c>
      <c r="G670" s="11">
        <f>'Guarantees provided'!A664</f>
        <v>0</v>
      </c>
      <c r="H670" s="11">
        <f>IF('Guarantees provided'!B664="#",'Guarantees provided'!C664,'Guarantees provided'!B664)</f>
        <v>0</v>
      </c>
      <c r="I670" s="11" t="str">
        <f>IF('Guarantees provided'!B664="#","Type of identifier, other than LEI or MFI code","LEI code")</f>
        <v>LEI code</v>
      </c>
      <c r="J670" s="14" t="str">
        <f>IF(OR('Guarantees provided'!H664="E",'Guarantees provided'!H664="x"),"True","False")</f>
        <v>False</v>
      </c>
      <c r="K670" s="11" t="s">
        <v>53</v>
      </c>
      <c r="L670" s="11" t="s">
        <v>54</v>
      </c>
      <c r="M670" s="11">
        <f>-'Guarantees provided'!D664</f>
        <v>0</v>
      </c>
      <c r="N670" s="11" t="s">
        <v>55</v>
      </c>
      <c r="O670" s="11">
        <v>0</v>
      </c>
      <c r="P670" s="12" t="s">
        <v>56</v>
      </c>
    </row>
    <row r="671" spans="3:16" ht="23.65" thickBot="1">
      <c r="C671" s="10" t="s">
        <v>51</v>
      </c>
      <c r="D671" s="11">
        <v>664</v>
      </c>
      <c r="E671" s="11" t="s">
        <v>52</v>
      </c>
      <c r="F671" s="11">
        <f>'Guarantees provided'!G665</f>
        <v>0</v>
      </c>
      <c r="G671" s="11">
        <f>'Guarantees provided'!A665</f>
        <v>0</v>
      </c>
      <c r="H671" s="11">
        <f>IF('Guarantees provided'!B665="#",'Guarantees provided'!C665,'Guarantees provided'!B665)</f>
        <v>0</v>
      </c>
      <c r="I671" s="11" t="str">
        <f>IF('Guarantees provided'!B665="#","Type of identifier, other than LEI or MFI code","LEI code")</f>
        <v>LEI code</v>
      </c>
      <c r="J671" s="14" t="str">
        <f>IF(OR('Guarantees provided'!H665="E",'Guarantees provided'!H665="x"),"True","False")</f>
        <v>False</v>
      </c>
      <c r="K671" s="11" t="s">
        <v>53</v>
      </c>
      <c r="L671" s="11" t="s">
        <v>54</v>
      </c>
      <c r="M671" s="11">
        <f>-'Guarantees provided'!D665</f>
        <v>0</v>
      </c>
      <c r="N671" s="11" t="s">
        <v>55</v>
      </c>
      <c r="O671" s="11">
        <v>0</v>
      </c>
      <c r="P671" s="12" t="s">
        <v>56</v>
      </c>
    </row>
    <row r="672" spans="3:16" ht="23.65" thickBot="1">
      <c r="C672" s="10" t="s">
        <v>51</v>
      </c>
      <c r="D672" s="11">
        <v>665</v>
      </c>
      <c r="E672" s="11" t="s">
        <v>52</v>
      </c>
      <c r="F672" s="11">
        <f>'Guarantees provided'!G666</f>
        <v>0</v>
      </c>
      <c r="G672" s="11">
        <f>'Guarantees provided'!A666</f>
        <v>0</v>
      </c>
      <c r="H672" s="11">
        <f>IF('Guarantees provided'!B666="#",'Guarantees provided'!C666,'Guarantees provided'!B666)</f>
        <v>0</v>
      </c>
      <c r="I672" s="11" t="str">
        <f>IF('Guarantees provided'!B666="#","Type of identifier, other than LEI or MFI code","LEI code")</f>
        <v>LEI code</v>
      </c>
      <c r="J672" s="14" t="str">
        <f>IF(OR('Guarantees provided'!H666="E",'Guarantees provided'!H666="x"),"True","False")</f>
        <v>False</v>
      </c>
      <c r="K672" s="11" t="s">
        <v>53</v>
      </c>
      <c r="L672" s="11" t="s">
        <v>54</v>
      </c>
      <c r="M672" s="11">
        <f>-'Guarantees provided'!D666</f>
        <v>0</v>
      </c>
      <c r="N672" s="11" t="s">
        <v>55</v>
      </c>
      <c r="O672" s="11">
        <v>0</v>
      </c>
      <c r="P672" s="12" t="s">
        <v>56</v>
      </c>
    </row>
    <row r="673" spans="3:16" ht="23.65" thickBot="1">
      <c r="C673" s="10" t="s">
        <v>51</v>
      </c>
      <c r="D673" s="11">
        <v>666</v>
      </c>
      <c r="E673" s="11" t="s">
        <v>52</v>
      </c>
      <c r="F673" s="11">
        <f>'Guarantees provided'!G667</f>
        <v>0</v>
      </c>
      <c r="G673" s="11">
        <f>'Guarantees provided'!A667</f>
        <v>0</v>
      </c>
      <c r="H673" s="11">
        <f>IF('Guarantees provided'!B667="#",'Guarantees provided'!C667,'Guarantees provided'!B667)</f>
        <v>0</v>
      </c>
      <c r="I673" s="11" t="str">
        <f>IF('Guarantees provided'!B667="#","Type of identifier, other than LEI or MFI code","LEI code")</f>
        <v>LEI code</v>
      </c>
      <c r="J673" s="14" t="str">
        <f>IF(OR('Guarantees provided'!H667="E",'Guarantees provided'!H667="x"),"True","False")</f>
        <v>False</v>
      </c>
      <c r="K673" s="11" t="s">
        <v>53</v>
      </c>
      <c r="L673" s="11" t="s">
        <v>54</v>
      </c>
      <c r="M673" s="11">
        <f>-'Guarantees provided'!D667</f>
        <v>0</v>
      </c>
      <c r="N673" s="11" t="s">
        <v>55</v>
      </c>
      <c r="O673" s="11">
        <v>0</v>
      </c>
      <c r="P673" s="12" t="s">
        <v>56</v>
      </c>
    </row>
    <row r="674" spans="3:16" ht="23.65" thickBot="1">
      <c r="C674" s="10" t="s">
        <v>51</v>
      </c>
      <c r="D674" s="11">
        <v>667</v>
      </c>
      <c r="E674" s="11" t="s">
        <v>52</v>
      </c>
      <c r="F674" s="11">
        <f>'Guarantees provided'!G668</f>
        <v>0</v>
      </c>
      <c r="G674" s="11">
        <f>'Guarantees provided'!A668</f>
        <v>0</v>
      </c>
      <c r="H674" s="11">
        <f>IF('Guarantees provided'!B668="#",'Guarantees provided'!C668,'Guarantees provided'!B668)</f>
        <v>0</v>
      </c>
      <c r="I674" s="11" t="str">
        <f>IF('Guarantees provided'!B668="#","Type of identifier, other than LEI or MFI code","LEI code")</f>
        <v>LEI code</v>
      </c>
      <c r="J674" s="14" t="str">
        <f>IF(OR('Guarantees provided'!H668="E",'Guarantees provided'!H668="x"),"True","False")</f>
        <v>False</v>
      </c>
      <c r="K674" s="11" t="s">
        <v>53</v>
      </c>
      <c r="L674" s="11" t="s">
        <v>54</v>
      </c>
      <c r="M674" s="11">
        <f>-'Guarantees provided'!D668</f>
        <v>0</v>
      </c>
      <c r="N674" s="11" t="s">
        <v>55</v>
      </c>
      <c r="O674" s="11">
        <v>0</v>
      </c>
      <c r="P674" s="12" t="s">
        <v>56</v>
      </c>
    </row>
    <row r="675" spans="3:16" ht="23.65" thickBot="1">
      <c r="C675" s="10" t="s">
        <v>51</v>
      </c>
      <c r="D675" s="11">
        <v>668</v>
      </c>
      <c r="E675" s="11" t="s">
        <v>52</v>
      </c>
      <c r="F675" s="11">
        <f>'Guarantees provided'!G669</f>
        <v>0</v>
      </c>
      <c r="G675" s="11">
        <f>'Guarantees provided'!A669</f>
        <v>0</v>
      </c>
      <c r="H675" s="11">
        <f>IF('Guarantees provided'!B669="#",'Guarantees provided'!C669,'Guarantees provided'!B669)</f>
        <v>0</v>
      </c>
      <c r="I675" s="11" t="str">
        <f>IF('Guarantees provided'!B669="#","Type of identifier, other than LEI or MFI code","LEI code")</f>
        <v>LEI code</v>
      </c>
      <c r="J675" s="14" t="str">
        <f>IF(OR('Guarantees provided'!H669="E",'Guarantees provided'!H669="x"),"True","False")</f>
        <v>False</v>
      </c>
      <c r="K675" s="11" t="s">
        <v>53</v>
      </c>
      <c r="L675" s="11" t="s">
        <v>54</v>
      </c>
      <c r="M675" s="11">
        <f>-'Guarantees provided'!D669</f>
        <v>0</v>
      </c>
      <c r="N675" s="11" t="s">
        <v>55</v>
      </c>
      <c r="O675" s="11">
        <v>0</v>
      </c>
      <c r="P675" s="12" t="s">
        <v>56</v>
      </c>
    </row>
    <row r="676" spans="3:16" ht="23.65" thickBot="1">
      <c r="C676" s="10" t="s">
        <v>51</v>
      </c>
      <c r="D676" s="11">
        <v>669</v>
      </c>
      <c r="E676" s="11" t="s">
        <v>52</v>
      </c>
      <c r="F676" s="11">
        <f>'Guarantees provided'!G670</f>
        <v>0</v>
      </c>
      <c r="G676" s="11">
        <f>'Guarantees provided'!A670</f>
        <v>0</v>
      </c>
      <c r="H676" s="11">
        <f>IF('Guarantees provided'!B670="#",'Guarantees provided'!C670,'Guarantees provided'!B670)</f>
        <v>0</v>
      </c>
      <c r="I676" s="11" t="str">
        <f>IF('Guarantees provided'!B670="#","Type of identifier, other than LEI or MFI code","LEI code")</f>
        <v>LEI code</v>
      </c>
      <c r="J676" s="14" t="str">
        <f>IF(OR('Guarantees provided'!H670="E",'Guarantees provided'!H670="x"),"True","False")</f>
        <v>False</v>
      </c>
      <c r="K676" s="11" t="s">
        <v>53</v>
      </c>
      <c r="L676" s="11" t="s">
        <v>54</v>
      </c>
      <c r="M676" s="11">
        <f>-'Guarantees provided'!D670</f>
        <v>0</v>
      </c>
      <c r="N676" s="11" t="s">
        <v>55</v>
      </c>
      <c r="O676" s="11">
        <v>0</v>
      </c>
      <c r="P676" s="12" t="s">
        <v>56</v>
      </c>
    </row>
    <row r="677" spans="3:16" ht="23.65" thickBot="1">
      <c r="C677" s="10" t="s">
        <v>51</v>
      </c>
      <c r="D677" s="11">
        <v>670</v>
      </c>
      <c r="E677" s="11" t="s">
        <v>52</v>
      </c>
      <c r="F677" s="11">
        <f>'Guarantees provided'!G671</f>
        <v>0</v>
      </c>
      <c r="G677" s="11">
        <f>'Guarantees provided'!A671</f>
        <v>0</v>
      </c>
      <c r="H677" s="11">
        <f>IF('Guarantees provided'!B671="#",'Guarantees provided'!C671,'Guarantees provided'!B671)</f>
        <v>0</v>
      </c>
      <c r="I677" s="11" t="str">
        <f>IF('Guarantees provided'!B671="#","Type of identifier, other than LEI or MFI code","LEI code")</f>
        <v>LEI code</v>
      </c>
      <c r="J677" s="14" t="str">
        <f>IF(OR('Guarantees provided'!H671="E",'Guarantees provided'!H671="x"),"True","False")</f>
        <v>False</v>
      </c>
      <c r="K677" s="11" t="s">
        <v>53</v>
      </c>
      <c r="L677" s="11" t="s">
        <v>54</v>
      </c>
      <c r="M677" s="11">
        <f>-'Guarantees provided'!D671</f>
        <v>0</v>
      </c>
      <c r="N677" s="11" t="s">
        <v>55</v>
      </c>
      <c r="O677" s="11">
        <v>0</v>
      </c>
      <c r="P677" s="12" t="s">
        <v>56</v>
      </c>
    </row>
    <row r="678" spans="3:16" ht="23.65" thickBot="1">
      <c r="C678" s="10" t="s">
        <v>51</v>
      </c>
      <c r="D678" s="11">
        <v>671</v>
      </c>
      <c r="E678" s="11" t="s">
        <v>52</v>
      </c>
      <c r="F678" s="11">
        <f>'Guarantees provided'!G672</f>
        <v>0</v>
      </c>
      <c r="G678" s="11">
        <f>'Guarantees provided'!A672</f>
        <v>0</v>
      </c>
      <c r="H678" s="11">
        <f>IF('Guarantees provided'!B672="#",'Guarantees provided'!C672,'Guarantees provided'!B672)</f>
        <v>0</v>
      </c>
      <c r="I678" s="11" t="str">
        <f>IF('Guarantees provided'!B672="#","Type of identifier, other than LEI or MFI code","LEI code")</f>
        <v>LEI code</v>
      </c>
      <c r="J678" s="14" t="str">
        <f>IF(OR('Guarantees provided'!H672="E",'Guarantees provided'!H672="x"),"True","False")</f>
        <v>False</v>
      </c>
      <c r="K678" s="11" t="s">
        <v>53</v>
      </c>
      <c r="L678" s="11" t="s">
        <v>54</v>
      </c>
      <c r="M678" s="11">
        <f>-'Guarantees provided'!D672</f>
        <v>0</v>
      </c>
      <c r="N678" s="11" t="s">
        <v>55</v>
      </c>
      <c r="O678" s="11">
        <v>0</v>
      </c>
      <c r="P678" s="12" t="s">
        <v>56</v>
      </c>
    </row>
    <row r="679" spans="3:16" ht="23.65" thickBot="1">
      <c r="C679" s="10" t="s">
        <v>51</v>
      </c>
      <c r="D679" s="11">
        <v>672</v>
      </c>
      <c r="E679" s="11" t="s">
        <v>52</v>
      </c>
      <c r="F679" s="11">
        <f>'Guarantees provided'!G673</f>
        <v>0</v>
      </c>
      <c r="G679" s="11">
        <f>'Guarantees provided'!A673</f>
        <v>0</v>
      </c>
      <c r="H679" s="11">
        <f>IF('Guarantees provided'!B673="#",'Guarantees provided'!C673,'Guarantees provided'!B673)</f>
        <v>0</v>
      </c>
      <c r="I679" s="11" t="str">
        <f>IF('Guarantees provided'!B673="#","Type of identifier, other than LEI or MFI code","LEI code")</f>
        <v>LEI code</v>
      </c>
      <c r="J679" s="14" t="str">
        <f>IF(OR('Guarantees provided'!H673="E",'Guarantees provided'!H673="x"),"True","False")</f>
        <v>False</v>
      </c>
      <c r="K679" s="11" t="s">
        <v>53</v>
      </c>
      <c r="L679" s="11" t="s">
        <v>54</v>
      </c>
      <c r="M679" s="11">
        <f>-'Guarantees provided'!D673</f>
        <v>0</v>
      </c>
      <c r="N679" s="11" t="s">
        <v>55</v>
      </c>
      <c r="O679" s="11">
        <v>0</v>
      </c>
      <c r="P679" s="12" t="s">
        <v>56</v>
      </c>
    </row>
    <row r="680" spans="3:16" ht="23.65" thickBot="1">
      <c r="C680" s="10" t="s">
        <v>51</v>
      </c>
      <c r="D680" s="11">
        <v>673</v>
      </c>
      <c r="E680" s="11" t="s">
        <v>52</v>
      </c>
      <c r="F680" s="11">
        <f>'Guarantees provided'!G674</f>
        <v>0</v>
      </c>
      <c r="G680" s="11">
        <f>'Guarantees provided'!A674</f>
        <v>0</v>
      </c>
      <c r="H680" s="11">
        <f>IF('Guarantees provided'!B674="#",'Guarantees provided'!C674,'Guarantees provided'!B674)</f>
        <v>0</v>
      </c>
      <c r="I680" s="11" t="str">
        <f>IF('Guarantees provided'!B674="#","Type of identifier, other than LEI or MFI code","LEI code")</f>
        <v>LEI code</v>
      </c>
      <c r="J680" s="14" t="str">
        <f>IF(OR('Guarantees provided'!H674="E",'Guarantees provided'!H674="x"),"True","False")</f>
        <v>False</v>
      </c>
      <c r="K680" s="11" t="s">
        <v>53</v>
      </c>
      <c r="L680" s="11" t="s">
        <v>54</v>
      </c>
      <c r="M680" s="11">
        <f>-'Guarantees provided'!D674</f>
        <v>0</v>
      </c>
      <c r="N680" s="11" t="s">
        <v>55</v>
      </c>
      <c r="O680" s="11">
        <v>0</v>
      </c>
      <c r="P680" s="12" t="s">
        <v>56</v>
      </c>
    </row>
    <row r="681" spans="3:16" ht="23.65" thickBot="1">
      <c r="C681" s="10" t="s">
        <v>51</v>
      </c>
      <c r="D681" s="11">
        <v>674</v>
      </c>
      <c r="E681" s="11" t="s">
        <v>52</v>
      </c>
      <c r="F681" s="11">
        <f>'Guarantees provided'!G675</f>
        <v>0</v>
      </c>
      <c r="G681" s="11">
        <f>'Guarantees provided'!A675</f>
        <v>0</v>
      </c>
      <c r="H681" s="11">
        <f>IF('Guarantees provided'!B675="#",'Guarantees provided'!C675,'Guarantees provided'!B675)</f>
        <v>0</v>
      </c>
      <c r="I681" s="11" t="str">
        <f>IF('Guarantees provided'!B675="#","Type of identifier, other than LEI or MFI code","LEI code")</f>
        <v>LEI code</v>
      </c>
      <c r="J681" s="14" t="str">
        <f>IF(OR('Guarantees provided'!H675="E",'Guarantees provided'!H675="x"),"True","False")</f>
        <v>False</v>
      </c>
      <c r="K681" s="11" t="s">
        <v>53</v>
      </c>
      <c r="L681" s="11" t="s">
        <v>54</v>
      </c>
      <c r="M681" s="11">
        <f>-'Guarantees provided'!D675</f>
        <v>0</v>
      </c>
      <c r="N681" s="11" t="s">
        <v>55</v>
      </c>
      <c r="O681" s="11">
        <v>0</v>
      </c>
      <c r="P681" s="12" t="s">
        <v>56</v>
      </c>
    </row>
    <row r="682" spans="3:16" ht="23.65" thickBot="1">
      <c r="C682" s="10" t="s">
        <v>51</v>
      </c>
      <c r="D682" s="11">
        <v>675</v>
      </c>
      <c r="E682" s="11" t="s">
        <v>52</v>
      </c>
      <c r="F682" s="11">
        <f>'Guarantees provided'!G676</f>
        <v>0</v>
      </c>
      <c r="G682" s="11">
        <f>'Guarantees provided'!A676</f>
        <v>0</v>
      </c>
      <c r="H682" s="11">
        <f>IF('Guarantees provided'!B676="#",'Guarantees provided'!C676,'Guarantees provided'!B676)</f>
        <v>0</v>
      </c>
      <c r="I682" s="11" t="str">
        <f>IF('Guarantees provided'!B676="#","Type of identifier, other than LEI or MFI code","LEI code")</f>
        <v>LEI code</v>
      </c>
      <c r="J682" s="14" t="str">
        <f>IF(OR('Guarantees provided'!H676="E",'Guarantees provided'!H676="x"),"True","False")</f>
        <v>False</v>
      </c>
      <c r="K682" s="11" t="s">
        <v>53</v>
      </c>
      <c r="L682" s="11" t="s">
        <v>54</v>
      </c>
      <c r="M682" s="11">
        <f>-'Guarantees provided'!D676</f>
        <v>0</v>
      </c>
      <c r="N682" s="11" t="s">
        <v>55</v>
      </c>
      <c r="O682" s="11">
        <v>0</v>
      </c>
      <c r="P682" s="12" t="s">
        <v>56</v>
      </c>
    </row>
    <row r="683" spans="3:16" ht="23.65" thickBot="1">
      <c r="C683" s="10" t="s">
        <v>51</v>
      </c>
      <c r="D683" s="11">
        <v>676</v>
      </c>
      <c r="E683" s="11" t="s">
        <v>52</v>
      </c>
      <c r="F683" s="11">
        <f>'Guarantees provided'!G677</f>
        <v>0</v>
      </c>
      <c r="G683" s="11">
        <f>'Guarantees provided'!A677</f>
        <v>0</v>
      </c>
      <c r="H683" s="11">
        <f>IF('Guarantees provided'!B677="#",'Guarantees provided'!C677,'Guarantees provided'!B677)</f>
        <v>0</v>
      </c>
      <c r="I683" s="11" t="str">
        <f>IF('Guarantees provided'!B677="#","Type of identifier, other than LEI or MFI code","LEI code")</f>
        <v>LEI code</v>
      </c>
      <c r="J683" s="14" t="str">
        <f>IF(OR('Guarantees provided'!H677="E",'Guarantees provided'!H677="x"),"True","False")</f>
        <v>False</v>
      </c>
      <c r="K683" s="11" t="s">
        <v>53</v>
      </c>
      <c r="L683" s="11" t="s">
        <v>54</v>
      </c>
      <c r="M683" s="11">
        <f>-'Guarantees provided'!D677</f>
        <v>0</v>
      </c>
      <c r="N683" s="11" t="s">
        <v>55</v>
      </c>
      <c r="O683" s="11">
        <v>0</v>
      </c>
      <c r="P683" s="12" t="s">
        <v>56</v>
      </c>
    </row>
    <row r="684" spans="3:16" ht="23.65" thickBot="1">
      <c r="C684" s="10" t="s">
        <v>51</v>
      </c>
      <c r="D684" s="11">
        <v>677</v>
      </c>
      <c r="E684" s="11" t="s">
        <v>52</v>
      </c>
      <c r="F684" s="11">
        <f>'Guarantees provided'!G678</f>
        <v>0</v>
      </c>
      <c r="G684" s="11">
        <f>'Guarantees provided'!A678</f>
        <v>0</v>
      </c>
      <c r="H684" s="11">
        <f>IF('Guarantees provided'!B678="#",'Guarantees provided'!C678,'Guarantees provided'!B678)</f>
        <v>0</v>
      </c>
      <c r="I684" s="11" t="str">
        <f>IF('Guarantees provided'!B678="#","Type of identifier, other than LEI or MFI code","LEI code")</f>
        <v>LEI code</v>
      </c>
      <c r="J684" s="14" t="str">
        <f>IF(OR('Guarantees provided'!H678="E",'Guarantees provided'!H678="x"),"True","False")</f>
        <v>False</v>
      </c>
      <c r="K684" s="11" t="s">
        <v>53</v>
      </c>
      <c r="L684" s="11" t="s">
        <v>54</v>
      </c>
      <c r="M684" s="11">
        <f>-'Guarantees provided'!D678</f>
        <v>0</v>
      </c>
      <c r="N684" s="11" t="s">
        <v>55</v>
      </c>
      <c r="O684" s="11">
        <v>0</v>
      </c>
      <c r="P684" s="12" t="s">
        <v>56</v>
      </c>
    </row>
    <row r="685" spans="3:16" ht="23.65" thickBot="1">
      <c r="C685" s="10" t="s">
        <v>51</v>
      </c>
      <c r="D685" s="11">
        <v>678</v>
      </c>
      <c r="E685" s="11" t="s">
        <v>52</v>
      </c>
      <c r="F685" s="11">
        <f>'Guarantees provided'!G679</f>
        <v>0</v>
      </c>
      <c r="G685" s="11">
        <f>'Guarantees provided'!A679</f>
        <v>0</v>
      </c>
      <c r="H685" s="11">
        <f>IF('Guarantees provided'!B679="#",'Guarantees provided'!C679,'Guarantees provided'!B679)</f>
        <v>0</v>
      </c>
      <c r="I685" s="11" t="str">
        <f>IF('Guarantees provided'!B679="#","Type of identifier, other than LEI or MFI code","LEI code")</f>
        <v>LEI code</v>
      </c>
      <c r="J685" s="14" t="str">
        <f>IF(OR('Guarantees provided'!H679="E",'Guarantees provided'!H679="x"),"True","False")</f>
        <v>False</v>
      </c>
      <c r="K685" s="11" t="s">
        <v>53</v>
      </c>
      <c r="L685" s="11" t="s">
        <v>54</v>
      </c>
      <c r="M685" s="11">
        <f>-'Guarantees provided'!D679</f>
        <v>0</v>
      </c>
      <c r="N685" s="11" t="s">
        <v>55</v>
      </c>
      <c r="O685" s="11">
        <v>0</v>
      </c>
      <c r="P685" s="12" t="s">
        <v>56</v>
      </c>
    </row>
    <row r="686" spans="3:16" ht="23.65" thickBot="1">
      <c r="C686" s="10" t="s">
        <v>51</v>
      </c>
      <c r="D686" s="11">
        <v>679</v>
      </c>
      <c r="E686" s="11" t="s">
        <v>52</v>
      </c>
      <c r="F686" s="11">
        <f>'Guarantees provided'!G680</f>
        <v>0</v>
      </c>
      <c r="G686" s="11">
        <f>'Guarantees provided'!A680</f>
        <v>0</v>
      </c>
      <c r="H686" s="11">
        <f>IF('Guarantees provided'!B680="#",'Guarantees provided'!C680,'Guarantees provided'!B680)</f>
        <v>0</v>
      </c>
      <c r="I686" s="11" t="str">
        <f>IF('Guarantees provided'!B680="#","Type of identifier, other than LEI or MFI code","LEI code")</f>
        <v>LEI code</v>
      </c>
      <c r="J686" s="14" t="str">
        <f>IF(OR('Guarantees provided'!H680="E",'Guarantees provided'!H680="x"),"True","False")</f>
        <v>False</v>
      </c>
      <c r="K686" s="11" t="s">
        <v>53</v>
      </c>
      <c r="L686" s="11" t="s">
        <v>54</v>
      </c>
      <c r="M686" s="11">
        <f>-'Guarantees provided'!D680</f>
        <v>0</v>
      </c>
      <c r="N686" s="11" t="s">
        <v>55</v>
      </c>
      <c r="O686" s="11">
        <v>0</v>
      </c>
      <c r="P686" s="12" t="s">
        <v>56</v>
      </c>
    </row>
    <row r="687" spans="3:16" ht="23.65" thickBot="1">
      <c r="C687" s="10" t="s">
        <v>51</v>
      </c>
      <c r="D687" s="11">
        <v>680</v>
      </c>
      <c r="E687" s="11" t="s">
        <v>52</v>
      </c>
      <c r="F687" s="11">
        <f>'Guarantees provided'!G681</f>
        <v>0</v>
      </c>
      <c r="G687" s="11">
        <f>'Guarantees provided'!A681</f>
        <v>0</v>
      </c>
      <c r="H687" s="11">
        <f>IF('Guarantees provided'!B681="#",'Guarantees provided'!C681,'Guarantees provided'!B681)</f>
        <v>0</v>
      </c>
      <c r="I687" s="11" t="str">
        <f>IF('Guarantees provided'!B681="#","Type of identifier, other than LEI or MFI code","LEI code")</f>
        <v>LEI code</v>
      </c>
      <c r="J687" s="14" t="str">
        <f>IF(OR('Guarantees provided'!H681="E",'Guarantees provided'!H681="x"),"True","False")</f>
        <v>False</v>
      </c>
      <c r="K687" s="11" t="s">
        <v>53</v>
      </c>
      <c r="L687" s="11" t="s">
        <v>54</v>
      </c>
      <c r="M687" s="11">
        <f>-'Guarantees provided'!D681</f>
        <v>0</v>
      </c>
      <c r="N687" s="11" t="s">
        <v>55</v>
      </c>
      <c r="O687" s="11">
        <v>0</v>
      </c>
      <c r="P687" s="12" t="s">
        <v>56</v>
      </c>
    </row>
    <row r="688" spans="3:16" ht="23.65" thickBot="1">
      <c r="C688" s="10" t="s">
        <v>51</v>
      </c>
      <c r="D688" s="11">
        <v>681</v>
      </c>
      <c r="E688" s="11" t="s">
        <v>52</v>
      </c>
      <c r="F688" s="11">
        <f>'Guarantees provided'!G682</f>
        <v>0</v>
      </c>
      <c r="G688" s="11">
        <f>'Guarantees provided'!A682</f>
        <v>0</v>
      </c>
      <c r="H688" s="11">
        <f>IF('Guarantees provided'!B682="#",'Guarantees provided'!C682,'Guarantees provided'!B682)</f>
        <v>0</v>
      </c>
      <c r="I688" s="11" t="str">
        <f>IF('Guarantees provided'!B682="#","Type of identifier, other than LEI or MFI code","LEI code")</f>
        <v>LEI code</v>
      </c>
      <c r="J688" s="14" t="str">
        <f>IF(OR('Guarantees provided'!H682="E",'Guarantees provided'!H682="x"),"True","False")</f>
        <v>False</v>
      </c>
      <c r="K688" s="11" t="s">
        <v>53</v>
      </c>
      <c r="L688" s="11" t="s">
        <v>54</v>
      </c>
      <c r="M688" s="11">
        <f>-'Guarantees provided'!D682</f>
        <v>0</v>
      </c>
      <c r="N688" s="11" t="s">
        <v>55</v>
      </c>
      <c r="O688" s="11">
        <v>0</v>
      </c>
      <c r="P688" s="12" t="s">
        <v>56</v>
      </c>
    </row>
    <row r="689" spans="3:16" ht="23.65" thickBot="1">
      <c r="C689" s="10" t="s">
        <v>51</v>
      </c>
      <c r="D689" s="11">
        <v>682</v>
      </c>
      <c r="E689" s="11" t="s">
        <v>52</v>
      </c>
      <c r="F689" s="11">
        <f>'Guarantees provided'!G683</f>
        <v>0</v>
      </c>
      <c r="G689" s="11">
        <f>'Guarantees provided'!A683</f>
        <v>0</v>
      </c>
      <c r="H689" s="11">
        <f>IF('Guarantees provided'!B683="#",'Guarantees provided'!C683,'Guarantees provided'!B683)</f>
        <v>0</v>
      </c>
      <c r="I689" s="11" t="str">
        <f>IF('Guarantees provided'!B683="#","Type of identifier, other than LEI or MFI code","LEI code")</f>
        <v>LEI code</v>
      </c>
      <c r="J689" s="14" t="str">
        <f>IF(OR('Guarantees provided'!H683="E",'Guarantees provided'!H683="x"),"True","False")</f>
        <v>False</v>
      </c>
      <c r="K689" s="11" t="s">
        <v>53</v>
      </c>
      <c r="L689" s="11" t="s">
        <v>54</v>
      </c>
      <c r="M689" s="11">
        <f>-'Guarantees provided'!D683</f>
        <v>0</v>
      </c>
      <c r="N689" s="11" t="s">
        <v>55</v>
      </c>
      <c r="O689" s="11">
        <v>0</v>
      </c>
      <c r="P689" s="12" t="s">
        <v>56</v>
      </c>
    </row>
    <row r="690" spans="3:16" ht="23.65" thickBot="1">
      <c r="C690" s="10" t="s">
        <v>51</v>
      </c>
      <c r="D690" s="11">
        <v>683</v>
      </c>
      <c r="E690" s="11" t="s">
        <v>52</v>
      </c>
      <c r="F690" s="11">
        <f>'Guarantees provided'!G684</f>
        <v>0</v>
      </c>
      <c r="G690" s="11">
        <f>'Guarantees provided'!A684</f>
        <v>0</v>
      </c>
      <c r="H690" s="11">
        <f>IF('Guarantees provided'!B684="#",'Guarantees provided'!C684,'Guarantees provided'!B684)</f>
        <v>0</v>
      </c>
      <c r="I690" s="11" t="str">
        <f>IF('Guarantees provided'!B684="#","Type of identifier, other than LEI or MFI code","LEI code")</f>
        <v>LEI code</v>
      </c>
      <c r="J690" s="14" t="str">
        <f>IF(OR('Guarantees provided'!H684="E",'Guarantees provided'!H684="x"),"True","False")</f>
        <v>False</v>
      </c>
      <c r="K690" s="11" t="s">
        <v>53</v>
      </c>
      <c r="L690" s="11" t="s">
        <v>54</v>
      </c>
      <c r="M690" s="11">
        <f>-'Guarantees provided'!D684</f>
        <v>0</v>
      </c>
      <c r="N690" s="11" t="s">
        <v>55</v>
      </c>
      <c r="O690" s="11">
        <v>0</v>
      </c>
      <c r="P690" s="12" t="s">
        <v>56</v>
      </c>
    </row>
    <row r="691" spans="3:16" ht="23.65" thickBot="1">
      <c r="C691" s="10" t="s">
        <v>51</v>
      </c>
      <c r="D691" s="11">
        <v>684</v>
      </c>
      <c r="E691" s="11" t="s">
        <v>52</v>
      </c>
      <c r="F691" s="11">
        <f>'Guarantees provided'!G685</f>
        <v>0</v>
      </c>
      <c r="G691" s="11">
        <f>'Guarantees provided'!A685</f>
        <v>0</v>
      </c>
      <c r="H691" s="11">
        <f>IF('Guarantees provided'!B685="#",'Guarantees provided'!C685,'Guarantees provided'!B685)</f>
        <v>0</v>
      </c>
      <c r="I691" s="11" t="str">
        <f>IF('Guarantees provided'!B685="#","Type of identifier, other than LEI or MFI code","LEI code")</f>
        <v>LEI code</v>
      </c>
      <c r="J691" s="14" t="str">
        <f>IF(OR('Guarantees provided'!H685="E",'Guarantees provided'!H685="x"),"True","False")</f>
        <v>False</v>
      </c>
      <c r="K691" s="11" t="s">
        <v>53</v>
      </c>
      <c r="L691" s="11" t="s">
        <v>54</v>
      </c>
      <c r="M691" s="11">
        <f>-'Guarantees provided'!D685</f>
        <v>0</v>
      </c>
      <c r="N691" s="11" t="s">
        <v>55</v>
      </c>
      <c r="O691" s="11">
        <v>0</v>
      </c>
      <c r="P691" s="12" t="s">
        <v>56</v>
      </c>
    </row>
    <row r="692" spans="3:16" ht="23.65" thickBot="1">
      <c r="C692" s="10" t="s">
        <v>51</v>
      </c>
      <c r="D692" s="11">
        <v>685</v>
      </c>
      <c r="E692" s="11" t="s">
        <v>52</v>
      </c>
      <c r="F692" s="11">
        <f>'Guarantees provided'!G686</f>
        <v>0</v>
      </c>
      <c r="G692" s="11">
        <f>'Guarantees provided'!A686</f>
        <v>0</v>
      </c>
      <c r="H692" s="11">
        <f>IF('Guarantees provided'!B686="#",'Guarantees provided'!C686,'Guarantees provided'!B686)</f>
        <v>0</v>
      </c>
      <c r="I692" s="11" t="str">
        <f>IF('Guarantees provided'!B686="#","Type of identifier, other than LEI or MFI code","LEI code")</f>
        <v>LEI code</v>
      </c>
      <c r="J692" s="14" t="str">
        <f>IF(OR('Guarantees provided'!H686="E",'Guarantees provided'!H686="x"),"True","False")</f>
        <v>False</v>
      </c>
      <c r="K692" s="11" t="s">
        <v>53</v>
      </c>
      <c r="L692" s="11" t="s">
        <v>54</v>
      </c>
      <c r="M692" s="11">
        <f>-'Guarantees provided'!D686</f>
        <v>0</v>
      </c>
      <c r="N692" s="11" t="s">
        <v>55</v>
      </c>
      <c r="O692" s="11">
        <v>0</v>
      </c>
      <c r="P692" s="12" t="s">
        <v>56</v>
      </c>
    </row>
    <row r="693" spans="3:16" ht="23.65" thickBot="1">
      <c r="C693" s="10" t="s">
        <v>51</v>
      </c>
      <c r="D693" s="11">
        <v>686</v>
      </c>
      <c r="E693" s="11" t="s">
        <v>52</v>
      </c>
      <c r="F693" s="11">
        <f>'Guarantees provided'!G687</f>
        <v>0</v>
      </c>
      <c r="G693" s="11">
        <f>'Guarantees provided'!A687</f>
        <v>0</v>
      </c>
      <c r="H693" s="11">
        <f>IF('Guarantees provided'!B687="#",'Guarantees provided'!C687,'Guarantees provided'!B687)</f>
        <v>0</v>
      </c>
      <c r="I693" s="11" t="str">
        <f>IF('Guarantees provided'!B687="#","Type of identifier, other than LEI or MFI code","LEI code")</f>
        <v>LEI code</v>
      </c>
      <c r="J693" s="14" t="str">
        <f>IF(OR('Guarantees provided'!H687="E",'Guarantees provided'!H687="x"),"True","False")</f>
        <v>False</v>
      </c>
      <c r="K693" s="11" t="s">
        <v>53</v>
      </c>
      <c r="L693" s="11" t="s">
        <v>54</v>
      </c>
      <c r="M693" s="11">
        <f>-'Guarantees provided'!D687</f>
        <v>0</v>
      </c>
      <c r="N693" s="11" t="s">
        <v>55</v>
      </c>
      <c r="O693" s="11">
        <v>0</v>
      </c>
      <c r="P693" s="12" t="s">
        <v>56</v>
      </c>
    </row>
    <row r="694" spans="3:16" ht="23.65" thickBot="1">
      <c r="C694" s="10" t="s">
        <v>51</v>
      </c>
      <c r="D694" s="11">
        <v>687</v>
      </c>
      <c r="E694" s="11" t="s">
        <v>52</v>
      </c>
      <c r="F694" s="11">
        <f>'Guarantees provided'!G688</f>
        <v>0</v>
      </c>
      <c r="G694" s="11">
        <f>'Guarantees provided'!A688</f>
        <v>0</v>
      </c>
      <c r="H694" s="11">
        <f>IF('Guarantees provided'!B688="#",'Guarantees provided'!C688,'Guarantees provided'!B688)</f>
        <v>0</v>
      </c>
      <c r="I694" s="11" t="str">
        <f>IF('Guarantees provided'!B688="#","Type of identifier, other than LEI or MFI code","LEI code")</f>
        <v>LEI code</v>
      </c>
      <c r="J694" s="14" t="str">
        <f>IF(OR('Guarantees provided'!H688="E",'Guarantees provided'!H688="x"),"True","False")</f>
        <v>False</v>
      </c>
      <c r="K694" s="11" t="s">
        <v>53</v>
      </c>
      <c r="L694" s="11" t="s">
        <v>54</v>
      </c>
      <c r="M694" s="11">
        <f>-'Guarantees provided'!D688</f>
        <v>0</v>
      </c>
      <c r="N694" s="11" t="s">
        <v>55</v>
      </c>
      <c r="O694" s="11">
        <v>0</v>
      </c>
      <c r="P694" s="12" t="s">
        <v>56</v>
      </c>
    </row>
    <row r="695" spans="3:16" ht="23.65" thickBot="1">
      <c r="C695" s="10" t="s">
        <v>51</v>
      </c>
      <c r="D695" s="11">
        <v>688</v>
      </c>
      <c r="E695" s="11" t="s">
        <v>52</v>
      </c>
      <c r="F695" s="11">
        <f>'Guarantees provided'!G689</f>
        <v>0</v>
      </c>
      <c r="G695" s="11">
        <f>'Guarantees provided'!A689</f>
        <v>0</v>
      </c>
      <c r="H695" s="11">
        <f>IF('Guarantees provided'!B689="#",'Guarantees provided'!C689,'Guarantees provided'!B689)</f>
        <v>0</v>
      </c>
      <c r="I695" s="11" t="str">
        <f>IF('Guarantees provided'!B689="#","Type of identifier, other than LEI or MFI code","LEI code")</f>
        <v>LEI code</v>
      </c>
      <c r="J695" s="14" t="str">
        <f>IF(OR('Guarantees provided'!H689="E",'Guarantees provided'!H689="x"),"True","False")</f>
        <v>False</v>
      </c>
      <c r="K695" s="11" t="s">
        <v>53</v>
      </c>
      <c r="L695" s="11" t="s">
        <v>54</v>
      </c>
      <c r="M695" s="11">
        <f>-'Guarantees provided'!D689</f>
        <v>0</v>
      </c>
      <c r="N695" s="11" t="s">
        <v>55</v>
      </c>
      <c r="O695" s="11">
        <v>0</v>
      </c>
      <c r="P695" s="12" t="s">
        <v>56</v>
      </c>
    </row>
    <row r="696" spans="3:16" ht="23.65" thickBot="1">
      <c r="C696" s="10" t="s">
        <v>51</v>
      </c>
      <c r="D696" s="11">
        <v>689</v>
      </c>
      <c r="E696" s="11" t="s">
        <v>52</v>
      </c>
      <c r="F696" s="11">
        <f>'Guarantees provided'!G690</f>
        <v>0</v>
      </c>
      <c r="G696" s="11">
        <f>'Guarantees provided'!A690</f>
        <v>0</v>
      </c>
      <c r="H696" s="11">
        <f>IF('Guarantees provided'!B690="#",'Guarantees provided'!C690,'Guarantees provided'!B690)</f>
        <v>0</v>
      </c>
      <c r="I696" s="11" t="str">
        <f>IF('Guarantees provided'!B690="#","Type of identifier, other than LEI or MFI code","LEI code")</f>
        <v>LEI code</v>
      </c>
      <c r="J696" s="14" t="str">
        <f>IF(OR('Guarantees provided'!H690="E",'Guarantees provided'!H690="x"),"True","False")</f>
        <v>False</v>
      </c>
      <c r="K696" s="11" t="s">
        <v>53</v>
      </c>
      <c r="L696" s="11" t="s">
        <v>54</v>
      </c>
      <c r="M696" s="11">
        <f>-'Guarantees provided'!D690</f>
        <v>0</v>
      </c>
      <c r="N696" s="11" t="s">
        <v>55</v>
      </c>
      <c r="O696" s="11">
        <v>0</v>
      </c>
      <c r="P696" s="12" t="s">
        <v>56</v>
      </c>
    </row>
    <row r="697" spans="3:16" ht="23.65" thickBot="1">
      <c r="C697" s="10" t="s">
        <v>51</v>
      </c>
      <c r="D697" s="11">
        <v>690</v>
      </c>
      <c r="E697" s="11" t="s">
        <v>52</v>
      </c>
      <c r="F697" s="11">
        <f>'Guarantees provided'!G691</f>
        <v>0</v>
      </c>
      <c r="G697" s="11">
        <f>'Guarantees provided'!A691</f>
        <v>0</v>
      </c>
      <c r="H697" s="11">
        <f>IF('Guarantees provided'!B691="#",'Guarantees provided'!C691,'Guarantees provided'!B691)</f>
        <v>0</v>
      </c>
      <c r="I697" s="11" t="str">
        <f>IF('Guarantees provided'!B691="#","Type of identifier, other than LEI or MFI code","LEI code")</f>
        <v>LEI code</v>
      </c>
      <c r="J697" s="14" t="str">
        <f>IF(OR('Guarantees provided'!H691="E",'Guarantees provided'!H691="x"),"True","False")</f>
        <v>False</v>
      </c>
      <c r="K697" s="11" t="s">
        <v>53</v>
      </c>
      <c r="L697" s="11" t="s">
        <v>54</v>
      </c>
      <c r="M697" s="11">
        <f>-'Guarantees provided'!D691</f>
        <v>0</v>
      </c>
      <c r="N697" s="11" t="s">
        <v>55</v>
      </c>
      <c r="O697" s="11">
        <v>0</v>
      </c>
      <c r="P697" s="12" t="s">
        <v>56</v>
      </c>
    </row>
    <row r="698" spans="3:16" ht="23.65" thickBot="1">
      <c r="C698" s="10" t="s">
        <v>51</v>
      </c>
      <c r="D698" s="11">
        <v>691</v>
      </c>
      <c r="E698" s="11" t="s">
        <v>52</v>
      </c>
      <c r="F698" s="11">
        <f>'Guarantees provided'!G692</f>
        <v>0</v>
      </c>
      <c r="G698" s="11">
        <f>'Guarantees provided'!A692</f>
        <v>0</v>
      </c>
      <c r="H698" s="11">
        <f>IF('Guarantees provided'!B692="#",'Guarantees provided'!C692,'Guarantees provided'!B692)</f>
        <v>0</v>
      </c>
      <c r="I698" s="11" t="str">
        <f>IF('Guarantees provided'!B692="#","Type of identifier, other than LEI or MFI code","LEI code")</f>
        <v>LEI code</v>
      </c>
      <c r="J698" s="14" t="str">
        <f>IF(OR('Guarantees provided'!H692="E",'Guarantees provided'!H692="x"),"True","False")</f>
        <v>False</v>
      </c>
      <c r="K698" s="11" t="s">
        <v>53</v>
      </c>
      <c r="L698" s="11" t="s">
        <v>54</v>
      </c>
      <c r="M698" s="11">
        <f>-'Guarantees provided'!D692</f>
        <v>0</v>
      </c>
      <c r="N698" s="11" t="s">
        <v>55</v>
      </c>
      <c r="O698" s="11">
        <v>0</v>
      </c>
      <c r="P698" s="12" t="s">
        <v>56</v>
      </c>
    </row>
    <row r="699" spans="3:16" ht="23.65" thickBot="1">
      <c r="C699" s="10" t="s">
        <v>51</v>
      </c>
      <c r="D699" s="11">
        <v>692</v>
      </c>
      <c r="E699" s="11" t="s">
        <v>52</v>
      </c>
      <c r="F699" s="11">
        <f>'Guarantees provided'!G693</f>
        <v>0</v>
      </c>
      <c r="G699" s="11">
        <f>'Guarantees provided'!A693</f>
        <v>0</v>
      </c>
      <c r="H699" s="11">
        <f>IF('Guarantees provided'!B693="#",'Guarantees provided'!C693,'Guarantees provided'!B693)</f>
        <v>0</v>
      </c>
      <c r="I699" s="11" t="str">
        <f>IF('Guarantees provided'!B693="#","Type of identifier, other than LEI or MFI code","LEI code")</f>
        <v>LEI code</v>
      </c>
      <c r="J699" s="14" t="str">
        <f>IF(OR('Guarantees provided'!H693="E",'Guarantees provided'!H693="x"),"True","False")</f>
        <v>False</v>
      </c>
      <c r="K699" s="11" t="s">
        <v>53</v>
      </c>
      <c r="L699" s="11" t="s">
        <v>54</v>
      </c>
      <c r="M699" s="11">
        <f>-'Guarantees provided'!D693</f>
        <v>0</v>
      </c>
      <c r="N699" s="11" t="s">
        <v>55</v>
      </c>
      <c r="O699" s="11">
        <v>0</v>
      </c>
      <c r="P699" s="12" t="s">
        <v>56</v>
      </c>
    </row>
    <row r="700" spans="3:16" ht="23.65" thickBot="1">
      <c r="C700" s="10" t="s">
        <v>51</v>
      </c>
      <c r="D700" s="11">
        <v>693</v>
      </c>
      <c r="E700" s="11" t="s">
        <v>52</v>
      </c>
      <c r="F700" s="11">
        <f>'Guarantees provided'!G694</f>
        <v>0</v>
      </c>
      <c r="G700" s="11">
        <f>'Guarantees provided'!A694</f>
        <v>0</v>
      </c>
      <c r="H700" s="11">
        <f>IF('Guarantees provided'!B694="#",'Guarantees provided'!C694,'Guarantees provided'!B694)</f>
        <v>0</v>
      </c>
      <c r="I700" s="11" t="str">
        <f>IF('Guarantees provided'!B694="#","Type of identifier, other than LEI or MFI code","LEI code")</f>
        <v>LEI code</v>
      </c>
      <c r="J700" s="14" t="str">
        <f>IF(OR('Guarantees provided'!H694="E",'Guarantees provided'!H694="x"),"True","False")</f>
        <v>False</v>
      </c>
      <c r="K700" s="11" t="s">
        <v>53</v>
      </c>
      <c r="L700" s="11" t="s">
        <v>54</v>
      </c>
      <c r="M700" s="11">
        <f>-'Guarantees provided'!D694</f>
        <v>0</v>
      </c>
      <c r="N700" s="11" t="s">
        <v>55</v>
      </c>
      <c r="O700" s="11">
        <v>0</v>
      </c>
      <c r="P700" s="12" t="s">
        <v>56</v>
      </c>
    </row>
    <row r="701" spans="3:16" ht="23.65" thickBot="1">
      <c r="C701" s="10" t="s">
        <v>51</v>
      </c>
      <c r="D701" s="11">
        <v>694</v>
      </c>
      <c r="E701" s="11" t="s">
        <v>52</v>
      </c>
      <c r="F701" s="11">
        <f>'Guarantees provided'!G695</f>
        <v>0</v>
      </c>
      <c r="G701" s="11">
        <f>'Guarantees provided'!A695</f>
        <v>0</v>
      </c>
      <c r="H701" s="11">
        <f>IF('Guarantees provided'!B695="#",'Guarantees provided'!C695,'Guarantees provided'!B695)</f>
        <v>0</v>
      </c>
      <c r="I701" s="11" t="str">
        <f>IF('Guarantees provided'!B695="#","Type of identifier, other than LEI or MFI code","LEI code")</f>
        <v>LEI code</v>
      </c>
      <c r="J701" s="14" t="str">
        <f>IF(OR('Guarantees provided'!H695="E",'Guarantees provided'!H695="x"),"True","False")</f>
        <v>False</v>
      </c>
      <c r="K701" s="11" t="s">
        <v>53</v>
      </c>
      <c r="L701" s="11" t="s">
        <v>54</v>
      </c>
      <c r="M701" s="11">
        <f>-'Guarantees provided'!D695</f>
        <v>0</v>
      </c>
      <c r="N701" s="11" t="s">
        <v>55</v>
      </c>
      <c r="O701" s="11">
        <v>0</v>
      </c>
      <c r="P701" s="12" t="s">
        <v>56</v>
      </c>
    </row>
    <row r="702" spans="3:16" ht="23.65" thickBot="1">
      <c r="C702" s="10" t="s">
        <v>51</v>
      </c>
      <c r="D702" s="11">
        <v>695</v>
      </c>
      <c r="E702" s="11" t="s">
        <v>52</v>
      </c>
      <c r="F702" s="11">
        <f>'Guarantees provided'!G696</f>
        <v>0</v>
      </c>
      <c r="G702" s="11">
        <f>'Guarantees provided'!A696</f>
        <v>0</v>
      </c>
      <c r="H702" s="11">
        <f>IF('Guarantees provided'!B696="#",'Guarantees provided'!C696,'Guarantees provided'!B696)</f>
        <v>0</v>
      </c>
      <c r="I702" s="11" t="str">
        <f>IF('Guarantees provided'!B696="#","Type of identifier, other than LEI or MFI code","LEI code")</f>
        <v>LEI code</v>
      </c>
      <c r="J702" s="14" t="str">
        <f>IF(OR('Guarantees provided'!H696="E",'Guarantees provided'!H696="x"),"True","False")</f>
        <v>False</v>
      </c>
      <c r="K702" s="11" t="s">
        <v>53</v>
      </c>
      <c r="L702" s="11" t="s">
        <v>54</v>
      </c>
      <c r="M702" s="11">
        <f>-'Guarantees provided'!D696</f>
        <v>0</v>
      </c>
      <c r="N702" s="11" t="s">
        <v>55</v>
      </c>
      <c r="O702" s="11">
        <v>0</v>
      </c>
      <c r="P702" s="12" t="s">
        <v>56</v>
      </c>
    </row>
    <row r="703" spans="3:16" ht="23.65" thickBot="1">
      <c r="C703" s="10" t="s">
        <v>51</v>
      </c>
      <c r="D703" s="11">
        <v>696</v>
      </c>
      <c r="E703" s="11" t="s">
        <v>52</v>
      </c>
      <c r="F703" s="11">
        <f>'Guarantees provided'!G697</f>
        <v>0</v>
      </c>
      <c r="G703" s="11">
        <f>'Guarantees provided'!A697</f>
        <v>0</v>
      </c>
      <c r="H703" s="11">
        <f>IF('Guarantees provided'!B697="#",'Guarantees provided'!C697,'Guarantees provided'!B697)</f>
        <v>0</v>
      </c>
      <c r="I703" s="11" t="str">
        <f>IF('Guarantees provided'!B697="#","Type of identifier, other than LEI or MFI code","LEI code")</f>
        <v>LEI code</v>
      </c>
      <c r="J703" s="14" t="str">
        <f>IF(OR('Guarantees provided'!H697="E",'Guarantees provided'!H697="x"),"True","False")</f>
        <v>False</v>
      </c>
      <c r="K703" s="11" t="s">
        <v>53</v>
      </c>
      <c r="L703" s="11" t="s">
        <v>54</v>
      </c>
      <c r="M703" s="11">
        <f>-'Guarantees provided'!D697</f>
        <v>0</v>
      </c>
      <c r="N703" s="11" t="s">
        <v>55</v>
      </c>
      <c r="O703" s="11">
        <v>0</v>
      </c>
      <c r="P703" s="12" t="s">
        <v>56</v>
      </c>
    </row>
    <row r="704" spans="3:16" ht="23.65" thickBot="1">
      <c r="C704" s="10" t="s">
        <v>51</v>
      </c>
      <c r="D704" s="11">
        <v>697</v>
      </c>
      <c r="E704" s="11" t="s">
        <v>52</v>
      </c>
      <c r="F704" s="11">
        <f>'Guarantees provided'!G698</f>
        <v>0</v>
      </c>
      <c r="G704" s="11">
        <f>'Guarantees provided'!A698</f>
        <v>0</v>
      </c>
      <c r="H704" s="11">
        <f>IF('Guarantees provided'!B698="#",'Guarantees provided'!C698,'Guarantees provided'!B698)</f>
        <v>0</v>
      </c>
      <c r="I704" s="11" t="str">
        <f>IF('Guarantees provided'!B698="#","Type of identifier, other than LEI or MFI code","LEI code")</f>
        <v>LEI code</v>
      </c>
      <c r="J704" s="14" t="str">
        <f>IF(OR('Guarantees provided'!H698="E",'Guarantees provided'!H698="x"),"True","False")</f>
        <v>False</v>
      </c>
      <c r="K704" s="11" t="s">
        <v>53</v>
      </c>
      <c r="L704" s="11" t="s">
        <v>54</v>
      </c>
      <c r="M704" s="11">
        <f>-'Guarantees provided'!D698</f>
        <v>0</v>
      </c>
      <c r="N704" s="11" t="s">
        <v>55</v>
      </c>
      <c r="O704" s="11">
        <v>0</v>
      </c>
      <c r="P704" s="12" t="s">
        <v>56</v>
      </c>
    </row>
    <row r="705" spans="3:16" ht="23.65" thickBot="1">
      <c r="C705" s="10" t="s">
        <v>51</v>
      </c>
      <c r="D705" s="11">
        <v>698</v>
      </c>
      <c r="E705" s="11" t="s">
        <v>52</v>
      </c>
      <c r="F705" s="11">
        <f>'Guarantees provided'!G699</f>
        <v>0</v>
      </c>
      <c r="G705" s="11">
        <f>'Guarantees provided'!A699</f>
        <v>0</v>
      </c>
      <c r="H705" s="11">
        <f>IF('Guarantees provided'!B699="#",'Guarantees provided'!C699,'Guarantees provided'!B699)</f>
        <v>0</v>
      </c>
      <c r="I705" s="11" t="str">
        <f>IF('Guarantees provided'!B699="#","Type of identifier, other than LEI or MFI code","LEI code")</f>
        <v>LEI code</v>
      </c>
      <c r="J705" s="14" t="str">
        <f>IF(OR('Guarantees provided'!H699="E",'Guarantees provided'!H699="x"),"True","False")</f>
        <v>False</v>
      </c>
      <c r="K705" s="11" t="s">
        <v>53</v>
      </c>
      <c r="L705" s="11" t="s">
        <v>54</v>
      </c>
      <c r="M705" s="11">
        <f>-'Guarantees provided'!D699</f>
        <v>0</v>
      </c>
      <c r="N705" s="11" t="s">
        <v>55</v>
      </c>
      <c r="O705" s="11">
        <v>0</v>
      </c>
      <c r="P705" s="12" t="s">
        <v>56</v>
      </c>
    </row>
    <row r="706" spans="3:16" ht="23.65" thickBot="1">
      <c r="C706" s="10" t="s">
        <v>51</v>
      </c>
      <c r="D706" s="11">
        <v>699</v>
      </c>
      <c r="E706" s="11" t="s">
        <v>52</v>
      </c>
      <c r="F706" s="11">
        <f>'Guarantees provided'!G700</f>
        <v>0</v>
      </c>
      <c r="G706" s="11">
        <f>'Guarantees provided'!A700</f>
        <v>0</v>
      </c>
      <c r="H706" s="11">
        <f>IF('Guarantees provided'!B700="#",'Guarantees provided'!C700,'Guarantees provided'!B700)</f>
        <v>0</v>
      </c>
      <c r="I706" s="11" t="str">
        <f>IF('Guarantees provided'!B700="#","Type of identifier, other than LEI or MFI code","LEI code")</f>
        <v>LEI code</v>
      </c>
      <c r="J706" s="14" t="str">
        <f>IF(OR('Guarantees provided'!H700="E",'Guarantees provided'!H700="x"),"True","False")</f>
        <v>False</v>
      </c>
      <c r="K706" s="11" t="s">
        <v>53</v>
      </c>
      <c r="L706" s="11" t="s">
        <v>54</v>
      </c>
      <c r="M706" s="11">
        <f>-'Guarantees provided'!D700</f>
        <v>0</v>
      </c>
      <c r="N706" s="11" t="s">
        <v>55</v>
      </c>
      <c r="O706" s="11">
        <v>0</v>
      </c>
      <c r="P706" s="12" t="s">
        <v>56</v>
      </c>
    </row>
    <row r="707" spans="3:16" ht="23.65" thickBot="1">
      <c r="C707" s="10" t="s">
        <v>51</v>
      </c>
      <c r="D707" s="11">
        <v>700</v>
      </c>
      <c r="E707" s="11" t="s">
        <v>52</v>
      </c>
      <c r="F707" s="11">
        <f>'Guarantees provided'!G701</f>
        <v>0</v>
      </c>
      <c r="G707" s="11">
        <f>'Guarantees provided'!A701</f>
        <v>0</v>
      </c>
      <c r="H707" s="11">
        <f>IF('Guarantees provided'!B701="#",'Guarantees provided'!C701,'Guarantees provided'!B701)</f>
        <v>0</v>
      </c>
      <c r="I707" s="11" t="str">
        <f>IF('Guarantees provided'!B701="#","Type of identifier, other than LEI or MFI code","LEI code")</f>
        <v>LEI code</v>
      </c>
      <c r="J707" s="14" t="str">
        <f>IF(OR('Guarantees provided'!H701="E",'Guarantees provided'!H701="x"),"True","False")</f>
        <v>False</v>
      </c>
      <c r="K707" s="11" t="s">
        <v>53</v>
      </c>
      <c r="L707" s="11" t="s">
        <v>54</v>
      </c>
      <c r="M707" s="11">
        <f>-'Guarantees provided'!D701</f>
        <v>0</v>
      </c>
      <c r="N707" s="11" t="s">
        <v>55</v>
      </c>
      <c r="O707" s="11">
        <v>0</v>
      </c>
      <c r="P707" s="12" t="s">
        <v>56</v>
      </c>
    </row>
    <row r="708" spans="3:16" ht="23.65" thickBot="1">
      <c r="C708" s="10" t="s">
        <v>51</v>
      </c>
      <c r="D708" s="11">
        <v>701</v>
      </c>
      <c r="E708" s="11" t="s">
        <v>52</v>
      </c>
      <c r="F708" s="11">
        <f>'Guarantees provided'!G702</f>
        <v>0</v>
      </c>
      <c r="G708" s="11">
        <f>'Guarantees provided'!A702</f>
        <v>0</v>
      </c>
      <c r="H708" s="11">
        <f>IF('Guarantees provided'!B702="#",'Guarantees provided'!C702,'Guarantees provided'!B702)</f>
        <v>0</v>
      </c>
      <c r="I708" s="11" t="str">
        <f>IF('Guarantees provided'!B702="#","Type of identifier, other than LEI or MFI code","LEI code")</f>
        <v>LEI code</v>
      </c>
      <c r="J708" s="14" t="str">
        <f>IF(OR('Guarantees provided'!H702="E",'Guarantees provided'!H702="x"),"True","False")</f>
        <v>False</v>
      </c>
      <c r="K708" s="11" t="s">
        <v>53</v>
      </c>
      <c r="L708" s="11" t="s">
        <v>54</v>
      </c>
      <c r="M708" s="11">
        <f>-'Guarantees provided'!D702</f>
        <v>0</v>
      </c>
      <c r="N708" s="11" t="s">
        <v>55</v>
      </c>
      <c r="O708" s="11">
        <v>0</v>
      </c>
      <c r="P708" s="12" t="s">
        <v>56</v>
      </c>
    </row>
    <row r="709" spans="3:16" ht="23.65" thickBot="1">
      <c r="C709" s="10" t="s">
        <v>51</v>
      </c>
      <c r="D709" s="11">
        <v>702</v>
      </c>
      <c r="E709" s="11" t="s">
        <v>52</v>
      </c>
      <c r="F709" s="11">
        <f>'Guarantees provided'!G703</f>
        <v>0</v>
      </c>
      <c r="G709" s="11">
        <f>'Guarantees provided'!A703</f>
        <v>0</v>
      </c>
      <c r="H709" s="11">
        <f>IF('Guarantees provided'!B703="#",'Guarantees provided'!C703,'Guarantees provided'!B703)</f>
        <v>0</v>
      </c>
      <c r="I709" s="11" t="str">
        <f>IF('Guarantees provided'!B703="#","Type of identifier, other than LEI or MFI code","LEI code")</f>
        <v>LEI code</v>
      </c>
      <c r="J709" s="14" t="str">
        <f>IF(OR('Guarantees provided'!H703="E",'Guarantees provided'!H703="x"),"True","False")</f>
        <v>False</v>
      </c>
      <c r="K709" s="11" t="s">
        <v>53</v>
      </c>
      <c r="L709" s="11" t="s">
        <v>54</v>
      </c>
      <c r="M709" s="11">
        <f>-'Guarantees provided'!D703</f>
        <v>0</v>
      </c>
      <c r="N709" s="11" t="s">
        <v>55</v>
      </c>
      <c r="O709" s="11">
        <v>0</v>
      </c>
      <c r="P709" s="12" t="s">
        <v>56</v>
      </c>
    </row>
    <row r="710" spans="3:16" ht="23.65" thickBot="1">
      <c r="C710" s="10" t="s">
        <v>51</v>
      </c>
      <c r="D710" s="11">
        <v>703</v>
      </c>
      <c r="E710" s="11" t="s">
        <v>52</v>
      </c>
      <c r="F710" s="11">
        <f>'Guarantees provided'!G704</f>
        <v>0</v>
      </c>
      <c r="G710" s="11">
        <f>'Guarantees provided'!A704</f>
        <v>0</v>
      </c>
      <c r="H710" s="11">
        <f>IF('Guarantees provided'!B704="#",'Guarantees provided'!C704,'Guarantees provided'!B704)</f>
        <v>0</v>
      </c>
      <c r="I710" s="11" t="str">
        <f>IF('Guarantees provided'!B704="#","Type of identifier, other than LEI or MFI code","LEI code")</f>
        <v>LEI code</v>
      </c>
      <c r="J710" s="14" t="str">
        <f>IF(OR('Guarantees provided'!H704="E",'Guarantees provided'!H704="x"),"True","False")</f>
        <v>False</v>
      </c>
      <c r="K710" s="11" t="s">
        <v>53</v>
      </c>
      <c r="L710" s="11" t="s">
        <v>54</v>
      </c>
      <c r="M710" s="11">
        <f>-'Guarantees provided'!D704</f>
        <v>0</v>
      </c>
      <c r="N710" s="11" t="s">
        <v>55</v>
      </c>
      <c r="O710" s="11">
        <v>0</v>
      </c>
      <c r="P710" s="12" t="s">
        <v>56</v>
      </c>
    </row>
    <row r="711" spans="3:16" ht="23.65" thickBot="1">
      <c r="C711" s="10" t="s">
        <v>51</v>
      </c>
      <c r="D711" s="11">
        <v>704</v>
      </c>
      <c r="E711" s="11" t="s">
        <v>52</v>
      </c>
      <c r="F711" s="11">
        <f>'Guarantees provided'!G705</f>
        <v>0</v>
      </c>
      <c r="G711" s="11">
        <f>'Guarantees provided'!A705</f>
        <v>0</v>
      </c>
      <c r="H711" s="11">
        <f>IF('Guarantees provided'!B705="#",'Guarantees provided'!C705,'Guarantees provided'!B705)</f>
        <v>0</v>
      </c>
      <c r="I711" s="11" t="str">
        <f>IF('Guarantees provided'!B705="#","Type of identifier, other than LEI or MFI code","LEI code")</f>
        <v>LEI code</v>
      </c>
      <c r="J711" s="14" t="str">
        <f>IF(OR('Guarantees provided'!H705="E",'Guarantees provided'!H705="x"),"True","False")</f>
        <v>False</v>
      </c>
      <c r="K711" s="11" t="s">
        <v>53</v>
      </c>
      <c r="L711" s="11" t="s">
        <v>54</v>
      </c>
      <c r="M711" s="11">
        <f>-'Guarantees provided'!D705</f>
        <v>0</v>
      </c>
      <c r="N711" s="11" t="s">
        <v>55</v>
      </c>
      <c r="O711" s="11">
        <v>0</v>
      </c>
      <c r="P711" s="12" t="s">
        <v>56</v>
      </c>
    </row>
    <row r="712" spans="3:16" ht="23.65" thickBot="1">
      <c r="C712" s="10" t="s">
        <v>51</v>
      </c>
      <c r="D712" s="11">
        <v>705</v>
      </c>
      <c r="E712" s="11" t="s">
        <v>52</v>
      </c>
      <c r="F712" s="11">
        <f>'Guarantees provided'!G706</f>
        <v>0</v>
      </c>
      <c r="G712" s="11">
        <f>'Guarantees provided'!A706</f>
        <v>0</v>
      </c>
      <c r="H712" s="11">
        <f>IF('Guarantees provided'!B706="#",'Guarantees provided'!C706,'Guarantees provided'!B706)</f>
        <v>0</v>
      </c>
      <c r="I712" s="11" t="str">
        <f>IF('Guarantees provided'!B706="#","Type of identifier, other than LEI or MFI code","LEI code")</f>
        <v>LEI code</v>
      </c>
      <c r="J712" s="14" t="str">
        <f>IF(OR('Guarantees provided'!H706="E",'Guarantees provided'!H706="x"),"True","False")</f>
        <v>False</v>
      </c>
      <c r="K712" s="11" t="s">
        <v>53</v>
      </c>
      <c r="L712" s="11" t="s">
        <v>54</v>
      </c>
      <c r="M712" s="11">
        <f>-'Guarantees provided'!D706</f>
        <v>0</v>
      </c>
      <c r="N712" s="11" t="s">
        <v>55</v>
      </c>
      <c r="O712" s="11">
        <v>0</v>
      </c>
      <c r="P712" s="12" t="s">
        <v>56</v>
      </c>
    </row>
    <row r="713" spans="3:16" ht="23.65" thickBot="1">
      <c r="C713" s="10" t="s">
        <v>51</v>
      </c>
      <c r="D713" s="11">
        <v>706</v>
      </c>
      <c r="E713" s="11" t="s">
        <v>52</v>
      </c>
      <c r="F713" s="11">
        <f>'Guarantees provided'!G707</f>
        <v>0</v>
      </c>
      <c r="G713" s="11">
        <f>'Guarantees provided'!A707</f>
        <v>0</v>
      </c>
      <c r="H713" s="11">
        <f>IF('Guarantees provided'!B707="#",'Guarantees provided'!C707,'Guarantees provided'!B707)</f>
        <v>0</v>
      </c>
      <c r="I713" s="11" t="str">
        <f>IF('Guarantees provided'!B707="#","Type of identifier, other than LEI or MFI code","LEI code")</f>
        <v>LEI code</v>
      </c>
      <c r="J713" s="14" t="str">
        <f>IF(OR('Guarantees provided'!H707="E",'Guarantees provided'!H707="x"),"True","False")</f>
        <v>False</v>
      </c>
      <c r="K713" s="11" t="s">
        <v>53</v>
      </c>
      <c r="L713" s="11" t="s">
        <v>54</v>
      </c>
      <c r="M713" s="11">
        <f>-'Guarantees provided'!D707</f>
        <v>0</v>
      </c>
      <c r="N713" s="11" t="s">
        <v>55</v>
      </c>
      <c r="O713" s="11">
        <v>0</v>
      </c>
      <c r="P713" s="12" t="s">
        <v>56</v>
      </c>
    </row>
    <row r="714" spans="3:16" ht="23.65" thickBot="1">
      <c r="C714" s="10" t="s">
        <v>51</v>
      </c>
      <c r="D714" s="11">
        <v>707</v>
      </c>
      <c r="E714" s="11" t="s">
        <v>52</v>
      </c>
      <c r="F714" s="11">
        <f>'Guarantees provided'!G708</f>
        <v>0</v>
      </c>
      <c r="G714" s="11">
        <f>'Guarantees provided'!A708</f>
        <v>0</v>
      </c>
      <c r="H714" s="11">
        <f>IF('Guarantees provided'!B708="#",'Guarantees provided'!C708,'Guarantees provided'!B708)</f>
        <v>0</v>
      </c>
      <c r="I714" s="11" t="str">
        <f>IF('Guarantees provided'!B708="#","Type of identifier, other than LEI or MFI code","LEI code")</f>
        <v>LEI code</v>
      </c>
      <c r="J714" s="14" t="str">
        <f>IF(OR('Guarantees provided'!H708="E",'Guarantees provided'!H708="x"),"True","False")</f>
        <v>False</v>
      </c>
      <c r="K714" s="11" t="s">
        <v>53</v>
      </c>
      <c r="L714" s="11" t="s">
        <v>54</v>
      </c>
      <c r="M714" s="11">
        <f>-'Guarantees provided'!D708</f>
        <v>0</v>
      </c>
      <c r="N714" s="11" t="s">
        <v>55</v>
      </c>
      <c r="O714" s="11">
        <v>0</v>
      </c>
      <c r="P714" s="12" t="s">
        <v>56</v>
      </c>
    </row>
    <row r="715" spans="3:16" ht="23.65" thickBot="1">
      <c r="C715" s="10" t="s">
        <v>51</v>
      </c>
      <c r="D715" s="11">
        <v>708</v>
      </c>
      <c r="E715" s="11" t="s">
        <v>52</v>
      </c>
      <c r="F715" s="11">
        <f>'Guarantees provided'!G709</f>
        <v>0</v>
      </c>
      <c r="G715" s="11">
        <f>'Guarantees provided'!A709</f>
        <v>0</v>
      </c>
      <c r="H715" s="11">
        <f>IF('Guarantees provided'!B709="#",'Guarantees provided'!C709,'Guarantees provided'!B709)</f>
        <v>0</v>
      </c>
      <c r="I715" s="11" t="str">
        <f>IF('Guarantees provided'!B709="#","Type of identifier, other than LEI or MFI code","LEI code")</f>
        <v>LEI code</v>
      </c>
      <c r="J715" s="14" t="str">
        <f>IF(OR('Guarantees provided'!H709="E",'Guarantees provided'!H709="x"),"True","False")</f>
        <v>False</v>
      </c>
      <c r="K715" s="11" t="s">
        <v>53</v>
      </c>
      <c r="L715" s="11" t="s">
        <v>54</v>
      </c>
      <c r="M715" s="11">
        <f>-'Guarantees provided'!D709</f>
        <v>0</v>
      </c>
      <c r="N715" s="11" t="s">
        <v>55</v>
      </c>
      <c r="O715" s="11">
        <v>0</v>
      </c>
      <c r="P715" s="12" t="s">
        <v>56</v>
      </c>
    </row>
    <row r="716" spans="3:16" ht="23.65" thickBot="1">
      <c r="C716" s="10" t="s">
        <v>51</v>
      </c>
      <c r="D716" s="11">
        <v>709</v>
      </c>
      <c r="E716" s="11" t="s">
        <v>52</v>
      </c>
      <c r="F716" s="11">
        <f>'Guarantees provided'!G710</f>
        <v>0</v>
      </c>
      <c r="G716" s="11">
        <f>'Guarantees provided'!A710</f>
        <v>0</v>
      </c>
      <c r="H716" s="11">
        <f>IF('Guarantees provided'!B710="#",'Guarantees provided'!C710,'Guarantees provided'!B710)</f>
        <v>0</v>
      </c>
      <c r="I716" s="11" t="str">
        <f>IF('Guarantees provided'!B710="#","Type of identifier, other than LEI or MFI code","LEI code")</f>
        <v>LEI code</v>
      </c>
      <c r="J716" s="14" t="str">
        <f>IF(OR('Guarantees provided'!H710="E",'Guarantees provided'!H710="x"),"True","False")</f>
        <v>False</v>
      </c>
      <c r="K716" s="11" t="s">
        <v>53</v>
      </c>
      <c r="L716" s="11" t="s">
        <v>54</v>
      </c>
      <c r="M716" s="11">
        <f>-'Guarantees provided'!D710</f>
        <v>0</v>
      </c>
      <c r="N716" s="11" t="s">
        <v>55</v>
      </c>
      <c r="O716" s="11">
        <v>0</v>
      </c>
      <c r="P716" s="12" t="s">
        <v>56</v>
      </c>
    </row>
    <row r="717" spans="3:16" ht="23.65" thickBot="1">
      <c r="C717" s="10" t="s">
        <v>51</v>
      </c>
      <c r="D717" s="11">
        <v>710</v>
      </c>
      <c r="E717" s="11" t="s">
        <v>52</v>
      </c>
      <c r="F717" s="11">
        <f>'Guarantees provided'!G711</f>
        <v>0</v>
      </c>
      <c r="G717" s="11">
        <f>'Guarantees provided'!A711</f>
        <v>0</v>
      </c>
      <c r="H717" s="11">
        <f>IF('Guarantees provided'!B711="#",'Guarantees provided'!C711,'Guarantees provided'!B711)</f>
        <v>0</v>
      </c>
      <c r="I717" s="11" t="str">
        <f>IF('Guarantees provided'!B711="#","Type of identifier, other than LEI or MFI code","LEI code")</f>
        <v>LEI code</v>
      </c>
      <c r="J717" s="14" t="str">
        <f>IF(OR('Guarantees provided'!H711="E",'Guarantees provided'!H711="x"),"True","False")</f>
        <v>False</v>
      </c>
      <c r="K717" s="11" t="s">
        <v>53</v>
      </c>
      <c r="L717" s="11" t="s">
        <v>54</v>
      </c>
      <c r="M717" s="11">
        <f>-'Guarantees provided'!D711</f>
        <v>0</v>
      </c>
      <c r="N717" s="11" t="s">
        <v>55</v>
      </c>
      <c r="O717" s="11">
        <v>0</v>
      </c>
      <c r="P717" s="12" t="s">
        <v>56</v>
      </c>
    </row>
    <row r="718" spans="3:16" ht="23.65" thickBot="1">
      <c r="C718" s="10" t="s">
        <v>51</v>
      </c>
      <c r="D718" s="11">
        <v>711</v>
      </c>
      <c r="E718" s="11" t="s">
        <v>52</v>
      </c>
      <c r="F718" s="11">
        <f>'Guarantees provided'!G712</f>
        <v>0</v>
      </c>
      <c r="G718" s="11">
        <f>'Guarantees provided'!A712</f>
        <v>0</v>
      </c>
      <c r="H718" s="11">
        <f>IF('Guarantees provided'!B712="#",'Guarantees provided'!C712,'Guarantees provided'!B712)</f>
        <v>0</v>
      </c>
      <c r="I718" s="11" t="str">
        <f>IF('Guarantees provided'!B712="#","Type of identifier, other than LEI or MFI code","LEI code")</f>
        <v>LEI code</v>
      </c>
      <c r="J718" s="14" t="str">
        <f>IF(OR('Guarantees provided'!H712="E",'Guarantees provided'!H712="x"),"True","False")</f>
        <v>False</v>
      </c>
      <c r="K718" s="11" t="s">
        <v>53</v>
      </c>
      <c r="L718" s="11" t="s">
        <v>54</v>
      </c>
      <c r="M718" s="11">
        <f>-'Guarantees provided'!D712</f>
        <v>0</v>
      </c>
      <c r="N718" s="11" t="s">
        <v>55</v>
      </c>
      <c r="O718" s="11">
        <v>0</v>
      </c>
      <c r="P718" s="12" t="s">
        <v>56</v>
      </c>
    </row>
    <row r="719" spans="3:16" ht="23.65" thickBot="1">
      <c r="C719" s="10" t="s">
        <v>51</v>
      </c>
      <c r="D719" s="11">
        <v>712</v>
      </c>
      <c r="E719" s="11" t="s">
        <v>52</v>
      </c>
      <c r="F719" s="11">
        <f>'Guarantees provided'!G713</f>
        <v>0</v>
      </c>
      <c r="G719" s="11">
        <f>'Guarantees provided'!A713</f>
        <v>0</v>
      </c>
      <c r="H719" s="11">
        <f>IF('Guarantees provided'!B713="#",'Guarantees provided'!C713,'Guarantees provided'!B713)</f>
        <v>0</v>
      </c>
      <c r="I719" s="11" t="str">
        <f>IF('Guarantees provided'!B713="#","Type of identifier, other than LEI or MFI code","LEI code")</f>
        <v>LEI code</v>
      </c>
      <c r="J719" s="14" t="str">
        <f>IF(OR('Guarantees provided'!H713="E",'Guarantees provided'!H713="x"),"True","False")</f>
        <v>False</v>
      </c>
      <c r="K719" s="11" t="s">
        <v>53</v>
      </c>
      <c r="L719" s="11" t="s">
        <v>54</v>
      </c>
      <c r="M719" s="11">
        <f>-'Guarantees provided'!D713</f>
        <v>0</v>
      </c>
      <c r="N719" s="11" t="s">
        <v>55</v>
      </c>
      <c r="O719" s="11">
        <v>0</v>
      </c>
      <c r="P719" s="12" t="s">
        <v>56</v>
      </c>
    </row>
    <row r="720" spans="3:16" ht="23.65" thickBot="1">
      <c r="C720" s="10" t="s">
        <v>51</v>
      </c>
      <c r="D720" s="11">
        <v>713</v>
      </c>
      <c r="E720" s="11" t="s">
        <v>52</v>
      </c>
      <c r="F720" s="11">
        <f>'Guarantees provided'!G714</f>
        <v>0</v>
      </c>
      <c r="G720" s="11">
        <f>'Guarantees provided'!A714</f>
        <v>0</v>
      </c>
      <c r="H720" s="11">
        <f>IF('Guarantees provided'!B714="#",'Guarantees provided'!C714,'Guarantees provided'!B714)</f>
        <v>0</v>
      </c>
      <c r="I720" s="11" t="str">
        <f>IF('Guarantees provided'!B714="#","Type of identifier, other than LEI or MFI code","LEI code")</f>
        <v>LEI code</v>
      </c>
      <c r="J720" s="14" t="str">
        <f>IF(OR('Guarantees provided'!H714="E",'Guarantees provided'!H714="x"),"True","False")</f>
        <v>False</v>
      </c>
      <c r="K720" s="11" t="s">
        <v>53</v>
      </c>
      <c r="L720" s="11" t="s">
        <v>54</v>
      </c>
      <c r="M720" s="11">
        <f>-'Guarantees provided'!D714</f>
        <v>0</v>
      </c>
      <c r="N720" s="11" t="s">
        <v>55</v>
      </c>
      <c r="O720" s="11">
        <v>0</v>
      </c>
      <c r="P720" s="12" t="s">
        <v>56</v>
      </c>
    </row>
    <row r="721" spans="3:16" ht="23.65" thickBot="1">
      <c r="C721" s="10" t="s">
        <v>51</v>
      </c>
      <c r="D721" s="11">
        <v>714</v>
      </c>
      <c r="E721" s="11" t="s">
        <v>52</v>
      </c>
      <c r="F721" s="11">
        <f>'Guarantees provided'!G715</f>
        <v>0</v>
      </c>
      <c r="G721" s="11">
        <f>'Guarantees provided'!A715</f>
        <v>0</v>
      </c>
      <c r="H721" s="11">
        <f>IF('Guarantees provided'!B715="#",'Guarantees provided'!C715,'Guarantees provided'!B715)</f>
        <v>0</v>
      </c>
      <c r="I721" s="11" t="str">
        <f>IF('Guarantees provided'!B715="#","Type of identifier, other than LEI or MFI code","LEI code")</f>
        <v>LEI code</v>
      </c>
      <c r="J721" s="14" t="str">
        <f>IF(OR('Guarantees provided'!H715="E",'Guarantees provided'!H715="x"),"True","False")</f>
        <v>False</v>
      </c>
      <c r="K721" s="11" t="s">
        <v>53</v>
      </c>
      <c r="L721" s="11" t="s">
        <v>54</v>
      </c>
      <c r="M721" s="11">
        <f>-'Guarantees provided'!D715</f>
        <v>0</v>
      </c>
      <c r="N721" s="11" t="s">
        <v>55</v>
      </c>
      <c r="O721" s="11">
        <v>0</v>
      </c>
      <c r="P721" s="12" t="s">
        <v>56</v>
      </c>
    </row>
    <row r="722" spans="3:16" ht="23.65" thickBot="1">
      <c r="C722" s="10" t="s">
        <v>51</v>
      </c>
      <c r="D722" s="11">
        <v>715</v>
      </c>
      <c r="E722" s="11" t="s">
        <v>52</v>
      </c>
      <c r="F722" s="11">
        <f>'Guarantees provided'!G716</f>
        <v>0</v>
      </c>
      <c r="G722" s="11">
        <f>'Guarantees provided'!A716</f>
        <v>0</v>
      </c>
      <c r="H722" s="11">
        <f>IF('Guarantees provided'!B716="#",'Guarantees provided'!C716,'Guarantees provided'!B716)</f>
        <v>0</v>
      </c>
      <c r="I722" s="11" t="str">
        <f>IF('Guarantees provided'!B716="#","Type of identifier, other than LEI or MFI code","LEI code")</f>
        <v>LEI code</v>
      </c>
      <c r="J722" s="14" t="str">
        <f>IF(OR('Guarantees provided'!H716="E",'Guarantees provided'!H716="x"),"True","False")</f>
        <v>False</v>
      </c>
      <c r="K722" s="11" t="s">
        <v>53</v>
      </c>
      <c r="L722" s="11" t="s">
        <v>54</v>
      </c>
      <c r="M722" s="11">
        <f>-'Guarantees provided'!D716</f>
        <v>0</v>
      </c>
      <c r="N722" s="11" t="s">
        <v>55</v>
      </c>
      <c r="O722" s="11">
        <v>0</v>
      </c>
      <c r="P722" s="12" t="s">
        <v>56</v>
      </c>
    </row>
    <row r="723" spans="3:16" ht="23.65" thickBot="1">
      <c r="C723" s="10" t="s">
        <v>51</v>
      </c>
      <c r="D723" s="11">
        <v>716</v>
      </c>
      <c r="E723" s="11" t="s">
        <v>52</v>
      </c>
      <c r="F723" s="11">
        <f>'Guarantees provided'!G717</f>
        <v>0</v>
      </c>
      <c r="G723" s="11">
        <f>'Guarantees provided'!A717</f>
        <v>0</v>
      </c>
      <c r="H723" s="11">
        <f>IF('Guarantees provided'!B717="#",'Guarantees provided'!C717,'Guarantees provided'!B717)</f>
        <v>0</v>
      </c>
      <c r="I723" s="11" t="str">
        <f>IF('Guarantees provided'!B717="#","Type of identifier, other than LEI or MFI code","LEI code")</f>
        <v>LEI code</v>
      </c>
      <c r="J723" s="14" t="str">
        <f>IF(OR('Guarantees provided'!H717="E",'Guarantees provided'!H717="x"),"True","False")</f>
        <v>False</v>
      </c>
      <c r="K723" s="11" t="s">
        <v>53</v>
      </c>
      <c r="L723" s="11" t="s">
        <v>54</v>
      </c>
      <c r="M723" s="11">
        <f>-'Guarantees provided'!D717</f>
        <v>0</v>
      </c>
      <c r="N723" s="11" t="s">
        <v>55</v>
      </c>
      <c r="O723" s="11">
        <v>0</v>
      </c>
      <c r="P723" s="12" t="s">
        <v>56</v>
      </c>
    </row>
    <row r="724" spans="3:16" ht="23.65" thickBot="1">
      <c r="C724" s="10" t="s">
        <v>51</v>
      </c>
      <c r="D724" s="11">
        <v>717</v>
      </c>
      <c r="E724" s="11" t="s">
        <v>52</v>
      </c>
      <c r="F724" s="11">
        <f>'Guarantees provided'!G718</f>
        <v>0</v>
      </c>
      <c r="G724" s="11">
        <f>'Guarantees provided'!A718</f>
        <v>0</v>
      </c>
      <c r="H724" s="11">
        <f>IF('Guarantees provided'!B718="#",'Guarantees provided'!C718,'Guarantees provided'!B718)</f>
        <v>0</v>
      </c>
      <c r="I724" s="11" t="str">
        <f>IF('Guarantees provided'!B718="#","Type of identifier, other than LEI or MFI code","LEI code")</f>
        <v>LEI code</v>
      </c>
      <c r="J724" s="14" t="str">
        <f>IF(OR('Guarantees provided'!H718="E",'Guarantees provided'!H718="x"),"True","False")</f>
        <v>False</v>
      </c>
      <c r="K724" s="11" t="s">
        <v>53</v>
      </c>
      <c r="L724" s="11" t="s">
        <v>54</v>
      </c>
      <c r="M724" s="11">
        <f>-'Guarantees provided'!D718</f>
        <v>0</v>
      </c>
      <c r="N724" s="11" t="s">
        <v>55</v>
      </c>
      <c r="O724" s="11">
        <v>0</v>
      </c>
      <c r="P724" s="12" t="s">
        <v>56</v>
      </c>
    </row>
    <row r="725" spans="3:16" ht="23.65" thickBot="1">
      <c r="C725" s="10" t="s">
        <v>51</v>
      </c>
      <c r="D725" s="11">
        <v>718</v>
      </c>
      <c r="E725" s="11" t="s">
        <v>52</v>
      </c>
      <c r="F725" s="11">
        <f>'Guarantees provided'!G719</f>
        <v>0</v>
      </c>
      <c r="G725" s="11">
        <f>'Guarantees provided'!A719</f>
        <v>0</v>
      </c>
      <c r="H725" s="11">
        <f>IF('Guarantees provided'!B719="#",'Guarantees provided'!C719,'Guarantees provided'!B719)</f>
        <v>0</v>
      </c>
      <c r="I725" s="11" t="str">
        <f>IF('Guarantees provided'!B719="#","Type of identifier, other than LEI or MFI code","LEI code")</f>
        <v>LEI code</v>
      </c>
      <c r="J725" s="14" t="str">
        <f>IF(OR('Guarantees provided'!H719="E",'Guarantees provided'!H719="x"),"True","False")</f>
        <v>False</v>
      </c>
      <c r="K725" s="11" t="s">
        <v>53</v>
      </c>
      <c r="L725" s="11" t="s">
        <v>54</v>
      </c>
      <c r="M725" s="11">
        <f>-'Guarantees provided'!D719</f>
        <v>0</v>
      </c>
      <c r="N725" s="11" t="s">
        <v>55</v>
      </c>
      <c r="O725" s="11">
        <v>0</v>
      </c>
      <c r="P725" s="12" t="s">
        <v>56</v>
      </c>
    </row>
    <row r="726" spans="3:16" ht="23.65" thickBot="1">
      <c r="C726" s="10" t="s">
        <v>51</v>
      </c>
      <c r="D726" s="11">
        <v>719</v>
      </c>
      <c r="E726" s="11" t="s">
        <v>52</v>
      </c>
      <c r="F726" s="11">
        <f>'Guarantees provided'!G720</f>
        <v>0</v>
      </c>
      <c r="G726" s="11">
        <f>'Guarantees provided'!A720</f>
        <v>0</v>
      </c>
      <c r="H726" s="11">
        <f>IF('Guarantees provided'!B720="#",'Guarantees provided'!C720,'Guarantees provided'!B720)</f>
        <v>0</v>
      </c>
      <c r="I726" s="11" t="str">
        <f>IF('Guarantees provided'!B720="#","Type of identifier, other than LEI or MFI code","LEI code")</f>
        <v>LEI code</v>
      </c>
      <c r="J726" s="14" t="str">
        <f>IF(OR('Guarantees provided'!H720="E",'Guarantees provided'!H720="x"),"True","False")</f>
        <v>False</v>
      </c>
      <c r="K726" s="11" t="s">
        <v>53</v>
      </c>
      <c r="L726" s="11" t="s">
        <v>54</v>
      </c>
      <c r="M726" s="11">
        <f>-'Guarantees provided'!D720</f>
        <v>0</v>
      </c>
      <c r="N726" s="11" t="s">
        <v>55</v>
      </c>
      <c r="O726" s="11">
        <v>0</v>
      </c>
      <c r="P726" s="12" t="s">
        <v>56</v>
      </c>
    </row>
    <row r="727" spans="3:16" ht="23.65" thickBot="1">
      <c r="C727" s="10" t="s">
        <v>51</v>
      </c>
      <c r="D727" s="11">
        <v>720</v>
      </c>
      <c r="E727" s="11" t="s">
        <v>52</v>
      </c>
      <c r="F727" s="11">
        <f>'Guarantees provided'!G721</f>
        <v>0</v>
      </c>
      <c r="G727" s="11">
        <f>'Guarantees provided'!A721</f>
        <v>0</v>
      </c>
      <c r="H727" s="11">
        <f>IF('Guarantees provided'!B721="#",'Guarantees provided'!C721,'Guarantees provided'!B721)</f>
        <v>0</v>
      </c>
      <c r="I727" s="11" t="str">
        <f>IF('Guarantees provided'!B721="#","Type of identifier, other than LEI or MFI code","LEI code")</f>
        <v>LEI code</v>
      </c>
      <c r="J727" s="14" t="str">
        <f>IF(OR('Guarantees provided'!H721="E",'Guarantees provided'!H721="x"),"True","False")</f>
        <v>False</v>
      </c>
      <c r="K727" s="11" t="s">
        <v>53</v>
      </c>
      <c r="L727" s="11" t="s">
        <v>54</v>
      </c>
      <c r="M727" s="11">
        <f>-'Guarantees provided'!D721</f>
        <v>0</v>
      </c>
      <c r="N727" s="11" t="s">
        <v>55</v>
      </c>
      <c r="O727" s="11">
        <v>0</v>
      </c>
      <c r="P727" s="12" t="s">
        <v>56</v>
      </c>
    </row>
    <row r="728" spans="3:16" ht="23.65" thickBot="1">
      <c r="C728" s="10" t="s">
        <v>51</v>
      </c>
      <c r="D728" s="11">
        <v>721</v>
      </c>
      <c r="E728" s="11" t="s">
        <v>52</v>
      </c>
      <c r="F728" s="11">
        <f>'Guarantees provided'!G722</f>
        <v>0</v>
      </c>
      <c r="G728" s="11">
        <f>'Guarantees provided'!A722</f>
        <v>0</v>
      </c>
      <c r="H728" s="11">
        <f>IF('Guarantees provided'!B722="#",'Guarantees provided'!C722,'Guarantees provided'!B722)</f>
        <v>0</v>
      </c>
      <c r="I728" s="11" t="str">
        <f>IF('Guarantees provided'!B722="#","Type of identifier, other than LEI or MFI code","LEI code")</f>
        <v>LEI code</v>
      </c>
      <c r="J728" s="14" t="str">
        <f>IF(OR('Guarantees provided'!H722="E",'Guarantees provided'!H722="x"),"True","False")</f>
        <v>False</v>
      </c>
      <c r="K728" s="11" t="s">
        <v>53</v>
      </c>
      <c r="L728" s="11" t="s">
        <v>54</v>
      </c>
      <c r="M728" s="11">
        <f>-'Guarantees provided'!D722</f>
        <v>0</v>
      </c>
      <c r="N728" s="11" t="s">
        <v>55</v>
      </c>
      <c r="O728" s="11">
        <v>0</v>
      </c>
      <c r="P728" s="12" t="s">
        <v>56</v>
      </c>
    </row>
    <row r="729" spans="3:16" ht="23.65" thickBot="1">
      <c r="C729" s="10" t="s">
        <v>51</v>
      </c>
      <c r="D729" s="11">
        <v>722</v>
      </c>
      <c r="E729" s="11" t="s">
        <v>52</v>
      </c>
      <c r="F729" s="11">
        <f>'Guarantees provided'!G723</f>
        <v>0</v>
      </c>
      <c r="G729" s="11">
        <f>'Guarantees provided'!A723</f>
        <v>0</v>
      </c>
      <c r="H729" s="11">
        <f>IF('Guarantees provided'!B723="#",'Guarantees provided'!C723,'Guarantees provided'!B723)</f>
        <v>0</v>
      </c>
      <c r="I729" s="11" t="str">
        <f>IF('Guarantees provided'!B723="#","Type of identifier, other than LEI or MFI code","LEI code")</f>
        <v>LEI code</v>
      </c>
      <c r="J729" s="14" t="str">
        <f>IF(OR('Guarantees provided'!H723="E",'Guarantees provided'!H723="x"),"True","False")</f>
        <v>False</v>
      </c>
      <c r="K729" s="11" t="s">
        <v>53</v>
      </c>
      <c r="L729" s="11" t="s">
        <v>54</v>
      </c>
      <c r="M729" s="11">
        <f>-'Guarantees provided'!D723</f>
        <v>0</v>
      </c>
      <c r="N729" s="11" t="s">
        <v>55</v>
      </c>
      <c r="O729" s="11">
        <v>0</v>
      </c>
      <c r="P729" s="12" t="s">
        <v>56</v>
      </c>
    </row>
    <row r="730" spans="3:16" ht="23.65" thickBot="1">
      <c r="C730" s="10" t="s">
        <v>51</v>
      </c>
      <c r="D730" s="11">
        <v>723</v>
      </c>
      <c r="E730" s="11" t="s">
        <v>52</v>
      </c>
      <c r="F730" s="11">
        <f>'Guarantees provided'!G724</f>
        <v>0</v>
      </c>
      <c r="G730" s="11">
        <f>'Guarantees provided'!A724</f>
        <v>0</v>
      </c>
      <c r="H730" s="11">
        <f>IF('Guarantees provided'!B724="#",'Guarantees provided'!C724,'Guarantees provided'!B724)</f>
        <v>0</v>
      </c>
      <c r="I730" s="11" t="str">
        <f>IF('Guarantees provided'!B724="#","Type of identifier, other than LEI or MFI code","LEI code")</f>
        <v>LEI code</v>
      </c>
      <c r="J730" s="14" t="str">
        <f>IF(OR('Guarantees provided'!H724="E",'Guarantees provided'!H724="x"),"True","False")</f>
        <v>False</v>
      </c>
      <c r="K730" s="11" t="s">
        <v>53</v>
      </c>
      <c r="L730" s="11" t="s">
        <v>54</v>
      </c>
      <c r="M730" s="11">
        <f>-'Guarantees provided'!D724</f>
        <v>0</v>
      </c>
      <c r="N730" s="11" t="s">
        <v>55</v>
      </c>
      <c r="O730" s="11">
        <v>0</v>
      </c>
      <c r="P730" s="12" t="s">
        <v>56</v>
      </c>
    </row>
    <row r="731" spans="3:16" ht="23.65" thickBot="1">
      <c r="C731" s="10" t="s">
        <v>51</v>
      </c>
      <c r="D731" s="11">
        <v>724</v>
      </c>
      <c r="E731" s="11" t="s">
        <v>52</v>
      </c>
      <c r="F731" s="11">
        <f>'Guarantees provided'!G725</f>
        <v>0</v>
      </c>
      <c r="G731" s="11">
        <f>'Guarantees provided'!A725</f>
        <v>0</v>
      </c>
      <c r="H731" s="11">
        <f>IF('Guarantees provided'!B725="#",'Guarantees provided'!C725,'Guarantees provided'!B725)</f>
        <v>0</v>
      </c>
      <c r="I731" s="11" t="str">
        <f>IF('Guarantees provided'!B725="#","Type of identifier, other than LEI or MFI code","LEI code")</f>
        <v>LEI code</v>
      </c>
      <c r="J731" s="14" t="str">
        <f>IF(OR('Guarantees provided'!H725="E",'Guarantees provided'!H725="x"),"True","False")</f>
        <v>False</v>
      </c>
      <c r="K731" s="11" t="s">
        <v>53</v>
      </c>
      <c r="L731" s="11" t="s">
        <v>54</v>
      </c>
      <c r="M731" s="11">
        <f>-'Guarantees provided'!D725</f>
        <v>0</v>
      </c>
      <c r="N731" s="11" t="s">
        <v>55</v>
      </c>
      <c r="O731" s="11">
        <v>0</v>
      </c>
      <c r="P731" s="12" t="s">
        <v>56</v>
      </c>
    </row>
    <row r="732" spans="3:16" ht="23.65" thickBot="1">
      <c r="C732" s="10" t="s">
        <v>51</v>
      </c>
      <c r="D732" s="11">
        <v>725</v>
      </c>
      <c r="E732" s="11" t="s">
        <v>52</v>
      </c>
      <c r="F732" s="11">
        <f>'Guarantees provided'!G726</f>
        <v>0</v>
      </c>
      <c r="G732" s="11">
        <f>'Guarantees provided'!A726</f>
        <v>0</v>
      </c>
      <c r="H732" s="11">
        <f>IF('Guarantees provided'!B726="#",'Guarantees provided'!C726,'Guarantees provided'!B726)</f>
        <v>0</v>
      </c>
      <c r="I732" s="11" t="str">
        <f>IF('Guarantees provided'!B726="#","Type of identifier, other than LEI or MFI code","LEI code")</f>
        <v>LEI code</v>
      </c>
      <c r="J732" s="14" t="str">
        <f>IF(OR('Guarantees provided'!H726="E",'Guarantees provided'!H726="x"),"True","False")</f>
        <v>False</v>
      </c>
      <c r="K732" s="11" t="s">
        <v>53</v>
      </c>
      <c r="L732" s="11" t="s">
        <v>54</v>
      </c>
      <c r="M732" s="11">
        <f>-'Guarantees provided'!D726</f>
        <v>0</v>
      </c>
      <c r="N732" s="11" t="s">
        <v>55</v>
      </c>
      <c r="O732" s="11">
        <v>0</v>
      </c>
      <c r="P732" s="12" t="s">
        <v>56</v>
      </c>
    </row>
    <row r="733" spans="3:16" ht="23.65" thickBot="1">
      <c r="C733" s="10" t="s">
        <v>51</v>
      </c>
      <c r="D733" s="11">
        <v>726</v>
      </c>
      <c r="E733" s="11" t="s">
        <v>52</v>
      </c>
      <c r="F733" s="11">
        <f>'Guarantees provided'!G727</f>
        <v>0</v>
      </c>
      <c r="G733" s="11">
        <f>'Guarantees provided'!A727</f>
        <v>0</v>
      </c>
      <c r="H733" s="11">
        <f>IF('Guarantees provided'!B727="#",'Guarantees provided'!C727,'Guarantees provided'!B727)</f>
        <v>0</v>
      </c>
      <c r="I733" s="11" t="str">
        <f>IF('Guarantees provided'!B727="#","Type of identifier, other than LEI or MFI code","LEI code")</f>
        <v>LEI code</v>
      </c>
      <c r="J733" s="14" t="str">
        <f>IF(OR('Guarantees provided'!H727="E",'Guarantees provided'!H727="x"),"True","False")</f>
        <v>False</v>
      </c>
      <c r="K733" s="11" t="s">
        <v>53</v>
      </c>
      <c r="L733" s="11" t="s">
        <v>54</v>
      </c>
      <c r="M733" s="11">
        <f>-'Guarantees provided'!D727</f>
        <v>0</v>
      </c>
      <c r="N733" s="11" t="s">
        <v>55</v>
      </c>
      <c r="O733" s="11">
        <v>0</v>
      </c>
      <c r="P733" s="12" t="s">
        <v>56</v>
      </c>
    </row>
    <row r="734" spans="3:16" ht="23.65" thickBot="1">
      <c r="C734" s="10" t="s">
        <v>51</v>
      </c>
      <c r="D734" s="11">
        <v>727</v>
      </c>
      <c r="E734" s="11" t="s">
        <v>52</v>
      </c>
      <c r="F734" s="11">
        <f>'Guarantees provided'!G728</f>
        <v>0</v>
      </c>
      <c r="G734" s="11">
        <f>'Guarantees provided'!A728</f>
        <v>0</v>
      </c>
      <c r="H734" s="11">
        <f>IF('Guarantees provided'!B728="#",'Guarantees provided'!C728,'Guarantees provided'!B728)</f>
        <v>0</v>
      </c>
      <c r="I734" s="11" t="str">
        <f>IF('Guarantees provided'!B728="#","Type of identifier, other than LEI or MFI code","LEI code")</f>
        <v>LEI code</v>
      </c>
      <c r="J734" s="14" t="str">
        <f>IF(OR('Guarantees provided'!H728="E",'Guarantees provided'!H728="x"),"True","False")</f>
        <v>False</v>
      </c>
      <c r="K734" s="11" t="s">
        <v>53</v>
      </c>
      <c r="L734" s="11" t="s">
        <v>54</v>
      </c>
      <c r="M734" s="11">
        <f>-'Guarantees provided'!D728</f>
        <v>0</v>
      </c>
      <c r="N734" s="11" t="s">
        <v>55</v>
      </c>
      <c r="O734" s="11">
        <v>0</v>
      </c>
      <c r="P734" s="12" t="s">
        <v>56</v>
      </c>
    </row>
    <row r="735" spans="3:16" ht="23.65" thickBot="1">
      <c r="C735" s="10" t="s">
        <v>51</v>
      </c>
      <c r="D735" s="11">
        <v>728</v>
      </c>
      <c r="E735" s="11" t="s">
        <v>52</v>
      </c>
      <c r="F735" s="11">
        <f>'Guarantees provided'!G729</f>
        <v>0</v>
      </c>
      <c r="G735" s="11">
        <f>'Guarantees provided'!A729</f>
        <v>0</v>
      </c>
      <c r="H735" s="11">
        <f>IF('Guarantees provided'!B729="#",'Guarantees provided'!C729,'Guarantees provided'!B729)</f>
        <v>0</v>
      </c>
      <c r="I735" s="11" t="str">
        <f>IF('Guarantees provided'!B729="#","Type of identifier, other than LEI or MFI code","LEI code")</f>
        <v>LEI code</v>
      </c>
      <c r="J735" s="14" t="str">
        <f>IF(OR('Guarantees provided'!H729="E",'Guarantees provided'!H729="x"),"True","False")</f>
        <v>False</v>
      </c>
      <c r="K735" s="11" t="s">
        <v>53</v>
      </c>
      <c r="L735" s="11" t="s">
        <v>54</v>
      </c>
      <c r="M735" s="11">
        <f>-'Guarantees provided'!D729</f>
        <v>0</v>
      </c>
      <c r="N735" s="11" t="s">
        <v>55</v>
      </c>
      <c r="O735" s="11">
        <v>0</v>
      </c>
      <c r="P735" s="12" t="s">
        <v>56</v>
      </c>
    </row>
    <row r="736" spans="3:16" ht="23.65" thickBot="1">
      <c r="C736" s="10" t="s">
        <v>51</v>
      </c>
      <c r="D736" s="11">
        <v>729</v>
      </c>
      <c r="E736" s="11" t="s">
        <v>52</v>
      </c>
      <c r="F736" s="11">
        <f>'Guarantees provided'!G730</f>
        <v>0</v>
      </c>
      <c r="G736" s="11">
        <f>'Guarantees provided'!A730</f>
        <v>0</v>
      </c>
      <c r="H736" s="11">
        <f>IF('Guarantees provided'!B730="#",'Guarantees provided'!C730,'Guarantees provided'!B730)</f>
        <v>0</v>
      </c>
      <c r="I736" s="11" t="str">
        <f>IF('Guarantees provided'!B730="#","Type of identifier, other than LEI or MFI code","LEI code")</f>
        <v>LEI code</v>
      </c>
      <c r="J736" s="14" t="str">
        <f>IF(OR('Guarantees provided'!H730="E",'Guarantees provided'!H730="x"),"True","False")</f>
        <v>False</v>
      </c>
      <c r="K736" s="11" t="s">
        <v>53</v>
      </c>
      <c r="L736" s="11" t="s">
        <v>54</v>
      </c>
      <c r="M736" s="11">
        <f>-'Guarantees provided'!D730</f>
        <v>0</v>
      </c>
      <c r="N736" s="11" t="s">
        <v>55</v>
      </c>
      <c r="O736" s="11">
        <v>0</v>
      </c>
      <c r="P736" s="12" t="s">
        <v>56</v>
      </c>
    </row>
    <row r="737" spans="3:16" ht="23.65" thickBot="1">
      <c r="C737" s="10" t="s">
        <v>51</v>
      </c>
      <c r="D737" s="11">
        <v>730</v>
      </c>
      <c r="E737" s="11" t="s">
        <v>52</v>
      </c>
      <c r="F737" s="11">
        <f>'Guarantees provided'!G731</f>
        <v>0</v>
      </c>
      <c r="G737" s="11">
        <f>'Guarantees provided'!A731</f>
        <v>0</v>
      </c>
      <c r="H737" s="11">
        <f>IF('Guarantees provided'!B731="#",'Guarantees provided'!C731,'Guarantees provided'!B731)</f>
        <v>0</v>
      </c>
      <c r="I737" s="11" t="str">
        <f>IF('Guarantees provided'!B731="#","Type of identifier, other than LEI or MFI code","LEI code")</f>
        <v>LEI code</v>
      </c>
      <c r="J737" s="14" t="str">
        <f>IF(OR('Guarantees provided'!H731="E",'Guarantees provided'!H731="x"),"True","False")</f>
        <v>False</v>
      </c>
      <c r="K737" s="11" t="s">
        <v>53</v>
      </c>
      <c r="L737" s="11" t="s">
        <v>54</v>
      </c>
      <c r="M737" s="11">
        <f>-'Guarantees provided'!D731</f>
        <v>0</v>
      </c>
      <c r="N737" s="11" t="s">
        <v>55</v>
      </c>
      <c r="O737" s="11">
        <v>0</v>
      </c>
      <c r="P737" s="12" t="s">
        <v>56</v>
      </c>
    </row>
    <row r="738" spans="3:16" ht="23.65" thickBot="1">
      <c r="C738" s="10" t="s">
        <v>51</v>
      </c>
      <c r="D738" s="11">
        <v>731</v>
      </c>
      <c r="E738" s="11" t="s">
        <v>52</v>
      </c>
      <c r="F738" s="11">
        <f>'Guarantees provided'!G732</f>
        <v>0</v>
      </c>
      <c r="G738" s="11">
        <f>'Guarantees provided'!A732</f>
        <v>0</v>
      </c>
      <c r="H738" s="11">
        <f>IF('Guarantees provided'!B732="#",'Guarantees provided'!C732,'Guarantees provided'!B732)</f>
        <v>0</v>
      </c>
      <c r="I738" s="11" t="str">
        <f>IF('Guarantees provided'!B732="#","Type of identifier, other than LEI or MFI code","LEI code")</f>
        <v>LEI code</v>
      </c>
      <c r="J738" s="14" t="str">
        <f>IF(OR('Guarantees provided'!H732="E",'Guarantees provided'!H732="x"),"True","False")</f>
        <v>False</v>
      </c>
      <c r="K738" s="11" t="s">
        <v>53</v>
      </c>
      <c r="L738" s="11" t="s">
        <v>54</v>
      </c>
      <c r="M738" s="11">
        <f>-'Guarantees provided'!D732</f>
        <v>0</v>
      </c>
      <c r="N738" s="11" t="s">
        <v>55</v>
      </c>
      <c r="O738" s="11">
        <v>0</v>
      </c>
      <c r="P738" s="12" t="s">
        <v>56</v>
      </c>
    </row>
    <row r="739" spans="3:16" ht="23.65" thickBot="1">
      <c r="C739" s="10" t="s">
        <v>51</v>
      </c>
      <c r="D739" s="11">
        <v>732</v>
      </c>
      <c r="E739" s="11" t="s">
        <v>52</v>
      </c>
      <c r="F739" s="11">
        <f>'Guarantees provided'!G733</f>
        <v>0</v>
      </c>
      <c r="G739" s="11">
        <f>'Guarantees provided'!A733</f>
        <v>0</v>
      </c>
      <c r="H739" s="11">
        <f>IF('Guarantees provided'!B733="#",'Guarantees provided'!C733,'Guarantees provided'!B733)</f>
        <v>0</v>
      </c>
      <c r="I739" s="11" t="str">
        <f>IF('Guarantees provided'!B733="#","Type of identifier, other than LEI or MFI code","LEI code")</f>
        <v>LEI code</v>
      </c>
      <c r="J739" s="14" t="str">
        <f>IF(OR('Guarantees provided'!H733="E",'Guarantees provided'!H733="x"),"True","False")</f>
        <v>False</v>
      </c>
      <c r="K739" s="11" t="s">
        <v>53</v>
      </c>
      <c r="L739" s="11" t="s">
        <v>54</v>
      </c>
      <c r="M739" s="11">
        <f>-'Guarantees provided'!D733</f>
        <v>0</v>
      </c>
      <c r="N739" s="11" t="s">
        <v>55</v>
      </c>
      <c r="O739" s="11">
        <v>0</v>
      </c>
      <c r="P739" s="12" t="s">
        <v>56</v>
      </c>
    </row>
    <row r="740" spans="3:16" ht="23.65" thickBot="1">
      <c r="C740" s="10" t="s">
        <v>51</v>
      </c>
      <c r="D740" s="11">
        <v>733</v>
      </c>
      <c r="E740" s="11" t="s">
        <v>52</v>
      </c>
      <c r="F740" s="11">
        <f>'Guarantees provided'!G734</f>
        <v>0</v>
      </c>
      <c r="G740" s="11">
        <f>'Guarantees provided'!A734</f>
        <v>0</v>
      </c>
      <c r="H740" s="11">
        <f>IF('Guarantees provided'!B734="#",'Guarantees provided'!C734,'Guarantees provided'!B734)</f>
        <v>0</v>
      </c>
      <c r="I740" s="11" t="str">
        <f>IF('Guarantees provided'!B734="#","Type of identifier, other than LEI or MFI code","LEI code")</f>
        <v>LEI code</v>
      </c>
      <c r="J740" s="14" t="str">
        <f>IF(OR('Guarantees provided'!H734="E",'Guarantees provided'!H734="x"),"True","False")</f>
        <v>False</v>
      </c>
      <c r="K740" s="11" t="s">
        <v>53</v>
      </c>
      <c r="L740" s="11" t="s">
        <v>54</v>
      </c>
      <c r="M740" s="11">
        <f>-'Guarantees provided'!D734</f>
        <v>0</v>
      </c>
      <c r="N740" s="11" t="s">
        <v>55</v>
      </c>
      <c r="O740" s="11">
        <v>0</v>
      </c>
      <c r="P740" s="12" t="s">
        <v>56</v>
      </c>
    </row>
    <row r="741" spans="3:16" ht="23.65" thickBot="1">
      <c r="C741" s="10" t="s">
        <v>51</v>
      </c>
      <c r="D741" s="11">
        <v>734</v>
      </c>
      <c r="E741" s="11" t="s">
        <v>52</v>
      </c>
      <c r="F741" s="11">
        <f>'Guarantees provided'!G735</f>
        <v>0</v>
      </c>
      <c r="G741" s="11">
        <f>'Guarantees provided'!A735</f>
        <v>0</v>
      </c>
      <c r="H741" s="11">
        <f>IF('Guarantees provided'!B735="#",'Guarantees provided'!C735,'Guarantees provided'!B735)</f>
        <v>0</v>
      </c>
      <c r="I741" s="11" t="str">
        <f>IF('Guarantees provided'!B735="#","Type of identifier, other than LEI or MFI code","LEI code")</f>
        <v>LEI code</v>
      </c>
      <c r="J741" s="14" t="str">
        <f>IF(OR('Guarantees provided'!H735="E",'Guarantees provided'!H735="x"),"True","False")</f>
        <v>False</v>
      </c>
      <c r="K741" s="11" t="s">
        <v>53</v>
      </c>
      <c r="L741" s="11" t="s">
        <v>54</v>
      </c>
      <c r="M741" s="11">
        <f>-'Guarantees provided'!D735</f>
        <v>0</v>
      </c>
      <c r="N741" s="11" t="s">
        <v>55</v>
      </c>
      <c r="O741" s="11">
        <v>0</v>
      </c>
      <c r="P741" s="12" t="s">
        <v>56</v>
      </c>
    </row>
    <row r="742" spans="3:16" ht="23.65" thickBot="1">
      <c r="C742" s="10" t="s">
        <v>51</v>
      </c>
      <c r="D742" s="11">
        <v>735</v>
      </c>
      <c r="E742" s="11" t="s">
        <v>52</v>
      </c>
      <c r="F742" s="11">
        <f>'Guarantees provided'!G736</f>
        <v>0</v>
      </c>
      <c r="G742" s="11">
        <f>'Guarantees provided'!A736</f>
        <v>0</v>
      </c>
      <c r="H742" s="11">
        <f>IF('Guarantees provided'!B736="#",'Guarantees provided'!C736,'Guarantees provided'!B736)</f>
        <v>0</v>
      </c>
      <c r="I742" s="11" t="str">
        <f>IF('Guarantees provided'!B736="#","Type of identifier, other than LEI or MFI code","LEI code")</f>
        <v>LEI code</v>
      </c>
      <c r="J742" s="14" t="str">
        <f>IF(OR('Guarantees provided'!H736="E",'Guarantees provided'!H736="x"),"True","False")</f>
        <v>False</v>
      </c>
      <c r="K742" s="11" t="s">
        <v>53</v>
      </c>
      <c r="L742" s="11" t="s">
        <v>54</v>
      </c>
      <c r="M742" s="11">
        <f>-'Guarantees provided'!D736</f>
        <v>0</v>
      </c>
      <c r="N742" s="11" t="s">
        <v>55</v>
      </c>
      <c r="O742" s="11">
        <v>0</v>
      </c>
      <c r="P742" s="12" t="s">
        <v>56</v>
      </c>
    </row>
    <row r="743" spans="3:16" ht="23.65" thickBot="1">
      <c r="C743" s="10" t="s">
        <v>51</v>
      </c>
      <c r="D743" s="11">
        <v>736</v>
      </c>
      <c r="E743" s="11" t="s">
        <v>52</v>
      </c>
      <c r="F743" s="11">
        <f>'Guarantees provided'!G737</f>
        <v>0</v>
      </c>
      <c r="G743" s="11">
        <f>'Guarantees provided'!A737</f>
        <v>0</v>
      </c>
      <c r="H743" s="11">
        <f>IF('Guarantees provided'!B737="#",'Guarantees provided'!C737,'Guarantees provided'!B737)</f>
        <v>0</v>
      </c>
      <c r="I743" s="11" t="str">
        <f>IF('Guarantees provided'!B737="#","Type of identifier, other than LEI or MFI code","LEI code")</f>
        <v>LEI code</v>
      </c>
      <c r="J743" s="14" t="str">
        <f>IF(OR('Guarantees provided'!H737="E",'Guarantees provided'!H737="x"),"True","False")</f>
        <v>False</v>
      </c>
      <c r="K743" s="11" t="s">
        <v>53</v>
      </c>
      <c r="L743" s="11" t="s">
        <v>54</v>
      </c>
      <c r="M743" s="11">
        <f>-'Guarantees provided'!D737</f>
        <v>0</v>
      </c>
      <c r="N743" s="11" t="s">
        <v>55</v>
      </c>
      <c r="O743" s="11">
        <v>0</v>
      </c>
      <c r="P743" s="12" t="s">
        <v>56</v>
      </c>
    </row>
    <row r="744" spans="3:16" ht="23.65" thickBot="1">
      <c r="C744" s="10" t="s">
        <v>51</v>
      </c>
      <c r="D744" s="11">
        <v>737</v>
      </c>
      <c r="E744" s="11" t="s">
        <v>52</v>
      </c>
      <c r="F744" s="11">
        <f>'Guarantees provided'!G738</f>
        <v>0</v>
      </c>
      <c r="G744" s="11">
        <f>'Guarantees provided'!A738</f>
        <v>0</v>
      </c>
      <c r="H744" s="11">
        <f>IF('Guarantees provided'!B738="#",'Guarantees provided'!C738,'Guarantees provided'!B738)</f>
        <v>0</v>
      </c>
      <c r="I744" s="11" t="str">
        <f>IF('Guarantees provided'!B738="#","Type of identifier, other than LEI or MFI code","LEI code")</f>
        <v>LEI code</v>
      </c>
      <c r="J744" s="14" t="str">
        <f>IF(OR('Guarantees provided'!H738="E",'Guarantees provided'!H738="x"),"True","False")</f>
        <v>False</v>
      </c>
      <c r="K744" s="11" t="s">
        <v>53</v>
      </c>
      <c r="L744" s="11" t="s">
        <v>54</v>
      </c>
      <c r="M744" s="11">
        <f>-'Guarantees provided'!D738</f>
        <v>0</v>
      </c>
      <c r="N744" s="11" t="s">
        <v>55</v>
      </c>
      <c r="O744" s="11">
        <v>0</v>
      </c>
      <c r="P744" s="12" t="s">
        <v>56</v>
      </c>
    </row>
    <row r="745" spans="3:16" ht="23.65" thickBot="1">
      <c r="C745" s="10" t="s">
        <v>51</v>
      </c>
      <c r="D745" s="11">
        <v>738</v>
      </c>
      <c r="E745" s="11" t="s">
        <v>52</v>
      </c>
      <c r="F745" s="11">
        <f>'Guarantees provided'!G739</f>
        <v>0</v>
      </c>
      <c r="G745" s="11">
        <f>'Guarantees provided'!A739</f>
        <v>0</v>
      </c>
      <c r="H745" s="11">
        <f>IF('Guarantees provided'!B739="#",'Guarantees provided'!C739,'Guarantees provided'!B739)</f>
        <v>0</v>
      </c>
      <c r="I745" s="11" t="str">
        <f>IF('Guarantees provided'!B739="#","Type of identifier, other than LEI or MFI code","LEI code")</f>
        <v>LEI code</v>
      </c>
      <c r="J745" s="14" t="str">
        <f>IF(OR('Guarantees provided'!H739="E",'Guarantees provided'!H739="x"),"True","False")</f>
        <v>False</v>
      </c>
      <c r="K745" s="11" t="s">
        <v>53</v>
      </c>
      <c r="L745" s="11" t="s">
        <v>54</v>
      </c>
      <c r="M745" s="11">
        <f>-'Guarantees provided'!D739</f>
        <v>0</v>
      </c>
      <c r="N745" s="11" t="s">
        <v>55</v>
      </c>
      <c r="O745" s="11">
        <v>0</v>
      </c>
      <c r="P745" s="12" t="s">
        <v>56</v>
      </c>
    </row>
    <row r="746" spans="3:16" ht="23.65" thickBot="1">
      <c r="C746" s="10" t="s">
        <v>51</v>
      </c>
      <c r="D746" s="11">
        <v>739</v>
      </c>
      <c r="E746" s="11" t="s">
        <v>52</v>
      </c>
      <c r="F746" s="11">
        <f>'Guarantees provided'!G740</f>
        <v>0</v>
      </c>
      <c r="G746" s="11">
        <f>'Guarantees provided'!A740</f>
        <v>0</v>
      </c>
      <c r="H746" s="11">
        <f>IF('Guarantees provided'!B740="#",'Guarantees provided'!C740,'Guarantees provided'!B740)</f>
        <v>0</v>
      </c>
      <c r="I746" s="11" t="str">
        <f>IF('Guarantees provided'!B740="#","Type of identifier, other than LEI or MFI code","LEI code")</f>
        <v>LEI code</v>
      </c>
      <c r="J746" s="14" t="str">
        <f>IF(OR('Guarantees provided'!H740="E",'Guarantees provided'!H740="x"),"True","False")</f>
        <v>False</v>
      </c>
      <c r="K746" s="11" t="s">
        <v>53</v>
      </c>
      <c r="L746" s="11" t="s">
        <v>54</v>
      </c>
      <c r="M746" s="11">
        <f>-'Guarantees provided'!D740</f>
        <v>0</v>
      </c>
      <c r="N746" s="11" t="s">
        <v>55</v>
      </c>
      <c r="O746" s="11">
        <v>0</v>
      </c>
      <c r="P746" s="12" t="s">
        <v>56</v>
      </c>
    </row>
    <row r="747" spans="3:16" ht="23.65" thickBot="1">
      <c r="C747" s="10" t="s">
        <v>51</v>
      </c>
      <c r="D747" s="11">
        <v>740</v>
      </c>
      <c r="E747" s="11" t="s">
        <v>52</v>
      </c>
      <c r="F747" s="11">
        <f>'Guarantees provided'!G741</f>
        <v>0</v>
      </c>
      <c r="G747" s="11">
        <f>'Guarantees provided'!A741</f>
        <v>0</v>
      </c>
      <c r="H747" s="11">
        <f>IF('Guarantees provided'!B741="#",'Guarantees provided'!C741,'Guarantees provided'!B741)</f>
        <v>0</v>
      </c>
      <c r="I747" s="11" t="str">
        <f>IF('Guarantees provided'!B741="#","Type of identifier, other than LEI or MFI code","LEI code")</f>
        <v>LEI code</v>
      </c>
      <c r="J747" s="14" t="str">
        <f>IF(OR('Guarantees provided'!H741="E",'Guarantees provided'!H741="x"),"True","False")</f>
        <v>False</v>
      </c>
      <c r="K747" s="11" t="s">
        <v>53</v>
      </c>
      <c r="L747" s="11" t="s">
        <v>54</v>
      </c>
      <c r="M747" s="11">
        <f>-'Guarantees provided'!D741</f>
        <v>0</v>
      </c>
      <c r="N747" s="11" t="s">
        <v>55</v>
      </c>
      <c r="O747" s="11">
        <v>0</v>
      </c>
      <c r="P747" s="12" t="s">
        <v>56</v>
      </c>
    </row>
    <row r="748" spans="3:16" ht="23.65" thickBot="1">
      <c r="C748" s="10" t="s">
        <v>51</v>
      </c>
      <c r="D748" s="11">
        <v>741</v>
      </c>
      <c r="E748" s="11" t="s">
        <v>52</v>
      </c>
      <c r="F748" s="11">
        <f>'Guarantees provided'!G742</f>
        <v>0</v>
      </c>
      <c r="G748" s="11">
        <f>'Guarantees provided'!A742</f>
        <v>0</v>
      </c>
      <c r="H748" s="11">
        <f>IF('Guarantees provided'!B742="#",'Guarantees provided'!C742,'Guarantees provided'!B742)</f>
        <v>0</v>
      </c>
      <c r="I748" s="11" t="str">
        <f>IF('Guarantees provided'!B742="#","Type of identifier, other than LEI or MFI code","LEI code")</f>
        <v>LEI code</v>
      </c>
      <c r="J748" s="14" t="str">
        <f>IF(OR('Guarantees provided'!H742="E",'Guarantees provided'!H742="x"),"True","False")</f>
        <v>False</v>
      </c>
      <c r="K748" s="11" t="s">
        <v>53</v>
      </c>
      <c r="L748" s="11" t="s">
        <v>54</v>
      </c>
      <c r="M748" s="11">
        <f>-'Guarantees provided'!D742</f>
        <v>0</v>
      </c>
      <c r="N748" s="11" t="s">
        <v>55</v>
      </c>
      <c r="O748" s="11">
        <v>0</v>
      </c>
      <c r="P748" s="12" t="s">
        <v>56</v>
      </c>
    </row>
    <row r="749" spans="3:16" ht="23.65" thickBot="1">
      <c r="C749" s="10" t="s">
        <v>51</v>
      </c>
      <c r="D749" s="11">
        <v>742</v>
      </c>
      <c r="E749" s="11" t="s">
        <v>52</v>
      </c>
      <c r="F749" s="11">
        <f>'Guarantees provided'!G743</f>
        <v>0</v>
      </c>
      <c r="G749" s="11">
        <f>'Guarantees provided'!A743</f>
        <v>0</v>
      </c>
      <c r="H749" s="11">
        <f>IF('Guarantees provided'!B743="#",'Guarantees provided'!C743,'Guarantees provided'!B743)</f>
        <v>0</v>
      </c>
      <c r="I749" s="11" t="str">
        <f>IF('Guarantees provided'!B743="#","Type of identifier, other than LEI or MFI code","LEI code")</f>
        <v>LEI code</v>
      </c>
      <c r="J749" s="14" t="str">
        <f>IF(OR('Guarantees provided'!H743="E",'Guarantees provided'!H743="x"),"True","False")</f>
        <v>False</v>
      </c>
      <c r="K749" s="11" t="s">
        <v>53</v>
      </c>
      <c r="L749" s="11" t="s">
        <v>54</v>
      </c>
      <c r="M749" s="11">
        <f>-'Guarantees provided'!D743</f>
        <v>0</v>
      </c>
      <c r="N749" s="11" t="s">
        <v>55</v>
      </c>
      <c r="O749" s="11">
        <v>0</v>
      </c>
      <c r="P749" s="12" t="s">
        <v>56</v>
      </c>
    </row>
    <row r="750" spans="3:16" ht="23.65" thickBot="1">
      <c r="C750" s="10" t="s">
        <v>51</v>
      </c>
      <c r="D750" s="11">
        <v>743</v>
      </c>
      <c r="E750" s="11" t="s">
        <v>52</v>
      </c>
      <c r="F750" s="11">
        <f>'Guarantees provided'!G744</f>
        <v>0</v>
      </c>
      <c r="G750" s="11">
        <f>'Guarantees provided'!A744</f>
        <v>0</v>
      </c>
      <c r="H750" s="11">
        <f>IF('Guarantees provided'!B744="#",'Guarantees provided'!C744,'Guarantees provided'!B744)</f>
        <v>0</v>
      </c>
      <c r="I750" s="11" t="str">
        <f>IF('Guarantees provided'!B744="#","Type of identifier, other than LEI or MFI code","LEI code")</f>
        <v>LEI code</v>
      </c>
      <c r="J750" s="14" t="str">
        <f>IF(OR('Guarantees provided'!H744="E",'Guarantees provided'!H744="x"),"True","False")</f>
        <v>False</v>
      </c>
      <c r="K750" s="11" t="s">
        <v>53</v>
      </c>
      <c r="L750" s="11" t="s">
        <v>54</v>
      </c>
      <c r="M750" s="11">
        <f>-'Guarantees provided'!D744</f>
        <v>0</v>
      </c>
      <c r="N750" s="11" t="s">
        <v>55</v>
      </c>
      <c r="O750" s="11">
        <v>0</v>
      </c>
      <c r="P750" s="12" t="s">
        <v>56</v>
      </c>
    </row>
    <row r="751" spans="3:16" ht="23.65" thickBot="1">
      <c r="C751" s="10" t="s">
        <v>51</v>
      </c>
      <c r="D751" s="11">
        <v>744</v>
      </c>
      <c r="E751" s="11" t="s">
        <v>52</v>
      </c>
      <c r="F751" s="11">
        <f>'Guarantees provided'!G745</f>
        <v>0</v>
      </c>
      <c r="G751" s="11">
        <f>'Guarantees provided'!A745</f>
        <v>0</v>
      </c>
      <c r="H751" s="11">
        <f>IF('Guarantees provided'!B745="#",'Guarantees provided'!C745,'Guarantees provided'!B745)</f>
        <v>0</v>
      </c>
      <c r="I751" s="11" t="str">
        <f>IF('Guarantees provided'!B745="#","Type of identifier, other than LEI or MFI code","LEI code")</f>
        <v>LEI code</v>
      </c>
      <c r="J751" s="14" t="str">
        <f>IF(OR('Guarantees provided'!H745="E",'Guarantees provided'!H745="x"),"True","False")</f>
        <v>False</v>
      </c>
      <c r="K751" s="11" t="s">
        <v>53</v>
      </c>
      <c r="L751" s="11" t="s">
        <v>54</v>
      </c>
      <c r="M751" s="11">
        <f>-'Guarantees provided'!D745</f>
        <v>0</v>
      </c>
      <c r="N751" s="11" t="s">
        <v>55</v>
      </c>
      <c r="O751" s="11">
        <v>0</v>
      </c>
      <c r="P751" s="12" t="s">
        <v>56</v>
      </c>
    </row>
    <row r="752" spans="3:16" ht="23.65" thickBot="1">
      <c r="C752" s="10" t="s">
        <v>51</v>
      </c>
      <c r="D752" s="11">
        <v>745</v>
      </c>
      <c r="E752" s="11" t="s">
        <v>52</v>
      </c>
      <c r="F752" s="11">
        <f>'Guarantees provided'!G746</f>
        <v>0</v>
      </c>
      <c r="G752" s="11">
        <f>'Guarantees provided'!A746</f>
        <v>0</v>
      </c>
      <c r="H752" s="11">
        <f>IF('Guarantees provided'!B746="#",'Guarantees provided'!C746,'Guarantees provided'!B746)</f>
        <v>0</v>
      </c>
      <c r="I752" s="11" t="str">
        <f>IF('Guarantees provided'!B746="#","Type of identifier, other than LEI or MFI code","LEI code")</f>
        <v>LEI code</v>
      </c>
      <c r="J752" s="14" t="str">
        <f>IF(OR('Guarantees provided'!H746="E",'Guarantees provided'!H746="x"),"True","False")</f>
        <v>False</v>
      </c>
      <c r="K752" s="11" t="s">
        <v>53</v>
      </c>
      <c r="L752" s="11" t="s">
        <v>54</v>
      </c>
      <c r="M752" s="11">
        <f>-'Guarantees provided'!D746</f>
        <v>0</v>
      </c>
      <c r="N752" s="11" t="s">
        <v>55</v>
      </c>
      <c r="O752" s="11">
        <v>0</v>
      </c>
      <c r="P752" s="12" t="s">
        <v>56</v>
      </c>
    </row>
    <row r="753" spans="3:16" ht="23.65" thickBot="1">
      <c r="C753" s="10" t="s">
        <v>51</v>
      </c>
      <c r="D753" s="11">
        <v>746</v>
      </c>
      <c r="E753" s="11" t="s">
        <v>52</v>
      </c>
      <c r="F753" s="11">
        <f>'Guarantees provided'!G747</f>
        <v>0</v>
      </c>
      <c r="G753" s="11">
        <f>'Guarantees provided'!A747</f>
        <v>0</v>
      </c>
      <c r="H753" s="11">
        <f>IF('Guarantees provided'!B747="#",'Guarantees provided'!C747,'Guarantees provided'!B747)</f>
        <v>0</v>
      </c>
      <c r="I753" s="11" t="str">
        <f>IF('Guarantees provided'!B747="#","Type of identifier, other than LEI or MFI code","LEI code")</f>
        <v>LEI code</v>
      </c>
      <c r="J753" s="14" t="str">
        <f>IF(OR('Guarantees provided'!H747="E",'Guarantees provided'!H747="x"),"True","False")</f>
        <v>False</v>
      </c>
      <c r="K753" s="11" t="s">
        <v>53</v>
      </c>
      <c r="L753" s="11" t="s">
        <v>54</v>
      </c>
      <c r="M753" s="11">
        <f>-'Guarantees provided'!D747</f>
        <v>0</v>
      </c>
      <c r="N753" s="11" t="s">
        <v>55</v>
      </c>
      <c r="O753" s="11">
        <v>0</v>
      </c>
      <c r="P753" s="12" t="s">
        <v>56</v>
      </c>
    </row>
    <row r="754" spans="3:16" ht="23.65" thickBot="1">
      <c r="C754" s="10" t="s">
        <v>51</v>
      </c>
      <c r="D754" s="11">
        <v>747</v>
      </c>
      <c r="E754" s="11" t="s">
        <v>52</v>
      </c>
      <c r="F754" s="11">
        <f>'Guarantees provided'!G748</f>
        <v>0</v>
      </c>
      <c r="G754" s="11">
        <f>'Guarantees provided'!A748</f>
        <v>0</v>
      </c>
      <c r="H754" s="11">
        <f>IF('Guarantees provided'!B748="#",'Guarantees provided'!C748,'Guarantees provided'!B748)</f>
        <v>0</v>
      </c>
      <c r="I754" s="11" t="str">
        <f>IF('Guarantees provided'!B748="#","Type of identifier, other than LEI or MFI code","LEI code")</f>
        <v>LEI code</v>
      </c>
      <c r="J754" s="14" t="str">
        <f>IF(OR('Guarantees provided'!H748="E",'Guarantees provided'!H748="x"),"True","False")</f>
        <v>False</v>
      </c>
      <c r="K754" s="11" t="s">
        <v>53</v>
      </c>
      <c r="L754" s="11" t="s">
        <v>54</v>
      </c>
      <c r="M754" s="11">
        <f>-'Guarantees provided'!D748</f>
        <v>0</v>
      </c>
      <c r="N754" s="11" t="s">
        <v>55</v>
      </c>
      <c r="O754" s="11">
        <v>0</v>
      </c>
      <c r="P754" s="12" t="s">
        <v>56</v>
      </c>
    </row>
    <row r="755" spans="3:16" ht="23.65" thickBot="1">
      <c r="C755" s="10" t="s">
        <v>51</v>
      </c>
      <c r="D755" s="11">
        <v>748</v>
      </c>
      <c r="E755" s="11" t="s">
        <v>52</v>
      </c>
      <c r="F755" s="11">
        <f>'Guarantees provided'!G749</f>
        <v>0</v>
      </c>
      <c r="G755" s="11">
        <f>'Guarantees provided'!A749</f>
        <v>0</v>
      </c>
      <c r="H755" s="11">
        <f>IF('Guarantees provided'!B749="#",'Guarantees provided'!C749,'Guarantees provided'!B749)</f>
        <v>0</v>
      </c>
      <c r="I755" s="11" t="str">
        <f>IF('Guarantees provided'!B749="#","Type of identifier, other than LEI or MFI code","LEI code")</f>
        <v>LEI code</v>
      </c>
      <c r="J755" s="14" t="str">
        <f>IF(OR('Guarantees provided'!H749="E",'Guarantees provided'!H749="x"),"True","False")</f>
        <v>False</v>
      </c>
      <c r="K755" s="11" t="s">
        <v>53</v>
      </c>
      <c r="L755" s="11" t="s">
        <v>54</v>
      </c>
      <c r="M755" s="11">
        <f>-'Guarantees provided'!D749</f>
        <v>0</v>
      </c>
      <c r="N755" s="11" t="s">
        <v>55</v>
      </c>
      <c r="O755" s="11">
        <v>0</v>
      </c>
      <c r="P755" s="12" t="s">
        <v>56</v>
      </c>
    </row>
    <row r="756" spans="3:16" ht="23.65" thickBot="1">
      <c r="C756" s="10" t="s">
        <v>51</v>
      </c>
      <c r="D756" s="11">
        <v>749</v>
      </c>
      <c r="E756" s="11" t="s">
        <v>52</v>
      </c>
      <c r="F756" s="11">
        <f>'Guarantees provided'!G750</f>
        <v>0</v>
      </c>
      <c r="G756" s="11">
        <f>'Guarantees provided'!A750</f>
        <v>0</v>
      </c>
      <c r="H756" s="11">
        <f>IF('Guarantees provided'!B750="#",'Guarantees provided'!C750,'Guarantees provided'!B750)</f>
        <v>0</v>
      </c>
      <c r="I756" s="11" t="str">
        <f>IF('Guarantees provided'!B750="#","Type of identifier, other than LEI or MFI code","LEI code")</f>
        <v>LEI code</v>
      </c>
      <c r="J756" s="14" t="str">
        <f>IF(OR('Guarantees provided'!H750="E",'Guarantees provided'!H750="x"),"True","False")</f>
        <v>False</v>
      </c>
      <c r="K756" s="11" t="s">
        <v>53</v>
      </c>
      <c r="L756" s="11" t="s">
        <v>54</v>
      </c>
      <c r="M756" s="11">
        <f>-'Guarantees provided'!D750</f>
        <v>0</v>
      </c>
      <c r="N756" s="11" t="s">
        <v>55</v>
      </c>
      <c r="O756" s="11">
        <v>0</v>
      </c>
      <c r="P756" s="12" t="s">
        <v>56</v>
      </c>
    </row>
    <row r="757" spans="3:16" ht="23.65" thickBot="1">
      <c r="C757" s="10" t="s">
        <v>51</v>
      </c>
      <c r="D757" s="11">
        <v>750</v>
      </c>
      <c r="E757" s="11" t="s">
        <v>52</v>
      </c>
      <c r="F757" s="11">
        <f>'Guarantees provided'!G751</f>
        <v>0</v>
      </c>
      <c r="G757" s="11">
        <f>'Guarantees provided'!A751</f>
        <v>0</v>
      </c>
      <c r="H757" s="11">
        <f>IF('Guarantees provided'!B751="#",'Guarantees provided'!C751,'Guarantees provided'!B751)</f>
        <v>0</v>
      </c>
      <c r="I757" s="11" t="str">
        <f>IF('Guarantees provided'!B751="#","Type of identifier, other than LEI or MFI code","LEI code")</f>
        <v>LEI code</v>
      </c>
      <c r="J757" s="14" t="str">
        <f>IF(OR('Guarantees provided'!H751="E",'Guarantees provided'!H751="x"),"True","False")</f>
        <v>False</v>
      </c>
      <c r="K757" s="11" t="s">
        <v>53</v>
      </c>
      <c r="L757" s="11" t="s">
        <v>54</v>
      </c>
      <c r="M757" s="11">
        <f>-'Guarantees provided'!D751</f>
        <v>0</v>
      </c>
      <c r="N757" s="11" t="s">
        <v>55</v>
      </c>
      <c r="O757" s="11">
        <v>0</v>
      </c>
      <c r="P757" s="12" t="s">
        <v>56</v>
      </c>
    </row>
    <row r="758" spans="3:16" ht="23.65" thickBot="1">
      <c r="C758" s="10" t="s">
        <v>51</v>
      </c>
      <c r="D758" s="11">
        <v>751</v>
      </c>
      <c r="E758" s="11" t="s">
        <v>52</v>
      </c>
      <c r="F758" s="11">
        <f>'Guarantees provided'!G752</f>
        <v>0</v>
      </c>
      <c r="G758" s="11">
        <f>'Guarantees provided'!A752</f>
        <v>0</v>
      </c>
      <c r="H758" s="11">
        <f>IF('Guarantees provided'!B752="#",'Guarantees provided'!C752,'Guarantees provided'!B752)</f>
        <v>0</v>
      </c>
      <c r="I758" s="11" t="str">
        <f>IF('Guarantees provided'!B752="#","Type of identifier, other than LEI or MFI code","LEI code")</f>
        <v>LEI code</v>
      </c>
      <c r="J758" s="14" t="str">
        <f>IF(OR('Guarantees provided'!H752="E",'Guarantees provided'!H752="x"),"True","False")</f>
        <v>False</v>
      </c>
      <c r="K758" s="11" t="s">
        <v>53</v>
      </c>
      <c r="L758" s="11" t="s">
        <v>54</v>
      </c>
      <c r="M758" s="11">
        <f>-'Guarantees provided'!D752</f>
        <v>0</v>
      </c>
      <c r="N758" s="11" t="s">
        <v>55</v>
      </c>
      <c r="O758" s="11">
        <v>0</v>
      </c>
      <c r="P758" s="12" t="s">
        <v>56</v>
      </c>
    </row>
    <row r="759" spans="3:16" ht="23.65" thickBot="1">
      <c r="C759" s="10" t="s">
        <v>51</v>
      </c>
      <c r="D759" s="11">
        <v>752</v>
      </c>
      <c r="E759" s="11" t="s">
        <v>52</v>
      </c>
      <c r="F759" s="11">
        <f>'Guarantees provided'!G753</f>
        <v>0</v>
      </c>
      <c r="G759" s="11">
        <f>'Guarantees provided'!A753</f>
        <v>0</v>
      </c>
      <c r="H759" s="11">
        <f>IF('Guarantees provided'!B753="#",'Guarantees provided'!C753,'Guarantees provided'!B753)</f>
        <v>0</v>
      </c>
      <c r="I759" s="11" t="str">
        <f>IF('Guarantees provided'!B753="#","Type of identifier, other than LEI or MFI code","LEI code")</f>
        <v>LEI code</v>
      </c>
      <c r="J759" s="14" t="str">
        <f>IF(OR('Guarantees provided'!H753="E",'Guarantees provided'!H753="x"),"True","False")</f>
        <v>False</v>
      </c>
      <c r="K759" s="11" t="s">
        <v>53</v>
      </c>
      <c r="L759" s="11" t="s">
        <v>54</v>
      </c>
      <c r="M759" s="11">
        <f>-'Guarantees provided'!D753</f>
        <v>0</v>
      </c>
      <c r="N759" s="11" t="s">
        <v>55</v>
      </c>
      <c r="O759" s="11">
        <v>0</v>
      </c>
      <c r="P759" s="12" t="s">
        <v>56</v>
      </c>
    </row>
    <row r="760" spans="3:16" ht="23.65" thickBot="1">
      <c r="C760" s="10" t="s">
        <v>51</v>
      </c>
      <c r="D760" s="11">
        <v>753</v>
      </c>
      <c r="E760" s="11" t="s">
        <v>52</v>
      </c>
      <c r="F760" s="11">
        <f>'Guarantees provided'!G754</f>
        <v>0</v>
      </c>
      <c r="G760" s="11">
        <f>'Guarantees provided'!A754</f>
        <v>0</v>
      </c>
      <c r="H760" s="11">
        <f>IF('Guarantees provided'!B754="#",'Guarantees provided'!C754,'Guarantees provided'!B754)</f>
        <v>0</v>
      </c>
      <c r="I760" s="11" t="str">
        <f>IF('Guarantees provided'!B754="#","Type of identifier, other than LEI or MFI code","LEI code")</f>
        <v>LEI code</v>
      </c>
      <c r="J760" s="14" t="str">
        <f>IF(OR('Guarantees provided'!H754="E",'Guarantees provided'!H754="x"),"True","False")</f>
        <v>False</v>
      </c>
      <c r="K760" s="11" t="s">
        <v>53</v>
      </c>
      <c r="L760" s="11" t="s">
        <v>54</v>
      </c>
      <c r="M760" s="11">
        <f>-'Guarantees provided'!D754</f>
        <v>0</v>
      </c>
      <c r="N760" s="11" t="s">
        <v>55</v>
      </c>
      <c r="O760" s="11">
        <v>0</v>
      </c>
      <c r="P760" s="12" t="s">
        <v>56</v>
      </c>
    </row>
    <row r="761" spans="3:16" ht="23.65" thickBot="1">
      <c r="C761" s="10" t="s">
        <v>51</v>
      </c>
      <c r="D761" s="11">
        <v>754</v>
      </c>
      <c r="E761" s="11" t="s">
        <v>52</v>
      </c>
      <c r="F761" s="11">
        <f>'Guarantees provided'!G755</f>
        <v>0</v>
      </c>
      <c r="G761" s="11">
        <f>'Guarantees provided'!A755</f>
        <v>0</v>
      </c>
      <c r="H761" s="11">
        <f>IF('Guarantees provided'!B755="#",'Guarantees provided'!C755,'Guarantees provided'!B755)</f>
        <v>0</v>
      </c>
      <c r="I761" s="11" t="str">
        <f>IF('Guarantees provided'!B755="#","Type of identifier, other than LEI or MFI code","LEI code")</f>
        <v>LEI code</v>
      </c>
      <c r="J761" s="14" t="str">
        <f>IF(OR('Guarantees provided'!H755="E",'Guarantees provided'!H755="x"),"True","False")</f>
        <v>False</v>
      </c>
      <c r="K761" s="11" t="s">
        <v>53</v>
      </c>
      <c r="L761" s="11" t="s">
        <v>54</v>
      </c>
      <c r="M761" s="11">
        <f>-'Guarantees provided'!D755</f>
        <v>0</v>
      </c>
      <c r="N761" s="11" t="s">
        <v>55</v>
      </c>
      <c r="O761" s="11">
        <v>0</v>
      </c>
      <c r="P761" s="12" t="s">
        <v>56</v>
      </c>
    </row>
    <row r="762" spans="3:16" ht="23.65" thickBot="1">
      <c r="C762" s="10" t="s">
        <v>51</v>
      </c>
      <c r="D762" s="11">
        <v>755</v>
      </c>
      <c r="E762" s="11" t="s">
        <v>52</v>
      </c>
      <c r="F762" s="11">
        <f>'Guarantees provided'!G756</f>
        <v>0</v>
      </c>
      <c r="G762" s="11">
        <f>'Guarantees provided'!A756</f>
        <v>0</v>
      </c>
      <c r="H762" s="11">
        <f>IF('Guarantees provided'!B756="#",'Guarantees provided'!C756,'Guarantees provided'!B756)</f>
        <v>0</v>
      </c>
      <c r="I762" s="11" t="str">
        <f>IF('Guarantees provided'!B756="#","Type of identifier, other than LEI or MFI code","LEI code")</f>
        <v>LEI code</v>
      </c>
      <c r="J762" s="14" t="str">
        <f>IF(OR('Guarantees provided'!H756="E",'Guarantees provided'!H756="x"),"True","False")</f>
        <v>False</v>
      </c>
      <c r="K762" s="11" t="s">
        <v>53</v>
      </c>
      <c r="L762" s="11" t="s">
        <v>54</v>
      </c>
      <c r="M762" s="11">
        <f>-'Guarantees provided'!D756</f>
        <v>0</v>
      </c>
      <c r="N762" s="11" t="s">
        <v>55</v>
      </c>
      <c r="O762" s="11">
        <v>0</v>
      </c>
      <c r="P762" s="12" t="s">
        <v>56</v>
      </c>
    </row>
    <row r="763" spans="3:16" ht="23.65" thickBot="1">
      <c r="C763" s="10" t="s">
        <v>51</v>
      </c>
      <c r="D763" s="11">
        <v>756</v>
      </c>
      <c r="E763" s="11" t="s">
        <v>52</v>
      </c>
      <c r="F763" s="11">
        <f>'Guarantees provided'!G757</f>
        <v>0</v>
      </c>
      <c r="G763" s="11">
        <f>'Guarantees provided'!A757</f>
        <v>0</v>
      </c>
      <c r="H763" s="11">
        <f>IF('Guarantees provided'!B757="#",'Guarantees provided'!C757,'Guarantees provided'!B757)</f>
        <v>0</v>
      </c>
      <c r="I763" s="11" t="str">
        <f>IF('Guarantees provided'!B757="#","Type of identifier, other than LEI or MFI code","LEI code")</f>
        <v>LEI code</v>
      </c>
      <c r="J763" s="14" t="str">
        <f>IF(OR('Guarantees provided'!H757="E",'Guarantees provided'!H757="x"),"True","False")</f>
        <v>False</v>
      </c>
      <c r="K763" s="11" t="s">
        <v>53</v>
      </c>
      <c r="L763" s="11" t="s">
        <v>54</v>
      </c>
      <c r="M763" s="11">
        <f>-'Guarantees provided'!D757</f>
        <v>0</v>
      </c>
      <c r="N763" s="11" t="s">
        <v>55</v>
      </c>
      <c r="O763" s="11">
        <v>0</v>
      </c>
      <c r="P763" s="12" t="s">
        <v>56</v>
      </c>
    </row>
    <row r="764" spans="3:16" ht="23.65" thickBot="1">
      <c r="C764" s="10" t="s">
        <v>51</v>
      </c>
      <c r="D764" s="11">
        <v>757</v>
      </c>
      <c r="E764" s="11" t="s">
        <v>52</v>
      </c>
      <c r="F764" s="11">
        <f>'Guarantees provided'!G758</f>
        <v>0</v>
      </c>
      <c r="G764" s="11">
        <f>'Guarantees provided'!A758</f>
        <v>0</v>
      </c>
      <c r="H764" s="11">
        <f>IF('Guarantees provided'!B758="#",'Guarantees provided'!C758,'Guarantees provided'!B758)</f>
        <v>0</v>
      </c>
      <c r="I764" s="11" t="str">
        <f>IF('Guarantees provided'!B758="#","Type of identifier, other than LEI or MFI code","LEI code")</f>
        <v>LEI code</v>
      </c>
      <c r="J764" s="14" t="str">
        <f>IF(OR('Guarantees provided'!H758="E",'Guarantees provided'!H758="x"),"True","False")</f>
        <v>False</v>
      </c>
      <c r="K764" s="11" t="s">
        <v>53</v>
      </c>
      <c r="L764" s="11" t="s">
        <v>54</v>
      </c>
      <c r="M764" s="11">
        <f>-'Guarantees provided'!D758</f>
        <v>0</v>
      </c>
      <c r="N764" s="11" t="s">
        <v>55</v>
      </c>
      <c r="O764" s="11">
        <v>0</v>
      </c>
      <c r="P764" s="12" t="s">
        <v>56</v>
      </c>
    </row>
    <row r="765" spans="3:16" ht="23.65" thickBot="1">
      <c r="C765" s="10" t="s">
        <v>51</v>
      </c>
      <c r="D765" s="11">
        <v>758</v>
      </c>
      <c r="E765" s="11" t="s">
        <v>52</v>
      </c>
      <c r="F765" s="11">
        <f>'Guarantees provided'!G759</f>
        <v>0</v>
      </c>
      <c r="G765" s="11">
        <f>'Guarantees provided'!A759</f>
        <v>0</v>
      </c>
      <c r="H765" s="11">
        <f>IF('Guarantees provided'!B759="#",'Guarantees provided'!C759,'Guarantees provided'!B759)</f>
        <v>0</v>
      </c>
      <c r="I765" s="11" t="str">
        <f>IF('Guarantees provided'!B759="#","Type of identifier, other than LEI or MFI code","LEI code")</f>
        <v>LEI code</v>
      </c>
      <c r="J765" s="14" t="str">
        <f>IF(OR('Guarantees provided'!H759="E",'Guarantees provided'!H759="x"),"True","False")</f>
        <v>False</v>
      </c>
      <c r="K765" s="11" t="s">
        <v>53</v>
      </c>
      <c r="L765" s="11" t="s">
        <v>54</v>
      </c>
      <c r="M765" s="11">
        <f>-'Guarantees provided'!D759</f>
        <v>0</v>
      </c>
      <c r="N765" s="11" t="s">
        <v>55</v>
      </c>
      <c r="O765" s="11">
        <v>0</v>
      </c>
      <c r="P765" s="12" t="s">
        <v>56</v>
      </c>
    </row>
    <row r="766" spans="3:16" ht="23.65" thickBot="1">
      <c r="C766" s="10" t="s">
        <v>51</v>
      </c>
      <c r="D766" s="11">
        <v>759</v>
      </c>
      <c r="E766" s="11" t="s">
        <v>52</v>
      </c>
      <c r="F766" s="11">
        <f>'Guarantees provided'!G760</f>
        <v>0</v>
      </c>
      <c r="G766" s="11">
        <f>'Guarantees provided'!A760</f>
        <v>0</v>
      </c>
      <c r="H766" s="11">
        <f>IF('Guarantees provided'!B760="#",'Guarantees provided'!C760,'Guarantees provided'!B760)</f>
        <v>0</v>
      </c>
      <c r="I766" s="11" t="str">
        <f>IF('Guarantees provided'!B760="#","Type of identifier, other than LEI or MFI code","LEI code")</f>
        <v>LEI code</v>
      </c>
      <c r="J766" s="14" t="str">
        <f>IF(OR('Guarantees provided'!H760="E",'Guarantees provided'!H760="x"),"True","False")</f>
        <v>False</v>
      </c>
      <c r="K766" s="11" t="s">
        <v>53</v>
      </c>
      <c r="L766" s="11" t="s">
        <v>54</v>
      </c>
      <c r="M766" s="11">
        <f>-'Guarantees provided'!D760</f>
        <v>0</v>
      </c>
      <c r="N766" s="11" t="s">
        <v>55</v>
      </c>
      <c r="O766" s="11">
        <v>0</v>
      </c>
      <c r="P766" s="12" t="s">
        <v>56</v>
      </c>
    </row>
    <row r="767" spans="3:16" ht="23.65" thickBot="1">
      <c r="C767" s="10" t="s">
        <v>51</v>
      </c>
      <c r="D767" s="11">
        <v>760</v>
      </c>
      <c r="E767" s="11" t="s">
        <v>52</v>
      </c>
      <c r="F767" s="11">
        <f>'Guarantees provided'!G761</f>
        <v>0</v>
      </c>
      <c r="G767" s="11">
        <f>'Guarantees provided'!A761</f>
        <v>0</v>
      </c>
      <c r="H767" s="11">
        <f>IF('Guarantees provided'!B761="#",'Guarantees provided'!C761,'Guarantees provided'!B761)</f>
        <v>0</v>
      </c>
      <c r="I767" s="11" t="str">
        <f>IF('Guarantees provided'!B761="#","Type of identifier, other than LEI or MFI code","LEI code")</f>
        <v>LEI code</v>
      </c>
      <c r="J767" s="14" t="str">
        <f>IF(OR('Guarantees provided'!H761="E",'Guarantees provided'!H761="x"),"True","False")</f>
        <v>False</v>
      </c>
      <c r="K767" s="11" t="s">
        <v>53</v>
      </c>
      <c r="L767" s="11" t="s">
        <v>54</v>
      </c>
      <c r="M767" s="11">
        <f>-'Guarantees provided'!D761</f>
        <v>0</v>
      </c>
      <c r="N767" s="11" t="s">
        <v>55</v>
      </c>
      <c r="O767" s="11">
        <v>0</v>
      </c>
      <c r="P767" s="12" t="s">
        <v>56</v>
      </c>
    </row>
    <row r="768" spans="3:16" ht="23.65" thickBot="1">
      <c r="C768" s="10" t="s">
        <v>51</v>
      </c>
      <c r="D768" s="11">
        <v>761</v>
      </c>
      <c r="E768" s="11" t="s">
        <v>52</v>
      </c>
      <c r="F768" s="11">
        <f>'Guarantees provided'!G762</f>
        <v>0</v>
      </c>
      <c r="G768" s="11">
        <f>'Guarantees provided'!A762</f>
        <v>0</v>
      </c>
      <c r="H768" s="11">
        <f>IF('Guarantees provided'!B762="#",'Guarantees provided'!C762,'Guarantees provided'!B762)</f>
        <v>0</v>
      </c>
      <c r="I768" s="11" t="str">
        <f>IF('Guarantees provided'!B762="#","Type of identifier, other than LEI or MFI code","LEI code")</f>
        <v>LEI code</v>
      </c>
      <c r="J768" s="14" t="str">
        <f>IF(OR('Guarantees provided'!H762="E",'Guarantees provided'!H762="x"),"True","False")</f>
        <v>False</v>
      </c>
      <c r="K768" s="11" t="s">
        <v>53</v>
      </c>
      <c r="L768" s="11" t="s">
        <v>54</v>
      </c>
      <c r="M768" s="11">
        <f>-'Guarantees provided'!D762</f>
        <v>0</v>
      </c>
      <c r="N768" s="11" t="s">
        <v>55</v>
      </c>
      <c r="O768" s="11">
        <v>0</v>
      </c>
      <c r="P768" s="12" t="s">
        <v>56</v>
      </c>
    </row>
    <row r="769" spans="3:16" ht="23.65" thickBot="1">
      <c r="C769" s="10" t="s">
        <v>51</v>
      </c>
      <c r="D769" s="11">
        <v>762</v>
      </c>
      <c r="E769" s="11" t="s">
        <v>52</v>
      </c>
      <c r="F769" s="11">
        <f>'Guarantees provided'!G763</f>
        <v>0</v>
      </c>
      <c r="G769" s="11">
        <f>'Guarantees provided'!A763</f>
        <v>0</v>
      </c>
      <c r="H769" s="11">
        <f>IF('Guarantees provided'!B763="#",'Guarantees provided'!C763,'Guarantees provided'!B763)</f>
        <v>0</v>
      </c>
      <c r="I769" s="11" t="str">
        <f>IF('Guarantees provided'!B763="#","Type of identifier, other than LEI or MFI code","LEI code")</f>
        <v>LEI code</v>
      </c>
      <c r="J769" s="14" t="str">
        <f>IF(OR('Guarantees provided'!H763="E",'Guarantees provided'!H763="x"),"True","False")</f>
        <v>False</v>
      </c>
      <c r="K769" s="11" t="s">
        <v>53</v>
      </c>
      <c r="L769" s="11" t="s">
        <v>54</v>
      </c>
      <c r="M769" s="11">
        <f>-'Guarantees provided'!D763</f>
        <v>0</v>
      </c>
      <c r="N769" s="11" t="s">
        <v>55</v>
      </c>
      <c r="O769" s="11">
        <v>0</v>
      </c>
      <c r="P769" s="12" t="s">
        <v>56</v>
      </c>
    </row>
    <row r="770" spans="3:16" ht="23.65" thickBot="1">
      <c r="C770" s="10" t="s">
        <v>51</v>
      </c>
      <c r="D770" s="11">
        <v>763</v>
      </c>
      <c r="E770" s="11" t="s">
        <v>52</v>
      </c>
      <c r="F770" s="11">
        <f>'Guarantees provided'!G764</f>
        <v>0</v>
      </c>
      <c r="G770" s="11">
        <f>'Guarantees provided'!A764</f>
        <v>0</v>
      </c>
      <c r="H770" s="11">
        <f>IF('Guarantees provided'!B764="#",'Guarantees provided'!C764,'Guarantees provided'!B764)</f>
        <v>0</v>
      </c>
      <c r="I770" s="11" t="str">
        <f>IF('Guarantees provided'!B764="#","Type of identifier, other than LEI or MFI code","LEI code")</f>
        <v>LEI code</v>
      </c>
      <c r="J770" s="14" t="str">
        <f>IF(OR('Guarantees provided'!H764="E",'Guarantees provided'!H764="x"),"True","False")</f>
        <v>False</v>
      </c>
      <c r="K770" s="11" t="s">
        <v>53</v>
      </c>
      <c r="L770" s="11" t="s">
        <v>54</v>
      </c>
      <c r="M770" s="11">
        <f>-'Guarantees provided'!D764</f>
        <v>0</v>
      </c>
      <c r="N770" s="11" t="s">
        <v>55</v>
      </c>
      <c r="O770" s="11">
        <v>0</v>
      </c>
      <c r="P770" s="12" t="s">
        <v>56</v>
      </c>
    </row>
    <row r="771" spans="3:16" ht="23.65" thickBot="1">
      <c r="C771" s="10" t="s">
        <v>51</v>
      </c>
      <c r="D771" s="11">
        <v>764</v>
      </c>
      <c r="E771" s="11" t="s">
        <v>52</v>
      </c>
      <c r="F771" s="11">
        <f>'Guarantees provided'!G765</f>
        <v>0</v>
      </c>
      <c r="G771" s="11">
        <f>'Guarantees provided'!A765</f>
        <v>0</v>
      </c>
      <c r="H771" s="11">
        <f>IF('Guarantees provided'!B765="#",'Guarantees provided'!C765,'Guarantees provided'!B765)</f>
        <v>0</v>
      </c>
      <c r="I771" s="11" t="str">
        <f>IF('Guarantees provided'!B765="#","Type of identifier, other than LEI or MFI code","LEI code")</f>
        <v>LEI code</v>
      </c>
      <c r="J771" s="14" t="str">
        <f>IF(OR('Guarantees provided'!H765="E",'Guarantees provided'!H765="x"),"True","False")</f>
        <v>False</v>
      </c>
      <c r="K771" s="11" t="s">
        <v>53</v>
      </c>
      <c r="L771" s="11" t="s">
        <v>54</v>
      </c>
      <c r="M771" s="11">
        <f>-'Guarantees provided'!D765</f>
        <v>0</v>
      </c>
      <c r="N771" s="11" t="s">
        <v>55</v>
      </c>
      <c r="O771" s="11">
        <v>0</v>
      </c>
      <c r="P771" s="12" t="s">
        <v>56</v>
      </c>
    </row>
    <row r="772" spans="3:16" ht="23.65" thickBot="1">
      <c r="C772" s="10" t="s">
        <v>51</v>
      </c>
      <c r="D772" s="11">
        <v>765</v>
      </c>
      <c r="E772" s="11" t="s">
        <v>52</v>
      </c>
      <c r="F772" s="11">
        <f>'Guarantees provided'!G766</f>
        <v>0</v>
      </c>
      <c r="G772" s="11">
        <f>'Guarantees provided'!A766</f>
        <v>0</v>
      </c>
      <c r="H772" s="11">
        <f>IF('Guarantees provided'!B766="#",'Guarantees provided'!C766,'Guarantees provided'!B766)</f>
        <v>0</v>
      </c>
      <c r="I772" s="11" t="str">
        <f>IF('Guarantees provided'!B766="#","Type of identifier, other than LEI or MFI code","LEI code")</f>
        <v>LEI code</v>
      </c>
      <c r="J772" s="14" t="str">
        <f>IF(OR('Guarantees provided'!H766="E",'Guarantees provided'!H766="x"),"True","False")</f>
        <v>False</v>
      </c>
      <c r="K772" s="11" t="s">
        <v>53</v>
      </c>
      <c r="L772" s="11" t="s">
        <v>54</v>
      </c>
      <c r="M772" s="11">
        <f>-'Guarantees provided'!D766</f>
        <v>0</v>
      </c>
      <c r="N772" s="11" t="s">
        <v>55</v>
      </c>
      <c r="O772" s="11">
        <v>0</v>
      </c>
      <c r="P772" s="12" t="s">
        <v>56</v>
      </c>
    </row>
    <row r="773" spans="3:16" ht="23.65" thickBot="1">
      <c r="C773" s="10" t="s">
        <v>51</v>
      </c>
      <c r="D773" s="11">
        <v>766</v>
      </c>
      <c r="E773" s="11" t="s">
        <v>52</v>
      </c>
      <c r="F773" s="11">
        <f>'Guarantees provided'!G767</f>
        <v>0</v>
      </c>
      <c r="G773" s="11">
        <f>'Guarantees provided'!A767</f>
        <v>0</v>
      </c>
      <c r="H773" s="11">
        <f>IF('Guarantees provided'!B767="#",'Guarantees provided'!C767,'Guarantees provided'!B767)</f>
        <v>0</v>
      </c>
      <c r="I773" s="11" t="str">
        <f>IF('Guarantees provided'!B767="#","Type of identifier, other than LEI or MFI code","LEI code")</f>
        <v>LEI code</v>
      </c>
      <c r="J773" s="14" t="str">
        <f>IF(OR('Guarantees provided'!H767="E",'Guarantees provided'!H767="x"),"True","False")</f>
        <v>False</v>
      </c>
      <c r="K773" s="11" t="s">
        <v>53</v>
      </c>
      <c r="L773" s="11" t="s">
        <v>54</v>
      </c>
      <c r="M773" s="11">
        <f>-'Guarantees provided'!D767</f>
        <v>0</v>
      </c>
      <c r="N773" s="11" t="s">
        <v>55</v>
      </c>
      <c r="O773" s="11">
        <v>0</v>
      </c>
      <c r="P773" s="12" t="s">
        <v>56</v>
      </c>
    </row>
    <row r="774" spans="3:16" ht="23.65" thickBot="1">
      <c r="C774" s="10" t="s">
        <v>51</v>
      </c>
      <c r="D774" s="11">
        <v>767</v>
      </c>
      <c r="E774" s="11" t="s">
        <v>52</v>
      </c>
      <c r="F774" s="11">
        <f>'Guarantees provided'!G768</f>
        <v>0</v>
      </c>
      <c r="G774" s="11">
        <f>'Guarantees provided'!A768</f>
        <v>0</v>
      </c>
      <c r="H774" s="11">
        <f>IF('Guarantees provided'!B768="#",'Guarantees provided'!C768,'Guarantees provided'!B768)</f>
        <v>0</v>
      </c>
      <c r="I774" s="11" t="str">
        <f>IF('Guarantees provided'!B768="#","Type of identifier, other than LEI or MFI code","LEI code")</f>
        <v>LEI code</v>
      </c>
      <c r="J774" s="14" t="str">
        <f>IF(OR('Guarantees provided'!H768="E",'Guarantees provided'!H768="x"),"True","False")</f>
        <v>False</v>
      </c>
      <c r="K774" s="11" t="s">
        <v>53</v>
      </c>
      <c r="L774" s="11" t="s">
        <v>54</v>
      </c>
      <c r="M774" s="11">
        <f>-'Guarantees provided'!D768</f>
        <v>0</v>
      </c>
      <c r="N774" s="11" t="s">
        <v>55</v>
      </c>
      <c r="O774" s="11">
        <v>0</v>
      </c>
      <c r="P774" s="12" t="s">
        <v>56</v>
      </c>
    </row>
    <row r="775" spans="3:16" ht="23.65" thickBot="1">
      <c r="C775" s="10" t="s">
        <v>51</v>
      </c>
      <c r="D775" s="11">
        <v>768</v>
      </c>
      <c r="E775" s="11" t="s">
        <v>52</v>
      </c>
      <c r="F775" s="11">
        <f>'Guarantees provided'!G769</f>
        <v>0</v>
      </c>
      <c r="G775" s="11">
        <f>'Guarantees provided'!A769</f>
        <v>0</v>
      </c>
      <c r="H775" s="11">
        <f>IF('Guarantees provided'!B769="#",'Guarantees provided'!C769,'Guarantees provided'!B769)</f>
        <v>0</v>
      </c>
      <c r="I775" s="11" t="str">
        <f>IF('Guarantees provided'!B769="#","Type of identifier, other than LEI or MFI code","LEI code")</f>
        <v>LEI code</v>
      </c>
      <c r="J775" s="14" t="str">
        <f>IF(OR('Guarantees provided'!H769="E",'Guarantees provided'!H769="x"),"True","False")</f>
        <v>False</v>
      </c>
      <c r="K775" s="11" t="s">
        <v>53</v>
      </c>
      <c r="L775" s="11" t="s">
        <v>54</v>
      </c>
      <c r="M775" s="11">
        <f>-'Guarantees provided'!D769</f>
        <v>0</v>
      </c>
      <c r="N775" s="11" t="s">
        <v>55</v>
      </c>
      <c r="O775" s="11">
        <v>0</v>
      </c>
      <c r="P775" s="12" t="s">
        <v>56</v>
      </c>
    </row>
    <row r="776" spans="3:16" ht="23.65" thickBot="1">
      <c r="C776" s="10" t="s">
        <v>51</v>
      </c>
      <c r="D776" s="11">
        <v>769</v>
      </c>
      <c r="E776" s="11" t="s">
        <v>52</v>
      </c>
      <c r="F776" s="11">
        <f>'Guarantees provided'!G770</f>
        <v>0</v>
      </c>
      <c r="G776" s="11">
        <f>'Guarantees provided'!A770</f>
        <v>0</v>
      </c>
      <c r="H776" s="11">
        <f>IF('Guarantees provided'!B770="#",'Guarantees provided'!C770,'Guarantees provided'!B770)</f>
        <v>0</v>
      </c>
      <c r="I776" s="11" t="str">
        <f>IF('Guarantees provided'!B770="#","Type of identifier, other than LEI or MFI code","LEI code")</f>
        <v>LEI code</v>
      </c>
      <c r="J776" s="14" t="str">
        <f>IF(OR('Guarantees provided'!H770="E",'Guarantees provided'!H770="x"),"True","False")</f>
        <v>False</v>
      </c>
      <c r="K776" s="11" t="s">
        <v>53</v>
      </c>
      <c r="L776" s="11" t="s">
        <v>54</v>
      </c>
      <c r="M776" s="11">
        <f>-'Guarantees provided'!D770</f>
        <v>0</v>
      </c>
      <c r="N776" s="11" t="s">
        <v>55</v>
      </c>
      <c r="O776" s="11">
        <v>0</v>
      </c>
      <c r="P776" s="12" t="s">
        <v>56</v>
      </c>
    </row>
    <row r="777" spans="3:16" ht="23.65" thickBot="1">
      <c r="C777" s="10" t="s">
        <v>51</v>
      </c>
      <c r="D777" s="11">
        <v>770</v>
      </c>
      <c r="E777" s="11" t="s">
        <v>52</v>
      </c>
      <c r="F777" s="11">
        <f>'Guarantees provided'!G771</f>
        <v>0</v>
      </c>
      <c r="G777" s="11">
        <f>'Guarantees provided'!A771</f>
        <v>0</v>
      </c>
      <c r="H777" s="11">
        <f>IF('Guarantees provided'!B771="#",'Guarantees provided'!C771,'Guarantees provided'!B771)</f>
        <v>0</v>
      </c>
      <c r="I777" s="11" t="str">
        <f>IF('Guarantees provided'!B771="#","Type of identifier, other than LEI or MFI code","LEI code")</f>
        <v>LEI code</v>
      </c>
      <c r="J777" s="14" t="str">
        <f>IF(OR('Guarantees provided'!H771="E",'Guarantees provided'!H771="x"),"True","False")</f>
        <v>False</v>
      </c>
      <c r="K777" s="11" t="s">
        <v>53</v>
      </c>
      <c r="L777" s="11" t="s">
        <v>54</v>
      </c>
      <c r="M777" s="11">
        <f>-'Guarantees provided'!D771</f>
        <v>0</v>
      </c>
      <c r="N777" s="11" t="s">
        <v>55</v>
      </c>
      <c r="O777" s="11">
        <v>0</v>
      </c>
      <c r="P777" s="12" t="s">
        <v>56</v>
      </c>
    </row>
    <row r="778" spans="3:16" ht="23.65" thickBot="1">
      <c r="C778" s="10" t="s">
        <v>51</v>
      </c>
      <c r="D778" s="11">
        <v>771</v>
      </c>
      <c r="E778" s="11" t="s">
        <v>52</v>
      </c>
      <c r="F778" s="11">
        <f>'Guarantees provided'!G772</f>
        <v>0</v>
      </c>
      <c r="G778" s="11">
        <f>'Guarantees provided'!A772</f>
        <v>0</v>
      </c>
      <c r="H778" s="11">
        <f>IF('Guarantees provided'!B772="#",'Guarantees provided'!C772,'Guarantees provided'!B772)</f>
        <v>0</v>
      </c>
      <c r="I778" s="11" t="str">
        <f>IF('Guarantees provided'!B772="#","Type of identifier, other than LEI or MFI code","LEI code")</f>
        <v>LEI code</v>
      </c>
      <c r="J778" s="14" t="str">
        <f>IF(OR('Guarantees provided'!H772="E",'Guarantees provided'!H772="x"),"True","False")</f>
        <v>False</v>
      </c>
      <c r="K778" s="11" t="s">
        <v>53</v>
      </c>
      <c r="L778" s="11" t="s">
        <v>54</v>
      </c>
      <c r="M778" s="11">
        <f>-'Guarantees provided'!D772</f>
        <v>0</v>
      </c>
      <c r="N778" s="11" t="s">
        <v>55</v>
      </c>
      <c r="O778" s="11">
        <v>0</v>
      </c>
      <c r="P778" s="12" t="s">
        <v>56</v>
      </c>
    </row>
    <row r="779" spans="3:16" ht="23.65" thickBot="1">
      <c r="C779" s="10" t="s">
        <v>51</v>
      </c>
      <c r="D779" s="11">
        <v>772</v>
      </c>
      <c r="E779" s="11" t="s">
        <v>52</v>
      </c>
      <c r="F779" s="11">
        <f>'Guarantees provided'!G773</f>
        <v>0</v>
      </c>
      <c r="G779" s="11">
        <f>'Guarantees provided'!A773</f>
        <v>0</v>
      </c>
      <c r="H779" s="11">
        <f>IF('Guarantees provided'!B773="#",'Guarantees provided'!C773,'Guarantees provided'!B773)</f>
        <v>0</v>
      </c>
      <c r="I779" s="11" t="str">
        <f>IF('Guarantees provided'!B773="#","Type of identifier, other than LEI or MFI code","LEI code")</f>
        <v>LEI code</v>
      </c>
      <c r="J779" s="14" t="str">
        <f>IF(OR('Guarantees provided'!H773="E",'Guarantees provided'!H773="x"),"True","False")</f>
        <v>False</v>
      </c>
      <c r="K779" s="11" t="s">
        <v>53</v>
      </c>
      <c r="L779" s="11" t="s">
        <v>54</v>
      </c>
      <c r="M779" s="11">
        <f>-'Guarantees provided'!D773</f>
        <v>0</v>
      </c>
      <c r="N779" s="11" t="s">
        <v>55</v>
      </c>
      <c r="O779" s="11">
        <v>0</v>
      </c>
      <c r="P779" s="12" t="s">
        <v>56</v>
      </c>
    </row>
    <row r="780" spans="3:16" ht="23.65" thickBot="1">
      <c r="C780" s="10" t="s">
        <v>51</v>
      </c>
      <c r="D780" s="11">
        <v>773</v>
      </c>
      <c r="E780" s="11" t="s">
        <v>52</v>
      </c>
      <c r="F780" s="11">
        <f>'Guarantees provided'!G774</f>
        <v>0</v>
      </c>
      <c r="G780" s="11">
        <f>'Guarantees provided'!A774</f>
        <v>0</v>
      </c>
      <c r="H780" s="11">
        <f>IF('Guarantees provided'!B774="#",'Guarantees provided'!C774,'Guarantees provided'!B774)</f>
        <v>0</v>
      </c>
      <c r="I780" s="11" t="str">
        <f>IF('Guarantees provided'!B774="#","Type of identifier, other than LEI or MFI code","LEI code")</f>
        <v>LEI code</v>
      </c>
      <c r="J780" s="14" t="str">
        <f>IF(OR('Guarantees provided'!H774="E",'Guarantees provided'!H774="x"),"True","False")</f>
        <v>False</v>
      </c>
      <c r="K780" s="11" t="s">
        <v>53</v>
      </c>
      <c r="L780" s="11" t="s">
        <v>54</v>
      </c>
      <c r="M780" s="11">
        <f>-'Guarantees provided'!D774</f>
        <v>0</v>
      </c>
      <c r="N780" s="11" t="s">
        <v>55</v>
      </c>
      <c r="O780" s="11">
        <v>0</v>
      </c>
      <c r="P780" s="12" t="s">
        <v>56</v>
      </c>
    </row>
    <row r="781" spans="3:16" ht="23.65" thickBot="1">
      <c r="C781" s="10" t="s">
        <v>51</v>
      </c>
      <c r="D781" s="11">
        <v>774</v>
      </c>
      <c r="E781" s="11" t="s">
        <v>52</v>
      </c>
      <c r="F781" s="11">
        <f>'Guarantees provided'!G775</f>
        <v>0</v>
      </c>
      <c r="G781" s="11">
        <f>'Guarantees provided'!A775</f>
        <v>0</v>
      </c>
      <c r="H781" s="11">
        <f>IF('Guarantees provided'!B775="#",'Guarantees provided'!C775,'Guarantees provided'!B775)</f>
        <v>0</v>
      </c>
      <c r="I781" s="11" t="str">
        <f>IF('Guarantees provided'!B775="#","Type of identifier, other than LEI or MFI code","LEI code")</f>
        <v>LEI code</v>
      </c>
      <c r="J781" s="14" t="str">
        <f>IF(OR('Guarantees provided'!H775="E",'Guarantees provided'!H775="x"),"True","False")</f>
        <v>False</v>
      </c>
      <c r="K781" s="11" t="s">
        <v>53</v>
      </c>
      <c r="L781" s="11" t="s">
        <v>54</v>
      </c>
      <c r="M781" s="11">
        <f>-'Guarantees provided'!D775</f>
        <v>0</v>
      </c>
      <c r="N781" s="11" t="s">
        <v>55</v>
      </c>
      <c r="O781" s="11">
        <v>0</v>
      </c>
      <c r="P781" s="12" t="s">
        <v>56</v>
      </c>
    </row>
    <row r="782" spans="3:16" ht="23.65" thickBot="1">
      <c r="C782" s="10" t="s">
        <v>51</v>
      </c>
      <c r="D782" s="11">
        <v>775</v>
      </c>
      <c r="E782" s="11" t="s">
        <v>52</v>
      </c>
      <c r="F782" s="11">
        <f>'Guarantees provided'!G776</f>
        <v>0</v>
      </c>
      <c r="G782" s="11">
        <f>'Guarantees provided'!A776</f>
        <v>0</v>
      </c>
      <c r="H782" s="11">
        <f>IF('Guarantees provided'!B776="#",'Guarantees provided'!C776,'Guarantees provided'!B776)</f>
        <v>0</v>
      </c>
      <c r="I782" s="11" t="str">
        <f>IF('Guarantees provided'!B776="#","Type of identifier, other than LEI or MFI code","LEI code")</f>
        <v>LEI code</v>
      </c>
      <c r="J782" s="14" t="str">
        <f>IF(OR('Guarantees provided'!H776="E",'Guarantees provided'!H776="x"),"True","False")</f>
        <v>False</v>
      </c>
      <c r="K782" s="11" t="s">
        <v>53</v>
      </c>
      <c r="L782" s="11" t="s">
        <v>54</v>
      </c>
      <c r="M782" s="11">
        <f>-'Guarantees provided'!D776</f>
        <v>0</v>
      </c>
      <c r="N782" s="11" t="s">
        <v>55</v>
      </c>
      <c r="O782" s="11">
        <v>0</v>
      </c>
      <c r="P782" s="12" t="s">
        <v>56</v>
      </c>
    </row>
    <row r="783" spans="3:16" ht="23.65" thickBot="1">
      <c r="C783" s="10" t="s">
        <v>51</v>
      </c>
      <c r="D783" s="11">
        <v>776</v>
      </c>
      <c r="E783" s="11" t="s">
        <v>52</v>
      </c>
      <c r="F783" s="11">
        <f>'Guarantees provided'!G777</f>
        <v>0</v>
      </c>
      <c r="G783" s="11">
        <f>'Guarantees provided'!A777</f>
        <v>0</v>
      </c>
      <c r="H783" s="11">
        <f>IF('Guarantees provided'!B777="#",'Guarantees provided'!C777,'Guarantees provided'!B777)</f>
        <v>0</v>
      </c>
      <c r="I783" s="11" t="str">
        <f>IF('Guarantees provided'!B777="#","Type of identifier, other than LEI or MFI code","LEI code")</f>
        <v>LEI code</v>
      </c>
      <c r="J783" s="14" t="str">
        <f>IF(OR('Guarantees provided'!H777="E",'Guarantees provided'!H777="x"),"True","False")</f>
        <v>False</v>
      </c>
      <c r="K783" s="11" t="s">
        <v>53</v>
      </c>
      <c r="L783" s="11" t="s">
        <v>54</v>
      </c>
      <c r="M783" s="11">
        <f>-'Guarantees provided'!D777</f>
        <v>0</v>
      </c>
      <c r="N783" s="11" t="s">
        <v>55</v>
      </c>
      <c r="O783" s="11">
        <v>0</v>
      </c>
      <c r="P783" s="12" t="s">
        <v>56</v>
      </c>
    </row>
    <row r="784" spans="3:16" ht="23.65" thickBot="1">
      <c r="C784" s="10" t="s">
        <v>51</v>
      </c>
      <c r="D784" s="11">
        <v>777</v>
      </c>
      <c r="E784" s="11" t="s">
        <v>52</v>
      </c>
      <c r="F784" s="11">
        <f>'Guarantees provided'!G778</f>
        <v>0</v>
      </c>
      <c r="G784" s="11">
        <f>'Guarantees provided'!A778</f>
        <v>0</v>
      </c>
      <c r="H784" s="11">
        <f>IF('Guarantees provided'!B778="#",'Guarantees provided'!C778,'Guarantees provided'!B778)</f>
        <v>0</v>
      </c>
      <c r="I784" s="11" t="str">
        <f>IF('Guarantees provided'!B778="#","Type of identifier, other than LEI or MFI code","LEI code")</f>
        <v>LEI code</v>
      </c>
      <c r="J784" s="14" t="str">
        <f>IF(OR('Guarantees provided'!H778="E",'Guarantees provided'!H778="x"),"True","False")</f>
        <v>False</v>
      </c>
      <c r="K784" s="11" t="s">
        <v>53</v>
      </c>
      <c r="L784" s="11" t="s">
        <v>54</v>
      </c>
      <c r="M784" s="11">
        <f>-'Guarantees provided'!D778</f>
        <v>0</v>
      </c>
      <c r="N784" s="11" t="s">
        <v>55</v>
      </c>
      <c r="O784" s="11">
        <v>0</v>
      </c>
      <c r="P784" s="12" t="s">
        <v>56</v>
      </c>
    </row>
    <row r="785" spans="3:16" ht="23.65" thickBot="1">
      <c r="C785" s="10" t="s">
        <v>51</v>
      </c>
      <c r="D785" s="11">
        <v>778</v>
      </c>
      <c r="E785" s="11" t="s">
        <v>52</v>
      </c>
      <c r="F785" s="11">
        <f>'Guarantees provided'!G779</f>
        <v>0</v>
      </c>
      <c r="G785" s="11">
        <f>'Guarantees provided'!A779</f>
        <v>0</v>
      </c>
      <c r="H785" s="11">
        <f>IF('Guarantees provided'!B779="#",'Guarantees provided'!C779,'Guarantees provided'!B779)</f>
        <v>0</v>
      </c>
      <c r="I785" s="11" t="str">
        <f>IF('Guarantees provided'!B779="#","Type of identifier, other than LEI or MFI code","LEI code")</f>
        <v>LEI code</v>
      </c>
      <c r="J785" s="14" t="str">
        <f>IF(OR('Guarantees provided'!H779="E",'Guarantees provided'!H779="x"),"True","False")</f>
        <v>False</v>
      </c>
      <c r="K785" s="11" t="s">
        <v>53</v>
      </c>
      <c r="L785" s="11" t="s">
        <v>54</v>
      </c>
      <c r="M785" s="11">
        <f>-'Guarantees provided'!D779</f>
        <v>0</v>
      </c>
      <c r="N785" s="11" t="s">
        <v>55</v>
      </c>
      <c r="O785" s="11">
        <v>0</v>
      </c>
      <c r="P785" s="12" t="s">
        <v>56</v>
      </c>
    </row>
    <row r="786" spans="3:16" ht="23.65" thickBot="1">
      <c r="C786" s="10" t="s">
        <v>51</v>
      </c>
      <c r="D786" s="11">
        <v>779</v>
      </c>
      <c r="E786" s="11" t="s">
        <v>52</v>
      </c>
      <c r="F786" s="11">
        <f>'Guarantees provided'!G780</f>
        <v>0</v>
      </c>
      <c r="G786" s="11">
        <f>'Guarantees provided'!A780</f>
        <v>0</v>
      </c>
      <c r="H786" s="11">
        <f>IF('Guarantees provided'!B780="#",'Guarantees provided'!C780,'Guarantees provided'!B780)</f>
        <v>0</v>
      </c>
      <c r="I786" s="11" t="str">
        <f>IF('Guarantees provided'!B780="#","Type of identifier, other than LEI or MFI code","LEI code")</f>
        <v>LEI code</v>
      </c>
      <c r="J786" s="14" t="str">
        <f>IF(OR('Guarantees provided'!H780="E",'Guarantees provided'!H780="x"),"True","False")</f>
        <v>False</v>
      </c>
      <c r="K786" s="11" t="s">
        <v>53</v>
      </c>
      <c r="L786" s="11" t="s">
        <v>54</v>
      </c>
      <c r="M786" s="11">
        <f>-'Guarantees provided'!D780</f>
        <v>0</v>
      </c>
      <c r="N786" s="11" t="s">
        <v>55</v>
      </c>
      <c r="O786" s="11">
        <v>0</v>
      </c>
      <c r="P786" s="12" t="s">
        <v>56</v>
      </c>
    </row>
    <row r="787" spans="3:16" ht="23.65" thickBot="1">
      <c r="C787" s="10" t="s">
        <v>51</v>
      </c>
      <c r="D787" s="11">
        <v>780</v>
      </c>
      <c r="E787" s="11" t="s">
        <v>52</v>
      </c>
      <c r="F787" s="11">
        <f>'Guarantees provided'!G781</f>
        <v>0</v>
      </c>
      <c r="G787" s="11">
        <f>'Guarantees provided'!A781</f>
        <v>0</v>
      </c>
      <c r="H787" s="11">
        <f>IF('Guarantees provided'!B781="#",'Guarantees provided'!C781,'Guarantees provided'!B781)</f>
        <v>0</v>
      </c>
      <c r="I787" s="11" t="str">
        <f>IF('Guarantees provided'!B781="#","Type of identifier, other than LEI or MFI code","LEI code")</f>
        <v>LEI code</v>
      </c>
      <c r="J787" s="14" t="str">
        <f>IF(OR('Guarantees provided'!H781="E",'Guarantees provided'!H781="x"),"True","False")</f>
        <v>False</v>
      </c>
      <c r="K787" s="11" t="s">
        <v>53</v>
      </c>
      <c r="L787" s="11" t="s">
        <v>54</v>
      </c>
      <c r="M787" s="11">
        <f>-'Guarantees provided'!D781</f>
        <v>0</v>
      </c>
      <c r="N787" s="11" t="s">
        <v>55</v>
      </c>
      <c r="O787" s="11">
        <v>0</v>
      </c>
      <c r="P787" s="12" t="s">
        <v>56</v>
      </c>
    </row>
    <row r="788" spans="3:16" ht="23.65" thickBot="1">
      <c r="C788" s="10" t="s">
        <v>51</v>
      </c>
      <c r="D788" s="11">
        <v>781</v>
      </c>
      <c r="E788" s="11" t="s">
        <v>52</v>
      </c>
      <c r="F788" s="11">
        <f>'Guarantees provided'!G782</f>
        <v>0</v>
      </c>
      <c r="G788" s="11">
        <f>'Guarantees provided'!A782</f>
        <v>0</v>
      </c>
      <c r="H788" s="11">
        <f>IF('Guarantees provided'!B782="#",'Guarantees provided'!C782,'Guarantees provided'!B782)</f>
        <v>0</v>
      </c>
      <c r="I788" s="11" t="str">
        <f>IF('Guarantees provided'!B782="#","Type of identifier, other than LEI or MFI code","LEI code")</f>
        <v>LEI code</v>
      </c>
      <c r="J788" s="14" t="str">
        <f>IF(OR('Guarantees provided'!H782="E",'Guarantees provided'!H782="x"),"True","False")</f>
        <v>False</v>
      </c>
      <c r="K788" s="11" t="s">
        <v>53</v>
      </c>
      <c r="L788" s="11" t="s">
        <v>54</v>
      </c>
      <c r="M788" s="11">
        <f>-'Guarantees provided'!D782</f>
        <v>0</v>
      </c>
      <c r="N788" s="11" t="s">
        <v>55</v>
      </c>
      <c r="O788" s="11">
        <v>0</v>
      </c>
      <c r="P788" s="12" t="s">
        <v>56</v>
      </c>
    </row>
    <row r="789" spans="3:16" ht="23.65" thickBot="1">
      <c r="C789" s="10" t="s">
        <v>51</v>
      </c>
      <c r="D789" s="11">
        <v>782</v>
      </c>
      <c r="E789" s="11" t="s">
        <v>52</v>
      </c>
      <c r="F789" s="11">
        <f>'Guarantees provided'!G783</f>
        <v>0</v>
      </c>
      <c r="G789" s="11">
        <f>'Guarantees provided'!A783</f>
        <v>0</v>
      </c>
      <c r="H789" s="11">
        <f>IF('Guarantees provided'!B783="#",'Guarantees provided'!C783,'Guarantees provided'!B783)</f>
        <v>0</v>
      </c>
      <c r="I789" s="11" t="str">
        <f>IF('Guarantees provided'!B783="#","Type of identifier, other than LEI or MFI code","LEI code")</f>
        <v>LEI code</v>
      </c>
      <c r="J789" s="14" t="str">
        <f>IF(OR('Guarantees provided'!H783="E",'Guarantees provided'!H783="x"),"True","False")</f>
        <v>False</v>
      </c>
      <c r="K789" s="11" t="s">
        <v>53</v>
      </c>
      <c r="L789" s="11" t="s">
        <v>54</v>
      </c>
      <c r="M789" s="11">
        <f>-'Guarantees provided'!D783</f>
        <v>0</v>
      </c>
      <c r="N789" s="11" t="s">
        <v>55</v>
      </c>
      <c r="O789" s="11">
        <v>0</v>
      </c>
      <c r="P789" s="12" t="s">
        <v>56</v>
      </c>
    </row>
    <row r="790" spans="3:16" ht="23.65" thickBot="1">
      <c r="C790" s="10" t="s">
        <v>51</v>
      </c>
      <c r="D790" s="11">
        <v>783</v>
      </c>
      <c r="E790" s="11" t="s">
        <v>52</v>
      </c>
      <c r="F790" s="11">
        <f>'Guarantees provided'!G784</f>
        <v>0</v>
      </c>
      <c r="G790" s="11">
        <f>'Guarantees provided'!A784</f>
        <v>0</v>
      </c>
      <c r="H790" s="11">
        <f>IF('Guarantees provided'!B784="#",'Guarantees provided'!C784,'Guarantees provided'!B784)</f>
        <v>0</v>
      </c>
      <c r="I790" s="11" t="str">
        <f>IF('Guarantees provided'!B784="#","Type of identifier, other than LEI or MFI code","LEI code")</f>
        <v>LEI code</v>
      </c>
      <c r="J790" s="14" t="str">
        <f>IF(OR('Guarantees provided'!H784="E",'Guarantees provided'!H784="x"),"True","False")</f>
        <v>False</v>
      </c>
      <c r="K790" s="11" t="s">
        <v>53</v>
      </c>
      <c r="L790" s="11" t="s">
        <v>54</v>
      </c>
      <c r="M790" s="11">
        <f>-'Guarantees provided'!D784</f>
        <v>0</v>
      </c>
      <c r="N790" s="11" t="s">
        <v>55</v>
      </c>
      <c r="O790" s="11">
        <v>0</v>
      </c>
      <c r="P790" s="12" t="s">
        <v>56</v>
      </c>
    </row>
    <row r="791" spans="3:16" ht="23.65" thickBot="1">
      <c r="C791" s="10" t="s">
        <v>51</v>
      </c>
      <c r="D791" s="11">
        <v>784</v>
      </c>
      <c r="E791" s="11" t="s">
        <v>52</v>
      </c>
      <c r="F791" s="11">
        <f>'Guarantees provided'!G785</f>
        <v>0</v>
      </c>
      <c r="G791" s="11">
        <f>'Guarantees provided'!A785</f>
        <v>0</v>
      </c>
      <c r="H791" s="11">
        <f>IF('Guarantees provided'!B785="#",'Guarantees provided'!C785,'Guarantees provided'!B785)</f>
        <v>0</v>
      </c>
      <c r="I791" s="11" t="str">
        <f>IF('Guarantees provided'!B785="#","Type of identifier, other than LEI or MFI code","LEI code")</f>
        <v>LEI code</v>
      </c>
      <c r="J791" s="14" t="str">
        <f>IF(OR('Guarantees provided'!H785="E",'Guarantees provided'!H785="x"),"True","False")</f>
        <v>False</v>
      </c>
      <c r="K791" s="11" t="s">
        <v>53</v>
      </c>
      <c r="L791" s="11" t="s">
        <v>54</v>
      </c>
      <c r="M791" s="11">
        <f>-'Guarantees provided'!D785</f>
        <v>0</v>
      </c>
      <c r="N791" s="11" t="s">
        <v>55</v>
      </c>
      <c r="O791" s="11">
        <v>0</v>
      </c>
      <c r="P791" s="12" t="s">
        <v>56</v>
      </c>
    </row>
    <row r="792" spans="3:16" ht="23.65" thickBot="1">
      <c r="C792" s="10" t="s">
        <v>51</v>
      </c>
      <c r="D792" s="11">
        <v>785</v>
      </c>
      <c r="E792" s="11" t="s">
        <v>52</v>
      </c>
      <c r="F792" s="11">
        <f>'Guarantees provided'!G786</f>
        <v>0</v>
      </c>
      <c r="G792" s="11">
        <f>'Guarantees provided'!A786</f>
        <v>0</v>
      </c>
      <c r="H792" s="11">
        <f>IF('Guarantees provided'!B786="#",'Guarantees provided'!C786,'Guarantees provided'!B786)</f>
        <v>0</v>
      </c>
      <c r="I792" s="11" t="str">
        <f>IF('Guarantees provided'!B786="#","Type of identifier, other than LEI or MFI code","LEI code")</f>
        <v>LEI code</v>
      </c>
      <c r="J792" s="14" t="str">
        <f>IF(OR('Guarantees provided'!H786="E",'Guarantees provided'!H786="x"),"True","False")</f>
        <v>False</v>
      </c>
      <c r="K792" s="11" t="s">
        <v>53</v>
      </c>
      <c r="L792" s="11" t="s">
        <v>54</v>
      </c>
      <c r="M792" s="11">
        <f>-'Guarantees provided'!D786</f>
        <v>0</v>
      </c>
      <c r="N792" s="11" t="s">
        <v>55</v>
      </c>
      <c r="O792" s="11">
        <v>0</v>
      </c>
      <c r="P792" s="12" t="s">
        <v>56</v>
      </c>
    </row>
    <row r="793" spans="3:16" ht="23.65" thickBot="1">
      <c r="C793" s="10" t="s">
        <v>51</v>
      </c>
      <c r="D793" s="11">
        <v>786</v>
      </c>
      <c r="E793" s="11" t="s">
        <v>52</v>
      </c>
      <c r="F793" s="11">
        <f>'Guarantees provided'!G787</f>
        <v>0</v>
      </c>
      <c r="G793" s="11">
        <f>'Guarantees provided'!A787</f>
        <v>0</v>
      </c>
      <c r="H793" s="11">
        <f>IF('Guarantees provided'!B787="#",'Guarantees provided'!C787,'Guarantees provided'!B787)</f>
        <v>0</v>
      </c>
      <c r="I793" s="11" t="str">
        <f>IF('Guarantees provided'!B787="#","Type of identifier, other than LEI or MFI code","LEI code")</f>
        <v>LEI code</v>
      </c>
      <c r="J793" s="14" t="str">
        <f>IF(OR('Guarantees provided'!H787="E",'Guarantees provided'!H787="x"),"True","False")</f>
        <v>False</v>
      </c>
      <c r="K793" s="11" t="s">
        <v>53</v>
      </c>
      <c r="L793" s="11" t="s">
        <v>54</v>
      </c>
      <c r="M793" s="11">
        <f>-'Guarantees provided'!D787</f>
        <v>0</v>
      </c>
      <c r="N793" s="11" t="s">
        <v>55</v>
      </c>
      <c r="O793" s="11">
        <v>0</v>
      </c>
      <c r="P793" s="12" t="s">
        <v>56</v>
      </c>
    </row>
    <row r="794" spans="3:16" ht="23.65" thickBot="1">
      <c r="C794" s="10" t="s">
        <v>51</v>
      </c>
      <c r="D794" s="11">
        <v>787</v>
      </c>
      <c r="E794" s="11" t="s">
        <v>52</v>
      </c>
      <c r="F794" s="11">
        <f>'Guarantees provided'!G788</f>
        <v>0</v>
      </c>
      <c r="G794" s="11">
        <f>'Guarantees provided'!A788</f>
        <v>0</v>
      </c>
      <c r="H794" s="11">
        <f>IF('Guarantees provided'!B788="#",'Guarantees provided'!C788,'Guarantees provided'!B788)</f>
        <v>0</v>
      </c>
      <c r="I794" s="11" t="str">
        <f>IF('Guarantees provided'!B788="#","Type of identifier, other than LEI or MFI code","LEI code")</f>
        <v>LEI code</v>
      </c>
      <c r="J794" s="14" t="str">
        <f>IF(OR('Guarantees provided'!H788="E",'Guarantees provided'!H788="x"),"True","False")</f>
        <v>False</v>
      </c>
      <c r="K794" s="11" t="s">
        <v>53</v>
      </c>
      <c r="L794" s="11" t="s">
        <v>54</v>
      </c>
      <c r="M794" s="11">
        <f>-'Guarantees provided'!D788</f>
        <v>0</v>
      </c>
      <c r="N794" s="11" t="s">
        <v>55</v>
      </c>
      <c r="O794" s="11">
        <v>0</v>
      </c>
      <c r="P794" s="12" t="s">
        <v>56</v>
      </c>
    </row>
    <row r="795" spans="3:16" ht="23.65" thickBot="1">
      <c r="C795" s="10" t="s">
        <v>51</v>
      </c>
      <c r="D795" s="11">
        <v>788</v>
      </c>
      <c r="E795" s="11" t="s">
        <v>52</v>
      </c>
      <c r="F795" s="11">
        <f>'Guarantees provided'!G789</f>
        <v>0</v>
      </c>
      <c r="G795" s="11">
        <f>'Guarantees provided'!A789</f>
        <v>0</v>
      </c>
      <c r="H795" s="11">
        <f>IF('Guarantees provided'!B789="#",'Guarantees provided'!C789,'Guarantees provided'!B789)</f>
        <v>0</v>
      </c>
      <c r="I795" s="11" t="str">
        <f>IF('Guarantees provided'!B789="#","Type of identifier, other than LEI or MFI code","LEI code")</f>
        <v>LEI code</v>
      </c>
      <c r="J795" s="14" t="str">
        <f>IF(OR('Guarantees provided'!H789="E",'Guarantees provided'!H789="x"),"True","False")</f>
        <v>False</v>
      </c>
      <c r="K795" s="11" t="s">
        <v>53</v>
      </c>
      <c r="L795" s="11" t="s">
        <v>54</v>
      </c>
      <c r="M795" s="11">
        <f>-'Guarantees provided'!D789</f>
        <v>0</v>
      </c>
      <c r="N795" s="11" t="s">
        <v>55</v>
      </c>
      <c r="O795" s="11">
        <v>0</v>
      </c>
      <c r="P795" s="12" t="s">
        <v>56</v>
      </c>
    </row>
    <row r="796" spans="3:16" ht="23.65" thickBot="1">
      <c r="C796" s="10" t="s">
        <v>51</v>
      </c>
      <c r="D796" s="11">
        <v>789</v>
      </c>
      <c r="E796" s="11" t="s">
        <v>52</v>
      </c>
      <c r="F796" s="11">
        <f>'Guarantees provided'!G790</f>
        <v>0</v>
      </c>
      <c r="G796" s="11">
        <f>'Guarantees provided'!A790</f>
        <v>0</v>
      </c>
      <c r="H796" s="11">
        <f>IF('Guarantees provided'!B790="#",'Guarantees provided'!C790,'Guarantees provided'!B790)</f>
        <v>0</v>
      </c>
      <c r="I796" s="11" t="str">
        <f>IF('Guarantees provided'!B790="#","Type of identifier, other than LEI or MFI code","LEI code")</f>
        <v>LEI code</v>
      </c>
      <c r="J796" s="14" t="str">
        <f>IF(OR('Guarantees provided'!H790="E",'Guarantees provided'!H790="x"),"True","False")</f>
        <v>False</v>
      </c>
      <c r="K796" s="11" t="s">
        <v>53</v>
      </c>
      <c r="L796" s="11" t="s">
        <v>54</v>
      </c>
      <c r="M796" s="11">
        <f>-'Guarantees provided'!D790</f>
        <v>0</v>
      </c>
      <c r="N796" s="11" t="s">
        <v>55</v>
      </c>
      <c r="O796" s="11">
        <v>0</v>
      </c>
      <c r="P796" s="12" t="s">
        <v>56</v>
      </c>
    </row>
    <row r="797" spans="3:16" ht="23.65" thickBot="1">
      <c r="C797" s="10" t="s">
        <v>51</v>
      </c>
      <c r="D797" s="11">
        <v>790</v>
      </c>
      <c r="E797" s="11" t="s">
        <v>52</v>
      </c>
      <c r="F797" s="11">
        <f>'Guarantees provided'!G791</f>
        <v>0</v>
      </c>
      <c r="G797" s="11">
        <f>'Guarantees provided'!A791</f>
        <v>0</v>
      </c>
      <c r="H797" s="11">
        <f>IF('Guarantees provided'!B791="#",'Guarantees provided'!C791,'Guarantees provided'!B791)</f>
        <v>0</v>
      </c>
      <c r="I797" s="11" t="str">
        <f>IF('Guarantees provided'!B791="#","Type of identifier, other than LEI or MFI code","LEI code")</f>
        <v>LEI code</v>
      </c>
      <c r="J797" s="14" t="str">
        <f>IF(OR('Guarantees provided'!H791="E",'Guarantees provided'!H791="x"),"True","False")</f>
        <v>False</v>
      </c>
      <c r="K797" s="11" t="s">
        <v>53</v>
      </c>
      <c r="L797" s="11" t="s">
        <v>54</v>
      </c>
      <c r="M797" s="11">
        <f>-'Guarantees provided'!D791</f>
        <v>0</v>
      </c>
      <c r="N797" s="11" t="s">
        <v>55</v>
      </c>
      <c r="O797" s="11">
        <v>0</v>
      </c>
      <c r="P797" s="12" t="s">
        <v>56</v>
      </c>
    </row>
    <row r="798" spans="3:16" ht="23.65" thickBot="1">
      <c r="C798" s="10" t="s">
        <v>51</v>
      </c>
      <c r="D798" s="11">
        <v>791</v>
      </c>
      <c r="E798" s="11" t="s">
        <v>52</v>
      </c>
      <c r="F798" s="11">
        <f>'Guarantees provided'!G792</f>
        <v>0</v>
      </c>
      <c r="G798" s="11">
        <f>'Guarantees provided'!A792</f>
        <v>0</v>
      </c>
      <c r="H798" s="11">
        <f>IF('Guarantees provided'!B792="#",'Guarantees provided'!C792,'Guarantees provided'!B792)</f>
        <v>0</v>
      </c>
      <c r="I798" s="11" t="str">
        <f>IF('Guarantees provided'!B792="#","Type of identifier, other than LEI or MFI code","LEI code")</f>
        <v>LEI code</v>
      </c>
      <c r="J798" s="14" t="str">
        <f>IF(OR('Guarantees provided'!H792="E",'Guarantees provided'!H792="x"),"True","False")</f>
        <v>False</v>
      </c>
      <c r="K798" s="11" t="s">
        <v>53</v>
      </c>
      <c r="L798" s="11" t="s">
        <v>54</v>
      </c>
      <c r="M798" s="11">
        <f>-'Guarantees provided'!D792</f>
        <v>0</v>
      </c>
      <c r="N798" s="11" t="s">
        <v>55</v>
      </c>
      <c r="O798" s="11">
        <v>0</v>
      </c>
      <c r="P798" s="12" t="s">
        <v>56</v>
      </c>
    </row>
    <row r="799" spans="3:16" ht="23.65" thickBot="1">
      <c r="C799" s="10" t="s">
        <v>51</v>
      </c>
      <c r="D799" s="11">
        <v>792</v>
      </c>
      <c r="E799" s="11" t="s">
        <v>52</v>
      </c>
      <c r="F799" s="11">
        <f>'Guarantees provided'!G793</f>
        <v>0</v>
      </c>
      <c r="G799" s="11">
        <f>'Guarantees provided'!A793</f>
        <v>0</v>
      </c>
      <c r="H799" s="11">
        <f>IF('Guarantees provided'!B793="#",'Guarantees provided'!C793,'Guarantees provided'!B793)</f>
        <v>0</v>
      </c>
      <c r="I799" s="11" t="str">
        <f>IF('Guarantees provided'!B793="#","Type of identifier, other than LEI or MFI code","LEI code")</f>
        <v>LEI code</v>
      </c>
      <c r="J799" s="14" t="str">
        <f>IF(OR('Guarantees provided'!H793="E",'Guarantees provided'!H793="x"),"True","False")</f>
        <v>False</v>
      </c>
      <c r="K799" s="11" t="s">
        <v>53</v>
      </c>
      <c r="L799" s="11" t="s">
        <v>54</v>
      </c>
      <c r="M799" s="11">
        <f>-'Guarantees provided'!D793</f>
        <v>0</v>
      </c>
      <c r="N799" s="11" t="s">
        <v>55</v>
      </c>
      <c r="O799" s="11">
        <v>0</v>
      </c>
      <c r="P799" s="12" t="s">
        <v>56</v>
      </c>
    </row>
    <row r="800" spans="3:16" ht="23.65" thickBot="1">
      <c r="C800" s="10" t="s">
        <v>51</v>
      </c>
      <c r="D800" s="11">
        <v>793</v>
      </c>
      <c r="E800" s="11" t="s">
        <v>52</v>
      </c>
      <c r="F800" s="11">
        <f>'Guarantees provided'!G794</f>
        <v>0</v>
      </c>
      <c r="G800" s="11">
        <f>'Guarantees provided'!A794</f>
        <v>0</v>
      </c>
      <c r="H800" s="11">
        <f>IF('Guarantees provided'!B794="#",'Guarantees provided'!C794,'Guarantees provided'!B794)</f>
        <v>0</v>
      </c>
      <c r="I800" s="11" t="str">
        <f>IF('Guarantees provided'!B794="#","Type of identifier, other than LEI or MFI code","LEI code")</f>
        <v>LEI code</v>
      </c>
      <c r="J800" s="14" t="str">
        <f>IF(OR('Guarantees provided'!H794="E",'Guarantees provided'!H794="x"),"True","False")</f>
        <v>False</v>
      </c>
      <c r="K800" s="11" t="s">
        <v>53</v>
      </c>
      <c r="L800" s="11" t="s">
        <v>54</v>
      </c>
      <c r="M800" s="11">
        <f>-'Guarantees provided'!D794</f>
        <v>0</v>
      </c>
      <c r="N800" s="11" t="s">
        <v>55</v>
      </c>
      <c r="O800" s="11">
        <v>0</v>
      </c>
      <c r="P800" s="12" t="s">
        <v>56</v>
      </c>
    </row>
    <row r="801" spans="3:16" ht="23.65" thickBot="1">
      <c r="C801" s="10" t="s">
        <v>51</v>
      </c>
      <c r="D801" s="11">
        <v>794</v>
      </c>
      <c r="E801" s="11" t="s">
        <v>52</v>
      </c>
      <c r="F801" s="11">
        <f>'Guarantees provided'!G795</f>
        <v>0</v>
      </c>
      <c r="G801" s="11">
        <f>'Guarantees provided'!A795</f>
        <v>0</v>
      </c>
      <c r="H801" s="11">
        <f>IF('Guarantees provided'!B795="#",'Guarantees provided'!C795,'Guarantees provided'!B795)</f>
        <v>0</v>
      </c>
      <c r="I801" s="11" t="str">
        <f>IF('Guarantees provided'!B795="#","Type of identifier, other than LEI or MFI code","LEI code")</f>
        <v>LEI code</v>
      </c>
      <c r="J801" s="14" t="str">
        <f>IF(OR('Guarantees provided'!H795="E",'Guarantees provided'!H795="x"),"True","False")</f>
        <v>False</v>
      </c>
      <c r="K801" s="11" t="s">
        <v>53</v>
      </c>
      <c r="L801" s="11" t="s">
        <v>54</v>
      </c>
      <c r="M801" s="11">
        <f>-'Guarantees provided'!D795</f>
        <v>0</v>
      </c>
      <c r="N801" s="11" t="s">
        <v>55</v>
      </c>
      <c r="O801" s="11">
        <v>0</v>
      </c>
      <c r="P801" s="12" t="s">
        <v>56</v>
      </c>
    </row>
    <row r="802" spans="3:16" ht="23.65" thickBot="1">
      <c r="C802" s="10" t="s">
        <v>51</v>
      </c>
      <c r="D802" s="11">
        <v>795</v>
      </c>
      <c r="E802" s="11" t="s">
        <v>52</v>
      </c>
      <c r="F802" s="11">
        <f>'Guarantees provided'!G796</f>
        <v>0</v>
      </c>
      <c r="G802" s="11">
        <f>'Guarantees provided'!A796</f>
        <v>0</v>
      </c>
      <c r="H802" s="11">
        <f>IF('Guarantees provided'!B796="#",'Guarantees provided'!C796,'Guarantees provided'!B796)</f>
        <v>0</v>
      </c>
      <c r="I802" s="11" t="str">
        <f>IF('Guarantees provided'!B796="#","Type of identifier, other than LEI or MFI code","LEI code")</f>
        <v>LEI code</v>
      </c>
      <c r="J802" s="14" t="str">
        <f>IF(OR('Guarantees provided'!H796="E",'Guarantees provided'!H796="x"),"True","False")</f>
        <v>False</v>
      </c>
      <c r="K802" s="11" t="s">
        <v>53</v>
      </c>
      <c r="L802" s="11" t="s">
        <v>54</v>
      </c>
      <c r="M802" s="11">
        <f>-'Guarantees provided'!D796</f>
        <v>0</v>
      </c>
      <c r="N802" s="11" t="s">
        <v>55</v>
      </c>
      <c r="O802" s="11">
        <v>0</v>
      </c>
      <c r="P802" s="12" t="s">
        <v>56</v>
      </c>
    </row>
    <row r="803" spans="3:16" ht="23.65" thickBot="1">
      <c r="C803" s="10" t="s">
        <v>51</v>
      </c>
      <c r="D803" s="11">
        <v>796</v>
      </c>
      <c r="E803" s="11" t="s">
        <v>52</v>
      </c>
      <c r="F803" s="11">
        <f>'Guarantees provided'!G797</f>
        <v>0</v>
      </c>
      <c r="G803" s="11">
        <f>'Guarantees provided'!A797</f>
        <v>0</v>
      </c>
      <c r="H803" s="11">
        <f>IF('Guarantees provided'!B797="#",'Guarantees provided'!C797,'Guarantees provided'!B797)</f>
        <v>0</v>
      </c>
      <c r="I803" s="11" t="str">
        <f>IF('Guarantees provided'!B797="#","Type of identifier, other than LEI or MFI code","LEI code")</f>
        <v>LEI code</v>
      </c>
      <c r="J803" s="14" t="str">
        <f>IF(OR('Guarantees provided'!H797="E",'Guarantees provided'!H797="x"),"True","False")</f>
        <v>False</v>
      </c>
      <c r="K803" s="11" t="s">
        <v>53</v>
      </c>
      <c r="L803" s="11" t="s">
        <v>54</v>
      </c>
      <c r="M803" s="11">
        <f>-'Guarantees provided'!D797</f>
        <v>0</v>
      </c>
      <c r="N803" s="11" t="s">
        <v>55</v>
      </c>
      <c r="O803" s="11">
        <v>0</v>
      </c>
      <c r="P803" s="12" t="s">
        <v>56</v>
      </c>
    </row>
    <row r="804" spans="3:16" ht="23.65" thickBot="1">
      <c r="C804" s="10" t="s">
        <v>51</v>
      </c>
      <c r="D804" s="11">
        <v>797</v>
      </c>
      <c r="E804" s="11" t="s">
        <v>52</v>
      </c>
      <c r="F804" s="11">
        <f>'Guarantees provided'!G798</f>
        <v>0</v>
      </c>
      <c r="G804" s="11">
        <f>'Guarantees provided'!A798</f>
        <v>0</v>
      </c>
      <c r="H804" s="11">
        <f>IF('Guarantees provided'!B798="#",'Guarantees provided'!C798,'Guarantees provided'!B798)</f>
        <v>0</v>
      </c>
      <c r="I804" s="11" t="str">
        <f>IF('Guarantees provided'!B798="#","Type of identifier, other than LEI or MFI code","LEI code")</f>
        <v>LEI code</v>
      </c>
      <c r="J804" s="14" t="str">
        <f>IF(OR('Guarantees provided'!H798="E",'Guarantees provided'!H798="x"),"True","False")</f>
        <v>False</v>
      </c>
      <c r="K804" s="11" t="s">
        <v>53</v>
      </c>
      <c r="L804" s="11" t="s">
        <v>54</v>
      </c>
      <c r="M804" s="11">
        <f>-'Guarantees provided'!D798</f>
        <v>0</v>
      </c>
      <c r="N804" s="11" t="s">
        <v>55</v>
      </c>
      <c r="O804" s="11">
        <v>0</v>
      </c>
      <c r="P804" s="12" t="s">
        <v>56</v>
      </c>
    </row>
    <row r="805" spans="3:16" ht="23.65" thickBot="1">
      <c r="C805" s="10" t="s">
        <v>51</v>
      </c>
      <c r="D805" s="11">
        <v>798</v>
      </c>
      <c r="E805" s="11" t="s">
        <v>52</v>
      </c>
      <c r="F805" s="11">
        <f>'Guarantees provided'!G799</f>
        <v>0</v>
      </c>
      <c r="G805" s="11">
        <f>'Guarantees provided'!A799</f>
        <v>0</v>
      </c>
      <c r="H805" s="11">
        <f>IF('Guarantees provided'!B799="#",'Guarantees provided'!C799,'Guarantees provided'!B799)</f>
        <v>0</v>
      </c>
      <c r="I805" s="11" t="str">
        <f>IF('Guarantees provided'!B799="#","Type of identifier, other than LEI or MFI code","LEI code")</f>
        <v>LEI code</v>
      </c>
      <c r="J805" s="14" t="str">
        <f>IF(OR('Guarantees provided'!H799="E",'Guarantees provided'!H799="x"),"True","False")</f>
        <v>False</v>
      </c>
      <c r="K805" s="11" t="s">
        <v>53</v>
      </c>
      <c r="L805" s="11" t="s">
        <v>54</v>
      </c>
      <c r="M805" s="11">
        <f>-'Guarantees provided'!D799</f>
        <v>0</v>
      </c>
      <c r="N805" s="11" t="s">
        <v>55</v>
      </c>
      <c r="O805" s="11">
        <v>0</v>
      </c>
      <c r="P805" s="12" t="s">
        <v>56</v>
      </c>
    </row>
    <row r="806" spans="3:16" ht="23.65" thickBot="1">
      <c r="C806" s="10" t="s">
        <v>51</v>
      </c>
      <c r="D806" s="11">
        <v>799</v>
      </c>
      <c r="E806" s="11" t="s">
        <v>52</v>
      </c>
      <c r="F806" s="11">
        <f>'Guarantees provided'!G800</f>
        <v>0</v>
      </c>
      <c r="G806" s="11">
        <f>'Guarantees provided'!A800</f>
        <v>0</v>
      </c>
      <c r="H806" s="11">
        <f>IF('Guarantees provided'!B800="#",'Guarantees provided'!C800,'Guarantees provided'!B800)</f>
        <v>0</v>
      </c>
      <c r="I806" s="11" t="str">
        <f>IF('Guarantees provided'!B800="#","Type of identifier, other than LEI or MFI code","LEI code")</f>
        <v>LEI code</v>
      </c>
      <c r="J806" s="14" t="str">
        <f>IF(OR('Guarantees provided'!H800="E",'Guarantees provided'!H800="x"),"True","False")</f>
        <v>False</v>
      </c>
      <c r="K806" s="11" t="s">
        <v>53</v>
      </c>
      <c r="L806" s="11" t="s">
        <v>54</v>
      </c>
      <c r="M806" s="11">
        <f>-'Guarantees provided'!D800</f>
        <v>0</v>
      </c>
      <c r="N806" s="11" t="s">
        <v>55</v>
      </c>
      <c r="O806" s="11">
        <v>0</v>
      </c>
      <c r="P806" s="12" t="s">
        <v>56</v>
      </c>
    </row>
    <row r="807" spans="3:16" ht="23.65" thickBot="1">
      <c r="C807" s="10" t="s">
        <v>51</v>
      </c>
      <c r="D807" s="11">
        <v>800</v>
      </c>
      <c r="E807" s="11" t="s">
        <v>52</v>
      </c>
      <c r="F807" s="11">
        <f>'Guarantees provided'!G801</f>
        <v>0</v>
      </c>
      <c r="G807" s="11">
        <f>'Guarantees provided'!A801</f>
        <v>0</v>
      </c>
      <c r="H807" s="11">
        <f>IF('Guarantees provided'!B801="#",'Guarantees provided'!C801,'Guarantees provided'!B801)</f>
        <v>0</v>
      </c>
      <c r="I807" s="11" t="str">
        <f>IF('Guarantees provided'!B801="#","Type of identifier, other than LEI or MFI code","LEI code")</f>
        <v>LEI code</v>
      </c>
      <c r="J807" s="14" t="str">
        <f>IF(OR('Guarantees provided'!H801="E",'Guarantees provided'!H801="x"),"True","False")</f>
        <v>False</v>
      </c>
      <c r="K807" s="11" t="s">
        <v>53</v>
      </c>
      <c r="L807" s="11" t="s">
        <v>54</v>
      </c>
      <c r="M807" s="11">
        <f>-'Guarantees provided'!D801</f>
        <v>0</v>
      </c>
      <c r="N807" s="11" t="s">
        <v>55</v>
      </c>
      <c r="O807" s="11">
        <v>0</v>
      </c>
      <c r="P807" s="12" t="s">
        <v>56</v>
      </c>
    </row>
    <row r="808" spans="3:16" ht="23.65" thickBot="1">
      <c r="C808" s="10" t="s">
        <v>51</v>
      </c>
      <c r="D808" s="11">
        <v>801</v>
      </c>
      <c r="E808" s="11" t="s">
        <v>52</v>
      </c>
      <c r="F808" s="11">
        <f>'Guarantees provided'!G802</f>
        <v>0</v>
      </c>
      <c r="G808" s="11">
        <f>'Guarantees provided'!A802</f>
        <v>0</v>
      </c>
      <c r="H808" s="11">
        <f>IF('Guarantees provided'!B802="#",'Guarantees provided'!C802,'Guarantees provided'!B802)</f>
        <v>0</v>
      </c>
      <c r="I808" s="11" t="str">
        <f>IF('Guarantees provided'!B802="#","Type of identifier, other than LEI or MFI code","LEI code")</f>
        <v>LEI code</v>
      </c>
      <c r="J808" s="14" t="str">
        <f>IF(OR('Guarantees provided'!H802="E",'Guarantees provided'!H802="x"),"True","False")</f>
        <v>False</v>
      </c>
      <c r="K808" s="11" t="s">
        <v>53</v>
      </c>
      <c r="L808" s="11" t="s">
        <v>54</v>
      </c>
      <c r="M808" s="11">
        <f>-'Guarantees provided'!D802</f>
        <v>0</v>
      </c>
      <c r="N808" s="11" t="s">
        <v>55</v>
      </c>
      <c r="O808" s="11">
        <v>0</v>
      </c>
      <c r="P808" s="12" t="s">
        <v>56</v>
      </c>
    </row>
    <row r="809" spans="3:16" ht="23.65" thickBot="1">
      <c r="C809" s="10" t="s">
        <v>51</v>
      </c>
      <c r="D809" s="11">
        <v>802</v>
      </c>
      <c r="E809" s="11" t="s">
        <v>52</v>
      </c>
      <c r="F809" s="11">
        <f>'Guarantees provided'!G803</f>
        <v>0</v>
      </c>
      <c r="G809" s="11">
        <f>'Guarantees provided'!A803</f>
        <v>0</v>
      </c>
      <c r="H809" s="11">
        <f>IF('Guarantees provided'!B803="#",'Guarantees provided'!C803,'Guarantees provided'!B803)</f>
        <v>0</v>
      </c>
      <c r="I809" s="11" t="str">
        <f>IF('Guarantees provided'!B803="#","Type of identifier, other than LEI or MFI code","LEI code")</f>
        <v>LEI code</v>
      </c>
      <c r="J809" s="14" t="str">
        <f>IF(OR('Guarantees provided'!H803="E",'Guarantees provided'!H803="x"),"True","False")</f>
        <v>False</v>
      </c>
      <c r="K809" s="11" t="s">
        <v>53</v>
      </c>
      <c r="L809" s="11" t="s">
        <v>54</v>
      </c>
      <c r="M809" s="11">
        <f>-'Guarantees provided'!D803</f>
        <v>0</v>
      </c>
      <c r="N809" s="11" t="s">
        <v>55</v>
      </c>
      <c r="O809" s="11">
        <v>0</v>
      </c>
      <c r="P809" s="12" t="s">
        <v>56</v>
      </c>
    </row>
    <row r="810" spans="3:16" ht="23.65" thickBot="1">
      <c r="C810" s="10" t="s">
        <v>51</v>
      </c>
      <c r="D810" s="11">
        <v>803</v>
      </c>
      <c r="E810" s="11" t="s">
        <v>52</v>
      </c>
      <c r="F810" s="11">
        <f>'Guarantees provided'!G804</f>
        <v>0</v>
      </c>
      <c r="G810" s="11">
        <f>'Guarantees provided'!A804</f>
        <v>0</v>
      </c>
      <c r="H810" s="11">
        <f>IF('Guarantees provided'!B804="#",'Guarantees provided'!C804,'Guarantees provided'!B804)</f>
        <v>0</v>
      </c>
      <c r="I810" s="11" t="str">
        <f>IF('Guarantees provided'!B804="#","Type of identifier, other than LEI or MFI code","LEI code")</f>
        <v>LEI code</v>
      </c>
      <c r="J810" s="14" t="str">
        <f>IF(OR('Guarantees provided'!H804="E",'Guarantees provided'!H804="x"),"True","False")</f>
        <v>False</v>
      </c>
      <c r="K810" s="11" t="s">
        <v>53</v>
      </c>
      <c r="L810" s="11" t="s">
        <v>54</v>
      </c>
      <c r="M810" s="11">
        <f>-'Guarantees provided'!D804</f>
        <v>0</v>
      </c>
      <c r="N810" s="11" t="s">
        <v>55</v>
      </c>
      <c r="O810" s="11">
        <v>0</v>
      </c>
      <c r="P810" s="12" t="s">
        <v>56</v>
      </c>
    </row>
    <row r="811" spans="3:16" ht="23.65" thickBot="1">
      <c r="C811" s="10" t="s">
        <v>51</v>
      </c>
      <c r="D811" s="11">
        <v>804</v>
      </c>
      <c r="E811" s="11" t="s">
        <v>52</v>
      </c>
      <c r="F811" s="11">
        <f>'Guarantees provided'!G805</f>
        <v>0</v>
      </c>
      <c r="G811" s="11">
        <f>'Guarantees provided'!A805</f>
        <v>0</v>
      </c>
      <c r="H811" s="11">
        <f>IF('Guarantees provided'!B805="#",'Guarantees provided'!C805,'Guarantees provided'!B805)</f>
        <v>0</v>
      </c>
      <c r="I811" s="11" t="str">
        <f>IF('Guarantees provided'!B805="#","Type of identifier, other than LEI or MFI code","LEI code")</f>
        <v>LEI code</v>
      </c>
      <c r="J811" s="14" t="str">
        <f>IF(OR('Guarantees provided'!H805="E",'Guarantees provided'!H805="x"),"True","False")</f>
        <v>False</v>
      </c>
      <c r="K811" s="11" t="s">
        <v>53</v>
      </c>
      <c r="L811" s="11" t="s">
        <v>54</v>
      </c>
      <c r="M811" s="11">
        <f>-'Guarantees provided'!D805</f>
        <v>0</v>
      </c>
      <c r="N811" s="11" t="s">
        <v>55</v>
      </c>
      <c r="O811" s="11">
        <v>0</v>
      </c>
      <c r="P811" s="12" t="s">
        <v>56</v>
      </c>
    </row>
    <row r="812" spans="3:16" ht="23.65" thickBot="1">
      <c r="C812" s="10" t="s">
        <v>51</v>
      </c>
      <c r="D812" s="11">
        <v>805</v>
      </c>
      <c r="E812" s="11" t="s">
        <v>52</v>
      </c>
      <c r="F812" s="11">
        <f>'Guarantees provided'!G806</f>
        <v>0</v>
      </c>
      <c r="G812" s="11">
        <f>'Guarantees provided'!A806</f>
        <v>0</v>
      </c>
      <c r="H812" s="11">
        <f>IF('Guarantees provided'!B806="#",'Guarantees provided'!C806,'Guarantees provided'!B806)</f>
        <v>0</v>
      </c>
      <c r="I812" s="11" t="str">
        <f>IF('Guarantees provided'!B806="#","Type of identifier, other than LEI or MFI code","LEI code")</f>
        <v>LEI code</v>
      </c>
      <c r="J812" s="14" t="str">
        <f>IF(OR('Guarantees provided'!H806="E",'Guarantees provided'!H806="x"),"True","False")</f>
        <v>False</v>
      </c>
      <c r="K812" s="11" t="s">
        <v>53</v>
      </c>
      <c r="L812" s="11" t="s">
        <v>54</v>
      </c>
      <c r="M812" s="11">
        <f>-'Guarantees provided'!D806</f>
        <v>0</v>
      </c>
      <c r="N812" s="11" t="s">
        <v>55</v>
      </c>
      <c r="O812" s="11">
        <v>0</v>
      </c>
      <c r="P812" s="12" t="s">
        <v>56</v>
      </c>
    </row>
    <row r="813" spans="3:16" ht="23.65" thickBot="1">
      <c r="C813" s="10" t="s">
        <v>51</v>
      </c>
      <c r="D813" s="11">
        <v>806</v>
      </c>
      <c r="E813" s="11" t="s">
        <v>52</v>
      </c>
      <c r="F813" s="11">
        <f>'Guarantees provided'!G807</f>
        <v>0</v>
      </c>
      <c r="G813" s="11">
        <f>'Guarantees provided'!A807</f>
        <v>0</v>
      </c>
      <c r="H813" s="11">
        <f>IF('Guarantees provided'!B807="#",'Guarantees provided'!C807,'Guarantees provided'!B807)</f>
        <v>0</v>
      </c>
      <c r="I813" s="11" t="str">
        <f>IF('Guarantees provided'!B807="#","Type of identifier, other than LEI or MFI code","LEI code")</f>
        <v>LEI code</v>
      </c>
      <c r="J813" s="14" t="str">
        <f>IF(OR('Guarantees provided'!H807="E",'Guarantees provided'!H807="x"),"True","False")</f>
        <v>False</v>
      </c>
      <c r="K813" s="11" t="s">
        <v>53</v>
      </c>
      <c r="L813" s="11" t="s">
        <v>54</v>
      </c>
      <c r="M813" s="11">
        <f>-'Guarantees provided'!D807</f>
        <v>0</v>
      </c>
      <c r="N813" s="11" t="s">
        <v>55</v>
      </c>
      <c r="O813" s="11">
        <v>0</v>
      </c>
      <c r="P813" s="12" t="s">
        <v>56</v>
      </c>
    </row>
    <row r="814" spans="3:16" ht="23.65" thickBot="1">
      <c r="C814" s="10" t="s">
        <v>51</v>
      </c>
      <c r="D814" s="11">
        <v>807</v>
      </c>
      <c r="E814" s="11" t="s">
        <v>52</v>
      </c>
      <c r="F814" s="11">
        <f>'Guarantees provided'!G808</f>
        <v>0</v>
      </c>
      <c r="G814" s="11">
        <f>'Guarantees provided'!A808</f>
        <v>0</v>
      </c>
      <c r="H814" s="11">
        <f>IF('Guarantees provided'!B808="#",'Guarantees provided'!C808,'Guarantees provided'!B808)</f>
        <v>0</v>
      </c>
      <c r="I814" s="11" t="str">
        <f>IF('Guarantees provided'!B808="#","Type of identifier, other than LEI or MFI code","LEI code")</f>
        <v>LEI code</v>
      </c>
      <c r="J814" s="14" t="str">
        <f>IF(OR('Guarantees provided'!H808="E",'Guarantees provided'!H808="x"),"True","False")</f>
        <v>False</v>
      </c>
      <c r="K814" s="11" t="s">
        <v>53</v>
      </c>
      <c r="L814" s="11" t="s">
        <v>54</v>
      </c>
      <c r="M814" s="11">
        <f>-'Guarantees provided'!D808</f>
        <v>0</v>
      </c>
      <c r="N814" s="11" t="s">
        <v>55</v>
      </c>
      <c r="O814" s="11">
        <v>0</v>
      </c>
      <c r="P814" s="12" t="s">
        <v>56</v>
      </c>
    </row>
    <row r="815" spans="3:16" ht="23.65" thickBot="1">
      <c r="C815" s="10" t="s">
        <v>51</v>
      </c>
      <c r="D815" s="11">
        <v>808</v>
      </c>
      <c r="E815" s="11" t="s">
        <v>52</v>
      </c>
      <c r="F815" s="11">
        <f>'Guarantees provided'!G809</f>
        <v>0</v>
      </c>
      <c r="G815" s="11">
        <f>'Guarantees provided'!A809</f>
        <v>0</v>
      </c>
      <c r="H815" s="11">
        <f>IF('Guarantees provided'!B809="#",'Guarantees provided'!C809,'Guarantees provided'!B809)</f>
        <v>0</v>
      </c>
      <c r="I815" s="11" t="str">
        <f>IF('Guarantees provided'!B809="#","Type of identifier, other than LEI or MFI code","LEI code")</f>
        <v>LEI code</v>
      </c>
      <c r="J815" s="14" t="str">
        <f>IF(OR('Guarantees provided'!H809="E",'Guarantees provided'!H809="x"),"True","False")</f>
        <v>False</v>
      </c>
      <c r="K815" s="11" t="s">
        <v>53</v>
      </c>
      <c r="L815" s="11" t="s">
        <v>54</v>
      </c>
      <c r="M815" s="11">
        <f>-'Guarantees provided'!D809</f>
        <v>0</v>
      </c>
      <c r="N815" s="11" t="s">
        <v>55</v>
      </c>
      <c r="O815" s="11">
        <v>0</v>
      </c>
      <c r="P815" s="12" t="s">
        <v>56</v>
      </c>
    </row>
    <row r="816" spans="3:16" ht="23.65" thickBot="1">
      <c r="C816" s="10" t="s">
        <v>51</v>
      </c>
      <c r="D816" s="11">
        <v>809</v>
      </c>
      <c r="E816" s="11" t="s">
        <v>52</v>
      </c>
      <c r="F816" s="11">
        <f>'Guarantees provided'!G810</f>
        <v>0</v>
      </c>
      <c r="G816" s="11">
        <f>'Guarantees provided'!A810</f>
        <v>0</v>
      </c>
      <c r="H816" s="11">
        <f>IF('Guarantees provided'!B810="#",'Guarantees provided'!C810,'Guarantees provided'!B810)</f>
        <v>0</v>
      </c>
      <c r="I816" s="11" t="str">
        <f>IF('Guarantees provided'!B810="#","Type of identifier, other than LEI or MFI code","LEI code")</f>
        <v>LEI code</v>
      </c>
      <c r="J816" s="14" t="str">
        <f>IF(OR('Guarantees provided'!H810="E",'Guarantees provided'!H810="x"),"True","False")</f>
        <v>False</v>
      </c>
      <c r="K816" s="11" t="s">
        <v>53</v>
      </c>
      <c r="L816" s="11" t="s">
        <v>54</v>
      </c>
      <c r="M816" s="11">
        <f>-'Guarantees provided'!D810</f>
        <v>0</v>
      </c>
      <c r="N816" s="11" t="s">
        <v>55</v>
      </c>
      <c r="O816" s="11">
        <v>0</v>
      </c>
      <c r="P816" s="12" t="s">
        <v>56</v>
      </c>
    </row>
    <row r="817" spans="3:16" ht="23.65" thickBot="1">
      <c r="C817" s="10" t="s">
        <v>51</v>
      </c>
      <c r="D817" s="11">
        <v>810</v>
      </c>
      <c r="E817" s="11" t="s">
        <v>52</v>
      </c>
      <c r="F817" s="11">
        <f>'Guarantees provided'!G811</f>
        <v>0</v>
      </c>
      <c r="G817" s="11">
        <f>'Guarantees provided'!A811</f>
        <v>0</v>
      </c>
      <c r="H817" s="11">
        <f>IF('Guarantees provided'!B811="#",'Guarantees provided'!C811,'Guarantees provided'!B811)</f>
        <v>0</v>
      </c>
      <c r="I817" s="11" t="str">
        <f>IF('Guarantees provided'!B811="#","Type of identifier, other than LEI or MFI code","LEI code")</f>
        <v>LEI code</v>
      </c>
      <c r="J817" s="14" t="str">
        <f>IF(OR('Guarantees provided'!H811="E",'Guarantees provided'!H811="x"),"True","False")</f>
        <v>False</v>
      </c>
      <c r="K817" s="11" t="s">
        <v>53</v>
      </c>
      <c r="L817" s="11" t="s">
        <v>54</v>
      </c>
      <c r="M817" s="11">
        <f>-'Guarantees provided'!D811</f>
        <v>0</v>
      </c>
      <c r="N817" s="11" t="s">
        <v>55</v>
      </c>
      <c r="O817" s="11">
        <v>0</v>
      </c>
      <c r="P817" s="12" t="s">
        <v>56</v>
      </c>
    </row>
    <row r="818" spans="3:16" ht="23.65" thickBot="1">
      <c r="C818" s="10" t="s">
        <v>51</v>
      </c>
      <c r="D818" s="11">
        <v>811</v>
      </c>
      <c r="E818" s="11" t="s">
        <v>52</v>
      </c>
      <c r="F818" s="11">
        <f>'Guarantees provided'!G812</f>
        <v>0</v>
      </c>
      <c r="G818" s="11">
        <f>'Guarantees provided'!A812</f>
        <v>0</v>
      </c>
      <c r="H818" s="11">
        <f>IF('Guarantees provided'!B812="#",'Guarantees provided'!C812,'Guarantees provided'!B812)</f>
        <v>0</v>
      </c>
      <c r="I818" s="11" t="str">
        <f>IF('Guarantees provided'!B812="#","Type of identifier, other than LEI or MFI code","LEI code")</f>
        <v>LEI code</v>
      </c>
      <c r="J818" s="14" t="str">
        <f>IF(OR('Guarantees provided'!H812="E",'Guarantees provided'!H812="x"),"True","False")</f>
        <v>False</v>
      </c>
      <c r="K818" s="11" t="s">
        <v>53</v>
      </c>
      <c r="L818" s="11" t="s">
        <v>54</v>
      </c>
      <c r="M818" s="11">
        <f>-'Guarantees provided'!D812</f>
        <v>0</v>
      </c>
      <c r="N818" s="11" t="s">
        <v>55</v>
      </c>
      <c r="O818" s="11">
        <v>0</v>
      </c>
      <c r="P818" s="12" t="s">
        <v>56</v>
      </c>
    </row>
    <row r="819" spans="3:16" ht="23.65" thickBot="1">
      <c r="C819" s="10" t="s">
        <v>51</v>
      </c>
      <c r="D819" s="11">
        <v>812</v>
      </c>
      <c r="E819" s="11" t="s">
        <v>52</v>
      </c>
      <c r="F819" s="11">
        <f>'Guarantees provided'!G813</f>
        <v>0</v>
      </c>
      <c r="G819" s="11">
        <f>'Guarantees provided'!A813</f>
        <v>0</v>
      </c>
      <c r="H819" s="11">
        <f>IF('Guarantees provided'!B813="#",'Guarantees provided'!C813,'Guarantees provided'!B813)</f>
        <v>0</v>
      </c>
      <c r="I819" s="11" t="str">
        <f>IF('Guarantees provided'!B813="#","Type of identifier, other than LEI or MFI code","LEI code")</f>
        <v>LEI code</v>
      </c>
      <c r="J819" s="14" t="str">
        <f>IF(OR('Guarantees provided'!H813="E",'Guarantees provided'!H813="x"),"True","False")</f>
        <v>False</v>
      </c>
      <c r="K819" s="11" t="s">
        <v>53</v>
      </c>
      <c r="L819" s="11" t="s">
        <v>54</v>
      </c>
      <c r="M819" s="11">
        <f>-'Guarantees provided'!D813</f>
        <v>0</v>
      </c>
      <c r="N819" s="11" t="s">
        <v>55</v>
      </c>
      <c r="O819" s="11">
        <v>0</v>
      </c>
      <c r="P819" s="12" t="s">
        <v>56</v>
      </c>
    </row>
    <row r="820" spans="3:16" ht="23.65" thickBot="1">
      <c r="C820" s="10" t="s">
        <v>51</v>
      </c>
      <c r="D820" s="11">
        <v>813</v>
      </c>
      <c r="E820" s="11" t="s">
        <v>52</v>
      </c>
      <c r="F820" s="11">
        <f>'Guarantees provided'!G814</f>
        <v>0</v>
      </c>
      <c r="G820" s="11">
        <f>'Guarantees provided'!A814</f>
        <v>0</v>
      </c>
      <c r="H820" s="11">
        <f>IF('Guarantees provided'!B814="#",'Guarantees provided'!C814,'Guarantees provided'!B814)</f>
        <v>0</v>
      </c>
      <c r="I820" s="11" t="str">
        <f>IF('Guarantees provided'!B814="#","Type of identifier, other than LEI or MFI code","LEI code")</f>
        <v>LEI code</v>
      </c>
      <c r="J820" s="14" t="str">
        <f>IF(OR('Guarantees provided'!H814="E",'Guarantees provided'!H814="x"),"True","False")</f>
        <v>False</v>
      </c>
      <c r="K820" s="11" t="s">
        <v>53</v>
      </c>
      <c r="L820" s="11" t="s">
        <v>54</v>
      </c>
      <c r="M820" s="11">
        <f>-'Guarantees provided'!D814</f>
        <v>0</v>
      </c>
      <c r="N820" s="11" t="s">
        <v>55</v>
      </c>
      <c r="O820" s="11">
        <v>0</v>
      </c>
      <c r="P820" s="12" t="s">
        <v>56</v>
      </c>
    </row>
    <row r="821" spans="3:16" ht="23.65" thickBot="1">
      <c r="C821" s="10" t="s">
        <v>51</v>
      </c>
      <c r="D821" s="11">
        <v>814</v>
      </c>
      <c r="E821" s="11" t="s">
        <v>52</v>
      </c>
      <c r="F821" s="11">
        <f>'Guarantees provided'!G815</f>
        <v>0</v>
      </c>
      <c r="G821" s="11">
        <f>'Guarantees provided'!A815</f>
        <v>0</v>
      </c>
      <c r="H821" s="11">
        <f>IF('Guarantees provided'!B815="#",'Guarantees provided'!C815,'Guarantees provided'!B815)</f>
        <v>0</v>
      </c>
      <c r="I821" s="11" t="str">
        <f>IF('Guarantees provided'!B815="#","Type of identifier, other than LEI or MFI code","LEI code")</f>
        <v>LEI code</v>
      </c>
      <c r="J821" s="14" t="str">
        <f>IF(OR('Guarantees provided'!H815="E",'Guarantees provided'!H815="x"),"True","False")</f>
        <v>False</v>
      </c>
      <c r="K821" s="11" t="s">
        <v>53</v>
      </c>
      <c r="L821" s="11" t="s">
        <v>54</v>
      </c>
      <c r="M821" s="11">
        <f>-'Guarantees provided'!D815</f>
        <v>0</v>
      </c>
      <c r="N821" s="11" t="s">
        <v>55</v>
      </c>
      <c r="O821" s="11">
        <v>0</v>
      </c>
      <c r="P821" s="12" t="s">
        <v>56</v>
      </c>
    </row>
    <row r="822" spans="3:16" ht="23.65" thickBot="1">
      <c r="C822" s="10" t="s">
        <v>51</v>
      </c>
      <c r="D822" s="11">
        <v>815</v>
      </c>
      <c r="E822" s="11" t="s">
        <v>52</v>
      </c>
      <c r="F822" s="11">
        <f>'Guarantees provided'!G816</f>
        <v>0</v>
      </c>
      <c r="G822" s="11">
        <f>'Guarantees provided'!A816</f>
        <v>0</v>
      </c>
      <c r="H822" s="11">
        <f>IF('Guarantees provided'!B816="#",'Guarantees provided'!C816,'Guarantees provided'!B816)</f>
        <v>0</v>
      </c>
      <c r="I822" s="11" t="str">
        <f>IF('Guarantees provided'!B816="#","Type of identifier, other than LEI or MFI code","LEI code")</f>
        <v>LEI code</v>
      </c>
      <c r="J822" s="14" t="str">
        <f>IF(OR('Guarantees provided'!H816="E",'Guarantees provided'!H816="x"),"True","False")</f>
        <v>False</v>
      </c>
      <c r="K822" s="11" t="s">
        <v>53</v>
      </c>
      <c r="L822" s="11" t="s">
        <v>54</v>
      </c>
      <c r="M822" s="11">
        <f>-'Guarantees provided'!D816</f>
        <v>0</v>
      </c>
      <c r="N822" s="11" t="s">
        <v>55</v>
      </c>
      <c r="O822" s="11">
        <v>0</v>
      </c>
      <c r="P822" s="12" t="s">
        <v>56</v>
      </c>
    </row>
    <row r="823" spans="3:16" ht="23.65" thickBot="1">
      <c r="C823" s="10" t="s">
        <v>51</v>
      </c>
      <c r="D823" s="11">
        <v>816</v>
      </c>
      <c r="E823" s="11" t="s">
        <v>52</v>
      </c>
      <c r="F823" s="11">
        <f>'Guarantees provided'!G817</f>
        <v>0</v>
      </c>
      <c r="G823" s="11">
        <f>'Guarantees provided'!A817</f>
        <v>0</v>
      </c>
      <c r="H823" s="11">
        <f>IF('Guarantees provided'!B817="#",'Guarantees provided'!C817,'Guarantees provided'!B817)</f>
        <v>0</v>
      </c>
      <c r="I823" s="11" t="str">
        <f>IF('Guarantees provided'!B817="#","Type of identifier, other than LEI or MFI code","LEI code")</f>
        <v>LEI code</v>
      </c>
      <c r="J823" s="14" t="str">
        <f>IF(OR('Guarantees provided'!H817="E",'Guarantees provided'!H817="x"),"True","False")</f>
        <v>False</v>
      </c>
      <c r="K823" s="11" t="s">
        <v>53</v>
      </c>
      <c r="L823" s="11" t="s">
        <v>54</v>
      </c>
      <c r="M823" s="11">
        <f>-'Guarantees provided'!D817</f>
        <v>0</v>
      </c>
      <c r="N823" s="11" t="s">
        <v>55</v>
      </c>
      <c r="O823" s="11">
        <v>0</v>
      </c>
      <c r="P823" s="12" t="s">
        <v>56</v>
      </c>
    </row>
    <row r="824" spans="3:16" ht="23.65" thickBot="1">
      <c r="C824" s="10" t="s">
        <v>51</v>
      </c>
      <c r="D824" s="11">
        <v>817</v>
      </c>
      <c r="E824" s="11" t="s">
        <v>52</v>
      </c>
      <c r="F824" s="11">
        <f>'Guarantees provided'!G818</f>
        <v>0</v>
      </c>
      <c r="G824" s="11">
        <f>'Guarantees provided'!A818</f>
        <v>0</v>
      </c>
      <c r="H824" s="11">
        <f>IF('Guarantees provided'!B818="#",'Guarantees provided'!C818,'Guarantees provided'!B818)</f>
        <v>0</v>
      </c>
      <c r="I824" s="11" t="str">
        <f>IF('Guarantees provided'!B818="#","Type of identifier, other than LEI or MFI code","LEI code")</f>
        <v>LEI code</v>
      </c>
      <c r="J824" s="14" t="str">
        <f>IF(OR('Guarantees provided'!H818="E",'Guarantees provided'!H818="x"),"True","False")</f>
        <v>False</v>
      </c>
      <c r="K824" s="11" t="s">
        <v>53</v>
      </c>
      <c r="L824" s="11" t="s">
        <v>54</v>
      </c>
      <c r="M824" s="11">
        <f>-'Guarantees provided'!D818</f>
        <v>0</v>
      </c>
      <c r="N824" s="11" t="s">
        <v>55</v>
      </c>
      <c r="O824" s="11">
        <v>0</v>
      </c>
      <c r="P824" s="12" t="s">
        <v>56</v>
      </c>
    </row>
    <row r="825" spans="3:16" ht="23.65" thickBot="1">
      <c r="C825" s="10" t="s">
        <v>51</v>
      </c>
      <c r="D825" s="11">
        <v>818</v>
      </c>
      <c r="E825" s="11" t="s">
        <v>52</v>
      </c>
      <c r="F825" s="11">
        <f>'Guarantees provided'!G819</f>
        <v>0</v>
      </c>
      <c r="G825" s="11">
        <f>'Guarantees provided'!A819</f>
        <v>0</v>
      </c>
      <c r="H825" s="11">
        <f>IF('Guarantees provided'!B819="#",'Guarantees provided'!C819,'Guarantees provided'!B819)</f>
        <v>0</v>
      </c>
      <c r="I825" s="11" t="str">
        <f>IF('Guarantees provided'!B819="#","Type of identifier, other than LEI or MFI code","LEI code")</f>
        <v>LEI code</v>
      </c>
      <c r="J825" s="14" t="str">
        <f>IF(OR('Guarantees provided'!H819="E",'Guarantees provided'!H819="x"),"True","False")</f>
        <v>False</v>
      </c>
      <c r="K825" s="11" t="s">
        <v>53</v>
      </c>
      <c r="L825" s="11" t="s">
        <v>54</v>
      </c>
      <c r="M825" s="11">
        <f>-'Guarantees provided'!D819</f>
        <v>0</v>
      </c>
      <c r="N825" s="11" t="s">
        <v>55</v>
      </c>
      <c r="O825" s="11">
        <v>0</v>
      </c>
      <c r="P825" s="12" t="s">
        <v>56</v>
      </c>
    </row>
    <row r="826" spans="3:16" ht="23.65" thickBot="1">
      <c r="C826" s="10" t="s">
        <v>51</v>
      </c>
      <c r="D826" s="11">
        <v>819</v>
      </c>
      <c r="E826" s="11" t="s">
        <v>52</v>
      </c>
      <c r="F826" s="11">
        <f>'Guarantees provided'!G820</f>
        <v>0</v>
      </c>
      <c r="G826" s="11">
        <f>'Guarantees provided'!A820</f>
        <v>0</v>
      </c>
      <c r="H826" s="11">
        <f>IF('Guarantees provided'!B820="#",'Guarantees provided'!C820,'Guarantees provided'!B820)</f>
        <v>0</v>
      </c>
      <c r="I826" s="11" t="str">
        <f>IF('Guarantees provided'!B820="#","Type of identifier, other than LEI or MFI code","LEI code")</f>
        <v>LEI code</v>
      </c>
      <c r="J826" s="14" t="str">
        <f>IF(OR('Guarantees provided'!H820="E",'Guarantees provided'!H820="x"),"True","False")</f>
        <v>False</v>
      </c>
      <c r="K826" s="11" t="s">
        <v>53</v>
      </c>
      <c r="L826" s="11" t="s">
        <v>54</v>
      </c>
      <c r="M826" s="11">
        <f>-'Guarantees provided'!D820</f>
        <v>0</v>
      </c>
      <c r="N826" s="11" t="s">
        <v>55</v>
      </c>
      <c r="O826" s="11">
        <v>0</v>
      </c>
      <c r="P826" s="12" t="s">
        <v>56</v>
      </c>
    </row>
    <row r="827" spans="3:16" ht="23.65" thickBot="1">
      <c r="C827" s="10" t="s">
        <v>51</v>
      </c>
      <c r="D827" s="11">
        <v>820</v>
      </c>
      <c r="E827" s="11" t="s">
        <v>52</v>
      </c>
      <c r="F827" s="11">
        <f>'Guarantees provided'!G821</f>
        <v>0</v>
      </c>
      <c r="G827" s="11">
        <f>'Guarantees provided'!A821</f>
        <v>0</v>
      </c>
      <c r="H827" s="11">
        <f>IF('Guarantees provided'!B821="#",'Guarantees provided'!C821,'Guarantees provided'!B821)</f>
        <v>0</v>
      </c>
      <c r="I827" s="11" t="str">
        <f>IF('Guarantees provided'!B821="#","Type of identifier, other than LEI or MFI code","LEI code")</f>
        <v>LEI code</v>
      </c>
      <c r="J827" s="14" t="str">
        <f>IF(OR('Guarantees provided'!H821="E",'Guarantees provided'!H821="x"),"True","False")</f>
        <v>False</v>
      </c>
      <c r="K827" s="11" t="s">
        <v>53</v>
      </c>
      <c r="L827" s="11" t="s">
        <v>54</v>
      </c>
      <c r="M827" s="11">
        <f>-'Guarantees provided'!D821</f>
        <v>0</v>
      </c>
      <c r="N827" s="11" t="s">
        <v>55</v>
      </c>
      <c r="O827" s="11">
        <v>0</v>
      </c>
      <c r="P827" s="12" t="s">
        <v>56</v>
      </c>
    </row>
    <row r="828" spans="3:16" ht="23.65" thickBot="1">
      <c r="C828" s="10" t="s">
        <v>51</v>
      </c>
      <c r="D828" s="11">
        <v>821</v>
      </c>
      <c r="E828" s="11" t="s">
        <v>52</v>
      </c>
      <c r="F828" s="11">
        <f>'Guarantees provided'!G822</f>
        <v>0</v>
      </c>
      <c r="G828" s="11">
        <f>'Guarantees provided'!A822</f>
        <v>0</v>
      </c>
      <c r="H828" s="11">
        <f>IF('Guarantees provided'!B822="#",'Guarantees provided'!C822,'Guarantees provided'!B822)</f>
        <v>0</v>
      </c>
      <c r="I828" s="11" t="str">
        <f>IF('Guarantees provided'!B822="#","Type of identifier, other than LEI or MFI code","LEI code")</f>
        <v>LEI code</v>
      </c>
      <c r="J828" s="14" t="str">
        <f>IF(OR('Guarantees provided'!H822="E",'Guarantees provided'!H822="x"),"True","False")</f>
        <v>False</v>
      </c>
      <c r="K828" s="11" t="s">
        <v>53</v>
      </c>
      <c r="L828" s="11" t="s">
        <v>54</v>
      </c>
      <c r="M828" s="11">
        <f>-'Guarantees provided'!D822</f>
        <v>0</v>
      </c>
      <c r="N828" s="11" t="s">
        <v>55</v>
      </c>
      <c r="O828" s="11">
        <v>0</v>
      </c>
      <c r="P828" s="12" t="s">
        <v>56</v>
      </c>
    </row>
    <row r="829" spans="3:16" ht="23.65" thickBot="1">
      <c r="C829" s="10" t="s">
        <v>51</v>
      </c>
      <c r="D829" s="11">
        <v>822</v>
      </c>
      <c r="E829" s="11" t="s">
        <v>52</v>
      </c>
      <c r="F829" s="11">
        <f>'Guarantees provided'!G823</f>
        <v>0</v>
      </c>
      <c r="G829" s="11">
        <f>'Guarantees provided'!A823</f>
        <v>0</v>
      </c>
      <c r="H829" s="11">
        <f>IF('Guarantees provided'!B823="#",'Guarantees provided'!C823,'Guarantees provided'!B823)</f>
        <v>0</v>
      </c>
      <c r="I829" s="11" t="str">
        <f>IF('Guarantees provided'!B823="#","Type of identifier, other than LEI or MFI code","LEI code")</f>
        <v>LEI code</v>
      </c>
      <c r="J829" s="14" t="str">
        <f>IF(OR('Guarantees provided'!H823="E",'Guarantees provided'!H823="x"),"True","False")</f>
        <v>False</v>
      </c>
      <c r="K829" s="11" t="s">
        <v>53</v>
      </c>
      <c r="L829" s="11" t="s">
        <v>54</v>
      </c>
      <c r="M829" s="11">
        <f>-'Guarantees provided'!D823</f>
        <v>0</v>
      </c>
      <c r="N829" s="11" t="s">
        <v>55</v>
      </c>
      <c r="O829" s="11">
        <v>0</v>
      </c>
      <c r="P829" s="12" t="s">
        <v>56</v>
      </c>
    </row>
    <row r="830" spans="3:16" ht="23.65" thickBot="1">
      <c r="C830" s="10" t="s">
        <v>51</v>
      </c>
      <c r="D830" s="11">
        <v>823</v>
      </c>
      <c r="E830" s="11" t="s">
        <v>52</v>
      </c>
      <c r="F830" s="11">
        <f>'Guarantees provided'!G824</f>
        <v>0</v>
      </c>
      <c r="G830" s="11">
        <f>'Guarantees provided'!A824</f>
        <v>0</v>
      </c>
      <c r="H830" s="11">
        <f>IF('Guarantees provided'!B824="#",'Guarantees provided'!C824,'Guarantees provided'!B824)</f>
        <v>0</v>
      </c>
      <c r="I830" s="11" t="str">
        <f>IF('Guarantees provided'!B824="#","Type of identifier, other than LEI or MFI code","LEI code")</f>
        <v>LEI code</v>
      </c>
      <c r="J830" s="14" t="str">
        <f>IF(OR('Guarantees provided'!H824="E",'Guarantees provided'!H824="x"),"True","False")</f>
        <v>False</v>
      </c>
      <c r="K830" s="11" t="s">
        <v>53</v>
      </c>
      <c r="L830" s="11" t="s">
        <v>54</v>
      </c>
      <c r="M830" s="11">
        <f>-'Guarantees provided'!D824</f>
        <v>0</v>
      </c>
      <c r="N830" s="11" t="s">
        <v>55</v>
      </c>
      <c r="O830" s="11">
        <v>0</v>
      </c>
      <c r="P830" s="12" t="s">
        <v>56</v>
      </c>
    </row>
    <row r="831" spans="3:16" ht="23.65" thickBot="1">
      <c r="C831" s="10" t="s">
        <v>51</v>
      </c>
      <c r="D831" s="11">
        <v>824</v>
      </c>
      <c r="E831" s="11" t="s">
        <v>52</v>
      </c>
      <c r="F831" s="11">
        <f>'Guarantees provided'!G825</f>
        <v>0</v>
      </c>
      <c r="G831" s="11">
        <f>'Guarantees provided'!A825</f>
        <v>0</v>
      </c>
      <c r="H831" s="11">
        <f>IF('Guarantees provided'!B825="#",'Guarantees provided'!C825,'Guarantees provided'!B825)</f>
        <v>0</v>
      </c>
      <c r="I831" s="11" t="str">
        <f>IF('Guarantees provided'!B825="#","Type of identifier, other than LEI or MFI code","LEI code")</f>
        <v>LEI code</v>
      </c>
      <c r="J831" s="14" t="str">
        <f>IF(OR('Guarantees provided'!H825="E",'Guarantees provided'!H825="x"),"True","False")</f>
        <v>False</v>
      </c>
      <c r="K831" s="11" t="s">
        <v>53</v>
      </c>
      <c r="L831" s="11" t="s">
        <v>54</v>
      </c>
      <c r="M831" s="11">
        <f>-'Guarantees provided'!D825</f>
        <v>0</v>
      </c>
      <c r="N831" s="11" t="s">
        <v>55</v>
      </c>
      <c r="O831" s="11">
        <v>0</v>
      </c>
      <c r="P831" s="12" t="s">
        <v>56</v>
      </c>
    </row>
    <row r="832" spans="3:16" ht="23.65" thickBot="1">
      <c r="C832" s="10" t="s">
        <v>51</v>
      </c>
      <c r="D832" s="11">
        <v>825</v>
      </c>
      <c r="E832" s="11" t="s">
        <v>52</v>
      </c>
      <c r="F832" s="11">
        <f>'Guarantees provided'!G826</f>
        <v>0</v>
      </c>
      <c r="G832" s="11">
        <f>'Guarantees provided'!A826</f>
        <v>0</v>
      </c>
      <c r="H832" s="11">
        <f>IF('Guarantees provided'!B826="#",'Guarantees provided'!C826,'Guarantees provided'!B826)</f>
        <v>0</v>
      </c>
      <c r="I832" s="11" t="str">
        <f>IF('Guarantees provided'!B826="#","Type of identifier, other than LEI or MFI code","LEI code")</f>
        <v>LEI code</v>
      </c>
      <c r="J832" s="14" t="str">
        <f>IF(OR('Guarantees provided'!H826="E",'Guarantees provided'!H826="x"),"True","False")</f>
        <v>False</v>
      </c>
      <c r="K832" s="11" t="s">
        <v>53</v>
      </c>
      <c r="L832" s="11" t="s">
        <v>54</v>
      </c>
      <c r="M832" s="11">
        <f>-'Guarantees provided'!D826</f>
        <v>0</v>
      </c>
      <c r="N832" s="11" t="s">
        <v>55</v>
      </c>
      <c r="O832" s="11">
        <v>0</v>
      </c>
      <c r="P832" s="12" t="s">
        <v>56</v>
      </c>
    </row>
    <row r="833" spans="3:16" ht="23.65" thickBot="1">
      <c r="C833" s="10" t="s">
        <v>51</v>
      </c>
      <c r="D833" s="11">
        <v>826</v>
      </c>
      <c r="E833" s="11" t="s">
        <v>52</v>
      </c>
      <c r="F833" s="11">
        <f>'Guarantees provided'!G827</f>
        <v>0</v>
      </c>
      <c r="G833" s="11">
        <f>'Guarantees provided'!A827</f>
        <v>0</v>
      </c>
      <c r="H833" s="11">
        <f>IF('Guarantees provided'!B827="#",'Guarantees provided'!C827,'Guarantees provided'!B827)</f>
        <v>0</v>
      </c>
      <c r="I833" s="11" t="str">
        <f>IF('Guarantees provided'!B827="#","Type of identifier, other than LEI or MFI code","LEI code")</f>
        <v>LEI code</v>
      </c>
      <c r="J833" s="14" t="str">
        <f>IF(OR('Guarantees provided'!H827="E",'Guarantees provided'!H827="x"),"True","False")</f>
        <v>False</v>
      </c>
      <c r="K833" s="11" t="s">
        <v>53</v>
      </c>
      <c r="L833" s="11" t="s">
        <v>54</v>
      </c>
      <c r="M833" s="11">
        <f>-'Guarantees provided'!D827</f>
        <v>0</v>
      </c>
      <c r="N833" s="11" t="s">
        <v>55</v>
      </c>
      <c r="O833" s="11">
        <v>0</v>
      </c>
      <c r="P833" s="12" t="s">
        <v>56</v>
      </c>
    </row>
    <row r="834" spans="3:16" ht="23.65" thickBot="1">
      <c r="C834" s="10" t="s">
        <v>51</v>
      </c>
      <c r="D834" s="11">
        <v>827</v>
      </c>
      <c r="E834" s="11" t="s">
        <v>52</v>
      </c>
      <c r="F834" s="11">
        <f>'Guarantees provided'!G828</f>
        <v>0</v>
      </c>
      <c r="G834" s="11">
        <f>'Guarantees provided'!A828</f>
        <v>0</v>
      </c>
      <c r="H834" s="11">
        <f>IF('Guarantees provided'!B828="#",'Guarantees provided'!C828,'Guarantees provided'!B828)</f>
        <v>0</v>
      </c>
      <c r="I834" s="11" t="str">
        <f>IF('Guarantees provided'!B828="#","Type of identifier, other than LEI or MFI code","LEI code")</f>
        <v>LEI code</v>
      </c>
      <c r="J834" s="14" t="str">
        <f>IF(OR('Guarantees provided'!H828="E",'Guarantees provided'!H828="x"),"True","False")</f>
        <v>False</v>
      </c>
      <c r="K834" s="11" t="s">
        <v>53</v>
      </c>
      <c r="L834" s="11" t="s">
        <v>54</v>
      </c>
      <c r="M834" s="11">
        <f>-'Guarantees provided'!D828</f>
        <v>0</v>
      </c>
      <c r="N834" s="11" t="s">
        <v>55</v>
      </c>
      <c r="O834" s="11">
        <v>0</v>
      </c>
      <c r="P834" s="12" t="s">
        <v>56</v>
      </c>
    </row>
    <row r="835" spans="3:16" ht="23.65" thickBot="1">
      <c r="C835" s="10" t="s">
        <v>51</v>
      </c>
      <c r="D835" s="11">
        <v>828</v>
      </c>
      <c r="E835" s="11" t="s">
        <v>52</v>
      </c>
      <c r="F835" s="11">
        <f>'Guarantees provided'!G829</f>
        <v>0</v>
      </c>
      <c r="G835" s="11">
        <f>'Guarantees provided'!A829</f>
        <v>0</v>
      </c>
      <c r="H835" s="11">
        <f>IF('Guarantees provided'!B829="#",'Guarantees provided'!C829,'Guarantees provided'!B829)</f>
        <v>0</v>
      </c>
      <c r="I835" s="11" t="str">
        <f>IF('Guarantees provided'!B829="#","Type of identifier, other than LEI or MFI code","LEI code")</f>
        <v>LEI code</v>
      </c>
      <c r="J835" s="14" t="str">
        <f>IF(OR('Guarantees provided'!H829="E",'Guarantees provided'!H829="x"),"True","False")</f>
        <v>False</v>
      </c>
      <c r="K835" s="11" t="s">
        <v>53</v>
      </c>
      <c r="L835" s="11" t="s">
        <v>54</v>
      </c>
      <c r="M835" s="11">
        <f>-'Guarantees provided'!D829</f>
        <v>0</v>
      </c>
      <c r="N835" s="11" t="s">
        <v>55</v>
      </c>
      <c r="O835" s="11">
        <v>0</v>
      </c>
      <c r="P835" s="12" t="s">
        <v>56</v>
      </c>
    </row>
    <row r="836" spans="3:16" ht="23.65" thickBot="1">
      <c r="C836" s="10" t="s">
        <v>51</v>
      </c>
      <c r="D836" s="11">
        <v>829</v>
      </c>
      <c r="E836" s="11" t="s">
        <v>52</v>
      </c>
      <c r="F836" s="11">
        <f>'Guarantees provided'!G830</f>
        <v>0</v>
      </c>
      <c r="G836" s="11">
        <f>'Guarantees provided'!A830</f>
        <v>0</v>
      </c>
      <c r="H836" s="11">
        <f>IF('Guarantees provided'!B830="#",'Guarantees provided'!C830,'Guarantees provided'!B830)</f>
        <v>0</v>
      </c>
      <c r="I836" s="11" t="str">
        <f>IF('Guarantees provided'!B830="#","Type of identifier, other than LEI or MFI code","LEI code")</f>
        <v>LEI code</v>
      </c>
      <c r="J836" s="14" t="str">
        <f>IF(OR('Guarantees provided'!H830="E",'Guarantees provided'!H830="x"),"True","False")</f>
        <v>False</v>
      </c>
      <c r="K836" s="11" t="s">
        <v>53</v>
      </c>
      <c r="L836" s="11" t="s">
        <v>54</v>
      </c>
      <c r="M836" s="11">
        <f>-'Guarantees provided'!D830</f>
        <v>0</v>
      </c>
      <c r="N836" s="11" t="s">
        <v>55</v>
      </c>
      <c r="O836" s="11">
        <v>0</v>
      </c>
      <c r="P836" s="12" t="s">
        <v>56</v>
      </c>
    </row>
    <row r="837" spans="3:16" ht="23.65" thickBot="1">
      <c r="C837" s="10" t="s">
        <v>51</v>
      </c>
      <c r="D837" s="11">
        <v>830</v>
      </c>
      <c r="E837" s="11" t="s">
        <v>52</v>
      </c>
      <c r="F837" s="11">
        <f>'Guarantees provided'!G831</f>
        <v>0</v>
      </c>
      <c r="G837" s="11">
        <f>'Guarantees provided'!A831</f>
        <v>0</v>
      </c>
      <c r="H837" s="11">
        <f>IF('Guarantees provided'!B831="#",'Guarantees provided'!C831,'Guarantees provided'!B831)</f>
        <v>0</v>
      </c>
      <c r="I837" s="11" t="str">
        <f>IF('Guarantees provided'!B831="#","Type of identifier, other than LEI or MFI code","LEI code")</f>
        <v>LEI code</v>
      </c>
      <c r="J837" s="14" t="str">
        <f>IF(OR('Guarantees provided'!H831="E",'Guarantees provided'!H831="x"),"True","False")</f>
        <v>False</v>
      </c>
      <c r="K837" s="11" t="s">
        <v>53</v>
      </c>
      <c r="L837" s="11" t="s">
        <v>54</v>
      </c>
      <c r="M837" s="11">
        <f>-'Guarantees provided'!D831</f>
        <v>0</v>
      </c>
      <c r="N837" s="11" t="s">
        <v>55</v>
      </c>
      <c r="O837" s="11">
        <v>0</v>
      </c>
      <c r="P837" s="12" t="s">
        <v>56</v>
      </c>
    </row>
    <row r="838" spans="3:16" ht="23.65" thickBot="1">
      <c r="C838" s="10" t="s">
        <v>51</v>
      </c>
      <c r="D838" s="11">
        <v>831</v>
      </c>
      <c r="E838" s="11" t="s">
        <v>52</v>
      </c>
      <c r="F838" s="11">
        <f>'Guarantees provided'!G832</f>
        <v>0</v>
      </c>
      <c r="G838" s="11">
        <f>'Guarantees provided'!A832</f>
        <v>0</v>
      </c>
      <c r="H838" s="11">
        <f>IF('Guarantees provided'!B832="#",'Guarantees provided'!C832,'Guarantees provided'!B832)</f>
        <v>0</v>
      </c>
      <c r="I838" s="11" t="str">
        <f>IF('Guarantees provided'!B832="#","Type of identifier, other than LEI or MFI code","LEI code")</f>
        <v>LEI code</v>
      </c>
      <c r="J838" s="14" t="str">
        <f>IF(OR('Guarantees provided'!H832="E",'Guarantees provided'!H832="x"),"True","False")</f>
        <v>False</v>
      </c>
      <c r="K838" s="11" t="s">
        <v>53</v>
      </c>
      <c r="L838" s="11" t="s">
        <v>54</v>
      </c>
      <c r="M838" s="11">
        <f>-'Guarantees provided'!D832</f>
        <v>0</v>
      </c>
      <c r="N838" s="11" t="s">
        <v>55</v>
      </c>
      <c r="O838" s="11">
        <v>0</v>
      </c>
      <c r="P838" s="12" t="s">
        <v>56</v>
      </c>
    </row>
    <row r="839" spans="3:16" ht="23.65" thickBot="1">
      <c r="C839" s="10" t="s">
        <v>51</v>
      </c>
      <c r="D839" s="11">
        <v>832</v>
      </c>
      <c r="E839" s="11" t="s">
        <v>52</v>
      </c>
      <c r="F839" s="11">
        <f>'Guarantees provided'!G833</f>
        <v>0</v>
      </c>
      <c r="G839" s="11">
        <f>'Guarantees provided'!A833</f>
        <v>0</v>
      </c>
      <c r="H839" s="11">
        <f>IF('Guarantees provided'!B833="#",'Guarantees provided'!C833,'Guarantees provided'!B833)</f>
        <v>0</v>
      </c>
      <c r="I839" s="11" t="str">
        <f>IF('Guarantees provided'!B833="#","Type of identifier, other than LEI or MFI code","LEI code")</f>
        <v>LEI code</v>
      </c>
      <c r="J839" s="14" t="str">
        <f>IF(OR('Guarantees provided'!H833="E",'Guarantees provided'!H833="x"),"True","False")</f>
        <v>False</v>
      </c>
      <c r="K839" s="11" t="s">
        <v>53</v>
      </c>
      <c r="L839" s="11" t="s">
        <v>54</v>
      </c>
      <c r="M839" s="11">
        <f>-'Guarantees provided'!D833</f>
        <v>0</v>
      </c>
      <c r="N839" s="11" t="s">
        <v>55</v>
      </c>
      <c r="O839" s="11">
        <v>0</v>
      </c>
      <c r="P839" s="12" t="s">
        <v>56</v>
      </c>
    </row>
    <row r="840" spans="3:16" ht="23.65" thickBot="1">
      <c r="C840" s="10" t="s">
        <v>51</v>
      </c>
      <c r="D840" s="11">
        <v>833</v>
      </c>
      <c r="E840" s="11" t="s">
        <v>52</v>
      </c>
      <c r="F840" s="11">
        <f>'Guarantees provided'!G834</f>
        <v>0</v>
      </c>
      <c r="G840" s="11">
        <f>'Guarantees provided'!A834</f>
        <v>0</v>
      </c>
      <c r="H840" s="11">
        <f>IF('Guarantees provided'!B834="#",'Guarantees provided'!C834,'Guarantees provided'!B834)</f>
        <v>0</v>
      </c>
      <c r="I840" s="11" t="str">
        <f>IF('Guarantees provided'!B834="#","Type of identifier, other than LEI or MFI code","LEI code")</f>
        <v>LEI code</v>
      </c>
      <c r="J840" s="14" t="str">
        <f>IF(OR('Guarantees provided'!H834="E",'Guarantees provided'!H834="x"),"True","False")</f>
        <v>False</v>
      </c>
      <c r="K840" s="11" t="s">
        <v>53</v>
      </c>
      <c r="L840" s="11" t="s">
        <v>54</v>
      </c>
      <c r="M840" s="11">
        <f>-'Guarantees provided'!D834</f>
        <v>0</v>
      </c>
      <c r="N840" s="11" t="s">
        <v>55</v>
      </c>
      <c r="O840" s="11">
        <v>0</v>
      </c>
      <c r="P840" s="12" t="s">
        <v>56</v>
      </c>
    </row>
    <row r="841" spans="3:16" ht="23.65" thickBot="1">
      <c r="C841" s="10" t="s">
        <v>51</v>
      </c>
      <c r="D841" s="11">
        <v>834</v>
      </c>
      <c r="E841" s="11" t="s">
        <v>52</v>
      </c>
      <c r="F841" s="11">
        <f>'Guarantees provided'!G835</f>
        <v>0</v>
      </c>
      <c r="G841" s="11">
        <f>'Guarantees provided'!A835</f>
        <v>0</v>
      </c>
      <c r="H841" s="11">
        <f>IF('Guarantees provided'!B835="#",'Guarantees provided'!C835,'Guarantees provided'!B835)</f>
        <v>0</v>
      </c>
      <c r="I841" s="11" t="str">
        <f>IF('Guarantees provided'!B835="#","Type of identifier, other than LEI or MFI code","LEI code")</f>
        <v>LEI code</v>
      </c>
      <c r="J841" s="14" t="str">
        <f>IF(OR('Guarantees provided'!H835="E",'Guarantees provided'!H835="x"),"True","False")</f>
        <v>False</v>
      </c>
      <c r="K841" s="11" t="s">
        <v>53</v>
      </c>
      <c r="L841" s="11" t="s">
        <v>54</v>
      </c>
      <c r="M841" s="11">
        <f>-'Guarantees provided'!D835</f>
        <v>0</v>
      </c>
      <c r="N841" s="11" t="s">
        <v>55</v>
      </c>
      <c r="O841" s="11">
        <v>0</v>
      </c>
      <c r="P841" s="12" t="s">
        <v>56</v>
      </c>
    </row>
    <row r="842" spans="3:16" ht="23.65" thickBot="1">
      <c r="C842" s="10" t="s">
        <v>51</v>
      </c>
      <c r="D842" s="11">
        <v>835</v>
      </c>
      <c r="E842" s="11" t="s">
        <v>52</v>
      </c>
      <c r="F842" s="11">
        <f>'Guarantees provided'!G836</f>
        <v>0</v>
      </c>
      <c r="G842" s="11">
        <f>'Guarantees provided'!A836</f>
        <v>0</v>
      </c>
      <c r="H842" s="11">
        <f>IF('Guarantees provided'!B836="#",'Guarantees provided'!C836,'Guarantees provided'!B836)</f>
        <v>0</v>
      </c>
      <c r="I842" s="11" t="str">
        <f>IF('Guarantees provided'!B836="#","Type of identifier, other than LEI or MFI code","LEI code")</f>
        <v>LEI code</v>
      </c>
      <c r="J842" s="14" t="str">
        <f>IF(OR('Guarantees provided'!H836="E",'Guarantees provided'!H836="x"),"True","False")</f>
        <v>False</v>
      </c>
      <c r="K842" s="11" t="s">
        <v>53</v>
      </c>
      <c r="L842" s="11" t="s">
        <v>54</v>
      </c>
      <c r="M842" s="11">
        <f>-'Guarantees provided'!D836</f>
        <v>0</v>
      </c>
      <c r="N842" s="11" t="s">
        <v>55</v>
      </c>
      <c r="O842" s="11">
        <v>0</v>
      </c>
      <c r="P842" s="12" t="s">
        <v>56</v>
      </c>
    </row>
    <row r="843" spans="3:16" ht="23.65" thickBot="1">
      <c r="C843" s="10" t="s">
        <v>51</v>
      </c>
      <c r="D843" s="11">
        <v>836</v>
      </c>
      <c r="E843" s="11" t="s">
        <v>52</v>
      </c>
      <c r="F843" s="11">
        <f>'Guarantees provided'!G837</f>
        <v>0</v>
      </c>
      <c r="G843" s="11">
        <f>'Guarantees provided'!A837</f>
        <v>0</v>
      </c>
      <c r="H843" s="11">
        <f>IF('Guarantees provided'!B837="#",'Guarantees provided'!C837,'Guarantees provided'!B837)</f>
        <v>0</v>
      </c>
      <c r="I843" s="11" t="str">
        <f>IF('Guarantees provided'!B837="#","Type of identifier, other than LEI or MFI code","LEI code")</f>
        <v>LEI code</v>
      </c>
      <c r="J843" s="14" t="str">
        <f>IF(OR('Guarantees provided'!H837="E",'Guarantees provided'!H837="x"),"True","False")</f>
        <v>False</v>
      </c>
      <c r="K843" s="11" t="s">
        <v>53</v>
      </c>
      <c r="L843" s="11" t="s">
        <v>54</v>
      </c>
      <c r="M843" s="11">
        <f>-'Guarantees provided'!D837</f>
        <v>0</v>
      </c>
      <c r="N843" s="11" t="s">
        <v>55</v>
      </c>
      <c r="O843" s="11">
        <v>0</v>
      </c>
      <c r="P843" s="12" t="s">
        <v>56</v>
      </c>
    </row>
    <row r="844" spans="3:16" ht="23.65" thickBot="1">
      <c r="C844" s="10" t="s">
        <v>51</v>
      </c>
      <c r="D844" s="11">
        <v>837</v>
      </c>
      <c r="E844" s="11" t="s">
        <v>52</v>
      </c>
      <c r="F844" s="11">
        <f>'Guarantees provided'!G838</f>
        <v>0</v>
      </c>
      <c r="G844" s="11">
        <f>'Guarantees provided'!A838</f>
        <v>0</v>
      </c>
      <c r="H844" s="11">
        <f>IF('Guarantees provided'!B838="#",'Guarantees provided'!C838,'Guarantees provided'!B838)</f>
        <v>0</v>
      </c>
      <c r="I844" s="11" t="str">
        <f>IF('Guarantees provided'!B838="#","Type of identifier, other than LEI or MFI code","LEI code")</f>
        <v>LEI code</v>
      </c>
      <c r="J844" s="14" t="str">
        <f>IF(OR('Guarantees provided'!H838="E",'Guarantees provided'!H838="x"),"True","False")</f>
        <v>False</v>
      </c>
      <c r="K844" s="11" t="s">
        <v>53</v>
      </c>
      <c r="L844" s="11" t="s">
        <v>54</v>
      </c>
      <c r="M844" s="11">
        <f>-'Guarantees provided'!D838</f>
        <v>0</v>
      </c>
      <c r="N844" s="11" t="s">
        <v>55</v>
      </c>
      <c r="O844" s="11">
        <v>0</v>
      </c>
      <c r="P844" s="12" t="s">
        <v>56</v>
      </c>
    </row>
    <row r="845" spans="3:16" ht="23.65" thickBot="1">
      <c r="C845" s="10" t="s">
        <v>51</v>
      </c>
      <c r="D845" s="11">
        <v>838</v>
      </c>
      <c r="E845" s="11" t="s">
        <v>52</v>
      </c>
      <c r="F845" s="11">
        <f>'Guarantees provided'!G839</f>
        <v>0</v>
      </c>
      <c r="G845" s="11">
        <f>'Guarantees provided'!A839</f>
        <v>0</v>
      </c>
      <c r="H845" s="11">
        <f>IF('Guarantees provided'!B839="#",'Guarantees provided'!C839,'Guarantees provided'!B839)</f>
        <v>0</v>
      </c>
      <c r="I845" s="11" t="str">
        <f>IF('Guarantees provided'!B839="#","Type of identifier, other than LEI or MFI code","LEI code")</f>
        <v>LEI code</v>
      </c>
      <c r="J845" s="14" t="str">
        <f>IF(OR('Guarantees provided'!H839="E",'Guarantees provided'!H839="x"),"True","False")</f>
        <v>False</v>
      </c>
      <c r="K845" s="11" t="s">
        <v>53</v>
      </c>
      <c r="L845" s="11" t="s">
        <v>54</v>
      </c>
      <c r="M845" s="11">
        <f>-'Guarantees provided'!D839</f>
        <v>0</v>
      </c>
      <c r="N845" s="11" t="s">
        <v>55</v>
      </c>
      <c r="O845" s="11">
        <v>0</v>
      </c>
      <c r="P845" s="12" t="s">
        <v>56</v>
      </c>
    </row>
    <row r="846" spans="3:16" ht="23.65" thickBot="1">
      <c r="C846" s="10" t="s">
        <v>51</v>
      </c>
      <c r="D846" s="11">
        <v>839</v>
      </c>
      <c r="E846" s="11" t="s">
        <v>52</v>
      </c>
      <c r="F846" s="11">
        <f>'Guarantees provided'!G840</f>
        <v>0</v>
      </c>
      <c r="G846" s="11">
        <f>'Guarantees provided'!A840</f>
        <v>0</v>
      </c>
      <c r="H846" s="11">
        <f>IF('Guarantees provided'!B840="#",'Guarantees provided'!C840,'Guarantees provided'!B840)</f>
        <v>0</v>
      </c>
      <c r="I846" s="11" t="str">
        <f>IF('Guarantees provided'!B840="#","Type of identifier, other than LEI or MFI code","LEI code")</f>
        <v>LEI code</v>
      </c>
      <c r="J846" s="14" t="str">
        <f>IF(OR('Guarantees provided'!H840="E",'Guarantees provided'!H840="x"),"True","False")</f>
        <v>False</v>
      </c>
      <c r="K846" s="11" t="s">
        <v>53</v>
      </c>
      <c r="L846" s="11" t="s">
        <v>54</v>
      </c>
      <c r="M846" s="11">
        <f>-'Guarantees provided'!D840</f>
        <v>0</v>
      </c>
      <c r="N846" s="11" t="s">
        <v>55</v>
      </c>
      <c r="O846" s="11">
        <v>0</v>
      </c>
      <c r="P846" s="12" t="s">
        <v>56</v>
      </c>
    </row>
    <row r="847" spans="3:16" ht="23.65" thickBot="1">
      <c r="C847" s="10" t="s">
        <v>51</v>
      </c>
      <c r="D847" s="11">
        <v>840</v>
      </c>
      <c r="E847" s="11" t="s">
        <v>52</v>
      </c>
      <c r="F847" s="11">
        <f>'Guarantees provided'!G841</f>
        <v>0</v>
      </c>
      <c r="G847" s="11">
        <f>'Guarantees provided'!A841</f>
        <v>0</v>
      </c>
      <c r="H847" s="11">
        <f>IF('Guarantees provided'!B841="#",'Guarantees provided'!C841,'Guarantees provided'!B841)</f>
        <v>0</v>
      </c>
      <c r="I847" s="11" t="str">
        <f>IF('Guarantees provided'!B841="#","Type of identifier, other than LEI or MFI code","LEI code")</f>
        <v>LEI code</v>
      </c>
      <c r="J847" s="14" t="str">
        <f>IF(OR('Guarantees provided'!H841="E",'Guarantees provided'!H841="x"),"True","False")</f>
        <v>False</v>
      </c>
      <c r="K847" s="11" t="s">
        <v>53</v>
      </c>
      <c r="L847" s="11" t="s">
        <v>54</v>
      </c>
      <c r="M847" s="11">
        <f>-'Guarantees provided'!D841</f>
        <v>0</v>
      </c>
      <c r="N847" s="11" t="s">
        <v>55</v>
      </c>
      <c r="O847" s="11">
        <v>0</v>
      </c>
      <c r="P847" s="12" t="s">
        <v>56</v>
      </c>
    </row>
    <row r="848" spans="3:16" ht="23.65" thickBot="1">
      <c r="C848" s="10" t="s">
        <v>51</v>
      </c>
      <c r="D848" s="11">
        <v>841</v>
      </c>
      <c r="E848" s="11" t="s">
        <v>52</v>
      </c>
      <c r="F848" s="11">
        <f>'Guarantees provided'!G842</f>
        <v>0</v>
      </c>
      <c r="G848" s="11">
        <f>'Guarantees provided'!A842</f>
        <v>0</v>
      </c>
      <c r="H848" s="11">
        <f>IF('Guarantees provided'!B842="#",'Guarantees provided'!C842,'Guarantees provided'!B842)</f>
        <v>0</v>
      </c>
      <c r="I848" s="11" t="str">
        <f>IF('Guarantees provided'!B842="#","Type of identifier, other than LEI or MFI code","LEI code")</f>
        <v>LEI code</v>
      </c>
      <c r="J848" s="14" t="str">
        <f>IF(OR('Guarantees provided'!H842="E",'Guarantees provided'!H842="x"),"True","False")</f>
        <v>False</v>
      </c>
      <c r="K848" s="11" t="s">
        <v>53</v>
      </c>
      <c r="L848" s="11" t="s">
        <v>54</v>
      </c>
      <c r="M848" s="11">
        <f>-'Guarantees provided'!D842</f>
        <v>0</v>
      </c>
      <c r="N848" s="11" t="s">
        <v>55</v>
      </c>
      <c r="O848" s="11">
        <v>0</v>
      </c>
      <c r="P848" s="12" t="s">
        <v>56</v>
      </c>
    </row>
    <row r="849" spans="3:16" ht="23.65" thickBot="1">
      <c r="C849" s="10" t="s">
        <v>51</v>
      </c>
      <c r="D849" s="11">
        <v>842</v>
      </c>
      <c r="E849" s="11" t="s">
        <v>52</v>
      </c>
      <c r="F849" s="11">
        <f>'Guarantees provided'!G843</f>
        <v>0</v>
      </c>
      <c r="G849" s="11">
        <f>'Guarantees provided'!A843</f>
        <v>0</v>
      </c>
      <c r="H849" s="11">
        <f>IF('Guarantees provided'!B843="#",'Guarantees provided'!C843,'Guarantees provided'!B843)</f>
        <v>0</v>
      </c>
      <c r="I849" s="11" t="str">
        <f>IF('Guarantees provided'!B843="#","Type of identifier, other than LEI or MFI code","LEI code")</f>
        <v>LEI code</v>
      </c>
      <c r="J849" s="14" t="str">
        <f>IF(OR('Guarantees provided'!H843="E",'Guarantees provided'!H843="x"),"True","False")</f>
        <v>False</v>
      </c>
      <c r="K849" s="11" t="s">
        <v>53</v>
      </c>
      <c r="L849" s="11" t="s">
        <v>54</v>
      </c>
      <c r="M849" s="11">
        <f>-'Guarantees provided'!D843</f>
        <v>0</v>
      </c>
      <c r="N849" s="11" t="s">
        <v>55</v>
      </c>
      <c r="O849" s="11">
        <v>0</v>
      </c>
      <c r="P849" s="12" t="s">
        <v>56</v>
      </c>
    </row>
    <row r="850" spans="3:16" ht="23.65" thickBot="1">
      <c r="C850" s="10" t="s">
        <v>51</v>
      </c>
      <c r="D850" s="11">
        <v>843</v>
      </c>
      <c r="E850" s="11" t="s">
        <v>52</v>
      </c>
      <c r="F850" s="11">
        <f>'Guarantees provided'!G844</f>
        <v>0</v>
      </c>
      <c r="G850" s="11">
        <f>'Guarantees provided'!A844</f>
        <v>0</v>
      </c>
      <c r="H850" s="11">
        <f>IF('Guarantees provided'!B844="#",'Guarantees provided'!C844,'Guarantees provided'!B844)</f>
        <v>0</v>
      </c>
      <c r="I850" s="11" t="str">
        <f>IF('Guarantees provided'!B844="#","Type of identifier, other than LEI or MFI code","LEI code")</f>
        <v>LEI code</v>
      </c>
      <c r="J850" s="14" t="str">
        <f>IF(OR('Guarantees provided'!H844="E",'Guarantees provided'!H844="x"),"True","False")</f>
        <v>False</v>
      </c>
      <c r="K850" s="11" t="s">
        <v>53</v>
      </c>
      <c r="L850" s="11" t="s">
        <v>54</v>
      </c>
      <c r="M850" s="11">
        <f>-'Guarantees provided'!D844</f>
        <v>0</v>
      </c>
      <c r="N850" s="11" t="s">
        <v>55</v>
      </c>
      <c r="O850" s="11">
        <v>0</v>
      </c>
      <c r="P850" s="12" t="s">
        <v>56</v>
      </c>
    </row>
    <row r="851" spans="3:16" ht="23.65" thickBot="1">
      <c r="C851" s="10" t="s">
        <v>51</v>
      </c>
      <c r="D851" s="11">
        <v>844</v>
      </c>
      <c r="E851" s="11" t="s">
        <v>52</v>
      </c>
      <c r="F851" s="11">
        <f>'Guarantees provided'!G845</f>
        <v>0</v>
      </c>
      <c r="G851" s="11">
        <f>'Guarantees provided'!A845</f>
        <v>0</v>
      </c>
      <c r="H851" s="11">
        <f>IF('Guarantees provided'!B845="#",'Guarantees provided'!C845,'Guarantees provided'!B845)</f>
        <v>0</v>
      </c>
      <c r="I851" s="11" t="str">
        <f>IF('Guarantees provided'!B845="#","Type of identifier, other than LEI or MFI code","LEI code")</f>
        <v>LEI code</v>
      </c>
      <c r="J851" s="14" t="str">
        <f>IF(OR('Guarantees provided'!H845="E",'Guarantees provided'!H845="x"),"True","False")</f>
        <v>False</v>
      </c>
      <c r="K851" s="11" t="s">
        <v>53</v>
      </c>
      <c r="L851" s="11" t="s">
        <v>54</v>
      </c>
      <c r="M851" s="11">
        <f>-'Guarantees provided'!D845</f>
        <v>0</v>
      </c>
      <c r="N851" s="11" t="s">
        <v>55</v>
      </c>
      <c r="O851" s="11">
        <v>0</v>
      </c>
      <c r="P851" s="12" t="s">
        <v>56</v>
      </c>
    </row>
    <row r="852" spans="3:16" ht="23.65" thickBot="1">
      <c r="C852" s="10" t="s">
        <v>51</v>
      </c>
      <c r="D852" s="11">
        <v>845</v>
      </c>
      <c r="E852" s="11" t="s">
        <v>52</v>
      </c>
      <c r="F852" s="11">
        <f>'Guarantees provided'!G846</f>
        <v>0</v>
      </c>
      <c r="G852" s="11">
        <f>'Guarantees provided'!A846</f>
        <v>0</v>
      </c>
      <c r="H852" s="11">
        <f>IF('Guarantees provided'!B846="#",'Guarantees provided'!C846,'Guarantees provided'!B846)</f>
        <v>0</v>
      </c>
      <c r="I852" s="11" t="str">
        <f>IF('Guarantees provided'!B846="#","Type of identifier, other than LEI or MFI code","LEI code")</f>
        <v>LEI code</v>
      </c>
      <c r="J852" s="14" t="str">
        <f>IF(OR('Guarantees provided'!H846="E",'Guarantees provided'!H846="x"),"True","False")</f>
        <v>False</v>
      </c>
      <c r="K852" s="11" t="s">
        <v>53</v>
      </c>
      <c r="L852" s="11" t="s">
        <v>54</v>
      </c>
      <c r="M852" s="11">
        <f>-'Guarantees provided'!D846</f>
        <v>0</v>
      </c>
      <c r="N852" s="11" t="s">
        <v>55</v>
      </c>
      <c r="O852" s="11">
        <v>0</v>
      </c>
      <c r="P852" s="12" t="s">
        <v>56</v>
      </c>
    </row>
    <row r="853" spans="3:16" ht="23.65" thickBot="1">
      <c r="C853" s="10" t="s">
        <v>51</v>
      </c>
      <c r="D853" s="11">
        <v>846</v>
      </c>
      <c r="E853" s="11" t="s">
        <v>52</v>
      </c>
      <c r="F853" s="11">
        <f>'Guarantees provided'!G847</f>
        <v>0</v>
      </c>
      <c r="G853" s="11">
        <f>'Guarantees provided'!A847</f>
        <v>0</v>
      </c>
      <c r="H853" s="11">
        <f>IF('Guarantees provided'!B847="#",'Guarantees provided'!C847,'Guarantees provided'!B847)</f>
        <v>0</v>
      </c>
      <c r="I853" s="11" t="str">
        <f>IF('Guarantees provided'!B847="#","Type of identifier, other than LEI or MFI code","LEI code")</f>
        <v>LEI code</v>
      </c>
      <c r="J853" s="14" t="str">
        <f>IF(OR('Guarantees provided'!H847="E",'Guarantees provided'!H847="x"),"True","False")</f>
        <v>False</v>
      </c>
      <c r="K853" s="11" t="s">
        <v>53</v>
      </c>
      <c r="L853" s="11" t="s">
        <v>54</v>
      </c>
      <c r="M853" s="11">
        <f>-'Guarantees provided'!D847</f>
        <v>0</v>
      </c>
      <c r="N853" s="11" t="s">
        <v>55</v>
      </c>
      <c r="O853" s="11">
        <v>0</v>
      </c>
      <c r="P853" s="12" t="s">
        <v>56</v>
      </c>
    </row>
    <row r="854" spans="3:16" ht="23.65" thickBot="1">
      <c r="C854" s="10" t="s">
        <v>51</v>
      </c>
      <c r="D854" s="11">
        <v>847</v>
      </c>
      <c r="E854" s="11" t="s">
        <v>52</v>
      </c>
      <c r="F854" s="11">
        <f>'Guarantees provided'!G848</f>
        <v>0</v>
      </c>
      <c r="G854" s="11">
        <f>'Guarantees provided'!A848</f>
        <v>0</v>
      </c>
      <c r="H854" s="11">
        <f>IF('Guarantees provided'!B848="#",'Guarantees provided'!C848,'Guarantees provided'!B848)</f>
        <v>0</v>
      </c>
      <c r="I854" s="11" t="str">
        <f>IF('Guarantees provided'!B848="#","Type of identifier, other than LEI or MFI code","LEI code")</f>
        <v>LEI code</v>
      </c>
      <c r="J854" s="14" t="str">
        <f>IF(OR('Guarantees provided'!H848="E",'Guarantees provided'!H848="x"),"True","False")</f>
        <v>False</v>
      </c>
      <c r="K854" s="11" t="s">
        <v>53</v>
      </c>
      <c r="L854" s="11" t="s">
        <v>54</v>
      </c>
      <c r="M854" s="11">
        <f>-'Guarantees provided'!D848</f>
        <v>0</v>
      </c>
      <c r="N854" s="11" t="s">
        <v>55</v>
      </c>
      <c r="O854" s="11">
        <v>0</v>
      </c>
      <c r="P854" s="12" t="s">
        <v>56</v>
      </c>
    </row>
    <row r="855" spans="3:16" ht="23.65" thickBot="1">
      <c r="C855" s="10" t="s">
        <v>51</v>
      </c>
      <c r="D855" s="11">
        <v>848</v>
      </c>
      <c r="E855" s="11" t="s">
        <v>52</v>
      </c>
      <c r="F855" s="11">
        <f>'Guarantees provided'!G849</f>
        <v>0</v>
      </c>
      <c r="G855" s="11">
        <f>'Guarantees provided'!A849</f>
        <v>0</v>
      </c>
      <c r="H855" s="11">
        <f>IF('Guarantees provided'!B849="#",'Guarantees provided'!C849,'Guarantees provided'!B849)</f>
        <v>0</v>
      </c>
      <c r="I855" s="11" t="str">
        <f>IF('Guarantees provided'!B849="#","Type of identifier, other than LEI or MFI code","LEI code")</f>
        <v>LEI code</v>
      </c>
      <c r="J855" s="14" t="str">
        <f>IF(OR('Guarantees provided'!H849="E",'Guarantees provided'!H849="x"),"True","False")</f>
        <v>False</v>
      </c>
      <c r="K855" s="11" t="s">
        <v>53</v>
      </c>
      <c r="L855" s="11" t="s">
        <v>54</v>
      </c>
      <c r="M855" s="11">
        <f>-'Guarantees provided'!D849</f>
        <v>0</v>
      </c>
      <c r="N855" s="11" t="s">
        <v>55</v>
      </c>
      <c r="O855" s="11">
        <v>0</v>
      </c>
      <c r="P855" s="12" t="s">
        <v>56</v>
      </c>
    </row>
    <row r="856" spans="3:16" ht="23.65" thickBot="1">
      <c r="C856" s="10" t="s">
        <v>51</v>
      </c>
      <c r="D856" s="11">
        <v>849</v>
      </c>
      <c r="E856" s="11" t="s">
        <v>52</v>
      </c>
      <c r="F856" s="11">
        <f>'Guarantees provided'!G850</f>
        <v>0</v>
      </c>
      <c r="G856" s="11">
        <f>'Guarantees provided'!A850</f>
        <v>0</v>
      </c>
      <c r="H856" s="11">
        <f>IF('Guarantees provided'!B850="#",'Guarantees provided'!C850,'Guarantees provided'!B850)</f>
        <v>0</v>
      </c>
      <c r="I856" s="11" t="str">
        <f>IF('Guarantees provided'!B850="#","Type of identifier, other than LEI or MFI code","LEI code")</f>
        <v>LEI code</v>
      </c>
      <c r="J856" s="14" t="str">
        <f>IF(OR('Guarantees provided'!H850="E",'Guarantees provided'!H850="x"),"True","False")</f>
        <v>False</v>
      </c>
      <c r="K856" s="11" t="s">
        <v>53</v>
      </c>
      <c r="L856" s="11" t="s">
        <v>54</v>
      </c>
      <c r="M856" s="11">
        <f>-'Guarantees provided'!D850</f>
        <v>0</v>
      </c>
      <c r="N856" s="11" t="s">
        <v>55</v>
      </c>
      <c r="O856" s="11">
        <v>0</v>
      </c>
      <c r="P856" s="12" t="s">
        <v>56</v>
      </c>
    </row>
    <row r="857" spans="3:16" ht="23.65" thickBot="1">
      <c r="C857" s="10" t="s">
        <v>51</v>
      </c>
      <c r="D857" s="11">
        <v>850</v>
      </c>
      <c r="E857" s="11" t="s">
        <v>52</v>
      </c>
      <c r="F857" s="11">
        <f>'Guarantees provided'!G851</f>
        <v>0</v>
      </c>
      <c r="G857" s="11">
        <f>'Guarantees provided'!A851</f>
        <v>0</v>
      </c>
      <c r="H857" s="11">
        <f>IF('Guarantees provided'!B851="#",'Guarantees provided'!C851,'Guarantees provided'!B851)</f>
        <v>0</v>
      </c>
      <c r="I857" s="11" t="str">
        <f>IF('Guarantees provided'!B851="#","Type of identifier, other than LEI or MFI code","LEI code")</f>
        <v>LEI code</v>
      </c>
      <c r="J857" s="14" t="str">
        <f>IF(OR('Guarantees provided'!H851="E",'Guarantees provided'!H851="x"),"True","False")</f>
        <v>False</v>
      </c>
      <c r="K857" s="11" t="s">
        <v>53</v>
      </c>
      <c r="L857" s="11" t="s">
        <v>54</v>
      </c>
      <c r="M857" s="11">
        <f>-'Guarantees provided'!D851</f>
        <v>0</v>
      </c>
      <c r="N857" s="11" t="s">
        <v>55</v>
      </c>
      <c r="O857" s="11">
        <v>0</v>
      </c>
      <c r="P857" s="12" t="s">
        <v>56</v>
      </c>
    </row>
    <row r="858" spans="3:16" ht="23.65" thickBot="1">
      <c r="C858" s="10" t="s">
        <v>51</v>
      </c>
      <c r="D858" s="11">
        <v>851</v>
      </c>
      <c r="E858" s="11" t="s">
        <v>52</v>
      </c>
      <c r="F858" s="11">
        <f>'Guarantees provided'!G852</f>
        <v>0</v>
      </c>
      <c r="G858" s="11">
        <f>'Guarantees provided'!A852</f>
        <v>0</v>
      </c>
      <c r="H858" s="11">
        <f>IF('Guarantees provided'!B852="#",'Guarantees provided'!C852,'Guarantees provided'!B852)</f>
        <v>0</v>
      </c>
      <c r="I858" s="11" t="str">
        <f>IF('Guarantees provided'!B852="#","Type of identifier, other than LEI or MFI code","LEI code")</f>
        <v>LEI code</v>
      </c>
      <c r="J858" s="14" t="str">
        <f>IF(OR('Guarantees provided'!H852="E",'Guarantees provided'!H852="x"),"True","False")</f>
        <v>False</v>
      </c>
      <c r="K858" s="11" t="s">
        <v>53</v>
      </c>
      <c r="L858" s="11" t="s">
        <v>54</v>
      </c>
      <c r="M858" s="11">
        <f>-'Guarantees provided'!D852</f>
        <v>0</v>
      </c>
      <c r="N858" s="11" t="s">
        <v>55</v>
      </c>
      <c r="O858" s="11">
        <v>0</v>
      </c>
      <c r="P858" s="12" t="s">
        <v>56</v>
      </c>
    </row>
    <row r="859" spans="3:16" ht="23.65" thickBot="1">
      <c r="C859" s="10" t="s">
        <v>51</v>
      </c>
      <c r="D859" s="11">
        <v>852</v>
      </c>
      <c r="E859" s="11" t="s">
        <v>52</v>
      </c>
      <c r="F859" s="11">
        <f>'Guarantees provided'!G853</f>
        <v>0</v>
      </c>
      <c r="G859" s="11">
        <f>'Guarantees provided'!A853</f>
        <v>0</v>
      </c>
      <c r="H859" s="11">
        <f>IF('Guarantees provided'!B853="#",'Guarantees provided'!C853,'Guarantees provided'!B853)</f>
        <v>0</v>
      </c>
      <c r="I859" s="11" t="str">
        <f>IF('Guarantees provided'!B853="#","Type of identifier, other than LEI or MFI code","LEI code")</f>
        <v>LEI code</v>
      </c>
      <c r="J859" s="14" t="str">
        <f>IF(OR('Guarantees provided'!H853="E",'Guarantees provided'!H853="x"),"True","False")</f>
        <v>False</v>
      </c>
      <c r="K859" s="11" t="s">
        <v>53</v>
      </c>
      <c r="L859" s="11" t="s">
        <v>54</v>
      </c>
      <c r="M859" s="11">
        <f>-'Guarantees provided'!D853</f>
        <v>0</v>
      </c>
      <c r="N859" s="11" t="s">
        <v>55</v>
      </c>
      <c r="O859" s="11">
        <v>0</v>
      </c>
      <c r="P859" s="12" t="s">
        <v>56</v>
      </c>
    </row>
    <row r="860" spans="3:16" ht="23.65" thickBot="1">
      <c r="C860" s="10" t="s">
        <v>51</v>
      </c>
      <c r="D860" s="11">
        <v>853</v>
      </c>
      <c r="E860" s="11" t="s">
        <v>52</v>
      </c>
      <c r="F860" s="11">
        <f>'Guarantees provided'!G854</f>
        <v>0</v>
      </c>
      <c r="G860" s="11">
        <f>'Guarantees provided'!A854</f>
        <v>0</v>
      </c>
      <c r="H860" s="11">
        <f>IF('Guarantees provided'!B854="#",'Guarantees provided'!C854,'Guarantees provided'!B854)</f>
        <v>0</v>
      </c>
      <c r="I860" s="11" t="str">
        <f>IF('Guarantees provided'!B854="#","Type of identifier, other than LEI or MFI code","LEI code")</f>
        <v>LEI code</v>
      </c>
      <c r="J860" s="14" t="str">
        <f>IF(OR('Guarantees provided'!H854="E",'Guarantees provided'!H854="x"),"True","False")</f>
        <v>False</v>
      </c>
      <c r="K860" s="11" t="s">
        <v>53</v>
      </c>
      <c r="L860" s="11" t="s">
        <v>54</v>
      </c>
      <c r="M860" s="11">
        <f>-'Guarantees provided'!D854</f>
        <v>0</v>
      </c>
      <c r="N860" s="11" t="s">
        <v>55</v>
      </c>
      <c r="O860" s="11">
        <v>0</v>
      </c>
      <c r="P860" s="12" t="s">
        <v>56</v>
      </c>
    </row>
    <row r="861" spans="3:16" ht="23.65" thickBot="1">
      <c r="C861" s="10" t="s">
        <v>51</v>
      </c>
      <c r="D861" s="11">
        <v>854</v>
      </c>
      <c r="E861" s="11" t="s">
        <v>52</v>
      </c>
      <c r="F861" s="11">
        <f>'Guarantees provided'!G855</f>
        <v>0</v>
      </c>
      <c r="G861" s="11">
        <f>'Guarantees provided'!A855</f>
        <v>0</v>
      </c>
      <c r="H861" s="11">
        <f>IF('Guarantees provided'!B855="#",'Guarantees provided'!C855,'Guarantees provided'!B855)</f>
        <v>0</v>
      </c>
      <c r="I861" s="11" t="str">
        <f>IF('Guarantees provided'!B855="#","Type of identifier, other than LEI or MFI code","LEI code")</f>
        <v>LEI code</v>
      </c>
      <c r="J861" s="14" t="str">
        <f>IF(OR('Guarantees provided'!H855="E",'Guarantees provided'!H855="x"),"True","False")</f>
        <v>False</v>
      </c>
      <c r="K861" s="11" t="s">
        <v>53</v>
      </c>
      <c r="L861" s="11" t="s">
        <v>54</v>
      </c>
      <c r="M861" s="11">
        <f>-'Guarantees provided'!D855</f>
        <v>0</v>
      </c>
      <c r="N861" s="11" t="s">
        <v>55</v>
      </c>
      <c r="O861" s="11">
        <v>0</v>
      </c>
      <c r="P861" s="12" t="s">
        <v>56</v>
      </c>
    </row>
    <row r="862" spans="3:16" ht="23.65" thickBot="1">
      <c r="C862" s="10" t="s">
        <v>51</v>
      </c>
      <c r="D862" s="11">
        <v>855</v>
      </c>
      <c r="E862" s="11" t="s">
        <v>52</v>
      </c>
      <c r="F862" s="11">
        <f>'Guarantees provided'!G856</f>
        <v>0</v>
      </c>
      <c r="G862" s="11">
        <f>'Guarantees provided'!A856</f>
        <v>0</v>
      </c>
      <c r="H862" s="11">
        <f>IF('Guarantees provided'!B856="#",'Guarantees provided'!C856,'Guarantees provided'!B856)</f>
        <v>0</v>
      </c>
      <c r="I862" s="11" t="str">
        <f>IF('Guarantees provided'!B856="#","Type of identifier, other than LEI or MFI code","LEI code")</f>
        <v>LEI code</v>
      </c>
      <c r="J862" s="14" t="str">
        <f>IF(OR('Guarantees provided'!H856="E",'Guarantees provided'!H856="x"),"True","False")</f>
        <v>False</v>
      </c>
      <c r="K862" s="11" t="s">
        <v>53</v>
      </c>
      <c r="L862" s="11" t="s">
        <v>54</v>
      </c>
      <c r="M862" s="11">
        <f>-'Guarantees provided'!D856</f>
        <v>0</v>
      </c>
      <c r="N862" s="11" t="s">
        <v>55</v>
      </c>
      <c r="O862" s="11">
        <v>0</v>
      </c>
      <c r="P862" s="12" t="s">
        <v>56</v>
      </c>
    </row>
    <row r="863" spans="3:16" ht="23.65" thickBot="1">
      <c r="C863" s="10" t="s">
        <v>51</v>
      </c>
      <c r="D863" s="11">
        <v>856</v>
      </c>
      <c r="E863" s="11" t="s">
        <v>52</v>
      </c>
      <c r="F863" s="11">
        <f>'Guarantees provided'!G857</f>
        <v>0</v>
      </c>
      <c r="G863" s="11">
        <f>'Guarantees provided'!A857</f>
        <v>0</v>
      </c>
      <c r="H863" s="11">
        <f>IF('Guarantees provided'!B857="#",'Guarantees provided'!C857,'Guarantees provided'!B857)</f>
        <v>0</v>
      </c>
      <c r="I863" s="11" t="str">
        <f>IF('Guarantees provided'!B857="#","Type of identifier, other than LEI or MFI code","LEI code")</f>
        <v>LEI code</v>
      </c>
      <c r="J863" s="14" t="str">
        <f>IF(OR('Guarantees provided'!H857="E",'Guarantees provided'!H857="x"),"True","False")</f>
        <v>False</v>
      </c>
      <c r="K863" s="11" t="s">
        <v>53</v>
      </c>
      <c r="L863" s="11" t="s">
        <v>54</v>
      </c>
      <c r="M863" s="11">
        <f>-'Guarantees provided'!D857</f>
        <v>0</v>
      </c>
      <c r="N863" s="11" t="s">
        <v>55</v>
      </c>
      <c r="O863" s="11">
        <v>0</v>
      </c>
      <c r="P863" s="12" t="s">
        <v>56</v>
      </c>
    </row>
    <row r="864" spans="3:16" ht="23.65" thickBot="1">
      <c r="C864" s="10" t="s">
        <v>51</v>
      </c>
      <c r="D864" s="11">
        <v>857</v>
      </c>
      <c r="E864" s="11" t="s">
        <v>52</v>
      </c>
      <c r="F864" s="11">
        <f>'Guarantees provided'!G858</f>
        <v>0</v>
      </c>
      <c r="G864" s="11">
        <f>'Guarantees provided'!A858</f>
        <v>0</v>
      </c>
      <c r="H864" s="11">
        <f>IF('Guarantees provided'!B858="#",'Guarantees provided'!C858,'Guarantees provided'!B858)</f>
        <v>0</v>
      </c>
      <c r="I864" s="11" t="str">
        <f>IF('Guarantees provided'!B858="#","Type of identifier, other than LEI or MFI code","LEI code")</f>
        <v>LEI code</v>
      </c>
      <c r="J864" s="14" t="str">
        <f>IF(OR('Guarantees provided'!H858="E",'Guarantees provided'!H858="x"),"True","False")</f>
        <v>False</v>
      </c>
      <c r="K864" s="11" t="s">
        <v>53</v>
      </c>
      <c r="L864" s="11" t="s">
        <v>54</v>
      </c>
      <c r="M864" s="11">
        <f>-'Guarantees provided'!D858</f>
        <v>0</v>
      </c>
      <c r="N864" s="11" t="s">
        <v>55</v>
      </c>
      <c r="O864" s="11">
        <v>0</v>
      </c>
      <c r="P864" s="12" t="s">
        <v>56</v>
      </c>
    </row>
    <row r="865" spans="3:16" ht="23.65" thickBot="1">
      <c r="C865" s="10" t="s">
        <v>51</v>
      </c>
      <c r="D865" s="11">
        <v>858</v>
      </c>
      <c r="E865" s="11" t="s">
        <v>52</v>
      </c>
      <c r="F865" s="11">
        <f>'Guarantees provided'!G859</f>
        <v>0</v>
      </c>
      <c r="G865" s="11">
        <f>'Guarantees provided'!A859</f>
        <v>0</v>
      </c>
      <c r="H865" s="11">
        <f>IF('Guarantees provided'!B859="#",'Guarantees provided'!C859,'Guarantees provided'!B859)</f>
        <v>0</v>
      </c>
      <c r="I865" s="11" t="str">
        <f>IF('Guarantees provided'!B859="#","Type of identifier, other than LEI or MFI code","LEI code")</f>
        <v>LEI code</v>
      </c>
      <c r="J865" s="14" t="str">
        <f>IF(OR('Guarantees provided'!H859="E",'Guarantees provided'!H859="x"),"True","False")</f>
        <v>False</v>
      </c>
      <c r="K865" s="11" t="s">
        <v>53</v>
      </c>
      <c r="L865" s="11" t="s">
        <v>54</v>
      </c>
      <c r="M865" s="11">
        <f>-'Guarantees provided'!D859</f>
        <v>0</v>
      </c>
      <c r="N865" s="11" t="s">
        <v>55</v>
      </c>
      <c r="O865" s="11">
        <v>0</v>
      </c>
      <c r="P865" s="12" t="s">
        <v>56</v>
      </c>
    </row>
    <row r="866" spans="3:16" ht="23.65" thickBot="1">
      <c r="C866" s="10" t="s">
        <v>51</v>
      </c>
      <c r="D866" s="11">
        <v>859</v>
      </c>
      <c r="E866" s="11" t="s">
        <v>52</v>
      </c>
      <c r="F866" s="11">
        <f>'Guarantees provided'!G860</f>
        <v>0</v>
      </c>
      <c r="G866" s="11">
        <f>'Guarantees provided'!A860</f>
        <v>0</v>
      </c>
      <c r="H866" s="11">
        <f>IF('Guarantees provided'!B860="#",'Guarantees provided'!C860,'Guarantees provided'!B860)</f>
        <v>0</v>
      </c>
      <c r="I866" s="11" t="str">
        <f>IF('Guarantees provided'!B860="#","Type of identifier, other than LEI or MFI code","LEI code")</f>
        <v>LEI code</v>
      </c>
      <c r="J866" s="14" t="str">
        <f>IF(OR('Guarantees provided'!H860="E",'Guarantees provided'!H860="x"),"True","False")</f>
        <v>False</v>
      </c>
      <c r="K866" s="11" t="s">
        <v>53</v>
      </c>
      <c r="L866" s="11" t="s">
        <v>54</v>
      </c>
      <c r="M866" s="11">
        <f>-'Guarantees provided'!D860</f>
        <v>0</v>
      </c>
      <c r="N866" s="11" t="s">
        <v>55</v>
      </c>
      <c r="O866" s="11">
        <v>0</v>
      </c>
      <c r="P866" s="12" t="s">
        <v>56</v>
      </c>
    </row>
    <row r="867" spans="3:16" ht="23.65" thickBot="1">
      <c r="C867" s="10" t="s">
        <v>51</v>
      </c>
      <c r="D867" s="11">
        <v>860</v>
      </c>
      <c r="E867" s="11" t="s">
        <v>52</v>
      </c>
      <c r="F867" s="11">
        <f>'Guarantees provided'!G861</f>
        <v>0</v>
      </c>
      <c r="G867" s="11">
        <f>'Guarantees provided'!A861</f>
        <v>0</v>
      </c>
      <c r="H867" s="11">
        <f>IF('Guarantees provided'!B861="#",'Guarantees provided'!C861,'Guarantees provided'!B861)</f>
        <v>0</v>
      </c>
      <c r="I867" s="11" t="str">
        <f>IF('Guarantees provided'!B861="#","Type of identifier, other than LEI or MFI code","LEI code")</f>
        <v>LEI code</v>
      </c>
      <c r="J867" s="14" t="str">
        <f>IF(OR('Guarantees provided'!H861="E",'Guarantees provided'!H861="x"),"True","False")</f>
        <v>False</v>
      </c>
      <c r="K867" s="11" t="s">
        <v>53</v>
      </c>
      <c r="L867" s="11" t="s">
        <v>54</v>
      </c>
      <c r="M867" s="11">
        <f>-'Guarantees provided'!D861</f>
        <v>0</v>
      </c>
      <c r="N867" s="11" t="s">
        <v>55</v>
      </c>
      <c r="O867" s="11">
        <v>0</v>
      </c>
      <c r="P867" s="12" t="s">
        <v>56</v>
      </c>
    </row>
    <row r="868" spans="3:16" ht="23.65" thickBot="1">
      <c r="C868" s="10" t="s">
        <v>51</v>
      </c>
      <c r="D868" s="11">
        <v>861</v>
      </c>
      <c r="E868" s="11" t="s">
        <v>52</v>
      </c>
      <c r="F868" s="11">
        <f>'Guarantees provided'!G862</f>
        <v>0</v>
      </c>
      <c r="G868" s="11">
        <f>'Guarantees provided'!A862</f>
        <v>0</v>
      </c>
      <c r="H868" s="11">
        <f>IF('Guarantees provided'!B862="#",'Guarantees provided'!C862,'Guarantees provided'!B862)</f>
        <v>0</v>
      </c>
      <c r="I868" s="11" t="str">
        <f>IF('Guarantees provided'!B862="#","Type of identifier, other than LEI or MFI code","LEI code")</f>
        <v>LEI code</v>
      </c>
      <c r="J868" s="14" t="str">
        <f>IF(OR('Guarantees provided'!H862="E",'Guarantees provided'!H862="x"),"True","False")</f>
        <v>False</v>
      </c>
      <c r="K868" s="11" t="s">
        <v>53</v>
      </c>
      <c r="L868" s="11" t="s">
        <v>54</v>
      </c>
      <c r="M868" s="11">
        <f>-'Guarantees provided'!D862</f>
        <v>0</v>
      </c>
      <c r="N868" s="11" t="s">
        <v>55</v>
      </c>
      <c r="O868" s="11">
        <v>0</v>
      </c>
      <c r="P868" s="12" t="s">
        <v>56</v>
      </c>
    </row>
    <row r="869" spans="3:16" ht="23.65" thickBot="1">
      <c r="C869" s="10" t="s">
        <v>51</v>
      </c>
      <c r="D869" s="11">
        <v>862</v>
      </c>
      <c r="E869" s="11" t="s">
        <v>52</v>
      </c>
      <c r="F869" s="11">
        <f>'Guarantees provided'!G863</f>
        <v>0</v>
      </c>
      <c r="G869" s="11">
        <f>'Guarantees provided'!A863</f>
        <v>0</v>
      </c>
      <c r="H869" s="11">
        <f>IF('Guarantees provided'!B863="#",'Guarantees provided'!C863,'Guarantees provided'!B863)</f>
        <v>0</v>
      </c>
      <c r="I869" s="11" t="str">
        <f>IF('Guarantees provided'!B863="#","Type of identifier, other than LEI or MFI code","LEI code")</f>
        <v>LEI code</v>
      </c>
      <c r="J869" s="14" t="str">
        <f>IF(OR('Guarantees provided'!H863="E",'Guarantees provided'!H863="x"),"True","False")</f>
        <v>False</v>
      </c>
      <c r="K869" s="11" t="s">
        <v>53</v>
      </c>
      <c r="L869" s="11" t="s">
        <v>54</v>
      </c>
      <c r="M869" s="11">
        <f>-'Guarantees provided'!D863</f>
        <v>0</v>
      </c>
      <c r="N869" s="11" t="s">
        <v>55</v>
      </c>
      <c r="O869" s="11">
        <v>0</v>
      </c>
      <c r="P869" s="12" t="s">
        <v>56</v>
      </c>
    </row>
    <row r="870" spans="3:16" ht="23.65" thickBot="1">
      <c r="C870" s="10" t="s">
        <v>51</v>
      </c>
      <c r="D870" s="11">
        <v>863</v>
      </c>
      <c r="E870" s="11" t="s">
        <v>52</v>
      </c>
      <c r="F870" s="11">
        <f>'Guarantees provided'!G864</f>
        <v>0</v>
      </c>
      <c r="G870" s="11">
        <f>'Guarantees provided'!A864</f>
        <v>0</v>
      </c>
      <c r="H870" s="11">
        <f>IF('Guarantees provided'!B864="#",'Guarantees provided'!C864,'Guarantees provided'!B864)</f>
        <v>0</v>
      </c>
      <c r="I870" s="11" t="str">
        <f>IF('Guarantees provided'!B864="#","Type of identifier, other than LEI or MFI code","LEI code")</f>
        <v>LEI code</v>
      </c>
      <c r="J870" s="14" t="str">
        <f>IF(OR('Guarantees provided'!H864="E",'Guarantees provided'!H864="x"),"True","False")</f>
        <v>False</v>
      </c>
      <c r="K870" s="11" t="s">
        <v>53</v>
      </c>
      <c r="L870" s="11" t="s">
        <v>54</v>
      </c>
      <c r="M870" s="11">
        <f>-'Guarantees provided'!D864</f>
        <v>0</v>
      </c>
      <c r="N870" s="11" t="s">
        <v>55</v>
      </c>
      <c r="O870" s="11">
        <v>0</v>
      </c>
      <c r="P870" s="12" t="s">
        <v>56</v>
      </c>
    </row>
    <row r="871" spans="3:16" ht="23.65" thickBot="1">
      <c r="C871" s="10" t="s">
        <v>51</v>
      </c>
      <c r="D871" s="11">
        <v>864</v>
      </c>
      <c r="E871" s="11" t="s">
        <v>52</v>
      </c>
      <c r="F871" s="11">
        <f>'Guarantees provided'!G865</f>
        <v>0</v>
      </c>
      <c r="G871" s="11">
        <f>'Guarantees provided'!A865</f>
        <v>0</v>
      </c>
      <c r="H871" s="11">
        <f>IF('Guarantees provided'!B865="#",'Guarantees provided'!C865,'Guarantees provided'!B865)</f>
        <v>0</v>
      </c>
      <c r="I871" s="11" t="str">
        <f>IF('Guarantees provided'!B865="#","Type of identifier, other than LEI or MFI code","LEI code")</f>
        <v>LEI code</v>
      </c>
      <c r="J871" s="14" t="str">
        <f>IF(OR('Guarantees provided'!H865="E",'Guarantees provided'!H865="x"),"True","False")</f>
        <v>False</v>
      </c>
      <c r="K871" s="11" t="s">
        <v>53</v>
      </c>
      <c r="L871" s="11" t="s">
        <v>54</v>
      </c>
      <c r="M871" s="11">
        <f>-'Guarantees provided'!D865</f>
        <v>0</v>
      </c>
      <c r="N871" s="11" t="s">
        <v>55</v>
      </c>
      <c r="O871" s="11">
        <v>0</v>
      </c>
      <c r="P871" s="12" t="s">
        <v>56</v>
      </c>
    </row>
    <row r="872" spans="3:16" ht="23.65" thickBot="1">
      <c r="C872" s="10" t="s">
        <v>51</v>
      </c>
      <c r="D872" s="11">
        <v>865</v>
      </c>
      <c r="E872" s="11" t="s">
        <v>52</v>
      </c>
      <c r="F872" s="11">
        <f>'Guarantees provided'!G866</f>
        <v>0</v>
      </c>
      <c r="G872" s="11">
        <f>'Guarantees provided'!A866</f>
        <v>0</v>
      </c>
      <c r="H872" s="11">
        <f>IF('Guarantees provided'!B866="#",'Guarantees provided'!C866,'Guarantees provided'!B866)</f>
        <v>0</v>
      </c>
      <c r="I872" s="11" t="str">
        <f>IF('Guarantees provided'!B866="#","Type of identifier, other than LEI or MFI code","LEI code")</f>
        <v>LEI code</v>
      </c>
      <c r="J872" s="14" t="str">
        <f>IF(OR('Guarantees provided'!H866="E",'Guarantees provided'!H866="x"),"True","False")</f>
        <v>False</v>
      </c>
      <c r="K872" s="11" t="s">
        <v>53</v>
      </c>
      <c r="L872" s="11" t="s">
        <v>54</v>
      </c>
      <c r="M872" s="11">
        <f>-'Guarantees provided'!D866</f>
        <v>0</v>
      </c>
      <c r="N872" s="11" t="s">
        <v>55</v>
      </c>
      <c r="O872" s="11">
        <v>0</v>
      </c>
      <c r="P872" s="12" t="s">
        <v>56</v>
      </c>
    </row>
    <row r="873" spans="3:16" ht="23.65" thickBot="1">
      <c r="C873" s="10" t="s">
        <v>51</v>
      </c>
      <c r="D873" s="11">
        <v>866</v>
      </c>
      <c r="E873" s="11" t="s">
        <v>52</v>
      </c>
      <c r="F873" s="11">
        <f>'Guarantees provided'!G867</f>
        <v>0</v>
      </c>
      <c r="G873" s="11">
        <f>'Guarantees provided'!A867</f>
        <v>0</v>
      </c>
      <c r="H873" s="11">
        <f>IF('Guarantees provided'!B867="#",'Guarantees provided'!C867,'Guarantees provided'!B867)</f>
        <v>0</v>
      </c>
      <c r="I873" s="11" t="str">
        <f>IF('Guarantees provided'!B867="#","Type of identifier, other than LEI or MFI code","LEI code")</f>
        <v>LEI code</v>
      </c>
      <c r="J873" s="14" t="str">
        <f>IF(OR('Guarantees provided'!H867="E",'Guarantees provided'!H867="x"),"True","False")</f>
        <v>False</v>
      </c>
      <c r="K873" s="11" t="s">
        <v>53</v>
      </c>
      <c r="L873" s="11" t="s">
        <v>54</v>
      </c>
      <c r="M873" s="11">
        <f>-'Guarantees provided'!D867</f>
        <v>0</v>
      </c>
      <c r="N873" s="11" t="s">
        <v>55</v>
      </c>
      <c r="O873" s="11">
        <v>0</v>
      </c>
      <c r="P873" s="12" t="s">
        <v>56</v>
      </c>
    </row>
    <row r="874" spans="3:16" ht="23.65" thickBot="1">
      <c r="C874" s="10" t="s">
        <v>51</v>
      </c>
      <c r="D874" s="11">
        <v>867</v>
      </c>
      <c r="E874" s="11" t="s">
        <v>52</v>
      </c>
      <c r="F874" s="11">
        <f>'Guarantees provided'!G868</f>
        <v>0</v>
      </c>
      <c r="G874" s="11">
        <f>'Guarantees provided'!A868</f>
        <v>0</v>
      </c>
      <c r="H874" s="11">
        <f>IF('Guarantees provided'!B868="#",'Guarantees provided'!C868,'Guarantees provided'!B868)</f>
        <v>0</v>
      </c>
      <c r="I874" s="11" t="str">
        <f>IF('Guarantees provided'!B868="#","Type of identifier, other than LEI or MFI code","LEI code")</f>
        <v>LEI code</v>
      </c>
      <c r="J874" s="14" t="str">
        <f>IF(OR('Guarantees provided'!H868="E",'Guarantees provided'!H868="x"),"True","False")</f>
        <v>False</v>
      </c>
      <c r="K874" s="11" t="s">
        <v>53</v>
      </c>
      <c r="L874" s="11" t="s">
        <v>54</v>
      </c>
      <c r="M874" s="11">
        <f>-'Guarantees provided'!D868</f>
        <v>0</v>
      </c>
      <c r="N874" s="11" t="s">
        <v>55</v>
      </c>
      <c r="O874" s="11">
        <v>0</v>
      </c>
      <c r="P874" s="12" t="s">
        <v>56</v>
      </c>
    </row>
    <row r="875" spans="3:16" ht="23.65" thickBot="1">
      <c r="C875" s="10" t="s">
        <v>51</v>
      </c>
      <c r="D875" s="11">
        <v>868</v>
      </c>
      <c r="E875" s="11" t="s">
        <v>52</v>
      </c>
      <c r="F875" s="11">
        <f>'Guarantees provided'!G869</f>
        <v>0</v>
      </c>
      <c r="G875" s="11">
        <f>'Guarantees provided'!A869</f>
        <v>0</v>
      </c>
      <c r="H875" s="11">
        <f>IF('Guarantees provided'!B869="#",'Guarantees provided'!C869,'Guarantees provided'!B869)</f>
        <v>0</v>
      </c>
      <c r="I875" s="11" t="str">
        <f>IF('Guarantees provided'!B869="#","Type of identifier, other than LEI or MFI code","LEI code")</f>
        <v>LEI code</v>
      </c>
      <c r="J875" s="14" t="str">
        <f>IF(OR('Guarantees provided'!H869="E",'Guarantees provided'!H869="x"),"True","False")</f>
        <v>False</v>
      </c>
      <c r="K875" s="11" t="s">
        <v>53</v>
      </c>
      <c r="L875" s="11" t="s">
        <v>54</v>
      </c>
      <c r="M875" s="11">
        <f>-'Guarantees provided'!D869</f>
        <v>0</v>
      </c>
      <c r="N875" s="11" t="s">
        <v>55</v>
      </c>
      <c r="O875" s="11">
        <v>0</v>
      </c>
      <c r="P875" s="12" t="s">
        <v>56</v>
      </c>
    </row>
    <row r="876" spans="3:16" ht="23.65" thickBot="1">
      <c r="C876" s="10" t="s">
        <v>51</v>
      </c>
      <c r="D876" s="11">
        <v>869</v>
      </c>
      <c r="E876" s="11" t="s">
        <v>52</v>
      </c>
      <c r="F876" s="11">
        <f>'Guarantees provided'!G870</f>
        <v>0</v>
      </c>
      <c r="G876" s="11">
        <f>'Guarantees provided'!A870</f>
        <v>0</v>
      </c>
      <c r="H876" s="11">
        <f>IF('Guarantees provided'!B870="#",'Guarantees provided'!C870,'Guarantees provided'!B870)</f>
        <v>0</v>
      </c>
      <c r="I876" s="11" t="str">
        <f>IF('Guarantees provided'!B870="#","Type of identifier, other than LEI or MFI code","LEI code")</f>
        <v>LEI code</v>
      </c>
      <c r="J876" s="14" t="str">
        <f>IF(OR('Guarantees provided'!H870="E",'Guarantees provided'!H870="x"),"True","False")</f>
        <v>False</v>
      </c>
      <c r="K876" s="11" t="s">
        <v>53</v>
      </c>
      <c r="L876" s="11" t="s">
        <v>54</v>
      </c>
      <c r="M876" s="11">
        <f>-'Guarantees provided'!D870</f>
        <v>0</v>
      </c>
      <c r="N876" s="11" t="s">
        <v>55</v>
      </c>
      <c r="O876" s="11">
        <v>0</v>
      </c>
      <c r="P876" s="12" t="s">
        <v>56</v>
      </c>
    </row>
    <row r="877" spans="3:16" ht="23.65" thickBot="1">
      <c r="C877" s="10" t="s">
        <v>51</v>
      </c>
      <c r="D877" s="11">
        <v>870</v>
      </c>
      <c r="E877" s="11" t="s">
        <v>52</v>
      </c>
      <c r="F877" s="11">
        <f>'Guarantees provided'!G871</f>
        <v>0</v>
      </c>
      <c r="G877" s="11">
        <f>'Guarantees provided'!A871</f>
        <v>0</v>
      </c>
      <c r="H877" s="11">
        <f>IF('Guarantees provided'!B871="#",'Guarantees provided'!C871,'Guarantees provided'!B871)</f>
        <v>0</v>
      </c>
      <c r="I877" s="11" t="str">
        <f>IF('Guarantees provided'!B871="#","Type of identifier, other than LEI or MFI code","LEI code")</f>
        <v>LEI code</v>
      </c>
      <c r="J877" s="14" t="str">
        <f>IF(OR('Guarantees provided'!H871="E",'Guarantees provided'!H871="x"),"True","False")</f>
        <v>False</v>
      </c>
      <c r="K877" s="11" t="s">
        <v>53</v>
      </c>
      <c r="L877" s="11" t="s">
        <v>54</v>
      </c>
      <c r="M877" s="11">
        <f>-'Guarantees provided'!D871</f>
        <v>0</v>
      </c>
      <c r="N877" s="11" t="s">
        <v>55</v>
      </c>
      <c r="O877" s="11">
        <v>0</v>
      </c>
      <c r="P877" s="12" t="s">
        <v>56</v>
      </c>
    </row>
    <row r="878" spans="3:16" ht="23.65" thickBot="1">
      <c r="C878" s="10" t="s">
        <v>51</v>
      </c>
      <c r="D878" s="11">
        <v>871</v>
      </c>
      <c r="E878" s="11" t="s">
        <v>52</v>
      </c>
      <c r="F878" s="11">
        <f>'Guarantees provided'!G872</f>
        <v>0</v>
      </c>
      <c r="G878" s="11">
        <f>'Guarantees provided'!A872</f>
        <v>0</v>
      </c>
      <c r="H878" s="11">
        <f>IF('Guarantees provided'!B872="#",'Guarantees provided'!C872,'Guarantees provided'!B872)</f>
        <v>0</v>
      </c>
      <c r="I878" s="11" t="str">
        <f>IF('Guarantees provided'!B872="#","Type of identifier, other than LEI or MFI code","LEI code")</f>
        <v>LEI code</v>
      </c>
      <c r="J878" s="14" t="str">
        <f>IF(OR('Guarantees provided'!H872="E",'Guarantees provided'!H872="x"),"True","False")</f>
        <v>False</v>
      </c>
      <c r="K878" s="11" t="s">
        <v>53</v>
      </c>
      <c r="L878" s="11" t="s">
        <v>54</v>
      </c>
      <c r="M878" s="11">
        <f>-'Guarantees provided'!D872</f>
        <v>0</v>
      </c>
      <c r="N878" s="11" t="s">
        <v>55</v>
      </c>
      <c r="O878" s="11">
        <v>0</v>
      </c>
      <c r="P878" s="12" t="s">
        <v>56</v>
      </c>
    </row>
    <row r="879" spans="3:16" ht="23.65" thickBot="1">
      <c r="C879" s="10" t="s">
        <v>51</v>
      </c>
      <c r="D879" s="11">
        <v>872</v>
      </c>
      <c r="E879" s="11" t="s">
        <v>52</v>
      </c>
      <c r="F879" s="11">
        <f>'Guarantees provided'!G873</f>
        <v>0</v>
      </c>
      <c r="G879" s="11">
        <f>'Guarantees provided'!A873</f>
        <v>0</v>
      </c>
      <c r="H879" s="11">
        <f>IF('Guarantees provided'!B873="#",'Guarantees provided'!C873,'Guarantees provided'!B873)</f>
        <v>0</v>
      </c>
      <c r="I879" s="11" t="str">
        <f>IF('Guarantees provided'!B873="#","Type of identifier, other than LEI or MFI code","LEI code")</f>
        <v>LEI code</v>
      </c>
      <c r="J879" s="14" t="str">
        <f>IF(OR('Guarantees provided'!H873="E",'Guarantees provided'!H873="x"),"True","False")</f>
        <v>False</v>
      </c>
      <c r="K879" s="11" t="s">
        <v>53</v>
      </c>
      <c r="L879" s="11" t="s">
        <v>54</v>
      </c>
      <c r="M879" s="11">
        <f>-'Guarantees provided'!D873</f>
        <v>0</v>
      </c>
      <c r="N879" s="11" t="s">
        <v>55</v>
      </c>
      <c r="O879" s="11">
        <v>0</v>
      </c>
      <c r="P879" s="12" t="s">
        <v>56</v>
      </c>
    </row>
    <row r="880" spans="3:16" ht="23.65" thickBot="1">
      <c r="C880" s="10" t="s">
        <v>51</v>
      </c>
      <c r="D880" s="11">
        <v>873</v>
      </c>
      <c r="E880" s="11" t="s">
        <v>52</v>
      </c>
      <c r="F880" s="11">
        <f>'Guarantees provided'!G874</f>
        <v>0</v>
      </c>
      <c r="G880" s="11">
        <f>'Guarantees provided'!A874</f>
        <v>0</v>
      </c>
      <c r="H880" s="11">
        <f>IF('Guarantees provided'!B874="#",'Guarantees provided'!C874,'Guarantees provided'!B874)</f>
        <v>0</v>
      </c>
      <c r="I880" s="11" t="str">
        <f>IF('Guarantees provided'!B874="#","Type of identifier, other than LEI or MFI code","LEI code")</f>
        <v>LEI code</v>
      </c>
      <c r="J880" s="14" t="str">
        <f>IF(OR('Guarantees provided'!H874="E",'Guarantees provided'!H874="x"),"True","False")</f>
        <v>False</v>
      </c>
      <c r="K880" s="11" t="s">
        <v>53</v>
      </c>
      <c r="L880" s="11" t="s">
        <v>54</v>
      </c>
      <c r="M880" s="11">
        <f>-'Guarantees provided'!D874</f>
        <v>0</v>
      </c>
      <c r="N880" s="11" t="s">
        <v>55</v>
      </c>
      <c r="O880" s="11">
        <v>0</v>
      </c>
      <c r="P880" s="12" t="s">
        <v>56</v>
      </c>
    </row>
    <row r="881" spans="3:16" ht="23.65" thickBot="1">
      <c r="C881" s="10" t="s">
        <v>51</v>
      </c>
      <c r="D881" s="11">
        <v>874</v>
      </c>
      <c r="E881" s="11" t="s">
        <v>52</v>
      </c>
      <c r="F881" s="11">
        <f>'Guarantees provided'!G875</f>
        <v>0</v>
      </c>
      <c r="G881" s="11">
        <f>'Guarantees provided'!A875</f>
        <v>0</v>
      </c>
      <c r="H881" s="11">
        <f>IF('Guarantees provided'!B875="#",'Guarantees provided'!C875,'Guarantees provided'!B875)</f>
        <v>0</v>
      </c>
      <c r="I881" s="11" t="str">
        <f>IF('Guarantees provided'!B875="#","Type of identifier, other than LEI or MFI code","LEI code")</f>
        <v>LEI code</v>
      </c>
      <c r="J881" s="14" t="str">
        <f>IF(OR('Guarantees provided'!H875="E",'Guarantees provided'!H875="x"),"True","False")</f>
        <v>False</v>
      </c>
      <c r="K881" s="11" t="s">
        <v>53</v>
      </c>
      <c r="L881" s="11" t="s">
        <v>54</v>
      </c>
      <c r="M881" s="11">
        <f>-'Guarantees provided'!D875</f>
        <v>0</v>
      </c>
      <c r="N881" s="11" t="s">
        <v>55</v>
      </c>
      <c r="O881" s="11">
        <v>0</v>
      </c>
      <c r="P881" s="12" t="s">
        <v>56</v>
      </c>
    </row>
    <row r="882" spans="3:16" ht="23.65" thickBot="1">
      <c r="C882" s="10" t="s">
        <v>51</v>
      </c>
      <c r="D882" s="11">
        <v>875</v>
      </c>
      <c r="E882" s="11" t="s">
        <v>52</v>
      </c>
      <c r="F882" s="11">
        <f>'Guarantees provided'!G876</f>
        <v>0</v>
      </c>
      <c r="G882" s="11">
        <f>'Guarantees provided'!A876</f>
        <v>0</v>
      </c>
      <c r="H882" s="11">
        <f>IF('Guarantees provided'!B876="#",'Guarantees provided'!C876,'Guarantees provided'!B876)</f>
        <v>0</v>
      </c>
      <c r="I882" s="11" t="str">
        <f>IF('Guarantees provided'!B876="#","Type of identifier, other than LEI or MFI code","LEI code")</f>
        <v>LEI code</v>
      </c>
      <c r="J882" s="14" t="str">
        <f>IF(OR('Guarantees provided'!H876="E",'Guarantees provided'!H876="x"),"True","False")</f>
        <v>False</v>
      </c>
      <c r="K882" s="11" t="s">
        <v>53</v>
      </c>
      <c r="L882" s="11" t="s">
        <v>54</v>
      </c>
      <c r="M882" s="11">
        <f>-'Guarantees provided'!D876</f>
        <v>0</v>
      </c>
      <c r="N882" s="11" t="s">
        <v>55</v>
      </c>
      <c r="O882" s="11">
        <v>0</v>
      </c>
      <c r="P882" s="12" t="s">
        <v>56</v>
      </c>
    </row>
    <row r="883" spans="3:16" ht="23.65" thickBot="1">
      <c r="C883" s="10" t="s">
        <v>51</v>
      </c>
      <c r="D883" s="11">
        <v>876</v>
      </c>
      <c r="E883" s="11" t="s">
        <v>52</v>
      </c>
      <c r="F883" s="11">
        <f>'Guarantees provided'!G877</f>
        <v>0</v>
      </c>
      <c r="G883" s="11">
        <f>'Guarantees provided'!A877</f>
        <v>0</v>
      </c>
      <c r="H883" s="11">
        <f>IF('Guarantees provided'!B877="#",'Guarantees provided'!C877,'Guarantees provided'!B877)</f>
        <v>0</v>
      </c>
      <c r="I883" s="11" t="str">
        <f>IF('Guarantees provided'!B877="#","Type of identifier, other than LEI or MFI code","LEI code")</f>
        <v>LEI code</v>
      </c>
      <c r="J883" s="14" t="str">
        <f>IF(OR('Guarantees provided'!H877="E",'Guarantees provided'!H877="x"),"True","False")</f>
        <v>False</v>
      </c>
      <c r="K883" s="11" t="s">
        <v>53</v>
      </c>
      <c r="L883" s="11" t="s">
        <v>54</v>
      </c>
      <c r="M883" s="11">
        <f>-'Guarantees provided'!D877</f>
        <v>0</v>
      </c>
      <c r="N883" s="11" t="s">
        <v>55</v>
      </c>
      <c r="O883" s="11">
        <v>0</v>
      </c>
      <c r="P883" s="12" t="s">
        <v>56</v>
      </c>
    </row>
    <row r="884" spans="3:16" ht="23.65" thickBot="1">
      <c r="C884" s="10" t="s">
        <v>51</v>
      </c>
      <c r="D884" s="11">
        <v>877</v>
      </c>
      <c r="E884" s="11" t="s">
        <v>52</v>
      </c>
      <c r="F884" s="11">
        <f>'Guarantees provided'!G878</f>
        <v>0</v>
      </c>
      <c r="G884" s="11">
        <f>'Guarantees provided'!A878</f>
        <v>0</v>
      </c>
      <c r="H884" s="11">
        <f>IF('Guarantees provided'!B878="#",'Guarantees provided'!C878,'Guarantees provided'!B878)</f>
        <v>0</v>
      </c>
      <c r="I884" s="11" t="str">
        <f>IF('Guarantees provided'!B878="#","Type of identifier, other than LEI or MFI code","LEI code")</f>
        <v>LEI code</v>
      </c>
      <c r="J884" s="14" t="str">
        <f>IF(OR('Guarantees provided'!H878="E",'Guarantees provided'!H878="x"),"True","False")</f>
        <v>False</v>
      </c>
      <c r="K884" s="11" t="s">
        <v>53</v>
      </c>
      <c r="L884" s="11" t="s">
        <v>54</v>
      </c>
      <c r="M884" s="11">
        <f>-'Guarantees provided'!D878</f>
        <v>0</v>
      </c>
      <c r="N884" s="11" t="s">
        <v>55</v>
      </c>
      <c r="O884" s="11">
        <v>0</v>
      </c>
      <c r="P884" s="12" t="s">
        <v>56</v>
      </c>
    </row>
    <row r="885" spans="3:16" ht="23.65" thickBot="1">
      <c r="C885" s="10" t="s">
        <v>51</v>
      </c>
      <c r="D885" s="11">
        <v>878</v>
      </c>
      <c r="E885" s="11" t="s">
        <v>52</v>
      </c>
      <c r="F885" s="11">
        <f>'Guarantees provided'!G879</f>
        <v>0</v>
      </c>
      <c r="G885" s="11">
        <f>'Guarantees provided'!A879</f>
        <v>0</v>
      </c>
      <c r="H885" s="11">
        <f>IF('Guarantees provided'!B879="#",'Guarantees provided'!C879,'Guarantees provided'!B879)</f>
        <v>0</v>
      </c>
      <c r="I885" s="11" t="str">
        <f>IF('Guarantees provided'!B879="#","Type of identifier, other than LEI or MFI code","LEI code")</f>
        <v>LEI code</v>
      </c>
      <c r="J885" s="14" t="str">
        <f>IF(OR('Guarantees provided'!H879="E",'Guarantees provided'!H879="x"),"True","False")</f>
        <v>False</v>
      </c>
      <c r="K885" s="11" t="s">
        <v>53</v>
      </c>
      <c r="L885" s="11" t="s">
        <v>54</v>
      </c>
      <c r="M885" s="11">
        <f>-'Guarantees provided'!D879</f>
        <v>0</v>
      </c>
      <c r="N885" s="11" t="s">
        <v>55</v>
      </c>
      <c r="O885" s="11">
        <v>0</v>
      </c>
      <c r="P885" s="12" t="s">
        <v>56</v>
      </c>
    </row>
    <row r="886" spans="3:16" ht="23.65" thickBot="1">
      <c r="C886" s="10" t="s">
        <v>51</v>
      </c>
      <c r="D886" s="11">
        <v>879</v>
      </c>
      <c r="E886" s="11" t="s">
        <v>52</v>
      </c>
      <c r="F886" s="11">
        <f>'Guarantees provided'!G880</f>
        <v>0</v>
      </c>
      <c r="G886" s="11">
        <f>'Guarantees provided'!A880</f>
        <v>0</v>
      </c>
      <c r="H886" s="11">
        <f>IF('Guarantees provided'!B880="#",'Guarantees provided'!C880,'Guarantees provided'!B880)</f>
        <v>0</v>
      </c>
      <c r="I886" s="11" t="str">
        <f>IF('Guarantees provided'!B880="#","Type of identifier, other than LEI or MFI code","LEI code")</f>
        <v>LEI code</v>
      </c>
      <c r="J886" s="14" t="str">
        <f>IF(OR('Guarantees provided'!H880="E",'Guarantees provided'!H880="x"),"True","False")</f>
        <v>False</v>
      </c>
      <c r="K886" s="11" t="s">
        <v>53</v>
      </c>
      <c r="L886" s="11" t="s">
        <v>54</v>
      </c>
      <c r="M886" s="11">
        <f>-'Guarantees provided'!D880</f>
        <v>0</v>
      </c>
      <c r="N886" s="11" t="s">
        <v>55</v>
      </c>
      <c r="O886" s="11">
        <v>0</v>
      </c>
      <c r="P886" s="12" t="s">
        <v>56</v>
      </c>
    </row>
    <row r="887" spans="3:16" ht="23.65" thickBot="1">
      <c r="C887" s="10" t="s">
        <v>51</v>
      </c>
      <c r="D887" s="11">
        <v>880</v>
      </c>
      <c r="E887" s="11" t="s">
        <v>52</v>
      </c>
      <c r="F887" s="11">
        <f>'Guarantees provided'!G881</f>
        <v>0</v>
      </c>
      <c r="G887" s="11">
        <f>'Guarantees provided'!A881</f>
        <v>0</v>
      </c>
      <c r="H887" s="11">
        <f>IF('Guarantees provided'!B881="#",'Guarantees provided'!C881,'Guarantees provided'!B881)</f>
        <v>0</v>
      </c>
      <c r="I887" s="11" t="str">
        <f>IF('Guarantees provided'!B881="#","Type of identifier, other than LEI or MFI code","LEI code")</f>
        <v>LEI code</v>
      </c>
      <c r="J887" s="14" t="str">
        <f>IF(OR('Guarantees provided'!H881="E",'Guarantees provided'!H881="x"),"True","False")</f>
        <v>False</v>
      </c>
      <c r="K887" s="11" t="s">
        <v>53</v>
      </c>
      <c r="L887" s="11" t="s">
        <v>54</v>
      </c>
      <c r="M887" s="11">
        <f>-'Guarantees provided'!D881</f>
        <v>0</v>
      </c>
      <c r="N887" s="11" t="s">
        <v>55</v>
      </c>
      <c r="O887" s="11">
        <v>0</v>
      </c>
      <c r="P887" s="12" t="s">
        <v>56</v>
      </c>
    </row>
    <row r="888" spans="3:16" ht="23.65" thickBot="1">
      <c r="C888" s="10" t="s">
        <v>51</v>
      </c>
      <c r="D888" s="11">
        <v>881</v>
      </c>
      <c r="E888" s="11" t="s">
        <v>52</v>
      </c>
      <c r="F888" s="11">
        <f>'Guarantees provided'!G882</f>
        <v>0</v>
      </c>
      <c r="G888" s="11">
        <f>'Guarantees provided'!A882</f>
        <v>0</v>
      </c>
      <c r="H888" s="11">
        <f>IF('Guarantees provided'!B882="#",'Guarantees provided'!C882,'Guarantees provided'!B882)</f>
        <v>0</v>
      </c>
      <c r="I888" s="11" t="str">
        <f>IF('Guarantees provided'!B882="#","Type of identifier, other than LEI or MFI code","LEI code")</f>
        <v>LEI code</v>
      </c>
      <c r="J888" s="14" t="str">
        <f>IF(OR('Guarantees provided'!H882="E",'Guarantees provided'!H882="x"),"True","False")</f>
        <v>False</v>
      </c>
      <c r="K888" s="11" t="s">
        <v>53</v>
      </c>
      <c r="L888" s="11" t="s">
        <v>54</v>
      </c>
      <c r="M888" s="11">
        <f>-'Guarantees provided'!D882</f>
        <v>0</v>
      </c>
      <c r="N888" s="11" t="s">
        <v>55</v>
      </c>
      <c r="O888" s="11">
        <v>0</v>
      </c>
      <c r="P888" s="12" t="s">
        <v>56</v>
      </c>
    </row>
    <row r="889" spans="3:16" ht="23.65" thickBot="1">
      <c r="C889" s="10" t="s">
        <v>51</v>
      </c>
      <c r="D889" s="11">
        <v>882</v>
      </c>
      <c r="E889" s="11" t="s">
        <v>52</v>
      </c>
      <c r="F889" s="11">
        <f>'Guarantees provided'!G883</f>
        <v>0</v>
      </c>
      <c r="G889" s="11">
        <f>'Guarantees provided'!A883</f>
        <v>0</v>
      </c>
      <c r="H889" s="11">
        <f>IF('Guarantees provided'!B883="#",'Guarantees provided'!C883,'Guarantees provided'!B883)</f>
        <v>0</v>
      </c>
      <c r="I889" s="11" t="str">
        <f>IF('Guarantees provided'!B883="#","Type of identifier, other than LEI or MFI code","LEI code")</f>
        <v>LEI code</v>
      </c>
      <c r="J889" s="14" t="str">
        <f>IF(OR('Guarantees provided'!H883="E",'Guarantees provided'!H883="x"),"True","False")</f>
        <v>False</v>
      </c>
      <c r="K889" s="11" t="s">
        <v>53</v>
      </c>
      <c r="L889" s="11" t="s">
        <v>54</v>
      </c>
      <c r="M889" s="11">
        <f>-'Guarantees provided'!D883</f>
        <v>0</v>
      </c>
      <c r="N889" s="11" t="s">
        <v>55</v>
      </c>
      <c r="O889" s="11">
        <v>0</v>
      </c>
      <c r="P889" s="12" t="s">
        <v>56</v>
      </c>
    </row>
    <row r="890" spans="3:16" ht="23.65" thickBot="1">
      <c r="C890" s="10" t="s">
        <v>51</v>
      </c>
      <c r="D890" s="11">
        <v>883</v>
      </c>
      <c r="E890" s="11" t="s">
        <v>52</v>
      </c>
      <c r="F890" s="11">
        <f>'Guarantees provided'!G884</f>
        <v>0</v>
      </c>
      <c r="G890" s="11">
        <f>'Guarantees provided'!A884</f>
        <v>0</v>
      </c>
      <c r="H890" s="11">
        <f>IF('Guarantees provided'!B884="#",'Guarantees provided'!C884,'Guarantees provided'!B884)</f>
        <v>0</v>
      </c>
      <c r="I890" s="11" t="str">
        <f>IF('Guarantees provided'!B884="#","Type of identifier, other than LEI or MFI code","LEI code")</f>
        <v>LEI code</v>
      </c>
      <c r="J890" s="14" t="str">
        <f>IF(OR('Guarantees provided'!H884="E",'Guarantees provided'!H884="x"),"True","False")</f>
        <v>False</v>
      </c>
      <c r="K890" s="11" t="s">
        <v>53</v>
      </c>
      <c r="L890" s="11" t="s">
        <v>54</v>
      </c>
      <c r="M890" s="11">
        <f>-'Guarantees provided'!D884</f>
        <v>0</v>
      </c>
      <c r="N890" s="11" t="s">
        <v>55</v>
      </c>
      <c r="O890" s="11">
        <v>0</v>
      </c>
      <c r="P890" s="12" t="s">
        <v>56</v>
      </c>
    </row>
    <row r="891" spans="3:16" ht="23.65" thickBot="1">
      <c r="C891" s="10" t="s">
        <v>51</v>
      </c>
      <c r="D891" s="11">
        <v>884</v>
      </c>
      <c r="E891" s="11" t="s">
        <v>52</v>
      </c>
      <c r="F891" s="11">
        <f>'Guarantees provided'!G885</f>
        <v>0</v>
      </c>
      <c r="G891" s="11">
        <f>'Guarantees provided'!A885</f>
        <v>0</v>
      </c>
      <c r="H891" s="11">
        <f>IF('Guarantees provided'!B885="#",'Guarantees provided'!C885,'Guarantees provided'!B885)</f>
        <v>0</v>
      </c>
      <c r="I891" s="11" t="str">
        <f>IF('Guarantees provided'!B885="#","Type of identifier, other than LEI or MFI code","LEI code")</f>
        <v>LEI code</v>
      </c>
      <c r="J891" s="14" t="str">
        <f>IF(OR('Guarantees provided'!H885="E",'Guarantees provided'!H885="x"),"True","False")</f>
        <v>False</v>
      </c>
      <c r="K891" s="11" t="s">
        <v>53</v>
      </c>
      <c r="L891" s="11" t="s">
        <v>54</v>
      </c>
      <c r="M891" s="11">
        <f>-'Guarantees provided'!D885</f>
        <v>0</v>
      </c>
      <c r="N891" s="11" t="s">
        <v>55</v>
      </c>
      <c r="O891" s="11">
        <v>0</v>
      </c>
      <c r="P891" s="12" t="s">
        <v>56</v>
      </c>
    </row>
    <row r="892" spans="3:16" ht="23.65" thickBot="1">
      <c r="C892" s="10" t="s">
        <v>51</v>
      </c>
      <c r="D892" s="11">
        <v>885</v>
      </c>
      <c r="E892" s="11" t="s">
        <v>52</v>
      </c>
      <c r="F892" s="11">
        <f>'Guarantees provided'!G886</f>
        <v>0</v>
      </c>
      <c r="G892" s="11">
        <f>'Guarantees provided'!A886</f>
        <v>0</v>
      </c>
      <c r="H892" s="11">
        <f>IF('Guarantees provided'!B886="#",'Guarantees provided'!C886,'Guarantees provided'!B886)</f>
        <v>0</v>
      </c>
      <c r="I892" s="11" t="str">
        <f>IF('Guarantees provided'!B886="#","Type of identifier, other than LEI or MFI code","LEI code")</f>
        <v>LEI code</v>
      </c>
      <c r="J892" s="14" t="str">
        <f>IF(OR('Guarantees provided'!H886="E",'Guarantees provided'!H886="x"),"True","False")</f>
        <v>False</v>
      </c>
      <c r="K892" s="11" t="s">
        <v>53</v>
      </c>
      <c r="L892" s="11" t="s">
        <v>54</v>
      </c>
      <c r="M892" s="11">
        <f>-'Guarantees provided'!D886</f>
        <v>0</v>
      </c>
      <c r="N892" s="11" t="s">
        <v>55</v>
      </c>
      <c r="O892" s="11">
        <v>0</v>
      </c>
      <c r="P892" s="12" t="s">
        <v>56</v>
      </c>
    </row>
    <row r="893" spans="3:16" ht="23.65" thickBot="1">
      <c r="C893" s="10" t="s">
        <v>51</v>
      </c>
      <c r="D893" s="11">
        <v>886</v>
      </c>
      <c r="E893" s="11" t="s">
        <v>52</v>
      </c>
      <c r="F893" s="11">
        <f>'Guarantees provided'!G887</f>
        <v>0</v>
      </c>
      <c r="G893" s="11">
        <f>'Guarantees provided'!A887</f>
        <v>0</v>
      </c>
      <c r="H893" s="11">
        <f>IF('Guarantees provided'!B887="#",'Guarantees provided'!C887,'Guarantees provided'!B887)</f>
        <v>0</v>
      </c>
      <c r="I893" s="11" t="str">
        <f>IF('Guarantees provided'!B887="#","Type of identifier, other than LEI or MFI code","LEI code")</f>
        <v>LEI code</v>
      </c>
      <c r="J893" s="14" t="str">
        <f>IF(OR('Guarantees provided'!H887="E",'Guarantees provided'!H887="x"),"True","False")</f>
        <v>False</v>
      </c>
      <c r="K893" s="11" t="s">
        <v>53</v>
      </c>
      <c r="L893" s="11" t="s">
        <v>54</v>
      </c>
      <c r="M893" s="11">
        <f>-'Guarantees provided'!D887</f>
        <v>0</v>
      </c>
      <c r="N893" s="11" t="s">
        <v>55</v>
      </c>
      <c r="O893" s="11">
        <v>0</v>
      </c>
      <c r="P893" s="12" t="s">
        <v>56</v>
      </c>
    </row>
    <row r="894" spans="3:16" ht="23.65" thickBot="1">
      <c r="C894" s="10" t="s">
        <v>51</v>
      </c>
      <c r="D894" s="11">
        <v>887</v>
      </c>
      <c r="E894" s="11" t="s">
        <v>52</v>
      </c>
      <c r="F894" s="11">
        <f>'Guarantees provided'!G888</f>
        <v>0</v>
      </c>
      <c r="G894" s="11">
        <f>'Guarantees provided'!A888</f>
        <v>0</v>
      </c>
      <c r="H894" s="11">
        <f>IF('Guarantees provided'!B888="#",'Guarantees provided'!C888,'Guarantees provided'!B888)</f>
        <v>0</v>
      </c>
      <c r="I894" s="11" t="str">
        <f>IF('Guarantees provided'!B888="#","Type of identifier, other than LEI or MFI code","LEI code")</f>
        <v>LEI code</v>
      </c>
      <c r="J894" s="14" t="str">
        <f>IF(OR('Guarantees provided'!H888="E",'Guarantees provided'!H888="x"),"True","False")</f>
        <v>False</v>
      </c>
      <c r="K894" s="11" t="s">
        <v>53</v>
      </c>
      <c r="L894" s="11" t="s">
        <v>54</v>
      </c>
      <c r="M894" s="11">
        <f>-'Guarantees provided'!D888</f>
        <v>0</v>
      </c>
      <c r="N894" s="11" t="s">
        <v>55</v>
      </c>
      <c r="O894" s="11">
        <v>0</v>
      </c>
      <c r="P894" s="12" t="s">
        <v>56</v>
      </c>
    </row>
    <row r="895" spans="3:16" ht="23.65" thickBot="1">
      <c r="C895" s="10" t="s">
        <v>51</v>
      </c>
      <c r="D895" s="11">
        <v>888</v>
      </c>
      <c r="E895" s="11" t="s">
        <v>52</v>
      </c>
      <c r="F895" s="11">
        <f>'Guarantees provided'!G889</f>
        <v>0</v>
      </c>
      <c r="G895" s="11">
        <f>'Guarantees provided'!A889</f>
        <v>0</v>
      </c>
      <c r="H895" s="11">
        <f>IF('Guarantees provided'!B889="#",'Guarantees provided'!C889,'Guarantees provided'!B889)</f>
        <v>0</v>
      </c>
      <c r="I895" s="11" t="str">
        <f>IF('Guarantees provided'!B889="#","Type of identifier, other than LEI or MFI code","LEI code")</f>
        <v>LEI code</v>
      </c>
      <c r="J895" s="14" t="str">
        <f>IF(OR('Guarantees provided'!H889="E",'Guarantees provided'!H889="x"),"True","False")</f>
        <v>False</v>
      </c>
      <c r="K895" s="11" t="s">
        <v>53</v>
      </c>
      <c r="L895" s="11" t="s">
        <v>54</v>
      </c>
      <c r="M895" s="11">
        <f>-'Guarantees provided'!D889</f>
        <v>0</v>
      </c>
      <c r="N895" s="11" t="s">
        <v>55</v>
      </c>
      <c r="O895" s="11">
        <v>0</v>
      </c>
      <c r="P895" s="12" t="s">
        <v>56</v>
      </c>
    </row>
    <row r="896" spans="3:16" ht="23.65" thickBot="1">
      <c r="C896" s="10" t="s">
        <v>51</v>
      </c>
      <c r="D896" s="11">
        <v>889</v>
      </c>
      <c r="E896" s="11" t="s">
        <v>52</v>
      </c>
      <c r="F896" s="11">
        <f>'Guarantees provided'!G890</f>
        <v>0</v>
      </c>
      <c r="G896" s="11">
        <f>'Guarantees provided'!A890</f>
        <v>0</v>
      </c>
      <c r="H896" s="11">
        <f>IF('Guarantees provided'!B890="#",'Guarantees provided'!C890,'Guarantees provided'!B890)</f>
        <v>0</v>
      </c>
      <c r="I896" s="11" t="str">
        <f>IF('Guarantees provided'!B890="#","Type of identifier, other than LEI or MFI code","LEI code")</f>
        <v>LEI code</v>
      </c>
      <c r="J896" s="14" t="str">
        <f>IF(OR('Guarantees provided'!H890="E",'Guarantees provided'!H890="x"),"True","False")</f>
        <v>False</v>
      </c>
      <c r="K896" s="11" t="s">
        <v>53</v>
      </c>
      <c r="L896" s="11" t="s">
        <v>54</v>
      </c>
      <c r="M896" s="11">
        <f>-'Guarantees provided'!D890</f>
        <v>0</v>
      </c>
      <c r="N896" s="11" t="s">
        <v>55</v>
      </c>
      <c r="O896" s="11">
        <v>0</v>
      </c>
      <c r="P896" s="12" t="s">
        <v>56</v>
      </c>
    </row>
    <row r="897" spans="3:16" ht="23.65" thickBot="1">
      <c r="C897" s="10" t="s">
        <v>51</v>
      </c>
      <c r="D897" s="11">
        <v>890</v>
      </c>
      <c r="E897" s="11" t="s">
        <v>52</v>
      </c>
      <c r="F897" s="11">
        <f>'Guarantees provided'!G891</f>
        <v>0</v>
      </c>
      <c r="G897" s="11">
        <f>'Guarantees provided'!A891</f>
        <v>0</v>
      </c>
      <c r="H897" s="11">
        <f>IF('Guarantees provided'!B891="#",'Guarantees provided'!C891,'Guarantees provided'!B891)</f>
        <v>0</v>
      </c>
      <c r="I897" s="11" t="str">
        <f>IF('Guarantees provided'!B891="#","Type of identifier, other than LEI or MFI code","LEI code")</f>
        <v>LEI code</v>
      </c>
      <c r="J897" s="14" t="str">
        <f>IF(OR('Guarantees provided'!H891="E",'Guarantees provided'!H891="x"),"True","False")</f>
        <v>False</v>
      </c>
      <c r="K897" s="11" t="s">
        <v>53</v>
      </c>
      <c r="L897" s="11" t="s">
        <v>54</v>
      </c>
      <c r="M897" s="11">
        <f>-'Guarantees provided'!D891</f>
        <v>0</v>
      </c>
      <c r="N897" s="11" t="s">
        <v>55</v>
      </c>
      <c r="O897" s="11">
        <v>0</v>
      </c>
      <c r="P897" s="12" t="s">
        <v>56</v>
      </c>
    </row>
    <row r="898" spans="3:16" ht="23.65" thickBot="1">
      <c r="C898" s="10" t="s">
        <v>51</v>
      </c>
      <c r="D898" s="11">
        <v>891</v>
      </c>
      <c r="E898" s="11" t="s">
        <v>52</v>
      </c>
      <c r="F898" s="11">
        <f>'Guarantees provided'!G892</f>
        <v>0</v>
      </c>
      <c r="G898" s="11">
        <f>'Guarantees provided'!A892</f>
        <v>0</v>
      </c>
      <c r="H898" s="11">
        <f>IF('Guarantees provided'!B892="#",'Guarantees provided'!C892,'Guarantees provided'!B892)</f>
        <v>0</v>
      </c>
      <c r="I898" s="11" t="str">
        <f>IF('Guarantees provided'!B892="#","Type of identifier, other than LEI or MFI code","LEI code")</f>
        <v>LEI code</v>
      </c>
      <c r="J898" s="14" t="str">
        <f>IF(OR('Guarantees provided'!H892="E",'Guarantees provided'!H892="x"),"True","False")</f>
        <v>False</v>
      </c>
      <c r="K898" s="11" t="s">
        <v>53</v>
      </c>
      <c r="L898" s="11" t="s">
        <v>54</v>
      </c>
      <c r="M898" s="11">
        <f>-'Guarantees provided'!D892</f>
        <v>0</v>
      </c>
      <c r="N898" s="11" t="s">
        <v>55</v>
      </c>
      <c r="O898" s="11">
        <v>0</v>
      </c>
      <c r="P898" s="12" t="s">
        <v>56</v>
      </c>
    </row>
    <row r="899" spans="3:16" ht="23.65" thickBot="1">
      <c r="C899" s="10" t="s">
        <v>51</v>
      </c>
      <c r="D899" s="11">
        <v>892</v>
      </c>
      <c r="E899" s="11" t="s">
        <v>52</v>
      </c>
      <c r="F899" s="11">
        <f>'Guarantees provided'!G893</f>
        <v>0</v>
      </c>
      <c r="G899" s="11">
        <f>'Guarantees provided'!A893</f>
        <v>0</v>
      </c>
      <c r="H899" s="11">
        <f>IF('Guarantees provided'!B893="#",'Guarantees provided'!C893,'Guarantees provided'!B893)</f>
        <v>0</v>
      </c>
      <c r="I899" s="11" t="str">
        <f>IF('Guarantees provided'!B893="#","Type of identifier, other than LEI or MFI code","LEI code")</f>
        <v>LEI code</v>
      </c>
      <c r="J899" s="14" t="str">
        <f>IF(OR('Guarantees provided'!H893="E",'Guarantees provided'!H893="x"),"True","False")</f>
        <v>False</v>
      </c>
      <c r="K899" s="11" t="s">
        <v>53</v>
      </c>
      <c r="L899" s="11" t="s">
        <v>54</v>
      </c>
      <c r="M899" s="11">
        <f>-'Guarantees provided'!D893</f>
        <v>0</v>
      </c>
      <c r="N899" s="11" t="s">
        <v>55</v>
      </c>
      <c r="O899" s="11">
        <v>0</v>
      </c>
      <c r="P899" s="12" t="s">
        <v>56</v>
      </c>
    </row>
    <row r="900" spans="3:16" ht="23.65" thickBot="1">
      <c r="C900" s="10" t="s">
        <v>51</v>
      </c>
      <c r="D900" s="11">
        <v>893</v>
      </c>
      <c r="E900" s="11" t="s">
        <v>52</v>
      </c>
      <c r="F900" s="11">
        <f>'Guarantees provided'!G894</f>
        <v>0</v>
      </c>
      <c r="G900" s="11">
        <f>'Guarantees provided'!A894</f>
        <v>0</v>
      </c>
      <c r="H900" s="11">
        <f>IF('Guarantees provided'!B894="#",'Guarantees provided'!C894,'Guarantees provided'!B894)</f>
        <v>0</v>
      </c>
      <c r="I900" s="11" t="str">
        <f>IF('Guarantees provided'!B894="#","Type of identifier, other than LEI or MFI code","LEI code")</f>
        <v>LEI code</v>
      </c>
      <c r="J900" s="14" t="str">
        <f>IF(OR('Guarantees provided'!H894="E",'Guarantees provided'!H894="x"),"True","False")</f>
        <v>False</v>
      </c>
      <c r="K900" s="11" t="s">
        <v>53</v>
      </c>
      <c r="L900" s="11" t="s">
        <v>54</v>
      </c>
      <c r="M900" s="11">
        <f>-'Guarantees provided'!D894</f>
        <v>0</v>
      </c>
      <c r="N900" s="11" t="s">
        <v>55</v>
      </c>
      <c r="O900" s="11">
        <v>0</v>
      </c>
      <c r="P900" s="12" t="s">
        <v>56</v>
      </c>
    </row>
    <row r="901" spans="3:16" ht="23.65" thickBot="1">
      <c r="C901" s="10" t="s">
        <v>51</v>
      </c>
      <c r="D901" s="11">
        <v>894</v>
      </c>
      <c r="E901" s="11" t="s">
        <v>52</v>
      </c>
      <c r="F901" s="11">
        <f>'Guarantees provided'!G895</f>
        <v>0</v>
      </c>
      <c r="G901" s="11">
        <f>'Guarantees provided'!A895</f>
        <v>0</v>
      </c>
      <c r="H901" s="11">
        <f>IF('Guarantees provided'!B895="#",'Guarantees provided'!C895,'Guarantees provided'!B895)</f>
        <v>0</v>
      </c>
      <c r="I901" s="11" t="str">
        <f>IF('Guarantees provided'!B895="#","Type of identifier, other than LEI or MFI code","LEI code")</f>
        <v>LEI code</v>
      </c>
      <c r="J901" s="14" t="str">
        <f>IF(OR('Guarantees provided'!H895="E",'Guarantees provided'!H895="x"),"True","False")</f>
        <v>False</v>
      </c>
      <c r="K901" s="11" t="s">
        <v>53</v>
      </c>
      <c r="L901" s="11" t="s">
        <v>54</v>
      </c>
      <c r="M901" s="11">
        <f>-'Guarantees provided'!D895</f>
        <v>0</v>
      </c>
      <c r="N901" s="11" t="s">
        <v>55</v>
      </c>
      <c r="O901" s="11">
        <v>0</v>
      </c>
      <c r="P901" s="12" t="s">
        <v>56</v>
      </c>
    </row>
    <row r="902" spans="3:16" ht="23.65" thickBot="1">
      <c r="C902" s="10" t="s">
        <v>51</v>
      </c>
      <c r="D902" s="11">
        <v>895</v>
      </c>
      <c r="E902" s="11" t="s">
        <v>52</v>
      </c>
      <c r="F902" s="11">
        <f>'Guarantees provided'!G896</f>
        <v>0</v>
      </c>
      <c r="G902" s="11">
        <f>'Guarantees provided'!A896</f>
        <v>0</v>
      </c>
      <c r="H902" s="11">
        <f>IF('Guarantees provided'!B896="#",'Guarantees provided'!C896,'Guarantees provided'!B896)</f>
        <v>0</v>
      </c>
      <c r="I902" s="11" t="str">
        <f>IF('Guarantees provided'!B896="#","Type of identifier, other than LEI or MFI code","LEI code")</f>
        <v>LEI code</v>
      </c>
      <c r="J902" s="14" t="str">
        <f>IF(OR('Guarantees provided'!H896="E",'Guarantees provided'!H896="x"),"True","False")</f>
        <v>False</v>
      </c>
      <c r="K902" s="11" t="s">
        <v>53</v>
      </c>
      <c r="L902" s="11" t="s">
        <v>54</v>
      </c>
      <c r="M902" s="11">
        <f>-'Guarantees provided'!D896</f>
        <v>0</v>
      </c>
      <c r="N902" s="11" t="s">
        <v>55</v>
      </c>
      <c r="O902" s="11">
        <v>0</v>
      </c>
      <c r="P902" s="12" t="s">
        <v>56</v>
      </c>
    </row>
    <row r="903" spans="3:16" ht="23.65" thickBot="1">
      <c r="C903" s="10" t="s">
        <v>51</v>
      </c>
      <c r="D903" s="11">
        <v>896</v>
      </c>
      <c r="E903" s="11" t="s">
        <v>52</v>
      </c>
      <c r="F903" s="11">
        <f>'Guarantees provided'!G897</f>
        <v>0</v>
      </c>
      <c r="G903" s="11">
        <f>'Guarantees provided'!A897</f>
        <v>0</v>
      </c>
      <c r="H903" s="11">
        <f>IF('Guarantees provided'!B897="#",'Guarantees provided'!C897,'Guarantees provided'!B897)</f>
        <v>0</v>
      </c>
      <c r="I903" s="11" t="str">
        <f>IF('Guarantees provided'!B897="#","Type of identifier, other than LEI or MFI code","LEI code")</f>
        <v>LEI code</v>
      </c>
      <c r="J903" s="14" t="str">
        <f>IF(OR('Guarantees provided'!H897="E",'Guarantees provided'!H897="x"),"True","False")</f>
        <v>False</v>
      </c>
      <c r="K903" s="11" t="s">
        <v>53</v>
      </c>
      <c r="L903" s="11" t="s">
        <v>54</v>
      </c>
      <c r="M903" s="11">
        <f>-'Guarantees provided'!D897</f>
        <v>0</v>
      </c>
      <c r="N903" s="11" t="s">
        <v>55</v>
      </c>
      <c r="O903" s="11">
        <v>0</v>
      </c>
      <c r="P903" s="12" t="s">
        <v>56</v>
      </c>
    </row>
    <row r="904" spans="3:16" ht="23.65" thickBot="1">
      <c r="C904" s="10" t="s">
        <v>51</v>
      </c>
      <c r="D904" s="11">
        <v>897</v>
      </c>
      <c r="E904" s="11" t="s">
        <v>52</v>
      </c>
      <c r="F904" s="11">
        <f>'Guarantees provided'!G898</f>
        <v>0</v>
      </c>
      <c r="G904" s="11">
        <f>'Guarantees provided'!A898</f>
        <v>0</v>
      </c>
      <c r="H904" s="11">
        <f>IF('Guarantees provided'!B898="#",'Guarantees provided'!C898,'Guarantees provided'!B898)</f>
        <v>0</v>
      </c>
      <c r="I904" s="11" t="str">
        <f>IF('Guarantees provided'!B898="#","Type of identifier, other than LEI or MFI code","LEI code")</f>
        <v>LEI code</v>
      </c>
      <c r="J904" s="14" t="str">
        <f>IF(OR('Guarantees provided'!H898="E",'Guarantees provided'!H898="x"),"True","False")</f>
        <v>False</v>
      </c>
      <c r="K904" s="11" t="s">
        <v>53</v>
      </c>
      <c r="L904" s="11" t="s">
        <v>54</v>
      </c>
      <c r="M904" s="11">
        <f>-'Guarantees provided'!D898</f>
        <v>0</v>
      </c>
      <c r="N904" s="11" t="s">
        <v>55</v>
      </c>
      <c r="O904" s="11">
        <v>0</v>
      </c>
      <c r="P904" s="12" t="s">
        <v>56</v>
      </c>
    </row>
    <row r="905" spans="3:16" ht="23.65" thickBot="1">
      <c r="C905" s="10" t="s">
        <v>51</v>
      </c>
      <c r="D905" s="11">
        <v>898</v>
      </c>
      <c r="E905" s="11" t="s">
        <v>52</v>
      </c>
      <c r="F905" s="11">
        <f>'Guarantees provided'!G899</f>
        <v>0</v>
      </c>
      <c r="G905" s="11">
        <f>'Guarantees provided'!A899</f>
        <v>0</v>
      </c>
      <c r="H905" s="11">
        <f>IF('Guarantees provided'!B899="#",'Guarantees provided'!C899,'Guarantees provided'!B899)</f>
        <v>0</v>
      </c>
      <c r="I905" s="11" t="str">
        <f>IF('Guarantees provided'!B899="#","Type of identifier, other than LEI or MFI code","LEI code")</f>
        <v>LEI code</v>
      </c>
      <c r="J905" s="14" t="str">
        <f>IF(OR('Guarantees provided'!H899="E",'Guarantees provided'!H899="x"),"True","False")</f>
        <v>False</v>
      </c>
      <c r="K905" s="11" t="s">
        <v>53</v>
      </c>
      <c r="L905" s="11" t="s">
        <v>54</v>
      </c>
      <c r="M905" s="11">
        <f>-'Guarantees provided'!D899</f>
        <v>0</v>
      </c>
      <c r="N905" s="11" t="s">
        <v>55</v>
      </c>
      <c r="O905" s="11">
        <v>0</v>
      </c>
      <c r="P905" s="12" t="s">
        <v>56</v>
      </c>
    </row>
    <row r="906" spans="3:16" ht="23.65" thickBot="1">
      <c r="C906" s="10" t="s">
        <v>51</v>
      </c>
      <c r="D906" s="11">
        <v>899</v>
      </c>
      <c r="E906" s="11" t="s">
        <v>52</v>
      </c>
      <c r="F906" s="11">
        <f>'Guarantees provided'!G900</f>
        <v>0</v>
      </c>
      <c r="G906" s="11">
        <f>'Guarantees provided'!A900</f>
        <v>0</v>
      </c>
      <c r="H906" s="11">
        <f>IF('Guarantees provided'!B900="#",'Guarantees provided'!C900,'Guarantees provided'!B900)</f>
        <v>0</v>
      </c>
      <c r="I906" s="11" t="str">
        <f>IF('Guarantees provided'!B900="#","Type of identifier, other than LEI or MFI code","LEI code")</f>
        <v>LEI code</v>
      </c>
      <c r="J906" s="14" t="str">
        <f>IF(OR('Guarantees provided'!H900="E",'Guarantees provided'!H900="x"),"True","False")</f>
        <v>False</v>
      </c>
      <c r="K906" s="11" t="s">
        <v>53</v>
      </c>
      <c r="L906" s="11" t="s">
        <v>54</v>
      </c>
      <c r="M906" s="11">
        <f>-'Guarantees provided'!D900</f>
        <v>0</v>
      </c>
      <c r="N906" s="11" t="s">
        <v>55</v>
      </c>
      <c r="O906" s="11">
        <v>0</v>
      </c>
      <c r="P906" s="12" t="s">
        <v>56</v>
      </c>
    </row>
    <row r="907" spans="3:16" ht="23.65" thickBot="1">
      <c r="C907" s="10" t="s">
        <v>51</v>
      </c>
      <c r="D907" s="11">
        <v>900</v>
      </c>
      <c r="E907" s="11" t="s">
        <v>52</v>
      </c>
      <c r="F907" s="11">
        <f>'Guarantees provided'!G901</f>
        <v>0</v>
      </c>
      <c r="G907" s="11">
        <f>'Guarantees provided'!A901</f>
        <v>0</v>
      </c>
      <c r="H907" s="11">
        <f>IF('Guarantees provided'!B901="#",'Guarantees provided'!C901,'Guarantees provided'!B901)</f>
        <v>0</v>
      </c>
      <c r="I907" s="11" t="str">
        <f>IF('Guarantees provided'!B901="#","Type of identifier, other than LEI or MFI code","LEI code")</f>
        <v>LEI code</v>
      </c>
      <c r="J907" s="14" t="str">
        <f>IF(OR('Guarantees provided'!H901="E",'Guarantees provided'!H901="x"),"True","False")</f>
        <v>False</v>
      </c>
      <c r="K907" s="11" t="s">
        <v>53</v>
      </c>
      <c r="L907" s="11" t="s">
        <v>54</v>
      </c>
      <c r="M907" s="11">
        <f>-'Guarantees provided'!D901</f>
        <v>0</v>
      </c>
      <c r="N907" s="11" t="s">
        <v>55</v>
      </c>
      <c r="O907" s="11">
        <v>0</v>
      </c>
      <c r="P907" s="12" t="s">
        <v>56</v>
      </c>
    </row>
    <row r="908" spans="3:16" ht="23.65" thickBot="1">
      <c r="C908" s="10" t="s">
        <v>51</v>
      </c>
      <c r="D908" s="11">
        <v>901</v>
      </c>
      <c r="E908" s="11" t="s">
        <v>52</v>
      </c>
      <c r="F908" s="11">
        <f>'Guarantees provided'!G902</f>
        <v>0</v>
      </c>
      <c r="G908" s="11">
        <f>'Guarantees provided'!A902</f>
        <v>0</v>
      </c>
      <c r="H908" s="11">
        <f>IF('Guarantees provided'!B902="#",'Guarantees provided'!C902,'Guarantees provided'!B902)</f>
        <v>0</v>
      </c>
      <c r="I908" s="11" t="str">
        <f>IF('Guarantees provided'!B902="#","Type of identifier, other than LEI or MFI code","LEI code")</f>
        <v>LEI code</v>
      </c>
      <c r="J908" s="14" t="str">
        <f>IF(OR('Guarantees provided'!H902="E",'Guarantees provided'!H902="x"),"True","False")</f>
        <v>False</v>
      </c>
      <c r="K908" s="11" t="s">
        <v>53</v>
      </c>
      <c r="L908" s="11" t="s">
        <v>54</v>
      </c>
      <c r="M908" s="11">
        <f>-'Guarantees provided'!D902</f>
        <v>0</v>
      </c>
      <c r="N908" s="11" t="s">
        <v>55</v>
      </c>
      <c r="O908" s="11">
        <v>0</v>
      </c>
      <c r="P908" s="12" t="s">
        <v>56</v>
      </c>
    </row>
    <row r="909" spans="3:16" ht="23.65" thickBot="1">
      <c r="C909" s="10" t="s">
        <v>51</v>
      </c>
      <c r="D909" s="11">
        <v>902</v>
      </c>
      <c r="E909" s="11" t="s">
        <v>52</v>
      </c>
      <c r="F909" s="11">
        <f>'Guarantees provided'!G903</f>
        <v>0</v>
      </c>
      <c r="G909" s="11">
        <f>'Guarantees provided'!A903</f>
        <v>0</v>
      </c>
      <c r="H909" s="11">
        <f>IF('Guarantees provided'!B903="#",'Guarantees provided'!C903,'Guarantees provided'!B903)</f>
        <v>0</v>
      </c>
      <c r="I909" s="11" t="str">
        <f>IF('Guarantees provided'!B903="#","Type of identifier, other than LEI or MFI code","LEI code")</f>
        <v>LEI code</v>
      </c>
      <c r="J909" s="14" t="str">
        <f>IF(OR('Guarantees provided'!H903="E",'Guarantees provided'!H903="x"),"True","False")</f>
        <v>False</v>
      </c>
      <c r="K909" s="11" t="s">
        <v>53</v>
      </c>
      <c r="L909" s="11" t="s">
        <v>54</v>
      </c>
      <c r="M909" s="11">
        <f>-'Guarantees provided'!D903</f>
        <v>0</v>
      </c>
      <c r="N909" s="11" t="s">
        <v>55</v>
      </c>
      <c r="O909" s="11">
        <v>0</v>
      </c>
      <c r="P909" s="12" t="s">
        <v>56</v>
      </c>
    </row>
    <row r="910" spans="3:16" ht="23.65" thickBot="1">
      <c r="C910" s="10" t="s">
        <v>51</v>
      </c>
      <c r="D910" s="11">
        <v>903</v>
      </c>
      <c r="E910" s="11" t="s">
        <v>52</v>
      </c>
      <c r="F910" s="11">
        <f>'Guarantees provided'!G904</f>
        <v>0</v>
      </c>
      <c r="G910" s="11">
        <f>'Guarantees provided'!A904</f>
        <v>0</v>
      </c>
      <c r="H910" s="11">
        <f>IF('Guarantees provided'!B904="#",'Guarantees provided'!C904,'Guarantees provided'!B904)</f>
        <v>0</v>
      </c>
      <c r="I910" s="11" t="str">
        <f>IF('Guarantees provided'!B904="#","Type of identifier, other than LEI or MFI code","LEI code")</f>
        <v>LEI code</v>
      </c>
      <c r="J910" s="14" t="str">
        <f>IF(OR('Guarantees provided'!H904="E",'Guarantees provided'!H904="x"),"True","False")</f>
        <v>False</v>
      </c>
      <c r="K910" s="11" t="s">
        <v>53</v>
      </c>
      <c r="L910" s="11" t="s">
        <v>54</v>
      </c>
      <c r="M910" s="11">
        <f>-'Guarantees provided'!D904</f>
        <v>0</v>
      </c>
      <c r="N910" s="11" t="s">
        <v>55</v>
      </c>
      <c r="O910" s="11">
        <v>0</v>
      </c>
      <c r="P910" s="12" t="s">
        <v>56</v>
      </c>
    </row>
    <row r="911" spans="3:16" ht="23.65" thickBot="1">
      <c r="C911" s="10" t="s">
        <v>51</v>
      </c>
      <c r="D911" s="11">
        <v>904</v>
      </c>
      <c r="E911" s="11" t="s">
        <v>52</v>
      </c>
      <c r="F911" s="11">
        <f>'Guarantees provided'!G905</f>
        <v>0</v>
      </c>
      <c r="G911" s="11">
        <f>'Guarantees provided'!A905</f>
        <v>0</v>
      </c>
      <c r="H911" s="11">
        <f>IF('Guarantees provided'!B905="#",'Guarantees provided'!C905,'Guarantees provided'!B905)</f>
        <v>0</v>
      </c>
      <c r="I911" s="11" t="str">
        <f>IF('Guarantees provided'!B905="#","Type of identifier, other than LEI or MFI code","LEI code")</f>
        <v>LEI code</v>
      </c>
      <c r="J911" s="14" t="str">
        <f>IF(OR('Guarantees provided'!H905="E",'Guarantees provided'!H905="x"),"True","False")</f>
        <v>False</v>
      </c>
      <c r="K911" s="11" t="s">
        <v>53</v>
      </c>
      <c r="L911" s="11" t="s">
        <v>54</v>
      </c>
      <c r="M911" s="11">
        <f>-'Guarantees provided'!D905</f>
        <v>0</v>
      </c>
      <c r="N911" s="11" t="s">
        <v>55</v>
      </c>
      <c r="O911" s="11">
        <v>0</v>
      </c>
      <c r="P911" s="12" t="s">
        <v>56</v>
      </c>
    </row>
    <row r="912" spans="3:16" ht="23.65" thickBot="1">
      <c r="C912" s="10" t="s">
        <v>51</v>
      </c>
      <c r="D912" s="11">
        <v>905</v>
      </c>
      <c r="E912" s="11" t="s">
        <v>52</v>
      </c>
      <c r="F912" s="11">
        <f>'Guarantees provided'!G906</f>
        <v>0</v>
      </c>
      <c r="G912" s="11">
        <f>'Guarantees provided'!A906</f>
        <v>0</v>
      </c>
      <c r="H912" s="11">
        <f>IF('Guarantees provided'!B906="#",'Guarantees provided'!C906,'Guarantees provided'!B906)</f>
        <v>0</v>
      </c>
      <c r="I912" s="11" t="str">
        <f>IF('Guarantees provided'!B906="#","Type of identifier, other than LEI or MFI code","LEI code")</f>
        <v>LEI code</v>
      </c>
      <c r="J912" s="14" t="str">
        <f>IF(OR('Guarantees provided'!H906="E",'Guarantees provided'!H906="x"),"True","False")</f>
        <v>False</v>
      </c>
      <c r="K912" s="11" t="s">
        <v>53</v>
      </c>
      <c r="L912" s="11" t="s">
        <v>54</v>
      </c>
      <c r="M912" s="11">
        <f>-'Guarantees provided'!D906</f>
        <v>0</v>
      </c>
      <c r="N912" s="11" t="s">
        <v>55</v>
      </c>
      <c r="O912" s="11">
        <v>0</v>
      </c>
      <c r="P912" s="12" t="s">
        <v>56</v>
      </c>
    </row>
    <row r="913" spans="3:16" ht="23.65" thickBot="1">
      <c r="C913" s="10" t="s">
        <v>51</v>
      </c>
      <c r="D913" s="11">
        <v>906</v>
      </c>
      <c r="E913" s="11" t="s">
        <v>52</v>
      </c>
      <c r="F913" s="11">
        <f>'Guarantees provided'!G907</f>
        <v>0</v>
      </c>
      <c r="G913" s="11">
        <f>'Guarantees provided'!A907</f>
        <v>0</v>
      </c>
      <c r="H913" s="11">
        <f>IF('Guarantees provided'!B907="#",'Guarantees provided'!C907,'Guarantees provided'!B907)</f>
        <v>0</v>
      </c>
      <c r="I913" s="11" t="str">
        <f>IF('Guarantees provided'!B907="#","Type of identifier, other than LEI or MFI code","LEI code")</f>
        <v>LEI code</v>
      </c>
      <c r="J913" s="14" t="str">
        <f>IF(OR('Guarantees provided'!H907="E",'Guarantees provided'!H907="x"),"True","False")</f>
        <v>False</v>
      </c>
      <c r="K913" s="11" t="s">
        <v>53</v>
      </c>
      <c r="L913" s="11" t="s">
        <v>54</v>
      </c>
      <c r="M913" s="11">
        <f>-'Guarantees provided'!D907</f>
        <v>0</v>
      </c>
      <c r="N913" s="11" t="s">
        <v>55</v>
      </c>
      <c r="O913" s="11">
        <v>0</v>
      </c>
      <c r="P913" s="12" t="s">
        <v>56</v>
      </c>
    </row>
    <row r="914" spans="3:16" ht="23.65" thickBot="1">
      <c r="C914" s="10" t="s">
        <v>51</v>
      </c>
      <c r="D914" s="11">
        <v>907</v>
      </c>
      <c r="E914" s="11" t="s">
        <v>52</v>
      </c>
      <c r="F914" s="11">
        <f>'Guarantees provided'!G908</f>
        <v>0</v>
      </c>
      <c r="G914" s="11">
        <f>'Guarantees provided'!A908</f>
        <v>0</v>
      </c>
      <c r="H914" s="11">
        <f>IF('Guarantees provided'!B908="#",'Guarantees provided'!C908,'Guarantees provided'!B908)</f>
        <v>0</v>
      </c>
      <c r="I914" s="11" t="str">
        <f>IF('Guarantees provided'!B908="#","Type of identifier, other than LEI or MFI code","LEI code")</f>
        <v>LEI code</v>
      </c>
      <c r="J914" s="14" t="str">
        <f>IF(OR('Guarantees provided'!H908="E",'Guarantees provided'!H908="x"),"True","False")</f>
        <v>False</v>
      </c>
      <c r="K914" s="11" t="s">
        <v>53</v>
      </c>
      <c r="L914" s="11" t="s">
        <v>54</v>
      </c>
      <c r="M914" s="11">
        <f>-'Guarantees provided'!D908</f>
        <v>0</v>
      </c>
      <c r="N914" s="11" t="s">
        <v>55</v>
      </c>
      <c r="O914" s="11">
        <v>0</v>
      </c>
      <c r="P914" s="12" t="s">
        <v>56</v>
      </c>
    </row>
    <row r="915" spans="3:16" ht="23.65" thickBot="1">
      <c r="C915" s="10" t="s">
        <v>51</v>
      </c>
      <c r="D915" s="11">
        <v>908</v>
      </c>
      <c r="E915" s="11" t="s">
        <v>52</v>
      </c>
      <c r="F915" s="11">
        <f>'Guarantees provided'!G909</f>
        <v>0</v>
      </c>
      <c r="G915" s="11">
        <f>'Guarantees provided'!A909</f>
        <v>0</v>
      </c>
      <c r="H915" s="11">
        <f>IF('Guarantees provided'!B909="#",'Guarantees provided'!C909,'Guarantees provided'!B909)</f>
        <v>0</v>
      </c>
      <c r="I915" s="11" t="str">
        <f>IF('Guarantees provided'!B909="#","Type of identifier, other than LEI or MFI code","LEI code")</f>
        <v>LEI code</v>
      </c>
      <c r="J915" s="14" t="str">
        <f>IF(OR('Guarantees provided'!H909="E",'Guarantees provided'!H909="x"),"True","False")</f>
        <v>False</v>
      </c>
      <c r="K915" s="11" t="s">
        <v>53</v>
      </c>
      <c r="L915" s="11" t="s">
        <v>54</v>
      </c>
      <c r="M915" s="11">
        <f>-'Guarantees provided'!D909</f>
        <v>0</v>
      </c>
      <c r="N915" s="11" t="s">
        <v>55</v>
      </c>
      <c r="O915" s="11">
        <v>0</v>
      </c>
      <c r="P915" s="12" t="s">
        <v>56</v>
      </c>
    </row>
    <row r="916" spans="3:16" ht="23.65" thickBot="1">
      <c r="C916" s="10" t="s">
        <v>51</v>
      </c>
      <c r="D916" s="11">
        <v>909</v>
      </c>
      <c r="E916" s="11" t="s">
        <v>52</v>
      </c>
      <c r="F916" s="11">
        <f>'Guarantees provided'!G910</f>
        <v>0</v>
      </c>
      <c r="G916" s="11">
        <f>'Guarantees provided'!A910</f>
        <v>0</v>
      </c>
      <c r="H916" s="11">
        <f>IF('Guarantees provided'!B910="#",'Guarantees provided'!C910,'Guarantees provided'!B910)</f>
        <v>0</v>
      </c>
      <c r="I916" s="11" t="str">
        <f>IF('Guarantees provided'!B910="#","Type of identifier, other than LEI or MFI code","LEI code")</f>
        <v>LEI code</v>
      </c>
      <c r="J916" s="14" t="str">
        <f>IF(OR('Guarantees provided'!H910="E",'Guarantees provided'!H910="x"),"True","False")</f>
        <v>False</v>
      </c>
      <c r="K916" s="11" t="s">
        <v>53</v>
      </c>
      <c r="L916" s="11" t="s">
        <v>54</v>
      </c>
      <c r="M916" s="11">
        <f>-'Guarantees provided'!D910</f>
        <v>0</v>
      </c>
      <c r="N916" s="11" t="s">
        <v>55</v>
      </c>
      <c r="O916" s="11">
        <v>0</v>
      </c>
      <c r="P916" s="12" t="s">
        <v>56</v>
      </c>
    </row>
    <row r="917" spans="3:16" ht="23.65" thickBot="1">
      <c r="C917" s="10" t="s">
        <v>51</v>
      </c>
      <c r="D917" s="11">
        <v>910</v>
      </c>
      <c r="E917" s="11" t="s">
        <v>52</v>
      </c>
      <c r="F917" s="11">
        <f>'Guarantees provided'!G911</f>
        <v>0</v>
      </c>
      <c r="G917" s="11">
        <f>'Guarantees provided'!A911</f>
        <v>0</v>
      </c>
      <c r="H917" s="11">
        <f>IF('Guarantees provided'!B911="#",'Guarantees provided'!C911,'Guarantees provided'!B911)</f>
        <v>0</v>
      </c>
      <c r="I917" s="11" t="str">
        <f>IF('Guarantees provided'!B911="#","Type of identifier, other than LEI or MFI code","LEI code")</f>
        <v>LEI code</v>
      </c>
      <c r="J917" s="14" t="str">
        <f>IF(OR('Guarantees provided'!H911="E",'Guarantees provided'!H911="x"),"True","False")</f>
        <v>False</v>
      </c>
      <c r="K917" s="11" t="s">
        <v>53</v>
      </c>
      <c r="L917" s="11" t="s">
        <v>54</v>
      </c>
      <c r="M917" s="11">
        <f>-'Guarantees provided'!D911</f>
        <v>0</v>
      </c>
      <c r="N917" s="11" t="s">
        <v>55</v>
      </c>
      <c r="O917" s="11">
        <v>0</v>
      </c>
      <c r="P917" s="12" t="s">
        <v>56</v>
      </c>
    </row>
    <row r="918" spans="3:16" ht="23.65" thickBot="1">
      <c r="C918" s="10" t="s">
        <v>51</v>
      </c>
      <c r="D918" s="11">
        <v>911</v>
      </c>
      <c r="E918" s="11" t="s">
        <v>52</v>
      </c>
      <c r="F918" s="11">
        <f>'Guarantees provided'!G912</f>
        <v>0</v>
      </c>
      <c r="G918" s="11">
        <f>'Guarantees provided'!A912</f>
        <v>0</v>
      </c>
      <c r="H918" s="11">
        <f>IF('Guarantees provided'!B912="#",'Guarantees provided'!C912,'Guarantees provided'!B912)</f>
        <v>0</v>
      </c>
      <c r="I918" s="11" t="str">
        <f>IF('Guarantees provided'!B912="#","Type of identifier, other than LEI or MFI code","LEI code")</f>
        <v>LEI code</v>
      </c>
      <c r="J918" s="14" t="str">
        <f>IF(OR('Guarantees provided'!H912="E",'Guarantees provided'!H912="x"),"True","False")</f>
        <v>False</v>
      </c>
      <c r="K918" s="11" t="s">
        <v>53</v>
      </c>
      <c r="L918" s="11" t="s">
        <v>54</v>
      </c>
      <c r="M918" s="11">
        <f>-'Guarantees provided'!D912</f>
        <v>0</v>
      </c>
      <c r="N918" s="11" t="s">
        <v>55</v>
      </c>
      <c r="O918" s="11">
        <v>0</v>
      </c>
      <c r="P918" s="12" t="s">
        <v>56</v>
      </c>
    </row>
    <row r="919" spans="3:16" ht="23.65" thickBot="1">
      <c r="C919" s="10" t="s">
        <v>51</v>
      </c>
      <c r="D919" s="11">
        <v>912</v>
      </c>
      <c r="E919" s="11" t="s">
        <v>52</v>
      </c>
      <c r="F919" s="11">
        <f>'Guarantees provided'!G913</f>
        <v>0</v>
      </c>
      <c r="G919" s="11">
        <f>'Guarantees provided'!A913</f>
        <v>0</v>
      </c>
      <c r="H919" s="11">
        <f>IF('Guarantees provided'!B913="#",'Guarantees provided'!C913,'Guarantees provided'!B913)</f>
        <v>0</v>
      </c>
      <c r="I919" s="11" t="str">
        <f>IF('Guarantees provided'!B913="#","Type of identifier, other than LEI or MFI code","LEI code")</f>
        <v>LEI code</v>
      </c>
      <c r="J919" s="14" t="str">
        <f>IF(OR('Guarantees provided'!H913="E",'Guarantees provided'!H913="x"),"True","False")</f>
        <v>False</v>
      </c>
      <c r="K919" s="11" t="s">
        <v>53</v>
      </c>
      <c r="L919" s="11" t="s">
        <v>54</v>
      </c>
      <c r="M919" s="11">
        <f>-'Guarantees provided'!D913</f>
        <v>0</v>
      </c>
      <c r="N919" s="11" t="s">
        <v>55</v>
      </c>
      <c r="O919" s="11">
        <v>0</v>
      </c>
      <c r="P919" s="12" t="s">
        <v>56</v>
      </c>
    </row>
    <row r="920" spans="3:16" ht="23.65" thickBot="1">
      <c r="C920" s="10" t="s">
        <v>51</v>
      </c>
      <c r="D920" s="11">
        <v>913</v>
      </c>
      <c r="E920" s="11" t="s">
        <v>52</v>
      </c>
      <c r="F920" s="11">
        <f>'Guarantees provided'!G914</f>
        <v>0</v>
      </c>
      <c r="G920" s="11">
        <f>'Guarantees provided'!A914</f>
        <v>0</v>
      </c>
      <c r="H920" s="11">
        <f>IF('Guarantees provided'!B914="#",'Guarantees provided'!C914,'Guarantees provided'!B914)</f>
        <v>0</v>
      </c>
      <c r="I920" s="11" t="str">
        <f>IF('Guarantees provided'!B914="#","Type of identifier, other than LEI or MFI code","LEI code")</f>
        <v>LEI code</v>
      </c>
      <c r="J920" s="14" t="str">
        <f>IF(OR('Guarantees provided'!H914="E",'Guarantees provided'!H914="x"),"True","False")</f>
        <v>False</v>
      </c>
      <c r="K920" s="11" t="s">
        <v>53</v>
      </c>
      <c r="L920" s="11" t="s">
        <v>54</v>
      </c>
      <c r="M920" s="11">
        <f>-'Guarantees provided'!D914</f>
        <v>0</v>
      </c>
      <c r="N920" s="11" t="s">
        <v>55</v>
      </c>
      <c r="O920" s="11">
        <v>0</v>
      </c>
      <c r="P920" s="12" t="s">
        <v>56</v>
      </c>
    </row>
    <row r="921" spans="3:16" ht="23.65" thickBot="1">
      <c r="C921" s="10" t="s">
        <v>51</v>
      </c>
      <c r="D921" s="11">
        <v>914</v>
      </c>
      <c r="E921" s="11" t="s">
        <v>52</v>
      </c>
      <c r="F921" s="11">
        <f>'Guarantees provided'!G915</f>
        <v>0</v>
      </c>
      <c r="G921" s="11">
        <f>'Guarantees provided'!A915</f>
        <v>0</v>
      </c>
      <c r="H921" s="11">
        <f>IF('Guarantees provided'!B915="#",'Guarantees provided'!C915,'Guarantees provided'!B915)</f>
        <v>0</v>
      </c>
      <c r="I921" s="11" t="str">
        <f>IF('Guarantees provided'!B915="#","Type of identifier, other than LEI or MFI code","LEI code")</f>
        <v>LEI code</v>
      </c>
      <c r="J921" s="14" t="str">
        <f>IF(OR('Guarantees provided'!H915="E",'Guarantees provided'!H915="x"),"True","False")</f>
        <v>False</v>
      </c>
      <c r="K921" s="11" t="s">
        <v>53</v>
      </c>
      <c r="L921" s="11" t="s">
        <v>54</v>
      </c>
      <c r="M921" s="11">
        <f>-'Guarantees provided'!D915</f>
        <v>0</v>
      </c>
      <c r="N921" s="11" t="s">
        <v>55</v>
      </c>
      <c r="O921" s="11">
        <v>0</v>
      </c>
      <c r="P921" s="12" t="s">
        <v>56</v>
      </c>
    </row>
    <row r="922" spans="3:16" ht="23.65" thickBot="1">
      <c r="C922" s="10" t="s">
        <v>51</v>
      </c>
      <c r="D922" s="11">
        <v>915</v>
      </c>
      <c r="E922" s="11" t="s">
        <v>52</v>
      </c>
      <c r="F922" s="11">
        <f>'Guarantees provided'!G916</f>
        <v>0</v>
      </c>
      <c r="G922" s="11">
        <f>'Guarantees provided'!A916</f>
        <v>0</v>
      </c>
      <c r="H922" s="11">
        <f>IF('Guarantees provided'!B916="#",'Guarantees provided'!C916,'Guarantees provided'!B916)</f>
        <v>0</v>
      </c>
      <c r="I922" s="11" t="str">
        <f>IF('Guarantees provided'!B916="#","Type of identifier, other than LEI or MFI code","LEI code")</f>
        <v>LEI code</v>
      </c>
      <c r="J922" s="14" t="str">
        <f>IF(OR('Guarantees provided'!H916="E",'Guarantees provided'!H916="x"),"True","False")</f>
        <v>False</v>
      </c>
      <c r="K922" s="11" t="s">
        <v>53</v>
      </c>
      <c r="L922" s="11" t="s">
        <v>54</v>
      </c>
      <c r="M922" s="11">
        <f>-'Guarantees provided'!D916</f>
        <v>0</v>
      </c>
      <c r="N922" s="11" t="s">
        <v>55</v>
      </c>
      <c r="O922" s="11">
        <v>0</v>
      </c>
      <c r="P922" s="12" t="s">
        <v>56</v>
      </c>
    </row>
    <row r="923" spans="3:16" ht="23.65" thickBot="1">
      <c r="C923" s="10" t="s">
        <v>51</v>
      </c>
      <c r="D923" s="11">
        <v>916</v>
      </c>
      <c r="E923" s="11" t="s">
        <v>52</v>
      </c>
      <c r="F923" s="11">
        <f>'Guarantees provided'!G917</f>
        <v>0</v>
      </c>
      <c r="G923" s="11">
        <f>'Guarantees provided'!A917</f>
        <v>0</v>
      </c>
      <c r="H923" s="11">
        <f>IF('Guarantees provided'!B917="#",'Guarantees provided'!C917,'Guarantees provided'!B917)</f>
        <v>0</v>
      </c>
      <c r="I923" s="11" t="str">
        <f>IF('Guarantees provided'!B917="#","Type of identifier, other than LEI or MFI code","LEI code")</f>
        <v>LEI code</v>
      </c>
      <c r="J923" s="14" t="str">
        <f>IF(OR('Guarantees provided'!H917="E",'Guarantees provided'!H917="x"),"True","False")</f>
        <v>False</v>
      </c>
      <c r="K923" s="11" t="s">
        <v>53</v>
      </c>
      <c r="L923" s="11" t="s">
        <v>54</v>
      </c>
      <c r="M923" s="11">
        <f>-'Guarantees provided'!D917</f>
        <v>0</v>
      </c>
      <c r="N923" s="11" t="s">
        <v>55</v>
      </c>
      <c r="O923" s="11">
        <v>0</v>
      </c>
      <c r="P923" s="12" t="s">
        <v>56</v>
      </c>
    </row>
    <row r="924" spans="3:16" ht="23.65" thickBot="1">
      <c r="C924" s="10" t="s">
        <v>51</v>
      </c>
      <c r="D924" s="11">
        <v>917</v>
      </c>
      <c r="E924" s="11" t="s">
        <v>52</v>
      </c>
      <c r="F924" s="11">
        <f>'Guarantees provided'!G918</f>
        <v>0</v>
      </c>
      <c r="G924" s="11">
        <f>'Guarantees provided'!A918</f>
        <v>0</v>
      </c>
      <c r="H924" s="11">
        <f>IF('Guarantees provided'!B918="#",'Guarantees provided'!C918,'Guarantees provided'!B918)</f>
        <v>0</v>
      </c>
      <c r="I924" s="11" t="str">
        <f>IF('Guarantees provided'!B918="#","Type of identifier, other than LEI or MFI code","LEI code")</f>
        <v>LEI code</v>
      </c>
      <c r="J924" s="14" t="str">
        <f>IF(OR('Guarantees provided'!H918="E",'Guarantees provided'!H918="x"),"True","False")</f>
        <v>False</v>
      </c>
      <c r="K924" s="11" t="s">
        <v>53</v>
      </c>
      <c r="L924" s="11" t="s">
        <v>54</v>
      </c>
      <c r="M924" s="11">
        <f>-'Guarantees provided'!D918</f>
        <v>0</v>
      </c>
      <c r="N924" s="11" t="s">
        <v>55</v>
      </c>
      <c r="O924" s="11">
        <v>0</v>
      </c>
      <c r="P924" s="12" t="s">
        <v>56</v>
      </c>
    </row>
    <row r="925" spans="3:16" ht="23.65" thickBot="1">
      <c r="C925" s="10" t="s">
        <v>51</v>
      </c>
      <c r="D925" s="11">
        <v>918</v>
      </c>
      <c r="E925" s="11" t="s">
        <v>52</v>
      </c>
      <c r="F925" s="11">
        <f>'Guarantees provided'!G919</f>
        <v>0</v>
      </c>
      <c r="G925" s="11">
        <f>'Guarantees provided'!A919</f>
        <v>0</v>
      </c>
      <c r="H925" s="11">
        <f>IF('Guarantees provided'!B919="#",'Guarantees provided'!C919,'Guarantees provided'!B919)</f>
        <v>0</v>
      </c>
      <c r="I925" s="11" t="str">
        <f>IF('Guarantees provided'!B919="#","Type of identifier, other than LEI or MFI code","LEI code")</f>
        <v>LEI code</v>
      </c>
      <c r="J925" s="14" t="str">
        <f>IF(OR('Guarantees provided'!H919="E",'Guarantees provided'!H919="x"),"True","False")</f>
        <v>False</v>
      </c>
      <c r="K925" s="11" t="s">
        <v>53</v>
      </c>
      <c r="L925" s="11" t="s">
        <v>54</v>
      </c>
      <c r="M925" s="11">
        <f>-'Guarantees provided'!D919</f>
        <v>0</v>
      </c>
      <c r="N925" s="11" t="s">
        <v>55</v>
      </c>
      <c r="O925" s="11">
        <v>0</v>
      </c>
      <c r="P925" s="12" t="s">
        <v>56</v>
      </c>
    </row>
    <row r="926" spans="3:16" ht="23.65" thickBot="1">
      <c r="C926" s="10" t="s">
        <v>51</v>
      </c>
      <c r="D926" s="11">
        <v>919</v>
      </c>
      <c r="E926" s="11" t="s">
        <v>52</v>
      </c>
      <c r="F926" s="11">
        <f>'Guarantees provided'!G920</f>
        <v>0</v>
      </c>
      <c r="G926" s="11">
        <f>'Guarantees provided'!A920</f>
        <v>0</v>
      </c>
      <c r="H926" s="11">
        <f>IF('Guarantees provided'!B920="#",'Guarantees provided'!C920,'Guarantees provided'!B920)</f>
        <v>0</v>
      </c>
      <c r="I926" s="11" t="str">
        <f>IF('Guarantees provided'!B920="#","Type of identifier, other than LEI or MFI code","LEI code")</f>
        <v>LEI code</v>
      </c>
      <c r="J926" s="14" t="str">
        <f>IF(OR('Guarantees provided'!H920="E",'Guarantees provided'!H920="x"),"True","False")</f>
        <v>False</v>
      </c>
      <c r="K926" s="11" t="s">
        <v>53</v>
      </c>
      <c r="L926" s="11" t="s">
        <v>54</v>
      </c>
      <c r="M926" s="11">
        <f>-'Guarantees provided'!D920</f>
        <v>0</v>
      </c>
      <c r="N926" s="11" t="s">
        <v>55</v>
      </c>
      <c r="O926" s="11">
        <v>0</v>
      </c>
      <c r="P926" s="12" t="s">
        <v>56</v>
      </c>
    </row>
    <row r="927" spans="3:16" ht="23.65" thickBot="1">
      <c r="C927" s="10" t="s">
        <v>51</v>
      </c>
      <c r="D927" s="11">
        <v>920</v>
      </c>
      <c r="E927" s="11" t="s">
        <v>52</v>
      </c>
      <c r="F927" s="11">
        <f>'Guarantees provided'!G921</f>
        <v>0</v>
      </c>
      <c r="G927" s="11">
        <f>'Guarantees provided'!A921</f>
        <v>0</v>
      </c>
      <c r="H927" s="11">
        <f>IF('Guarantees provided'!B921="#",'Guarantees provided'!C921,'Guarantees provided'!B921)</f>
        <v>0</v>
      </c>
      <c r="I927" s="11" t="str">
        <f>IF('Guarantees provided'!B921="#","Type of identifier, other than LEI or MFI code","LEI code")</f>
        <v>LEI code</v>
      </c>
      <c r="J927" s="14" t="str">
        <f>IF(OR('Guarantees provided'!H921="E",'Guarantees provided'!H921="x"),"True","False")</f>
        <v>False</v>
      </c>
      <c r="K927" s="11" t="s">
        <v>53</v>
      </c>
      <c r="L927" s="11" t="s">
        <v>54</v>
      </c>
      <c r="M927" s="11">
        <f>-'Guarantees provided'!D921</f>
        <v>0</v>
      </c>
      <c r="N927" s="11" t="s">
        <v>55</v>
      </c>
      <c r="O927" s="11">
        <v>0</v>
      </c>
      <c r="P927" s="12" t="s">
        <v>56</v>
      </c>
    </row>
    <row r="928" spans="3:16" ht="23.65" thickBot="1">
      <c r="C928" s="10" t="s">
        <v>51</v>
      </c>
      <c r="D928" s="11">
        <v>921</v>
      </c>
      <c r="E928" s="11" t="s">
        <v>52</v>
      </c>
      <c r="F928" s="11">
        <f>'Guarantees provided'!G922</f>
        <v>0</v>
      </c>
      <c r="G928" s="11">
        <f>'Guarantees provided'!A922</f>
        <v>0</v>
      </c>
      <c r="H928" s="11">
        <f>IF('Guarantees provided'!B922="#",'Guarantees provided'!C922,'Guarantees provided'!B922)</f>
        <v>0</v>
      </c>
      <c r="I928" s="11" t="str">
        <f>IF('Guarantees provided'!B922="#","Type of identifier, other than LEI or MFI code","LEI code")</f>
        <v>LEI code</v>
      </c>
      <c r="J928" s="14" t="str">
        <f>IF(OR('Guarantees provided'!H922="E",'Guarantees provided'!H922="x"),"True","False")</f>
        <v>False</v>
      </c>
      <c r="K928" s="11" t="s">
        <v>53</v>
      </c>
      <c r="L928" s="11" t="s">
        <v>54</v>
      </c>
      <c r="M928" s="11">
        <f>-'Guarantees provided'!D922</f>
        <v>0</v>
      </c>
      <c r="N928" s="11" t="s">
        <v>55</v>
      </c>
      <c r="O928" s="11">
        <v>0</v>
      </c>
      <c r="P928" s="12" t="s">
        <v>56</v>
      </c>
    </row>
    <row r="929" spans="3:16" ht="23.65" thickBot="1">
      <c r="C929" s="10" t="s">
        <v>51</v>
      </c>
      <c r="D929" s="11">
        <v>922</v>
      </c>
      <c r="E929" s="11" t="s">
        <v>52</v>
      </c>
      <c r="F929" s="11">
        <f>'Guarantees provided'!G923</f>
        <v>0</v>
      </c>
      <c r="G929" s="11">
        <f>'Guarantees provided'!A923</f>
        <v>0</v>
      </c>
      <c r="H929" s="11">
        <f>IF('Guarantees provided'!B923="#",'Guarantees provided'!C923,'Guarantees provided'!B923)</f>
        <v>0</v>
      </c>
      <c r="I929" s="11" t="str">
        <f>IF('Guarantees provided'!B923="#","Type of identifier, other than LEI or MFI code","LEI code")</f>
        <v>LEI code</v>
      </c>
      <c r="J929" s="14" t="str">
        <f>IF(OR('Guarantees provided'!H923="E",'Guarantees provided'!H923="x"),"True","False")</f>
        <v>False</v>
      </c>
      <c r="K929" s="11" t="s">
        <v>53</v>
      </c>
      <c r="L929" s="11" t="s">
        <v>54</v>
      </c>
      <c r="M929" s="11">
        <f>-'Guarantees provided'!D923</f>
        <v>0</v>
      </c>
      <c r="N929" s="11" t="s">
        <v>55</v>
      </c>
      <c r="O929" s="11">
        <v>0</v>
      </c>
      <c r="P929" s="12" t="s">
        <v>56</v>
      </c>
    </row>
    <row r="930" spans="3:16" ht="23.65" thickBot="1">
      <c r="C930" s="10" t="s">
        <v>51</v>
      </c>
      <c r="D930" s="11">
        <v>923</v>
      </c>
      <c r="E930" s="11" t="s">
        <v>52</v>
      </c>
      <c r="F930" s="11">
        <f>'Guarantees provided'!G924</f>
        <v>0</v>
      </c>
      <c r="G930" s="11">
        <f>'Guarantees provided'!A924</f>
        <v>0</v>
      </c>
      <c r="H930" s="11">
        <f>IF('Guarantees provided'!B924="#",'Guarantees provided'!C924,'Guarantees provided'!B924)</f>
        <v>0</v>
      </c>
      <c r="I930" s="11" t="str">
        <f>IF('Guarantees provided'!B924="#","Type of identifier, other than LEI or MFI code","LEI code")</f>
        <v>LEI code</v>
      </c>
      <c r="J930" s="14" t="str">
        <f>IF(OR('Guarantees provided'!H924="E",'Guarantees provided'!H924="x"),"True","False")</f>
        <v>False</v>
      </c>
      <c r="K930" s="11" t="s">
        <v>53</v>
      </c>
      <c r="L930" s="11" t="s">
        <v>54</v>
      </c>
      <c r="M930" s="11">
        <f>-'Guarantees provided'!D924</f>
        <v>0</v>
      </c>
      <c r="N930" s="11" t="s">
        <v>55</v>
      </c>
      <c r="O930" s="11">
        <v>0</v>
      </c>
      <c r="P930" s="12" t="s">
        <v>56</v>
      </c>
    </row>
    <row r="931" spans="3:16" ht="23.65" thickBot="1">
      <c r="C931" s="10" t="s">
        <v>51</v>
      </c>
      <c r="D931" s="11">
        <v>924</v>
      </c>
      <c r="E931" s="11" t="s">
        <v>52</v>
      </c>
      <c r="F931" s="11">
        <f>'Guarantees provided'!G925</f>
        <v>0</v>
      </c>
      <c r="G931" s="11">
        <f>'Guarantees provided'!A925</f>
        <v>0</v>
      </c>
      <c r="H931" s="11">
        <f>IF('Guarantees provided'!B925="#",'Guarantees provided'!C925,'Guarantees provided'!B925)</f>
        <v>0</v>
      </c>
      <c r="I931" s="11" t="str">
        <f>IF('Guarantees provided'!B925="#","Type of identifier, other than LEI or MFI code","LEI code")</f>
        <v>LEI code</v>
      </c>
      <c r="J931" s="14" t="str">
        <f>IF(OR('Guarantees provided'!H925="E",'Guarantees provided'!H925="x"),"True","False")</f>
        <v>False</v>
      </c>
      <c r="K931" s="11" t="s">
        <v>53</v>
      </c>
      <c r="L931" s="11" t="s">
        <v>54</v>
      </c>
      <c r="M931" s="11">
        <f>-'Guarantees provided'!D925</f>
        <v>0</v>
      </c>
      <c r="N931" s="11" t="s">
        <v>55</v>
      </c>
      <c r="O931" s="11">
        <v>0</v>
      </c>
      <c r="P931" s="12" t="s">
        <v>56</v>
      </c>
    </row>
    <row r="932" spans="3:16" ht="23.65" thickBot="1">
      <c r="C932" s="10" t="s">
        <v>51</v>
      </c>
      <c r="D932" s="11">
        <v>925</v>
      </c>
      <c r="E932" s="11" t="s">
        <v>52</v>
      </c>
      <c r="F932" s="11">
        <f>'Guarantees provided'!G926</f>
        <v>0</v>
      </c>
      <c r="G932" s="11">
        <f>'Guarantees provided'!A926</f>
        <v>0</v>
      </c>
      <c r="H932" s="11">
        <f>IF('Guarantees provided'!B926="#",'Guarantees provided'!C926,'Guarantees provided'!B926)</f>
        <v>0</v>
      </c>
      <c r="I932" s="11" t="str">
        <f>IF('Guarantees provided'!B926="#","Type of identifier, other than LEI or MFI code","LEI code")</f>
        <v>LEI code</v>
      </c>
      <c r="J932" s="14" t="str">
        <f>IF(OR('Guarantees provided'!H926="E",'Guarantees provided'!H926="x"),"True","False")</f>
        <v>False</v>
      </c>
      <c r="K932" s="11" t="s">
        <v>53</v>
      </c>
      <c r="L932" s="11" t="s">
        <v>54</v>
      </c>
      <c r="M932" s="11">
        <f>-'Guarantees provided'!D926</f>
        <v>0</v>
      </c>
      <c r="N932" s="11" t="s">
        <v>55</v>
      </c>
      <c r="O932" s="11">
        <v>0</v>
      </c>
      <c r="P932" s="12" t="s">
        <v>56</v>
      </c>
    </row>
    <row r="933" spans="3:16" ht="23.65" thickBot="1">
      <c r="C933" s="10" t="s">
        <v>51</v>
      </c>
      <c r="D933" s="11">
        <v>926</v>
      </c>
      <c r="E933" s="11" t="s">
        <v>52</v>
      </c>
      <c r="F933" s="11">
        <f>'Guarantees provided'!G927</f>
        <v>0</v>
      </c>
      <c r="G933" s="11">
        <f>'Guarantees provided'!A927</f>
        <v>0</v>
      </c>
      <c r="H933" s="11">
        <f>IF('Guarantees provided'!B927="#",'Guarantees provided'!C927,'Guarantees provided'!B927)</f>
        <v>0</v>
      </c>
      <c r="I933" s="11" t="str">
        <f>IF('Guarantees provided'!B927="#","Type of identifier, other than LEI or MFI code","LEI code")</f>
        <v>LEI code</v>
      </c>
      <c r="J933" s="14" t="str">
        <f>IF(OR('Guarantees provided'!H927="E",'Guarantees provided'!H927="x"),"True","False")</f>
        <v>False</v>
      </c>
      <c r="K933" s="11" t="s">
        <v>53</v>
      </c>
      <c r="L933" s="11" t="s">
        <v>54</v>
      </c>
      <c r="M933" s="11">
        <f>-'Guarantees provided'!D927</f>
        <v>0</v>
      </c>
      <c r="N933" s="11" t="s">
        <v>55</v>
      </c>
      <c r="O933" s="11">
        <v>0</v>
      </c>
      <c r="P933" s="12" t="s">
        <v>56</v>
      </c>
    </row>
    <row r="934" spans="3:16" ht="23.65" thickBot="1">
      <c r="C934" s="10" t="s">
        <v>51</v>
      </c>
      <c r="D934" s="11">
        <v>927</v>
      </c>
      <c r="E934" s="11" t="s">
        <v>52</v>
      </c>
      <c r="F934" s="11">
        <f>'Guarantees provided'!G928</f>
        <v>0</v>
      </c>
      <c r="G934" s="11">
        <f>'Guarantees provided'!A928</f>
        <v>0</v>
      </c>
      <c r="H934" s="11">
        <f>IF('Guarantees provided'!B928="#",'Guarantees provided'!C928,'Guarantees provided'!B928)</f>
        <v>0</v>
      </c>
      <c r="I934" s="11" t="str">
        <f>IF('Guarantees provided'!B928="#","Type of identifier, other than LEI or MFI code","LEI code")</f>
        <v>LEI code</v>
      </c>
      <c r="J934" s="14" t="str">
        <f>IF(OR('Guarantees provided'!H928="E",'Guarantees provided'!H928="x"),"True","False")</f>
        <v>False</v>
      </c>
      <c r="K934" s="11" t="s">
        <v>53</v>
      </c>
      <c r="L934" s="11" t="s">
        <v>54</v>
      </c>
      <c r="M934" s="11">
        <f>-'Guarantees provided'!D928</f>
        <v>0</v>
      </c>
      <c r="N934" s="11" t="s">
        <v>55</v>
      </c>
      <c r="O934" s="11">
        <v>0</v>
      </c>
      <c r="P934" s="12" t="s">
        <v>56</v>
      </c>
    </row>
    <row r="935" spans="3:16" ht="23.65" thickBot="1">
      <c r="C935" s="10" t="s">
        <v>51</v>
      </c>
      <c r="D935" s="11">
        <v>928</v>
      </c>
      <c r="E935" s="11" t="s">
        <v>52</v>
      </c>
      <c r="F935" s="11">
        <f>'Guarantees provided'!G929</f>
        <v>0</v>
      </c>
      <c r="G935" s="11">
        <f>'Guarantees provided'!A929</f>
        <v>0</v>
      </c>
      <c r="H935" s="11">
        <f>IF('Guarantees provided'!B929="#",'Guarantees provided'!C929,'Guarantees provided'!B929)</f>
        <v>0</v>
      </c>
      <c r="I935" s="11" t="str">
        <f>IF('Guarantees provided'!B929="#","Type of identifier, other than LEI or MFI code","LEI code")</f>
        <v>LEI code</v>
      </c>
      <c r="J935" s="14" t="str">
        <f>IF(OR('Guarantees provided'!H929="E",'Guarantees provided'!H929="x"),"True","False")</f>
        <v>False</v>
      </c>
      <c r="K935" s="11" t="s">
        <v>53</v>
      </c>
      <c r="L935" s="11" t="s">
        <v>54</v>
      </c>
      <c r="M935" s="11">
        <f>-'Guarantees provided'!D929</f>
        <v>0</v>
      </c>
      <c r="N935" s="11" t="s">
        <v>55</v>
      </c>
      <c r="O935" s="11">
        <v>0</v>
      </c>
      <c r="P935" s="12" t="s">
        <v>56</v>
      </c>
    </row>
    <row r="936" spans="3:16" ht="23.65" thickBot="1">
      <c r="C936" s="10" t="s">
        <v>51</v>
      </c>
      <c r="D936" s="11">
        <v>929</v>
      </c>
      <c r="E936" s="11" t="s">
        <v>52</v>
      </c>
      <c r="F936" s="11">
        <f>'Guarantees provided'!G930</f>
        <v>0</v>
      </c>
      <c r="G936" s="11">
        <f>'Guarantees provided'!A930</f>
        <v>0</v>
      </c>
      <c r="H936" s="11">
        <f>IF('Guarantees provided'!B930="#",'Guarantees provided'!C930,'Guarantees provided'!B930)</f>
        <v>0</v>
      </c>
      <c r="I936" s="11" t="str">
        <f>IF('Guarantees provided'!B930="#","Type of identifier, other than LEI or MFI code","LEI code")</f>
        <v>LEI code</v>
      </c>
      <c r="J936" s="14" t="str">
        <f>IF(OR('Guarantees provided'!H930="E",'Guarantees provided'!H930="x"),"True","False")</f>
        <v>False</v>
      </c>
      <c r="K936" s="11" t="s">
        <v>53</v>
      </c>
      <c r="L936" s="11" t="s">
        <v>54</v>
      </c>
      <c r="M936" s="11">
        <f>-'Guarantees provided'!D930</f>
        <v>0</v>
      </c>
      <c r="N936" s="11" t="s">
        <v>55</v>
      </c>
      <c r="O936" s="11">
        <v>0</v>
      </c>
      <c r="P936" s="12" t="s">
        <v>56</v>
      </c>
    </row>
    <row r="937" spans="3:16" ht="23.65" thickBot="1">
      <c r="C937" s="10" t="s">
        <v>51</v>
      </c>
      <c r="D937" s="11">
        <v>930</v>
      </c>
      <c r="E937" s="11" t="s">
        <v>52</v>
      </c>
      <c r="F937" s="11">
        <f>'Guarantees provided'!G931</f>
        <v>0</v>
      </c>
      <c r="G937" s="11">
        <f>'Guarantees provided'!A931</f>
        <v>0</v>
      </c>
      <c r="H937" s="11">
        <f>IF('Guarantees provided'!B931="#",'Guarantees provided'!C931,'Guarantees provided'!B931)</f>
        <v>0</v>
      </c>
      <c r="I937" s="11" t="str">
        <f>IF('Guarantees provided'!B931="#","Type of identifier, other than LEI or MFI code","LEI code")</f>
        <v>LEI code</v>
      </c>
      <c r="J937" s="14" t="str">
        <f>IF(OR('Guarantees provided'!H931="E",'Guarantees provided'!H931="x"),"True","False")</f>
        <v>False</v>
      </c>
      <c r="K937" s="11" t="s">
        <v>53</v>
      </c>
      <c r="L937" s="11" t="s">
        <v>54</v>
      </c>
      <c r="M937" s="11">
        <f>-'Guarantees provided'!D931</f>
        <v>0</v>
      </c>
      <c r="N937" s="11" t="s">
        <v>55</v>
      </c>
      <c r="O937" s="11">
        <v>0</v>
      </c>
      <c r="P937" s="12" t="s">
        <v>56</v>
      </c>
    </row>
    <row r="938" spans="3:16" ht="23.65" thickBot="1">
      <c r="C938" s="10" t="s">
        <v>51</v>
      </c>
      <c r="D938" s="11">
        <v>931</v>
      </c>
      <c r="E938" s="11" t="s">
        <v>52</v>
      </c>
      <c r="F938" s="11">
        <f>'Guarantees provided'!G932</f>
        <v>0</v>
      </c>
      <c r="G938" s="11">
        <f>'Guarantees provided'!A932</f>
        <v>0</v>
      </c>
      <c r="H938" s="11">
        <f>IF('Guarantees provided'!B932="#",'Guarantees provided'!C932,'Guarantees provided'!B932)</f>
        <v>0</v>
      </c>
      <c r="I938" s="11" t="str">
        <f>IF('Guarantees provided'!B932="#","Type of identifier, other than LEI or MFI code","LEI code")</f>
        <v>LEI code</v>
      </c>
      <c r="J938" s="14" t="str">
        <f>IF(OR('Guarantees provided'!H932="E",'Guarantees provided'!H932="x"),"True","False")</f>
        <v>False</v>
      </c>
      <c r="K938" s="11" t="s">
        <v>53</v>
      </c>
      <c r="L938" s="11" t="s">
        <v>54</v>
      </c>
      <c r="M938" s="11">
        <f>-'Guarantees provided'!D932</f>
        <v>0</v>
      </c>
      <c r="N938" s="11" t="s">
        <v>55</v>
      </c>
      <c r="O938" s="11">
        <v>0</v>
      </c>
      <c r="P938" s="12" t="s">
        <v>56</v>
      </c>
    </row>
    <row r="939" spans="3:16" ht="23.65" thickBot="1">
      <c r="C939" s="10" t="s">
        <v>51</v>
      </c>
      <c r="D939" s="11">
        <v>932</v>
      </c>
      <c r="E939" s="11" t="s">
        <v>52</v>
      </c>
      <c r="F939" s="11">
        <f>'Guarantees provided'!G933</f>
        <v>0</v>
      </c>
      <c r="G939" s="11">
        <f>'Guarantees provided'!A933</f>
        <v>0</v>
      </c>
      <c r="H939" s="11">
        <f>IF('Guarantees provided'!B933="#",'Guarantees provided'!C933,'Guarantees provided'!B933)</f>
        <v>0</v>
      </c>
      <c r="I939" s="11" t="str">
        <f>IF('Guarantees provided'!B933="#","Type of identifier, other than LEI or MFI code","LEI code")</f>
        <v>LEI code</v>
      </c>
      <c r="J939" s="14" t="str">
        <f>IF(OR('Guarantees provided'!H933="E",'Guarantees provided'!H933="x"),"True","False")</f>
        <v>False</v>
      </c>
      <c r="K939" s="11" t="s">
        <v>53</v>
      </c>
      <c r="L939" s="11" t="s">
        <v>54</v>
      </c>
      <c r="M939" s="11">
        <f>-'Guarantees provided'!D933</f>
        <v>0</v>
      </c>
      <c r="N939" s="11" t="s">
        <v>55</v>
      </c>
      <c r="O939" s="11">
        <v>0</v>
      </c>
      <c r="P939" s="12" t="s">
        <v>56</v>
      </c>
    </row>
    <row r="940" spans="3:16" ht="23.65" thickBot="1">
      <c r="C940" s="10" t="s">
        <v>51</v>
      </c>
      <c r="D940" s="11">
        <v>933</v>
      </c>
      <c r="E940" s="11" t="s">
        <v>52</v>
      </c>
      <c r="F940" s="11">
        <f>'Guarantees provided'!G934</f>
        <v>0</v>
      </c>
      <c r="G940" s="11">
        <f>'Guarantees provided'!A934</f>
        <v>0</v>
      </c>
      <c r="H940" s="11">
        <f>IF('Guarantees provided'!B934="#",'Guarantees provided'!C934,'Guarantees provided'!B934)</f>
        <v>0</v>
      </c>
      <c r="I940" s="11" t="str">
        <f>IF('Guarantees provided'!B934="#","Type of identifier, other than LEI or MFI code","LEI code")</f>
        <v>LEI code</v>
      </c>
      <c r="J940" s="14" t="str">
        <f>IF(OR('Guarantees provided'!H934="E",'Guarantees provided'!H934="x"),"True","False")</f>
        <v>False</v>
      </c>
      <c r="K940" s="11" t="s">
        <v>53</v>
      </c>
      <c r="L940" s="11" t="s">
        <v>54</v>
      </c>
      <c r="M940" s="11">
        <f>-'Guarantees provided'!D934</f>
        <v>0</v>
      </c>
      <c r="N940" s="11" t="s">
        <v>55</v>
      </c>
      <c r="O940" s="11">
        <v>0</v>
      </c>
      <c r="P940" s="12" t="s">
        <v>56</v>
      </c>
    </row>
    <row r="941" spans="3:16" ht="23.65" thickBot="1">
      <c r="C941" s="10" t="s">
        <v>51</v>
      </c>
      <c r="D941" s="11">
        <v>934</v>
      </c>
      <c r="E941" s="11" t="s">
        <v>52</v>
      </c>
      <c r="F941" s="11">
        <f>'Guarantees provided'!G935</f>
        <v>0</v>
      </c>
      <c r="G941" s="11">
        <f>'Guarantees provided'!A935</f>
        <v>0</v>
      </c>
      <c r="H941" s="11">
        <f>IF('Guarantees provided'!B935="#",'Guarantees provided'!C935,'Guarantees provided'!B935)</f>
        <v>0</v>
      </c>
      <c r="I941" s="11" t="str">
        <f>IF('Guarantees provided'!B935="#","Type of identifier, other than LEI or MFI code","LEI code")</f>
        <v>LEI code</v>
      </c>
      <c r="J941" s="14" t="str">
        <f>IF(OR('Guarantees provided'!H935="E",'Guarantees provided'!H935="x"),"True","False")</f>
        <v>False</v>
      </c>
      <c r="K941" s="11" t="s">
        <v>53</v>
      </c>
      <c r="L941" s="11" t="s">
        <v>54</v>
      </c>
      <c r="M941" s="11">
        <f>-'Guarantees provided'!D935</f>
        <v>0</v>
      </c>
      <c r="N941" s="11" t="s">
        <v>55</v>
      </c>
      <c r="O941" s="11">
        <v>0</v>
      </c>
      <c r="P941" s="12" t="s">
        <v>56</v>
      </c>
    </row>
  </sheetData>
  <mergeCells count="4">
    <mergeCell ref="A1:P1"/>
    <mergeCell ref="D4:P4"/>
    <mergeCell ref="E5:P5"/>
    <mergeCell ref="Q5:Q6"/>
  </mergeCells>
  <phoneticPr fontId="9" type="noConversion"/>
  <conditionalFormatting sqref="D8:P941">
    <cfRule type="expression" dxfId="6" priority="3">
      <formula>LEN(TRIM(D8))=0</formula>
    </cfRule>
    <cfRule type="expression" dxfId="5" priority="4">
      <formula>LEN(TRIM(D8))=0</formula>
    </cfRule>
    <cfRule type="expression" dxfId="4" priority="5">
      <formula>LEN(TRIM(D8))=0</formula>
    </cfRule>
    <cfRule type="expression" dxfId="3" priority="6">
      <formula>LEN(TRIM(D8))=0</formula>
    </cfRule>
    <cfRule type="expression" dxfId="2" priority="7">
      <formula>LEN(TRIM(D8))=0</formula>
    </cfRule>
    <cfRule type="expression" dxfId="1" priority="2">
      <formula>LEN(TRIM(D8))=0</formula>
    </cfRule>
    <cfRule type="expression" dxfId="0" priority="1">
      <formula>LEN(TRIM(D8))=0</formula>
    </cfRule>
  </conditionalFormatting>
  <pageMargins left="0.7" right="0.7" top="0.75" bottom="0.75" header="0.3" footer="0.3"/>
  <pageSetup scale="37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35"/>
  <sheetViews>
    <sheetView workbookViewId="0">
      <selection activeCell="A5" sqref="A5"/>
    </sheetView>
  </sheetViews>
  <sheetFormatPr defaultRowHeight="14.25"/>
  <cols>
    <col min="1" max="1" width="63.265625" bestFit="1" customWidth="1"/>
    <col min="2" max="2" width="23.265625" bestFit="1" customWidth="1"/>
    <col min="3" max="3" width="11" bestFit="1" customWidth="1"/>
    <col min="4" max="4" width="28.73046875" bestFit="1" customWidth="1"/>
    <col min="5" max="5" width="17" bestFit="1" customWidth="1"/>
    <col min="6" max="6" width="12.1328125" bestFit="1" customWidth="1"/>
    <col min="7" max="7" width="16.1328125" bestFit="1" customWidth="1"/>
    <col min="8" max="8" width="20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60</v>
      </c>
      <c r="H1" t="s">
        <v>137</v>
      </c>
    </row>
    <row r="2" spans="1:8">
      <c r="A2" t="s">
        <v>7</v>
      </c>
      <c r="B2" t="s">
        <v>6</v>
      </c>
      <c r="C2" t="s">
        <v>8</v>
      </c>
      <c r="D2" s="1">
        <v>-2500000</v>
      </c>
      <c r="G2" t="s">
        <v>58</v>
      </c>
    </row>
    <row r="3" spans="1:8">
      <c r="A3" t="s">
        <v>7</v>
      </c>
      <c r="B3" t="s">
        <v>6</v>
      </c>
      <c r="C3" t="s">
        <v>8</v>
      </c>
      <c r="D3" s="1">
        <v>-78095</v>
      </c>
      <c r="G3" t="s">
        <v>141</v>
      </c>
    </row>
    <row r="4" spans="1:8">
      <c r="A4" t="s">
        <v>9</v>
      </c>
      <c r="B4" t="s">
        <v>142</v>
      </c>
      <c r="C4" t="s">
        <v>10</v>
      </c>
      <c r="D4" s="1">
        <v>-1458.43</v>
      </c>
      <c r="G4" t="s">
        <v>61</v>
      </c>
    </row>
    <row r="5" spans="1:8">
      <c r="A5" t="s">
        <v>9</v>
      </c>
      <c r="B5" t="s">
        <v>142</v>
      </c>
      <c r="C5" t="s">
        <v>10</v>
      </c>
      <c r="D5" s="1">
        <v>-24000</v>
      </c>
      <c r="G5" t="s">
        <v>62</v>
      </c>
    </row>
    <row r="6" spans="1:8">
      <c r="A6" t="s">
        <v>9</v>
      </c>
      <c r="B6" t="s">
        <v>142</v>
      </c>
      <c r="C6" t="s">
        <v>10</v>
      </c>
      <c r="D6" s="1">
        <v>-6500</v>
      </c>
      <c r="G6" t="s">
        <v>63</v>
      </c>
    </row>
    <row r="7" spans="1:8">
      <c r="A7" t="s">
        <v>9</v>
      </c>
      <c r="B7" t="s">
        <v>142</v>
      </c>
      <c r="C7" t="s">
        <v>10</v>
      </c>
      <c r="D7" s="1">
        <v>-83520.78</v>
      </c>
      <c r="G7" t="s">
        <v>64</v>
      </c>
    </row>
    <row r="8" spans="1:8">
      <c r="A8" t="s">
        <v>9</v>
      </c>
      <c r="B8" t="s">
        <v>142</v>
      </c>
      <c r="C8" t="s">
        <v>10</v>
      </c>
      <c r="D8" s="1">
        <v>-10000</v>
      </c>
      <c r="G8" t="s">
        <v>65</v>
      </c>
    </row>
    <row r="9" spans="1:8">
      <c r="A9" t="s">
        <v>9</v>
      </c>
      <c r="B9" t="s">
        <v>142</v>
      </c>
      <c r="C9" t="s">
        <v>10</v>
      </c>
      <c r="D9" s="1">
        <v>-50000</v>
      </c>
      <c r="G9" t="s">
        <v>66</v>
      </c>
    </row>
    <row r="10" spans="1:8">
      <c r="A10" t="s">
        <v>9</v>
      </c>
      <c r="B10" t="s">
        <v>142</v>
      </c>
      <c r="C10" t="s">
        <v>10</v>
      </c>
      <c r="D10" s="1">
        <v>-831977.2</v>
      </c>
      <c r="G10" t="s">
        <v>67</v>
      </c>
    </row>
    <row r="11" spans="1:8">
      <c r="A11" t="s">
        <v>9</v>
      </c>
      <c r="B11" t="s">
        <v>142</v>
      </c>
      <c r="C11" t="s">
        <v>10</v>
      </c>
      <c r="D11" s="1">
        <v>-548087.1</v>
      </c>
      <c r="G11" t="s">
        <v>68</v>
      </c>
    </row>
    <row r="12" spans="1:8">
      <c r="A12" t="s">
        <v>9</v>
      </c>
      <c r="B12" t="s">
        <v>142</v>
      </c>
      <c r="C12" t="s">
        <v>10</v>
      </c>
      <c r="D12" s="1">
        <v>-7774.54</v>
      </c>
      <c r="G12" t="s">
        <v>69</v>
      </c>
    </row>
    <row r="13" spans="1:8">
      <c r="A13" t="s">
        <v>9</v>
      </c>
      <c r="B13" t="s">
        <v>142</v>
      </c>
      <c r="C13" t="s">
        <v>10</v>
      </c>
      <c r="D13" s="1">
        <v>-2407128.2999999998</v>
      </c>
      <c r="G13" t="s">
        <v>70</v>
      </c>
    </row>
    <row r="14" spans="1:8">
      <c r="A14" t="s">
        <v>9</v>
      </c>
      <c r="B14" t="s">
        <v>142</v>
      </c>
      <c r="C14" t="s">
        <v>10</v>
      </c>
      <c r="D14" s="1">
        <v>-94010.87</v>
      </c>
      <c r="G14" t="s">
        <v>71</v>
      </c>
    </row>
    <row r="15" spans="1:8">
      <c r="A15" t="s">
        <v>9</v>
      </c>
      <c r="B15" t="s">
        <v>142</v>
      </c>
      <c r="C15" t="s">
        <v>10</v>
      </c>
      <c r="D15" s="1">
        <v>-403793</v>
      </c>
      <c r="G15" t="s">
        <v>72</v>
      </c>
    </row>
    <row r="16" spans="1:8">
      <c r="A16" t="s">
        <v>9</v>
      </c>
      <c r="B16" t="s">
        <v>142</v>
      </c>
      <c r="C16" t="s">
        <v>10</v>
      </c>
      <c r="D16" s="1">
        <v>-1750</v>
      </c>
      <c r="G16" t="s">
        <v>73</v>
      </c>
    </row>
    <row r="17" spans="1:7">
      <c r="A17" t="s">
        <v>9</v>
      </c>
      <c r="B17" t="s">
        <v>142</v>
      </c>
      <c r="C17" t="s">
        <v>10</v>
      </c>
      <c r="D17" s="1">
        <v>-21935.66</v>
      </c>
      <c r="G17" t="s">
        <v>74</v>
      </c>
    </row>
    <row r="18" spans="1:7">
      <c r="A18" t="s">
        <v>9</v>
      </c>
      <c r="B18" t="s">
        <v>142</v>
      </c>
      <c r="C18" t="s">
        <v>10</v>
      </c>
      <c r="D18" s="1">
        <v>-131735.04000000001</v>
      </c>
      <c r="G18" t="s">
        <v>75</v>
      </c>
    </row>
    <row r="19" spans="1:7">
      <c r="A19" t="s">
        <v>9</v>
      </c>
      <c r="B19" t="s">
        <v>142</v>
      </c>
      <c r="C19" t="s">
        <v>10</v>
      </c>
      <c r="D19" s="1">
        <v>-51065.91</v>
      </c>
      <c r="G19" t="s">
        <v>76</v>
      </c>
    </row>
    <row r="20" spans="1:7">
      <c r="A20" t="s">
        <v>9</v>
      </c>
      <c r="B20" t="s">
        <v>142</v>
      </c>
      <c r="C20" t="s">
        <v>10</v>
      </c>
      <c r="D20" s="1">
        <v>-19686</v>
      </c>
      <c r="G20" t="s">
        <v>77</v>
      </c>
    </row>
    <row r="21" spans="1:7">
      <c r="A21" t="s">
        <v>9</v>
      </c>
      <c r="B21" t="s">
        <v>142</v>
      </c>
      <c r="C21" t="s">
        <v>10</v>
      </c>
      <c r="D21" s="1">
        <v>-30000</v>
      </c>
      <c r="G21" t="s">
        <v>78</v>
      </c>
    </row>
    <row r="22" spans="1:7">
      <c r="A22" t="s">
        <v>9</v>
      </c>
      <c r="B22" t="s">
        <v>142</v>
      </c>
      <c r="C22" t="s">
        <v>10</v>
      </c>
      <c r="D22" s="1">
        <v>-35836.379999999997</v>
      </c>
      <c r="G22" t="s">
        <v>79</v>
      </c>
    </row>
    <row r="23" spans="1:7">
      <c r="A23" t="s">
        <v>9</v>
      </c>
      <c r="B23" t="s">
        <v>142</v>
      </c>
      <c r="C23" t="s">
        <v>10</v>
      </c>
      <c r="D23" s="1">
        <v>-120000</v>
      </c>
      <c r="G23" t="s">
        <v>80</v>
      </c>
    </row>
    <row r="24" spans="1:7">
      <c r="A24" t="s">
        <v>9</v>
      </c>
      <c r="B24" t="s">
        <v>142</v>
      </c>
      <c r="C24" t="s">
        <v>10</v>
      </c>
      <c r="D24" s="1">
        <v>-10000</v>
      </c>
      <c r="G24" t="s">
        <v>81</v>
      </c>
    </row>
    <row r="25" spans="1:7">
      <c r="A25" t="s">
        <v>9</v>
      </c>
      <c r="B25" t="s">
        <v>142</v>
      </c>
      <c r="C25" t="s">
        <v>10</v>
      </c>
      <c r="D25" s="1">
        <v>-3000</v>
      </c>
      <c r="G25" t="s">
        <v>82</v>
      </c>
    </row>
    <row r="26" spans="1:7">
      <c r="A26" t="s">
        <v>9</v>
      </c>
      <c r="B26" t="s">
        <v>142</v>
      </c>
      <c r="C26" t="s">
        <v>10</v>
      </c>
      <c r="D26" s="1">
        <v>-15000</v>
      </c>
      <c r="G26" t="s">
        <v>83</v>
      </c>
    </row>
    <row r="27" spans="1:7">
      <c r="A27" t="s">
        <v>9</v>
      </c>
      <c r="B27" t="s">
        <v>142</v>
      </c>
      <c r="C27" t="s">
        <v>10</v>
      </c>
      <c r="D27" s="1">
        <v>-36226.58</v>
      </c>
      <c r="G27" t="s">
        <v>84</v>
      </c>
    </row>
    <row r="28" spans="1:7">
      <c r="A28" t="s">
        <v>9</v>
      </c>
      <c r="B28" t="s">
        <v>142</v>
      </c>
      <c r="C28" t="s">
        <v>10</v>
      </c>
      <c r="D28" s="1">
        <v>-9000</v>
      </c>
      <c r="G28" t="s">
        <v>85</v>
      </c>
    </row>
    <row r="29" spans="1:7">
      <c r="A29" t="s">
        <v>9</v>
      </c>
      <c r="B29" t="s">
        <v>142</v>
      </c>
      <c r="C29" t="s">
        <v>10</v>
      </c>
      <c r="D29" s="1">
        <v>-18260.41</v>
      </c>
      <c r="G29" t="s">
        <v>86</v>
      </c>
    </row>
    <row r="30" spans="1:7">
      <c r="A30" t="s">
        <v>9</v>
      </c>
      <c r="B30" t="s">
        <v>142</v>
      </c>
      <c r="C30" t="s">
        <v>10</v>
      </c>
      <c r="D30" s="1">
        <v>-15000</v>
      </c>
      <c r="G30" t="s">
        <v>87</v>
      </c>
    </row>
    <row r="31" spans="1:7">
      <c r="A31" t="s">
        <v>9</v>
      </c>
      <c r="B31" t="s">
        <v>142</v>
      </c>
      <c r="C31" t="s">
        <v>10</v>
      </c>
      <c r="D31" s="1">
        <v>-1722035</v>
      </c>
      <c r="G31" t="s">
        <v>88</v>
      </c>
    </row>
    <row r="32" spans="1:7">
      <c r="A32" t="s">
        <v>9</v>
      </c>
      <c r="B32" t="s">
        <v>142</v>
      </c>
      <c r="C32" t="s">
        <v>10</v>
      </c>
      <c r="D32" s="1">
        <v>-24294.36</v>
      </c>
      <c r="G32" t="s">
        <v>89</v>
      </c>
    </row>
    <row r="33" spans="1:7">
      <c r="A33" t="s">
        <v>9</v>
      </c>
      <c r="B33" t="s">
        <v>142</v>
      </c>
      <c r="C33" t="s">
        <v>10</v>
      </c>
      <c r="D33" s="1">
        <v>-71930.92</v>
      </c>
      <c r="G33" t="s">
        <v>90</v>
      </c>
    </row>
    <row r="34" spans="1:7">
      <c r="A34" t="s">
        <v>9</v>
      </c>
      <c r="B34" t="s">
        <v>142</v>
      </c>
      <c r="C34" t="s">
        <v>10</v>
      </c>
      <c r="D34" s="1">
        <v>-13063.49</v>
      </c>
      <c r="G34" t="s">
        <v>490</v>
      </c>
    </row>
    <row r="35" spans="1:7">
      <c r="A35" t="s">
        <v>9</v>
      </c>
      <c r="B35" t="s">
        <v>142</v>
      </c>
      <c r="C35" t="s">
        <v>10</v>
      </c>
      <c r="D35" s="1">
        <v>-20000</v>
      </c>
      <c r="G35" t="s">
        <v>91</v>
      </c>
    </row>
    <row r="36" spans="1:7">
      <c r="A36" t="s">
        <v>9</v>
      </c>
      <c r="B36" t="s">
        <v>142</v>
      </c>
      <c r="C36" t="s">
        <v>10</v>
      </c>
      <c r="D36" s="1">
        <v>-40690.44</v>
      </c>
      <c r="G36" t="s">
        <v>92</v>
      </c>
    </row>
    <row r="37" spans="1:7">
      <c r="A37" t="s">
        <v>9</v>
      </c>
      <c r="B37" t="s">
        <v>142</v>
      </c>
      <c r="C37" t="s">
        <v>10</v>
      </c>
      <c r="D37" s="1">
        <v>-120175.08</v>
      </c>
      <c r="G37" t="s">
        <v>93</v>
      </c>
    </row>
    <row r="38" spans="1:7">
      <c r="A38" t="s">
        <v>9</v>
      </c>
      <c r="B38" t="s">
        <v>142</v>
      </c>
      <c r="C38" t="s">
        <v>10</v>
      </c>
      <c r="D38" s="1">
        <v>-34505.120000000003</v>
      </c>
      <c r="G38" t="s">
        <v>94</v>
      </c>
    </row>
    <row r="39" spans="1:7">
      <c r="A39" t="s">
        <v>9</v>
      </c>
      <c r="B39" t="s">
        <v>142</v>
      </c>
      <c r="C39" t="s">
        <v>10</v>
      </c>
      <c r="D39" s="1">
        <v>-11283</v>
      </c>
      <c r="G39" t="s">
        <v>95</v>
      </c>
    </row>
    <row r="40" spans="1:7">
      <c r="A40" t="s">
        <v>9</v>
      </c>
      <c r="B40" t="s">
        <v>142</v>
      </c>
      <c r="C40" t="s">
        <v>10</v>
      </c>
      <c r="D40" s="1">
        <v>-50000</v>
      </c>
      <c r="G40" t="s">
        <v>96</v>
      </c>
    </row>
    <row r="41" spans="1:7">
      <c r="A41" t="s">
        <v>9</v>
      </c>
      <c r="B41" t="s">
        <v>142</v>
      </c>
      <c r="C41" t="s">
        <v>10</v>
      </c>
      <c r="D41" s="1">
        <v>-36000</v>
      </c>
      <c r="G41" t="s">
        <v>97</v>
      </c>
    </row>
    <row r="42" spans="1:7">
      <c r="A42" t="s">
        <v>9</v>
      </c>
      <c r="B42" t="s">
        <v>142</v>
      </c>
      <c r="C42" t="s">
        <v>10</v>
      </c>
      <c r="D42" s="1">
        <v>-19247</v>
      </c>
      <c r="G42" t="s">
        <v>98</v>
      </c>
    </row>
    <row r="43" spans="1:7">
      <c r="A43" t="s">
        <v>9</v>
      </c>
      <c r="B43" t="s">
        <v>142</v>
      </c>
      <c r="C43" t="s">
        <v>10</v>
      </c>
      <c r="D43" s="1">
        <v>-14100</v>
      </c>
      <c r="G43" t="s">
        <v>99</v>
      </c>
    </row>
    <row r="44" spans="1:7">
      <c r="A44" t="s">
        <v>9</v>
      </c>
      <c r="B44" t="s">
        <v>142</v>
      </c>
      <c r="C44" t="s">
        <v>10</v>
      </c>
      <c r="D44" s="1">
        <v>-33939.660000000003</v>
      </c>
      <c r="G44" t="s">
        <v>100</v>
      </c>
    </row>
    <row r="45" spans="1:7">
      <c r="A45" t="s">
        <v>9</v>
      </c>
      <c r="B45" t="s">
        <v>142</v>
      </c>
      <c r="C45" t="s">
        <v>10</v>
      </c>
      <c r="D45" s="1">
        <v>-990000</v>
      </c>
      <c r="G45" t="s">
        <v>101</v>
      </c>
    </row>
    <row r="46" spans="1:7">
      <c r="A46" t="s">
        <v>9</v>
      </c>
      <c r="B46" t="s">
        <v>142</v>
      </c>
      <c r="C46" t="s">
        <v>10</v>
      </c>
      <c r="D46" s="1">
        <v>-794000</v>
      </c>
      <c r="G46" t="s">
        <v>102</v>
      </c>
    </row>
    <row r="47" spans="1:7">
      <c r="A47" t="s">
        <v>9</v>
      </c>
      <c r="B47" t="s">
        <v>142</v>
      </c>
      <c r="C47" t="s">
        <v>10</v>
      </c>
      <c r="D47" s="1">
        <v>-346000</v>
      </c>
      <c r="G47" t="s">
        <v>103</v>
      </c>
    </row>
    <row r="48" spans="1:7">
      <c r="A48" t="s">
        <v>9</v>
      </c>
      <c r="B48" t="s">
        <v>142</v>
      </c>
      <c r="C48" t="s">
        <v>10</v>
      </c>
      <c r="D48" s="1">
        <v>-30000</v>
      </c>
      <c r="G48" t="s">
        <v>104</v>
      </c>
    </row>
    <row r="49" spans="1:7">
      <c r="A49" t="s">
        <v>9</v>
      </c>
      <c r="B49" t="s">
        <v>142</v>
      </c>
      <c r="C49" t="s">
        <v>10</v>
      </c>
      <c r="D49" s="1">
        <v>-550000</v>
      </c>
      <c r="G49" t="s">
        <v>105</v>
      </c>
    </row>
    <row r="50" spans="1:7">
      <c r="A50" t="s">
        <v>9</v>
      </c>
      <c r="B50" t="s">
        <v>142</v>
      </c>
      <c r="C50" t="s">
        <v>10</v>
      </c>
      <c r="D50" s="1">
        <v>-60000</v>
      </c>
      <c r="G50" t="s">
        <v>106</v>
      </c>
    </row>
    <row r="51" spans="1:7">
      <c r="A51" t="s">
        <v>9</v>
      </c>
      <c r="B51" t="s">
        <v>142</v>
      </c>
      <c r="C51" t="s">
        <v>10</v>
      </c>
      <c r="D51" s="1">
        <v>-23182.560000000001</v>
      </c>
      <c r="G51" t="s">
        <v>107</v>
      </c>
    </row>
    <row r="52" spans="1:7">
      <c r="A52" t="s">
        <v>9</v>
      </c>
      <c r="B52" t="s">
        <v>142</v>
      </c>
      <c r="C52" t="s">
        <v>10</v>
      </c>
      <c r="D52" s="1">
        <v>-30000</v>
      </c>
      <c r="G52" t="s">
        <v>108</v>
      </c>
    </row>
    <row r="53" spans="1:7">
      <c r="A53" t="s">
        <v>9</v>
      </c>
      <c r="B53" t="s">
        <v>142</v>
      </c>
      <c r="C53" t="s">
        <v>10</v>
      </c>
      <c r="D53" s="1">
        <v>-32563.06</v>
      </c>
      <c r="G53" t="s">
        <v>109</v>
      </c>
    </row>
    <row r="54" spans="1:7">
      <c r="A54" t="s">
        <v>9</v>
      </c>
      <c r="B54" t="s">
        <v>142</v>
      </c>
      <c r="C54" t="s">
        <v>10</v>
      </c>
      <c r="D54" s="1">
        <v>-26286.959999999999</v>
      </c>
      <c r="G54" t="s">
        <v>110</v>
      </c>
    </row>
    <row r="55" spans="1:7">
      <c r="A55" t="s">
        <v>9</v>
      </c>
      <c r="B55" t="s">
        <v>142</v>
      </c>
      <c r="C55" t="s">
        <v>10</v>
      </c>
      <c r="D55" s="1">
        <v>-100509.73</v>
      </c>
      <c r="G55" t="s">
        <v>111</v>
      </c>
    </row>
    <row r="56" spans="1:7">
      <c r="A56" t="s">
        <v>9</v>
      </c>
      <c r="B56" t="s">
        <v>142</v>
      </c>
      <c r="C56" t="s">
        <v>10</v>
      </c>
      <c r="D56" s="1">
        <v>-400000</v>
      </c>
      <c r="G56" t="s">
        <v>112</v>
      </c>
    </row>
    <row r="57" spans="1:7">
      <c r="A57" t="s">
        <v>9</v>
      </c>
      <c r="B57" t="s">
        <v>142</v>
      </c>
      <c r="C57" t="s">
        <v>10</v>
      </c>
      <c r="D57" s="1">
        <v>-100000</v>
      </c>
      <c r="G57" t="s">
        <v>113</v>
      </c>
    </row>
    <row r="58" spans="1:7">
      <c r="A58" t="s">
        <v>9</v>
      </c>
      <c r="B58" t="s">
        <v>142</v>
      </c>
      <c r="C58" t="s">
        <v>10</v>
      </c>
      <c r="D58" s="1">
        <v>-234971.63</v>
      </c>
      <c r="G58" t="s">
        <v>143</v>
      </c>
    </row>
    <row r="59" spans="1:7">
      <c r="A59" t="s">
        <v>9</v>
      </c>
      <c r="B59" t="s">
        <v>142</v>
      </c>
      <c r="C59" t="s">
        <v>10</v>
      </c>
      <c r="D59" s="1">
        <v>-112755.52</v>
      </c>
      <c r="G59" t="s">
        <v>144</v>
      </c>
    </row>
    <row r="60" spans="1:7">
      <c r="A60" t="s">
        <v>9</v>
      </c>
      <c r="B60" t="s">
        <v>142</v>
      </c>
      <c r="C60" t="s">
        <v>10</v>
      </c>
      <c r="D60" s="1">
        <v>-20000</v>
      </c>
      <c r="G60" t="s">
        <v>491</v>
      </c>
    </row>
    <row r="61" spans="1:7">
      <c r="A61" t="s">
        <v>9</v>
      </c>
      <c r="B61" t="s">
        <v>142</v>
      </c>
      <c r="C61" t="s">
        <v>10</v>
      </c>
      <c r="D61" s="1">
        <v>-150000</v>
      </c>
      <c r="G61" t="s">
        <v>492</v>
      </c>
    </row>
    <row r="62" spans="1:7">
      <c r="A62" t="s">
        <v>9</v>
      </c>
      <c r="B62" t="s">
        <v>142</v>
      </c>
      <c r="C62" t="s">
        <v>10</v>
      </c>
      <c r="D62" s="1">
        <v>-113917.2</v>
      </c>
      <c r="G62" t="s">
        <v>493</v>
      </c>
    </row>
    <row r="63" spans="1:7">
      <c r="A63" t="s">
        <v>9</v>
      </c>
      <c r="B63" t="s">
        <v>142</v>
      </c>
      <c r="C63" t="s">
        <v>10</v>
      </c>
      <c r="D63" s="1">
        <v>-138082.79999999999</v>
      </c>
      <c r="G63" t="s">
        <v>494</v>
      </c>
    </row>
    <row r="64" spans="1:7">
      <c r="A64" t="s">
        <v>9</v>
      </c>
      <c r="B64" t="s">
        <v>142</v>
      </c>
      <c r="C64" t="s">
        <v>10</v>
      </c>
      <c r="D64" s="1">
        <v>-96000</v>
      </c>
      <c r="G64" t="s">
        <v>495</v>
      </c>
    </row>
    <row r="65" spans="1:7">
      <c r="A65" t="s">
        <v>9</v>
      </c>
      <c r="B65" t="s">
        <v>142</v>
      </c>
      <c r="C65" t="s">
        <v>10</v>
      </c>
      <c r="D65" s="1">
        <v>-86527.21</v>
      </c>
      <c r="G65" t="s">
        <v>114</v>
      </c>
    </row>
    <row r="66" spans="1:7">
      <c r="A66" t="s">
        <v>9</v>
      </c>
      <c r="B66" t="s">
        <v>142</v>
      </c>
      <c r="C66" t="s">
        <v>10</v>
      </c>
      <c r="D66" s="1">
        <v>-49034.78</v>
      </c>
      <c r="G66" t="s">
        <v>115</v>
      </c>
    </row>
    <row r="67" spans="1:7">
      <c r="A67" t="s">
        <v>9</v>
      </c>
      <c r="B67" t="s">
        <v>142</v>
      </c>
      <c r="C67" t="s">
        <v>10</v>
      </c>
      <c r="D67" s="1">
        <v>-1829</v>
      </c>
      <c r="G67" t="s">
        <v>116</v>
      </c>
    </row>
    <row r="68" spans="1:7">
      <c r="A68" t="s">
        <v>9</v>
      </c>
      <c r="B68" t="s">
        <v>142</v>
      </c>
      <c r="C68" t="s">
        <v>10</v>
      </c>
      <c r="D68" s="1">
        <v>-50000</v>
      </c>
      <c r="G68" t="s">
        <v>145</v>
      </c>
    </row>
    <row r="69" spans="1:7">
      <c r="A69" t="s">
        <v>9</v>
      </c>
      <c r="B69" t="s">
        <v>142</v>
      </c>
      <c r="C69" t="s">
        <v>10</v>
      </c>
      <c r="D69" s="1">
        <v>-40000</v>
      </c>
      <c r="G69" t="s">
        <v>146</v>
      </c>
    </row>
    <row r="70" spans="1:7">
      <c r="A70" t="s">
        <v>9</v>
      </c>
      <c r="B70" t="s">
        <v>142</v>
      </c>
      <c r="C70" t="s">
        <v>10</v>
      </c>
      <c r="D70" s="1">
        <v>-30492.240000000002</v>
      </c>
      <c r="G70" t="s">
        <v>147</v>
      </c>
    </row>
    <row r="71" spans="1:7">
      <c r="A71" t="s">
        <v>9</v>
      </c>
      <c r="B71" t="s">
        <v>142</v>
      </c>
      <c r="C71" t="s">
        <v>10</v>
      </c>
      <c r="D71" s="1">
        <v>-142500</v>
      </c>
      <c r="G71" t="s">
        <v>148</v>
      </c>
    </row>
    <row r="72" spans="1:7">
      <c r="A72" t="s">
        <v>9</v>
      </c>
      <c r="B72" t="s">
        <v>142</v>
      </c>
      <c r="C72" t="s">
        <v>10</v>
      </c>
      <c r="D72" s="1">
        <v>-506039.28</v>
      </c>
      <c r="G72" t="s">
        <v>496</v>
      </c>
    </row>
    <row r="73" spans="1:7">
      <c r="A73" t="s">
        <v>149</v>
      </c>
      <c r="B73" t="s">
        <v>150</v>
      </c>
      <c r="C73" t="s">
        <v>151</v>
      </c>
      <c r="D73" s="1">
        <v>-48000</v>
      </c>
      <c r="G73" t="s">
        <v>152</v>
      </c>
    </row>
    <row r="74" spans="1:7">
      <c r="A74" t="s">
        <v>149</v>
      </c>
      <c r="B74" t="s">
        <v>150</v>
      </c>
      <c r="C74" t="s">
        <v>151</v>
      </c>
      <c r="D74" s="1">
        <v>-56767.44</v>
      </c>
      <c r="G74" t="s">
        <v>153</v>
      </c>
    </row>
    <row r="75" spans="1:7">
      <c r="A75" t="s">
        <v>149</v>
      </c>
      <c r="B75" t="s">
        <v>150</v>
      </c>
      <c r="C75" t="s">
        <v>151</v>
      </c>
      <c r="D75" s="1">
        <v>-65635.990000000005</v>
      </c>
      <c r="G75" t="s">
        <v>154</v>
      </c>
    </row>
    <row r="76" spans="1:7">
      <c r="A76" t="s">
        <v>149</v>
      </c>
      <c r="B76" t="s">
        <v>150</v>
      </c>
      <c r="C76" t="s">
        <v>151</v>
      </c>
      <c r="D76" s="1">
        <v>-74819.69</v>
      </c>
      <c r="G76" t="s">
        <v>155</v>
      </c>
    </row>
    <row r="77" spans="1:7">
      <c r="A77" t="s">
        <v>149</v>
      </c>
      <c r="B77" t="s">
        <v>150</v>
      </c>
      <c r="C77" t="s">
        <v>151</v>
      </c>
      <c r="D77" s="1">
        <v>-663000</v>
      </c>
      <c r="G77" t="s">
        <v>156</v>
      </c>
    </row>
    <row r="78" spans="1:7">
      <c r="A78" t="s">
        <v>149</v>
      </c>
      <c r="B78" t="s">
        <v>150</v>
      </c>
      <c r="C78" t="s">
        <v>151</v>
      </c>
      <c r="D78" s="1">
        <v>-484162.4</v>
      </c>
      <c r="G78" t="s">
        <v>157</v>
      </c>
    </row>
    <row r="79" spans="1:7">
      <c r="A79" t="s">
        <v>149</v>
      </c>
      <c r="B79" t="s">
        <v>150</v>
      </c>
      <c r="C79" t="s">
        <v>151</v>
      </c>
      <c r="D79" s="1">
        <v>-36000</v>
      </c>
      <c r="G79" t="s">
        <v>158</v>
      </c>
    </row>
    <row r="80" spans="1:7">
      <c r="A80" t="s">
        <v>149</v>
      </c>
      <c r="B80" t="s">
        <v>150</v>
      </c>
      <c r="C80" t="s">
        <v>151</v>
      </c>
      <c r="D80" s="1">
        <v>-256000</v>
      </c>
      <c r="G80" t="s">
        <v>159</v>
      </c>
    </row>
    <row r="81" spans="1:7">
      <c r="A81" t="s">
        <v>149</v>
      </c>
      <c r="B81" t="s">
        <v>150</v>
      </c>
      <c r="C81" t="s">
        <v>151</v>
      </c>
      <c r="D81" s="1">
        <v>-98421.119999999995</v>
      </c>
      <c r="G81" t="s">
        <v>160</v>
      </c>
    </row>
    <row r="82" spans="1:7">
      <c r="A82" t="s">
        <v>149</v>
      </c>
      <c r="B82" t="s">
        <v>150</v>
      </c>
      <c r="C82" t="s">
        <v>151</v>
      </c>
      <c r="D82" s="1">
        <v>-3000</v>
      </c>
      <c r="G82" t="s">
        <v>161</v>
      </c>
    </row>
    <row r="83" spans="1:7">
      <c r="A83" t="s">
        <v>149</v>
      </c>
      <c r="B83" t="s">
        <v>150</v>
      </c>
      <c r="C83" t="s">
        <v>151</v>
      </c>
      <c r="D83" s="1">
        <v>-876476.51</v>
      </c>
      <c r="G83" t="s">
        <v>162</v>
      </c>
    </row>
    <row r="84" spans="1:7">
      <c r="A84" t="s">
        <v>149</v>
      </c>
      <c r="B84" t="s">
        <v>150</v>
      </c>
      <c r="C84" t="s">
        <v>151</v>
      </c>
      <c r="D84" s="1">
        <v>-33698.25</v>
      </c>
      <c r="G84" t="s">
        <v>163</v>
      </c>
    </row>
    <row r="85" spans="1:7">
      <c r="A85" t="s">
        <v>149</v>
      </c>
      <c r="B85" t="s">
        <v>150</v>
      </c>
      <c r="C85" t="s">
        <v>151</v>
      </c>
      <c r="D85" s="1">
        <v>-22400</v>
      </c>
      <c r="G85" t="s">
        <v>164</v>
      </c>
    </row>
    <row r="86" spans="1:7">
      <c r="A86" t="s">
        <v>149</v>
      </c>
      <c r="B86" t="s">
        <v>150</v>
      </c>
      <c r="C86" t="s">
        <v>151</v>
      </c>
      <c r="D86" s="1">
        <v>-2026400</v>
      </c>
      <c r="G86" t="s">
        <v>165</v>
      </c>
    </row>
    <row r="87" spans="1:7">
      <c r="A87" t="s">
        <v>149</v>
      </c>
      <c r="B87" t="s">
        <v>150</v>
      </c>
      <c r="C87" t="s">
        <v>151</v>
      </c>
      <c r="D87" s="1">
        <v>-799243.2</v>
      </c>
      <c r="G87" t="s">
        <v>166</v>
      </c>
    </row>
    <row r="88" spans="1:7">
      <c r="A88" t="s">
        <v>149</v>
      </c>
      <c r="B88" t="s">
        <v>150</v>
      </c>
      <c r="C88" t="s">
        <v>151</v>
      </c>
      <c r="D88" s="1">
        <v>-67600</v>
      </c>
      <c r="G88" t="s">
        <v>167</v>
      </c>
    </row>
    <row r="89" spans="1:7">
      <c r="A89" t="s">
        <v>149</v>
      </c>
      <c r="B89" t="s">
        <v>150</v>
      </c>
      <c r="C89" t="s">
        <v>151</v>
      </c>
      <c r="D89" s="1">
        <v>-1134424.21</v>
      </c>
      <c r="G89" t="s">
        <v>168</v>
      </c>
    </row>
    <row r="90" spans="1:7">
      <c r="A90" t="s">
        <v>149</v>
      </c>
      <c r="B90" t="s">
        <v>150</v>
      </c>
      <c r="C90" t="s">
        <v>151</v>
      </c>
      <c r="D90" s="1">
        <v>-45245.62</v>
      </c>
      <c r="G90" t="s">
        <v>169</v>
      </c>
    </row>
    <row r="91" spans="1:7">
      <c r="A91" t="s">
        <v>149</v>
      </c>
      <c r="B91" t="s">
        <v>150</v>
      </c>
      <c r="C91" t="s">
        <v>151</v>
      </c>
      <c r="D91" s="1">
        <v>-47280</v>
      </c>
      <c r="G91" t="s">
        <v>170</v>
      </c>
    </row>
    <row r="92" spans="1:7">
      <c r="A92" t="s">
        <v>149</v>
      </c>
      <c r="B92" t="s">
        <v>150</v>
      </c>
      <c r="C92" t="s">
        <v>151</v>
      </c>
      <c r="D92" s="1">
        <v>-38868</v>
      </c>
      <c r="G92" t="s">
        <v>171</v>
      </c>
    </row>
    <row r="93" spans="1:7">
      <c r="A93" t="s">
        <v>149</v>
      </c>
      <c r="B93" t="s">
        <v>150</v>
      </c>
      <c r="C93" t="s">
        <v>151</v>
      </c>
      <c r="D93" s="1">
        <v>-50000</v>
      </c>
      <c r="G93" t="s">
        <v>172</v>
      </c>
    </row>
    <row r="94" spans="1:7">
      <c r="A94" t="s">
        <v>149</v>
      </c>
      <c r="B94" t="s">
        <v>150</v>
      </c>
      <c r="C94" t="s">
        <v>151</v>
      </c>
      <c r="D94" s="1">
        <v>-43338.1</v>
      </c>
      <c r="G94" t="s">
        <v>173</v>
      </c>
    </row>
    <row r="95" spans="1:7">
      <c r="A95" t="s">
        <v>149</v>
      </c>
      <c r="B95" t="s">
        <v>150</v>
      </c>
      <c r="C95" t="s">
        <v>151</v>
      </c>
      <c r="D95" s="1">
        <v>-6609.56</v>
      </c>
      <c r="G95" t="s">
        <v>174</v>
      </c>
    </row>
    <row r="96" spans="1:7">
      <c r="A96" t="s">
        <v>149</v>
      </c>
      <c r="B96" t="s">
        <v>150</v>
      </c>
      <c r="C96" t="s">
        <v>151</v>
      </c>
      <c r="D96" s="1">
        <v>-2250</v>
      </c>
      <c r="G96" t="s">
        <v>175</v>
      </c>
    </row>
    <row r="97" spans="1:7">
      <c r="A97" t="s">
        <v>149</v>
      </c>
      <c r="B97" t="s">
        <v>150</v>
      </c>
      <c r="C97" t="s">
        <v>151</v>
      </c>
      <c r="D97" s="1">
        <v>-8335.4699999999993</v>
      </c>
      <c r="G97" t="s">
        <v>176</v>
      </c>
    </row>
    <row r="98" spans="1:7">
      <c r="A98" t="s">
        <v>149</v>
      </c>
      <c r="B98" t="s">
        <v>150</v>
      </c>
      <c r="C98" t="s">
        <v>151</v>
      </c>
      <c r="D98" s="1">
        <v>-4987.9799999999996</v>
      </c>
      <c r="G98" t="s">
        <v>177</v>
      </c>
    </row>
    <row r="99" spans="1:7">
      <c r="A99" t="s">
        <v>149</v>
      </c>
      <c r="B99" t="s">
        <v>150</v>
      </c>
      <c r="C99" t="s">
        <v>151</v>
      </c>
      <c r="D99" s="1">
        <v>-10000</v>
      </c>
      <c r="G99" t="s">
        <v>178</v>
      </c>
    </row>
    <row r="100" spans="1:7">
      <c r="A100" t="s">
        <v>149</v>
      </c>
      <c r="B100" t="s">
        <v>150</v>
      </c>
      <c r="C100" t="s">
        <v>151</v>
      </c>
      <c r="D100" s="1">
        <v>-27673.85</v>
      </c>
      <c r="G100" t="s">
        <v>179</v>
      </c>
    </row>
    <row r="101" spans="1:7">
      <c r="A101" t="s">
        <v>149</v>
      </c>
      <c r="B101" t="s">
        <v>150</v>
      </c>
      <c r="C101" t="s">
        <v>151</v>
      </c>
      <c r="D101" s="1">
        <v>-1680000</v>
      </c>
      <c r="G101" t="s">
        <v>180</v>
      </c>
    </row>
    <row r="102" spans="1:7">
      <c r="A102" t="s">
        <v>149</v>
      </c>
      <c r="B102" t="s">
        <v>150</v>
      </c>
      <c r="C102" t="s">
        <v>151</v>
      </c>
      <c r="D102" s="1">
        <v>-260000</v>
      </c>
      <c r="G102" t="s">
        <v>181</v>
      </c>
    </row>
    <row r="103" spans="1:7">
      <c r="A103" t="s">
        <v>149</v>
      </c>
      <c r="B103" t="s">
        <v>150</v>
      </c>
      <c r="C103" t="s">
        <v>182</v>
      </c>
      <c r="D103" s="1">
        <v>-540022.24</v>
      </c>
      <c r="G103" t="s">
        <v>183</v>
      </c>
    </row>
    <row r="104" spans="1:7">
      <c r="A104" t="s">
        <v>149</v>
      </c>
      <c r="B104" t="s">
        <v>150</v>
      </c>
      <c r="C104" t="s">
        <v>182</v>
      </c>
      <c r="D104" s="1">
        <v>-137189.37</v>
      </c>
      <c r="G104" t="s">
        <v>184</v>
      </c>
    </row>
    <row r="105" spans="1:7">
      <c r="A105" t="s">
        <v>149</v>
      </c>
      <c r="B105" t="s">
        <v>150</v>
      </c>
      <c r="C105" t="s">
        <v>182</v>
      </c>
      <c r="D105" s="1">
        <v>-4738.58</v>
      </c>
      <c r="G105" t="s">
        <v>185</v>
      </c>
    </row>
    <row r="106" spans="1:7">
      <c r="A106" t="s">
        <v>149</v>
      </c>
      <c r="B106" t="s">
        <v>150</v>
      </c>
      <c r="C106" t="s">
        <v>182</v>
      </c>
      <c r="D106" s="1">
        <v>-14963.94</v>
      </c>
      <c r="G106" t="s">
        <v>186</v>
      </c>
    </row>
    <row r="107" spans="1:7">
      <c r="A107" t="s">
        <v>149</v>
      </c>
      <c r="B107" t="s">
        <v>150</v>
      </c>
      <c r="C107" t="s">
        <v>182</v>
      </c>
      <c r="D107" s="1">
        <v>-24939.89</v>
      </c>
      <c r="G107" t="s">
        <v>187</v>
      </c>
    </row>
    <row r="108" spans="1:7">
      <c r="A108" t="s">
        <v>149</v>
      </c>
      <c r="B108" t="s">
        <v>150</v>
      </c>
      <c r="C108" t="s">
        <v>182</v>
      </c>
      <c r="D108" s="1">
        <v>-238375.52</v>
      </c>
      <c r="G108" t="s">
        <v>188</v>
      </c>
    </row>
    <row r="109" spans="1:7">
      <c r="A109" t="s">
        <v>149</v>
      </c>
      <c r="B109" t="s">
        <v>150</v>
      </c>
      <c r="C109" t="s">
        <v>182</v>
      </c>
      <c r="D109" s="1">
        <v>-14963.94</v>
      </c>
      <c r="G109" t="s">
        <v>189</v>
      </c>
    </row>
    <row r="110" spans="1:7">
      <c r="A110" t="s">
        <v>149</v>
      </c>
      <c r="B110" t="s">
        <v>150</v>
      </c>
      <c r="C110" t="s">
        <v>182</v>
      </c>
      <c r="D110" s="1">
        <v>-33389.589999999997</v>
      </c>
      <c r="G110" t="s">
        <v>190</v>
      </c>
    </row>
    <row r="111" spans="1:7">
      <c r="A111" t="s">
        <v>149</v>
      </c>
      <c r="B111" t="s">
        <v>150</v>
      </c>
      <c r="C111" t="s">
        <v>182</v>
      </c>
      <c r="D111" s="1">
        <v>-41948.9</v>
      </c>
      <c r="G111" t="s">
        <v>191</v>
      </c>
    </row>
    <row r="112" spans="1:7">
      <c r="A112" t="s">
        <v>149</v>
      </c>
      <c r="B112" t="s">
        <v>150</v>
      </c>
      <c r="C112" t="s">
        <v>182</v>
      </c>
      <c r="D112" s="1">
        <v>-15401.85</v>
      </c>
      <c r="G112" t="s">
        <v>192</v>
      </c>
    </row>
    <row r="113" spans="1:7">
      <c r="A113" t="s">
        <v>149</v>
      </c>
      <c r="B113" t="s">
        <v>150</v>
      </c>
      <c r="C113" t="s">
        <v>182</v>
      </c>
      <c r="D113" s="1">
        <v>-17144.759999999998</v>
      </c>
      <c r="G113" t="s">
        <v>193</v>
      </c>
    </row>
    <row r="114" spans="1:7">
      <c r="A114" t="s">
        <v>149</v>
      </c>
      <c r="B114" t="s">
        <v>150</v>
      </c>
      <c r="C114" t="s">
        <v>182</v>
      </c>
      <c r="D114" s="1">
        <v>-94870.14</v>
      </c>
      <c r="G114" t="s">
        <v>194</v>
      </c>
    </row>
    <row r="115" spans="1:7">
      <c r="A115" t="s">
        <v>149</v>
      </c>
      <c r="B115" t="s">
        <v>150</v>
      </c>
      <c r="C115" t="s">
        <v>182</v>
      </c>
      <c r="D115" s="1">
        <v>-6197.26</v>
      </c>
      <c r="G115" t="s">
        <v>195</v>
      </c>
    </row>
    <row r="116" spans="1:7">
      <c r="A116" t="s">
        <v>149</v>
      </c>
      <c r="B116" t="s">
        <v>150</v>
      </c>
      <c r="C116" t="s">
        <v>182</v>
      </c>
      <c r="D116" s="1">
        <v>-2019.29</v>
      </c>
      <c r="G116" t="s">
        <v>196</v>
      </c>
    </row>
    <row r="117" spans="1:7">
      <c r="A117" t="s">
        <v>149</v>
      </c>
      <c r="B117" t="s">
        <v>150</v>
      </c>
      <c r="C117" t="s">
        <v>182</v>
      </c>
      <c r="D117" s="1">
        <v>-666.28</v>
      </c>
      <c r="G117" t="s">
        <v>197</v>
      </c>
    </row>
    <row r="118" spans="1:7">
      <c r="A118" t="s">
        <v>149</v>
      </c>
      <c r="B118" t="s">
        <v>150</v>
      </c>
      <c r="C118" t="s">
        <v>182</v>
      </c>
      <c r="D118" s="1">
        <v>-25908.62</v>
      </c>
      <c r="G118" t="s">
        <v>198</v>
      </c>
    </row>
    <row r="119" spans="1:7">
      <c r="A119" t="s">
        <v>149</v>
      </c>
      <c r="B119" t="s">
        <v>150</v>
      </c>
      <c r="C119" t="s">
        <v>182</v>
      </c>
      <c r="D119" s="1">
        <v>-661.69</v>
      </c>
      <c r="G119" t="s">
        <v>199</v>
      </c>
    </row>
    <row r="120" spans="1:7">
      <c r="A120" t="s">
        <v>149</v>
      </c>
      <c r="B120" t="s">
        <v>150</v>
      </c>
      <c r="C120" t="s">
        <v>182</v>
      </c>
      <c r="D120" s="1">
        <v>-1488.91</v>
      </c>
      <c r="G120" t="s">
        <v>200</v>
      </c>
    </row>
    <row r="121" spans="1:7">
      <c r="A121" t="s">
        <v>149</v>
      </c>
      <c r="B121" t="s">
        <v>150</v>
      </c>
      <c r="C121" t="s">
        <v>182</v>
      </c>
      <c r="D121" s="1">
        <v>-3649.77</v>
      </c>
      <c r="G121" t="s">
        <v>201</v>
      </c>
    </row>
    <row r="122" spans="1:7">
      <c r="A122" t="s">
        <v>149</v>
      </c>
      <c r="B122" t="s">
        <v>150</v>
      </c>
      <c r="C122" t="s">
        <v>182</v>
      </c>
      <c r="D122" s="1">
        <v>-56969.36</v>
      </c>
      <c r="G122" t="s">
        <v>202</v>
      </c>
    </row>
    <row r="123" spans="1:7">
      <c r="A123" t="s">
        <v>149</v>
      </c>
      <c r="B123" t="s">
        <v>150</v>
      </c>
      <c r="C123" t="s">
        <v>182</v>
      </c>
      <c r="D123" s="1">
        <v>-7041.45</v>
      </c>
      <c r="G123" t="s">
        <v>203</v>
      </c>
    </row>
    <row r="124" spans="1:7">
      <c r="A124" t="s">
        <v>149</v>
      </c>
      <c r="B124" t="s">
        <v>150</v>
      </c>
      <c r="C124" t="s">
        <v>182</v>
      </c>
      <c r="D124" s="1">
        <v>-229.45</v>
      </c>
      <c r="G124" t="s">
        <v>204</v>
      </c>
    </row>
    <row r="125" spans="1:7">
      <c r="A125" t="s">
        <v>149</v>
      </c>
      <c r="B125" t="s">
        <v>150</v>
      </c>
      <c r="C125" t="s">
        <v>182</v>
      </c>
      <c r="D125" s="1">
        <v>-17107</v>
      </c>
      <c r="G125" t="s">
        <v>205</v>
      </c>
    </row>
    <row r="126" spans="1:7">
      <c r="A126" t="s">
        <v>149</v>
      </c>
      <c r="B126" t="s">
        <v>150</v>
      </c>
      <c r="C126" t="s">
        <v>182</v>
      </c>
      <c r="D126" s="1">
        <v>-668.5</v>
      </c>
      <c r="G126" t="s">
        <v>206</v>
      </c>
    </row>
    <row r="127" spans="1:7">
      <c r="A127" t="s">
        <v>149</v>
      </c>
      <c r="B127" t="s">
        <v>150</v>
      </c>
      <c r="C127" t="s">
        <v>182</v>
      </c>
      <c r="D127" s="1">
        <v>-249.4</v>
      </c>
      <c r="G127" t="s">
        <v>207</v>
      </c>
    </row>
    <row r="128" spans="1:7">
      <c r="A128" t="s">
        <v>149</v>
      </c>
      <c r="B128" t="s">
        <v>150</v>
      </c>
      <c r="C128" t="s">
        <v>182</v>
      </c>
      <c r="D128" s="1">
        <v>-35210.14</v>
      </c>
      <c r="G128" t="s">
        <v>208</v>
      </c>
    </row>
    <row r="129" spans="1:7">
      <c r="A129" t="s">
        <v>149</v>
      </c>
      <c r="B129" t="s">
        <v>150</v>
      </c>
      <c r="C129" t="s">
        <v>209</v>
      </c>
      <c r="D129" s="1">
        <v>-9975.9599999999991</v>
      </c>
      <c r="G129" t="s">
        <v>210</v>
      </c>
    </row>
    <row r="130" spans="1:7">
      <c r="A130" t="s">
        <v>149</v>
      </c>
      <c r="B130" t="s">
        <v>150</v>
      </c>
      <c r="C130" t="s">
        <v>209</v>
      </c>
      <c r="D130" s="1">
        <v>-3100.93</v>
      </c>
      <c r="G130" t="s">
        <v>211</v>
      </c>
    </row>
    <row r="131" spans="1:7">
      <c r="A131" t="s">
        <v>149</v>
      </c>
      <c r="B131" t="s">
        <v>150</v>
      </c>
      <c r="C131" t="s">
        <v>209</v>
      </c>
      <c r="D131" s="1">
        <v>-1665.98</v>
      </c>
      <c r="G131" t="s">
        <v>212</v>
      </c>
    </row>
    <row r="132" spans="1:7">
      <c r="A132" t="s">
        <v>149</v>
      </c>
      <c r="B132" t="s">
        <v>150</v>
      </c>
      <c r="C132" t="s">
        <v>209</v>
      </c>
      <c r="D132" s="1">
        <v>-1977.73</v>
      </c>
      <c r="G132" t="s">
        <v>213</v>
      </c>
    </row>
    <row r="133" spans="1:7">
      <c r="A133" t="s">
        <v>149</v>
      </c>
      <c r="B133" t="s">
        <v>150</v>
      </c>
      <c r="C133" t="s">
        <v>209</v>
      </c>
      <c r="D133" s="1">
        <v>-224459.05</v>
      </c>
      <c r="G133" t="s">
        <v>214</v>
      </c>
    </row>
    <row r="134" spans="1:7">
      <c r="A134" t="s">
        <v>149</v>
      </c>
      <c r="B134" t="s">
        <v>150</v>
      </c>
      <c r="C134" t="s">
        <v>209</v>
      </c>
      <c r="D134" s="1">
        <v>-1478.94</v>
      </c>
      <c r="G134" t="s">
        <v>215</v>
      </c>
    </row>
    <row r="135" spans="1:7">
      <c r="A135" t="s">
        <v>149</v>
      </c>
      <c r="B135" t="s">
        <v>150</v>
      </c>
      <c r="C135" t="s">
        <v>209</v>
      </c>
      <c r="D135" s="1">
        <v>-1603.64</v>
      </c>
      <c r="G135" t="s">
        <v>216</v>
      </c>
    </row>
    <row r="136" spans="1:7">
      <c r="A136" t="s">
        <v>149</v>
      </c>
      <c r="B136" t="s">
        <v>150</v>
      </c>
      <c r="C136" t="s">
        <v>209</v>
      </c>
      <c r="D136" s="1">
        <v>-4135.03</v>
      </c>
      <c r="G136" t="s">
        <v>217</v>
      </c>
    </row>
    <row r="137" spans="1:7">
      <c r="A137" t="s">
        <v>149</v>
      </c>
      <c r="B137" t="s">
        <v>150</v>
      </c>
      <c r="C137" t="s">
        <v>209</v>
      </c>
      <c r="D137" s="1">
        <v>-2464.06</v>
      </c>
      <c r="G137" t="s">
        <v>218</v>
      </c>
    </row>
    <row r="138" spans="1:7">
      <c r="A138" t="s">
        <v>149</v>
      </c>
      <c r="B138" t="s">
        <v>150</v>
      </c>
      <c r="C138" t="s">
        <v>209</v>
      </c>
      <c r="D138" s="1">
        <v>-2102.4299999999998</v>
      </c>
      <c r="G138" t="s">
        <v>219</v>
      </c>
    </row>
    <row r="139" spans="1:7">
      <c r="A139" t="s">
        <v>149</v>
      </c>
      <c r="B139" t="s">
        <v>150</v>
      </c>
      <c r="C139" t="s">
        <v>209</v>
      </c>
      <c r="D139" s="1">
        <v>-32837.660000000003</v>
      </c>
      <c r="G139" t="s">
        <v>220</v>
      </c>
    </row>
    <row r="140" spans="1:7">
      <c r="A140" t="s">
        <v>149</v>
      </c>
      <c r="B140" t="s">
        <v>150</v>
      </c>
      <c r="C140" t="s">
        <v>209</v>
      </c>
      <c r="D140" s="1">
        <v>-1940.32</v>
      </c>
      <c r="G140" t="s">
        <v>221</v>
      </c>
    </row>
    <row r="141" spans="1:7">
      <c r="A141" t="s">
        <v>149</v>
      </c>
      <c r="B141" t="s">
        <v>150</v>
      </c>
      <c r="C141" t="s">
        <v>209</v>
      </c>
      <c r="D141" s="1">
        <v>-1179.6600000000001</v>
      </c>
      <c r="G141" t="s">
        <v>222</v>
      </c>
    </row>
    <row r="142" spans="1:7">
      <c r="A142" t="s">
        <v>149</v>
      </c>
      <c r="B142" t="s">
        <v>150</v>
      </c>
      <c r="C142" t="s">
        <v>209</v>
      </c>
      <c r="D142" s="1">
        <v>-1175.92</v>
      </c>
      <c r="G142" t="s">
        <v>223</v>
      </c>
    </row>
    <row r="143" spans="1:7">
      <c r="A143" t="s">
        <v>149</v>
      </c>
      <c r="B143" t="s">
        <v>150</v>
      </c>
      <c r="C143" t="s">
        <v>209</v>
      </c>
      <c r="D143" s="1">
        <v>-3208.02</v>
      </c>
      <c r="G143" t="s">
        <v>224</v>
      </c>
    </row>
    <row r="144" spans="1:7">
      <c r="A144" t="s">
        <v>149</v>
      </c>
      <c r="B144" t="s">
        <v>150</v>
      </c>
      <c r="C144" t="s">
        <v>209</v>
      </c>
      <c r="D144" s="1">
        <v>-448.92</v>
      </c>
      <c r="G144" t="s">
        <v>225</v>
      </c>
    </row>
    <row r="145" spans="1:7">
      <c r="A145" t="s">
        <v>149</v>
      </c>
      <c r="B145" t="s">
        <v>150</v>
      </c>
      <c r="C145" t="s">
        <v>209</v>
      </c>
      <c r="D145" s="1">
        <v>-49879.79</v>
      </c>
      <c r="G145" t="s">
        <v>226</v>
      </c>
    </row>
    <row r="146" spans="1:7">
      <c r="A146" t="s">
        <v>149</v>
      </c>
      <c r="B146" t="s">
        <v>150</v>
      </c>
      <c r="C146" t="s">
        <v>209</v>
      </c>
      <c r="D146" s="1">
        <v>-37409.839999999997</v>
      </c>
      <c r="G146" t="s">
        <v>227</v>
      </c>
    </row>
    <row r="147" spans="1:7">
      <c r="A147" t="s">
        <v>149</v>
      </c>
      <c r="B147" t="s">
        <v>150</v>
      </c>
      <c r="C147" t="s">
        <v>209</v>
      </c>
      <c r="D147" s="1">
        <v>-1298.73</v>
      </c>
      <c r="G147" t="s">
        <v>228</v>
      </c>
    </row>
    <row r="148" spans="1:7">
      <c r="A148" t="s">
        <v>149</v>
      </c>
      <c r="B148" t="s">
        <v>150</v>
      </c>
      <c r="C148" t="s">
        <v>209</v>
      </c>
      <c r="D148" s="1">
        <v>-4489.18</v>
      </c>
      <c r="G148" t="s">
        <v>229</v>
      </c>
    </row>
    <row r="149" spans="1:7">
      <c r="A149" t="s">
        <v>149</v>
      </c>
      <c r="B149" t="s">
        <v>150</v>
      </c>
      <c r="C149" t="s">
        <v>209</v>
      </c>
      <c r="D149" s="1">
        <v>-7592.75</v>
      </c>
      <c r="G149" t="s">
        <v>230</v>
      </c>
    </row>
    <row r="150" spans="1:7">
      <c r="A150" t="s">
        <v>149</v>
      </c>
      <c r="B150" t="s">
        <v>150</v>
      </c>
      <c r="C150" t="s">
        <v>209</v>
      </c>
      <c r="D150" s="1">
        <v>-19951.919999999998</v>
      </c>
      <c r="G150" t="s">
        <v>231</v>
      </c>
    </row>
    <row r="151" spans="1:7">
      <c r="A151" t="s">
        <v>149</v>
      </c>
      <c r="B151" t="s">
        <v>150</v>
      </c>
      <c r="C151" t="s">
        <v>209</v>
      </c>
      <c r="D151" s="1">
        <v>-22445.91</v>
      </c>
      <c r="G151" t="s">
        <v>232</v>
      </c>
    </row>
    <row r="152" spans="1:7">
      <c r="A152" t="s">
        <v>149</v>
      </c>
      <c r="B152" t="s">
        <v>150</v>
      </c>
      <c r="C152" t="s">
        <v>209</v>
      </c>
      <c r="D152" s="1">
        <v>-10931.16</v>
      </c>
      <c r="G152" t="s">
        <v>233</v>
      </c>
    </row>
    <row r="153" spans="1:7">
      <c r="A153" t="s">
        <v>149</v>
      </c>
      <c r="B153" t="s">
        <v>150</v>
      </c>
      <c r="C153" t="s">
        <v>209</v>
      </c>
      <c r="D153" s="1">
        <v>-14870.78</v>
      </c>
      <c r="G153" t="s">
        <v>234</v>
      </c>
    </row>
    <row r="154" spans="1:7">
      <c r="A154" t="s">
        <v>149</v>
      </c>
      <c r="B154" t="s">
        <v>150</v>
      </c>
      <c r="C154" t="s">
        <v>209</v>
      </c>
      <c r="D154" s="1">
        <v>-11525.44</v>
      </c>
      <c r="G154" t="s">
        <v>235</v>
      </c>
    </row>
    <row r="155" spans="1:7">
      <c r="A155" t="s">
        <v>149</v>
      </c>
      <c r="B155" t="s">
        <v>150</v>
      </c>
      <c r="C155" t="s">
        <v>209</v>
      </c>
      <c r="D155" s="1">
        <v>-10973.55</v>
      </c>
      <c r="G155" t="s">
        <v>236</v>
      </c>
    </row>
    <row r="156" spans="1:7">
      <c r="A156" t="s">
        <v>149</v>
      </c>
      <c r="B156" t="s">
        <v>150</v>
      </c>
      <c r="C156" t="s">
        <v>209</v>
      </c>
      <c r="D156" s="1">
        <v>-934.85</v>
      </c>
      <c r="G156" t="s">
        <v>237</v>
      </c>
    </row>
    <row r="157" spans="1:7">
      <c r="A157" t="s">
        <v>149</v>
      </c>
      <c r="B157" t="s">
        <v>150</v>
      </c>
      <c r="C157" t="s">
        <v>209</v>
      </c>
      <c r="D157" s="1">
        <v>-10582.5</v>
      </c>
      <c r="G157" t="s">
        <v>238</v>
      </c>
    </row>
    <row r="158" spans="1:7">
      <c r="A158" t="s">
        <v>149</v>
      </c>
      <c r="B158" t="s">
        <v>150</v>
      </c>
      <c r="C158" t="s">
        <v>209</v>
      </c>
      <c r="D158" s="1">
        <v>-11410.9</v>
      </c>
      <c r="G158" t="s">
        <v>239</v>
      </c>
    </row>
    <row r="159" spans="1:7">
      <c r="A159" t="s">
        <v>149</v>
      </c>
      <c r="B159" t="s">
        <v>150</v>
      </c>
      <c r="C159" t="s">
        <v>209</v>
      </c>
      <c r="D159" s="1">
        <v>-46655.89</v>
      </c>
      <c r="G159" t="s">
        <v>240</v>
      </c>
    </row>
    <row r="160" spans="1:7">
      <c r="A160" t="s">
        <v>149</v>
      </c>
      <c r="B160" t="s">
        <v>150</v>
      </c>
      <c r="C160" t="s">
        <v>209</v>
      </c>
      <c r="D160" s="1">
        <v>-7047.14</v>
      </c>
      <c r="G160" t="s">
        <v>241</v>
      </c>
    </row>
    <row r="161" spans="1:7">
      <c r="A161" t="s">
        <v>149</v>
      </c>
      <c r="B161" t="s">
        <v>150</v>
      </c>
      <c r="C161" t="s">
        <v>209</v>
      </c>
      <c r="D161" s="1">
        <v>-44896.11</v>
      </c>
      <c r="G161" t="s">
        <v>242</v>
      </c>
    </row>
    <row r="162" spans="1:7">
      <c r="A162" t="s">
        <v>149</v>
      </c>
      <c r="B162" t="s">
        <v>150</v>
      </c>
      <c r="C162" t="s">
        <v>209</v>
      </c>
      <c r="D162" s="1">
        <v>-17208.53</v>
      </c>
      <c r="G162" t="s">
        <v>243</v>
      </c>
    </row>
    <row r="163" spans="1:7">
      <c r="A163" t="s">
        <v>149</v>
      </c>
      <c r="B163" t="s">
        <v>150</v>
      </c>
      <c r="C163" t="s">
        <v>209</v>
      </c>
      <c r="D163" s="1">
        <v>-29927.87</v>
      </c>
      <c r="G163" t="s">
        <v>244</v>
      </c>
    </row>
    <row r="164" spans="1:7">
      <c r="A164" t="s">
        <v>149</v>
      </c>
      <c r="B164" t="s">
        <v>150</v>
      </c>
      <c r="C164" t="s">
        <v>209</v>
      </c>
      <c r="D164" s="1">
        <v>-7481.97</v>
      </c>
      <c r="G164" t="s">
        <v>245</v>
      </c>
    </row>
    <row r="165" spans="1:7">
      <c r="A165" t="s">
        <v>149</v>
      </c>
      <c r="B165" t="s">
        <v>150</v>
      </c>
      <c r="C165" t="s">
        <v>209</v>
      </c>
      <c r="D165" s="1">
        <v>-5985.57</v>
      </c>
      <c r="G165" t="s">
        <v>246</v>
      </c>
    </row>
    <row r="166" spans="1:7">
      <c r="A166" t="s">
        <v>149</v>
      </c>
      <c r="B166" t="s">
        <v>150</v>
      </c>
      <c r="C166" t="s">
        <v>209</v>
      </c>
      <c r="D166" s="1">
        <v>-24939.89</v>
      </c>
      <c r="G166" t="s">
        <v>247</v>
      </c>
    </row>
    <row r="167" spans="1:7">
      <c r="A167" t="s">
        <v>149</v>
      </c>
      <c r="B167" t="s">
        <v>150</v>
      </c>
      <c r="C167" t="s">
        <v>209</v>
      </c>
      <c r="D167" s="1">
        <v>-3637059.69</v>
      </c>
      <c r="G167" t="s">
        <v>248</v>
      </c>
    </row>
    <row r="168" spans="1:7">
      <c r="A168" t="s">
        <v>249</v>
      </c>
      <c r="B168" t="s">
        <v>150</v>
      </c>
      <c r="C168" t="s">
        <v>250</v>
      </c>
      <c r="D168" s="1">
        <v>-5355273.5</v>
      </c>
      <c r="G168" t="s">
        <v>251</v>
      </c>
    </row>
    <row r="169" spans="1:7">
      <c r="A169" t="s">
        <v>249</v>
      </c>
      <c r="B169" t="s">
        <v>150</v>
      </c>
      <c r="C169" t="s">
        <v>250</v>
      </c>
      <c r="D169" s="1">
        <v>-8766.3799999999992</v>
      </c>
      <c r="G169" t="s">
        <v>252</v>
      </c>
    </row>
    <row r="170" spans="1:7">
      <c r="A170" t="s">
        <v>249</v>
      </c>
      <c r="B170" t="s">
        <v>150</v>
      </c>
      <c r="C170" t="s">
        <v>250</v>
      </c>
      <c r="D170" s="1">
        <v>-48000</v>
      </c>
      <c r="G170" t="s">
        <v>253</v>
      </c>
    </row>
    <row r="171" spans="1:7">
      <c r="A171" t="s">
        <v>249</v>
      </c>
      <c r="B171" t="s">
        <v>150</v>
      </c>
      <c r="C171" t="s">
        <v>250</v>
      </c>
      <c r="D171" s="1">
        <v>-14824.52</v>
      </c>
      <c r="G171" t="s">
        <v>254</v>
      </c>
    </row>
    <row r="172" spans="1:7">
      <c r="A172" t="s">
        <v>249</v>
      </c>
      <c r="B172" t="s">
        <v>150</v>
      </c>
      <c r="C172" t="s">
        <v>250</v>
      </c>
      <c r="D172" s="1">
        <v>-810280.8</v>
      </c>
      <c r="G172" t="s">
        <v>255</v>
      </c>
    </row>
    <row r="173" spans="1:7">
      <c r="A173" t="s">
        <v>249</v>
      </c>
      <c r="B173" t="s">
        <v>150</v>
      </c>
      <c r="C173" t="s">
        <v>250</v>
      </c>
      <c r="D173" s="1">
        <v>-180000</v>
      </c>
      <c r="G173" t="s">
        <v>256</v>
      </c>
    </row>
    <row r="174" spans="1:7">
      <c r="A174" t="s">
        <v>249</v>
      </c>
      <c r="B174" t="s">
        <v>150</v>
      </c>
      <c r="C174" t="s">
        <v>250</v>
      </c>
      <c r="D174" s="1">
        <v>-38756</v>
      </c>
      <c r="G174" t="s">
        <v>257</v>
      </c>
    </row>
    <row r="175" spans="1:7">
      <c r="A175" t="s">
        <v>249</v>
      </c>
      <c r="B175" t="s">
        <v>150</v>
      </c>
      <c r="C175" t="s">
        <v>250</v>
      </c>
      <c r="D175" s="1">
        <v>-48000</v>
      </c>
      <c r="G175" t="s">
        <v>258</v>
      </c>
    </row>
    <row r="176" spans="1:7">
      <c r="A176" t="s">
        <v>249</v>
      </c>
      <c r="B176" t="s">
        <v>150</v>
      </c>
      <c r="C176" t="s">
        <v>250</v>
      </c>
      <c r="D176" s="1">
        <v>-43260.01</v>
      </c>
      <c r="G176" t="s">
        <v>259</v>
      </c>
    </row>
    <row r="177" spans="1:7">
      <c r="A177" t="s">
        <v>249</v>
      </c>
      <c r="B177" t="s">
        <v>150</v>
      </c>
      <c r="C177" t="s">
        <v>250</v>
      </c>
      <c r="D177" s="1">
        <v>-36400</v>
      </c>
      <c r="G177" t="s">
        <v>260</v>
      </c>
    </row>
    <row r="178" spans="1:7">
      <c r="A178" t="s">
        <v>249</v>
      </c>
      <c r="B178" t="s">
        <v>150</v>
      </c>
      <c r="C178" t="s">
        <v>250</v>
      </c>
      <c r="D178" s="1">
        <v>-44391.08</v>
      </c>
      <c r="G178" t="s">
        <v>261</v>
      </c>
    </row>
    <row r="179" spans="1:7">
      <c r="A179" t="s">
        <v>249</v>
      </c>
      <c r="B179" t="s">
        <v>150</v>
      </c>
      <c r="C179" t="s">
        <v>250</v>
      </c>
      <c r="D179" s="1">
        <v>-27320</v>
      </c>
      <c r="G179" t="s">
        <v>262</v>
      </c>
    </row>
    <row r="180" spans="1:7">
      <c r="A180" t="s">
        <v>249</v>
      </c>
      <c r="B180" t="s">
        <v>150</v>
      </c>
      <c r="C180" t="s">
        <v>250</v>
      </c>
      <c r="D180" s="1">
        <v>-37840</v>
      </c>
      <c r="G180" t="s">
        <v>263</v>
      </c>
    </row>
    <row r="181" spans="1:7">
      <c r="A181" t="s">
        <v>249</v>
      </c>
      <c r="B181" t="s">
        <v>150</v>
      </c>
      <c r="C181" t="s">
        <v>250</v>
      </c>
      <c r="D181" s="1">
        <v>-18599.47</v>
      </c>
      <c r="G181" t="s">
        <v>264</v>
      </c>
    </row>
    <row r="182" spans="1:7">
      <c r="A182" t="s">
        <v>249</v>
      </c>
      <c r="B182" t="s">
        <v>150</v>
      </c>
      <c r="C182" t="s">
        <v>250</v>
      </c>
      <c r="D182" s="1">
        <v>-19520</v>
      </c>
      <c r="G182" t="s">
        <v>265</v>
      </c>
    </row>
    <row r="183" spans="1:7">
      <c r="A183" t="s">
        <v>249</v>
      </c>
      <c r="B183" t="s">
        <v>150</v>
      </c>
      <c r="C183" t="s">
        <v>250</v>
      </c>
      <c r="D183" s="1">
        <v>-26000</v>
      </c>
      <c r="G183" t="s">
        <v>266</v>
      </c>
    </row>
    <row r="184" spans="1:7">
      <c r="A184" t="s">
        <v>249</v>
      </c>
      <c r="B184" t="s">
        <v>150</v>
      </c>
      <c r="C184" t="s">
        <v>250</v>
      </c>
      <c r="D184" s="1">
        <v>-26000</v>
      </c>
      <c r="G184" t="s">
        <v>267</v>
      </c>
    </row>
    <row r="185" spans="1:7">
      <c r="A185" t="s">
        <v>249</v>
      </c>
      <c r="B185" t="s">
        <v>150</v>
      </c>
      <c r="C185" t="s">
        <v>250</v>
      </c>
      <c r="D185" s="1">
        <v>-44000</v>
      </c>
      <c r="G185" t="s">
        <v>268</v>
      </c>
    </row>
    <row r="186" spans="1:7">
      <c r="A186" t="s">
        <v>249</v>
      </c>
      <c r="B186" t="s">
        <v>150</v>
      </c>
      <c r="C186" t="s">
        <v>250</v>
      </c>
      <c r="D186" s="1">
        <v>-33600</v>
      </c>
      <c r="G186" t="s">
        <v>269</v>
      </c>
    </row>
    <row r="187" spans="1:7">
      <c r="A187" t="s">
        <v>249</v>
      </c>
      <c r="B187" t="s">
        <v>150</v>
      </c>
      <c r="C187" t="s">
        <v>250</v>
      </c>
      <c r="D187" s="1">
        <v>-5000</v>
      </c>
      <c r="G187" t="s">
        <v>270</v>
      </c>
    </row>
    <row r="188" spans="1:7">
      <c r="A188" t="s">
        <v>249</v>
      </c>
      <c r="B188" t="s">
        <v>150</v>
      </c>
      <c r="C188" t="s">
        <v>250</v>
      </c>
      <c r="D188" s="1">
        <v>-24712.29</v>
      </c>
      <c r="G188" t="s">
        <v>271</v>
      </c>
    </row>
    <row r="189" spans="1:7">
      <c r="A189" t="s">
        <v>249</v>
      </c>
      <c r="B189" t="s">
        <v>150</v>
      </c>
      <c r="C189" t="s">
        <v>250</v>
      </c>
      <c r="D189" s="1">
        <v>-24712.28</v>
      </c>
      <c r="G189" t="s">
        <v>272</v>
      </c>
    </row>
    <row r="190" spans="1:7">
      <c r="A190" t="s">
        <v>249</v>
      </c>
      <c r="B190" t="s">
        <v>150</v>
      </c>
      <c r="C190" t="s">
        <v>250</v>
      </c>
      <c r="D190" s="1">
        <v>-27000</v>
      </c>
      <c r="G190" t="s">
        <v>273</v>
      </c>
    </row>
    <row r="191" spans="1:7">
      <c r="A191" t="s">
        <v>249</v>
      </c>
      <c r="B191" t="s">
        <v>150</v>
      </c>
      <c r="C191" t="s">
        <v>250</v>
      </c>
      <c r="D191" s="1">
        <v>-27377.93</v>
      </c>
      <c r="G191" t="s">
        <v>274</v>
      </c>
    </row>
    <row r="192" spans="1:7">
      <c r="A192" t="s">
        <v>249</v>
      </c>
      <c r="B192" t="s">
        <v>150</v>
      </c>
      <c r="C192" t="s">
        <v>250</v>
      </c>
      <c r="D192" s="1">
        <v>-22671.439999999999</v>
      </c>
      <c r="G192" t="s">
        <v>275</v>
      </c>
    </row>
    <row r="193" spans="1:7">
      <c r="A193" t="s">
        <v>249</v>
      </c>
      <c r="B193" t="s">
        <v>150</v>
      </c>
      <c r="C193" t="s">
        <v>250</v>
      </c>
      <c r="D193" s="1">
        <v>-29456.69</v>
      </c>
      <c r="G193" t="s">
        <v>276</v>
      </c>
    </row>
    <row r="194" spans="1:7">
      <c r="A194" t="s">
        <v>249</v>
      </c>
      <c r="B194" t="s">
        <v>150</v>
      </c>
      <c r="C194" t="s">
        <v>250</v>
      </c>
      <c r="D194" s="1">
        <v>-22000</v>
      </c>
      <c r="G194" t="s">
        <v>277</v>
      </c>
    </row>
    <row r="195" spans="1:7">
      <c r="A195" t="s">
        <v>249</v>
      </c>
      <c r="B195" t="s">
        <v>150</v>
      </c>
      <c r="C195" t="s">
        <v>250</v>
      </c>
      <c r="D195" s="1">
        <v>-35760</v>
      </c>
      <c r="G195" t="s">
        <v>278</v>
      </c>
    </row>
    <row r="196" spans="1:7">
      <c r="A196" t="s">
        <v>249</v>
      </c>
      <c r="B196" t="s">
        <v>150</v>
      </c>
      <c r="C196" t="s">
        <v>250</v>
      </c>
      <c r="D196" s="1">
        <v>-48000</v>
      </c>
      <c r="G196" t="s">
        <v>279</v>
      </c>
    </row>
    <row r="197" spans="1:7">
      <c r="A197" t="s">
        <v>249</v>
      </c>
      <c r="B197" t="s">
        <v>150</v>
      </c>
      <c r="C197" t="s">
        <v>250</v>
      </c>
      <c r="D197" s="1">
        <v>-32880</v>
      </c>
      <c r="G197" t="s">
        <v>280</v>
      </c>
    </row>
    <row r="198" spans="1:7">
      <c r="A198" t="s">
        <v>249</v>
      </c>
      <c r="B198" t="s">
        <v>150</v>
      </c>
      <c r="C198" t="s">
        <v>250</v>
      </c>
      <c r="D198" s="1">
        <v>-35450.910000000003</v>
      </c>
      <c r="G198" t="s">
        <v>281</v>
      </c>
    </row>
    <row r="199" spans="1:7">
      <c r="A199" t="s">
        <v>249</v>
      </c>
      <c r="B199" t="s">
        <v>150</v>
      </c>
      <c r="C199" t="s">
        <v>250</v>
      </c>
      <c r="D199" s="1">
        <v>-35450.910000000003</v>
      </c>
      <c r="G199" t="s">
        <v>282</v>
      </c>
    </row>
    <row r="200" spans="1:7">
      <c r="A200" t="s">
        <v>249</v>
      </c>
      <c r="B200" t="s">
        <v>150</v>
      </c>
      <c r="C200" t="s">
        <v>283</v>
      </c>
      <c r="D200" s="1">
        <v>-3262.14</v>
      </c>
      <c r="G200" t="s">
        <v>284</v>
      </c>
    </row>
    <row r="201" spans="1:7">
      <c r="A201" t="s">
        <v>249</v>
      </c>
      <c r="B201" t="s">
        <v>150</v>
      </c>
      <c r="C201" t="s">
        <v>283</v>
      </c>
      <c r="D201" s="1">
        <v>-11193.02</v>
      </c>
      <c r="G201" t="s">
        <v>285</v>
      </c>
    </row>
    <row r="202" spans="1:7">
      <c r="A202" t="s">
        <v>249</v>
      </c>
      <c r="B202" t="s">
        <v>150</v>
      </c>
      <c r="C202" t="s">
        <v>283</v>
      </c>
      <c r="D202" s="1">
        <v>-4239.78</v>
      </c>
      <c r="G202" t="s">
        <v>286</v>
      </c>
    </row>
    <row r="203" spans="1:7">
      <c r="A203" t="s">
        <v>249</v>
      </c>
      <c r="B203" t="s">
        <v>150</v>
      </c>
      <c r="C203" t="s">
        <v>283</v>
      </c>
      <c r="D203" s="1">
        <v>-3164.87</v>
      </c>
      <c r="G203" t="s">
        <v>287</v>
      </c>
    </row>
    <row r="204" spans="1:7">
      <c r="A204" t="s">
        <v>249</v>
      </c>
      <c r="B204" t="s">
        <v>150</v>
      </c>
      <c r="C204" t="s">
        <v>283</v>
      </c>
      <c r="D204" s="1">
        <v>-8200.24</v>
      </c>
      <c r="G204" t="s">
        <v>288</v>
      </c>
    </row>
    <row r="205" spans="1:7">
      <c r="A205" t="s">
        <v>249</v>
      </c>
      <c r="B205" t="s">
        <v>150</v>
      </c>
      <c r="C205" t="s">
        <v>283</v>
      </c>
      <c r="D205" s="1">
        <v>-4623.8599999999997</v>
      </c>
      <c r="G205" t="s">
        <v>289</v>
      </c>
    </row>
    <row r="206" spans="1:7">
      <c r="A206" t="s">
        <v>249</v>
      </c>
      <c r="B206" t="s">
        <v>150</v>
      </c>
      <c r="C206" t="s">
        <v>283</v>
      </c>
      <c r="D206" s="1">
        <v>-10851.35</v>
      </c>
      <c r="G206" t="s">
        <v>290</v>
      </c>
    </row>
    <row r="207" spans="1:7">
      <c r="A207" t="s">
        <v>249</v>
      </c>
      <c r="B207" t="s">
        <v>150</v>
      </c>
      <c r="C207" t="s">
        <v>283</v>
      </c>
      <c r="D207" s="1">
        <v>-7878.51</v>
      </c>
      <c r="G207" t="s">
        <v>291</v>
      </c>
    </row>
    <row r="208" spans="1:7">
      <c r="A208" t="s">
        <v>249</v>
      </c>
      <c r="B208" t="s">
        <v>150</v>
      </c>
      <c r="C208" t="s">
        <v>283</v>
      </c>
      <c r="D208" s="1">
        <v>-3501.56</v>
      </c>
      <c r="G208" t="s">
        <v>292</v>
      </c>
    </row>
    <row r="209" spans="1:7">
      <c r="A209" t="s">
        <v>249</v>
      </c>
      <c r="B209" t="s">
        <v>150</v>
      </c>
      <c r="C209" t="s">
        <v>283</v>
      </c>
      <c r="D209" s="1">
        <v>-3860.7</v>
      </c>
      <c r="G209" t="s">
        <v>293</v>
      </c>
    </row>
    <row r="210" spans="1:7">
      <c r="A210" t="s">
        <v>249</v>
      </c>
      <c r="B210" t="s">
        <v>150</v>
      </c>
      <c r="C210" t="s">
        <v>283</v>
      </c>
      <c r="D210" s="1">
        <v>-48453.23</v>
      </c>
      <c r="G210" t="s">
        <v>294</v>
      </c>
    </row>
    <row r="211" spans="1:7">
      <c r="A211" t="s">
        <v>249</v>
      </c>
      <c r="B211" t="s">
        <v>150</v>
      </c>
      <c r="C211" t="s">
        <v>283</v>
      </c>
      <c r="D211" s="1">
        <v>-24226.61</v>
      </c>
      <c r="G211" t="s">
        <v>295</v>
      </c>
    </row>
    <row r="212" spans="1:7">
      <c r="A212" t="s">
        <v>249</v>
      </c>
      <c r="B212" t="s">
        <v>150</v>
      </c>
      <c r="C212" t="s">
        <v>283</v>
      </c>
      <c r="D212" s="1">
        <v>-3785.88</v>
      </c>
      <c r="G212" t="s">
        <v>296</v>
      </c>
    </row>
    <row r="213" spans="1:7">
      <c r="A213" t="s">
        <v>249</v>
      </c>
      <c r="B213" t="s">
        <v>150</v>
      </c>
      <c r="C213" t="s">
        <v>283</v>
      </c>
      <c r="D213" s="1">
        <v>-8462.11</v>
      </c>
      <c r="G213" t="s">
        <v>297</v>
      </c>
    </row>
    <row r="214" spans="1:7">
      <c r="A214" t="s">
        <v>249</v>
      </c>
      <c r="B214" t="s">
        <v>150</v>
      </c>
      <c r="C214" t="s">
        <v>283</v>
      </c>
      <c r="D214" s="1">
        <v>-32875.769999999997</v>
      </c>
      <c r="G214" t="s">
        <v>298</v>
      </c>
    </row>
    <row r="215" spans="1:7">
      <c r="A215" t="s">
        <v>249</v>
      </c>
      <c r="B215" t="s">
        <v>150</v>
      </c>
      <c r="C215" t="s">
        <v>283</v>
      </c>
      <c r="D215" s="1">
        <v>-3763.43</v>
      </c>
      <c r="G215" t="s">
        <v>299</v>
      </c>
    </row>
    <row r="216" spans="1:7">
      <c r="A216" t="s">
        <v>249</v>
      </c>
      <c r="B216" t="s">
        <v>150</v>
      </c>
      <c r="C216" t="s">
        <v>283</v>
      </c>
      <c r="D216" s="1">
        <v>-787.6</v>
      </c>
      <c r="G216" t="s">
        <v>300</v>
      </c>
    </row>
    <row r="217" spans="1:7">
      <c r="A217" t="s">
        <v>249</v>
      </c>
      <c r="B217" t="s">
        <v>150</v>
      </c>
      <c r="C217" t="s">
        <v>283</v>
      </c>
      <c r="D217" s="1">
        <v>-149639.37</v>
      </c>
      <c r="G217" t="s">
        <v>301</v>
      </c>
    </row>
    <row r="218" spans="1:7">
      <c r="A218" t="s">
        <v>249</v>
      </c>
      <c r="B218" t="s">
        <v>150</v>
      </c>
      <c r="C218" t="s">
        <v>283</v>
      </c>
      <c r="D218" s="1">
        <v>-6329.75</v>
      </c>
      <c r="G218" t="s">
        <v>302</v>
      </c>
    </row>
    <row r="219" spans="1:7">
      <c r="A219" t="s">
        <v>249</v>
      </c>
      <c r="B219" t="s">
        <v>150</v>
      </c>
      <c r="C219" t="s">
        <v>283</v>
      </c>
      <c r="D219" s="1">
        <v>-15786.95</v>
      </c>
      <c r="G219" t="s">
        <v>303</v>
      </c>
    </row>
    <row r="220" spans="1:7">
      <c r="A220" t="s">
        <v>249</v>
      </c>
      <c r="B220" t="s">
        <v>150</v>
      </c>
      <c r="C220" t="s">
        <v>283</v>
      </c>
      <c r="D220" s="1">
        <v>-17028.96</v>
      </c>
      <c r="G220" t="s">
        <v>304</v>
      </c>
    </row>
    <row r="221" spans="1:7">
      <c r="A221" t="s">
        <v>249</v>
      </c>
      <c r="B221" t="s">
        <v>150</v>
      </c>
      <c r="C221" t="s">
        <v>283</v>
      </c>
      <c r="D221" s="1">
        <v>-3486.6</v>
      </c>
      <c r="G221" t="s">
        <v>305</v>
      </c>
    </row>
    <row r="222" spans="1:7">
      <c r="A222" t="s">
        <v>249</v>
      </c>
      <c r="B222" t="s">
        <v>150</v>
      </c>
      <c r="C222" t="s">
        <v>283</v>
      </c>
      <c r="D222" s="1">
        <v>-4010.34</v>
      </c>
      <c r="G222" t="s">
        <v>306</v>
      </c>
    </row>
    <row r="223" spans="1:7">
      <c r="A223" t="s">
        <v>249</v>
      </c>
      <c r="B223" t="s">
        <v>150</v>
      </c>
      <c r="C223" t="s">
        <v>283</v>
      </c>
      <c r="D223" s="1">
        <v>-4309.6099999999997</v>
      </c>
      <c r="G223" t="s">
        <v>307</v>
      </c>
    </row>
    <row r="224" spans="1:7">
      <c r="A224" t="s">
        <v>249</v>
      </c>
      <c r="B224" t="s">
        <v>150</v>
      </c>
      <c r="C224" t="s">
        <v>283</v>
      </c>
      <c r="D224" s="1">
        <v>-9621.81</v>
      </c>
      <c r="G224" t="s">
        <v>308</v>
      </c>
    </row>
    <row r="225" spans="1:7">
      <c r="A225" t="s">
        <v>249</v>
      </c>
      <c r="B225" t="s">
        <v>150</v>
      </c>
      <c r="C225" t="s">
        <v>283</v>
      </c>
      <c r="D225" s="1">
        <v>-19498.009999999998</v>
      </c>
      <c r="G225" t="s">
        <v>309</v>
      </c>
    </row>
    <row r="226" spans="1:7">
      <c r="A226" t="s">
        <v>249</v>
      </c>
      <c r="B226" t="s">
        <v>150</v>
      </c>
      <c r="C226" t="s">
        <v>283</v>
      </c>
      <c r="D226" s="1">
        <v>-6120.25</v>
      </c>
      <c r="G226" t="s">
        <v>310</v>
      </c>
    </row>
    <row r="227" spans="1:7">
      <c r="A227" t="s">
        <v>249</v>
      </c>
      <c r="B227" t="s">
        <v>150</v>
      </c>
      <c r="C227" t="s">
        <v>283</v>
      </c>
      <c r="D227" s="1">
        <v>-4758.53</v>
      </c>
      <c r="G227" t="s">
        <v>311</v>
      </c>
    </row>
    <row r="228" spans="1:7">
      <c r="A228" t="s">
        <v>249</v>
      </c>
      <c r="B228" t="s">
        <v>150</v>
      </c>
      <c r="C228" t="s">
        <v>283</v>
      </c>
      <c r="D228" s="1">
        <v>-3636.24</v>
      </c>
      <c r="G228" t="s">
        <v>312</v>
      </c>
    </row>
    <row r="229" spans="1:7">
      <c r="A229" t="s">
        <v>249</v>
      </c>
      <c r="B229" t="s">
        <v>150</v>
      </c>
      <c r="C229" t="s">
        <v>283</v>
      </c>
      <c r="D229" s="1">
        <v>-3486.6</v>
      </c>
      <c r="G229" t="s">
        <v>313</v>
      </c>
    </row>
    <row r="230" spans="1:7">
      <c r="A230" t="s">
        <v>249</v>
      </c>
      <c r="B230" t="s">
        <v>150</v>
      </c>
      <c r="C230" t="s">
        <v>283</v>
      </c>
      <c r="D230" s="1">
        <v>-4249.76</v>
      </c>
      <c r="G230" t="s">
        <v>314</v>
      </c>
    </row>
    <row r="231" spans="1:7">
      <c r="A231" t="s">
        <v>249</v>
      </c>
      <c r="B231" t="s">
        <v>150</v>
      </c>
      <c r="C231" t="s">
        <v>283</v>
      </c>
      <c r="D231" s="1">
        <v>-6681.4</v>
      </c>
      <c r="G231" t="s">
        <v>315</v>
      </c>
    </row>
    <row r="232" spans="1:7">
      <c r="A232" t="s">
        <v>249</v>
      </c>
      <c r="B232" t="s">
        <v>150</v>
      </c>
      <c r="C232" t="s">
        <v>283</v>
      </c>
      <c r="D232" s="1">
        <v>-2603.73</v>
      </c>
      <c r="G232" t="s">
        <v>316</v>
      </c>
    </row>
    <row r="233" spans="1:7">
      <c r="A233" t="s">
        <v>249</v>
      </c>
      <c r="B233" t="s">
        <v>150</v>
      </c>
      <c r="C233" t="s">
        <v>283</v>
      </c>
      <c r="D233" s="1">
        <v>-2325.65</v>
      </c>
      <c r="G233" t="s">
        <v>317</v>
      </c>
    </row>
    <row r="234" spans="1:7">
      <c r="A234" t="s">
        <v>249</v>
      </c>
      <c r="B234" t="s">
        <v>150</v>
      </c>
      <c r="C234" t="s">
        <v>283</v>
      </c>
      <c r="D234" s="1">
        <v>-1179.6600000000001</v>
      </c>
      <c r="G234" t="s">
        <v>318</v>
      </c>
    </row>
    <row r="235" spans="1:7">
      <c r="A235" t="s">
        <v>249</v>
      </c>
      <c r="B235" t="s">
        <v>150</v>
      </c>
      <c r="C235" t="s">
        <v>283</v>
      </c>
      <c r="D235" s="1">
        <v>-24939.89</v>
      </c>
      <c r="G235" t="s">
        <v>319</v>
      </c>
    </row>
    <row r="236" spans="1:7">
      <c r="A236" t="s">
        <v>249</v>
      </c>
      <c r="B236" t="s">
        <v>150</v>
      </c>
      <c r="C236" t="s">
        <v>283</v>
      </c>
      <c r="D236" s="1">
        <v>-1414.09</v>
      </c>
      <c r="G236" t="s">
        <v>320</v>
      </c>
    </row>
    <row r="237" spans="1:7">
      <c r="A237" t="s">
        <v>249</v>
      </c>
      <c r="B237" t="s">
        <v>150</v>
      </c>
      <c r="C237" t="s">
        <v>283</v>
      </c>
      <c r="D237" s="1">
        <v>-1179.6600000000001</v>
      </c>
      <c r="G237" t="s">
        <v>321</v>
      </c>
    </row>
    <row r="238" spans="1:7">
      <c r="A238" t="s">
        <v>249</v>
      </c>
      <c r="B238" t="s">
        <v>150</v>
      </c>
      <c r="C238" t="s">
        <v>283</v>
      </c>
      <c r="D238" s="1">
        <v>-543.69000000000005</v>
      </c>
      <c r="G238" t="s">
        <v>322</v>
      </c>
    </row>
    <row r="239" spans="1:7">
      <c r="A239" t="s">
        <v>249</v>
      </c>
      <c r="B239" t="s">
        <v>150</v>
      </c>
      <c r="C239" t="s">
        <v>283</v>
      </c>
      <c r="D239" s="1">
        <v>-2536.39</v>
      </c>
      <c r="G239" t="s">
        <v>323</v>
      </c>
    </row>
    <row r="240" spans="1:7">
      <c r="A240" t="s">
        <v>249</v>
      </c>
      <c r="B240" t="s">
        <v>150</v>
      </c>
      <c r="C240" t="s">
        <v>283</v>
      </c>
      <c r="D240" s="1">
        <v>-1930.35</v>
      </c>
      <c r="G240" t="s">
        <v>324</v>
      </c>
    </row>
    <row r="241" spans="1:7">
      <c r="A241" t="s">
        <v>249</v>
      </c>
      <c r="B241" t="s">
        <v>150</v>
      </c>
      <c r="C241" t="s">
        <v>283</v>
      </c>
      <c r="D241" s="1">
        <v>-2154.81</v>
      </c>
      <c r="G241" t="s">
        <v>325</v>
      </c>
    </row>
    <row r="242" spans="1:7">
      <c r="A242" t="s">
        <v>249</v>
      </c>
      <c r="B242" t="s">
        <v>150</v>
      </c>
      <c r="C242" t="s">
        <v>283</v>
      </c>
      <c r="D242" s="1">
        <v>-9756.49</v>
      </c>
      <c r="G242" t="s">
        <v>326</v>
      </c>
    </row>
    <row r="243" spans="1:7">
      <c r="A243" t="s">
        <v>249</v>
      </c>
      <c r="B243" t="s">
        <v>150</v>
      </c>
      <c r="C243" t="s">
        <v>283</v>
      </c>
      <c r="D243" s="1">
        <v>-1518.84</v>
      </c>
      <c r="G243" t="s">
        <v>327</v>
      </c>
    </row>
    <row r="244" spans="1:7">
      <c r="A244" t="s">
        <v>249</v>
      </c>
      <c r="B244" t="s">
        <v>150</v>
      </c>
      <c r="C244" t="s">
        <v>283</v>
      </c>
      <c r="D244" s="1">
        <v>-9962.24</v>
      </c>
      <c r="G244" t="s">
        <v>328</v>
      </c>
    </row>
    <row r="245" spans="1:7">
      <c r="A245" t="s">
        <v>249</v>
      </c>
      <c r="B245" t="s">
        <v>150</v>
      </c>
      <c r="C245" t="s">
        <v>283</v>
      </c>
      <c r="D245" s="1">
        <v>-5678.81</v>
      </c>
      <c r="G245" t="s">
        <v>329</v>
      </c>
    </row>
    <row r="246" spans="1:7">
      <c r="A246" t="s">
        <v>249</v>
      </c>
      <c r="B246" t="s">
        <v>150</v>
      </c>
      <c r="C246" t="s">
        <v>283</v>
      </c>
      <c r="D246" s="1">
        <v>-3853.36</v>
      </c>
      <c r="G246" t="s">
        <v>330</v>
      </c>
    </row>
    <row r="247" spans="1:7">
      <c r="A247" t="s">
        <v>249</v>
      </c>
      <c r="B247" t="s">
        <v>150</v>
      </c>
      <c r="C247" t="s">
        <v>283</v>
      </c>
      <c r="D247" s="1">
        <v>-1769.49</v>
      </c>
      <c r="G247" t="s">
        <v>331</v>
      </c>
    </row>
    <row r="248" spans="1:7">
      <c r="A248" t="s">
        <v>249</v>
      </c>
      <c r="B248" t="s">
        <v>150</v>
      </c>
      <c r="C248" t="s">
        <v>283</v>
      </c>
      <c r="D248" s="1">
        <v>-21645.33</v>
      </c>
      <c r="G248" t="s">
        <v>332</v>
      </c>
    </row>
    <row r="249" spans="1:7">
      <c r="A249" t="s">
        <v>249</v>
      </c>
      <c r="B249" t="s">
        <v>150</v>
      </c>
      <c r="C249" t="s">
        <v>283</v>
      </c>
      <c r="D249" s="1">
        <v>-4623.8599999999997</v>
      </c>
      <c r="G249" t="s">
        <v>333</v>
      </c>
    </row>
    <row r="250" spans="1:7">
      <c r="A250" t="s">
        <v>249</v>
      </c>
      <c r="B250" t="s">
        <v>150</v>
      </c>
      <c r="C250" t="s">
        <v>283</v>
      </c>
      <c r="D250" s="1">
        <v>-4219.83</v>
      </c>
      <c r="G250" t="s">
        <v>334</v>
      </c>
    </row>
    <row r="251" spans="1:7">
      <c r="A251" t="s">
        <v>249</v>
      </c>
      <c r="B251" t="s">
        <v>150</v>
      </c>
      <c r="C251" t="s">
        <v>283</v>
      </c>
      <c r="D251" s="1">
        <v>-6604.71</v>
      </c>
      <c r="G251" t="s">
        <v>335</v>
      </c>
    </row>
    <row r="252" spans="1:7">
      <c r="A252" t="s">
        <v>249</v>
      </c>
      <c r="B252" t="s">
        <v>150</v>
      </c>
      <c r="C252" t="s">
        <v>283</v>
      </c>
      <c r="D252" s="1">
        <v>-3999.11</v>
      </c>
      <c r="G252" t="s">
        <v>336</v>
      </c>
    </row>
    <row r="253" spans="1:7">
      <c r="A253" t="s">
        <v>249</v>
      </c>
      <c r="B253" t="s">
        <v>150</v>
      </c>
      <c r="C253" t="s">
        <v>283</v>
      </c>
      <c r="D253" s="1">
        <v>-11993.6</v>
      </c>
      <c r="G253" t="s">
        <v>337</v>
      </c>
    </row>
    <row r="254" spans="1:7">
      <c r="A254" t="s">
        <v>249</v>
      </c>
      <c r="B254" t="s">
        <v>150</v>
      </c>
      <c r="C254" t="s">
        <v>283</v>
      </c>
      <c r="D254" s="1">
        <v>-11993.6</v>
      </c>
      <c r="G254" t="s">
        <v>338</v>
      </c>
    </row>
    <row r="255" spans="1:7">
      <c r="A255" t="s">
        <v>249</v>
      </c>
      <c r="B255" t="s">
        <v>150</v>
      </c>
      <c r="C255" t="s">
        <v>283</v>
      </c>
      <c r="D255" s="1">
        <v>-6221.26</v>
      </c>
      <c r="G255" t="s">
        <v>339</v>
      </c>
    </row>
    <row r="256" spans="1:7">
      <c r="A256" t="s">
        <v>249</v>
      </c>
      <c r="B256" t="s">
        <v>150</v>
      </c>
      <c r="C256" t="s">
        <v>283</v>
      </c>
      <c r="D256" s="1">
        <v>-7077.94</v>
      </c>
      <c r="G256" t="s">
        <v>340</v>
      </c>
    </row>
    <row r="257" spans="1:7">
      <c r="A257" t="s">
        <v>249</v>
      </c>
      <c r="B257" t="s">
        <v>150</v>
      </c>
      <c r="C257" t="s">
        <v>283</v>
      </c>
      <c r="D257" s="1">
        <v>-3860.7</v>
      </c>
      <c r="G257" t="s">
        <v>341</v>
      </c>
    </row>
    <row r="258" spans="1:7">
      <c r="A258" t="s">
        <v>249</v>
      </c>
      <c r="B258" t="s">
        <v>150</v>
      </c>
      <c r="C258" t="s">
        <v>283</v>
      </c>
      <c r="D258" s="1">
        <v>-8679.08</v>
      </c>
      <c r="G258" t="s">
        <v>342</v>
      </c>
    </row>
    <row r="259" spans="1:7">
      <c r="A259" t="s">
        <v>249</v>
      </c>
      <c r="B259" t="s">
        <v>150</v>
      </c>
      <c r="C259" t="s">
        <v>283</v>
      </c>
      <c r="D259" s="1">
        <v>-6105.29</v>
      </c>
      <c r="G259" t="s">
        <v>343</v>
      </c>
    </row>
    <row r="260" spans="1:7">
      <c r="A260" t="s">
        <v>249</v>
      </c>
      <c r="B260" t="s">
        <v>150</v>
      </c>
      <c r="C260" t="s">
        <v>283</v>
      </c>
      <c r="D260" s="1">
        <v>-6254.93</v>
      </c>
      <c r="G260" t="s">
        <v>344</v>
      </c>
    </row>
    <row r="261" spans="1:7">
      <c r="A261" t="s">
        <v>249</v>
      </c>
      <c r="B261" t="s">
        <v>150</v>
      </c>
      <c r="C261" t="s">
        <v>283</v>
      </c>
      <c r="D261" s="1">
        <v>-7676.5</v>
      </c>
      <c r="G261" t="s">
        <v>345</v>
      </c>
    </row>
    <row r="262" spans="1:7">
      <c r="A262" t="s">
        <v>249</v>
      </c>
      <c r="B262" t="s">
        <v>150</v>
      </c>
      <c r="C262" t="s">
        <v>283</v>
      </c>
      <c r="D262" s="1">
        <v>-16220.91</v>
      </c>
      <c r="G262" t="s">
        <v>346</v>
      </c>
    </row>
    <row r="263" spans="1:7">
      <c r="A263" t="s">
        <v>249</v>
      </c>
      <c r="B263" t="s">
        <v>150</v>
      </c>
      <c r="C263" t="s">
        <v>283</v>
      </c>
      <c r="D263" s="1">
        <v>-12659.49</v>
      </c>
      <c r="G263" t="s">
        <v>347</v>
      </c>
    </row>
    <row r="264" spans="1:7">
      <c r="A264" t="s">
        <v>249</v>
      </c>
      <c r="B264" t="s">
        <v>150</v>
      </c>
      <c r="C264" t="s">
        <v>283</v>
      </c>
      <c r="D264" s="1">
        <v>-4309.6099999999997</v>
      </c>
      <c r="G264" t="s">
        <v>348</v>
      </c>
    </row>
    <row r="265" spans="1:7">
      <c r="A265" t="s">
        <v>249</v>
      </c>
      <c r="B265" t="s">
        <v>150</v>
      </c>
      <c r="C265" t="s">
        <v>283</v>
      </c>
      <c r="D265" s="1">
        <v>-5057.8100000000004</v>
      </c>
      <c r="G265" t="s">
        <v>349</v>
      </c>
    </row>
    <row r="266" spans="1:7">
      <c r="A266" t="s">
        <v>249</v>
      </c>
      <c r="B266" t="s">
        <v>150</v>
      </c>
      <c r="C266" t="s">
        <v>283</v>
      </c>
      <c r="D266" s="1">
        <v>-16310.69</v>
      </c>
      <c r="G266" t="s">
        <v>350</v>
      </c>
    </row>
    <row r="267" spans="1:7">
      <c r="A267" t="s">
        <v>249</v>
      </c>
      <c r="B267" t="s">
        <v>150</v>
      </c>
      <c r="C267" t="s">
        <v>283</v>
      </c>
      <c r="D267" s="1">
        <v>-3711.06</v>
      </c>
      <c r="G267" t="s">
        <v>351</v>
      </c>
    </row>
    <row r="268" spans="1:7">
      <c r="A268" t="s">
        <v>249</v>
      </c>
      <c r="B268" t="s">
        <v>150</v>
      </c>
      <c r="C268" t="s">
        <v>283</v>
      </c>
      <c r="D268" s="1">
        <v>-9367.42</v>
      </c>
      <c r="G268" t="s">
        <v>352</v>
      </c>
    </row>
    <row r="269" spans="1:7">
      <c r="A269" t="s">
        <v>249</v>
      </c>
      <c r="B269" t="s">
        <v>150</v>
      </c>
      <c r="C269" t="s">
        <v>283</v>
      </c>
      <c r="D269" s="1">
        <v>-9965.98</v>
      </c>
      <c r="G269" t="s">
        <v>353</v>
      </c>
    </row>
    <row r="270" spans="1:7">
      <c r="A270" t="s">
        <v>249</v>
      </c>
      <c r="B270" t="s">
        <v>150</v>
      </c>
      <c r="C270" t="s">
        <v>283</v>
      </c>
      <c r="D270" s="1">
        <v>-4982.99</v>
      </c>
      <c r="G270" t="s">
        <v>354</v>
      </c>
    </row>
    <row r="271" spans="1:7">
      <c r="A271" t="s">
        <v>249</v>
      </c>
      <c r="B271" t="s">
        <v>150</v>
      </c>
      <c r="C271" t="s">
        <v>283</v>
      </c>
      <c r="D271" s="1">
        <v>-4608.8900000000003</v>
      </c>
      <c r="G271" t="s">
        <v>355</v>
      </c>
    </row>
    <row r="272" spans="1:7">
      <c r="A272" t="s">
        <v>249</v>
      </c>
      <c r="B272" t="s">
        <v>150</v>
      </c>
      <c r="C272" t="s">
        <v>283</v>
      </c>
      <c r="D272" s="1">
        <v>-3711.06</v>
      </c>
      <c r="G272" t="s">
        <v>356</v>
      </c>
    </row>
    <row r="273" spans="1:7">
      <c r="A273" t="s">
        <v>249</v>
      </c>
      <c r="B273" t="s">
        <v>150</v>
      </c>
      <c r="C273" t="s">
        <v>283</v>
      </c>
      <c r="D273" s="1">
        <v>-13482.51</v>
      </c>
      <c r="G273" t="s">
        <v>357</v>
      </c>
    </row>
    <row r="274" spans="1:7">
      <c r="A274" t="s">
        <v>249</v>
      </c>
      <c r="B274" t="s">
        <v>150</v>
      </c>
      <c r="C274" t="s">
        <v>283</v>
      </c>
      <c r="D274" s="1">
        <v>-32396.92</v>
      </c>
      <c r="G274" t="s">
        <v>358</v>
      </c>
    </row>
    <row r="275" spans="1:7">
      <c r="A275" t="s">
        <v>249</v>
      </c>
      <c r="B275" t="s">
        <v>150</v>
      </c>
      <c r="C275" t="s">
        <v>283</v>
      </c>
      <c r="D275" s="1">
        <v>-4010.34</v>
      </c>
      <c r="G275" t="s">
        <v>359</v>
      </c>
    </row>
    <row r="276" spans="1:7">
      <c r="A276" t="s">
        <v>249</v>
      </c>
      <c r="B276" t="s">
        <v>150</v>
      </c>
      <c r="C276" t="s">
        <v>283</v>
      </c>
      <c r="D276" s="1">
        <v>-17238.46</v>
      </c>
      <c r="G276" t="s">
        <v>360</v>
      </c>
    </row>
    <row r="277" spans="1:7">
      <c r="A277" t="s">
        <v>249</v>
      </c>
      <c r="B277" t="s">
        <v>150</v>
      </c>
      <c r="C277" t="s">
        <v>283</v>
      </c>
      <c r="D277" s="1">
        <v>-8379.7999999999993</v>
      </c>
      <c r="G277" t="s">
        <v>361</v>
      </c>
    </row>
    <row r="278" spans="1:7">
      <c r="A278" t="s">
        <v>249</v>
      </c>
      <c r="B278" t="s">
        <v>150</v>
      </c>
      <c r="C278" t="s">
        <v>283</v>
      </c>
      <c r="D278" s="1">
        <v>-3935.52</v>
      </c>
      <c r="G278" t="s">
        <v>362</v>
      </c>
    </row>
    <row r="279" spans="1:7">
      <c r="A279" t="s">
        <v>249</v>
      </c>
      <c r="B279" t="s">
        <v>150</v>
      </c>
      <c r="C279" t="s">
        <v>283</v>
      </c>
      <c r="D279" s="1">
        <v>-9719.08</v>
      </c>
      <c r="G279" t="s">
        <v>363</v>
      </c>
    </row>
    <row r="280" spans="1:7">
      <c r="A280" t="s">
        <v>249</v>
      </c>
      <c r="B280" t="s">
        <v>150</v>
      </c>
      <c r="C280" t="s">
        <v>283</v>
      </c>
      <c r="D280" s="1">
        <v>-3561.42</v>
      </c>
      <c r="G280" t="s">
        <v>364</v>
      </c>
    </row>
    <row r="281" spans="1:7">
      <c r="A281" t="s">
        <v>249</v>
      </c>
      <c r="B281" t="s">
        <v>150</v>
      </c>
      <c r="C281" t="s">
        <v>283</v>
      </c>
      <c r="D281" s="1">
        <v>-3711.06</v>
      </c>
      <c r="G281" t="s">
        <v>365</v>
      </c>
    </row>
    <row r="282" spans="1:7">
      <c r="A282" t="s">
        <v>249</v>
      </c>
      <c r="B282" t="s">
        <v>150</v>
      </c>
      <c r="C282" t="s">
        <v>283</v>
      </c>
      <c r="D282" s="1">
        <v>-5806.01</v>
      </c>
      <c r="G282" t="s">
        <v>366</v>
      </c>
    </row>
    <row r="283" spans="1:7">
      <c r="A283" t="s">
        <v>249</v>
      </c>
      <c r="B283" t="s">
        <v>150</v>
      </c>
      <c r="C283" t="s">
        <v>283</v>
      </c>
      <c r="D283" s="1">
        <v>-6239.96</v>
      </c>
      <c r="G283" t="s">
        <v>367</v>
      </c>
    </row>
    <row r="284" spans="1:7">
      <c r="A284" t="s">
        <v>249</v>
      </c>
      <c r="B284" t="s">
        <v>150</v>
      </c>
      <c r="C284" t="s">
        <v>283</v>
      </c>
      <c r="D284" s="1">
        <v>-6629.02</v>
      </c>
      <c r="G284" t="s">
        <v>368</v>
      </c>
    </row>
    <row r="285" spans="1:7">
      <c r="A285" t="s">
        <v>249</v>
      </c>
      <c r="B285" t="s">
        <v>150</v>
      </c>
      <c r="C285" t="s">
        <v>283</v>
      </c>
      <c r="D285" s="1">
        <v>-3561.42</v>
      </c>
      <c r="G285" t="s">
        <v>369</v>
      </c>
    </row>
    <row r="286" spans="1:7">
      <c r="A286" t="s">
        <v>249</v>
      </c>
      <c r="B286" t="s">
        <v>150</v>
      </c>
      <c r="C286" t="s">
        <v>283</v>
      </c>
      <c r="D286" s="1">
        <v>-29920.39</v>
      </c>
      <c r="G286" t="s">
        <v>370</v>
      </c>
    </row>
    <row r="287" spans="1:7">
      <c r="A287" t="s">
        <v>249</v>
      </c>
      <c r="B287" t="s">
        <v>150</v>
      </c>
      <c r="C287" t="s">
        <v>283</v>
      </c>
      <c r="D287" s="1">
        <v>-7137.8</v>
      </c>
      <c r="G287" t="s">
        <v>371</v>
      </c>
    </row>
    <row r="288" spans="1:7">
      <c r="A288" t="s">
        <v>249</v>
      </c>
      <c r="B288" t="s">
        <v>150</v>
      </c>
      <c r="C288" t="s">
        <v>283</v>
      </c>
      <c r="D288" s="1">
        <v>-59855.75</v>
      </c>
      <c r="G288" t="s">
        <v>372</v>
      </c>
    </row>
    <row r="289" spans="1:7">
      <c r="A289" t="s">
        <v>249</v>
      </c>
      <c r="B289" t="s">
        <v>150</v>
      </c>
      <c r="C289" t="s">
        <v>283</v>
      </c>
      <c r="D289" s="1">
        <v>-6329.75</v>
      </c>
      <c r="G289" t="s">
        <v>373</v>
      </c>
    </row>
    <row r="290" spans="1:7">
      <c r="A290" t="s">
        <v>249</v>
      </c>
      <c r="B290" t="s">
        <v>150</v>
      </c>
      <c r="C290" t="s">
        <v>283</v>
      </c>
      <c r="D290" s="1">
        <v>-8918.51</v>
      </c>
      <c r="G290" t="s">
        <v>374</v>
      </c>
    </row>
    <row r="291" spans="1:7">
      <c r="A291" t="s">
        <v>249</v>
      </c>
      <c r="B291" t="s">
        <v>150</v>
      </c>
      <c r="C291" t="s">
        <v>283</v>
      </c>
      <c r="D291" s="1">
        <v>-3711.06</v>
      </c>
      <c r="G291" t="s">
        <v>375</v>
      </c>
    </row>
    <row r="292" spans="1:7">
      <c r="A292" t="s">
        <v>249</v>
      </c>
      <c r="B292" t="s">
        <v>150</v>
      </c>
      <c r="C292" t="s">
        <v>283</v>
      </c>
      <c r="D292" s="1">
        <v>-3935.52</v>
      </c>
      <c r="G292" t="s">
        <v>376</v>
      </c>
    </row>
    <row r="293" spans="1:7">
      <c r="A293" t="s">
        <v>249</v>
      </c>
      <c r="B293" t="s">
        <v>150</v>
      </c>
      <c r="C293" t="s">
        <v>283</v>
      </c>
      <c r="D293" s="1">
        <v>-3935.52</v>
      </c>
      <c r="G293" t="s">
        <v>377</v>
      </c>
    </row>
    <row r="294" spans="1:7">
      <c r="A294" t="s">
        <v>249</v>
      </c>
      <c r="B294" t="s">
        <v>150</v>
      </c>
      <c r="C294" t="s">
        <v>283</v>
      </c>
      <c r="D294" s="1">
        <v>-11402.52</v>
      </c>
      <c r="G294" t="s">
        <v>378</v>
      </c>
    </row>
    <row r="295" spans="1:7">
      <c r="A295" t="s">
        <v>249</v>
      </c>
      <c r="B295" t="s">
        <v>150</v>
      </c>
      <c r="C295" t="s">
        <v>283</v>
      </c>
      <c r="D295" s="1">
        <v>-5282.27</v>
      </c>
      <c r="G295" t="s">
        <v>379</v>
      </c>
    </row>
    <row r="296" spans="1:7">
      <c r="A296" t="s">
        <v>249</v>
      </c>
      <c r="B296" t="s">
        <v>150</v>
      </c>
      <c r="C296" t="s">
        <v>283</v>
      </c>
      <c r="D296" s="1">
        <v>-3711.06</v>
      </c>
      <c r="G296" t="s">
        <v>380</v>
      </c>
    </row>
    <row r="297" spans="1:7">
      <c r="A297" t="s">
        <v>249</v>
      </c>
      <c r="B297" t="s">
        <v>150</v>
      </c>
      <c r="C297" t="s">
        <v>283</v>
      </c>
      <c r="D297" s="1">
        <v>-5656.37</v>
      </c>
      <c r="G297" t="s">
        <v>381</v>
      </c>
    </row>
    <row r="298" spans="1:7">
      <c r="A298" t="s">
        <v>249</v>
      </c>
      <c r="B298" t="s">
        <v>150</v>
      </c>
      <c r="C298" t="s">
        <v>283</v>
      </c>
      <c r="D298" s="1">
        <v>-3785.88</v>
      </c>
      <c r="G298" t="s">
        <v>382</v>
      </c>
    </row>
    <row r="299" spans="1:7">
      <c r="A299" t="s">
        <v>249</v>
      </c>
      <c r="B299" t="s">
        <v>150</v>
      </c>
      <c r="C299" t="s">
        <v>283</v>
      </c>
      <c r="D299" s="1">
        <v>-18270.97</v>
      </c>
      <c r="G299" t="s">
        <v>383</v>
      </c>
    </row>
    <row r="300" spans="1:7">
      <c r="A300" t="s">
        <v>249</v>
      </c>
      <c r="B300" t="s">
        <v>150</v>
      </c>
      <c r="C300" t="s">
        <v>283</v>
      </c>
      <c r="D300" s="1">
        <v>-6030.47</v>
      </c>
      <c r="G300" t="s">
        <v>384</v>
      </c>
    </row>
    <row r="301" spans="1:7">
      <c r="A301" t="s">
        <v>249</v>
      </c>
      <c r="B301" t="s">
        <v>150</v>
      </c>
      <c r="C301" t="s">
        <v>283</v>
      </c>
      <c r="D301" s="1">
        <v>-4733.59</v>
      </c>
      <c r="G301" t="s">
        <v>385</v>
      </c>
    </row>
    <row r="302" spans="1:7">
      <c r="A302" t="s">
        <v>249</v>
      </c>
      <c r="B302" t="s">
        <v>150</v>
      </c>
      <c r="C302" t="s">
        <v>283</v>
      </c>
      <c r="D302" s="1">
        <v>-3262.14</v>
      </c>
      <c r="G302" t="s">
        <v>386</v>
      </c>
    </row>
    <row r="303" spans="1:7">
      <c r="A303" t="s">
        <v>249</v>
      </c>
      <c r="B303" t="s">
        <v>150</v>
      </c>
      <c r="C303" t="s">
        <v>283</v>
      </c>
      <c r="D303" s="1">
        <v>-3411.78</v>
      </c>
      <c r="G303" t="s">
        <v>387</v>
      </c>
    </row>
    <row r="304" spans="1:7">
      <c r="A304" t="s">
        <v>249</v>
      </c>
      <c r="B304" t="s">
        <v>150</v>
      </c>
      <c r="C304" t="s">
        <v>283</v>
      </c>
      <c r="D304" s="1">
        <v>-18270.97</v>
      </c>
      <c r="G304" t="s">
        <v>388</v>
      </c>
    </row>
    <row r="305" spans="1:7">
      <c r="A305" t="s">
        <v>249</v>
      </c>
      <c r="B305" t="s">
        <v>150</v>
      </c>
      <c r="C305" t="s">
        <v>283</v>
      </c>
      <c r="D305" s="1">
        <v>-4159.97</v>
      </c>
      <c r="G305" t="s">
        <v>389</v>
      </c>
    </row>
    <row r="306" spans="1:7">
      <c r="A306" t="s">
        <v>249</v>
      </c>
      <c r="B306" t="s">
        <v>150</v>
      </c>
      <c r="C306" t="s">
        <v>283</v>
      </c>
      <c r="D306" s="1">
        <v>-4309.6099999999997</v>
      </c>
      <c r="G306" t="s">
        <v>390</v>
      </c>
    </row>
    <row r="307" spans="1:7">
      <c r="A307" t="s">
        <v>249</v>
      </c>
      <c r="B307" t="s">
        <v>150</v>
      </c>
      <c r="C307" t="s">
        <v>283</v>
      </c>
      <c r="D307" s="1">
        <v>-13183.23</v>
      </c>
      <c r="G307" t="s">
        <v>391</v>
      </c>
    </row>
    <row r="308" spans="1:7">
      <c r="A308" t="s">
        <v>249</v>
      </c>
      <c r="B308" t="s">
        <v>150</v>
      </c>
      <c r="C308" t="s">
        <v>283</v>
      </c>
      <c r="D308" s="1">
        <v>-10444.83</v>
      </c>
      <c r="G308" t="s">
        <v>392</v>
      </c>
    </row>
    <row r="309" spans="1:7">
      <c r="A309" t="s">
        <v>249</v>
      </c>
      <c r="B309" t="s">
        <v>150</v>
      </c>
      <c r="C309" t="s">
        <v>283</v>
      </c>
      <c r="D309" s="1">
        <v>-8020.67</v>
      </c>
      <c r="G309" t="s">
        <v>393</v>
      </c>
    </row>
    <row r="310" spans="1:7">
      <c r="A310" t="s">
        <v>249</v>
      </c>
      <c r="B310" t="s">
        <v>150</v>
      </c>
      <c r="C310" t="s">
        <v>283</v>
      </c>
      <c r="D310" s="1">
        <v>-3411.78</v>
      </c>
      <c r="G310" t="s">
        <v>394</v>
      </c>
    </row>
    <row r="311" spans="1:7">
      <c r="A311" t="s">
        <v>249</v>
      </c>
      <c r="B311" t="s">
        <v>150</v>
      </c>
      <c r="C311" t="s">
        <v>283</v>
      </c>
      <c r="D311" s="1">
        <v>-3800.84</v>
      </c>
      <c r="G311" t="s">
        <v>395</v>
      </c>
    </row>
    <row r="312" spans="1:7">
      <c r="A312" t="s">
        <v>249</v>
      </c>
      <c r="B312" t="s">
        <v>150</v>
      </c>
      <c r="C312" t="s">
        <v>283</v>
      </c>
      <c r="D312" s="1">
        <v>-47764.89</v>
      </c>
      <c r="G312" t="s">
        <v>396</v>
      </c>
    </row>
    <row r="313" spans="1:7">
      <c r="A313" t="s">
        <v>249</v>
      </c>
      <c r="B313" t="s">
        <v>150</v>
      </c>
      <c r="C313" t="s">
        <v>283</v>
      </c>
      <c r="D313" s="1">
        <v>-3112.5</v>
      </c>
      <c r="G313" t="s">
        <v>397</v>
      </c>
    </row>
    <row r="314" spans="1:7">
      <c r="A314" t="s">
        <v>249</v>
      </c>
      <c r="B314" t="s">
        <v>150</v>
      </c>
      <c r="C314" t="s">
        <v>283</v>
      </c>
      <c r="D314" s="1">
        <v>-3336.96</v>
      </c>
      <c r="G314" t="s">
        <v>398</v>
      </c>
    </row>
    <row r="315" spans="1:7">
      <c r="A315" t="s">
        <v>249</v>
      </c>
      <c r="B315" t="s">
        <v>150</v>
      </c>
      <c r="C315" t="s">
        <v>283</v>
      </c>
      <c r="D315" s="1">
        <v>-4758.53</v>
      </c>
      <c r="G315" t="s">
        <v>399</v>
      </c>
    </row>
    <row r="316" spans="1:7">
      <c r="A316" t="s">
        <v>249</v>
      </c>
      <c r="B316" t="s">
        <v>150</v>
      </c>
      <c r="C316" t="s">
        <v>283</v>
      </c>
      <c r="D316" s="1">
        <v>-3770.91</v>
      </c>
      <c r="G316" t="s">
        <v>400</v>
      </c>
    </row>
    <row r="317" spans="1:7">
      <c r="A317" t="s">
        <v>249</v>
      </c>
      <c r="B317" t="s">
        <v>150</v>
      </c>
      <c r="C317" t="s">
        <v>283</v>
      </c>
      <c r="D317" s="1">
        <v>-4683.71</v>
      </c>
      <c r="G317" t="s">
        <v>401</v>
      </c>
    </row>
    <row r="318" spans="1:7">
      <c r="A318" t="s">
        <v>249</v>
      </c>
      <c r="B318" t="s">
        <v>150</v>
      </c>
      <c r="C318" t="s">
        <v>283</v>
      </c>
      <c r="D318" s="1">
        <v>-4908.17</v>
      </c>
      <c r="G318" t="s">
        <v>402</v>
      </c>
    </row>
    <row r="319" spans="1:7">
      <c r="A319" t="s">
        <v>249</v>
      </c>
      <c r="B319" t="s">
        <v>150</v>
      </c>
      <c r="C319" t="s">
        <v>283</v>
      </c>
      <c r="D319" s="1">
        <v>-3561.42</v>
      </c>
      <c r="G319" t="s">
        <v>403</v>
      </c>
    </row>
    <row r="320" spans="1:7">
      <c r="A320" t="s">
        <v>249</v>
      </c>
      <c r="B320" t="s">
        <v>150</v>
      </c>
      <c r="C320" t="s">
        <v>283</v>
      </c>
      <c r="D320" s="1">
        <v>-5581.55</v>
      </c>
      <c r="G320" t="s">
        <v>404</v>
      </c>
    </row>
    <row r="321" spans="1:7">
      <c r="A321" t="s">
        <v>249</v>
      </c>
      <c r="B321" t="s">
        <v>150</v>
      </c>
      <c r="C321" t="s">
        <v>283</v>
      </c>
      <c r="D321" s="1">
        <v>-10609.43</v>
      </c>
      <c r="G321" t="s">
        <v>405</v>
      </c>
    </row>
    <row r="322" spans="1:7">
      <c r="A322" t="s">
        <v>249</v>
      </c>
      <c r="B322" t="s">
        <v>150</v>
      </c>
      <c r="C322" t="s">
        <v>283</v>
      </c>
      <c r="D322" s="1">
        <v>-20246.21</v>
      </c>
      <c r="G322" t="s">
        <v>406</v>
      </c>
    </row>
    <row r="323" spans="1:7">
      <c r="A323" t="s">
        <v>249</v>
      </c>
      <c r="B323" t="s">
        <v>150</v>
      </c>
      <c r="C323" t="s">
        <v>283</v>
      </c>
      <c r="D323" s="1">
        <v>-32396.92</v>
      </c>
      <c r="G323" t="s">
        <v>407</v>
      </c>
    </row>
    <row r="324" spans="1:7">
      <c r="A324" t="s">
        <v>249</v>
      </c>
      <c r="B324" t="s">
        <v>150</v>
      </c>
      <c r="C324" t="s">
        <v>283</v>
      </c>
      <c r="D324" s="1">
        <v>-32396.92</v>
      </c>
      <c r="G324" t="s">
        <v>408</v>
      </c>
    </row>
    <row r="325" spans="1:7">
      <c r="A325" t="s">
        <v>249</v>
      </c>
      <c r="B325" t="s">
        <v>150</v>
      </c>
      <c r="C325" t="s">
        <v>283</v>
      </c>
      <c r="D325" s="1">
        <v>-32396.92</v>
      </c>
      <c r="G325" t="s">
        <v>409</v>
      </c>
    </row>
    <row r="326" spans="1:7">
      <c r="A326" t="s">
        <v>249</v>
      </c>
      <c r="B326" t="s">
        <v>150</v>
      </c>
      <c r="C326" t="s">
        <v>283</v>
      </c>
      <c r="D326" s="1">
        <v>-20799.87</v>
      </c>
      <c r="G326" t="s">
        <v>410</v>
      </c>
    </row>
    <row r="327" spans="1:7">
      <c r="A327" t="s">
        <v>249</v>
      </c>
      <c r="B327" t="s">
        <v>150</v>
      </c>
      <c r="C327" t="s">
        <v>283</v>
      </c>
      <c r="D327" s="1">
        <v>-3785.88</v>
      </c>
      <c r="G327" t="s">
        <v>411</v>
      </c>
    </row>
    <row r="328" spans="1:7">
      <c r="A328" t="s">
        <v>249</v>
      </c>
      <c r="B328" t="s">
        <v>150</v>
      </c>
      <c r="C328" t="s">
        <v>283</v>
      </c>
      <c r="D328" s="1">
        <v>-16220.91</v>
      </c>
      <c r="G328" t="s">
        <v>412</v>
      </c>
    </row>
    <row r="329" spans="1:7">
      <c r="A329" t="s">
        <v>249</v>
      </c>
      <c r="B329" t="s">
        <v>150</v>
      </c>
      <c r="C329" t="s">
        <v>283</v>
      </c>
      <c r="D329" s="1">
        <v>-5132.63</v>
      </c>
      <c r="G329" t="s">
        <v>413</v>
      </c>
    </row>
    <row r="330" spans="1:7">
      <c r="A330" t="s">
        <v>249</v>
      </c>
      <c r="B330" t="s">
        <v>150</v>
      </c>
      <c r="C330" t="s">
        <v>283</v>
      </c>
      <c r="D330" s="1">
        <v>-3411.78</v>
      </c>
      <c r="G330" t="s">
        <v>414</v>
      </c>
    </row>
    <row r="331" spans="1:7">
      <c r="A331" t="s">
        <v>249</v>
      </c>
      <c r="B331" t="s">
        <v>150</v>
      </c>
      <c r="C331" t="s">
        <v>283</v>
      </c>
      <c r="D331" s="1">
        <v>-3112.5</v>
      </c>
      <c r="G331" t="s">
        <v>415</v>
      </c>
    </row>
    <row r="332" spans="1:7">
      <c r="A332" t="s">
        <v>249</v>
      </c>
      <c r="B332" t="s">
        <v>150</v>
      </c>
      <c r="C332" t="s">
        <v>283</v>
      </c>
      <c r="D332" s="1">
        <v>-4234.79</v>
      </c>
      <c r="G332" t="s">
        <v>416</v>
      </c>
    </row>
    <row r="333" spans="1:7">
      <c r="A333" t="s">
        <v>249</v>
      </c>
      <c r="B333" t="s">
        <v>150</v>
      </c>
      <c r="C333" t="s">
        <v>283</v>
      </c>
      <c r="D333" s="1">
        <v>-8574.34</v>
      </c>
      <c r="G333" t="s">
        <v>417</v>
      </c>
    </row>
    <row r="334" spans="1:7">
      <c r="A334" t="s">
        <v>249</v>
      </c>
      <c r="B334" t="s">
        <v>150</v>
      </c>
      <c r="C334" t="s">
        <v>283</v>
      </c>
      <c r="D334" s="1">
        <v>-5820.97</v>
      </c>
      <c r="G334" t="s">
        <v>418</v>
      </c>
    </row>
    <row r="335" spans="1:7">
      <c r="A335" t="s">
        <v>249</v>
      </c>
      <c r="B335" t="s">
        <v>150</v>
      </c>
      <c r="C335" t="s">
        <v>283</v>
      </c>
      <c r="D335" s="1">
        <v>-6569.17</v>
      </c>
      <c r="G335" t="s">
        <v>419</v>
      </c>
    </row>
    <row r="336" spans="1:7">
      <c r="A336" t="s">
        <v>249</v>
      </c>
      <c r="B336" t="s">
        <v>150</v>
      </c>
      <c r="C336" t="s">
        <v>283</v>
      </c>
      <c r="D336" s="1">
        <v>-11357.63</v>
      </c>
      <c r="G336" t="s">
        <v>420</v>
      </c>
    </row>
    <row r="337" spans="1:7">
      <c r="A337" t="s">
        <v>249</v>
      </c>
      <c r="B337" t="s">
        <v>150</v>
      </c>
      <c r="C337" t="s">
        <v>283</v>
      </c>
      <c r="D337" s="1">
        <v>-5282.27</v>
      </c>
      <c r="G337" t="s">
        <v>421</v>
      </c>
    </row>
    <row r="338" spans="1:7">
      <c r="A338" t="s">
        <v>249</v>
      </c>
      <c r="B338" t="s">
        <v>150</v>
      </c>
      <c r="C338" t="s">
        <v>283</v>
      </c>
      <c r="D338" s="1">
        <v>-6254.93</v>
      </c>
      <c r="G338" t="s">
        <v>422</v>
      </c>
    </row>
    <row r="339" spans="1:7">
      <c r="A339" t="s">
        <v>249</v>
      </c>
      <c r="B339" t="s">
        <v>150</v>
      </c>
      <c r="C339" t="s">
        <v>283</v>
      </c>
      <c r="D339" s="1">
        <v>-7751.32</v>
      </c>
      <c r="G339" t="s">
        <v>423</v>
      </c>
    </row>
    <row r="340" spans="1:7">
      <c r="A340" t="s">
        <v>249</v>
      </c>
      <c r="B340" t="s">
        <v>150</v>
      </c>
      <c r="C340" t="s">
        <v>283</v>
      </c>
      <c r="D340" s="1">
        <v>-4908.17</v>
      </c>
      <c r="G340" t="s">
        <v>424</v>
      </c>
    </row>
    <row r="341" spans="1:7">
      <c r="A341" t="s">
        <v>249</v>
      </c>
      <c r="B341" t="s">
        <v>150</v>
      </c>
      <c r="C341" t="s">
        <v>283</v>
      </c>
      <c r="D341" s="1">
        <v>-4384.43</v>
      </c>
      <c r="G341" t="s">
        <v>425</v>
      </c>
    </row>
    <row r="342" spans="1:7">
      <c r="A342" t="s">
        <v>249</v>
      </c>
      <c r="B342" t="s">
        <v>150</v>
      </c>
      <c r="C342" t="s">
        <v>283</v>
      </c>
      <c r="D342" s="1">
        <v>-3711.06</v>
      </c>
      <c r="G342" t="s">
        <v>426</v>
      </c>
    </row>
    <row r="343" spans="1:7">
      <c r="A343" t="s">
        <v>249</v>
      </c>
      <c r="B343" t="s">
        <v>150</v>
      </c>
      <c r="C343" t="s">
        <v>283</v>
      </c>
      <c r="D343" s="1">
        <v>-5431.91</v>
      </c>
      <c r="G343" t="s">
        <v>427</v>
      </c>
    </row>
    <row r="344" spans="1:7">
      <c r="A344" t="s">
        <v>249</v>
      </c>
      <c r="B344" t="s">
        <v>150</v>
      </c>
      <c r="C344" t="s">
        <v>283</v>
      </c>
      <c r="D344" s="1">
        <v>-37230.28</v>
      </c>
      <c r="G344" t="s">
        <v>428</v>
      </c>
    </row>
    <row r="345" spans="1:7">
      <c r="A345" t="s">
        <v>249</v>
      </c>
      <c r="B345" t="s">
        <v>150</v>
      </c>
      <c r="C345" t="s">
        <v>283</v>
      </c>
      <c r="D345" s="1">
        <v>-22715.26</v>
      </c>
      <c r="G345" t="s">
        <v>429</v>
      </c>
    </row>
    <row r="346" spans="1:7">
      <c r="A346" t="s">
        <v>249</v>
      </c>
      <c r="B346" t="s">
        <v>150</v>
      </c>
      <c r="C346" t="s">
        <v>283</v>
      </c>
      <c r="D346" s="1">
        <v>-7452.04</v>
      </c>
      <c r="G346" t="s">
        <v>430</v>
      </c>
    </row>
    <row r="347" spans="1:7">
      <c r="A347" t="s">
        <v>249</v>
      </c>
      <c r="B347" t="s">
        <v>150</v>
      </c>
      <c r="C347" t="s">
        <v>283</v>
      </c>
      <c r="D347" s="1">
        <v>-4833.3500000000004</v>
      </c>
      <c r="G347" t="s">
        <v>431</v>
      </c>
    </row>
    <row r="348" spans="1:7">
      <c r="A348" t="s">
        <v>249</v>
      </c>
      <c r="B348" t="s">
        <v>150</v>
      </c>
      <c r="C348" t="s">
        <v>283</v>
      </c>
      <c r="D348" s="1">
        <v>-9030.74</v>
      </c>
      <c r="G348" t="s">
        <v>432</v>
      </c>
    </row>
    <row r="349" spans="1:7">
      <c r="A349" t="s">
        <v>249</v>
      </c>
      <c r="B349" t="s">
        <v>150</v>
      </c>
      <c r="C349" t="s">
        <v>283</v>
      </c>
      <c r="D349" s="1">
        <v>-12539.78</v>
      </c>
      <c r="G349" t="s">
        <v>433</v>
      </c>
    </row>
    <row r="350" spans="1:7">
      <c r="A350" t="s">
        <v>249</v>
      </c>
      <c r="B350" t="s">
        <v>150</v>
      </c>
      <c r="C350" t="s">
        <v>283</v>
      </c>
      <c r="D350" s="1">
        <v>-7227.58</v>
      </c>
      <c r="G350" t="s">
        <v>434</v>
      </c>
    </row>
    <row r="351" spans="1:7">
      <c r="A351" t="s">
        <v>249</v>
      </c>
      <c r="B351" t="s">
        <v>150</v>
      </c>
      <c r="C351" t="s">
        <v>283</v>
      </c>
      <c r="D351" s="1">
        <v>-4459.25</v>
      </c>
      <c r="G351" t="s">
        <v>435</v>
      </c>
    </row>
    <row r="352" spans="1:7">
      <c r="A352" t="s">
        <v>249</v>
      </c>
      <c r="B352" t="s">
        <v>150</v>
      </c>
      <c r="C352" t="s">
        <v>283</v>
      </c>
      <c r="D352" s="1">
        <v>-8873.61</v>
      </c>
      <c r="G352" t="s">
        <v>436</v>
      </c>
    </row>
    <row r="353" spans="1:7">
      <c r="A353" t="s">
        <v>249</v>
      </c>
      <c r="B353" t="s">
        <v>150</v>
      </c>
      <c r="C353" t="s">
        <v>283</v>
      </c>
      <c r="D353" s="1">
        <v>-5506.73</v>
      </c>
      <c r="G353" t="s">
        <v>437</v>
      </c>
    </row>
    <row r="354" spans="1:7">
      <c r="A354" t="s">
        <v>249</v>
      </c>
      <c r="B354" t="s">
        <v>150</v>
      </c>
      <c r="C354" t="s">
        <v>283</v>
      </c>
      <c r="D354" s="1">
        <v>-8574.34</v>
      </c>
      <c r="G354" t="s">
        <v>438</v>
      </c>
    </row>
    <row r="355" spans="1:7">
      <c r="A355" t="s">
        <v>249</v>
      </c>
      <c r="B355" t="s">
        <v>150</v>
      </c>
      <c r="C355" t="s">
        <v>283</v>
      </c>
      <c r="D355" s="1">
        <v>-4608.8900000000003</v>
      </c>
      <c r="G355" t="s">
        <v>439</v>
      </c>
    </row>
    <row r="356" spans="1:7">
      <c r="A356" t="s">
        <v>249</v>
      </c>
      <c r="B356" t="s">
        <v>150</v>
      </c>
      <c r="C356" t="s">
        <v>283</v>
      </c>
      <c r="D356" s="1">
        <v>-3785.88</v>
      </c>
      <c r="G356" t="s">
        <v>440</v>
      </c>
    </row>
    <row r="357" spans="1:7">
      <c r="A357" t="s">
        <v>249</v>
      </c>
      <c r="B357" t="s">
        <v>150</v>
      </c>
      <c r="C357" t="s">
        <v>283</v>
      </c>
      <c r="D357" s="1">
        <v>-4534.07</v>
      </c>
      <c r="G357" t="s">
        <v>441</v>
      </c>
    </row>
    <row r="358" spans="1:7">
      <c r="A358" t="s">
        <v>249</v>
      </c>
      <c r="B358" t="s">
        <v>150</v>
      </c>
      <c r="C358" t="s">
        <v>283</v>
      </c>
      <c r="D358" s="1">
        <v>-3486.6</v>
      </c>
      <c r="G358" t="s">
        <v>442</v>
      </c>
    </row>
    <row r="359" spans="1:7">
      <c r="A359" t="s">
        <v>249</v>
      </c>
      <c r="B359" t="s">
        <v>150</v>
      </c>
      <c r="C359" t="s">
        <v>283</v>
      </c>
      <c r="D359" s="1">
        <v>-3935.52</v>
      </c>
      <c r="G359" t="s">
        <v>443</v>
      </c>
    </row>
    <row r="360" spans="1:7">
      <c r="A360" t="s">
        <v>249</v>
      </c>
      <c r="B360" t="s">
        <v>150</v>
      </c>
      <c r="C360" t="s">
        <v>283</v>
      </c>
      <c r="D360" s="1">
        <v>-3411.78</v>
      </c>
      <c r="G360" t="s">
        <v>444</v>
      </c>
    </row>
    <row r="361" spans="1:7">
      <c r="A361" t="s">
        <v>249</v>
      </c>
      <c r="B361" t="s">
        <v>150</v>
      </c>
      <c r="C361" t="s">
        <v>283</v>
      </c>
      <c r="D361" s="1">
        <v>-4085.15</v>
      </c>
      <c r="G361" t="s">
        <v>445</v>
      </c>
    </row>
    <row r="362" spans="1:7">
      <c r="A362" t="s">
        <v>249</v>
      </c>
      <c r="B362" t="s">
        <v>150</v>
      </c>
      <c r="C362" t="s">
        <v>283</v>
      </c>
      <c r="D362" s="1">
        <v>-3112.5</v>
      </c>
      <c r="G362" t="s">
        <v>446</v>
      </c>
    </row>
    <row r="363" spans="1:7">
      <c r="A363" t="s">
        <v>249</v>
      </c>
      <c r="B363" t="s">
        <v>150</v>
      </c>
      <c r="C363" t="s">
        <v>283</v>
      </c>
      <c r="D363" s="1">
        <v>-8125.42</v>
      </c>
      <c r="G363" t="s">
        <v>447</v>
      </c>
    </row>
    <row r="364" spans="1:7">
      <c r="A364" t="s">
        <v>249</v>
      </c>
      <c r="B364" t="s">
        <v>150</v>
      </c>
      <c r="C364" t="s">
        <v>283</v>
      </c>
      <c r="D364" s="1">
        <v>-3164.87</v>
      </c>
      <c r="G364" t="s">
        <v>448</v>
      </c>
    </row>
    <row r="365" spans="1:7">
      <c r="A365" t="s">
        <v>249</v>
      </c>
      <c r="B365" t="s">
        <v>150</v>
      </c>
      <c r="C365" t="s">
        <v>283</v>
      </c>
      <c r="D365" s="1">
        <v>-10347.56</v>
      </c>
      <c r="G365" t="s">
        <v>449</v>
      </c>
    </row>
    <row r="366" spans="1:7">
      <c r="A366" t="s">
        <v>249</v>
      </c>
      <c r="B366" t="s">
        <v>150</v>
      </c>
      <c r="C366" t="s">
        <v>283</v>
      </c>
      <c r="D366" s="1">
        <v>-4713.6400000000003</v>
      </c>
      <c r="G366" t="s">
        <v>450</v>
      </c>
    </row>
    <row r="367" spans="1:7">
      <c r="A367" t="s">
        <v>249</v>
      </c>
      <c r="B367" t="s">
        <v>150</v>
      </c>
      <c r="C367" t="s">
        <v>283</v>
      </c>
      <c r="D367" s="1">
        <v>-3561.42</v>
      </c>
      <c r="G367" t="s">
        <v>451</v>
      </c>
    </row>
    <row r="368" spans="1:7">
      <c r="A368" t="s">
        <v>249</v>
      </c>
      <c r="B368" t="s">
        <v>150</v>
      </c>
      <c r="C368" t="s">
        <v>283</v>
      </c>
      <c r="D368" s="1">
        <v>-4833.3500000000004</v>
      </c>
      <c r="G368" t="s">
        <v>452</v>
      </c>
    </row>
    <row r="369" spans="1:7">
      <c r="A369" t="s">
        <v>249</v>
      </c>
      <c r="B369" t="s">
        <v>150</v>
      </c>
      <c r="C369" t="s">
        <v>283</v>
      </c>
      <c r="D369" s="1">
        <v>-3561.42</v>
      </c>
      <c r="G369" t="s">
        <v>453</v>
      </c>
    </row>
    <row r="370" spans="1:7">
      <c r="A370" t="s">
        <v>249</v>
      </c>
      <c r="B370" t="s">
        <v>150</v>
      </c>
      <c r="C370" t="s">
        <v>283</v>
      </c>
      <c r="D370" s="1">
        <v>-3187.32</v>
      </c>
      <c r="G370" t="s">
        <v>454</v>
      </c>
    </row>
    <row r="371" spans="1:7">
      <c r="A371" t="s">
        <v>249</v>
      </c>
      <c r="B371" t="s">
        <v>150</v>
      </c>
      <c r="C371" t="s">
        <v>283</v>
      </c>
      <c r="D371" s="1">
        <v>-7429.59</v>
      </c>
      <c r="G371" t="s">
        <v>455</v>
      </c>
    </row>
    <row r="372" spans="1:7">
      <c r="A372" t="s">
        <v>249</v>
      </c>
      <c r="B372" t="s">
        <v>150</v>
      </c>
      <c r="C372" t="s">
        <v>283</v>
      </c>
      <c r="D372" s="1">
        <v>-7826.14</v>
      </c>
      <c r="G372" t="s">
        <v>456</v>
      </c>
    </row>
    <row r="373" spans="1:7">
      <c r="A373" t="s">
        <v>249</v>
      </c>
      <c r="B373" t="s">
        <v>150</v>
      </c>
      <c r="C373" t="s">
        <v>283</v>
      </c>
      <c r="D373" s="1">
        <v>-3112.5</v>
      </c>
      <c r="G373" t="s">
        <v>457</v>
      </c>
    </row>
    <row r="374" spans="1:7">
      <c r="A374" t="s">
        <v>249</v>
      </c>
      <c r="B374" t="s">
        <v>150</v>
      </c>
      <c r="C374" t="s">
        <v>283</v>
      </c>
      <c r="D374" s="1">
        <v>-4309.6099999999997</v>
      </c>
      <c r="G374" t="s">
        <v>458</v>
      </c>
    </row>
    <row r="375" spans="1:7">
      <c r="A375" t="s">
        <v>249</v>
      </c>
      <c r="B375" t="s">
        <v>150</v>
      </c>
      <c r="C375" t="s">
        <v>283</v>
      </c>
      <c r="D375" s="1">
        <v>-3561.42</v>
      </c>
      <c r="G375" t="s">
        <v>459</v>
      </c>
    </row>
    <row r="376" spans="1:7">
      <c r="A376" t="s">
        <v>249</v>
      </c>
      <c r="B376" t="s">
        <v>150</v>
      </c>
      <c r="C376" t="s">
        <v>283</v>
      </c>
      <c r="D376" s="1">
        <v>-10145.549999999999</v>
      </c>
      <c r="G376" t="s">
        <v>460</v>
      </c>
    </row>
    <row r="377" spans="1:7">
      <c r="A377" t="s">
        <v>249</v>
      </c>
      <c r="B377" t="s">
        <v>150</v>
      </c>
      <c r="C377" t="s">
        <v>283</v>
      </c>
      <c r="D377" s="1">
        <v>-12240.5</v>
      </c>
      <c r="G377" t="s">
        <v>461</v>
      </c>
    </row>
    <row r="378" spans="1:7">
      <c r="A378" t="s">
        <v>249</v>
      </c>
      <c r="B378" t="s">
        <v>150</v>
      </c>
      <c r="C378" t="s">
        <v>283</v>
      </c>
      <c r="D378" s="1">
        <v>-3561.42</v>
      </c>
      <c r="G378" t="s">
        <v>462</v>
      </c>
    </row>
    <row r="379" spans="1:7">
      <c r="A379" t="s">
        <v>249</v>
      </c>
      <c r="B379" t="s">
        <v>150</v>
      </c>
      <c r="C379" t="s">
        <v>283</v>
      </c>
      <c r="D379" s="1">
        <v>-5282.27</v>
      </c>
      <c r="G379" t="s">
        <v>463</v>
      </c>
    </row>
    <row r="380" spans="1:7">
      <c r="A380" t="s">
        <v>249</v>
      </c>
      <c r="B380" t="s">
        <v>150</v>
      </c>
      <c r="C380" t="s">
        <v>283</v>
      </c>
      <c r="D380" s="1">
        <v>-3187.32</v>
      </c>
      <c r="G380" t="s">
        <v>464</v>
      </c>
    </row>
    <row r="381" spans="1:7">
      <c r="A381" t="s">
        <v>249</v>
      </c>
      <c r="B381" t="s">
        <v>150</v>
      </c>
      <c r="C381" t="s">
        <v>283</v>
      </c>
      <c r="D381" s="1">
        <v>-4234.79</v>
      </c>
      <c r="G381" t="s">
        <v>465</v>
      </c>
    </row>
    <row r="382" spans="1:7">
      <c r="A382" t="s">
        <v>249</v>
      </c>
      <c r="B382" t="s">
        <v>150</v>
      </c>
      <c r="C382" t="s">
        <v>283</v>
      </c>
      <c r="D382" s="1">
        <v>-3262.14</v>
      </c>
      <c r="G382" t="s">
        <v>466</v>
      </c>
    </row>
    <row r="383" spans="1:7">
      <c r="A383" t="s">
        <v>249</v>
      </c>
      <c r="B383" t="s">
        <v>150</v>
      </c>
      <c r="C383" t="s">
        <v>283</v>
      </c>
      <c r="D383" s="1">
        <v>-10968.57</v>
      </c>
      <c r="G383" t="s">
        <v>467</v>
      </c>
    </row>
    <row r="384" spans="1:7">
      <c r="A384" t="s">
        <v>249</v>
      </c>
      <c r="B384" t="s">
        <v>150</v>
      </c>
      <c r="C384" t="s">
        <v>283</v>
      </c>
      <c r="D384" s="1">
        <v>-7003.12</v>
      </c>
      <c r="G384" t="s">
        <v>468</v>
      </c>
    </row>
    <row r="385" spans="1:7">
      <c r="A385" t="s">
        <v>249</v>
      </c>
      <c r="B385" t="s">
        <v>150</v>
      </c>
      <c r="C385" t="s">
        <v>283</v>
      </c>
      <c r="D385" s="1">
        <v>-11043.39</v>
      </c>
      <c r="G385" t="s">
        <v>469</v>
      </c>
    </row>
    <row r="386" spans="1:7">
      <c r="A386" t="s">
        <v>249</v>
      </c>
      <c r="B386" t="s">
        <v>150</v>
      </c>
      <c r="C386" t="s">
        <v>283</v>
      </c>
      <c r="D386" s="1">
        <v>-9621.81</v>
      </c>
      <c r="G386" t="s">
        <v>470</v>
      </c>
    </row>
    <row r="387" spans="1:7">
      <c r="A387" t="s">
        <v>249</v>
      </c>
      <c r="B387" t="s">
        <v>150</v>
      </c>
      <c r="C387" t="s">
        <v>283</v>
      </c>
      <c r="D387" s="1">
        <v>-4234.79</v>
      </c>
      <c r="G387" t="s">
        <v>471</v>
      </c>
    </row>
    <row r="388" spans="1:7">
      <c r="A388" t="s">
        <v>249</v>
      </c>
      <c r="B388" t="s">
        <v>150</v>
      </c>
      <c r="C388" t="s">
        <v>283</v>
      </c>
      <c r="D388" s="1">
        <v>-9023.25</v>
      </c>
      <c r="G388" t="s">
        <v>472</v>
      </c>
    </row>
    <row r="389" spans="1:7">
      <c r="A389" t="s">
        <v>249</v>
      </c>
      <c r="B389" t="s">
        <v>150</v>
      </c>
      <c r="C389" t="s">
        <v>283</v>
      </c>
      <c r="D389" s="1">
        <v>-7751.32</v>
      </c>
      <c r="G389" t="s">
        <v>473</v>
      </c>
    </row>
    <row r="390" spans="1:7">
      <c r="A390" t="s">
        <v>249</v>
      </c>
      <c r="B390" t="s">
        <v>150</v>
      </c>
      <c r="C390" t="s">
        <v>283</v>
      </c>
      <c r="D390" s="1">
        <v>-10956.59</v>
      </c>
      <c r="G390" t="s">
        <v>474</v>
      </c>
    </row>
    <row r="391" spans="1:7">
      <c r="A391" t="s">
        <v>249</v>
      </c>
      <c r="B391" t="s">
        <v>150</v>
      </c>
      <c r="C391" t="s">
        <v>283</v>
      </c>
      <c r="D391" s="1">
        <v>-6254.93</v>
      </c>
      <c r="G391" t="s">
        <v>475</v>
      </c>
    </row>
    <row r="392" spans="1:7">
      <c r="A392" t="s">
        <v>249</v>
      </c>
      <c r="B392" t="s">
        <v>150</v>
      </c>
      <c r="C392" t="s">
        <v>283</v>
      </c>
      <c r="D392" s="1">
        <v>-4833.3500000000004</v>
      </c>
      <c r="G392" t="s">
        <v>476</v>
      </c>
    </row>
    <row r="393" spans="1:7">
      <c r="A393" t="s">
        <v>249</v>
      </c>
      <c r="B393" t="s">
        <v>150</v>
      </c>
      <c r="C393" t="s">
        <v>283</v>
      </c>
      <c r="D393" s="1">
        <v>-3763.43</v>
      </c>
      <c r="G393" t="s">
        <v>477</v>
      </c>
    </row>
    <row r="394" spans="1:7">
      <c r="A394" t="s">
        <v>249</v>
      </c>
      <c r="B394" t="s">
        <v>150</v>
      </c>
      <c r="C394" t="s">
        <v>283</v>
      </c>
      <c r="D394" s="1">
        <v>-8025.66</v>
      </c>
      <c r="G394" t="s">
        <v>478</v>
      </c>
    </row>
    <row r="395" spans="1:7">
      <c r="A395" t="s">
        <v>249</v>
      </c>
      <c r="B395" t="s">
        <v>150</v>
      </c>
      <c r="C395" t="s">
        <v>283</v>
      </c>
      <c r="D395" s="1">
        <v>-4908.17</v>
      </c>
      <c r="G395" t="s">
        <v>479</v>
      </c>
    </row>
    <row r="396" spans="1:7">
      <c r="A396" t="s">
        <v>249</v>
      </c>
      <c r="B396" t="s">
        <v>150</v>
      </c>
      <c r="C396" t="s">
        <v>283</v>
      </c>
      <c r="D396" s="1">
        <v>-3636.24</v>
      </c>
      <c r="G396" t="s">
        <v>480</v>
      </c>
    </row>
    <row r="397" spans="1:7">
      <c r="A397" t="s">
        <v>481</v>
      </c>
      <c r="B397" t="s">
        <v>6</v>
      </c>
      <c r="C397" t="s">
        <v>482</v>
      </c>
      <c r="D397" s="1">
        <v>-1745.79</v>
      </c>
      <c r="G397" t="s">
        <v>483</v>
      </c>
    </row>
    <row r="398" spans="1:7">
      <c r="A398" t="s">
        <v>481</v>
      </c>
      <c r="B398" t="s">
        <v>6</v>
      </c>
      <c r="C398" t="s">
        <v>482</v>
      </c>
      <c r="D398" s="1">
        <v>-1745.79</v>
      </c>
      <c r="G398" t="s">
        <v>484</v>
      </c>
    </row>
    <row r="399" spans="1:7">
      <c r="A399" t="s">
        <v>11</v>
      </c>
      <c r="B399" t="s">
        <v>6</v>
      </c>
      <c r="C399" t="s">
        <v>12</v>
      </c>
      <c r="D399" s="1">
        <v>-1695760</v>
      </c>
      <c r="G399" t="s">
        <v>485</v>
      </c>
    </row>
    <row r="400" spans="1:7">
      <c r="A400" t="s">
        <v>11</v>
      </c>
      <c r="B400" t="s">
        <v>6</v>
      </c>
      <c r="C400" t="s">
        <v>12</v>
      </c>
      <c r="D400" s="1">
        <v>-82850.7</v>
      </c>
      <c r="G400" t="s">
        <v>486</v>
      </c>
    </row>
    <row r="401" spans="1:8">
      <c r="A401" t="s">
        <v>13</v>
      </c>
      <c r="B401" t="s">
        <v>6</v>
      </c>
      <c r="C401" t="s">
        <v>14</v>
      </c>
      <c r="D401" s="1">
        <v>-1011960</v>
      </c>
      <c r="G401" t="s">
        <v>117</v>
      </c>
    </row>
    <row r="402" spans="1:8">
      <c r="A402" t="s">
        <v>13</v>
      </c>
      <c r="B402" t="s">
        <v>6</v>
      </c>
      <c r="C402" t="s">
        <v>14</v>
      </c>
      <c r="D402" s="1">
        <v>-1829436.3</v>
      </c>
      <c r="G402" t="s">
        <v>118</v>
      </c>
    </row>
    <row r="403" spans="1:8">
      <c r="A403" t="s">
        <v>13</v>
      </c>
      <c r="B403" t="s">
        <v>6</v>
      </c>
      <c r="C403" t="s">
        <v>14</v>
      </c>
      <c r="D403" s="1">
        <v>-48977.29</v>
      </c>
      <c r="G403" t="s">
        <v>119</v>
      </c>
    </row>
    <row r="404" spans="1:8">
      <c r="A404" t="s">
        <v>13</v>
      </c>
      <c r="B404" t="s">
        <v>6</v>
      </c>
      <c r="C404" t="s">
        <v>14</v>
      </c>
      <c r="D404" s="1">
        <v>-3470</v>
      </c>
      <c r="G404" t="s">
        <v>120</v>
      </c>
    </row>
    <row r="405" spans="1:8">
      <c r="A405" t="s">
        <v>497</v>
      </c>
      <c r="B405" t="s">
        <v>15</v>
      </c>
      <c r="C405" t="s">
        <v>16</v>
      </c>
      <c r="D405" s="1">
        <v>-8000</v>
      </c>
      <c r="G405" t="s">
        <v>57</v>
      </c>
      <c r="H405" t="s">
        <v>138</v>
      </c>
    </row>
    <row r="406" spans="1:8">
      <c r="A406" t="s">
        <v>17</v>
      </c>
      <c r="B406" t="s">
        <v>6</v>
      </c>
      <c r="C406" t="s">
        <v>18</v>
      </c>
      <c r="D406" s="1">
        <v>-704880</v>
      </c>
      <c r="G406" t="s">
        <v>59</v>
      </c>
    </row>
    <row r="407" spans="1:8">
      <c r="A407" t="s">
        <v>19</v>
      </c>
      <c r="B407" t="s">
        <v>6</v>
      </c>
      <c r="C407" t="s">
        <v>20</v>
      </c>
      <c r="D407" s="1">
        <v>-448.92</v>
      </c>
      <c r="G407" t="s">
        <v>121</v>
      </c>
      <c r="H407" t="s">
        <v>138</v>
      </c>
    </row>
    <row r="408" spans="1:8">
      <c r="A408" t="s">
        <v>19</v>
      </c>
      <c r="B408" t="s">
        <v>6</v>
      </c>
      <c r="C408" t="s">
        <v>20</v>
      </c>
      <c r="D408" s="1">
        <v>-139.66</v>
      </c>
      <c r="G408" t="s">
        <v>122</v>
      </c>
      <c r="H408" t="s">
        <v>138</v>
      </c>
    </row>
    <row r="409" spans="1:8">
      <c r="A409" t="s">
        <v>19</v>
      </c>
      <c r="B409" t="s">
        <v>6</v>
      </c>
      <c r="C409" t="s">
        <v>20</v>
      </c>
      <c r="D409" s="1">
        <v>-49.88</v>
      </c>
      <c r="G409" t="s">
        <v>123</v>
      </c>
      <c r="H409" t="s">
        <v>138</v>
      </c>
    </row>
    <row r="410" spans="1:8">
      <c r="A410" t="s">
        <v>19</v>
      </c>
      <c r="B410" t="s">
        <v>6</v>
      </c>
      <c r="C410" t="s">
        <v>20</v>
      </c>
      <c r="D410" s="1">
        <v>-4539.0600000000004</v>
      </c>
      <c r="G410" t="s">
        <v>124</v>
      </c>
      <c r="H410" t="s">
        <v>138</v>
      </c>
    </row>
    <row r="411" spans="1:8">
      <c r="A411" t="s">
        <v>19</v>
      </c>
      <c r="B411" t="s">
        <v>6</v>
      </c>
      <c r="C411" t="s">
        <v>20</v>
      </c>
      <c r="D411" s="1">
        <v>-79.81</v>
      </c>
      <c r="G411" t="s">
        <v>125</v>
      </c>
      <c r="H411" t="s">
        <v>138</v>
      </c>
    </row>
    <row r="412" spans="1:8">
      <c r="A412" t="s">
        <v>19</v>
      </c>
      <c r="B412" t="s">
        <v>6</v>
      </c>
      <c r="C412" t="s">
        <v>20</v>
      </c>
      <c r="D412" s="1">
        <v>-79.81</v>
      </c>
      <c r="G412" t="s">
        <v>126</v>
      </c>
      <c r="H412" t="s">
        <v>138</v>
      </c>
    </row>
    <row r="413" spans="1:8">
      <c r="A413" t="s">
        <v>19</v>
      </c>
      <c r="B413" t="s">
        <v>6</v>
      </c>
      <c r="C413" t="s">
        <v>20</v>
      </c>
      <c r="D413" s="1">
        <v>-79.81</v>
      </c>
      <c r="G413" t="s">
        <v>127</v>
      </c>
      <c r="H413" t="s">
        <v>138</v>
      </c>
    </row>
    <row r="414" spans="1:8">
      <c r="A414" t="s">
        <v>19</v>
      </c>
      <c r="B414" t="s">
        <v>6</v>
      </c>
      <c r="C414" t="s">
        <v>20</v>
      </c>
      <c r="D414" s="1">
        <v>-897.84</v>
      </c>
      <c r="G414" t="s">
        <v>128</v>
      </c>
      <c r="H414" t="s">
        <v>138</v>
      </c>
    </row>
    <row r="415" spans="1:8">
      <c r="A415" t="s">
        <v>19</v>
      </c>
      <c r="B415" t="s">
        <v>6</v>
      </c>
      <c r="C415" t="s">
        <v>20</v>
      </c>
      <c r="D415" s="1">
        <v>-74.819999999999993</v>
      </c>
      <c r="G415" t="s">
        <v>129</v>
      </c>
      <c r="H415" t="s">
        <v>138</v>
      </c>
    </row>
    <row r="416" spans="1:8">
      <c r="A416" t="s">
        <v>19</v>
      </c>
      <c r="B416" t="s">
        <v>6</v>
      </c>
      <c r="C416" t="s">
        <v>20</v>
      </c>
      <c r="D416" s="1">
        <v>-74.819999999999993</v>
      </c>
      <c r="G416" t="s">
        <v>130</v>
      </c>
      <c r="H416" t="s">
        <v>138</v>
      </c>
    </row>
    <row r="417" spans="1:8">
      <c r="A417" t="s">
        <v>19</v>
      </c>
      <c r="B417" t="s">
        <v>6</v>
      </c>
      <c r="C417" t="s">
        <v>20</v>
      </c>
      <c r="D417" s="1">
        <v>-374.1</v>
      </c>
      <c r="G417" t="s">
        <v>131</v>
      </c>
      <c r="H417" t="s">
        <v>138</v>
      </c>
    </row>
    <row r="418" spans="1:8">
      <c r="A418" t="s">
        <v>19</v>
      </c>
      <c r="B418" t="s">
        <v>6</v>
      </c>
      <c r="C418" t="s">
        <v>20</v>
      </c>
      <c r="D418" s="1">
        <v>-49.88</v>
      </c>
      <c r="G418" t="s">
        <v>132</v>
      </c>
      <c r="H418" t="s">
        <v>138</v>
      </c>
    </row>
    <row r="419" spans="1:8">
      <c r="A419" t="s">
        <v>19</v>
      </c>
      <c r="B419" t="s">
        <v>6</v>
      </c>
      <c r="C419" t="s">
        <v>20</v>
      </c>
      <c r="D419" s="1">
        <v>-49.88</v>
      </c>
      <c r="G419" t="s">
        <v>133</v>
      </c>
      <c r="H419" t="s">
        <v>138</v>
      </c>
    </row>
    <row r="420" spans="1:8">
      <c r="A420" t="s">
        <v>19</v>
      </c>
      <c r="B420" t="s">
        <v>6</v>
      </c>
      <c r="C420" t="s">
        <v>20</v>
      </c>
      <c r="D420" s="1">
        <v>-49.88</v>
      </c>
      <c r="G420" t="s">
        <v>134</v>
      </c>
      <c r="H420" t="s">
        <v>138</v>
      </c>
    </row>
    <row r="421" spans="1:8">
      <c r="A421" t="s">
        <v>19</v>
      </c>
      <c r="B421" t="s">
        <v>6</v>
      </c>
      <c r="C421" t="s">
        <v>20</v>
      </c>
      <c r="D421" s="1">
        <v>-90.28</v>
      </c>
      <c r="G421" t="s">
        <v>135</v>
      </c>
      <c r="H421" t="s">
        <v>138</v>
      </c>
    </row>
    <row r="422" spans="1:8">
      <c r="A422" t="s">
        <v>19</v>
      </c>
      <c r="B422" t="s">
        <v>6</v>
      </c>
      <c r="C422" t="s">
        <v>20</v>
      </c>
      <c r="D422" s="1">
        <v>-3491.59</v>
      </c>
      <c r="G422" t="s">
        <v>136</v>
      </c>
      <c r="H422" t="s">
        <v>138</v>
      </c>
    </row>
    <row r="423" spans="1:8">
      <c r="D423" s="1"/>
    </row>
    <row r="424" spans="1:8">
      <c r="D424" s="1"/>
    </row>
    <row r="425" spans="1:8">
      <c r="D425" s="1"/>
    </row>
    <row r="426" spans="1:8">
      <c r="D426" s="1"/>
    </row>
    <row r="427" spans="1:8">
      <c r="D427" s="1"/>
    </row>
    <row r="428" spans="1:8">
      <c r="D428" s="1"/>
    </row>
    <row r="429" spans="1:8">
      <c r="D429" s="1"/>
    </row>
    <row r="430" spans="1:8">
      <c r="D430" s="1"/>
    </row>
    <row r="431" spans="1:8">
      <c r="D431" s="1"/>
    </row>
    <row r="432" spans="1:8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  <row r="597" spans="4:4">
      <c r="D597" s="1"/>
    </row>
    <row r="598" spans="4:4">
      <c r="D598" s="1"/>
    </row>
    <row r="599" spans="4:4">
      <c r="D599" s="1"/>
    </row>
    <row r="600" spans="4:4">
      <c r="D600" s="1"/>
    </row>
    <row r="601" spans="4:4">
      <c r="D601" s="1"/>
    </row>
    <row r="602" spans="4:4">
      <c r="D602" s="1"/>
    </row>
    <row r="603" spans="4:4">
      <c r="D603" s="1"/>
    </row>
    <row r="604" spans="4:4">
      <c r="D604" s="1"/>
    </row>
    <row r="605" spans="4:4">
      <c r="D605" s="1"/>
    </row>
    <row r="606" spans="4:4">
      <c r="D606" s="1"/>
    </row>
    <row r="607" spans="4:4">
      <c r="D607" s="1"/>
    </row>
    <row r="608" spans="4:4">
      <c r="D608" s="1"/>
    </row>
    <row r="609" spans="4:4">
      <c r="D609" s="1"/>
    </row>
    <row r="610" spans="4:4">
      <c r="D610" s="1"/>
    </row>
    <row r="611" spans="4:4">
      <c r="D611" s="1"/>
    </row>
    <row r="612" spans="4:4">
      <c r="D612" s="1"/>
    </row>
    <row r="613" spans="4:4">
      <c r="D613" s="1"/>
    </row>
    <row r="614" spans="4:4">
      <c r="D614" s="1"/>
    </row>
    <row r="615" spans="4:4">
      <c r="D615" s="1"/>
    </row>
    <row r="616" spans="4:4">
      <c r="D616" s="1"/>
    </row>
    <row r="617" spans="4:4">
      <c r="D617" s="1"/>
    </row>
    <row r="618" spans="4:4">
      <c r="D618" s="1"/>
    </row>
    <row r="619" spans="4:4">
      <c r="D619" s="1"/>
    </row>
    <row r="620" spans="4:4">
      <c r="D620" s="1"/>
    </row>
    <row r="621" spans="4:4">
      <c r="D621" s="1"/>
    </row>
    <row r="622" spans="4:4">
      <c r="D622" s="1"/>
    </row>
    <row r="623" spans="4:4">
      <c r="D623" s="1"/>
    </row>
    <row r="624" spans="4:4">
      <c r="D624" s="1"/>
    </row>
    <row r="625" spans="4:4">
      <c r="D625" s="1"/>
    </row>
    <row r="626" spans="4:4">
      <c r="D626" s="1"/>
    </row>
    <row r="627" spans="4:4">
      <c r="D627" s="1"/>
    </row>
    <row r="628" spans="4:4">
      <c r="D628" s="1"/>
    </row>
    <row r="629" spans="4:4">
      <c r="D629" s="1"/>
    </row>
    <row r="630" spans="4:4">
      <c r="D630" s="1"/>
    </row>
    <row r="631" spans="4:4">
      <c r="D631" s="1"/>
    </row>
    <row r="632" spans="4:4">
      <c r="D632" s="1"/>
    </row>
    <row r="633" spans="4:4">
      <c r="D633" s="1"/>
    </row>
    <row r="634" spans="4:4">
      <c r="D634" s="1"/>
    </row>
    <row r="635" spans="4:4">
      <c r="D635" s="1"/>
    </row>
    <row r="636" spans="4:4">
      <c r="D636" s="1"/>
    </row>
    <row r="637" spans="4:4">
      <c r="D637" s="1"/>
    </row>
    <row r="638" spans="4:4">
      <c r="D638" s="1"/>
    </row>
    <row r="639" spans="4:4">
      <c r="D639" s="1"/>
    </row>
    <row r="640" spans="4:4">
      <c r="D640" s="1"/>
    </row>
    <row r="641" spans="4:4">
      <c r="D641" s="1"/>
    </row>
    <row r="642" spans="4:4">
      <c r="D642" s="1"/>
    </row>
    <row r="643" spans="4:4">
      <c r="D643" s="1"/>
    </row>
    <row r="644" spans="4:4">
      <c r="D644" s="1"/>
    </row>
    <row r="645" spans="4:4">
      <c r="D645" s="1"/>
    </row>
    <row r="646" spans="4:4">
      <c r="D646" s="1"/>
    </row>
    <row r="647" spans="4:4">
      <c r="D647" s="1"/>
    </row>
    <row r="648" spans="4:4">
      <c r="D648" s="1"/>
    </row>
    <row r="649" spans="4:4">
      <c r="D649" s="1"/>
    </row>
    <row r="650" spans="4:4">
      <c r="D650" s="1"/>
    </row>
    <row r="651" spans="4:4">
      <c r="D651" s="1"/>
    </row>
    <row r="652" spans="4:4">
      <c r="D652" s="1"/>
    </row>
    <row r="653" spans="4:4">
      <c r="D653" s="1"/>
    </row>
    <row r="654" spans="4:4">
      <c r="D654" s="1"/>
    </row>
    <row r="655" spans="4:4">
      <c r="D655" s="1"/>
    </row>
    <row r="656" spans="4:4">
      <c r="D656" s="1"/>
    </row>
    <row r="657" spans="4:4">
      <c r="D657" s="1"/>
    </row>
    <row r="658" spans="4:4">
      <c r="D658" s="1"/>
    </row>
    <row r="659" spans="4:4">
      <c r="D659" s="1"/>
    </row>
    <row r="660" spans="4:4">
      <c r="D660" s="1"/>
    </row>
    <row r="661" spans="4:4">
      <c r="D661" s="1"/>
    </row>
    <row r="662" spans="4:4">
      <c r="D662" s="1"/>
    </row>
    <row r="663" spans="4:4">
      <c r="D663" s="1"/>
    </row>
    <row r="664" spans="4:4">
      <c r="D664" s="1"/>
    </row>
    <row r="665" spans="4:4">
      <c r="D665" s="1"/>
    </row>
    <row r="666" spans="4:4">
      <c r="D666" s="1"/>
    </row>
    <row r="667" spans="4:4">
      <c r="D667" s="1"/>
    </row>
    <row r="668" spans="4:4">
      <c r="D668" s="1"/>
    </row>
    <row r="669" spans="4:4">
      <c r="D669" s="1"/>
    </row>
    <row r="670" spans="4:4">
      <c r="D670" s="1"/>
    </row>
    <row r="671" spans="4:4">
      <c r="D671" s="1"/>
    </row>
    <row r="672" spans="4:4">
      <c r="D672" s="1"/>
    </row>
    <row r="673" spans="4:4">
      <c r="D673" s="1"/>
    </row>
    <row r="674" spans="4:4">
      <c r="D674" s="1"/>
    </row>
    <row r="675" spans="4:4">
      <c r="D675" s="1"/>
    </row>
    <row r="676" spans="4:4">
      <c r="D676" s="1"/>
    </row>
    <row r="677" spans="4:4">
      <c r="D677" s="1"/>
    </row>
    <row r="678" spans="4:4">
      <c r="D678" s="1"/>
    </row>
    <row r="679" spans="4:4">
      <c r="D679" s="1"/>
    </row>
    <row r="680" spans="4:4">
      <c r="D680" s="1"/>
    </row>
    <row r="681" spans="4:4">
      <c r="D681" s="1"/>
    </row>
    <row r="682" spans="4:4">
      <c r="D682" s="1"/>
    </row>
    <row r="683" spans="4:4">
      <c r="D683" s="1"/>
    </row>
    <row r="684" spans="4:4">
      <c r="D684" s="1"/>
    </row>
    <row r="685" spans="4:4">
      <c r="D685" s="1"/>
    </row>
    <row r="686" spans="4:4">
      <c r="D686" s="1"/>
    </row>
    <row r="687" spans="4:4">
      <c r="D687" s="1"/>
    </row>
    <row r="688" spans="4:4">
      <c r="D688" s="1"/>
    </row>
    <row r="689" spans="4:4">
      <c r="D689" s="1"/>
    </row>
    <row r="690" spans="4:4">
      <c r="D690" s="1"/>
    </row>
    <row r="691" spans="4:4">
      <c r="D691" s="1"/>
    </row>
    <row r="692" spans="4:4">
      <c r="D692" s="1"/>
    </row>
    <row r="693" spans="4:4">
      <c r="D693" s="1"/>
    </row>
    <row r="694" spans="4:4">
      <c r="D694" s="1"/>
    </row>
    <row r="695" spans="4:4">
      <c r="D695" s="1"/>
    </row>
    <row r="696" spans="4:4">
      <c r="D696" s="1"/>
    </row>
    <row r="697" spans="4:4">
      <c r="D697" s="1"/>
    </row>
    <row r="698" spans="4:4">
      <c r="D698" s="1"/>
    </row>
    <row r="699" spans="4:4">
      <c r="D699" s="1"/>
    </row>
    <row r="700" spans="4:4">
      <c r="D700" s="1"/>
    </row>
    <row r="701" spans="4:4">
      <c r="D701" s="1"/>
    </row>
    <row r="702" spans="4:4">
      <c r="D702" s="1"/>
    </row>
    <row r="703" spans="4:4">
      <c r="D703" s="1"/>
    </row>
    <row r="704" spans="4:4">
      <c r="D704" s="1"/>
    </row>
    <row r="705" spans="4:4">
      <c r="D705" s="1"/>
    </row>
    <row r="706" spans="4:4">
      <c r="D706" s="1"/>
    </row>
    <row r="707" spans="4:4">
      <c r="D707" s="1"/>
    </row>
    <row r="708" spans="4:4">
      <c r="D708" s="1"/>
    </row>
    <row r="709" spans="4:4">
      <c r="D709" s="1"/>
    </row>
    <row r="710" spans="4:4">
      <c r="D710" s="1"/>
    </row>
    <row r="711" spans="4:4">
      <c r="D711" s="1"/>
    </row>
    <row r="712" spans="4:4">
      <c r="D712" s="1"/>
    </row>
    <row r="713" spans="4:4">
      <c r="D713" s="1"/>
    </row>
    <row r="714" spans="4:4">
      <c r="D714" s="1"/>
    </row>
    <row r="715" spans="4:4">
      <c r="D715" s="1"/>
    </row>
    <row r="716" spans="4:4">
      <c r="D716" s="1"/>
    </row>
    <row r="717" spans="4:4">
      <c r="D717" s="1"/>
    </row>
    <row r="718" spans="4:4">
      <c r="D718" s="1"/>
    </row>
    <row r="719" spans="4:4">
      <c r="D719" s="1"/>
    </row>
    <row r="720" spans="4:4">
      <c r="D720" s="1"/>
    </row>
    <row r="721" spans="4:4">
      <c r="D721" s="1"/>
    </row>
    <row r="722" spans="4:4">
      <c r="D722" s="1"/>
    </row>
    <row r="723" spans="4:4">
      <c r="D723" s="1"/>
    </row>
    <row r="724" spans="4:4">
      <c r="D724" s="1"/>
    </row>
    <row r="725" spans="4:4">
      <c r="D725" s="1"/>
    </row>
    <row r="726" spans="4:4">
      <c r="D726" s="1"/>
    </row>
    <row r="727" spans="4:4">
      <c r="D727" s="1"/>
    </row>
    <row r="728" spans="4:4">
      <c r="D728" s="1"/>
    </row>
    <row r="729" spans="4:4">
      <c r="D729" s="1"/>
    </row>
    <row r="730" spans="4:4">
      <c r="D730" s="1"/>
    </row>
    <row r="731" spans="4:4">
      <c r="D731" s="1"/>
    </row>
    <row r="732" spans="4:4">
      <c r="D732" s="1"/>
    </row>
    <row r="733" spans="4:4">
      <c r="D733" s="1"/>
    </row>
    <row r="734" spans="4:4">
      <c r="D734" s="1"/>
    </row>
    <row r="735" spans="4:4">
      <c r="D735" s="1"/>
    </row>
    <row r="736" spans="4:4">
      <c r="D736" s="1"/>
    </row>
    <row r="737" spans="4:4">
      <c r="D737" s="1"/>
    </row>
    <row r="738" spans="4:4">
      <c r="D738" s="1"/>
    </row>
    <row r="739" spans="4:4">
      <c r="D739" s="1"/>
    </row>
    <row r="740" spans="4:4">
      <c r="D740" s="1"/>
    </row>
    <row r="741" spans="4:4">
      <c r="D741" s="1"/>
    </row>
    <row r="742" spans="4:4">
      <c r="D742" s="1"/>
    </row>
    <row r="743" spans="4:4">
      <c r="D743" s="1"/>
    </row>
    <row r="744" spans="4:4">
      <c r="D744" s="1"/>
    </row>
    <row r="745" spans="4:4">
      <c r="D745" s="1"/>
    </row>
    <row r="746" spans="4:4">
      <c r="D746" s="1"/>
    </row>
    <row r="747" spans="4:4">
      <c r="D747" s="1"/>
    </row>
    <row r="748" spans="4:4">
      <c r="D748" s="1"/>
    </row>
    <row r="749" spans="4:4">
      <c r="D749" s="1"/>
    </row>
    <row r="750" spans="4:4">
      <c r="D750" s="1"/>
    </row>
    <row r="751" spans="4:4">
      <c r="D751" s="1"/>
    </row>
    <row r="752" spans="4:4">
      <c r="D752" s="1"/>
    </row>
    <row r="753" spans="4:4">
      <c r="D753" s="1"/>
    </row>
    <row r="754" spans="4:4">
      <c r="D754" s="1"/>
    </row>
    <row r="755" spans="4:4">
      <c r="D755" s="1"/>
    </row>
    <row r="756" spans="4:4">
      <c r="D756" s="1"/>
    </row>
    <row r="757" spans="4:4">
      <c r="D757" s="1"/>
    </row>
    <row r="758" spans="4:4">
      <c r="D758" s="1"/>
    </row>
    <row r="759" spans="4:4">
      <c r="D759" s="1"/>
    </row>
    <row r="760" spans="4:4">
      <c r="D760" s="1"/>
    </row>
    <row r="761" spans="4:4">
      <c r="D761" s="1"/>
    </row>
    <row r="762" spans="4:4">
      <c r="D762" s="1"/>
    </row>
    <row r="763" spans="4:4">
      <c r="D763" s="1"/>
    </row>
    <row r="764" spans="4:4">
      <c r="D764" s="1"/>
    </row>
    <row r="765" spans="4:4">
      <c r="D765" s="1"/>
    </row>
    <row r="766" spans="4:4">
      <c r="D766" s="1"/>
    </row>
    <row r="767" spans="4:4">
      <c r="D767" s="1"/>
    </row>
    <row r="768" spans="4:4">
      <c r="D768" s="1"/>
    </row>
    <row r="769" spans="4:4">
      <c r="D769" s="1"/>
    </row>
    <row r="770" spans="4:4">
      <c r="D770" s="1"/>
    </row>
    <row r="771" spans="4:4">
      <c r="D771" s="1"/>
    </row>
    <row r="772" spans="4:4">
      <c r="D772" s="1"/>
    </row>
    <row r="773" spans="4:4">
      <c r="D773" s="1"/>
    </row>
    <row r="774" spans="4:4">
      <c r="D774" s="1"/>
    </row>
    <row r="775" spans="4:4">
      <c r="D775" s="1"/>
    </row>
    <row r="776" spans="4:4">
      <c r="D776" s="1"/>
    </row>
    <row r="777" spans="4:4">
      <c r="D777" s="1"/>
    </row>
    <row r="778" spans="4:4">
      <c r="D778" s="1"/>
    </row>
    <row r="779" spans="4:4">
      <c r="D779" s="1"/>
    </row>
    <row r="780" spans="4:4">
      <c r="D780" s="1"/>
    </row>
    <row r="781" spans="4:4">
      <c r="D781" s="1"/>
    </row>
    <row r="782" spans="4:4">
      <c r="D782" s="1"/>
    </row>
    <row r="783" spans="4:4">
      <c r="D783" s="1"/>
    </row>
    <row r="784" spans="4:4">
      <c r="D784" s="1"/>
    </row>
    <row r="785" spans="4:4">
      <c r="D785" s="1"/>
    </row>
    <row r="786" spans="4:4">
      <c r="D786" s="1"/>
    </row>
    <row r="787" spans="4:4">
      <c r="D787" s="1"/>
    </row>
    <row r="788" spans="4:4">
      <c r="D788" s="1"/>
    </row>
    <row r="789" spans="4:4">
      <c r="D789" s="1"/>
    </row>
    <row r="790" spans="4:4">
      <c r="D790" s="1"/>
    </row>
    <row r="791" spans="4:4">
      <c r="D791" s="1"/>
    </row>
    <row r="792" spans="4:4">
      <c r="D792" s="1"/>
    </row>
    <row r="793" spans="4:4">
      <c r="D793" s="1"/>
    </row>
    <row r="794" spans="4:4">
      <c r="D794" s="1"/>
    </row>
    <row r="795" spans="4:4">
      <c r="D795" s="1"/>
    </row>
    <row r="796" spans="4:4">
      <c r="D796" s="1"/>
    </row>
    <row r="797" spans="4:4">
      <c r="D797" s="1"/>
    </row>
    <row r="798" spans="4:4">
      <c r="D798" s="1"/>
    </row>
    <row r="799" spans="4:4">
      <c r="D799" s="1"/>
    </row>
    <row r="800" spans="4:4">
      <c r="D800" s="1"/>
    </row>
    <row r="801" spans="4:4">
      <c r="D801" s="1"/>
    </row>
    <row r="802" spans="4:4">
      <c r="D802" s="1"/>
    </row>
    <row r="803" spans="4:4">
      <c r="D803" s="1"/>
    </row>
    <row r="804" spans="4:4">
      <c r="D804" s="1"/>
    </row>
    <row r="805" spans="4:4">
      <c r="D805" s="1"/>
    </row>
    <row r="806" spans="4:4">
      <c r="D806" s="1"/>
    </row>
    <row r="807" spans="4:4">
      <c r="D807" s="1"/>
    </row>
    <row r="808" spans="4:4">
      <c r="D808" s="1"/>
    </row>
    <row r="809" spans="4:4">
      <c r="D809" s="1"/>
    </row>
    <row r="810" spans="4:4">
      <c r="D810" s="1"/>
    </row>
    <row r="811" spans="4:4">
      <c r="D811" s="1"/>
    </row>
    <row r="812" spans="4:4">
      <c r="D812" s="1"/>
    </row>
    <row r="813" spans="4:4">
      <c r="D813" s="1"/>
    </row>
    <row r="814" spans="4:4">
      <c r="D814" s="1"/>
    </row>
    <row r="815" spans="4:4">
      <c r="D815" s="1"/>
    </row>
    <row r="816" spans="4:4">
      <c r="D816" s="1"/>
    </row>
    <row r="817" spans="4:4">
      <c r="D817" s="1"/>
    </row>
    <row r="818" spans="4:4">
      <c r="D818" s="1"/>
    </row>
    <row r="819" spans="4:4">
      <c r="D819" s="1"/>
    </row>
    <row r="820" spans="4:4">
      <c r="D820" s="1"/>
    </row>
    <row r="821" spans="4:4">
      <c r="D821" s="1"/>
    </row>
    <row r="822" spans="4:4">
      <c r="D822" s="1"/>
    </row>
    <row r="823" spans="4:4">
      <c r="D823" s="1"/>
    </row>
    <row r="824" spans="4:4">
      <c r="D824" s="1"/>
    </row>
    <row r="825" spans="4:4">
      <c r="D825" s="1"/>
    </row>
    <row r="826" spans="4:4">
      <c r="D826" s="1"/>
    </row>
    <row r="827" spans="4:4">
      <c r="D827" s="1"/>
    </row>
    <row r="828" spans="4:4">
      <c r="D828" s="1"/>
    </row>
    <row r="829" spans="4:4">
      <c r="D829" s="1"/>
    </row>
    <row r="830" spans="4:4">
      <c r="D830" s="1"/>
    </row>
    <row r="831" spans="4:4">
      <c r="D831" s="1"/>
    </row>
    <row r="832" spans="4:4">
      <c r="D832" s="1"/>
    </row>
    <row r="833" spans="4:4">
      <c r="D833" s="1"/>
    </row>
    <row r="834" spans="4:4">
      <c r="D834" s="1"/>
    </row>
    <row r="835" spans="4:4">
      <c r="D835" s="1"/>
    </row>
    <row r="836" spans="4:4">
      <c r="D836" s="1"/>
    </row>
    <row r="837" spans="4:4">
      <c r="D837" s="1"/>
    </row>
    <row r="838" spans="4:4">
      <c r="D838" s="1"/>
    </row>
    <row r="839" spans="4:4">
      <c r="D839" s="1"/>
    </row>
    <row r="840" spans="4:4">
      <c r="D840" s="1"/>
    </row>
    <row r="841" spans="4:4">
      <c r="D841" s="1"/>
    </row>
    <row r="842" spans="4:4">
      <c r="D842" s="1"/>
    </row>
    <row r="843" spans="4:4">
      <c r="D843" s="1"/>
    </row>
    <row r="844" spans="4:4">
      <c r="D844" s="1"/>
    </row>
    <row r="845" spans="4:4">
      <c r="D845" s="1"/>
    </row>
    <row r="846" spans="4:4">
      <c r="D846" s="1"/>
    </row>
    <row r="847" spans="4:4">
      <c r="D847" s="1"/>
    </row>
    <row r="848" spans="4:4">
      <c r="D848" s="1"/>
    </row>
    <row r="849" spans="4:4">
      <c r="D849" s="1"/>
    </row>
    <row r="850" spans="4:4">
      <c r="D850" s="1"/>
    </row>
    <row r="851" spans="4:4">
      <c r="D851" s="1"/>
    </row>
    <row r="852" spans="4:4">
      <c r="D852" s="1"/>
    </row>
    <row r="853" spans="4:4">
      <c r="D853" s="1"/>
    </row>
    <row r="854" spans="4:4">
      <c r="D854" s="1"/>
    </row>
    <row r="855" spans="4:4">
      <c r="D855" s="1"/>
    </row>
    <row r="856" spans="4:4">
      <c r="D856" s="1"/>
    </row>
    <row r="857" spans="4:4">
      <c r="D857" s="1"/>
    </row>
    <row r="858" spans="4:4">
      <c r="D858" s="1"/>
    </row>
    <row r="859" spans="4:4">
      <c r="D859" s="1"/>
    </row>
    <row r="860" spans="4:4">
      <c r="D860" s="1"/>
    </row>
    <row r="861" spans="4:4">
      <c r="D861" s="1"/>
    </row>
    <row r="862" spans="4:4">
      <c r="D862" s="1"/>
    </row>
    <row r="863" spans="4:4">
      <c r="D863" s="1"/>
    </row>
    <row r="864" spans="4:4">
      <c r="D864" s="1"/>
    </row>
    <row r="865" spans="4:4">
      <c r="D865" s="1"/>
    </row>
    <row r="866" spans="4:4">
      <c r="D866" s="1"/>
    </row>
    <row r="867" spans="4:4">
      <c r="D867" s="1"/>
    </row>
    <row r="868" spans="4:4">
      <c r="D868" s="1"/>
    </row>
    <row r="869" spans="4:4">
      <c r="D869" s="1"/>
    </row>
    <row r="870" spans="4:4">
      <c r="D870" s="1"/>
    </row>
    <row r="871" spans="4:4">
      <c r="D871" s="1"/>
    </row>
    <row r="872" spans="4:4">
      <c r="D872" s="1"/>
    </row>
    <row r="873" spans="4:4">
      <c r="D873" s="1"/>
    </row>
    <row r="874" spans="4:4">
      <c r="D874" s="1"/>
    </row>
    <row r="875" spans="4:4">
      <c r="D875" s="1"/>
    </row>
    <row r="876" spans="4:4">
      <c r="D876" s="1"/>
    </row>
    <row r="877" spans="4:4">
      <c r="D877" s="1"/>
    </row>
    <row r="878" spans="4:4">
      <c r="D878" s="1"/>
    </row>
    <row r="879" spans="4:4">
      <c r="D879" s="1"/>
    </row>
    <row r="880" spans="4:4">
      <c r="D880" s="1"/>
    </row>
    <row r="881" spans="4:4">
      <c r="D881" s="1"/>
    </row>
    <row r="882" spans="4:4">
      <c r="D882" s="1"/>
    </row>
    <row r="883" spans="4:4">
      <c r="D883" s="1"/>
    </row>
    <row r="884" spans="4:4">
      <c r="D884" s="1"/>
    </row>
    <row r="885" spans="4:4">
      <c r="D885" s="1"/>
    </row>
    <row r="886" spans="4:4">
      <c r="D886" s="1"/>
    </row>
    <row r="887" spans="4:4">
      <c r="D887" s="1"/>
    </row>
    <row r="888" spans="4:4">
      <c r="D888" s="1"/>
    </row>
    <row r="889" spans="4:4">
      <c r="D889" s="1"/>
    </row>
    <row r="890" spans="4:4">
      <c r="D890" s="1"/>
    </row>
    <row r="891" spans="4:4">
      <c r="D891" s="1"/>
    </row>
    <row r="892" spans="4:4">
      <c r="D892" s="1"/>
    </row>
    <row r="893" spans="4:4">
      <c r="D893" s="1"/>
    </row>
    <row r="894" spans="4:4">
      <c r="D894" s="1"/>
    </row>
    <row r="895" spans="4:4">
      <c r="D895" s="1"/>
    </row>
    <row r="896" spans="4:4">
      <c r="D896" s="1"/>
    </row>
    <row r="897" spans="4:4">
      <c r="D897" s="1"/>
    </row>
    <row r="898" spans="4:4">
      <c r="D898" s="1"/>
    </row>
    <row r="899" spans="4:4">
      <c r="D899" s="1"/>
    </row>
    <row r="900" spans="4:4">
      <c r="D900" s="1"/>
    </row>
    <row r="901" spans="4:4">
      <c r="D901" s="1"/>
    </row>
    <row r="902" spans="4:4">
      <c r="D902" s="1"/>
    </row>
    <row r="903" spans="4:4">
      <c r="D903" s="1"/>
    </row>
    <row r="904" spans="4:4">
      <c r="D904" s="1"/>
    </row>
    <row r="905" spans="4:4">
      <c r="D905" s="1"/>
    </row>
    <row r="906" spans="4:4">
      <c r="D906" s="1"/>
    </row>
    <row r="907" spans="4:4">
      <c r="D907" s="1"/>
    </row>
    <row r="908" spans="4:4">
      <c r="D908" s="1"/>
    </row>
    <row r="909" spans="4:4">
      <c r="D909" s="1"/>
    </row>
    <row r="910" spans="4:4">
      <c r="D910" s="1"/>
    </row>
    <row r="911" spans="4:4">
      <c r="D911" s="1"/>
    </row>
    <row r="912" spans="4:4">
      <c r="D912" s="1"/>
    </row>
    <row r="913" spans="4:4">
      <c r="D913" s="1"/>
    </row>
    <row r="914" spans="4:4">
      <c r="D914" s="1"/>
    </row>
    <row r="915" spans="4:4">
      <c r="D915" s="1"/>
    </row>
    <row r="916" spans="4:4">
      <c r="D916" s="1"/>
    </row>
    <row r="917" spans="4:4">
      <c r="D917" s="1"/>
    </row>
    <row r="918" spans="4:4">
      <c r="D918" s="1"/>
    </row>
    <row r="919" spans="4:4">
      <c r="D919" s="1"/>
    </row>
    <row r="920" spans="4:4">
      <c r="D920" s="1"/>
    </row>
    <row r="921" spans="4:4">
      <c r="D921" s="1"/>
    </row>
    <row r="922" spans="4:4">
      <c r="D922" s="1"/>
    </row>
    <row r="923" spans="4:4">
      <c r="D923" s="1"/>
    </row>
    <row r="924" spans="4:4">
      <c r="D924" s="1"/>
    </row>
    <row r="925" spans="4:4">
      <c r="D925" s="1"/>
    </row>
    <row r="926" spans="4:4">
      <c r="D926" s="1"/>
    </row>
    <row r="927" spans="4:4">
      <c r="D927" s="1"/>
    </row>
    <row r="928" spans="4:4">
      <c r="D928" s="1"/>
    </row>
    <row r="929" spans="4:4">
      <c r="D929" s="1"/>
    </row>
    <row r="930" spans="4:4">
      <c r="D930" s="1"/>
    </row>
    <row r="931" spans="4:4">
      <c r="D931" s="1"/>
    </row>
    <row r="932" spans="4:4">
      <c r="D932" s="1"/>
    </row>
    <row r="933" spans="4:4">
      <c r="D933" s="1"/>
    </row>
    <row r="934" spans="4:4">
      <c r="D934" s="1"/>
    </row>
    <row r="935" spans="4:4">
      <c r="D935" s="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5781E81-37D0-4B19-B610-F9CBFE52DA08}"/>
</file>

<file path=customXml/itemProps2.xml><?xml version="1.0" encoding="utf-8"?>
<ds:datastoreItem xmlns:ds="http://schemas.openxmlformats.org/officeDocument/2006/customXml" ds:itemID="{CDDD5918-239C-4432-BD32-72D4FD9A71BC}"/>
</file>

<file path=customXml/itemProps3.xml><?xml version="1.0" encoding="utf-8"?>
<ds:datastoreItem xmlns:ds="http://schemas.openxmlformats.org/officeDocument/2006/customXml" ds:itemID="{2DB0E7A8-6989-4CE9-9D26-5BBE5A25085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Instruções</vt:lpstr>
      <vt:lpstr>T 03.03</vt:lpstr>
      <vt:lpstr>Guarantees provided</vt:lpstr>
      <vt:lpstr>'T 03.03'!Print_Area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Filipe Hetzel de Oliveira Ferreira</dc:creator>
  <cp:lastModifiedBy>Flávia Daniela Costa Pinho</cp:lastModifiedBy>
  <dcterms:created xsi:type="dcterms:W3CDTF">2021-09-30T10:51:49Z</dcterms:created>
  <dcterms:modified xsi:type="dcterms:W3CDTF">2023-03-13T14:31:23Z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2022-04-28T09:35:24Z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494ceca7-dfa6-42c6-9825-f473d15a8b35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