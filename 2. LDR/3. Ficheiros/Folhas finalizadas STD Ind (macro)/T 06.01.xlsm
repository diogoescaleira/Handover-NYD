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Coord_Financeira\ALM\SAS\LDR\LDR 2023\Folhas finalizadas STD Ind\Folhas finalizadas STD Ind (macro)\"/>
    </mc:Choice>
  </mc:AlternateContent>
  <bookViews>
    <workbookView xWindow="-120" yWindow="-120" windowWidth="20730" windowHeight="11160" activeTab="1"/>
  </bookViews>
  <sheets>
    <sheet name="Instruções" sheetId="4" r:id="rId1"/>
    <sheet name="T 06.01" sheetId="2" r:id="rId2"/>
    <sheet name="Other financial Liabilities" sheetId="1" r:id="rId3"/>
  </sheets>
  <definedNames>
    <definedName name="_xlnm._FilterDatabase" localSheetId="2" hidden="1">'Other financial Liabilities'!$J$1:$J$88</definedName>
    <definedName name="_xlnm._FilterDatabase" localSheetId="1" hidden="1">'T 06.01'!$A$7:$AD$125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2" l="1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8" i="2"/>
  <c r="D10" i="2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9" i="2"/>
  <c r="D8" i="2"/>
  <c r="U9" i="2"/>
  <c r="U14" i="2"/>
  <c r="U15" i="2"/>
  <c r="U22" i="2"/>
  <c r="U23" i="2"/>
  <c r="U30" i="2"/>
  <c r="U31" i="2"/>
  <c r="U39" i="2"/>
  <c r="U47" i="2"/>
  <c r="U55" i="2"/>
  <c r="U63" i="2"/>
  <c r="U71" i="2"/>
  <c r="U79" i="2"/>
  <c r="U87" i="2"/>
  <c r="U95" i="2"/>
  <c r="U103" i="2"/>
  <c r="U111" i="2"/>
  <c r="U119" i="2"/>
  <c r="U8" i="2"/>
  <c r="T9" i="2"/>
  <c r="T10" i="2"/>
  <c r="U10" i="2" s="1"/>
  <c r="T11" i="2"/>
  <c r="U11" i="2" s="1"/>
  <c r="T12" i="2"/>
  <c r="U12" i="2" s="1"/>
  <c r="T13" i="2"/>
  <c r="U13" i="2" s="1"/>
  <c r="T14" i="2"/>
  <c r="T15" i="2"/>
  <c r="T16" i="2"/>
  <c r="U16" i="2" s="1"/>
  <c r="T17" i="2"/>
  <c r="U17" i="2" s="1"/>
  <c r="T18" i="2"/>
  <c r="U18" i="2" s="1"/>
  <c r="T19" i="2"/>
  <c r="U19" i="2" s="1"/>
  <c r="T20" i="2"/>
  <c r="U20" i="2" s="1"/>
  <c r="T21" i="2"/>
  <c r="U21" i="2" s="1"/>
  <c r="T22" i="2"/>
  <c r="T23" i="2"/>
  <c r="T24" i="2"/>
  <c r="U24" i="2" s="1"/>
  <c r="T25" i="2"/>
  <c r="U25" i="2" s="1"/>
  <c r="T26" i="2"/>
  <c r="U26" i="2" s="1"/>
  <c r="T27" i="2"/>
  <c r="U27" i="2" s="1"/>
  <c r="T28" i="2"/>
  <c r="U28" i="2" s="1"/>
  <c r="T29" i="2"/>
  <c r="U29" i="2" s="1"/>
  <c r="T30" i="2"/>
  <c r="T31" i="2"/>
  <c r="T32" i="2"/>
  <c r="U32" i="2" s="1"/>
  <c r="T33" i="2"/>
  <c r="U33" i="2" s="1"/>
  <c r="T34" i="2"/>
  <c r="U34" i="2" s="1"/>
  <c r="T35" i="2"/>
  <c r="U35" i="2" s="1"/>
  <c r="T36" i="2"/>
  <c r="U36" i="2" s="1"/>
  <c r="T37" i="2"/>
  <c r="U37" i="2" s="1"/>
  <c r="T38" i="2"/>
  <c r="U38" i="2" s="1"/>
  <c r="T39" i="2"/>
  <c r="T40" i="2"/>
  <c r="U40" i="2" s="1"/>
  <c r="T41" i="2"/>
  <c r="U41" i="2" s="1"/>
  <c r="T42" i="2"/>
  <c r="U42" i="2" s="1"/>
  <c r="T43" i="2"/>
  <c r="U43" i="2" s="1"/>
  <c r="T44" i="2"/>
  <c r="U44" i="2" s="1"/>
  <c r="T45" i="2"/>
  <c r="U45" i="2" s="1"/>
  <c r="T46" i="2"/>
  <c r="U46" i="2" s="1"/>
  <c r="T47" i="2"/>
  <c r="T48" i="2"/>
  <c r="U48" i="2" s="1"/>
  <c r="T49" i="2"/>
  <c r="U49" i="2" s="1"/>
  <c r="T50" i="2"/>
  <c r="U50" i="2" s="1"/>
  <c r="T51" i="2"/>
  <c r="U51" i="2" s="1"/>
  <c r="T52" i="2"/>
  <c r="U52" i="2" s="1"/>
  <c r="T53" i="2"/>
  <c r="U53" i="2" s="1"/>
  <c r="T54" i="2"/>
  <c r="U54" i="2" s="1"/>
  <c r="T55" i="2"/>
  <c r="T56" i="2"/>
  <c r="U56" i="2" s="1"/>
  <c r="T57" i="2"/>
  <c r="U57" i="2" s="1"/>
  <c r="T58" i="2"/>
  <c r="U58" i="2" s="1"/>
  <c r="T59" i="2"/>
  <c r="U59" i="2" s="1"/>
  <c r="T60" i="2"/>
  <c r="U60" i="2" s="1"/>
  <c r="T61" i="2"/>
  <c r="U61" i="2" s="1"/>
  <c r="T62" i="2"/>
  <c r="U62" i="2" s="1"/>
  <c r="T63" i="2"/>
  <c r="T64" i="2"/>
  <c r="U64" i="2" s="1"/>
  <c r="T65" i="2"/>
  <c r="U65" i="2" s="1"/>
  <c r="T66" i="2"/>
  <c r="U66" i="2" s="1"/>
  <c r="T67" i="2"/>
  <c r="U67" i="2" s="1"/>
  <c r="T68" i="2"/>
  <c r="U68" i="2" s="1"/>
  <c r="T69" i="2"/>
  <c r="U69" i="2" s="1"/>
  <c r="T70" i="2"/>
  <c r="U70" i="2" s="1"/>
  <c r="T71" i="2"/>
  <c r="T72" i="2"/>
  <c r="U72" i="2" s="1"/>
  <c r="T73" i="2"/>
  <c r="U73" i="2" s="1"/>
  <c r="T74" i="2"/>
  <c r="U74" i="2" s="1"/>
  <c r="T75" i="2"/>
  <c r="U75" i="2" s="1"/>
  <c r="T76" i="2"/>
  <c r="U76" i="2" s="1"/>
  <c r="T77" i="2"/>
  <c r="U77" i="2" s="1"/>
  <c r="T78" i="2"/>
  <c r="U78" i="2" s="1"/>
  <c r="T79" i="2"/>
  <c r="T80" i="2"/>
  <c r="U80" i="2" s="1"/>
  <c r="T81" i="2"/>
  <c r="U81" i="2" s="1"/>
  <c r="T82" i="2"/>
  <c r="U82" i="2" s="1"/>
  <c r="T83" i="2"/>
  <c r="U83" i="2" s="1"/>
  <c r="T84" i="2"/>
  <c r="U84" i="2" s="1"/>
  <c r="T85" i="2"/>
  <c r="U85" i="2" s="1"/>
  <c r="T86" i="2"/>
  <c r="U86" i="2" s="1"/>
  <c r="T87" i="2"/>
  <c r="T88" i="2"/>
  <c r="U88" i="2" s="1"/>
  <c r="T89" i="2"/>
  <c r="U89" i="2" s="1"/>
  <c r="T90" i="2"/>
  <c r="U90" i="2" s="1"/>
  <c r="T91" i="2"/>
  <c r="U91" i="2" s="1"/>
  <c r="T92" i="2"/>
  <c r="U92" i="2" s="1"/>
  <c r="T93" i="2"/>
  <c r="U93" i="2" s="1"/>
  <c r="T94" i="2"/>
  <c r="U94" i="2" s="1"/>
  <c r="T95" i="2"/>
  <c r="T96" i="2"/>
  <c r="U96" i="2" s="1"/>
  <c r="T97" i="2"/>
  <c r="U97" i="2" s="1"/>
  <c r="T98" i="2"/>
  <c r="U98" i="2" s="1"/>
  <c r="T99" i="2"/>
  <c r="U99" i="2" s="1"/>
  <c r="T100" i="2"/>
  <c r="U100" i="2" s="1"/>
  <c r="T101" i="2"/>
  <c r="U101" i="2" s="1"/>
  <c r="T102" i="2"/>
  <c r="U102" i="2" s="1"/>
  <c r="T103" i="2"/>
  <c r="T104" i="2"/>
  <c r="U104" i="2" s="1"/>
  <c r="T105" i="2"/>
  <c r="U105" i="2" s="1"/>
  <c r="T106" i="2"/>
  <c r="U106" i="2" s="1"/>
  <c r="T107" i="2"/>
  <c r="U107" i="2" s="1"/>
  <c r="T108" i="2"/>
  <c r="U108" i="2" s="1"/>
  <c r="T109" i="2"/>
  <c r="U109" i="2" s="1"/>
  <c r="T110" i="2"/>
  <c r="U110" i="2" s="1"/>
  <c r="T111" i="2"/>
  <c r="T112" i="2"/>
  <c r="U112" i="2" s="1"/>
  <c r="T113" i="2"/>
  <c r="U113" i="2" s="1"/>
  <c r="T114" i="2"/>
  <c r="U114" i="2" s="1"/>
  <c r="T115" i="2"/>
  <c r="U115" i="2" s="1"/>
  <c r="T116" i="2"/>
  <c r="U116" i="2" s="1"/>
  <c r="T117" i="2"/>
  <c r="U117" i="2" s="1"/>
  <c r="T118" i="2"/>
  <c r="U118" i="2" s="1"/>
  <c r="T119" i="2"/>
  <c r="T120" i="2"/>
  <c r="U120" i="2" s="1"/>
  <c r="T121" i="2"/>
  <c r="U121" i="2" s="1"/>
  <c r="T122" i="2"/>
  <c r="U122" i="2" s="1"/>
  <c r="T123" i="2"/>
  <c r="U123" i="2" s="1"/>
  <c r="T124" i="2"/>
  <c r="U124" i="2" s="1"/>
  <c r="T125" i="2"/>
  <c r="U125" i="2" s="1"/>
  <c r="T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8" i="2"/>
  <c r="K9" i="2"/>
  <c r="K11" i="2"/>
  <c r="K19" i="2"/>
  <c r="K27" i="2"/>
  <c r="K35" i="2"/>
  <c r="K43" i="2"/>
  <c r="K51" i="2"/>
  <c r="K59" i="2"/>
  <c r="K67" i="2"/>
  <c r="K75" i="2"/>
  <c r="K83" i="2"/>
  <c r="K91" i="2"/>
  <c r="K99" i="2"/>
  <c r="K107" i="2"/>
  <c r="K115" i="2"/>
  <c r="K123" i="2"/>
  <c r="K8" i="2"/>
  <c r="J9" i="2"/>
  <c r="J10" i="2"/>
  <c r="K10" i="2" s="1"/>
  <c r="J11" i="2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J28" i="2"/>
  <c r="K28" i="2" s="1"/>
  <c r="J29" i="2"/>
  <c r="K29" i="2" s="1"/>
  <c r="J30" i="2"/>
  <c r="K30" i="2" s="1"/>
  <c r="J31" i="2"/>
  <c r="K31" i="2" s="1"/>
  <c r="J32" i="2"/>
  <c r="K32" i="2" s="1"/>
  <c r="J33" i="2"/>
  <c r="K33" i="2" s="1"/>
  <c r="J34" i="2"/>
  <c r="K34" i="2" s="1"/>
  <c r="J35" i="2"/>
  <c r="J36" i="2"/>
  <c r="K36" i="2" s="1"/>
  <c r="J37" i="2"/>
  <c r="K37" i="2" s="1"/>
  <c r="J38" i="2"/>
  <c r="K38" i="2" s="1"/>
  <c r="J39" i="2"/>
  <c r="K39" i="2" s="1"/>
  <c r="J40" i="2"/>
  <c r="K40" i="2" s="1"/>
  <c r="J41" i="2"/>
  <c r="K41" i="2" s="1"/>
  <c r="J42" i="2"/>
  <c r="K42" i="2" s="1"/>
  <c r="J43" i="2"/>
  <c r="J44" i="2"/>
  <c r="K44" i="2" s="1"/>
  <c r="J45" i="2"/>
  <c r="K45" i="2" s="1"/>
  <c r="J46" i="2"/>
  <c r="K46" i="2" s="1"/>
  <c r="J47" i="2"/>
  <c r="K47" i="2" s="1"/>
  <c r="J48" i="2"/>
  <c r="K48" i="2" s="1"/>
  <c r="J49" i="2"/>
  <c r="K49" i="2" s="1"/>
  <c r="J50" i="2"/>
  <c r="K50" i="2" s="1"/>
  <c r="J51" i="2"/>
  <c r="J52" i="2"/>
  <c r="K52" i="2" s="1"/>
  <c r="J53" i="2"/>
  <c r="K53" i="2" s="1"/>
  <c r="J54" i="2"/>
  <c r="K54" i="2" s="1"/>
  <c r="J55" i="2"/>
  <c r="K55" i="2" s="1"/>
  <c r="J56" i="2"/>
  <c r="K56" i="2" s="1"/>
  <c r="J57" i="2"/>
  <c r="K57" i="2" s="1"/>
  <c r="J58" i="2"/>
  <c r="K58" i="2" s="1"/>
  <c r="J59" i="2"/>
  <c r="J60" i="2"/>
  <c r="K60" i="2" s="1"/>
  <c r="J61" i="2"/>
  <c r="K61" i="2" s="1"/>
  <c r="J62" i="2"/>
  <c r="K62" i="2" s="1"/>
  <c r="J63" i="2"/>
  <c r="K63" i="2" s="1"/>
  <c r="J64" i="2"/>
  <c r="K64" i="2" s="1"/>
  <c r="J65" i="2"/>
  <c r="K65" i="2" s="1"/>
  <c r="J66" i="2"/>
  <c r="K66" i="2" s="1"/>
  <c r="J67" i="2"/>
  <c r="J68" i="2"/>
  <c r="K68" i="2" s="1"/>
  <c r="J69" i="2"/>
  <c r="K69" i="2" s="1"/>
  <c r="J70" i="2"/>
  <c r="K70" i="2" s="1"/>
  <c r="J71" i="2"/>
  <c r="K71" i="2" s="1"/>
  <c r="J72" i="2"/>
  <c r="K72" i="2" s="1"/>
  <c r="J73" i="2"/>
  <c r="K73" i="2" s="1"/>
  <c r="J74" i="2"/>
  <c r="K74" i="2" s="1"/>
  <c r="J75" i="2"/>
  <c r="J76" i="2"/>
  <c r="K76" i="2" s="1"/>
  <c r="J77" i="2"/>
  <c r="K77" i="2" s="1"/>
  <c r="J78" i="2"/>
  <c r="K78" i="2" s="1"/>
  <c r="J79" i="2"/>
  <c r="K79" i="2" s="1"/>
  <c r="J80" i="2"/>
  <c r="K80" i="2" s="1"/>
  <c r="J81" i="2"/>
  <c r="K81" i="2" s="1"/>
  <c r="J82" i="2"/>
  <c r="K82" i="2" s="1"/>
  <c r="J83" i="2"/>
  <c r="J84" i="2"/>
  <c r="K84" i="2" s="1"/>
  <c r="J85" i="2"/>
  <c r="K85" i="2" s="1"/>
  <c r="J86" i="2"/>
  <c r="K86" i="2" s="1"/>
  <c r="J87" i="2"/>
  <c r="K87" i="2" s="1"/>
  <c r="J88" i="2"/>
  <c r="K88" i="2" s="1"/>
  <c r="J89" i="2"/>
  <c r="K89" i="2" s="1"/>
  <c r="J90" i="2"/>
  <c r="K90" i="2" s="1"/>
  <c r="J91" i="2"/>
  <c r="J92" i="2"/>
  <c r="K92" i="2" s="1"/>
  <c r="J93" i="2"/>
  <c r="K93" i="2" s="1"/>
  <c r="J94" i="2"/>
  <c r="K94" i="2" s="1"/>
  <c r="J95" i="2"/>
  <c r="K95" i="2" s="1"/>
  <c r="J96" i="2"/>
  <c r="K96" i="2" s="1"/>
  <c r="J97" i="2"/>
  <c r="K97" i="2" s="1"/>
  <c r="J98" i="2"/>
  <c r="K98" i="2" s="1"/>
  <c r="J99" i="2"/>
  <c r="J100" i="2"/>
  <c r="K100" i="2" s="1"/>
  <c r="J101" i="2"/>
  <c r="K101" i="2" s="1"/>
  <c r="J102" i="2"/>
  <c r="K102" i="2" s="1"/>
  <c r="J103" i="2"/>
  <c r="K103" i="2" s="1"/>
  <c r="J104" i="2"/>
  <c r="K104" i="2" s="1"/>
  <c r="J105" i="2"/>
  <c r="K105" i="2" s="1"/>
  <c r="J106" i="2"/>
  <c r="K106" i="2" s="1"/>
  <c r="J107" i="2"/>
  <c r="J108" i="2"/>
  <c r="K108" i="2" s="1"/>
  <c r="J109" i="2"/>
  <c r="K109" i="2" s="1"/>
  <c r="J110" i="2"/>
  <c r="K110" i="2" s="1"/>
  <c r="J111" i="2"/>
  <c r="K111" i="2" s="1"/>
  <c r="J112" i="2"/>
  <c r="K112" i="2" s="1"/>
  <c r="J113" i="2"/>
  <c r="K113" i="2" s="1"/>
  <c r="J114" i="2"/>
  <c r="K114" i="2" s="1"/>
  <c r="J115" i="2"/>
  <c r="J116" i="2"/>
  <c r="K116" i="2" s="1"/>
  <c r="J117" i="2"/>
  <c r="K117" i="2" s="1"/>
  <c r="J118" i="2"/>
  <c r="K118" i="2" s="1"/>
  <c r="J119" i="2"/>
  <c r="K119" i="2" s="1"/>
  <c r="J120" i="2"/>
  <c r="K120" i="2" s="1"/>
  <c r="J121" i="2"/>
  <c r="K121" i="2" s="1"/>
  <c r="J122" i="2"/>
  <c r="K122" i="2" s="1"/>
  <c r="J123" i="2"/>
  <c r="J124" i="2"/>
  <c r="K124" i="2" s="1"/>
  <c r="J125" i="2"/>
  <c r="K125" i="2" s="1"/>
  <c r="J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8" i="2"/>
</calcChain>
</file>

<file path=xl/comments1.xml><?xml version="1.0" encoding="utf-8"?>
<comments xmlns="http://schemas.openxmlformats.org/spreadsheetml/2006/main">
  <authors>
    <author>Flávia Daniela Costa Pinho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Algumas taxas de juro apresentam valores estranhos</t>
        </r>
      </text>
    </comment>
  </commentList>
</comments>
</file>

<file path=xl/sharedStrings.xml><?xml version="1.0" encoding="utf-8"?>
<sst xmlns="http://schemas.openxmlformats.org/spreadsheetml/2006/main" count="1816" uniqueCount="287">
  <si>
    <t>zcliente</t>
  </si>
  <si>
    <t>clei</t>
  </si>
  <si>
    <t>SUM_of_msaldo_final</t>
  </si>
  <si>
    <t>SUM_juros</t>
  </si>
  <si>
    <t>AVG_of_tx_contrato_pas</t>
  </si>
  <si>
    <t>contraparte_i_desc</t>
  </si>
  <si>
    <t>gcliente</t>
  </si>
  <si>
    <t>ref_date</t>
  </si>
  <si>
    <t>Calculation</t>
  </si>
  <si>
    <t>0000000000</t>
  </si>
  <si>
    <t>instituicoes de credito</t>
  </si>
  <si>
    <t>#</t>
  </si>
  <si>
    <t>0000052505</t>
  </si>
  <si>
    <t>CAIXA DE CREDITO AGRICOLA MUTUO DO RIBATEJO NORTE, CRL</t>
  </si>
  <si>
    <t>0000069838</t>
  </si>
  <si>
    <t>FCE BANK PLC</t>
  </si>
  <si>
    <t>2100022284</t>
  </si>
  <si>
    <t>NOVO BANCO, SA</t>
  </si>
  <si>
    <t>2100150050</t>
  </si>
  <si>
    <t>COFIDIS</t>
  </si>
  <si>
    <t>2100177200</t>
  </si>
  <si>
    <t>2100365738</t>
  </si>
  <si>
    <t>BANIF BANCO INTERNACIONAL DO FUNCHAL CAYMAN LTD</t>
  </si>
  <si>
    <t>2100554927</t>
  </si>
  <si>
    <t>SCHRODER SECURITIES LONDON</t>
  </si>
  <si>
    <t>2100567112</t>
  </si>
  <si>
    <t>WICANDER A B</t>
  </si>
  <si>
    <t>2100592678</t>
  </si>
  <si>
    <t>NATWEST SECURITIES LIMITED</t>
  </si>
  <si>
    <t>2100643088</t>
  </si>
  <si>
    <t>2100892509</t>
  </si>
  <si>
    <t>549300L5RVCMYDNX9E40</t>
  </si>
  <si>
    <t>BANIF INTERNATIONAL BANK LTD - LIQUIDATION TRUSTEE ACCOUNT</t>
  </si>
  <si>
    <t>3311000078</t>
  </si>
  <si>
    <t>NATEXIS BANQUES POPULAIRES</t>
  </si>
  <si>
    <t>5100010931</t>
  </si>
  <si>
    <t>UNICREDIT BANK AUSTRIA AG AG</t>
  </si>
  <si>
    <t>5100010962</t>
  </si>
  <si>
    <t>NOVO BANCO SA</t>
  </si>
  <si>
    <t>5100011194</t>
  </si>
  <si>
    <t>549300I3LZ7O86DJAC23</t>
  </si>
  <si>
    <t>TRASPASOS M E SA</t>
  </si>
  <si>
    <t>5100262240</t>
  </si>
  <si>
    <t>2138004FIUXU3B2MR537</t>
  </si>
  <si>
    <t>5100262724</t>
  </si>
  <si>
    <t>CAIXA GERAL DE DEPOSITOS SA</t>
  </si>
  <si>
    <t>5100262777</t>
  </si>
  <si>
    <t>5100264432</t>
  </si>
  <si>
    <t>BANCO COMERCIAL PORTUGUES S.A.</t>
  </si>
  <si>
    <t>5100268594</t>
  </si>
  <si>
    <t>5100270819</t>
  </si>
  <si>
    <t>549300QQJ6BNALGU6806</t>
  </si>
  <si>
    <t>BANCO BIC PORTUGUES S.A.</t>
  </si>
  <si>
    <t>5100431816</t>
  </si>
  <si>
    <t>5100619537</t>
  </si>
  <si>
    <t>CAIXA ECONOMICA DO PORTO ANEXA A A BENEFICENCIA FAMILIAR - ASSOCIACAO</t>
  </si>
  <si>
    <t>5100710766</t>
  </si>
  <si>
    <t>BANCO BIC PORTUGUES, S.A.</t>
  </si>
  <si>
    <t>7400200148</t>
  </si>
  <si>
    <t>213800FVJ6R9N8797493</t>
  </si>
  <si>
    <t>BANCO PORTUGUES DE GESTAO S.A.</t>
  </si>
  <si>
    <t>7400275915</t>
  </si>
  <si>
    <t>BANCO PRIMUS, S.A.</t>
  </si>
  <si>
    <t>7400422049</t>
  </si>
  <si>
    <t>549300TW29K5QURDVU59</t>
  </si>
  <si>
    <t>BANCO BEST</t>
  </si>
  <si>
    <t>7400422069</t>
  </si>
  <si>
    <t>213800KYUPNOQPAQL758</t>
  </si>
  <si>
    <t>BANCO DE INVESTIMENTO GLOBAL, S.A.</t>
  </si>
  <si>
    <t>7400422086</t>
  </si>
  <si>
    <t>BNP PARIBAS</t>
  </si>
  <si>
    <t>7400880199</t>
  </si>
  <si>
    <t>BANIF - BANCO INTERNACIONAL DO FUNCHAL S.A.- EM LIQUIDACAO</t>
  </si>
  <si>
    <t>7401000162</t>
  </si>
  <si>
    <t>VOLKSWAGEN BANK GMBH - SUCURSAL EM PORTUGAL</t>
  </si>
  <si>
    <t>7401024017</t>
  </si>
  <si>
    <t>529900HB1NOUF0UAGK18</t>
  </si>
  <si>
    <t>EUROBANK PRIVATE BANK LUXEMBOURG SA</t>
  </si>
  <si>
    <t>7401088947</t>
  </si>
  <si>
    <t>7401331507</t>
  </si>
  <si>
    <t>7401448186</t>
  </si>
  <si>
    <t>TOYOTA KREDITBANK GMBH - SUCURSAL EM PORTUGAL</t>
  </si>
  <si>
    <t>7401460446</t>
  </si>
  <si>
    <t>BANCO CTT, S.A.</t>
  </si>
  <si>
    <t>7401475252</t>
  </si>
  <si>
    <t>BARCLAYS BANK PLC</t>
  </si>
  <si>
    <t>7401519052</t>
  </si>
  <si>
    <t>7401810796</t>
  </si>
  <si>
    <t>7401881341</t>
  </si>
  <si>
    <t>IBERCAJA BANCO S.A. - ESCRITORIO DE REPRESENTACAO</t>
  </si>
  <si>
    <t>8000175573</t>
  </si>
  <si>
    <t>COMMERZBANK AG</t>
  </si>
  <si>
    <t>8000176607</t>
  </si>
  <si>
    <t>DEXIA BANQUE INTERNATIONALE A LUXEMBURG SA</t>
  </si>
  <si>
    <t>8000376682</t>
  </si>
  <si>
    <t>NATIONAL WESTMINSTER BANK PLC</t>
  </si>
  <si>
    <t>8004711635</t>
  </si>
  <si>
    <t>549300GR6DZ97DTA7913</t>
  </si>
  <si>
    <t>CAIXA ECONOMICA DA MISERICORDIA DE ANGRA DO HEROISMO</t>
  </si>
  <si>
    <t>8004998687</t>
  </si>
  <si>
    <t>CAIXA CREDITO AGRICOLA MUTUO ACORES,CRL</t>
  </si>
  <si>
    <t>8020455952</t>
  </si>
  <si>
    <t>BNP PARIBAS PERSONAL FINANCE, S.A. - SUCURSAL EM PORTUGAL</t>
  </si>
  <si>
    <t>8023082113</t>
  </si>
  <si>
    <t>BANCO CAIXA GERAL ANGOLA S.A.</t>
  </si>
  <si>
    <t>8025147342</t>
  </si>
  <si>
    <t>8026521302</t>
  </si>
  <si>
    <t>8027004005</t>
  </si>
  <si>
    <t>BANCO COMERCIAL ATLANTICO,SA</t>
  </si>
  <si>
    <t>8028849943</t>
  </si>
  <si>
    <t>3DM5DPGI3W6OU6GJ4N92</t>
  </si>
  <si>
    <t>BANCO BPI S.A.</t>
  </si>
  <si>
    <t>8028858476</t>
  </si>
  <si>
    <t>ONEY BANK - SUCURSAL EM PORTUGAL</t>
  </si>
  <si>
    <t>8032107901</t>
  </si>
  <si>
    <t>213800UFLAA5SS55IZ10</t>
  </si>
  <si>
    <t>8032756873</t>
  </si>
  <si>
    <t>HPFHU0OQ28E4N0NFVK49</t>
  </si>
  <si>
    <t>BANK OF NEW YORK MELLON</t>
  </si>
  <si>
    <t>8037034699</t>
  </si>
  <si>
    <t>CAIXA CREDITO AGRICOLA MUTUO ESTREMOZ MONFORTE ARRONCHES</t>
  </si>
  <si>
    <t>8038587453</t>
  </si>
  <si>
    <t>BANCO CABOVERDIANO DE NEGOCIOS SA</t>
  </si>
  <si>
    <t>8043692061</t>
  </si>
  <si>
    <t>CAIXA GERAL DEPOSITOS-CARTEIRA PROPRIA</t>
  </si>
  <si>
    <t>9000654167</t>
  </si>
  <si>
    <t>9000726547</t>
  </si>
  <si>
    <t>9000751619</t>
  </si>
  <si>
    <t>BANCO BILBAO VIZCAYA (PORTUGAL), SA</t>
  </si>
  <si>
    <t>9000767417</t>
  </si>
  <si>
    <t>NOVO BANCO, S.A.</t>
  </si>
  <si>
    <t>9000767418</t>
  </si>
  <si>
    <t>9000793375</t>
  </si>
  <si>
    <t>9000934918</t>
  </si>
  <si>
    <t>9000934956</t>
  </si>
  <si>
    <t>BANK AUSTRIA AG</t>
  </si>
  <si>
    <t>9002006754</t>
  </si>
  <si>
    <t>BANCO INVEST, S.A.</t>
  </si>
  <si>
    <t>9002113841</t>
  </si>
  <si>
    <t>T 06.01 - Other financial Liabilities (not included in other tabs, excluding intragroup)</t>
  </si>
  <si>
    <t>Columns</t>
  </si>
  <si>
    <t>Number</t>
  </si>
  <si>
    <t>Reconciliation with aggregated data</t>
  </si>
  <si>
    <t>Other Financial liabilities (not included in other templates, excluding intragroup)</t>
  </si>
  <si>
    <t>Line</t>
  </si>
  <si>
    <t>Column</t>
  </si>
  <si>
    <t>Insolvency ranking</t>
  </si>
  <si>
    <t>Contract identifier</t>
  </si>
  <si>
    <t>Entity name of counterparty</t>
  </si>
  <si>
    <t>Counterparty identifier (preferably LEI)</t>
  </si>
  <si>
    <t>Type of identifier</t>
  </si>
  <si>
    <t>Governing law</t>
  </si>
  <si>
    <t>Type of financial liabilities</t>
  </si>
  <si>
    <t>If third country law, contractual recognition</t>
  </si>
  <si>
    <t>Outstanding principal amount</t>
  </si>
  <si>
    <t>Accrued interest</t>
  </si>
  <si>
    <t>Current interest rate (%)</t>
  </si>
  <si>
    <t>Currency</t>
  </si>
  <si>
    <t>Issuance date</t>
  </si>
  <si>
    <t>Earliest redemption date</t>
  </si>
  <si>
    <t>Legal maturity</t>
  </si>
  <si>
    <t>Secured/ unsecured</t>
  </si>
  <si>
    <t>Amount of pledge, lien or collateral</t>
  </si>
  <si>
    <t>Guarantor if applicable</t>
  </si>
  <si>
    <t>Funding amount provided by any group entity</t>
  </si>
  <si>
    <t>Structured or other non-standard terms</t>
  </si>
  <si>
    <t>Amount meeting the conditions for MREL eligibility</t>
  </si>
  <si>
    <t>Qualifying as Own Funds</t>
  </si>
  <si>
    <t>Amount included in own funds, taking into account phase-out as applicable</t>
  </si>
  <si>
    <t>0010</t>
  </si>
  <si>
    <t>0020</t>
  </si>
  <si>
    <t>0030</t>
  </si>
  <si>
    <t>0040</t>
  </si>
  <si>
    <t>0050</t>
  </si>
  <si>
    <t>0055</t>
  </si>
  <si>
    <t>0060</t>
  </si>
  <si>
    <t>0065</t>
  </si>
  <si>
    <t>0070</t>
  </si>
  <si>
    <t>0075</t>
  </si>
  <si>
    <t>0080</t>
  </si>
  <si>
    <t>0090</t>
  </si>
  <si>
    <t>0100</t>
  </si>
  <si>
    <t>0110</t>
  </si>
  <si>
    <t>0120</t>
  </si>
  <si>
    <t>0130</t>
  </si>
  <si>
    <t>0140</t>
  </si>
  <si>
    <t>0150</t>
  </si>
  <si>
    <t>0160</t>
  </si>
  <si>
    <t>0170</t>
  </si>
  <si>
    <t>0180</t>
  </si>
  <si>
    <t>0190</t>
  </si>
  <si>
    <t>0200</t>
  </si>
  <si>
    <t>0205</t>
  </si>
  <si>
    <t>0210</t>
  </si>
  <si>
    <t>0220</t>
  </si>
  <si>
    <t>Rows</t>
  </si>
  <si>
    <t xml:space="preserve"> ID of liability</t>
  </si>
  <si>
    <t>Portugal</t>
  </si>
  <si>
    <t>Financial liabilities other than debt securities issued, deposits, promissory notes, registered notes, bills of exchange, silent partnership contributions</t>
  </si>
  <si>
    <t>Not applicable (Contractual recognition of bail-in powers)</t>
  </si>
  <si>
    <t>Unsecured</t>
  </si>
  <si>
    <t>Non-structured/Vanilla</t>
  </si>
  <si>
    <t>No</t>
  </si>
  <si>
    <t>Instruções</t>
  </si>
  <si>
    <t>DOLAR CANADIANO</t>
  </si>
  <si>
    <t>IENE JAPONES</t>
  </si>
  <si>
    <t>COROA NORUEGUESA</t>
  </si>
  <si>
    <t>RAND SUL AFRICANO</t>
  </si>
  <si>
    <t>COROA SUECA</t>
  </si>
  <si>
    <t>FRANCO SUICO</t>
  </si>
  <si>
    <t>LIBRA INGLESA</t>
  </si>
  <si>
    <t>DOLAR AMERICANO</t>
  </si>
  <si>
    <t>EURO</t>
  </si>
  <si>
    <t>tayd91c0_gelem30</t>
  </si>
  <si>
    <t>Classification</t>
  </si>
  <si>
    <t>r0150 - Institution liabilities &lt; 7 days (BRRD art. 44/2/e)</t>
  </si>
  <si>
    <t>3 - Correr de novo a query "Zcliente"</t>
  </si>
  <si>
    <t>2 - Caso existam novos Zclientes deve ser acrescentado no ficheiro "T 06.01 Zclientes xx-xx-xxxx" com a classificação correspondente. Depois importar o ficheiro para o WORKUSER, com o nome "FILTER_FOR_T_06_01_ZCLIENTES"</t>
  </si>
  <si>
    <t>1- Extrair a tabela "VALIDAÇÃO_ZCLIENTE_IND" e verificar que não houve alteração nos Zclientes comparando com o ficheiro "T 06.01 Zclientes xx-xx-xxxx"do periodo anterior</t>
  </si>
  <si>
    <t>2100368533</t>
  </si>
  <si>
    <t>MONTEPIO GERAL</t>
  </si>
  <si>
    <t>CAIXA DE CREDITO AGRICOLA MUTUO DE TORRES VEDRAS, C.R.L</t>
  </si>
  <si>
    <t>BANCO BILBAO VIZCAYA ARGENTARIA, S.A., SUCURSAL EM PORTUGAL</t>
  </si>
  <si>
    <t>BANCO BAI EUROPA S.A.</t>
  </si>
  <si>
    <t>5100517491</t>
  </si>
  <si>
    <t>IMGA EXTRA TESOURARIA III - FUNDO INVESTIMENTO ALTERNATIVO MOBILIARIO</t>
  </si>
  <si>
    <t>7400701623</t>
  </si>
  <si>
    <t>529900GYIFZ0EH50GF42</t>
  </si>
  <si>
    <t>BANCO ACTIVOBANK PORTUGAL SA</t>
  </si>
  <si>
    <t>7400741462</t>
  </si>
  <si>
    <t>FUNDO DE INVESTIMENTO MOBILIARIO ABERTO DO MERCADO MONETARIO - CA MONE</t>
  </si>
  <si>
    <t>NEDBANK MOCAMBIQUE S.A.</t>
  </si>
  <si>
    <t>7401346435</t>
  </si>
  <si>
    <t>UNICAJA BANCO S.A.</t>
  </si>
  <si>
    <t>7401496096</t>
  </si>
  <si>
    <t>MERCANTILE BANK LIMITED</t>
  </si>
  <si>
    <t>7402043691</t>
  </si>
  <si>
    <t>IMGA MONEY MARKET USD - FUNDO DE INVESTIMENTO MOBILIARIO ABERTO DO MER</t>
  </si>
  <si>
    <t>8006823295</t>
  </si>
  <si>
    <t>BANK OF NOVA SCOTIA</t>
  </si>
  <si>
    <t>8006850481</t>
  </si>
  <si>
    <t>UNICREDIT BANK AG</t>
  </si>
  <si>
    <t>WIZINK BANK S.A.U. - SUCURSAL EM PORTUGAL</t>
  </si>
  <si>
    <t>9002381066</t>
  </si>
  <si>
    <t>KBC BANK NV    .                             .</t>
  </si>
  <si>
    <t>r0161 - System (operator) and CCP liabilities &lt; 7 days   (BRRD art. 44/2/f)</t>
  </si>
  <si>
    <t>4- Apagar a informação que consta na folha "Other financial Liabilities"</t>
  </si>
  <si>
    <t>5- Copiar a informação da tabela T06.01 extraída do projeto SAS e copiar para a folha "Other financial Liabilities"</t>
  </si>
  <si>
    <t>6- Carregar no button</t>
  </si>
  <si>
    <t>7- Se a macro der erro, verificar que a sheet "Other financial Liabilities" não tem filtros e recomeçar do inicio</t>
  </si>
  <si>
    <t>2022-12-31</t>
  </si>
  <si>
    <t>0000002220</t>
  </si>
  <si>
    <t>BANK OF NEW YORK</t>
  </si>
  <si>
    <t>2100168662</t>
  </si>
  <si>
    <t>BANCO BPI</t>
  </si>
  <si>
    <t>BISON BANK S.A.</t>
  </si>
  <si>
    <t>5100011152</t>
  </si>
  <si>
    <t>CAIXA ECONOMICA MONTEPIO GERAL CE</t>
  </si>
  <si>
    <t>CAIXA DE CREDITO AGRICOLA MUTUO DE LEIRIA CRL</t>
  </si>
  <si>
    <t>7400284854</t>
  </si>
  <si>
    <t>MASSA INSOLVENTE DE ESPIRITO SANTO INTERNATIONAL S.A.</t>
  </si>
  <si>
    <t>7400503978</t>
  </si>
  <si>
    <t>JEUVK5RWVJEN8W0C9M24</t>
  </si>
  <si>
    <t>EUROBANK SA</t>
  </si>
  <si>
    <t>ALLFUNDS BANK SAU, LUXEMBOURG BRANCH</t>
  </si>
  <si>
    <t>BANKINTER, S.A. - SUCURSAL EM PORTUGAL</t>
  </si>
  <si>
    <t>BARCLAYS BANK IRELAND PUBLIC LIMITED COMPANY - SUCURSAL EM PORTUGAL</t>
  </si>
  <si>
    <t>7402339543</t>
  </si>
  <si>
    <t>MASSA INSOLVENTE DE SWEET ATRACTION SA</t>
  </si>
  <si>
    <t>7402347322</t>
  </si>
  <si>
    <t>MASSA INSOLVENTE DE CORTICEIRA TEOFILO GONCALVES LDA</t>
  </si>
  <si>
    <t>8000176012</t>
  </si>
  <si>
    <t>K8MS7FD7N5Z2WQ51AZ71</t>
  </si>
  <si>
    <t>BANCO BILBAO VIZCAYA ARGENTARIA EX.B.B.V.</t>
  </si>
  <si>
    <t>8000176553</t>
  </si>
  <si>
    <t>BANCA INTESA SPA</t>
  </si>
  <si>
    <t>8000181482</t>
  </si>
  <si>
    <t>SOCIETE GENERALE</t>
  </si>
  <si>
    <t>BNP PARIBAS PERSONAL FINANCE S.A. - SUCURSAL EM PORTUGAL</t>
  </si>
  <si>
    <t>BANCO INTERNACIONAL SAO TOME PRINCIPE</t>
  </si>
  <si>
    <t>BANCO L. J. CARREGOSA S.A.</t>
  </si>
  <si>
    <t>CAIXA GERAL DE DEPOSITOS S.A.</t>
  </si>
  <si>
    <t>9001034502</t>
  </si>
  <si>
    <t>DEUTSCHE BK TRUST CO AMERICAS</t>
  </si>
  <si>
    <t>9001071563</t>
  </si>
  <si>
    <t>COROA CHECA</t>
  </si>
  <si>
    <t>CESKOSLOVENSKA OBCHODNI BANKA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</si>
</sst>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;@"/>
    <numFmt numFmtId="165" formatCode="0.000000"/>
    <numFmt numFmtId="166" formatCode="0.00000"/>
  </numFmts>
  <fonts count="8" x14ac:knownFonts="1">
    <font>
      <sz val="11"/>
      <name val="Calibri"/>
    </font>
    <font>
      <b/>
      <sz val="11"/>
      <color theme="1"/>
      <name val="Calibri"/>
      <family val="2"/>
      <scheme val="minor"/>
    </font>
    <font>
      <b/>
      <sz val="9"/>
      <color indexed="16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16"/>
      <name val="Calibri"/>
      <family val="2"/>
      <scheme val="minor"/>
    </font>
    <font>
      <b/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wrapText="1"/>
    </xf>
    <xf numFmtId="0" fontId="0" fillId="2" borderId="2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7" xfId="0" quotePrefix="1" applyFill="1" applyBorder="1" applyAlignment="1">
      <alignment horizontal="left" vertical="top" wrapText="1"/>
    </xf>
    <xf numFmtId="0" fontId="0" fillId="3" borderId="7" xfId="0" quotePrefix="1" applyFill="1" applyBorder="1" applyAlignment="1">
      <alignment horizontal="left" vertical="top" wrapText="1"/>
    </xf>
    <xf numFmtId="0" fontId="5" fillId="0" borderId="0" xfId="0" applyFont="1"/>
    <xf numFmtId="165" fontId="0" fillId="0" borderId="0" xfId="0" applyNumberFormat="1"/>
    <xf numFmtId="166" fontId="0" fillId="0" borderId="0" xfId="0" applyNumberFormat="1"/>
    <xf numFmtId="0" fontId="1" fillId="0" borderId="3" xfId="0" applyFont="1" applyFill="1" applyBorder="1" applyAlignment="1">
      <alignment horizontal="center" vertical="center" textRotation="90"/>
    </xf>
    <xf numFmtId="0" fontId="0" fillId="0" borderId="4" xfId="0" applyFill="1" applyBorder="1" applyAlignment="1">
      <alignment horizontal="left" vertical="center" wrapText="1"/>
    </xf>
    <xf numFmtId="0" fontId="0" fillId="0" borderId="7" xfId="0" quotePrefix="1" applyNumberFormat="1" applyFill="1" applyBorder="1" applyAlignment="1">
      <alignment horizontal="left" vertical="center"/>
    </xf>
    <xf numFmtId="0" fontId="3" fillId="0" borderId="8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4" fontId="3" fillId="0" borderId="8" xfId="0" applyNumberFormat="1" applyFont="1" applyFill="1" applyBorder="1" applyAlignment="1">
      <alignment horizontal="center" vertical="center" wrapText="1"/>
    </xf>
    <xf numFmtId="164" fontId="3" fillId="0" borderId="8" xfId="0" applyNumberFormat="1" applyFont="1" applyFill="1" applyBorder="1" applyAlignment="1">
      <alignment horizontal="center" vertical="center" wrapText="1"/>
    </xf>
    <xf numFmtId="4" fontId="3" fillId="0" borderId="9" xfId="0" applyNumberFormat="1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left"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NumberFormat="1" applyFill="1"/>
    <xf numFmtId="0" fontId="1" fillId="2" borderId="1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2" fillId="0" borderId="1" xfId="0" applyFont="1" applyBorder="1" applyAlignment="1">
      <alignment horizontal="left" wrapText="1"/>
    </xf>
  </cellXfs>
  <cellStyles count="1">
    <cellStyle name="Normal" xfId="0" builtinId="0"/>
  </cellStyles>
  <dxfs count="18"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9</xdr:row>
      <xdr:rowOff>161925</xdr:rowOff>
    </xdr:from>
    <xdr:to>
      <xdr:col>4</xdr:col>
      <xdr:colOff>342900</xdr:colOff>
      <xdr:row>12</xdr:row>
      <xdr:rowOff>38100</xdr:rowOff>
    </xdr:to>
    <xdr:sp macro="[0]!Macro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47700" y="1304925"/>
          <a:ext cx="152400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Preencher T</a:t>
          </a:r>
          <a:r>
            <a:rPr lang="en-US" sz="1100" baseline="0"/>
            <a:t> 06.01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2:C9"/>
  <sheetViews>
    <sheetView showGridLines="0" workbookViewId="0">
      <selection activeCell="D13" sqref="D13"/>
    </sheetView>
  </sheetViews>
  <sheetFormatPr defaultRowHeight="14.25" x14ac:dyDescent="0.45"/>
  <sheetData>
    <row r="2" spans="3:3" x14ac:dyDescent="0.45">
      <c r="C2" s="7" t="s">
        <v>203</v>
      </c>
    </row>
    <row r="3" spans="3:3" x14ac:dyDescent="0.45">
      <c r="C3" t="s">
        <v>218</v>
      </c>
    </row>
    <row r="4" spans="3:3" x14ac:dyDescent="0.45">
      <c r="C4" t="s">
        <v>217</v>
      </c>
    </row>
    <row r="5" spans="3:3" x14ac:dyDescent="0.45">
      <c r="C5" t="s">
        <v>216</v>
      </c>
    </row>
    <row r="6" spans="3:3" x14ac:dyDescent="0.45">
      <c r="C6" t="s">
        <v>246</v>
      </c>
    </row>
    <row r="7" spans="3:3" x14ac:dyDescent="0.45">
      <c r="C7" t="s">
        <v>247</v>
      </c>
    </row>
    <row r="8" spans="3:3" x14ac:dyDescent="0.45">
      <c r="C8" t="s">
        <v>248</v>
      </c>
    </row>
    <row r="9" spans="3:3" x14ac:dyDescent="0.45">
      <c r="C9" t="s">
        <v>249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246"/>
  <sheetViews>
    <sheetView showGridLines="0" tabSelected="1" zoomScale="55" zoomScaleNormal="55" workbookViewId="0">
      <pane xSplit="3" ySplit="7" topLeftCell="D44" activePane="bottomRight" state="frozen"/>
      <selection pane="topRight" activeCell="D1" sqref="D1"/>
      <selection pane="bottomLeft" activeCell="A8" sqref="A8"/>
      <selection pane="bottomRight" activeCell="E9" sqref="E9"/>
    </sheetView>
  </sheetViews>
  <sheetFormatPr defaultColWidth="9.1328125" defaultRowHeight="14.25" customHeight="1" x14ac:dyDescent="0.45"/>
  <cols>
    <col min="1" max="1" width="5.59765625" style="19" customWidth="1"/>
    <col min="2" max="2" width="25.59765625" style="19" customWidth="1"/>
    <col min="3" max="3" width="3.9296875" style="19" bestFit="1" customWidth="1"/>
    <col min="4" max="4" width="20.59765625" style="21" customWidth="1"/>
    <col min="5" max="29" width="20.59765625" style="19" customWidth="1"/>
    <col min="30" max="30" width="25.59765625" style="19" customWidth="1"/>
    <col min="31" max="16384" width="9.1328125" style="19"/>
  </cols>
  <sheetData>
    <row r="1" spans="1:30" customFormat="1" ht="18.75" customHeight="1" x14ac:dyDescent="0.45">
      <c r="A1" s="22" t="s">
        <v>139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1"/>
    </row>
    <row r="2" spans="1:30" customFormat="1" ht="18.75" customHeight="1" x14ac:dyDescent="0.45">
      <c r="AD2" s="1"/>
    </row>
    <row r="3" spans="1:30" customFormat="1" ht="18.75" customHeight="1" x14ac:dyDescent="0.45">
      <c r="AD3" s="1"/>
    </row>
    <row r="4" spans="1:30" customFormat="1" ht="18.75" customHeight="1" x14ac:dyDescent="0.45">
      <c r="D4" s="24" t="s">
        <v>140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1"/>
    </row>
    <row r="5" spans="1:30" customFormat="1" ht="18.75" customHeight="1" x14ac:dyDescent="0.45">
      <c r="D5" s="2" t="s">
        <v>141</v>
      </c>
      <c r="E5" s="25" t="s">
        <v>142</v>
      </c>
      <c r="F5" s="26"/>
      <c r="G5" s="25" t="s">
        <v>143</v>
      </c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6"/>
      <c r="AD5" s="28"/>
    </row>
    <row r="6" spans="1:30" customFormat="1" ht="35.25" customHeight="1" x14ac:dyDescent="0.45">
      <c r="D6" s="3"/>
      <c r="E6" s="4" t="s">
        <v>144</v>
      </c>
      <c r="F6" s="4" t="s">
        <v>145</v>
      </c>
      <c r="G6" s="4" t="s">
        <v>146</v>
      </c>
      <c r="H6" s="4" t="s">
        <v>147</v>
      </c>
      <c r="I6" s="4" t="s">
        <v>148</v>
      </c>
      <c r="J6" s="4" t="s">
        <v>149</v>
      </c>
      <c r="K6" s="4" t="s">
        <v>150</v>
      </c>
      <c r="L6" s="4" t="s">
        <v>151</v>
      </c>
      <c r="M6" s="4" t="s">
        <v>152</v>
      </c>
      <c r="N6" s="4" t="s">
        <v>153</v>
      </c>
      <c r="O6" s="4" t="s">
        <v>154</v>
      </c>
      <c r="P6" s="4" t="s">
        <v>155</v>
      </c>
      <c r="Q6" s="4" t="s">
        <v>156</v>
      </c>
      <c r="R6" s="4" t="s">
        <v>157</v>
      </c>
      <c r="S6" s="4" t="s">
        <v>158</v>
      </c>
      <c r="T6" s="4" t="s">
        <v>159</v>
      </c>
      <c r="U6" s="4" t="s">
        <v>160</v>
      </c>
      <c r="V6" s="4" t="s">
        <v>161</v>
      </c>
      <c r="W6" s="4" t="s">
        <v>162</v>
      </c>
      <c r="X6" s="4" t="s">
        <v>163</v>
      </c>
      <c r="Y6" s="4" t="s">
        <v>164</v>
      </c>
      <c r="Z6" s="4" t="s">
        <v>165</v>
      </c>
      <c r="AA6" s="4" t="s">
        <v>166</v>
      </c>
      <c r="AB6" s="4" t="s">
        <v>167</v>
      </c>
      <c r="AC6" s="4" t="s">
        <v>168</v>
      </c>
      <c r="AD6" s="28"/>
    </row>
    <row r="7" spans="1:30" customFormat="1" ht="18.75" customHeight="1" thickBot="1" x14ac:dyDescent="0.5">
      <c r="D7" s="5" t="s">
        <v>169</v>
      </c>
      <c r="E7" s="5" t="s">
        <v>170</v>
      </c>
      <c r="F7" s="5" t="s">
        <v>171</v>
      </c>
      <c r="G7" s="5" t="s">
        <v>172</v>
      </c>
      <c r="H7" s="5" t="s">
        <v>173</v>
      </c>
      <c r="I7" s="5" t="s">
        <v>174</v>
      </c>
      <c r="J7" s="5" t="s">
        <v>175</v>
      </c>
      <c r="K7" s="5" t="s">
        <v>176</v>
      </c>
      <c r="L7" s="5" t="s">
        <v>177</v>
      </c>
      <c r="M7" s="5" t="s">
        <v>178</v>
      </c>
      <c r="N7" s="5" t="s">
        <v>179</v>
      </c>
      <c r="O7" s="5" t="s">
        <v>180</v>
      </c>
      <c r="P7" s="5" t="s">
        <v>181</v>
      </c>
      <c r="Q7" s="6" t="s">
        <v>182</v>
      </c>
      <c r="R7" s="5" t="s">
        <v>183</v>
      </c>
      <c r="S7" s="5" t="s">
        <v>184</v>
      </c>
      <c r="T7" s="5" t="s">
        <v>185</v>
      </c>
      <c r="U7" s="5" t="s">
        <v>186</v>
      </c>
      <c r="V7" s="5" t="s">
        <v>187</v>
      </c>
      <c r="W7" s="5" t="s">
        <v>188</v>
      </c>
      <c r="X7" s="5" t="s">
        <v>189</v>
      </c>
      <c r="Y7" s="5" t="s">
        <v>190</v>
      </c>
      <c r="Z7" s="5" t="s">
        <v>191</v>
      </c>
      <c r="AA7" s="5" t="s">
        <v>192</v>
      </c>
      <c r="AB7" s="5" t="s">
        <v>193</v>
      </c>
      <c r="AC7" s="5" t="s">
        <v>194</v>
      </c>
      <c r="AD7" s="1"/>
    </row>
    <row r="8" spans="1:30" ht="45.75" customHeight="1" thickBot="1" x14ac:dyDescent="0.5">
      <c r="A8" s="10" t="s">
        <v>195</v>
      </c>
      <c r="B8" s="11" t="s">
        <v>196</v>
      </c>
      <c r="C8" s="12">
        <f>+IF(E8="","",999)</f>
        <v>999</v>
      </c>
      <c r="D8" s="13">
        <f>IF(E8="","",1)</f>
        <v>1</v>
      </c>
      <c r="E8" s="14" t="str">
        <f>IF(AND('Other financial Liabilities'!K2="",'Other financial Liabilities'!J2=1),"r0180 - Critical service liabilities (BRRD art. 44/2/g/ii)",IF(AND('Other financial Liabilities'!K2="",'Other financial Liabilities'!J2=2),"r0190 - Tax and social security authorities liabilities, if preferred (BRRD art. 44/2/g/iii)",'Other financial Liabilities'!K2))</f>
        <v>r0150 - Institution liabilities &lt; 7 days (BRRD art. 44/2/e)</v>
      </c>
      <c r="F8" s="14" t="str">
        <f>IF(OR('Other financial Liabilities'!G2="particulares",'Other financial Liabilities'!J2=1),"c001x   - Households",IF('Other financial Liabilities'!G2="outras empresas nao financeiras","c003x   - Corporates",IF('Other financial Liabilities'!G2="instituicoes de credito","c004x   - Institutions",IF('Other financial Liabilities'!G2="outras instituicoes financeiras","c005x   - Other financial corporations",IF(OR('Other financial Liabilities'!G2="setor publico",'Other financial Liabilities'!J2=2),"c008x   - Government, central banks &amp; supranationals","")))))</f>
        <v>c001x   - Households</v>
      </c>
      <c r="G8" s="14" t="str">
        <f>IF(F8="c008x   - Government, central banks &amp; supranationals","Rank 16 - Ranking in insolvency (master scale)","Rank 9 - Ranking in insolvency (master scale)")</f>
        <v>Rank 9 - Ranking in insolvency (master scale)</v>
      </c>
      <c r="H8" s="14" t="str">
        <f>IF(F8="c004x   - Institutions",'Other financial Liabilities'!H2,IF(F8="c001x   - Households","CSL"&amp;IF(MONTH('Other financial Liabilities'!I2)=1,"JAN",IF(MONTH('Other financial Liabilities'!I2)=2,"FEV",IF(MONTH('Other financial Liabilities'!I2)=3,"MAR",IF(MONTH('Other financial Liabilities'!I2)=4,"ABR",IF(MONTH('Other financial Liabilities'!I2)=5,"MAI",IF(MONTH('Other financial Liabilities'!I2)=6,"JUN",IF(MONTH('Other financial Liabilities'!I2)=7,"JUL",IF(MONTH('Other financial Liabilities'!I2)=8,"AGO",IF(MONTH('Other financial Liabilities'!I2)=9,"SET",IF(MONTH('Other financial Liabilities'!I2)=10,"OUT",IF(MONTH('Other financial Liabilities'!I2)=11,"NOV",IF(MONTH('Other financial Liabilities'!I2)=12,"DEZ",""))))))))))))&amp;LEFT(YEAR('Other financial Liabilities'!I2),2),IF(F8="c008x   - Government, central banks &amp; supranationals","TL"&amp;IF(MONTH('Other financial Liabilities'!I2)=1,"JAN",IF(MONTH('Other financial Liabilities'!I2)=2,"FEV",IF(MONTH('Other financial Liabilities'!I2)=3,"MAR",IF(MONTH('Other financial Liabilities'!I2)=4,"ABR",IF(MONTH('Other financial Liabilities'!I2)=5,"MAI",IF(MONTH('Other financial Liabilities'!I2)=6,"JUN",IF(MONTH('Other financial Liabilities'!I2)=7,"JUL",IF(MONTH('Other financial Liabilities'!I2)=8,"AGO",IF(MONTH('Other financial Liabilities'!I2)=9,"SET",IF(MONTH('Other financial Liabilities'!I2)=10,"OUT",IF(MONTH('Other financial Liabilities'!I2)=11,"NOV",IF(MONTH('Other financial Liabilities'!I2)=12,"DEZ",""))))))))))))&amp;LEFT(YEAR('Other financial Liabilities'!I2),2),"")))</f>
        <v>CSLDEZ20</v>
      </c>
      <c r="I8" s="14" t="str">
        <f>IF(F8="c004x   - Institutions",'Other financial Liabilities'!H2,IF(F8="c001x   - Households","Critical Service Liability "&amp;IF(MONTH('Other financial Liabilities'!I2)=1,"January ",IF(MONTH('Other financial Liabilities'!I2)=2,"February ",IF(MONTH('Other financial Liabilities'!I2)=3,"March ",IF(MONTH('Other financial Liabilities'!I2)=4, "April ",IF(MONTH('Other financial Liabilities'!I2)=5,"May ",IF(MONTH('Other financial Liabilities'!I2)=6,"June ",IF(MONTH('Other financial Liabilities'!I2)=7,"July ",IF(MONTH('Other financial Liabilities'!I2)=8,"August ",IF(MONTH('Other financial Liabilities'!I2)=9,"September ",IF(MONTH('Other financial Liabilities'!I2)=10,"October",  IF(MONTH('Other financial Liabilities'!I2)=11,"November ",IF(MONTH('Other financial Liabilities'!I2)=12,"December ",""))))))))))))&amp;YEAR('Other financial Liabilities'!I2),IF(F8="c008x   - Government, central banks &amp; supranationals","Tax Liability "&amp;IF(MONTH('Other financial Liabilities'!I2)=1,"January ",IF(MONTH('Other financial Liabilities'!I2)=2,"February ",IF(MONTH('Other financial Liabilities'!I2)=3,"March ",IF(MONTH('Other financial Liabilities'!I2)=4,"April ",IF(MONTH('Other financial Liabilities'!I2)=5,"May ",IF(MONTH('Other financial Liabilities'!I2)=6,"June ",IF(MONTH('Other financial Liabilities'!I2)=7,"July ",IF(MONTH('Other financial Liabilities'!I2)=8, "August ",  IF(MONTH('Other financial Liabilities'!I2)=9,"September ",IF(MONTH('Other financial Liabilities'!I2)=10,"October ",IF(MONTH('Other financial Liabilities'!I2)=11,"November ",IF(MONTH('Other financial Liabilities'!I2)=12,"December ",""))))))))))))&amp;YEAR('Other financial Liabilities'!I2),"")))</f>
        <v>Critical Service Liability December 2022</v>
      </c>
      <c r="J8" s="14" t="str">
        <f>+IF(OR('Other financial Liabilities'!C2="",'Other financial Liabilities'!C2="#"),IF('Other financial Liabilities'!A2="",IF(F8="c001x   - Households","CSL"&amp;"001",IF(F8="c008x   - Government, central banks &amp; supranationals","TL"&amp;"001")),'Other financial Liabilities'!A2),'Other financial Liabilities'!C2)</f>
        <v>CSL001</v>
      </c>
      <c r="K8" s="14" t="str">
        <f>+IF(J8='Other financial Liabilities'!C2,"LEI code","Type of identifier, other than LEI or MFI code")</f>
        <v>Type of identifier, other than LEI or MFI code</v>
      </c>
      <c r="L8" s="14" t="s">
        <v>197</v>
      </c>
      <c r="M8" s="14" t="s">
        <v>198</v>
      </c>
      <c r="N8" s="14" t="s">
        <v>199</v>
      </c>
      <c r="O8" s="15">
        <v>2564062.9900000002</v>
      </c>
      <c r="P8" s="15">
        <f>IF('Other financial Liabilities'!E2="",0,'Other financial Liabilities'!E2)</f>
        <v>0</v>
      </c>
      <c r="Q8" s="14">
        <f>IF('Other financial Liabilities'!F2="",0,'Other financial Liabilities'!F2)</f>
        <v>0</v>
      </c>
      <c r="R8" s="14" t="s">
        <v>212</v>
      </c>
      <c r="S8" s="16" t="s">
        <v>250</v>
      </c>
      <c r="T8" s="16">
        <f>+WORKDAY(S8,1,"1/1/2021")</f>
        <v>44928</v>
      </c>
      <c r="U8" s="16">
        <f>+T8</f>
        <v>44928</v>
      </c>
      <c r="V8" s="14" t="s">
        <v>200</v>
      </c>
      <c r="W8" s="15">
        <v>0</v>
      </c>
      <c r="X8" s="15">
        <v>0</v>
      </c>
      <c r="Y8" s="15">
        <v>0</v>
      </c>
      <c r="Z8" s="14" t="s">
        <v>201</v>
      </c>
      <c r="AA8" s="15">
        <v>0</v>
      </c>
      <c r="AB8" s="14" t="s">
        <v>202</v>
      </c>
      <c r="AC8" s="17">
        <v>0</v>
      </c>
      <c r="AD8" s="18"/>
    </row>
    <row r="9" spans="1:30" ht="45.75" customHeight="1" thickBot="1" x14ac:dyDescent="0.5">
      <c r="C9" s="12">
        <f t="shared" ref="C9:C72" si="0">+IF(E9="","",999)</f>
        <v>999</v>
      </c>
      <c r="D9" s="13">
        <f>IF(E9="","",D8+1)</f>
        <v>2</v>
      </c>
      <c r="E9" s="14" t="str">
        <f>IF(AND('Other financial Liabilities'!K3="",'Other financial Liabilities'!J3=1),"r0180 - Critical service liabilities (BRRD art. 44/2/g/ii)",IF(AND('Other financial Liabilities'!K3="",'Other financial Liabilities'!J3=2),"r0190 - Tax and social security authorities liabilities, if preferred (BRRD art. 44/2/g/iii)",'Other financial Liabilities'!K3))</f>
        <v>r0150 - Institution liabilities &lt; 7 days (BRRD art. 44/2/e)</v>
      </c>
      <c r="F9" s="14" t="str">
        <f>IF(OR('Other financial Liabilities'!G3="particulares",'Other financial Liabilities'!J3=1),"c001x   - Households",IF('Other financial Liabilities'!G3="outras empresas nao financeiras","c003x   - Corporates",IF('Other financial Liabilities'!G3="instituicoes de credito","c004x   - Institutions",IF('Other financial Liabilities'!G3="outras instituicoes financeiras","c005x   - Other financial corporations",IF(OR('Other financial Liabilities'!G3="setor publico",'Other financial Liabilities'!J3=2),"c008x   - Government, central banks &amp; supranationals","")))))</f>
        <v>c008x   - Government, central banks &amp; supranationals</v>
      </c>
      <c r="G9" s="14" t="str">
        <f t="shared" ref="G9:G72" si="1">IF(F9="c008x   - Government, central banks &amp; supranationals","Rank 16 - Ranking in insolvency (master scale)","Rank 9 - Ranking in insolvency (master scale)")</f>
        <v>Rank 16 - Ranking in insolvency (master scale)</v>
      </c>
      <c r="H9" s="14" t="str">
        <f>IF(F9="c004x   - Institutions",'Other financial Liabilities'!H3,IF(F9="c001x   - Households","CSL"&amp;IF(MONTH('Other financial Liabilities'!I3)=1,"JAN",IF(MONTH('Other financial Liabilities'!I3)=2,"FEV",IF(MONTH('Other financial Liabilities'!I3)=3,"MAR",IF(MONTH('Other financial Liabilities'!I3)=4,"ABR",IF(MONTH('Other financial Liabilities'!I3)=5,"MAI",IF(MONTH('Other financial Liabilities'!I3)=6,"JUN",IF(MONTH('Other financial Liabilities'!I3)=7,"JUL",IF(MONTH('Other financial Liabilities'!I3)=8,"AGO",IF(MONTH('Other financial Liabilities'!I3)=9,"SET",IF(MONTH('Other financial Liabilities'!I3)=10,"OUT",IF(MONTH('Other financial Liabilities'!I3)=11,"NOV",IF(MONTH('Other financial Liabilities'!I3)=12,"DEZ",""))))))))))))&amp;LEFT(YEAR('Other financial Liabilities'!I3),2),IF(F9="c008x   - Government, central banks &amp; supranationals","TL"&amp;IF(MONTH('Other financial Liabilities'!I3)=1,"JAN",IF(MONTH('Other financial Liabilities'!I3)=2,"FEV",IF(MONTH('Other financial Liabilities'!I3)=3,"MAR",IF(MONTH('Other financial Liabilities'!I3)=4,"ABR",IF(MONTH('Other financial Liabilities'!I3)=5,"MAI",IF(MONTH('Other financial Liabilities'!I3)=6,"JUN",IF(MONTH('Other financial Liabilities'!I3)=7,"JUL",IF(MONTH('Other financial Liabilities'!I3)=8,"AGO",IF(MONTH('Other financial Liabilities'!I3)=9,"SET",IF(MONTH('Other financial Liabilities'!I3)=10,"OUT",IF(MONTH('Other financial Liabilities'!I3)=11,"NOV",IF(MONTH('Other financial Liabilities'!I3)=12,"DEZ",""))))))))))))&amp;LEFT(YEAR('Other financial Liabilities'!I3),2),"")))</f>
        <v>TLDEZ20</v>
      </c>
      <c r="I9" s="14" t="str">
        <f>IF(F9="c004x   - Institutions",'Other financial Liabilities'!H3,IF(F9="c001x   - Households","Critical Service Liability "&amp;IF(MONTH('Other financial Liabilities'!I3)=1,"January ",IF(MONTH('Other financial Liabilities'!I3)=2,"February ",IF(MONTH('Other financial Liabilities'!I3)=3,"March ",IF(MONTH('Other financial Liabilities'!I3)=4, "April ",IF(MONTH('Other financial Liabilities'!I3)=5,"May ",IF(MONTH('Other financial Liabilities'!I3)=6,"June ",IF(MONTH('Other financial Liabilities'!I3)=7,"July ",IF(MONTH('Other financial Liabilities'!I3)=8,"August ",IF(MONTH('Other financial Liabilities'!I3)=9,"September ",IF(MONTH('Other financial Liabilities'!I3)=10,"October",  IF(MONTH('Other financial Liabilities'!I3)=11,"November ",IF(MONTH('Other financial Liabilities'!I3)=12,"December ",""))))))))))))&amp;YEAR('Other financial Liabilities'!I3),IF(F9="c008x   - Government, central banks &amp; supranationals","Tax Liability "&amp;IF(MONTH('Other financial Liabilities'!I3)=1,"January ",IF(MONTH('Other financial Liabilities'!I3)=2,"February ",IF(MONTH('Other financial Liabilities'!I3)=3,"March ",IF(MONTH('Other financial Liabilities'!I3)=4,"April ",IF(MONTH('Other financial Liabilities'!I3)=5,"May ",IF(MONTH('Other financial Liabilities'!I3)=6,"June ",IF(MONTH('Other financial Liabilities'!I3)=7,"July ",IF(MONTH('Other financial Liabilities'!I3)=8, "August ",  IF(MONTH('Other financial Liabilities'!I3)=9,"September ",IF(MONTH('Other financial Liabilities'!I3)=10,"October ",IF(MONTH('Other financial Liabilities'!I3)=11,"November ",IF(MONTH('Other financial Liabilities'!I3)=12,"December ",""))))))))))))&amp;YEAR('Other financial Liabilities'!I3),"")))</f>
        <v>Tax Liability December 2022</v>
      </c>
      <c r="J9" s="14" t="str">
        <f>+IF(OR('Other financial Liabilities'!C3="",'Other financial Liabilities'!C3="#"),IF('Other financial Liabilities'!A3="",IF(F9="c001x   - Households","CSL"&amp;"001",IF(F9="c008x   - Government, central banks &amp; supranationals","TL"&amp;"001")),'Other financial Liabilities'!A3),'Other financial Liabilities'!C3)</f>
        <v>TL001</v>
      </c>
      <c r="K9" s="14" t="str">
        <f>+IF(J9='Other financial Liabilities'!C3,"LEI code","Type of identifier, other than LEI or MFI code")</f>
        <v>Type of identifier, other than LEI or MFI code</v>
      </c>
      <c r="L9" s="14" t="s">
        <v>197</v>
      </c>
      <c r="M9" s="14" t="s">
        <v>198</v>
      </c>
      <c r="N9" s="14" t="s">
        <v>199</v>
      </c>
      <c r="O9" s="15">
        <v>128801500.29000001</v>
      </c>
      <c r="P9" s="15">
        <f>IF('Other financial Liabilities'!E3="",0,'Other financial Liabilities'!E3)</f>
        <v>0</v>
      </c>
      <c r="Q9" s="14">
        <f>IF('Other financial Liabilities'!F3="",0,'Other financial Liabilities'!F3)</f>
        <v>0</v>
      </c>
      <c r="R9" s="14" t="s">
        <v>212</v>
      </c>
      <c r="S9" s="16" t="s">
        <v>250</v>
      </c>
      <c r="T9" s="16">
        <f t="shared" ref="T9:T72" si="2">+WORKDAY(S9,1,"1/1/2021")</f>
        <v>44928</v>
      </c>
      <c r="U9" s="16">
        <f t="shared" ref="U9:U72" si="3">+T9</f>
        <v>44928</v>
      </c>
      <c r="V9" s="14" t="s">
        <v>200</v>
      </c>
      <c r="W9" s="15">
        <v>0</v>
      </c>
      <c r="X9" s="15">
        <v>0</v>
      </c>
      <c r="Y9" s="15">
        <v>0</v>
      </c>
      <c r="Z9" s="14" t="s">
        <v>201</v>
      </c>
      <c r="AA9" s="15">
        <v>0</v>
      </c>
      <c r="AB9" s="14" t="s">
        <v>202</v>
      </c>
      <c r="AC9" s="17">
        <v>0</v>
      </c>
      <c r="AD9" s="20"/>
    </row>
    <row r="10" spans="1:30" ht="45.75" customHeight="1" thickBot="1" x14ac:dyDescent="0.5">
      <c r="C10" s="12">
        <f t="shared" si="0"/>
        <v>999</v>
      </c>
      <c r="D10" s="13">
        <f t="shared" ref="D10:D73" si="4">IF(E10="","",D9+1)</f>
        <v>3</v>
      </c>
      <c r="E10" s="14" t="str">
        <f>IF(AND('Other financial Liabilities'!K4="",'Other financial Liabilities'!J4=1),"r0180 - Critical service liabilities (BRRD art. 44/2/g/ii)",IF(AND('Other financial Liabilities'!K4="",'Other financial Liabilities'!J4=2),"r0190 - Tax and social security authorities liabilities, if preferred (BRRD art. 44/2/g/iii)",'Other financial Liabilities'!K4))</f>
        <v>r0150 - Institution liabilities &lt; 7 days (BRRD art. 44/2/e)</v>
      </c>
      <c r="F10" s="14" t="str">
        <f>IF(OR('Other financial Liabilities'!G4="particulares",'Other financial Liabilities'!J4=1),"c001x   - Households",IF('Other financial Liabilities'!G4="outras empresas nao financeiras","c003x   - Corporates",IF('Other financial Liabilities'!G4="instituicoes de credito","c004x   - Institutions",IF('Other financial Liabilities'!G4="outras instituicoes financeiras","c005x   - Other financial corporations",IF(OR('Other financial Liabilities'!G4="setor publico",'Other financial Liabilities'!J4=2),"c008x   - Government, central banks &amp; supranationals","")))))</f>
        <v>c008x   - Government, central banks &amp; supranationals</v>
      </c>
      <c r="G10" s="14" t="str">
        <f t="shared" si="1"/>
        <v>Rank 16 - Ranking in insolvency (master scale)</v>
      </c>
      <c r="H10" s="14" t="str">
        <f>IF(F10="c004x   - Institutions",'Other financial Liabilities'!H4,IF(F10="c001x   - Households","CSL"&amp;IF(MONTH('Other financial Liabilities'!I4)=1,"JAN",IF(MONTH('Other financial Liabilities'!I4)=2,"FEV",IF(MONTH('Other financial Liabilities'!I4)=3,"MAR",IF(MONTH('Other financial Liabilities'!I4)=4,"ABR",IF(MONTH('Other financial Liabilities'!I4)=5,"MAI",IF(MONTH('Other financial Liabilities'!I4)=6,"JUN",IF(MONTH('Other financial Liabilities'!I4)=7,"JUL",IF(MONTH('Other financial Liabilities'!I4)=8,"AGO",IF(MONTH('Other financial Liabilities'!I4)=9,"SET",IF(MONTH('Other financial Liabilities'!I4)=10,"OUT",IF(MONTH('Other financial Liabilities'!I4)=11,"NOV",IF(MONTH('Other financial Liabilities'!I4)=12,"DEZ",""))))))))))))&amp;LEFT(YEAR('Other financial Liabilities'!I4),2),IF(F10="c008x   - Government, central banks &amp; supranationals","TL"&amp;IF(MONTH('Other financial Liabilities'!I4)=1,"JAN",IF(MONTH('Other financial Liabilities'!I4)=2,"FEV",IF(MONTH('Other financial Liabilities'!I4)=3,"MAR",IF(MONTH('Other financial Liabilities'!I4)=4,"ABR",IF(MONTH('Other financial Liabilities'!I4)=5,"MAI",IF(MONTH('Other financial Liabilities'!I4)=6,"JUN",IF(MONTH('Other financial Liabilities'!I4)=7,"JUL",IF(MONTH('Other financial Liabilities'!I4)=8,"AGO",IF(MONTH('Other financial Liabilities'!I4)=9,"SET",IF(MONTH('Other financial Liabilities'!I4)=10,"OUT",IF(MONTH('Other financial Liabilities'!I4)=11,"NOV",IF(MONTH('Other financial Liabilities'!I4)=12,"DEZ",""))))))))))))&amp;LEFT(YEAR('Other financial Liabilities'!I4),2),"")))</f>
        <v>TLDEZ20</v>
      </c>
      <c r="I10" s="14" t="str">
        <f>IF(F10="c004x   - Institutions",'Other financial Liabilities'!H4,IF(F10="c001x   - Households","Critical Service Liability "&amp;IF(MONTH('Other financial Liabilities'!I4)=1,"January ",IF(MONTH('Other financial Liabilities'!I4)=2,"February ",IF(MONTH('Other financial Liabilities'!I4)=3,"March ",IF(MONTH('Other financial Liabilities'!I4)=4, "April ",IF(MONTH('Other financial Liabilities'!I4)=5,"May ",IF(MONTH('Other financial Liabilities'!I4)=6,"June ",IF(MONTH('Other financial Liabilities'!I4)=7,"July ",IF(MONTH('Other financial Liabilities'!I4)=8,"August ",IF(MONTH('Other financial Liabilities'!I4)=9,"September ",IF(MONTH('Other financial Liabilities'!I4)=10,"October",  IF(MONTH('Other financial Liabilities'!I4)=11,"November ",IF(MONTH('Other financial Liabilities'!I4)=12,"December ",""))))))))))))&amp;YEAR('Other financial Liabilities'!I4),IF(F10="c008x   - Government, central banks &amp; supranationals","Tax Liability "&amp;IF(MONTH('Other financial Liabilities'!I4)=1,"January ",IF(MONTH('Other financial Liabilities'!I4)=2,"February ",IF(MONTH('Other financial Liabilities'!I4)=3,"March ",IF(MONTH('Other financial Liabilities'!I4)=4,"April ",IF(MONTH('Other financial Liabilities'!I4)=5,"May ",IF(MONTH('Other financial Liabilities'!I4)=6,"June ",IF(MONTH('Other financial Liabilities'!I4)=7,"July ",IF(MONTH('Other financial Liabilities'!I4)=8, "August ",  IF(MONTH('Other financial Liabilities'!I4)=9,"September ",IF(MONTH('Other financial Liabilities'!I4)=10,"October ",IF(MONTH('Other financial Liabilities'!I4)=11,"November ",IF(MONTH('Other financial Liabilities'!I4)=12,"December ",""))))))))))))&amp;YEAR('Other financial Liabilities'!I4),"")))</f>
        <v>Tax Liability December 2022</v>
      </c>
      <c r="J10" s="14" t="str">
        <f>+IF(OR('Other financial Liabilities'!C4="",'Other financial Liabilities'!C4="#"),IF('Other financial Liabilities'!A4="",IF(F10="c001x   - Households","CSL"&amp;"001",IF(F10="c008x   - Government, central banks &amp; supranationals","TL"&amp;"001")),'Other financial Liabilities'!A4),'Other financial Liabilities'!C4)</f>
        <v>TL001</v>
      </c>
      <c r="K10" s="14" t="str">
        <f>+IF(J10='Other financial Liabilities'!C4,"LEI code","Type of identifier, other than LEI or MFI code")</f>
        <v>Type of identifier, other than LEI or MFI code</v>
      </c>
      <c r="L10" s="14" t="s">
        <v>197</v>
      </c>
      <c r="M10" s="14" t="s">
        <v>198</v>
      </c>
      <c r="N10" s="14" t="s">
        <v>199</v>
      </c>
      <c r="O10" s="15">
        <v>192096261.28</v>
      </c>
      <c r="P10" s="15">
        <f>IF('Other financial Liabilities'!E4="",0,'Other financial Liabilities'!E4)</f>
        <v>0</v>
      </c>
      <c r="Q10" s="14">
        <f>IF('Other financial Liabilities'!F4="",0,'Other financial Liabilities'!F4)</f>
        <v>0</v>
      </c>
      <c r="R10" s="14" t="s">
        <v>212</v>
      </c>
      <c r="S10" s="16" t="s">
        <v>250</v>
      </c>
      <c r="T10" s="16">
        <f t="shared" si="2"/>
        <v>44928</v>
      </c>
      <c r="U10" s="16">
        <f t="shared" si="3"/>
        <v>44928</v>
      </c>
      <c r="V10" s="14" t="s">
        <v>200</v>
      </c>
      <c r="W10" s="15">
        <v>0</v>
      </c>
      <c r="X10" s="15">
        <v>0</v>
      </c>
      <c r="Y10" s="15">
        <v>0</v>
      </c>
      <c r="Z10" s="14" t="s">
        <v>201</v>
      </c>
      <c r="AA10" s="15">
        <v>0</v>
      </c>
      <c r="AB10" s="14" t="s">
        <v>202</v>
      </c>
      <c r="AC10" s="17">
        <v>0</v>
      </c>
      <c r="AD10" s="20"/>
    </row>
    <row r="11" spans="1:30" ht="45.75" customHeight="1" thickBot="1" x14ac:dyDescent="0.5">
      <c r="C11" s="12">
        <f t="shared" si="0"/>
        <v>999</v>
      </c>
      <c r="D11" s="13">
        <f t="shared" si="4"/>
        <v>4</v>
      </c>
      <c r="E11" s="14" t="str">
        <f>IF(AND('Other financial Liabilities'!K5="",'Other financial Liabilities'!J5=1),"r0180 - Critical service liabilities (BRRD art. 44/2/g/ii)",IF(AND('Other financial Liabilities'!K5="",'Other financial Liabilities'!J5=2),"r0190 - Tax and social security authorities liabilities, if preferred (BRRD art. 44/2/g/iii)",'Other financial Liabilities'!K5))</f>
        <v>r0150 - Institution liabilities &lt; 7 days (BRRD art. 44/2/e)</v>
      </c>
      <c r="F11" s="14" t="str">
        <f>IF(OR('Other financial Liabilities'!G5="particulares",'Other financial Liabilities'!J5=1),"c001x   - Households",IF('Other financial Liabilities'!G5="outras empresas nao financeiras","c003x   - Corporates",IF('Other financial Liabilities'!G5="instituicoes de credito","c004x   - Institutions",IF('Other financial Liabilities'!G5="outras instituicoes financeiras","c005x   - Other financial corporations",IF(OR('Other financial Liabilities'!G5="setor publico",'Other financial Liabilities'!J5=2),"c008x   - Government, central banks &amp; supranationals","")))))</f>
        <v>c004x   - Institutions</v>
      </c>
      <c r="G11" s="14" t="str">
        <f t="shared" si="1"/>
        <v>Rank 9 - Ranking in insolvency (master scale)</v>
      </c>
      <c r="H11" s="14">
        <f>IF(F11="c004x   - Institutions",'Other financial Liabilities'!H5,IF(F11="c001x   - Households","CSL"&amp;IF(MONTH('Other financial Liabilities'!I5)=1,"JAN",IF(MONTH('Other financial Liabilities'!I5)=2,"FEV",IF(MONTH('Other financial Liabilities'!I5)=3,"MAR",IF(MONTH('Other financial Liabilities'!I5)=4,"ABR",IF(MONTH('Other financial Liabilities'!I5)=5,"MAI",IF(MONTH('Other financial Liabilities'!I5)=6,"JUN",IF(MONTH('Other financial Liabilities'!I5)=7,"JUL",IF(MONTH('Other financial Liabilities'!I5)=8,"AGO",IF(MONTH('Other financial Liabilities'!I5)=9,"SET",IF(MONTH('Other financial Liabilities'!I5)=10,"OUT",IF(MONTH('Other financial Liabilities'!I5)=11,"NOV",IF(MONTH('Other financial Liabilities'!I5)=12,"DEZ",""))))))))))))&amp;LEFT(YEAR('Other financial Liabilities'!I5),2),IF(F11="c008x   - Government, central banks &amp; supranationals","TL"&amp;IF(MONTH('Other financial Liabilities'!I5)=1,"JAN",IF(MONTH('Other financial Liabilities'!I5)=2,"FEV",IF(MONTH('Other financial Liabilities'!I5)=3,"MAR",IF(MONTH('Other financial Liabilities'!I5)=4,"ABR",IF(MONTH('Other financial Liabilities'!I5)=5,"MAI",IF(MONTH('Other financial Liabilities'!I5)=6,"JUN",IF(MONTH('Other financial Liabilities'!I5)=7,"JUL",IF(MONTH('Other financial Liabilities'!I5)=8,"AGO",IF(MONTH('Other financial Liabilities'!I5)=9,"SET",IF(MONTH('Other financial Liabilities'!I5)=10,"OUT",IF(MONTH('Other financial Liabilities'!I5)=11,"NOV",IF(MONTH('Other financial Liabilities'!I5)=12,"DEZ",""))))))))))))&amp;LEFT(YEAR('Other financial Liabilities'!I5),2),"")))</f>
        <v>0</v>
      </c>
      <c r="I11" s="14">
        <f>IF(F11="c004x   - Institutions",'Other financial Liabilities'!H5,IF(F11="c001x   - Households","Critical Service Liability "&amp;IF(MONTH('Other financial Liabilities'!I5)=1,"January ",IF(MONTH('Other financial Liabilities'!I5)=2,"February ",IF(MONTH('Other financial Liabilities'!I5)=3,"March ",IF(MONTH('Other financial Liabilities'!I5)=4, "April ",IF(MONTH('Other financial Liabilities'!I5)=5,"May ",IF(MONTH('Other financial Liabilities'!I5)=6,"June ",IF(MONTH('Other financial Liabilities'!I5)=7,"July ",IF(MONTH('Other financial Liabilities'!I5)=8,"August ",IF(MONTH('Other financial Liabilities'!I5)=9,"September ",IF(MONTH('Other financial Liabilities'!I5)=10,"October",  IF(MONTH('Other financial Liabilities'!I5)=11,"November ",IF(MONTH('Other financial Liabilities'!I5)=12,"December ",""))))))))))))&amp;YEAR('Other financial Liabilities'!I5),IF(F11="c008x   - Government, central banks &amp; supranationals","Tax Liability "&amp;IF(MONTH('Other financial Liabilities'!I5)=1,"January ",IF(MONTH('Other financial Liabilities'!I5)=2,"February ",IF(MONTH('Other financial Liabilities'!I5)=3,"March ",IF(MONTH('Other financial Liabilities'!I5)=4,"April ",IF(MONTH('Other financial Liabilities'!I5)=5,"May ",IF(MONTH('Other financial Liabilities'!I5)=6,"June ",IF(MONTH('Other financial Liabilities'!I5)=7,"July ",IF(MONTH('Other financial Liabilities'!I5)=8, "August ",  IF(MONTH('Other financial Liabilities'!I5)=9,"September ",IF(MONTH('Other financial Liabilities'!I5)=10,"October ",IF(MONTH('Other financial Liabilities'!I5)=11,"November ",IF(MONTH('Other financial Liabilities'!I5)=12,"December ",""))))))))))))&amp;YEAR('Other financial Liabilities'!I5),"")))</f>
        <v>0</v>
      </c>
      <c r="J11" s="14" t="str">
        <f>+IF(OR('Other financial Liabilities'!C5="",'Other financial Liabilities'!C5="#"),IF('Other financial Liabilities'!A5="",IF(F11="c001x   - Households","CSL"&amp;"001",IF(F11="c008x   - Government, central banks &amp; supranationals","TL"&amp;"001")),'Other financial Liabilities'!A5),'Other financial Liabilities'!C5)</f>
        <v>0000000000</v>
      </c>
      <c r="K11" s="14" t="str">
        <f>+IF(J11='Other financial Liabilities'!C5,"LEI code","Type of identifier, other than LEI or MFI code")</f>
        <v>Type of identifier, other than LEI or MFI code</v>
      </c>
      <c r="L11" s="14" t="s">
        <v>197</v>
      </c>
      <c r="M11" s="14" t="s">
        <v>198</v>
      </c>
      <c r="N11" s="14" t="s">
        <v>199</v>
      </c>
      <c r="O11" s="15">
        <v>-44966662.530000001</v>
      </c>
      <c r="P11" s="15">
        <f>IF('Other financial Liabilities'!E5="",0,'Other financial Liabilities'!E5)</f>
        <v>317789.75</v>
      </c>
      <c r="Q11" s="14">
        <f>IF('Other financial Liabilities'!F5="",0,'Other financial Liabilities'!F5)</f>
        <v>0</v>
      </c>
      <c r="R11" s="14" t="s">
        <v>212</v>
      </c>
      <c r="S11" s="16" t="s">
        <v>250</v>
      </c>
      <c r="T11" s="16">
        <f t="shared" si="2"/>
        <v>44928</v>
      </c>
      <c r="U11" s="16">
        <f t="shared" si="3"/>
        <v>44928</v>
      </c>
      <c r="V11" s="14" t="s">
        <v>200</v>
      </c>
      <c r="W11" s="15">
        <v>0</v>
      </c>
      <c r="X11" s="15">
        <v>0</v>
      </c>
      <c r="Y11" s="15">
        <v>0</v>
      </c>
      <c r="Z11" s="14" t="s">
        <v>201</v>
      </c>
      <c r="AA11" s="15">
        <v>0</v>
      </c>
      <c r="AB11" s="14" t="s">
        <v>202</v>
      </c>
      <c r="AC11" s="17">
        <v>0</v>
      </c>
      <c r="AD11" s="20"/>
    </row>
    <row r="12" spans="1:30" ht="45.75" customHeight="1" thickBot="1" x14ac:dyDescent="0.5">
      <c r="C12" s="12">
        <f t="shared" si="0"/>
        <v>999</v>
      </c>
      <c r="D12" s="13">
        <f t="shared" si="4"/>
        <v>5</v>
      </c>
      <c r="E12" s="14" t="str">
        <f>IF(AND('Other financial Liabilities'!K6="",'Other financial Liabilities'!J6=1),"r0180 - Critical service liabilities (BRRD art. 44/2/g/ii)",IF(AND('Other financial Liabilities'!K6="",'Other financial Liabilities'!J6=2),"r0190 - Tax and social security authorities liabilities, if preferred (BRRD art. 44/2/g/iii)",'Other financial Liabilities'!K6))</f>
        <v>r0161 - System (operator) and CCP liabilities &lt; 7 days   (BRRD art. 44/2/f)</v>
      </c>
      <c r="F12" s="14" t="str">
        <f>IF(OR('Other financial Liabilities'!G6="particulares",'Other financial Liabilities'!J6=1),"c001x   - Households",IF('Other financial Liabilities'!G6="outras empresas nao financeiras","c003x   - Corporates",IF('Other financial Liabilities'!G6="instituicoes de credito","c004x   - Institutions",IF('Other financial Liabilities'!G6="outras instituicoes financeiras","c005x   - Other financial corporations",IF(OR('Other financial Liabilities'!G6="setor publico",'Other financial Liabilities'!J6=2),"c008x   - Government, central banks &amp; supranationals","")))))</f>
        <v>c004x   - Institutions</v>
      </c>
      <c r="G12" s="14" t="str">
        <f t="shared" si="1"/>
        <v>Rank 9 - Ranking in insolvency (master scale)</v>
      </c>
      <c r="H12" s="14" t="str">
        <f>IF(F12="c004x   - Institutions",'Other financial Liabilities'!H6,IF(F12="c001x   - Households","CSL"&amp;IF(MONTH('Other financial Liabilities'!I6)=1,"JAN",IF(MONTH('Other financial Liabilities'!I6)=2,"FEV",IF(MONTH('Other financial Liabilities'!I6)=3,"MAR",IF(MONTH('Other financial Liabilities'!I6)=4,"ABR",IF(MONTH('Other financial Liabilities'!I6)=5,"MAI",IF(MONTH('Other financial Liabilities'!I6)=6,"JUN",IF(MONTH('Other financial Liabilities'!I6)=7,"JUL",IF(MONTH('Other financial Liabilities'!I6)=8,"AGO",IF(MONTH('Other financial Liabilities'!I6)=9,"SET",IF(MONTH('Other financial Liabilities'!I6)=10,"OUT",IF(MONTH('Other financial Liabilities'!I6)=11,"NOV",IF(MONTH('Other financial Liabilities'!I6)=12,"DEZ",""))))))))))))&amp;LEFT(YEAR('Other financial Liabilities'!I6),2),IF(F12="c008x   - Government, central banks &amp; supranationals","TL"&amp;IF(MONTH('Other financial Liabilities'!I6)=1,"JAN",IF(MONTH('Other financial Liabilities'!I6)=2,"FEV",IF(MONTH('Other financial Liabilities'!I6)=3,"MAR",IF(MONTH('Other financial Liabilities'!I6)=4,"ABR",IF(MONTH('Other financial Liabilities'!I6)=5,"MAI",IF(MONTH('Other financial Liabilities'!I6)=6,"JUN",IF(MONTH('Other financial Liabilities'!I6)=7,"JUL",IF(MONTH('Other financial Liabilities'!I6)=8,"AGO",IF(MONTH('Other financial Liabilities'!I6)=9,"SET",IF(MONTH('Other financial Liabilities'!I6)=10,"OUT",IF(MONTH('Other financial Liabilities'!I6)=11,"NOV",IF(MONTH('Other financial Liabilities'!I6)=12,"DEZ",""))))))))))))&amp;LEFT(YEAR('Other financial Liabilities'!I6),2),"")))</f>
        <v>BANK OF NEW YORK</v>
      </c>
      <c r="I12" s="14" t="str">
        <f>IF(F12="c004x   - Institutions",'Other financial Liabilities'!H6,IF(F12="c001x   - Households","Critical Service Liability "&amp;IF(MONTH('Other financial Liabilities'!I6)=1,"January ",IF(MONTH('Other financial Liabilities'!I6)=2,"February ",IF(MONTH('Other financial Liabilities'!I6)=3,"March ",IF(MONTH('Other financial Liabilities'!I6)=4, "April ",IF(MONTH('Other financial Liabilities'!I6)=5,"May ",IF(MONTH('Other financial Liabilities'!I6)=6,"June ",IF(MONTH('Other financial Liabilities'!I6)=7,"July ",IF(MONTH('Other financial Liabilities'!I6)=8,"August ",IF(MONTH('Other financial Liabilities'!I6)=9,"September ",IF(MONTH('Other financial Liabilities'!I6)=10,"October",  IF(MONTH('Other financial Liabilities'!I6)=11,"November ",IF(MONTH('Other financial Liabilities'!I6)=12,"December ",""))))))))))))&amp;YEAR('Other financial Liabilities'!I6),IF(F12="c008x   - Government, central banks &amp; supranationals","Tax Liability "&amp;IF(MONTH('Other financial Liabilities'!I6)=1,"January ",IF(MONTH('Other financial Liabilities'!I6)=2,"February ",IF(MONTH('Other financial Liabilities'!I6)=3,"March ",IF(MONTH('Other financial Liabilities'!I6)=4,"April ",IF(MONTH('Other financial Liabilities'!I6)=5,"May ",IF(MONTH('Other financial Liabilities'!I6)=6,"June ",IF(MONTH('Other financial Liabilities'!I6)=7,"July ",IF(MONTH('Other financial Liabilities'!I6)=8, "August ",  IF(MONTH('Other financial Liabilities'!I6)=9,"September ",IF(MONTH('Other financial Liabilities'!I6)=10,"October ",IF(MONTH('Other financial Liabilities'!I6)=11,"November ",IF(MONTH('Other financial Liabilities'!I6)=12,"December ",""))))))))))))&amp;YEAR('Other financial Liabilities'!I6),"")))</f>
        <v>BANK OF NEW YORK</v>
      </c>
      <c r="J12" s="14" t="str">
        <f>+IF(OR('Other financial Liabilities'!C6="",'Other financial Liabilities'!C6="#"),IF('Other financial Liabilities'!A6="",IF(F12="c001x   - Households","CSL"&amp;"001",IF(F12="c008x   - Government, central banks &amp; supranationals","TL"&amp;"001")),'Other financial Liabilities'!A6),'Other financial Liabilities'!C6)</f>
        <v>0000002220</v>
      </c>
      <c r="K12" s="14" t="str">
        <f>+IF(J12='Other financial Liabilities'!C6,"LEI code","Type of identifier, other than LEI or MFI code")</f>
        <v>Type of identifier, other than LEI or MFI code</v>
      </c>
      <c r="L12" s="14" t="s">
        <v>197</v>
      </c>
      <c r="M12" s="14" t="s">
        <v>198</v>
      </c>
      <c r="N12" s="14" t="s">
        <v>199</v>
      </c>
      <c r="O12" s="15">
        <v>279.08</v>
      </c>
      <c r="P12" s="15">
        <f>IF('Other financial Liabilities'!E6="",0,'Other financial Liabilities'!E6)</f>
        <v>0</v>
      </c>
      <c r="Q12" s="14">
        <f>IF('Other financial Liabilities'!F6="",0,'Other financial Liabilities'!F6)</f>
        <v>0</v>
      </c>
      <c r="R12" s="14" t="s">
        <v>212</v>
      </c>
      <c r="S12" s="16" t="s">
        <v>250</v>
      </c>
      <c r="T12" s="16">
        <f t="shared" si="2"/>
        <v>44928</v>
      </c>
      <c r="U12" s="16">
        <f t="shared" si="3"/>
        <v>44928</v>
      </c>
      <c r="V12" s="14" t="s">
        <v>200</v>
      </c>
      <c r="W12" s="15">
        <v>0</v>
      </c>
      <c r="X12" s="15">
        <v>0</v>
      </c>
      <c r="Y12" s="15">
        <v>0</v>
      </c>
      <c r="Z12" s="14" t="s">
        <v>201</v>
      </c>
      <c r="AA12" s="15">
        <v>0</v>
      </c>
      <c r="AB12" s="14" t="s">
        <v>202</v>
      </c>
      <c r="AC12" s="17">
        <v>0</v>
      </c>
      <c r="AD12" s="20"/>
    </row>
    <row r="13" spans="1:30" ht="45.75" customHeight="1" thickBot="1" x14ac:dyDescent="0.5">
      <c r="C13" s="12">
        <f t="shared" si="0"/>
        <v>999</v>
      </c>
      <c r="D13" s="13">
        <f t="shared" si="4"/>
        <v>6</v>
      </c>
      <c r="E13" s="14" t="str">
        <f>IF(AND('Other financial Liabilities'!K7="",'Other financial Liabilities'!J7=1),"r0180 - Critical service liabilities (BRRD art. 44/2/g/ii)",IF(AND('Other financial Liabilities'!K7="",'Other financial Liabilities'!J7=2),"r0190 - Tax and social security authorities liabilities, if preferred (BRRD art. 44/2/g/iii)",'Other financial Liabilities'!K7))</f>
        <v>r0150 - Institution liabilities &lt; 7 days (BRRD art. 44/2/e)</v>
      </c>
      <c r="F13" s="14" t="str">
        <f>IF(OR('Other financial Liabilities'!G7="particulares",'Other financial Liabilities'!J7=1),"c001x   - Households",IF('Other financial Liabilities'!G7="outras empresas nao financeiras","c003x   - Corporates",IF('Other financial Liabilities'!G7="instituicoes de credito","c004x   - Institutions",IF('Other financial Liabilities'!G7="outras instituicoes financeiras","c005x   - Other financial corporations",IF(OR('Other financial Liabilities'!G7="setor publico",'Other financial Liabilities'!J7=2),"c008x   - Government, central banks &amp; supranationals","")))))</f>
        <v>c004x   - Institutions</v>
      </c>
      <c r="G13" s="14" t="str">
        <f t="shared" si="1"/>
        <v>Rank 9 - Ranking in insolvency (master scale)</v>
      </c>
      <c r="H13" s="14" t="str">
        <f>IF(F13="c004x   - Institutions",'Other financial Liabilities'!H7,IF(F13="c001x   - Households","CSL"&amp;IF(MONTH('Other financial Liabilities'!I7)=1,"JAN",IF(MONTH('Other financial Liabilities'!I7)=2,"FEV",IF(MONTH('Other financial Liabilities'!I7)=3,"MAR",IF(MONTH('Other financial Liabilities'!I7)=4,"ABR",IF(MONTH('Other financial Liabilities'!I7)=5,"MAI",IF(MONTH('Other financial Liabilities'!I7)=6,"JUN",IF(MONTH('Other financial Liabilities'!I7)=7,"JUL",IF(MONTH('Other financial Liabilities'!I7)=8,"AGO",IF(MONTH('Other financial Liabilities'!I7)=9,"SET",IF(MONTH('Other financial Liabilities'!I7)=10,"OUT",IF(MONTH('Other financial Liabilities'!I7)=11,"NOV",IF(MONTH('Other financial Liabilities'!I7)=12,"DEZ",""))))))))))))&amp;LEFT(YEAR('Other financial Liabilities'!I7),2),IF(F13="c008x   - Government, central banks &amp; supranationals","TL"&amp;IF(MONTH('Other financial Liabilities'!I7)=1,"JAN",IF(MONTH('Other financial Liabilities'!I7)=2,"FEV",IF(MONTH('Other financial Liabilities'!I7)=3,"MAR",IF(MONTH('Other financial Liabilities'!I7)=4,"ABR",IF(MONTH('Other financial Liabilities'!I7)=5,"MAI",IF(MONTH('Other financial Liabilities'!I7)=6,"JUN",IF(MONTH('Other financial Liabilities'!I7)=7,"JUL",IF(MONTH('Other financial Liabilities'!I7)=8,"AGO",IF(MONTH('Other financial Liabilities'!I7)=9,"SET",IF(MONTH('Other financial Liabilities'!I7)=10,"OUT",IF(MONTH('Other financial Liabilities'!I7)=11,"NOV",IF(MONTH('Other financial Liabilities'!I7)=12,"DEZ",""))))))))))))&amp;LEFT(YEAR('Other financial Liabilities'!I7),2),"")))</f>
        <v>CAIXA DE CREDITO AGRICOLA MUTUO DO RIBATEJO NORTE, CRL</v>
      </c>
      <c r="I13" s="14" t="str">
        <f>IF(F13="c004x   - Institutions",'Other financial Liabilities'!H7,IF(F13="c001x   - Households","Critical Service Liability "&amp;IF(MONTH('Other financial Liabilities'!I7)=1,"January ",IF(MONTH('Other financial Liabilities'!I7)=2,"February ",IF(MONTH('Other financial Liabilities'!I7)=3,"March ",IF(MONTH('Other financial Liabilities'!I7)=4, "April ",IF(MONTH('Other financial Liabilities'!I7)=5,"May ",IF(MONTH('Other financial Liabilities'!I7)=6,"June ",IF(MONTH('Other financial Liabilities'!I7)=7,"July ",IF(MONTH('Other financial Liabilities'!I7)=8,"August ",IF(MONTH('Other financial Liabilities'!I7)=9,"September ",IF(MONTH('Other financial Liabilities'!I7)=10,"October",  IF(MONTH('Other financial Liabilities'!I7)=11,"November ",IF(MONTH('Other financial Liabilities'!I7)=12,"December ",""))))))))))))&amp;YEAR('Other financial Liabilities'!I7),IF(F13="c008x   - Government, central banks &amp; supranationals","Tax Liability "&amp;IF(MONTH('Other financial Liabilities'!I7)=1,"January ",IF(MONTH('Other financial Liabilities'!I7)=2,"February ",IF(MONTH('Other financial Liabilities'!I7)=3,"March ",IF(MONTH('Other financial Liabilities'!I7)=4,"April ",IF(MONTH('Other financial Liabilities'!I7)=5,"May ",IF(MONTH('Other financial Liabilities'!I7)=6,"June ",IF(MONTH('Other financial Liabilities'!I7)=7,"July ",IF(MONTH('Other financial Liabilities'!I7)=8, "August ",  IF(MONTH('Other financial Liabilities'!I7)=9,"September ",IF(MONTH('Other financial Liabilities'!I7)=10,"October ",IF(MONTH('Other financial Liabilities'!I7)=11,"November ",IF(MONTH('Other financial Liabilities'!I7)=12,"December ",""))))))))))))&amp;YEAR('Other financial Liabilities'!I7),"")))</f>
        <v>CAIXA DE CREDITO AGRICOLA MUTUO DO RIBATEJO NORTE, CRL</v>
      </c>
      <c r="J13" s="14" t="str">
        <f>+IF(OR('Other financial Liabilities'!C7="",'Other financial Liabilities'!C7="#"),IF('Other financial Liabilities'!A7="",IF(F13="c001x   - Households","CSL"&amp;"001",IF(F13="c008x   - Government, central banks &amp; supranationals","TL"&amp;"001")),'Other financial Liabilities'!A7),'Other financial Liabilities'!C7)</f>
        <v>0000052505</v>
      </c>
      <c r="K13" s="14" t="str">
        <f>+IF(J13='Other financial Liabilities'!C7,"LEI code","Type of identifier, other than LEI or MFI code")</f>
        <v>Type of identifier, other than LEI or MFI code</v>
      </c>
      <c r="L13" s="14" t="s">
        <v>197</v>
      </c>
      <c r="M13" s="14" t="s">
        <v>198</v>
      </c>
      <c r="N13" s="14" t="s">
        <v>199</v>
      </c>
      <c r="O13" s="15">
        <v>70872.95</v>
      </c>
      <c r="P13" s="15">
        <f>IF('Other financial Liabilities'!E7="",0,'Other financial Liabilities'!E7)</f>
        <v>58.26</v>
      </c>
      <c r="Q13" s="14">
        <f>IF('Other financial Liabilities'!F7="",0,'Other financial Liabilities'!F7)</f>
        <v>1.0749899999999999</v>
      </c>
      <c r="R13" s="14" t="s">
        <v>212</v>
      </c>
      <c r="S13" s="16" t="s">
        <v>250</v>
      </c>
      <c r="T13" s="16">
        <f t="shared" si="2"/>
        <v>44928</v>
      </c>
      <c r="U13" s="16">
        <f t="shared" si="3"/>
        <v>44928</v>
      </c>
      <c r="V13" s="14" t="s">
        <v>200</v>
      </c>
      <c r="W13" s="15">
        <v>0</v>
      </c>
      <c r="X13" s="15">
        <v>0</v>
      </c>
      <c r="Y13" s="15">
        <v>0</v>
      </c>
      <c r="Z13" s="14" t="s">
        <v>201</v>
      </c>
      <c r="AA13" s="15">
        <v>0</v>
      </c>
      <c r="AB13" s="14" t="s">
        <v>202</v>
      </c>
      <c r="AC13" s="17">
        <v>0</v>
      </c>
      <c r="AD13" s="20"/>
    </row>
    <row r="14" spans="1:30" ht="45.75" customHeight="1" thickBot="1" x14ac:dyDescent="0.5">
      <c r="C14" s="12">
        <f t="shared" si="0"/>
        <v>999</v>
      </c>
      <c r="D14" s="13">
        <f t="shared" si="4"/>
        <v>7</v>
      </c>
      <c r="E14" s="14" t="str">
        <f>IF(AND('Other financial Liabilities'!K8="",'Other financial Liabilities'!J8=1),"r0180 - Critical service liabilities (BRRD art. 44/2/g/ii)",IF(AND('Other financial Liabilities'!K8="",'Other financial Liabilities'!J8=2),"r0190 - Tax and social security authorities liabilities, if preferred (BRRD art. 44/2/g/iii)",'Other financial Liabilities'!K8))</f>
        <v>r0150 - Institution liabilities &lt; 7 days (BRRD art. 44/2/e)</v>
      </c>
      <c r="F14" s="14" t="str">
        <f>IF(OR('Other financial Liabilities'!G8="particulares",'Other financial Liabilities'!J8=1),"c001x   - Households",IF('Other financial Liabilities'!G8="outras empresas nao financeiras","c003x   - Corporates",IF('Other financial Liabilities'!G8="instituicoes de credito","c004x   - Institutions",IF('Other financial Liabilities'!G8="outras instituicoes financeiras","c005x   - Other financial corporations",IF(OR('Other financial Liabilities'!G8="setor publico",'Other financial Liabilities'!J8=2),"c008x   - Government, central banks &amp; supranationals","")))))</f>
        <v>c004x   - Institutions</v>
      </c>
      <c r="G14" s="14" t="str">
        <f t="shared" si="1"/>
        <v>Rank 9 - Ranking in insolvency (master scale)</v>
      </c>
      <c r="H14" s="14" t="str">
        <f>IF(F14="c004x   - Institutions",'Other financial Liabilities'!H8,IF(F14="c001x   - Households","CSL"&amp;IF(MONTH('Other financial Liabilities'!I8)=1,"JAN",IF(MONTH('Other financial Liabilities'!I8)=2,"FEV",IF(MONTH('Other financial Liabilities'!I8)=3,"MAR",IF(MONTH('Other financial Liabilities'!I8)=4,"ABR",IF(MONTH('Other financial Liabilities'!I8)=5,"MAI",IF(MONTH('Other financial Liabilities'!I8)=6,"JUN",IF(MONTH('Other financial Liabilities'!I8)=7,"JUL",IF(MONTH('Other financial Liabilities'!I8)=8,"AGO",IF(MONTH('Other financial Liabilities'!I8)=9,"SET",IF(MONTH('Other financial Liabilities'!I8)=10,"OUT",IF(MONTH('Other financial Liabilities'!I8)=11,"NOV",IF(MONTH('Other financial Liabilities'!I8)=12,"DEZ",""))))))))))))&amp;LEFT(YEAR('Other financial Liabilities'!I8),2),IF(F14="c008x   - Government, central banks &amp; supranationals","TL"&amp;IF(MONTH('Other financial Liabilities'!I8)=1,"JAN",IF(MONTH('Other financial Liabilities'!I8)=2,"FEV",IF(MONTH('Other financial Liabilities'!I8)=3,"MAR",IF(MONTH('Other financial Liabilities'!I8)=4,"ABR",IF(MONTH('Other financial Liabilities'!I8)=5,"MAI",IF(MONTH('Other financial Liabilities'!I8)=6,"JUN",IF(MONTH('Other financial Liabilities'!I8)=7,"JUL",IF(MONTH('Other financial Liabilities'!I8)=8,"AGO",IF(MONTH('Other financial Liabilities'!I8)=9,"SET",IF(MONTH('Other financial Liabilities'!I8)=10,"OUT",IF(MONTH('Other financial Liabilities'!I8)=11,"NOV",IF(MONTH('Other financial Liabilities'!I8)=12,"DEZ",""))))))))))))&amp;LEFT(YEAR('Other financial Liabilities'!I8),2),"")))</f>
        <v>FCE BANK PLC</v>
      </c>
      <c r="I14" s="14" t="str">
        <f>IF(F14="c004x   - Institutions",'Other financial Liabilities'!H8,IF(F14="c001x   - Households","Critical Service Liability "&amp;IF(MONTH('Other financial Liabilities'!I8)=1,"January ",IF(MONTH('Other financial Liabilities'!I8)=2,"February ",IF(MONTH('Other financial Liabilities'!I8)=3,"March ",IF(MONTH('Other financial Liabilities'!I8)=4, "April ",IF(MONTH('Other financial Liabilities'!I8)=5,"May ",IF(MONTH('Other financial Liabilities'!I8)=6,"June ",IF(MONTH('Other financial Liabilities'!I8)=7,"July ",IF(MONTH('Other financial Liabilities'!I8)=8,"August ",IF(MONTH('Other financial Liabilities'!I8)=9,"September ",IF(MONTH('Other financial Liabilities'!I8)=10,"October",  IF(MONTH('Other financial Liabilities'!I8)=11,"November ",IF(MONTH('Other financial Liabilities'!I8)=12,"December ",""))))))))))))&amp;YEAR('Other financial Liabilities'!I8),IF(F14="c008x   - Government, central banks &amp; supranationals","Tax Liability "&amp;IF(MONTH('Other financial Liabilities'!I8)=1,"January ",IF(MONTH('Other financial Liabilities'!I8)=2,"February ",IF(MONTH('Other financial Liabilities'!I8)=3,"March ",IF(MONTH('Other financial Liabilities'!I8)=4,"April ",IF(MONTH('Other financial Liabilities'!I8)=5,"May ",IF(MONTH('Other financial Liabilities'!I8)=6,"June ",IF(MONTH('Other financial Liabilities'!I8)=7,"July ",IF(MONTH('Other financial Liabilities'!I8)=8, "August ",  IF(MONTH('Other financial Liabilities'!I8)=9,"September ",IF(MONTH('Other financial Liabilities'!I8)=10,"October ",IF(MONTH('Other financial Liabilities'!I8)=11,"November ",IF(MONTH('Other financial Liabilities'!I8)=12,"December ",""))))))))))))&amp;YEAR('Other financial Liabilities'!I8),"")))</f>
        <v>FCE BANK PLC</v>
      </c>
      <c r="J14" s="14" t="str">
        <f>+IF(OR('Other financial Liabilities'!C8="",'Other financial Liabilities'!C8="#"),IF('Other financial Liabilities'!A8="",IF(F14="c001x   - Households","CSL"&amp;"001",IF(F14="c008x   - Government, central banks &amp; supranationals","TL"&amp;"001")),'Other financial Liabilities'!A8),'Other financial Liabilities'!C8)</f>
        <v>0000069838</v>
      </c>
      <c r="K14" s="14" t="str">
        <f>+IF(J14='Other financial Liabilities'!C8,"LEI code","Type of identifier, other than LEI or MFI code")</f>
        <v>Type of identifier, other than LEI or MFI code</v>
      </c>
      <c r="L14" s="14" t="s">
        <v>197</v>
      </c>
      <c r="M14" s="14" t="s">
        <v>198</v>
      </c>
      <c r="N14" s="14" t="s">
        <v>199</v>
      </c>
      <c r="O14" s="15">
        <v>115993.09</v>
      </c>
      <c r="P14" s="15">
        <f>IF('Other financial Liabilities'!E8="",0,'Other financial Liabilities'!E8)</f>
        <v>0</v>
      </c>
      <c r="Q14" s="14">
        <f>IF('Other financial Liabilities'!F8="",0,'Other financial Liabilities'!F8)</f>
        <v>0</v>
      </c>
      <c r="R14" s="14" t="s">
        <v>212</v>
      </c>
      <c r="S14" s="16" t="s">
        <v>250</v>
      </c>
      <c r="T14" s="16">
        <f t="shared" si="2"/>
        <v>44928</v>
      </c>
      <c r="U14" s="16">
        <f t="shared" si="3"/>
        <v>44928</v>
      </c>
      <c r="V14" s="14" t="s">
        <v>200</v>
      </c>
      <c r="W14" s="15">
        <v>0</v>
      </c>
      <c r="X14" s="15">
        <v>0</v>
      </c>
      <c r="Y14" s="15">
        <v>0</v>
      </c>
      <c r="Z14" s="14" t="s">
        <v>201</v>
      </c>
      <c r="AA14" s="15">
        <v>0</v>
      </c>
      <c r="AB14" s="14" t="s">
        <v>202</v>
      </c>
      <c r="AC14" s="17">
        <v>0</v>
      </c>
      <c r="AD14" s="20"/>
    </row>
    <row r="15" spans="1:30" ht="45.75" customHeight="1" thickBot="1" x14ac:dyDescent="0.5">
      <c r="C15" s="12">
        <f t="shared" si="0"/>
        <v>999</v>
      </c>
      <c r="D15" s="13">
        <f t="shared" si="4"/>
        <v>8</v>
      </c>
      <c r="E15" s="14" t="str">
        <f>IF(AND('Other financial Liabilities'!K9="",'Other financial Liabilities'!J9=1),"r0180 - Critical service liabilities (BRRD art. 44/2/g/ii)",IF(AND('Other financial Liabilities'!K9="",'Other financial Liabilities'!J9=2),"r0190 - Tax and social security authorities liabilities, if preferred (BRRD art. 44/2/g/iii)",'Other financial Liabilities'!K9))</f>
        <v>r0150 - Institution liabilities &lt; 7 days (BRRD art. 44/2/e)</v>
      </c>
      <c r="F15" s="14" t="str">
        <f>IF(OR('Other financial Liabilities'!G9="particulares",'Other financial Liabilities'!J9=1),"c001x   - Households",IF('Other financial Liabilities'!G9="outras empresas nao financeiras","c003x   - Corporates",IF('Other financial Liabilities'!G9="instituicoes de credito","c004x   - Institutions",IF('Other financial Liabilities'!G9="outras instituicoes financeiras","c005x   - Other financial corporations",IF(OR('Other financial Liabilities'!G9="setor publico",'Other financial Liabilities'!J9=2),"c008x   - Government, central banks &amp; supranationals","")))))</f>
        <v>c004x   - Institutions</v>
      </c>
      <c r="G15" s="14" t="str">
        <f t="shared" si="1"/>
        <v>Rank 9 - Ranking in insolvency (master scale)</v>
      </c>
      <c r="H15" s="14" t="str">
        <f>IF(F15="c004x   - Institutions",'Other financial Liabilities'!H9,IF(F15="c001x   - Households","CSL"&amp;IF(MONTH('Other financial Liabilities'!I9)=1,"JAN",IF(MONTH('Other financial Liabilities'!I9)=2,"FEV",IF(MONTH('Other financial Liabilities'!I9)=3,"MAR",IF(MONTH('Other financial Liabilities'!I9)=4,"ABR",IF(MONTH('Other financial Liabilities'!I9)=5,"MAI",IF(MONTH('Other financial Liabilities'!I9)=6,"JUN",IF(MONTH('Other financial Liabilities'!I9)=7,"JUL",IF(MONTH('Other financial Liabilities'!I9)=8,"AGO",IF(MONTH('Other financial Liabilities'!I9)=9,"SET",IF(MONTH('Other financial Liabilities'!I9)=10,"OUT",IF(MONTH('Other financial Liabilities'!I9)=11,"NOV",IF(MONTH('Other financial Liabilities'!I9)=12,"DEZ",""))))))))))))&amp;LEFT(YEAR('Other financial Liabilities'!I9),2),IF(F15="c008x   - Government, central banks &amp; supranationals","TL"&amp;IF(MONTH('Other financial Liabilities'!I9)=1,"JAN",IF(MONTH('Other financial Liabilities'!I9)=2,"FEV",IF(MONTH('Other financial Liabilities'!I9)=3,"MAR",IF(MONTH('Other financial Liabilities'!I9)=4,"ABR",IF(MONTH('Other financial Liabilities'!I9)=5,"MAI",IF(MONTH('Other financial Liabilities'!I9)=6,"JUN",IF(MONTH('Other financial Liabilities'!I9)=7,"JUL",IF(MONTH('Other financial Liabilities'!I9)=8,"AGO",IF(MONTH('Other financial Liabilities'!I9)=9,"SET",IF(MONTH('Other financial Liabilities'!I9)=10,"OUT",IF(MONTH('Other financial Liabilities'!I9)=11,"NOV",IF(MONTH('Other financial Liabilities'!I9)=12,"DEZ",""))))))))))))&amp;LEFT(YEAR('Other financial Liabilities'!I9),2),"")))</f>
        <v>NOVO BANCO, SA</v>
      </c>
      <c r="I15" s="14" t="str">
        <f>IF(F15="c004x   - Institutions",'Other financial Liabilities'!H9,IF(F15="c001x   - Households","Critical Service Liability "&amp;IF(MONTH('Other financial Liabilities'!I9)=1,"January ",IF(MONTH('Other financial Liabilities'!I9)=2,"February ",IF(MONTH('Other financial Liabilities'!I9)=3,"March ",IF(MONTH('Other financial Liabilities'!I9)=4, "April ",IF(MONTH('Other financial Liabilities'!I9)=5,"May ",IF(MONTH('Other financial Liabilities'!I9)=6,"June ",IF(MONTH('Other financial Liabilities'!I9)=7,"July ",IF(MONTH('Other financial Liabilities'!I9)=8,"August ",IF(MONTH('Other financial Liabilities'!I9)=9,"September ",IF(MONTH('Other financial Liabilities'!I9)=10,"October",  IF(MONTH('Other financial Liabilities'!I9)=11,"November ",IF(MONTH('Other financial Liabilities'!I9)=12,"December ",""))))))))))))&amp;YEAR('Other financial Liabilities'!I9),IF(F15="c008x   - Government, central banks &amp; supranationals","Tax Liability "&amp;IF(MONTH('Other financial Liabilities'!I9)=1,"January ",IF(MONTH('Other financial Liabilities'!I9)=2,"February ",IF(MONTH('Other financial Liabilities'!I9)=3,"March ",IF(MONTH('Other financial Liabilities'!I9)=4,"April ",IF(MONTH('Other financial Liabilities'!I9)=5,"May ",IF(MONTH('Other financial Liabilities'!I9)=6,"June ",IF(MONTH('Other financial Liabilities'!I9)=7,"July ",IF(MONTH('Other financial Liabilities'!I9)=8, "August ",  IF(MONTH('Other financial Liabilities'!I9)=9,"September ",IF(MONTH('Other financial Liabilities'!I9)=10,"October ",IF(MONTH('Other financial Liabilities'!I9)=11,"November ",IF(MONTH('Other financial Liabilities'!I9)=12,"December ",""))))))))))))&amp;YEAR('Other financial Liabilities'!I9),"")))</f>
        <v>NOVO BANCO, SA</v>
      </c>
      <c r="J15" s="14" t="str">
        <f>+IF(OR('Other financial Liabilities'!C9="",'Other financial Liabilities'!C9="#"),IF('Other financial Liabilities'!A9="",IF(F15="c001x   - Households","CSL"&amp;"001",IF(F15="c008x   - Government, central banks &amp; supranationals","TL"&amp;"001")),'Other financial Liabilities'!A9),'Other financial Liabilities'!C9)</f>
        <v>2100022284</v>
      </c>
      <c r="K15" s="14" t="str">
        <f>+IF(J15='Other financial Liabilities'!C9,"LEI code","Type of identifier, other than LEI or MFI code")</f>
        <v>Type of identifier, other than LEI or MFI code</v>
      </c>
      <c r="L15" s="14" t="s">
        <v>197</v>
      </c>
      <c r="M15" s="14" t="s">
        <v>198</v>
      </c>
      <c r="N15" s="14" t="s">
        <v>199</v>
      </c>
      <c r="O15" s="15">
        <v>35726.199999999997</v>
      </c>
      <c r="P15" s="15">
        <f>IF('Other financial Liabilities'!E9="",0,'Other financial Liabilities'!E9)</f>
        <v>0</v>
      </c>
      <c r="Q15" s="14">
        <f>IF('Other financial Liabilities'!F9="",0,'Other financial Liabilities'!F9)</f>
        <v>0</v>
      </c>
      <c r="R15" s="14" t="s">
        <v>212</v>
      </c>
      <c r="S15" s="16" t="s">
        <v>250</v>
      </c>
      <c r="T15" s="16">
        <f t="shared" si="2"/>
        <v>44928</v>
      </c>
      <c r="U15" s="16">
        <f t="shared" si="3"/>
        <v>44928</v>
      </c>
      <c r="V15" s="14" t="s">
        <v>200</v>
      </c>
      <c r="W15" s="15">
        <v>0</v>
      </c>
      <c r="X15" s="15">
        <v>0</v>
      </c>
      <c r="Y15" s="15">
        <v>0</v>
      </c>
      <c r="Z15" s="14" t="s">
        <v>201</v>
      </c>
      <c r="AA15" s="15">
        <v>0</v>
      </c>
      <c r="AB15" s="14" t="s">
        <v>202</v>
      </c>
      <c r="AC15" s="17">
        <v>0</v>
      </c>
      <c r="AD15" s="20"/>
    </row>
    <row r="16" spans="1:30" ht="45.75" customHeight="1" thickBot="1" x14ac:dyDescent="0.5">
      <c r="C16" s="12">
        <f t="shared" si="0"/>
        <v>999</v>
      </c>
      <c r="D16" s="13">
        <f t="shared" si="4"/>
        <v>9</v>
      </c>
      <c r="E16" s="14" t="str">
        <f>IF(AND('Other financial Liabilities'!K10="",'Other financial Liabilities'!J10=1),"r0180 - Critical service liabilities (BRRD art. 44/2/g/ii)",IF(AND('Other financial Liabilities'!K10="",'Other financial Liabilities'!J10=2),"r0190 - Tax and social security authorities liabilities, if preferred (BRRD art. 44/2/g/iii)",'Other financial Liabilities'!K10))</f>
        <v>r0150 - Institution liabilities &lt; 7 days (BRRD art. 44/2/e)</v>
      </c>
      <c r="F16" s="14" t="str">
        <f>IF(OR('Other financial Liabilities'!G10="particulares",'Other financial Liabilities'!J10=1),"c001x   - Households",IF('Other financial Liabilities'!G10="outras empresas nao financeiras","c003x   - Corporates",IF('Other financial Liabilities'!G10="instituicoes de credito","c004x   - Institutions",IF('Other financial Liabilities'!G10="outras instituicoes financeiras","c005x   - Other financial corporations",IF(OR('Other financial Liabilities'!G10="setor publico",'Other financial Liabilities'!J10=2),"c008x   - Government, central banks &amp; supranationals","")))))</f>
        <v>c004x   - Institutions</v>
      </c>
      <c r="G16" s="14" t="str">
        <f t="shared" si="1"/>
        <v>Rank 9 - Ranking in insolvency (master scale)</v>
      </c>
      <c r="H16" s="14" t="str">
        <f>IF(F16="c004x   - Institutions",'Other financial Liabilities'!H10,IF(F16="c001x   - Households","CSL"&amp;IF(MONTH('Other financial Liabilities'!I10)=1,"JAN",IF(MONTH('Other financial Liabilities'!I10)=2,"FEV",IF(MONTH('Other financial Liabilities'!I10)=3,"MAR",IF(MONTH('Other financial Liabilities'!I10)=4,"ABR",IF(MONTH('Other financial Liabilities'!I10)=5,"MAI",IF(MONTH('Other financial Liabilities'!I10)=6,"JUN",IF(MONTH('Other financial Liabilities'!I10)=7,"JUL",IF(MONTH('Other financial Liabilities'!I10)=8,"AGO",IF(MONTH('Other financial Liabilities'!I10)=9,"SET",IF(MONTH('Other financial Liabilities'!I10)=10,"OUT",IF(MONTH('Other financial Liabilities'!I10)=11,"NOV",IF(MONTH('Other financial Liabilities'!I10)=12,"DEZ",""))))))))))))&amp;LEFT(YEAR('Other financial Liabilities'!I10),2),IF(F16="c008x   - Government, central banks &amp; supranationals","TL"&amp;IF(MONTH('Other financial Liabilities'!I10)=1,"JAN",IF(MONTH('Other financial Liabilities'!I10)=2,"FEV",IF(MONTH('Other financial Liabilities'!I10)=3,"MAR",IF(MONTH('Other financial Liabilities'!I10)=4,"ABR",IF(MONTH('Other financial Liabilities'!I10)=5,"MAI",IF(MONTH('Other financial Liabilities'!I10)=6,"JUN",IF(MONTH('Other financial Liabilities'!I10)=7,"JUL",IF(MONTH('Other financial Liabilities'!I10)=8,"AGO",IF(MONTH('Other financial Liabilities'!I10)=9,"SET",IF(MONTH('Other financial Liabilities'!I10)=10,"OUT",IF(MONTH('Other financial Liabilities'!I10)=11,"NOV",IF(MONTH('Other financial Liabilities'!I10)=12,"DEZ",""))))))))))))&amp;LEFT(YEAR('Other financial Liabilities'!I10),2),"")))</f>
        <v>COFIDIS</v>
      </c>
      <c r="I16" s="14" t="str">
        <f>IF(F16="c004x   - Institutions",'Other financial Liabilities'!H10,IF(F16="c001x   - Households","Critical Service Liability "&amp;IF(MONTH('Other financial Liabilities'!I10)=1,"January ",IF(MONTH('Other financial Liabilities'!I10)=2,"February ",IF(MONTH('Other financial Liabilities'!I10)=3,"March ",IF(MONTH('Other financial Liabilities'!I10)=4, "April ",IF(MONTH('Other financial Liabilities'!I10)=5,"May ",IF(MONTH('Other financial Liabilities'!I10)=6,"June ",IF(MONTH('Other financial Liabilities'!I10)=7,"July ",IF(MONTH('Other financial Liabilities'!I10)=8,"August ",IF(MONTH('Other financial Liabilities'!I10)=9,"September ",IF(MONTH('Other financial Liabilities'!I10)=10,"October",  IF(MONTH('Other financial Liabilities'!I10)=11,"November ",IF(MONTH('Other financial Liabilities'!I10)=12,"December ",""))))))))))))&amp;YEAR('Other financial Liabilities'!I10),IF(F16="c008x   - Government, central banks &amp; supranationals","Tax Liability "&amp;IF(MONTH('Other financial Liabilities'!I10)=1,"January ",IF(MONTH('Other financial Liabilities'!I10)=2,"February ",IF(MONTH('Other financial Liabilities'!I10)=3,"March ",IF(MONTH('Other financial Liabilities'!I10)=4,"April ",IF(MONTH('Other financial Liabilities'!I10)=5,"May ",IF(MONTH('Other financial Liabilities'!I10)=6,"June ",IF(MONTH('Other financial Liabilities'!I10)=7,"July ",IF(MONTH('Other financial Liabilities'!I10)=8, "August ",  IF(MONTH('Other financial Liabilities'!I10)=9,"September ",IF(MONTH('Other financial Liabilities'!I10)=10,"October ",IF(MONTH('Other financial Liabilities'!I10)=11,"November ",IF(MONTH('Other financial Liabilities'!I10)=12,"December ",""))))))))))))&amp;YEAR('Other financial Liabilities'!I10),"")))</f>
        <v>COFIDIS</v>
      </c>
      <c r="J16" s="14" t="str">
        <f>+IF(OR('Other financial Liabilities'!C10="",'Other financial Liabilities'!C10="#"),IF('Other financial Liabilities'!A10="",IF(F16="c001x   - Households","CSL"&amp;"001",IF(F16="c008x   - Government, central banks &amp; supranationals","TL"&amp;"001")),'Other financial Liabilities'!A10),'Other financial Liabilities'!C10)</f>
        <v>2100150050</v>
      </c>
      <c r="K16" s="14" t="str">
        <f>+IF(J16='Other financial Liabilities'!C10,"LEI code","Type of identifier, other than LEI or MFI code")</f>
        <v>Type of identifier, other than LEI or MFI code</v>
      </c>
      <c r="L16" s="14" t="s">
        <v>197</v>
      </c>
      <c r="M16" s="14" t="s">
        <v>198</v>
      </c>
      <c r="N16" s="14" t="s">
        <v>199</v>
      </c>
      <c r="O16" s="15">
        <v>2105512.5499999998</v>
      </c>
      <c r="P16" s="15">
        <f>IF('Other financial Liabilities'!E10="",0,'Other financial Liabilities'!E10)</f>
        <v>0</v>
      </c>
      <c r="Q16" s="14">
        <f>IF('Other financial Liabilities'!F10="",0,'Other financial Liabilities'!F10)</f>
        <v>0</v>
      </c>
      <c r="R16" s="14" t="s">
        <v>212</v>
      </c>
      <c r="S16" s="16" t="s">
        <v>250</v>
      </c>
      <c r="T16" s="16">
        <f t="shared" si="2"/>
        <v>44928</v>
      </c>
      <c r="U16" s="16">
        <f t="shared" si="3"/>
        <v>44928</v>
      </c>
      <c r="V16" s="14" t="s">
        <v>200</v>
      </c>
      <c r="W16" s="15">
        <v>0</v>
      </c>
      <c r="X16" s="15">
        <v>0</v>
      </c>
      <c r="Y16" s="15">
        <v>0</v>
      </c>
      <c r="Z16" s="14" t="s">
        <v>201</v>
      </c>
      <c r="AA16" s="15">
        <v>0</v>
      </c>
      <c r="AB16" s="14" t="s">
        <v>202</v>
      </c>
      <c r="AC16" s="17">
        <v>0</v>
      </c>
      <c r="AD16" s="20"/>
    </row>
    <row r="17" spans="3:30" ht="45.75" customHeight="1" thickBot="1" x14ac:dyDescent="0.5">
      <c r="C17" s="12">
        <f t="shared" si="0"/>
        <v>999</v>
      </c>
      <c r="D17" s="13">
        <f t="shared" si="4"/>
        <v>10</v>
      </c>
      <c r="E17" s="14" t="str">
        <f>IF(AND('Other financial Liabilities'!K11="",'Other financial Liabilities'!J11=1),"r0180 - Critical service liabilities (BRRD art. 44/2/g/ii)",IF(AND('Other financial Liabilities'!K11="",'Other financial Liabilities'!J11=2),"r0190 - Tax and social security authorities liabilities, if preferred (BRRD art. 44/2/g/iii)",'Other financial Liabilities'!K11))</f>
        <v>r0150 - Institution liabilities &lt; 7 days (BRRD art. 44/2/e)</v>
      </c>
      <c r="F17" s="14" t="str">
        <f>IF(OR('Other financial Liabilities'!G11="particulares",'Other financial Liabilities'!J11=1),"c001x   - Households",IF('Other financial Liabilities'!G11="outras empresas nao financeiras","c003x   - Corporates",IF('Other financial Liabilities'!G11="instituicoes de credito","c004x   - Institutions",IF('Other financial Liabilities'!G11="outras instituicoes financeiras","c005x   - Other financial corporations",IF(OR('Other financial Liabilities'!G11="setor publico",'Other financial Liabilities'!J11=2),"c008x   - Government, central banks &amp; supranationals","")))))</f>
        <v>c004x   - Institutions</v>
      </c>
      <c r="G17" s="14" t="str">
        <f t="shared" si="1"/>
        <v>Rank 9 - Ranking in insolvency (master scale)</v>
      </c>
      <c r="H17" s="14" t="str">
        <f>IF(F17="c004x   - Institutions",'Other financial Liabilities'!H11,IF(F17="c001x   - Households","CSL"&amp;IF(MONTH('Other financial Liabilities'!I11)=1,"JAN",IF(MONTH('Other financial Liabilities'!I11)=2,"FEV",IF(MONTH('Other financial Liabilities'!I11)=3,"MAR",IF(MONTH('Other financial Liabilities'!I11)=4,"ABR",IF(MONTH('Other financial Liabilities'!I11)=5,"MAI",IF(MONTH('Other financial Liabilities'!I11)=6,"JUN",IF(MONTH('Other financial Liabilities'!I11)=7,"JUL",IF(MONTH('Other financial Liabilities'!I11)=8,"AGO",IF(MONTH('Other financial Liabilities'!I11)=9,"SET",IF(MONTH('Other financial Liabilities'!I11)=10,"OUT",IF(MONTH('Other financial Liabilities'!I11)=11,"NOV",IF(MONTH('Other financial Liabilities'!I11)=12,"DEZ",""))))))))))))&amp;LEFT(YEAR('Other financial Liabilities'!I11),2),IF(F17="c008x   - Government, central banks &amp; supranationals","TL"&amp;IF(MONTH('Other financial Liabilities'!I11)=1,"JAN",IF(MONTH('Other financial Liabilities'!I11)=2,"FEV",IF(MONTH('Other financial Liabilities'!I11)=3,"MAR",IF(MONTH('Other financial Liabilities'!I11)=4,"ABR",IF(MONTH('Other financial Liabilities'!I11)=5,"MAI",IF(MONTH('Other financial Liabilities'!I11)=6,"JUN",IF(MONTH('Other financial Liabilities'!I11)=7,"JUL",IF(MONTH('Other financial Liabilities'!I11)=8,"AGO",IF(MONTH('Other financial Liabilities'!I11)=9,"SET",IF(MONTH('Other financial Liabilities'!I11)=10,"OUT",IF(MONTH('Other financial Liabilities'!I11)=11,"NOV",IF(MONTH('Other financial Liabilities'!I11)=12,"DEZ",""))))))))))))&amp;LEFT(YEAR('Other financial Liabilities'!I11),2),"")))</f>
        <v>BANCO BPI</v>
      </c>
      <c r="I17" s="14" t="str">
        <f>IF(F17="c004x   - Institutions",'Other financial Liabilities'!H11,IF(F17="c001x   - Households","Critical Service Liability "&amp;IF(MONTH('Other financial Liabilities'!I11)=1,"January ",IF(MONTH('Other financial Liabilities'!I11)=2,"February ",IF(MONTH('Other financial Liabilities'!I11)=3,"March ",IF(MONTH('Other financial Liabilities'!I11)=4, "April ",IF(MONTH('Other financial Liabilities'!I11)=5,"May ",IF(MONTH('Other financial Liabilities'!I11)=6,"June ",IF(MONTH('Other financial Liabilities'!I11)=7,"July ",IF(MONTH('Other financial Liabilities'!I11)=8,"August ",IF(MONTH('Other financial Liabilities'!I11)=9,"September ",IF(MONTH('Other financial Liabilities'!I11)=10,"October",  IF(MONTH('Other financial Liabilities'!I11)=11,"November ",IF(MONTH('Other financial Liabilities'!I11)=12,"December ",""))))))))))))&amp;YEAR('Other financial Liabilities'!I11),IF(F17="c008x   - Government, central banks &amp; supranationals","Tax Liability "&amp;IF(MONTH('Other financial Liabilities'!I11)=1,"January ",IF(MONTH('Other financial Liabilities'!I11)=2,"February ",IF(MONTH('Other financial Liabilities'!I11)=3,"March ",IF(MONTH('Other financial Liabilities'!I11)=4,"April ",IF(MONTH('Other financial Liabilities'!I11)=5,"May ",IF(MONTH('Other financial Liabilities'!I11)=6,"June ",IF(MONTH('Other financial Liabilities'!I11)=7,"July ",IF(MONTH('Other financial Liabilities'!I11)=8, "August ",  IF(MONTH('Other financial Liabilities'!I11)=9,"September ",IF(MONTH('Other financial Liabilities'!I11)=10,"October ",IF(MONTH('Other financial Liabilities'!I11)=11,"November ",IF(MONTH('Other financial Liabilities'!I11)=12,"December ",""))))))))))))&amp;YEAR('Other financial Liabilities'!I11),"")))</f>
        <v>BANCO BPI</v>
      </c>
      <c r="J17" s="14" t="str">
        <f>+IF(OR('Other financial Liabilities'!C11="",'Other financial Liabilities'!C11="#"),IF('Other financial Liabilities'!A11="",IF(F17="c001x   - Households","CSL"&amp;"001",IF(F17="c008x   - Government, central banks &amp; supranationals","TL"&amp;"001")),'Other financial Liabilities'!A11),'Other financial Liabilities'!C11)</f>
        <v>2100168662</v>
      </c>
      <c r="K17" s="14" t="str">
        <f>+IF(J17='Other financial Liabilities'!C11,"LEI code","Type of identifier, other than LEI or MFI code")</f>
        <v>Type of identifier, other than LEI or MFI code</v>
      </c>
      <c r="L17" s="14" t="s">
        <v>197</v>
      </c>
      <c r="M17" s="14" t="s">
        <v>198</v>
      </c>
      <c r="N17" s="14" t="s">
        <v>199</v>
      </c>
      <c r="O17" s="15">
        <v>4587.21</v>
      </c>
      <c r="P17" s="15">
        <f>IF('Other financial Liabilities'!E11="",0,'Other financial Liabilities'!E11)</f>
        <v>0</v>
      </c>
      <c r="Q17" s="14">
        <f>IF('Other financial Liabilities'!F11="",0,'Other financial Liabilities'!F11)</f>
        <v>0</v>
      </c>
      <c r="R17" s="14" t="s">
        <v>212</v>
      </c>
      <c r="S17" s="16" t="s">
        <v>250</v>
      </c>
      <c r="T17" s="16">
        <f t="shared" si="2"/>
        <v>44928</v>
      </c>
      <c r="U17" s="16">
        <f t="shared" si="3"/>
        <v>44928</v>
      </c>
      <c r="V17" s="14" t="s">
        <v>200</v>
      </c>
      <c r="W17" s="15">
        <v>0</v>
      </c>
      <c r="X17" s="15">
        <v>0</v>
      </c>
      <c r="Y17" s="15">
        <v>0</v>
      </c>
      <c r="Z17" s="14" t="s">
        <v>201</v>
      </c>
      <c r="AA17" s="15">
        <v>0</v>
      </c>
      <c r="AB17" s="14" t="s">
        <v>202</v>
      </c>
      <c r="AC17" s="17">
        <v>0</v>
      </c>
      <c r="AD17" s="20"/>
    </row>
    <row r="18" spans="3:30" ht="45.75" customHeight="1" thickBot="1" x14ac:dyDescent="0.5">
      <c r="C18" s="12">
        <f t="shared" si="0"/>
        <v>999</v>
      </c>
      <c r="D18" s="13">
        <f t="shared" si="4"/>
        <v>11</v>
      </c>
      <c r="E18" s="14" t="str">
        <f>IF(AND('Other financial Liabilities'!K12="",'Other financial Liabilities'!J12=1),"r0180 - Critical service liabilities (BRRD art. 44/2/g/ii)",IF(AND('Other financial Liabilities'!K12="",'Other financial Liabilities'!J12=2),"r0190 - Tax and social security authorities liabilities, if preferred (BRRD art. 44/2/g/iii)",'Other financial Liabilities'!K12))</f>
        <v>r0150 - Institution liabilities &lt; 7 days (BRRD art. 44/2/e)</v>
      </c>
      <c r="F18" s="14" t="str">
        <f>IF(OR('Other financial Liabilities'!G12="particulares",'Other financial Liabilities'!J12=1),"c001x   - Households",IF('Other financial Liabilities'!G12="outras empresas nao financeiras","c003x   - Corporates",IF('Other financial Liabilities'!G12="instituicoes de credito","c004x   - Institutions",IF('Other financial Liabilities'!G12="outras instituicoes financeiras","c005x   - Other financial corporations",IF(OR('Other financial Liabilities'!G12="setor publico",'Other financial Liabilities'!J12=2),"c008x   - Government, central banks &amp; supranationals","")))))</f>
        <v>c004x   - Institutions</v>
      </c>
      <c r="G18" s="14" t="str">
        <f t="shared" si="1"/>
        <v>Rank 9 - Ranking in insolvency (master scale)</v>
      </c>
      <c r="H18" s="14" t="str">
        <f>IF(F18="c004x   - Institutions",'Other financial Liabilities'!H12,IF(F18="c001x   - Households","CSL"&amp;IF(MONTH('Other financial Liabilities'!I12)=1,"JAN",IF(MONTH('Other financial Liabilities'!I12)=2,"FEV",IF(MONTH('Other financial Liabilities'!I12)=3,"MAR",IF(MONTH('Other financial Liabilities'!I12)=4,"ABR",IF(MONTH('Other financial Liabilities'!I12)=5,"MAI",IF(MONTH('Other financial Liabilities'!I12)=6,"JUN",IF(MONTH('Other financial Liabilities'!I12)=7,"JUL",IF(MONTH('Other financial Liabilities'!I12)=8,"AGO",IF(MONTH('Other financial Liabilities'!I12)=9,"SET",IF(MONTH('Other financial Liabilities'!I12)=10,"OUT",IF(MONTH('Other financial Liabilities'!I12)=11,"NOV",IF(MONTH('Other financial Liabilities'!I12)=12,"DEZ",""))))))))))))&amp;LEFT(YEAR('Other financial Liabilities'!I12),2),IF(F18="c008x   - Government, central banks &amp; supranationals","TL"&amp;IF(MONTH('Other financial Liabilities'!I12)=1,"JAN",IF(MONTH('Other financial Liabilities'!I12)=2,"FEV",IF(MONTH('Other financial Liabilities'!I12)=3,"MAR",IF(MONTH('Other financial Liabilities'!I12)=4,"ABR",IF(MONTH('Other financial Liabilities'!I12)=5,"MAI",IF(MONTH('Other financial Liabilities'!I12)=6,"JUN",IF(MONTH('Other financial Liabilities'!I12)=7,"JUL",IF(MONTH('Other financial Liabilities'!I12)=8,"AGO",IF(MONTH('Other financial Liabilities'!I12)=9,"SET",IF(MONTH('Other financial Liabilities'!I12)=10,"OUT",IF(MONTH('Other financial Liabilities'!I12)=11,"NOV",IF(MONTH('Other financial Liabilities'!I12)=12,"DEZ",""))))))))))))&amp;LEFT(YEAR('Other financial Liabilities'!I12),2),"")))</f>
        <v>BISON BANK S.A.</v>
      </c>
      <c r="I18" s="14" t="str">
        <f>IF(F18="c004x   - Institutions",'Other financial Liabilities'!H12,IF(F18="c001x   - Households","Critical Service Liability "&amp;IF(MONTH('Other financial Liabilities'!I12)=1,"January ",IF(MONTH('Other financial Liabilities'!I12)=2,"February ",IF(MONTH('Other financial Liabilities'!I12)=3,"March ",IF(MONTH('Other financial Liabilities'!I12)=4, "April ",IF(MONTH('Other financial Liabilities'!I12)=5,"May ",IF(MONTH('Other financial Liabilities'!I12)=6,"June ",IF(MONTH('Other financial Liabilities'!I12)=7,"July ",IF(MONTH('Other financial Liabilities'!I12)=8,"August ",IF(MONTH('Other financial Liabilities'!I12)=9,"September ",IF(MONTH('Other financial Liabilities'!I12)=10,"October",  IF(MONTH('Other financial Liabilities'!I12)=11,"November ",IF(MONTH('Other financial Liabilities'!I12)=12,"December ",""))))))))))))&amp;YEAR('Other financial Liabilities'!I12),IF(F18="c008x   - Government, central banks &amp; supranationals","Tax Liability "&amp;IF(MONTH('Other financial Liabilities'!I12)=1,"January ",IF(MONTH('Other financial Liabilities'!I12)=2,"February ",IF(MONTH('Other financial Liabilities'!I12)=3,"March ",IF(MONTH('Other financial Liabilities'!I12)=4,"April ",IF(MONTH('Other financial Liabilities'!I12)=5,"May ",IF(MONTH('Other financial Liabilities'!I12)=6,"June ",IF(MONTH('Other financial Liabilities'!I12)=7,"July ",IF(MONTH('Other financial Liabilities'!I12)=8, "August ",  IF(MONTH('Other financial Liabilities'!I12)=9,"September ",IF(MONTH('Other financial Liabilities'!I12)=10,"October ",IF(MONTH('Other financial Liabilities'!I12)=11,"November ",IF(MONTH('Other financial Liabilities'!I12)=12,"December ",""))))))))))))&amp;YEAR('Other financial Liabilities'!I12),"")))</f>
        <v>BISON BANK S.A.</v>
      </c>
      <c r="J18" s="14" t="str">
        <f>+IF(OR('Other financial Liabilities'!C12="",'Other financial Liabilities'!C12="#"),IF('Other financial Liabilities'!A12="",IF(F18="c001x   - Households","CSL"&amp;"001",IF(F18="c008x   - Government, central banks &amp; supranationals","TL"&amp;"001")),'Other financial Liabilities'!A12),'Other financial Liabilities'!C12)</f>
        <v>2100177200</v>
      </c>
      <c r="K18" s="14" t="str">
        <f>+IF(J18='Other financial Liabilities'!C12,"LEI code","Type of identifier, other than LEI or MFI code")</f>
        <v>Type of identifier, other than LEI or MFI code</v>
      </c>
      <c r="L18" s="14" t="s">
        <v>197</v>
      </c>
      <c r="M18" s="14" t="s">
        <v>198</v>
      </c>
      <c r="N18" s="14" t="s">
        <v>199</v>
      </c>
      <c r="O18" s="15">
        <v>1131.4000000000001</v>
      </c>
      <c r="P18" s="15">
        <f>IF('Other financial Liabilities'!E12="",0,'Other financial Liabilities'!E12)</f>
        <v>0</v>
      </c>
      <c r="Q18" s="14">
        <f>IF('Other financial Liabilities'!F12="",0,'Other financial Liabilities'!F12)</f>
        <v>0</v>
      </c>
      <c r="R18" s="14" t="s">
        <v>211</v>
      </c>
      <c r="S18" s="16" t="s">
        <v>250</v>
      </c>
      <c r="T18" s="16">
        <f t="shared" si="2"/>
        <v>44928</v>
      </c>
      <c r="U18" s="16">
        <f t="shared" si="3"/>
        <v>44928</v>
      </c>
      <c r="V18" s="14" t="s">
        <v>200</v>
      </c>
      <c r="W18" s="15">
        <v>0</v>
      </c>
      <c r="X18" s="15">
        <v>0</v>
      </c>
      <c r="Y18" s="15">
        <v>0</v>
      </c>
      <c r="Z18" s="14" t="s">
        <v>201</v>
      </c>
      <c r="AA18" s="15">
        <v>0</v>
      </c>
      <c r="AB18" s="14" t="s">
        <v>202</v>
      </c>
      <c r="AC18" s="17">
        <v>0</v>
      </c>
      <c r="AD18" s="20"/>
    </row>
    <row r="19" spans="3:30" ht="45.75" customHeight="1" thickBot="1" x14ac:dyDescent="0.5">
      <c r="C19" s="12">
        <f t="shared" si="0"/>
        <v>999</v>
      </c>
      <c r="D19" s="13">
        <f t="shared" si="4"/>
        <v>12</v>
      </c>
      <c r="E19" s="14" t="str">
        <f>IF(AND('Other financial Liabilities'!K13="",'Other financial Liabilities'!J13=1),"r0180 - Critical service liabilities (BRRD art. 44/2/g/ii)",IF(AND('Other financial Liabilities'!K13="",'Other financial Liabilities'!J13=2),"r0190 - Tax and social security authorities liabilities, if preferred (BRRD art. 44/2/g/iii)",'Other financial Liabilities'!K13))</f>
        <v>r0150 - Institution liabilities &lt; 7 days (BRRD art. 44/2/e)</v>
      </c>
      <c r="F19" s="14" t="str">
        <f>IF(OR('Other financial Liabilities'!G13="particulares",'Other financial Liabilities'!J13=1),"c001x   - Households",IF('Other financial Liabilities'!G13="outras empresas nao financeiras","c003x   - Corporates",IF('Other financial Liabilities'!G13="instituicoes de credito","c004x   - Institutions",IF('Other financial Liabilities'!G13="outras instituicoes financeiras","c005x   - Other financial corporations",IF(OR('Other financial Liabilities'!G13="setor publico",'Other financial Liabilities'!J13=2),"c008x   - Government, central banks &amp; supranationals","")))))</f>
        <v>c004x   - Institutions</v>
      </c>
      <c r="G19" s="14" t="str">
        <f t="shared" si="1"/>
        <v>Rank 9 - Ranking in insolvency (master scale)</v>
      </c>
      <c r="H19" s="14" t="str">
        <f>IF(F19="c004x   - Institutions",'Other financial Liabilities'!H13,IF(F19="c001x   - Households","CSL"&amp;IF(MONTH('Other financial Liabilities'!I13)=1,"JAN",IF(MONTH('Other financial Liabilities'!I13)=2,"FEV",IF(MONTH('Other financial Liabilities'!I13)=3,"MAR",IF(MONTH('Other financial Liabilities'!I13)=4,"ABR",IF(MONTH('Other financial Liabilities'!I13)=5,"MAI",IF(MONTH('Other financial Liabilities'!I13)=6,"JUN",IF(MONTH('Other financial Liabilities'!I13)=7,"JUL",IF(MONTH('Other financial Liabilities'!I13)=8,"AGO",IF(MONTH('Other financial Liabilities'!I13)=9,"SET",IF(MONTH('Other financial Liabilities'!I13)=10,"OUT",IF(MONTH('Other financial Liabilities'!I13)=11,"NOV",IF(MONTH('Other financial Liabilities'!I13)=12,"DEZ",""))))))))))))&amp;LEFT(YEAR('Other financial Liabilities'!I13),2),IF(F19="c008x   - Government, central banks &amp; supranationals","TL"&amp;IF(MONTH('Other financial Liabilities'!I13)=1,"JAN",IF(MONTH('Other financial Liabilities'!I13)=2,"FEV",IF(MONTH('Other financial Liabilities'!I13)=3,"MAR",IF(MONTH('Other financial Liabilities'!I13)=4,"ABR",IF(MONTH('Other financial Liabilities'!I13)=5,"MAI",IF(MONTH('Other financial Liabilities'!I13)=6,"JUN",IF(MONTH('Other financial Liabilities'!I13)=7,"JUL",IF(MONTH('Other financial Liabilities'!I13)=8,"AGO",IF(MONTH('Other financial Liabilities'!I13)=9,"SET",IF(MONTH('Other financial Liabilities'!I13)=10,"OUT",IF(MONTH('Other financial Liabilities'!I13)=11,"NOV",IF(MONTH('Other financial Liabilities'!I13)=12,"DEZ",""))))))))))))&amp;LEFT(YEAR('Other financial Liabilities'!I13),2),"")))</f>
        <v>BISON BANK S.A.</v>
      </c>
      <c r="I19" s="14" t="str">
        <f>IF(F19="c004x   - Institutions",'Other financial Liabilities'!H13,IF(F19="c001x   - Households","Critical Service Liability "&amp;IF(MONTH('Other financial Liabilities'!I13)=1,"January ",IF(MONTH('Other financial Liabilities'!I13)=2,"February ",IF(MONTH('Other financial Liabilities'!I13)=3,"March ",IF(MONTH('Other financial Liabilities'!I13)=4, "April ",IF(MONTH('Other financial Liabilities'!I13)=5,"May ",IF(MONTH('Other financial Liabilities'!I13)=6,"June ",IF(MONTH('Other financial Liabilities'!I13)=7,"July ",IF(MONTH('Other financial Liabilities'!I13)=8,"August ",IF(MONTH('Other financial Liabilities'!I13)=9,"September ",IF(MONTH('Other financial Liabilities'!I13)=10,"October",  IF(MONTH('Other financial Liabilities'!I13)=11,"November ",IF(MONTH('Other financial Liabilities'!I13)=12,"December ",""))))))))))))&amp;YEAR('Other financial Liabilities'!I13),IF(F19="c008x   - Government, central banks &amp; supranationals","Tax Liability "&amp;IF(MONTH('Other financial Liabilities'!I13)=1,"January ",IF(MONTH('Other financial Liabilities'!I13)=2,"February ",IF(MONTH('Other financial Liabilities'!I13)=3,"March ",IF(MONTH('Other financial Liabilities'!I13)=4,"April ",IF(MONTH('Other financial Liabilities'!I13)=5,"May ",IF(MONTH('Other financial Liabilities'!I13)=6,"June ",IF(MONTH('Other financial Liabilities'!I13)=7,"July ",IF(MONTH('Other financial Liabilities'!I13)=8, "August ",  IF(MONTH('Other financial Liabilities'!I13)=9,"September ",IF(MONTH('Other financial Liabilities'!I13)=10,"October ",IF(MONTH('Other financial Liabilities'!I13)=11,"November ",IF(MONTH('Other financial Liabilities'!I13)=12,"December ",""))))))))))))&amp;YEAR('Other financial Liabilities'!I13),"")))</f>
        <v>BISON BANK S.A.</v>
      </c>
      <c r="J19" s="14" t="str">
        <f>+IF(OR('Other financial Liabilities'!C13="",'Other financial Liabilities'!C13="#"),IF('Other financial Liabilities'!A13="",IF(F19="c001x   - Households","CSL"&amp;"001",IF(F19="c008x   - Government, central banks &amp; supranationals","TL"&amp;"001")),'Other financial Liabilities'!A13),'Other financial Liabilities'!C13)</f>
        <v>2100177200</v>
      </c>
      <c r="K19" s="14" t="str">
        <f>+IF(J19='Other financial Liabilities'!C13,"LEI code","Type of identifier, other than LEI or MFI code")</f>
        <v>Type of identifier, other than LEI or MFI code</v>
      </c>
      <c r="L19" s="14" t="s">
        <v>197</v>
      </c>
      <c r="M19" s="14" t="s">
        <v>198</v>
      </c>
      <c r="N19" s="14" t="s">
        <v>199</v>
      </c>
      <c r="O19" s="15">
        <v>0.01</v>
      </c>
      <c r="P19" s="15">
        <f>IF('Other financial Liabilities'!E13="",0,'Other financial Liabilities'!E13)</f>
        <v>0</v>
      </c>
      <c r="Q19" s="14">
        <f>IF('Other financial Liabilities'!F13="",0,'Other financial Liabilities'!F13)</f>
        <v>0</v>
      </c>
      <c r="R19" s="14" t="s">
        <v>210</v>
      </c>
      <c r="S19" s="16" t="s">
        <v>250</v>
      </c>
      <c r="T19" s="16">
        <f t="shared" si="2"/>
        <v>44928</v>
      </c>
      <c r="U19" s="16">
        <f t="shared" si="3"/>
        <v>44928</v>
      </c>
      <c r="V19" s="14" t="s">
        <v>200</v>
      </c>
      <c r="W19" s="15">
        <v>0</v>
      </c>
      <c r="X19" s="15">
        <v>0</v>
      </c>
      <c r="Y19" s="15">
        <v>0</v>
      </c>
      <c r="Z19" s="14" t="s">
        <v>201</v>
      </c>
      <c r="AA19" s="15">
        <v>0</v>
      </c>
      <c r="AB19" s="14" t="s">
        <v>202</v>
      </c>
      <c r="AC19" s="17">
        <v>0</v>
      </c>
      <c r="AD19" s="20"/>
    </row>
    <row r="20" spans="3:30" ht="45.75" customHeight="1" thickBot="1" x14ac:dyDescent="0.5">
      <c r="C20" s="12">
        <f t="shared" si="0"/>
        <v>999</v>
      </c>
      <c r="D20" s="13">
        <f t="shared" si="4"/>
        <v>13</v>
      </c>
      <c r="E20" s="14" t="str">
        <f>IF(AND('Other financial Liabilities'!K14="",'Other financial Liabilities'!J14=1),"r0180 - Critical service liabilities (BRRD art. 44/2/g/ii)",IF(AND('Other financial Liabilities'!K14="",'Other financial Liabilities'!J14=2),"r0190 - Tax and social security authorities liabilities, if preferred (BRRD art. 44/2/g/iii)",'Other financial Liabilities'!K14))</f>
        <v>r0150 - Institution liabilities &lt; 7 days (BRRD art. 44/2/e)</v>
      </c>
      <c r="F20" s="14" t="str">
        <f>IF(OR('Other financial Liabilities'!G14="particulares",'Other financial Liabilities'!J14=1),"c001x   - Households",IF('Other financial Liabilities'!G14="outras empresas nao financeiras","c003x   - Corporates",IF('Other financial Liabilities'!G14="instituicoes de credito","c004x   - Institutions",IF('Other financial Liabilities'!G14="outras instituicoes financeiras","c005x   - Other financial corporations",IF(OR('Other financial Liabilities'!G14="setor publico",'Other financial Liabilities'!J14=2),"c008x   - Government, central banks &amp; supranationals","")))))</f>
        <v>c004x   - Institutions</v>
      </c>
      <c r="G20" s="14" t="str">
        <f t="shared" si="1"/>
        <v>Rank 9 - Ranking in insolvency (master scale)</v>
      </c>
      <c r="H20" s="14" t="str">
        <f>IF(F20="c004x   - Institutions",'Other financial Liabilities'!H14,IF(F20="c001x   - Households","CSL"&amp;IF(MONTH('Other financial Liabilities'!I14)=1,"JAN",IF(MONTH('Other financial Liabilities'!I14)=2,"FEV",IF(MONTH('Other financial Liabilities'!I14)=3,"MAR",IF(MONTH('Other financial Liabilities'!I14)=4,"ABR",IF(MONTH('Other financial Liabilities'!I14)=5,"MAI",IF(MONTH('Other financial Liabilities'!I14)=6,"JUN",IF(MONTH('Other financial Liabilities'!I14)=7,"JUL",IF(MONTH('Other financial Liabilities'!I14)=8,"AGO",IF(MONTH('Other financial Liabilities'!I14)=9,"SET",IF(MONTH('Other financial Liabilities'!I14)=10,"OUT",IF(MONTH('Other financial Liabilities'!I14)=11,"NOV",IF(MONTH('Other financial Liabilities'!I14)=12,"DEZ",""))))))))))))&amp;LEFT(YEAR('Other financial Liabilities'!I14),2),IF(F20="c008x   - Government, central banks &amp; supranationals","TL"&amp;IF(MONTH('Other financial Liabilities'!I14)=1,"JAN",IF(MONTH('Other financial Liabilities'!I14)=2,"FEV",IF(MONTH('Other financial Liabilities'!I14)=3,"MAR",IF(MONTH('Other financial Liabilities'!I14)=4,"ABR",IF(MONTH('Other financial Liabilities'!I14)=5,"MAI",IF(MONTH('Other financial Liabilities'!I14)=6,"JUN",IF(MONTH('Other financial Liabilities'!I14)=7,"JUL",IF(MONTH('Other financial Liabilities'!I14)=8,"AGO",IF(MONTH('Other financial Liabilities'!I14)=9,"SET",IF(MONTH('Other financial Liabilities'!I14)=10,"OUT",IF(MONTH('Other financial Liabilities'!I14)=11,"NOV",IF(MONTH('Other financial Liabilities'!I14)=12,"DEZ",""))))))))))))&amp;LEFT(YEAR('Other financial Liabilities'!I14),2),"")))</f>
        <v>BISON BANK S.A.</v>
      </c>
      <c r="I20" s="14" t="str">
        <f>IF(F20="c004x   - Institutions",'Other financial Liabilities'!H14,IF(F20="c001x   - Households","Critical Service Liability "&amp;IF(MONTH('Other financial Liabilities'!I14)=1,"January ",IF(MONTH('Other financial Liabilities'!I14)=2,"February ",IF(MONTH('Other financial Liabilities'!I14)=3,"March ",IF(MONTH('Other financial Liabilities'!I14)=4, "April ",IF(MONTH('Other financial Liabilities'!I14)=5,"May ",IF(MONTH('Other financial Liabilities'!I14)=6,"June ",IF(MONTH('Other financial Liabilities'!I14)=7,"July ",IF(MONTH('Other financial Liabilities'!I14)=8,"August ",IF(MONTH('Other financial Liabilities'!I14)=9,"September ",IF(MONTH('Other financial Liabilities'!I14)=10,"October",  IF(MONTH('Other financial Liabilities'!I14)=11,"November ",IF(MONTH('Other financial Liabilities'!I14)=12,"December ",""))))))))))))&amp;YEAR('Other financial Liabilities'!I14),IF(F20="c008x   - Government, central banks &amp; supranationals","Tax Liability "&amp;IF(MONTH('Other financial Liabilities'!I14)=1,"January ",IF(MONTH('Other financial Liabilities'!I14)=2,"February ",IF(MONTH('Other financial Liabilities'!I14)=3,"March ",IF(MONTH('Other financial Liabilities'!I14)=4,"April ",IF(MONTH('Other financial Liabilities'!I14)=5,"May ",IF(MONTH('Other financial Liabilities'!I14)=6,"June ",IF(MONTH('Other financial Liabilities'!I14)=7,"July ",IF(MONTH('Other financial Liabilities'!I14)=8, "August ",  IF(MONTH('Other financial Liabilities'!I14)=9,"September ",IF(MONTH('Other financial Liabilities'!I14)=10,"October ",IF(MONTH('Other financial Liabilities'!I14)=11,"November ",IF(MONTH('Other financial Liabilities'!I14)=12,"December ",""))))))))))))&amp;YEAR('Other financial Liabilities'!I14),"")))</f>
        <v>BISON BANK S.A.</v>
      </c>
      <c r="J20" s="14" t="str">
        <f>+IF(OR('Other financial Liabilities'!C14="",'Other financial Liabilities'!C14="#"),IF('Other financial Liabilities'!A14="",IF(F20="c001x   - Households","CSL"&amp;"001",IF(F20="c008x   - Government, central banks &amp; supranationals","TL"&amp;"001")),'Other financial Liabilities'!A14),'Other financial Liabilities'!C14)</f>
        <v>2100177200</v>
      </c>
      <c r="K20" s="14" t="str">
        <f>+IF(J20='Other financial Liabilities'!C14,"LEI code","Type of identifier, other than LEI or MFI code")</f>
        <v>Type of identifier, other than LEI or MFI code</v>
      </c>
      <c r="L20" s="14" t="s">
        <v>197</v>
      </c>
      <c r="M20" s="14" t="s">
        <v>198</v>
      </c>
      <c r="N20" s="14" t="s">
        <v>199</v>
      </c>
      <c r="O20" s="15">
        <v>1691711.11</v>
      </c>
      <c r="P20" s="15">
        <f>IF('Other financial Liabilities'!E14="",0,'Other financial Liabilities'!E14)</f>
        <v>0</v>
      </c>
      <c r="Q20" s="14">
        <f>IF('Other financial Liabilities'!F14="",0,'Other financial Liabilities'!F14)</f>
        <v>0</v>
      </c>
      <c r="R20" s="14" t="s">
        <v>212</v>
      </c>
      <c r="S20" s="16" t="s">
        <v>250</v>
      </c>
      <c r="T20" s="16">
        <f t="shared" si="2"/>
        <v>44928</v>
      </c>
      <c r="U20" s="16">
        <f t="shared" si="3"/>
        <v>44928</v>
      </c>
      <c r="V20" s="14" t="s">
        <v>200</v>
      </c>
      <c r="W20" s="15">
        <v>0</v>
      </c>
      <c r="X20" s="15">
        <v>0</v>
      </c>
      <c r="Y20" s="15">
        <v>0</v>
      </c>
      <c r="Z20" s="14" t="s">
        <v>201</v>
      </c>
      <c r="AA20" s="15">
        <v>0</v>
      </c>
      <c r="AB20" s="14" t="s">
        <v>202</v>
      </c>
      <c r="AC20" s="17">
        <v>0</v>
      </c>
      <c r="AD20" s="20"/>
    </row>
    <row r="21" spans="3:30" ht="45.75" customHeight="1" thickBot="1" x14ac:dyDescent="0.5">
      <c r="C21" s="12">
        <f t="shared" si="0"/>
        <v>999</v>
      </c>
      <c r="D21" s="13">
        <f t="shared" si="4"/>
        <v>14</v>
      </c>
      <c r="E21" s="14" t="str">
        <f>IF(AND('Other financial Liabilities'!K15="",'Other financial Liabilities'!J15=1),"r0180 - Critical service liabilities (BRRD art. 44/2/g/ii)",IF(AND('Other financial Liabilities'!K15="",'Other financial Liabilities'!J15=2),"r0190 - Tax and social security authorities liabilities, if preferred (BRRD art. 44/2/g/iii)",'Other financial Liabilities'!K15))</f>
        <v>r0150 - Institution liabilities &lt; 7 days (BRRD art. 44/2/e)</v>
      </c>
      <c r="F21" s="14" t="str">
        <f>IF(OR('Other financial Liabilities'!G15="particulares",'Other financial Liabilities'!J15=1),"c001x   - Households",IF('Other financial Liabilities'!G15="outras empresas nao financeiras","c003x   - Corporates",IF('Other financial Liabilities'!G15="instituicoes de credito","c004x   - Institutions",IF('Other financial Liabilities'!G15="outras instituicoes financeiras","c005x   - Other financial corporations",IF(OR('Other financial Liabilities'!G15="setor publico",'Other financial Liabilities'!J15=2),"c008x   - Government, central banks &amp; supranationals","")))))</f>
        <v>c004x   - Institutions</v>
      </c>
      <c r="G21" s="14" t="str">
        <f t="shared" si="1"/>
        <v>Rank 9 - Ranking in insolvency (master scale)</v>
      </c>
      <c r="H21" s="14" t="str">
        <f>IF(F21="c004x   - Institutions",'Other financial Liabilities'!H15,IF(F21="c001x   - Households","CSL"&amp;IF(MONTH('Other financial Liabilities'!I15)=1,"JAN",IF(MONTH('Other financial Liabilities'!I15)=2,"FEV",IF(MONTH('Other financial Liabilities'!I15)=3,"MAR",IF(MONTH('Other financial Liabilities'!I15)=4,"ABR",IF(MONTH('Other financial Liabilities'!I15)=5,"MAI",IF(MONTH('Other financial Liabilities'!I15)=6,"JUN",IF(MONTH('Other financial Liabilities'!I15)=7,"JUL",IF(MONTH('Other financial Liabilities'!I15)=8,"AGO",IF(MONTH('Other financial Liabilities'!I15)=9,"SET",IF(MONTH('Other financial Liabilities'!I15)=10,"OUT",IF(MONTH('Other financial Liabilities'!I15)=11,"NOV",IF(MONTH('Other financial Liabilities'!I15)=12,"DEZ",""))))))))))))&amp;LEFT(YEAR('Other financial Liabilities'!I15),2),IF(F21="c008x   - Government, central banks &amp; supranationals","TL"&amp;IF(MONTH('Other financial Liabilities'!I15)=1,"JAN",IF(MONTH('Other financial Liabilities'!I15)=2,"FEV",IF(MONTH('Other financial Liabilities'!I15)=3,"MAR",IF(MONTH('Other financial Liabilities'!I15)=4,"ABR",IF(MONTH('Other financial Liabilities'!I15)=5,"MAI",IF(MONTH('Other financial Liabilities'!I15)=6,"JUN",IF(MONTH('Other financial Liabilities'!I15)=7,"JUL",IF(MONTH('Other financial Liabilities'!I15)=8,"AGO",IF(MONTH('Other financial Liabilities'!I15)=9,"SET",IF(MONTH('Other financial Liabilities'!I15)=10,"OUT",IF(MONTH('Other financial Liabilities'!I15)=11,"NOV",IF(MONTH('Other financial Liabilities'!I15)=12,"DEZ",""))))))))))))&amp;LEFT(YEAR('Other financial Liabilities'!I15),2),"")))</f>
        <v>BANIF BANCO INTERNACIONAL DO FUNCHAL CAYMAN LTD</v>
      </c>
      <c r="I21" s="14" t="str">
        <f>IF(F21="c004x   - Institutions",'Other financial Liabilities'!H15,IF(F21="c001x   - Households","Critical Service Liability "&amp;IF(MONTH('Other financial Liabilities'!I15)=1,"January ",IF(MONTH('Other financial Liabilities'!I15)=2,"February ",IF(MONTH('Other financial Liabilities'!I15)=3,"March ",IF(MONTH('Other financial Liabilities'!I15)=4, "April ",IF(MONTH('Other financial Liabilities'!I15)=5,"May ",IF(MONTH('Other financial Liabilities'!I15)=6,"June ",IF(MONTH('Other financial Liabilities'!I15)=7,"July ",IF(MONTH('Other financial Liabilities'!I15)=8,"August ",IF(MONTH('Other financial Liabilities'!I15)=9,"September ",IF(MONTH('Other financial Liabilities'!I15)=10,"October",  IF(MONTH('Other financial Liabilities'!I15)=11,"November ",IF(MONTH('Other financial Liabilities'!I15)=12,"December ",""))))))))))))&amp;YEAR('Other financial Liabilities'!I15),IF(F21="c008x   - Government, central banks &amp; supranationals","Tax Liability "&amp;IF(MONTH('Other financial Liabilities'!I15)=1,"January ",IF(MONTH('Other financial Liabilities'!I15)=2,"February ",IF(MONTH('Other financial Liabilities'!I15)=3,"March ",IF(MONTH('Other financial Liabilities'!I15)=4,"April ",IF(MONTH('Other financial Liabilities'!I15)=5,"May ",IF(MONTH('Other financial Liabilities'!I15)=6,"June ",IF(MONTH('Other financial Liabilities'!I15)=7,"July ",IF(MONTH('Other financial Liabilities'!I15)=8, "August ",  IF(MONTH('Other financial Liabilities'!I15)=9,"September ",IF(MONTH('Other financial Liabilities'!I15)=10,"October ",IF(MONTH('Other financial Liabilities'!I15)=11,"November ",IF(MONTH('Other financial Liabilities'!I15)=12,"December ",""))))))))))))&amp;YEAR('Other financial Liabilities'!I15),"")))</f>
        <v>BANIF BANCO INTERNACIONAL DO FUNCHAL CAYMAN LTD</v>
      </c>
      <c r="J21" s="14" t="str">
        <f>+IF(OR('Other financial Liabilities'!C15="",'Other financial Liabilities'!C15="#"),IF('Other financial Liabilities'!A15="",IF(F21="c001x   - Households","CSL"&amp;"001",IF(F21="c008x   - Government, central banks &amp; supranationals","TL"&amp;"001")),'Other financial Liabilities'!A15),'Other financial Liabilities'!C15)</f>
        <v>2100365738</v>
      </c>
      <c r="K21" s="14" t="str">
        <f>+IF(J21='Other financial Liabilities'!C15,"LEI code","Type of identifier, other than LEI or MFI code")</f>
        <v>Type of identifier, other than LEI or MFI code</v>
      </c>
      <c r="L21" s="14" t="s">
        <v>197</v>
      </c>
      <c r="M21" s="14" t="s">
        <v>198</v>
      </c>
      <c r="N21" s="14" t="s">
        <v>199</v>
      </c>
      <c r="O21" s="15">
        <v>1052212.69</v>
      </c>
      <c r="P21" s="15">
        <f>IF('Other financial Liabilities'!E15="",0,'Other financial Liabilities'!E15)</f>
        <v>0</v>
      </c>
      <c r="Q21" s="14">
        <f>IF('Other financial Liabilities'!F15="",0,'Other financial Liabilities'!F15)</f>
        <v>0</v>
      </c>
      <c r="R21" s="14" t="s">
        <v>211</v>
      </c>
      <c r="S21" s="16" t="s">
        <v>250</v>
      </c>
      <c r="T21" s="16">
        <f t="shared" si="2"/>
        <v>44928</v>
      </c>
      <c r="U21" s="16">
        <f t="shared" si="3"/>
        <v>44928</v>
      </c>
      <c r="V21" s="14" t="s">
        <v>200</v>
      </c>
      <c r="W21" s="15">
        <v>0</v>
      </c>
      <c r="X21" s="15">
        <v>0</v>
      </c>
      <c r="Y21" s="15">
        <v>0</v>
      </c>
      <c r="Z21" s="14" t="s">
        <v>201</v>
      </c>
      <c r="AA21" s="15">
        <v>0</v>
      </c>
      <c r="AB21" s="14" t="s">
        <v>202</v>
      </c>
      <c r="AC21" s="17">
        <v>0</v>
      </c>
      <c r="AD21" s="20"/>
    </row>
    <row r="22" spans="3:30" ht="45.75" customHeight="1" thickBot="1" x14ac:dyDescent="0.5">
      <c r="C22" s="12">
        <f t="shared" si="0"/>
        <v>999</v>
      </c>
      <c r="D22" s="13">
        <f t="shared" si="4"/>
        <v>15</v>
      </c>
      <c r="E22" s="14" t="str">
        <f>IF(AND('Other financial Liabilities'!K16="",'Other financial Liabilities'!J16=1),"r0180 - Critical service liabilities (BRRD art. 44/2/g/ii)",IF(AND('Other financial Liabilities'!K16="",'Other financial Liabilities'!J16=2),"r0190 - Tax and social security authorities liabilities, if preferred (BRRD art. 44/2/g/iii)",'Other financial Liabilities'!K16))</f>
        <v>r0150 - Institution liabilities &lt; 7 days (BRRD art. 44/2/e)</v>
      </c>
      <c r="F22" s="14" t="str">
        <f>IF(OR('Other financial Liabilities'!G16="particulares",'Other financial Liabilities'!J16=1),"c001x   - Households",IF('Other financial Liabilities'!G16="outras empresas nao financeiras","c003x   - Corporates",IF('Other financial Liabilities'!G16="instituicoes de credito","c004x   - Institutions",IF('Other financial Liabilities'!G16="outras instituicoes financeiras","c005x   - Other financial corporations",IF(OR('Other financial Liabilities'!G16="setor publico",'Other financial Liabilities'!J16=2),"c008x   - Government, central banks &amp; supranationals","")))))</f>
        <v>c004x   - Institutions</v>
      </c>
      <c r="G22" s="14" t="str">
        <f t="shared" si="1"/>
        <v>Rank 9 - Ranking in insolvency (master scale)</v>
      </c>
      <c r="H22" s="14" t="str">
        <f>IF(F22="c004x   - Institutions",'Other financial Liabilities'!H16,IF(F22="c001x   - Households","CSL"&amp;IF(MONTH('Other financial Liabilities'!I16)=1,"JAN",IF(MONTH('Other financial Liabilities'!I16)=2,"FEV",IF(MONTH('Other financial Liabilities'!I16)=3,"MAR",IF(MONTH('Other financial Liabilities'!I16)=4,"ABR",IF(MONTH('Other financial Liabilities'!I16)=5,"MAI",IF(MONTH('Other financial Liabilities'!I16)=6,"JUN",IF(MONTH('Other financial Liabilities'!I16)=7,"JUL",IF(MONTH('Other financial Liabilities'!I16)=8,"AGO",IF(MONTH('Other financial Liabilities'!I16)=9,"SET",IF(MONTH('Other financial Liabilities'!I16)=10,"OUT",IF(MONTH('Other financial Liabilities'!I16)=11,"NOV",IF(MONTH('Other financial Liabilities'!I16)=12,"DEZ",""))))))))))))&amp;LEFT(YEAR('Other financial Liabilities'!I16),2),IF(F22="c008x   - Government, central banks &amp; supranationals","TL"&amp;IF(MONTH('Other financial Liabilities'!I16)=1,"JAN",IF(MONTH('Other financial Liabilities'!I16)=2,"FEV",IF(MONTH('Other financial Liabilities'!I16)=3,"MAR",IF(MONTH('Other financial Liabilities'!I16)=4,"ABR",IF(MONTH('Other financial Liabilities'!I16)=5,"MAI",IF(MONTH('Other financial Liabilities'!I16)=6,"JUN",IF(MONTH('Other financial Liabilities'!I16)=7,"JUL",IF(MONTH('Other financial Liabilities'!I16)=8,"AGO",IF(MONTH('Other financial Liabilities'!I16)=9,"SET",IF(MONTH('Other financial Liabilities'!I16)=10,"OUT",IF(MONTH('Other financial Liabilities'!I16)=11,"NOV",IF(MONTH('Other financial Liabilities'!I16)=12,"DEZ",""))))))))))))&amp;LEFT(YEAR('Other financial Liabilities'!I16),2),"")))</f>
        <v>BANIF BANCO INTERNACIONAL DO FUNCHAL CAYMAN LTD</v>
      </c>
      <c r="I22" s="14" t="str">
        <f>IF(F22="c004x   - Institutions",'Other financial Liabilities'!H16,IF(F22="c001x   - Households","Critical Service Liability "&amp;IF(MONTH('Other financial Liabilities'!I16)=1,"January ",IF(MONTH('Other financial Liabilities'!I16)=2,"February ",IF(MONTH('Other financial Liabilities'!I16)=3,"March ",IF(MONTH('Other financial Liabilities'!I16)=4, "April ",IF(MONTH('Other financial Liabilities'!I16)=5,"May ",IF(MONTH('Other financial Liabilities'!I16)=6,"June ",IF(MONTH('Other financial Liabilities'!I16)=7,"July ",IF(MONTH('Other financial Liabilities'!I16)=8,"August ",IF(MONTH('Other financial Liabilities'!I16)=9,"September ",IF(MONTH('Other financial Liabilities'!I16)=10,"October",  IF(MONTH('Other financial Liabilities'!I16)=11,"November ",IF(MONTH('Other financial Liabilities'!I16)=12,"December ",""))))))))))))&amp;YEAR('Other financial Liabilities'!I16),IF(F22="c008x   - Government, central banks &amp; supranationals","Tax Liability "&amp;IF(MONTH('Other financial Liabilities'!I16)=1,"January ",IF(MONTH('Other financial Liabilities'!I16)=2,"February ",IF(MONTH('Other financial Liabilities'!I16)=3,"March ",IF(MONTH('Other financial Liabilities'!I16)=4,"April ",IF(MONTH('Other financial Liabilities'!I16)=5,"May ",IF(MONTH('Other financial Liabilities'!I16)=6,"June ",IF(MONTH('Other financial Liabilities'!I16)=7,"July ",IF(MONTH('Other financial Liabilities'!I16)=8, "August ",  IF(MONTH('Other financial Liabilities'!I16)=9,"September ",IF(MONTH('Other financial Liabilities'!I16)=10,"October ",IF(MONTH('Other financial Liabilities'!I16)=11,"November ",IF(MONTH('Other financial Liabilities'!I16)=12,"December ",""))))))))))))&amp;YEAR('Other financial Liabilities'!I16),"")))</f>
        <v>BANIF BANCO INTERNACIONAL DO FUNCHAL CAYMAN LTD</v>
      </c>
      <c r="J22" s="14" t="str">
        <f>+IF(OR('Other financial Liabilities'!C16="",'Other financial Liabilities'!C16="#"),IF('Other financial Liabilities'!A16="",IF(F22="c001x   - Households","CSL"&amp;"001",IF(F22="c008x   - Government, central banks &amp; supranationals","TL"&amp;"001")),'Other financial Liabilities'!A16),'Other financial Liabilities'!C16)</f>
        <v>2100365738</v>
      </c>
      <c r="K22" s="14" t="str">
        <f>+IF(J22='Other financial Liabilities'!C16,"LEI code","Type of identifier, other than LEI or MFI code")</f>
        <v>Type of identifier, other than LEI or MFI code</v>
      </c>
      <c r="L22" s="14" t="s">
        <v>197</v>
      </c>
      <c r="M22" s="14" t="s">
        <v>198</v>
      </c>
      <c r="N22" s="14" t="s">
        <v>199</v>
      </c>
      <c r="O22" s="15">
        <v>53178.44</v>
      </c>
      <c r="P22" s="15">
        <f>IF('Other financial Liabilities'!E16="",0,'Other financial Liabilities'!E16)</f>
        <v>0</v>
      </c>
      <c r="Q22" s="14">
        <f>IF('Other financial Liabilities'!F16="",0,'Other financial Liabilities'!F16)</f>
        <v>0</v>
      </c>
      <c r="R22" s="14" t="s">
        <v>210</v>
      </c>
      <c r="S22" s="16" t="s">
        <v>250</v>
      </c>
      <c r="T22" s="16">
        <f t="shared" si="2"/>
        <v>44928</v>
      </c>
      <c r="U22" s="16">
        <f t="shared" si="3"/>
        <v>44928</v>
      </c>
      <c r="V22" s="14" t="s">
        <v>200</v>
      </c>
      <c r="W22" s="15">
        <v>0</v>
      </c>
      <c r="X22" s="15">
        <v>0</v>
      </c>
      <c r="Y22" s="15">
        <v>0</v>
      </c>
      <c r="Z22" s="14" t="s">
        <v>201</v>
      </c>
      <c r="AA22" s="15">
        <v>0</v>
      </c>
      <c r="AB22" s="14" t="s">
        <v>202</v>
      </c>
      <c r="AC22" s="17">
        <v>0</v>
      </c>
      <c r="AD22" s="20"/>
    </row>
    <row r="23" spans="3:30" ht="45.75" customHeight="1" thickBot="1" x14ac:dyDescent="0.5">
      <c r="C23" s="12">
        <f t="shared" si="0"/>
        <v>999</v>
      </c>
      <c r="D23" s="13">
        <f t="shared" si="4"/>
        <v>16</v>
      </c>
      <c r="E23" s="14" t="str">
        <f>IF(AND('Other financial Liabilities'!K17="",'Other financial Liabilities'!J17=1),"r0180 - Critical service liabilities (BRRD art. 44/2/g/ii)",IF(AND('Other financial Liabilities'!K17="",'Other financial Liabilities'!J17=2),"r0190 - Tax and social security authorities liabilities, if preferred (BRRD art. 44/2/g/iii)",'Other financial Liabilities'!K17))</f>
        <v>r0150 - Institution liabilities &lt; 7 days (BRRD art. 44/2/e)</v>
      </c>
      <c r="F23" s="14" t="str">
        <f>IF(OR('Other financial Liabilities'!G17="particulares",'Other financial Liabilities'!J17=1),"c001x   - Households",IF('Other financial Liabilities'!G17="outras empresas nao financeiras","c003x   - Corporates",IF('Other financial Liabilities'!G17="instituicoes de credito","c004x   - Institutions",IF('Other financial Liabilities'!G17="outras instituicoes financeiras","c005x   - Other financial corporations",IF(OR('Other financial Liabilities'!G17="setor publico",'Other financial Liabilities'!J17=2),"c008x   - Government, central banks &amp; supranationals","")))))</f>
        <v>c004x   - Institutions</v>
      </c>
      <c r="G23" s="14" t="str">
        <f t="shared" si="1"/>
        <v>Rank 9 - Ranking in insolvency (master scale)</v>
      </c>
      <c r="H23" s="14" t="str">
        <f>IF(F23="c004x   - Institutions",'Other financial Liabilities'!H17,IF(F23="c001x   - Households","CSL"&amp;IF(MONTH('Other financial Liabilities'!I17)=1,"JAN",IF(MONTH('Other financial Liabilities'!I17)=2,"FEV",IF(MONTH('Other financial Liabilities'!I17)=3,"MAR",IF(MONTH('Other financial Liabilities'!I17)=4,"ABR",IF(MONTH('Other financial Liabilities'!I17)=5,"MAI",IF(MONTH('Other financial Liabilities'!I17)=6,"JUN",IF(MONTH('Other financial Liabilities'!I17)=7,"JUL",IF(MONTH('Other financial Liabilities'!I17)=8,"AGO",IF(MONTH('Other financial Liabilities'!I17)=9,"SET",IF(MONTH('Other financial Liabilities'!I17)=10,"OUT",IF(MONTH('Other financial Liabilities'!I17)=11,"NOV",IF(MONTH('Other financial Liabilities'!I17)=12,"DEZ",""))))))))))))&amp;LEFT(YEAR('Other financial Liabilities'!I17),2),IF(F23="c008x   - Government, central banks &amp; supranationals","TL"&amp;IF(MONTH('Other financial Liabilities'!I17)=1,"JAN",IF(MONTH('Other financial Liabilities'!I17)=2,"FEV",IF(MONTH('Other financial Liabilities'!I17)=3,"MAR",IF(MONTH('Other financial Liabilities'!I17)=4,"ABR",IF(MONTH('Other financial Liabilities'!I17)=5,"MAI",IF(MONTH('Other financial Liabilities'!I17)=6,"JUN",IF(MONTH('Other financial Liabilities'!I17)=7,"JUL",IF(MONTH('Other financial Liabilities'!I17)=8,"AGO",IF(MONTH('Other financial Liabilities'!I17)=9,"SET",IF(MONTH('Other financial Liabilities'!I17)=10,"OUT",IF(MONTH('Other financial Liabilities'!I17)=11,"NOV",IF(MONTH('Other financial Liabilities'!I17)=12,"DEZ",""))))))))))))&amp;LEFT(YEAR('Other financial Liabilities'!I17),2),"")))</f>
        <v>BANIF BANCO INTERNACIONAL DO FUNCHAL CAYMAN LTD</v>
      </c>
      <c r="I23" s="14" t="str">
        <f>IF(F23="c004x   - Institutions",'Other financial Liabilities'!H17,IF(F23="c001x   - Households","Critical Service Liability "&amp;IF(MONTH('Other financial Liabilities'!I17)=1,"January ",IF(MONTH('Other financial Liabilities'!I17)=2,"February ",IF(MONTH('Other financial Liabilities'!I17)=3,"March ",IF(MONTH('Other financial Liabilities'!I17)=4, "April ",IF(MONTH('Other financial Liabilities'!I17)=5,"May ",IF(MONTH('Other financial Liabilities'!I17)=6,"June ",IF(MONTH('Other financial Liabilities'!I17)=7,"July ",IF(MONTH('Other financial Liabilities'!I17)=8,"August ",IF(MONTH('Other financial Liabilities'!I17)=9,"September ",IF(MONTH('Other financial Liabilities'!I17)=10,"October",  IF(MONTH('Other financial Liabilities'!I17)=11,"November ",IF(MONTH('Other financial Liabilities'!I17)=12,"December ",""))))))))))))&amp;YEAR('Other financial Liabilities'!I17),IF(F23="c008x   - Government, central banks &amp; supranationals","Tax Liability "&amp;IF(MONTH('Other financial Liabilities'!I17)=1,"January ",IF(MONTH('Other financial Liabilities'!I17)=2,"February ",IF(MONTH('Other financial Liabilities'!I17)=3,"March ",IF(MONTH('Other financial Liabilities'!I17)=4,"April ",IF(MONTH('Other financial Liabilities'!I17)=5,"May ",IF(MONTH('Other financial Liabilities'!I17)=6,"June ",IF(MONTH('Other financial Liabilities'!I17)=7,"July ",IF(MONTH('Other financial Liabilities'!I17)=8, "August ",  IF(MONTH('Other financial Liabilities'!I17)=9,"September ",IF(MONTH('Other financial Liabilities'!I17)=10,"October ",IF(MONTH('Other financial Liabilities'!I17)=11,"November ",IF(MONTH('Other financial Liabilities'!I17)=12,"December ",""))))))))))))&amp;YEAR('Other financial Liabilities'!I17),"")))</f>
        <v>BANIF BANCO INTERNACIONAL DO FUNCHAL CAYMAN LTD</v>
      </c>
      <c r="J23" s="14" t="str">
        <f>+IF(OR('Other financial Liabilities'!C17="",'Other financial Liabilities'!C17="#"),IF('Other financial Liabilities'!A17="",IF(F23="c001x   - Households","CSL"&amp;"001",IF(F23="c008x   - Government, central banks &amp; supranationals","TL"&amp;"001")),'Other financial Liabilities'!A17),'Other financial Liabilities'!C17)</f>
        <v>2100365738</v>
      </c>
      <c r="K23" s="14" t="str">
        <f>+IF(J23='Other financial Liabilities'!C17,"LEI code","Type of identifier, other than LEI or MFI code")</f>
        <v>Type of identifier, other than LEI or MFI code</v>
      </c>
      <c r="L23" s="14" t="s">
        <v>197</v>
      </c>
      <c r="M23" s="14" t="s">
        <v>198</v>
      </c>
      <c r="N23" s="14" t="s">
        <v>199</v>
      </c>
      <c r="O23" s="15">
        <v>411946.78</v>
      </c>
      <c r="P23" s="15">
        <f>IF('Other financial Liabilities'!E17="",0,'Other financial Liabilities'!E17)</f>
        <v>0</v>
      </c>
      <c r="Q23" s="14">
        <f>IF('Other financial Liabilities'!F17="",0,'Other financial Liabilities'!F17)</f>
        <v>0</v>
      </c>
      <c r="R23" s="14" t="s">
        <v>212</v>
      </c>
      <c r="S23" s="16" t="s">
        <v>250</v>
      </c>
      <c r="T23" s="16">
        <f t="shared" si="2"/>
        <v>44928</v>
      </c>
      <c r="U23" s="16">
        <f t="shared" si="3"/>
        <v>44928</v>
      </c>
      <c r="V23" s="14" t="s">
        <v>200</v>
      </c>
      <c r="W23" s="15">
        <v>0</v>
      </c>
      <c r="X23" s="15">
        <v>0</v>
      </c>
      <c r="Y23" s="15">
        <v>0</v>
      </c>
      <c r="Z23" s="14" t="s">
        <v>201</v>
      </c>
      <c r="AA23" s="15">
        <v>0</v>
      </c>
      <c r="AB23" s="14" t="s">
        <v>202</v>
      </c>
      <c r="AC23" s="17">
        <v>0</v>
      </c>
      <c r="AD23" s="20"/>
    </row>
    <row r="24" spans="3:30" ht="45.75" customHeight="1" thickBot="1" x14ac:dyDescent="0.5">
      <c r="C24" s="12">
        <f t="shared" si="0"/>
        <v>999</v>
      </c>
      <c r="D24" s="13">
        <f t="shared" si="4"/>
        <v>17</v>
      </c>
      <c r="E24" s="14" t="str">
        <f>IF(AND('Other financial Liabilities'!K18="",'Other financial Liabilities'!J18=1),"r0180 - Critical service liabilities (BRRD art. 44/2/g/ii)",IF(AND('Other financial Liabilities'!K18="",'Other financial Liabilities'!J18=2),"r0190 - Tax and social security authorities liabilities, if preferred (BRRD art. 44/2/g/iii)",'Other financial Liabilities'!K18))</f>
        <v>r0150 - Institution liabilities &lt; 7 days (BRRD art. 44/2/e)</v>
      </c>
      <c r="F24" s="14" t="str">
        <f>IF(OR('Other financial Liabilities'!G18="particulares",'Other financial Liabilities'!J18=1),"c001x   - Households",IF('Other financial Liabilities'!G18="outras empresas nao financeiras","c003x   - Corporates",IF('Other financial Liabilities'!G18="instituicoes de credito","c004x   - Institutions",IF('Other financial Liabilities'!G18="outras instituicoes financeiras","c005x   - Other financial corporations",IF(OR('Other financial Liabilities'!G18="setor publico",'Other financial Liabilities'!J18=2),"c008x   - Government, central banks &amp; supranationals","")))))</f>
        <v>c004x   - Institutions</v>
      </c>
      <c r="G24" s="14" t="str">
        <f t="shared" si="1"/>
        <v>Rank 9 - Ranking in insolvency (master scale)</v>
      </c>
      <c r="H24" s="14" t="str">
        <f>IF(F24="c004x   - Institutions",'Other financial Liabilities'!H18,IF(F24="c001x   - Households","CSL"&amp;IF(MONTH('Other financial Liabilities'!I18)=1,"JAN",IF(MONTH('Other financial Liabilities'!I18)=2,"FEV",IF(MONTH('Other financial Liabilities'!I18)=3,"MAR",IF(MONTH('Other financial Liabilities'!I18)=4,"ABR",IF(MONTH('Other financial Liabilities'!I18)=5,"MAI",IF(MONTH('Other financial Liabilities'!I18)=6,"JUN",IF(MONTH('Other financial Liabilities'!I18)=7,"JUL",IF(MONTH('Other financial Liabilities'!I18)=8,"AGO",IF(MONTH('Other financial Liabilities'!I18)=9,"SET",IF(MONTH('Other financial Liabilities'!I18)=10,"OUT",IF(MONTH('Other financial Liabilities'!I18)=11,"NOV",IF(MONTH('Other financial Liabilities'!I18)=12,"DEZ",""))))))))))))&amp;LEFT(YEAR('Other financial Liabilities'!I18),2),IF(F24="c008x   - Government, central banks &amp; supranationals","TL"&amp;IF(MONTH('Other financial Liabilities'!I18)=1,"JAN",IF(MONTH('Other financial Liabilities'!I18)=2,"FEV",IF(MONTH('Other financial Liabilities'!I18)=3,"MAR",IF(MONTH('Other financial Liabilities'!I18)=4,"ABR",IF(MONTH('Other financial Liabilities'!I18)=5,"MAI",IF(MONTH('Other financial Liabilities'!I18)=6,"JUN",IF(MONTH('Other financial Liabilities'!I18)=7,"JUL",IF(MONTH('Other financial Liabilities'!I18)=8,"AGO",IF(MONTH('Other financial Liabilities'!I18)=9,"SET",IF(MONTH('Other financial Liabilities'!I18)=10,"OUT",IF(MONTH('Other financial Liabilities'!I18)=11,"NOV",IF(MONTH('Other financial Liabilities'!I18)=12,"DEZ",""))))))))))))&amp;LEFT(YEAR('Other financial Liabilities'!I18),2),"")))</f>
        <v>MONTEPIO GERAL</v>
      </c>
      <c r="I24" s="14" t="str">
        <f>IF(F24="c004x   - Institutions",'Other financial Liabilities'!H18,IF(F24="c001x   - Households","Critical Service Liability "&amp;IF(MONTH('Other financial Liabilities'!I18)=1,"January ",IF(MONTH('Other financial Liabilities'!I18)=2,"February ",IF(MONTH('Other financial Liabilities'!I18)=3,"March ",IF(MONTH('Other financial Liabilities'!I18)=4, "April ",IF(MONTH('Other financial Liabilities'!I18)=5,"May ",IF(MONTH('Other financial Liabilities'!I18)=6,"June ",IF(MONTH('Other financial Liabilities'!I18)=7,"July ",IF(MONTH('Other financial Liabilities'!I18)=8,"August ",IF(MONTH('Other financial Liabilities'!I18)=9,"September ",IF(MONTH('Other financial Liabilities'!I18)=10,"October",  IF(MONTH('Other financial Liabilities'!I18)=11,"November ",IF(MONTH('Other financial Liabilities'!I18)=12,"December ",""))))))))))))&amp;YEAR('Other financial Liabilities'!I18),IF(F24="c008x   - Government, central banks &amp; supranationals","Tax Liability "&amp;IF(MONTH('Other financial Liabilities'!I18)=1,"January ",IF(MONTH('Other financial Liabilities'!I18)=2,"February ",IF(MONTH('Other financial Liabilities'!I18)=3,"March ",IF(MONTH('Other financial Liabilities'!I18)=4,"April ",IF(MONTH('Other financial Liabilities'!I18)=5,"May ",IF(MONTH('Other financial Liabilities'!I18)=6,"June ",IF(MONTH('Other financial Liabilities'!I18)=7,"July ",IF(MONTH('Other financial Liabilities'!I18)=8, "August ",  IF(MONTH('Other financial Liabilities'!I18)=9,"September ",IF(MONTH('Other financial Liabilities'!I18)=10,"October ",IF(MONTH('Other financial Liabilities'!I18)=11,"November ",IF(MONTH('Other financial Liabilities'!I18)=12,"December ",""))))))))))))&amp;YEAR('Other financial Liabilities'!I18),"")))</f>
        <v>MONTEPIO GERAL</v>
      </c>
      <c r="J24" s="14" t="str">
        <f>+IF(OR('Other financial Liabilities'!C18="",'Other financial Liabilities'!C18="#"),IF('Other financial Liabilities'!A18="",IF(F24="c001x   - Households","CSL"&amp;"001",IF(F24="c008x   - Government, central banks &amp; supranationals","TL"&amp;"001")),'Other financial Liabilities'!A18),'Other financial Liabilities'!C18)</f>
        <v>2100368533</v>
      </c>
      <c r="K24" s="14" t="str">
        <f>+IF(J24='Other financial Liabilities'!C18,"LEI code","Type of identifier, other than LEI or MFI code")</f>
        <v>Type of identifier, other than LEI or MFI code</v>
      </c>
      <c r="L24" s="14" t="s">
        <v>197</v>
      </c>
      <c r="M24" s="14" t="s">
        <v>198</v>
      </c>
      <c r="N24" s="14" t="s">
        <v>199</v>
      </c>
      <c r="O24" s="15">
        <v>1129.0999999999999</v>
      </c>
      <c r="P24" s="15">
        <f>IF('Other financial Liabilities'!E18="",0,'Other financial Liabilities'!E18)</f>
        <v>0</v>
      </c>
      <c r="Q24" s="14">
        <f>IF('Other financial Liabilities'!F18="",0,'Other financial Liabilities'!F18)</f>
        <v>0</v>
      </c>
      <c r="R24" s="14" t="s">
        <v>212</v>
      </c>
      <c r="S24" s="16" t="s">
        <v>250</v>
      </c>
      <c r="T24" s="16">
        <f t="shared" si="2"/>
        <v>44928</v>
      </c>
      <c r="U24" s="16">
        <f t="shared" si="3"/>
        <v>44928</v>
      </c>
      <c r="V24" s="14" t="s">
        <v>200</v>
      </c>
      <c r="W24" s="15">
        <v>0</v>
      </c>
      <c r="X24" s="15">
        <v>0</v>
      </c>
      <c r="Y24" s="15">
        <v>0</v>
      </c>
      <c r="Z24" s="14" t="s">
        <v>201</v>
      </c>
      <c r="AA24" s="15">
        <v>0</v>
      </c>
      <c r="AB24" s="14" t="s">
        <v>202</v>
      </c>
      <c r="AC24" s="17">
        <v>0</v>
      </c>
      <c r="AD24" s="20"/>
    </row>
    <row r="25" spans="3:30" ht="45.75" customHeight="1" thickBot="1" x14ac:dyDescent="0.5">
      <c r="C25" s="12">
        <f t="shared" si="0"/>
        <v>999</v>
      </c>
      <c r="D25" s="13">
        <f t="shared" si="4"/>
        <v>18</v>
      </c>
      <c r="E25" s="14" t="str">
        <f>IF(AND('Other financial Liabilities'!K19="",'Other financial Liabilities'!J19=1),"r0180 - Critical service liabilities (BRRD art. 44/2/g/ii)",IF(AND('Other financial Liabilities'!K19="",'Other financial Liabilities'!J19=2),"r0190 - Tax and social security authorities liabilities, if preferred (BRRD art. 44/2/g/iii)",'Other financial Liabilities'!K19))</f>
        <v>r0150 - Institution liabilities &lt; 7 days (BRRD art. 44/2/e)</v>
      </c>
      <c r="F25" s="14" t="str">
        <f>IF(OR('Other financial Liabilities'!G19="particulares",'Other financial Liabilities'!J19=1),"c001x   - Households",IF('Other financial Liabilities'!G19="outras empresas nao financeiras","c003x   - Corporates",IF('Other financial Liabilities'!G19="instituicoes de credito","c004x   - Institutions",IF('Other financial Liabilities'!G19="outras instituicoes financeiras","c005x   - Other financial corporations",IF(OR('Other financial Liabilities'!G19="setor publico",'Other financial Liabilities'!J19=2),"c008x   - Government, central banks &amp; supranationals","")))))</f>
        <v>c004x   - Institutions</v>
      </c>
      <c r="G25" s="14" t="str">
        <f t="shared" si="1"/>
        <v>Rank 9 - Ranking in insolvency (master scale)</v>
      </c>
      <c r="H25" s="14" t="str">
        <f>IF(F25="c004x   - Institutions",'Other financial Liabilities'!H19,IF(F25="c001x   - Households","CSL"&amp;IF(MONTH('Other financial Liabilities'!I19)=1,"JAN",IF(MONTH('Other financial Liabilities'!I19)=2,"FEV",IF(MONTH('Other financial Liabilities'!I19)=3,"MAR",IF(MONTH('Other financial Liabilities'!I19)=4,"ABR",IF(MONTH('Other financial Liabilities'!I19)=5,"MAI",IF(MONTH('Other financial Liabilities'!I19)=6,"JUN",IF(MONTH('Other financial Liabilities'!I19)=7,"JUL",IF(MONTH('Other financial Liabilities'!I19)=8,"AGO",IF(MONTH('Other financial Liabilities'!I19)=9,"SET",IF(MONTH('Other financial Liabilities'!I19)=10,"OUT",IF(MONTH('Other financial Liabilities'!I19)=11,"NOV",IF(MONTH('Other financial Liabilities'!I19)=12,"DEZ",""))))))))))))&amp;LEFT(YEAR('Other financial Liabilities'!I19),2),IF(F25="c008x   - Government, central banks &amp; supranationals","TL"&amp;IF(MONTH('Other financial Liabilities'!I19)=1,"JAN",IF(MONTH('Other financial Liabilities'!I19)=2,"FEV",IF(MONTH('Other financial Liabilities'!I19)=3,"MAR",IF(MONTH('Other financial Liabilities'!I19)=4,"ABR",IF(MONTH('Other financial Liabilities'!I19)=5,"MAI",IF(MONTH('Other financial Liabilities'!I19)=6,"JUN",IF(MONTH('Other financial Liabilities'!I19)=7,"JUL",IF(MONTH('Other financial Liabilities'!I19)=8,"AGO",IF(MONTH('Other financial Liabilities'!I19)=9,"SET",IF(MONTH('Other financial Liabilities'!I19)=10,"OUT",IF(MONTH('Other financial Liabilities'!I19)=11,"NOV",IF(MONTH('Other financial Liabilities'!I19)=12,"DEZ",""))))))))))))&amp;LEFT(YEAR('Other financial Liabilities'!I19),2),"")))</f>
        <v>SCHRODER SECURITIES LONDON</v>
      </c>
      <c r="I25" s="14" t="str">
        <f>IF(F25="c004x   - Institutions",'Other financial Liabilities'!H19,IF(F25="c001x   - Households","Critical Service Liability "&amp;IF(MONTH('Other financial Liabilities'!I19)=1,"January ",IF(MONTH('Other financial Liabilities'!I19)=2,"February ",IF(MONTH('Other financial Liabilities'!I19)=3,"March ",IF(MONTH('Other financial Liabilities'!I19)=4, "April ",IF(MONTH('Other financial Liabilities'!I19)=5,"May ",IF(MONTH('Other financial Liabilities'!I19)=6,"June ",IF(MONTH('Other financial Liabilities'!I19)=7,"July ",IF(MONTH('Other financial Liabilities'!I19)=8,"August ",IF(MONTH('Other financial Liabilities'!I19)=9,"September ",IF(MONTH('Other financial Liabilities'!I19)=10,"October",  IF(MONTH('Other financial Liabilities'!I19)=11,"November ",IF(MONTH('Other financial Liabilities'!I19)=12,"December ",""))))))))))))&amp;YEAR('Other financial Liabilities'!I19),IF(F25="c008x   - Government, central banks &amp; supranationals","Tax Liability "&amp;IF(MONTH('Other financial Liabilities'!I19)=1,"January ",IF(MONTH('Other financial Liabilities'!I19)=2,"February ",IF(MONTH('Other financial Liabilities'!I19)=3,"March ",IF(MONTH('Other financial Liabilities'!I19)=4,"April ",IF(MONTH('Other financial Liabilities'!I19)=5,"May ",IF(MONTH('Other financial Liabilities'!I19)=6,"June ",IF(MONTH('Other financial Liabilities'!I19)=7,"July ",IF(MONTH('Other financial Liabilities'!I19)=8, "August ",  IF(MONTH('Other financial Liabilities'!I19)=9,"September ",IF(MONTH('Other financial Liabilities'!I19)=10,"October ",IF(MONTH('Other financial Liabilities'!I19)=11,"November ",IF(MONTH('Other financial Liabilities'!I19)=12,"December ",""))))))))))))&amp;YEAR('Other financial Liabilities'!I19),"")))</f>
        <v>SCHRODER SECURITIES LONDON</v>
      </c>
      <c r="J25" s="14" t="str">
        <f>+IF(OR('Other financial Liabilities'!C19="",'Other financial Liabilities'!C19="#"),IF('Other financial Liabilities'!A19="",IF(F25="c001x   - Households","CSL"&amp;"001",IF(F25="c008x   - Government, central banks &amp; supranationals","TL"&amp;"001")),'Other financial Liabilities'!A19),'Other financial Liabilities'!C19)</f>
        <v>2100554927</v>
      </c>
      <c r="K25" s="14" t="str">
        <f>+IF(J25='Other financial Liabilities'!C19,"LEI code","Type of identifier, other than LEI or MFI code")</f>
        <v>Type of identifier, other than LEI or MFI code</v>
      </c>
      <c r="L25" s="14" t="s">
        <v>197</v>
      </c>
      <c r="M25" s="14" t="s">
        <v>198</v>
      </c>
      <c r="N25" s="14" t="s">
        <v>199</v>
      </c>
      <c r="O25" s="15">
        <v>0.01</v>
      </c>
      <c r="P25" s="15">
        <f>IF('Other financial Liabilities'!E19="",0,'Other financial Liabilities'!E19)</f>
        <v>0</v>
      </c>
      <c r="Q25" s="14">
        <f>IF('Other financial Liabilities'!F19="",0,'Other financial Liabilities'!F19)</f>
        <v>0</v>
      </c>
      <c r="R25" s="14" t="s">
        <v>212</v>
      </c>
      <c r="S25" s="16" t="s">
        <v>250</v>
      </c>
      <c r="T25" s="16">
        <f t="shared" si="2"/>
        <v>44928</v>
      </c>
      <c r="U25" s="16">
        <f t="shared" si="3"/>
        <v>44928</v>
      </c>
      <c r="V25" s="14" t="s">
        <v>200</v>
      </c>
      <c r="W25" s="15">
        <v>0</v>
      </c>
      <c r="X25" s="15">
        <v>0</v>
      </c>
      <c r="Y25" s="15">
        <v>0</v>
      </c>
      <c r="Z25" s="14" t="s">
        <v>201</v>
      </c>
      <c r="AA25" s="15">
        <v>0</v>
      </c>
      <c r="AB25" s="14" t="s">
        <v>202</v>
      </c>
      <c r="AC25" s="17">
        <v>0</v>
      </c>
      <c r="AD25" s="20"/>
    </row>
    <row r="26" spans="3:30" ht="45.75" customHeight="1" thickBot="1" x14ac:dyDescent="0.5">
      <c r="C26" s="12">
        <f t="shared" si="0"/>
        <v>999</v>
      </c>
      <c r="D26" s="13">
        <f t="shared" si="4"/>
        <v>19</v>
      </c>
      <c r="E26" s="14" t="str">
        <f>IF(AND('Other financial Liabilities'!K20="",'Other financial Liabilities'!J20=1),"r0180 - Critical service liabilities (BRRD art. 44/2/g/ii)",IF(AND('Other financial Liabilities'!K20="",'Other financial Liabilities'!J20=2),"r0190 - Tax and social security authorities liabilities, if preferred (BRRD art. 44/2/g/iii)",'Other financial Liabilities'!K20))</f>
        <v>r0150 - Institution liabilities &lt; 7 days (BRRD art. 44/2/e)</v>
      </c>
      <c r="F26" s="14" t="str">
        <f>IF(OR('Other financial Liabilities'!G20="particulares",'Other financial Liabilities'!J20=1),"c001x   - Households",IF('Other financial Liabilities'!G20="outras empresas nao financeiras","c003x   - Corporates",IF('Other financial Liabilities'!G20="instituicoes de credito","c004x   - Institutions",IF('Other financial Liabilities'!G20="outras instituicoes financeiras","c005x   - Other financial corporations",IF(OR('Other financial Liabilities'!G20="setor publico",'Other financial Liabilities'!J20=2),"c008x   - Government, central banks &amp; supranationals","")))))</f>
        <v>c004x   - Institutions</v>
      </c>
      <c r="G26" s="14" t="str">
        <f t="shared" si="1"/>
        <v>Rank 9 - Ranking in insolvency (master scale)</v>
      </c>
      <c r="H26" s="14" t="str">
        <f>IF(F26="c004x   - Institutions",'Other financial Liabilities'!H20,IF(F26="c001x   - Households","CSL"&amp;IF(MONTH('Other financial Liabilities'!I20)=1,"JAN",IF(MONTH('Other financial Liabilities'!I20)=2,"FEV",IF(MONTH('Other financial Liabilities'!I20)=3,"MAR",IF(MONTH('Other financial Liabilities'!I20)=4,"ABR",IF(MONTH('Other financial Liabilities'!I20)=5,"MAI",IF(MONTH('Other financial Liabilities'!I20)=6,"JUN",IF(MONTH('Other financial Liabilities'!I20)=7,"JUL",IF(MONTH('Other financial Liabilities'!I20)=8,"AGO",IF(MONTH('Other financial Liabilities'!I20)=9,"SET",IF(MONTH('Other financial Liabilities'!I20)=10,"OUT",IF(MONTH('Other financial Liabilities'!I20)=11,"NOV",IF(MONTH('Other financial Liabilities'!I20)=12,"DEZ",""))))))))))))&amp;LEFT(YEAR('Other financial Liabilities'!I20),2),IF(F26="c008x   - Government, central banks &amp; supranationals","TL"&amp;IF(MONTH('Other financial Liabilities'!I20)=1,"JAN",IF(MONTH('Other financial Liabilities'!I20)=2,"FEV",IF(MONTH('Other financial Liabilities'!I20)=3,"MAR",IF(MONTH('Other financial Liabilities'!I20)=4,"ABR",IF(MONTH('Other financial Liabilities'!I20)=5,"MAI",IF(MONTH('Other financial Liabilities'!I20)=6,"JUN",IF(MONTH('Other financial Liabilities'!I20)=7,"JUL",IF(MONTH('Other financial Liabilities'!I20)=8,"AGO",IF(MONTH('Other financial Liabilities'!I20)=9,"SET",IF(MONTH('Other financial Liabilities'!I20)=10,"OUT",IF(MONTH('Other financial Liabilities'!I20)=11,"NOV",IF(MONTH('Other financial Liabilities'!I20)=12,"DEZ",""))))))))))))&amp;LEFT(YEAR('Other financial Liabilities'!I20),2),"")))</f>
        <v>WICANDER A B</v>
      </c>
      <c r="I26" s="14" t="str">
        <f>IF(F26="c004x   - Institutions",'Other financial Liabilities'!H20,IF(F26="c001x   - Households","Critical Service Liability "&amp;IF(MONTH('Other financial Liabilities'!I20)=1,"January ",IF(MONTH('Other financial Liabilities'!I20)=2,"February ",IF(MONTH('Other financial Liabilities'!I20)=3,"March ",IF(MONTH('Other financial Liabilities'!I20)=4, "April ",IF(MONTH('Other financial Liabilities'!I20)=5,"May ",IF(MONTH('Other financial Liabilities'!I20)=6,"June ",IF(MONTH('Other financial Liabilities'!I20)=7,"July ",IF(MONTH('Other financial Liabilities'!I20)=8,"August ",IF(MONTH('Other financial Liabilities'!I20)=9,"September ",IF(MONTH('Other financial Liabilities'!I20)=10,"October",  IF(MONTH('Other financial Liabilities'!I20)=11,"November ",IF(MONTH('Other financial Liabilities'!I20)=12,"December ",""))))))))))))&amp;YEAR('Other financial Liabilities'!I20),IF(F26="c008x   - Government, central banks &amp; supranationals","Tax Liability "&amp;IF(MONTH('Other financial Liabilities'!I20)=1,"January ",IF(MONTH('Other financial Liabilities'!I20)=2,"February ",IF(MONTH('Other financial Liabilities'!I20)=3,"March ",IF(MONTH('Other financial Liabilities'!I20)=4,"April ",IF(MONTH('Other financial Liabilities'!I20)=5,"May ",IF(MONTH('Other financial Liabilities'!I20)=6,"June ",IF(MONTH('Other financial Liabilities'!I20)=7,"July ",IF(MONTH('Other financial Liabilities'!I20)=8, "August ",  IF(MONTH('Other financial Liabilities'!I20)=9,"September ",IF(MONTH('Other financial Liabilities'!I20)=10,"October ",IF(MONTH('Other financial Liabilities'!I20)=11,"November ",IF(MONTH('Other financial Liabilities'!I20)=12,"December ",""))))))))))))&amp;YEAR('Other financial Liabilities'!I20),"")))</f>
        <v>WICANDER A B</v>
      </c>
      <c r="J26" s="14" t="str">
        <f>+IF(OR('Other financial Liabilities'!C20="",'Other financial Liabilities'!C20="#"),IF('Other financial Liabilities'!A20="",IF(F26="c001x   - Households","CSL"&amp;"001",IF(F26="c008x   - Government, central banks &amp; supranationals","TL"&amp;"001")),'Other financial Liabilities'!A20),'Other financial Liabilities'!C20)</f>
        <v>2100567112</v>
      </c>
      <c r="K26" s="14" t="str">
        <f>+IF(J26='Other financial Liabilities'!C20,"LEI code","Type of identifier, other than LEI or MFI code")</f>
        <v>Type of identifier, other than LEI or MFI code</v>
      </c>
      <c r="L26" s="14" t="s">
        <v>197</v>
      </c>
      <c r="M26" s="14" t="s">
        <v>198</v>
      </c>
      <c r="N26" s="14" t="s">
        <v>199</v>
      </c>
      <c r="O26" s="15">
        <v>101.82</v>
      </c>
      <c r="P26" s="15">
        <f>IF('Other financial Liabilities'!E20="",0,'Other financial Liabilities'!E20)</f>
        <v>0</v>
      </c>
      <c r="Q26" s="14">
        <f>IF('Other financial Liabilities'!F20="",0,'Other financial Liabilities'!F20)</f>
        <v>0</v>
      </c>
      <c r="R26" s="14" t="s">
        <v>212</v>
      </c>
      <c r="S26" s="16" t="s">
        <v>250</v>
      </c>
      <c r="T26" s="16">
        <f t="shared" si="2"/>
        <v>44928</v>
      </c>
      <c r="U26" s="16">
        <f t="shared" si="3"/>
        <v>44928</v>
      </c>
      <c r="V26" s="14" t="s">
        <v>200</v>
      </c>
      <c r="W26" s="15">
        <v>0</v>
      </c>
      <c r="X26" s="15">
        <v>0</v>
      </c>
      <c r="Y26" s="15">
        <v>0</v>
      </c>
      <c r="Z26" s="14" t="s">
        <v>201</v>
      </c>
      <c r="AA26" s="15">
        <v>0</v>
      </c>
      <c r="AB26" s="14" t="s">
        <v>202</v>
      </c>
      <c r="AC26" s="17">
        <v>0</v>
      </c>
      <c r="AD26" s="20"/>
    </row>
    <row r="27" spans="3:30" ht="45.75" customHeight="1" thickBot="1" x14ac:dyDescent="0.5">
      <c r="C27" s="12">
        <f t="shared" si="0"/>
        <v>999</v>
      </c>
      <c r="D27" s="13">
        <f t="shared" si="4"/>
        <v>20</v>
      </c>
      <c r="E27" s="14" t="str">
        <f>IF(AND('Other financial Liabilities'!K21="",'Other financial Liabilities'!J21=1),"r0180 - Critical service liabilities (BRRD art. 44/2/g/ii)",IF(AND('Other financial Liabilities'!K21="",'Other financial Liabilities'!J21=2),"r0190 - Tax and social security authorities liabilities, if preferred (BRRD art. 44/2/g/iii)",'Other financial Liabilities'!K21))</f>
        <v>r0150 - Institution liabilities &lt; 7 days (BRRD art. 44/2/e)</v>
      </c>
      <c r="F27" s="14" t="str">
        <f>IF(OR('Other financial Liabilities'!G21="particulares",'Other financial Liabilities'!J21=1),"c001x   - Households",IF('Other financial Liabilities'!G21="outras empresas nao financeiras","c003x   - Corporates",IF('Other financial Liabilities'!G21="instituicoes de credito","c004x   - Institutions",IF('Other financial Liabilities'!G21="outras instituicoes financeiras","c005x   - Other financial corporations",IF(OR('Other financial Liabilities'!G21="setor publico",'Other financial Liabilities'!J21=2),"c008x   - Government, central banks &amp; supranationals","")))))</f>
        <v>c004x   - Institutions</v>
      </c>
      <c r="G27" s="14" t="str">
        <f t="shared" si="1"/>
        <v>Rank 9 - Ranking in insolvency (master scale)</v>
      </c>
      <c r="H27" s="14" t="str">
        <f>IF(F27="c004x   - Institutions",'Other financial Liabilities'!H21,IF(F27="c001x   - Households","CSL"&amp;IF(MONTH('Other financial Liabilities'!I21)=1,"JAN",IF(MONTH('Other financial Liabilities'!I21)=2,"FEV",IF(MONTH('Other financial Liabilities'!I21)=3,"MAR",IF(MONTH('Other financial Liabilities'!I21)=4,"ABR",IF(MONTH('Other financial Liabilities'!I21)=5,"MAI",IF(MONTH('Other financial Liabilities'!I21)=6,"JUN",IF(MONTH('Other financial Liabilities'!I21)=7,"JUL",IF(MONTH('Other financial Liabilities'!I21)=8,"AGO",IF(MONTH('Other financial Liabilities'!I21)=9,"SET",IF(MONTH('Other financial Liabilities'!I21)=10,"OUT",IF(MONTH('Other financial Liabilities'!I21)=11,"NOV",IF(MONTH('Other financial Liabilities'!I21)=12,"DEZ",""))))))))))))&amp;LEFT(YEAR('Other financial Liabilities'!I21),2),IF(F27="c008x   - Government, central banks &amp; supranationals","TL"&amp;IF(MONTH('Other financial Liabilities'!I21)=1,"JAN",IF(MONTH('Other financial Liabilities'!I21)=2,"FEV",IF(MONTH('Other financial Liabilities'!I21)=3,"MAR",IF(MONTH('Other financial Liabilities'!I21)=4,"ABR",IF(MONTH('Other financial Liabilities'!I21)=5,"MAI",IF(MONTH('Other financial Liabilities'!I21)=6,"JUN",IF(MONTH('Other financial Liabilities'!I21)=7,"JUL",IF(MONTH('Other financial Liabilities'!I21)=8,"AGO",IF(MONTH('Other financial Liabilities'!I21)=9,"SET",IF(MONTH('Other financial Liabilities'!I21)=10,"OUT",IF(MONTH('Other financial Liabilities'!I21)=11,"NOV",IF(MONTH('Other financial Liabilities'!I21)=12,"DEZ",""))))))))))))&amp;LEFT(YEAR('Other financial Liabilities'!I21),2),"")))</f>
        <v>NATWEST SECURITIES LIMITED</v>
      </c>
      <c r="I27" s="14" t="str">
        <f>IF(F27="c004x   - Institutions",'Other financial Liabilities'!H21,IF(F27="c001x   - Households","Critical Service Liability "&amp;IF(MONTH('Other financial Liabilities'!I21)=1,"January ",IF(MONTH('Other financial Liabilities'!I21)=2,"February ",IF(MONTH('Other financial Liabilities'!I21)=3,"March ",IF(MONTH('Other financial Liabilities'!I21)=4, "April ",IF(MONTH('Other financial Liabilities'!I21)=5,"May ",IF(MONTH('Other financial Liabilities'!I21)=6,"June ",IF(MONTH('Other financial Liabilities'!I21)=7,"July ",IF(MONTH('Other financial Liabilities'!I21)=8,"August ",IF(MONTH('Other financial Liabilities'!I21)=9,"September ",IF(MONTH('Other financial Liabilities'!I21)=10,"October",  IF(MONTH('Other financial Liabilities'!I21)=11,"November ",IF(MONTH('Other financial Liabilities'!I21)=12,"December ",""))))))))))))&amp;YEAR('Other financial Liabilities'!I21),IF(F27="c008x   - Government, central banks &amp; supranationals","Tax Liability "&amp;IF(MONTH('Other financial Liabilities'!I21)=1,"January ",IF(MONTH('Other financial Liabilities'!I21)=2,"February ",IF(MONTH('Other financial Liabilities'!I21)=3,"March ",IF(MONTH('Other financial Liabilities'!I21)=4,"April ",IF(MONTH('Other financial Liabilities'!I21)=5,"May ",IF(MONTH('Other financial Liabilities'!I21)=6,"June ",IF(MONTH('Other financial Liabilities'!I21)=7,"July ",IF(MONTH('Other financial Liabilities'!I21)=8, "August ",  IF(MONTH('Other financial Liabilities'!I21)=9,"September ",IF(MONTH('Other financial Liabilities'!I21)=10,"October ",IF(MONTH('Other financial Liabilities'!I21)=11,"November ",IF(MONTH('Other financial Liabilities'!I21)=12,"December ",""))))))))))))&amp;YEAR('Other financial Liabilities'!I21),"")))</f>
        <v>NATWEST SECURITIES LIMITED</v>
      </c>
      <c r="J27" s="14" t="str">
        <f>+IF(OR('Other financial Liabilities'!C21="",'Other financial Liabilities'!C21="#"),IF('Other financial Liabilities'!A21="",IF(F27="c001x   - Households","CSL"&amp;"001",IF(F27="c008x   - Government, central banks &amp; supranationals","TL"&amp;"001")),'Other financial Liabilities'!A21),'Other financial Liabilities'!C21)</f>
        <v>2100592678</v>
      </c>
      <c r="K27" s="14" t="str">
        <f>+IF(J27='Other financial Liabilities'!C21,"LEI code","Type of identifier, other than LEI or MFI code")</f>
        <v>Type of identifier, other than LEI or MFI code</v>
      </c>
      <c r="L27" s="14" t="s">
        <v>197</v>
      </c>
      <c r="M27" s="14" t="s">
        <v>198</v>
      </c>
      <c r="N27" s="14" t="s">
        <v>199</v>
      </c>
      <c r="O27" s="15">
        <v>44330.37</v>
      </c>
      <c r="P27" s="15">
        <f>IF('Other financial Liabilities'!E21="",0,'Other financial Liabilities'!E21)</f>
        <v>0</v>
      </c>
      <c r="Q27" s="14">
        <f>IF('Other financial Liabilities'!F21="",0,'Other financial Liabilities'!F21)</f>
        <v>0</v>
      </c>
      <c r="R27" s="14" t="s">
        <v>212</v>
      </c>
      <c r="S27" s="16" t="s">
        <v>250</v>
      </c>
      <c r="T27" s="16">
        <f t="shared" si="2"/>
        <v>44928</v>
      </c>
      <c r="U27" s="16">
        <f t="shared" si="3"/>
        <v>44928</v>
      </c>
      <c r="V27" s="14" t="s">
        <v>200</v>
      </c>
      <c r="W27" s="15">
        <v>0</v>
      </c>
      <c r="X27" s="15">
        <v>0</v>
      </c>
      <c r="Y27" s="15">
        <v>0</v>
      </c>
      <c r="Z27" s="14" t="s">
        <v>201</v>
      </c>
      <c r="AA27" s="15">
        <v>0</v>
      </c>
      <c r="AB27" s="14" t="s">
        <v>202</v>
      </c>
      <c r="AC27" s="17">
        <v>0</v>
      </c>
      <c r="AD27" s="20"/>
    </row>
    <row r="28" spans="3:30" ht="45.75" customHeight="1" thickBot="1" x14ac:dyDescent="0.5">
      <c r="C28" s="12">
        <f t="shared" si="0"/>
        <v>999</v>
      </c>
      <c r="D28" s="13">
        <f t="shared" si="4"/>
        <v>21</v>
      </c>
      <c r="E28" s="14" t="str">
        <f>IF(AND('Other financial Liabilities'!K22="",'Other financial Liabilities'!J22=1),"r0180 - Critical service liabilities (BRRD art. 44/2/g/ii)",IF(AND('Other financial Liabilities'!K22="",'Other financial Liabilities'!J22=2),"r0190 - Tax and social security authorities liabilities, if preferred (BRRD art. 44/2/g/iii)",'Other financial Liabilities'!K22))</f>
        <v>r0150 - Institution liabilities &lt; 7 days (BRRD art. 44/2/e)</v>
      </c>
      <c r="F28" s="14" t="str">
        <f>IF(OR('Other financial Liabilities'!G22="particulares",'Other financial Liabilities'!J22=1),"c001x   - Households",IF('Other financial Liabilities'!G22="outras empresas nao financeiras","c003x   - Corporates",IF('Other financial Liabilities'!G22="instituicoes de credito","c004x   - Institutions",IF('Other financial Liabilities'!G22="outras instituicoes financeiras","c005x   - Other financial corporations",IF(OR('Other financial Liabilities'!G22="setor publico",'Other financial Liabilities'!J22=2),"c008x   - Government, central banks &amp; supranationals","")))))</f>
        <v>c004x   - Institutions</v>
      </c>
      <c r="G28" s="14" t="str">
        <f t="shared" si="1"/>
        <v>Rank 9 - Ranking in insolvency (master scale)</v>
      </c>
      <c r="H28" s="14" t="str">
        <f>IF(F28="c004x   - Institutions",'Other financial Liabilities'!H22,IF(F28="c001x   - Households","CSL"&amp;IF(MONTH('Other financial Liabilities'!I22)=1,"JAN",IF(MONTH('Other financial Liabilities'!I22)=2,"FEV",IF(MONTH('Other financial Liabilities'!I22)=3,"MAR",IF(MONTH('Other financial Liabilities'!I22)=4,"ABR",IF(MONTH('Other financial Liabilities'!I22)=5,"MAI",IF(MONTH('Other financial Liabilities'!I22)=6,"JUN",IF(MONTH('Other financial Liabilities'!I22)=7,"JUL",IF(MONTH('Other financial Liabilities'!I22)=8,"AGO",IF(MONTH('Other financial Liabilities'!I22)=9,"SET",IF(MONTH('Other financial Liabilities'!I22)=10,"OUT",IF(MONTH('Other financial Liabilities'!I22)=11,"NOV",IF(MONTH('Other financial Liabilities'!I22)=12,"DEZ",""))))))))))))&amp;LEFT(YEAR('Other financial Liabilities'!I22),2),IF(F28="c008x   - Government, central banks &amp; supranationals","TL"&amp;IF(MONTH('Other financial Liabilities'!I22)=1,"JAN",IF(MONTH('Other financial Liabilities'!I22)=2,"FEV",IF(MONTH('Other financial Liabilities'!I22)=3,"MAR",IF(MONTH('Other financial Liabilities'!I22)=4,"ABR",IF(MONTH('Other financial Liabilities'!I22)=5,"MAI",IF(MONTH('Other financial Liabilities'!I22)=6,"JUN",IF(MONTH('Other financial Liabilities'!I22)=7,"JUL",IF(MONTH('Other financial Liabilities'!I22)=8,"AGO",IF(MONTH('Other financial Liabilities'!I22)=9,"SET",IF(MONTH('Other financial Liabilities'!I22)=10,"OUT",IF(MONTH('Other financial Liabilities'!I22)=11,"NOV",IF(MONTH('Other financial Liabilities'!I22)=12,"DEZ",""))))))))))))&amp;LEFT(YEAR('Other financial Liabilities'!I22),2),"")))</f>
        <v>CAIXA DE CREDITO AGRICOLA MUTUO DE TORRES VEDRAS, C.R.L</v>
      </c>
      <c r="I28" s="14" t="str">
        <f>IF(F28="c004x   - Institutions",'Other financial Liabilities'!H22,IF(F28="c001x   - Households","Critical Service Liability "&amp;IF(MONTH('Other financial Liabilities'!I22)=1,"January ",IF(MONTH('Other financial Liabilities'!I22)=2,"February ",IF(MONTH('Other financial Liabilities'!I22)=3,"March ",IF(MONTH('Other financial Liabilities'!I22)=4, "April ",IF(MONTH('Other financial Liabilities'!I22)=5,"May ",IF(MONTH('Other financial Liabilities'!I22)=6,"June ",IF(MONTH('Other financial Liabilities'!I22)=7,"July ",IF(MONTH('Other financial Liabilities'!I22)=8,"August ",IF(MONTH('Other financial Liabilities'!I22)=9,"September ",IF(MONTH('Other financial Liabilities'!I22)=10,"October",  IF(MONTH('Other financial Liabilities'!I22)=11,"November ",IF(MONTH('Other financial Liabilities'!I22)=12,"December ",""))))))))))))&amp;YEAR('Other financial Liabilities'!I22),IF(F28="c008x   - Government, central banks &amp; supranationals","Tax Liability "&amp;IF(MONTH('Other financial Liabilities'!I22)=1,"January ",IF(MONTH('Other financial Liabilities'!I22)=2,"February ",IF(MONTH('Other financial Liabilities'!I22)=3,"March ",IF(MONTH('Other financial Liabilities'!I22)=4,"April ",IF(MONTH('Other financial Liabilities'!I22)=5,"May ",IF(MONTH('Other financial Liabilities'!I22)=6,"June ",IF(MONTH('Other financial Liabilities'!I22)=7,"July ",IF(MONTH('Other financial Liabilities'!I22)=8, "August ",  IF(MONTH('Other financial Liabilities'!I22)=9,"September ",IF(MONTH('Other financial Liabilities'!I22)=10,"October ",IF(MONTH('Other financial Liabilities'!I22)=11,"November ",IF(MONTH('Other financial Liabilities'!I22)=12,"December ",""))))))))))))&amp;YEAR('Other financial Liabilities'!I22),"")))</f>
        <v>CAIXA DE CREDITO AGRICOLA MUTUO DE TORRES VEDRAS, C.R.L</v>
      </c>
      <c r="J28" s="14" t="str">
        <f>+IF(OR('Other financial Liabilities'!C22="",'Other financial Liabilities'!C22="#"),IF('Other financial Liabilities'!A22="",IF(F28="c001x   - Households","CSL"&amp;"001",IF(F28="c008x   - Government, central banks &amp; supranationals","TL"&amp;"001")),'Other financial Liabilities'!A22),'Other financial Liabilities'!C22)</f>
        <v>2100643088</v>
      </c>
      <c r="K28" s="14" t="str">
        <f>+IF(J28='Other financial Liabilities'!C22,"LEI code","Type of identifier, other than LEI or MFI code")</f>
        <v>Type of identifier, other than LEI or MFI code</v>
      </c>
      <c r="L28" s="14" t="s">
        <v>197</v>
      </c>
      <c r="M28" s="14" t="s">
        <v>198</v>
      </c>
      <c r="N28" s="14" t="s">
        <v>199</v>
      </c>
      <c r="O28" s="15">
        <v>435057.78</v>
      </c>
      <c r="P28" s="15">
        <f>IF('Other financial Liabilities'!E22="",0,'Other financial Liabilities'!E22)</f>
        <v>0</v>
      </c>
      <c r="Q28" s="14">
        <f>IF('Other financial Liabilities'!F22="",0,'Other financial Liabilities'!F22)</f>
        <v>0</v>
      </c>
      <c r="R28" s="14" t="s">
        <v>212</v>
      </c>
      <c r="S28" s="16" t="s">
        <v>250</v>
      </c>
      <c r="T28" s="16">
        <f t="shared" si="2"/>
        <v>44928</v>
      </c>
      <c r="U28" s="16">
        <f t="shared" si="3"/>
        <v>44928</v>
      </c>
      <c r="V28" s="14" t="s">
        <v>200</v>
      </c>
      <c r="W28" s="15">
        <v>0</v>
      </c>
      <c r="X28" s="15">
        <v>0</v>
      </c>
      <c r="Y28" s="15">
        <v>0</v>
      </c>
      <c r="Z28" s="14" t="s">
        <v>201</v>
      </c>
      <c r="AA28" s="15">
        <v>0</v>
      </c>
      <c r="AB28" s="14" t="s">
        <v>202</v>
      </c>
      <c r="AC28" s="17">
        <v>0</v>
      </c>
      <c r="AD28" s="20"/>
    </row>
    <row r="29" spans="3:30" ht="45.75" customHeight="1" thickBot="1" x14ac:dyDescent="0.5">
      <c r="C29" s="12">
        <f t="shared" si="0"/>
        <v>999</v>
      </c>
      <c r="D29" s="13">
        <f t="shared" si="4"/>
        <v>22</v>
      </c>
      <c r="E29" s="14" t="str">
        <f>IF(AND('Other financial Liabilities'!K23="",'Other financial Liabilities'!J23=1),"r0180 - Critical service liabilities (BRRD art. 44/2/g/ii)",IF(AND('Other financial Liabilities'!K23="",'Other financial Liabilities'!J23=2),"r0190 - Tax and social security authorities liabilities, if preferred (BRRD art. 44/2/g/iii)",'Other financial Liabilities'!K23))</f>
        <v>r0150 - Institution liabilities &lt; 7 days (BRRD art. 44/2/e)</v>
      </c>
      <c r="F29" s="14" t="str">
        <f>IF(OR('Other financial Liabilities'!G23="particulares",'Other financial Liabilities'!J23=1),"c001x   - Households",IF('Other financial Liabilities'!G23="outras empresas nao financeiras","c003x   - Corporates",IF('Other financial Liabilities'!G23="instituicoes de credito","c004x   - Institutions",IF('Other financial Liabilities'!G23="outras instituicoes financeiras","c005x   - Other financial corporations",IF(OR('Other financial Liabilities'!G23="setor publico",'Other financial Liabilities'!J23=2),"c008x   - Government, central banks &amp; supranationals","")))))</f>
        <v>c004x   - Institutions</v>
      </c>
      <c r="G29" s="14" t="str">
        <f t="shared" si="1"/>
        <v>Rank 9 - Ranking in insolvency (master scale)</v>
      </c>
      <c r="H29" s="14" t="str">
        <f>IF(F29="c004x   - Institutions",'Other financial Liabilities'!H23,IF(F29="c001x   - Households","CSL"&amp;IF(MONTH('Other financial Liabilities'!I23)=1,"JAN",IF(MONTH('Other financial Liabilities'!I23)=2,"FEV",IF(MONTH('Other financial Liabilities'!I23)=3,"MAR",IF(MONTH('Other financial Liabilities'!I23)=4,"ABR",IF(MONTH('Other financial Liabilities'!I23)=5,"MAI",IF(MONTH('Other financial Liabilities'!I23)=6,"JUN",IF(MONTH('Other financial Liabilities'!I23)=7,"JUL",IF(MONTH('Other financial Liabilities'!I23)=8,"AGO",IF(MONTH('Other financial Liabilities'!I23)=9,"SET",IF(MONTH('Other financial Liabilities'!I23)=10,"OUT",IF(MONTH('Other financial Liabilities'!I23)=11,"NOV",IF(MONTH('Other financial Liabilities'!I23)=12,"DEZ",""))))))))))))&amp;LEFT(YEAR('Other financial Liabilities'!I23),2),IF(F29="c008x   - Government, central banks &amp; supranationals","TL"&amp;IF(MONTH('Other financial Liabilities'!I23)=1,"JAN",IF(MONTH('Other financial Liabilities'!I23)=2,"FEV",IF(MONTH('Other financial Liabilities'!I23)=3,"MAR",IF(MONTH('Other financial Liabilities'!I23)=4,"ABR",IF(MONTH('Other financial Liabilities'!I23)=5,"MAI",IF(MONTH('Other financial Liabilities'!I23)=6,"JUN",IF(MONTH('Other financial Liabilities'!I23)=7,"JUL",IF(MONTH('Other financial Liabilities'!I23)=8,"AGO",IF(MONTH('Other financial Liabilities'!I23)=9,"SET",IF(MONTH('Other financial Liabilities'!I23)=10,"OUT",IF(MONTH('Other financial Liabilities'!I23)=11,"NOV",IF(MONTH('Other financial Liabilities'!I23)=12,"DEZ",""))))))))))))&amp;LEFT(YEAR('Other financial Liabilities'!I23),2),"")))</f>
        <v>BANIF INTERNATIONAL BANK LTD - LIQUIDATION TRUSTEE ACCOUNT</v>
      </c>
      <c r="I29" s="14" t="str">
        <f>IF(F29="c004x   - Institutions",'Other financial Liabilities'!H23,IF(F29="c001x   - Households","Critical Service Liability "&amp;IF(MONTH('Other financial Liabilities'!I23)=1,"January ",IF(MONTH('Other financial Liabilities'!I23)=2,"February ",IF(MONTH('Other financial Liabilities'!I23)=3,"March ",IF(MONTH('Other financial Liabilities'!I23)=4, "April ",IF(MONTH('Other financial Liabilities'!I23)=5,"May ",IF(MONTH('Other financial Liabilities'!I23)=6,"June ",IF(MONTH('Other financial Liabilities'!I23)=7,"July ",IF(MONTH('Other financial Liabilities'!I23)=8,"August ",IF(MONTH('Other financial Liabilities'!I23)=9,"September ",IF(MONTH('Other financial Liabilities'!I23)=10,"October",  IF(MONTH('Other financial Liabilities'!I23)=11,"November ",IF(MONTH('Other financial Liabilities'!I23)=12,"December ",""))))))))))))&amp;YEAR('Other financial Liabilities'!I23),IF(F29="c008x   - Government, central banks &amp; supranationals","Tax Liability "&amp;IF(MONTH('Other financial Liabilities'!I23)=1,"January ",IF(MONTH('Other financial Liabilities'!I23)=2,"February ",IF(MONTH('Other financial Liabilities'!I23)=3,"March ",IF(MONTH('Other financial Liabilities'!I23)=4,"April ",IF(MONTH('Other financial Liabilities'!I23)=5,"May ",IF(MONTH('Other financial Liabilities'!I23)=6,"June ",IF(MONTH('Other financial Liabilities'!I23)=7,"July ",IF(MONTH('Other financial Liabilities'!I23)=8, "August ",  IF(MONTH('Other financial Liabilities'!I23)=9,"September ",IF(MONTH('Other financial Liabilities'!I23)=10,"October ",IF(MONTH('Other financial Liabilities'!I23)=11,"November ",IF(MONTH('Other financial Liabilities'!I23)=12,"December ",""))))))))))))&amp;YEAR('Other financial Liabilities'!I23),"")))</f>
        <v>BANIF INTERNATIONAL BANK LTD - LIQUIDATION TRUSTEE ACCOUNT</v>
      </c>
      <c r="J29" s="14" t="str">
        <f>+IF(OR('Other financial Liabilities'!C23="",'Other financial Liabilities'!C23="#"),IF('Other financial Liabilities'!A23="",IF(F29="c001x   - Households","CSL"&amp;"001",IF(F29="c008x   - Government, central banks &amp; supranationals","TL"&amp;"001")),'Other financial Liabilities'!A23),'Other financial Liabilities'!C23)</f>
        <v>549300L5RVCMYDNX9E40</v>
      </c>
      <c r="K29" s="14" t="str">
        <f>+IF(J29='Other financial Liabilities'!C23,"LEI code","Type of identifier, other than LEI or MFI code")</f>
        <v>LEI code</v>
      </c>
      <c r="L29" s="14" t="s">
        <v>197</v>
      </c>
      <c r="M29" s="14" t="s">
        <v>198</v>
      </c>
      <c r="N29" s="14" t="s">
        <v>199</v>
      </c>
      <c r="O29" s="15">
        <v>29573.82</v>
      </c>
      <c r="P29" s="15">
        <f>IF('Other financial Liabilities'!E23="",0,'Other financial Liabilities'!E23)</f>
        <v>0</v>
      </c>
      <c r="Q29" s="14">
        <f>IF('Other financial Liabilities'!F23="",0,'Other financial Liabilities'!F23)</f>
        <v>0</v>
      </c>
      <c r="R29" s="14" t="s">
        <v>212</v>
      </c>
      <c r="S29" s="16" t="s">
        <v>250</v>
      </c>
      <c r="T29" s="16">
        <f t="shared" si="2"/>
        <v>44928</v>
      </c>
      <c r="U29" s="16">
        <f t="shared" si="3"/>
        <v>44928</v>
      </c>
      <c r="V29" s="14" t="s">
        <v>200</v>
      </c>
      <c r="W29" s="15">
        <v>0</v>
      </c>
      <c r="X29" s="15">
        <v>0</v>
      </c>
      <c r="Y29" s="15">
        <v>0</v>
      </c>
      <c r="Z29" s="14" t="s">
        <v>201</v>
      </c>
      <c r="AA29" s="15">
        <v>0</v>
      </c>
      <c r="AB29" s="14" t="s">
        <v>202</v>
      </c>
      <c r="AC29" s="17">
        <v>0</v>
      </c>
      <c r="AD29" s="20"/>
    </row>
    <row r="30" spans="3:30" ht="45.75" customHeight="1" thickBot="1" x14ac:dyDescent="0.5">
      <c r="C30" s="12">
        <f t="shared" si="0"/>
        <v>999</v>
      </c>
      <c r="D30" s="13">
        <f t="shared" si="4"/>
        <v>23</v>
      </c>
      <c r="E30" s="14" t="str">
        <f>IF(AND('Other financial Liabilities'!K24="",'Other financial Liabilities'!J24=1),"r0180 - Critical service liabilities (BRRD art. 44/2/g/ii)",IF(AND('Other financial Liabilities'!K24="",'Other financial Liabilities'!J24=2),"r0190 - Tax and social security authorities liabilities, if preferred (BRRD art. 44/2/g/iii)",'Other financial Liabilities'!K24))</f>
        <v>r0150 - Institution liabilities &lt; 7 days (BRRD art. 44/2/e)</v>
      </c>
      <c r="F30" s="14" t="str">
        <f>IF(OR('Other financial Liabilities'!G24="particulares",'Other financial Liabilities'!J24=1),"c001x   - Households",IF('Other financial Liabilities'!G24="outras empresas nao financeiras","c003x   - Corporates",IF('Other financial Liabilities'!G24="instituicoes de credito","c004x   - Institutions",IF('Other financial Liabilities'!G24="outras instituicoes financeiras","c005x   - Other financial corporations",IF(OR('Other financial Liabilities'!G24="setor publico",'Other financial Liabilities'!J24=2),"c008x   - Government, central banks &amp; supranationals","")))))</f>
        <v>c004x   - Institutions</v>
      </c>
      <c r="G30" s="14" t="str">
        <f t="shared" si="1"/>
        <v>Rank 9 - Ranking in insolvency (master scale)</v>
      </c>
      <c r="H30" s="14" t="str">
        <f>IF(F30="c004x   - Institutions",'Other financial Liabilities'!H24,IF(F30="c001x   - Households","CSL"&amp;IF(MONTH('Other financial Liabilities'!I24)=1,"JAN",IF(MONTH('Other financial Liabilities'!I24)=2,"FEV",IF(MONTH('Other financial Liabilities'!I24)=3,"MAR",IF(MONTH('Other financial Liabilities'!I24)=4,"ABR",IF(MONTH('Other financial Liabilities'!I24)=5,"MAI",IF(MONTH('Other financial Liabilities'!I24)=6,"JUN",IF(MONTH('Other financial Liabilities'!I24)=7,"JUL",IF(MONTH('Other financial Liabilities'!I24)=8,"AGO",IF(MONTH('Other financial Liabilities'!I24)=9,"SET",IF(MONTH('Other financial Liabilities'!I24)=10,"OUT",IF(MONTH('Other financial Liabilities'!I24)=11,"NOV",IF(MONTH('Other financial Liabilities'!I24)=12,"DEZ",""))))))))))))&amp;LEFT(YEAR('Other financial Liabilities'!I24),2),IF(F30="c008x   - Government, central banks &amp; supranationals","TL"&amp;IF(MONTH('Other financial Liabilities'!I24)=1,"JAN",IF(MONTH('Other financial Liabilities'!I24)=2,"FEV",IF(MONTH('Other financial Liabilities'!I24)=3,"MAR",IF(MONTH('Other financial Liabilities'!I24)=4,"ABR",IF(MONTH('Other financial Liabilities'!I24)=5,"MAI",IF(MONTH('Other financial Liabilities'!I24)=6,"JUN",IF(MONTH('Other financial Liabilities'!I24)=7,"JUL",IF(MONTH('Other financial Liabilities'!I24)=8,"AGO",IF(MONTH('Other financial Liabilities'!I24)=9,"SET",IF(MONTH('Other financial Liabilities'!I24)=10,"OUT",IF(MONTH('Other financial Liabilities'!I24)=11,"NOV",IF(MONTH('Other financial Liabilities'!I24)=12,"DEZ",""))))))))))))&amp;LEFT(YEAR('Other financial Liabilities'!I24),2),"")))</f>
        <v>NATEXIS BANQUES POPULAIRES</v>
      </c>
      <c r="I30" s="14" t="str">
        <f>IF(F30="c004x   - Institutions",'Other financial Liabilities'!H24,IF(F30="c001x   - Households","Critical Service Liability "&amp;IF(MONTH('Other financial Liabilities'!I24)=1,"January ",IF(MONTH('Other financial Liabilities'!I24)=2,"February ",IF(MONTH('Other financial Liabilities'!I24)=3,"March ",IF(MONTH('Other financial Liabilities'!I24)=4, "April ",IF(MONTH('Other financial Liabilities'!I24)=5,"May ",IF(MONTH('Other financial Liabilities'!I24)=6,"June ",IF(MONTH('Other financial Liabilities'!I24)=7,"July ",IF(MONTH('Other financial Liabilities'!I24)=8,"August ",IF(MONTH('Other financial Liabilities'!I24)=9,"September ",IF(MONTH('Other financial Liabilities'!I24)=10,"October",  IF(MONTH('Other financial Liabilities'!I24)=11,"November ",IF(MONTH('Other financial Liabilities'!I24)=12,"December ",""))))))))))))&amp;YEAR('Other financial Liabilities'!I24),IF(F30="c008x   - Government, central banks &amp; supranationals","Tax Liability "&amp;IF(MONTH('Other financial Liabilities'!I24)=1,"January ",IF(MONTH('Other financial Liabilities'!I24)=2,"February ",IF(MONTH('Other financial Liabilities'!I24)=3,"March ",IF(MONTH('Other financial Liabilities'!I24)=4,"April ",IF(MONTH('Other financial Liabilities'!I24)=5,"May ",IF(MONTH('Other financial Liabilities'!I24)=6,"June ",IF(MONTH('Other financial Liabilities'!I24)=7,"July ",IF(MONTH('Other financial Liabilities'!I24)=8, "August ",  IF(MONTH('Other financial Liabilities'!I24)=9,"September ",IF(MONTH('Other financial Liabilities'!I24)=10,"October ",IF(MONTH('Other financial Liabilities'!I24)=11,"November ",IF(MONTH('Other financial Liabilities'!I24)=12,"December ",""))))))))))))&amp;YEAR('Other financial Liabilities'!I24),"")))</f>
        <v>NATEXIS BANQUES POPULAIRES</v>
      </c>
      <c r="J30" s="14" t="str">
        <f>+IF(OR('Other financial Liabilities'!C24="",'Other financial Liabilities'!C24="#"),IF('Other financial Liabilities'!A24="",IF(F30="c001x   - Households","CSL"&amp;"001",IF(F30="c008x   - Government, central banks &amp; supranationals","TL"&amp;"001")),'Other financial Liabilities'!A24),'Other financial Liabilities'!C24)</f>
        <v>3311000078</v>
      </c>
      <c r="K30" s="14" t="str">
        <f>+IF(J30='Other financial Liabilities'!C24,"LEI code","Type of identifier, other than LEI or MFI code")</f>
        <v>Type of identifier, other than LEI or MFI code</v>
      </c>
      <c r="L30" s="14" t="s">
        <v>197</v>
      </c>
      <c r="M30" s="14" t="s">
        <v>198</v>
      </c>
      <c r="N30" s="14" t="s">
        <v>199</v>
      </c>
      <c r="O30" s="15">
        <v>55805.02</v>
      </c>
      <c r="P30" s="15">
        <f>IF('Other financial Liabilities'!E24="",0,'Other financial Liabilities'!E24)</f>
        <v>0</v>
      </c>
      <c r="Q30" s="14">
        <f>IF('Other financial Liabilities'!F24="",0,'Other financial Liabilities'!F24)</f>
        <v>0</v>
      </c>
      <c r="R30" s="14" t="s">
        <v>212</v>
      </c>
      <c r="S30" s="16" t="s">
        <v>250</v>
      </c>
      <c r="T30" s="16">
        <f t="shared" si="2"/>
        <v>44928</v>
      </c>
      <c r="U30" s="16">
        <f t="shared" si="3"/>
        <v>44928</v>
      </c>
      <c r="V30" s="14" t="s">
        <v>200</v>
      </c>
      <c r="W30" s="15">
        <v>0</v>
      </c>
      <c r="X30" s="15">
        <v>0</v>
      </c>
      <c r="Y30" s="15">
        <v>0</v>
      </c>
      <c r="Z30" s="14" t="s">
        <v>201</v>
      </c>
      <c r="AA30" s="15">
        <v>0</v>
      </c>
      <c r="AB30" s="14" t="s">
        <v>202</v>
      </c>
      <c r="AC30" s="17">
        <v>0</v>
      </c>
      <c r="AD30" s="20"/>
    </row>
    <row r="31" spans="3:30" ht="45.75" customHeight="1" thickBot="1" x14ac:dyDescent="0.5">
      <c r="C31" s="12">
        <f t="shared" si="0"/>
        <v>999</v>
      </c>
      <c r="D31" s="13">
        <f t="shared" si="4"/>
        <v>24</v>
      </c>
      <c r="E31" s="14" t="str">
        <f>IF(AND('Other financial Liabilities'!K25="",'Other financial Liabilities'!J25=1),"r0180 - Critical service liabilities (BRRD art. 44/2/g/ii)",IF(AND('Other financial Liabilities'!K25="",'Other financial Liabilities'!J25=2),"r0190 - Tax and social security authorities liabilities, if preferred (BRRD art. 44/2/g/iii)",'Other financial Liabilities'!K25))</f>
        <v>r0150 - Institution liabilities &lt; 7 days (BRRD art. 44/2/e)</v>
      </c>
      <c r="F31" s="14" t="str">
        <f>IF(OR('Other financial Liabilities'!G25="particulares",'Other financial Liabilities'!J25=1),"c001x   - Households",IF('Other financial Liabilities'!G25="outras empresas nao financeiras","c003x   - Corporates",IF('Other financial Liabilities'!G25="instituicoes de credito","c004x   - Institutions",IF('Other financial Liabilities'!G25="outras instituicoes financeiras","c005x   - Other financial corporations",IF(OR('Other financial Liabilities'!G25="setor publico",'Other financial Liabilities'!J25=2),"c008x   - Government, central banks &amp; supranationals","")))))</f>
        <v>c004x   - Institutions</v>
      </c>
      <c r="G31" s="14" t="str">
        <f t="shared" si="1"/>
        <v>Rank 9 - Ranking in insolvency (master scale)</v>
      </c>
      <c r="H31" s="14" t="str">
        <f>IF(F31="c004x   - Institutions",'Other financial Liabilities'!H25,IF(F31="c001x   - Households","CSL"&amp;IF(MONTH('Other financial Liabilities'!I25)=1,"JAN",IF(MONTH('Other financial Liabilities'!I25)=2,"FEV",IF(MONTH('Other financial Liabilities'!I25)=3,"MAR",IF(MONTH('Other financial Liabilities'!I25)=4,"ABR",IF(MONTH('Other financial Liabilities'!I25)=5,"MAI",IF(MONTH('Other financial Liabilities'!I25)=6,"JUN",IF(MONTH('Other financial Liabilities'!I25)=7,"JUL",IF(MONTH('Other financial Liabilities'!I25)=8,"AGO",IF(MONTH('Other financial Liabilities'!I25)=9,"SET",IF(MONTH('Other financial Liabilities'!I25)=10,"OUT",IF(MONTH('Other financial Liabilities'!I25)=11,"NOV",IF(MONTH('Other financial Liabilities'!I25)=12,"DEZ",""))))))))))))&amp;LEFT(YEAR('Other financial Liabilities'!I25),2),IF(F31="c008x   - Government, central banks &amp; supranationals","TL"&amp;IF(MONTH('Other financial Liabilities'!I25)=1,"JAN",IF(MONTH('Other financial Liabilities'!I25)=2,"FEV",IF(MONTH('Other financial Liabilities'!I25)=3,"MAR",IF(MONTH('Other financial Liabilities'!I25)=4,"ABR",IF(MONTH('Other financial Liabilities'!I25)=5,"MAI",IF(MONTH('Other financial Liabilities'!I25)=6,"JUN",IF(MONTH('Other financial Liabilities'!I25)=7,"JUL",IF(MONTH('Other financial Liabilities'!I25)=8,"AGO",IF(MONTH('Other financial Liabilities'!I25)=9,"SET",IF(MONTH('Other financial Liabilities'!I25)=10,"OUT",IF(MONTH('Other financial Liabilities'!I25)=11,"NOV",IF(MONTH('Other financial Liabilities'!I25)=12,"DEZ",""))))))))))))&amp;LEFT(YEAR('Other financial Liabilities'!I25),2),"")))</f>
        <v>UNICREDIT BANK AUSTRIA AG AG</v>
      </c>
      <c r="I31" s="14" t="str">
        <f>IF(F31="c004x   - Institutions",'Other financial Liabilities'!H25,IF(F31="c001x   - Households","Critical Service Liability "&amp;IF(MONTH('Other financial Liabilities'!I25)=1,"January ",IF(MONTH('Other financial Liabilities'!I25)=2,"February ",IF(MONTH('Other financial Liabilities'!I25)=3,"March ",IF(MONTH('Other financial Liabilities'!I25)=4, "April ",IF(MONTH('Other financial Liabilities'!I25)=5,"May ",IF(MONTH('Other financial Liabilities'!I25)=6,"June ",IF(MONTH('Other financial Liabilities'!I25)=7,"July ",IF(MONTH('Other financial Liabilities'!I25)=8,"August ",IF(MONTH('Other financial Liabilities'!I25)=9,"September ",IF(MONTH('Other financial Liabilities'!I25)=10,"October",  IF(MONTH('Other financial Liabilities'!I25)=11,"November ",IF(MONTH('Other financial Liabilities'!I25)=12,"December ",""))))))))))))&amp;YEAR('Other financial Liabilities'!I25),IF(F31="c008x   - Government, central banks &amp; supranationals","Tax Liability "&amp;IF(MONTH('Other financial Liabilities'!I25)=1,"January ",IF(MONTH('Other financial Liabilities'!I25)=2,"February ",IF(MONTH('Other financial Liabilities'!I25)=3,"March ",IF(MONTH('Other financial Liabilities'!I25)=4,"April ",IF(MONTH('Other financial Liabilities'!I25)=5,"May ",IF(MONTH('Other financial Liabilities'!I25)=6,"June ",IF(MONTH('Other financial Liabilities'!I25)=7,"July ",IF(MONTH('Other financial Liabilities'!I25)=8, "August ",  IF(MONTH('Other financial Liabilities'!I25)=9,"September ",IF(MONTH('Other financial Liabilities'!I25)=10,"October ",IF(MONTH('Other financial Liabilities'!I25)=11,"November ",IF(MONTH('Other financial Liabilities'!I25)=12,"December ",""))))))))))))&amp;YEAR('Other financial Liabilities'!I25),"")))</f>
        <v>UNICREDIT BANK AUSTRIA AG AG</v>
      </c>
      <c r="J31" s="14" t="str">
        <f>+IF(OR('Other financial Liabilities'!C25="",'Other financial Liabilities'!C25="#"),IF('Other financial Liabilities'!A25="",IF(F31="c001x   - Households","CSL"&amp;"001",IF(F31="c008x   - Government, central banks &amp; supranationals","TL"&amp;"001")),'Other financial Liabilities'!A25),'Other financial Liabilities'!C25)</f>
        <v>5100010931</v>
      </c>
      <c r="K31" s="14" t="str">
        <f>+IF(J31='Other financial Liabilities'!C25,"LEI code","Type of identifier, other than LEI or MFI code")</f>
        <v>Type of identifier, other than LEI or MFI code</v>
      </c>
      <c r="L31" s="14" t="s">
        <v>197</v>
      </c>
      <c r="M31" s="14" t="s">
        <v>198</v>
      </c>
      <c r="N31" s="14" t="s">
        <v>199</v>
      </c>
      <c r="O31" s="15">
        <v>368839.37</v>
      </c>
      <c r="P31" s="15">
        <f>IF('Other financial Liabilities'!E25="",0,'Other financial Liabilities'!E25)</f>
        <v>0</v>
      </c>
      <c r="Q31" s="14">
        <f>IF('Other financial Liabilities'!F25="",0,'Other financial Liabilities'!F25)</f>
        <v>0</v>
      </c>
      <c r="R31" s="14" t="s">
        <v>212</v>
      </c>
      <c r="S31" s="16" t="s">
        <v>250</v>
      </c>
      <c r="T31" s="16">
        <f t="shared" si="2"/>
        <v>44928</v>
      </c>
      <c r="U31" s="16">
        <f t="shared" si="3"/>
        <v>44928</v>
      </c>
      <c r="V31" s="14" t="s">
        <v>200</v>
      </c>
      <c r="W31" s="15">
        <v>0</v>
      </c>
      <c r="X31" s="15">
        <v>0</v>
      </c>
      <c r="Y31" s="15">
        <v>0</v>
      </c>
      <c r="Z31" s="14" t="s">
        <v>201</v>
      </c>
      <c r="AA31" s="15">
        <v>0</v>
      </c>
      <c r="AB31" s="14" t="s">
        <v>202</v>
      </c>
      <c r="AC31" s="17">
        <v>0</v>
      </c>
      <c r="AD31" s="20"/>
    </row>
    <row r="32" spans="3:30" ht="45.75" customHeight="1" thickBot="1" x14ac:dyDescent="0.5">
      <c r="C32" s="12">
        <f t="shared" si="0"/>
        <v>999</v>
      </c>
      <c r="D32" s="13">
        <f t="shared" si="4"/>
        <v>25</v>
      </c>
      <c r="E32" s="14" t="str">
        <f>IF(AND('Other financial Liabilities'!K26="",'Other financial Liabilities'!J26=1),"r0180 - Critical service liabilities (BRRD art. 44/2/g/ii)",IF(AND('Other financial Liabilities'!K26="",'Other financial Liabilities'!J26=2),"r0190 - Tax and social security authorities liabilities, if preferred (BRRD art. 44/2/g/iii)",'Other financial Liabilities'!K26))</f>
        <v>r0150 - Institution liabilities &lt; 7 days (BRRD art. 44/2/e)</v>
      </c>
      <c r="F32" s="14" t="str">
        <f>IF(OR('Other financial Liabilities'!G26="particulares",'Other financial Liabilities'!J26=1),"c001x   - Households",IF('Other financial Liabilities'!G26="outras empresas nao financeiras","c003x   - Corporates",IF('Other financial Liabilities'!G26="instituicoes de credito","c004x   - Institutions",IF('Other financial Liabilities'!G26="outras instituicoes financeiras","c005x   - Other financial corporations",IF(OR('Other financial Liabilities'!G26="setor publico",'Other financial Liabilities'!J26=2),"c008x   - Government, central banks &amp; supranationals","")))))</f>
        <v>c004x   - Institutions</v>
      </c>
      <c r="G32" s="14" t="str">
        <f t="shared" si="1"/>
        <v>Rank 9 - Ranking in insolvency (master scale)</v>
      </c>
      <c r="H32" s="14" t="str">
        <f>IF(F32="c004x   - Institutions",'Other financial Liabilities'!H26,IF(F32="c001x   - Households","CSL"&amp;IF(MONTH('Other financial Liabilities'!I26)=1,"JAN",IF(MONTH('Other financial Liabilities'!I26)=2,"FEV",IF(MONTH('Other financial Liabilities'!I26)=3,"MAR",IF(MONTH('Other financial Liabilities'!I26)=4,"ABR",IF(MONTH('Other financial Liabilities'!I26)=5,"MAI",IF(MONTH('Other financial Liabilities'!I26)=6,"JUN",IF(MONTH('Other financial Liabilities'!I26)=7,"JUL",IF(MONTH('Other financial Liabilities'!I26)=8,"AGO",IF(MONTH('Other financial Liabilities'!I26)=9,"SET",IF(MONTH('Other financial Liabilities'!I26)=10,"OUT",IF(MONTH('Other financial Liabilities'!I26)=11,"NOV",IF(MONTH('Other financial Liabilities'!I26)=12,"DEZ",""))))))))))))&amp;LEFT(YEAR('Other financial Liabilities'!I26),2),IF(F32="c008x   - Government, central banks &amp; supranationals","TL"&amp;IF(MONTH('Other financial Liabilities'!I26)=1,"JAN",IF(MONTH('Other financial Liabilities'!I26)=2,"FEV",IF(MONTH('Other financial Liabilities'!I26)=3,"MAR",IF(MONTH('Other financial Liabilities'!I26)=4,"ABR",IF(MONTH('Other financial Liabilities'!I26)=5,"MAI",IF(MONTH('Other financial Liabilities'!I26)=6,"JUN",IF(MONTH('Other financial Liabilities'!I26)=7,"JUL",IF(MONTH('Other financial Liabilities'!I26)=8,"AGO",IF(MONTH('Other financial Liabilities'!I26)=9,"SET",IF(MONTH('Other financial Liabilities'!I26)=10,"OUT",IF(MONTH('Other financial Liabilities'!I26)=11,"NOV",IF(MONTH('Other financial Liabilities'!I26)=12,"DEZ",""))))))))))))&amp;LEFT(YEAR('Other financial Liabilities'!I26),2),"")))</f>
        <v>NOVO BANCO SA</v>
      </c>
      <c r="I32" s="14" t="str">
        <f>IF(F32="c004x   - Institutions",'Other financial Liabilities'!H26,IF(F32="c001x   - Households","Critical Service Liability "&amp;IF(MONTH('Other financial Liabilities'!I26)=1,"January ",IF(MONTH('Other financial Liabilities'!I26)=2,"February ",IF(MONTH('Other financial Liabilities'!I26)=3,"March ",IF(MONTH('Other financial Liabilities'!I26)=4, "April ",IF(MONTH('Other financial Liabilities'!I26)=5,"May ",IF(MONTH('Other financial Liabilities'!I26)=6,"June ",IF(MONTH('Other financial Liabilities'!I26)=7,"July ",IF(MONTH('Other financial Liabilities'!I26)=8,"August ",IF(MONTH('Other financial Liabilities'!I26)=9,"September ",IF(MONTH('Other financial Liabilities'!I26)=10,"October",  IF(MONTH('Other financial Liabilities'!I26)=11,"November ",IF(MONTH('Other financial Liabilities'!I26)=12,"December ",""))))))))))))&amp;YEAR('Other financial Liabilities'!I26),IF(F32="c008x   - Government, central banks &amp; supranationals","Tax Liability "&amp;IF(MONTH('Other financial Liabilities'!I26)=1,"January ",IF(MONTH('Other financial Liabilities'!I26)=2,"February ",IF(MONTH('Other financial Liabilities'!I26)=3,"March ",IF(MONTH('Other financial Liabilities'!I26)=4,"April ",IF(MONTH('Other financial Liabilities'!I26)=5,"May ",IF(MONTH('Other financial Liabilities'!I26)=6,"June ",IF(MONTH('Other financial Liabilities'!I26)=7,"July ",IF(MONTH('Other financial Liabilities'!I26)=8, "August ",  IF(MONTH('Other financial Liabilities'!I26)=9,"September ",IF(MONTH('Other financial Liabilities'!I26)=10,"October ",IF(MONTH('Other financial Liabilities'!I26)=11,"November ",IF(MONTH('Other financial Liabilities'!I26)=12,"December ",""))))))))))))&amp;YEAR('Other financial Liabilities'!I26),"")))</f>
        <v>NOVO BANCO SA</v>
      </c>
      <c r="J32" s="14" t="str">
        <f>+IF(OR('Other financial Liabilities'!C26="",'Other financial Liabilities'!C26="#"),IF('Other financial Liabilities'!A26="",IF(F32="c001x   - Households","CSL"&amp;"001",IF(F32="c008x   - Government, central banks &amp; supranationals","TL"&amp;"001")),'Other financial Liabilities'!A26),'Other financial Liabilities'!C26)</f>
        <v>5100010962</v>
      </c>
      <c r="K32" s="14" t="str">
        <f>+IF(J32='Other financial Liabilities'!C26,"LEI code","Type of identifier, other than LEI or MFI code")</f>
        <v>Type of identifier, other than LEI or MFI code</v>
      </c>
      <c r="L32" s="14" t="s">
        <v>197</v>
      </c>
      <c r="M32" s="14" t="s">
        <v>198</v>
      </c>
      <c r="N32" s="14" t="s">
        <v>199</v>
      </c>
      <c r="O32" s="15">
        <v>125738.5</v>
      </c>
      <c r="P32" s="15">
        <f>IF('Other financial Liabilities'!E26="",0,'Other financial Liabilities'!E26)</f>
        <v>0</v>
      </c>
      <c r="Q32" s="14">
        <f>IF('Other financial Liabilities'!F26="",0,'Other financial Liabilities'!F26)</f>
        <v>0</v>
      </c>
      <c r="R32" s="14" t="s">
        <v>212</v>
      </c>
      <c r="S32" s="16" t="s">
        <v>250</v>
      </c>
      <c r="T32" s="16">
        <f t="shared" si="2"/>
        <v>44928</v>
      </c>
      <c r="U32" s="16">
        <f t="shared" si="3"/>
        <v>44928</v>
      </c>
      <c r="V32" s="14" t="s">
        <v>200</v>
      </c>
      <c r="W32" s="15">
        <v>0</v>
      </c>
      <c r="X32" s="15">
        <v>0</v>
      </c>
      <c r="Y32" s="15">
        <v>0</v>
      </c>
      <c r="Z32" s="14" t="s">
        <v>201</v>
      </c>
      <c r="AA32" s="15">
        <v>0</v>
      </c>
      <c r="AB32" s="14" t="s">
        <v>202</v>
      </c>
      <c r="AC32" s="17">
        <v>0</v>
      </c>
      <c r="AD32" s="20"/>
    </row>
    <row r="33" spans="3:30" ht="45.75" customHeight="1" thickBot="1" x14ac:dyDescent="0.5">
      <c r="C33" s="12">
        <f t="shared" si="0"/>
        <v>999</v>
      </c>
      <c r="D33" s="13">
        <f t="shared" si="4"/>
        <v>26</v>
      </c>
      <c r="E33" s="14" t="str">
        <f>IF(AND('Other financial Liabilities'!K27="",'Other financial Liabilities'!J27=1),"r0180 - Critical service liabilities (BRRD art. 44/2/g/ii)",IF(AND('Other financial Liabilities'!K27="",'Other financial Liabilities'!J27=2),"r0190 - Tax and social security authorities liabilities, if preferred (BRRD art. 44/2/g/iii)",'Other financial Liabilities'!K27))</f>
        <v>r0150 - Institution liabilities &lt; 7 days (BRRD art. 44/2/e)</v>
      </c>
      <c r="F33" s="14" t="str">
        <f>IF(OR('Other financial Liabilities'!G27="particulares",'Other financial Liabilities'!J27=1),"c001x   - Households",IF('Other financial Liabilities'!G27="outras empresas nao financeiras","c003x   - Corporates",IF('Other financial Liabilities'!G27="instituicoes de credito","c004x   - Institutions",IF('Other financial Liabilities'!G27="outras instituicoes financeiras","c005x   - Other financial corporations",IF(OR('Other financial Liabilities'!G27="setor publico",'Other financial Liabilities'!J27=2),"c008x   - Government, central banks &amp; supranationals","")))))</f>
        <v>c004x   - Institutions</v>
      </c>
      <c r="G33" s="14" t="str">
        <f t="shared" si="1"/>
        <v>Rank 9 - Ranking in insolvency (master scale)</v>
      </c>
      <c r="H33" s="14" t="str">
        <f>IF(F33="c004x   - Institutions",'Other financial Liabilities'!H27,IF(F33="c001x   - Households","CSL"&amp;IF(MONTH('Other financial Liabilities'!I27)=1,"JAN",IF(MONTH('Other financial Liabilities'!I27)=2,"FEV",IF(MONTH('Other financial Liabilities'!I27)=3,"MAR",IF(MONTH('Other financial Liabilities'!I27)=4,"ABR",IF(MONTH('Other financial Liabilities'!I27)=5,"MAI",IF(MONTH('Other financial Liabilities'!I27)=6,"JUN",IF(MONTH('Other financial Liabilities'!I27)=7,"JUL",IF(MONTH('Other financial Liabilities'!I27)=8,"AGO",IF(MONTH('Other financial Liabilities'!I27)=9,"SET",IF(MONTH('Other financial Liabilities'!I27)=10,"OUT",IF(MONTH('Other financial Liabilities'!I27)=11,"NOV",IF(MONTH('Other financial Liabilities'!I27)=12,"DEZ",""))))))))))))&amp;LEFT(YEAR('Other financial Liabilities'!I27),2),IF(F33="c008x   - Government, central banks &amp; supranationals","TL"&amp;IF(MONTH('Other financial Liabilities'!I27)=1,"JAN",IF(MONTH('Other financial Liabilities'!I27)=2,"FEV",IF(MONTH('Other financial Liabilities'!I27)=3,"MAR",IF(MONTH('Other financial Liabilities'!I27)=4,"ABR",IF(MONTH('Other financial Liabilities'!I27)=5,"MAI",IF(MONTH('Other financial Liabilities'!I27)=6,"JUN",IF(MONTH('Other financial Liabilities'!I27)=7,"JUL",IF(MONTH('Other financial Liabilities'!I27)=8,"AGO",IF(MONTH('Other financial Liabilities'!I27)=9,"SET",IF(MONTH('Other financial Liabilities'!I27)=10,"OUT",IF(MONTH('Other financial Liabilities'!I27)=11,"NOV",IF(MONTH('Other financial Liabilities'!I27)=12,"DEZ",""))))))))))))&amp;LEFT(YEAR('Other financial Liabilities'!I27),2),"")))</f>
        <v>BNP PARIBAS</v>
      </c>
      <c r="I33" s="14" t="str">
        <f>IF(F33="c004x   - Institutions",'Other financial Liabilities'!H27,IF(F33="c001x   - Households","Critical Service Liability "&amp;IF(MONTH('Other financial Liabilities'!I27)=1,"January ",IF(MONTH('Other financial Liabilities'!I27)=2,"February ",IF(MONTH('Other financial Liabilities'!I27)=3,"March ",IF(MONTH('Other financial Liabilities'!I27)=4, "April ",IF(MONTH('Other financial Liabilities'!I27)=5,"May ",IF(MONTH('Other financial Liabilities'!I27)=6,"June ",IF(MONTH('Other financial Liabilities'!I27)=7,"July ",IF(MONTH('Other financial Liabilities'!I27)=8,"August ",IF(MONTH('Other financial Liabilities'!I27)=9,"September ",IF(MONTH('Other financial Liabilities'!I27)=10,"October",  IF(MONTH('Other financial Liabilities'!I27)=11,"November ",IF(MONTH('Other financial Liabilities'!I27)=12,"December ",""))))))))))))&amp;YEAR('Other financial Liabilities'!I27),IF(F33="c008x   - Government, central banks &amp; supranationals","Tax Liability "&amp;IF(MONTH('Other financial Liabilities'!I27)=1,"January ",IF(MONTH('Other financial Liabilities'!I27)=2,"February ",IF(MONTH('Other financial Liabilities'!I27)=3,"March ",IF(MONTH('Other financial Liabilities'!I27)=4,"April ",IF(MONTH('Other financial Liabilities'!I27)=5,"May ",IF(MONTH('Other financial Liabilities'!I27)=6,"June ",IF(MONTH('Other financial Liabilities'!I27)=7,"July ",IF(MONTH('Other financial Liabilities'!I27)=8, "August ",  IF(MONTH('Other financial Liabilities'!I27)=9,"September ",IF(MONTH('Other financial Liabilities'!I27)=10,"October ",IF(MONTH('Other financial Liabilities'!I27)=11,"November ",IF(MONTH('Other financial Liabilities'!I27)=12,"December ",""))))))))))))&amp;YEAR('Other financial Liabilities'!I27),"")))</f>
        <v>BNP PARIBAS</v>
      </c>
      <c r="J33" s="14" t="str">
        <f>+IF(OR('Other financial Liabilities'!C27="",'Other financial Liabilities'!C27="#"),IF('Other financial Liabilities'!A27="",IF(F33="c001x   - Households","CSL"&amp;"001",IF(F33="c008x   - Government, central banks &amp; supranationals","TL"&amp;"001")),'Other financial Liabilities'!A27),'Other financial Liabilities'!C27)</f>
        <v>5100011152</v>
      </c>
      <c r="K33" s="14" t="str">
        <f>+IF(J33='Other financial Liabilities'!C27,"LEI code","Type of identifier, other than LEI or MFI code")</f>
        <v>Type of identifier, other than LEI or MFI code</v>
      </c>
      <c r="L33" s="14" t="s">
        <v>197</v>
      </c>
      <c r="M33" s="14" t="s">
        <v>198</v>
      </c>
      <c r="N33" s="14" t="s">
        <v>199</v>
      </c>
      <c r="O33" s="15">
        <v>34235.629999999997</v>
      </c>
      <c r="P33" s="15">
        <f>IF('Other financial Liabilities'!E27="",0,'Other financial Liabilities'!E27)</f>
        <v>0</v>
      </c>
      <c r="Q33" s="14">
        <f>IF('Other financial Liabilities'!F27="",0,'Other financial Liabilities'!F27)</f>
        <v>0</v>
      </c>
      <c r="R33" s="14" t="s">
        <v>212</v>
      </c>
      <c r="S33" s="16" t="s">
        <v>250</v>
      </c>
      <c r="T33" s="16">
        <f t="shared" si="2"/>
        <v>44928</v>
      </c>
      <c r="U33" s="16">
        <f t="shared" si="3"/>
        <v>44928</v>
      </c>
      <c r="V33" s="14" t="s">
        <v>200</v>
      </c>
      <c r="W33" s="15">
        <v>0</v>
      </c>
      <c r="X33" s="15">
        <v>0</v>
      </c>
      <c r="Y33" s="15">
        <v>0</v>
      </c>
      <c r="Z33" s="14" t="s">
        <v>201</v>
      </c>
      <c r="AA33" s="15">
        <v>0</v>
      </c>
      <c r="AB33" s="14" t="s">
        <v>202</v>
      </c>
      <c r="AC33" s="17">
        <v>0</v>
      </c>
      <c r="AD33" s="20"/>
    </row>
    <row r="34" spans="3:30" ht="45.75" customHeight="1" thickBot="1" x14ac:dyDescent="0.5">
      <c r="C34" s="12">
        <f t="shared" si="0"/>
        <v>999</v>
      </c>
      <c r="D34" s="13">
        <f t="shared" si="4"/>
        <v>27</v>
      </c>
      <c r="E34" s="14" t="str">
        <f>IF(AND('Other financial Liabilities'!K28="",'Other financial Liabilities'!J28=1),"r0180 - Critical service liabilities (BRRD art. 44/2/g/ii)",IF(AND('Other financial Liabilities'!K28="",'Other financial Liabilities'!J28=2),"r0190 - Tax and social security authorities liabilities, if preferred (BRRD art. 44/2/g/iii)",'Other financial Liabilities'!K28))</f>
        <v>r0150 - Institution liabilities &lt; 7 days (BRRD art. 44/2/e)</v>
      </c>
      <c r="F34" s="14" t="str">
        <f>IF(OR('Other financial Liabilities'!G28="particulares",'Other financial Liabilities'!J28=1),"c001x   - Households",IF('Other financial Liabilities'!G28="outras empresas nao financeiras","c003x   - Corporates",IF('Other financial Liabilities'!G28="instituicoes de credito","c004x   - Institutions",IF('Other financial Liabilities'!G28="outras instituicoes financeiras","c005x   - Other financial corporations",IF(OR('Other financial Liabilities'!G28="setor publico",'Other financial Liabilities'!J28=2),"c008x   - Government, central banks &amp; supranationals","")))))</f>
        <v>c004x   - Institutions</v>
      </c>
      <c r="G34" s="14" t="str">
        <f t="shared" si="1"/>
        <v>Rank 9 - Ranking in insolvency (master scale)</v>
      </c>
      <c r="H34" s="14" t="str">
        <f>IF(F34="c004x   - Institutions",'Other financial Liabilities'!H28,IF(F34="c001x   - Households","CSL"&amp;IF(MONTH('Other financial Liabilities'!I28)=1,"JAN",IF(MONTH('Other financial Liabilities'!I28)=2,"FEV",IF(MONTH('Other financial Liabilities'!I28)=3,"MAR",IF(MONTH('Other financial Liabilities'!I28)=4,"ABR",IF(MONTH('Other financial Liabilities'!I28)=5,"MAI",IF(MONTH('Other financial Liabilities'!I28)=6,"JUN",IF(MONTH('Other financial Liabilities'!I28)=7,"JUL",IF(MONTH('Other financial Liabilities'!I28)=8,"AGO",IF(MONTH('Other financial Liabilities'!I28)=9,"SET",IF(MONTH('Other financial Liabilities'!I28)=10,"OUT",IF(MONTH('Other financial Liabilities'!I28)=11,"NOV",IF(MONTH('Other financial Liabilities'!I28)=12,"DEZ",""))))))))))))&amp;LEFT(YEAR('Other financial Liabilities'!I28),2),IF(F34="c008x   - Government, central banks &amp; supranationals","TL"&amp;IF(MONTH('Other financial Liabilities'!I28)=1,"JAN",IF(MONTH('Other financial Liabilities'!I28)=2,"FEV",IF(MONTH('Other financial Liabilities'!I28)=3,"MAR",IF(MONTH('Other financial Liabilities'!I28)=4,"ABR",IF(MONTH('Other financial Liabilities'!I28)=5,"MAI",IF(MONTH('Other financial Liabilities'!I28)=6,"JUN",IF(MONTH('Other financial Liabilities'!I28)=7,"JUL",IF(MONTH('Other financial Liabilities'!I28)=8,"AGO",IF(MONTH('Other financial Liabilities'!I28)=9,"SET",IF(MONTH('Other financial Liabilities'!I28)=10,"OUT",IF(MONTH('Other financial Liabilities'!I28)=11,"NOV",IF(MONTH('Other financial Liabilities'!I28)=12,"DEZ",""))))))))))))&amp;LEFT(YEAR('Other financial Liabilities'!I28),2),"")))</f>
        <v>TRASPASOS M E SA</v>
      </c>
      <c r="I34" s="14" t="str">
        <f>IF(F34="c004x   - Institutions",'Other financial Liabilities'!H28,IF(F34="c001x   - Households","Critical Service Liability "&amp;IF(MONTH('Other financial Liabilities'!I28)=1,"January ",IF(MONTH('Other financial Liabilities'!I28)=2,"February ",IF(MONTH('Other financial Liabilities'!I28)=3,"March ",IF(MONTH('Other financial Liabilities'!I28)=4, "April ",IF(MONTH('Other financial Liabilities'!I28)=5,"May ",IF(MONTH('Other financial Liabilities'!I28)=6,"June ",IF(MONTH('Other financial Liabilities'!I28)=7,"July ",IF(MONTH('Other financial Liabilities'!I28)=8,"August ",IF(MONTH('Other financial Liabilities'!I28)=9,"September ",IF(MONTH('Other financial Liabilities'!I28)=10,"October",  IF(MONTH('Other financial Liabilities'!I28)=11,"November ",IF(MONTH('Other financial Liabilities'!I28)=12,"December ",""))))))))))))&amp;YEAR('Other financial Liabilities'!I28),IF(F34="c008x   - Government, central banks &amp; supranationals","Tax Liability "&amp;IF(MONTH('Other financial Liabilities'!I28)=1,"January ",IF(MONTH('Other financial Liabilities'!I28)=2,"February ",IF(MONTH('Other financial Liabilities'!I28)=3,"March ",IF(MONTH('Other financial Liabilities'!I28)=4,"April ",IF(MONTH('Other financial Liabilities'!I28)=5,"May ",IF(MONTH('Other financial Liabilities'!I28)=6,"June ",IF(MONTH('Other financial Liabilities'!I28)=7,"July ",IF(MONTH('Other financial Liabilities'!I28)=8, "August ",  IF(MONTH('Other financial Liabilities'!I28)=9,"September ",IF(MONTH('Other financial Liabilities'!I28)=10,"October ",IF(MONTH('Other financial Liabilities'!I28)=11,"November ",IF(MONTH('Other financial Liabilities'!I28)=12,"December ",""))))))))))))&amp;YEAR('Other financial Liabilities'!I28),"")))</f>
        <v>TRASPASOS M E SA</v>
      </c>
      <c r="J34" s="14" t="str">
        <f>+IF(OR('Other financial Liabilities'!C28="",'Other financial Liabilities'!C28="#"),IF('Other financial Liabilities'!A28="",IF(F34="c001x   - Households","CSL"&amp;"001",IF(F34="c008x   - Government, central banks &amp; supranationals","TL"&amp;"001")),'Other financial Liabilities'!A28),'Other financial Liabilities'!C28)</f>
        <v>549300I3LZ7O86DJAC23</v>
      </c>
      <c r="K34" s="14" t="str">
        <f>+IF(J34='Other financial Liabilities'!C28,"LEI code","Type of identifier, other than LEI or MFI code")</f>
        <v>LEI code</v>
      </c>
      <c r="L34" s="14" t="s">
        <v>197</v>
      </c>
      <c r="M34" s="14" t="s">
        <v>198</v>
      </c>
      <c r="N34" s="14" t="s">
        <v>199</v>
      </c>
      <c r="O34" s="15">
        <v>8156.33</v>
      </c>
      <c r="P34" s="15">
        <f>IF('Other financial Liabilities'!E28="",0,'Other financial Liabilities'!E28)</f>
        <v>0</v>
      </c>
      <c r="Q34" s="14">
        <f>IF('Other financial Liabilities'!F28="",0,'Other financial Liabilities'!F28)</f>
        <v>0</v>
      </c>
      <c r="R34" s="14" t="s">
        <v>212</v>
      </c>
      <c r="S34" s="16" t="s">
        <v>250</v>
      </c>
      <c r="T34" s="16">
        <f t="shared" si="2"/>
        <v>44928</v>
      </c>
      <c r="U34" s="16">
        <f t="shared" si="3"/>
        <v>44928</v>
      </c>
      <c r="V34" s="14" t="s">
        <v>200</v>
      </c>
      <c r="W34" s="15">
        <v>0</v>
      </c>
      <c r="X34" s="15">
        <v>0</v>
      </c>
      <c r="Y34" s="15">
        <v>0</v>
      </c>
      <c r="Z34" s="14" t="s">
        <v>201</v>
      </c>
      <c r="AA34" s="15">
        <v>0</v>
      </c>
      <c r="AB34" s="14" t="s">
        <v>202</v>
      </c>
      <c r="AC34" s="17">
        <v>0</v>
      </c>
      <c r="AD34" s="20"/>
    </row>
    <row r="35" spans="3:30" ht="45.75" customHeight="1" thickBot="1" x14ac:dyDescent="0.5">
      <c r="C35" s="12">
        <f t="shared" si="0"/>
        <v>999</v>
      </c>
      <c r="D35" s="13">
        <f t="shared" si="4"/>
        <v>28</v>
      </c>
      <c r="E35" s="14" t="str">
        <f>IF(AND('Other financial Liabilities'!K29="",'Other financial Liabilities'!J29=1),"r0180 - Critical service liabilities (BRRD art. 44/2/g/ii)",IF(AND('Other financial Liabilities'!K29="",'Other financial Liabilities'!J29=2),"r0190 - Tax and social security authorities liabilities, if preferred (BRRD art. 44/2/g/iii)",'Other financial Liabilities'!K29))</f>
        <v>r0150 - Institution liabilities &lt; 7 days (BRRD art. 44/2/e)</v>
      </c>
      <c r="F35" s="14" t="str">
        <f>IF(OR('Other financial Liabilities'!G29="particulares",'Other financial Liabilities'!J29=1),"c001x   - Households",IF('Other financial Liabilities'!G29="outras empresas nao financeiras","c003x   - Corporates",IF('Other financial Liabilities'!G29="instituicoes de credito","c004x   - Institutions",IF('Other financial Liabilities'!G29="outras instituicoes financeiras","c005x   - Other financial corporations",IF(OR('Other financial Liabilities'!G29="setor publico",'Other financial Liabilities'!J29=2),"c008x   - Government, central banks &amp; supranationals","")))))</f>
        <v>c004x   - Institutions</v>
      </c>
      <c r="G35" s="14" t="str">
        <f t="shared" si="1"/>
        <v>Rank 9 - Ranking in insolvency (master scale)</v>
      </c>
      <c r="H35" s="14" t="str">
        <f>IF(F35="c004x   - Institutions",'Other financial Liabilities'!H29,IF(F35="c001x   - Households","CSL"&amp;IF(MONTH('Other financial Liabilities'!I29)=1,"JAN",IF(MONTH('Other financial Liabilities'!I29)=2,"FEV",IF(MONTH('Other financial Liabilities'!I29)=3,"MAR",IF(MONTH('Other financial Liabilities'!I29)=4,"ABR",IF(MONTH('Other financial Liabilities'!I29)=5,"MAI",IF(MONTH('Other financial Liabilities'!I29)=6,"JUN",IF(MONTH('Other financial Liabilities'!I29)=7,"JUL",IF(MONTH('Other financial Liabilities'!I29)=8,"AGO",IF(MONTH('Other financial Liabilities'!I29)=9,"SET",IF(MONTH('Other financial Liabilities'!I29)=10,"OUT",IF(MONTH('Other financial Liabilities'!I29)=11,"NOV",IF(MONTH('Other financial Liabilities'!I29)=12,"DEZ",""))))))))))))&amp;LEFT(YEAR('Other financial Liabilities'!I29),2),IF(F35="c008x   - Government, central banks &amp; supranationals","TL"&amp;IF(MONTH('Other financial Liabilities'!I29)=1,"JAN",IF(MONTH('Other financial Liabilities'!I29)=2,"FEV",IF(MONTH('Other financial Liabilities'!I29)=3,"MAR",IF(MONTH('Other financial Liabilities'!I29)=4,"ABR",IF(MONTH('Other financial Liabilities'!I29)=5,"MAI",IF(MONTH('Other financial Liabilities'!I29)=6,"JUN",IF(MONTH('Other financial Liabilities'!I29)=7,"JUL",IF(MONTH('Other financial Liabilities'!I29)=8,"AGO",IF(MONTH('Other financial Liabilities'!I29)=9,"SET",IF(MONTH('Other financial Liabilities'!I29)=10,"OUT",IF(MONTH('Other financial Liabilities'!I29)=11,"NOV",IF(MONTH('Other financial Liabilities'!I29)=12,"DEZ",""))))))))))))&amp;LEFT(YEAR('Other financial Liabilities'!I29),2),"")))</f>
        <v>CAIXA ECONOMICA MONTEPIO GERAL CE</v>
      </c>
      <c r="I35" s="14" t="str">
        <f>IF(F35="c004x   - Institutions",'Other financial Liabilities'!H29,IF(F35="c001x   - Households","Critical Service Liability "&amp;IF(MONTH('Other financial Liabilities'!I29)=1,"January ",IF(MONTH('Other financial Liabilities'!I29)=2,"February ",IF(MONTH('Other financial Liabilities'!I29)=3,"March ",IF(MONTH('Other financial Liabilities'!I29)=4, "April ",IF(MONTH('Other financial Liabilities'!I29)=5,"May ",IF(MONTH('Other financial Liabilities'!I29)=6,"June ",IF(MONTH('Other financial Liabilities'!I29)=7,"July ",IF(MONTH('Other financial Liabilities'!I29)=8,"August ",IF(MONTH('Other financial Liabilities'!I29)=9,"September ",IF(MONTH('Other financial Liabilities'!I29)=10,"October",  IF(MONTH('Other financial Liabilities'!I29)=11,"November ",IF(MONTH('Other financial Liabilities'!I29)=12,"December ",""))))))))))))&amp;YEAR('Other financial Liabilities'!I29),IF(F35="c008x   - Government, central banks &amp; supranationals","Tax Liability "&amp;IF(MONTH('Other financial Liabilities'!I29)=1,"January ",IF(MONTH('Other financial Liabilities'!I29)=2,"February ",IF(MONTH('Other financial Liabilities'!I29)=3,"March ",IF(MONTH('Other financial Liabilities'!I29)=4,"April ",IF(MONTH('Other financial Liabilities'!I29)=5,"May ",IF(MONTH('Other financial Liabilities'!I29)=6,"June ",IF(MONTH('Other financial Liabilities'!I29)=7,"July ",IF(MONTH('Other financial Liabilities'!I29)=8, "August ",  IF(MONTH('Other financial Liabilities'!I29)=9,"September ",IF(MONTH('Other financial Liabilities'!I29)=10,"October ",IF(MONTH('Other financial Liabilities'!I29)=11,"November ",IF(MONTH('Other financial Liabilities'!I29)=12,"December ",""))))))))))))&amp;YEAR('Other financial Liabilities'!I29),"")))</f>
        <v>CAIXA ECONOMICA MONTEPIO GERAL CE</v>
      </c>
      <c r="J35" s="14" t="str">
        <f>+IF(OR('Other financial Liabilities'!C29="",'Other financial Liabilities'!C29="#"),IF('Other financial Liabilities'!A29="",IF(F35="c001x   - Households","CSL"&amp;"001",IF(F35="c008x   - Government, central banks &amp; supranationals","TL"&amp;"001")),'Other financial Liabilities'!A29),'Other financial Liabilities'!C29)</f>
        <v>2138004FIUXU3B2MR537</v>
      </c>
      <c r="K35" s="14" t="str">
        <f>+IF(J35='Other financial Liabilities'!C29,"LEI code","Type of identifier, other than LEI or MFI code")</f>
        <v>LEI code</v>
      </c>
      <c r="L35" s="14" t="s">
        <v>197</v>
      </c>
      <c r="M35" s="14" t="s">
        <v>198</v>
      </c>
      <c r="N35" s="14" t="s">
        <v>199</v>
      </c>
      <c r="O35" s="15">
        <v>4018.72</v>
      </c>
      <c r="P35" s="15">
        <f>IF('Other financial Liabilities'!E29="",0,'Other financial Liabilities'!E29)</f>
        <v>0</v>
      </c>
      <c r="Q35" s="14">
        <f>IF('Other financial Liabilities'!F29="",0,'Other financial Liabilities'!F29)</f>
        <v>0</v>
      </c>
      <c r="R35" s="14" t="s">
        <v>212</v>
      </c>
      <c r="S35" s="16" t="s">
        <v>250</v>
      </c>
      <c r="T35" s="16">
        <f t="shared" si="2"/>
        <v>44928</v>
      </c>
      <c r="U35" s="16">
        <f t="shared" si="3"/>
        <v>44928</v>
      </c>
      <c r="V35" s="14" t="s">
        <v>200</v>
      </c>
      <c r="W35" s="15">
        <v>0</v>
      </c>
      <c r="X35" s="15">
        <v>0</v>
      </c>
      <c r="Y35" s="15">
        <v>0</v>
      </c>
      <c r="Z35" s="14" t="s">
        <v>201</v>
      </c>
      <c r="AA35" s="15">
        <v>0</v>
      </c>
      <c r="AB35" s="14" t="s">
        <v>202</v>
      </c>
      <c r="AC35" s="17">
        <v>0</v>
      </c>
      <c r="AD35" s="20"/>
    </row>
    <row r="36" spans="3:30" ht="45.75" customHeight="1" thickBot="1" x14ac:dyDescent="0.5">
      <c r="C36" s="12">
        <f t="shared" si="0"/>
        <v>999</v>
      </c>
      <c r="D36" s="13">
        <f t="shared" si="4"/>
        <v>29</v>
      </c>
      <c r="E36" s="14" t="str">
        <f>IF(AND('Other financial Liabilities'!K30="",'Other financial Liabilities'!J30=1),"r0180 - Critical service liabilities (BRRD art. 44/2/g/ii)",IF(AND('Other financial Liabilities'!K30="",'Other financial Liabilities'!J30=2),"r0190 - Tax and social security authorities liabilities, if preferred (BRRD art. 44/2/g/iii)",'Other financial Liabilities'!K30))</f>
        <v>r0150 - Institution liabilities &lt; 7 days (BRRD art. 44/2/e)</v>
      </c>
      <c r="F36" s="14" t="str">
        <f>IF(OR('Other financial Liabilities'!G30="particulares",'Other financial Liabilities'!J30=1),"c001x   - Households",IF('Other financial Liabilities'!G30="outras empresas nao financeiras","c003x   - Corporates",IF('Other financial Liabilities'!G30="instituicoes de credito","c004x   - Institutions",IF('Other financial Liabilities'!G30="outras instituicoes financeiras","c005x   - Other financial corporations",IF(OR('Other financial Liabilities'!G30="setor publico",'Other financial Liabilities'!J30=2),"c008x   - Government, central banks &amp; supranationals","")))))</f>
        <v>c004x   - Institutions</v>
      </c>
      <c r="G36" s="14" t="str">
        <f t="shared" si="1"/>
        <v>Rank 9 - Ranking in insolvency (master scale)</v>
      </c>
      <c r="H36" s="14" t="str">
        <f>IF(F36="c004x   - Institutions",'Other financial Liabilities'!H30,IF(F36="c001x   - Households","CSL"&amp;IF(MONTH('Other financial Liabilities'!I30)=1,"JAN",IF(MONTH('Other financial Liabilities'!I30)=2,"FEV",IF(MONTH('Other financial Liabilities'!I30)=3,"MAR",IF(MONTH('Other financial Liabilities'!I30)=4,"ABR",IF(MONTH('Other financial Liabilities'!I30)=5,"MAI",IF(MONTH('Other financial Liabilities'!I30)=6,"JUN",IF(MONTH('Other financial Liabilities'!I30)=7,"JUL",IF(MONTH('Other financial Liabilities'!I30)=8,"AGO",IF(MONTH('Other financial Liabilities'!I30)=9,"SET",IF(MONTH('Other financial Liabilities'!I30)=10,"OUT",IF(MONTH('Other financial Liabilities'!I30)=11,"NOV",IF(MONTH('Other financial Liabilities'!I30)=12,"DEZ",""))))))))))))&amp;LEFT(YEAR('Other financial Liabilities'!I30),2),IF(F36="c008x   - Government, central banks &amp; supranationals","TL"&amp;IF(MONTH('Other financial Liabilities'!I30)=1,"JAN",IF(MONTH('Other financial Liabilities'!I30)=2,"FEV",IF(MONTH('Other financial Liabilities'!I30)=3,"MAR",IF(MONTH('Other financial Liabilities'!I30)=4,"ABR",IF(MONTH('Other financial Liabilities'!I30)=5,"MAI",IF(MONTH('Other financial Liabilities'!I30)=6,"JUN",IF(MONTH('Other financial Liabilities'!I30)=7,"JUL",IF(MONTH('Other financial Liabilities'!I30)=8,"AGO",IF(MONTH('Other financial Liabilities'!I30)=9,"SET",IF(MONTH('Other financial Liabilities'!I30)=10,"OUT",IF(MONTH('Other financial Liabilities'!I30)=11,"NOV",IF(MONTH('Other financial Liabilities'!I30)=12,"DEZ",""))))))))))))&amp;LEFT(YEAR('Other financial Liabilities'!I30),2),"")))</f>
        <v>CAIXA GERAL DE DEPOSITOS SA</v>
      </c>
      <c r="I36" s="14" t="str">
        <f>IF(F36="c004x   - Institutions",'Other financial Liabilities'!H30,IF(F36="c001x   - Households","Critical Service Liability "&amp;IF(MONTH('Other financial Liabilities'!I30)=1,"January ",IF(MONTH('Other financial Liabilities'!I30)=2,"February ",IF(MONTH('Other financial Liabilities'!I30)=3,"March ",IF(MONTH('Other financial Liabilities'!I30)=4, "April ",IF(MONTH('Other financial Liabilities'!I30)=5,"May ",IF(MONTH('Other financial Liabilities'!I30)=6,"June ",IF(MONTH('Other financial Liabilities'!I30)=7,"July ",IF(MONTH('Other financial Liabilities'!I30)=8,"August ",IF(MONTH('Other financial Liabilities'!I30)=9,"September ",IF(MONTH('Other financial Liabilities'!I30)=10,"October",  IF(MONTH('Other financial Liabilities'!I30)=11,"November ",IF(MONTH('Other financial Liabilities'!I30)=12,"December ",""))))))))))))&amp;YEAR('Other financial Liabilities'!I30),IF(F36="c008x   - Government, central banks &amp; supranationals","Tax Liability "&amp;IF(MONTH('Other financial Liabilities'!I30)=1,"January ",IF(MONTH('Other financial Liabilities'!I30)=2,"February ",IF(MONTH('Other financial Liabilities'!I30)=3,"March ",IF(MONTH('Other financial Liabilities'!I30)=4,"April ",IF(MONTH('Other financial Liabilities'!I30)=5,"May ",IF(MONTH('Other financial Liabilities'!I30)=6,"June ",IF(MONTH('Other financial Liabilities'!I30)=7,"July ",IF(MONTH('Other financial Liabilities'!I30)=8, "August ",  IF(MONTH('Other financial Liabilities'!I30)=9,"September ",IF(MONTH('Other financial Liabilities'!I30)=10,"October ",IF(MONTH('Other financial Liabilities'!I30)=11,"November ",IF(MONTH('Other financial Liabilities'!I30)=12,"December ",""))))))))))))&amp;YEAR('Other financial Liabilities'!I30),"")))</f>
        <v>CAIXA GERAL DE DEPOSITOS SA</v>
      </c>
      <c r="J36" s="14" t="str">
        <f>+IF(OR('Other financial Liabilities'!C30="",'Other financial Liabilities'!C30="#"),IF('Other financial Liabilities'!A30="",IF(F36="c001x   - Households","CSL"&amp;"001",IF(F36="c008x   - Government, central banks &amp; supranationals","TL"&amp;"001")),'Other financial Liabilities'!A30),'Other financial Liabilities'!C30)</f>
        <v>5100262724</v>
      </c>
      <c r="K36" s="14" t="str">
        <f>+IF(J36='Other financial Liabilities'!C30,"LEI code","Type of identifier, other than LEI or MFI code")</f>
        <v>Type of identifier, other than LEI or MFI code</v>
      </c>
      <c r="L36" s="14" t="s">
        <v>197</v>
      </c>
      <c r="M36" s="14" t="s">
        <v>198</v>
      </c>
      <c r="N36" s="14" t="s">
        <v>199</v>
      </c>
      <c r="O36" s="15">
        <v>28116.78</v>
      </c>
      <c r="P36" s="15">
        <f>IF('Other financial Liabilities'!E30="",0,'Other financial Liabilities'!E30)</f>
        <v>0</v>
      </c>
      <c r="Q36" s="14">
        <f>IF('Other financial Liabilities'!F30="",0,'Other financial Liabilities'!F30)</f>
        <v>0</v>
      </c>
      <c r="R36" s="14" t="s">
        <v>212</v>
      </c>
      <c r="S36" s="16" t="s">
        <v>250</v>
      </c>
      <c r="T36" s="16">
        <f t="shared" si="2"/>
        <v>44928</v>
      </c>
      <c r="U36" s="16">
        <f t="shared" si="3"/>
        <v>44928</v>
      </c>
      <c r="V36" s="14" t="s">
        <v>200</v>
      </c>
      <c r="W36" s="15">
        <v>0</v>
      </c>
      <c r="X36" s="15">
        <v>0</v>
      </c>
      <c r="Y36" s="15">
        <v>0</v>
      </c>
      <c r="Z36" s="14" t="s">
        <v>201</v>
      </c>
      <c r="AA36" s="15">
        <v>0</v>
      </c>
      <c r="AB36" s="14" t="s">
        <v>202</v>
      </c>
      <c r="AC36" s="17">
        <v>0</v>
      </c>
      <c r="AD36" s="20"/>
    </row>
    <row r="37" spans="3:30" ht="45.75" customHeight="1" thickBot="1" x14ac:dyDescent="0.5">
      <c r="C37" s="12">
        <f t="shared" si="0"/>
        <v>999</v>
      </c>
      <c r="D37" s="13">
        <f t="shared" si="4"/>
        <v>30</v>
      </c>
      <c r="E37" s="14" t="str">
        <f>IF(AND('Other financial Liabilities'!K31="",'Other financial Liabilities'!J31=1),"r0180 - Critical service liabilities (BRRD art. 44/2/g/ii)",IF(AND('Other financial Liabilities'!K31="",'Other financial Liabilities'!J31=2),"r0190 - Tax and social security authorities liabilities, if preferred (BRRD art. 44/2/g/iii)",'Other financial Liabilities'!K31))</f>
        <v>r0150 - Institution liabilities &lt; 7 days (BRRD art. 44/2/e)</v>
      </c>
      <c r="F37" s="14" t="str">
        <f>IF(OR('Other financial Liabilities'!G31="particulares",'Other financial Liabilities'!J31=1),"c001x   - Households",IF('Other financial Liabilities'!G31="outras empresas nao financeiras","c003x   - Corporates",IF('Other financial Liabilities'!G31="instituicoes de credito","c004x   - Institutions",IF('Other financial Liabilities'!G31="outras instituicoes financeiras","c005x   - Other financial corporations",IF(OR('Other financial Liabilities'!G31="setor publico",'Other financial Liabilities'!J31=2),"c008x   - Government, central banks &amp; supranationals","")))))</f>
        <v>c004x   - Institutions</v>
      </c>
      <c r="G37" s="14" t="str">
        <f t="shared" si="1"/>
        <v>Rank 9 - Ranking in insolvency (master scale)</v>
      </c>
      <c r="H37" s="14" t="str">
        <f>IF(F37="c004x   - Institutions",'Other financial Liabilities'!H31,IF(F37="c001x   - Households","CSL"&amp;IF(MONTH('Other financial Liabilities'!I31)=1,"JAN",IF(MONTH('Other financial Liabilities'!I31)=2,"FEV",IF(MONTH('Other financial Liabilities'!I31)=3,"MAR",IF(MONTH('Other financial Liabilities'!I31)=4,"ABR",IF(MONTH('Other financial Liabilities'!I31)=5,"MAI",IF(MONTH('Other financial Liabilities'!I31)=6,"JUN",IF(MONTH('Other financial Liabilities'!I31)=7,"JUL",IF(MONTH('Other financial Liabilities'!I31)=8,"AGO",IF(MONTH('Other financial Liabilities'!I31)=9,"SET",IF(MONTH('Other financial Liabilities'!I31)=10,"OUT",IF(MONTH('Other financial Liabilities'!I31)=11,"NOV",IF(MONTH('Other financial Liabilities'!I31)=12,"DEZ",""))))))))))))&amp;LEFT(YEAR('Other financial Liabilities'!I31),2),IF(F37="c008x   - Government, central banks &amp; supranationals","TL"&amp;IF(MONTH('Other financial Liabilities'!I31)=1,"JAN",IF(MONTH('Other financial Liabilities'!I31)=2,"FEV",IF(MONTH('Other financial Liabilities'!I31)=3,"MAR",IF(MONTH('Other financial Liabilities'!I31)=4,"ABR",IF(MONTH('Other financial Liabilities'!I31)=5,"MAI",IF(MONTH('Other financial Liabilities'!I31)=6,"JUN",IF(MONTH('Other financial Liabilities'!I31)=7,"JUL",IF(MONTH('Other financial Liabilities'!I31)=8,"AGO",IF(MONTH('Other financial Liabilities'!I31)=9,"SET",IF(MONTH('Other financial Liabilities'!I31)=10,"OUT",IF(MONTH('Other financial Liabilities'!I31)=11,"NOV",IF(MONTH('Other financial Liabilities'!I31)=12,"DEZ",""))))))))))))&amp;LEFT(YEAR('Other financial Liabilities'!I31),2),"")))</f>
        <v>CAIXA DE CREDITO AGRICOLA MUTUO DE LEIRIA CRL</v>
      </c>
      <c r="I37" s="14" t="str">
        <f>IF(F37="c004x   - Institutions",'Other financial Liabilities'!H31,IF(F37="c001x   - Households","Critical Service Liability "&amp;IF(MONTH('Other financial Liabilities'!I31)=1,"January ",IF(MONTH('Other financial Liabilities'!I31)=2,"February ",IF(MONTH('Other financial Liabilities'!I31)=3,"March ",IF(MONTH('Other financial Liabilities'!I31)=4, "April ",IF(MONTH('Other financial Liabilities'!I31)=5,"May ",IF(MONTH('Other financial Liabilities'!I31)=6,"June ",IF(MONTH('Other financial Liabilities'!I31)=7,"July ",IF(MONTH('Other financial Liabilities'!I31)=8,"August ",IF(MONTH('Other financial Liabilities'!I31)=9,"September ",IF(MONTH('Other financial Liabilities'!I31)=10,"October",  IF(MONTH('Other financial Liabilities'!I31)=11,"November ",IF(MONTH('Other financial Liabilities'!I31)=12,"December ",""))))))))))))&amp;YEAR('Other financial Liabilities'!I31),IF(F37="c008x   - Government, central banks &amp; supranationals","Tax Liability "&amp;IF(MONTH('Other financial Liabilities'!I31)=1,"January ",IF(MONTH('Other financial Liabilities'!I31)=2,"February ",IF(MONTH('Other financial Liabilities'!I31)=3,"March ",IF(MONTH('Other financial Liabilities'!I31)=4,"April ",IF(MONTH('Other financial Liabilities'!I31)=5,"May ",IF(MONTH('Other financial Liabilities'!I31)=6,"June ",IF(MONTH('Other financial Liabilities'!I31)=7,"July ",IF(MONTH('Other financial Liabilities'!I31)=8, "August ",  IF(MONTH('Other financial Liabilities'!I31)=9,"September ",IF(MONTH('Other financial Liabilities'!I31)=10,"October ",IF(MONTH('Other financial Liabilities'!I31)=11,"November ",IF(MONTH('Other financial Liabilities'!I31)=12,"December ",""))))))))))))&amp;YEAR('Other financial Liabilities'!I31),"")))</f>
        <v>CAIXA DE CREDITO AGRICOLA MUTUO DE LEIRIA CRL</v>
      </c>
      <c r="J37" s="14" t="str">
        <f>+IF(OR('Other financial Liabilities'!C31="",'Other financial Liabilities'!C31="#"),IF('Other financial Liabilities'!A31="",IF(F37="c001x   - Households","CSL"&amp;"001",IF(F37="c008x   - Government, central banks &amp; supranationals","TL"&amp;"001")),'Other financial Liabilities'!A31),'Other financial Liabilities'!C31)</f>
        <v>5100262777</v>
      </c>
      <c r="K37" s="14" t="str">
        <f>+IF(J37='Other financial Liabilities'!C31,"LEI code","Type of identifier, other than LEI or MFI code")</f>
        <v>Type of identifier, other than LEI or MFI code</v>
      </c>
      <c r="L37" s="14" t="s">
        <v>197</v>
      </c>
      <c r="M37" s="14" t="s">
        <v>198</v>
      </c>
      <c r="N37" s="14" t="s">
        <v>199</v>
      </c>
      <c r="O37" s="15">
        <v>98524.71</v>
      </c>
      <c r="P37" s="15">
        <f>IF('Other financial Liabilities'!E31="",0,'Other financial Liabilities'!E31)</f>
        <v>0</v>
      </c>
      <c r="Q37" s="14">
        <f>IF('Other financial Liabilities'!F31="",0,'Other financial Liabilities'!F31)</f>
        <v>0</v>
      </c>
      <c r="R37" s="14" t="s">
        <v>212</v>
      </c>
      <c r="S37" s="16" t="s">
        <v>250</v>
      </c>
      <c r="T37" s="16">
        <f t="shared" si="2"/>
        <v>44928</v>
      </c>
      <c r="U37" s="16">
        <f t="shared" si="3"/>
        <v>44928</v>
      </c>
      <c r="V37" s="14" t="s">
        <v>200</v>
      </c>
      <c r="W37" s="15">
        <v>0</v>
      </c>
      <c r="X37" s="15">
        <v>0</v>
      </c>
      <c r="Y37" s="15">
        <v>0</v>
      </c>
      <c r="Z37" s="14" t="s">
        <v>201</v>
      </c>
      <c r="AA37" s="15">
        <v>0</v>
      </c>
      <c r="AB37" s="14" t="s">
        <v>202</v>
      </c>
      <c r="AC37" s="17">
        <v>0</v>
      </c>
      <c r="AD37" s="20"/>
    </row>
    <row r="38" spans="3:30" ht="45.75" customHeight="1" thickBot="1" x14ac:dyDescent="0.5">
      <c r="C38" s="12">
        <f t="shared" si="0"/>
        <v>999</v>
      </c>
      <c r="D38" s="13">
        <f t="shared" si="4"/>
        <v>31</v>
      </c>
      <c r="E38" s="14" t="str">
        <f>IF(AND('Other financial Liabilities'!K32="",'Other financial Liabilities'!J32=1),"r0180 - Critical service liabilities (BRRD art. 44/2/g/ii)",IF(AND('Other financial Liabilities'!K32="",'Other financial Liabilities'!J32=2),"r0190 - Tax and social security authorities liabilities, if preferred (BRRD art. 44/2/g/iii)",'Other financial Liabilities'!K32))</f>
        <v>r0150 - Institution liabilities &lt; 7 days (BRRD art. 44/2/e)</v>
      </c>
      <c r="F38" s="14" t="str">
        <f>IF(OR('Other financial Liabilities'!G32="particulares",'Other financial Liabilities'!J32=1),"c001x   - Households",IF('Other financial Liabilities'!G32="outras empresas nao financeiras","c003x   - Corporates",IF('Other financial Liabilities'!G32="instituicoes de credito","c004x   - Institutions",IF('Other financial Liabilities'!G32="outras instituicoes financeiras","c005x   - Other financial corporations",IF(OR('Other financial Liabilities'!G32="setor publico",'Other financial Liabilities'!J32=2),"c008x   - Government, central banks &amp; supranationals","")))))</f>
        <v>c004x   - Institutions</v>
      </c>
      <c r="G38" s="14" t="str">
        <f t="shared" si="1"/>
        <v>Rank 9 - Ranking in insolvency (master scale)</v>
      </c>
      <c r="H38" s="14" t="str">
        <f>IF(F38="c004x   - Institutions",'Other financial Liabilities'!H32,IF(F38="c001x   - Households","CSL"&amp;IF(MONTH('Other financial Liabilities'!I32)=1,"JAN",IF(MONTH('Other financial Liabilities'!I32)=2,"FEV",IF(MONTH('Other financial Liabilities'!I32)=3,"MAR",IF(MONTH('Other financial Liabilities'!I32)=4,"ABR",IF(MONTH('Other financial Liabilities'!I32)=5,"MAI",IF(MONTH('Other financial Liabilities'!I32)=6,"JUN",IF(MONTH('Other financial Liabilities'!I32)=7,"JUL",IF(MONTH('Other financial Liabilities'!I32)=8,"AGO",IF(MONTH('Other financial Liabilities'!I32)=9,"SET",IF(MONTH('Other financial Liabilities'!I32)=10,"OUT",IF(MONTH('Other financial Liabilities'!I32)=11,"NOV",IF(MONTH('Other financial Liabilities'!I32)=12,"DEZ",""))))))))))))&amp;LEFT(YEAR('Other financial Liabilities'!I32),2),IF(F38="c008x   - Government, central banks &amp; supranationals","TL"&amp;IF(MONTH('Other financial Liabilities'!I32)=1,"JAN",IF(MONTH('Other financial Liabilities'!I32)=2,"FEV",IF(MONTH('Other financial Liabilities'!I32)=3,"MAR",IF(MONTH('Other financial Liabilities'!I32)=4,"ABR",IF(MONTH('Other financial Liabilities'!I32)=5,"MAI",IF(MONTH('Other financial Liabilities'!I32)=6,"JUN",IF(MONTH('Other financial Liabilities'!I32)=7,"JUL",IF(MONTH('Other financial Liabilities'!I32)=8,"AGO",IF(MONTH('Other financial Liabilities'!I32)=9,"SET",IF(MONTH('Other financial Liabilities'!I32)=10,"OUT",IF(MONTH('Other financial Liabilities'!I32)=11,"NOV",IF(MONTH('Other financial Liabilities'!I32)=12,"DEZ",""))))))))))))&amp;LEFT(YEAR('Other financial Liabilities'!I32),2),"")))</f>
        <v>BANCO COMERCIAL PORTUGUES S.A.</v>
      </c>
      <c r="I38" s="14" t="str">
        <f>IF(F38="c004x   - Institutions",'Other financial Liabilities'!H32,IF(F38="c001x   - Households","Critical Service Liability "&amp;IF(MONTH('Other financial Liabilities'!I32)=1,"January ",IF(MONTH('Other financial Liabilities'!I32)=2,"February ",IF(MONTH('Other financial Liabilities'!I32)=3,"March ",IF(MONTH('Other financial Liabilities'!I32)=4, "April ",IF(MONTH('Other financial Liabilities'!I32)=5,"May ",IF(MONTH('Other financial Liabilities'!I32)=6,"June ",IF(MONTH('Other financial Liabilities'!I32)=7,"July ",IF(MONTH('Other financial Liabilities'!I32)=8,"August ",IF(MONTH('Other financial Liabilities'!I32)=9,"September ",IF(MONTH('Other financial Liabilities'!I32)=10,"October",  IF(MONTH('Other financial Liabilities'!I32)=11,"November ",IF(MONTH('Other financial Liabilities'!I32)=12,"December ",""))))))))))))&amp;YEAR('Other financial Liabilities'!I32),IF(F38="c008x   - Government, central banks &amp; supranationals","Tax Liability "&amp;IF(MONTH('Other financial Liabilities'!I32)=1,"January ",IF(MONTH('Other financial Liabilities'!I32)=2,"February ",IF(MONTH('Other financial Liabilities'!I32)=3,"March ",IF(MONTH('Other financial Liabilities'!I32)=4,"April ",IF(MONTH('Other financial Liabilities'!I32)=5,"May ",IF(MONTH('Other financial Liabilities'!I32)=6,"June ",IF(MONTH('Other financial Liabilities'!I32)=7,"July ",IF(MONTH('Other financial Liabilities'!I32)=8, "August ",  IF(MONTH('Other financial Liabilities'!I32)=9,"September ",IF(MONTH('Other financial Liabilities'!I32)=10,"October ",IF(MONTH('Other financial Liabilities'!I32)=11,"November ",IF(MONTH('Other financial Liabilities'!I32)=12,"December ",""))))))))))))&amp;YEAR('Other financial Liabilities'!I32),"")))</f>
        <v>BANCO COMERCIAL PORTUGUES S.A.</v>
      </c>
      <c r="J38" s="14" t="str">
        <f>+IF(OR('Other financial Liabilities'!C32="",'Other financial Liabilities'!C32="#"),IF('Other financial Liabilities'!A32="",IF(F38="c001x   - Households","CSL"&amp;"001",IF(F38="c008x   - Government, central banks &amp; supranationals","TL"&amp;"001")),'Other financial Liabilities'!A32),'Other financial Liabilities'!C32)</f>
        <v>5100264432</v>
      </c>
      <c r="K38" s="14" t="str">
        <f>+IF(J38='Other financial Liabilities'!C32,"LEI code","Type of identifier, other than LEI or MFI code")</f>
        <v>Type of identifier, other than LEI or MFI code</v>
      </c>
      <c r="L38" s="14" t="s">
        <v>197</v>
      </c>
      <c r="M38" s="14" t="s">
        <v>198</v>
      </c>
      <c r="N38" s="14" t="s">
        <v>199</v>
      </c>
      <c r="O38" s="15">
        <v>7722.48</v>
      </c>
      <c r="P38" s="15">
        <f>IF('Other financial Liabilities'!E32="",0,'Other financial Liabilities'!E32)</f>
        <v>0</v>
      </c>
      <c r="Q38" s="14">
        <f>IF('Other financial Liabilities'!F32="",0,'Other financial Liabilities'!F32)</f>
        <v>0</v>
      </c>
      <c r="R38" s="14" t="s">
        <v>212</v>
      </c>
      <c r="S38" s="16" t="s">
        <v>250</v>
      </c>
      <c r="T38" s="16">
        <f t="shared" si="2"/>
        <v>44928</v>
      </c>
      <c r="U38" s="16">
        <f t="shared" si="3"/>
        <v>44928</v>
      </c>
      <c r="V38" s="14" t="s">
        <v>200</v>
      </c>
      <c r="W38" s="15">
        <v>0</v>
      </c>
      <c r="X38" s="15">
        <v>0</v>
      </c>
      <c r="Y38" s="15">
        <v>0</v>
      </c>
      <c r="Z38" s="14" t="s">
        <v>201</v>
      </c>
      <c r="AA38" s="15">
        <v>0</v>
      </c>
      <c r="AB38" s="14" t="s">
        <v>202</v>
      </c>
      <c r="AC38" s="17">
        <v>0</v>
      </c>
      <c r="AD38" s="20"/>
    </row>
    <row r="39" spans="3:30" ht="45.75" customHeight="1" thickBot="1" x14ac:dyDescent="0.5">
      <c r="C39" s="12">
        <f t="shared" si="0"/>
        <v>999</v>
      </c>
      <c r="D39" s="13">
        <f t="shared" si="4"/>
        <v>32</v>
      </c>
      <c r="E39" s="14" t="str">
        <f>IF(AND('Other financial Liabilities'!K33="",'Other financial Liabilities'!J33=1),"r0180 - Critical service liabilities (BRRD art. 44/2/g/ii)",IF(AND('Other financial Liabilities'!K33="",'Other financial Liabilities'!J33=2),"r0190 - Tax and social security authorities liabilities, if preferred (BRRD art. 44/2/g/iii)",'Other financial Liabilities'!K33))</f>
        <v>r0150 - Institution liabilities &lt; 7 days (BRRD art. 44/2/e)</v>
      </c>
      <c r="F39" s="14" t="str">
        <f>IF(OR('Other financial Liabilities'!G33="particulares",'Other financial Liabilities'!J33=1),"c001x   - Households",IF('Other financial Liabilities'!G33="outras empresas nao financeiras","c003x   - Corporates",IF('Other financial Liabilities'!G33="instituicoes de credito","c004x   - Institutions",IF('Other financial Liabilities'!G33="outras instituicoes financeiras","c005x   - Other financial corporations",IF(OR('Other financial Liabilities'!G33="setor publico",'Other financial Liabilities'!J33=2),"c008x   - Government, central banks &amp; supranationals","")))))</f>
        <v>c004x   - Institutions</v>
      </c>
      <c r="G39" s="14" t="str">
        <f t="shared" si="1"/>
        <v>Rank 9 - Ranking in insolvency (master scale)</v>
      </c>
      <c r="H39" s="14" t="str">
        <f>IF(F39="c004x   - Institutions",'Other financial Liabilities'!H33,IF(F39="c001x   - Households","CSL"&amp;IF(MONTH('Other financial Liabilities'!I33)=1,"JAN",IF(MONTH('Other financial Liabilities'!I33)=2,"FEV",IF(MONTH('Other financial Liabilities'!I33)=3,"MAR",IF(MONTH('Other financial Liabilities'!I33)=4,"ABR",IF(MONTH('Other financial Liabilities'!I33)=5,"MAI",IF(MONTH('Other financial Liabilities'!I33)=6,"JUN",IF(MONTH('Other financial Liabilities'!I33)=7,"JUL",IF(MONTH('Other financial Liabilities'!I33)=8,"AGO",IF(MONTH('Other financial Liabilities'!I33)=9,"SET",IF(MONTH('Other financial Liabilities'!I33)=10,"OUT",IF(MONTH('Other financial Liabilities'!I33)=11,"NOV",IF(MONTH('Other financial Liabilities'!I33)=12,"DEZ",""))))))))))))&amp;LEFT(YEAR('Other financial Liabilities'!I33),2),IF(F39="c008x   - Government, central banks &amp; supranationals","TL"&amp;IF(MONTH('Other financial Liabilities'!I33)=1,"JAN",IF(MONTH('Other financial Liabilities'!I33)=2,"FEV",IF(MONTH('Other financial Liabilities'!I33)=3,"MAR",IF(MONTH('Other financial Liabilities'!I33)=4,"ABR",IF(MONTH('Other financial Liabilities'!I33)=5,"MAI",IF(MONTH('Other financial Liabilities'!I33)=6,"JUN",IF(MONTH('Other financial Liabilities'!I33)=7,"JUL",IF(MONTH('Other financial Liabilities'!I33)=8,"AGO",IF(MONTH('Other financial Liabilities'!I33)=9,"SET",IF(MONTH('Other financial Liabilities'!I33)=10,"OUT",IF(MONTH('Other financial Liabilities'!I33)=11,"NOV",IF(MONTH('Other financial Liabilities'!I33)=12,"DEZ",""))))))))))))&amp;LEFT(YEAR('Other financial Liabilities'!I33),2),"")))</f>
        <v>BANCO BILBAO VIZCAYA ARGENTARIA, S.A., SUCURSAL EM PORTUGAL</v>
      </c>
      <c r="I39" s="14" t="str">
        <f>IF(F39="c004x   - Institutions",'Other financial Liabilities'!H33,IF(F39="c001x   - Households","Critical Service Liability "&amp;IF(MONTH('Other financial Liabilities'!I33)=1,"January ",IF(MONTH('Other financial Liabilities'!I33)=2,"February ",IF(MONTH('Other financial Liabilities'!I33)=3,"March ",IF(MONTH('Other financial Liabilities'!I33)=4, "April ",IF(MONTH('Other financial Liabilities'!I33)=5,"May ",IF(MONTH('Other financial Liabilities'!I33)=6,"June ",IF(MONTH('Other financial Liabilities'!I33)=7,"July ",IF(MONTH('Other financial Liabilities'!I33)=8,"August ",IF(MONTH('Other financial Liabilities'!I33)=9,"September ",IF(MONTH('Other financial Liabilities'!I33)=10,"October",  IF(MONTH('Other financial Liabilities'!I33)=11,"November ",IF(MONTH('Other financial Liabilities'!I33)=12,"December ",""))))))))))))&amp;YEAR('Other financial Liabilities'!I33),IF(F39="c008x   - Government, central banks &amp; supranationals","Tax Liability "&amp;IF(MONTH('Other financial Liabilities'!I33)=1,"January ",IF(MONTH('Other financial Liabilities'!I33)=2,"February ",IF(MONTH('Other financial Liabilities'!I33)=3,"March ",IF(MONTH('Other financial Liabilities'!I33)=4,"April ",IF(MONTH('Other financial Liabilities'!I33)=5,"May ",IF(MONTH('Other financial Liabilities'!I33)=6,"June ",IF(MONTH('Other financial Liabilities'!I33)=7,"July ",IF(MONTH('Other financial Liabilities'!I33)=8, "August ",  IF(MONTH('Other financial Liabilities'!I33)=9,"September ",IF(MONTH('Other financial Liabilities'!I33)=10,"October ",IF(MONTH('Other financial Liabilities'!I33)=11,"November ",IF(MONTH('Other financial Liabilities'!I33)=12,"December ",""))))))))))))&amp;YEAR('Other financial Liabilities'!I33),"")))</f>
        <v>BANCO BILBAO VIZCAYA ARGENTARIA, S.A., SUCURSAL EM PORTUGAL</v>
      </c>
      <c r="J39" s="14" t="str">
        <f>+IF(OR('Other financial Liabilities'!C33="",'Other financial Liabilities'!C33="#"),IF('Other financial Liabilities'!A33="",IF(F39="c001x   - Households","CSL"&amp;"001",IF(F39="c008x   - Government, central banks &amp; supranationals","TL"&amp;"001")),'Other financial Liabilities'!A33),'Other financial Liabilities'!C33)</f>
        <v>5100268594</v>
      </c>
      <c r="K39" s="14" t="str">
        <f>+IF(J39='Other financial Liabilities'!C33,"LEI code","Type of identifier, other than LEI or MFI code")</f>
        <v>Type of identifier, other than LEI or MFI code</v>
      </c>
      <c r="L39" s="14" t="s">
        <v>197</v>
      </c>
      <c r="M39" s="14" t="s">
        <v>198</v>
      </c>
      <c r="N39" s="14" t="s">
        <v>199</v>
      </c>
      <c r="O39" s="15">
        <v>821.16</v>
      </c>
      <c r="P39" s="15">
        <f>IF('Other financial Liabilities'!E33="",0,'Other financial Liabilities'!E33)</f>
        <v>0</v>
      </c>
      <c r="Q39" s="14">
        <f>IF('Other financial Liabilities'!F33="",0,'Other financial Liabilities'!F33)</f>
        <v>0</v>
      </c>
      <c r="R39" s="14" t="s">
        <v>212</v>
      </c>
      <c r="S39" s="16" t="s">
        <v>250</v>
      </c>
      <c r="T39" s="16">
        <f t="shared" si="2"/>
        <v>44928</v>
      </c>
      <c r="U39" s="16">
        <f t="shared" si="3"/>
        <v>44928</v>
      </c>
      <c r="V39" s="14" t="s">
        <v>200</v>
      </c>
      <c r="W39" s="15">
        <v>0</v>
      </c>
      <c r="X39" s="15">
        <v>0</v>
      </c>
      <c r="Y39" s="15">
        <v>0</v>
      </c>
      <c r="Z39" s="14" t="s">
        <v>201</v>
      </c>
      <c r="AA39" s="15">
        <v>0</v>
      </c>
      <c r="AB39" s="14" t="s">
        <v>202</v>
      </c>
      <c r="AC39" s="17">
        <v>0</v>
      </c>
      <c r="AD39" s="20"/>
    </row>
    <row r="40" spans="3:30" ht="45.75" customHeight="1" thickBot="1" x14ac:dyDescent="0.5">
      <c r="C40" s="12">
        <f t="shared" si="0"/>
        <v>999</v>
      </c>
      <c r="D40" s="13">
        <f t="shared" si="4"/>
        <v>33</v>
      </c>
      <c r="E40" s="14" t="str">
        <f>IF(AND('Other financial Liabilities'!K34="",'Other financial Liabilities'!J34=1),"r0180 - Critical service liabilities (BRRD art. 44/2/g/ii)",IF(AND('Other financial Liabilities'!K34="",'Other financial Liabilities'!J34=2),"r0190 - Tax and social security authorities liabilities, if preferred (BRRD art. 44/2/g/iii)",'Other financial Liabilities'!K34))</f>
        <v>r0150 - Institution liabilities &lt; 7 days (BRRD art. 44/2/e)</v>
      </c>
      <c r="F40" s="14" t="str">
        <f>IF(OR('Other financial Liabilities'!G34="particulares",'Other financial Liabilities'!J34=1),"c001x   - Households",IF('Other financial Liabilities'!G34="outras empresas nao financeiras","c003x   - Corporates",IF('Other financial Liabilities'!G34="instituicoes de credito","c004x   - Institutions",IF('Other financial Liabilities'!G34="outras instituicoes financeiras","c005x   - Other financial corporations",IF(OR('Other financial Liabilities'!G34="setor publico",'Other financial Liabilities'!J34=2),"c008x   - Government, central banks &amp; supranationals","")))))</f>
        <v>c004x   - Institutions</v>
      </c>
      <c r="G40" s="14" t="str">
        <f t="shared" si="1"/>
        <v>Rank 9 - Ranking in insolvency (master scale)</v>
      </c>
      <c r="H40" s="14" t="str">
        <f>IF(F40="c004x   - Institutions",'Other financial Liabilities'!H34,IF(F40="c001x   - Households","CSL"&amp;IF(MONTH('Other financial Liabilities'!I34)=1,"JAN",IF(MONTH('Other financial Liabilities'!I34)=2,"FEV",IF(MONTH('Other financial Liabilities'!I34)=3,"MAR",IF(MONTH('Other financial Liabilities'!I34)=4,"ABR",IF(MONTH('Other financial Liabilities'!I34)=5,"MAI",IF(MONTH('Other financial Liabilities'!I34)=6,"JUN",IF(MONTH('Other financial Liabilities'!I34)=7,"JUL",IF(MONTH('Other financial Liabilities'!I34)=8,"AGO",IF(MONTH('Other financial Liabilities'!I34)=9,"SET",IF(MONTH('Other financial Liabilities'!I34)=10,"OUT",IF(MONTH('Other financial Liabilities'!I34)=11,"NOV",IF(MONTH('Other financial Liabilities'!I34)=12,"DEZ",""))))))))))))&amp;LEFT(YEAR('Other financial Liabilities'!I34),2),IF(F40="c008x   - Government, central banks &amp; supranationals","TL"&amp;IF(MONTH('Other financial Liabilities'!I34)=1,"JAN",IF(MONTH('Other financial Liabilities'!I34)=2,"FEV",IF(MONTH('Other financial Liabilities'!I34)=3,"MAR",IF(MONTH('Other financial Liabilities'!I34)=4,"ABR",IF(MONTH('Other financial Liabilities'!I34)=5,"MAI",IF(MONTH('Other financial Liabilities'!I34)=6,"JUN",IF(MONTH('Other financial Liabilities'!I34)=7,"JUL",IF(MONTH('Other financial Liabilities'!I34)=8,"AGO",IF(MONTH('Other financial Liabilities'!I34)=9,"SET",IF(MONTH('Other financial Liabilities'!I34)=10,"OUT",IF(MONTH('Other financial Liabilities'!I34)=11,"NOV",IF(MONTH('Other financial Liabilities'!I34)=12,"DEZ",""))))))))))))&amp;LEFT(YEAR('Other financial Liabilities'!I34),2),"")))</f>
        <v>BANCO BIC PORTUGUES S.A.</v>
      </c>
      <c r="I40" s="14" t="str">
        <f>IF(F40="c004x   - Institutions",'Other financial Liabilities'!H34,IF(F40="c001x   - Households","Critical Service Liability "&amp;IF(MONTH('Other financial Liabilities'!I34)=1,"January ",IF(MONTH('Other financial Liabilities'!I34)=2,"February ",IF(MONTH('Other financial Liabilities'!I34)=3,"March ",IF(MONTH('Other financial Liabilities'!I34)=4, "April ",IF(MONTH('Other financial Liabilities'!I34)=5,"May ",IF(MONTH('Other financial Liabilities'!I34)=6,"June ",IF(MONTH('Other financial Liabilities'!I34)=7,"July ",IF(MONTH('Other financial Liabilities'!I34)=8,"August ",IF(MONTH('Other financial Liabilities'!I34)=9,"September ",IF(MONTH('Other financial Liabilities'!I34)=10,"October",  IF(MONTH('Other financial Liabilities'!I34)=11,"November ",IF(MONTH('Other financial Liabilities'!I34)=12,"December ",""))))))))))))&amp;YEAR('Other financial Liabilities'!I34),IF(F40="c008x   - Government, central banks &amp; supranationals","Tax Liability "&amp;IF(MONTH('Other financial Liabilities'!I34)=1,"January ",IF(MONTH('Other financial Liabilities'!I34)=2,"February ",IF(MONTH('Other financial Liabilities'!I34)=3,"March ",IF(MONTH('Other financial Liabilities'!I34)=4,"April ",IF(MONTH('Other financial Liabilities'!I34)=5,"May ",IF(MONTH('Other financial Liabilities'!I34)=6,"June ",IF(MONTH('Other financial Liabilities'!I34)=7,"July ",IF(MONTH('Other financial Liabilities'!I34)=8, "August ",  IF(MONTH('Other financial Liabilities'!I34)=9,"September ",IF(MONTH('Other financial Liabilities'!I34)=10,"October ",IF(MONTH('Other financial Liabilities'!I34)=11,"November ",IF(MONTH('Other financial Liabilities'!I34)=12,"December ",""))))))))))))&amp;YEAR('Other financial Liabilities'!I34),"")))</f>
        <v>BANCO BIC PORTUGUES S.A.</v>
      </c>
      <c r="J40" s="14" t="str">
        <f>+IF(OR('Other financial Liabilities'!C34="",'Other financial Liabilities'!C34="#"),IF('Other financial Liabilities'!A34="",IF(F40="c001x   - Households","CSL"&amp;"001",IF(F40="c008x   - Government, central banks &amp; supranationals","TL"&amp;"001")),'Other financial Liabilities'!A34),'Other financial Liabilities'!C34)</f>
        <v>549300QQJ6BNALGU6806</v>
      </c>
      <c r="K40" s="14" t="str">
        <f>+IF(J40='Other financial Liabilities'!C34,"LEI code","Type of identifier, other than LEI or MFI code")</f>
        <v>LEI code</v>
      </c>
      <c r="L40" s="14" t="s">
        <v>197</v>
      </c>
      <c r="M40" s="14" t="s">
        <v>198</v>
      </c>
      <c r="N40" s="14" t="s">
        <v>199</v>
      </c>
      <c r="O40" s="15">
        <v>231082.8</v>
      </c>
      <c r="P40" s="15">
        <f>IF('Other financial Liabilities'!E34="",0,'Other financial Liabilities'!E34)</f>
        <v>0</v>
      </c>
      <c r="Q40" s="14">
        <f>IF('Other financial Liabilities'!F34="",0,'Other financial Liabilities'!F34)</f>
        <v>0</v>
      </c>
      <c r="R40" s="14" t="s">
        <v>212</v>
      </c>
      <c r="S40" s="16" t="s">
        <v>250</v>
      </c>
      <c r="T40" s="16">
        <f t="shared" si="2"/>
        <v>44928</v>
      </c>
      <c r="U40" s="16">
        <f t="shared" si="3"/>
        <v>44928</v>
      </c>
      <c r="V40" s="14" t="s">
        <v>200</v>
      </c>
      <c r="W40" s="15">
        <v>0</v>
      </c>
      <c r="X40" s="15">
        <v>0</v>
      </c>
      <c r="Y40" s="15">
        <v>0</v>
      </c>
      <c r="Z40" s="14" t="s">
        <v>201</v>
      </c>
      <c r="AA40" s="15">
        <v>0</v>
      </c>
      <c r="AB40" s="14" t="s">
        <v>202</v>
      </c>
      <c r="AC40" s="17">
        <v>0</v>
      </c>
      <c r="AD40" s="20"/>
    </row>
    <row r="41" spans="3:30" ht="45.75" customHeight="1" thickBot="1" x14ac:dyDescent="0.5">
      <c r="C41" s="12">
        <f t="shared" si="0"/>
        <v>999</v>
      </c>
      <c r="D41" s="13">
        <f t="shared" si="4"/>
        <v>34</v>
      </c>
      <c r="E41" s="14" t="str">
        <f>IF(AND('Other financial Liabilities'!K35="",'Other financial Liabilities'!J35=1),"r0180 - Critical service liabilities (BRRD art. 44/2/g/ii)",IF(AND('Other financial Liabilities'!K35="",'Other financial Liabilities'!J35=2),"r0190 - Tax and social security authorities liabilities, if preferred (BRRD art. 44/2/g/iii)",'Other financial Liabilities'!K35))</f>
        <v>r0150 - Institution liabilities &lt; 7 days (BRRD art. 44/2/e)</v>
      </c>
      <c r="F41" s="14" t="str">
        <f>IF(OR('Other financial Liabilities'!G35="particulares",'Other financial Liabilities'!J35=1),"c001x   - Households",IF('Other financial Liabilities'!G35="outras empresas nao financeiras","c003x   - Corporates",IF('Other financial Liabilities'!G35="instituicoes de credito","c004x   - Institutions",IF('Other financial Liabilities'!G35="outras instituicoes financeiras","c005x   - Other financial corporations",IF(OR('Other financial Liabilities'!G35="setor publico",'Other financial Liabilities'!J35=2),"c008x   - Government, central banks &amp; supranationals","")))))</f>
        <v>c004x   - Institutions</v>
      </c>
      <c r="G41" s="14" t="str">
        <f t="shared" si="1"/>
        <v>Rank 9 - Ranking in insolvency (master scale)</v>
      </c>
      <c r="H41" s="14" t="str">
        <f>IF(F41="c004x   - Institutions",'Other financial Liabilities'!H35,IF(F41="c001x   - Households","CSL"&amp;IF(MONTH('Other financial Liabilities'!I35)=1,"JAN",IF(MONTH('Other financial Liabilities'!I35)=2,"FEV",IF(MONTH('Other financial Liabilities'!I35)=3,"MAR",IF(MONTH('Other financial Liabilities'!I35)=4,"ABR",IF(MONTH('Other financial Liabilities'!I35)=5,"MAI",IF(MONTH('Other financial Liabilities'!I35)=6,"JUN",IF(MONTH('Other financial Liabilities'!I35)=7,"JUL",IF(MONTH('Other financial Liabilities'!I35)=8,"AGO",IF(MONTH('Other financial Liabilities'!I35)=9,"SET",IF(MONTH('Other financial Liabilities'!I35)=10,"OUT",IF(MONTH('Other financial Liabilities'!I35)=11,"NOV",IF(MONTH('Other financial Liabilities'!I35)=12,"DEZ",""))))))))))))&amp;LEFT(YEAR('Other financial Liabilities'!I35),2),IF(F41="c008x   - Government, central banks &amp; supranationals","TL"&amp;IF(MONTH('Other financial Liabilities'!I35)=1,"JAN",IF(MONTH('Other financial Liabilities'!I35)=2,"FEV",IF(MONTH('Other financial Liabilities'!I35)=3,"MAR",IF(MONTH('Other financial Liabilities'!I35)=4,"ABR",IF(MONTH('Other financial Liabilities'!I35)=5,"MAI",IF(MONTH('Other financial Liabilities'!I35)=6,"JUN",IF(MONTH('Other financial Liabilities'!I35)=7,"JUL",IF(MONTH('Other financial Liabilities'!I35)=8,"AGO",IF(MONTH('Other financial Liabilities'!I35)=9,"SET",IF(MONTH('Other financial Liabilities'!I35)=10,"OUT",IF(MONTH('Other financial Liabilities'!I35)=11,"NOV",IF(MONTH('Other financial Liabilities'!I35)=12,"DEZ",""))))))))))))&amp;LEFT(YEAR('Other financial Liabilities'!I35),2),"")))</f>
        <v>BANCO BAI EUROPA S.A.</v>
      </c>
      <c r="I41" s="14" t="str">
        <f>IF(F41="c004x   - Institutions",'Other financial Liabilities'!H35,IF(F41="c001x   - Households","Critical Service Liability "&amp;IF(MONTH('Other financial Liabilities'!I35)=1,"January ",IF(MONTH('Other financial Liabilities'!I35)=2,"February ",IF(MONTH('Other financial Liabilities'!I35)=3,"March ",IF(MONTH('Other financial Liabilities'!I35)=4, "April ",IF(MONTH('Other financial Liabilities'!I35)=5,"May ",IF(MONTH('Other financial Liabilities'!I35)=6,"June ",IF(MONTH('Other financial Liabilities'!I35)=7,"July ",IF(MONTH('Other financial Liabilities'!I35)=8,"August ",IF(MONTH('Other financial Liabilities'!I35)=9,"September ",IF(MONTH('Other financial Liabilities'!I35)=10,"October",  IF(MONTH('Other financial Liabilities'!I35)=11,"November ",IF(MONTH('Other financial Liabilities'!I35)=12,"December ",""))))))))))))&amp;YEAR('Other financial Liabilities'!I35),IF(F41="c008x   - Government, central banks &amp; supranationals","Tax Liability "&amp;IF(MONTH('Other financial Liabilities'!I35)=1,"January ",IF(MONTH('Other financial Liabilities'!I35)=2,"February ",IF(MONTH('Other financial Liabilities'!I35)=3,"March ",IF(MONTH('Other financial Liabilities'!I35)=4,"April ",IF(MONTH('Other financial Liabilities'!I35)=5,"May ",IF(MONTH('Other financial Liabilities'!I35)=6,"June ",IF(MONTH('Other financial Liabilities'!I35)=7,"July ",IF(MONTH('Other financial Liabilities'!I35)=8, "August ",  IF(MONTH('Other financial Liabilities'!I35)=9,"September ",IF(MONTH('Other financial Liabilities'!I35)=10,"October ",IF(MONTH('Other financial Liabilities'!I35)=11,"November ",IF(MONTH('Other financial Liabilities'!I35)=12,"December ",""))))))))))))&amp;YEAR('Other financial Liabilities'!I35),"")))</f>
        <v>BANCO BAI EUROPA S.A.</v>
      </c>
      <c r="J41" s="14" t="str">
        <f>+IF(OR('Other financial Liabilities'!C35="",'Other financial Liabilities'!C35="#"),IF('Other financial Liabilities'!A35="",IF(F41="c001x   - Households","CSL"&amp;"001",IF(F41="c008x   - Government, central banks &amp; supranationals","TL"&amp;"001")),'Other financial Liabilities'!A35),'Other financial Liabilities'!C35)</f>
        <v>5100431816</v>
      </c>
      <c r="K41" s="14" t="str">
        <f>+IF(J41='Other financial Liabilities'!C35,"LEI code","Type of identifier, other than LEI or MFI code")</f>
        <v>Type of identifier, other than LEI or MFI code</v>
      </c>
      <c r="L41" s="14" t="s">
        <v>197</v>
      </c>
      <c r="M41" s="14" t="s">
        <v>198</v>
      </c>
      <c r="N41" s="14" t="s">
        <v>199</v>
      </c>
      <c r="O41" s="15">
        <v>4787.2</v>
      </c>
      <c r="P41" s="15">
        <f>IF('Other financial Liabilities'!E35="",0,'Other financial Liabilities'!E35)</f>
        <v>0</v>
      </c>
      <c r="Q41" s="14">
        <f>IF('Other financial Liabilities'!F35="",0,'Other financial Liabilities'!F35)</f>
        <v>0</v>
      </c>
      <c r="R41" s="14" t="s">
        <v>212</v>
      </c>
      <c r="S41" s="16" t="s">
        <v>250</v>
      </c>
      <c r="T41" s="16">
        <f t="shared" si="2"/>
        <v>44928</v>
      </c>
      <c r="U41" s="16">
        <f t="shared" si="3"/>
        <v>44928</v>
      </c>
      <c r="V41" s="14" t="s">
        <v>200</v>
      </c>
      <c r="W41" s="15">
        <v>0</v>
      </c>
      <c r="X41" s="15">
        <v>0</v>
      </c>
      <c r="Y41" s="15">
        <v>0</v>
      </c>
      <c r="Z41" s="14" t="s">
        <v>201</v>
      </c>
      <c r="AA41" s="15">
        <v>0</v>
      </c>
      <c r="AB41" s="14" t="s">
        <v>202</v>
      </c>
      <c r="AC41" s="17">
        <v>0</v>
      </c>
      <c r="AD41" s="20"/>
    </row>
    <row r="42" spans="3:30" ht="45.75" customHeight="1" thickBot="1" x14ac:dyDescent="0.5">
      <c r="C42" s="12">
        <f t="shared" si="0"/>
        <v>999</v>
      </c>
      <c r="D42" s="13">
        <f t="shared" si="4"/>
        <v>35</v>
      </c>
      <c r="E42" s="14" t="str">
        <f>IF(AND('Other financial Liabilities'!K36="",'Other financial Liabilities'!J36=1),"r0180 - Critical service liabilities (BRRD art. 44/2/g/ii)",IF(AND('Other financial Liabilities'!K36="",'Other financial Liabilities'!J36=2),"r0190 - Tax and social security authorities liabilities, if preferred (BRRD art. 44/2/g/iii)",'Other financial Liabilities'!K36))</f>
        <v>r0150 - Institution liabilities &lt; 7 days (BRRD art. 44/2/e)</v>
      </c>
      <c r="F42" s="14" t="str">
        <f>IF(OR('Other financial Liabilities'!G36="particulares",'Other financial Liabilities'!J36=1),"c001x   - Households",IF('Other financial Liabilities'!G36="outras empresas nao financeiras","c003x   - Corporates",IF('Other financial Liabilities'!G36="instituicoes de credito","c004x   - Institutions",IF('Other financial Liabilities'!G36="outras instituicoes financeiras","c005x   - Other financial corporations",IF(OR('Other financial Liabilities'!G36="setor publico",'Other financial Liabilities'!J36=2),"c008x   - Government, central banks &amp; supranationals","")))))</f>
        <v>c004x   - Institutions</v>
      </c>
      <c r="G42" s="14" t="str">
        <f t="shared" si="1"/>
        <v>Rank 9 - Ranking in insolvency (master scale)</v>
      </c>
      <c r="H42" s="14" t="str">
        <f>IF(F42="c004x   - Institutions",'Other financial Liabilities'!H36,IF(F42="c001x   - Households","CSL"&amp;IF(MONTH('Other financial Liabilities'!I36)=1,"JAN",IF(MONTH('Other financial Liabilities'!I36)=2,"FEV",IF(MONTH('Other financial Liabilities'!I36)=3,"MAR",IF(MONTH('Other financial Liabilities'!I36)=4,"ABR",IF(MONTH('Other financial Liabilities'!I36)=5,"MAI",IF(MONTH('Other financial Liabilities'!I36)=6,"JUN",IF(MONTH('Other financial Liabilities'!I36)=7,"JUL",IF(MONTH('Other financial Liabilities'!I36)=8,"AGO",IF(MONTH('Other financial Liabilities'!I36)=9,"SET",IF(MONTH('Other financial Liabilities'!I36)=10,"OUT",IF(MONTH('Other financial Liabilities'!I36)=11,"NOV",IF(MONTH('Other financial Liabilities'!I36)=12,"DEZ",""))))))))))))&amp;LEFT(YEAR('Other financial Liabilities'!I36),2),IF(F42="c008x   - Government, central banks &amp; supranationals","TL"&amp;IF(MONTH('Other financial Liabilities'!I36)=1,"JAN",IF(MONTH('Other financial Liabilities'!I36)=2,"FEV",IF(MONTH('Other financial Liabilities'!I36)=3,"MAR",IF(MONTH('Other financial Liabilities'!I36)=4,"ABR",IF(MONTH('Other financial Liabilities'!I36)=5,"MAI",IF(MONTH('Other financial Liabilities'!I36)=6,"JUN",IF(MONTH('Other financial Liabilities'!I36)=7,"JUL",IF(MONTH('Other financial Liabilities'!I36)=8,"AGO",IF(MONTH('Other financial Liabilities'!I36)=9,"SET",IF(MONTH('Other financial Liabilities'!I36)=10,"OUT",IF(MONTH('Other financial Liabilities'!I36)=11,"NOV",IF(MONTH('Other financial Liabilities'!I36)=12,"DEZ",""))))))))))))&amp;LEFT(YEAR('Other financial Liabilities'!I36),2),"")))</f>
        <v>IMGA EXTRA TESOURARIA III - FUNDO INVESTIMENTO ALTERNATIVO MOBILIARIO</v>
      </c>
      <c r="I42" s="14" t="str">
        <f>IF(F42="c004x   - Institutions",'Other financial Liabilities'!H36,IF(F42="c001x   - Households","Critical Service Liability "&amp;IF(MONTH('Other financial Liabilities'!I36)=1,"January ",IF(MONTH('Other financial Liabilities'!I36)=2,"February ",IF(MONTH('Other financial Liabilities'!I36)=3,"March ",IF(MONTH('Other financial Liabilities'!I36)=4, "April ",IF(MONTH('Other financial Liabilities'!I36)=5,"May ",IF(MONTH('Other financial Liabilities'!I36)=6,"June ",IF(MONTH('Other financial Liabilities'!I36)=7,"July ",IF(MONTH('Other financial Liabilities'!I36)=8,"August ",IF(MONTH('Other financial Liabilities'!I36)=9,"September ",IF(MONTH('Other financial Liabilities'!I36)=10,"October",  IF(MONTH('Other financial Liabilities'!I36)=11,"November ",IF(MONTH('Other financial Liabilities'!I36)=12,"December ",""))))))))))))&amp;YEAR('Other financial Liabilities'!I36),IF(F42="c008x   - Government, central banks &amp; supranationals","Tax Liability "&amp;IF(MONTH('Other financial Liabilities'!I36)=1,"January ",IF(MONTH('Other financial Liabilities'!I36)=2,"February ",IF(MONTH('Other financial Liabilities'!I36)=3,"March ",IF(MONTH('Other financial Liabilities'!I36)=4,"April ",IF(MONTH('Other financial Liabilities'!I36)=5,"May ",IF(MONTH('Other financial Liabilities'!I36)=6,"June ",IF(MONTH('Other financial Liabilities'!I36)=7,"July ",IF(MONTH('Other financial Liabilities'!I36)=8, "August ",  IF(MONTH('Other financial Liabilities'!I36)=9,"September ",IF(MONTH('Other financial Liabilities'!I36)=10,"October ",IF(MONTH('Other financial Liabilities'!I36)=11,"November ",IF(MONTH('Other financial Liabilities'!I36)=12,"December ",""))))))))))))&amp;YEAR('Other financial Liabilities'!I36),"")))</f>
        <v>IMGA EXTRA TESOURARIA III - FUNDO INVESTIMENTO ALTERNATIVO MOBILIARIO</v>
      </c>
      <c r="J42" s="14" t="str">
        <f>+IF(OR('Other financial Liabilities'!C36="",'Other financial Liabilities'!C36="#"),IF('Other financial Liabilities'!A36="",IF(F42="c001x   - Households","CSL"&amp;"001",IF(F42="c008x   - Government, central banks &amp; supranationals","TL"&amp;"001")),'Other financial Liabilities'!A36),'Other financial Liabilities'!C36)</f>
        <v>5100517491</v>
      </c>
      <c r="K42" s="14" t="str">
        <f>+IF(J42='Other financial Liabilities'!C36,"LEI code","Type of identifier, other than LEI or MFI code")</f>
        <v>Type of identifier, other than LEI or MFI code</v>
      </c>
      <c r="L42" s="14" t="s">
        <v>197</v>
      </c>
      <c r="M42" s="14" t="s">
        <v>198</v>
      </c>
      <c r="N42" s="14" t="s">
        <v>199</v>
      </c>
      <c r="O42" s="15">
        <v>73239.23</v>
      </c>
      <c r="P42" s="15">
        <f>IF('Other financial Liabilities'!E36="",0,'Other financial Liabilities'!E36)</f>
        <v>0</v>
      </c>
      <c r="Q42" s="14">
        <f>IF('Other financial Liabilities'!F36="",0,'Other financial Liabilities'!F36)</f>
        <v>0</v>
      </c>
      <c r="R42" s="14" t="s">
        <v>212</v>
      </c>
      <c r="S42" s="16" t="s">
        <v>250</v>
      </c>
      <c r="T42" s="16">
        <f t="shared" si="2"/>
        <v>44928</v>
      </c>
      <c r="U42" s="16">
        <f t="shared" si="3"/>
        <v>44928</v>
      </c>
      <c r="V42" s="14" t="s">
        <v>200</v>
      </c>
      <c r="W42" s="15">
        <v>0</v>
      </c>
      <c r="X42" s="15">
        <v>0</v>
      </c>
      <c r="Y42" s="15">
        <v>0</v>
      </c>
      <c r="Z42" s="14" t="s">
        <v>201</v>
      </c>
      <c r="AA42" s="15">
        <v>0</v>
      </c>
      <c r="AB42" s="14" t="s">
        <v>202</v>
      </c>
      <c r="AC42" s="17">
        <v>0</v>
      </c>
      <c r="AD42" s="20"/>
    </row>
    <row r="43" spans="3:30" ht="45.75" customHeight="1" thickBot="1" x14ac:dyDescent="0.5">
      <c r="C43" s="12">
        <f t="shared" si="0"/>
        <v>999</v>
      </c>
      <c r="D43" s="13">
        <f t="shared" si="4"/>
        <v>36</v>
      </c>
      <c r="E43" s="14" t="str">
        <f>IF(AND('Other financial Liabilities'!K37="",'Other financial Liabilities'!J37=1),"r0180 - Critical service liabilities (BRRD art. 44/2/g/ii)",IF(AND('Other financial Liabilities'!K37="",'Other financial Liabilities'!J37=2),"r0190 - Tax and social security authorities liabilities, if preferred (BRRD art. 44/2/g/iii)",'Other financial Liabilities'!K37))</f>
        <v>r0150 - Institution liabilities &lt; 7 days (BRRD art. 44/2/e)</v>
      </c>
      <c r="F43" s="14" t="str">
        <f>IF(OR('Other financial Liabilities'!G37="particulares",'Other financial Liabilities'!J37=1),"c001x   - Households",IF('Other financial Liabilities'!G37="outras empresas nao financeiras","c003x   - Corporates",IF('Other financial Liabilities'!G37="instituicoes de credito","c004x   - Institutions",IF('Other financial Liabilities'!G37="outras instituicoes financeiras","c005x   - Other financial corporations",IF(OR('Other financial Liabilities'!G37="setor publico",'Other financial Liabilities'!J37=2),"c008x   - Government, central banks &amp; supranationals","")))))</f>
        <v>c004x   - Institutions</v>
      </c>
      <c r="G43" s="14" t="str">
        <f t="shared" si="1"/>
        <v>Rank 9 - Ranking in insolvency (master scale)</v>
      </c>
      <c r="H43" s="14" t="str">
        <f>IF(F43="c004x   - Institutions",'Other financial Liabilities'!H37,IF(F43="c001x   - Households","CSL"&amp;IF(MONTH('Other financial Liabilities'!I37)=1,"JAN",IF(MONTH('Other financial Liabilities'!I37)=2,"FEV",IF(MONTH('Other financial Liabilities'!I37)=3,"MAR",IF(MONTH('Other financial Liabilities'!I37)=4,"ABR",IF(MONTH('Other financial Liabilities'!I37)=5,"MAI",IF(MONTH('Other financial Liabilities'!I37)=6,"JUN",IF(MONTH('Other financial Liabilities'!I37)=7,"JUL",IF(MONTH('Other financial Liabilities'!I37)=8,"AGO",IF(MONTH('Other financial Liabilities'!I37)=9,"SET",IF(MONTH('Other financial Liabilities'!I37)=10,"OUT",IF(MONTH('Other financial Liabilities'!I37)=11,"NOV",IF(MONTH('Other financial Liabilities'!I37)=12,"DEZ",""))))))))))))&amp;LEFT(YEAR('Other financial Liabilities'!I37),2),IF(F43="c008x   - Government, central banks &amp; supranationals","TL"&amp;IF(MONTH('Other financial Liabilities'!I37)=1,"JAN",IF(MONTH('Other financial Liabilities'!I37)=2,"FEV",IF(MONTH('Other financial Liabilities'!I37)=3,"MAR",IF(MONTH('Other financial Liabilities'!I37)=4,"ABR",IF(MONTH('Other financial Liabilities'!I37)=5,"MAI",IF(MONTH('Other financial Liabilities'!I37)=6,"JUN",IF(MONTH('Other financial Liabilities'!I37)=7,"JUL",IF(MONTH('Other financial Liabilities'!I37)=8,"AGO",IF(MONTH('Other financial Liabilities'!I37)=9,"SET",IF(MONTH('Other financial Liabilities'!I37)=10,"OUT",IF(MONTH('Other financial Liabilities'!I37)=11,"NOV",IF(MONTH('Other financial Liabilities'!I37)=12,"DEZ",""))))))))))))&amp;LEFT(YEAR('Other financial Liabilities'!I37),2),"")))</f>
        <v>CAIXA ECONOMICA DO PORTO ANEXA A A BENEFICENCIA FAMILIAR - ASSOCIACAO</v>
      </c>
      <c r="I43" s="14" t="str">
        <f>IF(F43="c004x   - Institutions",'Other financial Liabilities'!H37,IF(F43="c001x   - Households","Critical Service Liability "&amp;IF(MONTH('Other financial Liabilities'!I37)=1,"January ",IF(MONTH('Other financial Liabilities'!I37)=2,"February ",IF(MONTH('Other financial Liabilities'!I37)=3,"March ",IF(MONTH('Other financial Liabilities'!I37)=4, "April ",IF(MONTH('Other financial Liabilities'!I37)=5,"May ",IF(MONTH('Other financial Liabilities'!I37)=6,"June ",IF(MONTH('Other financial Liabilities'!I37)=7,"July ",IF(MONTH('Other financial Liabilities'!I37)=8,"August ",IF(MONTH('Other financial Liabilities'!I37)=9,"September ",IF(MONTH('Other financial Liabilities'!I37)=10,"October",  IF(MONTH('Other financial Liabilities'!I37)=11,"November ",IF(MONTH('Other financial Liabilities'!I37)=12,"December ",""))))))))))))&amp;YEAR('Other financial Liabilities'!I37),IF(F43="c008x   - Government, central banks &amp; supranationals","Tax Liability "&amp;IF(MONTH('Other financial Liabilities'!I37)=1,"January ",IF(MONTH('Other financial Liabilities'!I37)=2,"February ",IF(MONTH('Other financial Liabilities'!I37)=3,"March ",IF(MONTH('Other financial Liabilities'!I37)=4,"April ",IF(MONTH('Other financial Liabilities'!I37)=5,"May ",IF(MONTH('Other financial Liabilities'!I37)=6,"June ",IF(MONTH('Other financial Liabilities'!I37)=7,"July ",IF(MONTH('Other financial Liabilities'!I37)=8, "August ",  IF(MONTH('Other financial Liabilities'!I37)=9,"September ",IF(MONTH('Other financial Liabilities'!I37)=10,"October ",IF(MONTH('Other financial Liabilities'!I37)=11,"November ",IF(MONTH('Other financial Liabilities'!I37)=12,"December ",""))))))))))))&amp;YEAR('Other financial Liabilities'!I37),"")))</f>
        <v>CAIXA ECONOMICA DO PORTO ANEXA A A BENEFICENCIA FAMILIAR - ASSOCIACAO</v>
      </c>
      <c r="J43" s="14" t="str">
        <f>+IF(OR('Other financial Liabilities'!C37="",'Other financial Liabilities'!C37="#"),IF('Other financial Liabilities'!A37="",IF(F43="c001x   - Households","CSL"&amp;"001",IF(F43="c008x   - Government, central banks &amp; supranationals","TL"&amp;"001")),'Other financial Liabilities'!A37),'Other financial Liabilities'!C37)</f>
        <v>5100619537</v>
      </c>
      <c r="K43" s="14" t="str">
        <f>+IF(J43='Other financial Liabilities'!C37,"LEI code","Type of identifier, other than LEI or MFI code")</f>
        <v>Type of identifier, other than LEI or MFI code</v>
      </c>
      <c r="L43" s="14" t="s">
        <v>197</v>
      </c>
      <c r="M43" s="14" t="s">
        <v>198</v>
      </c>
      <c r="N43" s="14" t="s">
        <v>199</v>
      </c>
      <c r="O43" s="15">
        <v>113801.11</v>
      </c>
      <c r="P43" s="15">
        <f>IF('Other financial Liabilities'!E37="",0,'Other financial Liabilities'!E37)</f>
        <v>0</v>
      </c>
      <c r="Q43" s="14">
        <f>IF('Other financial Liabilities'!F37="",0,'Other financial Liabilities'!F37)</f>
        <v>0</v>
      </c>
      <c r="R43" s="14" t="s">
        <v>212</v>
      </c>
      <c r="S43" s="16" t="s">
        <v>250</v>
      </c>
      <c r="T43" s="16">
        <f t="shared" si="2"/>
        <v>44928</v>
      </c>
      <c r="U43" s="16">
        <f t="shared" si="3"/>
        <v>44928</v>
      </c>
      <c r="V43" s="14" t="s">
        <v>200</v>
      </c>
      <c r="W43" s="15">
        <v>0</v>
      </c>
      <c r="X43" s="15">
        <v>0</v>
      </c>
      <c r="Y43" s="15">
        <v>0</v>
      </c>
      <c r="Z43" s="14" t="s">
        <v>201</v>
      </c>
      <c r="AA43" s="15">
        <v>0</v>
      </c>
      <c r="AB43" s="14" t="s">
        <v>202</v>
      </c>
      <c r="AC43" s="17">
        <v>0</v>
      </c>
      <c r="AD43" s="20"/>
    </row>
    <row r="44" spans="3:30" ht="45.75" customHeight="1" thickBot="1" x14ac:dyDescent="0.5">
      <c r="C44" s="12">
        <f t="shared" si="0"/>
        <v>999</v>
      </c>
      <c r="D44" s="13">
        <f t="shared" si="4"/>
        <v>37</v>
      </c>
      <c r="E44" s="14" t="str">
        <f>IF(AND('Other financial Liabilities'!K38="",'Other financial Liabilities'!J38=1),"r0180 - Critical service liabilities (BRRD art. 44/2/g/ii)",IF(AND('Other financial Liabilities'!K38="",'Other financial Liabilities'!J38=2),"r0190 - Tax and social security authorities liabilities, if preferred (BRRD art. 44/2/g/iii)",'Other financial Liabilities'!K38))</f>
        <v>r0150 - Institution liabilities &lt; 7 days (BRRD art. 44/2/e)</v>
      </c>
      <c r="F44" s="14" t="str">
        <f>IF(OR('Other financial Liabilities'!G38="particulares",'Other financial Liabilities'!J38=1),"c001x   - Households",IF('Other financial Liabilities'!G38="outras empresas nao financeiras","c003x   - Corporates",IF('Other financial Liabilities'!G38="instituicoes de credito","c004x   - Institutions",IF('Other financial Liabilities'!G38="outras instituicoes financeiras","c005x   - Other financial corporations",IF(OR('Other financial Liabilities'!G38="setor publico",'Other financial Liabilities'!J38=2),"c008x   - Government, central banks &amp; supranationals","")))))</f>
        <v>c004x   - Institutions</v>
      </c>
      <c r="G44" s="14" t="str">
        <f t="shared" si="1"/>
        <v>Rank 9 - Ranking in insolvency (master scale)</v>
      </c>
      <c r="H44" s="14" t="str">
        <f>IF(F44="c004x   - Institutions",'Other financial Liabilities'!H38,IF(F44="c001x   - Households","CSL"&amp;IF(MONTH('Other financial Liabilities'!I38)=1,"JAN",IF(MONTH('Other financial Liabilities'!I38)=2,"FEV",IF(MONTH('Other financial Liabilities'!I38)=3,"MAR",IF(MONTH('Other financial Liabilities'!I38)=4,"ABR",IF(MONTH('Other financial Liabilities'!I38)=5,"MAI",IF(MONTH('Other financial Liabilities'!I38)=6,"JUN",IF(MONTH('Other financial Liabilities'!I38)=7,"JUL",IF(MONTH('Other financial Liabilities'!I38)=8,"AGO",IF(MONTH('Other financial Liabilities'!I38)=9,"SET",IF(MONTH('Other financial Liabilities'!I38)=10,"OUT",IF(MONTH('Other financial Liabilities'!I38)=11,"NOV",IF(MONTH('Other financial Liabilities'!I38)=12,"DEZ",""))))))))))))&amp;LEFT(YEAR('Other financial Liabilities'!I38),2),IF(F44="c008x   - Government, central banks &amp; supranationals","TL"&amp;IF(MONTH('Other financial Liabilities'!I38)=1,"JAN",IF(MONTH('Other financial Liabilities'!I38)=2,"FEV",IF(MONTH('Other financial Liabilities'!I38)=3,"MAR",IF(MONTH('Other financial Liabilities'!I38)=4,"ABR",IF(MONTH('Other financial Liabilities'!I38)=5,"MAI",IF(MONTH('Other financial Liabilities'!I38)=6,"JUN",IF(MONTH('Other financial Liabilities'!I38)=7,"JUL",IF(MONTH('Other financial Liabilities'!I38)=8,"AGO",IF(MONTH('Other financial Liabilities'!I38)=9,"SET",IF(MONTH('Other financial Liabilities'!I38)=10,"OUT",IF(MONTH('Other financial Liabilities'!I38)=11,"NOV",IF(MONTH('Other financial Liabilities'!I38)=12,"DEZ",""))))))))))))&amp;LEFT(YEAR('Other financial Liabilities'!I38),2),"")))</f>
        <v>BANCO BIC PORTUGUES, S.A.</v>
      </c>
      <c r="I44" s="14" t="str">
        <f>IF(F44="c004x   - Institutions",'Other financial Liabilities'!H38,IF(F44="c001x   - Households","Critical Service Liability "&amp;IF(MONTH('Other financial Liabilities'!I38)=1,"January ",IF(MONTH('Other financial Liabilities'!I38)=2,"February ",IF(MONTH('Other financial Liabilities'!I38)=3,"March ",IF(MONTH('Other financial Liabilities'!I38)=4, "April ",IF(MONTH('Other financial Liabilities'!I38)=5,"May ",IF(MONTH('Other financial Liabilities'!I38)=6,"June ",IF(MONTH('Other financial Liabilities'!I38)=7,"July ",IF(MONTH('Other financial Liabilities'!I38)=8,"August ",IF(MONTH('Other financial Liabilities'!I38)=9,"September ",IF(MONTH('Other financial Liabilities'!I38)=10,"October",  IF(MONTH('Other financial Liabilities'!I38)=11,"November ",IF(MONTH('Other financial Liabilities'!I38)=12,"December ",""))))))))))))&amp;YEAR('Other financial Liabilities'!I38),IF(F44="c008x   - Government, central banks &amp; supranationals","Tax Liability "&amp;IF(MONTH('Other financial Liabilities'!I38)=1,"January ",IF(MONTH('Other financial Liabilities'!I38)=2,"February ",IF(MONTH('Other financial Liabilities'!I38)=3,"March ",IF(MONTH('Other financial Liabilities'!I38)=4,"April ",IF(MONTH('Other financial Liabilities'!I38)=5,"May ",IF(MONTH('Other financial Liabilities'!I38)=6,"June ",IF(MONTH('Other financial Liabilities'!I38)=7,"July ",IF(MONTH('Other financial Liabilities'!I38)=8, "August ",  IF(MONTH('Other financial Liabilities'!I38)=9,"September ",IF(MONTH('Other financial Liabilities'!I38)=10,"October ",IF(MONTH('Other financial Liabilities'!I38)=11,"November ",IF(MONTH('Other financial Liabilities'!I38)=12,"December ",""))))))))))))&amp;YEAR('Other financial Liabilities'!I38),"")))</f>
        <v>BANCO BIC PORTUGUES, S.A.</v>
      </c>
      <c r="J44" s="14" t="str">
        <f>+IF(OR('Other financial Liabilities'!C38="",'Other financial Liabilities'!C38="#"),IF('Other financial Liabilities'!A38="",IF(F44="c001x   - Households","CSL"&amp;"001",IF(F44="c008x   - Government, central banks &amp; supranationals","TL"&amp;"001")),'Other financial Liabilities'!A38),'Other financial Liabilities'!C38)</f>
        <v>549300QQJ6BNALGU6806</v>
      </c>
      <c r="K44" s="14" t="str">
        <f>+IF(J44='Other financial Liabilities'!C38,"LEI code","Type of identifier, other than LEI or MFI code")</f>
        <v>LEI code</v>
      </c>
      <c r="L44" s="14" t="s">
        <v>197</v>
      </c>
      <c r="M44" s="14" t="s">
        <v>198</v>
      </c>
      <c r="N44" s="14" t="s">
        <v>199</v>
      </c>
      <c r="O44" s="15">
        <v>680.4</v>
      </c>
      <c r="P44" s="15">
        <f>IF('Other financial Liabilities'!E38="",0,'Other financial Liabilities'!E38)</f>
        <v>0</v>
      </c>
      <c r="Q44" s="14">
        <f>IF('Other financial Liabilities'!F38="",0,'Other financial Liabilities'!F38)</f>
        <v>0</v>
      </c>
      <c r="R44" s="14" t="s">
        <v>212</v>
      </c>
      <c r="S44" s="16" t="s">
        <v>250</v>
      </c>
      <c r="T44" s="16">
        <f t="shared" si="2"/>
        <v>44928</v>
      </c>
      <c r="U44" s="16">
        <f t="shared" si="3"/>
        <v>44928</v>
      </c>
      <c r="V44" s="14" t="s">
        <v>200</v>
      </c>
      <c r="W44" s="15">
        <v>0</v>
      </c>
      <c r="X44" s="15">
        <v>0</v>
      </c>
      <c r="Y44" s="15">
        <v>0</v>
      </c>
      <c r="Z44" s="14" t="s">
        <v>201</v>
      </c>
      <c r="AA44" s="15">
        <v>0</v>
      </c>
      <c r="AB44" s="14" t="s">
        <v>202</v>
      </c>
      <c r="AC44" s="17">
        <v>0</v>
      </c>
      <c r="AD44" s="20"/>
    </row>
    <row r="45" spans="3:30" ht="45.75" customHeight="1" thickBot="1" x14ac:dyDescent="0.5">
      <c r="C45" s="12">
        <f t="shared" si="0"/>
        <v>999</v>
      </c>
      <c r="D45" s="13">
        <f t="shared" si="4"/>
        <v>38</v>
      </c>
      <c r="E45" s="14" t="str">
        <f>IF(AND('Other financial Liabilities'!K39="",'Other financial Liabilities'!J39=1),"r0180 - Critical service liabilities (BRRD art. 44/2/g/ii)",IF(AND('Other financial Liabilities'!K39="",'Other financial Liabilities'!J39=2),"r0190 - Tax and social security authorities liabilities, if preferred (BRRD art. 44/2/g/iii)",'Other financial Liabilities'!K39))</f>
        <v>r0150 - Institution liabilities &lt; 7 days (BRRD art. 44/2/e)</v>
      </c>
      <c r="F45" s="14" t="str">
        <f>IF(OR('Other financial Liabilities'!G39="particulares",'Other financial Liabilities'!J39=1),"c001x   - Households",IF('Other financial Liabilities'!G39="outras empresas nao financeiras","c003x   - Corporates",IF('Other financial Liabilities'!G39="instituicoes de credito","c004x   - Institutions",IF('Other financial Liabilities'!G39="outras instituicoes financeiras","c005x   - Other financial corporations",IF(OR('Other financial Liabilities'!G39="setor publico",'Other financial Liabilities'!J39=2),"c008x   - Government, central banks &amp; supranationals","")))))</f>
        <v>c004x   - Institutions</v>
      </c>
      <c r="G45" s="14" t="str">
        <f t="shared" si="1"/>
        <v>Rank 9 - Ranking in insolvency (master scale)</v>
      </c>
      <c r="H45" s="14" t="str">
        <f>IF(F45="c004x   - Institutions",'Other financial Liabilities'!H39,IF(F45="c001x   - Households","CSL"&amp;IF(MONTH('Other financial Liabilities'!I39)=1,"JAN",IF(MONTH('Other financial Liabilities'!I39)=2,"FEV",IF(MONTH('Other financial Liabilities'!I39)=3,"MAR",IF(MONTH('Other financial Liabilities'!I39)=4,"ABR",IF(MONTH('Other financial Liabilities'!I39)=5,"MAI",IF(MONTH('Other financial Liabilities'!I39)=6,"JUN",IF(MONTH('Other financial Liabilities'!I39)=7,"JUL",IF(MONTH('Other financial Liabilities'!I39)=8,"AGO",IF(MONTH('Other financial Liabilities'!I39)=9,"SET",IF(MONTH('Other financial Liabilities'!I39)=10,"OUT",IF(MONTH('Other financial Liabilities'!I39)=11,"NOV",IF(MONTH('Other financial Liabilities'!I39)=12,"DEZ",""))))))))))))&amp;LEFT(YEAR('Other financial Liabilities'!I39),2),IF(F45="c008x   - Government, central banks &amp; supranationals","TL"&amp;IF(MONTH('Other financial Liabilities'!I39)=1,"JAN",IF(MONTH('Other financial Liabilities'!I39)=2,"FEV",IF(MONTH('Other financial Liabilities'!I39)=3,"MAR",IF(MONTH('Other financial Liabilities'!I39)=4,"ABR",IF(MONTH('Other financial Liabilities'!I39)=5,"MAI",IF(MONTH('Other financial Liabilities'!I39)=6,"JUN",IF(MONTH('Other financial Liabilities'!I39)=7,"JUL",IF(MONTH('Other financial Liabilities'!I39)=8,"AGO",IF(MONTH('Other financial Liabilities'!I39)=9,"SET",IF(MONTH('Other financial Liabilities'!I39)=10,"OUT",IF(MONTH('Other financial Liabilities'!I39)=11,"NOV",IF(MONTH('Other financial Liabilities'!I39)=12,"DEZ",""))))))))))))&amp;LEFT(YEAR('Other financial Liabilities'!I39),2),"")))</f>
        <v>BANCO PORTUGUES DE GESTAO S.A.</v>
      </c>
      <c r="I45" s="14" t="str">
        <f>IF(F45="c004x   - Institutions",'Other financial Liabilities'!H39,IF(F45="c001x   - Households","Critical Service Liability "&amp;IF(MONTH('Other financial Liabilities'!I39)=1,"January ",IF(MONTH('Other financial Liabilities'!I39)=2,"February ",IF(MONTH('Other financial Liabilities'!I39)=3,"March ",IF(MONTH('Other financial Liabilities'!I39)=4, "April ",IF(MONTH('Other financial Liabilities'!I39)=5,"May ",IF(MONTH('Other financial Liabilities'!I39)=6,"June ",IF(MONTH('Other financial Liabilities'!I39)=7,"July ",IF(MONTH('Other financial Liabilities'!I39)=8,"August ",IF(MONTH('Other financial Liabilities'!I39)=9,"September ",IF(MONTH('Other financial Liabilities'!I39)=10,"October",  IF(MONTH('Other financial Liabilities'!I39)=11,"November ",IF(MONTH('Other financial Liabilities'!I39)=12,"December ",""))))))))))))&amp;YEAR('Other financial Liabilities'!I39),IF(F45="c008x   - Government, central banks &amp; supranationals","Tax Liability "&amp;IF(MONTH('Other financial Liabilities'!I39)=1,"January ",IF(MONTH('Other financial Liabilities'!I39)=2,"February ",IF(MONTH('Other financial Liabilities'!I39)=3,"March ",IF(MONTH('Other financial Liabilities'!I39)=4,"April ",IF(MONTH('Other financial Liabilities'!I39)=5,"May ",IF(MONTH('Other financial Liabilities'!I39)=6,"June ",IF(MONTH('Other financial Liabilities'!I39)=7,"July ",IF(MONTH('Other financial Liabilities'!I39)=8, "August ",  IF(MONTH('Other financial Liabilities'!I39)=9,"September ",IF(MONTH('Other financial Liabilities'!I39)=10,"October ",IF(MONTH('Other financial Liabilities'!I39)=11,"November ",IF(MONTH('Other financial Liabilities'!I39)=12,"December ",""))))))))))))&amp;YEAR('Other financial Liabilities'!I39),"")))</f>
        <v>BANCO PORTUGUES DE GESTAO S.A.</v>
      </c>
      <c r="J45" s="14" t="str">
        <f>+IF(OR('Other financial Liabilities'!C39="",'Other financial Liabilities'!C39="#"),IF('Other financial Liabilities'!A39="",IF(F45="c001x   - Households","CSL"&amp;"001",IF(F45="c008x   - Government, central banks &amp; supranationals","TL"&amp;"001")),'Other financial Liabilities'!A39),'Other financial Liabilities'!C39)</f>
        <v>213800FVJ6R9N8797493</v>
      </c>
      <c r="K45" s="14" t="str">
        <f>+IF(J45='Other financial Liabilities'!C39,"LEI code","Type of identifier, other than LEI or MFI code")</f>
        <v>LEI code</v>
      </c>
      <c r="L45" s="14" t="s">
        <v>197</v>
      </c>
      <c r="M45" s="14" t="s">
        <v>198</v>
      </c>
      <c r="N45" s="14" t="s">
        <v>199</v>
      </c>
      <c r="O45" s="15">
        <v>5141209.3</v>
      </c>
      <c r="P45" s="15">
        <f>IF('Other financial Liabilities'!E39="",0,'Other financial Liabilities'!E39)</f>
        <v>0</v>
      </c>
      <c r="Q45" s="14">
        <f>IF('Other financial Liabilities'!F39="",0,'Other financial Liabilities'!F39)</f>
        <v>0</v>
      </c>
      <c r="R45" s="14" t="s">
        <v>212</v>
      </c>
      <c r="S45" s="16" t="s">
        <v>250</v>
      </c>
      <c r="T45" s="16">
        <f t="shared" si="2"/>
        <v>44928</v>
      </c>
      <c r="U45" s="16">
        <f t="shared" si="3"/>
        <v>44928</v>
      </c>
      <c r="V45" s="14" t="s">
        <v>200</v>
      </c>
      <c r="W45" s="15">
        <v>0</v>
      </c>
      <c r="X45" s="15">
        <v>0</v>
      </c>
      <c r="Y45" s="15">
        <v>0</v>
      </c>
      <c r="Z45" s="14" t="s">
        <v>201</v>
      </c>
      <c r="AA45" s="15">
        <v>0</v>
      </c>
      <c r="AB45" s="14" t="s">
        <v>202</v>
      </c>
      <c r="AC45" s="17">
        <v>0</v>
      </c>
      <c r="AD45" s="20"/>
    </row>
    <row r="46" spans="3:30" ht="45.75" customHeight="1" thickBot="1" x14ac:dyDescent="0.5">
      <c r="C46" s="12">
        <f t="shared" si="0"/>
        <v>999</v>
      </c>
      <c r="D46" s="13">
        <f t="shared" si="4"/>
        <v>39</v>
      </c>
      <c r="E46" s="14" t="str">
        <f>IF(AND('Other financial Liabilities'!K40="",'Other financial Liabilities'!J40=1),"r0180 - Critical service liabilities (BRRD art. 44/2/g/ii)",IF(AND('Other financial Liabilities'!K40="",'Other financial Liabilities'!J40=2),"r0190 - Tax and social security authorities liabilities, if preferred (BRRD art. 44/2/g/iii)",'Other financial Liabilities'!K40))</f>
        <v>r0150 - Institution liabilities &lt; 7 days (BRRD art. 44/2/e)</v>
      </c>
      <c r="F46" s="14" t="str">
        <f>IF(OR('Other financial Liabilities'!G40="particulares",'Other financial Liabilities'!J40=1),"c001x   - Households",IF('Other financial Liabilities'!G40="outras empresas nao financeiras","c003x   - Corporates",IF('Other financial Liabilities'!G40="instituicoes de credito","c004x   - Institutions",IF('Other financial Liabilities'!G40="outras instituicoes financeiras","c005x   - Other financial corporations",IF(OR('Other financial Liabilities'!G40="setor publico",'Other financial Liabilities'!J40=2),"c008x   - Government, central banks &amp; supranationals","")))))</f>
        <v>c004x   - Institutions</v>
      </c>
      <c r="G46" s="14" t="str">
        <f t="shared" si="1"/>
        <v>Rank 9 - Ranking in insolvency (master scale)</v>
      </c>
      <c r="H46" s="14" t="str">
        <f>IF(F46="c004x   - Institutions",'Other financial Liabilities'!H40,IF(F46="c001x   - Households","CSL"&amp;IF(MONTH('Other financial Liabilities'!I40)=1,"JAN",IF(MONTH('Other financial Liabilities'!I40)=2,"FEV",IF(MONTH('Other financial Liabilities'!I40)=3,"MAR",IF(MONTH('Other financial Liabilities'!I40)=4,"ABR",IF(MONTH('Other financial Liabilities'!I40)=5,"MAI",IF(MONTH('Other financial Liabilities'!I40)=6,"JUN",IF(MONTH('Other financial Liabilities'!I40)=7,"JUL",IF(MONTH('Other financial Liabilities'!I40)=8,"AGO",IF(MONTH('Other financial Liabilities'!I40)=9,"SET",IF(MONTH('Other financial Liabilities'!I40)=10,"OUT",IF(MONTH('Other financial Liabilities'!I40)=11,"NOV",IF(MONTH('Other financial Liabilities'!I40)=12,"DEZ",""))))))))))))&amp;LEFT(YEAR('Other financial Liabilities'!I40),2),IF(F46="c008x   - Government, central banks &amp; supranationals","TL"&amp;IF(MONTH('Other financial Liabilities'!I40)=1,"JAN",IF(MONTH('Other financial Liabilities'!I40)=2,"FEV",IF(MONTH('Other financial Liabilities'!I40)=3,"MAR",IF(MONTH('Other financial Liabilities'!I40)=4,"ABR",IF(MONTH('Other financial Liabilities'!I40)=5,"MAI",IF(MONTH('Other financial Liabilities'!I40)=6,"JUN",IF(MONTH('Other financial Liabilities'!I40)=7,"JUL",IF(MONTH('Other financial Liabilities'!I40)=8,"AGO",IF(MONTH('Other financial Liabilities'!I40)=9,"SET",IF(MONTH('Other financial Liabilities'!I40)=10,"OUT",IF(MONTH('Other financial Liabilities'!I40)=11,"NOV",IF(MONTH('Other financial Liabilities'!I40)=12,"DEZ",""))))))))))))&amp;LEFT(YEAR('Other financial Liabilities'!I40),2),"")))</f>
        <v>BANCO PORTUGUES DE GESTAO S.A.</v>
      </c>
      <c r="I46" s="14" t="str">
        <f>IF(F46="c004x   - Institutions",'Other financial Liabilities'!H40,IF(F46="c001x   - Households","Critical Service Liability "&amp;IF(MONTH('Other financial Liabilities'!I40)=1,"January ",IF(MONTH('Other financial Liabilities'!I40)=2,"February ",IF(MONTH('Other financial Liabilities'!I40)=3,"March ",IF(MONTH('Other financial Liabilities'!I40)=4, "April ",IF(MONTH('Other financial Liabilities'!I40)=5,"May ",IF(MONTH('Other financial Liabilities'!I40)=6,"June ",IF(MONTH('Other financial Liabilities'!I40)=7,"July ",IF(MONTH('Other financial Liabilities'!I40)=8,"August ",IF(MONTH('Other financial Liabilities'!I40)=9,"September ",IF(MONTH('Other financial Liabilities'!I40)=10,"October",  IF(MONTH('Other financial Liabilities'!I40)=11,"November ",IF(MONTH('Other financial Liabilities'!I40)=12,"December ",""))))))))))))&amp;YEAR('Other financial Liabilities'!I40),IF(F46="c008x   - Government, central banks &amp; supranationals","Tax Liability "&amp;IF(MONTH('Other financial Liabilities'!I40)=1,"January ",IF(MONTH('Other financial Liabilities'!I40)=2,"February ",IF(MONTH('Other financial Liabilities'!I40)=3,"March ",IF(MONTH('Other financial Liabilities'!I40)=4,"April ",IF(MONTH('Other financial Liabilities'!I40)=5,"May ",IF(MONTH('Other financial Liabilities'!I40)=6,"June ",IF(MONTH('Other financial Liabilities'!I40)=7,"July ",IF(MONTH('Other financial Liabilities'!I40)=8, "August ",  IF(MONTH('Other financial Liabilities'!I40)=9,"September ",IF(MONTH('Other financial Liabilities'!I40)=10,"October ",IF(MONTH('Other financial Liabilities'!I40)=11,"November ",IF(MONTH('Other financial Liabilities'!I40)=12,"December ",""))))))))))))&amp;YEAR('Other financial Liabilities'!I40),"")))</f>
        <v>BANCO PORTUGUES DE GESTAO S.A.</v>
      </c>
      <c r="J46" s="14" t="str">
        <f>+IF(OR('Other financial Liabilities'!C40="",'Other financial Liabilities'!C40="#"),IF('Other financial Liabilities'!A40="",IF(F46="c001x   - Households","CSL"&amp;"001",IF(F46="c008x   - Government, central banks &amp; supranationals","TL"&amp;"001")),'Other financial Liabilities'!A40),'Other financial Liabilities'!C40)</f>
        <v>213800FVJ6R9N8797493</v>
      </c>
      <c r="K46" s="14" t="str">
        <f>+IF(J46='Other financial Liabilities'!C40,"LEI code","Type of identifier, other than LEI or MFI code")</f>
        <v>LEI code</v>
      </c>
      <c r="L46" s="14" t="s">
        <v>197</v>
      </c>
      <c r="M46" s="14" t="s">
        <v>198</v>
      </c>
      <c r="N46" s="14" t="s">
        <v>199</v>
      </c>
      <c r="O46" s="15">
        <v>90258.66</v>
      </c>
      <c r="P46" s="15">
        <f>IF('Other financial Liabilities'!E40="",0,'Other financial Liabilities'!E40)</f>
        <v>0</v>
      </c>
      <c r="Q46" s="14">
        <f>IF('Other financial Liabilities'!F40="",0,'Other financial Liabilities'!F40)</f>
        <v>0</v>
      </c>
      <c r="R46" s="14" t="s">
        <v>211</v>
      </c>
      <c r="S46" s="16" t="s">
        <v>250</v>
      </c>
      <c r="T46" s="16">
        <f t="shared" si="2"/>
        <v>44928</v>
      </c>
      <c r="U46" s="16">
        <f t="shared" si="3"/>
        <v>44928</v>
      </c>
      <c r="V46" s="14" t="s">
        <v>200</v>
      </c>
      <c r="W46" s="15">
        <v>0</v>
      </c>
      <c r="X46" s="15">
        <v>0</v>
      </c>
      <c r="Y46" s="15">
        <v>0</v>
      </c>
      <c r="Z46" s="14" t="s">
        <v>201</v>
      </c>
      <c r="AA46" s="15">
        <v>0</v>
      </c>
      <c r="AB46" s="14" t="s">
        <v>202</v>
      </c>
      <c r="AC46" s="17">
        <v>0</v>
      </c>
      <c r="AD46" s="20"/>
    </row>
    <row r="47" spans="3:30" ht="45.75" customHeight="1" thickBot="1" x14ac:dyDescent="0.5">
      <c r="C47" s="12">
        <f t="shared" si="0"/>
        <v>999</v>
      </c>
      <c r="D47" s="13">
        <f t="shared" si="4"/>
        <v>40</v>
      </c>
      <c r="E47" s="14" t="str">
        <f>IF(AND('Other financial Liabilities'!K41="",'Other financial Liabilities'!J41=1),"r0180 - Critical service liabilities (BRRD art. 44/2/g/ii)",IF(AND('Other financial Liabilities'!K41="",'Other financial Liabilities'!J41=2),"r0190 - Tax and social security authorities liabilities, if preferred (BRRD art. 44/2/g/iii)",'Other financial Liabilities'!K41))</f>
        <v>r0150 - Institution liabilities &lt; 7 days (BRRD art. 44/2/e)</v>
      </c>
      <c r="F47" s="14" t="str">
        <f>IF(OR('Other financial Liabilities'!G41="particulares",'Other financial Liabilities'!J41=1),"c001x   - Households",IF('Other financial Liabilities'!G41="outras empresas nao financeiras","c003x   - Corporates",IF('Other financial Liabilities'!G41="instituicoes de credito","c004x   - Institutions",IF('Other financial Liabilities'!G41="outras instituicoes financeiras","c005x   - Other financial corporations",IF(OR('Other financial Liabilities'!G41="setor publico",'Other financial Liabilities'!J41=2),"c008x   - Government, central banks &amp; supranationals","")))))</f>
        <v>c004x   - Institutions</v>
      </c>
      <c r="G47" s="14" t="str">
        <f t="shared" si="1"/>
        <v>Rank 9 - Ranking in insolvency (master scale)</v>
      </c>
      <c r="H47" s="14" t="str">
        <f>IF(F47="c004x   - Institutions",'Other financial Liabilities'!H41,IF(F47="c001x   - Households","CSL"&amp;IF(MONTH('Other financial Liabilities'!I41)=1,"JAN",IF(MONTH('Other financial Liabilities'!I41)=2,"FEV",IF(MONTH('Other financial Liabilities'!I41)=3,"MAR",IF(MONTH('Other financial Liabilities'!I41)=4,"ABR",IF(MONTH('Other financial Liabilities'!I41)=5,"MAI",IF(MONTH('Other financial Liabilities'!I41)=6,"JUN",IF(MONTH('Other financial Liabilities'!I41)=7,"JUL",IF(MONTH('Other financial Liabilities'!I41)=8,"AGO",IF(MONTH('Other financial Liabilities'!I41)=9,"SET",IF(MONTH('Other financial Liabilities'!I41)=10,"OUT",IF(MONTH('Other financial Liabilities'!I41)=11,"NOV",IF(MONTH('Other financial Liabilities'!I41)=12,"DEZ",""))))))))))))&amp;LEFT(YEAR('Other financial Liabilities'!I41),2),IF(F47="c008x   - Government, central banks &amp; supranationals","TL"&amp;IF(MONTH('Other financial Liabilities'!I41)=1,"JAN",IF(MONTH('Other financial Liabilities'!I41)=2,"FEV",IF(MONTH('Other financial Liabilities'!I41)=3,"MAR",IF(MONTH('Other financial Liabilities'!I41)=4,"ABR",IF(MONTH('Other financial Liabilities'!I41)=5,"MAI",IF(MONTH('Other financial Liabilities'!I41)=6,"JUN",IF(MONTH('Other financial Liabilities'!I41)=7,"JUL",IF(MONTH('Other financial Liabilities'!I41)=8,"AGO",IF(MONTH('Other financial Liabilities'!I41)=9,"SET",IF(MONTH('Other financial Liabilities'!I41)=10,"OUT",IF(MONTH('Other financial Liabilities'!I41)=11,"NOV",IF(MONTH('Other financial Liabilities'!I41)=12,"DEZ",""))))))))))))&amp;LEFT(YEAR('Other financial Liabilities'!I41),2),"")))</f>
        <v>BANCO PRIMUS, S.A.</v>
      </c>
      <c r="I47" s="14" t="str">
        <f>IF(F47="c004x   - Institutions",'Other financial Liabilities'!H41,IF(F47="c001x   - Households","Critical Service Liability "&amp;IF(MONTH('Other financial Liabilities'!I41)=1,"January ",IF(MONTH('Other financial Liabilities'!I41)=2,"February ",IF(MONTH('Other financial Liabilities'!I41)=3,"March ",IF(MONTH('Other financial Liabilities'!I41)=4, "April ",IF(MONTH('Other financial Liabilities'!I41)=5,"May ",IF(MONTH('Other financial Liabilities'!I41)=6,"June ",IF(MONTH('Other financial Liabilities'!I41)=7,"July ",IF(MONTH('Other financial Liabilities'!I41)=8,"August ",IF(MONTH('Other financial Liabilities'!I41)=9,"September ",IF(MONTH('Other financial Liabilities'!I41)=10,"October",  IF(MONTH('Other financial Liabilities'!I41)=11,"November ",IF(MONTH('Other financial Liabilities'!I41)=12,"December ",""))))))))))))&amp;YEAR('Other financial Liabilities'!I41),IF(F47="c008x   - Government, central banks &amp; supranationals","Tax Liability "&amp;IF(MONTH('Other financial Liabilities'!I41)=1,"January ",IF(MONTH('Other financial Liabilities'!I41)=2,"February ",IF(MONTH('Other financial Liabilities'!I41)=3,"March ",IF(MONTH('Other financial Liabilities'!I41)=4,"April ",IF(MONTH('Other financial Liabilities'!I41)=5,"May ",IF(MONTH('Other financial Liabilities'!I41)=6,"June ",IF(MONTH('Other financial Liabilities'!I41)=7,"July ",IF(MONTH('Other financial Liabilities'!I41)=8, "August ",  IF(MONTH('Other financial Liabilities'!I41)=9,"September ",IF(MONTH('Other financial Liabilities'!I41)=10,"October ",IF(MONTH('Other financial Liabilities'!I41)=11,"November ",IF(MONTH('Other financial Liabilities'!I41)=12,"December ",""))))))))))))&amp;YEAR('Other financial Liabilities'!I41),"")))</f>
        <v>BANCO PRIMUS, S.A.</v>
      </c>
      <c r="J47" s="14" t="str">
        <f>+IF(OR('Other financial Liabilities'!C41="",'Other financial Liabilities'!C41="#"),IF('Other financial Liabilities'!A41="",IF(F47="c001x   - Households","CSL"&amp;"001",IF(F47="c008x   - Government, central banks &amp; supranationals","TL"&amp;"001")),'Other financial Liabilities'!A41),'Other financial Liabilities'!C41)</f>
        <v>7400275915</v>
      </c>
      <c r="K47" s="14" t="str">
        <f>+IF(J47='Other financial Liabilities'!C41,"LEI code","Type of identifier, other than LEI or MFI code")</f>
        <v>Type of identifier, other than LEI or MFI code</v>
      </c>
      <c r="L47" s="14" t="s">
        <v>197</v>
      </c>
      <c r="M47" s="14" t="s">
        <v>198</v>
      </c>
      <c r="N47" s="14" t="s">
        <v>199</v>
      </c>
      <c r="O47" s="15">
        <v>190409.14</v>
      </c>
      <c r="P47" s="15">
        <f>IF('Other financial Liabilities'!E41="",0,'Other financial Liabilities'!E41)</f>
        <v>0</v>
      </c>
      <c r="Q47" s="14">
        <f>IF('Other financial Liabilities'!F41="",0,'Other financial Liabilities'!F41)</f>
        <v>0</v>
      </c>
      <c r="R47" s="14" t="s">
        <v>212</v>
      </c>
      <c r="S47" s="16" t="s">
        <v>250</v>
      </c>
      <c r="T47" s="16">
        <f t="shared" si="2"/>
        <v>44928</v>
      </c>
      <c r="U47" s="16">
        <f t="shared" si="3"/>
        <v>44928</v>
      </c>
      <c r="V47" s="14" t="s">
        <v>200</v>
      </c>
      <c r="W47" s="15">
        <v>0</v>
      </c>
      <c r="X47" s="15">
        <v>0</v>
      </c>
      <c r="Y47" s="15">
        <v>0</v>
      </c>
      <c r="Z47" s="14" t="s">
        <v>201</v>
      </c>
      <c r="AA47" s="15">
        <v>0</v>
      </c>
      <c r="AB47" s="14" t="s">
        <v>202</v>
      </c>
      <c r="AC47" s="17">
        <v>0</v>
      </c>
      <c r="AD47" s="20"/>
    </row>
    <row r="48" spans="3:30" ht="45.75" customHeight="1" thickBot="1" x14ac:dyDescent="0.5">
      <c r="C48" s="12">
        <f t="shared" si="0"/>
        <v>999</v>
      </c>
      <c r="D48" s="13">
        <f t="shared" si="4"/>
        <v>41</v>
      </c>
      <c r="E48" s="14" t="str">
        <f>IF(AND('Other financial Liabilities'!K42="",'Other financial Liabilities'!J42=1),"r0180 - Critical service liabilities (BRRD art. 44/2/g/ii)",IF(AND('Other financial Liabilities'!K42="",'Other financial Liabilities'!J42=2),"r0190 - Tax and social security authorities liabilities, if preferred (BRRD art. 44/2/g/iii)",'Other financial Liabilities'!K42))</f>
        <v>r0150 - Institution liabilities &lt; 7 days (BRRD art. 44/2/e)</v>
      </c>
      <c r="F48" s="14" t="str">
        <f>IF(OR('Other financial Liabilities'!G42="particulares",'Other financial Liabilities'!J42=1),"c001x   - Households",IF('Other financial Liabilities'!G42="outras empresas nao financeiras","c003x   - Corporates",IF('Other financial Liabilities'!G42="instituicoes de credito","c004x   - Institutions",IF('Other financial Liabilities'!G42="outras instituicoes financeiras","c005x   - Other financial corporations",IF(OR('Other financial Liabilities'!G42="setor publico",'Other financial Liabilities'!J42=2),"c008x   - Government, central banks &amp; supranationals","")))))</f>
        <v>c004x   - Institutions</v>
      </c>
      <c r="G48" s="14" t="str">
        <f t="shared" si="1"/>
        <v>Rank 9 - Ranking in insolvency (master scale)</v>
      </c>
      <c r="H48" s="14" t="str">
        <f>IF(F48="c004x   - Institutions",'Other financial Liabilities'!H42,IF(F48="c001x   - Households","CSL"&amp;IF(MONTH('Other financial Liabilities'!I42)=1,"JAN",IF(MONTH('Other financial Liabilities'!I42)=2,"FEV",IF(MONTH('Other financial Liabilities'!I42)=3,"MAR",IF(MONTH('Other financial Liabilities'!I42)=4,"ABR",IF(MONTH('Other financial Liabilities'!I42)=5,"MAI",IF(MONTH('Other financial Liabilities'!I42)=6,"JUN",IF(MONTH('Other financial Liabilities'!I42)=7,"JUL",IF(MONTH('Other financial Liabilities'!I42)=8,"AGO",IF(MONTH('Other financial Liabilities'!I42)=9,"SET",IF(MONTH('Other financial Liabilities'!I42)=10,"OUT",IF(MONTH('Other financial Liabilities'!I42)=11,"NOV",IF(MONTH('Other financial Liabilities'!I42)=12,"DEZ",""))))))))))))&amp;LEFT(YEAR('Other financial Liabilities'!I42),2),IF(F48="c008x   - Government, central banks &amp; supranationals","TL"&amp;IF(MONTH('Other financial Liabilities'!I42)=1,"JAN",IF(MONTH('Other financial Liabilities'!I42)=2,"FEV",IF(MONTH('Other financial Liabilities'!I42)=3,"MAR",IF(MONTH('Other financial Liabilities'!I42)=4,"ABR",IF(MONTH('Other financial Liabilities'!I42)=5,"MAI",IF(MONTH('Other financial Liabilities'!I42)=6,"JUN",IF(MONTH('Other financial Liabilities'!I42)=7,"JUL",IF(MONTH('Other financial Liabilities'!I42)=8,"AGO",IF(MONTH('Other financial Liabilities'!I42)=9,"SET",IF(MONTH('Other financial Liabilities'!I42)=10,"OUT",IF(MONTH('Other financial Liabilities'!I42)=11,"NOV",IF(MONTH('Other financial Liabilities'!I42)=12,"DEZ",""))))))))))))&amp;LEFT(YEAR('Other financial Liabilities'!I42),2),"")))</f>
        <v>MASSA INSOLVENTE DE ESPIRITO SANTO INTERNATIONAL S.A.</v>
      </c>
      <c r="I48" s="14" t="str">
        <f>IF(F48="c004x   - Institutions",'Other financial Liabilities'!H42,IF(F48="c001x   - Households","Critical Service Liability "&amp;IF(MONTH('Other financial Liabilities'!I42)=1,"January ",IF(MONTH('Other financial Liabilities'!I42)=2,"February ",IF(MONTH('Other financial Liabilities'!I42)=3,"March ",IF(MONTH('Other financial Liabilities'!I42)=4, "April ",IF(MONTH('Other financial Liabilities'!I42)=5,"May ",IF(MONTH('Other financial Liabilities'!I42)=6,"June ",IF(MONTH('Other financial Liabilities'!I42)=7,"July ",IF(MONTH('Other financial Liabilities'!I42)=8,"August ",IF(MONTH('Other financial Liabilities'!I42)=9,"September ",IF(MONTH('Other financial Liabilities'!I42)=10,"October",  IF(MONTH('Other financial Liabilities'!I42)=11,"November ",IF(MONTH('Other financial Liabilities'!I42)=12,"December ",""))))))))))))&amp;YEAR('Other financial Liabilities'!I42),IF(F48="c008x   - Government, central banks &amp; supranationals","Tax Liability "&amp;IF(MONTH('Other financial Liabilities'!I42)=1,"January ",IF(MONTH('Other financial Liabilities'!I42)=2,"February ",IF(MONTH('Other financial Liabilities'!I42)=3,"March ",IF(MONTH('Other financial Liabilities'!I42)=4,"April ",IF(MONTH('Other financial Liabilities'!I42)=5,"May ",IF(MONTH('Other financial Liabilities'!I42)=6,"June ",IF(MONTH('Other financial Liabilities'!I42)=7,"July ",IF(MONTH('Other financial Liabilities'!I42)=8, "August ",  IF(MONTH('Other financial Liabilities'!I42)=9,"September ",IF(MONTH('Other financial Liabilities'!I42)=10,"October ",IF(MONTH('Other financial Liabilities'!I42)=11,"November ",IF(MONTH('Other financial Liabilities'!I42)=12,"December ",""))))))))))))&amp;YEAR('Other financial Liabilities'!I42),"")))</f>
        <v>MASSA INSOLVENTE DE ESPIRITO SANTO INTERNATIONAL S.A.</v>
      </c>
      <c r="J48" s="14" t="str">
        <f>+IF(OR('Other financial Liabilities'!C42="",'Other financial Liabilities'!C42="#"),IF('Other financial Liabilities'!A42="",IF(F48="c001x   - Households","CSL"&amp;"001",IF(F48="c008x   - Government, central banks &amp; supranationals","TL"&amp;"001")),'Other financial Liabilities'!A42),'Other financial Liabilities'!C42)</f>
        <v>7400284854</v>
      </c>
      <c r="K48" s="14" t="str">
        <f>+IF(J48='Other financial Liabilities'!C42,"LEI code","Type of identifier, other than LEI or MFI code")</f>
        <v>Type of identifier, other than LEI or MFI code</v>
      </c>
      <c r="L48" s="14" t="s">
        <v>197</v>
      </c>
      <c r="M48" s="14" t="s">
        <v>198</v>
      </c>
      <c r="N48" s="14" t="s">
        <v>199</v>
      </c>
      <c r="O48" s="15">
        <v>994968.92</v>
      </c>
      <c r="P48" s="15">
        <f>IF('Other financial Liabilities'!E42="",0,'Other financial Liabilities'!E42)</f>
        <v>0</v>
      </c>
      <c r="Q48" s="14">
        <f>IF('Other financial Liabilities'!F42="",0,'Other financial Liabilities'!F42)</f>
        <v>0</v>
      </c>
      <c r="R48" s="14" t="s">
        <v>212</v>
      </c>
      <c r="S48" s="16" t="s">
        <v>250</v>
      </c>
      <c r="T48" s="16">
        <f t="shared" si="2"/>
        <v>44928</v>
      </c>
      <c r="U48" s="16">
        <f t="shared" si="3"/>
        <v>44928</v>
      </c>
      <c r="V48" s="14" t="s">
        <v>200</v>
      </c>
      <c r="W48" s="15">
        <v>0</v>
      </c>
      <c r="X48" s="15">
        <v>0</v>
      </c>
      <c r="Y48" s="15">
        <v>0</v>
      </c>
      <c r="Z48" s="14" t="s">
        <v>201</v>
      </c>
      <c r="AA48" s="15">
        <v>0</v>
      </c>
      <c r="AB48" s="14" t="s">
        <v>202</v>
      </c>
      <c r="AC48" s="17">
        <v>0</v>
      </c>
      <c r="AD48" s="20"/>
    </row>
    <row r="49" spans="3:30" ht="45.75" customHeight="1" thickBot="1" x14ac:dyDescent="0.5">
      <c r="C49" s="12">
        <f t="shared" si="0"/>
        <v>999</v>
      </c>
      <c r="D49" s="13">
        <f t="shared" si="4"/>
        <v>42</v>
      </c>
      <c r="E49" s="14" t="str">
        <f>IF(AND('Other financial Liabilities'!K43="",'Other financial Liabilities'!J43=1),"r0180 - Critical service liabilities (BRRD art. 44/2/g/ii)",IF(AND('Other financial Liabilities'!K43="",'Other financial Liabilities'!J43=2),"r0190 - Tax and social security authorities liabilities, if preferred (BRRD art. 44/2/g/iii)",'Other financial Liabilities'!K43))</f>
        <v>r0150 - Institution liabilities &lt; 7 days (BRRD art. 44/2/e)</v>
      </c>
      <c r="F49" s="14" t="str">
        <f>IF(OR('Other financial Liabilities'!G43="particulares",'Other financial Liabilities'!J43=1),"c001x   - Households",IF('Other financial Liabilities'!G43="outras empresas nao financeiras","c003x   - Corporates",IF('Other financial Liabilities'!G43="instituicoes de credito","c004x   - Institutions",IF('Other financial Liabilities'!G43="outras instituicoes financeiras","c005x   - Other financial corporations",IF(OR('Other financial Liabilities'!G43="setor publico",'Other financial Liabilities'!J43=2),"c008x   - Government, central banks &amp; supranationals","")))))</f>
        <v>c004x   - Institutions</v>
      </c>
      <c r="G49" s="14" t="str">
        <f t="shared" si="1"/>
        <v>Rank 9 - Ranking in insolvency (master scale)</v>
      </c>
      <c r="H49" s="14" t="str">
        <f>IF(F49="c004x   - Institutions",'Other financial Liabilities'!H43,IF(F49="c001x   - Households","CSL"&amp;IF(MONTH('Other financial Liabilities'!I43)=1,"JAN",IF(MONTH('Other financial Liabilities'!I43)=2,"FEV",IF(MONTH('Other financial Liabilities'!I43)=3,"MAR",IF(MONTH('Other financial Liabilities'!I43)=4,"ABR",IF(MONTH('Other financial Liabilities'!I43)=5,"MAI",IF(MONTH('Other financial Liabilities'!I43)=6,"JUN",IF(MONTH('Other financial Liabilities'!I43)=7,"JUL",IF(MONTH('Other financial Liabilities'!I43)=8,"AGO",IF(MONTH('Other financial Liabilities'!I43)=9,"SET",IF(MONTH('Other financial Liabilities'!I43)=10,"OUT",IF(MONTH('Other financial Liabilities'!I43)=11,"NOV",IF(MONTH('Other financial Liabilities'!I43)=12,"DEZ",""))))))))))))&amp;LEFT(YEAR('Other financial Liabilities'!I43),2),IF(F49="c008x   - Government, central banks &amp; supranationals","TL"&amp;IF(MONTH('Other financial Liabilities'!I43)=1,"JAN",IF(MONTH('Other financial Liabilities'!I43)=2,"FEV",IF(MONTH('Other financial Liabilities'!I43)=3,"MAR",IF(MONTH('Other financial Liabilities'!I43)=4,"ABR",IF(MONTH('Other financial Liabilities'!I43)=5,"MAI",IF(MONTH('Other financial Liabilities'!I43)=6,"JUN",IF(MONTH('Other financial Liabilities'!I43)=7,"JUL",IF(MONTH('Other financial Liabilities'!I43)=8,"AGO",IF(MONTH('Other financial Liabilities'!I43)=9,"SET",IF(MONTH('Other financial Liabilities'!I43)=10,"OUT",IF(MONTH('Other financial Liabilities'!I43)=11,"NOV",IF(MONTH('Other financial Liabilities'!I43)=12,"DEZ",""))))))))))))&amp;LEFT(YEAR('Other financial Liabilities'!I43),2),"")))</f>
        <v>BANCO BEST</v>
      </c>
      <c r="I49" s="14" t="str">
        <f>IF(F49="c004x   - Institutions",'Other financial Liabilities'!H43,IF(F49="c001x   - Households","Critical Service Liability "&amp;IF(MONTH('Other financial Liabilities'!I43)=1,"January ",IF(MONTH('Other financial Liabilities'!I43)=2,"February ",IF(MONTH('Other financial Liabilities'!I43)=3,"March ",IF(MONTH('Other financial Liabilities'!I43)=4, "April ",IF(MONTH('Other financial Liabilities'!I43)=5,"May ",IF(MONTH('Other financial Liabilities'!I43)=6,"June ",IF(MONTH('Other financial Liabilities'!I43)=7,"July ",IF(MONTH('Other financial Liabilities'!I43)=8,"August ",IF(MONTH('Other financial Liabilities'!I43)=9,"September ",IF(MONTH('Other financial Liabilities'!I43)=10,"October",  IF(MONTH('Other financial Liabilities'!I43)=11,"November ",IF(MONTH('Other financial Liabilities'!I43)=12,"December ",""))))))))))))&amp;YEAR('Other financial Liabilities'!I43),IF(F49="c008x   - Government, central banks &amp; supranationals","Tax Liability "&amp;IF(MONTH('Other financial Liabilities'!I43)=1,"January ",IF(MONTH('Other financial Liabilities'!I43)=2,"February ",IF(MONTH('Other financial Liabilities'!I43)=3,"March ",IF(MONTH('Other financial Liabilities'!I43)=4,"April ",IF(MONTH('Other financial Liabilities'!I43)=5,"May ",IF(MONTH('Other financial Liabilities'!I43)=6,"June ",IF(MONTH('Other financial Liabilities'!I43)=7,"July ",IF(MONTH('Other financial Liabilities'!I43)=8, "August ",  IF(MONTH('Other financial Liabilities'!I43)=9,"September ",IF(MONTH('Other financial Liabilities'!I43)=10,"October ",IF(MONTH('Other financial Liabilities'!I43)=11,"November ",IF(MONTH('Other financial Liabilities'!I43)=12,"December ",""))))))))))))&amp;YEAR('Other financial Liabilities'!I43),"")))</f>
        <v>BANCO BEST</v>
      </c>
      <c r="J49" s="14" t="str">
        <f>+IF(OR('Other financial Liabilities'!C43="",'Other financial Liabilities'!C43="#"),IF('Other financial Liabilities'!A43="",IF(F49="c001x   - Households","CSL"&amp;"001",IF(F49="c008x   - Government, central banks &amp; supranationals","TL"&amp;"001")),'Other financial Liabilities'!A43),'Other financial Liabilities'!C43)</f>
        <v>549300TW29K5QURDVU59</v>
      </c>
      <c r="K49" s="14" t="str">
        <f>+IF(J49='Other financial Liabilities'!C43,"LEI code","Type of identifier, other than LEI or MFI code")</f>
        <v>LEI code</v>
      </c>
      <c r="L49" s="14" t="s">
        <v>197</v>
      </c>
      <c r="M49" s="14" t="s">
        <v>198</v>
      </c>
      <c r="N49" s="14" t="s">
        <v>199</v>
      </c>
      <c r="O49" s="15">
        <v>59560.84</v>
      </c>
      <c r="P49" s="15">
        <f>IF('Other financial Liabilities'!E43="",0,'Other financial Liabilities'!E43)</f>
        <v>0</v>
      </c>
      <c r="Q49" s="14">
        <f>IF('Other financial Liabilities'!F43="",0,'Other financial Liabilities'!F43)</f>
        <v>1.1519900000000001</v>
      </c>
      <c r="R49" s="14" t="s">
        <v>212</v>
      </c>
      <c r="S49" s="16" t="s">
        <v>250</v>
      </c>
      <c r="T49" s="16">
        <f t="shared" si="2"/>
        <v>44928</v>
      </c>
      <c r="U49" s="16">
        <f t="shared" si="3"/>
        <v>44928</v>
      </c>
      <c r="V49" s="14" t="s">
        <v>200</v>
      </c>
      <c r="W49" s="15">
        <v>0</v>
      </c>
      <c r="X49" s="15">
        <v>0</v>
      </c>
      <c r="Y49" s="15">
        <v>0</v>
      </c>
      <c r="Z49" s="14" t="s">
        <v>201</v>
      </c>
      <c r="AA49" s="15">
        <v>0</v>
      </c>
      <c r="AB49" s="14" t="s">
        <v>202</v>
      </c>
      <c r="AC49" s="17">
        <v>0</v>
      </c>
      <c r="AD49" s="20"/>
    </row>
    <row r="50" spans="3:30" ht="45.75" customHeight="1" thickBot="1" x14ac:dyDescent="0.5">
      <c r="C50" s="12">
        <f t="shared" si="0"/>
        <v>999</v>
      </c>
      <c r="D50" s="13">
        <f t="shared" si="4"/>
        <v>43</v>
      </c>
      <c r="E50" s="14" t="str">
        <f>IF(AND('Other financial Liabilities'!K44="",'Other financial Liabilities'!J44=1),"r0180 - Critical service liabilities (BRRD art. 44/2/g/ii)",IF(AND('Other financial Liabilities'!K44="",'Other financial Liabilities'!J44=2),"r0190 - Tax and social security authorities liabilities, if preferred (BRRD art. 44/2/g/iii)",'Other financial Liabilities'!K44))</f>
        <v>r0150 - Institution liabilities &lt; 7 days (BRRD art. 44/2/e)</v>
      </c>
      <c r="F50" s="14" t="str">
        <f>IF(OR('Other financial Liabilities'!G44="particulares",'Other financial Liabilities'!J44=1),"c001x   - Households",IF('Other financial Liabilities'!G44="outras empresas nao financeiras","c003x   - Corporates",IF('Other financial Liabilities'!G44="instituicoes de credito","c004x   - Institutions",IF('Other financial Liabilities'!G44="outras instituicoes financeiras","c005x   - Other financial corporations",IF(OR('Other financial Liabilities'!G44="setor publico",'Other financial Liabilities'!J44=2),"c008x   - Government, central banks &amp; supranationals","")))))</f>
        <v>c004x   - Institutions</v>
      </c>
      <c r="G50" s="14" t="str">
        <f t="shared" si="1"/>
        <v>Rank 9 - Ranking in insolvency (master scale)</v>
      </c>
      <c r="H50" s="14" t="str">
        <f>IF(F50="c004x   - Institutions",'Other financial Liabilities'!H44,IF(F50="c001x   - Households","CSL"&amp;IF(MONTH('Other financial Liabilities'!I44)=1,"JAN",IF(MONTH('Other financial Liabilities'!I44)=2,"FEV",IF(MONTH('Other financial Liabilities'!I44)=3,"MAR",IF(MONTH('Other financial Liabilities'!I44)=4,"ABR",IF(MONTH('Other financial Liabilities'!I44)=5,"MAI",IF(MONTH('Other financial Liabilities'!I44)=6,"JUN",IF(MONTH('Other financial Liabilities'!I44)=7,"JUL",IF(MONTH('Other financial Liabilities'!I44)=8,"AGO",IF(MONTH('Other financial Liabilities'!I44)=9,"SET",IF(MONTH('Other financial Liabilities'!I44)=10,"OUT",IF(MONTH('Other financial Liabilities'!I44)=11,"NOV",IF(MONTH('Other financial Liabilities'!I44)=12,"DEZ",""))))))))))))&amp;LEFT(YEAR('Other financial Liabilities'!I44),2),IF(F50="c008x   - Government, central banks &amp; supranationals","TL"&amp;IF(MONTH('Other financial Liabilities'!I44)=1,"JAN",IF(MONTH('Other financial Liabilities'!I44)=2,"FEV",IF(MONTH('Other financial Liabilities'!I44)=3,"MAR",IF(MONTH('Other financial Liabilities'!I44)=4,"ABR",IF(MONTH('Other financial Liabilities'!I44)=5,"MAI",IF(MONTH('Other financial Liabilities'!I44)=6,"JUN",IF(MONTH('Other financial Liabilities'!I44)=7,"JUL",IF(MONTH('Other financial Liabilities'!I44)=8,"AGO",IF(MONTH('Other financial Liabilities'!I44)=9,"SET",IF(MONTH('Other financial Liabilities'!I44)=10,"OUT",IF(MONTH('Other financial Liabilities'!I44)=11,"NOV",IF(MONTH('Other financial Liabilities'!I44)=12,"DEZ",""))))))))))))&amp;LEFT(YEAR('Other financial Liabilities'!I44),2),"")))</f>
        <v>BANCO DE INVESTIMENTO GLOBAL, S.A.</v>
      </c>
      <c r="I50" s="14" t="str">
        <f>IF(F50="c004x   - Institutions",'Other financial Liabilities'!H44,IF(F50="c001x   - Households","Critical Service Liability "&amp;IF(MONTH('Other financial Liabilities'!I44)=1,"January ",IF(MONTH('Other financial Liabilities'!I44)=2,"February ",IF(MONTH('Other financial Liabilities'!I44)=3,"March ",IF(MONTH('Other financial Liabilities'!I44)=4, "April ",IF(MONTH('Other financial Liabilities'!I44)=5,"May ",IF(MONTH('Other financial Liabilities'!I44)=6,"June ",IF(MONTH('Other financial Liabilities'!I44)=7,"July ",IF(MONTH('Other financial Liabilities'!I44)=8,"August ",IF(MONTH('Other financial Liabilities'!I44)=9,"September ",IF(MONTH('Other financial Liabilities'!I44)=10,"October",  IF(MONTH('Other financial Liabilities'!I44)=11,"November ",IF(MONTH('Other financial Liabilities'!I44)=12,"December ",""))))))))))))&amp;YEAR('Other financial Liabilities'!I44),IF(F50="c008x   - Government, central banks &amp; supranationals","Tax Liability "&amp;IF(MONTH('Other financial Liabilities'!I44)=1,"January ",IF(MONTH('Other financial Liabilities'!I44)=2,"February ",IF(MONTH('Other financial Liabilities'!I44)=3,"March ",IF(MONTH('Other financial Liabilities'!I44)=4,"April ",IF(MONTH('Other financial Liabilities'!I44)=5,"May ",IF(MONTH('Other financial Liabilities'!I44)=6,"June ",IF(MONTH('Other financial Liabilities'!I44)=7,"July ",IF(MONTH('Other financial Liabilities'!I44)=8, "August ",  IF(MONTH('Other financial Liabilities'!I44)=9,"September ",IF(MONTH('Other financial Liabilities'!I44)=10,"October ",IF(MONTH('Other financial Liabilities'!I44)=11,"November ",IF(MONTH('Other financial Liabilities'!I44)=12,"December ",""))))))))))))&amp;YEAR('Other financial Liabilities'!I44),"")))</f>
        <v>BANCO DE INVESTIMENTO GLOBAL, S.A.</v>
      </c>
      <c r="J50" s="14" t="str">
        <f>+IF(OR('Other financial Liabilities'!C44="",'Other financial Liabilities'!C44="#"),IF('Other financial Liabilities'!A44="",IF(F50="c001x   - Households","CSL"&amp;"001",IF(F50="c008x   - Government, central banks &amp; supranationals","TL"&amp;"001")),'Other financial Liabilities'!A44),'Other financial Liabilities'!C44)</f>
        <v>213800KYUPNOQPAQL758</v>
      </c>
      <c r="K50" s="14" t="str">
        <f>+IF(J50='Other financial Liabilities'!C44,"LEI code","Type of identifier, other than LEI or MFI code")</f>
        <v>LEI code</v>
      </c>
      <c r="L50" s="14" t="s">
        <v>197</v>
      </c>
      <c r="M50" s="14" t="s">
        <v>198</v>
      </c>
      <c r="N50" s="14" t="s">
        <v>199</v>
      </c>
      <c r="O50" s="15">
        <v>879546.96</v>
      </c>
      <c r="P50" s="15">
        <f>IF('Other financial Liabilities'!E44="",0,'Other financial Liabilities'!E44)</f>
        <v>0</v>
      </c>
      <c r="Q50" s="14">
        <f>IF('Other financial Liabilities'!F44="",0,'Other financial Liabilities'!F44)</f>
        <v>0</v>
      </c>
      <c r="R50" s="14" t="s">
        <v>212</v>
      </c>
      <c r="S50" s="16" t="s">
        <v>250</v>
      </c>
      <c r="T50" s="16">
        <f t="shared" si="2"/>
        <v>44928</v>
      </c>
      <c r="U50" s="16">
        <f t="shared" si="3"/>
        <v>44928</v>
      </c>
      <c r="V50" s="14" t="s">
        <v>200</v>
      </c>
      <c r="W50" s="15">
        <v>0</v>
      </c>
      <c r="X50" s="15">
        <v>0</v>
      </c>
      <c r="Y50" s="15">
        <v>0</v>
      </c>
      <c r="Z50" s="14" t="s">
        <v>201</v>
      </c>
      <c r="AA50" s="15">
        <v>0</v>
      </c>
      <c r="AB50" s="14" t="s">
        <v>202</v>
      </c>
      <c r="AC50" s="17">
        <v>0</v>
      </c>
      <c r="AD50" s="20"/>
    </row>
    <row r="51" spans="3:30" ht="45.75" customHeight="1" thickBot="1" x14ac:dyDescent="0.5">
      <c r="C51" s="12">
        <f t="shared" si="0"/>
        <v>999</v>
      </c>
      <c r="D51" s="13">
        <f t="shared" si="4"/>
        <v>44</v>
      </c>
      <c r="E51" s="14" t="str">
        <f>IF(AND('Other financial Liabilities'!K45="",'Other financial Liabilities'!J45=1),"r0180 - Critical service liabilities (BRRD art. 44/2/g/ii)",IF(AND('Other financial Liabilities'!K45="",'Other financial Liabilities'!J45=2),"r0190 - Tax and social security authorities liabilities, if preferred (BRRD art. 44/2/g/iii)",'Other financial Liabilities'!K45))</f>
        <v>r0150 - Institution liabilities &lt; 7 days (BRRD art. 44/2/e)</v>
      </c>
      <c r="F51" s="14" t="str">
        <f>IF(OR('Other financial Liabilities'!G45="particulares",'Other financial Liabilities'!J45=1),"c001x   - Households",IF('Other financial Liabilities'!G45="outras empresas nao financeiras","c003x   - Corporates",IF('Other financial Liabilities'!G45="instituicoes de credito","c004x   - Institutions",IF('Other financial Liabilities'!G45="outras instituicoes financeiras","c005x   - Other financial corporations",IF(OR('Other financial Liabilities'!G45="setor publico",'Other financial Liabilities'!J45=2),"c008x   - Government, central banks &amp; supranationals","")))))</f>
        <v>c004x   - Institutions</v>
      </c>
      <c r="G51" s="14" t="str">
        <f t="shared" si="1"/>
        <v>Rank 9 - Ranking in insolvency (master scale)</v>
      </c>
      <c r="H51" s="14" t="str">
        <f>IF(F51="c004x   - Institutions",'Other financial Liabilities'!H45,IF(F51="c001x   - Households","CSL"&amp;IF(MONTH('Other financial Liabilities'!I45)=1,"JAN",IF(MONTH('Other financial Liabilities'!I45)=2,"FEV",IF(MONTH('Other financial Liabilities'!I45)=3,"MAR",IF(MONTH('Other financial Liabilities'!I45)=4,"ABR",IF(MONTH('Other financial Liabilities'!I45)=5,"MAI",IF(MONTH('Other financial Liabilities'!I45)=6,"JUN",IF(MONTH('Other financial Liabilities'!I45)=7,"JUL",IF(MONTH('Other financial Liabilities'!I45)=8,"AGO",IF(MONTH('Other financial Liabilities'!I45)=9,"SET",IF(MONTH('Other financial Liabilities'!I45)=10,"OUT",IF(MONTH('Other financial Liabilities'!I45)=11,"NOV",IF(MONTH('Other financial Liabilities'!I45)=12,"DEZ",""))))))))))))&amp;LEFT(YEAR('Other financial Liabilities'!I45),2),IF(F51="c008x   - Government, central banks &amp; supranationals","TL"&amp;IF(MONTH('Other financial Liabilities'!I45)=1,"JAN",IF(MONTH('Other financial Liabilities'!I45)=2,"FEV",IF(MONTH('Other financial Liabilities'!I45)=3,"MAR",IF(MONTH('Other financial Liabilities'!I45)=4,"ABR",IF(MONTH('Other financial Liabilities'!I45)=5,"MAI",IF(MONTH('Other financial Liabilities'!I45)=6,"JUN",IF(MONTH('Other financial Liabilities'!I45)=7,"JUL",IF(MONTH('Other financial Liabilities'!I45)=8,"AGO",IF(MONTH('Other financial Liabilities'!I45)=9,"SET",IF(MONTH('Other financial Liabilities'!I45)=10,"OUT",IF(MONTH('Other financial Liabilities'!I45)=11,"NOV",IF(MONTH('Other financial Liabilities'!I45)=12,"DEZ",""))))))))))))&amp;LEFT(YEAR('Other financial Liabilities'!I45),2),"")))</f>
        <v>BNP PARIBAS</v>
      </c>
      <c r="I51" s="14" t="str">
        <f>IF(F51="c004x   - Institutions",'Other financial Liabilities'!H45,IF(F51="c001x   - Households","Critical Service Liability "&amp;IF(MONTH('Other financial Liabilities'!I45)=1,"January ",IF(MONTH('Other financial Liabilities'!I45)=2,"February ",IF(MONTH('Other financial Liabilities'!I45)=3,"March ",IF(MONTH('Other financial Liabilities'!I45)=4, "April ",IF(MONTH('Other financial Liabilities'!I45)=5,"May ",IF(MONTH('Other financial Liabilities'!I45)=6,"June ",IF(MONTH('Other financial Liabilities'!I45)=7,"July ",IF(MONTH('Other financial Liabilities'!I45)=8,"August ",IF(MONTH('Other financial Liabilities'!I45)=9,"September ",IF(MONTH('Other financial Liabilities'!I45)=10,"October",  IF(MONTH('Other financial Liabilities'!I45)=11,"November ",IF(MONTH('Other financial Liabilities'!I45)=12,"December ",""))))))))))))&amp;YEAR('Other financial Liabilities'!I45),IF(F51="c008x   - Government, central banks &amp; supranationals","Tax Liability "&amp;IF(MONTH('Other financial Liabilities'!I45)=1,"January ",IF(MONTH('Other financial Liabilities'!I45)=2,"February ",IF(MONTH('Other financial Liabilities'!I45)=3,"March ",IF(MONTH('Other financial Liabilities'!I45)=4,"April ",IF(MONTH('Other financial Liabilities'!I45)=5,"May ",IF(MONTH('Other financial Liabilities'!I45)=6,"June ",IF(MONTH('Other financial Liabilities'!I45)=7,"July ",IF(MONTH('Other financial Liabilities'!I45)=8, "August ",  IF(MONTH('Other financial Liabilities'!I45)=9,"September ",IF(MONTH('Other financial Liabilities'!I45)=10,"October ",IF(MONTH('Other financial Liabilities'!I45)=11,"November ",IF(MONTH('Other financial Liabilities'!I45)=12,"December ",""))))))))))))&amp;YEAR('Other financial Liabilities'!I45),"")))</f>
        <v>BNP PARIBAS</v>
      </c>
      <c r="J51" s="14" t="str">
        <f>+IF(OR('Other financial Liabilities'!C45="",'Other financial Liabilities'!C45="#"),IF('Other financial Liabilities'!A45="",IF(F51="c001x   - Households","CSL"&amp;"001",IF(F51="c008x   - Government, central banks &amp; supranationals","TL"&amp;"001")),'Other financial Liabilities'!A45),'Other financial Liabilities'!C45)</f>
        <v>7400422086</v>
      </c>
      <c r="K51" s="14" t="str">
        <f>+IF(J51='Other financial Liabilities'!C45,"LEI code","Type of identifier, other than LEI or MFI code")</f>
        <v>Type of identifier, other than LEI or MFI code</v>
      </c>
      <c r="L51" s="14" t="s">
        <v>197</v>
      </c>
      <c r="M51" s="14" t="s">
        <v>198</v>
      </c>
      <c r="N51" s="14" t="s">
        <v>199</v>
      </c>
      <c r="O51" s="15">
        <v>25931.71</v>
      </c>
      <c r="P51" s="15">
        <f>IF('Other financial Liabilities'!E45="",0,'Other financial Liabilities'!E45)</f>
        <v>0</v>
      </c>
      <c r="Q51" s="14">
        <f>IF('Other financial Liabilities'!F45="",0,'Other financial Liabilities'!F45)</f>
        <v>0</v>
      </c>
      <c r="R51" s="14" t="s">
        <v>212</v>
      </c>
      <c r="S51" s="16" t="s">
        <v>250</v>
      </c>
      <c r="T51" s="16">
        <f t="shared" si="2"/>
        <v>44928</v>
      </c>
      <c r="U51" s="16">
        <f t="shared" si="3"/>
        <v>44928</v>
      </c>
      <c r="V51" s="14" t="s">
        <v>200</v>
      </c>
      <c r="W51" s="15">
        <v>0</v>
      </c>
      <c r="X51" s="15">
        <v>0</v>
      </c>
      <c r="Y51" s="15">
        <v>0</v>
      </c>
      <c r="Z51" s="14" t="s">
        <v>201</v>
      </c>
      <c r="AA51" s="15">
        <v>0</v>
      </c>
      <c r="AB51" s="14" t="s">
        <v>202</v>
      </c>
      <c r="AC51" s="17">
        <v>0</v>
      </c>
      <c r="AD51" s="20"/>
    </row>
    <row r="52" spans="3:30" ht="45.75" customHeight="1" thickBot="1" x14ac:dyDescent="0.5">
      <c r="C52" s="12">
        <f t="shared" si="0"/>
        <v>999</v>
      </c>
      <c r="D52" s="13">
        <f t="shared" si="4"/>
        <v>45</v>
      </c>
      <c r="E52" s="14" t="str">
        <f>IF(AND('Other financial Liabilities'!K46="",'Other financial Liabilities'!J46=1),"r0180 - Critical service liabilities (BRRD art. 44/2/g/ii)",IF(AND('Other financial Liabilities'!K46="",'Other financial Liabilities'!J46=2),"r0190 - Tax and social security authorities liabilities, if preferred (BRRD art. 44/2/g/iii)",'Other financial Liabilities'!K46))</f>
        <v>r0150 - Institution liabilities &lt; 7 days (BRRD art. 44/2/e)</v>
      </c>
      <c r="F52" s="14" t="str">
        <f>IF(OR('Other financial Liabilities'!G46="particulares",'Other financial Liabilities'!J46=1),"c001x   - Households",IF('Other financial Liabilities'!G46="outras empresas nao financeiras","c003x   - Corporates",IF('Other financial Liabilities'!G46="instituicoes de credito","c004x   - Institutions",IF('Other financial Liabilities'!G46="outras instituicoes financeiras","c005x   - Other financial corporations",IF(OR('Other financial Liabilities'!G46="setor publico",'Other financial Liabilities'!J46=2),"c008x   - Government, central banks &amp; supranationals","")))))</f>
        <v>c004x   - Institutions</v>
      </c>
      <c r="G52" s="14" t="str">
        <f t="shared" si="1"/>
        <v>Rank 9 - Ranking in insolvency (master scale)</v>
      </c>
      <c r="H52" s="14" t="str">
        <f>IF(F52="c004x   - Institutions",'Other financial Liabilities'!H46,IF(F52="c001x   - Households","CSL"&amp;IF(MONTH('Other financial Liabilities'!I46)=1,"JAN",IF(MONTH('Other financial Liabilities'!I46)=2,"FEV",IF(MONTH('Other financial Liabilities'!I46)=3,"MAR",IF(MONTH('Other financial Liabilities'!I46)=4,"ABR",IF(MONTH('Other financial Liabilities'!I46)=5,"MAI",IF(MONTH('Other financial Liabilities'!I46)=6,"JUN",IF(MONTH('Other financial Liabilities'!I46)=7,"JUL",IF(MONTH('Other financial Liabilities'!I46)=8,"AGO",IF(MONTH('Other financial Liabilities'!I46)=9,"SET",IF(MONTH('Other financial Liabilities'!I46)=10,"OUT",IF(MONTH('Other financial Liabilities'!I46)=11,"NOV",IF(MONTH('Other financial Liabilities'!I46)=12,"DEZ",""))))))))))))&amp;LEFT(YEAR('Other financial Liabilities'!I46),2),IF(F52="c008x   - Government, central banks &amp; supranationals","TL"&amp;IF(MONTH('Other financial Liabilities'!I46)=1,"JAN",IF(MONTH('Other financial Liabilities'!I46)=2,"FEV",IF(MONTH('Other financial Liabilities'!I46)=3,"MAR",IF(MONTH('Other financial Liabilities'!I46)=4,"ABR",IF(MONTH('Other financial Liabilities'!I46)=5,"MAI",IF(MONTH('Other financial Liabilities'!I46)=6,"JUN",IF(MONTH('Other financial Liabilities'!I46)=7,"JUL",IF(MONTH('Other financial Liabilities'!I46)=8,"AGO",IF(MONTH('Other financial Liabilities'!I46)=9,"SET",IF(MONTH('Other financial Liabilities'!I46)=10,"OUT",IF(MONTH('Other financial Liabilities'!I46)=11,"NOV",IF(MONTH('Other financial Liabilities'!I46)=12,"DEZ",""))))))))))))&amp;LEFT(YEAR('Other financial Liabilities'!I46),2),"")))</f>
        <v>EUROBANK SA</v>
      </c>
      <c r="I52" s="14" t="str">
        <f>IF(F52="c004x   - Institutions",'Other financial Liabilities'!H46,IF(F52="c001x   - Households","Critical Service Liability "&amp;IF(MONTH('Other financial Liabilities'!I46)=1,"January ",IF(MONTH('Other financial Liabilities'!I46)=2,"February ",IF(MONTH('Other financial Liabilities'!I46)=3,"March ",IF(MONTH('Other financial Liabilities'!I46)=4, "April ",IF(MONTH('Other financial Liabilities'!I46)=5,"May ",IF(MONTH('Other financial Liabilities'!I46)=6,"June ",IF(MONTH('Other financial Liabilities'!I46)=7,"July ",IF(MONTH('Other financial Liabilities'!I46)=8,"August ",IF(MONTH('Other financial Liabilities'!I46)=9,"September ",IF(MONTH('Other financial Liabilities'!I46)=10,"October",  IF(MONTH('Other financial Liabilities'!I46)=11,"November ",IF(MONTH('Other financial Liabilities'!I46)=12,"December ",""))))))))))))&amp;YEAR('Other financial Liabilities'!I46),IF(F52="c008x   - Government, central banks &amp; supranationals","Tax Liability "&amp;IF(MONTH('Other financial Liabilities'!I46)=1,"January ",IF(MONTH('Other financial Liabilities'!I46)=2,"February ",IF(MONTH('Other financial Liabilities'!I46)=3,"March ",IF(MONTH('Other financial Liabilities'!I46)=4,"April ",IF(MONTH('Other financial Liabilities'!I46)=5,"May ",IF(MONTH('Other financial Liabilities'!I46)=6,"June ",IF(MONTH('Other financial Liabilities'!I46)=7,"July ",IF(MONTH('Other financial Liabilities'!I46)=8, "August ",  IF(MONTH('Other financial Liabilities'!I46)=9,"September ",IF(MONTH('Other financial Liabilities'!I46)=10,"October ",IF(MONTH('Other financial Liabilities'!I46)=11,"November ",IF(MONTH('Other financial Liabilities'!I46)=12,"December ",""))))))))))))&amp;YEAR('Other financial Liabilities'!I46),"")))</f>
        <v>EUROBANK SA</v>
      </c>
      <c r="J52" s="14" t="str">
        <f>+IF(OR('Other financial Liabilities'!C46="",'Other financial Liabilities'!C46="#"),IF('Other financial Liabilities'!A46="",IF(F52="c001x   - Households","CSL"&amp;"001",IF(F52="c008x   - Government, central banks &amp; supranationals","TL"&amp;"001")),'Other financial Liabilities'!A46),'Other financial Liabilities'!C46)</f>
        <v>JEUVK5RWVJEN8W0C9M24</v>
      </c>
      <c r="K52" s="14" t="str">
        <f>+IF(J52='Other financial Liabilities'!C46,"LEI code","Type of identifier, other than LEI or MFI code")</f>
        <v>LEI code</v>
      </c>
      <c r="L52" s="14" t="s">
        <v>197</v>
      </c>
      <c r="M52" s="14" t="s">
        <v>198</v>
      </c>
      <c r="N52" s="14" t="s">
        <v>199</v>
      </c>
      <c r="O52" s="15">
        <v>5</v>
      </c>
      <c r="P52" s="15">
        <f>IF('Other financial Liabilities'!E46="",0,'Other financial Liabilities'!E46)</f>
        <v>0</v>
      </c>
      <c r="Q52" s="14">
        <f>IF('Other financial Liabilities'!F46="",0,'Other financial Liabilities'!F46)</f>
        <v>0.90400000000000003</v>
      </c>
      <c r="R52" s="14" t="s">
        <v>212</v>
      </c>
      <c r="S52" s="16" t="s">
        <v>250</v>
      </c>
      <c r="T52" s="16">
        <f t="shared" si="2"/>
        <v>44928</v>
      </c>
      <c r="U52" s="16">
        <f t="shared" si="3"/>
        <v>44928</v>
      </c>
      <c r="V52" s="14" t="s">
        <v>200</v>
      </c>
      <c r="W52" s="15">
        <v>0</v>
      </c>
      <c r="X52" s="15">
        <v>0</v>
      </c>
      <c r="Y52" s="15">
        <v>0</v>
      </c>
      <c r="Z52" s="14" t="s">
        <v>201</v>
      </c>
      <c r="AA52" s="15">
        <v>0</v>
      </c>
      <c r="AB52" s="14" t="s">
        <v>202</v>
      </c>
      <c r="AC52" s="17">
        <v>0</v>
      </c>
      <c r="AD52" s="20"/>
    </row>
    <row r="53" spans="3:30" ht="45.75" customHeight="1" thickBot="1" x14ac:dyDescent="0.5">
      <c r="C53" s="12">
        <f t="shared" si="0"/>
        <v>999</v>
      </c>
      <c r="D53" s="13">
        <f t="shared" si="4"/>
        <v>46</v>
      </c>
      <c r="E53" s="14" t="str">
        <f>IF(AND('Other financial Liabilities'!K47="",'Other financial Liabilities'!J47=1),"r0180 - Critical service liabilities (BRRD art. 44/2/g/ii)",IF(AND('Other financial Liabilities'!K47="",'Other financial Liabilities'!J47=2),"r0190 - Tax and social security authorities liabilities, if preferred (BRRD art. 44/2/g/iii)",'Other financial Liabilities'!K47))</f>
        <v>r0150 - Institution liabilities &lt; 7 days (BRRD art. 44/2/e)</v>
      </c>
      <c r="F53" s="14" t="str">
        <f>IF(OR('Other financial Liabilities'!G47="particulares",'Other financial Liabilities'!J47=1),"c001x   - Households",IF('Other financial Liabilities'!G47="outras empresas nao financeiras","c003x   - Corporates",IF('Other financial Liabilities'!G47="instituicoes de credito","c004x   - Institutions",IF('Other financial Liabilities'!G47="outras instituicoes financeiras","c005x   - Other financial corporations",IF(OR('Other financial Liabilities'!G47="setor publico",'Other financial Liabilities'!J47=2),"c008x   - Government, central banks &amp; supranationals","")))))</f>
        <v>c004x   - Institutions</v>
      </c>
      <c r="G53" s="14" t="str">
        <f t="shared" si="1"/>
        <v>Rank 9 - Ranking in insolvency (master scale)</v>
      </c>
      <c r="H53" s="14" t="str">
        <f>IF(F53="c004x   - Institutions",'Other financial Liabilities'!H47,IF(F53="c001x   - Households","CSL"&amp;IF(MONTH('Other financial Liabilities'!I47)=1,"JAN",IF(MONTH('Other financial Liabilities'!I47)=2,"FEV",IF(MONTH('Other financial Liabilities'!I47)=3,"MAR",IF(MONTH('Other financial Liabilities'!I47)=4,"ABR",IF(MONTH('Other financial Liabilities'!I47)=5,"MAI",IF(MONTH('Other financial Liabilities'!I47)=6,"JUN",IF(MONTH('Other financial Liabilities'!I47)=7,"JUL",IF(MONTH('Other financial Liabilities'!I47)=8,"AGO",IF(MONTH('Other financial Liabilities'!I47)=9,"SET",IF(MONTH('Other financial Liabilities'!I47)=10,"OUT",IF(MONTH('Other financial Liabilities'!I47)=11,"NOV",IF(MONTH('Other financial Liabilities'!I47)=12,"DEZ",""))))))))))))&amp;LEFT(YEAR('Other financial Liabilities'!I47),2),IF(F53="c008x   - Government, central banks &amp; supranationals","TL"&amp;IF(MONTH('Other financial Liabilities'!I47)=1,"JAN",IF(MONTH('Other financial Liabilities'!I47)=2,"FEV",IF(MONTH('Other financial Liabilities'!I47)=3,"MAR",IF(MONTH('Other financial Liabilities'!I47)=4,"ABR",IF(MONTH('Other financial Liabilities'!I47)=5,"MAI",IF(MONTH('Other financial Liabilities'!I47)=6,"JUN",IF(MONTH('Other financial Liabilities'!I47)=7,"JUL",IF(MONTH('Other financial Liabilities'!I47)=8,"AGO",IF(MONTH('Other financial Liabilities'!I47)=9,"SET",IF(MONTH('Other financial Liabilities'!I47)=10,"OUT",IF(MONTH('Other financial Liabilities'!I47)=11,"NOV",IF(MONTH('Other financial Liabilities'!I47)=12,"DEZ",""))))))))))))&amp;LEFT(YEAR('Other financial Liabilities'!I47),2),"")))</f>
        <v>BANCO ACTIVOBANK PORTUGAL SA</v>
      </c>
      <c r="I53" s="14" t="str">
        <f>IF(F53="c004x   - Institutions",'Other financial Liabilities'!H47,IF(F53="c001x   - Households","Critical Service Liability "&amp;IF(MONTH('Other financial Liabilities'!I47)=1,"January ",IF(MONTH('Other financial Liabilities'!I47)=2,"February ",IF(MONTH('Other financial Liabilities'!I47)=3,"March ",IF(MONTH('Other financial Liabilities'!I47)=4, "April ",IF(MONTH('Other financial Liabilities'!I47)=5,"May ",IF(MONTH('Other financial Liabilities'!I47)=6,"June ",IF(MONTH('Other financial Liabilities'!I47)=7,"July ",IF(MONTH('Other financial Liabilities'!I47)=8,"August ",IF(MONTH('Other financial Liabilities'!I47)=9,"September ",IF(MONTH('Other financial Liabilities'!I47)=10,"October",  IF(MONTH('Other financial Liabilities'!I47)=11,"November ",IF(MONTH('Other financial Liabilities'!I47)=12,"December ",""))))))))))))&amp;YEAR('Other financial Liabilities'!I47),IF(F53="c008x   - Government, central banks &amp; supranationals","Tax Liability "&amp;IF(MONTH('Other financial Liabilities'!I47)=1,"January ",IF(MONTH('Other financial Liabilities'!I47)=2,"February ",IF(MONTH('Other financial Liabilities'!I47)=3,"March ",IF(MONTH('Other financial Liabilities'!I47)=4,"April ",IF(MONTH('Other financial Liabilities'!I47)=5,"May ",IF(MONTH('Other financial Liabilities'!I47)=6,"June ",IF(MONTH('Other financial Liabilities'!I47)=7,"July ",IF(MONTH('Other financial Liabilities'!I47)=8, "August ",  IF(MONTH('Other financial Liabilities'!I47)=9,"September ",IF(MONTH('Other financial Liabilities'!I47)=10,"October ",IF(MONTH('Other financial Liabilities'!I47)=11,"November ",IF(MONTH('Other financial Liabilities'!I47)=12,"December ",""))))))))))))&amp;YEAR('Other financial Liabilities'!I47),"")))</f>
        <v>BANCO ACTIVOBANK PORTUGAL SA</v>
      </c>
      <c r="J53" s="14" t="str">
        <f>+IF(OR('Other financial Liabilities'!C47="",'Other financial Liabilities'!C47="#"),IF('Other financial Liabilities'!A47="",IF(F53="c001x   - Households","CSL"&amp;"001",IF(F53="c008x   - Government, central banks &amp; supranationals","TL"&amp;"001")),'Other financial Liabilities'!A47),'Other financial Liabilities'!C47)</f>
        <v>529900GYIFZ0EH50GF42</v>
      </c>
      <c r="K53" s="14" t="str">
        <f>+IF(J53='Other financial Liabilities'!C47,"LEI code","Type of identifier, other than LEI or MFI code")</f>
        <v>LEI code</v>
      </c>
      <c r="L53" s="14" t="s">
        <v>197</v>
      </c>
      <c r="M53" s="14" t="s">
        <v>198</v>
      </c>
      <c r="N53" s="14" t="s">
        <v>199</v>
      </c>
      <c r="O53" s="15">
        <v>3724.72</v>
      </c>
      <c r="P53" s="15">
        <f>IF('Other financial Liabilities'!E47="",0,'Other financial Liabilities'!E47)</f>
        <v>0</v>
      </c>
      <c r="Q53" s="14">
        <f>IF('Other financial Liabilities'!F47="",0,'Other financial Liabilities'!F47)</f>
        <v>0</v>
      </c>
      <c r="R53" s="14" t="s">
        <v>212</v>
      </c>
      <c r="S53" s="16" t="s">
        <v>250</v>
      </c>
      <c r="T53" s="16">
        <f t="shared" si="2"/>
        <v>44928</v>
      </c>
      <c r="U53" s="16">
        <f t="shared" si="3"/>
        <v>44928</v>
      </c>
      <c r="V53" s="14" t="s">
        <v>200</v>
      </c>
      <c r="W53" s="15">
        <v>0</v>
      </c>
      <c r="X53" s="15">
        <v>0</v>
      </c>
      <c r="Y53" s="15">
        <v>0</v>
      </c>
      <c r="Z53" s="14" t="s">
        <v>201</v>
      </c>
      <c r="AA53" s="15">
        <v>0</v>
      </c>
      <c r="AB53" s="14" t="s">
        <v>202</v>
      </c>
      <c r="AC53" s="17">
        <v>0</v>
      </c>
      <c r="AD53" s="20"/>
    </row>
    <row r="54" spans="3:30" ht="45.75" customHeight="1" thickBot="1" x14ac:dyDescent="0.5">
      <c r="C54" s="12">
        <f t="shared" si="0"/>
        <v>999</v>
      </c>
      <c r="D54" s="13">
        <f t="shared" si="4"/>
        <v>47</v>
      </c>
      <c r="E54" s="14" t="str">
        <f>IF(AND('Other financial Liabilities'!K48="",'Other financial Liabilities'!J48=1),"r0180 - Critical service liabilities (BRRD art. 44/2/g/ii)",IF(AND('Other financial Liabilities'!K48="",'Other financial Liabilities'!J48=2),"r0190 - Tax and social security authorities liabilities, if preferred (BRRD art. 44/2/g/iii)",'Other financial Liabilities'!K48))</f>
        <v>r0150 - Institution liabilities &lt; 7 days (BRRD art. 44/2/e)</v>
      </c>
      <c r="F54" s="14" t="str">
        <f>IF(OR('Other financial Liabilities'!G48="particulares",'Other financial Liabilities'!J48=1),"c001x   - Households",IF('Other financial Liabilities'!G48="outras empresas nao financeiras","c003x   - Corporates",IF('Other financial Liabilities'!G48="instituicoes de credito","c004x   - Institutions",IF('Other financial Liabilities'!G48="outras instituicoes financeiras","c005x   - Other financial corporations",IF(OR('Other financial Liabilities'!G48="setor publico",'Other financial Liabilities'!J48=2),"c008x   - Government, central banks &amp; supranationals","")))))</f>
        <v>c004x   - Institutions</v>
      </c>
      <c r="G54" s="14" t="str">
        <f t="shared" si="1"/>
        <v>Rank 9 - Ranking in insolvency (master scale)</v>
      </c>
      <c r="H54" s="14" t="str">
        <f>IF(F54="c004x   - Institutions",'Other financial Liabilities'!H48,IF(F54="c001x   - Households","CSL"&amp;IF(MONTH('Other financial Liabilities'!I48)=1,"JAN",IF(MONTH('Other financial Liabilities'!I48)=2,"FEV",IF(MONTH('Other financial Liabilities'!I48)=3,"MAR",IF(MONTH('Other financial Liabilities'!I48)=4,"ABR",IF(MONTH('Other financial Liabilities'!I48)=5,"MAI",IF(MONTH('Other financial Liabilities'!I48)=6,"JUN",IF(MONTH('Other financial Liabilities'!I48)=7,"JUL",IF(MONTH('Other financial Liabilities'!I48)=8,"AGO",IF(MONTH('Other financial Liabilities'!I48)=9,"SET",IF(MONTH('Other financial Liabilities'!I48)=10,"OUT",IF(MONTH('Other financial Liabilities'!I48)=11,"NOV",IF(MONTH('Other financial Liabilities'!I48)=12,"DEZ",""))))))))))))&amp;LEFT(YEAR('Other financial Liabilities'!I48),2),IF(F54="c008x   - Government, central banks &amp; supranationals","TL"&amp;IF(MONTH('Other financial Liabilities'!I48)=1,"JAN",IF(MONTH('Other financial Liabilities'!I48)=2,"FEV",IF(MONTH('Other financial Liabilities'!I48)=3,"MAR",IF(MONTH('Other financial Liabilities'!I48)=4,"ABR",IF(MONTH('Other financial Liabilities'!I48)=5,"MAI",IF(MONTH('Other financial Liabilities'!I48)=6,"JUN",IF(MONTH('Other financial Liabilities'!I48)=7,"JUL",IF(MONTH('Other financial Liabilities'!I48)=8,"AGO",IF(MONTH('Other financial Liabilities'!I48)=9,"SET",IF(MONTH('Other financial Liabilities'!I48)=10,"OUT",IF(MONTH('Other financial Liabilities'!I48)=11,"NOV",IF(MONTH('Other financial Liabilities'!I48)=12,"DEZ",""))))))))))))&amp;LEFT(YEAR('Other financial Liabilities'!I48),2),"")))</f>
        <v>FUNDO DE INVESTIMENTO MOBILIARIO ABERTO DO MERCADO MONETARIO - CA MONE</v>
      </c>
      <c r="I54" s="14" t="str">
        <f>IF(F54="c004x   - Institutions",'Other financial Liabilities'!H48,IF(F54="c001x   - Households","Critical Service Liability "&amp;IF(MONTH('Other financial Liabilities'!I48)=1,"January ",IF(MONTH('Other financial Liabilities'!I48)=2,"February ",IF(MONTH('Other financial Liabilities'!I48)=3,"March ",IF(MONTH('Other financial Liabilities'!I48)=4, "April ",IF(MONTH('Other financial Liabilities'!I48)=5,"May ",IF(MONTH('Other financial Liabilities'!I48)=6,"June ",IF(MONTH('Other financial Liabilities'!I48)=7,"July ",IF(MONTH('Other financial Liabilities'!I48)=8,"August ",IF(MONTH('Other financial Liabilities'!I48)=9,"September ",IF(MONTH('Other financial Liabilities'!I48)=10,"October",  IF(MONTH('Other financial Liabilities'!I48)=11,"November ",IF(MONTH('Other financial Liabilities'!I48)=12,"December ",""))))))))))))&amp;YEAR('Other financial Liabilities'!I48),IF(F54="c008x   - Government, central banks &amp; supranationals","Tax Liability "&amp;IF(MONTH('Other financial Liabilities'!I48)=1,"January ",IF(MONTH('Other financial Liabilities'!I48)=2,"February ",IF(MONTH('Other financial Liabilities'!I48)=3,"March ",IF(MONTH('Other financial Liabilities'!I48)=4,"April ",IF(MONTH('Other financial Liabilities'!I48)=5,"May ",IF(MONTH('Other financial Liabilities'!I48)=6,"June ",IF(MONTH('Other financial Liabilities'!I48)=7,"July ",IF(MONTH('Other financial Liabilities'!I48)=8, "August ",  IF(MONTH('Other financial Liabilities'!I48)=9,"September ",IF(MONTH('Other financial Liabilities'!I48)=10,"October ",IF(MONTH('Other financial Liabilities'!I48)=11,"November ",IF(MONTH('Other financial Liabilities'!I48)=12,"December ",""))))))))))))&amp;YEAR('Other financial Liabilities'!I48),"")))</f>
        <v>FUNDO DE INVESTIMENTO MOBILIARIO ABERTO DO MERCADO MONETARIO - CA MONE</v>
      </c>
      <c r="J54" s="14" t="str">
        <f>+IF(OR('Other financial Liabilities'!C48="",'Other financial Liabilities'!C48="#"),IF('Other financial Liabilities'!A48="",IF(F54="c001x   - Households","CSL"&amp;"001",IF(F54="c008x   - Government, central banks &amp; supranationals","TL"&amp;"001")),'Other financial Liabilities'!A48),'Other financial Liabilities'!C48)</f>
        <v>7400741462</v>
      </c>
      <c r="K54" s="14" t="str">
        <f>+IF(J54='Other financial Liabilities'!C48,"LEI code","Type of identifier, other than LEI or MFI code")</f>
        <v>Type of identifier, other than LEI or MFI code</v>
      </c>
      <c r="L54" s="14" t="s">
        <v>197</v>
      </c>
      <c r="M54" s="14" t="s">
        <v>198</v>
      </c>
      <c r="N54" s="14" t="s">
        <v>199</v>
      </c>
      <c r="O54" s="15">
        <v>2813.73</v>
      </c>
      <c r="P54" s="15">
        <f>IF('Other financial Liabilities'!E48="",0,'Other financial Liabilities'!E48)</f>
        <v>0</v>
      </c>
      <c r="Q54" s="14">
        <f>IF('Other financial Liabilities'!F48="",0,'Other financial Liabilities'!F48)</f>
        <v>0</v>
      </c>
      <c r="R54" s="14" t="s">
        <v>212</v>
      </c>
      <c r="S54" s="16" t="s">
        <v>250</v>
      </c>
      <c r="T54" s="16">
        <f t="shared" si="2"/>
        <v>44928</v>
      </c>
      <c r="U54" s="16">
        <f t="shared" si="3"/>
        <v>44928</v>
      </c>
      <c r="V54" s="14" t="s">
        <v>200</v>
      </c>
      <c r="W54" s="15">
        <v>0</v>
      </c>
      <c r="X54" s="15">
        <v>0</v>
      </c>
      <c r="Y54" s="15">
        <v>0</v>
      </c>
      <c r="Z54" s="14" t="s">
        <v>201</v>
      </c>
      <c r="AA54" s="15">
        <v>0</v>
      </c>
      <c r="AB54" s="14" t="s">
        <v>202</v>
      </c>
      <c r="AC54" s="17">
        <v>0</v>
      </c>
      <c r="AD54" s="20"/>
    </row>
    <row r="55" spans="3:30" ht="45.75" customHeight="1" thickBot="1" x14ac:dyDescent="0.5">
      <c r="C55" s="12">
        <f t="shared" si="0"/>
        <v>999</v>
      </c>
      <c r="D55" s="13">
        <f t="shared" si="4"/>
        <v>48</v>
      </c>
      <c r="E55" s="14" t="str">
        <f>IF(AND('Other financial Liabilities'!K49="",'Other financial Liabilities'!J49=1),"r0180 - Critical service liabilities (BRRD art. 44/2/g/ii)",IF(AND('Other financial Liabilities'!K49="",'Other financial Liabilities'!J49=2),"r0190 - Tax and social security authorities liabilities, if preferred (BRRD art. 44/2/g/iii)",'Other financial Liabilities'!K49))</f>
        <v>r0150 - Institution liabilities &lt; 7 days (BRRD art. 44/2/e)</v>
      </c>
      <c r="F55" s="14" t="str">
        <f>IF(OR('Other financial Liabilities'!G49="particulares",'Other financial Liabilities'!J49=1),"c001x   - Households",IF('Other financial Liabilities'!G49="outras empresas nao financeiras","c003x   - Corporates",IF('Other financial Liabilities'!G49="instituicoes de credito","c004x   - Institutions",IF('Other financial Liabilities'!G49="outras instituicoes financeiras","c005x   - Other financial corporations",IF(OR('Other financial Liabilities'!G49="setor publico",'Other financial Liabilities'!J49=2),"c008x   - Government, central banks &amp; supranationals","")))))</f>
        <v>c004x   - Institutions</v>
      </c>
      <c r="G55" s="14" t="str">
        <f t="shared" si="1"/>
        <v>Rank 9 - Ranking in insolvency (master scale)</v>
      </c>
      <c r="H55" s="14" t="str">
        <f>IF(F55="c004x   - Institutions",'Other financial Liabilities'!H49,IF(F55="c001x   - Households","CSL"&amp;IF(MONTH('Other financial Liabilities'!I49)=1,"JAN",IF(MONTH('Other financial Liabilities'!I49)=2,"FEV",IF(MONTH('Other financial Liabilities'!I49)=3,"MAR",IF(MONTH('Other financial Liabilities'!I49)=4,"ABR",IF(MONTH('Other financial Liabilities'!I49)=5,"MAI",IF(MONTH('Other financial Liabilities'!I49)=6,"JUN",IF(MONTH('Other financial Liabilities'!I49)=7,"JUL",IF(MONTH('Other financial Liabilities'!I49)=8,"AGO",IF(MONTH('Other financial Liabilities'!I49)=9,"SET",IF(MONTH('Other financial Liabilities'!I49)=10,"OUT",IF(MONTH('Other financial Liabilities'!I49)=11,"NOV",IF(MONTH('Other financial Liabilities'!I49)=12,"DEZ",""))))))))))))&amp;LEFT(YEAR('Other financial Liabilities'!I49),2),IF(F55="c008x   - Government, central banks &amp; supranationals","TL"&amp;IF(MONTH('Other financial Liabilities'!I49)=1,"JAN",IF(MONTH('Other financial Liabilities'!I49)=2,"FEV",IF(MONTH('Other financial Liabilities'!I49)=3,"MAR",IF(MONTH('Other financial Liabilities'!I49)=4,"ABR",IF(MONTH('Other financial Liabilities'!I49)=5,"MAI",IF(MONTH('Other financial Liabilities'!I49)=6,"JUN",IF(MONTH('Other financial Liabilities'!I49)=7,"JUL",IF(MONTH('Other financial Liabilities'!I49)=8,"AGO",IF(MONTH('Other financial Liabilities'!I49)=9,"SET",IF(MONTH('Other financial Liabilities'!I49)=10,"OUT",IF(MONTH('Other financial Liabilities'!I49)=11,"NOV",IF(MONTH('Other financial Liabilities'!I49)=12,"DEZ",""))))))))))))&amp;LEFT(YEAR('Other financial Liabilities'!I49),2),"")))</f>
        <v>BANIF - BANCO INTERNACIONAL DO FUNCHAL S.A.- EM LIQUIDACAO</v>
      </c>
      <c r="I55" s="14" t="str">
        <f>IF(F55="c004x   - Institutions",'Other financial Liabilities'!H49,IF(F55="c001x   - Households","Critical Service Liability "&amp;IF(MONTH('Other financial Liabilities'!I49)=1,"January ",IF(MONTH('Other financial Liabilities'!I49)=2,"February ",IF(MONTH('Other financial Liabilities'!I49)=3,"March ",IF(MONTH('Other financial Liabilities'!I49)=4, "April ",IF(MONTH('Other financial Liabilities'!I49)=5,"May ",IF(MONTH('Other financial Liabilities'!I49)=6,"June ",IF(MONTH('Other financial Liabilities'!I49)=7,"July ",IF(MONTH('Other financial Liabilities'!I49)=8,"August ",IF(MONTH('Other financial Liabilities'!I49)=9,"September ",IF(MONTH('Other financial Liabilities'!I49)=10,"October",  IF(MONTH('Other financial Liabilities'!I49)=11,"November ",IF(MONTH('Other financial Liabilities'!I49)=12,"December ",""))))))))))))&amp;YEAR('Other financial Liabilities'!I49),IF(F55="c008x   - Government, central banks &amp; supranationals","Tax Liability "&amp;IF(MONTH('Other financial Liabilities'!I49)=1,"January ",IF(MONTH('Other financial Liabilities'!I49)=2,"February ",IF(MONTH('Other financial Liabilities'!I49)=3,"March ",IF(MONTH('Other financial Liabilities'!I49)=4,"April ",IF(MONTH('Other financial Liabilities'!I49)=5,"May ",IF(MONTH('Other financial Liabilities'!I49)=6,"June ",IF(MONTH('Other financial Liabilities'!I49)=7,"July ",IF(MONTH('Other financial Liabilities'!I49)=8, "August ",  IF(MONTH('Other financial Liabilities'!I49)=9,"September ",IF(MONTH('Other financial Liabilities'!I49)=10,"October ",IF(MONTH('Other financial Liabilities'!I49)=11,"November ",IF(MONTH('Other financial Liabilities'!I49)=12,"December ",""))))))))))))&amp;YEAR('Other financial Liabilities'!I49),"")))</f>
        <v>BANIF - BANCO INTERNACIONAL DO FUNCHAL S.A.- EM LIQUIDACAO</v>
      </c>
      <c r="J55" s="14" t="str">
        <f>+IF(OR('Other financial Liabilities'!C49="",'Other financial Liabilities'!C49="#"),IF('Other financial Liabilities'!A49="",IF(F55="c001x   - Households","CSL"&amp;"001",IF(F55="c008x   - Government, central banks &amp; supranationals","TL"&amp;"001")),'Other financial Liabilities'!A49),'Other financial Liabilities'!C49)</f>
        <v>7400880199</v>
      </c>
      <c r="K55" s="14" t="str">
        <f>+IF(J55='Other financial Liabilities'!C49,"LEI code","Type of identifier, other than LEI or MFI code")</f>
        <v>Type of identifier, other than LEI or MFI code</v>
      </c>
      <c r="L55" s="14" t="s">
        <v>197</v>
      </c>
      <c r="M55" s="14" t="s">
        <v>198</v>
      </c>
      <c r="N55" s="14" t="s">
        <v>199</v>
      </c>
      <c r="O55" s="15">
        <v>84380.64</v>
      </c>
      <c r="P55" s="15">
        <f>IF('Other financial Liabilities'!E49="",0,'Other financial Liabilities'!E49)</f>
        <v>0</v>
      </c>
      <c r="Q55" s="14">
        <f>IF('Other financial Liabilities'!F49="",0,'Other financial Liabilities'!F49)</f>
        <v>0</v>
      </c>
      <c r="R55" s="14" t="s">
        <v>212</v>
      </c>
      <c r="S55" s="16" t="s">
        <v>250</v>
      </c>
      <c r="T55" s="16">
        <f t="shared" si="2"/>
        <v>44928</v>
      </c>
      <c r="U55" s="16">
        <f t="shared" si="3"/>
        <v>44928</v>
      </c>
      <c r="V55" s="14" t="s">
        <v>200</v>
      </c>
      <c r="W55" s="15">
        <v>0</v>
      </c>
      <c r="X55" s="15">
        <v>0</v>
      </c>
      <c r="Y55" s="15">
        <v>0</v>
      </c>
      <c r="Z55" s="14" t="s">
        <v>201</v>
      </c>
      <c r="AA55" s="15">
        <v>0</v>
      </c>
      <c r="AB55" s="14" t="s">
        <v>202</v>
      </c>
      <c r="AC55" s="17">
        <v>0</v>
      </c>
      <c r="AD55" s="20"/>
    </row>
    <row r="56" spans="3:30" ht="45.75" customHeight="1" thickBot="1" x14ac:dyDescent="0.5">
      <c r="C56" s="12">
        <f t="shared" si="0"/>
        <v>999</v>
      </c>
      <c r="D56" s="13">
        <f t="shared" si="4"/>
        <v>49</v>
      </c>
      <c r="E56" s="14" t="str">
        <f>IF(AND('Other financial Liabilities'!K50="",'Other financial Liabilities'!J50=1),"r0180 - Critical service liabilities (BRRD art. 44/2/g/ii)",IF(AND('Other financial Liabilities'!K50="",'Other financial Liabilities'!J50=2),"r0190 - Tax and social security authorities liabilities, if preferred (BRRD art. 44/2/g/iii)",'Other financial Liabilities'!K50))</f>
        <v>r0150 - Institution liabilities &lt; 7 days (BRRD art. 44/2/e)</v>
      </c>
      <c r="F56" s="14" t="str">
        <f>IF(OR('Other financial Liabilities'!G50="particulares",'Other financial Liabilities'!J50=1),"c001x   - Households",IF('Other financial Liabilities'!G50="outras empresas nao financeiras","c003x   - Corporates",IF('Other financial Liabilities'!G50="instituicoes de credito","c004x   - Institutions",IF('Other financial Liabilities'!G50="outras instituicoes financeiras","c005x   - Other financial corporations",IF(OR('Other financial Liabilities'!G50="setor publico",'Other financial Liabilities'!J50=2),"c008x   - Government, central banks &amp; supranationals","")))))</f>
        <v>c004x   - Institutions</v>
      </c>
      <c r="G56" s="14" t="str">
        <f t="shared" si="1"/>
        <v>Rank 9 - Ranking in insolvency (master scale)</v>
      </c>
      <c r="H56" s="14" t="str">
        <f>IF(F56="c004x   - Institutions",'Other financial Liabilities'!H50,IF(F56="c001x   - Households","CSL"&amp;IF(MONTH('Other financial Liabilities'!I50)=1,"JAN",IF(MONTH('Other financial Liabilities'!I50)=2,"FEV",IF(MONTH('Other financial Liabilities'!I50)=3,"MAR",IF(MONTH('Other financial Liabilities'!I50)=4,"ABR",IF(MONTH('Other financial Liabilities'!I50)=5,"MAI",IF(MONTH('Other financial Liabilities'!I50)=6,"JUN",IF(MONTH('Other financial Liabilities'!I50)=7,"JUL",IF(MONTH('Other financial Liabilities'!I50)=8,"AGO",IF(MONTH('Other financial Liabilities'!I50)=9,"SET",IF(MONTH('Other financial Liabilities'!I50)=10,"OUT",IF(MONTH('Other financial Liabilities'!I50)=11,"NOV",IF(MONTH('Other financial Liabilities'!I50)=12,"DEZ",""))))))))))))&amp;LEFT(YEAR('Other financial Liabilities'!I50),2),IF(F56="c008x   - Government, central banks &amp; supranationals","TL"&amp;IF(MONTH('Other financial Liabilities'!I50)=1,"JAN",IF(MONTH('Other financial Liabilities'!I50)=2,"FEV",IF(MONTH('Other financial Liabilities'!I50)=3,"MAR",IF(MONTH('Other financial Liabilities'!I50)=4,"ABR",IF(MONTH('Other financial Liabilities'!I50)=5,"MAI",IF(MONTH('Other financial Liabilities'!I50)=6,"JUN",IF(MONTH('Other financial Liabilities'!I50)=7,"JUL",IF(MONTH('Other financial Liabilities'!I50)=8,"AGO",IF(MONTH('Other financial Liabilities'!I50)=9,"SET",IF(MONTH('Other financial Liabilities'!I50)=10,"OUT",IF(MONTH('Other financial Liabilities'!I50)=11,"NOV",IF(MONTH('Other financial Liabilities'!I50)=12,"DEZ",""))))))))))))&amp;LEFT(YEAR('Other financial Liabilities'!I50),2),"")))</f>
        <v>VOLKSWAGEN BANK GMBH - SUCURSAL EM PORTUGAL</v>
      </c>
      <c r="I56" s="14" t="str">
        <f>IF(F56="c004x   - Institutions",'Other financial Liabilities'!H50,IF(F56="c001x   - Households","Critical Service Liability "&amp;IF(MONTH('Other financial Liabilities'!I50)=1,"January ",IF(MONTH('Other financial Liabilities'!I50)=2,"February ",IF(MONTH('Other financial Liabilities'!I50)=3,"March ",IF(MONTH('Other financial Liabilities'!I50)=4, "April ",IF(MONTH('Other financial Liabilities'!I50)=5,"May ",IF(MONTH('Other financial Liabilities'!I50)=6,"June ",IF(MONTH('Other financial Liabilities'!I50)=7,"July ",IF(MONTH('Other financial Liabilities'!I50)=8,"August ",IF(MONTH('Other financial Liabilities'!I50)=9,"September ",IF(MONTH('Other financial Liabilities'!I50)=10,"October",  IF(MONTH('Other financial Liabilities'!I50)=11,"November ",IF(MONTH('Other financial Liabilities'!I50)=12,"December ",""))))))))))))&amp;YEAR('Other financial Liabilities'!I50),IF(F56="c008x   - Government, central banks &amp; supranationals","Tax Liability "&amp;IF(MONTH('Other financial Liabilities'!I50)=1,"January ",IF(MONTH('Other financial Liabilities'!I50)=2,"February ",IF(MONTH('Other financial Liabilities'!I50)=3,"March ",IF(MONTH('Other financial Liabilities'!I50)=4,"April ",IF(MONTH('Other financial Liabilities'!I50)=5,"May ",IF(MONTH('Other financial Liabilities'!I50)=6,"June ",IF(MONTH('Other financial Liabilities'!I50)=7,"July ",IF(MONTH('Other financial Liabilities'!I50)=8, "August ",  IF(MONTH('Other financial Liabilities'!I50)=9,"September ",IF(MONTH('Other financial Liabilities'!I50)=10,"October ",IF(MONTH('Other financial Liabilities'!I50)=11,"November ",IF(MONTH('Other financial Liabilities'!I50)=12,"December ",""))))))))))))&amp;YEAR('Other financial Liabilities'!I50),"")))</f>
        <v>VOLKSWAGEN BANK GMBH - SUCURSAL EM PORTUGAL</v>
      </c>
      <c r="J56" s="14" t="str">
        <f>+IF(OR('Other financial Liabilities'!C50="",'Other financial Liabilities'!C50="#"),IF('Other financial Liabilities'!A50="",IF(F56="c001x   - Households","CSL"&amp;"001",IF(F56="c008x   - Government, central banks &amp; supranationals","TL"&amp;"001")),'Other financial Liabilities'!A50),'Other financial Liabilities'!C50)</f>
        <v>7401000162</v>
      </c>
      <c r="K56" s="14" t="str">
        <f>+IF(J56='Other financial Liabilities'!C50,"LEI code","Type of identifier, other than LEI or MFI code")</f>
        <v>Type of identifier, other than LEI or MFI code</v>
      </c>
      <c r="L56" s="14" t="s">
        <v>197</v>
      </c>
      <c r="M56" s="14" t="s">
        <v>198</v>
      </c>
      <c r="N56" s="14" t="s">
        <v>199</v>
      </c>
      <c r="O56" s="15">
        <v>6885250.7300000004</v>
      </c>
      <c r="P56" s="15">
        <f>IF('Other financial Liabilities'!E50="",0,'Other financial Liabilities'!E50)</f>
        <v>0</v>
      </c>
      <c r="Q56" s="14">
        <f>IF('Other financial Liabilities'!F50="",0,'Other financial Liabilities'!F50)</f>
        <v>0</v>
      </c>
      <c r="R56" s="14" t="s">
        <v>212</v>
      </c>
      <c r="S56" s="16" t="s">
        <v>250</v>
      </c>
      <c r="T56" s="16">
        <f t="shared" si="2"/>
        <v>44928</v>
      </c>
      <c r="U56" s="16">
        <f t="shared" si="3"/>
        <v>44928</v>
      </c>
      <c r="V56" s="14" t="s">
        <v>200</v>
      </c>
      <c r="W56" s="15">
        <v>0</v>
      </c>
      <c r="X56" s="15">
        <v>0</v>
      </c>
      <c r="Y56" s="15">
        <v>0</v>
      </c>
      <c r="Z56" s="14" t="s">
        <v>201</v>
      </c>
      <c r="AA56" s="15">
        <v>0</v>
      </c>
      <c r="AB56" s="14" t="s">
        <v>202</v>
      </c>
      <c r="AC56" s="17">
        <v>0</v>
      </c>
      <c r="AD56" s="20"/>
    </row>
    <row r="57" spans="3:30" ht="45.75" customHeight="1" thickBot="1" x14ac:dyDescent="0.5">
      <c r="C57" s="12">
        <f t="shared" si="0"/>
        <v>999</v>
      </c>
      <c r="D57" s="13">
        <f t="shared" si="4"/>
        <v>50</v>
      </c>
      <c r="E57" s="14" t="str">
        <f>IF(AND('Other financial Liabilities'!K51="",'Other financial Liabilities'!J51=1),"r0180 - Critical service liabilities (BRRD art. 44/2/g/ii)",IF(AND('Other financial Liabilities'!K51="",'Other financial Liabilities'!J51=2),"r0190 - Tax and social security authorities liabilities, if preferred (BRRD art. 44/2/g/iii)",'Other financial Liabilities'!K51))</f>
        <v>r0150 - Institution liabilities &lt; 7 days (BRRD art. 44/2/e)</v>
      </c>
      <c r="F57" s="14" t="str">
        <f>IF(OR('Other financial Liabilities'!G51="particulares",'Other financial Liabilities'!J51=1),"c001x   - Households",IF('Other financial Liabilities'!G51="outras empresas nao financeiras","c003x   - Corporates",IF('Other financial Liabilities'!G51="instituicoes de credito","c004x   - Institutions",IF('Other financial Liabilities'!G51="outras instituicoes financeiras","c005x   - Other financial corporations",IF(OR('Other financial Liabilities'!G51="setor publico",'Other financial Liabilities'!J51=2),"c008x   - Government, central banks &amp; supranationals","")))))</f>
        <v>c004x   - Institutions</v>
      </c>
      <c r="G57" s="14" t="str">
        <f t="shared" si="1"/>
        <v>Rank 9 - Ranking in insolvency (master scale)</v>
      </c>
      <c r="H57" s="14" t="str">
        <f>IF(F57="c004x   - Institutions",'Other financial Liabilities'!H51,IF(F57="c001x   - Households","CSL"&amp;IF(MONTH('Other financial Liabilities'!I51)=1,"JAN",IF(MONTH('Other financial Liabilities'!I51)=2,"FEV",IF(MONTH('Other financial Liabilities'!I51)=3,"MAR",IF(MONTH('Other financial Liabilities'!I51)=4,"ABR",IF(MONTH('Other financial Liabilities'!I51)=5,"MAI",IF(MONTH('Other financial Liabilities'!I51)=6,"JUN",IF(MONTH('Other financial Liabilities'!I51)=7,"JUL",IF(MONTH('Other financial Liabilities'!I51)=8,"AGO",IF(MONTH('Other financial Liabilities'!I51)=9,"SET",IF(MONTH('Other financial Liabilities'!I51)=10,"OUT",IF(MONTH('Other financial Liabilities'!I51)=11,"NOV",IF(MONTH('Other financial Liabilities'!I51)=12,"DEZ",""))))))))))))&amp;LEFT(YEAR('Other financial Liabilities'!I51),2),IF(F57="c008x   - Government, central banks &amp; supranationals","TL"&amp;IF(MONTH('Other financial Liabilities'!I51)=1,"JAN",IF(MONTH('Other financial Liabilities'!I51)=2,"FEV",IF(MONTH('Other financial Liabilities'!I51)=3,"MAR",IF(MONTH('Other financial Liabilities'!I51)=4,"ABR",IF(MONTH('Other financial Liabilities'!I51)=5,"MAI",IF(MONTH('Other financial Liabilities'!I51)=6,"JUN",IF(MONTH('Other financial Liabilities'!I51)=7,"JUL",IF(MONTH('Other financial Liabilities'!I51)=8,"AGO",IF(MONTH('Other financial Liabilities'!I51)=9,"SET",IF(MONTH('Other financial Liabilities'!I51)=10,"OUT",IF(MONTH('Other financial Liabilities'!I51)=11,"NOV",IF(MONTH('Other financial Liabilities'!I51)=12,"DEZ",""))))))))))))&amp;LEFT(YEAR('Other financial Liabilities'!I51),2),"")))</f>
        <v>EUROBANK PRIVATE BANK LUXEMBOURG SA</v>
      </c>
      <c r="I57" s="14" t="str">
        <f>IF(F57="c004x   - Institutions",'Other financial Liabilities'!H51,IF(F57="c001x   - Households","Critical Service Liability "&amp;IF(MONTH('Other financial Liabilities'!I51)=1,"January ",IF(MONTH('Other financial Liabilities'!I51)=2,"February ",IF(MONTH('Other financial Liabilities'!I51)=3,"March ",IF(MONTH('Other financial Liabilities'!I51)=4, "April ",IF(MONTH('Other financial Liabilities'!I51)=5,"May ",IF(MONTH('Other financial Liabilities'!I51)=6,"June ",IF(MONTH('Other financial Liabilities'!I51)=7,"July ",IF(MONTH('Other financial Liabilities'!I51)=8,"August ",IF(MONTH('Other financial Liabilities'!I51)=9,"September ",IF(MONTH('Other financial Liabilities'!I51)=10,"October",  IF(MONTH('Other financial Liabilities'!I51)=11,"November ",IF(MONTH('Other financial Liabilities'!I51)=12,"December ",""))))))))))))&amp;YEAR('Other financial Liabilities'!I51),IF(F57="c008x   - Government, central banks &amp; supranationals","Tax Liability "&amp;IF(MONTH('Other financial Liabilities'!I51)=1,"January ",IF(MONTH('Other financial Liabilities'!I51)=2,"February ",IF(MONTH('Other financial Liabilities'!I51)=3,"March ",IF(MONTH('Other financial Liabilities'!I51)=4,"April ",IF(MONTH('Other financial Liabilities'!I51)=5,"May ",IF(MONTH('Other financial Liabilities'!I51)=6,"June ",IF(MONTH('Other financial Liabilities'!I51)=7,"July ",IF(MONTH('Other financial Liabilities'!I51)=8, "August ",  IF(MONTH('Other financial Liabilities'!I51)=9,"September ",IF(MONTH('Other financial Liabilities'!I51)=10,"October ",IF(MONTH('Other financial Liabilities'!I51)=11,"November ",IF(MONTH('Other financial Liabilities'!I51)=12,"December ",""))))))))))))&amp;YEAR('Other financial Liabilities'!I51),"")))</f>
        <v>EUROBANK PRIVATE BANK LUXEMBOURG SA</v>
      </c>
      <c r="J57" s="14" t="str">
        <f>+IF(OR('Other financial Liabilities'!C51="",'Other financial Liabilities'!C51="#"),IF('Other financial Liabilities'!A51="",IF(F57="c001x   - Households","CSL"&amp;"001",IF(F57="c008x   - Government, central banks &amp; supranationals","TL"&amp;"001")),'Other financial Liabilities'!A51),'Other financial Liabilities'!C51)</f>
        <v>529900HB1NOUF0UAGK18</v>
      </c>
      <c r="K57" s="14" t="str">
        <f>+IF(J57='Other financial Liabilities'!C51,"LEI code","Type of identifier, other than LEI or MFI code")</f>
        <v>LEI code</v>
      </c>
      <c r="L57" s="14" t="s">
        <v>197</v>
      </c>
      <c r="M57" s="14" t="s">
        <v>198</v>
      </c>
      <c r="N57" s="14" t="s">
        <v>199</v>
      </c>
      <c r="O57" s="15">
        <v>477.82</v>
      </c>
      <c r="P57" s="15">
        <f>IF('Other financial Liabilities'!E51="",0,'Other financial Liabilities'!E51)</f>
        <v>0</v>
      </c>
      <c r="Q57" s="14">
        <f>IF('Other financial Liabilities'!F51="",0,'Other financial Liabilities'!F51)</f>
        <v>0.45249</v>
      </c>
      <c r="R57" s="14" t="s">
        <v>212</v>
      </c>
      <c r="S57" s="16" t="s">
        <v>250</v>
      </c>
      <c r="T57" s="16">
        <f t="shared" si="2"/>
        <v>44928</v>
      </c>
      <c r="U57" s="16">
        <f t="shared" si="3"/>
        <v>44928</v>
      </c>
      <c r="V57" s="14" t="s">
        <v>200</v>
      </c>
      <c r="W57" s="15">
        <v>0</v>
      </c>
      <c r="X57" s="15">
        <v>0</v>
      </c>
      <c r="Y57" s="15">
        <v>0</v>
      </c>
      <c r="Z57" s="14" t="s">
        <v>201</v>
      </c>
      <c r="AA57" s="15">
        <v>0</v>
      </c>
      <c r="AB57" s="14" t="s">
        <v>202</v>
      </c>
      <c r="AC57" s="17">
        <v>0</v>
      </c>
      <c r="AD57" s="20"/>
    </row>
    <row r="58" spans="3:30" ht="45.75" customHeight="1" thickBot="1" x14ac:dyDescent="0.5">
      <c r="C58" s="12">
        <f t="shared" si="0"/>
        <v>999</v>
      </c>
      <c r="D58" s="13">
        <f t="shared" si="4"/>
        <v>51</v>
      </c>
      <c r="E58" s="14" t="str">
        <f>IF(AND('Other financial Liabilities'!K52="",'Other financial Liabilities'!J52=1),"r0180 - Critical service liabilities (BRRD art. 44/2/g/ii)",IF(AND('Other financial Liabilities'!K52="",'Other financial Liabilities'!J52=2),"r0190 - Tax and social security authorities liabilities, if preferred (BRRD art. 44/2/g/iii)",'Other financial Liabilities'!K52))</f>
        <v>r0150 - Institution liabilities &lt; 7 days (BRRD art. 44/2/e)</v>
      </c>
      <c r="F58" s="14" t="str">
        <f>IF(OR('Other financial Liabilities'!G52="particulares",'Other financial Liabilities'!J52=1),"c001x   - Households",IF('Other financial Liabilities'!G52="outras empresas nao financeiras","c003x   - Corporates",IF('Other financial Liabilities'!G52="instituicoes de credito","c004x   - Institutions",IF('Other financial Liabilities'!G52="outras instituicoes financeiras","c005x   - Other financial corporations",IF(OR('Other financial Liabilities'!G52="setor publico",'Other financial Liabilities'!J52=2),"c008x   - Government, central banks &amp; supranationals","")))))</f>
        <v>c004x   - Institutions</v>
      </c>
      <c r="G58" s="14" t="str">
        <f t="shared" si="1"/>
        <v>Rank 9 - Ranking in insolvency (master scale)</v>
      </c>
      <c r="H58" s="14" t="str">
        <f>IF(F58="c004x   - Institutions",'Other financial Liabilities'!H52,IF(F58="c001x   - Households","CSL"&amp;IF(MONTH('Other financial Liabilities'!I52)=1,"JAN",IF(MONTH('Other financial Liabilities'!I52)=2,"FEV",IF(MONTH('Other financial Liabilities'!I52)=3,"MAR",IF(MONTH('Other financial Liabilities'!I52)=4,"ABR",IF(MONTH('Other financial Liabilities'!I52)=5,"MAI",IF(MONTH('Other financial Liabilities'!I52)=6,"JUN",IF(MONTH('Other financial Liabilities'!I52)=7,"JUL",IF(MONTH('Other financial Liabilities'!I52)=8,"AGO",IF(MONTH('Other financial Liabilities'!I52)=9,"SET",IF(MONTH('Other financial Liabilities'!I52)=10,"OUT",IF(MONTH('Other financial Liabilities'!I52)=11,"NOV",IF(MONTH('Other financial Liabilities'!I52)=12,"DEZ",""))))))))))))&amp;LEFT(YEAR('Other financial Liabilities'!I52),2),IF(F58="c008x   - Government, central banks &amp; supranationals","TL"&amp;IF(MONTH('Other financial Liabilities'!I52)=1,"JAN",IF(MONTH('Other financial Liabilities'!I52)=2,"FEV",IF(MONTH('Other financial Liabilities'!I52)=3,"MAR",IF(MONTH('Other financial Liabilities'!I52)=4,"ABR",IF(MONTH('Other financial Liabilities'!I52)=5,"MAI",IF(MONTH('Other financial Liabilities'!I52)=6,"JUN",IF(MONTH('Other financial Liabilities'!I52)=7,"JUL",IF(MONTH('Other financial Liabilities'!I52)=8,"AGO",IF(MONTH('Other financial Liabilities'!I52)=9,"SET",IF(MONTH('Other financial Liabilities'!I52)=10,"OUT",IF(MONTH('Other financial Liabilities'!I52)=11,"NOV",IF(MONTH('Other financial Liabilities'!I52)=12,"DEZ",""))))))))))))&amp;LEFT(YEAR('Other financial Liabilities'!I52),2),"")))</f>
        <v>NEDBANK MOCAMBIQUE S.A.</v>
      </c>
      <c r="I58" s="14" t="str">
        <f>IF(F58="c004x   - Institutions",'Other financial Liabilities'!H52,IF(F58="c001x   - Households","Critical Service Liability "&amp;IF(MONTH('Other financial Liabilities'!I52)=1,"January ",IF(MONTH('Other financial Liabilities'!I52)=2,"February ",IF(MONTH('Other financial Liabilities'!I52)=3,"March ",IF(MONTH('Other financial Liabilities'!I52)=4, "April ",IF(MONTH('Other financial Liabilities'!I52)=5,"May ",IF(MONTH('Other financial Liabilities'!I52)=6,"June ",IF(MONTH('Other financial Liabilities'!I52)=7,"July ",IF(MONTH('Other financial Liabilities'!I52)=8,"August ",IF(MONTH('Other financial Liabilities'!I52)=9,"September ",IF(MONTH('Other financial Liabilities'!I52)=10,"October",  IF(MONTH('Other financial Liabilities'!I52)=11,"November ",IF(MONTH('Other financial Liabilities'!I52)=12,"December ",""))))))))))))&amp;YEAR('Other financial Liabilities'!I52),IF(F58="c008x   - Government, central banks &amp; supranationals","Tax Liability "&amp;IF(MONTH('Other financial Liabilities'!I52)=1,"January ",IF(MONTH('Other financial Liabilities'!I52)=2,"February ",IF(MONTH('Other financial Liabilities'!I52)=3,"March ",IF(MONTH('Other financial Liabilities'!I52)=4,"April ",IF(MONTH('Other financial Liabilities'!I52)=5,"May ",IF(MONTH('Other financial Liabilities'!I52)=6,"June ",IF(MONTH('Other financial Liabilities'!I52)=7,"July ",IF(MONTH('Other financial Liabilities'!I52)=8, "August ",  IF(MONTH('Other financial Liabilities'!I52)=9,"September ",IF(MONTH('Other financial Liabilities'!I52)=10,"October ",IF(MONTH('Other financial Liabilities'!I52)=11,"November ",IF(MONTH('Other financial Liabilities'!I52)=12,"December ",""))))))))))))&amp;YEAR('Other financial Liabilities'!I52),"")))</f>
        <v>NEDBANK MOCAMBIQUE S.A.</v>
      </c>
      <c r="J58" s="14" t="str">
        <f>+IF(OR('Other financial Liabilities'!C52="",'Other financial Liabilities'!C52="#"),IF('Other financial Liabilities'!A52="",IF(F58="c001x   - Households","CSL"&amp;"001",IF(F58="c008x   - Government, central banks &amp; supranationals","TL"&amp;"001")),'Other financial Liabilities'!A52),'Other financial Liabilities'!C52)</f>
        <v>7401088947</v>
      </c>
      <c r="K58" s="14" t="str">
        <f>+IF(J58='Other financial Liabilities'!C52,"LEI code","Type of identifier, other than LEI or MFI code")</f>
        <v>Type of identifier, other than LEI or MFI code</v>
      </c>
      <c r="L58" s="14" t="s">
        <v>197</v>
      </c>
      <c r="M58" s="14" t="s">
        <v>198</v>
      </c>
      <c r="N58" s="14" t="s">
        <v>199</v>
      </c>
      <c r="O58" s="15">
        <v>6266.2</v>
      </c>
      <c r="P58" s="15">
        <f>IF('Other financial Liabilities'!E52="",0,'Other financial Liabilities'!E52)</f>
        <v>0</v>
      </c>
      <c r="Q58" s="14">
        <f>IF('Other financial Liabilities'!F52="",0,'Other financial Liabilities'!F52)</f>
        <v>0</v>
      </c>
      <c r="R58" s="14" t="s">
        <v>211</v>
      </c>
      <c r="S58" s="16" t="s">
        <v>250</v>
      </c>
      <c r="T58" s="16">
        <f t="shared" si="2"/>
        <v>44928</v>
      </c>
      <c r="U58" s="16">
        <f t="shared" si="3"/>
        <v>44928</v>
      </c>
      <c r="V58" s="14" t="s">
        <v>200</v>
      </c>
      <c r="W58" s="15">
        <v>0</v>
      </c>
      <c r="X58" s="15">
        <v>0</v>
      </c>
      <c r="Y58" s="15">
        <v>0</v>
      </c>
      <c r="Z58" s="14" t="s">
        <v>201</v>
      </c>
      <c r="AA58" s="15">
        <v>0</v>
      </c>
      <c r="AB58" s="14" t="s">
        <v>202</v>
      </c>
      <c r="AC58" s="17">
        <v>0</v>
      </c>
      <c r="AD58" s="20"/>
    </row>
    <row r="59" spans="3:30" ht="45.75" customHeight="1" thickBot="1" x14ac:dyDescent="0.5">
      <c r="C59" s="12">
        <f t="shared" si="0"/>
        <v>999</v>
      </c>
      <c r="D59" s="13">
        <f t="shared" si="4"/>
        <v>52</v>
      </c>
      <c r="E59" s="14" t="str">
        <f>IF(AND('Other financial Liabilities'!K53="",'Other financial Liabilities'!J53=1),"r0180 - Critical service liabilities (BRRD art. 44/2/g/ii)",IF(AND('Other financial Liabilities'!K53="",'Other financial Liabilities'!J53=2),"r0190 - Tax and social security authorities liabilities, if preferred (BRRD art. 44/2/g/iii)",'Other financial Liabilities'!K53))</f>
        <v>r0150 - Institution liabilities &lt; 7 days (BRRD art. 44/2/e)</v>
      </c>
      <c r="F59" s="14" t="str">
        <f>IF(OR('Other financial Liabilities'!G53="particulares",'Other financial Liabilities'!J53=1),"c001x   - Households",IF('Other financial Liabilities'!G53="outras empresas nao financeiras","c003x   - Corporates",IF('Other financial Liabilities'!G53="instituicoes de credito","c004x   - Institutions",IF('Other financial Liabilities'!G53="outras instituicoes financeiras","c005x   - Other financial corporations",IF(OR('Other financial Liabilities'!G53="setor publico",'Other financial Liabilities'!J53=2),"c008x   - Government, central banks &amp; supranationals","")))))</f>
        <v>c004x   - Institutions</v>
      </c>
      <c r="G59" s="14" t="str">
        <f t="shared" si="1"/>
        <v>Rank 9 - Ranking in insolvency (master scale)</v>
      </c>
      <c r="H59" s="14" t="str">
        <f>IF(F59="c004x   - Institutions",'Other financial Liabilities'!H53,IF(F59="c001x   - Households","CSL"&amp;IF(MONTH('Other financial Liabilities'!I53)=1,"JAN",IF(MONTH('Other financial Liabilities'!I53)=2,"FEV",IF(MONTH('Other financial Liabilities'!I53)=3,"MAR",IF(MONTH('Other financial Liabilities'!I53)=4,"ABR",IF(MONTH('Other financial Liabilities'!I53)=5,"MAI",IF(MONTH('Other financial Liabilities'!I53)=6,"JUN",IF(MONTH('Other financial Liabilities'!I53)=7,"JUL",IF(MONTH('Other financial Liabilities'!I53)=8,"AGO",IF(MONTH('Other financial Liabilities'!I53)=9,"SET",IF(MONTH('Other financial Liabilities'!I53)=10,"OUT",IF(MONTH('Other financial Liabilities'!I53)=11,"NOV",IF(MONTH('Other financial Liabilities'!I53)=12,"DEZ",""))))))))))))&amp;LEFT(YEAR('Other financial Liabilities'!I53),2),IF(F59="c008x   - Government, central banks &amp; supranationals","TL"&amp;IF(MONTH('Other financial Liabilities'!I53)=1,"JAN",IF(MONTH('Other financial Liabilities'!I53)=2,"FEV",IF(MONTH('Other financial Liabilities'!I53)=3,"MAR",IF(MONTH('Other financial Liabilities'!I53)=4,"ABR",IF(MONTH('Other financial Liabilities'!I53)=5,"MAI",IF(MONTH('Other financial Liabilities'!I53)=6,"JUN",IF(MONTH('Other financial Liabilities'!I53)=7,"JUL",IF(MONTH('Other financial Liabilities'!I53)=8,"AGO",IF(MONTH('Other financial Liabilities'!I53)=9,"SET",IF(MONTH('Other financial Liabilities'!I53)=10,"OUT",IF(MONTH('Other financial Liabilities'!I53)=11,"NOV",IF(MONTH('Other financial Liabilities'!I53)=12,"DEZ",""))))))))))))&amp;LEFT(YEAR('Other financial Liabilities'!I53),2),"")))</f>
        <v>NEDBANK MOCAMBIQUE S.A.</v>
      </c>
      <c r="I59" s="14" t="str">
        <f>IF(F59="c004x   - Institutions",'Other financial Liabilities'!H53,IF(F59="c001x   - Households","Critical Service Liability "&amp;IF(MONTH('Other financial Liabilities'!I53)=1,"January ",IF(MONTH('Other financial Liabilities'!I53)=2,"February ",IF(MONTH('Other financial Liabilities'!I53)=3,"March ",IF(MONTH('Other financial Liabilities'!I53)=4, "April ",IF(MONTH('Other financial Liabilities'!I53)=5,"May ",IF(MONTH('Other financial Liabilities'!I53)=6,"June ",IF(MONTH('Other financial Liabilities'!I53)=7,"July ",IF(MONTH('Other financial Liabilities'!I53)=8,"August ",IF(MONTH('Other financial Liabilities'!I53)=9,"September ",IF(MONTH('Other financial Liabilities'!I53)=10,"October",  IF(MONTH('Other financial Liabilities'!I53)=11,"November ",IF(MONTH('Other financial Liabilities'!I53)=12,"December ",""))))))))))))&amp;YEAR('Other financial Liabilities'!I53),IF(F59="c008x   - Government, central banks &amp; supranationals","Tax Liability "&amp;IF(MONTH('Other financial Liabilities'!I53)=1,"January ",IF(MONTH('Other financial Liabilities'!I53)=2,"February ",IF(MONTH('Other financial Liabilities'!I53)=3,"March ",IF(MONTH('Other financial Liabilities'!I53)=4,"April ",IF(MONTH('Other financial Liabilities'!I53)=5,"May ",IF(MONTH('Other financial Liabilities'!I53)=6,"June ",IF(MONTH('Other financial Liabilities'!I53)=7,"July ",IF(MONTH('Other financial Liabilities'!I53)=8, "August ",  IF(MONTH('Other financial Liabilities'!I53)=9,"September ",IF(MONTH('Other financial Liabilities'!I53)=10,"October ",IF(MONTH('Other financial Liabilities'!I53)=11,"November ",IF(MONTH('Other financial Liabilities'!I53)=12,"December ",""))))))))))))&amp;YEAR('Other financial Liabilities'!I53),"")))</f>
        <v>NEDBANK MOCAMBIQUE S.A.</v>
      </c>
      <c r="J59" s="14" t="str">
        <f>+IF(OR('Other financial Liabilities'!C53="",'Other financial Liabilities'!C53="#"),IF('Other financial Liabilities'!A53="",IF(F59="c001x   - Households","CSL"&amp;"001",IF(F59="c008x   - Government, central banks &amp; supranationals","TL"&amp;"001")),'Other financial Liabilities'!A53),'Other financial Liabilities'!C53)</f>
        <v>7401088947</v>
      </c>
      <c r="K59" s="14" t="str">
        <f>+IF(J59='Other financial Liabilities'!C53,"LEI code","Type of identifier, other than LEI or MFI code")</f>
        <v>Type of identifier, other than LEI or MFI code</v>
      </c>
      <c r="L59" s="14" t="s">
        <v>197</v>
      </c>
      <c r="M59" s="14" t="s">
        <v>198</v>
      </c>
      <c r="N59" s="14" t="s">
        <v>199</v>
      </c>
      <c r="O59" s="15">
        <v>283155.59999999998</v>
      </c>
      <c r="P59" s="15">
        <f>IF('Other financial Liabilities'!E53="",0,'Other financial Liabilities'!E53)</f>
        <v>0</v>
      </c>
      <c r="Q59" s="14">
        <f>IF('Other financial Liabilities'!F53="",0,'Other financial Liabilities'!F53)</f>
        <v>0</v>
      </c>
      <c r="R59" s="14" t="s">
        <v>212</v>
      </c>
      <c r="S59" s="16" t="s">
        <v>250</v>
      </c>
      <c r="T59" s="16">
        <f t="shared" si="2"/>
        <v>44928</v>
      </c>
      <c r="U59" s="16">
        <f t="shared" si="3"/>
        <v>44928</v>
      </c>
      <c r="V59" s="14" t="s">
        <v>200</v>
      </c>
      <c r="W59" s="15">
        <v>0</v>
      </c>
      <c r="X59" s="15">
        <v>0</v>
      </c>
      <c r="Y59" s="15">
        <v>0</v>
      </c>
      <c r="Z59" s="14" t="s">
        <v>201</v>
      </c>
      <c r="AA59" s="15">
        <v>0</v>
      </c>
      <c r="AB59" s="14" t="s">
        <v>202</v>
      </c>
      <c r="AC59" s="17">
        <v>0</v>
      </c>
      <c r="AD59" s="20"/>
    </row>
    <row r="60" spans="3:30" ht="45.75" customHeight="1" thickBot="1" x14ac:dyDescent="0.5">
      <c r="C60" s="12">
        <f t="shared" si="0"/>
        <v>999</v>
      </c>
      <c r="D60" s="13">
        <f t="shared" si="4"/>
        <v>53</v>
      </c>
      <c r="E60" s="14" t="str">
        <f>IF(AND('Other financial Liabilities'!K54="",'Other financial Liabilities'!J54=1),"r0180 - Critical service liabilities (BRRD art. 44/2/g/ii)",IF(AND('Other financial Liabilities'!K54="",'Other financial Liabilities'!J54=2),"r0190 - Tax and social security authorities liabilities, if preferred (BRRD art. 44/2/g/iii)",'Other financial Liabilities'!K54))</f>
        <v>r0150 - Institution liabilities &lt; 7 days (BRRD art. 44/2/e)</v>
      </c>
      <c r="F60" s="14" t="str">
        <f>IF(OR('Other financial Liabilities'!G54="particulares",'Other financial Liabilities'!J54=1),"c001x   - Households",IF('Other financial Liabilities'!G54="outras empresas nao financeiras","c003x   - Corporates",IF('Other financial Liabilities'!G54="instituicoes de credito","c004x   - Institutions",IF('Other financial Liabilities'!G54="outras instituicoes financeiras","c005x   - Other financial corporations",IF(OR('Other financial Liabilities'!G54="setor publico",'Other financial Liabilities'!J54=2),"c008x   - Government, central banks &amp; supranationals","")))))</f>
        <v>c004x   - Institutions</v>
      </c>
      <c r="G60" s="14" t="str">
        <f t="shared" si="1"/>
        <v>Rank 9 - Ranking in insolvency (master scale)</v>
      </c>
      <c r="H60" s="14" t="str">
        <f>IF(F60="c004x   - Institutions",'Other financial Liabilities'!H54,IF(F60="c001x   - Households","CSL"&amp;IF(MONTH('Other financial Liabilities'!I54)=1,"JAN",IF(MONTH('Other financial Liabilities'!I54)=2,"FEV",IF(MONTH('Other financial Liabilities'!I54)=3,"MAR",IF(MONTH('Other financial Liabilities'!I54)=4,"ABR",IF(MONTH('Other financial Liabilities'!I54)=5,"MAI",IF(MONTH('Other financial Liabilities'!I54)=6,"JUN",IF(MONTH('Other financial Liabilities'!I54)=7,"JUL",IF(MONTH('Other financial Liabilities'!I54)=8,"AGO",IF(MONTH('Other financial Liabilities'!I54)=9,"SET",IF(MONTH('Other financial Liabilities'!I54)=10,"OUT",IF(MONTH('Other financial Liabilities'!I54)=11,"NOV",IF(MONTH('Other financial Liabilities'!I54)=12,"DEZ",""))))))))))))&amp;LEFT(YEAR('Other financial Liabilities'!I54),2),IF(F60="c008x   - Government, central banks &amp; supranationals","TL"&amp;IF(MONTH('Other financial Liabilities'!I54)=1,"JAN",IF(MONTH('Other financial Liabilities'!I54)=2,"FEV",IF(MONTH('Other financial Liabilities'!I54)=3,"MAR",IF(MONTH('Other financial Liabilities'!I54)=4,"ABR",IF(MONTH('Other financial Liabilities'!I54)=5,"MAI",IF(MONTH('Other financial Liabilities'!I54)=6,"JUN",IF(MONTH('Other financial Liabilities'!I54)=7,"JUL",IF(MONTH('Other financial Liabilities'!I54)=8,"AGO",IF(MONTH('Other financial Liabilities'!I54)=9,"SET",IF(MONTH('Other financial Liabilities'!I54)=10,"OUT",IF(MONTH('Other financial Liabilities'!I54)=11,"NOV",IF(MONTH('Other financial Liabilities'!I54)=12,"DEZ",""))))))))))))&amp;LEFT(YEAR('Other financial Liabilities'!I54),2),"")))</f>
        <v>ALLFUNDS BANK SAU, LUXEMBOURG BRANCH</v>
      </c>
      <c r="I60" s="14" t="str">
        <f>IF(F60="c004x   - Institutions",'Other financial Liabilities'!H54,IF(F60="c001x   - Households","Critical Service Liability "&amp;IF(MONTH('Other financial Liabilities'!I54)=1,"January ",IF(MONTH('Other financial Liabilities'!I54)=2,"February ",IF(MONTH('Other financial Liabilities'!I54)=3,"March ",IF(MONTH('Other financial Liabilities'!I54)=4, "April ",IF(MONTH('Other financial Liabilities'!I54)=5,"May ",IF(MONTH('Other financial Liabilities'!I54)=6,"June ",IF(MONTH('Other financial Liabilities'!I54)=7,"July ",IF(MONTH('Other financial Liabilities'!I54)=8,"August ",IF(MONTH('Other financial Liabilities'!I54)=9,"September ",IF(MONTH('Other financial Liabilities'!I54)=10,"October",  IF(MONTH('Other financial Liabilities'!I54)=11,"November ",IF(MONTH('Other financial Liabilities'!I54)=12,"December ",""))))))))))))&amp;YEAR('Other financial Liabilities'!I54),IF(F60="c008x   - Government, central banks &amp; supranationals","Tax Liability "&amp;IF(MONTH('Other financial Liabilities'!I54)=1,"January ",IF(MONTH('Other financial Liabilities'!I54)=2,"February ",IF(MONTH('Other financial Liabilities'!I54)=3,"March ",IF(MONTH('Other financial Liabilities'!I54)=4,"April ",IF(MONTH('Other financial Liabilities'!I54)=5,"May ",IF(MONTH('Other financial Liabilities'!I54)=6,"June ",IF(MONTH('Other financial Liabilities'!I54)=7,"July ",IF(MONTH('Other financial Liabilities'!I54)=8, "August ",  IF(MONTH('Other financial Liabilities'!I54)=9,"September ",IF(MONTH('Other financial Liabilities'!I54)=10,"October ",IF(MONTH('Other financial Liabilities'!I54)=11,"November ",IF(MONTH('Other financial Liabilities'!I54)=12,"December ",""))))))))))))&amp;YEAR('Other financial Liabilities'!I54),"")))</f>
        <v>ALLFUNDS BANK SAU, LUXEMBOURG BRANCH</v>
      </c>
      <c r="J60" s="14" t="str">
        <f>+IF(OR('Other financial Liabilities'!C54="",'Other financial Liabilities'!C54="#"),IF('Other financial Liabilities'!A54="",IF(F60="c001x   - Households","CSL"&amp;"001",IF(F60="c008x   - Government, central banks &amp; supranationals","TL"&amp;"001")),'Other financial Liabilities'!A54),'Other financial Liabilities'!C54)</f>
        <v>7401331507</v>
      </c>
      <c r="K60" s="14" t="str">
        <f>+IF(J60='Other financial Liabilities'!C54,"LEI code","Type of identifier, other than LEI or MFI code")</f>
        <v>Type of identifier, other than LEI or MFI code</v>
      </c>
      <c r="L60" s="14" t="s">
        <v>197</v>
      </c>
      <c r="M60" s="14" t="s">
        <v>198</v>
      </c>
      <c r="N60" s="14" t="s">
        <v>199</v>
      </c>
      <c r="O60" s="15">
        <v>2227.3000000000002</v>
      </c>
      <c r="P60" s="15">
        <f>IF('Other financial Liabilities'!E54="",0,'Other financial Liabilities'!E54)</f>
        <v>0</v>
      </c>
      <c r="Q60" s="14">
        <f>IF('Other financial Liabilities'!F54="",0,'Other financial Liabilities'!F54)</f>
        <v>0</v>
      </c>
      <c r="R60" s="14" t="s">
        <v>211</v>
      </c>
      <c r="S60" s="16" t="s">
        <v>250</v>
      </c>
      <c r="T60" s="16">
        <f t="shared" si="2"/>
        <v>44928</v>
      </c>
      <c r="U60" s="16">
        <f t="shared" si="3"/>
        <v>44928</v>
      </c>
      <c r="V60" s="14" t="s">
        <v>200</v>
      </c>
      <c r="W60" s="15">
        <v>0</v>
      </c>
      <c r="X60" s="15">
        <v>0</v>
      </c>
      <c r="Y60" s="15">
        <v>0</v>
      </c>
      <c r="Z60" s="14" t="s">
        <v>201</v>
      </c>
      <c r="AA60" s="15">
        <v>0</v>
      </c>
      <c r="AB60" s="14" t="s">
        <v>202</v>
      </c>
      <c r="AC60" s="17">
        <v>0</v>
      </c>
      <c r="AD60" s="20"/>
    </row>
    <row r="61" spans="3:30" ht="45.75" customHeight="1" thickBot="1" x14ac:dyDescent="0.5">
      <c r="C61" s="12">
        <f t="shared" si="0"/>
        <v>999</v>
      </c>
      <c r="D61" s="13">
        <f t="shared" si="4"/>
        <v>54</v>
      </c>
      <c r="E61" s="14" t="str">
        <f>IF(AND('Other financial Liabilities'!K55="",'Other financial Liabilities'!J55=1),"r0180 - Critical service liabilities (BRRD art. 44/2/g/ii)",IF(AND('Other financial Liabilities'!K55="",'Other financial Liabilities'!J55=2),"r0190 - Tax and social security authorities liabilities, if preferred (BRRD art. 44/2/g/iii)",'Other financial Liabilities'!K55))</f>
        <v>r0150 - Institution liabilities &lt; 7 days (BRRD art. 44/2/e)</v>
      </c>
      <c r="F61" s="14" t="str">
        <f>IF(OR('Other financial Liabilities'!G55="particulares",'Other financial Liabilities'!J55=1),"c001x   - Households",IF('Other financial Liabilities'!G55="outras empresas nao financeiras","c003x   - Corporates",IF('Other financial Liabilities'!G55="instituicoes de credito","c004x   - Institutions",IF('Other financial Liabilities'!G55="outras instituicoes financeiras","c005x   - Other financial corporations",IF(OR('Other financial Liabilities'!G55="setor publico",'Other financial Liabilities'!J55=2),"c008x   - Government, central banks &amp; supranationals","")))))</f>
        <v>c004x   - Institutions</v>
      </c>
      <c r="G61" s="14" t="str">
        <f t="shared" si="1"/>
        <v>Rank 9 - Ranking in insolvency (master scale)</v>
      </c>
      <c r="H61" s="14" t="str">
        <f>IF(F61="c004x   - Institutions",'Other financial Liabilities'!H55,IF(F61="c001x   - Households","CSL"&amp;IF(MONTH('Other financial Liabilities'!I55)=1,"JAN",IF(MONTH('Other financial Liabilities'!I55)=2,"FEV",IF(MONTH('Other financial Liabilities'!I55)=3,"MAR",IF(MONTH('Other financial Liabilities'!I55)=4,"ABR",IF(MONTH('Other financial Liabilities'!I55)=5,"MAI",IF(MONTH('Other financial Liabilities'!I55)=6,"JUN",IF(MONTH('Other financial Liabilities'!I55)=7,"JUL",IF(MONTH('Other financial Liabilities'!I55)=8,"AGO",IF(MONTH('Other financial Liabilities'!I55)=9,"SET",IF(MONTH('Other financial Liabilities'!I55)=10,"OUT",IF(MONTH('Other financial Liabilities'!I55)=11,"NOV",IF(MONTH('Other financial Liabilities'!I55)=12,"DEZ",""))))))))))))&amp;LEFT(YEAR('Other financial Liabilities'!I55),2),IF(F61="c008x   - Government, central banks &amp; supranationals","TL"&amp;IF(MONTH('Other financial Liabilities'!I55)=1,"JAN",IF(MONTH('Other financial Liabilities'!I55)=2,"FEV",IF(MONTH('Other financial Liabilities'!I55)=3,"MAR",IF(MONTH('Other financial Liabilities'!I55)=4,"ABR",IF(MONTH('Other financial Liabilities'!I55)=5,"MAI",IF(MONTH('Other financial Liabilities'!I55)=6,"JUN",IF(MONTH('Other financial Liabilities'!I55)=7,"JUL",IF(MONTH('Other financial Liabilities'!I55)=8,"AGO",IF(MONTH('Other financial Liabilities'!I55)=9,"SET",IF(MONTH('Other financial Liabilities'!I55)=10,"OUT",IF(MONTH('Other financial Liabilities'!I55)=11,"NOV",IF(MONTH('Other financial Liabilities'!I55)=12,"DEZ",""))))))))))))&amp;LEFT(YEAR('Other financial Liabilities'!I55),2),"")))</f>
        <v>UNICAJA BANCO S.A.</v>
      </c>
      <c r="I61" s="14" t="str">
        <f>IF(F61="c004x   - Institutions",'Other financial Liabilities'!H55,IF(F61="c001x   - Households","Critical Service Liability "&amp;IF(MONTH('Other financial Liabilities'!I55)=1,"January ",IF(MONTH('Other financial Liabilities'!I55)=2,"February ",IF(MONTH('Other financial Liabilities'!I55)=3,"March ",IF(MONTH('Other financial Liabilities'!I55)=4, "April ",IF(MONTH('Other financial Liabilities'!I55)=5,"May ",IF(MONTH('Other financial Liabilities'!I55)=6,"June ",IF(MONTH('Other financial Liabilities'!I55)=7,"July ",IF(MONTH('Other financial Liabilities'!I55)=8,"August ",IF(MONTH('Other financial Liabilities'!I55)=9,"September ",IF(MONTH('Other financial Liabilities'!I55)=10,"October",  IF(MONTH('Other financial Liabilities'!I55)=11,"November ",IF(MONTH('Other financial Liabilities'!I55)=12,"December ",""))))))))))))&amp;YEAR('Other financial Liabilities'!I55),IF(F61="c008x   - Government, central banks &amp; supranationals","Tax Liability "&amp;IF(MONTH('Other financial Liabilities'!I55)=1,"January ",IF(MONTH('Other financial Liabilities'!I55)=2,"February ",IF(MONTH('Other financial Liabilities'!I55)=3,"March ",IF(MONTH('Other financial Liabilities'!I55)=4,"April ",IF(MONTH('Other financial Liabilities'!I55)=5,"May ",IF(MONTH('Other financial Liabilities'!I55)=6,"June ",IF(MONTH('Other financial Liabilities'!I55)=7,"July ",IF(MONTH('Other financial Liabilities'!I55)=8, "August ",  IF(MONTH('Other financial Liabilities'!I55)=9,"September ",IF(MONTH('Other financial Liabilities'!I55)=10,"October ",IF(MONTH('Other financial Liabilities'!I55)=11,"November ",IF(MONTH('Other financial Liabilities'!I55)=12,"December ",""))))))))))))&amp;YEAR('Other financial Liabilities'!I55),"")))</f>
        <v>UNICAJA BANCO S.A.</v>
      </c>
      <c r="J61" s="14" t="str">
        <f>+IF(OR('Other financial Liabilities'!C55="",'Other financial Liabilities'!C55="#"),IF('Other financial Liabilities'!A55="",IF(F61="c001x   - Households","CSL"&amp;"001",IF(F61="c008x   - Government, central banks &amp; supranationals","TL"&amp;"001")),'Other financial Liabilities'!A55),'Other financial Liabilities'!C55)</f>
        <v>7401346435</v>
      </c>
      <c r="K61" s="14" t="str">
        <f>+IF(J61='Other financial Liabilities'!C55,"LEI code","Type of identifier, other than LEI or MFI code")</f>
        <v>Type of identifier, other than LEI or MFI code</v>
      </c>
      <c r="L61" s="14" t="s">
        <v>197</v>
      </c>
      <c r="M61" s="14" t="s">
        <v>198</v>
      </c>
      <c r="N61" s="14" t="s">
        <v>199</v>
      </c>
      <c r="O61" s="15">
        <v>1642100.95</v>
      </c>
      <c r="P61" s="15">
        <f>IF('Other financial Liabilities'!E55="",0,'Other financial Liabilities'!E55)</f>
        <v>0</v>
      </c>
      <c r="Q61" s="14">
        <f>IF('Other financial Liabilities'!F55="",0,'Other financial Liabilities'!F55)</f>
        <v>0</v>
      </c>
      <c r="R61" s="14" t="s">
        <v>212</v>
      </c>
      <c r="S61" s="16" t="s">
        <v>250</v>
      </c>
      <c r="T61" s="16">
        <f t="shared" si="2"/>
        <v>44928</v>
      </c>
      <c r="U61" s="16">
        <f t="shared" si="3"/>
        <v>44928</v>
      </c>
      <c r="V61" s="14" t="s">
        <v>200</v>
      </c>
      <c r="W61" s="15">
        <v>0</v>
      </c>
      <c r="X61" s="15">
        <v>0</v>
      </c>
      <c r="Y61" s="15">
        <v>0</v>
      </c>
      <c r="Z61" s="14" t="s">
        <v>201</v>
      </c>
      <c r="AA61" s="15">
        <v>0</v>
      </c>
      <c r="AB61" s="14" t="s">
        <v>202</v>
      </c>
      <c r="AC61" s="17">
        <v>0</v>
      </c>
      <c r="AD61" s="20"/>
    </row>
    <row r="62" spans="3:30" ht="45.75" customHeight="1" thickBot="1" x14ac:dyDescent="0.5">
      <c r="C62" s="12">
        <f t="shared" si="0"/>
        <v>999</v>
      </c>
      <c r="D62" s="13">
        <f t="shared" si="4"/>
        <v>55</v>
      </c>
      <c r="E62" s="14" t="str">
        <f>IF(AND('Other financial Liabilities'!K56="",'Other financial Liabilities'!J56=1),"r0180 - Critical service liabilities (BRRD art. 44/2/g/ii)",IF(AND('Other financial Liabilities'!K56="",'Other financial Liabilities'!J56=2),"r0190 - Tax and social security authorities liabilities, if preferred (BRRD art. 44/2/g/iii)",'Other financial Liabilities'!K56))</f>
        <v>r0150 - Institution liabilities &lt; 7 days (BRRD art. 44/2/e)</v>
      </c>
      <c r="F62" s="14" t="str">
        <f>IF(OR('Other financial Liabilities'!G56="particulares",'Other financial Liabilities'!J56=1),"c001x   - Households",IF('Other financial Liabilities'!G56="outras empresas nao financeiras","c003x   - Corporates",IF('Other financial Liabilities'!G56="instituicoes de credito","c004x   - Institutions",IF('Other financial Liabilities'!G56="outras instituicoes financeiras","c005x   - Other financial corporations",IF(OR('Other financial Liabilities'!G56="setor publico",'Other financial Liabilities'!J56=2),"c008x   - Government, central banks &amp; supranationals","")))))</f>
        <v>c004x   - Institutions</v>
      </c>
      <c r="G62" s="14" t="str">
        <f t="shared" si="1"/>
        <v>Rank 9 - Ranking in insolvency (master scale)</v>
      </c>
      <c r="H62" s="14" t="str">
        <f>IF(F62="c004x   - Institutions",'Other financial Liabilities'!H56,IF(F62="c001x   - Households","CSL"&amp;IF(MONTH('Other financial Liabilities'!I56)=1,"JAN",IF(MONTH('Other financial Liabilities'!I56)=2,"FEV",IF(MONTH('Other financial Liabilities'!I56)=3,"MAR",IF(MONTH('Other financial Liabilities'!I56)=4,"ABR",IF(MONTH('Other financial Liabilities'!I56)=5,"MAI",IF(MONTH('Other financial Liabilities'!I56)=6,"JUN",IF(MONTH('Other financial Liabilities'!I56)=7,"JUL",IF(MONTH('Other financial Liabilities'!I56)=8,"AGO",IF(MONTH('Other financial Liabilities'!I56)=9,"SET",IF(MONTH('Other financial Liabilities'!I56)=10,"OUT",IF(MONTH('Other financial Liabilities'!I56)=11,"NOV",IF(MONTH('Other financial Liabilities'!I56)=12,"DEZ",""))))))))))))&amp;LEFT(YEAR('Other financial Liabilities'!I56),2),IF(F62="c008x   - Government, central banks &amp; supranationals","TL"&amp;IF(MONTH('Other financial Liabilities'!I56)=1,"JAN",IF(MONTH('Other financial Liabilities'!I56)=2,"FEV",IF(MONTH('Other financial Liabilities'!I56)=3,"MAR",IF(MONTH('Other financial Liabilities'!I56)=4,"ABR",IF(MONTH('Other financial Liabilities'!I56)=5,"MAI",IF(MONTH('Other financial Liabilities'!I56)=6,"JUN",IF(MONTH('Other financial Liabilities'!I56)=7,"JUL",IF(MONTH('Other financial Liabilities'!I56)=8,"AGO",IF(MONTH('Other financial Liabilities'!I56)=9,"SET",IF(MONTH('Other financial Liabilities'!I56)=10,"OUT",IF(MONTH('Other financial Liabilities'!I56)=11,"NOV",IF(MONTH('Other financial Liabilities'!I56)=12,"DEZ",""))))))))))))&amp;LEFT(YEAR('Other financial Liabilities'!I56),2),"")))</f>
        <v>TOYOTA KREDITBANK GMBH - SUCURSAL EM PORTUGAL</v>
      </c>
      <c r="I62" s="14" t="str">
        <f>IF(F62="c004x   - Institutions",'Other financial Liabilities'!H56,IF(F62="c001x   - Households","Critical Service Liability "&amp;IF(MONTH('Other financial Liabilities'!I56)=1,"January ",IF(MONTH('Other financial Liabilities'!I56)=2,"February ",IF(MONTH('Other financial Liabilities'!I56)=3,"March ",IF(MONTH('Other financial Liabilities'!I56)=4, "April ",IF(MONTH('Other financial Liabilities'!I56)=5,"May ",IF(MONTH('Other financial Liabilities'!I56)=6,"June ",IF(MONTH('Other financial Liabilities'!I56)=7,"July ",IF(MONTH('Other financial Liabilities'!I56)=8,"August ",IF(MONTH('Other financial Liabilities'!I56)=9,"September ",IF(MONTH('Other financial Liabilities'!I56)=10,"October",  IF(MONTH('Other financial Liabilities'!I56)=11,"November ",IF(MONTH('Other financial Liabilities'!I56)=12,"December ",""))))))))))))&amp;YEAR('Other financial Liabilities'!I56),IF(F62="c008x   - Government, central banks &amp; supranationals","Tax Liability "&amp;IF(MONTH('Other financial Liabilities'!I56)=1,"January ",IF(MONTH('Other financial Liabilities'!I56)=2,"February ",IF(MONTH('Other financial Liabilities'!I56)=3,"March ",IF(MONTH('Other financial Liabilities'!I56)=4,"April ",IF(MONTH('Other financial Liabilities'!I56)=5,"May ",IF(MONTH('Other financial Liabilities'!I56)=6,"June ",IF(MONTH('Other financial Liabilities'!I56)=7,"July ",IF(MONTH('Other financial Liabilities'!I56)=8, "August ",  IF(MONTH('Other financial Liabilities'!I56)=9,"September ",IF(MONTH('Other financial Liabilities'!I56)=10,"October ",IF(MONTH('Other financial Liabilities'!I56)=11,"November ",IF(MONTH('Other financial Liabilities'!I56)=12,"December ",""))))))))))))&amp;YEAR('Other financial Liabilities'!I56),"")))</f>
        <v>TOYOTA KREDITBANK GMBH - SUCURSAL EM PORTUGAL</v>
      </c>
      <c r="J62" s="14" t="str">
        <f>+IF(OR('Other financial Liabilities'!C56="",'Other financial Liabilities'!C56="#"),IF('Other financial Liabilities'!A56="",IF(F62="c001x   - Households","CSL"&amp;"001",IF(F62="c008x   - Government, central banks &amp; supranationals","TL"&amp;"001")),'Other financial Liabilities'!A56),'Other financial Liabilities'!C56)</f>
        <v>7401448186</v>
      </c>
      <c r="K62" s="14" t="str">
        <f>+IF(J62='Other financial Liabilities'!C56,"LEI code","Type of identifier, other than LEI or MFI code")</f>
        <v>Type of identifier, other than LEI or MFI code</v>
      </c>
      <c r="L62" s="14" t="s">
        <v>197</v>
      </c>
      <c r="M62" s="14" t="s">
        <v>198</v>
      </c>
      <c r="N62" s="14" t="s">
        <v>199</v>
      </c>
      <c r="O62" s="15">
        <v>6804670.7800000003</v>
      </c>
      <c r="P62" s="15">
        <f>IF('Other financial Liabilities'!E56="",0,'Other financial Liabilities'!E56)</f>
        <v>0</v>
      </c>
      <c r="Q62" s="14">
        <f>IF('Other financial Liabilities'!F56="",0,'Other financial Liabilities'!F56)</f>
        <v>0</v>
      </c>
      <c r="R62" s="14" t="s">
        <v>212</v>
      </c>
      <c r="S62" s="16" t="s">
        <v>250</v>
      </c>
      <c r="T62" s="16">
        <f t="shared" si="2"/>
        <v>44928</v>
      </c>
      <c r="U62" s="16">
        <f t="shared" si="3"/>
        <v>44928</v>
      </c>
      <c r="V62" s="14" t="s">
        <v>200</v>
      </c>
      <c r="W62" s="15">
        <v>0</v>
      </c>
      <c r="X62" s="15">
        <v>0</v>
      </c>
      <c r="Y62" s="15">
        <v>0</v>
      </c>
      <c r="Z62" s="14" t="s">
        <v>201</v>
      </c>
      <c r="AA62" s="15">
        <v>0</v>
      </c>
      <c r="AB62" s="14" t="s">
        <v>202</v>
      </c>
      <c r="AC62" s="17">
        <v>0</v>
      </c>
      <c r="AD62" s="20"/>
    </row>
    <row r="63" spans="3:30" ht="45.75" customHeight="1" thickBot="1" x14ac:dyDescent="0.5">
      <c r="C63" s="12">
        <f t="shared" si="0"/>
        <v>999</v>
      </c>
      <c r="D63" s="13">
        <f t="shared" si="4"/>
        <v>56</v>
      </c>
      <c r="E63" s="14" t="str">
        <f>IF(AND('Other financial Liabilities'!K57="",'Other financial Liabilities'!J57=1),"r0180 - Critical service liabilities (BRRD art. 44/2/g/ii)",IF(AND('Other financial Liabilities'!K57="",'Other financial Liabilities'!J57=2),"r0190 - Tax and social security authorities liabilities, if preferred (BRRD art. 44/2/g/iii)",'Other financial Liabilities'!K57))</f>
        <v>r0150 - Institution liabilities &lt; 7 days (BRRD art. 44/2/e)</v>
      </c>
      <c r="F63" s="14" t="str">
        <f>IF(OR('Other financial Liabilities'!G57="particulares",'Other financial Liabilities'!J57=1),"c001x   - Households",IF('Other financial Liabilities'!G57="outras empresas nao financeiras","c003x   - Corporates",IF('Other financial Liabilities'!G57="instituicoes de credito","c004x   - Institutions",IF('Other financial Liabilities'!G57="outras instituicoes financeiras","c005x   - Other financial corporations",IF(OR('Other financial Liabilities'!G57="setor publico",'Other financial Liabilities'!J57=2),"c008x   - Government, central banks &amp; supranationals","")))))</f>
        <v>c004x   - Institutions</v>
      </c>
      <c r="G63" s="14" t="str">
        <f t="shared" si="1"/>
        <v>Rank 9 - Ranking in insolvency (master scale)</v>
      </c>
      <c r="H63" s="14" t="str">
        <f>IF(F63="c004x   - Institutions",'Other financial Liabilities'!H57,IF(F63="c001x   - Households","CSL"&amp;IF(MONTH('Other financial Liabilities'!I57)=1,"JAN",IF(MONTH('Other financial Liabilities'!I57)=2,"FEV",IF(MONTH('Other financial Liabilities'!I57)=3,"MAR",IF(MONTH('Other financial Liabilities'!I57)=4,"ABR",IF(MONTH('Other financial Liabilities'!I57)=5,"MAI",IF(MONTH('Other financial Liabilities'!I57)=6,"JUN",IF(MONTH('Other financial Liabilities'!I57)=7,"JUL",IF(MONTH('Other financial Liabilities'!I57)=8,"AGO",IF(MONTH('Other financial Liabilities'!I57)=9,"SET",IF(MONTH('Other financial Liabilities'!I57)=10,"OUT",IF(MONTH('Other financial Liabilities'!I57)=11,"NOV",IF(MONTH('Other financial Liabilities'!I57)=12,"DEZ",""))))))))))))&amp;LEFT(YEAR('Other financial Liabilities'!I57),2),IF(F63="c008x   - Government, central banks &amp; supranationals","TL"&amp;IF(MONTH('Other financial Liabilities'!I57)=1,"JAN",IF(MONTH('Other financial Liabilities'!I57)=2,"FEV",IF(MONTH('Other financial Liabilities'!I57)=3,"MAR",IF(MONTH('Other financial Liabilities'!I57)=4,"ABR",IF(MONTH('Other financial Liabilities'!I57)=5,"MAI",IF(MONTH('Other financial Liabilities'!I57)=6,"JUN",IF(MONTH('Other financial Liabilities'!I57)=7,"JUL",IF(MONTH('Other financial Liabilities'!I57)=8,"AGO",IF(MONTH('Other financial Liabilities'!I57)=9,"SET",IF(MONTH('Other financial Liabilities'!I57)=10,"OUT",IF(MONTH('Other financial Liabilities'!I57)=11,"NOV",IF(MONTH('Other financial Liabilities'!I57)=12,"DEZ",""))))))))))))&amp;LEFT(YEAR('Other financial Liabilities'!I57),2),"")))</f>
        <v>BANCO CTT, S.A.</v>
      </c>
      <c r="I63" s="14" t="str">
        <f>IF(F63="c004x   - Institutions",'Other financial Liabilities'!H57,IF(F63="c001x   - Households","Critical Service Liability "&amp;IF(MONTH('Other financial Liabilities'!I57)=1,"January ",IF(MONTH('Other financial Liabilities'!I57)=2,"February ",IF(MONTH('Other financial Liabilities'!I57)=3,"March ",IF(MONTH('Other financial Liabilities'!I57)=4, "April ",IF(MONTH('Other financial Liabilities'!I57)=5,"May ",IF(MONTH('Other financial Liabilities'!I57)=6,"June ",IF(MONTH('Other financial Liabilities'!I57)=7,"July ",IF(MONTH('Other financial Liabilities'!I57)=8,"August ",IF(MONTH('Other financial Liabilities'!I57)=9,"September ",IF(MONTH('Other financial Liabilities'!I57)=10,"October",  IF(MONTH('Other financial Liabilities'!I57)=11,"November ",IF(MONTH('Other financial Liabilities'!I57)=12,"December ",""))))))))))))&amp;YEAR('Other financial Liabilities'!I57),IF(F63="c008x   - Government, central banks &amp; supranationals","Tax Liability "&amp;IF(MONTH('Other financial Liabilities'!I57)=1,"January ",IF(MONTH('Other financial Liabilities'!I57)=2,"February ",IF(MONTH('Other financial Liabilities'!I57)=3,"March ",IF(MONTH('Other financial Liabilities'!I57)=4,"April ",IF(MONTH('Other financial Liabilities'!I57)=5,"May ",IF(MONTH('Other financial Liabilities'!I57)=6,"June ",IF(MONTH('Other financial Liabilities'!I57)=7,"July ",IF(MONTH('Other financial Liabilities'!I57)=8, "August ",  IF(MONTH('Other financial Liabilities'!I57)=9,"September ",IF(MONTH('Other financial Liabilities'!I57)=10,"October ",IF(MONTH('Other financial Liabilities'!I57)=11,"November ",IF(MONTH('Other financial Liabilities'!I57)=12,"December ",""))))))))))))&amp;YEAR('Other financial Liabilities'!I57),"")))</f>
        <v>BANCO CTT, S.A.</v>
      </c>
      <c r="J63" s="14" t="str">
        <f>+IF(OR('Other financial Liabilities'!C57="",'Other financial Liabilities'!C57="#"),IF('Other financial Liabilities'!A57="",IF(F63="c001x   - Households","CSL"&amp;"001",IF(F63="c008x   - Government, central banks &amp; supranationals","TL"&amp;"001")),'Other financial Liabilities'!A57),'Other financial Liabilities'!C57)</f>
        <v>7401460446</v>
      </c>
      <c r="K63" s="14" t="str">
        <f>+IF(J63='Other financial Liabilities'!C57,"LEI code","Type of identifier, other than LEI or MFI code")</f>
        <v>Type of identifier, other than LEI or MFI code</v>
      </c>
      <c r="L63" s="14" t="s">
        <v>197</v>
      </c>
      <c r="M63" s="14" t="s">
        <v>198</v>
      </c>
      <c r="N63" s="14" t="s">
        <v>199</v>
      </c>
      <c r="O63" s="15">
        <v>13.2</v>
      </c>
      <c r="P63" s="15">
        <f>IF('Other financial Liabilities'!E57="",0,'Other financial Liabilities'!E57)</f>
        <v>0</v>
      </c>
      <c r="Q63" s="14">
        <f>IF('Other financial Liabilities'!F57="",0,'Other financial Liabilities'!F57)</f>
        <v>0</v>
      </c>
      <c r="R63" s="14" t="s">
        <v>212</v>
      </c>
      <c r="S63" s="16" t="s">
        <v>250</v>
      </c>
      <c r="T63" s="16">
        <f t="shared" si="2"/>
        <v>44928</v>
      </c>
      <c r="U63" s="16">
        <f t="shared" si="3"/>
        <v>44928</v>
      </c>
      <c r="V63" s="14" t="s">
        <v>200</v>
      </c>
      <c r="W63" s="15">
        <v>0</v>
      </c>
      <c r="X63" s="15">
        <v>0</v>
      </c>
      <c r="Y63" s="15">
        <v>0</v>
      </c>
      <c r="Z63" s="14" t="s">
        <v>201</v>
      </c>
      <c r="AA63" s="15">
        <v>0</v>
      </c>
      <c r="AB63" s="14" t="s">
        <v>202</v>
      </c>
      <c r="AC63" s="17">
        <v>0</v>
      </c>
      <c r="AD63" s="20"/>
    </row>
    <row r="64" spans="3:30" ht="45.75" customHeight="1" thickBot="1" x14ac:dyDescent="0.5">
      <c r="C64" s="12">
        <f t="shared" si="0"/>
        <v>999</v>
      </c>
      <c r="D64" s="13">
        <f t="shared" si="4"/>
        <v>57</v>
      </c>
      <c r="E64" s="14" t="str">
        <f>IF(AND('Other financial Liabilities'!K58="",'Other financial Liabilities'!J58=1),"r0180 - Critical service liabilities (BRRD art. 44/2/g/ii)",IF(AND('Other financial Liabilities'!K58="",'Other financial Liabilities'!J58=2),"r0190 - Tax and social security authorities liabilities, if preferred (BRRD art. 44/2/g/iii)",'Other financial Liabilities'!K58))</f>
        <v>r0150 - Institution liabilities &lt; 7 days (BRRD art. 44/2/e)</v>
      </c>
      <c r="F64" s="14" t="str">
        <f>IF(OR('Other financial Liabilities'!G58="particulares",'Other financial Liabilities'!J58=1),"c001x   - Households",IF('Other financial Liabilities'!G58="outras empresas nao financeiras","c003x   - Corporates",IF('Other financial Liabilities'!G58="instituicoes de credito","c004x   - Institutions",IF('Other financial Liabilities'!G58="outras instituicoes financeiras","c005x   - Other financial corporations",IF(OR('Other financial Liabilities'!G58="setor publico",'Other financial Liabilities'!J58=2),"c008x   - Government, central banks &amp; supranationals","")))))</f>
        <v>c004x   - Institutions</v>
      </c>
      <c r="G64" s="14" t="str">
        <f t="shared" si="1"/>
        <v>Rank 9 - Ranking in insolvency (master scale)</v>
      </c>
      <c r="H64" s="14" t="str">
        <f>IF(F64="c004x   - Institutions",'Other financial Liabilities'!H58,IF(F64="c001x   - Households","CSL"&amp;IF(MONTH('Other financial Liabilities'!I58)=1,"JAN",IF(MONTH('Other financial Liabilities'!I58)=2,"FEV",IF(MONTH('Other financial Liabilities'!I58)=3,"MAR",IF(MONTH('Other financial Liabilities'!I58)=4,"ABR",IF(MONTH('Other financial Liabilities'!I58)=5,"MAI",IF(MONTH('Other financial Liabilities'!I58)=6,"JUN",IF(MONTH('Other financial Liabilities'!I58)=7,"JUL",IF(MONTH('Other financial Liabilities'!I58)=8,"AGO",IF(MONTH('Other financial Liabilities'!I58)=9,"SET",IF(MONTH('Other financial Liabilities'!I58)=10,"OUT",IF(MONTH('Other financial Liabilities'!I58)=11,"NOV",IF(MONTH('Other financial Liabilities'!I58)=12,"DEZ",""))))))))))))&amp;LEFT(YEAR('Other financial Liabilities'!I58),2),IF(F64="c008x   - Government, central banks &amp; supranationals","TL"&amp;IF(MONTH('Other financial Liabilities'!I58)=1,"JAN",IF(MONTH('Other financial Liabilities'!I58)=2,"FEV",IF(MONTH('Other financial Liabilities'!I58)=3,"MAR",IF(MONTH('Other financial Liabilities'!I58)=4,"ABR",IF(MONTH('Other financial Liabilities'!I58)=5,"MAI",IF(MONTH('Other financial Liabilities'!I58)=6,"JUN",IF(MONTH('Other financial Liabilities'!I58)=7,"JUL",IF(MONTH('Other financial Liabilities'!I58)=8,"AGO",IF(MONTH('Other financial Liabilities'!I58)=9,"SET",IF(MONTH('Other financial Liabilities'!I58)=10,"OUT",IF(MONTH('Other financial Liabilities'!I58)=11,"NOV",IF(MONTH('Other financial Liabilities'!I58)=12,"DEZ",""))))))))))))&amp;LEFT(YEAR('Other financial Liabilities'!I58),2),"")))</f>
        <v>BARCLAYS BANK PLC</v>
      </c>
      <c r="I64" s="14" t="str">
        <f>IF(F64="c004x   - Institutions",'Other financial Liabilities'!H58,IF(F64="c001x   - Households","Critical Service Liability "&amp;IF(MONTH('Other financial Liabilities'!I58)=1,"January ",IF(MONTH('Other financial Liabilities'!I58)=2,"February ",IF(MONTH('Other financial Liabilities'!I58)=3,"March ",IF(MONTH('Other financial Liabilities'!I58)=4, "April ",IF(MONTH('Other financial Liabilities'!I58)=5,"May ",IF(MONTH('Other financial Liabilities'!I58)=6,"June ",IF(MONTH('Other financial Liabilities'!I58)=7,"July ",IF(MONTH('Other financial Liabilities'!I58)=8,"August ",IF(MONTH('Other financial Liabilities'!I58)=9,"September ",IF(MONTH('Other financial Liabilities'!I58)=10,"October",  IF(MONTH('Other financial Liabilities'!I58)=11,"November ",IF(MONTH('Other financial Liabilities'!I58)=12,"December ",""))))))))))))&amp;YEAR('Other financial Liabilities'!I58),IF(F64="c008x   - Government, central banks &amp; supranationals","Tax Liability "&amp;IF(MONTH('Other financial Liabilities'!I58)=1,"January ",IF(MONTH('Other financial Liabilities'!I58)=2,"February ",IF(MONTH('Other financial Liabilities'!I58)=3,"March ",IF(MONTH('Other financial Liabilities'!I58)=4,"April ",IF(MONTH('Other financial Liabilities'!I58)=5,"May ",IF(MONTH('Other financial Liabilities'!I58)=6,"June ",IF(MONTH('Other financial Liabilities'!I58)=7,"July ",IF(MONTH('Other financial Liabilities'!I58)=8, "August ",  IF(MONTH('Other financial Liabilities'!I58)=9,"September ",IF(MONTH('Other financial Liabilities'!I58)=10,"October ",IF(MONTH('Other financial Liabilities'!I58)=11,"November ",IF(MONTH('Other financial Liabilities'!I58)=12,"December ",""))))))))))))&amp;YEAR('Other financial Liabilities'!I58),"")))</f>
        <v>BARCLAYS BANK PLC</v>
      </c>
      <c r="J64" s="14" t="str">
        <f>+IF(OR('Other financial Liabilities'!C58="",'Other financial Liabilities'!C58="#"),IF('Other financial Liabilities'!A58="",IF(F64="c001x   - Households","CSL"&amp;"001",IF(F64="c008x   - Government, central banks &amp; supranationals","TL"&amp;"001")),'Other financial Liabilities'!A58),'Other financial Liabilities'!C58)</f>
        <v>7401475252</v>
      </c>
      <c r="K64" s="14" t="str">
        <f>+IF(J64='Other financial Liabilities'!C58,"LEI code","Type of identifier, other than LEI or MFI code")</f>
        <v>Type of identifier, other than LEI or MFI code</v>
      </c>
      <c r="L64" s="14" t="s">
        <v>197</v>
      </c>
      <c r="M64" s="14" t="s">
        <v>198</v>
      </c>
      <c r="N64" s="14" t="s">
        <v>199</v>
      </c>
      <c r="O64" s="15">
        <v>0.45</v>
      </c>
      <c r="P64" s="15">
        <f>IF('Other financial Liabilities'!E58="",0,'Other financial Liabilities'!E58)</f>
        <v>0</v>
      </c>
      <c r="Q64" s="14">
        <f>IF('Other financial Liabilities'!F58="",0,'Other financial Liabilities'!F58)</f>
        <v>0</v>
      </c>
      <c r="R64" s="14" t="s">
        <v>212</v>
      </c>
      <c r="S64" s="16" t="s">
        <v>250</v>
      </c>
      <c r="T64" s="16">
        <f t="shared" si="2"/>
        <v>44928</v>
      </c>
      <c r="U64" s="16">
        <f t="shared" si="3"/>
        <v>44928</v>
      </c>
      <c r="V64" s="14" t="s">
        <v>200</v>
      </c>
      <c r="W64" s="15">
        <v>0</v>
      </c>
      <c r="X64" s="15">
        <v>0</v>
      </c>
      <c r="Y64" s="15">
        <v>0</v>
      </c>
      <c r="Z64" s="14" t="s">
        <v>201</v>
      </c>
      <c r="AA64" s="15">
        <v>0</v>
      </c>
      <c r="AB64" s="14" t="s">
        <v>202</v>
      </c>
      <c r="AC64" s="17">
        <v>0</v>
      </c>
      <c r="AD64" s="20"/>
    </row>
    <row r="65" spans="3:30" ht="45.75" customHeight="1" thickBot="1" x14ac:dyDescent="0.5">
      <c r="C65" s="12">
        <f t="shared" si="0"/>
        <v>999</v>
      </c>
      <c r="D65" s="13">
        <f t="shared" si="4"/>
        <v>58</v>
      </c>
      <c r="E65" s="14" t="str">
        <f>IF(AND('Other financial Liabilities'!K59="",'Other financial Liabilities'!J59=1),"r0180 - Critical service liabilities (BRRD art. 44/2/g/ii)",IF(AND('Other financial Liabilities'!K59="",'Other financial Liabilities'!J59=2),"r0190 - Tax and social security authorities liabilities, if preferred (BRRD art. 44/2/g/iii)",'Other financial Liabilities'!K59))</f>
        <v>r0150 - Institution liabilities &lt; 7 days (BRRD art. 44/2/e)</v>
      </c>
      <c r="F65" s="14" t="str">
        <f>IF(OR('Other financial Liabilities'!G59="particulares",'Other financial Liabilities'!J59=1),"c001x   - Households",IF('Other financial Liabilities'!G59="outras empresas nao financeiras","c003x   - Corporates",IF('Other financial Liabilities'!G59="instituicoes de credito","c004x   - Institutions",IF('Other financial Liabilities'!G59="outras instituicoes financeiras","c005x   - Other financial corporations",IF(OR('Other financial Liabilities'!G59="setor publico",'Other financial Liabilities'!J59=2),"c008x   - Government, central banks &amp; supranationals","")))))</f>
        <v>c004x   - Institutions</v>
      </c>
      <c r="G65" s="14" t="str">
        <f t="shared" si="1"/>
        <v>Rank 9 - Ranking in insolvency (master scale)</v>
      </c>
      <c r="H65" s="14" t="str">
        <f>IF(F65="c004x   - Institutions",'Other financial Liabilities'!H59,IF(F65="c001x   - Households","CSL"&amp;IF(MONTH('Other financial Liabilities'!I59)=1,"JAN",IF(MONTH('Other financial Liabilities'!I59)=2,"FEV",IF(MONTH('Other financial Liabilities'!I59)=3,"MAR",IF(MONTH('Other financial Liabilities'!I59)=4,"ABR",IF(MONTH('Other financial Liabilities'!I59)=5,"MAI",IF(MONTH('Other financial Liabilities'!I59)=6,"JUN",IF(MONTH('Other financial Liabilities'!I59)=7,"JUL",IF(MONTH('Other financial Liabilities'!I59)=8,"AGO",IF(MONTH('Other financial Liabilities'!I59)=9,"SET",IF(MONTH('Other financial Liabilities'!I59)=10,"OUT",IF(MONTH('Other financial Liabilities'!I59)=11,"NOV",IF(MONTH('Other financial Liabilities'!I59)=12,"DEZ",""))))))))))))&amp;LEFT(YEAR('Other financial Liabilities'!I59),2),IF(F65="c008x   - Government, central banks &amp; supranationals","TL"&amp;IF(MONTH('Other financial Liabilities'!I59)=1,"JAN",IF(MONTH('Other financial Liabilities'!I59)=2,"FEV",IF(MONTH('Other financial Liabilities'!I59)=3,"MAR",IF(MONTH('Other financial Liabilities'!I59)=4,"ABR",IF(MONTH('Other financial Liabilities'!I59)=5,"MAI",IF(MONTH('Other financial Liabilities'!I59)=6,"JUN",IF(MONTH('Other financial Liabilities'!I59)=7,"JUL",IF(MONTH('Other financial Liabilities'!I59)=8,"AGO",IF(MONTH('Other financial Liabilities'!I59)=9,"SET",IF(MONTH('Other financial Liabilities'!I59)=10,"OUT",IF(MONTH('Other financial Liabilities'!I59)=11,"NOV",IF(MONTH('Other financial Liabilities'!I59)=12,"DEZ",""))))))))))))&amp;LEFT(YEAR('Other financial Liabilities'!I59),2),"")))</f>
        <v>MERCANTILE BANK LIMITED</v>
      </c>
      <c r="I65" s="14" t="str">
        <f>IF(F65="c004x   - Institutions",'Other financial Liabilities'!H59,IF(F65="c001x   - Households","Critical Service Liability "&amp;IF(MONTH('Other financial Liabilities'!I59)=1,"January ",IF(MONTH('Other financial Liabilities'!I59)=2,"February ",IF(MONTH('Other financial Liabilities'!I59)=3,"March ",IF(MONTH('Other financial Liabilities'!I59)=4, "April ",IF(MONTH('Other financial Liabilities'!I59)=5,"May ",IF(MONTH('Other financial Liabilities'!I59)=6,"June ",IF(MONTH('Other financial Liabilities'!I59)=7,"July ",IF(MONTH('Other financial Liabilities'!I59)=8,"August ",IF(MONTH('Other financial Liabilities'!I59)=9,"September ",IF(MONTH('Other financial Liabilities'!I59)=10,"October",  IF(MONTH('Other financial Liabilities'!I59)=11,"November ",IF(MONTH('Other financial Liabilities'!I59)=12,"December ",""))))))))))))&amp;YEAR('Other financial Liabilities'!I59),IF(F65="c008x   - Government, central banks &amp; supranationals","Tax Liability "&amp;IF(MONTH('Other financial Liabilities'!I59)=1,"January ",IF(MONTH('Other financial Liabilities'!I59)=2,"February ",IF(MONTH('Other financial Liabilities'!I59)=3,"March ",IF(MONTH('Other financial Liabilities'!I59)=4,"April ",IF(MONTH('Other financial Liabilities'!I59)=5,"May ",IF(MONTH('Other financial Liabilities'!I59)=6,"June ",IF(MONTH('Other financial Liabilities'!I59)=7,"July ",IF(MONTH('Other financial Liabilities'!I59)=8, "August ",  IF(MONTH('Other financial Liabilities'!I59)=9,"September ",IF(MONTH('Other financial Liabilities'!I59)=10,"October ",IF(MONTH('Other financial Liabilities'!I59)=11,"November ",IF(MONTH('Other financial Liabilities'!I59)=12,"December ",""))))))))))))&amp;YEAR('Other financial Liabilities'!I59),"")))</f>
        <v>MERCANTILE BANK LIMITED</v>
      </c>
      <c r="J65" s="14" t="str">
        <f>+IF(OR('Other financial Liabilities'!C59="",'Other financial Liabilities'!C59="#"),IF('Other financial Liabilities'!A59="",IF(F65="c001x   - Households","CSL"&amp;"001",IF(F65="c008x   - Government, central banks &amp; supranationals","TL"&amp;"001")),'Other financial Liabilities'!A59),'Other financial Liabilities'!C59)</f>
        <v>7401496096</v>
      </c>
      <c r="K65" s="14" t="str">
        <f>+IF(J65='Other financial Liabilities'!C59,"LEI code","Type of identifier, other than LEI or MFI code")</f>
        <v>Type of identifier, other than LEI or MFI code</v>
      </c>
      <c r="L65" s="14" t="s">
        <v>197</v>
      </c>
      <c r="M65" s="14" t="s">
        <v>198</v>
      </c>
      <c r="N65" s="14" t="s">
        <v>199</v>
      </c>
      <c r="O65" s="15">
        <v>0</v>
      </c>
      <c r="P65" s="15">
        <f>IF('Other financial Liabilities'!E59="",0,'Other financial Liabilities'!E59)</f>
        <v>0</v>
      </c>
      <c r="Q65" s="14">
        <f>IF('Other financial Liabilities'!F59="",0,'Other financial Liabilities'!F59)</f>
        <v>0</v>
      </c>
      <c r="R65" s="14" t="s">
        <v>207</v>
      </c>
      <c r="S65" s="16" t="s">
        <v>250</v>
      </c>
      <c r="T65" s="16">
        <f t="shared" si="2"/>
        <v>44928</v>
      </c>
      <c r="U65" s="16">
        <f t="shared" si="3"/>
        <v>44928</v>
      </c>
      <c r="V65" s="14" t="s">
        <v>200</v>
      </c>
      <c r="W65" s="15">
        <v>0</v>
      </c>
      <c r="X65" s="15">
        <v>0</v>
      </c>
      <c r="Y65" s="15">
        <v>0</v>
      </c>
      <c r="Z65" s="14" t="s">
        <v>201</v>
      </c>
      <c r="AA65" s="15">
        <v>0</v>
      </c>
      <c r="AB65" s="14" t="s">
        <v>202</v>
      </c>
      <c r="AC65" s="17">
        <v>0</v>
      </c>
      <c r="AD65" s="20"/>
    </row>
    <row r="66" spans="3:30" ht="45.75" customHeight="1" thickBot="1" x14ac:dyDescent="0.5">
      <c r="C66" s="12">
        <f t="shared" si="0"/>
        <v>999</v>
      </c>
      <c r="D66" s="13">
        <f t="shared" si="4"/>
        <v>59</v>
      </c>
      <c r="E66" s="14" t="str">
        <f>IF(AND('Other financial Liabilities'!K60="",'Other financial Liabilities'!J60=1),"r0180 - Critical service liabilities (BRRD art. 44/2/g/ii)",IF(AND('Other financial Liabilities'!K60="",'Other financial Liabilities'!J60=2),"r0190 - Tax and social security authorities liabilities, if preferred (BRRD art. 44/2/g/iii)",'Other financial Liabilities'!K60))</f>
        <v>r0150 - Institution liabilities &lt; 7 days (BRRD art. 44/2/e)</v>
      </c>
      <c r="F66" s="14" t="str">
        <f>IF(OR('Other financial Liabilities'!G60="particulares",'Other financial Liabilities'!J60=1),"c001x   - Households",IF('Other financial Liabilities'!G60="outras empresas nao financeiras","c003x   - Corporates",IF('Other financial Liabilities'!G60="instituicoes de credito","c004x   - Institutions",IF('Other financial Liabilities'!G60="outras instituicoes financeiras","c005x   - Other financial corporations",IF(OR('Other financial Liabilities'!G60="setor publico",'Other financial Liabilities'!J60=2),"c008x   - Government, central banks &amp; supranationals","")))))</f>
        <v>c004x   - Institutions</v>
      </c>
      <c r="G66" s="14" t="str">
        <f t="shared" si="1"/>
        <v>Rank 9 - Ranking in insolvency (master scale)</v>
      </c>
      <c r="H66" s="14" t="str">
        <f>IF(F66="c004x   - Institutions",'Other financial Liabilities'!H60,IF(F66="c001x   - Households","CSL"&amp;IF(MONTH('Other financial Liabilities'!I60)=1,"JAN",IF(MONTH('Other financial Liabilities'!I60)=2,"FEV",IF(MONTH('Other financial Liabilities'!I60)=3,"MAR",IF(MONTH('Other financial Liabilities'!I60)=4,"ABR",IF(MONTH('Other financial Liabilities'!I60)=5,"MAI",IF(MONTH('Other financial Liabilities'!I60)=6,"JUN",IF(MONTH('Other financial Liabilities'!I60)=7,"JUL",IF(MONTH('Other financial Liabilities'!I60)=8,"AGO",IF(MONTH('Other financial Liabilities'!I60)=9,"SET",IF(MONTH('Other financial Liabilities'!I60)=10,"OUT",IF(MONTH('Other financial Liabilities'!I60)=11,"NOV",IF(MONTH('Other financial Liabilities'!I60)=12,"DEZ",""))))))))))))&amp;LEFT(YEAR('Other financial Liabilities'!I60),2),IF(F66="c008x   - Government, central banks &amp; supranationals","TL"&amp;IF(MONTH('Other financial Liabilities'!I60)=1,"JAN",IF(MONTH('Other financial Liabilities'!I60)=2,"FEV",IF(MONTH('Other financial Liabilities'!I60)=3,"MAR",IF(MONTH('Other financial Liabilities'!I60)=4,"ABR",IF(MONTH('Other financial Liabilities'!I60)=5,"MAI",IF(MONTH('Other financial Liabilities'!I60)=6,"JUN",IF(MONTH('Other financial Liabilities'!I60)=7,"JUL",IF(MONTH('Other financial Liabilities'!I60)=8,"AGO",IF(MONTH('Other financial Liabilities'!I60)=9,"SET",IF(MONTH('Other financial Liabilities'!I60)=10,"OUT",IF(MONTH('Other financial Liabilities'!I60)=11,"NOV",IF(MONTH('Other financial Liabilities'!I60)=12,"DEZ",""))))))))))))&amp;LEFT(YEAR('Other financial Liabilities'!I60),2),"")))</f>
        <v>BANKINTER, S.A. - SUCURSAL EM PORTUGAL</v>
      </c>
      <c r="I66" s="14" t="str">
        <f>IF(F66="c004x   - Institutions",'Other financial Liabilities'!H60,IF(F66="c001x   - Households","Critical Service Liability "&amp;IF(MONTH('Other financial Liabilities'!I60)=1,"January ",IF(MONTH('Other financial Liabilities'!I60)=2,"February ",IF(MONTH('Other financial Liabilities'!I60)=3,"March ",IF(MONTH('Other financial Liabilities'!I60)=4, "April ",IF(MONTH('Other financial Liabilities'!I60)=5,"May ",IF(MONTH('Other financial Liabilities'!I60)=6,"June ",IF(MONTH('Other financial Liabilities'!I60)=7,"July ",IF(MONTH('Other financial Liabilities'!I60)=8,"August ",IF(MONTH('Other financial Liabilities'!I60)=9,"September ",IF(MONTH('Other financial Liabilities'!I60)=10,"October",  IF(MONTH('Other financial Liabilities'!I60)=11,"November ",IF(MONTH('Other financial Liabilities'!I60)=12,"December ",""))))))))))))&amp;YEAR('Other financial Liabilities'!I60),IF(F66="c008x   - Government, central banks &amp; supranationals","Tax Liability "&amp;IF(MONTH('Other financial Liabilities'!I60)=1,"January ",IF(MONTH('Other financial Liabilities'!I60)=2,"February ",IF(MONTH('Other financial Liabilities'!I60)=3,"March ",IF(MONTH('Other financial Liabilities'!I60)=4,"April ",IF(MONTH('Other financial Liabilities'!I60)=5,"May ",IF(MONTH('Other financial Liabilities'!I60)=6,"June ",IF(MONTH('Other financial Liabilities'!I60)=7,"July ",IF(MONTH('Other financial Liabilities'!I60)=8, "August ",  IF(MONTH('Other financial Liabilities'!I60)=9,"September ",IF(MONTH('Other financial Liabilities'!I60)=10,"October ",IF(MONTH('Other financial Liabilities'!I60)=11,"November ",IF(MONTH('Other financial Liabilities'!I60)=12,"December ",""))))))))))))&amp;YEAR('Other financial Liabilities'!I60),"")))</f>
        <v>BANKINTER, S.A. - SUCURSAL EM PORTUGAL</v>
      </c>
      <c r="J66" s="14" t="str">
        <f>+IF(OR('Other financial Liabilities'!C60="",'Other financial Liabilities'!C60="#"),IF('Other financial Liabilities'!A60="",IF(F66="c001x   - Households","CSL"&amp;"001",IF(F66="c008x   - Government, central banks &amp; supranationals","TL"&amp;"001")),'Other financial Liabilities'!A60),'Other financial Liabilities'!C60)</f>
        <v>7401519052</v>
      </c>
      <c r="K66" s="14" t="str">
        <f>+IF(J66='Other financial Liabilities'!C60,"LEI code","Type of identifier, other than LEI or MFI code")</f>
        <v>Type of identifier, other than LEI or MFI code</v>
      </c>
      <c r="L66" s="14" t="s">
        <v>197</v>
      </c>
      <c r="M66" s="14" t="s">
        <v>198</v>
      </c>
      <c r="N66" s="14" t="s">
        <v>199</v>
      </c>
      <c r="O66" s="15">
        <v>149.26</v>
      </c>
      <c r="P66" s="15">
        <f>IF('Other financial Liabilities'!E60="",0,'Other financial Liabilities'!E60)</f>
        <v>0</v>
      </c>
      <c r="Q66" s="14">
        <f>IF('Other financial Liabilities'!F60="",0,'Other financial Liabilities'!F60)</f>
        <v>0</v>
      </c>
      <c r="R66" s="14" t="s">
        <v>212</v>
      </c>
      <c r="S66" s="16" t="s">
        <v>250</v>
      </c>
      <c r="T66" s="16">
        <f t="shared" si="2"/>
        <v>44928</v>
      </c>
      <c r="U66" s="16">
        <f t="shared" si="3"/>
        <v>44928</v>
      </c>
      <c r="V66" s="14" t="s">
        <v>200</v>
      </c>
      <c r="W66" s="15">
        <v>0</v>
      </c>
      <c r="X66" s="15">
        <v>0</v>
      </c>
      <c r="Y66" s="15">
        <v>0</v>
      </c>
      <c r="Z66" s="14" t="s">
        <v>201</v>
      </c>
      <c r="AA66" s="15">
        <v>0</v>
      </c>
      <c r="AB66" s="14" t="s">
        <v>202</v>
      </c>
      <c r="AC66" s="17">
        <v>0</v>
      </c>
      <c r="AD66" s="20"/>
    </row>
    <row r="67" spans="3:30" ht="45.75" customHeight="1" thickBot="1" x14ac:dyDescent="0.5">
      <c r="C67" s="12">
        <f t="shared" si="0"/>
        <v>999</v>
      </c>
      <c r="D67" s="13">
        <f t="shared" si="4"/>
        <v>60</v>
      </c>
      <c r="E67" s="14" t="str">
        <f>IF(AND('Other financial Liabilities'!K61="",'Other financial Liabilities'!J61=1),"r0180 - Critical service liabilities (BRRD art. 44/2/g/ii)",IF(AND('Other financial Liabilities'!K61="",'Other financial Liabilities'!J61=2),"r0190 - Tax and social security authorities liabilities, if preferred (BRRD art. 44/2/g/iii)",'Other financial Liabilities'!K61))</f>
        <v>r0150 - Institution liabilities &lt; 7 days (BRRD art. 44/2/e)</v>
      </c>
      <c r="F67" s="14" t="str">
        <f>IF(OR('Other financial Liabilities'!G61="particulares",'Other financial Liabilities'!J61=1),"c001x   - Households",IF('Other financial Liabilities'!G61="outras empresas nao financeiras","c003x   - Corporates",IF('Other financial Liabilities'!G61="instituicoes de credito","c004x   - Institutions",IF('Other financial Liabilities'!G61="outras instituicoes financeiras","c005x   - Other financial corporations",IF(OR('Other financial Liabilities'!G61="setor publico",'Other financial Liabilities'!J61=2),"c008x   - Government, central banks &amp; supranationals","")))))</f>
        <v>c004x   - Institutions</v>
      </c>
      <c r="G67" s="14" t="str">
        <f t="shared" si="1"/>
        <v>Rank 9 - Ranking in insolvency (master scale)</v>
      </c>
      <c r="H67" s="14" t="str">
        <f>IF(F67="c004x   - Institutions",'Other financial Liabilities'!H61,IF(F67="c001x   - Households","CSL"&amp;IF(MONTH('Other financial Liabilities'!I61)=1,"JAN",IF(MONTH('Other financial Liabilities'!I61)=2,"FEV",IF(MONTH('Other financial Liabilities'!I61)=3,"MAR",IF(MONTH('Other financial Liabilities'!I61)=4,"ABR",IF(MONTH('Other financial Liabilities'!I61)=5,"MAI",IF(MONTH('Other financial Liabilities'!I61)=6,"JUN",IF(MONTH('Other financial Liabilities'!I61)=7,"JUL",IF(MONTH('Other financial Liabilities'!I61)=8,"AGO",IF(MONTH('Other financial Liabilities'!I61)=9,"SET",IF(MONTH('Other financial Liabilities'!I61)=10,"OUT",IF(MONTH('Other financial Liabilities'!I61)=11,"NOV",IF(MONTH('Other financial Liabilities'!I61)=12,"DEZ",""))))))))))))&amp;LEFT(YEAR('Other financial Liabilities'!I61),2),IF(F67="c008x   - Government, central banks &amp; supranationals","TL"&amp;IF(MONTH('Other financial Liabilities'!I61)=1,"JAN",IF(MONTH('Other financial Liabilities'!I61)=2,"FEV",IF(MONTH('Other financial Liabilities'!I61)=3,"MAR",IF(MONTH('Other financial Liabilities'!I61)=4,"ABR",IF(MONTH('Other financial Liabilities'!I61)=5,"MAI",IF(MONTH('Other financial Liabilities'!I61)=6,"JUN",IF(MONTH('Other financial Liabilities'!I61)=7,"JUL",IF(MONTH('Other financial Liabilities'!I61)=8,"AGO",IF(MONTH('Other financial Liabilities'!I61)=9,"SET",IF(MONTH('Other financial Liabilities'!I61)=10,"OUT",IF(MONTH('Other financial Liabilities'!I61)=11,"NOV",IF(MONTH('Other financial Liabilities'!I61)=12,"DEZ",""))))))))))))&amp;LEFT(YEAR('Other financial Liabilities'!I61),2),"")))</f>
        <v>BARCLAYS BANK IRELAND PUBLIC LIMITED COMPANY - SUCURSAL EM PORTUGAL</v>
      </c>
      <c r="I67" s="14" t="str">
        <f>IF(F67="c004x   - Institutions",'Other financial Liabilities'!H61,IF(F67="c001x   - Households","Critical Service Liability "&amp;IF(MONTH('Other financial Liabilities'!I61)=1,"January ",IF(MONTH('Other financial Liabilities'!I61)=2,"February ",IF(MONTH('Other financial Liabilities'!I61)=3,"March ",IF(MONTH('Other financial Liabilities'!I61)=4, "April ",IF(MONTH('Other financial Liabilities'!I61)=5,"May ",IF(MONTH('Other financial Liabilities'!I61)=6,"June ",IF(MONTH('Other financial Liabilities'!I61)=7,"July ",IF(MONTH('Other financial Liabilities'!I61)=8,"August ",IF(MONTH('Other financial Liabilities'!I61)=9,"September ",IF(MONTH('Other financial Liabilities'!I61)=10,"October",  IF(MONTH('Other financial Liabilities'!I61)=11,"November ",IF(MONTH('Other financial Liabilities'!I61)=12,"December ",""))))))))))))&amp;YEAR('Other financial Liabilities'!I61),IF(F67="c008x   - Government, central banks &amp; supranationals","Tax Liability "&amp;IF(MONTH('Other financial Liabilities'!I61)=1,"January ",IF(MONTH('Other financial Liabilities'!I61)=2,"February ",IF(MONTH('Other financial Liabilities'!I61)=3,"March ",IF(MONTH('Other financial Liabilities'!I61)=4,"April ",IF(MONTH('Other financial Liabilities'!I61)=5,"May ",IF(MONTH('Other financial Liabilities'!I61)=6,"June ",IF(MONTH('Other financial Liabilities'!I61)=7,"July ",IF(MONTH('Other financial Liabilities'!I61)=8, "August ",  IF(MONTH('Other financial Liabilities'!I61)=9,"September ",IF(MONTH('Other financial Liabilities'!I61)=10,"October ",IF(MONTH('Other financial Liabilities'!I61)=11,"November ",IF(MONTH('Other financial Liabilities'!I61)=12,"December ",""))))))))))))&amp;YEAR('Other financial Liabilities'!I61),"")))</f>
        <v>BARCLAYS BANK IRELAND PUBLIC LIMITED COMPANY - SUCURSAL EM PORTUGAL</v>
      </c>
      <c r="J67" s="14" t="str">
        <f>+IF(OR('Other financial Liabilities'!C61="",'Other financial Liabilities'!C61="#"),IF('Other financial Liabilities'!A61="",IF(F67="c001x   - Households","CSL"&amp;"001",IF(F67="c008x   - Government, central banks &amp; supranationals","TL"&amp;"001")),'Other financial Liabilities'!A61),'Other financial Liabilities'!C61)</f>
        <v>7401810796</v>
      </c>
      <c r="K67" s="14" t="str">
        <f>+IF(J67='Other financial Liabilities'!C61,"LEI code","Type of identifier, other than LEI or MFI code")</f>
        <v>Type of identifier, other than LEI or MFI code</v>
      </c>
      <c r="L67" s="14" t="s">
        <v>197</v>
      </c>
      <c r="M67" s="14" t="s">
        <v>198</v>
      </c>
      <c r="N67" s="14" t="s">
        <v>199</v>
      </c>
      <c r="O67" s="15">
        <v>736227.66</v>
      </c>
      <c r="P67" s="15">
        <f>IF('Other financial Liabilities'!E61="",0,'Other financial Liabilities'!E61)</f>
        <v>0</v>
      </c>
      <c r="Q67" s="14">
        <f>IF('Other financial Liabilities'!F61="",0,'Other financial Liabilities'!F61)</f>
        <v>0</v>
      </c>
      <c r="R67" s="14" t="s">
        <v>212</v>
      </c>
      <c r="S67" s="16" t="s">
        <v>250</v>
      </c>
      <c r="T67" s="16">
        <f t="shared" si="2"/>
        <v>44928</v>
      </c>
      <c r="U67" s="16">
        <f t="shared" si="3"/>
        <v>44928</v>
      </c>
      <c r="V67" s="14" t="s">
        <v>200</v>
      </c>
      <c r="W67" s="15">
        <v>0</v>
      </c>
      <c r="X67" s="15">
        <v>0</v>
      </c>
      <c r="Y67" s="15">
        <v>0</v>
      </c>
      <c r="Z67" s="14" t="s">
        <v>201</v>
      </c>
      <c r="AA67" s="15">
        <v>0</v>
      </c>
      <c r="AB67" s="14" t="s">
        <v>202</v>
      </c>
      <c r="AC67" s="17">
        <v>0</v>
      </c>
      <c r="AD67" s="20"/>
    </row>
    <row r="68" spans="3:30" ht="45.75" customHeight="1" thickBot="1" x14ac:dyDescent="0.5">
      <c r="C68" s="12">
        <f t="shared" si="0"/>
        <v>999</v>
      </c>
      <c r="D68" s="13">
        <f t="shared" si="4"/>
        <v>61</v>
      </c>
      <c r="E68" s="14" t="str">
        <f>IF(AND('Other financial Liabilities'!K62="",'Other financial Liabilities'!J62=1),"r0180 - Critical service liabilities (BRRD art. 44/2/g/ii)",IF(AND('Other financial Liabilities'!K62="",'Other financial Liabilities'!J62=2),"r0190 - Tax and social security authorities liabilities, if preferred (BRRD art. 44/2/g/iii)",'Other financial Liabilities'!K62))</f>
        <v>r0150 - Institution liabilities &lt; 7 days (BRRD art. 44/2/e)</v>
      </c>
      <c r="F68" s="14" t="str">
        <f>IF(OR('Other financial Liabilities'!G62="particulares",'Other financial Liabilities'!J62=1),"c001x   - Households",IF('Other financial Liabilities'!G62="outras empresas nao financeiras","c003x   - Corporates",IF('Other financial Liabilities'!G62="instituicoes de credito","c004x   - Institutions",IF('Other financial Liabilities'!G62="outras instituicoes financeiras","c005x   - Other financial corporations",IF(OR('Other financial Liabilities'!G62="setor publico",'Other financial Liabilities'!J62=2),"c008x   - Government, central banks &amp; supranationals","")))))</f>
        <v>c004x   - Institutions</v>
      </c>
      <c r="G68" s="14" t="str">
        <f t="shared" si="1"/>
        <v>Rank 9 - Ranking in insolvency (master scale)</v>
      </c>
      <c r="H68" s="14" t="str">
        <f>IF(F68="c004x   - Institutions",'Other financial Liabilities'!H62,IF(F68="c001x   - Households","CSL"&amp;IF(MONTH('Other financial Liabilities'!I62)=1,"JAN",IF(MONTH('Other financial Liabilities'!I62)=2,"FEV",IF(MONTH('Other financial Liabilities'!I62)=3,"MAR",IF(MONTH('Other financial Liabilities'!I62)=4,"ABR",IF(MONTH('Other financial Liabilities'!I62)=5,"MAI",IF(MONTH('Other financial Liabilities'!I62)=6,"JUN",IF(MONTH('Other financial Liabilities'!I62)=7,"JUL",IF(MONTH('Other financial Liabilities'!I62)=8,"AGO",IF(MONTH('Other financial Liabilities'!I62)=9,"SET",IF(MONTH('Other financial Liabilities'!I62)=10,"OUT",IF(MONTH('Other financial Liabilities'!I62)=11,"NOV",IF(MONTH('Other financial Liabilities'!I62)=12,"DEZ",""))))))))))))&amp;LEFT(YEAR('Other financial Liabilities'!I62),2),IF(F68="c008x   - Government, central banks &amp; supranationals","TL"&amp;IF(MONTH('Other financial Liabilities'!I62)=1,"JAN",IF(MONTH('Other financial Liabilities'!I62)=2,"FEV",IF(MONTH('Other financial Liabilities'!I62)=3,"MAR",IF(MONTH('Other financial Liabilities'!I62)=4,"ABR",IF(MONTH('Other financial Liabilities'!I62)=5,"MAI",IF(MONTH('Other financial Liabilities'!I62)=6,"JUN",IF(MONTH('Other financial Liabilities'!I62)=7,"JUL",IF(MONTH('Other financial Liabilities'!I62)=8,"AGO",IF(MONTH('Other financial Liabilities'!I62)=9,"SET",IF(MONTH('Other financial Liabilities'!I62)=10,"OUT",IF(MONTH('Other financial Liabilities'!I62)=11,"NOV",IF(MONTH('Other financial Liabilities'!I62)=12,"DEZ",""))))))))))))&amp;LEFT(YEAR('Other financial Liabilities'!I62),2),"")))</f>
        <v>IBERCAJA BANCO S.A. - ESCRITORIO DE REPRESENTACAO</v>
      </c>
      <c r="I68" s="14" t="str">
        <f>IF(F68="c004x   - Institutions",'Other financial Liabilities'!H62,IF(F68="c001x   - Households","Critical Service Liability "&amp;IF(MONTH('Other financial Liabilities'!I62)=1,"January ",IF(MONTH('Other financial Liabilities'!I62)=2,"February ",IF(MONTH('Other financial Liabilities'!I62)=3,"March ",IF(MONTH('Other financial Liabilities'!I62)=4, "April ",IF(MONTH('Other financial Liabilities'!I62)=5,"May ",IF(MONTH('Other financial Liabilities'!I62)=6,"June ",IF(MONTH('Other financial Liabilities'!I62)=7,"July ",IF(MONTH('Other financial Liabilities'!I62)=8,"August ",IF(MONTH('Other financial Liabilities'!I62)=9,"September ",IF(MONTH('Other financial Liabilities'!I62)=10,"October",  IF(MONTH('Other financial Liabilities'!I62)=11,"November ",IF(MONTH('Other financial Liabilities'!I62)=12,"December ",""))))))))))))&amp;YEAR('Other financial Liabilities'!I62),IF(F68="c008x   - Government, central banks &amp; supranationals","Tax Liability "&amp;IF(MONTH('Other financial Liabilities'!I62)=1,"January ",IF(MONTH('Other financial Liabilities'!I62)=2,"February ",IF(MONTH('Other financial Liabilities'!I62)=3,"March ",IF(MONTH('Other financial Liabilities'!I62)=4,"April ",IF(MONTH('Other financial Liabilities'!I62)=5,"May ",IF(MONTH('Other financial Liabilities'!I62)=6,"June ",IF(MONTH('Other financial Liabilities'!I62)=7,"July ",IF(MONTH('Other financial Liabilities'!I62)=8, "August ",  IF(MONTH('Other financial Liabilities'!I62)=9,"September ",IF(MONTH('Other financial Liabilities'!I62)=10,"October ",IF(MONTH('Other financial Liabilities'!I62)=11,"November ",IF(MONTH('Other financial Liabilities'!I62)=12,"December ",""))))))))))))&amp;YEAR('Other financial Liabilities'!I62),"")))</f>
        <v>IBERCAJA BANCO S.A. - ESCRITORIO DE REPRESENTACAO</v>
      </c>
      <c r="J68" s="14" t="str">
        <f>+IF(OR('Other financial Liabilities'!C62="",'Other financial Liabilities'!C62="#"),IF('Other financial Liabilities'!A62="",IF(F68="c001x   - Households","CSL"&amp;"001",IF(F68="c008x   - Government, central banks &amp; supranationals","TL"&amp;"001")),'Other financial Liabilities'!A62),'Other financial Liabilities'!C62)</f>
        <v>7401881341</v>
      </c>
      <c r="K68" s="14" t="str">
        <f>+IF(J68='Other financial Liabilities'!C62,"LEI code","Type of identifier, other than LEI or MFI code")</f>
        <v>Type of identifier, other than LEI or MFI code</v>
      </c>
      <c r="L68" s="14" t="s">
        <v>197</v>
      </c>
      <c r="M68" s="14" t="s">
        <v>198</v>
      </c>
      <c r="N68" s="14" t="s">
        <v>199</v>
      </c>
      <c r="O68" s="15">
        <v>1061882.43</v>
      </c>
      <c r="P68" s="15">
        <f>IF('Other financial Liabilities'!E62="",0,'Other financial Liabilities'!E62)</f>
        <v>0</v>
      </c>
      <c r="Q68" s="14">
        <f>IF('Other financial Liabilities'!F62="",0,'Other financial Liabilities'!F62)</f>
        <v>0</v>
      </c>
      <c r="R68" s="14" t="s">
        <v>212</v>
      </c>
      <c r="S68" s="16" t="s">
        <v>250</v>
      </c>
      <c r="T68" s="16">
        <f t="shared" si="2"/>
        <v>44928</v>
      </c>
      <c r="U68" s="16">
        <f t="shared" si="3"/>
        <v>44928</v>
      </c>
      <c r="V68" s="14" t="s">
        <v>200</v>
      </c>
      <c r="W68" s="15">
        <v>0</v>
      </c>
      <c r="X68" s="15">
        <v>0</v>
      </c>
      <c r="Y68" s="15">
        <v>0</v>
      </c>
      <c r="Z68" s="14" t="s">
        <v>201</v>
      </c>
      <c r="AA68" s="15">
        <v>0</v>
      </c>
      <c r="AB68" s="14" t="s">
        <v>202</v>
      </c>
      <c r="AC68" s="17">
        <v>0</v>
      </c>
      <c r="AD68" s="20"/>
    </row>
    <row r="69" spans="3:30" ht="45.75" customHeight="1" thickBot="1" x14ac:dyDescent="0.5">
      <c r="C69" s="12">
        <f t="shared" si="0"/>
        <v>999</v>
      </c>
      <c r="D69" s="13">
        <f t="shared" si="4"/>
        <v>62</v>
      </c>
      <c r="E69" s="14" t="str">
        <f>IF(AND('Other financial Liabilities'!K63="",'Other financial Liabilities'!J63=1),"r0180 - Critical service liabilities (BRRD art. 44/2/g/ii)",IF(AND('Other financial Liabilities'!K63="",'Other financial Liabilities'!J63=2),"r0190 - Tax and social security authorities liabilities, if preferred (BRRD art. 44/2/g/iii)",'Other financial Liabilities'!K63))</f>
        <v>r0150 - Institution liabilities &lt; 7 days (BRRD art. 44/2/e)</v>
      </c>
      <c r="F69" s="14" t="str">
        <f>IF(OR('Other financial Liabilities'!G63="particulares",'Other financial Liabilities'!J63=1),"c001x   - Households",IF('Other financial Liabilities'!G63="outras empresas nao financeiras","c003x   - Corporates",IF('Other financial Liabilities'!G63="instituicoes de credito","c004x   - Institutions",IF('Other financial Liabilities'!G63="outras instituicoes financeiras","c005x   - Other financial corporations",IF(OR('Other financial Liabilities'!G63="setor publico",'Other financial Liabilities'!J63=2),"c008x   - Government, central banks &amp; supranationals","")))))</f>
        <v>c004x   - Institutions</v>
      </c>
      <c r="G69" s="14" t="str">
        <f t="shared" si="1"/>
        <v>Rank 9 - Ranking in insolvency (master scale)</v>
      </c>
      <c r="H69" s="14" t="str">
        <f>IF(F69="c004x   - Institutions",'Other financial Liabilities'!H63,IF(F69="c001x   - Households","CSL"&amp;IF(MONTH('Other financial Liabilities'!I63)=1,"JAN",IF(MONTH('Other financial Liabilities'!I63)=2,"FEV",IF(MONTH('Other financial Liabilities'!I63)=3,"MAR",IF(MONTH('Other financial Liabilities'!I63)=4,"ABR",IF(MONTH('Other financial Liabilities'!I63)=5,"MAI",IF(MONTH('Other financial Liabilities'!I63)=6,"JUN",IF(MONTH('Other financial Liabilities'!I63)=7,"JUL",IF(MONTH('Other financial Liabilities'!I63)=8,"AGO",IF(MONTH('Other financial Liabilities'!I63)=9,"SET",IF(MONTH('Other financial Liabilities'!I63)=10,"OUT",IF(MONTH('Other financial Liabilities'!I63)=11,"NOV",IF(MONTH('Other financial Liabilities'!I63)=12,"DEZ",""))))))))))))&amp;LEFT(YEAR('Other financial Liabilities'!I63),2),IF(F69="c008x   - Government, central banks &amp; supranationals","TL"&amp;IF(MONTH('Other financial Liabilities'!I63)=1,"JAN",IF(MONTH('Other financial Liabilities'!I63)=2,"FEV",IF(MONTH('Other financial Liabilities'!I63)=3,"MAR",IF(MONTH('Other financial Liabilities'!I63)=4,"ABR",IF(MONTH('Other financial Liabilities'!I63)=5,"MAI",IF(MONTH('Other financial Liabilities'!I63)=6,"JUN",IF(MONTH('Other financial Liabilities'!I63)=7,"JUL",IF(MONTH('Other financial Liabilities'!I63)=8,"AGO",IF(MONTH('Other financial Liabilities'!I63)=9,"SET",IF(MONTH('Other financial Liabilities'!I63)=10,"OUT",IF(MONTH('Other financial Liabilities'!I63)=11,"NOV",IF(MONTH('Other financial Liabilities'!I63)=12,"DEZ",""))))))))))))&amp;LEFT(YEAR('Other financial Liabilities'!I63),2),"")))</f>
        <v>IMGA MONEY MARKET USD - FUNDO DE INVESTIMENTO MOBILIARIO ABERTO DO MER</v>
      </c>
      <c r="I69" s="14" t="str">
        <f>IF(F69="c004x   - Institutions",'Other financial Liabilities'!H63,IF(F69="c001x   - Households","Critical Service Liability "&amp;IF(MONTH('Other financial Liabilities'!I63)=1,"January ",IF(MONTH('Other financial Liabilities'!I63)=2,"February ",IF(MONTH('Other financial Liabilities'!I63)=3,"March ",IF(MONTH('Other financial Liabilities'!I63)=4, "April ",IF(MONTH('Other financial Liabilities'!I63)=5,"May ",IF(MONTH('Other financial Liabilities'!I63)=6,"June ",IF(MONTH('Other financial Liabilities'!I63)=7,"July ",IF(MONTH('Other financial Liabilities'!I63)=8,"August ",IF(MONTH('Other financial Liabilities'!I63)=9,"September ",IF(MONTH('Other financial Liabilities'!I63)=10,"October",  IF(MONTH('Other financial Liabilities'!I63)=11,"November ",IF(MONTH('Other financial Liabilities'!I63)=12,"December ",""))))))))))))&amp;YEAR('Other financial Liabilities'!I63),IF(F69="c008x   - Government, central banks &amp; supranationals","Tax Liability "&amp;IF(MONTH('Other financial Liabilities'!I63)=1,"January ",IF(MONTH('Other financial Liabilities'!I63)=2,"February ",IF(MONTH('Other financial Liabilities'!I63)=3,"March ",IF(MONTH('Other financial Liabilities'!I63)=4,"April ",IF(MONTH('Other financial Liabilities'!I63)=5,"May ",IF(MONTH('Other financial Liabilities'!I63)=6,"June ",IF(MONTH('Other financial Liabilities'!I63)=7,"July ",IF(MONTH('Other financial Liabilities'!I63)=8, "August ",  IF(MONTH('Other financial Liabilities'!I63)=9,"September ",IF(MONTH('Other financial Liabilities'!I63)=10,"October ",IF(MONTH('Other financial Liabilities'!I63)=11,"November ",IF(MONTH('Other financial Liabilities'!I63)=12,"December ",""))))))))))))&amp;YEAR('Other financial Liabilities'!I63),"")))</f>
        <v>IMGA MONEY MARKET USD - FUNDO DE INVESTIMENTO MOBILIARIO ABERTO DO MER</v>
      </c>
      <c r="J69" s="14" t="str">
        <f>+IF(OR('Other financial Liabilities'!C63="",'Other financial Liabilities'!C63="#"),IF('Other financial Liabilities'!A63="",IF(F69="c001x   - Households","CSL"&amp;"001",IF(F69="c008x   - Government, central banks &amp; supranationals","TL"&amp;"001")),'Other financial Liabilities'!A63),'Other financial Liabilities'!C63)</f>
        <v>7402043691</v>
      </c>
      <c r="K69" s="14" t="str">
        <f>+IF(J69='Other financial Liabilities'!C63,"LEI code","Type of identifier, other than LEI or MFI code")</f>
        <v>Type of identifier, other than LEI or MFI code</v>
      </c>
      <c r="L69" s="14" t="s">
        <v>197</v>
      </c>
      <c r="M69" s="14" t="s">
        <v>198</v>
      </c>
      <c r="N69" s="14" t="s">
        <v>199</v>
      </c>
      <c r="O69" s="15">
        <v>0.01</v>
      </c>
      <c r="P69" s="15">
        <f>IF('Other financial Liabilities'!E63="",0,'Other financial Liabilities'!E63)</f>
        <v>0</v>
      </c>
      <c r="Q69" s="14">
        <f>IF('Other financial Liabilities'!F63="",0,'Other financial Liabilities'!F63)</f>
        <v>0</v>
      </c>
      <c r="R69" s="14" t="s">
        <v>211</v>
      </c>
      <c r="S69" s="16" t="s">
        <v>250</v>
      </c>
      <c r="T69" s="16">
        <f t="shared" si="2"/>
        <v>44928</v>
      </c>
      <c r="U69" s="16">
        <f t="shared" si="3"/>
        <v>44928</v>
      </c>
      <c r="V69" s="14" t="s">
        <v>200</v>
      </c>
      <c r="W69" s="15">
        <v>0</v>
      </c>
      <c r="X69" s="15">
        <v>0</v>
      </c>
      <c r="Y69" s="15">
        <v>0</v>
      </c>
      <c r="Z69" s="14" t="s">
        <v>201</v>
      </c>
      <c r="AA69" s="15">
        <v>0</v>
      </c>
      <c r="AB69" s="14" t="s">
        <v>202</v>
      </c>
      <c r="AC69" s="17">
        <v>0</v>
      </c>
      <c r="AD69" s="20"/>
    </row>
    <row r="70" spans="3:30" ht="45.75" customHeight="1" thickBot="1" x14ac:dyDescent="0.5">
      <c r="C70" s="12">
        <f t="shared" si="0"/>
        <v>999</v>
      </c>
      <c r="D70" s="13">
        <f t="shared" si="4"/>
        <v>63</v>
      </c>
      <c r="E70" s="14" t="str">
        <f>IF(AND('Other financial Liabilities'!K64="",'Other financial Liabilities'!J64=1),"r0180 - Critical service liabilities (BRRD art. 44/2/g/ii)",IF(AND('Other financial Liabilities'!K64="",'Other financial Liabilities'!J64=2),"r0190 - Tax and social security authorities liabilities, if preferred (BRRD art. 44/2/g/iii)",'Other financial Liabilities'!K64))</f>
        <v>r0150 - Institution liabilities &lt; 7 days (BRRD art. 44/2/e)</v>
      </c>
      <c r="F70" s="14" t="str">
        <f>IF(OR('Other financial Liabilities'!G64="particulares",'Other financial Liabilities'!J64=1),"c001x   - Households",IF('Other financial Liabilities'!G64="outras empresas nao financeiras","c003x   - Corporates",IF('Other financial Liabilities'!G64="instituicoes de credito","c004x   - Institutions",IF('Other financial Liabilities'!G64="outras instituicoes financeiras","c005x   - Other financial corporations",IF(OR('Other financial Liabilities'!G64="setor publico",'Other financial Liabilities'!J64=2),"c008x   - Government, central banks &amp; supranationals","")))))</f>
        <v>c004x   - Institutions</v>
      </c>
      <c r="G70" s="14" t="str">
        <f t="shared" si="1"/>
        <v>Rank 9 - Ranking in insolvency (master scale)</v>
      </c>
      <c r="H70" s="14" t="str">
        <f>IF(F70="c004x   - Institutions",'Other financial Liabilities'!H64,IF(F70="c001x   - Households","CSL"&amp;IF(MONTH('Other financial Liabilities'!I64)=1,"JAN",IF(MONTH('Other financial Liabilities'!I64)=2,"FEV",IF(MONTH('Other financial Liabilities'!I64)=3,"MAR",IF(MONTH('Other financial Liabilities'!I64)=4,"ABR",IF(MONTH('Other financial Liabilities'!I64)=5,"MAI",IF(MONTH('Other financial Liabilities'!I64)=6,"JUN",IF(MONTH('Other financial Liabilities'!I64)=7,"JUL",IF(MONTH('Other financial Liabilities'!I64)=8,"AGO",IF(MONTH('Other financial Liabilities'!I64)=9,"SET",IF(MONTH('Other financial Liabilities'!I64)=10,"OUT",IF(MONTH('Other financial Liabilities'!I64)=11,"NOV",IF(MONTH('Other financial Liabilities'!I64)=12,"DEZ",""))))))))))))&amp;LEFT(YEAR('Other financial Liabilities'!I64),2),IF(F70="c008x   - Government, central banks &amp; supranationals","TL"&amp;IF(MONTH('Other financial Liabilities'!I64)=1,"JAN",IF(MONTH('Other financial Liabilities'!I64)=2,"FEV",IF(MONTH('Other financial Liabilities'!I64)=3,"MAR",IF(MONTH('Other financial Liabilities'!I64)=4,"ABR",IF(MONTH('Other financial Liabilities'!I64)=5,"MAI",IF(MONTH('Other financial Liabilities'!I64)=6,"JUN",IF(MONTH('Other financial Liabilities'!I64)=7,"JUL",IF(MONTH('Other financial Liabilities'!I64)=8,"AGO",IF(MONTH('Other financial Liabilities'!I64)=9,"SET",IF(MONTH('Other financial Liabilities'!I64)=10,"OUT",IF(MONTH('Other financial Liabilities'!I64)=11,"NOV",IF(MONTH('Other financial Liabilities'!I64)=12,"DEZ",""))))))))))))&amp;LEFT(YEAR('Other financial Liabilities'!I64),2),"")))</f>
        <v>MASSA INSOLVENTE DE SWEET ATRACTION SA</v>
      </c>
      <c r="I70" s="14" t="str">
        <f>IF(F70="c004x   - Institutions",'Other financial Liabilities'!H64,IF(F70="c001x   - Households","Critical Service Liability "&amp;IF(MONTH('Other financial Liabilities'!I64)=1,"January ",IF(MONTH('Other financial Liabilities'!I64)=2,"February ",IF(MONTH('Other financial Liabilities'!I64)=3,"March ",IF(MONTH('Other financial Liabilities'!I64)=4, "April ",IF(MONTH('Other financial Liabilities'!I64)=5,"May ",IF(MONTH('Other financial Liabilities'!I64)=6,"June ",IF(MONTH('Other financial Liabilities'!I64)=7,"July ",IF(MONTH('Other financial Liabilities'!I64)=8,"August ",IF(MONTH('Other financial Liabilities'!I64)=9,"September ",IF(MONTH('Other financial Liabilities'!I64)=10,"October",  IF(MONTH('Other financial Liabilities'!I64)=11,"November ",IF(MONTH('Other financial Liabilities'!I64)=12,"December ",""))))))))))))&amp;YEAR('Other financial Liabilities'!I64),IF(F70="c008x   - Government, central banks &amp; supranationals","Tax Liability "&amp;IF(MONTH('Other financial Liabilities'!I64)=1,"January ",IF(MONTH('Other financial Liabilities'!I64)=2,"February ",IF(MONTH('Other financial Liabilities'!I64)=3,"March ",IF(MONTH('Other financial Liabilities'!I64)=4,"April ",IF(MONTH('Other financial Liabilities'!I64)=5,"May ",IF(MONTH('Other financial Liabilities'!I64)=6,"June ",IF(MONTH('Other financial Liabilities'!I64)=7,"July ",IF(MONTH('Other financial Liabilities'!I64)=8, "August ",  IF(MONTH('Other financial Liabilities'!I64)=9,"September ",IF(MONTH('Other financial Liabilities'!I64)=10,"October ",IF(MONTH('Other financial Liabilities'!I64)=11,"November ",IF(MONTH('Other financial Liabilities'!I64)=12,"December ",""))))))))))))&amp;YEAR('Other financial Liabilities'!I64),"")))</f>
        <v>MASSA INSOLVENTE DE SWEET ATRACTION SA</v>
      </c>
      <c r="J70" s="14" t="str">
        <f>+IF(OR('Other financial Liabilities'!C64="",'Other financial Liabilities'!C64="#"),IF('Other financial Liabilities'!A64="",IF(F70="c001x   - Households","CSL"&amp;"001",IF(F70="c008x   - Government, central banks &amp; supranationals","TL"&amp;"001")),'Other financial Liabilities'!A64),'Other financial Liabilities'!C64)</f>
        <v>7402339543</v>
      </c>
      <c r="K70" s="14" t="str">
        <f>+IF(J70='Other financial Liabilities'!C64,"LEI code","Type of identifier, other than LEI or MFI code")</f>
        <v>Type of identifier, other than LEI or MFI code</v>
      </c>
      <c r="L70" s="14" t="s">
        <v>197</v>
      </c>
      <c r="M70" s="14" t="s">
        <v>198</v>
      </c>
      <c r="N70" s="14" t="s">
        <v>199</v>
      </c>
      <c r="O70" s="15">
        <v>161965.91</v>
      </c>
      <c r="P70" s="15">
        <f>IF('Other financial Liabilities'!E64="",0,'Other financial Liabilities'!E64)</f>
        <v>0</v>
      </c>
      <c r="Q70" s="14">
        <f>IF('Other financial Liabilities'!F64="",0,'Other financial Liabilities'!F64)</f>
        <v>0</v>
      </c>
      <c r="R70" s="14" t="s">
        <v>212</v>
      </c>
      <c r="S70" s="16" t="s">
        <v>250</v>
      </c>
      <c r="T70" s="16">
        <f t="shared" si="2"/>
        <v>44928</v>
      </c>
      <c r="U70" s="16">
        <f t="shared" si="3"/>
        <v>44928</v>
      </c>
      <c r="V70" s="14" t="s">
        <v>200</v>
      </c>
      <c r="W70" s="15">
        <v>0</v>
      </c>
      <c r="X70" s="15">
        <v>0</v>
      </c>
      <c r="Y70" s="15">
        <v>0</v>
      </c>
      <c r="Z70" s="14" t="s">
        <v>201</v>
      </c>
      <c r="AA70" s="15">
        <v>0</v>
      </c>
      <c r="AB70" s="14" t="s">
        <v>202</v>
      </c>
      <c r="AC70" s="17">
        <v>0</v>
      </c>
      <c r="AD70" s="20"/>
    </row>
    <row r="71" spans="3:30" ht="45.75" customHeight="1" thickBot="1" x14ac:dyDescent="0.5">
      <c r="C71" s="12">
        <f t="shared" si="0"/>
        <v>999</v>
      </c>
      <c r="D71" s="13">
        <f t="shared" si="4"/>
        <v>64</v>
      </c>
      <c r="E71" s="14" t="str">
        <f>IF(AND('Other financial Liabilities'!K65="",'Other financial Liabilities'!J65=1),"r0180 - Critical service liabilities (BRRD art. 44/2/g/ii)",IF(AND('Other financial Liabilities'!K65="",'Other financial Liabilities'!J65=2),"r0190 - Tax and social security authorities liabilities, if preferred (BRRD art. 44/2/g/iii)",'Other financial Liabilities'!K65))</f>
        <v>r0150 - Institution liabilities &lt; 7 days (BRRD art. 44/2/e)</v>
      </c>
      <c r="F71" s="14" t="str">
        <f>IF(OR('Other financial Liabilities'!G65="particulares",'Other financial Liabilities'!J65=1),"c001x   - Households",IF('Other financial Liabilities'!G65="outras empresas nao financeiras","c003x   - Corporates",IF('Other financial Liabilities'!G65="instituicoes de credito","c004x   - Institutions",IF('Other financial Liabilities'!G65="outras instituicoes financeiras","c005x   - Other financial corporations",IF(OR('Other financial Liabilities'!G65="setor publico",'Other financial Liabilities'!J65=2),"c008x   - Government, central banks &amp; supranationals","")))))</f>
        <v>c004x   - Institutions</v>
      </c>
      <c r="G71" s="14" t="str">
        <f t="shared" si="1"/>
        <v>Rank 9 - Ranking in insolvency (master scale)</v>
      </c>
      <c r="H71" s="14" t="str">
        <f>IF(F71="c004x   - Institutions",'Other financial Liabilities'!H65,IF(F71="c001x   - Households","CSL"&amp;IF(MONTH('Other financial Liabilities'!I65)=1,"JAN",IF(MONTH('Other financial Liabilities'!I65)=2,"FEV",IF(MONTH('Other financial Liabilities'!I65)=3,"MAR",IF(MONTH('Other financial Liabilities'!I65)=4,"ABR",IF(MONTH('Other financial Liabilities'!I65)=5,"MAI",IF(MONTH('Other financial Liabilities'!I65)=6,"JUN",IF(MONTH('Other financial Liabilities'!I65)=7,"JUL",IF(MONTH('Other financial Liabilities'!I65)=8,"AGO",IF(MONTH('Other financial Liabilities'!I65)=9,"SET",IF(MONTH('Other financial Liabilities'!I65)=10,"OUT",IF(MONTH('Other financial Liabilities'!I65)=11,"NOV",IF(MONTH('Other financial Liabilities'!I65)=12,"DEZ",""))))))))))))&amp;LEFT(YEAR('Other financial Liabilities'!I65),2),IF(F71="c008x   - Government, central banks &amp; supranationals","TL"&amp;IF(MONTH('Other financial Liabilities'!I65)=1,"JAN",IF(MONTH('Other financial Liabilities'!I65)=2,"FEV",IF(MONTH('Other financial Liabilities'!I65)=3,"MAR",IF(MONTH('Other financial Liabilities'!I65)=4,"ABR",IF(MONTH('Other financial Liabilities'!I65)=5,"MAI",IF(MONTH('Other financial Liabilities'!I65)=6,"JUN",IF(MONTH('Other financial Liabilities'!I65)=7,"JUL",IF(MONTH('Other financial Liabilities'!I65)=8,"AGO",IF(MONTH('Other financial Liabilities'!I65)=9,"SET",IF(MONTH('Other financial Liabilities'!I65)=10,"OUT",IF(MONTH('Other financial Liabilities'!I65)=11,"NOV",IF(MONTH('Other financial Liabilities'!I65)=12,"DEZ",""))))))))))))&amp;LEFT(YEAR('Other financial Liabilities'!I65),2),"")))</f>
        <v>MASSA INSOLVENTE DE CORTICEIRA TEOFILO GONCALVES LDA</v>
      </c>
      <c r="I71" s="14" t="str">
        <f>IF(F71="c004x   - Institutions",'Other financial Liabilities'!H65,IF(F71="c001x   - Households","Critical Service Liability "&amp;IF(MONTH('Other financial Liabilities'!I65)=1,"January ",IF(MONTH('Other financial Liabilities'!I65)=2,"February ",IF(MONTH('Other financial Liabilities'!I65)=3,"March ",IF(MONTH('Other financial Liabilities'!I65)=4, "April ",IF(MONTH('Other financial Liabilities'!I65)=5,"May ",IF(MONTH('Other financial Liabilities'!I65)=6,"June ",IF(MONTH('Other financial Liabilities'!I65)=7,"July ",IF(MONTH('Other financial Liabilities'!I65)=8,"August ",IF(MONTH('Other financial Liabilities'!I65)=9,"September ",IF(MONTH('Other financial Liabilities'!I65)=10,"October",  IF(MONTH('Other financial Liabilities'!I65)=11,"November ",IF(MONTH('Other financial Liabilities'!I65)=12,"December ",""))))))))))))&amp;YEAR('Other financial Liabilities'!I65),IF(F71="c008x   - Government, central banks &amp; supranationals","Tax Liability "&amp;IF(MONTH('Other financial Liabilities'!I65)=1,"January ",IF(MONTH('Other financial Liabilities'!I65)=2,"February ",IF(MONTH('Other financial Liabilities'!I65)=3,"March ",IF(MONTH('Other financial Liabilities'!I65)=4,"April ",IF(MONTH('Other financial Liabilities'!I65)=5,"May ",IF(MONTH('Other financial Liabilities'!I65)=6,"June ",IF(MONTH('Other financial Liabilities'!I65)=7,"July ",IF(MONTH('Other financial Liabilities'!I65)=8, "August ",  IF(MONTH('Other financial Liabilities'!I65)=9,"September ",IF(MONTH('Other financial Liabilities'!I65)=10,"October ",IF(MONTH('Other financial Liabilities'!I65)=11,"November ",IF(MONTH('Other financial Liabilities'!I65)=12,"December ",""))))))))))))&amp;YEAR('Other financial Liabilities'!I65),"")))</f>
        <v>MASSA INSOLVENTE DE CORTICEIRA TEOFILO GONCALVES LDA</v>
      </c>
      <c r="J71" s="14" t="str">
        <f>+IF(OR('Other financial Liabilities'!C65="",'Other financial Liabilities'!C65="#"),IF('Other financial Liabilities'!A65="",IF(F71="c001x   - Households","CSL"&amp;"001",IF(F71="c008x   - Government, central banks &amp; supranationals","TL"&amp;"001")),'Other financial Liabilities'!A65),'Other financial Liabilities'!C65)</f>
        <v>7402347322</v>
      </c>
      <c r="K71" s="14" t="str">
        <f>+IF(J71='Other financial Liabilities'!C65,"LEI code","Type of identifier, other than LEI or MFI code")</f>
        <v>Type of identifier, other than LEI or MFI code</v>
      </c>
      <c r="L71" s="14" t="s">
        <v>197</v>
      </c>
      <c r="M71" s="14" t="s">
        <v>198</v>
      </c>
      <c r="N71" s="14" t="s">
        <v>199</v>
      </c>
      <c r="O71" s="15">
        <v>2221.36</v>
      </c>
      <c r="P71" s="15">
        <f>IF('Other financial Liabilities'!E65="",0,'Other financial Liabilities'!E65)</f>
        <v>0</v>
      </c>
      <c r="Q71" s="14">
        <f>IF('Other financial Liabilities'!F65="",0,'Other financial Liabilities'!F65)</f>
        <v>0</v>
      </c>
      <c r="R71" s="14" t="s">
        <v>212</v>
      </c>
      <c r="S71" s="16" t="s">
        <v>250</v>
      </c>
      <c r="T71" s="16">
        <f t="shared" si="2"/>
        <v>44928</v>
      </c>
      <c r="U71" s="16">
        <f t="shared" si="3"/>
        <v>44928</v>
      </c>
      <c r="V71" s="14" t="s">
        <v>200</v>
      </c>
      <c r="W71" s="15">
        <v>0</v>
      </c>
      <c r="X71" s="15">
        <v>0</v>
      </c>
      <c r="Y71" s="15">
        <v>0</v>
      </c>
      <c r="Z71" s="14" t="s">
        <v>201</v>
      </c>
      <c r="AA71" s="15">
        <v>0</v>
      </c>
      <c r="AB71" s="14" t="s">
        <v>202</v>
      </c>
      <c r="AC71" s="17">
        <v>0</v>
      </c>
      <c r="AD71" s="20"/>
    </row>
    <row r="72" spans="3:30" ht="45.75" customHeight="1" thickBot="1" x14ac:dyDescent="0.5">
      <c r="C72" s="12">
        <f t="shared" si="0"/>
        <v>999</v>
      </c>
      <c r="D72" s="13">
        <f t="shared" si="4"/>
        <v>65</v>
      </c>
      <c r="E72" s="14" t="str">
        <f>IF(AND('Other financial Liabilities'!K66="",'Other financial Liabilities'!J66=1),"r0180 - Critical service liabilities (BRRD art. 44/2/g/ii)",IF(AND('Other financial Liabilities'!K66="",'Other financial Liabilities'!J66=2),"r0190 - Tax and social security authorities liabilities, if preferred (BRRD art. 44/2/g/iii)",'Other financial Liabilities'!K66))</f>
        <v>r0150 - Institution liabilities &lt; 7 days (BRRD art. 44/2/e)</v>
      </c>
      <c r="F72" s="14" t="str">
        <f>IF(OR('Other financial Liabilities'!G66="particulares",'Other financial Liabilities'!J66=1),"c001x   - Households",IF('Other financial Liabilities'!G66="outras empresas nao financeiras","c003x   - Corporates",IF('Other financial Liabilities'!G66="instituicoes de credito","c004x   - Institutions",IF('Other financial Liabilities'!G66="outras instituicoes financeiras","c005x   - Other financial corporations",IF(OR('Other financial Liabilities'!G66="setor publico",'Other financial Liabilities'!J66=2),"c008x   - Government, central banks &amp; supranationals","")))))</f>
        <v>c004x   - Institutions</v>
      </c>
      <c r="G72" s="14" t="str">
        <f t="shared" si="1"/>
        <v>Rank 9 - Ranking in insolvency (master scale)</v>
      </c>
      <c r="H72" s="14" t="str">
        <f>IF(F72="c004x   - Institutions",'Other financial Liabilities'!H66,IF(F72="c001x   - Households","CSL"&amp;IF(MONTH('Other financial Liabilities'!I66)=1,"JAN",IF(MONTH('Other financial Liabilities'!I66)=2,"FEV",IF(MONTH('Other financial Liabilities'!I66)=3,"MAR",IF(MONTH('Other financial Liabilities'!I66)=4,"ABR",IF(MONTH('Other financial Liabilities'!I66)=5,"MAI",IF(MONTH('Other financial Liabilities'!I66)=6,"JUN",IF(MONTH('Other financial Liabilities'!I66)=7,"JUL",IF(MONTH('Other financial Liabilities'!I66)=8,"AGO",IF(MONTH('Other financial Liabilities'!I66)=9,"SET",IF(MONTH('Other financial Liabilities'!I66)=10,"OUT",IF(MONTH('Other financial Liabilities'!I66)=11,"NOV",IF(MONTH('Other financial Liabilities'!I66)=12,"DEZ",""))))))))))))&amp;LEFT(YEAR('Other financial Liabilities'!I66),2),IF(F72="c008x   - Government, central banks &amp; supranationals","TL"&amp;IF(MONTH('Other financial Liabilities'!I66)=1,"JAN",IF(MONTH('Other financial Liabilities'!I66)=2,"FEV",IF(MONTH('Other financial Liabilities'!I66)=3,"MAR",IF(MONTH('Other financial Liabilities'!I66)=4,"ABR",IF(MONTH('Other financial Liabilities'!I66)=5,"MAI",IF(MONTH('Other financial Liabilities'!I66)=6,"JUN",IF(MONTH('Other financial Liabilities'!I66)=7,"JUL",IF(MONTH('Other financial Liabilities'!I66)=8,"AGO",IF(MONTH('Other financial Liabilities'!I66)=9,"SET",IF(MONTH('Other financial Liabilities'!I66)=10,"OUT",IF(MONTH('Other financial Liabilities'!I66)=11,"NOV",IF(MONTH('Other financial Liabilities'!I66)=12,"DEZ",""))))))))))))&amp;LEFT(YEAR('Other financial Liabilities'!I66),2),"")))</f>
        <v>COMMERZBANK AG</v>
      </c>
      <c r="I72" s="14" t="str">
        <f>IF(F72="c004x   - Institutions",'Other financial Liabilities'!H66,IF(F72="c001x   - Households","Critical Service Liability "&amp;IF(MONTH('Other financial Liabilities'!I66)=1,"January ",IF(MONTH('Other financial Liabilities'!I66)=2,"February ",IF(MONTH('Other financial Liabilities'!I66)=3,"March ",IF(MONTH('Other financial Liabilities'!I66)=4, "April ",IF(MONTH('Other financial Liabilities'!I66)=5,"May ",IF(MONTH('Other financial Liabilities'!I66)=6,"June ",IF(MONTH('Other financial Liabilities'!I66)=7,"July ",IF(MONTH('Other financial Liabilities'!I66)=8,"August ",IF(MONTH('Other financial Liabilities'!I66)=9,"September ",IF(MONTH('Other financial Liabilities'!I66)=10,"October",  IF(MONTH('Other financial Liabilities'!I66)=11,"November ",IF(MONTH('Other financial Liabilities'!I66)=12,"December ",""))))))))))))&amp;YEAR('Other financial Liabilities'!I66),IF(F72="c008x   - Government, central banks &amp; supranationals","Tax Liability "&amp;IF(MONTH('Other financial Liabilities'!I66)=1,"January ",IF(MONTH('Other financial Liabilities'!I66)=2,"February ",IF(MONTH('Other financial Liabilities'!I66)=3,"March ",IF(MONTH('Other financial Liabilities'!I66)=4,"April ",IF(MONTH('Other financial Liabilities'!I66)=5,"May ",IF(MONTH('Other financial Liabilities'!I66)=6,"June ",IF(MONTH('Other financial Liabilities'!I66)=7,"July ",IF(MONTH('Other financial Liabilities'!I66)=8, "August ",  IF(MONTH('Other financial Liabilities'!I66)=9,"September ",IF(MONTH('Other financial Liabilities'!I66)=10,"October ",IF(MONTH('Other financial Liabilities'!I66)=11,"November ",IF(MONTH('Other financial Liabilities'!I66)=12,"December ",""))))))))))))&amp;YEAR('Other financial Liabilities'!I66),"")))</f>
        <v>COMMERZBANK AG</v>
      </c>
      <c r="J72" s="14" t="str">
        <f>+IF(OR('Other financial Liabilities'!C66="",'Other financial Liabilities'!C66="#"),IF('Other financial Liabilities'!A66="",IF(F72="c001x   - Households","CSL"&amp;"001",IF(F72="c008x   - Government, central banks &amp; supranationals","TL"&amp;"001")),'Other financial Liabilities'!A66),'Other financial Liabilities'!C66)</f>
        <v>8000175573</v>
      </c>
      <c r="K72" s="14" t="str">
        <f>+IF(J72='Other financial Liabilities'!C66,"LEI code","Type of identifier, other than LEI or MFI code")</f>
        <v>Type of identifier, other than LEI or MFI code</v>
      </c>
      <c r="L72" s="14" t="s">
        <v>197</v>
      </c>
      <c r="M72" s="14" t="s">
        <v>198</v>
      </c>
      <c r="N72" s="14" t="s">
        <v>199</v>
      </c>
      <c r="O72" s="15">
        <v>37034.29</v>
      </c>
      <c r="P72" s="15">
        <f>IF('Other financial Liabilities'!E66="",0,'Other financial Liabilities'!E66)</f>
        <v>17.52</v>
      </c>
      <c r="Q72" s="14">
        <f>IF('Other financial Liabilities'!F66="",0,'Other financial Liabilities'!F66)</f>
        <v>0.40299000000000001</v>
      </c>
      <c r="R72" s="14" t="s">
        <v>212</v>
      </c>
      <c r="S72" s="16" t="s">
        <v>250</v>
      </c>
      <c r="T72" s="16">
        <f t="shared" si="2"/>
        <v>44928</v>
      </c>
      <c r="U72" s="16">
        <f t="shared" si="3"/>
        <v>44928</v>
      </c>
      <c r="V72" s="14" t="s">
        <v>200</v>
      </c>
      <c r="W72" s="15">
        <v>0</v>
      </c>
      <c r="X72" s="15">
        <v>0</v>
      </c>
      <c r="Y72" s="15">
        <v>0</v>
      </c>
      <c r="Z72" s="14" t="s">
        <v>201</v>
      </c>
      <c r="AA72" s="15">
        <v>0</v>
      </c>
      <c r="AB72" s="14" t="s">
        <v>202</v>
      </c>
      <c r="AC72" s="17">
        <v>0</v>
      </c>
      <c r="AD72" s="20"/>
    </row>
    <row r="73" spans="3:30" ht="45.75" customHeight="1" thickBot="1" x14ac:dyDescent="0.5">
      <c r="C73" s="12">
        <f t="shared" ref="C73:C125" si="5">+IF(E73="","",999)</f>
        <v>999</v>
      </c>
      <c r="D73" s="13">
        <f t="shared" si="4"/>
        <v>66</v>
      </c>
      <c r="E73" s="14" t="str">
        <f>IF(AND('Other financial Liabilities'!K67="",'Other financial Liabilities'!J67=1),"r0180 - Critical service liabilities (BRRD art. 44/2/g/ii)",IF(AND('Other financial Liabilities'!K67="",'Other financial Liabilities'!J67=2),"r0190 - Tax and social security authorities liabilities, if preferred (BRRD art. 44/2/g/iii)",'Other financial Liabilities'!K67))</f>
        <v>r0150 - Institution liabilities &lt; 7 days (BRRD art. 44/2/e)</v>
      </c>
      <c r="F73" s="14" t="str">
        <f>IF(OR('Other financial Liabilities'!G67="particulares",'Other financial Liabilities'!J67=1),"c001x   - Households",IF('Other financial Liabilities'!G67="outras empresas nao financeiras","c003x   - Corporates",IF('Other financial Liabilities'!G67="instituicoes de credito","c004x   - Institutions",IF('Other financial Liabilities'!G67="outras instituicoes financeiras","c005x   - Other financial corporations",IF(OR('Other financial Liabilities'!G67="setor publico",'Other financial Liabilities'!J67=2),"c008x   - Government, central banks &amp; supranationals","")))))</f>
        <v>c004x   - Institutions</v>
      </c>
      <c r="G73" s="14" t="str">
        <f t="shared" ref="G73:G125" si="6">IF(F73="c008x   - Government, central banks &amp; supranationals","Rank 16 - Ranking in insolvency (master scale)","Rank 9 - Ranking in insolvency (master scale)")</f>
        <v>Rank 9 - Ranking in insolvency (master scale)</v>
      </c>
      <c r="H73" s="14" t="str">
        <f>IF(F73="c004x   - Institutions",'Other financial Liabilities'!H67,IF(F73="c001x   - Households","CSL"&amp;IF(MONTH('Other financial Liabilities'!I67)=1,"JAN",IF(MONTH('Other financial Liabilities'!I67)=2,"FEV",IF(MONTH('Other financial Liabilities'!I67)=3,"MAR",IF(MONTH('Other financial Liabilities'!I67)=4,"ABR",IF(MONTH('Other financial Liabilities'!I67)=5,"MAI",IF(MONTH('Other financial Liabilities'!I67)=6,"JUN",IF(MONTH('Other financial Liabilities'!I67)=7,"JUL",IF(MONTH('Other financial Liabilities'!I67)=8,"AGO",IF(MONTH('Other financial Liabilities'!I67)=9,"SET",IF(MONTH('Other financial Liabilities'!I67)=10,"OUT",IF(MONTH('Other financial Liabilities'!I67)=11,"NOV",IF(MONTH('Other financial Liabilities'!I67)=12,"DEZ",""))))))))))))&amp;LEFT(YEAR('Other financial Liabilities'!I67),2),IF(F73="c008x   - Government, central banks &amp; supranationals","TL"&amp;IF(MONTH('Other financial Liabilities'!I67)=1,"JAN",IF(MONTH('Other financial Liabilities'!I67)=2,"FEV",IF(MONTH('Other financial Liabilities'!I67)=3,"MAR",IF(MONTH('Other financial Liabilities'!I67)=4,"ABR",IF(MONTH('Other financial Liabilities'!I67)=5,"MAI",IF(MONTH('Other financial Liabilities'!I67)=6,"JUN",IF(MONTH('Other financial Liabilities'!I67)=7,"JUL",IF(MONTH('Other financial Liabilities'!I67)=8,"AGO",IF(MONTH('Other financial Liabilities'!I67)=9,"SET",IF(MONTH('Other financial Liabilities'!I67)=10,"OUT",IF(MONTH('Other financial Liabilities'!I67)=11,"NOV",IF(MONTH('Other financial Liabilities'!I67)=12,"DEZ",""))))))))))))&amp;LEFT(YEAR('Other financial Liabilities'!I67),2),"")))</f>
        <v>BANCO BILBAO VIZCAYA ARGENTARIA EX.B.B.V.</v>
      </c>
      <c r="I73" s="14" t="str">
        <f>IF(F73="c004x   - Institutions",'Other financial Liabilities'!H67,IF(F73="c001x   - Households","Critical Service Liability "&amp;IF(MONTH('Other financial Liabilities'!I67)=1,"January ",IF(MONTH('Other financial Liabilities'!I67)=2,"February ",IF(MONTH('Other financial Liabilities'!I67)=3,"March ",IF(MONTH('Other financial Liabilities'!I67)=4, "April ",IF(MONTH('Other financial Liabilities'!I67)=5,"May ",IF(MONTH('Other financial Liabilities'!I67)=6,"June ",IF(MONTH('Other financial Liabilities'!I67)=7,"July ",IF(MONTH('Other financial Liabilities'!I67)=8,"August ",IF(MONTH('Other financial Liabilities'!I67)=9,"September ",IF(MONTH('Other financial Liabilities'!I67)=10,"October",  IF(MONTH('Other financial Liabilities'!I67)=11,"November ",IF(MONTH('Other financial Liabilities'!I67)=12,"December ",""))))))))))))&amp;YEAR('Other financial Liabilities'!I67),IF(F73="c008x   - Government, central banks &amp; supranationals","Tax Liability "&amp;IF(MONTH('Other financial Liabilities'!I67)=1,"January ",IF(MONTH('Other financial Liabilities'!I67)=2,"February ",IF(MONTH('Other financial Liabilities'!I67)=3,"March ",IF(MONTH('Other financial Liabilities'!I67)=4,"April ",IF(MONTH('Other financial Liabilities'!I67)=5,"May ",IF(MONTH('Other financial Liabilities'!I67)=6,"June ",IF(MONTH('Other financial Liabilities'!I67)=7,"July ",IF(MONTH('Other financial Liabilities'!I67)=8, "August ",  IF(MONTH('Other financial Liabilities'!I67)=9,"September ",IF(MONTH('Other financial Liabilities'!I67)=10,"October ",IF(MONTH('Other financial Liabilities'!I67)=11,"November ",IF(MONTH('Other financial Liabilities'!I67)=12,"December ",""))))))))))))&amp;YEAR('Other financial Liabilities'!I67),"")))</f>
        <v>BANCO BILBAO VIZCAYA ARGENTARIA EX.B.B.V.</v>
      </c>
      <c r="J73" s="14" t="str">
        <f>+IF(OR('Other financial Liabilities'!C67="",'Other financial Liabilities'!C67="#"),IF('Other financial Liabilities'!A67="",IF(F73="c001x   - Households","CSL"&amp;"001",IF(F73="c008x   - Government, central banks &amp; supranationals","TL"&amp;"001")),'Other financial Liabilities'!A67),'Other financial Liabilities'!C67)</f>
        <v>K8MS7FD7N5Z2WQ51AZ71</v>
      </c>
      <c r="K73" s="14" t="str">
        <f>+IF(J73='Other financial Liabilities'!C67,"LEI code","Type of identifier, other than LEI or MFI code")</f>
        <v>LEI code</v>
      </c>
      <c r="L73" s="14" t="s">
        <v>197</v>
      </c>
      <c r="M73" s="14" t="s">
        <v>198</v>
      </c>
      <c r="N73" s="14" t="s">
        <v>199</v>
      </c>
      <c r="O73" s="15">
        <v>100000</v>
      </c>
      <c r="P73" s="15">
        <f>IF('Other financial Liabilities'!E67="",0,'Other financial Liabilities'!E67)</f>
        <v>0</v>
      </c>
      <c r="Q73" s="14">
        <f>IF('Other financial Liabilities'!F67="",0,'Other financial Liabilities'!F67)</f>
        <v>0</v>
      </c>
      <c r="R73" s="14" t="s">
        <v>212</v>
      </c>
      <c r="S73" s="16" t="s">
        <v>250</v>
      </c>
      <c r="T73" s="16">
        <f t="shared" ref="T73:T125" si="7">+WORKDAY(S73,1,"1/1/2021")</f>
        <v>44928</v>
      </c>
      <c r="U73" s="16">
        <f t="shared" ref="U73:U125" si="8">+T73</f>
        <v>44928</v>
      </c>
      <c r="V73" s="14" t="s">
        <v>200</v>
      </c>
      <c r="W73" s="15">
        <v>0</v>
      </c>
      <c r="X73" s="15">
        <v>0</v>
      </c>
      <c r="Y73" s="15">
        <v>0</v>
      </c>
      <c r="Z73" s="14" t="s">
        <v>201</v>
      </c>
      <c r="AA73" s="15">
        <v>0</v>
      </c>
      <c r="AB73" s="14" t="s">
        <v>202</v>
      </c>
      <c r="AC73" s="17">
        <v>0</v>
      </c>
      <c r="AD73" s="20"/>
    </row>
    <row r="74" spans="3:30" ht="45.75" customHeight="1" thickBot="1" x14ac:dyDescent="0.5">
      <c r="C74" s="12">
        <f t="shared" si="5"/>
        <v>999</v>
      </c>
      <c r="D74" s="13">
        <f t="shared" ref="D74:D125" si="9">IF(E74="","",D73+1)</f>
        <v>67</v>
      </c>
      <c r="E74" s="14" t="str">
        <f>IF(AND('Other financial Liabilities'!K68="",'Other financial Liabilities'!J68=1),"r0180 - Critical service liabilities (BRRD art. 44/2/g/ii)",IF(AND('Other financial Liabilities'!K68="",'Other financial Liabilities'!J68=2),"r0190 - Tax and social security authorities liabilities, if preferred (BRRD art. 44/2/g/iii)",'Other financial Liabilities'!K68))</f>
        <v>r0150 - Institution liabilities &lt; 7 days (BRRD art. 44/2/e)</v>
      </c>
      <c r="F74" s="14" t="str">
        <f>IF(OR('Other financial Liabilities'!G68="particulares",'Other financial Liabilities'!J68=1),"c001x   - Households",IF('Other financial Liabilities'!G68="outras empresas nao financeiras","c003x   - Corporates",IF('Other financial Liabilities'!G68="instituicoes de credito","c004x   - Institutions",IF('Other financial Liabilities'!G68="outras instituicoes financeiras","c005x   - Other financial corporations",IF(OR('Other financial Liabilities'!G68="setor publico",'Other financial Liabilities'!J68=2),"c008x   - Government, central banks &amp; supranationals","")))))</f>
        <v>c004x   - Institutions</v>
      </c>
      <c r="G74" s="14" t="str">
        <f t="shared" si="6"/>
        <v>Rank 9 - Ranking in insolvency (master scale)</v>
      </c>
      <c r="H74" s="14" t="str">
        <f>IF(F74="c004x   - Institutions",'Other financial Liabilities'!H68,IF(F74="c001x   - Households","CSL"&amp;IF(MONTH('Other financial Liabilities'!I68)=1,"JAN",IF(MONTH('Other financial Liabilities'!I68)=2,"FEV",IF(MONTH('Other financial Liabilities'!I68)=3,"MAR",IF(MONTH('Other financial Liabilities'!I68)=4,"ABR",IF(MONTH('Other financial Liabilities'!I68)=5,"MAI",IF(MONTH('Other financial Liabilities'!I68)=6,"JUN",IF(MONTH('Other financial Liabilities'!I68)=7,"JUL",IF(MONTH('Other financial Liabilities'!I68)=8,"AGO",IF(MONTH('Other financial Liabilities'!I68)=9,"SET",IF(MONTH('Other financial Liabilities'!I68)=10,"OUT",IF(MONTH('Other financial Liabilities'!I68)=11,"NOV",IF(MONTH('Other financial Liabilities'!I68)=12,"DEZ",""))))))))))))&amp;LEFT(YEAR('Other financial Liabilities'!I68),2),IF(F74="c008x   - Government, central banks &amp; supranationals","TL"&amp;IF(MONTH('Other financial Liabilities'!I68)=1,"JAN",IF(MONTH('Other financial Liabilities'!I68)=2,"FEV",IF(MONTH('Other financial Liabilities'!I68)=3,"MAR",IF(MONTH('Other financial Liabilities'!I68)=4,"ABR",IF(MONTH('Other financial Liabilities'!I68)=5,"MAI",IF(MONTH('Other financial Liabilities'!I68)=6,"JUN",IF(MONTH('Other financial Liabilities'!I68)=7,"JUL",IF(MONTH('Other financial Liabilities'!I68)=8,"AGO",IF(MONTH('Other financial Liabilities'!I68)=9,"SET",IF(MONTH('Other financial Liabilities'!I68)=10,"OUT",IF(MONTH('Other financial Liabilities'!I68)=11,"NOV",IF(MONTH('Other financial Liabilities'!I68)=12,"DEZ",""))))))))))))&amp;LEFT(YEAR('Other financial Liabilities'!I68),2),"")))</f>
        <v>BANCA INTESA SPA</v>
      </c>
      <c r="I74" s="14" t="str">
        <f>IF(F74="c004x   - Institutions",'Other financial Liabilities'!H68,IF(F74="c001x   - Households","Critical Service Liability "&amp;IF(MONTH('Other financial Liabilities'!I68)=1,"January ",IF(MONTH('Other financial Liabilities'!I68)=2,"February ",IF(MONTH('Other financial Liabilities'!I68)=3,"March ",IF(MONTH('Other financial Liabilities'!I68)=4, "April ",IF(MONTH('Other financial Liabilities'!I68)=5,"May ",IF(MONTH('Other financial Liabilities'!I68)=6,"June ",IF(MONTH('Other financial Liabilities'!I68)=7,"July ",IF(MONTH('Other financial Liabilities'!I68)=8,"August ",IF(MONTH('Other financial Liabilities'!I68)=9,"September ",IF(MONTH('Other financial Liabilities'!I68)=10,"October",  IF(MONTH('Other financial Liabilities'!I68)=11,"November ",IF(MONTH('Other financial Liabilities'!I68)=12,"December ",""))))))))))))&amp;YEAR('Other financial Liabilities'!I68),IF(F74="c008x   - Government, central banks &amp; supranationals","Tax Liability "&amp;IF(MONTH('Other financial Liabilities'!I68)=1,"January ",IF(MONTH('Other financial Liabilities'!I68)=2,"February ",IF(MONTH('Other financial Liabilities'!I68)=3,"March ",IF(MONTH('Other financial Liabilities'!I68)=4,"April ",IF(MONTH('Other financial Liabilities'!I68)=5,"May ",IF(MONTH('Other financial Liabilities'!I68)=6,"June ",IF(MONTH('Other financial Liabilities'!I68)=7,"July ",IF(MONTH('Other financial Liabilities'!I68)=8, "August ",  IF(MONTH('Other financial Liabilities'!I68)=9,"September ",IF(MONTH('Other financial Liabilities'!I68)=10,"October ",IF(MONTH('Other financial Liabilities'!I68)=11,"November ",IF(MONTH('Other financial Liabilities'!I68)=12,"December ",""))))))))))))&amp;YEAR('Other financial Liabilities'!I68),"")))</f>
        <v>BANCA INTESA SPA</v>
      </c>
      <c r="J74" s="14" t="str">
        <f>+IF(OR('Other financial Liabilities'!C68="",'Other financial Liabilities'!C68="#"),IF('Other financial Liabilities'!A68="",IF(F74="c001x   - Households","CSL"&amp;"001",IF(F74="c008x   - Government, central banks &amp; supranationals","TL"&amp;"001")),'Other financial Liabilities'!A68),'Other financial Liabilities'!C68)</f>
        <v>8000176553</v>
      </c>
      <c r="K74" s="14" t="str">
        <f>+IF(J74='Other financial Liabilities'!C68,"LEI code","Type of identifier, other than LEI or MFI code")</f>
        <v>Type of identifier, other than LEI or MFI code</v>
      </c>
      <c r="L74" s="14" t="s">
        <v>197</v>
      </c>
      <c r="M74" s="14" t="s">
        <v>198</v>
      </c>
      <c r="N74" s="14" t="s">
        <v>199</v>
      </c>
      <c r="O74" s="15">
        <v>43625.24</v>
      </c>
      <c r="P74" s="15">
        <f>IF('Other financial Liabilities'!E68="",0,'Other financial Liabilities'!E68)</f>
        <v>0</v>
      </c>
      <c r="Q74" s="14">
        <f>IF('Other financial Liabilities'!F68="",0,'Other financial Liabilities'!F68)</f>
        <v>0</v>
      </c>
      <c r="R74" s="14" t="s">
        <v>212</v>
      </c>
      <c r="S74" s="16" t="s">
        <v>250</v>
      </c>
      <c r="T74" s="16">
        <f t="shared" si="7"/>
        <v>44928</v>
      </c>
      <c r="U74" s="16">
        <f t="shared" si="8"/>
        <v>44928</v>
      </c>
      <c r="V74" s="14" t="s">
        <v>200</v>
      </c>
      <c r="W74" s="15">
        <v>0</v>
      </c>
      <c r="X74" s="15">
        <v>0</v>
      </c>
      <c r="Y74" s="15">
        <v>0</v>
      </c>
      <c r="Z74" s="14" t="s">
        <v>201</v>
      </c>
      <c r="AA74" s="15">
        <v>0</v>
      </c>
      <c r="AB74" s="14" t="s">
        <v>202</v>
      </c>
      <c r="AC74" s="17">
        <v>0</v>
      </c>
      <c r="AD74" s="20"/>
    </row>
    <row r="75" spans="3:30" ht="45.75" customHeight="1" thickBot="1" x14ac:dyDescent="0.5">
      <c r="C75" s="12">
        <f t="shared" si="5"/>
        <v>999</v>
      </c>
      <c r="D75" s="13">
        <f t="shared" si="9"/>
        <v>68</v>
      </c>
      <c r="E75" s="14" t="str">
        <f>IF(AND('Other financial Liabilities'!K69="",'Other financial Liabilities'!J69=1),"r0180 - Critical service liabilities (BRRD art. 44/2/g/ii)",IF(AND('Other financial Liabilities'!K69="",'Other financial Liabilities'!J69=2),"r0190 - Tax and social security authorities liabilities, if preferred (BRRD art. 44/2/g/iii)",'Other financial Liabilities'!K69))</f>
        <v>r0150 - Institution liabilities &lt; 7 days (BRRD art. 44/2/e)</v>
      </c>
      <c r="F75" s="14" t="str">
        <f>IF(OR('Other financial Liabilities'!G69="particulares",'Other financial Liabilities'!J69=1),"c001x   - Households",IF('Other financial Liabilities'!G69="outras empresas nao financeiras","c003x   - Corporates",IF('Other financial Liabilities'!G69="instituicoes de credito","c004x   - Institutions",IF('Other financial Liabilities'!G69="outras instituicoes financeiras","c005x   - Other financial corporations",IF(OR('Other financial Liabilities'!G69="setor publico",'Other financial Liabilities'!J69=2),"c008x   - Government, central banks &amp; supranationals","")))))</f>
        <v>c004x   - Institutions</v>
      </c>
      <c r="G75" s="14" t="str">
        <f t="shared" si="6"/>
        <v>Rank 9 - Ranking in insolvency (master scale)</v>
      </c>
      <c r="H75" s="14" t="str">
        <f>IF(F75="c004x   - Institutions",'Other financial Liabilities'!H69,IF(F75="c001x   - Households","CSL"&amp;IF(MONTH('Other financial Liabilities'!I69)=1,"JAN",IF(MONTH('Other financial Liabilities'!I69)=2,"FEV",IF(MONTH('Other financial Liabilities'!I69)=3,"MAR",IF(MONTH('Other financial Liabilities'!I69)=4,"ABR",IF(MONTH('Other financial Liabilities'!I69)=5,"MAI",IF(MONTH('Other financial Liabilities'!I69)=6,"JUN",IF(MONTH('Other financial Liabilities'!I69)=7,"JUL",IF(MONTH('Other financial Liabilities'!I69)=8,"AGO",IF(MONTH('Other financial Liabilities'!I69)=9,"SET",IF(MONTH('Other financial Liabilities'!I69)=10,"OUT",IF(MONTH('Other financial Liabilities'!I69)=11,"NOV",IF(MONTH('Other financial Liabilities'!I69)=12,"DEZ",""))))))))))))&amp;LEFT(YEAR('Other financial Liabilities'!I69),2),IF(F75="c008x   - Government, central banks &amp; supranationals","TL"&amp;IF(MONTH('Other financial Liabilities'!I69)=1,"JAN",IF(MONTH('Other financial Liabilities'!I69)=2,"FEV",IF(MONTH('Other financial Liabilities'!I69)=3,"MAR",IF(MONTH('Other financial Liabilities'!I69)=4,"ABR",IF(MONTH('Other financial Liabilities'!I69)=5,"MAI",IF(MONTH('Other financial Liabilities'!I69)=6,"JUN",IF(MONTH('Other financial Liabilities'!I69)=7,"JUL",IF(MONTH('Other financial Liabilities'!I69)=8,"AGO",IF(MONTH('Other financial Liabilities'!I69)=9,"SET",IF(MONTH('Other financial Liabilities'!I69)=10,"OUT",IF(MONTH('Other financial Liabilities'!I69)=11,"NOV",IF(MONTH('Other financial Liabilities'!I69)=12,"DEZ",""))))))))))))&amp;LEFT(YEAR('Other financial Liabilities'!I69),2),"")))</f>
        <v>DEXIA BANQUE INTERNATIONALE A LUXEMBURG SA</v>
      </c>
      <c r="I75" s="14" t="str">
        <f>IF(F75="c004x   - Institutions",'Other financial Liabilities'!H69,IF(F75="c001x   - Households","Critical Service Liability "&amp;IF(MONTH('Other financial Liabilities'!I69)=1,"January ",IF(MONTH('Other financial Liabilities'!I69)=2,"February ",IF(MONTH('Other financial Liabilities'!I69)=3,"March ",IF(MONTH('Other financial Liabilities'!I69)=4, "April ",IF(MONTH('Other financial Liabilities'!I69)=5,"May ",IF(MONTH('Other financial Liabilities'!I69)=6,"June ",IF(MONTH('Other financial Liabilities'!I69)=7,"July ",IF(MONTH('Other financial Liabilities'!I69)=8,"August ",IF(MONTH('Other financial Liabilities'!I69)=9,"September ",IF(MONTH('Other financial Liabilities'!I69)=10,"October",  IF(MONTH('Other financial Liabilities'!I69)=11,"November ",IF(MONTH('Other financial Liabilities'!I69)=12,"December ",""))))))))))))&amp;YEAR('Other financial Liabilities'!I69),IF(F75="c008x   - Government, central banks &amp; supranationals","Tax Liability "&amp;IF(MONTH('Other financial Liabilities'!I69)=1,"January ",IF(MONTH('Other financial Liabilities'!I69)=2,"February ",IF(MONTH('Other financial Liabilities'!I69)=3,"March ",IF(MONTH('Other financial Liabilities'!I69)=4,"April ",IF(MONTH('Other financial Liabilities'!I69)=5,"May ",IF(MONTH('Other financial Liabilities'!I69)=6,"June ",IF(MONTH('Other financial Liabilities'!I69)=7,"July ",IF(MONTH('Other financial Liabilities'!I69)=8, "August ",  IF(MONTH('Other financial Liabilities'!I69)=9,"September ",IF(MONTH('Other financial Liabilities'!I69)=10,"October ",IF(MONTH('Other financial Liabilities'!I69)=11,"November ",IF(MONTH('Other financial Liabilities'!I69)=12,"December ",""))))))))))))&amp;YEAR('Other financial Liabilities'!I69),"")))</f>
        <v>DEXIA BANQUE INTERNATIONALE A LUXEMBURG SA</v>
      </c>
      <c r="J75" s="14" t="str">
        <f>+IF(OR('Other financial Liabilities'!C69="",'Other financial Liabilities'!C69="#"),IF('Other financial Liabilities'!A69="",IF(F75="c001x   - Households","CSL"&amp;"001",IF(F75="c008x   - Government, central banks &amp; supranationals","TL"&amp;"001")),'Other financial Liabilities'!A69),'Other financial Liabilities'!C69)</f>
        <v>8000176607</v>
      </c>
      <c r="K75" s="14" t="str">
        <f>+IF(J75='Other financial Liabilities'!C69,"LEI code","Type of identifier, other than LEI or MFI code")</f>
        <v>Type of identifier, other than LEI or MFI code</v>
      </c>
      <c r="L75" s="14" t="s">
        <v>197</v>
      </c>
      <c r="M75" s="14" t="s">
        <v>198</v>
      </c>
      <c r="N75" s="14" t="s">
        <v>199</v>
      </c>
      <c r="O75" s="15">
        <v>9671.93</v>
      </c>
      <c r="P75" s="15">
        <f>IF('Other financial Liabilities'!E69="",0,'Other financial Liabilities'!E69)</f>
        <v>0</v>
      </c>
      <c r="Q75" s="14">
        <f>IF('Other financial Liabilities'!F69="",0,'Other financial Liabilities'!F69)</f>
        <v>0</v>
      </c>
      <c r="R75" s="14" t="s">
        <v>212</v>
      </c>
      <c r="S75" s="16" t="s">
        <v>250</v>
      </c>
      <c r="T75" s="16">
        <f t="shared" si="7"/>
        <v>44928</v>
      </c>
      <c r="U75" s="16">
        <f t="shared" si="8"/>
        <v>44928</v>
      </c>
      <c r="V75" s="14" t="s">
        <v>200</v>
      </c>
      <c r="W75" s="15">
        <v>0</v>
      </c>
      <c r="X75" s="15">
        <v>0</v>
      </c>
      <c r="Y75" s="15">
        <v>0</v>
      </c>
      <c r="Z75" s="14" t="s">
        <v>201</v>
      </c>
      <c r="AA75" s="15">
        <v>0</v>
      </c>
      <c r="AB75" s="14" t="s">
        <v>202</v>
      </c>
      <c r="AC75" s="17">
        <v>0</v>
      </c>
      <c r="AD75" s="20"/>
    </row>
    <row r="76" spans="3:30" ht="45.75" customHeight="1" thickBot="1" x14ac:dyDescent="0.5">
      <c r="C76" s="12">
        <f t="shared" si="5"/>
        <v>999</v>
      </c>
      <c r="D76" s="13">
        <f t="shared" si="9"/>
        <v>69</v>
      </c>
      <c r="E76" s="14" t="str">
        <f>IF(AND('Other financial Liabilities'!K70="",'Other financial Liabilities'!J70=1),"r0180 - Critical service liabilities (BRRD art. 44/2/g/ii)",IF(AND('Other financial Liabilities'!K70="",'Other financial Liabilities'!J70=2),"r0190 - Tax and social security authorities liabilities, if preferred (BRRD art. 44/2/g/iii)",'Other financial Liabilities'!K70))</f>
        <v>r0150 - Institution liabilities &lt; 7 days (BRRD art. 44/2/e)</v>
      </c>
      <c r="F76" s="14" t="str">
        <f>IF(OR('Other financial Liabilities'!G70="particulares",'Other financial Liabilities'!J70=1),"c001x   - Households",IF('Other financial Liabilities'!G70="outras empresas nao financeiras","c003x   - Corporates",IF('Other financial Liabilities'!G70="instituicoes de credito","c004x   - Institutions",IF('Other financial Liabilities'!G70="outras instituicoes financeiras","c005x   - Other financial corporations",IF(OR('Other financial Liabilities'!G70="setor publico",'Other financial Liabilities'!J70=2),"c008x   - Government, central banks &amp; supranationals","")))))</f>
        <v>c004x   - Institutions</v>
      </c>
      <c r="G76" s="14" t="str">
        <f t="shared" si="6"/>
        <v>Rank 9 - Ranking in insolvency (master scale)</v>
      </c>
      <c r="H76" s="14" t="str">
        <f>IF(F76="c004x   - Institutions",'Other financial Liabilities'!H70,IF(F76="c001x   - Households","CSL"&amp;IF(MONTH('Other financial Liabilities'!I70)=1,"JAN",IF(MONTH('Other financial Liabilities'!I70)=2,"FEV",IF(MONTH('Other financial Liabilities'!I70)=3,"MAR",IF(MONTH('Other financial Liabilities'!I70)=4,"ABR",IF(MONTH('Other financial Liabilities'!I70)=5,"MAI",IF(MONTH('Other financial Liabilities'!I70)=6,"JUN",IF(MONTH('Other financial Liabilities'!I70)=7,"JUL",IF(MONTH('Other financial Liabilities'!I70)=8,"AGO",IF(MONTH('Other financial Liabilities'!I70)=9,"SET",IF(MONTH('Other financial Liabilities'!I70)=10,"OUT",IF(MONTH('Other financial Liabilities'!I70)=11,"NOV",IF(MONTH('Other financial Liabilities'!I70)=12,"DEZ",""))))))))))))&amp;LEFT(YEAR('Other financial Liabilities'!I70),2),IF(F76="c008x   - Government, central banks &amp; supranationals","TL"&amp;IF(MONTH('Other financial Liabilities'!I70)=1,"JAN",IF(MONTH('Other financial Liabilities'!I70)=2,"FEV",IF(MONTH('Other financial Liabilities'!I70)=3,"MAR",IF(MONTH('Other financial Liabilities'!I70)=4,"ABR",IF(MONTH('Other financial Liabilities'!I70)=5,"MAI",IF(MONTH('Other financial Liabilities'!I70)=6,"JUN",IF(MONTH('Other financial Liabilities'!I70)=7,"JUL",IF(MONTH('Other financial Liabilities'!I70)=8,"AGO",IF(MONTH('Other financial Liabilities'!I70)=9,"SET",IF(MONTH('Other financial Liabilities'!I70)=10,"OUT",IF(MONTH('Other financial Liabilities'!I70)=11,"NOV",IF(MONTH('Other financial Liabilities'!I70)=12,"DEZ",""))))))))))))&amp;LEFT(YEAR('Other financial Liabilities'!I70),2),"")))</f>
        <v>SOCIETE GENERALE</v>
      </c>
      <c r="I76" s="14" t="str">
        <f>IF(F76="c004x   - Institutions",'Other financial Liabilities'!H70,IF(F76="c001x   - Households","Critical Service Liability "&amp;IF(MONTH('Other financial Liabilities'!I70)=1,"January ",IF(MONTH('Other financial Liabilities'!I70)=2,"February ",IF(MONTH('Other financial Liabilities'!I70)=3,"March ",IF(MONTH('Other financial Liabilities'!I70)=4, "April ",IF(MONTH('Other financial Liabilities'!I70)=5,"May ",IF(MONTH('Other financial Liabilities'!I70)=6,"June ",IF(MONTH('Other financial Liabilities'!I70)=7,"July ",IF(MONTH('Other financial Liabilities'!I70)=8,"August ",IF(MONTH('Other financial Liabilities'!I70)=9,"September ",IF(MONTH('Other financial Liabilities'!I70)=10,"October",  IF(MONTH('Other financial Liabilities'!I70)=11,"November ",IF(MONTH('Other financial Liabilities'!I70)=12,"December ",""))))))))))))&amp;YEAR('Other financial Liabilities'!I70),IF(F76="c008x   - Government, central banks &amp; supranationals","Tax Liability "&amp;IF(MONTH('Other financial Liabilities'!I70)=1,"January ",IF(MONTH('Other financial Liabilities'!I70)=2,"February ",IF(MONTH('Other financial Liabilities'!I70)=3,"March ",IF(MONTH('Other financial Liabilities'!I70)=4,"April ",IF(MONTH('Other financial Liabilities'!I70)=5,"May ",IF(MONTH('Other financial Liabilities'!I70)=6,"June ",IF(MONTH('Other financial Liabilities'!I70)=7,"July ",IF(MONTH('Other financial Liabilities'!I70)=8, "August ",  IF(MONTH('Other financial Liabilities'!I70)=9,"September ",IF(MONTH('Other financial Liabilities'!I70)=10,"October ",IF(MONTH('Other financial Liabilities'!I70)=11,"November ",IF(MONTH('Other financial Liabilities'!I70)=12,"December ",""))))))))))))&amp;YEAR('Other financial Liabilities'!I70),"")))</f>
        <v>SOCIETE GENERALE</v>
      </c>
      <c r="J76" s="14" t="str">
        <f>+IF(OR('Other financial Liabilities'!C70="",'Other financial Liabilities'!C70="#"),IF('Other financial Liabilities'!A70="",IF(F76="c001x   - Households","CSL"&amp;"001",IF(F76="c008x   - Government, central banks &amp; supranationals","TL"&amp;"001")),'Other financial Liabilities'!A70),'Other financial Liabilities'!C70)</f>
        <v>8000181482</v>
      </c>
      <c r="K76" s="14" t="str">
        <f>+IF(J76='Other financial Liabilities'!C70,"LEI code","Type of identifier, other than LEI or MFI code")</f>
        <v>Type of identifier, other than LEI or MFI code</v>
      </c>
      <c r="L76" s="14" t="s">
        <v>197</v>
      </c>
      <c r="M76" s="14" t="s">
        <v>198</v>
      </c>
      <c r="N76" s="14" t="s">
        <v>199</v>
      </c>
      <c r="O76" s="15">
        <v>7543.83</v>
      </c>
      <c r="P76" s="15">
        <f>IF('Other financial Liabilities'!E70="",0,'Other financial Liabilities'!E70)</f>
        <v>0</v>
      </c>
      <c r="Q76" s="14">
        <f>IF('Other financial Liabilities'!F70="",0,'Other financial Liabilities'!F70)</f>
        <v>0</v>
      </c>
      <c r="R76" s="14" t="s">
        <v>212</v>
      </c>
      <c r="S76" s="16" t="s">
        <v>250</v>
      </c>
      <c r="T76" s="16">
        <f t="shared" si="7"/>
        <v>44928</v>
      </c>
      <c r="U76" s="16">
        <f t="shared" si="8"/>
        <v>44928</v>
      </c>
      <c r="V76" s="14" t="s">
        <v>200</v>
      </c>
      <c r="W76" s="15">
        <v>0</v>
      </c>
      <c r="X76" s="15">
        <v>0</v>
      </c>
      <c r="Y76" s="15">
        <v>0</v>
      </c>
      <c r="Z76" s="14" t="s">
        <v>201</v>
      </c>
      <c r="AA76" s="15">
        <v>0</v>
      </c>
      <c r="AB76" s="14" t="s">
        <v>202</v>
      </c>
      <c r="AC76" s="17">
        <v>0</v>
      </c>
      <c r="AD76" s="20"/>
    </row>
    <row r="77" spans="3:30" ht="45.75" customHeight="1" thickBot="1" x14ac:dyDescent="0.5">
      <c r="C77" s="12">
        <f t="shared" si="5"/>
        <v>999</v>
      </c>
      <c r="D77" s="13">
        <f t="shared" si="9"/>
        <v>70</v>
      </c>
      <c r="E77" s="14" t="str">
        <f>IF(AND('Other financial Liabilities'!K71="",'Other financial Liabilities'!J71=1),"r0180 - Critical service liabilities (BRRD art. 44/2/g/ii)",IF(AND('Other financial Liabilities'!K71="",'Other financial Liabilities'!J71=2),"r0190 - Tax and social security authorities liabilities, if preferred (BRRD art. 44/2/g/iii)",'Other financial Liabilities'!K71))</f>
        <v>r0150 - Institution liabilities &lt; 7 days (BRRD art. 44/2/e)</v>
      </c>
      <c r="F77" s="14" t="str">
        <f>IF(OR('Other financial Liabilities'!G71="particulares",'Other financial Liabilities'!J71=1),"c001x   - Households",IF('Other financial Liabilities'!G71="outras empresas nao financeiras","c003x   - Corporates",IF('Other financial Liabilities'!G71="instituicoes de credito","c004x   - Institutions",IF('Other financial Liabilities'!G71="outras instituicoes financeiras","c005x   - Other financial corporations",IF(OR('Other financial Liabilities'!G71="setor publico",'Other financial Liabilities'!J71=2),"c008x   - Government, central banks &amp; supranationals","")))))</f>
        <v>c004x   - Institutions</v>
      </c>
      <c r="G77" s="14" t="str">
        <f t="shared" si="6"/>
        <v>Rank 9 - Ranking in insolvency (master scale)</v>
      </c>
      <c r="H77" s="14" t="str">
        <f>IF(F77="c004x   - Institutions",'Other financial Liabilities'!H71,IF(F77="c001x   - Households","CSL"&amp;IF(MONTH('Other financial Liabilities'!I71)=1,"JAN",IF(MONTH('Other financial Liabilities'!I71)=2,"FEV",IF(MONTH('Other financial Liabilities'!I71)=3,"MAR",IF(MONTH('Other financial Liabilities'!I71)=4,"ABR",IF(MONTH('Other financial Liabilities'!I71)=5,"MAI",IF(MONTH('Other financial Liabilities'!I71)=6,"JUN",IF(MONTH('Other financial Liabilities'!I71)=7,"JUL",IF(MONTH('Other financial Liabilities'!I71)=8,"AGO",IF(MONTH('Other financial Liabilities'!I71)=9,"SET",IF(MONTH('Other financial Liabilities'!I71)=10,"OUT",IF(MONTH('Other financial Liabilities'!I71)=11,"NOV",IF(MONTH('Other financial Liabilities'!I71)=12,"DEZ",""))))))))))))&amp;LEFT(YEAR('Other financial Liabilities'!I71),2),IF(F77="c008x   - Government, central banks &amp; supranationals","TL"&amp;IF(MONTH('Other financial Liabilities'!I71)=1,"JAN",IF(MONTH('Other financial Liabilities'!I71)=2,"FEV",IF(MONTH('Other financial Liabilities'!I71)=3,"MAR",IF(MONTH('Other financial Liabilities'!I71)=4,"ABR",IF(MONTH('Other financial Liabilities'!I71)=5,"MAI",IF(MONTH('Other financial Liabilities'!I71)=6,"JUN",IF(MONTH('Other financial Liabilities'!I71)=7,"JUL",IF(MONTH('Other financial Liabilities'!I71)=8,"AGO",IF(MONTH('Other financial Liabilities'!I71)=9,"SET",IF(MONTH('Other financial Liabilities'!I71)=10,"OUT",IF(MONTH('Other financial Liabilities'!I71)=11,"NOV",IF(MONTH('Other financial Liabilities'!I71)=12,"DEZ",""))))))))))))&amp;LEFT(YEAR('Other financial Liabilities'!I71),2),"")))</f>
        <v>NATIONAL WESTMINSTER BANK PLC</v>
      </c>
      <c r="I77" s="14" t="str">
        <f>IF(F77="c004x   - Institutions",'Other financial Liabilities'!H71,IF(F77="c001x   - Households","Critical Service Liability "&amp;IF(MONTH('Other financial Liabilities'!I71)=1,"January ",IF(MONTH('Other financial Liabilities'!I71)=2,"February ",IF(MONTH('Other financial Liabilities'!I71)=3,"March ",IF(MONTH('Other financial Liabilities'!I71)=4, "April ",IF(MONTH('Other financial Liabilities'!I71)=5,"May ",IF(MONTH('Other financial Liabilities'!I71)=6,"June ",IF(MONTH('Other financial Liabilities'!I71)=7,"July ",IF(MONTH('Other financial Liabilities'!I71)=8,"August ",IF(MONTH('Other financial Liabilities'!I71)=9,"September ",IF(MONTH('Other financial Liabilities'!I71)=10,"October",  IF(MONTH('Other financial Liabilities'!I71)=11,"November ",IF(MONTH('Other financial Liabilities'!I71)=12,"December ",""))))))))))))&amp;YEAR('Other financial Liabilities'!I71),IF(F77="c008x   - Government, central banks &amp; supranationals","Tax Liability "&amp;IF(MONTH('Other financial Liabilities'!I71)=1,"January ",IF(MONTH('Other financial Liabilities'!I71)=2,"February ",IF(MONTH('Other financial Liabilities'!I71)=3,"March ",IF(MONTH('Other financial Liabilities'!I71)=4,"April ",IF(MONTH('Other financial Liabilities'!I71)=5,"May ",IF(MONTH('Other financial Liabilities'!I71)=6,"June ",IF(MONTH('Other financial Liabilities'!I71)=7,"July ",IF(MONTH('Other financial Liabilities'!I71)=8, "August ",  IF(MONTH('Other financial Liabilities'!I71)=9,"September ",IF(MONTH('Other financial Liabilities'!I71)=10,"October ",IF(MONTH('Other financial Liabilities'!I71)=11,"November ",IF(MONTH('Other financial Liabilities'!I71)=12,"December ",""))))))))))))&amp;YEAR('Other financial Liabilities'!I71),"")))</f>
        <v>NATIONAL WESTMINSTER BANK PLC</v>
      </c>
      <c r="J77" s="14" t="str">
        <f>+IF(OR('Other financial Liabilities'!C71="",'Other financial Liabilities'!C71="#"),IF('Other financial Liabilities'!A71="",IF(F77="c001x   - Households","CSL"&amp;"001",IF(F77="c008x   - Government, central banks &amp; supranationals","TL"&amp;"001")),'Other financial Liabilities'!A71),'Other financial Liabilities'!C71)</f>
        <v>8000376682</v>
      </c>
      <c r="K77" s="14" t="str">
        <f>+IF(J77='Other financial Liabilities'!C71,"LEI code","Type of identifier, other than LEI or MFI code")</f>
        <v>Type of identifier, other than LEI or MFI code</v>
      </c>
      <c r="L77" s="14" t="s">
        <v>197</v>
      </c>
      <c r="M77" s="14" t="s">
        <v>198</v>
      </c>
      <c r="N77" s="14" t="s">
        <v>199</v>
      </c>
      <c r="O77" s="15">
        <v>6986.92</v>
      </c>
      <c r="P77" s="15">
        <f>IF('Other financial Liabilities'!E71="",0,'Other financial Liabilities'!E71)</f>
        <v>0</v>
      </c>
      <c r="Q77" s="14">
        <f>IF('Other financial Liabilities'!F71="",0,'Other financial Liabilities'!F71)</f>
        <v>0</v>
      </c>
      <c r="R77" s="14" t="s">
        <v>210</v>
      </c>
      <c r="S77" s="16" t="s">
        <v>250</v>
      </c>
      <c r="T77" s="16">
        <f t="shared" si="7"/>
        <v>44928</v>
      </c>
      <c r="U77" s="16">
        <f t="shared" si="8"/>
        <v>44928</v>
      </c>
      <c r="V77" s="14" t="s">
        <v>200</v>
      </c>
      <c r="W77" s="15">
        <v>0</v>
      </c>
      <c r="X77" s="15">
        <v>0</v>
      </c>
      <c r="Y77" s="15">
        <v>0</v>
      </c>
      <c r="Z77" s="14" t="s">
        <v>201</v>
      </c>
      <c r="AA77" s="15">
        <v>0</v>
      </c>
      <c r="AB77" s="14" t="s">
        <v>202</v>
      </c>
      <c r="AC77" s="17">
        <v>0</v>
      </c>
      <c r="AD77" s="20"/>
    </row>
    <row r="78" spans="3:30" ht="45.75" customHeight="1" thickBot="1" x14ac:dyDescent="0.5">
      <c r="C78" s="12">
        <f t="shared" si="5"/>
        <v>999</v>
      </c>
      <c r="D78" s="13">
        <f t="shared" si="9"/>
        <v>71</v>
      </c>
      <c r="E78" s="14" t="str">
        <f>IF(AND('Other financial Liabilities'!K72="",'Other financial Liabilities'!J72=1),"r0180 - Critical service liabilities (BRRD art. 44/2/g/ii)",IF(AND('Other financial Liabilities'!K72="",'Other financial Liabilities'!J72=2),"r0190 - Tax and social security authorities liabilities, if preferred (BRRD art. 44/2/g/iii)",'Other financial Liabilities'!K72))</f>
        <v>r0150 - Institution liabilities &lt; 7 days (BRRD art. 44/2/e)</v>
      </c>
      <c r="F78" s="14" t="str">
        <f>IF(OR('Other financial Liabilities'!G72="particulares",'Other financial Liabilities'!J72=1),"c001x   - Households",IF('Other financial Liabilities'!G72="outras empresas nao financeiras","c003x   - Corporates",IF('Other financial Liabilities'!G72="instituicoes de credito","c004x   - Institutions",IF('Other financial Liabilities'!G72="outras instituicoes financeiras","c005x   - Other financial corporations",IF(OR('Other financial Liabilities'!G72="setor publico",'Other financial Liabilities'!J72=2),"c008x   - Government, central banks &amp; supranationals","")))))</f>
        <v>c004x   - Institutions</v>
      </c>
      <c r="G78" s="14" t="str">
        <f t="shared" si="6"/>
        <v>Rank 9 - Ranking in insolvency (master scale)</v>
      </c>
      <c r="H78" s="14" t="str">
        <f>IF(F78="c004x   - Institutions",'Other financial Liabilities'!H72,IF(F78="c001x   - Households","CSL"&amp;IF(MONTH('Other financial Liabilities'!I72)=1,"JAN",IF(MONTH('Other financial Liabilities'!I72)=2,"FEV",IF(MONTH('Other financial Liabilities'!I72)=3,"MAR",IF(MONTH('Other financial Liabilities'!I72)=4,"ABR",IF(MONTH('Other financial Liabilities'!I72)=5,"MAI",IF(MONTH('Other financial Liabilities'!I72)=6,"JUN",IF(MONTH('Other financial Liabilities'!I72)=7,"JUL",IF(MONTH('Other financial Liabilities'!I72)=8,"AGO",IF(MONTH('Other financial Liabilities'!I72)=9,"SET",IF(MONTH('Other financial Liabilities'!I72)=10,"OUT",IF(MONTH('Other financial Liabilities'!I72)=11,"NOV",IF(MONTH('Other financial Liabilities'!I72)=12,"DEZ",""))))))))))))&amp;LEFT(YEAR('Other financial Liabilities'!I72),2),IF(F78="c008x   - Government, central banks &amp; supranationals","TL"&amp;IF(MONTH('Other financial Liabilities'!I72)=1,"JAN",IF(MONTH('Other financial Liabilities'!I72)=2,"FEV",IF(MONTH('Other financial Liabilities'!I72)=3,"MAR",IF(MONTH('Other financial Liabilities'!I72)=4,"ABR",IF(MONTH('Other financial Liabilities'!I72)=5,"MAI",IF(MONTH('Other financial Liabilities'!I72)=6,"JUN",IF(MONTH('Other financial Liabilities'!I72)=7,"JUL",IF(MONTH('Other financial Liabilities'!I72)=8,"AGO",IF(MONTH('Other financial Liabilities'!I72)=9,"SET",IF(MONTH('Other financial Liabilities'!I72)=10,"OUT",IF(MONTH('Other financial Liabilities'!I72)=11,"NOV",IF(MONTH('Other financial Liabilities'!I72)=12,"DEZ",""))))))))))))&amp;LEFT(YEAR('Other financial Liabilities'!I72),2),"")))</f>
        <v>CAIXA ECONOMICA DA MISERICORDIA DE ANGRA DO HEROISMO</v>
      </c>
      <c r="I78" s="14" t="str">
        <f>IF(F78="c004x   - Institutions",'Other financial Liabilities'!H72,IF(F78="c001x   - Households","Critical Service Liability "&amp;IF(MONTH('Other financial Liabilities'!I72)=1,"January ",IF(MONTH('Other financial Liabilities'!I72)=2,"February ",IF(MONTH('Other financial Liabilities'!I72)=3,"March ",IF(MONTH('Other financial Liabilities'!I72)=4, "April ",IF(MONTH('Other financial Liabilities'!I72)=5,"May ",IF(MONTH('Other financial Liabilities'!I72)=6,"June ",IF(MONTH('Other financial Liabilities'!I72)=7,"July ",IF(MONTH('Other financial Liabilities'!I72)=8,"August ",IF(MONTH('Other financial Liabilities'!I72)=9,"September ",IF(MONTH('Other financial Liabilities'!I72)=10,"October",  IF(MONTH('Other financial Liabilities'!I72)=11,"November ",IF(MONTH('Other financial Liabilities'!I72)=12,"December ",""))))))))))))&amp;YEAR('Other financial Liabilities'!I72),IF(F78="c008x   - Government, central banks &amp; supranationals","Tax Liability "&amp;IF(MONTH('Other financial Liabilities'!I72)=1,"January ",IF(MONTH('Other financial Liabilities'!I72)=2,"February ",IF(MONTH('Other financial Liabilities'!I72)=3,"March ",IF(MONTH('Other financial Liabilities'!I72)=4,"April ",IF(MONTH('Other financial Liabilities'!I72)=5,"May ",IF(MONTH('Other financial Liabilities'!I72)=6,"June ",IF(MONTH('Other financial Liabilities'!I72)=7,"July ",IF(MONTH('Other financial Liabilities'!I72)=8, "August ",  IF(MONTH('Other financial Liabilities'!I72)=9,"September ",IF(MONTH('Other financial Liabilities'!I72)=10,"October ",IF(MONTH('Other financial Liabilities'!I72)=11,"November ",IF(MONTH('Other financial Liabilities'!I72)=12,"December ",""))))))))))))&amp;YEAR('Other financial Liabilities'!I72),"")))</f>
        <v>CAIXA ECONOMICA DA MISERICORDIA DE ANGRA DO HEROISMO</v>
      </c>
      <c r="J78" s="14" t="str">
        <f>+IF(OR('Other financial Liabilities'!C72="",'Other financial Liabilities'!C72="#"),IF('Other financial Liabilities'!A72="",IF(F78="c001x   - Households","CSL"&amp;"001",IF(F78="c008x   - Government, central banks &amp; supranationals","TL"&amp;"001")),'Other financial Liabilities'!A72),'Other financial Liabilities'!C72)</f>
        <v>549300GR6DZ97DTA7913</v>
      </c>
      <c r="K78" s="14" t="str">
        <f>+IF(J78='Other financial Liabilities'!C72,"LEI code","Type of identifier, other than LEI or MFI code")</f>
        <v>LEI code</v>
      </c>
      <c r="L78" s="14" t="s">
        <v>197</v>
      </c>
      <c r="M78" s="14" t="s">
        <v>198</v>
      </c>
      <c r="N78" s="14" t="s">
        <v>199</v>
      </c>
      <c r="O78" s="15">
        <v>173618.47</v>
      </c>
      <c r="P78" s="15">
        <f>IF('Other financial Liabilities'!E72="",0,'Other financial Liabilities'!E72)</f>
        <v>0</v>
      </c>
      <c r="Q78" s="14">
        <f>IF('Other financial Liabilities'!F72="",0,'Other financial Liabilities'!F72)</f>
        <v>0</v>
      </c>
      <c r="R78" s="14" t="s">
        <v>212</v>
      </c>
      <c r="S78" s="16" t="s">
        <v>250</v>
      </c>
      <c r="T78" s="16">
        <f t="shared" si="7"/>
        <v>44928</v>
      </c>
      <c r="U78" s="16">
        <f t="shared" si="8"/>
        <v>44928</v>
      </c>
      <c r="V78" s="14" t="s">
        <v>200</v>
      </c>
      <c r="W78" s="15">
        <v>0</v>
      </c>
      <c r="X78" s="15">
        <v>0</v>
      </c>
      <c r="Y78" s="15">
        <v>0</v>
      </c>
      <c r="Z78" s="14" t="s">
        <v>201</v>
      </c>
      <c r="AA78" s="15">
        <v>0</v>
      </c>
      <c r="AB78" s="14" t="s">
        <v>202</v>
      </c>
      <c r="AC78" s="17">
        <v>0</v>
      </c>
      <c r="AD78" s="20"/>
    </row>
    <row r="79" spans="3:30" ht="45.75" customHeight="1" thickBot="1" x14ac:dyDescent="0.5">
      <c r="C79" s="12">
        <f t="shared" si="5"/>
        <v>999</v>
      </c>
      <c r="D79" s="13">
        <f t="shared" si="9"/>
        <v>72</v>
      </c>
      <c r="E79" s="14" t="str">
        <f>IF(AND('Other financial Liabilities'!K73="",'Other financial Liabilities'!J73=1),"r0180 - Critical service liabilities (BRRD art. 44/2/g/ii)",IF(AND('Other financial Liabilities'!K73="",'Other financial Liabilities'!J73=2),"r0190 - Tax and social security authorities liabilities, if preferred (BRRD art. 44/2/g/iii)",'Other financial Liabilities'!K73))</f>
        <v>r0150 - Institution liabilities &lt; 7 days (BRRD art. 44/2/e)</v>
      </c>
      <c r="F79" s="14" t="str">
        <f>IF(OR('Other financial Liabilities'!G73="particulares",'Other financial Liabilities'!J73=1),"c001x   - Households",IF('Other financial Liabilities'!G73="outras empresas nao financeiras","c003x   - Corporates",IF('Other financial Liabilities'!G73="instituicoes de credito","c004x   - Institutions",IF('Other financial Liabilities'!G73="outras instituicoes financeiras","c005x   - Other financial corporations",IF(OR('Other financial Liabilities'!G73="setor publico",'Other financial Liabilities'!J73=2),"c008x   - Government, central banks &amp; supranationals","")))))</f>
        <v>c004x   - Institutions</v>
      </c>
      <c r="G79" s="14" t="str">
        <f t="shared" si="6"/>
        <v>Rank 9 - Ranking in insolvency (master scale)</v>
      </c>
      <c r="H79" s="14" t="str">
        <f>IF(F79="c004x   - Institutions",'Other financial Liabilities'!H73,IF(F79="c001x   - Households","CSL"&amp;IF(MONTH('Other financial Liabilities'!I73)=1,"JAN",IF(MONTH('Other financial Liabilities'!I73)=2,"FEV",IF(MONTH('Other financial Liabilities'!I73)=3,"MAR",IF(MONTH('Other financial Liabilities'!I73)=4,"ABR",IF(MONTH('Other financial Liabilities'!I73)=5,"MAI",IF(MONTH('Other financial Liabilities'!I73)=6,"JUN",IF(MONTH('Other financial Liabilities'!I73)=7,"JUL",IF(MONTH('Other financial Liabilities'!I73)=8,"AGO",IF(MONTH('Other financial Liabilities'!I73)=9,"SET",IF(MONTH('Other financial Liabilities'!I73)=10,"OUT",IF(MONTH('Other financial Liabilities'!I73)=11,"NOV",IF(MONTH('Other financial Liabilities'!I73)=12,"DEZ",""))))))))))))&amp;LEFT(YEAR('Other financial Liabilities'!I73),2),IF(F79="c008x   - Government, central banks &amp; supranationals","TL"&amp;IF(MONTH('Other financial Liabilities'!I73)=1,"JAN",IF(MONTH('Other financial Liabilities'!I73)=2,"FEV",IF(MONTH('Other financial Liabilities'!I73)=3,"MAR",IF(MONTH('Other financial Liabilities'!I73)=4,"ABR",IF(MONTH('Other financial Liabilities'!I73)=5,"MAI",IF(MONTH('Other financial Liabilities'!I73)=6,"JUN",IF(MONTH('Other financial Liabilities'!I73)=7,"JUL",IF(MONTH('Other financial Liabilities'!I73)=8,"AGO",IF(MONTH('Other financial Liabilities'!I73)=9,"SET",IF(MONTH('Other financial Liabilities'!I73)=10,"OUT",IF(MONTH('Other financial Liabilities'!I73)=11,"NOV",IF(MONTH('Other financial Liabilities'!I73)=12,"DEZ",""))))))))))))&amp;LEFT(YEAR('Other financial Liabilities'!I73),2),"")))</f>
        <v>CAIXA CREDITO AGRICOLA MUTUO ACORES,CRL</v>
      </c>
      <c r="I79" s="14" t="str">
        <f>IF(F79="c004x   - Institutions",'Other financial Liabilities'!H73,IF(F79="c001x   - Households","Critical Service Liability "&amp;IF(MONTH('Other financial Liabilities'!I73)=1,"January ",IF(MONTH('Other financial Liabilities'!I73)=2,"February ",IF(MONTH('Other financial Liabilities'!I73)=3,"March ",IF(MONTH('Other financial Liabilities'!I73)=4, "April ",IF(MONTH('Other financial Liabilities'!I73)=5,"May ",IF(MONTH('Other financial Liabilities'!I73)=6,"June ",IF(MONTH('Other financial Liabilities'!I73)=7,"July ",IF(MONTH('Other financial Liabilities'!I73)=8,"August ",IF(MONTH('Other financial Liabilities'!I73)=9,"September ",IF(MONTH('Other financial Liabilities'!I73)=10,"October",  IF(MONTH('Other financial Liabilities'!I73)=11,"November ",IF(MONTH('Other financial Liabilities'!I73)=12,"December ",""))))))))))))&amp;YEAR('Other financial Liabilities'!I73),IF(F79="c008x   - Government, central banks &amp; supranationals","Tax Liability "&amp;IF(MONTH('Other financial Liabilities'!I73)=1,"January ",IF(MONTH('Other financial Liabilities'!I73)=2,"February ",IF(MONTH('Other financial Liabilities'!I73)=3,"March ",IF(MONTH('Other financial Liabilities'!I73)=4,"April ",IF(MONTH('Other financial Liabilities'!I73)=5,"May ",IF(MONTH('Other financial Liabilities'!I73)=6,"June ",IF(MONTH('Other financial Liabilities'!I73)=7,"July ",IF(MONTH('Other financial Liabilities'!I73)=8, "August ",  IF(MONTH('Other financial Liabilities'!I73)=9,"September ",IF(MONTH('Other financial Liabilities'!I73)=10,"October ",IF(MONTH('Other financial Liabilities'!I73)=11,"November ",IF(MONTH('Other financial Liabilities'!I73)=12,"December ",""))))))))))))&amp;YEAR('Other financial Liabilities'!I73),"")))</f>
        <v>CAIXA CREDITO AGRICOLA MUTUO ACORES,CRL</v>
      </c>
      <c r="J79" s="14" t="str">
        <f>+IF(OR('Other financial Liabilities'!C73="",'Other financial Liabilities'!C73="#"),IF('Other financial Liabilities'!A73="",IF(F79="c001x   - Households","CSL"&amp;"001",IF(F79="c008x   - Government, central banks &amp; supranationals","TL"&amp;"001")),'Other financial Liabilities'!A73),'Other financial Liabilities'!C73)</f>
        <v>8004998687</v>
      </c>
      <c r="K79" s="14" t="str">
        <f>+IF(J79='Other financial Liabilities'!C73,"LEI code","Type of identifier, other than LEI or MFI code")</f>
        <v>Type of identifier, other than LEI or MFI code</v>
      </c>
      <c r="L79" s="14" t="s">
        <v>197</v>
      </c>
      <c r="M79" s="14" t="s">
        <v>198</v>
      </c>
      <c r="N79" s="14" t="s">
        <v>199</v>
      </c>
      <c r="O79" s="15">
        <v>0.51</v>
      </c>
      <c r="P79" s="15">
        <f>IF('Other financial Liabilities'!E73="",0,'Other financial Liabilities'!E73)</f>
        <v>0</v>
      </c>
      <c r="Q79" s="14">
        <f>IF('Other financial Liabilities'!F73="",0,'Other financial Liabilities'!F73)</f>
        <v>2</v>
      </c>
      <c r="R79" s="14" t="s">
        <v>212</v>
      </c>
      <c r="S79" s="16" t="s">
        <v>250</v>
      </c>
      <c r="T79" s="16">
        <f t="shared" si="7"/>
        <v>44928</v>
      </c>
      <c r="U79" s="16">
        <f t="shared" si="8"/>
        <v>44928</v>
      </c>
      <c r="V79" s="14" t="s">
        <v>200</v>
      </c>
      <c r="W79" s="15">
        <v>0</v>
      </c>
      <c r="X79" s="15">
        <v>0</v>
      </c>
      <c r="Y79" s="15">
        <v>0</v>
      </c>
      <c r="Z79" s="14" t="s">
        <v>201</v>
      </c>
      <c r="AA79" s="15">
        <v>0</v>
      </c>
      <c r="AB79" s="14" t="s">
        <v>202</v>
      </c>
      <c r="AC79" s="17">
        <v>0</v>
      </c>
      <c r="AD79" s="20"/>
    </row>
    <row r="80" spans="3:30" ht="45.75" customHeight="1" thickBot="1" x14ac:dyDescent="0.5">
      <c r="C80" s="12">
        <f t="shared" si="5"/>
        <v>999</v>
      </c>
      <c r="D80" s="13">
        <f t="shared" si="9"/>
        <v>73</v>
      </c>
      <c r="E80" s="14" t="str">
        <f>IF(AND('Other financial Liabilities'!K74="",'Other financial Liabilities'!J74=1),"r0180 - Critical service liabilities (BRRD art. 44/2/g/ii)",IF(AND('Other financial Liabilities'!K74="",'Other financial Liabilities'!J74=2),"r0190 - Tax and social security authorities liabilities, if preferred (BRRD art. 44/2/g/iii)",'Other financial Liabilities'!K74))</f>
        <v>r0150 - Institution liabilities &lt; 7 days (BRRD art. 44/2/e)</v>
      </c>
      <c r="F80" s="14" t="str">
        <f>IF(OR('Other financial Liabilities'!G74="particulares",'Other financial Liabilities'!J74=1),"c001x   - Households",IF('Other financial Liabilities'!G74="outras empresas nao financeiras","c003x   - Corporates",IF('Other financial Liabilities'!G74="instituicoes de credito","c004x   - Institutions",IF('Other financial Liabilities'!G74="outras instituicoes financeiras","c005x   - Other financial corporations",IF(OR('Other financial Liabilities'!G74="setor publico",'Other financial Liabilities'!J74=2),"c008x   - Government, central banks &amp; supranationals","")))))</f>
        <v>c004x   - Institutions</v>
      </c>
      <c r="G80" s="14" t="str">
        <f t="shared" si="6"/>
        <v>Rank 9 - Ranking in insolvency (master scale)</v>
      </c>
      <c r="H80" s="14" t="str">
        <f>IF(F80="c004x   - Institutions",'Other financial Liabilities'!H74,IF(F80="c001x   - Households","CSL"&amp;IF(MONTH('Other financial Liabilities'!I74)=1,"JAN",IF(MONTH('Other financial Liabilities'!I74)=2,"FEV",IF(MONTH('Other financial Liabilities'!I74)=3,"MAR",IF(MONTH('Other financial Liabilities'!I74)=4,"ABR",IF(MONTH('Other financial Liabilities'!I74)=5,"MAI",IF(MONTH('Other financial Liabilities'!I74)=6,"JUN",IF(MONTH('Other financial Liabilities'!I74)=7,"JUL",IF(MONTH('Other financial Liabilities'!I74)=8,"AGO",IF(MONTH('Other financial Liabilities'!I74)=9,"SET",IF(MONTH('Other financial Liabilities'!I74)=10,"OUT",IF(MONTH('Other financial Liabilities'!I74)=11,"NOV",IF(MONTH('Other financial Liabilities'!I74)=12,"DEZ",""))))))))))))&amp;LEFT(YEAR('Other financial Liabilities'!I74),2),IF(F80="c008x   - Government, central banks &amp; supranationals","TL"&amp;IF(MONTH('Other financial Liabilities'!I74)=1,"JAN",IF(MONTH('Other financial Liabilities'!I74)=2,"FEV",IF(MONTH('Other financial Liabilities'!I74)=3,"MAR",IF(MONTH('Other financial Liabilities'!I74)=4,"ABR",IF(MONTH('Other financial Liabilities'!I74)=5,"MAI",IF(MONTH('Other financial Liabilities'!I74)=6,"JUN",IF(MONTH('Other financial Liabilities'!I74)=7,"JUL",IF(MONTH('Other financial Liabilities'!I74)=8,"AGO",IF(MONTH('Other financial Liabilities'!I74)=9,"SET",IF(MONTH('Other financial Liabilities'!I74)=10,"OUT",IF(MONTH('Other financial Liabilities'!I74)=11,"NOV",IF(MONTH('Other financial Liabilities'!I74)=12,"DEZ",""))))))))))))&amp;LEFT(YEAR('Other financial Liabilities'!I74),2),"")))</f>
        <v>BANK OF NOVA SCOTIA</v>
      </c>
      <c r="I80" s="14" t="str">
        <f>IF(F80="c004x   - Institutions",'Other financial Liabilities'!H74,IF(F80="c001x   - Households","Critical Service Liability "&amp;IF(MONTH('Other financial Liabilities'!I74)=1,"January ",IF(MONTH('Other financial Liabilities'!I74)=2,"February ",IF(MONTH('Other financial Liabilities'!I74)=3,"March ",IF(MONTH('Other financial Liabilities'!I74)=4, "April ",IF(MONTH('Other financial Liabilities'!I74)=5,"May ",IF(MONTH('Other financial Liabilities'!I74)=6,"June ",IF(MONTH('Other financial Liabilities'!I74)=7,"July ",IF(MONTH('Other financial Liabilities'!I74)=8,"August ",IF(MONTH('Other financial Liabilities'!I74)=9,"September ",IF(MONTH('Other financial Liabilities'!I74)=10,"October",  IF(MONTH('Other financial Liabilities'!I74)=11,"November ",IF(MONTH('Other financial Liabilities'!I74)=12,"December ",""))))))))))))&amp;YEAR('Other financial Liabilities'!I74),IF(F80="c008x   - Government, central banks &amp; supranationals","Tax Liability "&amp;IF(MONTH('Other financial Liabilities'!I74)=1,"January ",IF(MONTH('Other financial Liabilities'!I74)=2,"February ",IF(MONTH('Other financial Liabilities'!I74)=3,"March ",IF(MONTH('Other financial Liabilities'!I74)=4,"April ",IF(MONTH('Other financial Liabilities'!I74)=5,"May ",IF(MONTH('Other financial Liabilities'!I74)=6,"June ",IF(MONTH('Other financial Liabilities'!I74)=7,"July ",IF(MONTH('Other financial Liabilities'!I74)=8, "August ",  IF(MONTH('Other financial Liabilities'!I74)=9,"September ",IF(MONTH('Other financial Liabilities'!I74)=10,"October ",IF(MONTH('Other financial Liabilities'!I74)=11,"November ",IF(MONTH('Other financial Liabilities'!I74)=12,"December ",""))))))))))))&amp;YEAR('Other financial Liabilities'!I74),"")))</f>
        <v>BANK OF NOVA SCOTIA</v>
      </c>
      <c r="J80" s="14" t="str">
        <f>+IF(OR('Other financial Liabilities'!C74="",'Other financial Liabilities'!C74="#"),IF('Other financial Liabilities'!A74="",IF(F80="c001x   - Households","CSL"&amp;"001",IF(F80="c008x   - Government, central banks &amp; supranationals","TL"&amp;"001")),'Other financial Liabilities'!A74),'Other financial Liabilities'!C74)</f>
        <v>8006823295</v>
      </c>
      <c r="K80" s="14" t="str">
        <f>+IF(J80='Other financial Liabilities'!C74,"LEI code","Type of identifier, other than LEI or MFI code")</f>
        <v>Type of identifier, other than LEI or MFI code</v>
      </c>
      <c r="L80" s="14" t="s">
        <v>197</v>
      </c>
      <c r="M80" s="14" t="s">
        <v>198</v>
      </c>
      <c r="N80" s="14" t="s">
        <v>199</v>
      </c>
      <c r="O80" s="15">
        <v>44087.08</v>
      </c>
      <c r="P80" s="15">
        <f>IF('Other financial Liabilities'!E74="",0,'Other financial Liabilities'!E74)</f>
        <v>0</v>
      </c>
      <c r="Q80" s="14">
        <f>IF('Other financial Liabilities'!F74="",0,'Other financial Liabilities'!F74)</f>
        <v>0</v>
      </c>
      <c r="R80" s="14" t="s">
        <v>204</v>
      </c>
      <c r="S80" s="16" t="s">
        <v>250</v>
      </c>
      <c r="T80" s="16">
        <f t="shared" si="7"/>
        <v>44928</v>
      </c>
      <c r="U80" s="16">
        <f t="shared" si="8"/>
        <v>44928</v>
      </c>
      <c r="V80" s="14" t="s">
        <v>200</v>
      </c>
      <c r="W80" s="15">
        <v>0</v>
      </c>
      <c r="X80" s="15">
        <v>0</v>
      </c>
      <c r="Y80" s="15">
        <v>0</v>
      </c>
      <c r="Z80" s="14" t="s">
        <v>201</v>
      </c>
      <c r="AA80" s="15">
        <v>0</v>
      </c>
      <c r="AB80" s="14" t="s">
        <v>202</v>
      </c>
      <c r="AC80" s="17">
        <v>0</v>
      </c>
      <c r="AD80" s="20"/>
    </row>
    <row r="81" spans="3:30" ht="45.75" customHeight="1" thickBot="1" x14ac:dyDescent="0.5">
      <c r="C81" s="12">
        <f t="shared" si="5"/>
        <v>999</v>
      </c>
      <c r="D81" s="13">
        <f t="shared" si="9"/>
        <v>74</v>
      </c>
      <c r="E81" s="14" t="str">
        <f>IF(AND('Other financial Liabilities'!K75="",'Other financial Liabilities'!J75=1),"r0180 - Critical service liabilities (BRRD art. 44/2/g/ii)",IF(AND('Other financial Liabilities'!K75="",'Other financial Liabilities'!J75=2),"r0190 - Tax and social security authorities liabilities, if preferred (BRRD art. 44/2/g/iii)",'Other financial Liabilities'!K75))</f>
        <v>r0150 - Institution liabilities &lt; 7 days (BRRD art. 44/2/e)</v>
      </c>
      <c r="F81" s="14" t="str">
        <f>IF(OR('Other financial Liabilities'!G75="particulares",'Other financial Liabilities'!J75=1),"c001x   - Households",IF('Other financial Liabilities'!G75="outras empresas nao financeiras","c003x   - Corporates",IF('Other financial Liabilities'!G75="instituicoes de credito","c004x   - Institutions",IF('Other financial Liabilities'!G75="outras instituicoes financeiras","c005x   - Other financial corporations",IF(OR('Other financial Liabilities'!G75="setor publico",'Other financial Liabilities'!J75=2),"c008x   - Government, central banks &amp; supranationals","")))))</f>
        <v>c004x   - Institutions</v>
      </c>
      <c r="G81" s="14" t="str">
        <f t="shared" si="6"/>
        <v>Rank 9 - Ranking in insolvency (master scale)</v>
      </c>
      <c r="H81" s="14" t="str">
        <f>IF(F81="c004x   - Institutions",'Other financial Liabilities'!H75,IF(F81="c001x   - Households","CSL"&amp;IF(MONTH('Other financial Liabilities'!I75)=1,"JAN",IF(MONTH('Other financial Liabilities'!I75)=2,"FEV",IF(MONTH('Other financial Liabilities'!I75)=3,"MAR",IF(MONTH('Other financial Liabilities'!I75)=4,"ABR",IF(MONTH('Other financial Liabilities'!I75)=5,"MAI",IF(MONTH('Other financial Liabilities'!I75)=6,"JUN",IF(MONTH('Other financial Liabilities'!I75)=7,"JUL",IF(MONTH('Other financial Liabilities'!I75)=8,"AGO",IF(MONTH('Other financial Liabilities'!I75)=9,"SET",IF(MONTH('Other financial Liabilities'!I75)=10,"OUT",IF(MONTH('Other financial Liabilities'!I75)=11,"NOV",IF(MONTH('Other financial Liabilities'!I75)=12,"DEZ",""))))))))))))&amp;LEFT(YEAR('Other financial Liabilities'!I75),2),IF(F81="c008x   - Government, central banks &amp; supranationals","TL"&amp;IF(MONTH('Other financial Liabilities'!I75)=1,"JAN",IF(MONTH('Other financial Liabilities'!I75)=2,"FEV",IF(MONTH('Other financial Liabilities'!I75)=3,"MAR",IF(MONTH('Other financial Liabilities'!I75)=4,"ABR",IF(MONTH('Other financial Liabilities'!I75)=5,"MAI",IF(MONTH('Other financial Liabilities'!I75)=6,"JUN",IF(MONTH('Other financial Liabilities'!I75)=7,"JUL",IF(MONTH('Other financial Liabilities'!I75)=8,"AGO",IF(MONTH('Other financial Liabilities'!I75)=9,"SET",IF(MONTH('Other financial Liabilities'!I75)=10,"OUT",IF(MONTH('Other financial Liabilities'!I75)=11,"NOV",IF(MONTH('Other financial Liabilities'!I75)=12,"DEZ",""))))))))))))&amp;LEFT(YEAR('Other financial Liabilities'!I75),2),"")))</f>
        <v>UNICREDIT BANK AG</v>
      </c>
      <c r="I81" s="14" t="str">
        <f>IF(F81="c004x   - Institutions",'Other financial Liabilities'!H75,IF(F81="c001x   - Households","Critical Service Liability "&amp;IF(MONTH('Other financial Liabilities'!I75)=1,"January ",IF(MONTH('Other financial Liabilities'!I75)=2,"February ",IF(MONTH('Other financial Liabilities'!I75)=3,"March ",IF(MONTH('Other financial Liabilities'!I75)=4, "April ",IF(MONTH('Other financial Liabilities'!I75)=5,"May ",IF(MONTH('Other financial Liabilities'!I75)=6,"June ",IF(MONTH('Other financial Liabilities'!I75)=7,"July ",IF(MONTH('Other financial Liabilities'!I75)=8,"August ",IF(MONTH('Other financial Liabilities'!I75)=9,"September ",IF(MONTH('Other financial Liabilities'!I75)=10,"October",  IF(MONTH('Other financial Liabilities'!I75)=11,"November ",IF(MONTH('Other financial Liabilities'!I75)=12,"December ",""))))))))))))&amp;YEAR('Other financial Liabilities'!I75),IF(F81="c008x   - Government, central banks &amp; supranationals","Tax Liability "&amp;IF(MONTH('Other financial Liabilities'!I75)=1,"January ",IF(MONTH('Other financial Liabilities'!I75)=2,"February ",IF(MONTH('Other financial Liabilities'!I75)=3,"March ",IF(MONTH('Other financial Liabilities'!I75)=4,"April ",IF(MONTH('Other financial Liabilities'!I75)=5,"May ",IF(MONTH('Other financial Liabilities'!I75)=6,"June ",IF(MONTH('Other financial Liabilities'!I75)=7,"July ",IF(MONTH('Other financial Liabilities'!I75)=8, "August ",  IF(MONTH('Other financial Liabilities'!I75)=9,"September ",IF(MONTH('Other financial Liabilities'!I75)=10,"October ",IF(MONTH('Other financial Liabilities'!I75)=11,"November ",IF(MONTH('Other financial Liabilities'!I75)=12,"December ",""))))))))))))&amp;YEAR('Other financial Liabilities'!I75),"")))</f>
        <v>UNICREDIT BANK AG</v>
      </c>
      <c r="J81" s="14" t="str">
        <f>+IF(OR('Other financial Liabilities'!C75="",'Other financial Liabilities'!C75="#"),IF('Other financial Liabilities'!A75="",IF(F81="c001x   - Households","CSL"&amp;"001",IF(F81="c008x   - Government, central banks &amp; supranationals","TL"&amp;"001")),'Other financial Liabilities'!A75),'Other financial Liabilities'!C75)</f>
        <v>8006850481</v>
      </c>
      <c r="K81" s="14" t="str">
        <f>+IF(J81='Other financial Liabilities'!C75,"LEI code","Type of identifier, other than LEI or MFI code")</f>
        <v>Type of identifier, other than LEI or MFI code</v>
      </c>
      <c r="L81" s="14" t="s">
        <v>197</v>
      </c>
      <c r="M81" s="14" t="s">
        <v>198</v>
      </c>
      <c r="N81" s="14" t="s">
        <v>199</v>
      </c>
      <c r="O81" s="15">
        <v>1033521.27</v>
      </c>
      <c r="P81" s="15">
        <f>IF('Other financial Liabilities'!E75="",0,'Other financial Liabilities'!E75)</f>
        <v>0</v>
      </c>
      <c r="Q81" s="14">
        <f>IF('Other financial Liabilities'!F75="",0,'Other financial Liabilities'!F75)</f>
        <v>0</v>
      </c>
      <c r="R81" s="14" t="s">
        <v>212</v>
      </c>
      <c r="S81" s="16" t="s">
        <v>250</v>
      </c>
      <c r="T81" s="16">
        <f t="shared" si="7"/>
        <v>44928</v>
      </c>
      <c r="U81" s="16">
        <f t="shared" si="8"/>
        <v>44928</v>
      </c>
      <c r="V81" s="14" t="s">
        <v>200</v>
      </c>
      <c r="W81" s="15">
        <v>0</v>
      </c>
      <c r="X81" s="15">
        <v>0</v>
      </c>
      <c r="Y81" s="15">
        <v>0</v>
      </c>
      <c r="Z81" s="14" t="s">
        <v>201</v>
      </c>
      <c r="AA81" s="15">
        <v>0</v>
      </c>
      <c r="AB81" s="14" t="s">
        <v>202</v>
      </c>
      <c r="AC81" s="17">
        <v>0</v>
      </c>
      <c r="AD81" s="20"/>
    </row>
    <row r="82" spans="3:30" ht="45.75" customHeight="1" thickBot="1" x14ac:dyDescent="0.5">
      <c r="C82" s="12">
        <f t="shared" si="5"/>
        <v>999</v>
      </c>
      <c r="D82" s="13">
        <f t="shared" si="9"/>
        <v>75</v>
      </c>
      <c r="E82" s="14" t="str">
        <f>IF(AND('Other financial Liabilities'!K76="",'Other financial Liabilities'!J76=1),"r0180 - Critical service liabilities (BRRD art. 44/2/g/ii)",IF(AND('Other financial Liabilities'!K76="",'Other financial Liabilities'!J76=2),"r0190 - Tax and social security authorities liabilities, if preferred (BRRD art. 44/2/g/iii)",'Other financial Liabilities'!K76))</f>
        <v>r0150 - Institution liabilities &lt; 7 days (BRRD art. 44/2/e)</v>
      </c>
      <c r="F82" s="14" t="str">
        <f>IF(OR('Other financial Liabilities'!G76="particulares",'Other financial Liabilities'!J76=1),"c001x   - Households",IF('Other financial Liabilities'!G76="outras empresas nao financeiras","c003x   - Corporates",IF('Other financial Liabilities'!G76="instituicoes de credito","c004x   - Institutions",IF('Other financial Liabilities'!G76="outras instituicoes financeiras","c005x   - Other financial corporations",IF(OR('Other financial Liabilities'!G76="setor publico",'Other financial Liabilities'!J76=2),"c008x   - Government, central banks &amp; supranationals","")))))</f>
        <v>c004x   - Institutions</v>
      </c>
      <c r="G82" s="14" t="str">
        <f t="shared" si="6"/>
        <v>Rank 9 - Ranking in insolvency (master scale)</v>
      </c>
      <c r="H82" s="14" t="str">
        <f>IF(F82="c004x   - Institutions",'Other financial Liabilities'!H76,IF(F82="c001x   - Households","CSL"&amp;IF(MONTH('Other financial Liabilities'!I76)=1,"JAN",IF(MONTH('Other financial Liabilities'!I76)=2,"FEV",IF(MONTH('Other financial Liabilities'!I76)=3,"MAR",IF(MONTH('Other financial Liabilities'!I76)=4,"ABR",IF(MONTH('Other financial Liabilities'!I76)=5,"MAI",IF(MONTH('Other financial Liabilities'!I76)=6,"JUN",IF(MONTH('Other financial Liabilities'!I76)=7,"JUL",IF(MONTH('Other financial Liabilities'!I76)=8,"AGO",IF(MONTH('Other financial Liabilities'!I76)=9,"SET",IF(MONTH('Other financial Liabilities'!I76)=10,"OUT",IF(MONTH('Other financial Liabilities'!I76)=11,"NOV",IF(MONTH('Other financial Liabilities'!I76)=12,"DEZ",""))))))))))))&amp;LEFT(YEAR('Other financial Liabilities'!I76),2),IF(F82="c008x   - Government, central banks &amp; supranationals","TL"&amp;IF(MONTH('Other financial Liabilities'!I76)=1,"JAN",IF(MONTH('Other financial Liabilities'!I76)=2,"FEV",IF(MONTH('Other financial Liabilities'!I76)=3,"MAR",IF(MONTH('Other financial Liabilities'!I76)=4,"ABR",IF(MONTH('Other financial Liabilities'!I76)=5,"MAI",IF(MONTH('Other financial Liabilities'!I76)=6,"JUN",IF(MONTH('Other financial Liabilities'!I76)=7,"JUL",IF(MONTH('Other financial Liabilities'!I76)=8,"AGO",IF(MONTH('Other financial Liabilities'!I76)=9,"SET",IF(MONTH('Other financial Liabilities'!I76)=10,"OUT",IF(MONTH('Other financial Liabilities'!I76)=11,"NOV",IF(MONTH('Other financial Liabilities'!I76)=12,"DEZ",""))))))))))))&amp;LEFT(YEAR('Other financial Liabilities'!I76),2),"")))</f>
        <v>BNP PARIBAS PERSONAL FINANCE S.A. - SUCURSAL EM PORTUGAL</v>
      </c>
      <c r="I82" s="14" t="str">
        <f>IF(F82="c004x   - Institutions",'Other financial Liabilities'!H76,IF(F82="c001x   - Households","Critical Service Liability "&amp;IF(MONTH('Other financial Liabilities'!I76)=1,"January ",IF(MONTH('Other financial Liabilities'!I76)=2,"February ",IF(MONTH('Other financial Liabilities'!I76)=3,"March ",IF(MONTH('Other financial Liabilities'!I76)=4, "April ",IF(MONTH('Other financial Liabilities'!I76)=5,"May ",IF(MONTH('Other financial Liabilities'!I76)=6,"June ",IF(MONTH('Other financial Liabilities'!I76)=7,"July ",IF(MONTH('Other financial Liabilities'!I76)=8,"August ",IF(MONTH('Other financial Liabilities'!I76)=9,"September ",IF(MONTH('Other financial Liabilities'!I76)=10,"October",  IF(MONTH('Other financial Liabilities'!I76)=11,"November ",IF(MONTH('Other financial Liabilities'!I76)=12,"December ",""))))))))))))&amp;YEAR('Other financial Liabilities'!I76),IF(F82="c008x   - Government, central banks &amp; supranationals","Tax Liability "&amp;IF(MONTH('Other financial Liabilities'!I76)=1,"January ",IF(MONTH('Other financial Liabilities'!I76)=2,"February ",IF(MONTH('Other financial Liabilities'!I76)=3,"March ",IF(MONTH('Other financial Liabilities'!I76)=4,"April ",IF(MONTH('Other financial Liabilities'!I76)=5,"May ",IF(MONTH('Other financial Liabilities'!I76)=6,"June ",IF(MONTH('Other financial Liabilities'!I76)=7,"July ",IF(MONTH('Other financial Liabilities'!I76)=8, "August ",  IF(MONTH('Other financial Liabilities'!I76)=9,"September ",IF(MONTH('Other financial Liabilities'!I76)=10,"October ",IF(MONTH('Other financial Liabilities'!I76)=11,"November ",IF(MONTH('Other financial Liabilities'!I76)=12,"December ",""))))))))))))&amp;YEAR('Other financial Liabilities'!I76),"")))</f>
        <v>BNP PARIBAS PERSONAL FINANCE S.A. - SUCURSAL EM PORTUGAL</v>
      </c>
      <c r="J82" s="14" t="str">
        <f>+IF(OR('Other financial Liabilities'!C76="",'Other financial Liabilities'!C76="#"),IF('Other financial Liabilities'!A76="",IF(F82="c001x   - Households","CSL"&amp;"001",IF(F82="c008x   - Government, central banks &amp; supranationals","TL"&amp;"001")),'Other financial Liabilities'!A76),'Other financial Liabilities'!C76)</f>
        <v>8020455952</v>
      </c>
      <c r="K82" s="14" t="str">
        <f>+IF(J82='Other financial Liabilities'!C76,"LEI code","Type of identifier, other than LEI or MFI code")</f>
        <v>Type of identifier, other than LEI or MFI code</v>
      </c>
      <c r="L82" s="14" t="s">
        <v>197</v>
      </c>
      <c r="M82" s="14" t="s">
        <v>198</v>
      </c>
      <c r="N82" s="14" t="s">
        <v>199</v>
      </c>
      <c r="O82" s="15">
        <v>111158.84</v>
      </c>
      <c r="P82" s="15">
        <f>IF('Other financial Liabilities'!E76="",0,'Other financial Liabilities'!E76)</f>
        <v>0</v>
      </c>
      <c r="Q82" s="14">
        <f>IF('Other financial Liabilities'!F76="",0,'Other financial Liabilities'!F76)</f>
        <v>0</v>
      </c>
      <c r="R82" s="14" t="s">
        <v>212</v>
      </c>
      <c r="S82" s="16" t="s">
        <v>250</v>
      </c>
      <c r="T82" s="16">
        <f t="shared" si="7"/>
        <v>44928</v>
      </c>
      <c r="U82" s="16">
        <f t="shared" si="8"/>
        <v>44928</v>
      </c>
      <c r="V82" s="14" t="s">
        <v>200</v>
      </c>
      <c r="W82" s="15">
        <v>0</v>
      </c>
      <c r="X82" s="15">
        <v>0</v>
      </c>
      <c r="Y82" s="15">
        <v>0</v>
      </c>
      <c r="Z82" s="14" t="s">
        <v>201</v>
      </c>
      <c r="AA82" s="15">
        <v>0</v>
      </c>
      <c r="AB82" s="14" t="s">
        <v>202</v>
      </c>
      <c r="AC82" s="17">
        <v>0</v>
      </c>
      <c r="AD82" s="20"/>
    </row>
    <row r="83" spans="3:30" ht="45.75" customHeight="1" thickBot="1" x14ac:dyDescent="0.5">
      <c r="C83" s="12">
        <f t="shared" si="5"/>
        <v>999</v>
      </c>
      <c r="D83" s="13">
        <f t="shared" si="9"/>
        <v>76</v>
      </c>
      <c r="E83" s="14" t="str">
        <f>IF(AND('Other financial Liabilities'!K77="",'Other financial Liabilities'!J77=1),"r0180 - Critical service liabilities (BRRD art. 44/2/g/ii)",IF(AND('Other financial Liabilities'!K77="",'Other financial Liabilities'!J77=2),"r0190 - Tax and social security authorities liabilities, if preferred (BRRD art. 44/2/g/iii)",'Other financial Liabilities'!K77))</f>
        <v>r0150 - Institution liabilities &lt; 7 days (BRRD art. 44/2/e)</v>
      </c>
      <c r="F83" s="14" t="str">
        <f>IF(OR('Other financial Liabilities'!G77="particulares",'Other financial Liabilities'!J77=1),"c001x   - Households",IF('Other financial Liabilities'!G77="outras empresas nao financeiras","c003x   - Corporates",IF('Other financial Liabilities'!G77="instituicoes de credito","c004x   - Institutions",IF('Other financial Liabilities'!G77="outras instituicoes financeiras","c005x   - Other financial corporations",IF(OR('Other financial Liabilities'!G77="setor publico",'Other financial Liabilities'!J77=2),"c008x   - Government, central banks &amp; supranationals","")))))</f>
        <v>c004x   - Institutions</v>
      </c>
      <c r="G83" s="14" t="str">
        <f t="shared" si="6"/>
        <v>Rank 9 - Ranking in insolvency (master scale)</v>
      </c>
      <c r="H83" s="14" t="str">
        <f>IF(F83="c004x   - Institutions",'Other financial Liabilities'!H77,IF(F83="c001x   - Households","CSL"&amp;IF(MONTH('Other financial Liabilities'!I77)=1,"JAN",IF(MONTH('Other financial Liabilities'!I77)=2,"FEV",IF(MONTH('Other financial Liabilities'!I77)=3,"MAR",IF(MONTH('Other financial Liabilities'!I77)=4,"ABR",IF(MONTH('Other financial Liabilities'!I77)=5,"MAI",IF(MONTH('Other financial Liabilities'!I77)=6,"JUN",IF(MONTH('Other financial Liabilities'!I77)=7,"JUL",IF(MONTH('Other financial Liabilities'!I77)=8,"AGO",IF(MONTH('Other financial Liabilities'!I77)=9,"SET",IF(MONTH('Other financial Liabilities'!I77)=10,"OUT",IF(MONTH('Other financial Liabilities'!I77)=11,"NOV",IF(MONTH('Other financial Liabilities'!I77)=12,"DEZ",""))))))))))))&amp;LEFT(YEAR('Other financial Liabilities'!I77),2),IF(F83="c008x   - Government, central banks &amp; supranationals","TL"&amp;IF(MONTH('Other financial Liabilities'!I77)=1,"JAN",IF(MONTH('Other financial Liabilities'!I77)=2,"FEV",IF(MONTH('Other financial Liabilities'!I77)=3,"MAR",IF(MONTH('Other financial Liabilities'!I77)=4,"ABR",IF(MONTH('Other financial Liabilities'!I77)=5,"MAI",IF(MONTH('Other financial Liabilities'!I77)=6,"JUN",IF(MONTH('Other financial Liabilities'!I77)=7,"JUL",IF(MONTH('Other financial Liabilities'!I77)=8,"AGO",IF(MONTH('Other financial Liabilities'!I77)=9,"SET",IF(MONTH('Other financial Liabilities'!I77)=10,"OUT",IF(MONTH('Other financial Liabilities'!I77)=11,"NOV",IF(MONTH('Other financial Liabilities'!I77)=12,"DEZ",""))))))))))))&amp;LEFT(YEAR('Other financial Liabilities'!I77),2),"")))</f>
        <v>BANCO CAIXA GERAL ANGOLA S.A.</v>
      </c>
      <c r="I83" s="14" t="str">
        <f>IF(F83="c004x   - Institutions",'Other financial Liabilities'!H77,IF(F83="c001x   - Households","Critical Service Liability "&amp;IF(MONTH('Other financial Liabilities'!I77)=1,"January ",IF(MONTH('Other financial Liabilities'!I77)=2,"February ",IF(MONTH('Other financial Liabilities'!I77)=3,"March ",IF(MONTH('Other financial Liabilities'!I77)=4, "April ",IF(MONTH('Other financial Liabilities'!I77)=5,"May ",IF(MONTH('Other financial Liabilities'!I77)=6,"June ",IF(MONTH('Other financial Liabilities'!I77)=7,"July ",IF(MONTH('Other financial Liabilities'!I77)=8,"August ",IF(MONTH('Other financial Liabilities'!I77)=9,"September ",IF(MONTH('Other financial Liabilities'!I77)=10,"October",  IF(MONTH('Other financial Liabilities'!I77)=11,"November ",IF(MONTH('Other financial Liabilities'!I77)=12,"December ",""))))))))))))&amp;YEAR('Other financial Liabilities'!I77),IF(F83="c008x   - Government, central banks &amp; supranationals","Tax Liability "&amp;IF(MONTH('Other financial Liabilities'!I77)=1,"January ",IF(MONTH('Other financial Liabilities'!I77)=2,"February ",IF(MONTH('Other financial Liabilities'!I77)=3,"March ",IF(MONTH('Other financial Liabilities'!I77)=4,"April ",IF(MONTH('Other financial Liabilities'!I77)=5,"May ",IF(MONTH('Other financial Liabilities'!I77)=6,"June ",IF(MONTH('Other financial Liabilities'!I77)=7,"July ",IF(MONTH('Other financial Liabilities'!I77)=8, "August ",  IF(MONTH('Other financial Liabilities'!I77)=9,"September ",IF(MONTH('Other financial Liabilities'!I77)=10,"October ",IF(MONTH('Other financial Liabilities'!I77)=11,"November ",IF(MONTH('Other financial Liabilities'!I77)=12,"December ",""))))))))))))&amp;YEAR('Other financial Liabilities'!I77),"")))</f>
        <v>BANCO CAIXA GERAL ANGOLA S.A.</v>
      </c>
      <c r="J83" s="14" t="str">
        <f>+IF(OR('Other financial Liabilities'!C77="",'Other financial Liabilities'!C77="#"),IF('Other financial Liabilities'!A77="",IF(F83="c001x   - Households","CSL"&amp;"001",IF(F83="c008x   - Government, central banks &amp; supranationals","TL"&amp;"001")),'Other financial Liabilities'!A77),'Other financial Liabilities'!C77)</f>
        <v>8023082113</v>
      </c>
      <c r="K83" s="14" t="str">
        <f>+IF(J83='Other financial Liabilities'!C77,"LEI code","Type of identifier, other than LEI or MFI code")</f>
        <v>Type of identifier, other than LEI or MFI code</v>
      </c>
      <c r="L83" s="14" t="s">
        <v>197</v>
      </c>
      <c r="M83" s="14" t="s">
        <v>198</v>
      </c>
      <c r="N83" s="14" t="s">
        <v>199</v>
      </c>
      <c r="O83" s="15">
        <v>589494.88</v>
      </c>
      <c r="P83" s="15">
        <f>IF('Other financial Liabilities'!E77="",0,'Other financial Liabilities'!E77)</f>
        <v>0</v>
      </c>
      <c r="Q83" s="14">
        <f>IF('Other financial Liabilities'!F77="",0,'Other financial Liabilities'!F77)</f>
        <v>0</v>
      </c>
      <c r="R83" s="14" t="s">
        <v>212</v>
      </c>
      <c r="S83" s="16" t="s">
        <v>250</v>
      </c>
      <c r="T83" s="16">
        <f t="shared" si="7"/>
        <v>44928</v>
      </c>
      <c r="U83" s="16">
        <f t="shared" si="8"/>
        <v>44928</v>
      </c>
      <c r="V83" s="14" t="s">
        <v>200</v>
      </c>
      <c r="W83" s="15">
        <v>0</v>
      </c>
      <c r="X83" s="15">
        <v>0</v>
      </c>
      <c r="Y83" s="15">
        <v>0</v>
      </c>
      <c r="Z83" s="14" t="s">
        <v>201</v>
      </c>
      <c r="AA83" s="15">
        <v>0</v>
      </c>
      <c r="AB83" s="14" t="s">
        <v>202</v>
      </c>
      <c r="AC83" s="17">
        <v>0</v>
      </c>
      <c r="AD83" s="20"/>
    </row>
    <row r="84" spans="3:30" ht="45.75" customHeight="1" thickBot="1" x14ac:dyDescent="0.5">
      <c r="C84" s="12">
        <f t="shared" si="5"/>
        <v>999</v>
      </c>
      <c r="D84" s="13">
        <f t="shared" si="9"/>
        <v>77</v>
      </c>
      <c r="E84" s="14" t="str">
        <f>IF(AND('Other financial Liabilities'!K78="",'Other financial Liabilities'!J78=1),"r0180 - Critical service liabilities (BRRD art. 44/2/g/ii)",IF(AND('Other financial Liabilities'!K78="",'Other financial Liabilities'!J78=2),"r0190 - Tax and social security authorities liabilities, if preferred (BRRD art. 44/2/g/iii)",'Other financial Liabilities'!K78))</f>
        <v>r0150 - Institution liabilities &lt; 7 days (BRRD art. 44/2/e)</v>
      </c>
      <c r="F84" s="14" t="str">
        <f>IF(OR('Other financial Liabilities'!G78="particulares",'Other financial Liabilities'!J78=1),"c001x   - Households",IF('Other financial Liabilities'!G78="outras empresas nao financeiras","c003x   - Corporates",IF('Other financial Liabilities'!G78="instituicoes de credito","c004x   - Institutions",IF('Other financial Liabilities'!G78="outras instituicoes financeiras","c005x   - Other financial corporations",IF(OR('Other financial Liabilities'!G78="setor publico",'Other financial Liabilities'!J78=2),"c008x   - Government, central banks &amp; supranationals","")))))</f>
        <v>c004x   - Institutions</v>
      </c>
      <c r="G84" s="14" t="str">
        <f t="shared" si="6"/>
        <v>Rank 9 - Ranking in insolvency (master scale)</v>
      </c>
      <c r="H84" s="14" t="str">
        <f>IF(F84="c004x   - Institutions",'Other financial Liabilities'!H78,IF(F84="c001x   - Households","CSL"&amp;IF(MONTH('Other financial Liabilities'!I78)=1,"JAN",IF(MONTH('Other financial Liabilities'!I78)=2,"FEV",IF(MONTH('Other financial Liabilities'!I78)=3,"MAR",IF(MONTH('Other financial Liabilities'!I78)=4,"ABR",IF(MONTH('Other financial Liabilities'!I78)=5,"MAI",IF(MONTH('Other financial Liabilities'!I78)=6,"JUN",IF(MONTH('Other financial Liabilities'!I78)=7,"JUL",IF(MONTH('Other financial Liabilities'!I78)=8,"AGO",IF(MONTH('Other financial Liabilities'!I78)=9,"SET",IF(MONTH('Other financial Liabilities'!I78)=10,"OUT",IF(MONTH('Other financial Liabilities'!I78)=11,"NOV",IF(MONTH('Other financial Liabilities'!I78)=12,"DEZ",""))))))))))))&amp;LEFT(YEAR('Other financial Liabilities'!I78),2),IF(F84="c008x   - Government, central banks &amp; supranationals","TL"&amp;IF(MONTH('Other financial Liabilities'!I78)=1,"JAN",IF(MONTH('Other financial Liabilities'!I78)=2,"FEV",IF(MONTH('Other financial Liabilities'!I78)=3,"MAR",IF(MONTH('Other financial Liabilities'!I78)=4,"ABR",IF(MONTH('Other financial Liabilities'!I78)=5,"MAI",IF(MONTH('Other financial Liabilities'!I78)=6,"JUN",IF(MONTH('Other financial Liabilities'!I78)=7,"JUL",IF(MONTH('Other financial Liabilities'!I78)=8,"AGO",IF(MONTH('Other financial Liabilities'!I78)=9,"SET",IF(MONTH('Other financial Liabilities'!I78)=10,"OUT",IF(MONTH('Other financial Liabilities'!I78)=11,"NOV",IF(MONTH('Other financial Liabilities'!I78)=12,"DEZ",""))))))))))))&amp;LEFT(YEAR('Other financial Liabilities'!I78),2),"")))</f>
        <v>BANCO CAIXA GERAL ANGOLA S.A.</v>
      </c>
      <c r="I84" s="14" t="str">
        <f>IF(F84="c004x   - Institutions",'Other financial Liabilities'!H78,IF(F84="c001x   - Households","Critical Service Liability "&amp;IF(MONTH('Other financial Liabilities'!I78)=1,"January ",IF(MONTH('Other financial Liabilities'!I78)=2,"February ",IF(MONTH('Other financial Liabilities'!I78)=3,"March ",IF(MONTH('Other financial Liabilities'!I78)=4, "April ",IF(MONTH('Other financial Liabilities'!I78)=5,"May ",IF(MONTH('Other financial Liabilities'!I78)=6,"June ",IF(MONTH('Other financial Liabilities'!I78)=7,"July ",IF(MONTH('Other financial Liabilities'!I78)=8,"August ",IF(MONTH('Other financial Liabilities'!I78)=9,"September ",IF(MONTH('Other financial Liabilities'!I78)=10,"October",  IF(MONTH('Other financial Liabilities'!I78)=11,"November ",IF(MONTH('Other financial Liabilities'!I78)=12,"December ",""))))))))))))&amp;YEAR('Other financial Liabilities'!I78),IF(F84="c008x   - Government, central banks &amp; supranationals","Tax Liability "&amp;IF(MONTH('Other financial Liabilities'!I78)=1,"January ",IF(MONTH('Other financial Liabilities'!I78)=2,"February ",IF(MONTH('Other financial Liabilities'!I78)=3,"March ",IF(MONTH('Other financial Liabilities'!I78)=4,"April ",IF(MONTH('Other financial Liabilities'!I78)=5,"May ",IF(MONTH('Other financial Liabilities'!I78)=6,"June ",IF(MONTH('Other financial Liabilities'!I78)=7,"July ",IF(MONTH('Other financial Liabilities'!I78)=8, "August ",  IF(MONTH('Other financial Liabilities'!I78)=9,"September ",IF(MONTH('Other financial Liabilities'!I78)=10,"October ",IF(MONTH('Other financial Liabilities'!I78)=11,"November ",IF(MONTH('Other financial Liabilities'!I78)=12,"December ",""))))))))))))&amp;YEAR('Other financial Liabilities'!I78),"")))</f>
        <v>BANCO CAIXA GERAL ANGOLA S.A.</v>
      </c>
      <c r="J84" s="14" t="str">
        <f>+IF(OR('Other financial Liabilities'!C78="",'Other financial Liabilities'!C78="#"),IF('Other financial Liabilities'!A78="",IF(F84="c001x   - Households","CSL"&amp;"001",IF(F84="c008x   - Government, central banks &amp; supranationals","TL"&amp;"001")),'Other financial Liabilities'!A78),'Other financial Liabilities'!C78)</f>
        <v>8023082113</v>
      </c>
      <c r="K84" s="14" t="str">
        <f>+IF(J84='Other financial Liabilities'!C78,"LEI code","Type of identifier, other than LEI or MFI code")</f>
        <v>Type of identifier, other than LEI or MFI code</v>
      </c>
      <c r="L84" s="14" t="s">
        <v>197</v>
      </c>
      <c r="M84" s="14" t="s">
        <v>198</v>
      </c>
      <c r="N84" s="14" t="s">
        <v>199</v>
      </c>
      <c r="O84" s="15">
        <v>2179.89</v>
      </c>
      <c r="P84" s="15">
        <f>IF('Other financial Liabilities'!E78="",0,'Other financial Liabilities'!E78)</f>
        <v>0</v>
      </c>
      <c r="Q84" s="14">
        <f>IF('Other financial Liabilities'!F78="",0,'Other financial Liabilities'!F78)</f>
        <v>0</v>
      </c>
      <c r="R84" s="14" t="s">
        <v>207</v>
      </c>
      <c r="S84" s="16" t="s">
        <v>250</v>
      </c>
      <c r="T84" s="16">
        <f t="shared" si="7"/>
        <v>44928</v>
      </c>
      <c r="U84" s="16">
        <f t="shared" si="8"/>
        <v>44928</v>
      </c>
      <c r="V84" s="14" t="s">
        <v>200</v>
      </c>
      <c r="W84" s="15">
        <v>0</v>
      </c>
      <c r="X84" s="15">
        <v>0</v>
      </c>
      <c r="Y84" s="15">
        <v>0</v>
      </c>
      <c r="Z84" s="14" t="s">
        <v>201</v>
      </c>
      <c r="AA84" s="15">
        <v>0</v>
      </c>
      <c r="AB84" s="14" t="s">
        <v>202</v>
      </c>
      <c r="AC84" s="17">
        <v>0</v>
      </c>
      <c r="AD84" s="20"/>
    </row>
    <row r="85" spans="3:30" ht="45.75" customHeight="1" thickBot="1" x14ac:dyDescent="0.5">
      <c r="C85" s="12">
        <f t="shared" si="5"/>
        <v>999</v>
      </c>
      <c r="D85" s="13">
        <f t="shared" si="9"/>
        <v>78</v>
      </c>
      <c r="E85" s="14" t="str">
        <f>IF(AND('Other financial Liabilities'!K79="",'Other financial Liabilities'!J79=1),"r0180 - Critical service liabilities (BRRD art. 44/2/g/ii)",IF(AND('Other financial Liabilities'!K79="",'Other financial Liabilities'!J79=2),"r0190 - Tax and social security authorities liabilities, if preferred (BRRD art. 44/2/g/iii)",'Other financial Liabilities'!K79))</f>
        <v>r0150 - Institution liabilities &lt; 7 days (BRRD art. 44/2/e)</v>
      </c>
      <c r="F85" s="14" t="str">
        <f>IF(OR('Other financial Liabilities'!G79="particulares",'Other financial Liabilities'!J79=1),"c001x   - Households",IF('Other financial Liabilities'!G79="outras empresas nao financeiras","c003x   - Corporates",IF('Other financial Liabilities'!G79="instituicoes de credito","c004x   - Institutions",IF('Other financial Liabilities'!G79="outras instituicoes financeiras","c005x   - Other financial corporations",IF(OR('Other financial Liabilities'!G79="setor publico",'Other financial Liabilities'!J79=2),"c008x   - Government, central banks &amp; supranationals","")))))</f>
        <v>c004x   - Institutions</v>
      </c>
      <c r="G85" s="14" t="str">
        <f t="shared" si="6"/>
        <v>Rank 9 - Ranking in insolvency (master scale)</v>
      </c>
      <c r="H85" s="14" t="str">
        <f>IF(F85="c004x   - Institutions",'Other financial Liabilities'!H79,IF(F85="c001x   - Households","CSL"&amp;IF(MONTH('Other financial Liabilities'!I79)=1,"JAN",IF(MONTH('Other financial Liabilities'!I79)=2,"FEV",IF(MONTH('Other financial Liabilities'!I79)=3,"MAR",IF(MONTH('Other financial Liabilities'!I79)=4,"ABR",IF(MONTH('Other financial Liabilities'!I79)=5,"MAI",IF(MONTH('Other financial Liabilities'!I79)=6,"JUN",IF(MONTH('Other financial Liabilities'!I79)=7,"JUL",IF(MONTH('Other financial Liabilities'!I79)=8,"AGO",IF(MONTH('Other financial Liabilities'!I79)=9,"SET",IF(MONTH('Other financial Liabilities'!I79)=10,"OUT",IF(MONTH('Other financial Liabilities'!I79)=11,"NOV",IF(MONTH('Other financial Liabilities'!I79)=12,"DEZ",""))))))))))))&amp;LEFT(YEAR('Other financial Liabilities'!I79),2),IF(F85="c008x   - Government, central banks &amp; supranationals","TL"&amp;IF(MONTH('Other financial Liabilities'!I79)=1,"JAN",IF(MONTH('Other financial Liabilities'!I79)=2,"FEV",IF(MONTH('Other financial Liabilities'!I79)=3,"MAR",IF(MONTH('Other financial Liabilities'!I79)=4,"ABR",IF(MONTH('Other financial Liabilities'!I79)=5,"MAI",IF(MONTH('Other financial Liabilities'!I79)=6,"JUN",IF(MONTH('Other financial Liabilities'!I79)=7,"JUL",IF(MONTH('Other financial Liabilities'!I79)=8,"AGO",IF(MONTH('Other financial Liabilities'!I79)=9,"SET",IF(MONTH('Other financial Liabilities'!I79)=10,"OUT",IF(MONTH('Other financial Liabilities'!I79)=11,"NOV",IF(MONTH('Other financial Liabilities'!I79)=12,"DEZ",""))))))))))))&amp;LEFT(YEAR('Other financial Liabilities'!I79),2),"")))</f>
        <v>BANCO CAIXA GERAL ANGOLA S.A.</v>
      </c>
      <c r="I85" s="14" t="str">
        <f>IF(F85="c004x   - Institutions",'Other financial Liabilities'!H79,IF(F85="c001x   - Households","Critical Service Liability "&amp;IF(MONTH('Other financial Liabilities'!I79)=1,"January ",IF(MONTH('Other financial Liabilities'!I79)=2,"February ",IF(MONTH('Other financial Liabilities'!I79)=3,"March ",IF(MONTH('Other financial Liabilities'!I79)=4, "April ",IF(MONTH('Other financial Liabilities'!I79)=5,"May ",IF(MONTH('Other financial Liabilities'!I79)=6,"June ",IF(MONTH('Other financial Liabilities'!I79)=7,"July ",IF(MONTH('Other financial Liabilities'!I79)=8,"August ",IF(MONTH('Other financial Liabilities'!I79)=9,"September ",IF(MONTH('Other financial Liabilities'!I79)=10,"October",  IF(MONTH('Other financial Liabilities'!I79)=11,"November ",IF(MONTH('Other financial Liabilities'!I79)=12,"December ",""))))))))))))&amp;YEAR('Other financial Liabilities'!I79),IF(F85="c008x   - Government, central banks &amp; supranationals","Tax Liability "&amp;IF(MONTH('Other financial Liabilities'!I79)=1,"January ",IF(MONTH('Other financial Liabilities'!I79)=2,"February ",IF(MONTH('Other financial Liabilities'!I79)=3,"March ",IF(MONTH('Other financial Liabilities'!I79)=4,"April ",IF(MONTH('Other financial Liabilities'!I79)=5,"May ",IF(MONTH('Other financial Liabilities'!I79)=6,"June ",IF(MONTH('Other financial Liabilities'!I79)=7,"July ",IF(MONTH('Other financial Liabilities'!I79)=8, "August ",  IF(MONTH('Other financial Liabilities'!I79)=9,"September ",IF(MONTH('Other financial Liabilities'!I79)=10,"October ",IF(MONTH('Other financial Liabilities'!I79)=11,"November ",IF(MONTH('Other financial Liabilities'!I79)=12,"December ",""))))))))))))&amp;YEAR('Other financial Liabilities'!I79),"")))</f>
        <v>BANCO CAIXA GERAL ANGOLA S.A.</v>
      </c>
      <c r="J85" s="14" t="str">
        <f>+IF(OR('Other financial Liabilities'!C79="",'Other financial Liabilities'!C79="#"),IF('Other financial Liabilities'!A79="",IF(F85="c001x   - Households","CSL"&amp;"001",IF(F85="c008x   - Government, central banks &amp; supranationals","TL"&amp;"001")),'Other financial Liabilities'!A79),'Other financial Liabilities'!C79)</f>
        <v>8023082113</v>
      </c>
      <c r="K85" s="14" t="str">
        <f>+IF(J85='Other financial Liabilities'!C79,"LEI code","Type of identifier, other than LEI or MFI code")</f>
        <v>Type of identifier, other than LEI or MFI code</v>
      </c>
      <c r="L85" s="14" t="s">
        <v>197</v>
      </c>
      <c r="M85" s="14" t="s">
        <v>198</v>
      </c>
      <c r="N85" s="14" t="s">
        <v>199</v>
      </c>
      <c r="O85" s="15">
        <v>166732.5</v>
      </c>
      <c r="P85" s="15">
        <f>IF('Other financial Liabilities'!E79="",0,'Other financial Liabilities'!E79)</f>
        <v>0</v>
      </c>
      <c r="Q85" s="14">
        <f>IF('Other financial Liabilities'!F79="",0,'Other financial Liabilities'!F79)</f>
        <v>0</v>
      </c>
      <c r="R85" s="14" t="s">
        <v>210</v>
      </c>
      <c r="S85" s="16" t="s">
        <v>250</v>
      </c>
      <c r="T85" s="16">
        <f t="shared" si="7"/>
        <v>44928</v>
      </c>
      <c r="U85" s="16">
        <f t="shared" si="8"/>
        <v>44928</v>
      </c>
      <c r="V85" s="14" t="s">
        <v>200</v>
      </c>
      <c r="W85" s="15">
        <v>0</v>
      </c>
      <c r="X85" s="15">
        <v>0</v>
      </c>
      <c r="Y85" s="15">
        <v>0</v>
      </c>
      <c r="Z85" s="14" t="s">
        <v>201</v>
      </c>
      <c r="AA85" s="15">
        <v>0</v>
      </c>
      <c r="AB85" s="14" t="s">
        <v>202</v>
      </c>
      <c r="AC85" s="17">
        <v>0</v>
      </c>
      <c r="AD85" s="20"/>
    </row>
    <row r="86" spans="3:30" ht="45.75" customHeight="1" thickBot="1" x14ac:dyDescent="0.5">
      <c r="C86" s="12">
        <f t="shared" si="5"/>
        <v>999</v>
      </c>
      <c r="D86" s="13">
        <f t="shared" si="9"/>
        <v>79</v>
      </c>
      <c r="E86" s="14" t="str">
        <f>IF(AND('Other financial Liabilities'!K80="",'Other financial Liabilities'!J80=1),"r0180 - Critical service liabilities (BRRD art. 44/2/g/ii)",IF(AND('Other financial Liabilities'!K80="",'Other financial Liabilities'!J80=2),"r0190 - Tax and social security authorities liabilities, if preferred (BRRD art. 44/2/g/iii)",'Other financial Liabilities'!K80))</f>
        <v>r0150 - Institution liabilities &lt; 7 days (BRRD art. 44/2/e)</v>
      </c>
      <c r="F86" s="14" t="str">
        <f>IF(OR('Other financial Liabilities'!G80="particulares",'Other financial Liabilities'!J80=1),"c001x   - Households",IF('Other financial Liabilities'!G80="outras empresas nao financeiras","c003x   - Corporates",IF('Other financial Liabilities'!G80="instituicoes de credito","c004x   - Institutions",IF('Other financial Liabilities'!G80="outras instituicoes financeiras","c005x   - Other financial corporations",IF(OR('Other financial Liabilities'!G80="setor publico",'Other financial Liabilities'!J80=2),"c008x   - Government, central banks &amp; supranationals","")))))</f>
        <v>c004x   - Institutions</v>
      </c>
      <c r="G86" s="14" t="str">
        <f t="shared" si="6"/>
        <v>Rank 9 - Ranking in insolvency (master scale)</v>
      </c>
      <c r="H86" s="14" t="str">
        <f>IF(F86="c004x   - Institutions",'Other financial Liabilities'!H80,IF(F86="c001x   - Households","CSL"&amp;IF(MONTH('Other financial Liabilities'!I80)=1,"JAN",IF(MONTH('Other financial Liabilities'!I80)=2,"FEV",IF(MONTH('Other financial Liabilities'!I80)=3,"MAR",IF(MONTH('Other financial Liabilities'!I80)=4,"ABR",IF(MONTH('Other financial Liabilities'!I80)=5,"MAI",IF(MONTH('Other financial Liabilities'!I80)=6,"JUN",IF(MONTH('Other financial Liabilities'!I80)=7,"JUL",IF(MONTH('Other financial Liabilities'!I80)=8,"AGO",IF(MONTH('Other financial Liabilities'!I80)=9,"SET",IF(MONTH('Other financial Liabilities'!I80)=10,"OUT",IF(MONTH('Other financial Liabilities'!I80)=11,"NOV",IF(MONTH('Other financial Liabilities'!I80)=12,"DEZ",""))))))))))))&amp;LEFT(YEAR('Other financial Liabilities'!I80),2),IF(F86="c008x   - Government, central banks &amp; supranationals","TL"&amp;IF(MONTH('Other financial Liabilities'!I80)=1,"JAN",IF(MONTH('Other financial Liabilities'!I80)=2,"FEV",IF(MONTH('Other financial Liabilities'!I80)=3,"MAR",IF(MONTH('Other financial Liabilities'!I80)=4,"ABR",IF(MONTH('Other financial Liabilities'!I80)=5,"MAI",IF(MONTH('Other financial Liabilities'!I80)=6,"JUN",IF(MONTH('Other financial Liabilities'!I80)=7,"JUL",IF(MONTH('Other financial Liabilities'!I80)=8,"AGO",IF(MONTH('Other financial Liabilities'!I80)=9,"SET",IF(MONTH('Other financial Liabilities'!I80)=10,"OUT",IF(MONTH('Other financial Liabilities'!I80)=11,"NOV",IF(MONTH('Other financial Liabilities'!I80)=12,"DEZ",""))))))))))))&amp;LEFT(YEAR('Other financial Liabilities'!I80),2),"")))</f>
        <v>BANCO CAIXA GERAL ANGOLA S.A.</v>
      </c>
      <c r="I86" s="14" t="str">
        <f>IF(F86="c004x   - Institutions",'Other financial Liabilities'!H80,IF(F86="c001x   - Households","Critical Service Liability "&amp;IF(MONTH('Other financial Liabilities'!I80)=1,"January ",IF(MONTH('Other financial Liabilities'!I80)=2,"February ",IF(MONTH('Other financial Liabilities'!I80)=3,"March ",IF(MONTH('Other financial Liabilities'!I80)=4, "April ",IF(MONTH('Other financial Liabilities'!I80)=5,"May ",IF(MONTH('Other financial Liabilities'!I80)=6,"June ",IF(MONTH('Other financial Liabilities'!I80)=7,"July ",IF(MONTH('Other financial Liabilities'!I80)=8,"August ",IF(MONTH('Other financial Liabilities'!I80)=9,"September ",IF(MONTH('Other financial Liabilities'!I80)=10,"October",  IF(MONTH('Other financial Liabilities'!I80)=11,"November ",IF(MONTH('Other financial Liabilities'!I80)=12,"December ",""))))))))))))&amp;YEAR('Other financial Liabilities'!I80),IF(F86="c008x   - Government, central banks &amp; supranationals","Tax Liability "&amp;IF(MONTH('Other financial Liabilities'!I80)=1,"January ",IF(MONTH('Other financial Liabilities'!I80)=2,"February ",IF(MONTH('Other financial Liabilities'!I80)=3,"March ",IF(MONTH('Other financial Liabilities'!I80)=4,"April ",IF(MONTH('Other financial Liabilities'!I80)=5,"May ",IF(MONTH('Other financial Liabilities'!I80)=6,"June ",IF(MONTH('Other financial Liabilities'!I80)=7,"July ",IF(MONTH('Other financial Liabilities'!I80)=8, "August ",  IF(MONTH('Other financial Liabilities'!I80)=9,"September ",IF(MONTH('Other financial Liabilities'!I80)=10,"October ",IF(MONTH('Other financial Liabilities'!I80)=11,"November ",IF(MONTH('Other financial Liabilities'!I80)=12,"December ",""))))))))))))&amp;YEAR('Other financial Liabilities'!I80),"")))</f>
        <v>BANCO CAIXA GERAL ANGOLA S.A.</v>
      </c>
      <c r="J86" s="14" t="str">
        <f>+IF(OR('Other financial Liabilities'!C80="",'Other financial Liabilities'!C80="#"),IF('Other financial Liabilities'!A80="",IF(F86="c001x   - Households","CSL"&amp;"001",IF(F86="c008x   - Government, central banks &amp; supranationals","TL"&amp;"001")),'Other financial Liabilities'!A80),'Other financial Liabilities'!C80)</f>
        <v>8023082113</v>
      </c>
      <c r="K86" s="14" t="str">
        <f>+IF(J86='Other financial Liabilities'!C80,"LEI code","Type of identifier, other than LEI or MFI code")</f>
        <v>Type of identifier, other than LEI or MFI code</v>
      </c>
      <c r="L86" s="14" t="s">
        <v>197</v>
      </c>
      <c r="M86" s="14" t="s">
        <v>198</v>
      </c>
      <c r="N86" s="14" t="s">
        <v>199</v>
      </c>
      <c r="O86" s="15">
        <v>143229140.16999999</v>
      </c>
      <c r="P86" s="15">
        <f>IF('Other financial Liabilities'!E80="",0,'Other financial Liabilities'!E80)</f>
        <v>30165.95</v>
      </c>
      <c r="Q86" s="14">
        <f>IF('Other financial Liabilities'!F80="",0,'Other financial Liabilities'!F80)</f>
        <v>2.0249999999999999</v>
      </c>
      <c r="R86" s="14" t="s">
        <v>211</v>
      </c>
      <c r="S86" s="16" t="s">
        <v>250</v>
      </c>
      <c r="T86" s="16">
        <f t="shared" si="7"/>
        <v>44928</v>
      </c>
      <c r="U86" s="16">
        <f t="shared" si="8"/>
        <v>44928</v>
      </c>
      <c r="V86" s="14" t="s">
        <v>200</v>
      </c>
      <c r="W86" s="15">
        <v>0</v>
      </c>
      <c r="X86" s="15">
        <v>0</v>
      </c>
      <c r="Y86" s="15">
        <v>0</v>
      </c>
      <c r="Z86" s="14" t="s">
        <v>201</v>
      </c>
      <c r="AA86" s="15">
        <v>0</v>
      </c>
      <c r="AB86" s="14" t="s">
        <v>202</v>
      </c>
      <c r="AC86" s="17">
        <v>0</v>
      </c>
      <c r="AD86" s="20"/>
    </row>
    <row r="87" spans="3:30" ht="45.75" customHeight="1" thickBot="1" x14ac:dyDescent="0.5">
      <c r="C87" s="12">
        <f t="shared" si="5"/>
        <v>999</v>
      </c>
      <c r="D87" s="13">
        <f t="shared" si="9"/>
        <v>80</v>
      </c>
      <c r="E87" s="14" t="str">
        <f>IF(AND('Other financial Liabilities'!K81="",'Other financial Liabilities'!J81=1),"r0180 - Critical service liabilities (BRRD art. 44/2/g/ii)",IF(AND('Other financial Liabilities'!K81="",'Other financial Liabilities'!J81=2),"r0190 - Tax and social security authorities liabilities, if preferred (BRRD art. 44/2/g/iii)",'Other financial Liabilities'!K81))</f>
        <v>r0150 - Institution liabilities &lt; 7 days (BRRD art. 44/2/e)</v>
      </c>
      <c r="F87" s="14" t="str">
        <f>IF(OR('Other financial Liabilities'!G81="particulares",'Other financial Liabilities'!J81=1),"c001x   - Households",IF('Other financial Liabilities'!G81="outras empresas nao financeiras","c003x   - Corporates",IF('Other financial Liabilities'!G81="instituicoes de credito","c004x   - Institutions",IF('Other financial Liabilities'!G81="outras instituicoes financeiras","c005x   - Other financial corporations",IF(OR('Other financial Liabilities'!G81="setor publico",'Other financial Liabilities'!J81=2),"c008x   - Government, central banks &amp; supranationals","")))))</f>
        <v>c004x   - Institutions</v>
      </c>
      <c r="G87" s="14" t="str">
        <f t="shared" si="6"/>
        <v>Rank 9 - Ranking in insolvency (master scale)</v>
      </c>
      <c r="H87" s="14" t="str">
        <f>IF(F87="c004x   - Institutions",'Other financial Liabilities'!H81,IF(F87="c001x   - Households","CSL"&amp;IF(MONTH('Other financial Liabilities'!I81)=1,"JAN",IF(MONTH('Other financial Liabilities'!I81)=2,"FEV",IF(MONTH('Other financial Liabilities'!I81)=3,"MAR",IF(MONTH('Other financial Liabilities'!I81)=4,"ABR",IF(MONTH('Other financial Liabilities'!I81)=5,"MAI",IF(MONTH('Other financial Liabilities'!I81)=6,"JUN",IF(MONTH('Other financial Liabilities'!I81)=7,"JUL",IF(MONTH('Other financial Liabilities'!I81)=8,"AGO",IF(MONTH('Other financial Liabilities'!I81)=9,"SET",IF(MONTH('Other financial Liabilities'!I81)=10,"OUT",IF(MONTH('Other financial Liabilities'!I81)=11,"NOV",IF(MONTH('Other financial Liabilities'!I81)=12,"DEZ",""))))))))))))&amp;LEFT(YEAR('Other financial Liabilities'!I81),2),IF(F87="c008x   - Government, central banks &amp; supranationals","TL"&amp;IF(MONTH('Other financial Liabilities'!I81)=1,"JAN",IF(MONTH('Other financial Liabilities'!I81)=2,"FEV",IF(MONTH('Other financial Liabilities'!I81)=3,"MAR",IF(MONTH('Other financial Liabilities'!I81)=4,"ABR",IF(MONTH('Other financial Liabilities'!I81)=5,"MAI",IF(MONTH('Other financial Liabilities'!I81)=6,"JUN",IF(MONTH('Other financial Liabilities'!I81)=7,"JUL",IF(MONTH('Other financial Liabilities'!I81)=8,"AGO",IF(MONTH('Other financial Liabilities'!I81)=9,"SET",IF(MONTH('Other financial Liabilities'!I81)=10,"OUT",IF(MONTH('Other financial Liabilities'!I81)=11,"NOV",IF(MONTH('Other financial Liabilities'!I81)=12,"DEZ",""))))))))))))&amp;LEFT(YEAR('Other financial Liabilities'!I81),2),"")))</f>
        <v>BANCO CAIXA GERAL ANGOLA S.A.</v>
      </c>
      <c r="I87" s="14" t="str">
        <f>IF(F87="c004x   - Institutions",'Other financial Liabilities'!H81,IF(F87="c001x   - Households","Critical Service Liability "&amp;IF(MONTH('Other financial Liabilities'!I81)=1,"January ",IF(MONTH('Other financial Liabilities'!I81)=2,"February ",IF(MONTH('Other financial Liabilities'!I81)=3,"March ",IF(MONTH('Other financial Liabilities'!I81)=4, "April ",IF(MONTH('Other financial Liabilities'!I81)=5,"May ",IF(MONTH('Other financial Liabilities'!I81)=6,"June ",IF(MONTH('Other financial Liabilities'!I81)=7,"July ",IF(MONTH('Other financial Liabilities'!I81)=8,"August ",IF(MONTH('Other financial Liabilities'!I81)=9,"September ",IF(MONTH('Other financial Liabilities'!I81)=10,"October",  IF(MONTH('Other financial Liabilities'!I81)=11,"November ",IF(MONTH('Other financial Liabilities'!I81)=12,"December ",""))))))))))))&amp;YEAR('Other financial Liabilities'!I81),IF(F87="c008x   - Government, central banks &amp; supranationals","Tax Liability "&amp;IF(MONTH('Other financial Liabilities'!I81)=1,"January ",IF(MONTH('Other financial Liabilities'!I81)=2,"February ",IF(MONTH('Other financial Liabilities'!I81)=3,"March ",IF(MONTH('Other financial Liabilities'!I81)=4,"April ",IF(MONTH('Other financial Liabilities'!I81)=5,"May ",IF(MONTH('Other financial Liabilities'!I81)=6,"June ",IF(MONTH('Other financial Liabilities'!I81)=7,"July ",IF(MONTH('Other financial Liabilities'!I81)=8, "August ",  IF(MONTH('Other financial Liabilities'!I81)=9,"September ",IF(MONTH('Other financial Liabilities'!I81)=10,"October ",IF(MONTH('Other financial Liabilities'!I81)=11,"November ",IF(MONTH('Other financial Liabilities'!I81)=12,"December ",""))))))))))))&amp;YEAR('Other financial Liabilities'!I81),"")))</f>
        <v>BANCO CAIXA GERAL ANGOLA S.A.</v>
      </c>
      <c r="J87" s="14" t="str">
        <f>+IF(OR('Other financial Liabilities'!C81="",'Other financial Liabilities'!C81="#"),IF('Other financial Liabilities'!A81="",IF(F87="c001x   - Households","CSL"&amp;"001",IF(F87="c008x   - Government, central banks &amp; supranationals","TL"&amp;"001")),'Other financial Liabilities'!A81),'Other financial Liabilities'!C81)</f>
        <v>8023082113</v>
      </c>
      <c r="K87" s="14" t="str">
        <f>+IF(J87='Other financial Liabilities'!C81,"LEI code","Type of identifier, other than LEI or MFI code")</f>
        <v>Type of identifier, other than LEI or MFI code</v>
      </c>
      <c r="L87" s="14" t="s">
        <v>197</v>
      </c>
      <c r="M87" s="14" t="s">
        <v>198</v>
      </c>
      <c r="N87" s="14" t="s">
        <v>199</v>
      </c>
      <c r="O87" s="15">
        <v>11324.81</v>
      </c>
      <c r="P87" s="15">
        <f>IF('Other financial Liabilities'!E81="",0,'Other financial Liabilities'!E81)</f>
        <v>0</v>
      </c>
      <c r="Q87" s="14">
        <f>IF('Other financial Liabilities'!F81="",0,'Other financial Liabilities'!F81)</f>
        <v>0</v>
      </c>
      <c r="R87" s="14" t="s">
        <v>204</v>
      </c>
      <c r="S87" s="16" t="s">
        <v>250</v>
      </c>
      <c r="T87" s="16">
        <f t="shared" si="7"/>
        <v>44928</v>
      </c>
      <c r="U87" s="16">
        <f t="shared" si="8"/>
        <v>44928</v>
      </c>
      <c r="V87" s="14" t="s">
        <v>200</v>
      </c>
      <c r="W87" s="15">
        <v>0</v>
      </c>
      <c r="X87" s="15">
        <v>0</v>
      </c>
      <c r="Y87" s="15">
        <v>0</v>
      </c>
      <c r="Z87" s="14" t="s">
        <v>201</v>
      </c>
      <c r="AA87" s="15">
        <v>0</v>
      </c>
      <c r="AB87" s="14" t="s">
        <v>202</v>
      </c>
      <c r="AC87" s="17">
        <v>0</v>
      </c>
      <c r="AD87" s="20"/>
    </row>
    <row r="88" spans="3:30" ht="45.75" customHeight="1" thickBot="1" x14ac:dyDescent="0.5">
      <c r="C88" s="12">
        <f t="shared" si="5"/>
        <v>999</v>
      </c>
      <c r="D88" s="13">
        <f t="shared" si="9"/>
        <v>81</v>
      </c>
      <c r="E88" s="14" t="str">
        <f>IF(AND('Other financial Liabilities'!K82="",'Other financial Liabilities'!J82=1),"r0180 - Critical service liabilities (BRRD art. 44/2/g/ii)",IF(AND('Other financial Liabilities'!K82="",'Other financial Liabilities'!J82=2),"r0190 - Tax and social security authorities liabilities, if preferred (BRRD art. 44/2/g/iii)",'Other financial Liabilities'!K82))</f>
        <v>r0150 - Institution liabilities &lt; 7 days (BRRD art. 44/2/e)</v>
      </c>
      <c r="F88" s="14" t="str">
        <f>IF(OR('Other financial Liabilities'!G82="particulares",'Other financial Liabilities'!J82=1),"c001x   - Households",IF('Other financial Liabilities'!G82="outras empresas nao financeiras","c003x   - Corporates",IF('Other financial Liabilities'!G82="instituicoes de credito","c004x   - Institutions",IF('Other financial Liabilities'!G82="outras instituicoes financeiras","c005x   - Other financial corporations",IF(OR('Other financial Liabilities'!G82="setor publico",'Other financial Liabilities'!J82=2),"c008x   - Government, central banks &amp; supranationals","")))))</f>
        <v>c004x   - Institutions</v>
      </c>
      <c r="G88" s="14" t="str">
        <f t="shared" si="6"/>
        <v>Rank 9 - Ranking in insolvency (master scale)</v>
      </c>
      <c r="H88" s="14" t="str">
        <f>IF(F88="c004x   - Institutions",'Other financial Liabilities'!H82,IF(F88="c001x   - Households","CSL"&amp;IF(MONTH('Other financial Liabilities'!I82)=1,"JAN",IF(MONTH('Other financial Liabilities'!I82)=2,"FEV",IF(MONTH('Other financial Liabilities'!I82)=3,"MAR",IF(MONTH('Other financial Liabilities'!I82)=4,"ABR",IF(MONTH('Other financial Liabilities'!I82)=5,"MAI",IF(MONTH('Other financial Liabilities'!I82)=6,"JUN",IF(MONTH('Other financial Liabilities'!I82)=7,"JUL",IF(MONTH('Other financial Liabilities'!I82)=8,"AGO",IF(MONTH('Other financial Liabilities'!I82)=9,"SET",IF(MONTH('Other financial Liabilities'!I82)=10,"OUT",IF(MONTH('Other financial Liabilities'!I82)=11,"NOV",IF(MONTH('Other financial Liabilities'!I82)=12,"DEZ",""))))))))))))&amp;LEFT(YEAR('Other financial Liabilities'!I82),2),IF(F88="c008x   - Government, central banks &amp; supranationals","TL"&amp;IF(MONTH('Other financial Liabilities'!I82)=1,"JAN",IF(MONTH('Other financial Liabilities'!I82)=2,"FEV",IF(MONTH('Other financial Liabilities'!I82)=3,"MAR",IF(MONTH('Other financial Liabilities'!I82)=4,"ABR",IF(MONTH('Other financial Liabilities'!I82)=5,"MAI",IF(MONTH('Other financial Liabilities'!I82)=6,"JUN",IF(MONTH('Other financial Liabilities'!I82)=7,"JUL",IF(MONTH('Other financial Liabilities'!I82)=8,"AGO",IF(MONTH('Other financial Liabilities'!I82)=9,"SET",IF(MONTH('Other financial Liabilities'!I82)=10,"OUT",IF(MONTH('Other financial Liabilities'!I82)=11,"NOV",IF(MONTH('Other financial Liabilities'!I82)=12,"DEZ",""))))))))))))&amp;LEFT(YEAR('Other financial Liabilities'!I82),2),"")))</f>
        <v>BANCO CAIXA GERAL ANGOLA S.A.</v>
      </c>
      <c r="I88" s="14" t="str">
        <f>IF(F88="c004x   - Institutions",'Other financial Liabilities'!H82,IF(F88="c001x   - Households","Critical Service Liability "&amp;IF(MONTH('Other financial Liabilities'!I82)=1,"January ",IF(MONTH('Other financial Liabilities'!I82)=2,"February ",IF(MONTH('Other financial Liabilities'!I82)=3,"March ",IF(MONTH('Other financial Liabilities'!I82)=4, "April ",IF(MONTH('Other financial Liabilities'!I82)=5,"May ",IF(MONTH('Other financial Liabilities'!I82)=6,"June ",IF(MONTH('Other financial Liabilities'!I82)=7,"July ",IF(MONTH('Other financial Liabilities'!I82)=8,"August ",IF(MONTH('Other financial Liabilities'!I82)=9,"September ",IF(MONTH('Other financial Liabilities'!I82)=10,"October",  IF(MONTH('Other financial Liabilities'!I82)=11,"November ",IF(MONTH('Other financial Liabilities'!I82)=12,"December ",""))))))))))))&amp;YEAR('Other financial Liabilities'!I82),IF(F88="c008x   - Government, central banks &amp; supranationals","Tax Liability "&amp;IF(MONTH('Other financial Liabilities'!I82)=1,"January ",IF(MONTH('Other financial Liabilities'!I82)=2,"February ",IF(MONTH('Other financial Liabilities'!I82)=3,"March ",IF(MONTH('Other financial Liabilities'!I82)=4,"April ",IF(MONTH('Other financial Liabilities'!I82)=5,"May ",IF(MONTH('Other financial Liabilities'!I82)=6,"June ",IF(MONTH('Other financial Liabilities'!I82)=7,"July ",IF(MONTH('Other financial Liabilities'!I82)=8, "August ",  IF(MONTH('Other financial Liabilities'!I82)=9,"September ",IF(MONTH('Other financial Liabilities'!I82)=10,"October ",IF(MONTH('Other financial Liabilities'!I82)=11,"November ",IF(MONTH('Other financial Liabilities'!I82)=12,"December ",""))))))))))))&amp;YEAR('Other financial Liabilities'!I82),"")))</f>
        <v>BANCO CAIXA GERAL ANGOLA S.A.</v>
      </c>
      <c r="J88" s="14" t="str">
        <f>+IF(OR('Other financial Liabilities'!C82="",'Other financial Liabilities'!C82="#"),IF('Other financial Liabilities'!A82="",IF(F88="c001x   - Households","CSL"&amp;"001",IF(F88="c008x   - Government, central banks &amp; supranationals","TL"&amp;"001")),'Other financial Liabilities'!A82),'Other financial Liabilities'!C82)</f>
        <v>8023082113</v>
      </c>
      <c r="K88" s="14" t="str">
        <f>+IF(J88='Other financial Liabilities'!C82,"LEI code","Type of identifier, other than LEI or MFI code")</f>
        <v>Type of identifier, other than LEI or MFI code</v>
      </c>
      <c r="L88" s="14" t="s">
        <v>197</v>
      </c>
      <c r="M88" s="14" t="s">
        <v>198</v>
      </c>
      <c r="N88" s="14" t="s">
        <v>199</v>
      </c>
      <c r="O88" s="15">
        <v>1115.47</v>
      </c>
      <c r="P88" s="15">
        <f>IF('Other financial Liabilities'!E82="",0,'Other financial Liabilities'!E82)</f>
        <v>0</v>
      </c>
      <c r="Q88" s="14">
        <f>IF('Other financial Liabilities'!F82="",0,'Other financial Liabilities'!F82)</f>
        <v>0</v>
      </c>
      <c r="R88" s="14" t="s">
        <v>206</v>
      </c>
      <c r="S88" s="16" t="s">
        <v>250</v>
      </c>
      <c r="T88" s="16">
        <f t="shared" si="7"/>
        <v>44928</v>
      </c>
      <c r="U88" s="16">
        <f t="shared" si="8"/>
        <v>44928</v>
      </c>
      <c r="V88" s="14" t="s">
        <v>200</v>
      </c>
      <c r="W88" s="15">
        <v>0</v>
      </c>
      <c r="X88" s="15">
        <v>0</v>
      </c>
      <c r="Y88" s="15">
        <v>0</v>
      </c>
      <c r="Z88" s="14" t="s">
        <v>201</v>
      </c>
      <c r="AA88" s="15">
        <v>0</v>
      </c>
      <c r="AB88" s="14" t="s">
        <v>202</v>
      </c>
      <c r="AC88" s="17">
        <v>0</v>
      </c>
      <c r="AD88" s="20"/>
    </row>
    <row r="89" spans="3:30" ht="45.75" customHeight="1" thickBot="1" x14ac:dyDescent="0.5">
      <c r="C89" s="12">
        <f t="shared" si="5"/>
        <v>999</v>
      </c>
      <c r="D89" s="13">
        <f t="shared" si="9"/>
        <v>82</v>
      </c>
      <c r="E89" s="14" t="str">
        <f>IF(AND('Other financial Liabilities'!K83="",'Other financial Liabilities'!J83=1),"r0180 - Critical service liabilities (BRRD art. 44/2/g/ii)",IF(AND('Other financial Liabilities'!K83="",'Other financial Liabilities'!J83=2),"r0190 - Tax and social security authorities liabilities, if preferred (BRRD art. 44/2/g/iii)",'Other financial Liabilities'!K83))</f>
        <v>r0150 - Institution liabilities &lt; 7 days (BRRD art. 44/2/e)</v>
      </c>
      <c r="F89" s="14" t="str">
        <f>IF(OR('Other financial Liabilities'!G83="particulares",'Other financial Liabilities'!J83=1),"c001x   - Households",IF('Other financial Liabilities'!G83="outras empresas nao financeiras","c003x   - Corporates",IF('Other financial Liabilities'!G83="instituicoes de credito","c004x   - Institutions",IF('Other financial Liabilities'!G83="outras instituicoes financeiras","c005x   - Other financial corporations",IF(OR('Other financial Liabilities'!G83="setor publico",'Other financial Liabilities'!J83=2),"c008x   - Government, central banks &amp; supranationals","")))))</f>
        <v>c004x   - Institutions</v>
      </c>
      <c r="G89" s="14" t="str">
        <f t="shared" si="6"/>
        <v>Rank 9 - Ranking in insolvency (master scale)</v>
      </c>
      <c r="H89" s="14" t="str">
        <f>IF(F89="c004x   - Institutions",'Other financial Liabilities'!H83,IF(F89="c001x   - Households","CSL"&amp;IF(MONTH('Other financial Liabilities'!I83)=1,"JAN",IF(MONTH('Other financial Liabilities'!I83)=2,"FEV",IF(MONTH('Other financial Liabilities'!I83)=3,"MAR",IF(MONTH('Other financial Liabilities'!I83)=4,"ABR",IF(MONTH('Other financial Liabilities'!I83)=5,"MAI",IF(MONTH('Other financial Liabilities'!I83)=6,"JUN",IF(MONTH('Other financial Liabilities'!I83)=7,"JUL",IF(MONTH('Other financial Liabilities'!I83)=8,"AGO",IF(MONTH('Other financial Liabilities'!I83)=9,"SET",IF(MONTH('Other financial Liabilities'!I83)=10,"OUT",IF(MONTH('Other financial Liabilities'!I83)=11,"NOV",IF(MONTH('Other financial Liabilities'!I83)=12,"DEZ",""))))))))))))&amp;LEFT(YEAR('Other financial Liabilities'!I83),2),IF(F89="c008x   - Government, central banks &amp; supranationals","TL"&amp;IF(MONTH('Other financial Liabilities'!I83)=1,"JAN",IF(MONTH('Other financial Liabilities'!I83)=2,"FEV",IF(MONTH('Other financial Liabilities'!I83)=3,"MAR",IF(MONTH('Other financial Liabilities'!I83)=4,"ABR",IF(MONTH('Other financial Liabilities'!I83)=5,"MAI",IF(MONTH('Other financial Liabilities'!I83)=6,"JUN",IF(MONTH('Other financial Liabilities'!I83)=7,"JUL",IF(MONTH('Other financial Liabilities'!I83)=8,"AGO",IF(MONTH('Other financial Liabilities'!I83)=9,"SET",IF(MONTH('Other financial Liabilities'!I83)=10,"OUT",IF(MONTH('Other financial Liabilities'!I83)=11,"NOV",IF(MONTH('Other financial Liabilities'!I83)=12,"DEZ",""))))))))))))&amp;LEFT(YEAR('Other financial Liabilities'!I83),2),"")))</f>
        <v>BANCO CAIXA GERAL ANGOLA S.A.</v>
      </c>
      <c r="I89" s="14" t="str">
        <f>IF(F89="c004x   - Institutions",'Other financial Liabilities'!H83,IF(F89="c001x   - Households","Critical Service Liability "&amp;IF(MONTH('Other financial Liabilities'!I83)=1,"January ",IF(MONTH('Other financial Liabilities'!I83)=2,"February ",IF(MONTH('Other financial Liabilities'!I83)=3,"March ",IF(MONTH('Other financial Liabilities'!I83)=4, "April ",IF(MONTH('Other financial Liabilities'!I83)=5,"May ",IF(MONTH('Other financial Liabilities'!I83)=6,"June ",IF(MONTH('Other financial Liabilities'!I83)=7,"July ",IF(MONTH('Other financial Liabilities'!I83)=8,"August ",IF(MONTH('Other financial Liabilities'!I83)=9,"September ",IF(MONTH('Other financial Liabilities'!I83)=10,"October",  IF(MONTH('Other financial Liabilities'!I83)=11,"November ",IF(MONTH('Other financial Liabilities'!I83)=12,"December ",""))))))))))))&amp;YEAR('Other financial Liabilities'!I83),IF(F89="c008x   - Government, central banks &amp; supranationals","Tax Liability "&amp;IF(MONTH('Other financial Liabilities'!I83)=1,"January ",IF(MONTH('Other financial Liabilities'!I83)=2,"February ",IF(MONTH('Other financial Liabilities'!I83)=3,"March ",IF(MONTH('Other financial Liabilities'!I83)=4,"April ",IF(MONTH('Other financial Liabilities'!I83)=5,"May ",IF(MONTH('Other financial Liabilities'!I83)=6,"June ",IF(MONTH('Other financial Liabilities'!I83)=7,"July ",IF(MONTH('Other financial Liabilities'!I83)=8, "August ",  IF(MONTH('Other financial Liabilities'!I83)=9,"September ",IF(MONTH('Other financial Liabilities'!I83)=10,"October ",IF(MONTH('Other financial Liabilities'!I83)=11,"November ",IF(MONTH('Other financial Liabilities'!I83)=12,"December ",""))))))))))))&amp;YEAR('Other financial Liabilities'!I83),"")))</f>
        <v>BANCO CAIXA GERAL ANGOLA S.A.</v>
      </c>
      <c r="J89" s="14" t="str">
        <f>+IF(OR('Other financial Liabilities'!C83="",'Other financial Liabilities'!C83="#"),IF('Other financial Liabilities'!A83="",IF(F89="c001x   - Households","CSL"&amp;"001",IF(F89="c008x   - Government, central banks &amp; supranationals","TL"&amp;"001")),'Other financial Liabilities'!A83),'Other financial Liabilities'!C83)</f>
        <v>8023082113</v>
      </c>
      <c r="K89" s="14" t="str">
        <f>+IF(J89='Other financial Liabilities'!C83,"LEI code","Type of identifier, other than LEI or MFI code")</f>
        <v>Type of identifier, other than LEI or MFI code</v>
      </c>
      <c r="L89" s="14" t="s">
        <v>197</v>
      </c>
      <c r="M89" s="14" t="s">
        <v>198</v>
      </c>
      <c r="N89" s="14" t="s">
        <v>199</v>
      </c>
      <c r="O89" s="15">
        <v>48273.88</v>
      </c>
      <c r="P89" s="15">
        <f>IF('Other financial Liabilities'!E83="",0,'Other financial Liabilities'!E83)</f>
        <v>0</v>
      </c>
      <c r="Q89" s="14">
        <f>IF('Other financial Liabilities'!F83="",0,'Other financial Liabilities'!F83)</f>
        <v>0</v>
      </c>
      <c r="R89" s="14" t="s">
        <v>209</v>
      </c>
      <c r="S89" s="16" t="s">
        <v>250</v>
      </c>
      <c r="T89" s="16">
        <f t="shared" si="7"/>
        <v>44928</v>
      </c>
      <c r="U89" s="16">
        <f t="shared" si="8"/>
        <v>44928</v>
      </c>
      <c r="V89" s="14" t="s">
        <v>200</v>
      </c>
      <c r="W89" s="15">
        <v>0</v>
      </c>
      <c r="X89" s="15">
        <v>0</v>
      </c>
      <c r="Y89" s="15">
        <v>0</v>
      </c>
      <c r="Z89" s="14" t="s">
        <v>201</v>
      </c>
      <c r="AA89" s="15">
        <v>0</v>
      </c>
      <c r="AB89" s="14" t="s">
        <v>202</v>
      </c>
      <c r="AC89" s="17">
        <v>0</v>
      </c>
      <c r="AD89" s="20"/>
    </row>
    <row r="90" spans="3:30" ht="45.75" customHeight="1" thickBot="1" x14ac:dyDescent="0.5">
      <c r="C90" s="12">
        <f t="shared" si="5"/>
        <v>999</v>
      </c>
      <c r="D90" s="13">
        <f t="shared" si="9"/>
        <v>83</v>
      </c>
      <c r="E90" s="14" t="str">
        <f>IF(AND('Other financial Liabilities'!K84="",'Other financial Liabilities'!J84=1),"r0180 - Critical service liabilities (BRRD art. 44/2/g/ii)",IF(AND('Other financial Liabilities'!K84="",'Other financial Liabilities'!J84=2),"r0190 - Tax and social security authorities liabilities, if preferred (BRRD art. 44/2/g/iii)",'Other financial Liabilities'!K84))</f>
        <v>r0150 - Institution liabilities &lt; 7 days (BRRD art. 44/2/e)</v>
      </c>
      <c r="F90" s="14" t="str">
        <f>IF(OR('Other financial Liabilities'!G84="particulares",'Other financial Liabilities'!J84=1),"c001x   - Households",IF('Other financial Liabilities'!G84="outras empresas nao financeiras","c003x   - Corporates",IF('Other financial Liabilities'!G84="instituicoes de credito","c004x   - Institutions",IF('Other financial Liabilities'!G84="outras instituicoes financeiras","c005x   - Other financial corporations",IF(OR('Other financial Liabilities'!G84="setor publico",'Other financial Liabilities'!J84=2),"c008x   - Government, central banks &amp; supranationals","")))))</f>
        <v>c004x   - Institutions</v>
      </c>
      <c r="G90" s="14" t="str">
        <f t="shared" si="6"/>
        <v>Rank 9 - Ranking in insolvency (master scale)</v>
      </c>
      <c r="H90" s="14" t="str">
        <f>IF(F90="c004x   - Institutions",'Other financial Liabilities'!H84,IF(F90="c001x   - Households","CSL"&amp;IF(MONTH('Other financial Liabilities'!I84)=1,"JAN",IF(MONTH('Other financial Liabilities'!I84)=2,"FEV",IF(MONTH('Other financial Liabilities'!I84)=3,"MAR",IF(MONTH('Other financial Liabilities'!I84)=4,"ABR",IF(MONTH('Other financial Liabilities'!I84)=5,"MAI",IF(MONTH('Other financial Liabilities'!I84)=6,"JUN",IF(MONTH('Other financial Liabilities'!I84)=7,"JUL",IF(MONTH('Other financial Liabilities'!I84)=8,"AGO",IF(MONTH('Other financial Liabilities'!I84)=9,"SET",IF(MONTH('Other financial Liabilities'!I84)=10,"OUT",IF(MONTH('Other financial Liabilities'!I84)=11,"NOV",IF(MONTH('Other financial Liabilities'!I84)=12,"DEZ",""))))))))))))&amp;LEFT(YEAR('Other financial Liabilities'!I84),2),IF(F90="c008x   - Government, central banks &amp; supranationals","TL"&amp;IF(MONTH('Other financial Liabilities'!I84)=1,"JAN",IF(MONTH('Other financial Liabilities'!I84)=2,"FEV",IF(MONTH('Other financial Liabilities'!I84)=3,"MAR",IF(MONTH('Other financial Liabilities'!I84)=4,"ABR",IF(MONTH('Other financial Liabilities'!I84)=5,"MAI",IF(MONTH('Other financial Liabilities'!I84)=6,"JUN",IF(MONTH('Other financial Liabilities'!I84)=7,"JUL",IF(MONTH('Other financial Liabilities'!I84)=8,"AGO",IF(MONTH('Other financial Liabilities'!I84)=9,"SET",IF(MONTH('Other financial Liabilities'!I84)=10,"OUT",IF(MONTH('Other financial Liabilities'!I84)=11,"NOV",IF(MONTH('Other financial Liabilities'!I84)=12,"DEZ",""))))))))))))&amp;LEFT(YEAR('Other financial Liabilities'!I84),2),"")))</f>
        <v>BANCO CAIXA GERAL ANGOLA S.A.</v>
      </c>
      <c r="I90" s="14" t="str">
        <f>IF(F90="c004x   - Institutions",'Other financial Liabilities'!H84,IF(F90="c001x   - Households","Critical Service Liability "&amp;IF(MONTH('Other financial Liabilities'!I84)=1,"January ",IF(MONTH('Other financial Liabilities'!I84)=2,"February ",IF(MONTH('Other financial Liabilities'!I84)=3,"March ",IF(MONTH('Other financial Liabilities'!I84)=4, "April ",IF(MONTH('Other financial Liabilities'!I84)=5,"May ",IF(MONTH('Other financial Liabilities'!I84)=6,"June ",IF(MONTH('Other financial Liabilities'!I84)=7,"July ",IF(MONTH('Other financial Liabilities'!I84)=8,"August ",IF(MONTH('Other financial Liabilities'!I84)=9,"September ",IF(MONTH('Other financial Liabilities'!I84)=10,"October",  IF(MONTH('Other financial Liabilities'!I84)=11,"November ",IF(MONTH('Other financial Liabilities'!I84)=12,"December ",""))))))))))))&amp;YEAR('Other financial Liabilities'!I84),IF(F90="c008x   - Government, central banks &amp; supranationals","Tax Liability "&amp;IF(MONTH('Other financial Liabilities'!I84)=1,"January ",IF(MONTH('Other financial Liabilities'!I84)=2,"February ",IF(MONTH('Other financial Liabilities'!I84)=3,"March ",IF(MONTH('Other financial Liabilities'!I84)=4,"April ",IF(MONTH('Other financial Liabilities'!I84)=5,"May ",IF(MONTH('Other financial Liabilities'!I84)=6,"June ",IF(MONTH('Other financial Liabilities'!I84)=7,"July ",IF(MONTH('Other financial Liabilities'!I84)=8, "August ",  IF(MONTH('Other financial Liabilities'!I84)=9,"September ",IF(MONTH('Other financial Liabilities'!I84)=10,"October ",IF(MONTH('Other financial Liabilities'!I84)=11,"November ",IF(MONTH('Other financial Liabilities'!I84)=12,"December ",""))))))))))))&amp;YEAR('Other financial Liabilities'!I84),"")))</f>
        <v>BANCO CAIXA GERAL ANGOLA S.A.</v>
      </c>
      <c r="J90" s="14" t="str">
        <f>+IF(OR('Other financial Liabilities'!C84="",'Other financial Liabilities'!C84="#"),IF('Other financial Liabilities'!A84="",IF(F90="c001x   - Households","CSL"&amp;"001",IF(F90="c008x   - Government, central banks &amp; supranationals","TL"&amp;"001")),'Other financial Liabilities'!A84),'Other financial Liabilities'!C84)</f>
        <v>8023082113</v>
      </c>
      <c r="K90" s="14" t="str">
        <f>+IF(J90='Other financial Liabilities'!C84,"LEI code","Type of identifier, other than LEI or MFI code")</f>
        <v>Type of identifier, other than LEI or MFI code</v>
      </c>
      <c r="L90" s="14" t="s">
        <v>197</v>
      </c>
      <c r="M90" s="14" t="s">
        <v>198</v>
      </c>
      <c r="N90" s="14" t="s">
        <v>199</v>
      </c>
      <c r="O90" s="15">
        <v>10054.120000000001</v>
      </c>
      <c r="P90" s="15">
        <f>IF('Other financial Liabilities'!E84="",0,'Other financial Liabilities'!E84)</f>
        <v>0</v>
      </c>
      <c r="Q90" s="14">
        <f>IF('Other financial Liabilities'!F84="",0,'Other financial Liabilities'!F84)</f>
        <v>0</v>
      </c>
      <c r="R90" s="14" t="s">
        <v>205</v>
      </c>
      <c r="S90" s="16" t="s">
        <v>250</v>
      </c>
      <c r="T90" s="16">
        <f t="shared" si="7"/>
        <v>44928</v>
      </c>
      <c r="U90" s="16">
        <f t="shared" si="8"/>
        <v>44928</v>
      </c>
      <c r="V90" s="14" t="s">
        <v>200</v>
      </c>
      <c r="W90" s="15">
        <v>0</v>
      </c>
      <c r="X90" s="15">
        <v>0</v>
      </c>
      <c r="Y90" s="15">
        <v>0</v>
      </c>
      <c r="Z90" s="14" t="s">
        <v>201</v>
      </c>
      <c r="AA90" s="15">
        <v>0</v>
      </c>
      <c r="AB90" s="14" t="s">
        <v>202</v>
      </c>
      <c r="AC90" s="17">
        <v>0</v>
      </c>
      <c r="AD90" s="20"/>
    </row>
    <row r="91" spans="3:30" ht="45.75" customHeight="1" thickBot="1" x14ac:dyDescent="0.5">
      <c r="C91" s="12">
        <f t="shared" si="5"/>
        <v>999</v>
      </c>
      <c r="D91" s="13">
        <f t="shared" si="9"/>
        <v>84</v>
      </c>
      <c r="E91" s="14" t="str">
        <f>IF(AND('Other financial Liabilities'!K85="",'Other financial Liabilities'!J85=1),"r0180 - Critical service liabilities (BRRD art. 44/2/g/ii)",IF(AND('Other financial Liabilities'!K85="",'Other financial Liabilities'!J85=2),"r0190 - Tax and social security authorities liabilities, if preferred (BRRD art. 44/2/g/iii)",'Other financial Liabilities'!K85))</f>
        <v>r0150 - Institution liabilities &lt; 7 days (BRRD art. 44/2/e)</v>
      </c>
      <c r="F91" s="14" t="str">
        <f>IF(OR('Other financial Liabilities'!G85="particulares",'Other financial Liabilities'!J85=1),"c001x   - Households",IF('Other financial Liabilities'!G85="outras empresas nao financeiras","c003x   - Corporates",IF('Other financial Liabilities'!G85="instituicoes de credito","c004x   - Institutions",IF('Other financial Liabilities'!G85="outras instituicoes financeiras","c005x   - Other financial corporations",IF(OR('Other financial Liabilities'!G85="setor publico",'Other financial Liabilities'!J85=2),"c008x   - Government, central banks &amp; supranationals","")))))</f>
        <v>c004x   - Institutions</v>
      </c>
      <c r="G91" s="14" t="str">
        <f t="shared" si="6"/>
        <v>Rank 9 - Ranking in insolvency (master scale)</v>
      </c>
      <c r="H91" s="14" t="str">
        <f>IF(F91="c004x   - Institutions",'Other financial Liabilities'!H85,IF(F91="c001x   - Households","CSL"&amp;IF(MONTH('Other financial Liabilities'!I85)=1,"JAN",IF(MONTH('Other financial Liabilities'!I85)=2,"FEV",IF(MONTH('Other financial Liabilities'!I85)=3,"MAR",IF(MONTH('Other financial Liabilities'!I85)=4,"ABR",IF(MONTH('Other financial Liabilities'!I85)=5,"MAI",IF(MONTH('Other financial Liabilities'!I85)=6,"JUN",IF(MONTH('Other financial Liabilities'!I85)=7,"JUL",IF(MONTH('Other financial Liabilities'!I85)=8,"AGO",IF(MONTH('Other financial Liabilities'!I85)=9,"SET",IF(MONTH('Other financial Liabilities'!I85)=10,"OUT",IF(MONTH('Other financial Liabilities'!I85)=11,"NOV",IF(MONTH('Other financial Liabilities'!I85)=12,"DEZ",""))))))))))))&amp;LEFT(YEAR('Other financial Liabilities'!I85),2),IF(F91="c008x   - Government, central banks &amp; supranationals","TL"&amp;IF(MONTH('Other financial Liabilities'!I85)=1,"JAN",IF(MONTH('Other financial Liabilities'!I85)=2,"FEV",IF(MONTH('Other financial Liabilities'!I85)=3,"MAR",IF(MONTH('Other financial Liabilities'!I85)=4,"ABR",IF(MONTH('Other financial Liabilities'!I85)=5,"MAI",IF(MONTH('Other financial Liabilities'!I85)=6,"JUN",IF(MONTH('Other financial Liabilities'!I85)=7,"JUL",IF(MONTH('Other financial Liabilities'!I85)=8,"AGO",IF(MONTH('Other financial Liabilities'!I85)=9,"SET",IF(MONTH('Other financial Liabilities'!I85)=10,"OUT",IF(MONTH('Other financial Liabilities'!I85)=11,"NOV",IF(MONTH('Other financial Liabilities'!I85)=12,"DEZ",""))))))))))))&amp;LEFT(YEAR('Other financial Liabilities'!I85),2),"")))</f>
        <v>BANCO CAIXA GERAL ANGOLA S.A.</v>
      </c>
      <c r="I91" s="14" t="str">
        <f>IF(F91="c004x   - Institutions",'Other financial Liabilities'!H85,IF(F91="c001x   - Households","Critical Service Liability "&amp;IF(MONTH('Other financial Liabilities'!I85)=1,"January ",IF(MONTH('Other financial Liabilities'!I85)=2,"February ",IF(MONTH('Other financial Liabilities'!I85)=3,"March ",IF(MONTH('Other financial Liabilities'!I85)=4, "April ",IF(MONTH('Other financial Liabilities'!I85)=5,"May ",IF(MONTH('Other financial Liabilities'!I85)=6,"June ",IF(MONTH('Other financial Liabilities'!I85)=7,"July ",IF(MONTH('Other financial Liabilities'!I85)=8,"August ",IF(MONTH('Other financial Liabilities'!I85)=9,"September ",IF(MONTH('Other financial Liabilities'!I85)=10,"October",  IF(MONTH('Other financial Liabilities'!I85)=11,"November ",IF(MONTH('Other financial Liabilities'!I85)=12,"December ",""))))))))))))&amp;YEAR('Other financial Liabilities'!I85),IF(F91="c008x   - Government, central banks &amp; supranationals","Tax Liability "&amp;IF(MONTH('Other financial Liabilities'!I85)=1,"January ",IF(MONTH('Other financial Liabilities'!I85)=2,"February ",IF(MONTH('Other financial Liabilities'!I85)=3,"March ",IF(MONTH('Other financial Liabilities'!I85)=4,"April ",IF(MONTH('Other financial Liabilities'!I85)=5,"May ",IF(MONTH('Other financial Liabilities'!I85)=6,"June ",IF(MONTH('Other financial Liabilities'!I85)=7,"July ",IF(MONTH('Other financial Liabilities'!I85)=8, "August ",  IF(MONTH('Other financial Liabilities'!I85)=9,"September ",IF(MONTH('Other financial Liabilities'!I85)=10,"October ",IF(MONTH('Other financial Liabilities'!I85)=11,"November ",IF(MONTH('Other financial Liabilities'!I85)=12,"December ",""))))))))))))&amp;YEAR('Other financial Liabilities'!I85),"")))</f>
        <v>BANCO CAIXA GERAL ANGOLA S.A.</v>
      </c>
      <c r="J91" s="14" t="str">
        <f>+IF(OR('Other financial Liabilities'!C85="",'Other financial Liabilities'!C85="#"),IF('Other financial Liabilities'!A85="",IF(F91="c001x   - Households","CSL"&amp;"001",IF(F91="c008x   - Government, central banks &amp; supranationals","TL"&amp;"001")),'Other financial Liabilities'!A85),'Other financial Liabilities'!C85)</f>
        <v>8023082113</v>
      </c>
      <c r="K91" s="14" t="str">
        <f>+IF(J91='Other financial Liabilities'!C85,"LEI code","Type of identifier, other than LEI or MFI code")</f>
        <v>Type of identifier, other than LEI or MFI code</v>
      </c>
      <c r="L91" s="14" t="s">
        <v>197</v>
      </c>
      <c r="M91" s="14" t="s">
        <v>198</v>
      </c>
      <c r="N91" s="14" t="s">
        <v>199</v>
      </c>
      <c r="O91" s="15">
        <v>3103.42</v>
      </c>
      <c r="P91" s="15">
        <f>IF('Other financial Liabilities'!E85="",0,'Other financial Liabilities'!E85)</f>
        <v>0</v>
      </c>
      <c r="Q91" s="14">
        <f>IF('Other financial Liabilities'!F85="",0,'Other financial Liabilities'!F85)</f>
        <v>0</v>
      </c>
      <c r="R91" s="14" t="s">
        <v>208</v>
      </c>
      <c r="S91" s="16" t="s">
        <v>250</v>
      </c>
      <c r="T91" s="16">
        <f t="shared" si="7"/>
        <v>44928</v>
      </c>
      <c r="U91" s="16">
        <f t="shared" si="8"/>
        <v>44928</v>
      </c>
      <c r="V91" s="14" t="s">
        <v>200</v>
      </c>
      <c r="W91" s="15">
        <v>0</v>
      </c>
      <c r="X91" s="15">
        <v>0</v>
      </c>
      <c r="Y91" s="15">
        <v>0</v>
      </c>
      <c r="Z91" s="14" t="s">
        <v>201</v>
      </c>
      <c r="AA91" s="15">
        <v>0</v>
      </c>
      <c r="AB91" s="14" t="s">
        <v>202</v>
      </c>
      <c r="AC91" s="17">
        <v>0</v>
      </c>
      <c r="AD91" s="20"/>
    </row>
    <row r="92" spans="3:30" ht="45.75" customHeight="1" thickBot="1" x14ac:dyDescent="0.5">
      <c r="C92" s="12">
        <f t="shared" si="5"/>
        <v>999</v>
      </c>
      <c r="D92" s="13">
        <f t="shared" si="9"/>
        <v>85</v>
      </c>
      <c r="E92" s="14" t="str">
        <f>IF(AND('Other financial Liabilities'!K86="",'Other financial Liabilities'!J86=1),"r0180 - Critical service liabilities (BRRD art. 44/2/g/ii)",IF(AND('Other financial Liabilities'!K86="",'Other financial Liabilities'!J86=2),"r0190 - Tax and social security authorities liabilities, if preferred (BRRD art. 44/2/g/iii)",'Other financial Liabilities'!K86))</f>
        <v>r0150 - Institution liabilities &lt; 7 days (BRRD art. 44/2/e)</v>
      </c>
      <c r="F92" s="14" t="str">
        <f>IF(OR('Other financial Liabilities'!G86="particulares",'Other financial Liabilities'!J86=1),"c001x   - Households",IF('Other financial Liabilities'!G86="outras empresas nao financeiras","c003x   - Corporates",IF('Other financial Liabilities'!G86="instituicoes de credito","c004x   - Institutions",IF('Other financial Liabilities'!G86="outras instituicoes financeiras","c005x   - Other financial corporations",IF(OR('Other financial Liabilities'!G86="setor publico",'Other financial Liabilities'!J86=2),"c008x   - Government, central banks &amp; supranationals","")))))</f>
        <v>c004x   - Institutions</v>
      </c>
      <c r="G92" s="14" t="str">
        <f t="shared" si="6"/>
        <v>Rank 9 - Ranking in insolvency (master scale)</v>
      </c>
      <c r="H92" s="14" t="str">
        <f>IF(F92="c004x   - Institutions",'Other financial Liabilities'!H86,IF(F92="c001x   - Households","CSL"&amp;IF(MONTH('Other financial Liabilities'!I86)=1,"JAN",IF(MONTH('Other financial Liabilities'!I86)=2,"FEV",IF(MONTH('Other financial Liabilities'!I86)=3,"MAR",IF(MONTH('Other financial Liabilities'!I86)=4,"ABR",IF(MONTH('Other financial Liabilities'!I86)=5,"MAI",IF(MONTH('Other financial Liabilities'!I86)=6,"JUN",IF(MONTH('Other financial Liabilities'!I86)=7,"JUL",IF(MONTH('Other financial Liabilities'!I86)=8,"AGO",IF(MONTH('Other financial Liabilities'!I86)=9,"SET",IF(MONTH('Other financial Liabilities'!I86)=10,"OUT",IF(MONTH('Other financial Liabilities'!I86)=11,"NOV",IF(MONTH('Other financial Liabilities'!I86)=12,"DEZ",""))))))))))))&amp;LEFT(YEAR('Other financial Liabilities'!I86),2),IF(F92="c008x   - Government, central banks &amp; supranationals","TL"&amp;IF(MONTH('Other financial Liabilities'!I86)=1,"JAN",IF(MONTH('Other financial Liabilities'!I86)=2,"FEV",IF(MONTH('Other financial Liabilities'!I86)=3,"MAR",IF(MONTH('Other financial Liabilities'!I86)=4,"ABR",IF(MONTH('Other financial Liabilities'!I86)=5,"MAI",IF(MONTH('Other financial Liabilities'!I86)=6,"JUN",IF(MONTH('Other financial Liabilities'!I86)=7,"JUL",IF(MONTH('Other financial Liabilities'!I86)=8,"AGO",IF(MONTH('Other financial Liabilities'!I86)=9,"SET",IF(MONTH('Other financial Liabilities'!I86)=10,"OUT",IF(MONTH('Other financial Liabilities'!I86)=11,"NOV",IF(MONTH('Other financial Liabilities'!I86)=12,"DEZ",""))))))))))))&amp;LEFT(YEAR('Other financial Liabilities'!I86),2),"")))</f>
        <v>BANCO INTERNACIONAL SAO TOME PRINCIPE</v>
      </c>
      <c r="I92" s="14" t="str">
        <f>IF(F92="c004x   - Institutions",'Other financial Liabilities'!H86,IF(F92="c001x   - Households","Critical Service Liability "&amp;IF(MONTH('Other financial Liabilities'!I86)=1,"January ",IF(MONTH('Other financial Liabilities'!I86)=2,"February ",IF(MONTH('Other financial Liabilities'!I86)=3,"March ",IF(MONTH('Other financial Liabilities'!I86)=4, "April ",IF(MONTH('Other financial Liabilities'!I86)=5,"May ",IF(MONTH('Other financial Liabilities'!I86)=6,"June ",IF(MONTH('Other financial Liabilities'!I86)=7,"July ",IF(MONTH('Other financial Liabilities'!I86)=8,"August ",IF(MONTH('Other financial Liabilities'!I86)=9,"September ",IF(MONTH('Other financial Liabilities'!I86)=10,"October",  IF(MONTH('Other financial Liabilities'!I86)=11,"November ",IF(MONTH('Other financial Liabilities'!I86)=12,"December ",""))))))))))))&amp;YEAR('Other financial Liabilities'!I86),IF(F92="c008x   - Government, central banks &amp; supranationals","Tax Liability "&amp;IF(MONTH('Other financial Liabilities'!I86)=1,"January ",IF(MONTH('Other financial Liabilities'!I86)=2,"February ",IF(MONTH('Other financial Liabilities'!I86)=3,"March ",IF(MONTH('Other financial Liabilities'!I86)=4,"April ",IF(MONTH('Other financial Liabilities'!I86)=5,"May ",IF(MONTH('Other financial Liabilities'!I86)=6,"June ",IF(MONTH('Other financial Liabilities'!I86)=7,"July ",IF(MONTH('Other financial Liabilities'!I86)=8, "August ",  IF(MONTH('Other financial Liabilities'!I86)=9,"September ",IF(MONTH('Other financial Liabilities'!I86)=10,"October ",IF(MONTH('Other financial Liabilities'!I86)=11,"November ",IF(MONTH('Other financial Liabilities'!I86)=12,"December ",""))))))))))))&amp;YEAR('Other financial Liabilities'!I86),"")))</f>
        <v>BANCO INTERNACIONAL SAO TOME PRINCIPE</v>
      </c>
      <c r="J92" s="14" t="str">
        <f>+IF(OR('Other financial Liabilities'!C86="",'Other financial Liabilities'!C86="#"),IF('Other financial Liabilities'!A86="",IF(F92="c001x   - Households","CSL"&amp;"001",IF(F92="c008x   - Government, central banks &amp; supranationals","TL"&amp;"001")),'Other financial Liabilities'!A86),'Other financial Liabilities'!C86)</f>
        <v>8025147342</v>
      </c>
      <c r="K92" s="14" t="str">
        <f>+IF(J92='Other financial Liabilities'!C86,"LEI code","Type of identifier, other than LEI or MFI code")</f>
        <v>Type of identifier, other than LEI or MFI code</v>
      </c>
      <c r="L92" s="14" t="s">
        <v>197</v>
      </c>
      <c r="M92" s="14" t="s">
        <v>198</v>
      </c>
      <c r="N92" s="14" t="s">
        <v>199</v>
      </c>
      <c r="O92" s="15">
        <v>85686.03</v>
      </c>
      <c r="P92" s="15">
        <f>IF('Other financial Liabilities'!E86="",0,'Other financial Liabilities'!E86)</f>
        <v>0</v>
      </c>
      <c r="Q92" s="14">
        <f>IF('Other financial Liabilities'!F86="",0,'Other financial Liabilities'!F86)</f>
        <v>0</v>
      </c>
      <c r="R92" s="14" t="s">
        <v>211</v>
      </c>
      <c r="S92" s="16" t="s">
        <v>250</v>
      </c>
      <c r="T92" s="16">
        <f t="shared" si="7"/>
        <v>44928</v>
      </c>
      <c r="U92" s="16">
        <f t="shared" si="8"/>
        <v>44928</v>
      </c>
      <c r="V92" s="14" t="s">
        <v>200</v>
      </c>
      <c r="W92" s="15">
        <v>0</v>
      </c>
      <c r="X92" s="15">
        <v>0</v>
      </c>
      <c r="Y92" s="15">
        <v>0</v>
      </c>
      <c r="Z92" s="14" t="s">
        <v>201</v>
      </c>
      <c r="AA92" s="15">
        <v>0</v>
      </c>
      <c r="AB92" s="14" t="s">
        <v>202</v>
      </c>
      <c r="AC92" s="17">
        <v>0</v>
      </c>
      <c r="AD92" s="20"/>
    </row>
    <row r="93" spans="3:30" ht="45.75" customHeight="1" thickBot="1" x14ac:dyDescent="0.5">
      <c r="C93" s="12">
        <f t="shared" si="5"/>
        <v>999</v>
      </c>
      <c r="D93" s="13">
        <f t="shared" si="9"/>
        <v>86</v>
      </c>
      <c r="E93" s="14" t="str">
        <f>IF(AND('Other financial Liabilities'!K87="",'Other financial Liabilities'!J87=1),"r0180 - Critical service liabilities (BRRD art. 44/2/g/ii)",IF(AND('Other financial Liabilities'!K87="",'Other financial Liabilities'!J87=2),"r0190 - Tax and social security authorities liabilities, if preferred (BRRD art. 44/2/g/iii)",'Other financial Liabilities'!K87))</f>
        <v>r0150 - Institution liabilities &lt; 7 days (BRRD art. 44/2/e)</v>
      </c>
      <c r="F93" s="14" t="str">
        <f>IF(OR('Other financial Liabilities'!G87="particulares",'Other financial Liabilities'!J87=1),"c001x   - Households",IF('Other financial Liabilities'!G87="outras empresas nao financeiras","c003x   - Corporates",IF('Other financial Liabilities'!G87="instituicoes de credito","c004x   - Institutions",IF('Other financial Liabilities'!G87="outras instituicoes financeiras","c005x   - Other financial corporations",IF(OR('Other financial Liabilities'!G87="setor publico",'Other financial Liabilities'!J87=2),"c008x   - Government, central banks &amp; supranationals","")))))</f>
        <v>c004x   - Institutions</v>
      </c>
      <c r="G93" s="14" t="str">
        <f t="shared" si="6"/>
        <v>Rank 9 - Ranking in insolvency (master scale)</v>
      </c>
      <c r="H93" s="14" t="str">
        <f>IF(F93="c004x   - Institutions",'Other financial Liabilities'!H87,IF(F93="c001x   - Households","CSL"&amp;IF(MONTH('Other financial Liabilities'!I87)=1,"JAN",IF(MONTH('Other financial Liabilities'!I87)=2,"FEV",IF(MONTH('Other financial Liabilities'!I87)=3,"MAR",IF(MONTH('Other financial Liabilities'!I87)=4,"ABR",IF(MONTH('Other financial Liabilities'!I87)=5,"MAI",IF(MONTH('Other financial Liabilities'!I87)=6,"JUN",IF(MONTH('Other financial Liabilities'!I87)=7,"JUL",IF(MONTH('Other financial Liabilities'!I87)=8,"AGO",IF(MONTH('Other financial Liabilities'!I87)=9,"SET",IF(MONTH('Other financial Liabilities'!I87)=10,"OUT",IF(MONTH('Other financial Liabilities'!I87)=11,"NOV",IF(MONTH('Other financial Liabilities'!I87)=12,"DEZ",""))))))))))))&amp;LEFT(YEAR('Other financial Liabilities'!I87),2),IF(F93="c008x   - Government, central banks &amp; supranationals","TL"&amp;IF(MONTH('Other financial Liabilities'!I87)=1,"JAN",IF(MONTH('Other financial Liabilities'!I87)=2,"FEV",IF(MONTH('Other financial Liabilities'!I87)=3,"MAR",IF(MONTH('Other financial Liabilities'!I87)=4,"ABR",IF(MONTH('Other financial Liabilities'!I87)=5,"MAI",IF(MONTH('Other financial Liabilities'!I87)=6,"JUN",IF(MONTH('Other financial Liabilities'!I87)=7,"JUL",IF(MONTH('Other financial Liabilities'!I87)=8,"AGO",IF(MONTH('Other financial Liabilities'!I87)=9,"SET",IF(MONTH('Other financial Liabilities'!I87)=10,"OUT",IF(MONTH('Other financial Liabilities'!I87)=11,"NOV",IF(MONTH('Other financial Liabilities'!I87)=12,"DEZ",""))))))))))))&amp;LEFT(YEAR('Other financial Liabilities'!I87),2),"")))</f>
        <v>BANCO INTERNACIONAL SAO TOME PRINCIPE</v>
      </c>
      <c r="I93" s="14" t="str">
        <f>IF(F93="c004x   - Institutions",'Other financial Liabilities'!H87,IF(F93="c001x   - Households","Critical Service Liability "&amp;IF(MONTH('Other financial Liabilities'!I87)=1,"January ",IF(MONTH('Other financial Liabilities'!I87)=2,"February ",IF(MONTH('Other financial Liabilities'!I87)=3,"March ",IF(MONTH('Other financial Liabilities'!I87)=4, "April ",IF(MONTH('Other financial Liabilities'!I87)=5,"May ",IF(MONTH('Other financial Liabilities'!I87)=6,"June ",IF(MONTH('Other financial Liabilities'!I87)=7,"July ",IF(MONTH('Other financial Liabilities'!I87)=8,"August ",IF(MONTH('Other financial Liabilities'!I87)=9,"September ",IF(MONTH('Other financial Liabilities'!I87)=10,"October",  IF(MONTH('Other financial Liabilities'!I87)=11,"November ",IF(MONTH('Other financial Liabilities'!I87)=12,"December ",""))))))))))))&amp;YEAR('Other financial Liabilities'!I87),IF(F93="c008x   - Government, central banks &amp; supranationals","Tax Liability "&amp;IF(MONTH('Other financial Liabilities'!I87)=1,"January ",IF(MONTH('Other financial Liabilities'!I87)=2,"February ",IF(MONTH('Other financial Liabilities'!I87)=3,"March ",IF(MONTH('Other financial Liabilities'!I87)=4,"April ",IF(MONTH('Other financial Liabilities'!I87)=5,"May ",IF(MONTH('Other financial Liabilities'!I87)=6,"June ",IF(MONTH('Other financial Liabilities'!I87)=7,"July ",IF(MONTH('Other financial Liabilities'!I87)=8, "August ",  IF(MONTH('Other financial Liabilities'!I87)=9,"September ",IF(MONTH('Other financial Liabilities'!I87)=10,"October ",IF(MONTH('Other financial Liabilities'!I87)=11,"November ",IF(MONTH('Other financial Liabilities'!I87)=12,"December ",""))))))))))))&amp;YEAR('Other financial Liabilities'!I87),"")))</f>
        <v>BANCO INTERNACIONAL SAO TOME PRINCIPE</v>
      </c>
      <c r="J93" s="14" t="str">
        <f>+IF(OR('Other financial Liabilities'!C87="",'Other financial Liabilities'!C87="#"),IF('Other financial Liabilities'!A87="",IF(F93="c001x   - Households","CSL"&amp;"001",IF(F93="c008x   - Government, central banks &amp; supranationals","TL"&amp;"001")),'Other financial Liabilities'!A87),'Other financial Liabilities'!C87)</f>
        <v>8025147342</v>
      </c>
      <c r="K93" s="14" t="str">
        <f>+IF(J93='Other financial Liabilities'!C87,"LEI code","Type of identifier, other than LEI or MFI code")</f>
        <v>Type of identifier, other than LEI or MFI code</v>
      </c>
      <c r="L93" s="14" t="s">
        <v>197</v>
      </c>
      <c r="M93" s="14" t="s">
        <v>198</v>
      </c>
      <c r="N93" s="14" t="s">
        <v>199</v>
      </c>
      <c r="O93" s="15">
        <v>105538.27</v>
      </c>
      <c r="P93" s="15">
        <f>IF('Other financial Liabilities'!E87="",0,'Other financial Liabilities'!E87)</f>
        <v>0</v>
      </c>
      <c r="Q93" s="14">
        <f>IF('Other financial Liabilities'!F87="",0,'Other financial Liabilities'!F87)</f>
        <v>0</v>
      </c>
      <c r="R93" s="14" t="s">
        <v>212</v>
      </c>
      <c r="S93" s="16" t="s">
        <v>250</v>
      </c>
      <c r="T93" s="16">
        <f t="shared" si="7"/>
        <v>44928</v>
      </c>
      <c r="U93" s="16">
        <f t="shared" si="8"/>
        <v>44928</v>
      </c>
      <c r="V93" s="14" t="s">
        <v>200</v>
      </c>
      <c r="W93" s="15">
        <v>0</v>
      </c>
      <c r="X93" s="15">
        <v>0</v>
      </c>
      <c r="Y93" s="15">
        <v>0</v>
      </c>
      <c r="Z93" s="14" t="s">
        <v>201</v>
      </c>
      <c r="AA93" s="15">
        <v>0</v>
      </c>
      <c r="AB93" s="14" t="s">
        <v>202</v>
      </c>
      <c r="AC93" s="17">
        <v>0</v>
      </c>
      <c r="AD93" s="20"/>
    </row>
    <row r="94" spans="3:30" ht="45.75" customHeight="1" thickBot="1" x14ac:dyDescent="0.5">
      <c r="C94" s="12">
        <f t="shared" si="5"/>
        <v>999</v>
      </c>
      <c r="D94" s="13">
        <f t="shared" si="9"/>
        <v>87</v>
      </c>
      <c r="E94" s="14" t="str">
        <f>IF(AND('Other financial Liabilities'!K88="",'Other financial Liabilities'!J88=1),"r0180 - Critical service liabilities (BRRD art. 44/2/g/ii)",IF(AND('Other financial Liabilities'!K88="",'Other financial Liabilities'!J88=2),"r0190 - Tax and social security authorities liabilities, if preferred (BRRD art. 44/2/g/iii)",'Other financial Liabilities'!K88))</f>
        <v>r0150 - Institution liabilities &lt; 7 days (BRRD art. 44/2/e)</v>
      </c>
      <c r="F94" s="14" t="str">
        <f>IF(OR('Other financial Liabilities'!G88="particulares",'Other financial Liabilities'!J88=1),"c001x   - Households",IF('Other financial Liabilities'!G88="outras empresas nao financeiras","c003x   - Corporates",IF('Other financial Liabilities'!G88="instituicoes de credito","c004x   - Institutions",IF('Other financial Liabilities'!G88="outras instituicoes financeiras","c005x   - Other financial corporations",IF(OR('Other financial Liabilities'!G88="setor publico",'Other financial Liabilities'!J88=2),"c008x   - Government, central banks &amp; supranationals","")))))</f>
        <v>c004x   - Institutions</v>
      </c>
      <c r="G94" s="14" t="str">
        <f t="shared" si="6"/>
        <v>Rank 9 - Ranking in insolvency (master scale)</v>
      </c>
      <c r="H94" s="14" t="str">
        <f>IF(F94="c004x   - Institutions",'Other financial Liabilities'!H88,IF(F94="c001x   - Households","CSL"&amp;IF(MONTH('Other financial Liabilities'!I88)=1,"JAN",IF(MONTH('Other financial Liabilities'!I88)=2,"FEV",IF(MONTH('Other financial Liabilities'!I88)=3,"MAR",IF(MONTH('Other financial Liabilities'!I88)=4,"ABR",IF(MONTH('Other financial Liabilities'!I88)=5,"MAI",IF(MONTH('Other financial Liabilities'!I88)=6,"JUN",IF(MONTH('Other financial Liabilities'!I88)=7,"JUL",IF(MONTH('Other financial Liabilities'!I88)=8,"AGO",IF(MONTH('Other financial Liabilities'!I88)=9,"SET",IF(MONTH('Other financial Liabilities'!I88)=10,"OUT",IF(MONTH('Other financial Liabilities'!I88)=11,"NOV",IF(MONTH('Other financial Liabilities'!I88)=12,"DEZ",""))))))))))))&amp;LEFT(YEAR('Other financial Liabilities'!I88),2),IF(F94="c008x   - Government, central banks &amp; supranationals","TL"&amp;IF(MONTH('Other financial Liabilities'!I88)=1,"JAN",IF(MONTH('Other financial Liabilities'!I88)=2,"FEV",IF(MONTH('Other financial Liabilities'!I88)=3,"MAR",IF(MONTH('Other financial Liabilities'!I88)=4,"ABR",IF(MONTH('Other financial Liabilities'!I88)=5,"MAI",IF(MONTH('Other financial Liabilities'!I88)=6,"JUN",IF(MONTH('Other financial Liabilities'!I88)=7,"JUL",IF(MONTH('Other financial Liabilities'!I88)=8,"AGO",IF(MONTH('Other financial Liabilities'!I88)=9,"SET",IF(MONTH('Other financial Liabilities'!I88)=10,"OUT",IF(MONTH('Other financial Liabilities'!I88)=11,"NOV",IF(MONTH('Other financial Liabilities'!I88)=12,"DEZ",""))))))))))))&amp;LEFT(YEAR('Other financial Liabilities'!I88),2),"")))</f>
        <v>BNP PARIBAS PERSONAL FINANCE, S.A. - SUCURSAL EM PORTUGAL</v>
      </c>
      <c r="I94" s="14" t="str">
        <f>IF(F94="c004x   - Institutions",'Other financial Liabilities'!H88,IF(F94="c001x   - Households","Critical Service Liability "&amp;IF(MONTH('Other financial Liabilities'!I88)=1,"January ",IF(MONTH('Other financial Liabilities'!I88)=2,"February ",IF(MONTH('Other financial Liabilities'!I88)=3,"March ",IF(MONTH('Other financial Liabilities'!I88)=4, "April ",IF(MONTH('Other financial Liabilities'!I88)=5,"May ",IF(MONTH('Other financial Liabilities'!I88)=6,"June ",IF(MONTH('Other financial Liabilities'!I88)=7,"July ",IF(MONTH('Other financial Liabilities'!I88)=8,"August ",IF(MONTH('Other financial Liabilities'!I88)=9,"September ",IF(MONTH('Other financial Liabilities'!I88)=10,"October",  IF(MONTH('Other financial Liabilities'!I88)=11,"November ",IF(MONTH('Other financial Liabilities'!I88)=12,"December ",""))))))))))))&amp;YEAR('Other financial Liabilities'!I88),IF(F94="c008x   - Government, central banks &amp; supranationals","Tax Liability "&amp;IF(MONTH('Other financial Liabilities'!I88)=1,"January ",IF(MONTH('Other financial Liabilities'!I88)=2,"February ",IF(MONTH('Other financial Liabilities'!I88)=3,"March ",IF(MONTH('Other financial Liabilities'!I88)=4,"April ",IF(MONTH('Other financial Liabilities'!I88)=5,"May ",IF(MONTH('Other financial Liabilities'!I88)=6,"June ",IF(MONTH('Other financial Liabilities'!I88)=7,"July ",IF(MONTH('Other financial Liabilities'!I88)=8, "August ",  IF(MONTH('Other financial Liabilities'!I88)=9,"September ",IF(MONTH('Other financial Liabilities'!I88)=10,"October ",IF(MONTH('Other financial Liabilities'!I88)=11,"November ",IF(MONTH('Other financial Liabilities'!I88)=12,"December ",""))))))))))))&amp;YEAR('Other financial Liabilities'!I88),"")))</f>
        <v>BNP PARIBAS PERSONAL FINANCE, S.A. - SUCURSAL EM PORTUGAL</v>
      </c>
      <c r="J94" s="14" t="str">
        <f>+IF(OR('Other financial Liabilities'!C88="",'Other financial Liabilities'!C88="#"),IF('Other financial Liabilities'!A88="",IF(F94="c001x   - Households","CSL"&amp;"001",IF(F94="c008x   - Government, central banks &amp; supranationals","TL"&amp;"001")),'Other financial Liabilities'!A88),'Other financial Liabilities'!C88)</f>
        <v>8026521302</v>
      </c>
      <c r="K94" s="14" t="str">
        <f>+IF(J94='Other financial Liabilities'!C88,"LEI code","Type of identifier, other than LEI or MFI code")</f>
        <v>Type of identifier, other than LEI or MFI code</v>
      </c>
      <c r="L94" s="14" t="s">
        <v>197</v>
      </c>
      <c r="M94" s="14" t="s">
        <v>198</v>
      </c>
      <c r="N94" s="14" t="s">
        <v>199</v>
      </c>
      <c r="O94" s="15">
        <v>5481506.6799999997</v>
      </c>
      <c r="P94" s="15">
        <f>IF('Other financial Liabilities'!E88="",0,'Other financial Liabilities'!E88)</f>
        <v>0</v>
      </c>
      <c r="Q94" s="14">
        <f>IF('Other financial Liabilities'!F88="",0,'Other financial Liabilities'!F88)</f>
        <v>0</v>
      </c>
      <c r="R94" s="14" t="s">
        <v>212</v>
      </c>
      <c r="S94" s="16" t="s">
        <v>250</v>
      </c>
      <c r="T94" s="16">
        <f t="shared" si="7"/>
        <v>44928</v>
      </c>
      <c r="U94" s="16">
        <f t="shared" si="8"/>
        <v>44928</v>
      </c>
      <c r="V94" s="14" t="s">
        <v>200</v>
      </c>
      <c r="W94" s="15">
        <v>0</v>
      </c>
      <c r="X94" s="15">
        <v>0</v>
      </c>
      <c r="Y94" s="15">
        <v>0</v>
      </c>
      <c r="Z94" s="14" t="s">
        <v>201</v>
      </c>
      <c r="AA94" s="15">
        <v>0</v>
      </c>
      <c r="AB94" s="14" t="s">
        <v>202</v>
      </c>
      <c r="AC94" s="17">
        <v>0</v>
      </c>
      <c r="AD94" s="20"/>
    </row>
    <row r="95" spans="3:30" ht="45.75" customHeight="1" thickBot="1" x14ac:dyDescent="0.5">
      <c r="C95" s="12">
        <f t="shared" si="5"/>
        <v>999</v>
      </c>
      <c r="D95" s="13">
        <f t="shared" si="9"/>
        <v>88</v>
      </c>
      <c r="E95" s="14" t="str">
        <f>IF(AND('Other financial Liabilities'!K89="",'Other financial Liabilities'!J89=1),"r0180 - Critical service liabilities (BRRD art. 44/2/g/ii)",IF(AND('Other financial Liabilities'!K89="",'Other financial Liabilities'!J89=2),"r0190 - Tax and social security authorities liabilities, if preferred (BRRD art. 44/2/g/iii)",'Other financial Liabilities'!K89))</f>
        <v>r0150 - Institution liabilities &lt; 7 days (BRRD art. 44/2/e)</v>
      </c>
      <c r="F95" s="14" t="str">
        <f>IF(OR('Other financial Liabilities'!G89="particulares",'Other financial Liabilities'!J89=1),"c001x   - Households",IF('Other financial Liabilities'!G89="outras empresas nao financeiras","c003x   - Corporates",IF('Other financial Liabilities'!G89="instituicoes de credito","c004x   - Institutions",IF('Other financial Liabilities'!G89="outras instituicoes financeiras","c005x   - Other financial corporations",IF(OR('Other financial Liabilities'!G89="setor publico",'Other financial Liabilities'!J89=2),"c008x   - Government, central banks &amp; supranationals","")))))</f>
        <v>c004x   - Institutions</v>
      </c>
      <c r="G95" s="14" t="str">
        <f t="shared" si="6"/>
        <v>Rank 9 - Ranking in insolvency (master scale)</v>
      </c>
      <c r="H95" s="14" t="str">
        <f>IF(F95="c004x   - Institutions",'Other financial Liabilities'!H89,IF(F95="c001x   - Households","CSL"&amp;IF(MONTH('Other financial Liabilities'!I89)=1,"JAN",IF(MONTH('Other financial Liabilities'!I89)=2,"FEV",IF(MONTH('Other financial Liabilities'!I89)=3,"MAR",IF(MONTH('Other financial Liabilities'!I89)=4,"ABR",IF(MONTH('Other financial Liabilities'!I89)=5,"MAI",IF(MONTH('Other financial Liabilities'!I89)=6,"JUN",IF(MONTH('Other financial Liabilities'!I89)=7,"JUL",IF(MONTH('Other financial Liabilities'!I89)=8,"AGO",IF(MONTH('Other financial Liabilities'!I89)=9,"SET",IF(MONTH('Other financial Liabilities'!I89)=10,"OUT",IF(MONTH('Other financial Liabilities'!I89)=11,"NOV",IF(MONTH('Other financial Liabilities'!I89)=12,"DEZ",""))))))))))))&amp;LEFT(YEAR('Other financial Liabilities'!I89),2),IF(F95="c008x   - Government, central banks &amp; supranationals","TL"&amp;IF(MONTH('Other financial Liabilities'!I89)=1,"JAN",IF(MONTH('Other financial Liabilities'!I89)=2,"FEV",IF(MONTH('Other financial Liabilities'!I89)=3,"MAR",IF(MONTH('Other financial Liabilities'!I89)=4,"ABR",IF(MONTH('Other financial Liabilities'!I89)=5,"MAI",IF(MONTH('Other financial Liabilities'!I89)=6,"JUN",IF(MONTH('Other financial Liabilities'!I89)=7,"JUL",IF(MONTH('Other financial Liabilities'!I89)=8,"AGO",IF(MONTH('Other financial Liabilities'!I89)=9,"SET",IF(MONTH('Other financial Liabilities'!I89)=10,"OUT",IF(MONTH('Other financial Liabilities'!I89)=11,"NOV",IF(MONTH('Other financial Liabilities'!I89)=12,"DEZ",""))))))))))))&amp;LEFT(YEAR('Other financial Liabilities'!I89),2),"")))</f>
        <v>BANCO COMERCIAL ATLANTICO,SA</v>
      </c>
      <c r="I95" s="14" t="str">
        <f>IF(F95="c004x   - Institutions",'Other financial Liabilities'!H89,IF(F95="c001x   - Households","Critical Service Liability "&amp;IF(MONTH('Other financial Liabilities'!I89)=1,"January ",IF(MONTH('Other financial Liabilities'!I89)=2,"February ",IF(MONTH('Other financial Liabilities'!I89)=3,"March ",IF(MONTH('Other financial Liabilities'!I89)=4, "April ",IF(MONTH('Other financial Liabilities'!I89)=5,"May ",IF(MONTH('Other financial Liabilities'!I89)=6,"June ",IF(MONTH('Other financial Liabilities'!I89)=7,"July ",IF(MONTH('Other financial Liabilities'!I89)=8,"August ",IF(MONTH('Other financial Liabilities'!I89)=9,"September ",IF(MONTH('Other financial Liabilities'!I89)=10,"October",  IF(MONTH('Other financial Liabilities'!I89)=11,"November ",IF(MONTH('Other financial Liabilities'!I89)=12,"December ",""))))))))))))&amp;YEAR('Other financial Liabilities'!I89),IF(F95="c008x   - Government, central banks &amp; supranationals","Tax Liability "&amp;IF(MONTH('Other financial Liabilities'!I89)=1,"January ",IF(MONTH('Other financial Liabilities'!I89)=2,"February ",IF(MONTH('Other financial Liabilities'!I89)=3,"March ",IF(MONTH('Other financial Liabilities'!I89)=4,"April ",IF(MONTH('Other financial Liabilities'!I89)=5,"May ",IF(MONTH('Other financial Liabilities'!I89)=6,"June ",IF(MONTH('Other financial Liabilities'!I89)=7,"July ",IF(MONTH('Other financial Liabilities'!I89)=8, "August ",  IF(MONTH('Other financial Liabilities'!I89)=9,"September ",IF(MONTH('Other financial Liabilities'!I89)=10,"October ",IF(MONTH('Other financial Liabilities'!I89)=11,"November ",IF(MONTH('Other financial Liabilities'!I89)=12,"December ",""))))))))))))&amp;YEAR('Other financial Liabilities'!I89),"")))</f>
        <v>BANCO COMERCIAL ATLANTICO,SA</v>
      </c>
      <c r="J95" s="14" t="str">
        <f>+IF(OR('Other financial Liabilities'!C89="",'Other financial Liabilities'!C89="#"),IF('Other financial Liabilities'!A89="",IF(F95="c001x   - Households","CSL"&amp;"001",IF(F95="c008x   - Government, central banks &amp; supranationals","TL"&amp;"001")),'Other financial Liabilities'!A89),'Other financial Liabilities'!C89)</f>
        <v>8027004005</v>
      </c>
      <c r="K95" s="14" t="str">
        <f>+IF(J95='Other financial Liabilities'!C89,"LEI code","Type of identifier, other than LEI or MFI code")</f>
        <v>Type of identifier, other than LEI or MFI code</v>
      </c>
      <c r="L95" s="14" t="s">
        <v>197</v>
      </c>
      <c r="M95" s="14" t="s">
        <v>198</v>
      </c>
      <c r="N95" s="14" t="s">
        <v>199</v>
      </c>
      <c r="O95" s="15">
        <v>104882.95</v>
      </c>
      <c r="P95" s="15">
        <f>IF('Other financial Liabilities'!E89="",0,'Other financial Liabilities'!E89)</f>
        <v>0</v>
      </c>
      <c r="Q95" s="14">
        <f>IF('Other financial Liabilities'!F89="",0,'Other financial Liabilities'!F89)</f>
        <v>0</v>
      </c>
      <c r="R95" s="14" t="s">
        <v>212</v>
      </c>
      <c r="S95" s="16" t="s">
        <v>250</v>
      </c>
      <c r="T95" s="16">
        <f t="shared" si="7"/>
        <v>44928</v>
      </c>
      <c r="U95" s="16">
        <f t="shared" si="8"/>
        <v>44928</v>
      </c>
      <c r="V95" s="14" t="s">
        <v>200</v>
      </c>
      <c r="W95" s="15">
        <v>0</v>
      </c>
      <c r="X95" s="15">
        <v>0</v>
      </c>
      <c r="Y95" s="15">
        <v>0</v>
      </c>
      <c r="Z95" s="14" t="s">
        <v>201</v>
      </c>
      <c r="AA95" s="15">
        <v>0</v>
      </c>
      <c r="AB95" s="14" t="s">
        <v>202</v>
      </c>
      <c r="AC95" s="17">
        <v>0</v>
      </c>
      <c r="AD95" s="20"/>
    </row>
    <row r="96" spans="3:30" ht="45.75" customHeight="1" thickBot="1" x14ac:dyDescent="0.5">
      <c r="C96" s="12">
        <f t="shared" si="5"/>
        <v>999</v>
      </c>
      <c r="D96" s="13">
        <f t="shared" si="9"/>
        <v>89</v>
      </c>
      <c r="E96" s="14" t="str">
        <f>IF(AND('Other financial Liabilities'!K90="",'Other financial Liabilities'!J90=1),"r0180 - Critical service liabilities (BRRD art. 44/2/g/ii)",IF(AND('Other financial Liabilities'!K90="",'Other financial Liabilities'!J90=2),"r0190 - Tax and social security authorities liabilities, if preferred (BRRD art. 44/2/g/iii)",'Other financial Liabilities'!K90))</f>
        <v>r0150 - Institution liabilities &lt; 7 days (BRRD art. 44/2/e)</v>
      </c>
      <c r="F96" s="14" t="str">
        <f>IF(OR('Other financial Liabilities'!G90="particulares",'Other financial Liabilities'!J90=1),"c001x   - Households",IF('Other financial Liabilities'!G90="outras empresas nao financeiras","c003x   - Corporates",IF('Other financial Liabilities'!G90="instituicoes de credito","c004x   - Institutions",IF('Other financial Liabilities'!G90="outras instituicoes financeiras","c005x   - Other financial corporations",IF(OR('Other financial Liabilities'!G90="setor publico",'Other financial Liabilities'!J90=2),"c008x   - Government, central banks &amp; supranationals","")))))</f>
        <v>c004x   - Institutions</v>
      </c>
      <c r="G96" s="14" t="str">
        <f t="shared" si="6"/>
        <v>Rank 9 - Ranking in insolvency (master scale)</v>
      </c>
      <c r="H96" s="14" t="str">
        <f>IF(F96="c004x   - Institutions",'Other financial Liabilities'!H90,IF(F96="c001x   - Households","CSL"&amp;IF(MONTH('Other financial Liabilities'!I90)=1,"JAN",IF(MONTH('Other financial Liabilities'!I90)=2,"FEV",IF(MONTH('Other financial Liabilities'!I90)=3,"MAR",IF(MONTH('Other financial Liabilities'!I90)=4,"ABR",IF(MONTH('Other financial Liabilities'!I90)=5,"MAI",IF(MONTH('Other financial Liabilities'!I90)=6,"JUN",IF(MONTH('Other financial Liabilities'!I90)=7,"JUL",IF(MONTH('Other financial Liabilities'!I90)=8,"AGO",IF(MONTH('Other financial Liabilities'!I90)=9,"SET",IF(MONTH('Other financial Liabilities'!I90)=10,"OUT",IF(MONTH('Other financial Liabilities'!I90)=11,"NOV",IF(MONTH('Other financial Liabilities'!I90)=12,"DEZ",""))))))))))))&amp;LEFT(YEAR('Other financial Liabilities'!I90),2),IF(F96="c008x   - Government, central banks &amp; supranationals","TL"&amp;IF(MONTH('Other financial Liabilities'!I90)=1,"JAN",IF(MONTH('Other financial Liabilities'!I90)=2,"FEV",IF(MONTH('Other financial Liabilities'!I90)=3,"MAR",IF(MONTH('Other financial Liabilities'!I90)=4,"ABR",IF(MONTH('Other financial Liabilities'!I90)=5,"MAI",IF(MONTH('Other financial Liabilities'!I90)=6,"JUN",IF(MONTH('Other financial Liabilities'!I90)=7,"JUL",IF(MONTH('Other financial Liabilities'!I90)=8,"AGO",IF(MONTH('Other financial Liabilities'!I90)=9,"SET",IF(MONTH('Other financial Liabilities'!I90)=10,"OUT",IF(MONTH('Other financial Liabilities'!I90)=11,"NOV",IF(MONTH('Other financial Liabilities'!I90)=12,"DEZ",""))))))))))))&amp;LEFT(YEAR('Other financial Liabilities'!I90),2),"")))</f>
        <v>BANCO BPI S.A.</v>
      </c>
      <c r="I96" s="14" t="str">
        <f>IF(F96="c004x   - Institutions",'Other financial Liabilities'!H90,IF(F96="c001x   - Households","Critical Service Liability "&amp;IF(MONTH('Other financial Liabilities'!I90)=1,"January ",IF(MONTH('Other financial Liabilities'!I90)=2,"February ",IF(MONTH('Other financial Liabilities'!I90)=3,"March ",IF(MONTH('Other financial Liabilities'!I90)=4, "April ",IF(MONTH('Other financial Liabilities'!I90)=5,"May ",IF(MONTH('Other financial Liabilities'!I90)=6,"June ",IF(MONTH('Other financial Liabilities'!I90)=7,"July ",IF(MONTH('Other financial Liabilities'!I90)=8,"August ",IF(MONTH('Other financial Liabilities'!I90)=9,"September ",IF(MONTH('Other financial Liabilities'!I90)=10,"October",  IF(MONTH('Other financial Liabilities'!I90)=11,"November ",IF(MONTH('Other financial Liabilities'!I90)=12,"December ",""))))))))))))&amp;YEAR('Other financial Liabilities'!I90),IF(F96="c008x   - Government, central banks &amp; supranationals","Tax Liability "&amp;IF(MONTH('Other financial Liabilities'!I90)=1,"January ",IF(MONTH('Other financial Liabilities'!I90)=2,"February ",IF(MONTH('Other financial Liabilities'!I90)=3,"March ",IF(MONTH('Other financial Liabilities'!I90)=4,"April ",IF(MONTH('Other financial Liabilities'!I90)=5,"May ",IF(MONTH('Other financial Liabilities'!I90)=6,"June ",IF(MONTH('Other financial Liabilities'!I90)=7,"July ",IF(MONTH('Other financial Liabilities'!I90)=8, "August ",  IF(MONTH('Other financial Liabilities'!I90)=9,"September ",IF(MONTH('Other financial Liabilities'!I90)=10,"October ",IF(MONTH('Other financial Liabilities'!I90)=11,"November ",IF(MONTH('Other financial Liabilities'!I90)=12,"December ",""))))))))))))&amp;YEAR('Other financial Liabilities'!I90),"")))</f>
        <v>BANCO BPI S.A.</v>
      </c>
      <c r="J96" s="14" t="str">
        <f>+IF(OR('Other financial Liabilities'!C90="",'Other financial Liabilities'!C90="#"),IF('Other financial Liabilities'!A90="",IF(F96="c001x   - Households","CSL"&amp;"001",IF(F96="c008x   - Government, central banks &amp; supranationals","TL"&amp;"001")),'Other financial Liabilities'!A90),'Other financial Liabilities'!C90)</f>
        <v>3DM5DPGI3W6OU6GJ4N92</v>
      </c>
      <c r="K96" s="14" t="str">
        <f>+IF(J96='Other financial Liabilities'!C90,"LEI code","Type of identifier, other than LEI or MFI code")</f>
        <v>LEI code</v>
      </c>
      <c r="L96" s="14" t="s">
        <v>197</v>
      </c>
      <c r="M96" s="14" t="s">
        <v>198</v>
      </c>
      <c r="N96" s="14" t="s">
        <v>199</v>
      </c>
      <c r="O96" s="15">
        <v>49707</v>
      </c>
      <c r="P96" s="15">
        <f>IF('Other financial Liabilities'!E90="",0,'Other financial Liabilities'!E90)</f>
        <v>0</v>
      </c>
      <c r="Q96" s="14">
        <f>IF('Other financial Liabilities'!F90="",0,'Other financial Liabilities'!F90)</f>
        <v>0</v>
      </c>
      <c r="R96" s="14" t="s">
        <v>212</v>
      </c>
      <c r="S96" s="16" t="s">
        <v>250</v>
      </c>
      <c r="T96" s="16">
        <f t="shared" si="7"/>
        <v>44928</v>
      </c>
      <c r="U96" s="16">
        <f t="shared" si="8"/>
        <v>44928</v>
      </c>
      <c r="V96" s="14" t="s">
        <v>200</v>
      </c>
      <c r="W96" s="15">
        <v>0</v>
      </c>
      <c r="X96" s="15">
        <v>0</v>
      </c>
      <c r="Y96" s="15">
        <v>0</v>
      </c>
      <c r="Z96" s="14" t="s">
        <v>201</v>
      </c>
      <c r="AA96" s="15">
        <v>0</v>
      </c>
      <c r="AB96" s="14" t="s">
        <v>202</v>
      </c>
      <c r="AC96" s="17">
        <v>0</v>
      </c>
      <c r="AD96" s="20"/>
    </row>
    <row r="97" spans="3:30" ht="45.75" customHeight="1" thickBot="1" x14ac:dyDescent="0.5">
      <c r="C97" s="12">
        <f t="shared" si="5"/>
        <v>999</v>
      </c>
      <c r="D97" s="13">
        <f t="shared" si="9"/>
        <v>90</v>
      </c>
      <c r="E97" s="14" t="str">
        <f>IF(AND('Other financial Liabilities'!K91="",'Other financial Liabilities'!J91=1),"r0180 - Critical service liabilities (BRRD art. 44/2/g/ii)",IF(AND('Other financial Liabilities'!K91="",'Other financial Liabilities'!J91=2),"r0190 - Tax and social security authorities liabilities, if preferred (BRRD art. 44/2/g/iii)",'Other financial Liabilities'!K91))</f>
        <v>r0150 - Institution liabilities &lt; 7 days (BRRD art. 44/2/e)</v>
      </c>
      <c r="F97" s="14" t="str">
        <f>IF(OR('Other financial Liabilities'!G91="particulares",'Other financial Liabilities'!J91=1),"c001x   - Households",IF('Other financial Liabilities'!G91="outras empresas nao financeiras","c003x   - Corporates",IF('Other financial Liabilities'!G91="instituicoes de credito","c004x   - Institutions",IF('Other financial Liabilities'!G91="outras instituicoes financeiras","c005x   - Other financial corporations",IF(OR('Other financial Liabilities'!G91="setor publico",'Other financial Liabilities'!J91=2),"c008x   - Government, central banks &amp; supranationals","")))))</f>
        <v>c004x   - Institutions</v>
      </c>
      <c r="G97" s="14" t="str">
        <f t="shared" si="6"/>
        <v>Rank 9 - Ranking in insolvency (master scale)</v>
      </c>
      <c r="H97" s="14" t="str">
        <f>IF(F97="c004x   - Institutions",'Other financial Liabilities'!H91,IF(F97="c001x   - Households","CSL"&amp;IF(MONTH('Other financial Liabilities'!I91)=1,"JAN",IF(MONTH('Other financial Liabilities'!I91)=2,"FEV",IF(MONTH('Other financial Liabilities'!I91)=3,"MAR",IF(MONTH('Other financial Liabilities'!I91)=4,"ABR",IF(MONTH('Other financial Liabilities'!I91)=5,"MAI",IF(MONTH('Other financial Liabilities'!I91)=6,"JUN",IF(MONTH('Other financial Liabilities'!I91)=7,"JUL",IF(MONTH('Other financial Liabilities'!I91)=8,"AGO",IF(MONTH('Other financial Liabilities'!I91)=9,"SET",IF(MONTH('Other financial Liabilities'!I91)=10,"OUT",IF(MONTH('Other financial Liabilities'!I91)=11,"NOV",IF(MONTH('Other financial Liabilities'!I91)=12,"DEZ",""))))))))))))&amp;LEFT(YEAR('Other financial Liabilities'!I91),2),IF(F97="c008x   - Government, central banks &amp; supranationals","TL"&amp;IF(MONTH('Other financial Liabilities'!I91)=1,"JAN",IF(MONTH('Other financial Liabilities'!I91)=2,"FEV",IF(MONTH('Other financial Liabilities'!I91)=3,"MAR",IF(MONTH('Other financial Liabilities'!I91)=4,"ABR",IF(MONTH('Other financial Liabilities'!I91)=5,"MAI",IF(MONTH('Other financial Liabilities'!I91)=6,"JUN",IF(MONTH('Other financial Liabilities'!I91)=7,"JUL",IF(MONTH('Other financial Liabilities'!I91)=8,"AGO",IF(MONTH('Other financial Liabilities'!I91)=9,"SET",IF(MONTH('Other financial Liabilities'!I91)=10,"OUT",IF(MONTH('Other financial Liabilities'!I91)=11,"NOV",IF(MONTH('Other financial Liabilities'!I91)=12,"DEZ",""))))))))))))&amp;LEFT(YEAR('Other financial Liabilities'!I91),2),"")))</f>
        <v>ONEY BANK - SUCURSAL EM PORTUGAL</v>
      </c>
      <c r="I97" s="14" t="str">
        <f>IF(F97="c004x   - Institutions",'Other financial Liabilities'!H91,IF(F97="c001x   - Households","Critical Service Liability "&amp;IF(MONTH('Other financial Liabilities'!I91)=1,"January ",IF(MONTH('Other financial Liabilities'!I91)=2,"February ",IF(MONTH('Other financial Liabilities'!I91)=3,"March ",IF(MONTH('Other financial Liabilities'!I91)=4, "April ",IF(MONTH('Other financial Liabilities'!I91)=5,"May ",IF(MONTH('Other financial Liabilities'!I91)=6,"June ",IF(MONTH('Other financial Liabilities'!I91)=7,"July ",IF(MONTH('Other financial Liabilities'!I91)=8,"August ",IF(MONTH('Other financial Liabilities'!I91)=9,"September ",IF(MONTH('Other financial Liabilities'!I91)=10,"October",  IF(MONTH('Other financial Liabilities'!I91)=11,"November ",IF(MONTH('Other financial Liabilities'!I91)=12,"December ",""))))))))))))&amp;YEAR('Other financial Liabilities'!I91),IF(F97="c008x   - Government, central banks &amp; supranationals","Tax Liability "&amp;IF(MONTH('Other financial Liabilities'!I91)=1,"January ",IF(MONTH('Other financial Liabilities'!I91)=2,"February ",IF(MONTH('Other financial Liabilities'!I91)=3,"March ",IF(MONTH('Other financial Liabilities'!I91)=4,"April ",IF(MONTH('Other financial Liabilities'!I91)=5,"May ",IF(MONTH('Other financial Liabilities'!I91)=6,"June ",IF(MONTH('Other financial Liabilities'!I91)=7,"July ",IF(MONTH('Other financial Liabilities'!I91)=8, "August ",  IF(MONTH('Other financial Liabilities'!I91)=9,"September ",IF(MONTH('Other financial Liabilities'!I91)=10,"October ",IF(MONTH('Other financial Liabilities'!I91)=11,"November ",IF(MONTH('Other financial Liabilities'!I91)=12,"December ",""))))))))))))&amp;YEAR('Other financial Liabilities'!I91),"")))</f>
        <v>ONEY BANK - SUCURSAL EM PORTUGAL</v>
      </c>
      <c r="J97" s="14" t="str">
        <f>+IF(OR('Other financial Liabilities'!C91="",'Other financial Liabilities'!C91="#"),IF('Other financial Liabilities'!A91="",IF(F97="c001x   - Households","CSL"&amp;"001",IF(F97="c008x   - Government, central banks &amp; supranationals","TL"&amp;"001")),'Other financial Liabilities'!A91),'Other financial Liabilities'!C91)</f>
        <v>8028858476</v>
      </c>
      <c r="K97" s="14" t="str">
        <f>+IF(J97='Other financial Liabilities'!C91,"LEI code","Type of identifier, other than LEI or MFI code")</f>
        <v>Type of identifier, other than LEI or MFI code</v>
      </c>
      <c r="L97" s="14" t="s">
        <v>197</v>
      </c>
      <c r="M97" s="14" t="s">
        <v>198</v>
      </c>
      <c r="N97" s="14" t="s">
        <v>199</v>
      </c>
      <c r="O97" s="15">
        <v>402362.06</v>
      </c>
      <c r="P97" s="15">
        <f>IF('Other financial Liabilities'!E91="",0,'Other financial Liabilities'!E91)</f>
        <v>0</v>
      </c>
      <c r="Q97" s="14">
        <f>IF('Other financial Liabilities'!F91="",0,'Other financial Liabilities'!F91)</f>
        <v>0</v>
      </c>
      <c r="R97" s="14" t="s">
        <v>212</v>
      </c>
      <c r="S97" s="16" t="s">
        <v>250</v>
      </c>
      <c r="T97" s="16">
        <f t="shared" si="7"/>
        <v>44928</v>
      </c>
      <c r="U97" s="16">
        <f t="shared" si="8"/>
        <v>44928</v>
      </c>
      <c r="V97" s="14" t="s">
        <v>200</v>
      </c>
      <c r="W97" s="15">
        <v>0</v>
      </c>
      <c r="X97" s="15">
        <v>0</v>
      </c>
      <c r="Y97" s="15">
        <v>0</v>
      </c>
      <c r="Z97" s="14" t="s">
        <v>201</v>
      </c>
      <c r="AA97" s="15">
        <v>0</v>
      </c>
      <c r="AB97" s="14" t="s">
        <v>202</v>
      </c>
      <c r="AC97" s="17">
        <v>0</v>
      </c>
      <c r="AD97" s="20"/>
    </row>
    <row r="98" spans="3:30" ht="45.75" customHeight="1" thickBot="1" x14ac:dyDescent="0.5">
      <c r="C98" s="12">
        <f t="shared" si="5"/>
        <v>999</v>
      </c>
      <c r="D98" s="13">
        <f t="shared" si="9"/>
        <v>91</v>
      </c>
      <c r="E98" s="14" t="str">
        <f>IF(AND('Other financial Liabilities'!K92="",'Other financial Liabilities'!J92=1),"r0180 - Critical service liabilities (BRRD art. 44/2/g/ii)",IF(AND('Other financial Liabilities'!K92="",'Other financial Liabilities'!J92=2),"r0190 - Tax and social security authorities liabilities, if preferred (BRRD art. 44/2/g/iii)",'Other financial Liabilities'!K92))</f>
        <v>r0150 - Institution liabilities &lt; 7 days (BRRD art. 44/2/e)</v>
      </c>
      <c r="F98" s="14" t="str">
        <f>IF(OR('Other financial Liabilities'!G92="particulares",'Other financial Liabilities'!J92=1),"c001x   - Households",IF('Other financial Liabilities'!G92="outras empresas nao financeiras","c003x   - Corporates",IF('Other financial Liabilities'!G92="instituicoes de credito","c004x   - Institutions",IF('Other financial Liabilities'!G92="outras instituicoes financeiras","c005x   - Other financial corporations",IF(OR('Other financial Liabilities'!G92="setor publico",'Other financial Liabilities'!J92=2),"c008x   - Government, central banks &amp; supranationals","")))))</f>
        <v>c004x   - Institutions</v>
      </c>
      <c r="G98" s="14" t="str">
        <f t="shared" si="6"/>
        <v>Rank 9 - Ranking in insolvency (master scale)</v>
      </c>
      <c r="H98" s="14" t="str">
        <f>IF(F98="c004x   - Institutions",'Other financial Liabilities'!H92,IF(F98="c001x   - Households","CSL"&amp;IF(MONTH('Other financial Liabilities'!I92)=1,"JAN",IF(MONTH('Other financial Liabilities'!I92)=2,"FEV",IF(MONTH('Other financial Liabilities'!I92)=3,"MAR",IF(MONTH('Other financial Liabilities'!I92)=4,"ABR",IF(MONTH('Other financial Liabilities'!I92)=5,"MAI",IF(MONTH('Other financial Liabilities'!I92)=6,"JUN",IF(MONTH('Other financial Liabilities'!I92)=7,"JUL",IF(MONTH('Other financial Liabilities'!I92)=8,"AGO",IF(MONTH('Other financial Liabilities'!I92)=9,"SET",IF(MONTH('Other financial Liabilities'!I92)=10,"OUT",IF(MONTH('Other financial Liabilities'!I92)=11,"NOV",IF(MONTH('Other financial Liabilities'!I92)=12,"DEZ",""))))))))))))&amp;LEFT(YEAR('Other financial Liabilities'!I92),2),IF(F98="c008x   - Government, central banks &amp; supranationals","TL"&amp;IF(MONTH('Other financial Liabilities'!I92)=1,"JAN",IF(MONTH('Other financial Liabilities'!I92)=2,"FEV",IF(MONTH('Other financial Liabilities'!I92)=3,"MAR",IF(MONTH('Other financial Liabilities'!I92)=4,"ABR",IF(MONTH('Other financial Liabilities'!I92)=5,"MAI",IF(MONTH('Other financial Liabilities'!I92)=6,"JUN",IF(MONTH('Other financial Liabilities'!I92)=7,"JUL",IF(MONTH('Other financial Liabilities'!I92)=8,"AGO",IF(MONTH('Other financial Liabilities'!I92)=9,"SET",IF(MONTH('Other financial Liabilities'!I92)=10,"OUT",IF(MONTH('Other financial Liabilities'!I92)=11,"NOV",IF(MONTH('Other financial Liabilities'!I92)=12,"DEZ",""))))))))))))&amp;LEFT(YEAR('Other financial Liabilities'!I92),2),"")))</f>
        <v>BANCO L. J. CARREGOSA S.A.</v>
      </c>
      <c r="I98" s="14" t="str">
        <f>IF(F98="c004x   - Institutions",'Other financial Liabilities'!H92,IF(F98="c001x   - Households","Critical Service Liability "&amp;IF(MONTH('Other financial Liabilities'!I92)=1,"January ",IF(MONTH('Other financial Liabilities'!I92)=2,"February ",IF(MONTH('Other financial Liabilities'!I92)=3,"March ",IF(MONTH('Other financial Liabilities'!I92)=4, "April ",IF(MONTH('Other financial Liabilities'!I92)=5,"May ",IF(MONTH('Other financial Liabilities'!I92)=6,"June ",IF(MONTH('Other financial Liabilities'!I92)=7,"July ",IF(MONTH('Other financial Liabilities'!I92)=8,"August ",IF(MONTH('Other financial Liabilities'!I92)=9,"September ",IF(MONTH('Other financial Liabilities'!I92)=10,"October",  IF(MONTH('Other financial Liabilities'!I92)=11,"November ",IF(MONTH('Other financial Liabilities'!I92)=12,"December ",""))))))))))))&amp;YEAR('Other financial Liabilities'!I92),IF(F98="c008x   - Government, central banks &amp; supranationals","Tax Liability "&amp;IF(MONTH('Other financial Liabilities'!I92)=1,"January ",IF(MONTH('Other financial Liabilities'!I92)=2,"February ",IF(MONTH('Other financial Liabilities'!I92)=3,"March ",IF(MONTH('Other financial Liabilities'!I92)=4,"April ",IF(MONTH('Other financial Liabilities'!I92)=5,"May ",IF(MONTH('Other financial Liabilities'!I92)=6,"June ",IF(MONTH('Other financial Liabilities'!I92)=7,"July ",IF(MONTH('Other financial Liabilities'!I92)=8, "August ",  IF(MONTH('Other financial Liabilities'!I92)=9,"September ",IF(MONTH('Other financial Liabilities'!I92)=10,"October ",IF(MONTH('Other financial Liabilities'!I92)=11,"November ",IF(MONTH('Other financial Liabilities'!I92)=12,"December ",""))))))))))))&amp;YEAR('Other financial Liabilities'!I92),"")))</f>
        <v>BANCO L. J. CARREGOSA S.A.</v>
      </c>
      <c r="J98" s="14" t="str">
        <f>+IF(OR('Other financial Liabilities'!C92="",'Other financial Liabilities'!C92="#"),IF('Other financial Liabilities'!A92="",IF(F98="c001x   - Households","CSL"&amp;"001",IF(F98="c008x   - Government, central banks &amp; supranationals","TL"&amp;"001")),'Other financial Liabilities'!A92),'Other financial Liabilities'!C92)</f>
        <v>213800UFLAA5SS55IZ10</v>
      </c>
      <c r="K98" s="14" t="str">
        <f>+IF(J98='Other financial Liabilities'!C92,"LEI code","Type of identifier, other than LEI or MFI code")</f>
        <v>LEI code</v>
      </c>
      <c r="L98" s="14" t="s">
        <v>197</v>
      </c>
      <c r="M98" s="14" t="s">
        <v>198</v>
      </c>
      <c r="N98" s="14" t="s">
        <v>199</v>
      </c>
      <c r="O98" s="15">
        <v>22250.22</v>
      </c>
      <c r="P98" s="15">
        <f>IF('Other financial Liabilities'!E92="",0,'Other financial Liabilities'!E92)</f>
        <v>0</v>
      </c>
      <c r="Q98" s="14">
        <f>IF('Other financial Liabilities'!F92="",0,'Other financial Liabilities'!F92)</f>
        <v>0</v>
      </c>
      <c r="R98" s="14" t="s">
        <v>210</v>
      </c>
      <c r="S98" s="16" t="s">
        <v>250</v>
      </c>
      <c r="T98" s="16">
        <f t="shared" si="7"/>
        <v>44928</v>
      </c>
      <c r="U98" s="16">
        <f t="shared" si="8"/>
        <v>44928</v>
      </c>
      <c r="V98" s="14" t="s">
        <v>200</v>
      </c>
      <c r="W98" s="15">
        <v>0</v>
      </c>
      <c r="X98" s="15">
        <v>0</v>
      </c>
      <c r="Y98" s="15">
        <v>0</v>
      </c>
      <c r="Z98" s="14" t="s">
        <v>201</v>
      </c>
      <c r="AA98" s="15">
        <v>0</v>
      </c>
      <c r="AB98" s="14" t="s">
        <v>202</v>
      </c>
      <c r="AC98" s="17">
        <v>0</v>
      </c>
      <c r="AD98" s="20"/>
    </row>
    <row r="99" spans="3:30" ht="45.75" customHeight="1" thickBot="1" x14ac:dyDescent="0.5">
      <c r="C99" s="12">
        <f t="shared" si="5"/>
        <v>999</v>
      </c>
      <c r="D99" s="13">
        <f t="shared" si="9"/>
        <v>92</v>
      </c>
      <c r="E99" s="14" t="str">
        <f>IF(AND('Other financial Liabilities'!K93="",'Other financial Liabilities'!J93=1),"r0180 - Critical service liabilities (BRRD art. 44/2/g/ii)",IF(AND('Other financial Liabilities'!K93="",'Other financial Liabilities'!J93=2),"r0190 - Tax and social security authorities liabilities, if preferred (BRRD art. 44/2/g/iii)",'Other financial Liabilities'!K93))</f>
        <v>r0150 - Institution liabilities &lt; 7 days (BRRD art. 44/2/e)</v>
      </c>
      <c r="F99" s="14" t="str">
        <f>IF(OR('Other financial Liabilities'!G93="particulares",'Other financial Liabilities'!J93=1),"c001x   - Households",IF('Other financial Liabilities'!G93="outras empresas nao financeiras","c003x   - Corporates",IF('Other financial Liabilities'!G93="instituicoes de credito","c004x   - Institutions",IF('Other financial Liabilities'!G93="outras instituicoes financeiras","c005x   - Other financial corporations",IF(OR('Other financial Liabilities'!G93="setor publico",'Other financial Liabilities'!J93=2),"c008x   - Government, central banks &amp; supranationals","")))))</f>
        <v>c004x   - Institutions</v>
      </c>
      <c r="G99" s="14" t="str">
        <f t="shared" si="6"/>
        <v>Rank 9 - Ranking in insolvency (master scale)</v>
      </c>
      <c r="H99" s="14" t="str">
        <f>IF(F99="c004x   - Institutions",'Other financial Liabilities'!H93,IF(F99="c001x   - Households","CSL"&amp;IF(MONTH('Other financial Liabilities'!I93)=1,"JAN",IF(MONTH('Other financial Liabilities'!I93)=2,"FEV",IF(MONTH('Other financial Liabilities'!I93)=3,"MAR",IF(MONTH('Other financial Liabilities'!I93)=4,"ABR",IF(MONTH('Other financial Liabilities'!I93)=5,"MAI",IF(MONTH('Other financial Liabilities'!I93)=6,"JUN",IF(MONTH('Other financial Liabilities'!I93)=7,"JUL",IF(MONTH('Other financial Liabilities'!I93)=8,"AGO",IF(MONTH('Other financial Liabilities'!I93)=9,"SET",IF(MONTH('Other financial Liabilities'!I93)=10,"OUT",IF(MONTH('Other financial Liabilities'!I93)=11,"NOV",IF(MONTH('Other financial Liabilities'!I93)=12,"DEZ",""))))))))))))&amp;LEFT(YEAR('Other financial Liabilities'!I93),2),IF(F99="c008x   - Government, central banks &amp; supranationals","TL"&amp;IF(MONTH('Other financial Liabilities'!I93)=1,"JAN",IF(MONTH('Other financial Liabilities'!I93)=2,"FEV",IF(MONTH('Other financial Liabilities'!I93)=3,"MAR",IF(MONTH('Other financial Liabilities'!I93)=4,"ABR",IF(MONTH('Other financial Liabilities'!I93)=5,"MAI",IF(MONTH('Other financial Liabilities'!I93)=6,"JUN",IF(MONTH('Other financial Liabilities'!I93)=7,"JUL",IF(MONTH('Other financial Liabilities'!I93)=8,"AGO",IF(MONTH('Other financial Liabilities'!I93)=9,"SET",IF(MONTH('Other financial Liabilities'!I93)=10,"OUT",IF(MONTH('Other financial Liabilities'!I93)=11,"NOV",IF(MONTH('Other financial Liabilities'!I93)=12,"DEZ",""))))))))))))&amp;LEFT(YEAR('Other financial Liabilities'!I93),2),"")))</f>
        <v>BANCO L. J. CARREGOSA S.A.</v>
      </c>
      <c r="I99" s="14" t="str">
        <f>IF(F99="c004x   - Institutions",'Other financial Liabilities'!H93,IF(F99="c001x   - Households","Critical Service Liability "&amp;IF(MONTH('Other financial Liabilities'!I93)=1,"January ",IF(MONTH('Other financial Liabilities'!I93)=2,"February ",IF(MONTH('Other financial Liabilities'!I93)=3,"March ",IF(MONTH('Other financial Liabilities'!I93)=4, "April ",IF(MONTH('Other financial Liabilities'!I93)=5,"May ",IF(MONTH('Other financial Liabilities'!I93)=6,"June ",IF(MONTH('Other financial Liabilities'!I93)=7,"July ",IF(MONTH('Other financial Liabilities'!I93)=8,"August ",IF(MONTH('Other financial Liabilities'!I93)=9,"September ",IF(MONTH('Other financial Liabilities'!I93)=10,"October",  IF(MONTH('Other financial Liabilities'!I93)=11,"November ",IF(MONTH('Other financial Liabilities'!I93)=12,"December ",""))))))))))))&amp;YEAR('Other financial Liabilities'!I93),IF(F99="c008x   - Government, central banks &amp; supranationals","Tax Liability "&amp;IF(MONTH('Other financial Liabilities'!I93)=1,"January ",IF(MONTH('Other financial Liabilities'!I93)=2,"February ",IF(MONTH('Other financial Liabilities'!I93)=3,"March ",IF(MONTH('Other financial Liabilities'!I93)=4,"April ",IF(MONTH('Other financial Liabilities'!I93)=5,"May ",IF(MONTH('Other financial Liabilities'!I93)=6,"June ",IF(MONTH('Other financial Liabilities'!I93)=7,"July ",IF(MONTH('Other financial Liabilities'!I93)=8, "August ",  IF(MONTH('Other financial Liabilities'!I93)=9,"September ",IF(MONTH('Other financial Liabilities'!I93)=10,"October ",IF(MONTH('Other financial Liabilities'!I93)=11,"November ",IF(MONTH('Other financial Liabilities'!I93)=12,"December ",""))))))))))))&amp;YEAR('Other financial Liabilities'!I93),"")))</f>
        <v>BANCO L. J. CARREGOSA S.A.</v>
      </c>
      <c r="J99" s="14" t="str">
        <f>+IF(OR('Other financial Liabilities'!C93="",'Other financial Liabilities'!C93="#"),IF('Other financial Liabilities'!A93="",IF(F99="c001x   - Households","CSL"&amp;"001",IF(F99="c008x   - Government, central banks &amp; supranationals","TL"&amp;"001")),'Other financial Liabilities'!A93),'Other financial Liabilities'!C93)</f>
        <v>213800UFLAA5SS55IZ10</v>
      </c>
      <c r="K99" s="14" t="str">
        <f>+IF(J99='Other financial Liabilities'!C93,"LEI code","Type of identifier, other than LEI or MFI code")</f>
        <v>LEI code</v>
      </c>
      <c r="L99" s="14" t="s">
        <v>197</v>
      </c>
      <c r="M99" s="14" t="s">
        <v>198</v>
      </c>
      <c r="N99" s="14" t="s">
        <v>199</v>
      </c>
      <c r="O99" s="15">
        <v>619778.73</v>
      </c>
      <c r="P99" s="15">
        <f>IF('Other financial Liabilities'!E93="",0,'Other financial Liabilities'!E93)</f>
        <v>0</v>
      </c>
      <c r="Q99" s="14">
        <f>IF('Other financial Liabilities'!F93="",0,'Other financial Liabilities'!F93)</f>
        <v>0</v>
      </c>
      <c r="R99" s="14" t="s">
        <v>211</v>
      </c>
      <c r="S99" s="16" t="s">
        <v>250</v>
      </c>
      <c r="T99" s="16">
        <f t="shared" si="7"/>
        <v>44928</v>
      </c>
      <c r="U99" s="16">
        <f t="shared" si="8"/>
        <v>44928</v>
      </c>
      <c r="V99" s="14" t="s">
        <v>200</v>
      </c>
      <c r="W99" s="15">
        <v>0</v>
      </c>
      <c r="X99" s="15">
        <v>0</v>
      </c>
      <c r="Y99" s="15">
        <v>0</v>
      </c>
      <c r="Z99" s="14" t="s">
        <v>201</v>
      </c>
      <c r="AA99" s="15">
        <v>0</v>
      </c>
      <c r="AB99" s="14" t="s">
        <v>202</v>
      </c>
      <c r="AC99" s="17">
        <v>0</v>
      </c>
      <c r="AD99" s="20"/>
    </row>
    <row r="100" spans="3:30" ht="45.75" customHeight="1" thickBot="1" x14ac:dyDescent="0.5">
      <c r="C100" s="12">
        <f t="shared" si="5"/>
        <v>999</v>
      </c>
      <c r="D100" s="13">
        <f t="shared" si="9"/>
        <v>93</v>
      </c>
      <c r="E100" s="14" t="str">
        <f>IF(AND('Other financial Liabilities'!K94="",'Other financial Liabilities'!J94=1),"r0180 - Critical service liabilities (BRRD art. 44/2/g/ii)",IF(AND('Other financial Liabilities'!K94="",'Other financial Liabilities'!J94=2),"r0190 - Tax and social security authorities liabilities, if preferred (BRRD art. 44/2/g/iii)",'Other financial Liabilities'!K94))</f>
        <v>r0150 - Institution liabilities &lt; 7 days (BRRD art. 44/2/e)</v>
      </c>
      <c r="F100" s="14" t="str">
        <f>IF(OR('Other financial Liabilities'!G94="particulares",'Other financial Liabilities'!J94=1),"c001x   - Households",IF('Other financial Liabilities'!G94="outras empresas nao financeiras","c003x   - Corporates",IF('Other financial Liabilities'!G94="instituicoes de credito","c004x   - Institutions",IF('Other financial Liabilities'!G94="outras instituicoes financeiras","c005x   - Other financial corporations",IF(OR('Other financial Liabilities'!G94="setor publico",'Other financial Liabilities'!J94=2),"c008x   - Government, central banks &amp; supranationals","")))))</f>
        <v>c004x   - Institutions</v>
      </c>
      <c r="G100" s="14" t="str">
        <f t="shared" si="6"/>
        <v>Rank 9 - Ranking in insolvency (master scale)</v>
      </c>
      <c r="H100" s="14" t="str">
        <f>IF(F100="c004x   - Institutions",'Other financial Liabilities'!H94,IF(F100="c001x   - Households","CSL"&amp;IF(MONTH('Other financial Liabilities'!I94)=1,"JAN",IF(MONTH('Other financial Liabilities'!I94)=2,"FEV",IF(MONTH('Other financial Liabilities'!I94)=3,"MAR",IF(MONTH('Other financial Liabilities'!I94)=4,"ABR",IF(MONTH('Other financial Liabilities'!I94)=5,"MAI",IF(MONTH('Other financial Liabilities'!I94)=6,"JUN",IF(MONTH('Other financial Liabilities'!I94)=7,"JUL",IF(MONTH('Other financial Liabilities'!I94)=8,"AGO",IF(MONTH('Other financial Liabilities'!I94)=9,"SET",IF(MONTH('Other financial Liabilities'!I94)=10,"OUT",IF(MONTH('Other financial Liabilities'!I94)=11,"NOV",IF(MONTH('Other financial Liabilities'!I94)=12,"DEZ",""))))))))))))&amp;LEFT(YEAR('Other financial Liabilities'!I94),2),IF(F100="c008x   - Government, central banks &amp; supranationals","TL"&amp;IF(MONTH('Other financial Liabilities'!I94)=1,"JAN",IF(MONTH('Other financial Liabilities'!I94)=2,"FEV",IF(MONTH('Other financial Liabilities'!I94)=3,"MAR",IF(MONTH('Other financial Liabilities'!I94)=4,"ABR",IF(MONTH('Other financial Liabilities'!I94)=5,"MAI",IF(MONTH('Other financial Liabilities'!I94)=6,"JUN",IF(MONTH('Other financial Liabilities'!I94)=7,"JUL",IF(MONTH('Other financial Liabilities'!I94)=8,"AGO",IF(MONTH('Other financial Liabilities'!I94)=9,"SET",IF(MONTH('Other financial Liabilities'!I94)=10,"OUT",IF(MONTH('Other financial Liabilities'!I94)=11,"NOV",IF(MONTH('Other financial Liabilities'!I94)=12,"DEZ",""))))))))))))&amp;LEFT(YEAR('Other financial Liabilities'!I94),2),"")))</f>
        <v>BANCO L. J. CARREGOSA S.A.</v>
      </c>
      <c r="I100" s="14" t="str">
        <f>IF(F100="c004x   - Institutions",'Other financial Liabilities'!H94,IF(F100="c001x   - Households","Critical Service Liability "&amp;IF(MONTH('Other financial Liabilities'!I94)=1,"January ",IF(MONTH('Other financial Liabilities'!I94)=2,"February ",IF(MONTH('Other financial Liabilities'!I94)=3,"March ",IF(MONTH('Other financial Liabilities'!I94)=4, "April ",IF(MONTH('Other financial Liabilities'!I94)=5,"May ",IF(MONTH('Other financial Liabilities'!I94)=6,"June ",IF(MONTH('Other financial Liabilities'!I94)=7,"July ",IF(MONTH('Other financial Liabilities'!I94)=8,"August ",IF(MONTH('Other financial Liabilities'!I94)=9,"September ",IF(MONTH('Other financial Liabilities'!I94)=10,"October",  IF(MONTH('Other financial Liabilities'!I94)=11,"November ",IF(MONTH('Other financial Liabilities'!I94)=12,"December ",""))))))))))))&amp;YEAR('Other financial Liabilities'!I94),IF(F100="c008x   - Government, central banks &amp; supranationals","Tax Liability "&amp;IF(MONTH('Other financial Liabilities'!I94)=1,"January ",IF(MONTH('Other financial Liabilities'!I94)=2,"February ",IF(MONTH('Other financial Liabilities'!I94)=3,"March ",IF(MONTH('Other financial Liabilities'!I94)=4,"April ",IF(MONTH('Other financial Liabilities'!I94)=5,"May ",IF(MONTH('Other financial Liabilities'!I94)=6,"June ",IF(MONTH('Other financial Liabilities'!I94)=7,"July ",IF(MONTH('Other financial Liabilities'!I94)=8, "August ",  IF(MONTH('Other financial Liabilities'!I94)=9,"September ",IF(MONTH('Other financial Liabilities'!I94)=10,"October ",IF(MONTH('Other financial Liabilities'!I94)=11,"November ",IF(MONTH('Other financial Liabilities'!I94)=12,"December ",""))))))))))))&amp;YEAR('Other financial Liabilities'!I94),"")))</f>
        <v>BANCO L. J. CARREGOSA S.A.</v>
      </c>
      <c r="J100" s="14" t="str">
        <f>+IF(OR('Other financial Liabilities'!C94="",'Other financial Liabilities'!C94="#"),IF('Other financial Liabilities'!A94="",IF(F100="c001x   - Households","CSL"&amp;"001",IF(F100="c008x   - Government, central banks &amp; supranationals","TL"&amp;"001")),'Other financial Liabilities'!A94),'Other financial Liabilities'!C94)</f>
        <v>213800UFLAA5SS55IZ10</v>
      </c>
      <c r="K100" s="14" t="str">
        <f>+IF(J100='Other financial Liabilities'!C94,"LEI code","Type of identifier, other than LEI or MFI code")</f>
        <v>LEI code</v>
      </c>
      <c r="L100" s="14" t="s">
        <v>197</v>
      </c>
      <c r="M100" s="14" t="s">
        <v>198</v>
      </c>
      <c r="N100" s="14" t="s">
        <v>199</v>
      </c>
      <c r="O100" s="15">
        <v>714045.24</v>
      </c>
      <c r="P100" s="15">
        <f>IF('Other financial Liabilities'!E94="",0,'Other financial Liabilities'!E94)</f>
        <v>0</v>
      </c>
      <c r="Q100" s="14">
        <f>IF('Other financial Liabilities'!F94="",0,'Other financial Liabilities'!F94)</f>
        <v>0</v>
      </c>
      <c r="R100" s="14" t="s">
        <v>212</v>
      </c>
      <c r="S100" s="16" t="s">
        <v>250</v>
      </c>
      <c r="T100" s="16">
        <f t="shared" si="7"/>
        <v>44928</v>
      </c>
      <c r="U100" s="16">
        <f t="shared" si="8"/>
        <v>44928</v>
      </c>
      <c r="V100" s="14" t="s">
        <v>200</v>
      </c>
      <c r="W100" s="15">
        <v>0</v>
      </c>
      <c r="X100" s="15">
        <v>0</v>
      </c>
      <c r="Y100" s="15">
        <v>0</v>
      </c>
      <c r="Z100" s="14" t="s">
        <v>201</v>
      </c>
      <c r="AA100" s="15">
        <v>0</v>
      </c>
      <c r="AB100" s="14" t="s">
        <v>202</v>
      </c>
      <c r="AC100" s="17">
        <v>0</v>
      </c>
      <c r="AD100" s="20"/>
    </row>
    <row r="101" spans="3:30" ht="45.75" customHeight="1" thickBot="1" x14ac:dyDescent="0.5">
      <c r="C101" s="12">
        <f t="shared" si="5"/>
        <v>999</v>
      </c>
      <c r="D101" s="13">
        <f t="shared" si="9"/>
        <v>94</v>
      </c>
      <c r="E101" s="14" t="str">
        <f>IF(AND('Other financial Liabilities'!K95="",'Other financial Liabilities'!J95=1),"r0180 - Critical service liabilities (BRRD art. 44/2/g/ii)",IF(AND('Other financial Liabilities'!K95="",'Other financial Liabilities'!J95=2),"r0190 - Tax and social security authorities liabilities, if preferred (BRRD art. 44/2/g/iii)",'Other financial Liabilities'!K95))</f>
        <v>r0161 - System (operator) and CCP liabilities &lt; 7 days   (BRRD art. 44/2/f)</v>
      </c>
      <c r="F101" s="14" t="str">
        <f>IF(OR('Other financial Liabilities'!G95="particulares",'Other financial Liabilities'!J95=1),"c001x   - Households",IF('Other financial Liabilities'!G95="outras empresas nao financeiras","c003x   - Corporates",IF('Other financial Liabilities'!G95="instituicoes de credito","c004x   - Institutions",IF('Other financial Liabilities'!G95="outras instituicoes financeiras","c005x   - Other financial corporations",IF(OR('Other financial Liabilities'!G95="setor publico",'Other financial Liabilities'!J95=2),"c008x   - Government, central banks &amp; supranationals","")))))</f>
        <v>c004x   - Institutions</v>
      </c>
      <c r="G101" s="14" t="str">
        <f t="shared" si="6"/>
        <v>Rank 9 - Ranking in insolvency (master scale)</v>
      </c>
      <c r="H101" s="14" t="str">
        <f>IF(F101="c004x   - Institutions",'Other financial Liabilities'!H95,IF(F101="c001x   - Households","CSL"&amp;IF(MONTH('Other financial Liabilities'!I95)=1,"JAN",IF(MONTH('Other financial Liabilities'!I95)=2,"FEV",IF(MONTH('Other financial Liabilities'!I95)=3,"MAR",IF(MONTH('Other financial Liabilities'!I95)=4,"ABR",IF(MONTH('Other financial Liabilities'!I95)=5,"MAI",IF(MONTH('Other financial Liabilities'!I95)=6,"JUN",IF(MONTH('Other financial Liabilities'!I95)=7,"JUL",IF(MONTH('Other financial Liabilities'!I95)=8,"AGO",IF(MONTH('Other financial Liabilities'!I95)=9,"SET",IF(MONTH('Other financial Liabilities'!I95)=10,"OUT",IF(MONTH('Other financial Liabilities'!I95)=11,"NOV",IF(MONTH('Other financial Liabilities'!I95)=12,"DEZ",""))))))))))))&amp;LEFT(YEAR('Other financial Liabilities'!I95),2),IF(F101="c008x   - Government, central banks &amp; supranationals","TL"&amp;IF(MONTH('Other financial Liabilities'!I95)=1,"JAN",IF(MONTH('Other financial Liabilities'!I95)=2,"FEV",IF(MONTH('Other financial Liabilities'!I95)=3,"MAR",IF(MONTH('Other financial Liabilities'!I95)=4,"ABR",IF(MONTH('Other financial Liabilities'!I95)=5,"MAI",IF(MONTH('Other financial Liabilities'!I95)=6,"JUN",IF(MONTH('Other financial Liabilities'!I95)=7,"JUL",IF(MONTH('Other financial Liabilities'!I95)=8,"AGO",IF(MONTH('Other financial Liabilities'!I95)=9,"SET",IF(MONTH('Other financial Liabilities'!I95)=10,"OUT",IF(MONTH('Other financial Liabilities'!I95)=11,"NOV",IF(MONTH('Other financial Liabilities'!I95)=12,"DEZ",""))))))))))))&amp;LEFT(YEAR('Other financial Liabilities'!I95),2),"")))</f>
        <v>BANK OF NEW YORK MELLON</v>
      </c>
      <c r="I101" s="14" t="str">
        <f>IF(F101="c004x   - Institutions",'Other financial Liabilities'!H95,IF(F101="c001x   - Households","Critical Service Liability "&amp;IF(MONTH('Other financial Liabilities'!I95)=1,"January ",IF(MONTH('Other financial Liabilities'!I95)=2,"February ",IF(MONTH('Other financial Liabilities'!I95)=3,"March ",IF(MONTH('Other financial Liabilities'!I95)=4, "April ",IF(MONTH('Other financial Liabilities'!I95)=5,"May ",IF(MONTH('Other financial Liabilities'!I95)=6,"June ",IF(MONTH('Other financial Liabilities'!I95)=7,"July ",IF(MONTH('Other financial Liabilities'!I95)=8,"August ",IF(MONTH('Other financial Liabilities'!I95)=9,"September ",IF(MONTH('Other financial Liabilities'!I95)=10,"October",  IF(MONTH('Other financial Liabilities'!I95)=11,"November ",IF(MONTH('Other financial Liabilities'!I95)=12,"December ",""))))))))))))&amp;YEAR('Other financial Liabilities'!I95),IF(F101="c008x   - Government, central banks &amp; supranationals","Tax Liability "&amp;IF(MONTH('Other financial Liabilities'!I95)=1,"January ",IF(MONTH('Other financial Liabilities'!I95)=2,"February ",IF(MONTH('Other financial Liabilities'!I95)=3,"March ",IF(MONTH('Other financial Liabilities'!I95)=4,"April ",IF(MONTH('Other financial Liabilities'!I95)=5,"May ",IF(MONTH('Other financial Liabilities'!I95)=6,"June ",IF(MONTH('Other financial Liabilities'!I95)=7,"July ",IF(MONTH('Other financial Liabilities'!I95)=8, "August ",  IF(MONTH('Other financial Liabilities'!I95)=9,"September ",IF(MONTH('Other financial Liabilities'!I95)=10,"October ",IF(MONTH('Other financial Liabilities'!I95)=11,"November ",IF(MONTH('Other financial Liabilities'!I95)=12,"December ",""))))))))))))&amp;YEAR('Other financial Liabilities'!I95),"")))</f>
        <v>BANK OF NEW YORK MELLON</v>
      </c>
      <c r="J101" s="14" t="str">
        <f>+IF(OR('Other financial Liabilities'!C95="",'Other financial Liabilities'!C95="#"),IF('Other financial Liabilities'!A95="",IF(F101="c001x   - Households","CSL"&amp;"001",IF(F101="c008x   - Government, central banks &amp; supranationals","TL"&amp;"001")),'Other financial Liabilities'!A95),'Other financial Liabilities'!C95)</f>
        <v>HPFHU0OQ28E4N0NFVK49</v>
      </c>
      <c r="K101" s="14" t="str">
        <f>+IF(J101='Other financial Liabilities'!C95,"LEI code","Type of identifier, other than LEI or MFI code")</f>
        <v>LEI code</v>
      </c>
      <c r="L101" s="14" t="s">
        <v>197</v>
      </c>
      <c r="M101" s="14" t="s">
        <v>198</v>
      </c>
      <c r="N101" s="14" t="s">
        <v>199</v>
      </c>
      <c r="O101" s="15">
        <v>8006036.7199999997</v>
      </c>
      <c r="P101" s="15">
        <f>IF('Other financial Liabilities'!E95="",0,'Other financial Liabilities'!E95)</f>
        <v>0</v>
      </c>
      <c r="Q101" s="14">
        <f>IF('Other financial Liabilities'!F95="",0,'Other financial Liabilities'!F95)</f>
        <v>0</v>
      </c>
      <c r="R101" s="14" t="s">
        <v>212</v>
      </c>
      <c r="S101" s="16" t="s">
        <v>250</v>
      </c>
      <c r="T101" s="16">
        <f t="shared" si="7"/>
        <v>44928</v>
      </c>
      <c r="U101" s="16">
        <f t="shared" si="8"/>
        <v>44928</v>
      </c>
      <c r="V101" s="14" t="s">
        <v>200</v>
      </c>
      <c r="W101" s="15">
        <v>0</v>
      </c>
      <c r="X101" s="15">
        <v>0</v>
      </c>
      <c r="Y101" s="15">
        <v>0</v>
      </c>
      <c r="Z101" s="14" t="s">
        <v>201</v>
      </c>
      <c r="AA101" s="15">
        <v>0</v>
      </c>
      <c r="AB101" s="14" t="s">
        <v>202</v>
      </c>
      <c r="AC101" s="17">
        <v>0</v>
      </c>
      <c r="AD101" s="20"/>
    </row>
    <row r="102" spans="3:30" ht="45.75" customHeight="1" thickBot="1" x14ac:dyDescent="0.5">
      <c r="C102" s="12">
        <f t="shared" si="5"/>
        <v>999</v>
      </c>
      <c r="D102" s="13">
        <f t="shared" si="9"/>
        <v>95</v>
      </c>
      <c r="E102" s="14" t="str">
        <f>IF(AND('Other financial Liabilities'!K96="",'Other financial Liabilities'!J96=1),"r0180 - Critical service liabilities (BRRD art. 44/2/g/ii)",IF(AND('Other financial Liabilities'!K96="",'Other financial Liabilities'!J96=2),"r0190 - Tax and social security authorities liabilities, if preferred (BRRD art. 44/2/g/iii)",'Other financial Liabilities'!K96))</f>
        <v>r0150 - Institution liabilities &lt; 7 days (BRRD art. 44/2/e)</v>
      </c>
      <c r="F102" s="14" t="str">
        <f>IF(OR('Other financial Liabilities'!G96="particulares",'Other financial Liabilities'!J96=1),"c001x   - Households",IF('Other financial Liabilities'!G96="outras empresas nao financeiras","c003x   - Corporates",IF('Other financial Liabilities'!G96="instituicoes de credito","c004x   - Institutions",IF('Other financial Liabilities'!G96="outras instituicoes financeiras","c005x   - Other financial corporations",IF(OR('Other financial Liabilities'!G96="setor publico",'Other financial Liabilities'!J96=2),"c008x   - Government, central banks &amp; supranationals","")))))</f>
        <v>c004x   - Institutions</v>
      </c>
      <c r="G102" s="14" t="str">
        <f t="shared" si="6"/>
        <v>Rank 9 - Ranking in insolvency (master scale)</v>
      </c>
      <c r="H102" s="14" t="str">
        <f>IF(F102="c004x   - Institutions",'Other financial Liabilities'!H96,IF(F102="c001x   - Households","CSL"&amp;IF(MONTH('Other financial Liabilities'!I96)=1,"JAN",IF(MONTH('Other financial Liabilities'!I96)=2,"FEV",IF(MONTH('Other financial Liabilities'!I96)=3,"MAR",IF(MONTH('Other financial Liabilities'!I96)=4,"ABR",IF(MONTH('Other financial Liabilities'!I96)=5,"MAI",IF(MONTH('Other financial Liabilities'!I96)=6,"JUN",IF(MONTH('Other financial Liabilities'!I96)=7,"JUL",IF(MONTH('Other financial Liabilities'!I96)=8,"AGO",IF(MONTH('Other financial Liabilities'!I96)=9,"SET",IF(MONTH('Other financial Liabilities'!I96)=10,"OUT",IF(MONTH('Other financial Liabilities'!I96)=11,"NOV",IF(MONTH('Other financial Liabilities'!I96)=12,"DEZ",""))))))))))))&amp;LEFT(YEAR('Other financial Liabilities'!I96),2),IF(F102="c008x   - Government, central banks &amp; supranationals","TL"&amp;IF(MONTH('Other financial Liabilities'!I96)=1,"JAN",IF(MONTH('Other financial Liabilities'!I96)=2,"FEV",IF(MONTH('Other financial Liabilities'!I96)=3,"MAR",IF(MONTH('Other financial Liabilities'!I96)=4,"ABR",IF(MONTH('Other financial Liabilities'!I96)=5,"MAI",IF(MONTH('Other financial Liabilities'!I96)=6,"JUN",IF(MONTH('Other financial Liabilities'!I96)=7,"JUL",IF(MONTH('Other financial Liabilities'!I96)=8,"AGO",IF(MONTH('Other financial Liabilities'!I96)=9,"SET",IF(MONTH('Other financial Liabilities'!I96)=10,"OUT",IF(MONTH('Other financial Liabilities'!I96)=11,"NOV",IF(MONTH('Other financial Liabilities'!I96)=12,"DEZ",""))))))))))))&amp;LEFT(YEAR('Other financial Liabilities'!I96),2),"")))</f>
        <v>CAIXA CREDITO AGRICOLA MUTUO ESTREMOZ MONFORTE ARRONCHES</v>
      </c>
      <c r="I102" s="14" t="str">
        <f>IF(F102="c004x   - Institutions",'Other financial Liabilities'!H96,IF(F102="c001x   - Households","Critical Service Liability "&amp;IF(MONTH('Other financial Liabilities'!I96)=1,"January ",IF(MONTH('Other financial Liabilities'!I96)=2,"February ",IF(MONTH('Other financial Liabilities'!I96)=3,"March ",IF(MONTH('Other financial Liabilities'!I96)=4, "April ",IF(MONTH('Other financial Liabilities'!I96)=5,"May ",IF(MONTH('Other financial Liabilities'!I96)=6,"June ",IF(MONTH('Other financial Liabilities'!I96)=7,"July ",IF(MONTH('Other financial Liabilities'!I96)=8,"August ",IF(MONTH('Other financial Liabilities'!I96)=9,"September ",IF(MONTH('Other financial Liabilities'!I96)=10,"October",  IF(MONTH('Other financial Liabilities'!I96)=11,"November ",IF(MONTH('Other financial Liabilities'!I96)=12,"December ",""))))))))))))&amp;YEAR('Other financial Liabilities'!I96),IF(F102="c008x   - Government, central banks &amp; supranationals","Tax Liability "&amp;IF(MONTH('Other financial Liabilities'!I96)=1,"January ",IF(MONTH('Other financial Liabilities'!I96)=2,"February ",IF(MONTH('Other financial Liabilities'!I96)=3,"March ",IF(MONTH('Other financial Liabilities'!I96)=4,"April ",IF(MONTH('Other financial Liabilities'!I96)=5,"May ",IF(MONTH('Other financial Liabilities'!I96)=6,"June ",IF(MONTH('Other financial Liabilities'!I96)=7,"July ",IF(MONTH('Other financial Liabilities'!I96)=8, "August ",  IF(MONTH('Other financial Liabilities'!I96)=9,"September ",IF(MONTH('Other financial Liabilities'!I96)=10,"October ",IF(MONTH('Other financial Liabilities'!I96)=11,"November ",IF(MONTH('Other financial Liabilities'!I96)=12,"December ",""))))))))))))&amp;YEAR('Other financial Liabilities'!I96),"")))</f>
        <v>CAIXA CREDITO AGRICOLA MUTUO ESTREMOZ MONFORTE ARRONCHES</v>
      </c>
      <c r="J102" s="14" t="str">
        <f>+IF(OR('Other financial Liabilities'!C96="",'Other financial Liabilities'!C96="#"),IF('Other financial Liabilities'!A96="",IF(F102="c001x   - Households","CSL"&amp;"001",IF(F102="c008x   - Government, central banks &amp; supranationals","TL"&amp;"001")),'Other financial Liabilities'!A96),'Other financial Liabilities'!C96)</f>
        <v>8037034699</v>
      </c>
      <c r="K102" s="14" t="str">
        <f>+IF(J102='Other financial Liabilities'!C96,"LEI code","Type of identifier, other than LEI or MFI code")</f>
        <v>Type of identifier, other than LEI or MFI code</v>
      </c>
      <c r="L102" s="14" t="s">
        <v>197</v>
      </c>
      <c r="M102" s="14" t="s">
        <v>198</v>
      </c>
      <c r="N102" s="14" t="s">
        <v>199</v>
      </c>
      <c r="O102" s="15">
        <v>10540.17</v>
      </c>
      <c r="P102" s="15">
        <f>IF('Other financial Liabilities'!E96="",0,'Other financial Liabilities'!E96)</f>
        <v>0</v>
      </c>
      <c r="Q102" s="14">
        <f>IF('Other financial Liabilities'!F96="",0,'Other financial Liabilities'!F96)</f>
        <v>0</v>
      </c>
      <c r="R102" s="14" t="s">
        <v>212</v>
      </c>
      <c r="S102" s="16" t="s">
        <v>250</v>
      </c>
      <c r="T102" s="16">
        <f t="shared" si="7"/>
        <v>44928</v>
      </c>
      <c r="U102" s="16">
        <f t="shared" si="8"/>
        <v>44928</v>
      </c>
      <c r="V102" s="14" t="s">
        <v>200</v>
      </c>
      <c r="W102" s="15">
        <v>0</v>
      </c>
      <c r="X102" s="15">
        <v>0</v>
      </c>
      <c r="Y102" s="15">
        <v>0</v>
      </c>
      <c r="Z102" s="14" t="s">
        <v>201</v>
      </c>
      <c r="AA102" s="15">
        <v>0</v>
      </c>
      <c r="AB102" s="14" t="s">
        <v>202</v>
      </c>
      <c r="AC102" s="17">
        <v>0</v>
      </c>
      <c r="AD102" s="20"/>
    </row>
    <row r="103" spans="3:30" ht="45.75" customHeight="1" thickBot="1" x14ac:dyDescent="0.5">
      <c r="C103" s="12">
        <f t="shared" si="5"/>
        <v>999</v>
      </c>
      <c r="D103" s="13">
        <f t="shared" si="9"/>
        <v>96</v>
      </c>
      <c r="E103" s="14" t="str">
        <f>IF(AND('Other financial Liabilities'!K97="",'Other financial Liabilities'!J97=1),"r0180 - Critical service liabilities (BRRD art. 44/2/g/ii)",IF(AND('Other financial Liabilities'!K97="",'Other financial Liabilities'!J97=2),"r0190 - Tax and social security authorities liabilities, if preferred (BRRD art. 44/2/g/iii)",'Other financial Liabilities'!K97))</f>
        <v>r0150 - Institution liabilities &lt; 7 days (BRRD art. 44/2/e)</v>
      </c>
      <c r="F103" s="14" t="str">
        <f>IF(OR('Other financial Liabilities'!G97="particulares",'Other financial Liabilities'!J97=1),"c001x   - Households",IF('Other financial Liabilities'!G97="outras empresas nao financeiras","c003x   - Corporates",IF('Other financial Liabilities'!G97="instituicoes de credito","c004x   - Institutions",IF('Other financial Liabilities'!G97="outras instituicoes financeiras","c005x   - Other financial corporations",IF(OR('Other financial Liabilities'!G97="setor publico",'Other financial Liabilities'!J97=2),"c008x   - Government, central banks &amp; supranationals","")))))</f>
        <v>c004x   - Institutions</v>
      </c>
      <c r="G103" s="14" t="str">
        <f t="shared" si="6"/>
        <v>Rank 9 - Ranking in insolvency (master scale)</v>
      </c>
      <c r="H103" s="14" t="str">
        <f>IF(F103="c004x   - Institutions",'Other financial Liabilities'!H97,IF(F103="c001x   - Households","CSL"&amp;IF(MONTH('Other financial Liabilities'!I97)=1,"JAN",IF(MONTH('Other financial Liabilities'!I97)=2,"FEV",IF(MONTH('Other financial Liabilities'!I97)=3,"MAR",IF(MONTH('Other financial Liabilities'!I97)=4,"ABR",IF(MONTH('Other financial Liabilities'!I97)=5,"MAI",IF(MONTH('Other financial Liabilities'!I97)=6,"JUN",IF(MONTH('Other financial Liabilities'!I97)=7,"JUL",IF(MONTH('Other financial Liabilities'!I97)=8,"AGO",IF(MONTH('Other financial Liabilities'!I97)=9,"SET",IF(MONTH('Other financial Liabilities'!I97)=10,"OUT",IF(MONTH('Other financial Liabilities'!I97)=11,"NOV",IF(MONTH('Other financial Liabilities'!I97)=12,"DEZ",""))))))))))))&amp;LEFT(YEAR('Other financial Liabilities'!I97),2),IF(F103="c008x   - Government, central banks &amp; supranationals","TL"&amp;IF(MONTH('Other financial Liabilities'!I97)=1,"JAN",IF(MONTH('Other financial Liabilities'!I97)=2,"FEV",IF(MONTH('Other financial Liabilities'!I97)=3,"MAR",IF(MONTH('Other financial Liabilities'!I97)=4,"ABR",IF(MONTH('Other financial Liabilities'!I97)=5,"MAI",IF(MONTH('Other financial Liabilities'!I97)=6,"JUN",IF(MONTH('Other financial Liabilities'!I97)=7,"JUL",IF(MONTH('Other financial Liabilities'!I97)=8,"AGO",IF(MONTH('Other financial Liabilities'!I97)=9,"SET",IF(MONTH('Other financial Liabilities'!I97)=10,"OUT",IF(MONTH('Other financial Liabilities'!I97)=11,"NOV",IF(MONTH('Other financial Liabilities'!I97)=12,"DEZ",""))))))))))))&amp;LEFT(YEAR('Other financial Liabilities'!I97),2),"")))</f>
        <v>BANCO CABOVERDIANO DE NEGOCIOS SA</v>
      </c>
      <c r="I103" s="14" t="str">
        <f>IF(F103="c004x   - Institutions",'Other financial Liabilities'!H97,IF(F103="c001x   - Households","Critical Service Liability "&amp;IF(MONTH('Other financial Liabilities'!I97)=1,"January ",IF(MONTH('Other financial Liabilities'!I97)=2,"February ",IF(MONTH('Other financial Liabilities'!I97)=3,"March ",IF(MONTH('Other financial Liabilities'!I97)=4, "April ",IF(MONTH('Other financial Liabilities'!I97)=5,"May ",IF(MONTH('Other financial Liabilities'!I97)=6,"June ",IF(MONTH('Other financial Liabilities'!I97)=7,"July ",IF(MONTH('Other financial Liabilities'!I97)=8,"August ",IF(MONTH('Other financial Liabilities'!I97)=9,"September ",IF(MONTH('Other financial Liabilities'!I97)=10,"October",  IF(MONTH('Other financial Liabilities'!I97)=11,"November ",IF(MONTH('Other financial Liabilities'!I97)=12,"December ",""))))))))))))&amp;YEAR('Other financial Liabilities'!I97),IF(F103="c008x   - Government, central banks &amp; supranationals","Tax Liability "&amp;IF(MONTH('Other financial Liabilities'!I97)=1,"January ",IF(MONTH('Other financial Liabilities'!I97)=2,"February ",IF(MONTH('Other financial Liabilities'!I97)=3,"March ",IF(MONTH('Other financial Liabilities'!I97)=4,"April ",IF(MONTH('Other financial Liabilities'!I97)=5,"May ",IF(MONTH('Other financial Liabilities'!I97)=6,"June ",IF(MONTH('Other financial Liabilities'!I97)=7,"July ",IF(MONTH('Other financial Liabilities'!I97)=8, "August ",  IF(MONTH('Other financial Liabilities'!I97)=9,"September ",IF(MONTH('Other financial Liabilities'!I97)=10,"October ",IF(MONTH('Other financial Liabilities'!I97)=11,"November ",IF(MONTH('Other financial Liabilities'!I97)=12,"December ",""))))))))))))&amp;YEAR('Other financial Liabilities'!I97),"")))</f>
        <v>BANCO CABOVERDIANO DE NEGOCIOS SA</v>
      </c>
      <c r="J103" s="14" t="str">
        <f>+IF(OR('Other financial Liabilities'!C97="",'Other financial Liabilities'!C97="#"),IF('Other financial Liabilities'!A97="",IF(F103="c001x   - Households","CSL"&amp;"001",IF(F103="c008x   - Government, central banks &amp; supranationals","TL"&amp;"001")),'Other financial Liabilities'!A97),'Other financial Liabilities'!C97)</f>
        <v>8038587453</v>
      </c>
      <c r="K103" s="14" t="str">
        <f>+IF(J103='Other financial Liabilities'!C97,"LEI code","Type of identifier, other than LEI or MFI code")</f>
        <v>Type of identifier, other than LEI or MFI code</v>
      </c>
      <c r="L103" s="14" t="s">
        <v>197</v>
      </c>
      <c r="M103" s="14" t="s">
        <v>198</v>
      </c>
      <c r="N103" s="14" t="s">
        <v>199</v>
      </c>
      <c r="O103" s="15">
        <v>2582467.04</v>
      </c>
      <c r="P103" s="15">
        <f>IF('Other financial Liabilities'!E97="",0,'Other financial Liabilities'!E97)</f>
        <v>235.98</v>
      </c>
      <c r="Q103" s="14">
        <f>IF('Other financial Liabilities'!F97="",0,'Other financial Liabilities'!F97)</f>
        <v>1.91099</v>
      </c>
      <c r="R103" s="14" t="s">
        <v>211</v>
      </c>
      <c r="S103" s="16" t="s">
        <v>250</v>
      </c>
      <c r="T103" s="16">
        <f t="shared" si="7"/>
        <v>44928</v>
      </c>
      <c r="U103" s="16">
        <f t="shared" si="8"/>
        <v>44928</v>
      </c>
      <c r="V103" s="14" t="s">
        <v>200</v>
      </c>
      <c r="W103" s="15">
        <v>0</v>
      </c>
      <c r="X103" s="15">
        <v>0</v>
      </c>
      <c r="Y103" s="15">
        <v>0</v>
      </c>
      <c r="Z103" s="14" t="s">
        <v>201</v>
      </c>
      <c r="AA103" s="15">
        <v>0</v>
      </c>
      <c r="AB103" s="14" t="s">
        <v>202</v>
      </c>
      <c r="AC103" s="17">
        <v>0</v>
      </c>
      <c r="AD103" s="20"/>
    </row>
    <row r="104" spans="3:30" ht="45.75" customHeight="1" thickBot="1" x14ac:dyDescent="0.5">
      <c r="C104" s="12">
        <f t="shared" si="5"/>
        <v>999</v>
      </c>
      <c r="D104" s="13">
        <f t="shared" si="9"/>
        <v>97</v>
      </c>
      <c r="E104" s="14" t="str">
        <f>IF(AND('Other financial Liabilities'!K98="",'Other financial Liabilities'!J98=1),"r0180 - Critical service liabilities (BRRD art. 44/2/g/ii)",IF(AND('Other financial Liabilities'!K98="",'Other financial Liabilities'!J98=2),"r0190 - Tax and social security authorities liabilities, if preferred (BRRD art. 44/2/g/iii)",'Other financial Liabilities'!K98))</f>
        <v>r0150 - Institution liabilities &lt; 7 days (BRRD art. 44/2/e)</v>
      </c>
      <c r="F104" s="14" t="str">
        <f>IF(OR('Other financial Liabilities'!G98="particulares",'Other financial Liabilities'!J98=1),"c001x   - Households",IF('Other financial Liabilities'!G98="outras empresas nao financeiras","c003x   - Corporates",IF('Other financial Liabilities'!G98="instituicoes de credito","c004x   - Institutions",IF('Other financial Liabilities'!G98="outras instituicoes financeiras","c005x   - Other financial corporations",IF(OR('Other financial Liabilities'!G98="setor publico",'Other financial Liabilities'!J98=2),"c008x   - Government, central banks &amp; supranationals","")))))</f>
        <v>c004x   - Institutions</v>
      </c>
      <c r="G104" s="14" t="str">
        <f t="shared" si="6"/>
        <v>Rank 9 - Ranking in insolvency (master scale)</v>
      </c>
      <c r="H104" s="14" t="str">
        <f>IF(F104="c004x   - Institutions",'Other financial Liabilities'!H98,IF(F104="c001x   - Households","CSL"&amp;IF(MONTH('Other financial Liabilities'!I98)=1,"JAN",IF(MONTH('Other financial Liabilities'!I98)=2,"FEV",IF(MONTH('Other financial Liabilities'!I98)=3,"MAR",IF(MONTH('Other financial Liabilities'!I98)=4,"ABR",IF(MONTH('Other financial Liabilities'!I98)=5,"MAI",IF(MONTH('Other financial Liabilities'!I98)=6,"JUN",IF(MONTH('Other financial Liabilities'!I98)=7,"JUL",IF(MONTH('Other financial Liabilities'!I98)=8,"AGO",IF(MONTH('Other financial Liabilities'!I98)=9,"SET",IF(MONTH('Other financial Liabilities'!I98)=10,"OUT",IF(MONTH('Other financial Liabilities'!I98)=11,"NOV",IF(MONTH('Other financial Liabilities'!I98)=12,"DEZ",""))))))))))))&amp;LEFT(YEAR('Other financial Liabilities'!I98),2),IF(F104="c008x   - Government, central banks &amp; supranationals","TL"&amp;IF(MONTH('Other financial Liabilities'!I98)=1,"JAN",IF(MONTH('Other financial Liabilities'!I98)=2,"FEV",IF(MONTH('Other financial Liabilities'!I98)=3,"MAR",IF(MONTH('Other financial Liabilities'!I98)=4,"ABR",IF(MONTH('Other financial Liabilities'!I98)=5,"MAI",IF(MONTH('Other financial Liabilities'!I98)=6,"JUN",IF(MONTH('Other financial Liabilities'!I98)=7,"JUL",IF(MONTH('Other financial Liabilities'!I98)=8,"AGO",IF(MONTH('Other financial Liabilities'!I98)=9,"SET",IF(MONTH('Other financial Liabilities'!I98)=10,"OUT",IF(MONTH('Other financial Liabilities'!I98)=11,"NOV",IF(MONTH('Other financial Liabilities'!I98)=12,"DEZ",""))))))))))))&amp;LEFT(YEAR('Other financial Liabilities'!I98),2),"")))</f>
        <v>BANCO CABOVERDIANO DE NEGOCIOS SA</v>
      </c>
      <c r="I104" s="14" t="str">
        <f>IF(F104="c004x   - Institutions",'Other financial Liabilities'!H98,IF(F104="c001x   - Households","Critical Service Liability "&amp;IF(MONTH('Other financial Liabilities'!I98)=1,"January ",IF(MONTH('Other financial Liabilities'!I98)=2,"February ",IF(MONTH('Other financial Liabilities'!I98)=3,"March ",IF(MONTH('Other financial Liabilities'!I98)=4, "April ",IF(MONTH('Other financial Liabilities'!I98)=5,"May ",IF(MONTH('Other financial Liabilities'!I98)=6,"June ",IF(MONTH('Other financial Liabilities'!I98)=7,"July ",IF(MONTH('Other financial Liabilities'!I98)=8,"August ",IF(MONTH('Other financial Liabilities'!I98)=9,"September ",IF(MONTH('Other financial Liabilities'!I98)=10,"October",  IF(MONTH('Other financial Liabilities'!I98)=11,"November ",IF(MONTH('Other financial Liabilities'!I98)=12,"December ",""))))))))))))&amp;YEAR('Other financial Liabilities'!I98),IF(F104="c008x   - Government, central banks &amp; supranationals","Tax Liability "&amp;IF(MONTH('Other financial Liabilities'!I98)=1,"January ",IF(MONTH('Other financial Liabilities'!I98)=2,"February ",IF(MONTH('Other financial Liabilities'!I98)=3,"March ",IF(MONTH('Other financial Liabilities'!I98)=4,"April ",IF(MONTH('Other financial Liabilities'!I98)=5,"May ",IF(MONTH('Other financial Liabilities'!I98)=6,"June ",IF(MONTH('Other financial Liabilities'!I98)=7,"July ",IF(MONTH('Other financial Liabilities'!I98)=8, "August ",  IF(MONTH('Other financial Liabilities'!I98)=9,"September ",IF(MONTH('Other financial Liabilities'!I98)=10,"October ",IF(MONTH('Other financial Liabilities'!I98)=11,"November ",IF(MONTH('Other financial Liabilities'!I98)=12,"December ",""))))))))))))&amp;YEAR('Other financial Liabilities'!I98),"")))</f>
        <v>BANCO CABOVERDIANO DE NEGOCIOS SA</v>
      </c>
      <c r="J104" s="14" t="str">
        <f>+IF(OR('Other financial Liabilities'!C98="",'Other financial Liabilities'!C98="#"),IF('Other financial Liabilities'!A98="",IF(F104="c001x   - Households","CSL"&amp;"001",IF(F104="c008x   - Government, central banks &amp; supranationals","TL"&amp;"001")),'Other financial Liabilities'!A98),'Other financial Liabilities'!C98)</f>
        <v>8038587453</v>
      </c>
      <c r="K104" s="14" t="str">
        <f>+IF(J104='Other financial Liabilities'!C98,"LEI code","Type of identifier, other than LEI or MFI code")</f>
        <v>Type of identifier, other than LEI or MFI code</v>
      </c>
      <c r="L104" s="14" t="s">
        <v>197</v>
      </c>
      <c r="M104" s="14" t="s">
        <v>198</v>
      </c>
      <c r="N104" s="14" t="s">
        <v>199</v>
      </c>
      <c r="O104" s="15">
        <v>7796.92</v>
      </c>
      <c r="P104" s="15">
        <f>IF('Other financial Liabilities'!E98="",0,'Other financial Liabilities'!E98)</f>
        <v>0</v>
      </c>
      <c r="Q104" s="14">
        <f>IF('Other financial Liabilities'!F98="",0,'Other financial Liabilities'!F98)</f>
        <v>0</v>
      </c>
      <c r="R104" s="14" t="s">
        <v>210</v>
      </c>
      <c r="S104" s="16" t="s">
        <v>250</v>
      </c>
      <c r="T104" s="16">
        <f t="shared" si="7"/>
        <v>44928</v>
      </c>
      <c r="U104" s="16">
        <f t="shared" si="8"/>
        <v>44928</v>
      </c>
      <c r="V104" s="14" t="s">
        <v>200</v>
      </c>
      <c r="W104" s="15">
        <v>0</v>
      </c>
      <c r="X104" s="15">
        <v>0</v>
      </c>
      <c r="Y104" s="15">
        <v>0</v>
      </c>
      <c r="Z104" s="14" t="s">
        <v>201</v>
      </c>
      <c r="AA104" s="15">
        <v>0</v>
      </c>
      <c r="AB104" s="14" t="s">
        <v>202</v>
      </c>
      <c r="AC104" s="17">
        <v>0</v>
      </c>
      <c r="AD104" s="20"/>
    </row>
    <row r="105" spans="3:30" ht="45.75" customHeight="1" thickBot="1" x14ac:dyDescent="0.5">
      <c r="C105" s="12">
        <f t="shared" si="5"/>
        <v>999</v>
      </c>
      <c r="D105" s="13">
        <f t="shared" si="9"/>
        <v>98</v>
      </c>
      <c r="E105" s="14" t="str">
        <f>IF(AND('Other financial Liabilities'!K99="",'Other financial Liabilities'!J99=1),"r0180 - Critical service liabilities (BRRD art. 44/2/g/ii)",IF(AND('Other financial Liabilities'!K99="",'Other financial Liabilities'!J99=2),"r0190 - Tax and social security authorities liabilities, if preferred (BRRD art. 44/2/g/iii)",'Other financial Liabilities'!K99))</f>
        <v>r0150 - Institution liabilities &lt; 7 days (BRRD art. 44/2/e)</v>
      </c>
      <c r="F105" s="14" t="str">
        <f>IF(OR('Other financial Liabilities'!G99="particulares",'Other financial Liabilities'!J99=1),"c001x   - Households",IF('Other financial Liabilities'!G99="outras empresas nao financeiras","c003x   - Corporates",IF('Other financial Liabilities'!G99="instituicoes de credito","c004x   - Institutions",IF('Other financial Liabilities'!G99="outras instituicoes financeiras","c005x   - Other financial corporations",IF(OR('Other financial Liabilities'!G99="setor publico",'Other financial Liabilities'!J99=2),"c008x   - Government, central banks &amp; supranationals","")))))</f>
        <v>c004x   - Institutions</v>
      </c>
      <c r="G105" s="14" t="str">
        <f t="shared" si="6"/>
        <v>Rank 9 - Ranking in insolvency (master scale)</v>
      </c>
      <c r="H105" s="14" t="str">
        <f>IF(F105="c004x   - Institutions",'Other financial Liabilities'!H99,IF(F105="c001x   - Households","CSL"&amp;IF(MONTH('Other financial Liabilities'!I99)=1,"JAN",IF(MONTH('Other financial Liabilities'!I99)=2,"FEV",IF(MONTH('Other financial Liabilities'!I99)=3,"MAR",IF(MONTH('Other financial Liabilities'!I99)=4,"ABR",IF(MONTH('Other financial Liabilities'!I99)=5,"MAI",IF(MONTH('Other financial Liabilities'!I99)=6,"JUN",IF(MONTH('Other financial Liabilities'!I99)=7,"JUL",IF(MONTH('Other financial Liabilities'!I99)=8,"AGO",IF(MONTH('Other financial Liabilities'!I99)=9,"SET",IF(MONTH('Other financial Liabilities'!I99)=10,"OUT",IF(MONTH('Other financial Liabilities'!I99)=11,"NOV",IF(MONTH('Other financial Liabilities'!I99)=12,"DEZ",""))))))))))))&amp;LEFT(YEAR('Other financial Liabilities'!I99),2),IF(F105="c008x   - Government, central banks &amp; supranationals","TL"&amp;IF(MONTH('Other financial Liabilities'!I99)=1,"JAN",IF(MONTH('Other financial Liabilities'!I99)=2,"FEV",IF(MONTH('Other financial Liabilities'!I99)=3,"MAR",IF(MONTH('Other financial Liabilities'!I99)=4,"ABR",IF(MONTH('Other financial Liabilities'!I99)=5,"MAI",IF(MONTH('Other financial Liabilities'!I99)=6,"JUN",IF(MONTH('Other financial Liabilities'!I99)=7,"JUL",IF(MONTH('Other financial Liabilities'!I99)=8,"AGO",IF(MONTH('Other financial Liabilities'!I99)=9,"SET",IF(MONTH('Other financial Liabilities'!I99)=10,"OUT",IF(MONTH('Other financial Liabilities'!I99)=11,"NOV",IF(MONTH('Other financial Liabilities'!I99)=12,"DEZ",""))))))))))))&amp;LEFT(YEAR('Other financial Liabilities'!I99),2),"")))</f>
        <v>BANCO CABOVERDIANO DE NEGOCIOS SA</v>
      </c>
      <c r="I105" s="14" t="str">
        <f>IF(F105="c004x   - Institutions",'Other financial Liabilities'!H99,IF(F105="c001x   - Households","Critical Service Liability "&amp;IF(MONTH('Other financial Liabilities'!I99)=1,"January ",IF(MONTH('Other financial Liabilities'!I99)=2,"February ",IF(MONTH('Other financial Liabilities'!I99)=3,"March ",IF(MONTH('Other financial Liabilities'!I99)=4, "April ",IF(MONTH('Other financial Liabilities'!I99)=5,"May ",IF(MONTH('Other financial Liabilities'!I99)=6,"June ",IF(MONTH('Other financial Liabilities'!I99)=7,"July ",IF(MONTH('Other financial Liabilities'!I99)=8,"August ",IF(MONTH('Other financial Liabilities'!I99)=9,"September ",IF(MONTH('Other financial Liabilities'!I99)=10,"October",  IF(MONTH('Other financial Liabilities'!I99)=11,"November ",IF(MONTH('Other financial Liabilities'!I99)=12,"December ",""))))))))))))&amp;YEAR('Other financial Liabilities'!I99),IF(F105="c008x   - Government, central banks &amp; supranationals","Tax Liability "&amp;IF(MONTH('Other financial Liabilities'!I99)=1,"January ",IF(MONTH('Other financial Liabilities'!I99)=2,"February ",IF(MONTH('Other financial Liabilities'!I99)=3,"March ",IF(MONTH('Other financial Liabilities'!I99)=4,"April ",IF(MONTH('Other financial Liabilities'!I99)=5,"May ",IF(MONTH('Other financial Liabilities'!I99)=6,"June ",IF(MONTH('Other financial Liabilities'!I99)=7,"July ",IF(MONTH('Other financial Liabilities'!I99)=8, "August ",  IF(MONTH('Other financial Liabilities'!I99)=9,"September ",IF(MONTH('Other financial Liabilities'!I99)=10,"October ",IF(MONTH('Other financial Liabilities'!I99)=11,"November ",IF(MONTH('Other financial Liabilities'!I99)=12,"December ",""))))))))))))&amp;YEAR('Other financial Liabilities'!I99),"")))</f>
        <v>BANCO CABOVERDIANO DE NEGOCIOS SA</v>
      </c>
      <c r="J105" s="14" t="str">
        <f>+IF(OR('Other financial Liabilities'!C99="",'Other financial Liabilities'!C99="#"),IF('Other financial Liabilities'!A99="",IF(F105="c001x   - Households","CSL"&amp;"001",IF(F105="c008x   - Government, central banks &amp; supranationals","TL"&amp;"001")),'Other financial Liabilities'!A99),'Other financial Liabilities'!C99)</f>
        <v>8038587453</v>
      </c>
      <c r="K105" s="14" t="str">
        <f>+IF(J105='Other financial Liabilities'!C99,"LEI code","Type of identifier, other than LEI or MFI code")</f>
        <v>Type of identifier, other than LEI or MFI code</v>
      </c>
      <c r="L105" s="14" t="s">
        <v>197</v>
      </c>
      <c r="M105" s="14" t="s">
        <v>198</v>
      </c>
      <c r="N105" s="14" t="s">
        <v>199</v>
      </c>
      <c r="O105" s="15">
        <v>40456.29</v>
      </c>
      <c r="P105" s="15">
        <f>IF('Other financial Liabilities'!E99="",0,'Other financial Liabilities'!E99)</f>
        <v>0</v>
      </c>
      <c r="Q105" s="14">
        <f>IF('Other financial Liabilities'!F99="",0,'Other financial Liabilities'!F99)</f>
        <v>0</v>
      </c>
      <c r="R105" s="14" t="s">
        <v>209</v>
      </c>
      <c r="S105" s="16" t="s">
        <v>250</v>
      </c>
      <c r="T105" s="16">
        <f t="shared" si="7"/>
        <v>44928</v>
      </c>
      <c r="U105" s="16">
        <f t="shared" si="8"/>
        <v>44928</v>
      </c>
      <c r="V105" s="14" t="s">
        <v>200</v>
      </c>
      <c r="W105" s="15">
        <v>0</v>
      </c>
      <c r="X105" s="15">
        <v>0</v>
      </c>
      <c r="Y105" s="15">
        <v>0</v>
      </c>
      <c r="Z105" s="14" t="s">
        <v>201</v>
      </c>
      <c r="AA105" s="15">
        <v>0</v>
      </c>
      <c r="AB105" s="14" t="s">
        <v>202</v>
      </c>
      <c r="AC105" s="17">
        <v>0</v>
      </c>
      <c r="AD105" s="20"/>
    </row>
    <row r="106" spans="3:30" ht="45.75" customHeight="1" thickBot="1" x14ac:dyDescent="0.5">
      <c r="C106" s="12">
        <f t="shared" si="5"/>
        <v>999</v>
      </c>
      <c r="D106" s="13">
        <f t="shared" si="9"/>
        <v>99</v>
      </c>
      <c r="E106" s="14" t="str">
        <f>IF(AND('Other financial Liabilities'!K100="",'Other financial Liabilities'!J100=1),"r0180 - Critical service liabilities (BRRD art. 44/2/g/ii)",IF(AND('Other financial Liabilities'!K100="",'Other financial Liabilities'!J100=2),"r0190 - Tax and social security authorities liabilities, if preferred (BRRD art. 44/2/g/iii)",'Other financial Liabilities'!K100))</f>
        <v>r0150 - Institution liabilities &lt; 7 days (BRRD art. 44/2/e)</v>
      </c>
      <c r="F106" s="14" t="str">
        <f>IF(OR('Other financial Liabilities'!G100="particulares",'Other financial Liabilities'!J100=1),"c001x   - Households",IF('Other financial Liabilities'!G100="outras empresas nao financeiras","c003x   - Corporates",IF('Other financial Liabilities'!G100="instituicoes de credito","c004x   - Institutions",IF('Other financial Liabilities'!G100="outras instituicoes financeiras","c005x   - Other financial corporations",IF(OR('Other financial Liabilities'!G100="setor publico",'Other financial Liabilities'!J100=2),"c008x   - Government, central banks &amp; supranationals","")))))</f>
        <v>c004x   - Institutions</v>
      </c>
      <c r="G106" s="14" t="str">
        <f t="shared" si="6"/>
        <v>Rank 9 - Ranking in insolvency (master scale)</v>
      </c>
      <c r="H106" s="14" t="str">
        <f>IF(F106="c004x   - Institutions",'Other financial Liabilities'!H100,IF(F106="c001x   - Households","CSL"&amp;IF(MONTH('Other financial Liabilities'!I100)=1,"JAN",IF(MONTH('Other financial Liabilities'!I100)=2,"FEV",IF(MONTH('Other financial Liabilities'!I100)=3,"MAR",IF(MONTH('Other financial Liabilities'!I100)=4,"ABR",IF(MONTH('Other financial Liabilities'!I100)=5,"MAI",IF(MONTH('Other financial Liabilities'!I100)=6,"JUN",IF(MONTH('Other financial Liabilities'!I100)=7,"JUL",IF(MONTH('Other financial Liabilities'!I100)=8,"AGO",IF(MONTH('Other financial Liabilities'!I100)=9,"SET",IF(MONTH('Other financial Liabilities'!I100)=10,"OUT",IF(MONTH('Other financial Liabilities'!I100)=11,"NOV",IF(MONTH('Other financial Liabilities'!I100)=12,"DEZ",""))))))))))))&amp;LEFT(YEAR('Other financial Liabilities'!I100),2),IF(F106="c008x   - Government, central banks &amp; supranationals","TL"&amp;IF(MONTH('Other financial Liabilities'!I100)=1,"JAN",IF(MONTH('Other financial Liabilities'!I100)=2,"FEV",IF(MONTH('Other financial Liabilities'!I100)=3,"MAR",IF(MONTH('Other financial Liabilities'!I100)=4,"ABR",IF(MONTH('Other financial Liabilities'!I100)=5,"MAI",IF(MONTH('Other financial Liabilities'!I100)=6,"JUN",IF(MONTH('Other financial Liabilities'!I100)=7,"JUL",IF(MONTH('Other financial Liabilities'!I100)=8,"AGO",IF(MONTH('Other financial Liabilities'!I100)=9,"SET",IF(MONTH('Other financial Liabilities'!I100)=10,"OUT",IF(MONTH('Other financial Liabilities'!I100)=11,"NOV",IF(MONTH('Other financial Liabilities'!I100)=12,"DEZ",""))))))))))))&amp;LEFT(YEAR('Other financial Liabilities'!I100),2),"")))</f>
        <v>BANCO CABOVERDIANO DE NEGOCIOS SA</v>
      </c>
      <c r="I106" s="14" t="str">
        <f>IF(F106="c004x   - Institutions",'Other financial Liabilities'!H100,IF(F106="c001x   - Households","Critical Service Liability "&amp;IF(MONTH('Other financial Liabilities'!I100)=1,"January ",IF(MONTH('Other financial Liabilities'!I100)=2,"February ",IF(MONTH('Other financial Liabilities'!I100)=3,"March ",IF(MONTH('Other financial Liabilities'!I100)=4, "April ",IF(MONTH('Other financial Liabilities'!I100)=5,"May ",IF(MONTH('Other financial Liabilities'!I100)=6,"June ",IF(MONTH('Other financial Liabilities'!I100)=7,"July ",IF(MONTH('Other financial Liabilities'!I100)=8,"August ",IF(MONTH('Other financial Liabilities'!I100)=9,"September ",IF(MONTH('Other financial Liabilities'!I100)=10,"October",  IF(MONTH('Other financial Liabilities'!I100)=11,"November ",IF(MONTH('Other financial Liabilities'!I100)=12,"December ",""))))))))))))&amp;YEAR('Other financial Liabilities'!I100),IF(F106="c008x   - Government, central banks &amp; supranationals","Tax Liability "&amp;IF(MONTH('Other financial Liabilities'!I100)=1,"January ",IF(MONTH('Other financial Liabilities'!I100)=2,"February ",IF(MONTH('Other financial Liabilities'!I100)=3,"March ",IF(MONTH('Other financial Liabilities'!I100)=4,"April ",IF(MONTH('Other financial Liabilities'!I100)=5,"May ",IF(MONTH('Other financial Liabilities'!I100)=6,"June ",IF(MONTH('Other financial Liabilities'!I100)=7,"July ",IF(MONTH('Other financial Liabilities'!I100)=8, "August ",  IF(MONTH('Other financial Liabilities'!I100)=9,"September ",IF(MONTH('Other financial Liabilities'!I100)=10,"October ",IF(MONTH('Other financial Liabilities'!I100)=11,"November ",IF(MONTH('Other financial Liabilities'!I100)=12,"December ",""))))))))))))&amp;YEAR('Other financial Liabilities'!I100),"")))</f>
        <v>BANCO CABOVERDIANO DE NEGOCIOS SA</v>
      </c>
      <c r="J106" s="14" t="str">
        <f>+IF(OR('Other financial Liabilities'!C100="",'Other financial Liabilities'!C100="#"),IF('Other financial Liabilities'!A100="",IF(F106="c001x   - Households","CSL"&amp;"001",IF(F106="c008x   - Government, central banks &amp; supranationals","TL"&amp;"001")),'Other financial Liabilities'!A100),'Other financial Liabilities'!C100)</f>
        <v>8038587453</v>
      </c>
      <c r="K106" s="14" t="str">
        <f>+IF(J106='Other financial Liabilities'!C100,"LEI code","Type of identifier, other than LEI or MFI code")</f>
        <v>Type of identifier, other than LEI or MFI code</v>
      </c>
      <c r="L106" s="14" t="s">
        <v>197</v>
      </c>
      <c r="M106" s="14" t="s">
        <v>198</v>
      </c>
      <c r="N106" s="14" t="s">
        <v>199</v>
      </c>
      <c r="O106" s="15">
        <v>1866683.8</v>
      </c>
      <c r="P106" s="15">
        <f>IF('Other financial Liabilities'!E100="",0,'Other financial Liabilities'!E100)</f>
        <v>0</v>
      </c>
      <c r="Q106" s="14">
        <f>IF('Other financial Liabilities'!F100="",0,'Other financial Liabilities'!F100)</f>
        <v>0.40499000000000002</v>
      </c>
      <c r="R106" s="14" t="s">
        <v>212</v>
      </c>
      <c r="S106" s="16" t="s">
        <v>250</v>
      </c>
      <c r="T106" s="16">
        <f t="shared" si="7"/>
        <v>44928</v>
      </c>
      <c r="U106" s="16">
        <f t="shared" si="8"/>
        <v>44928</v>
      </c>
      <c r="V106" s="14" t="s">
        <v>200</v>
      </c>
      <c r="W106" s="15">
        <v>0</v>
      </c>
      <c r="X106" s="15">
        <v>0</v>
      </c>
      <c r="Y106" s="15">
        <v>0</v>
      </c>
      <c r="Z106" s="14" t="s">
        <v>201</v>
      </c>
      <c r="AA106" s="15">
        <v>0</v>
      </c>
      <c r="AB106" s="14" t="s">
        <v>202</v>
      </c>
      <c r="AC106" s="17">
        <v>0</v>
      </c>
      <c r="AD106" s="20"/>
    </row>
    <row r="107" spans="3:30" ht="45.75" customHeight="1" thickBot="1" x14ac:dyDescent="0.5">
      <c r="C107" s="12">
        <f t="shared" si="5"/>
        <v>999</v>
      </c>
      <c r="D107" s="13">
        <f t="shared" si="9"/>
        <v>100</v>
      </c>
      <c r="E107" s="14" t="str">
        <f>IF(AND('Other financial Liabilities'!K101="",'Other financial Liabilities'!J101=1),"r0180 - Critical service liabilities (BRRD art. 44/2/g/ii)",IF(AND('Other financial Liabilities'!K101="",'Other financial Liabilities'!J101=2),"r0190 - Tax and social security authorities liabilities, if preferred (BRRD art. 44/2/g/iii)",'Other financial Liabilities'!K101))</f>
        <v>r0150 - Institution liabilities &lt; 7 days (BRRD art. 44/2/e)</v>
      </c>
      <c r="F107" s="14" t="str">
        <f>IF(OR('Other financial Liabilities'!G101="particulares",'Other financial Liabilities'!J101=1),"c001x   - Households",IF('Other financial Liabilities'!G101="outras empresas nao financeiras","c003x   - Corporates",IF('Other financial Liabilities'!G101="instituicoes de credito","c004x   - Institutions",IF('Other financial Liabilities'!G101="outras instituicoes financeiras","c005x   - Other financial corporations",IF(OR('Other financial Liabilities'!G101="setor publico",'Other financial Liabilities'!J101=2),"c008x   - Government, central banks &amp; supranationals","")))))</f>
        <v>c004x   - Institutions</v>
      </c>
      <c r="G107" s="14" t="str">
        <f t="shared" si="6"/>
        <v>Rank 9 - Ranking in insolvency (master scale)</v>
      </c>
      <c r="H107" s="14" t="str">
        <f>IF(F107="c004x   - Institutions",'Other financial Liabilities'!H101,IF(F107="c001x   - Households","CSL"&amp;IF(MONTH('Other financial Liabilities'!I101)=1,"JAN",IF(MONTH('Other financial Liabilities'!I101)=2,"FEV",IF(MONTH('Other financial Liabilities'!I101)=3,"MAR",IF(MONTH('Other financial Liabilities'!I101)=4,"ABR",IF(MONTH('Other financial Liabilities'!I101)=5,"MAI",IF(MONTH('Other financial Liabilities'!I101)=6,"JUN",IF(MONTH('Other financial Liabilities'!I101)=7,"JUL",IF(MONTH('Other financial Liabilities'!I101)=8,"AGO",IF(MONTH('Other financial Liabilities'!I101)=9,"SET",IF(MONTH('Other financial Liabilities'!I101)=10,"OUT",IF(MONTH('Other financial Liabilities'!I101)=11,"NOV",IF(MONTH('Other financial Liabilities'!I101)=12,"DEZ",""))))))))))))&amp;LEFT(YEAR('Other financial Liabilities'!I101),2),IF(F107="c008x   - Government, central banks &amp; supranationals","TL"&amp;IF(MONTH('Other financial Liabilities'!I101)=1,"JAN",IF(MONTH('Other financial Liabilities'!I101)=2,"FEV",IF(MONTH('Other financial Liabilities'!I101)=3,"MAR",IF(MONTH('Other financial Liabilities'!I101)=4,"ABR",IF(MONTH('Other financial Liabilities'!I101)=5,"MAI",IF(MONTH('Other financial Liabilities'!I101)=6,"JUN",IF(MONTH('Other financial Liabilities'!I101)=7,"JUL",IF(MONTH('Other financial Liabilities'!I101)=8,"AGO",IF(MONTH('Other financial Liabilities'!I101)=9,"SET",IF(MONTH('Other financial Liabilities'!I101)=10,"OUT",IF(MONTH('Other financial Liabilities'!I101)=11,"NOV",IF(MONTH('Other financial Liabilities'!I101)=12,"DEZ",""))))))))))))&amp;LEFT(YEAR('Other financial Liabilities'!I101),2),"")))</f>
        <v>CAIXA GERAL DEPOSITOS-CARTEIRA PROPRIA</v>
      </c>
      <c r="I107" s="14" t="str">
        <f>IF(F107="c004x   - Institutions",'Other financial Liabilities'!H101,IF(F107="c001x   - Households","Critical Service Liability "&amp;IF(MONTH('Other financial Liabilities'!I101)=1,"January ",IF(MONTH('Other financial Liabilities'!I101)=2,"February ",IF(MONTH('Other financial Liabilities'!I101)=3,"March ",IF(MONTH('Other financial Liabilities'!I101)=4, "April ",IF(MONTH('Other financial Liabilities'!I101)=5,"May ",IF(MONTH('Other financial Liabilities'!I101)=6,"June ",IF(MONTH('Other financial Liabilities'!I101)=7,"July ",IF(MONTH('Other financial Liabilities'!I101)=8,"August ",IF(MONTH('Other financial Liabilities'!I101)=9,"September ",IF(MONTH('Other financial Liabilities'!I101)=10,"October",  IF(MONTH('Other financial Liabilities'!I101)=11,"November ",IF(MONTH('Other financial Liabilities'!I101)=12,"December ",""))))))))))))&amp;YEAR('Other financial Liabilities'!I101),IF(F107="c008x   - Government, central banks &amp; supranationals","Tax Liability "&amp;IF(MONTH('Other financial Liabilities'!I101)=1,"January ",IF(MONTH('Other financial Liabilities'!I101)=2,"February ",IF(MONTH('Other financial Liabilities'!I101)=3,"March ",IF(MONTH('Other financial Liabilities'!I101)=4,"April ",IF(MONTH('Other financial Liabilities'!I101)=5,"May ",IF(MONTH('Other financial Liabilities'!I101)=6,"June ",IF(MONTH('Other financial Liabilities'!I101)=7,"July ",IF(MONTH('Other financial Liabilities'!I101)=8, "August ",  IF(MONTH('Other financial Liabilities'!I101)=9,"September ",IF(MONTH('Other financial Liabilities'!I101)=10,"October ",IF(MONTH('Other financial Liabilities'!I101)=11,"November ",IF(MONTH('Other financial Liabilities'!I101)=12,"December ",""))))))))))))&amp;YEAR('Other financial Liabilities'!I101),"")))</f>
        <v>CAIXA GERAL DEPOSITOS-CARTEIRA PROPRIA</v>
      </c>
      <c r="J107" s="14" t="str">
        <f>+IF(OR('Other financial Liabilities'!C101="",'Other financial Liabilities'!C101="#"),IF('Other financial Liabilities'!A101="",IF(F107="c001x   - Households","CSL"&amp;"001",IF(F107="c008x   - Government, central banks &amp; supranationals","TL"&amp;"001")),'Other financial Liabilities'!A101),'Other financial Liabilities'!C101)</f>
        <v>8043692061</v>
      </c>
      <c r="K107" s="14" t="str">
        <f>+IF(J107='Other financial Liabilities'!C101,"LEI code","Type of identifier, other than LEI or MFI code")</f>
        <v>Type of identifier, other than LEI or MFI code</v>
      </c>
      <c r="L107" s="14" t="s">
        <v>197</v>
      </c>
      <c r="M107" s="14" t="s">
        <v>198</v>
      </c>
      <c r="N107" s="14" t="s">
        <v>199</v>
      </c>
      <c r="O107" s="15">
        <v>14814.15</v>
      </c>
      <c r="P107" s="15">
        <f>IF('Other financial Liabilities'!E101="",0,'Other financial Liabilities'!E101)</f>
        <v>0</v>
      </c>
      <c r="Q107" s="14">
        <f>IF('Other financial Liabilities'!F101="",0,'Other financial Liabilities'!F101)</f>
        <v>0</v>
      </c>
      <c r="R107" s="14" t="s">
        <v>212</v>
      </c>
      <c r="S107" s="16" t="s">
        <v>250</v>
      </c>
      <c r="T107" s="16">
        <f t="shared" si="7"/>
        <v>44928</v>
      </c>
      <c r="U107" s="16">
        <f t="shared" si="8"/>
        <v>44928</v>
      </c>
      <c r="V107" s="14" t="s">
        <v>200</v>
      </c>
      <c r="W107" s="15">
        <v>0</v>
      </c>
      <c r="X107" s="15">
        <v>0</v>
      </c>
      <c r="Y107" s="15">
        <v>0</v>
      </c>
      <c r="Z107" s="14" t="s">
        <v>201</v>
      </c>
      <c r="AA107" s="15">
        <v>0</v>
      </c>
      <c r="AB107" s="14" t="s">
        <v>202</v>
      </c>
      <c r="AC107" s="17">
        <v>0</v>
      </c>
      <c r="AD107" s="20"/>
    </row>
    <row r="108" spans="3:30" ht="45.75" customHeight="1" thickBot="1" x14ac:dyDescent="0.5">
      <c r="C108" s="12">
        <f t="shared" si="5"/>
        <v>999</v>
      </c>
      <c r="D108" s="13">
        <f t="shared" si="9"/>
        <v>101</v>
      </c>
      <c r="E108" s="14" t="str">
        <f>IF(AND('Other financial Liabilities'!K102="",'Other financial Liabilities'!J102=1),"r0180 - Critical service liabilities (BRRD art. 44/2/g/ii)",IF(AND('Other financial Liabilities'!K102="",'Other financial Liabilities'!J102=2),"r0190 - Tax and social security authorities liabilities, if preferred (BRRD art. 44/2/g/iii)",'Other financial Liabilities'!K102))</f>
        <v>r0150 - Institution liabilities &lt; 7 days (BRRD art. 44/2/e)</v>
      </c>
      <c r="F108" s="14" t="str">
        <f>IF(OR('Other financial Liabilities'!G102="particulares",'Other financial Liabilities'!J102=1),"c001x   - Households",IF('Other financial Liabilities'!G102="outras empresas nao financeiras","c003x   - Corporates",IF('Other financial Liabilities'!G102="instituicoes de credito","c004x   - Institutions",IF('Other financial Liabilities'!G102="outras instituicoes financeiras","c005x   - Other financial corporations",IF(OR('Other financial Liabilities'!G102="setor publico",'Other financial Liabilities'!J102=2),"c008x   - Government, central banks &amp; supranationals","")))))</f>
        <v>c004x   - Institutions</v>
      </c>
      <c r="G108" s="14" t="str">
        <f t="shared" si="6"/>
        <v>Rank 9 - Ranking in insolvency (master scale)</v>
      </c>
      <c r="H108" s="14" t="str">
        <f>IF(F108="c004x   - Institutions",'Other financial Liabilities'!H102,IF(F108="c001x   - Households","CSL"&amp;IF(MONTH('Other financial Liabilities'!I102)=1,"JAN",IF(MONTH('Other financial Liabilities'!I102)=2,"FEV",IF(MONTH('Other financial Liabilities'!I102)=3,"MAR",IF(MONTH('Other financial Liabilities'!I102)=4,"ABR",IF(MONTH('Other financial Liabilities'!I102)=5,"MAI",IF(MONTH('Other financial Liabilities'!I102)=6,"JUN",IF(MONTH('Other financial Liabilities'!I102)=7,"JUL",IF(MONTH('Other financial Liabilities'!I102)=8,"AGO",IF(MONTH('Other financial Liabilities'!I102)=9,"SET",IF(MONTH('Other financial Liabilities'!I102)=10,"OUT",IF(MONTH('Other financial Liabilities'!I102)=11,"NOV",IF(MONTH('Other financial Liabilities'!I102)=12,"DEZ",""))))))))))))&amp;LEFT(YEAR('Other financial Liabilities'!I102),2),IF(F108="c008x   - Government, central banks &amp; supranationals","TL"&amp;IF(MONTH('Other financial Liabilities'!I102)=1,"JAN",IF(MONTH('Other financial Liabilities'!I102)=2,"FEV",IF(MONTH('Other financial Liabilities'!I102)=3,"MAR",IF(MONTH('Other financial Liabilities'!I102)=4,"ABR",IF(MONTH('Other financial Liabilities'!I102)=5,"MAI",IF(MONTH('Other financial Liabilities'!I102)=6,"JUN",IF(MONTH('Other financial Liabilities'!I102)=7,"JUL",IF(MONTH('Other financial Liabilities'!I102)=8,"AGO",IF(MONTH('Other financial Liabilities'!I102)=9,"SET",IF(MONTH('Other financial Liabilities'!I102)=10,"OUT",IF(MONTH('Other financial Liabilities'!I102)=11,"NOV",IF(MONTH('Other financial Liabilities'!I102)=12,"DEZ",""))))))))))))&amp;LEFT(YEAR('Other financial Liabilities'!I102),2),"")))</f>
        <v>CAIXA GERAL DE DEPOSITOS S.A.</v>
      </c>
      <c r="I108" s="14" t="str">
        <f>IF(F108="c004x   - Institutions",'Other financial Liabilities'!H102,IF(F108="c001x   - Households","Critical Service Liability "&amp;IF(MONTH('Other financial Liabilities'!I102)=1,"January ",IF(MONTH('Other financial Liabilities'!I102)=2,"February ",IF(MONTH('Other financial Liabilities'!I102)=3,"March ",IF(MONTH('Other financial Liabilities'!I102)=4, "April ",IF(MONTH('Other financial Liabilities'!I102)=5,"May ",IF(MONTH('Other financial Liabilities'!I102)=6,"June ",IF(MONTH('Other financial Liabilities'!I102)=7,"July ",IF(MONTH('Other financial Liabilities'!I102)=8,"August ",IF(MONTH('Other financial Liabilities'!I102)=9,"September ",IF(MONTH('Other financial Liabilities'!I102)=10,"October",  IF(MONTH('Other financial Liabilities'!I102)=11,"November ",IF(MONTH('Other financial Liabilities'!I102)=12,"December ",""))))))))))))&amp;YEAR('Other financial Liabilities'!I102),IF(F108="c008x   - Government, central banks &amp; supranationals","Tax Liability "&amp;IF(MONTH('Other financial Liabilities'!I102)=1,"January ",IF(MONTH('Other financial Liabilities'!I102)=2,"February ",IF(MONTH('Other financial Liabilities'!I102)=3,"March ",IF(MONTH('Other financial Liabilities'!I102)=4,"April ",IF(MONTH('Other financial Liabilities'!I102)=5,"May ",IF(MONTH('Other financial Liabilities'!I102)=6,"June ",IF(MONTH('Other financial Liabilities'!I102)=7,"July ",IF(MONTH('Other financial Liabilities'!I102)=8, "August ",  IF(MONTH('Other financial Liabilities'!I102)=9,"September ",IF(MONTH('Other financial Liabilities'!I102)=10,"October ",IF(MONTH('Other financial Liabilities'!I102)=11,"November ",IF(MONTH('Other financial Liabilities'!I102)=12,"December ",""))))))))))))&amp;YEAR('Other financial Liabilities'!I102),"")))</f>
        <v>CAIXA GERAL DE DEPOSITOS S.A.</v>
      </c>
      <c r="J108" s="14" t="str">
        <f>+IF(OR('Other financial Liabilities'!C102="",'Other financial Liabilities'!C102="#"),IF('Other financial Liabilities'!A102="",IF(F108="c001x   - Households","CSL"&amp;"001",IF(F108="c008x   - Government, central banks &amp; supranationals","TL"&amp;"001")),'Other financial Liabilities'!A102),'Other financial Liabilities'!C102)</f>
        <v>9000654167</v>
      </c>
      <c r="K108" s="14" t="str">
        <f>+IF(J108='Other financial Liabilities'!C102,"LEI code","Type of identifier, other than LEI or MFI code")</f>
        <v>Type of identifier, other than LEI or MFI code</v>
      </c>
      <c r="L108" s="14" t="s">
        <v>197</v>
      </c>
      <c r="M108" s="14" t="s">
        <v>198</v>
      </c>
      <c r="N108" s="14" t="s">
        <v>199</v>
      </c>
      <c r="O108" s="15">
        <v>2849853.32</v>
      </c>
      <c r="P108" s="15">
        <f>IF('Other financial Liabilities'!E102="",0,'Other financial Liabilities'!E102)</f>
        <v>0</v>
      </c>
      <c r="Q108" s="14">
        <f>IF('Other financial Liabilities'!F102="",0,'Other financial Liabilities'!F102)</f>
        <v>0</v>
      </c>
      <c r="R108" s="14" t="s">
        <v>212</v>
      </c>
      <c r="S108" s="16" t="s">
        <v>250</v>
      </c>
      <c r="T108" s="16">
        <f t="shared" si="7"/>
        <v>44928</v>
      </c>
      <c r="U108" s="16">
        <f t="shared" si="8"/>
        <v>44928</v>
      </c>
      <c r="V108" s="14" t="s">
        <v>200</v>
      </c>
      <c r="W108" s="15">
        <v>0</v>
      </c>
      <c r="X108" s="15">
        <v>0</v>
      </c>
      <c r="Y108" s="15">
        <v>0</v>
      </c>
      <c r="Z108" s="14" t="s">
        <v>201</v>
      </c>
      <c r="AA108" s="15">
        <v>0</v>
      </c>
      <c r="AB108" s="14" t="s">
        <v>202</v>
      </c>
      <c r="AC108" s="17">
        <v>0</v>
      </c>
      <c r="AD108" s="20"/>
    </row>
    <row r="109" spans="3:30" ht="45.75" customHeight="1" thickBot="1" x14ac:dyDescent="0.5">
      <c r="C109" s="12">
        <f t="shared" si="5"/>
        <v>999</v>
      </c>
      <c r="D109" s="13">
        <f t="shared" si="9"/>
        <v>102</v>
      </c>
      <c r="E109" s="14" t="str">
        <f>IF(AND('Other financial Liabilities'!K103="",'Other financial Liabilities'!J103=1),"r0180 - Critical service liabilities (BRRD art. 44/2/g/ii)",IF(AND('Other financial Liabilities'!K103="",'Other financial Liabilities'!J103=2),"r0190 - Tax and social security authorities liabilities, if preferred (BRRD art. 44/2/g/iii)",'Other financial Liabilities'!K103))</f>
        <v>r0150 - Institution liabilities &lt; 7 days (BRRD art. 44/2/e)</v>
      </c>
      <c r="F109" s="14" t="str">
        <f>IF(OR('Other financial Liabilities'!G103="particulares",'Other financial Liabilities'!J103=1),"c001x   - Households",IF('Other financial Liabilities'!G103="outras empresas nao financeiras","c003x   - Corporates",IF('Other financial Liabilities'!G103="instituicoes de credito","c004x   - Institutions",IF('Other financial Liabilities'!G103="outras instituicoes financeiras","c005x   - Other financial corporations",IF(OR('Other financial Liabilities'!G103="setor publico",'Other financial Liabilities'!J103=2),"c008x   - Government, central banks &amp; supranationals","")))))</f>
        <v>c004x   - Institutions</v>
      </c>
      <c r="G109" s="14" t="str">
        <f t="shared" si="6"/>
        <v>Rank 9 - Ranking in insolvency (master scale)</v>
      </c>
      <c r="H109" s="14" t="str">
        <f>IF(F109="c004x   - Institutions",'Other financial Liabilities'!H103,IF(F109="c001x   - Households","CSL"&amp;IF(MONTH('Other financial Liabilities'!I103)=1,"JAN",IF(MONTH('Other financial Liabilities'!I103)=2,"FEV",IF(MONTH('Other financial Liabilities'!I103)=3,"MAR",IF(MONTH('Other financial Liabilities'!I103)=4,"ABR",IF(MONTH('Other financial Liabilities'!I103)=5,"MAI",IF(MONTH('Other financial Liabilities'!I103)=6,"JUN",IF(MONTH('Other financial Liabilities'!I103)=7,"JUL",IF(MONTH('Other financial Liabilities'!I103)=8,"AGO",IF(MONTH('Other financial Liabilities'!I103)=9,"SET",IF(MONTH('Other financial Liabilities'!I103)=10,"OUT",IF(MONTH('Other financial Liabilities'!I103)=11,"NOV",IF(MONTH('Other financial Liabilities'!I103)=12,"DEZ",""))))))))))))&amp;LEFT(YEAR('Other financial Liabilities'!I103),2),IF(F109="c008x   - Government, central banks &amp; supranationals","TL"&amp;IF(MONTH('Other financial Liabilities'!I103)=1,"JAN",IF(MONTH('Other financial Liabilities'!I103)=2,"FEV",IF(MONTH('Other financial Liabilities'!I103)=3,"MAR",IF(MONTH('Other financial Liabilities'!I103)=4,"ABR",IF(MONTH('Other financial Liabilities'!I103)=5,"MAI",IF(MONTH('Other financial Liabilities'!I103)=6,"JUN",IF(MONTH('Other financial Liabilities'!I103)=7,"JUL",IF(MONTH('Other financial Liabilities'!I103)=8,"AGO",IF(MONTH('Other financial Liabilities'!I103)=9,"SET",IF(MONTH('Other financial Liabilities'!I103)=10,"OUT",IF(MONTH('Other financial Liabilities'!I103)=11,"NOV",IF(MONTH('Other financial Liabilities'!I103)=12,"DEZ",""))))))))))))&amp;LEFT(YEAR('Other financial Liabilities'!I103),2),"")))</f>
        <v>BANCO BPI S.A.</v>
      </c>
      <c r="I109" s="14" t="str">
        <f>IF(F109="c004x   - Institutions",'Other financial Liabilities'!H103,IF(F109="c001x   - Households","Critical Service Liability "&amp;IF(MONTH('Other financial Liabilities'!I103)=1,"January ",IF(MONTH('Other financial Liabilities'!I103)=2,"February ",IF(MONTH('Other financial Liabilities'!I103)=3,"March ",IF(MONTH('Other financial Liabilities'!I103)=4, "April ",IF(MONTH('Other financial Liabilities'!I103)=5,"May ",IF(MONTH('Other financial Liabilities'!I103)=6,"June ",IF(MONTH('Other financial Liabilities'!I103)=7,"July ",IF(MONTH('Other financial Liabilities'!I103)=8,"August ",IF(MONTH('Other financial Liabilities'!I103)=9,"September ",IF(MONTH('Other financial Liabilities'!I103)=10,"October",  IF(MONTH('Other financial Liabilities'!I103)=11,"November ",IF(MONTH('Other financial Liabilities'!I103)=12,"December ",""))))))))))))&amp;YEAR('Other financial Liabilities'!I103),IF(F109="c008x   - Government, central banks &amp; supranationals","Tax Liability "&amp;IF(MONTH('Other financial Liabilities'!I103)=1,"January ",IF(MONTH('Other financial Liabilities'!I103)=2,"February ",IF(MONTH('Other financial Liabilities'!I103)=3,"March ",IF(MONTH('Other financial Liabilities'!I103)=4,"April ",IF(MONTH('Other financial Liabilities'!I103)=5,"May ",IF(MONTH('Other financial Liabilities'!I103)=6,"June ",IF(MONTH('Other financial Liabilities'!I103)=7,"July ",IF(MONTH('Other financial Liabilities'!I103)=8, "August ",  IF(MONTH('Other financial Liabilities'!I103)=9,"September ",IF(MONTH('Other financial Liabilities'!I103)=10,"October ",IF(MONTH('Other financial Liabilities'!I103)=11,"November ",IF(MONTH('Other financial Liabilities'!I103)=12,"December ",""))))))))))))&amp;YEAR('Other financial Liabilities'!I103),"")))</f>
        <v>BANCO BPI S.A.</v>
      </c>
      <c r="J109" s="14" t="str">
        <f>+IF(OR('Other financial Liabilities'!C103="",'Other financial Liabilities'!C103="#"),IF('Other financial Liabilities'!A103="",IF(F109="c001x   - Households","CSL"&amp;"001",IF(F109="c008x   - Government, central banks &amp; supranationals","TL"&amp;"001")),'Other financial Liabilities'!A103),'Other financial Liabilities'!C103)</f>
        <v>3DM5DPGI3W6OU6GJ4N92</v>
      </c>
      <c r="K109" s="14" t="str">
        <f>+IF(J109='Other financial Liabilities'!C103,"LEI code","Type of identifier, other than LEI or MFI code")</f>
        <v>LEI code</v>
      </c>
      <c r="L109" s="14" t="s">
        <v>197</v>
      </c>
      <c r="M109" s="14" t="s">
        <v>198</v>
      </c>
      <c r="N109" s="14" t="s">
        <v>199</v>
      </c>
      <c r="O109" s="15">
        <v>22275.78</v>
      </c>
      <c r="P109" s="15">
        <f>IF('Other financial Liabilities'!E103="",0,'Other financial Liabilities'!E103)</f>
        <v>0</v>
      </c>
      <c r="Q109" s="14">
        <f>IF('Other financial Liabilities'!F103="",0,'Other financial Liabilities'!F103)</f>
        <v>0</v>
      </c>
      <c r="R109" s="14" t="s">
        <v>212</v>
      </c>
      <c r="S109" s="16" t="s">
        <v>250</v>
      </c>
      <c r="T109" s="16">
        <f t="shared" si="7"/>
        <v>44928</v>
      </c>
      <c r="U109" s="16">
        <f t="shared" si="8"/>
        <v>44928</v>
      </c>
      <c r="V109" s="14" t="s">
        <v>200</v>
      </c>
      <c r="W109" s="15">
        <v>0</v>
      </c>
      <c r="X109" s="15">
        <v>0</v>
      </c>
      <c r="Y109" s="15">
        <v>0</v>
      </c>
      <c r="Z109" s="14" t="s">
        <v>201</v>
      </c>
      <c r="AA109" s="15">
        <v>0</v>
      </c>
      <c r="AB109" s="14" t="s">
        <v>202</v>
      </c>
      <c r="AC109" s="17">
        <v>0</v>
      </c>
      <c r="AD109" s="20"/>
    </row>
    <row r="110" spans="3:30" ht="45.75" customHeight="1" thickBot="1" x14ac:dyDescent="0.5">
      <c r="C110" s="12">
        <f t="shared" si="5"/>
        <v>999</v>
      </c>
      <c r="D110" s="13">
        <f t="shared" si="9"/>
        <v>103</v>
      </c>
      <c r="E110" s="14" t="str">
        <f>IF(AND('Other financial Liabilities'!K104="",'Other financial Liabilities'!J104=1),"r0180 - Critical service liabilities (BRRD art. 44/2/g/ii)",IF(AND('Other financial Liabilities'!K104="",'Other financial Liabilities'!J104=2),"r0190 - Tax and social security authorities liabilities, if preferred (BRRD art. 44/2/g/iii)",'Other financial Liabilities'!K104))</f>
        <v>r0150 - Institution liabilities &lt; 7 days (BRRD art. 44/2/e)</v>
      </c>
      <c r="F110" s="14" t="str">
        <f>IF(OR('Other financial Liabilities'!G104="particulares",'Other financial Liabilities'!J104=1),"c001x   - Households",IF('Other financial Liabilities'!G104="outras empresas nao financeiras","c003x   - Corporates",IF('Other financial Liabilities'!G104="instituicoes de credito","c004x   - Institutions",IF('Other financial Liabilities'!G104="outras instituicoes financeiras","c005x   - Other financial corporations",IF(OR('Other financial Liabilities'!G104="setor publico",'Other financial Liabilities'!J104=2),"c008x   - Government, central banks &amp; supranationals","")))))</f>
        <v>c004x   - Institutions</v>
      </c>
      <c r="G110" s="14" t="str">
        <f t="shared" si="6"/>
        <v>Rank 9 - Ranking in insolvency (master scale)</v>
      </c>
      <c r="H110" s="14" t="str">
        <f>IF(F110="c004x   - Institutions",'Other financial Liabilities'!H104,IF(F110="c001x   - Households","CSL"&amp;IF(MONTH('Other financial Liabilities'!I104)=1,"JAN",IF(MONTH('Other financial Liabilities'!I104)=2,"FEV",IF(MONTH('Other financial Liabilities'!I104)=3,"MAR",IF(MONTH('Other financial Liabilities'!I104)=4,"ABR",IF(MONTH('Other financial Liabilities'!I104)=5,"MAI",IF(MONTH('Other financial Liabilities'!I104)=6,"JUN",IF(MONTH('Other financial Liabilities'!I104)=7,"JUL",IF(MONTH('Other financial Liabilities'!I104)=8,"AGO",IF(MONTH('Other financial Liabilities'!I104)=9,"SET",IF(MONTH('Other financial Liabilities'!I104)=10,"OUT",IF(MONTH('Other financial Liabilities'!I104)=11,"NOV",IF(MONTH('Other financial Liabilities'!I104)=12,"DEZ",""))))))))))))&amp;LEFT(YEAR('Other financial Liabilities'!I104),2),IF(F110="c008x   - Government, central banks &amp; supranationals","TL"&amp;IF(MONTH('Other financial Liabilities'!I104)=1,"JAN",IF(MONTH('Other financial Liabilities'!I104)=2,"FEV",IF(MONTH('Other financial Liabilities'!I104)=3,"MAR",IF(MONTH('Other financial Liabilities'!I104)=4,"ABR",IF(MONTH('Other financial Liabilities'!I104)=5,"MAI",IF(MONTH('Other financial Liabilities'!I104)=6,"JUN",IF(MONTH('Other financial Liabilities'!I104)=7,"JUL",IF(MONTH('Other financial Liabilities'!I104)=8,"AGO",IF(MONTH('Other financial Liabilities'!I104)=9,"SET",IF(MONTH('Other financial Liabilities'!I104)=10,"OUT",IF(MONTH('Other financial Liabilities'!I104)=11,"NOV",IF(MONTH('Other financial Liabilities'!I104)=12,"DEZ",""))))))))))))&amp;LEFT(YEAR('Other financial Liabilities'!I104),2),"")))</f>
        <v>BANCO BILBAO VIZCAYA (PORTUGAL), SA</v>
      </c>
      <c r="I110" s="14" t="str">
        <f>IF(F110="c004x   - Institutions",'Other financial Liabilities'!H104,IF(F110="c001x   - Households","Critical Service Liability "&amp;IF(MONTH('Other financial Liabilities'!I104)=1,"January ",IF(MONTH('Other financial Liabilities'!I104)=2,"February ",IF(MONTH('Other financial Liabilities'!I104)=3,"March ",IF(MONTH('Other financial Liabilities'!I104)=4, "April ",IF(MONTH('Other financial Liabilities'!I104)=5,"May ",IF(MONTH('Other financial Liabilities'!I104)=6,"June ",IF(MONTH('Other financial Liabilities'!I104)=7,"July ",IF(MONTH('Other financial Liabilities'!I104)=8,"August ",IF(MONTH('Other financial Liabilities'!I104)=9,"September ",IF(MONTH('Other financial Liabilities'!I104)=10,"October",  IF(MONTH('Other financial Liabilities'!I104)=11,"November ",IF(MONTH('Other financial Liabilities'!I104)=12,"December ",""))))))))))))&amp;YEAR('Other financial Liabilities'!I104),IF(F110="c008x   - Government, central banks &amp; supranationals","Tax Liability "&amp;IF(MONTH('Other financial Liabilities'!I104)=1,"January ",IF(MONTH('Other financial Liabilities'!I104)=2,"February ",IF(MONTH('Other financial Liabilities'!I104)=3,"March ",IF(MONTH('Other financial Liabilities'!I104)=4,"April ",IF(MONTH('Other financial Liabilities'!I104)=5,"May ",IF(MONTH('Other financial Liabilities'!I104)=6,"June ",IF(MONTH('Other financial Liabilities'!I104)=7,"July ",IF(MONTH('Other financial Liabilities'!I104)=8, "August ",  IF(MONTH('Other financial Liabilities'!I104)=9,"September ",IF(MONTH('Other financial Liabilities'!I104)=10,"October ",IF(MONTH('Other financial Liabilities'!I104)=11,"November ",IF(MONTH('Other financial Liabilities'!I104)=12,"December ",""))))))))))))&amp;YEAR('Other financial Liabilities'!I104),"")))</f>
        <v>BANCO BILBAO VIZCAYA (PORTUGAL), SA</v>
      </c>
      <c r="J110" s="14" t="str">
        <f>+IF(OR('Other financial Liabilities'!C104="",'Other financial Liabilities'!C104="#"),IF('Other financial Liabilities'!A104="",IF(F110="c001x   - Households","CSL"&amp;"001",IF(F110="c008x   - Government, central banks &amp; supranationals","TL"&amp;"001")),'Other financial Liabilities'!A104),'Other financial Liabilities'!C104)</f>
        <v>9000751619</v>
      </c>
      <c r="K110" s="14" t="str">
        <f>+IF(J110='Other financial Liabilities'!C104,"LEI code","Type of identifier, other than LEI or MFI code")</f>
        <v>Type of identifier, other than LEI or MFI code</v>
      </c>
      <c r="L110" s="14" t="s">
        <v>197</v>
      </c>
      <c r="M110" s="14" t="s">
        <v>198</v>
      </c>
      <c r="N110" s="14" t="s">
        <v>199</v>
      </c>
      <c r="O110" s="15">
        <v>775.68</v>
      </c>
      <c r="P110" s="15">
        <f>IF('Other financial Liabilities'!E104="",0,'Other financial Liabilities'!E104)</f>
        <v>0</v>
      </c>
      <c r="Q110" s="14">
        <f>IF('Other financial Liabilities'!F104="",0,'Other financial Liabilities'!F104)</f>
        <v>0</v>
      </c>
      <c r="R110" s="14" t="s">
        <v>212</v>
      </c>
      <c r="S110" s="16" t="s">
        <v>250</v>
      </c>
      <c r="T110" s="16">
        <f t="shared" si="7"/>
        <v>44928</v>
      </c>
      <c r="U110" s="16">
        <f t="shared" si="8"/>
        <v>44928</v>
      </c>
      <c r="V110" s="14" t="s">
        <v>200</v>
      </c>
      <c r="W110" s="15">
        <v>0</v>
      </c>
      <c r="X110" s="15">
        <v>0</v>
      </c>
      <c r="Y110" s="15">
        <v>0</v>
      </c>
      <c r="Z110" s="14" t="s">
        <v>201</v>
      </c>
      <c r="AA110" s="15">
        <v>0</v>
      </c>
      <c r="AB110" s="14" t="s">
        <v>202</v>
      </c>
      <c r="AC110" s="17">
        <v>0</v>
      </c>
      <c r="AD110" s="20"/>
    </row>
    <row r="111" spans="3:30" ht="45.75" customHeight="1" thickBot="1" x14ac:dyDescent="0.5">
      <c r="C111" s="12">
        <f t="shared" si="5"/>
        <v>999</v>
      </c>
      <c r="D111" s="13">
        <f t="shared" si="9"/>
        <v>104</v>
      </c>
      <c r="E111" s="14" t="str">
        <f>IF(AND('Other financial Liabilities'!K105="",'Other financial Liabilities'!J105=1),"r0180 - Critical service liabilities (BRRD art. 44/2/g/ii)",IF(AND('Other financial Liabilities'!K105="",'Other financial Liabilities'!J105=2),"r0190 - Tax and social security authorities liabilities, if preferred (BRRD art. 44/2/g/iii)",'Other financial Liabilities'!K105))</f>
        <v>r0150 - Institution liabilities &lt; 7 days (BRRD art. 44/2/e)</v>
      </c>
      <c r="F111" s="14" t="str">
        <f>IF(OR('Other financial Liabilities'!G105="particulares",'Other financial Liabilities'!J105=1),"c001x   - Households",IF('Other financial Liabilities'!G105="outras empresas nao financeiras","c003x   - Corporates",IF('Other financial Liabilities'!G105="instituicoes de credito","c004x   - Institutions",IF('Other financial Liabilities'!G105="outras instituicoes financeiras","c005x   - Other financial corporations",IF(OR('Other financial Liabilities'!G105="setor publico",'Other financial Liabilities'!J105=2),"c008x   - Government, central banks &amp; supranationals","")))))</f>
        <v>c004x   - Institutions</v>
      </c>
      <c r="G111" s="14" t="str">
        <f t="shared" si="6"/>
        <v>Rank 9 - Ranking in insolvency (master scale)</v>
      </c>
      <c r="H111" s="14" t="str">
        <f>IF(F111="c004x   - Institutions",'Other financial Liabilities'!H105,IF(F111="c001x   - Households","CSL"&amp;IF(MONTH('Other financial Liabilities'!I105)=1,"JAN",IF(MONTH('Other financial Liabilities'!I105)=2,"FEV",IF(MONTH('Other financial Liabilities'!I105)=3,"MAR",IF(MONTH('Other financial Liabilities'!I105)=4,"ABR",IF(MONTH('Other financial Liabilities'!I105)=5,"MAI",IF(MONTH('Other financial Liabilities'!I105)=6,"JUN",IF(MONTH('Other financial Liabilities'!I105)=7,"JUL",IF(MONTH('Other financial Liabilities'!I105)=8,"AGO",IF(MONTH('Other financial Liabilities'!I105)=9,"SET",IF(MONTH('Other financial Liabilities'!I105)=10,"OUT",IF(MONTH('Other financial Liabilities'!I105)=11,"NOV",IF(MONTH('Other financial Liabilities'!I105)=12,"DEZ",""))))))))))))&amp;LEFT(YEAR('Other financial Liabilities'!I105),2),IF(F111="c008x   - Government, central banks &amp; supranationals","TL"&amp;IF(MONTH('Other financial Liabilities'!I105)=1,"JAN",IF(MONTH('Other financial Liabilities'!I105)=2,"FEV",IF(MONTH('Other financial Liabilities'!I105)=3,"MAR",IF(MONTH('Other financial Liabilities'!I105)=4,"ABR",IF(MONTH('Other financial Liabilities'!I105)=5,"MAI",IF(MONTH('Other financial Liabilities'!I105)=6,"JUN",IF(MONTH('Other financial Liabilities'!I105)=7,"JUL",IF(MONTH('Other financial Liabilities'!I105)=8,"AGO",IF(MONTH('Other financial Liabilities'!I105)=9,"SET",IF(MONTH('Other financial Liabilities'!I105)=10,"OUT",IF(MONTH('Other financial Liabilities'!I105)=11,"NOV",IF(MONTH('Other financial Liabilities'!I105)=12,"DEZ",""))))))))))))&amp;LEFT(YEAR('Other financial Liabilities'!I105),2),"")))</f>
        <v>NOVO BANCO, S.A.</v>
      </c>
      <c r="I111" s="14" t="str">
        <f>IF(F111="c004x   - Institutions",'Other financial Liabilities'!H105,IF(F111="c001x   - Households","Critical Service Liability "&amp;IF(MONTH('Other financial Liabilities'!I105)=1,"January ",IF(MONTH('Other financial Liabilities'!I105)=2,"February ",IF(MONTH('Other financial Liabilities'!I105)=3,"March ",IF(MONTH('Other financial Liabilities'!I105)=4, "April ",IF(MONTH('Other financial Liabilities'!I105)=5,"May ",IF(MONTH('Other financial Liabilities'!I105)=6,"June ",IF(MONTH('Other financial Liabilities'!I105)=7,"July ",IF(MONTH('Other financial Liabilities'!I105)=8,"August ",IF(MONTH('Other financial Liabilities'!I105)=9,"September ",IF(MONTH('Other financial Liabilities'!I105)=10,"October",  IF(MONTH('Other financial Liabilities'!I105)=11,"November ",IF(MONTH('Other financial Liabilities'!I105)=12,"December ",""))))))))))))&amp;YEAR('Other financial Liabilities'!I105),IF(F111="c008x   - Government, central banks &amp; supranationals","Tax Liability "&amp;IF(MONTH('Other financial Liabilities'!I105)=1,"January ",IF(MONTH('Other financial Liabilities'!I105)=2,"February ",IF(MONTH('Other financial Liabilities'!I105)=3,"March ",IF(MONTH('Other financial Liabilities'!I105)=4,"April ",IF(MONTH('Other financial Liabilities'!I105)=5,"May ",IF(MONTH('Other financial Liabilities'!I105)=6,"June ",IF(MONTH('Other financial Liabilities'!I105)=7,"July ",IF(MONTH('Other financial Liabilities'!I105)=8, "August ",  IF(MONTH('Other financial Liabilities'!I105)=9,"September ",IF(MONTH('Other financial Liabilities'!I105)=10,"October ",IF(MONTH('Other financial Liabilities'!I105)=11,"November ",IF(MONTH('Other financial Liabilities'!I105)=12,"December ",""))))))))))))&amp;YEAR('Other financial Liabilities'!I105),"")))</f>
        <v>NOVO BANCO, S.A.</v>
      </c>
      <c r="J111" s="14" t="str">
        <f>+IF(OR('Other financial Liabilities'!C105="",'Other financial Liabilities'!C105="#"),IF('Other financial Liabilities'!A105="",IF(F111="c001x   - Households","CSL"&amp;"001",IF(F111="c008x   - Government, central banks &amp; supranationals","TL"&amp;"001")),'Other financial Liabilities'!A105),'Other financial Liabilities'!C105)</f>
        <v>9000767417</v>
      </c>
      <c r="K111" s="14" t="str">
        <f>+IF(J111='Other financial Liabilities'!C105,"LEI code","Type of identifier, other than LEI or MFI code")</f>
        <v>Type of identifier, other than LEI or MFI code</v>
      </c>
      <c r="L111" s="14" t="s">
        <v>197</v>
      </c>
      <c r="M111" s="14" t="s">
        <v>198</v>
      </c>
      <c r="N111" s="14" t="s">
        <v>199</v>
      </c>
      <c r="O111" s="15">
        <v>47722077.57</v>
      </c>
      <c r="P111" s="15">
        <f>IF('Other financial Liabilities'!E105="",0,'Other financial Liabilities'!E105)</f>
        <v>0</v>
      </c>
      <c r="Q111" s="14">
        <f>IF('Other financial Liabilities'!F105="",0,'Other financial Liabilities'!F105)</f>
        <v>0</v>
      </c>
      <c r="R111" s="14" t="s">
        <v>212</v>
      </c>
      <c r="S111" s="16" t="s">
        <v>250</v>
      </c>
      <c r="T111" s="16">
        <f t="shared" si="7"/>
        <v>44928</v>
      </c>
      <c r="U111" s="16">
        <f t="shared" si="8"/>
        <v>44928</v>
      </c>
      <c r="V111" s="14" t="s">
        <v>200</v>
      </c>
      <c r="W111" s="15">
        <v>0</v>
      </c>
      <c r="X111" s="15">
        <v>0</v>
      </c>
      <c r="Y111" s="15">
        <v>0</v>
      </c>
      <c r="Z111" s="14" t="s">
        <v>201</v>
      </c>
      <c r="AA111" s="15">
        <v>0</v>
      </c>
      <c r="AB111" s="14" t="s">
        <v>202</v>
      </c>
      <c r="AC111" s="17">
        <v>0</v>
      </c>
      <c r="AD111" s="20"/>
    </row>
    <row r="112" spans="3:30" ht="45.75" customHeight="1" thickBot="1" x14ac:dyDescent="0.5">
      <c r="C112" s="12">
        <f t="shared" si="5"/>
        <v>999</v>
      </c>
      <c r="D112" s="13">
        <f t="shared" si="9"/>
        <v>105</v>
      </c>
      <c r="E112" s="14" t="str">
        <f>IF(AND('Other financial Liabilities'!K106="",'Other financial Liabilities'!J106=1),"r0180 - Critical service liabilities (BRRD art. 44/2/g/ii)",IF(AND('Other financial Liabilities'!K106="",'Other financial Liabilities'!J106=2),"r0190 - Tax and social security authorities liabilities, if preferred (BRRD art. 44/2/g/iii)",'Other financial Liabilities'!K106))</f>
        <v>r0150 - Institution liabilities &lt; 7 days (BRRD art. 44/2/e)</v>
      </c>
      <c r="F112" s="14" t="str">
        <f>IF(OR('Other financial Liabilities'!G106="particulares",'Other financial Liabilities'!J106=1),"c001x   - Households",IF('Other financial Liabilities'!G106="outras empresas nao financeiras","c003x   - Corporates",IF('Other financial Liabilities'!G106="instituicoes de credito","c004x   - Institutions",IF('Other financial Liabilities'!G106="outras instituicoes financeiras","c005x   - Other financial corporations",IF(OR('Other financial Liabilities'!G106="setor publico",'Other financial Liabilities'!J106=2),"c008x   - Government, central banks &amp; supranationals","")))))</f>
        <v>c004x   - Institutions</v>
      </c>
      <c r="G112" s="14" t="str">
        <f t="shared" si="6"/>
        <v>Rank 9 - Ranking in insolvency (master scale)</v>
      </c>
      <c r="H112" s="14" t="str">
        <f>IF(F112="c004x   - Institutions",'Other financial Liabilities'!H106,IF(F112="c001x   - Households","CSL"&amp;IF(MONTH('Other financial Liabilities'!I106)=1,"JAN",IF(MONTH('Other financial Liabilities'!I106)=2,"FEV",IF(MONTH('Other financial Liabilities'!I106)=3,"MAR",IF(MONTH('Other financial Liabilities'!I106)=4,"ABR",IF(MONTH('Other financial Liabilities'!I106)=5,"MAI",IF(MONTH('Other financial Liabilities'!I106)=6,"JUN",IF(MONTH('Other financial Liabilities'!I106)=7,"JUL",IF(MONTH('Other financial Liabilities'!I106)=8,"AGO",IF(MONTH('Other financial Liabilities'!I106)=9,"SET",IF(MONTH('Other financial Liabilities'!I106)=10,"OUT",IF(MONTH('Other financial Liabilities'!I106)=11,"NOV",IF(MONTH('Other financial Liabilities'!I106)=12,"DEZ",""))))))))))))&amp;LEFT(YEAR('Other financial Liabilities'!I106),2),IF(F112="c008x   - Government, central banks &amp; supranationals","TL"&amp;IF(MONTH('Other financial Liabilities'!I106)=1,"JAN",IF(MONTH('Other financial Liabilities'!I106)=2,"FEV",IF(MONTH('Other financial Liabilities'!I106)=3,"MAR",IF(MONTH('Other financial Liabilities'!I106)=4,"ABR",IF(MONTH('Other financial Liabilities'!I106)=5,"MAI",IF(MONTH('Other financial Liabilities'!I106)=6,"JUN",IF(MONTH('Other financial Liabilities'!I106)=7,"JUL",IF(MONTH('Other financial Liabilities'!I106)=8,"AGO",IF(MONTH('Other financial Liabilities'!I106)=9,"SET",IF(MONTH('Other financial Liabilities'!I106)=10,"OUT",IF(MONTH('Other financial Liabilities'!I106)=11,"NOV",IF(MONTH('Other financial Liabilities'!I106)=12,"DEZ",""))))))))))))&amp;LEFT(YEAR('Other financial Liabilities'!I106),2),"")))</f>
        <v>BANCO BPI S.A.</v>
      </c>
      <c r="I112" s="14" t="str">
        <f>IF(F112="c004x   - Institutions",'Other financial Liabilities'!H106,IF(F112="c001x   - Households","Critical Service Liability "&amp;IF(MONTH('Other financial Liabilities'!I106)=1,"January ",IF(MONTH('Other financial Liabilities'!I106)=2,"February ",IF(MONTH('Other financial Liabilities'!I106)=3,"March ",IF(MONTH('Other financial Liabilities'!I106)=4, "April ",IF(MONTH('Other financial Liabilities'!I106)=5,"May ",IF(MONTH('Other financial Liabilities'!I106)=6,"June ",IF(MONTH('Other financial Liabilities'!I106)=7,"July ",IF(MONTH('Other financial Liabilities'!I106)=8,"August ",IF(MONTH('Other financial Liabilities'!I106)=9,"September ",IF(MONTH('Other financial Liabilities'!I106)=10,"October",  IF(MONTH('Other financial Liabilities'!I106)=11,"November ",IF(MONTH('Other financial Liabilities'!I106)=12,"December ",""))))))))))))&amp;YEAR('Other financial Liabilities'!I106),IF(F112="c008x   - Government, central banks &amp; supranationals","Tax Liability "&amp;IF(MONTH('Other financial Liabilities'!I106)=1,"January ",IF(MONTH('Other financial Liabilities'!I106)=2,"February ",IF(MONTH('Other financial Liabilities'!I106)=3,"March ",IF(MONTH('Other financial Liabilities'!I106)=4,"April ",IF(MONTH('Other financial Liabilities'!I106)=5,"May ",IF(MONTH('Other financial Liabilities'!I106)=6,"June ",IF(MONTH('Other financial Liabilities'!I106)=7,"July ",IF(MONTH('Other financial Liabilities'!I106)=8, "August ",  IF(MONTH('Other financial Liabilities'!I106)=9,"September ",IF(MONTH('Other financial Liabilities'!I106)=10,"October ",IF(MONTH('Other financial Liabilities'!I106)=11,"November ",IF(MONTH('Other financial Liabilities'!I106)=12,"December ",""))))))))))))&amp;YEAR('Other financial Liabilities'!I106),"")))</f>
        <v>BANCO BPI S.A.</v>
      </c>
      <c r="J112" s="14" t="str">
        <f>+IF(OR('Other financial Liabilities'!C106="",'Other financial Liabilities'!C106="#"),IF('Other financial Liabilities'!A106="",IF(F112="c001x   - Households","CSL"&amp;"001",IF(F112="c008x   - Government, central banks &amp; supranationals","TL"&amp;"001")),'Other financial Liabilities'!A106),'Other financial Liabilities'!C106)</f>
        <v>3DM5DPGI3W6OU6GJ4N92</v>
      </c>
      <c r="K112" s="14" t="str">
        <f>+IF(J112='Other financial Liabilities'!C106,"LEI code","Type of identifier, other than LEI or MFI code")</f>
        <v>LEI code</v>
      </c>
      <c r="L112" s="14" t="s">
        <v>197</v>
      </c>
      <c r="M112" s="14" t="s">
        <v>198</v>
      </c>
      <c r="N112" s="14" t="s">
        <v>199</v>
      </c>
      <c r="O112" s="15">
        <v>801.82</v>
      </c>
      <c r="P112" s="15">
        <f>IF('Other financial Liabilities'!E106="",0,'Other financial Liabilities'!E106)</f>
        <v>0</v>
      </c>
      <c r="Q112" s="14">
        <f>IF('Other financial Liabilities'!F106="",0,'Other financial Liabilities'!F106)</f>
        <v>0</v>
      </c>
      <c r="R112" s="14" t="s">
        <v>212</v>
      </c>
      <c r="S112" s="16" t="s">
        <v>250</v>
      </c>
      <c r="T112" s="16">
        <f t="shared" si="7"/>
        <v>44928</v>
      </c>
      <c r="U112" s="16">
        <f t="shared" si="8"/>
        <v>44928</v>
      </c>
      <c r="V112" s="14" t="s">
        <v>200</v>
      </c>
      <c r="W112" s="15">
        <v>0</v>
      </c>
      <c r="X112" s="15">
        <v>0</v>
      </c>
      <c r="Y112" s="15">
        <v>0</v>
      </c>
      <c r="Z112" s="14" t="s">
        <v>201</v>
      </c>
      <c r="AA112" s="15">
        <v>0</v>
      </c>
      <c r="AB112" s="14" t="s">
        <v>202</v>
      </c>
      <c r="AC112" s="17">
        <v>0</v>
      </c>
      <c r="AD112" s="20"/>
    </row>
    <row r="113" spans="3:30" ht="45.75" customHeight="1" thickBot="1" x14ac:dyDescent="0.5">
      <c r="C113" s="12">
        <f t="shared" si="5"/>
        <v>999</v>
      </c>
      <c r="D113" s="13">
        <f t="shared" si="9"/>
        <v>106</v>
      </c>
      <c r="E113" s="14" t="str">
        <f>IF(AND('Other financial Liabilities'!K107="",'Other financial Liabilities'!J107=1),"r0180 - Critical service liabilities (BRRD art. 44/2/g/ii)",IF(AND('Other financial Liabilities'!K107="",'Other financial Liabilities'!J107=2),"r0190 - Tax and social security authorities liabilities, if preferred (BRRD art. 44/2/g/iii)",'Other financial Liabilities'!K107))</f>
        <v>r0150 - Institution liabilities &lt; 7 days (BRRD art. 44/2/e)</v>
      </c>
      <c r="F113" s="14" t="str">
        <f>IF(OR('Other financial Liabilities'!G107="particulares",'Other financial Liabilities'!J107=1),"c001x   - Households",IF('Other financial Liabilities'!G107="outras empresas nao financeiras","c003x   - Corporates",IF('Other financial Liabilities'!G107="instituicoes de credito","c004x   - Institutions",IF('Other financial Liabilities'!G107="outras instituicoes financeiras","c005x   - Other financial corporations",IF(OR('Other financial Liabilities'!G107="setor publico",'Other financial Liabilities'!J107=2),"c008x   - Government, central banks &amp; supranationals","")))))</f>
        <v>c004x   - Institutions</v>
      </c>
      <c r="G113" s="14" t="str">
        <f t="shared" si="6"/>
        <v>Rank 9 - Ranking in insolvency (master scale)</v>
      </c>
      <c r="H113" s="14" t="str">
        <f>IF(F113="c004x   - Institutions",'Other financial Liabilities'!H107,IF(F113="c001x   - Households","CSL"&amp;IF(MONTH('Other financial Liabilities'!I107)=1,"JAN",IF(MONTH('Other financial Liabilities'!I107)=2,"FEV",IF(MONTH('Other financial Liabilities'!I107)=3,"MAR",IF(MONTH('Other financial Liabilities'!I107)=4,"ABR",IF(MONTH('Other financial Liabilities'!I107)=5,"MAI",IF(MONTH('Other financial Liabilities'!I107)=6,"JUN",IF(MONTH('Other financial Liabilities'!I107)=7,"JUL",IF(MONTH('Other financial Liabilities'!I107)=8,"AGO",IF(MONTH('Other financial Liabilities'!I107)=9,"SET",IF(MONTH('Other financial Liabilities'!I107)=10,"OUT",IF(MONTH('Other financial Liabilities'!I107)=11,"NOV",IF(MONTH('Other financial Liabilities'!I107)=12,"DEZ",""))))))))))))&amp;LEFT(YEAR('Other financial Liabilities'!I107),2),IF(F113="c008x   - Government, central banks &amp; supranationals","TL"&amp;IF(MONTH('Other financial Liabilities'!I107)=1,"JAN",IF(MONTH('Other financial Liabilities'!I107)=2,"FEV",IF(MONTH('Other financial Liabilities'!I107)=3,"MAR",IF(MONTH('Other financial Liabilities'!I107)=4,"ABR",IF(MONTH('Other financial Liabilities'!I107)=5,"MAI",IF(MONTH('Other financial Liabilities'!I107)=6,"JUN",IF(MONTH('Other financial Liabilities'!I107)=7,"JUL",IF(MONTH('Other financial Liabilities'!I107)=8,"AGO",IF(MONTH('Other financial Liabilities'!I107)=9,"SET",IF(MONTH('Other financial Liabilities'!I107)=10,"OUT",IF(MONTH('Other financial Liabilities'!I107)=11,"NOV",IF(MONTH('Other financial Liabilities'!I107)=12,"DEZ",""))))))))))))&amp;LEFT(YEAR('Other financial Liabilities'!I107),2),"")))</f>
        <v>BANCO COMERCIAL PORTUGUES S.A.</v>
      </c>
      <c r="I113" s="14" t="str">
        <f>IF(F113="c004x   - Institutions",'Other financial Liabilities'!H107,IF(F113="c001x   - Households","Critical Service Liability "&amp;IF(MONTH('Other financial Liabilities'!I107)=1,"January ",IF(MONTH('Other financial Liabilities'!I107)=2,"February ",IF(MONTH('Other financial Liabilities'!I107)=3,"March ",IF(MONTH('Other financial Liabilities'!I107)=4, "April ",IF(MONTH('Other financial Liabilities'!I107)=5,"May ",IF(MONTH('Other financial Liabilities'!I107)=6,"June ",IF(MONTH('Other financial Liabilities'!I107)=7,"July ",IF(MONTH('Other financial Liabilities'!I107)=8,"August ",IF(MONTH('Other financial Liabilities'!I107)=9,"September ",IF(MONTH('Other financial Liabilities'!I107)=10,"October",  IF(MONTH('Other financial Liabilities'!I107)=11,"November ",IF(MONTH('Other financial Liabilities'!I107)=12,"December ",""))))))))))))&amp;YEAR('Other financial Liabilities'!I107),IF(F113="c008x   - Government, central banks &amp; supranationals","Tax Liability "&amp;IF(MONTH('Other financial Liabilities'!I107)=1,"January ",IF(MONTH('Other financial Liabilities'!I107)=2,"February ",IF(MONTH('Other financial Liabilities'!I107)=3,"March ",IF(MONTH('Other financial Liabilities'!I107)=4,"April ",IF(MONTH('Other financial Liabilities'!I107)=5,"May ",IF(MONTH('Other financial Liabilities'!I107)=6,"June ",IF(MONTH('Other financial Liabilities'!I107)=7,"July ",IF(MONTH('Other financial Liabilities'!I107)=8, "August ",  IF(MONTH('Other financial Liabilities'!I107)=9,"September ",IF(MONTH('Other financial Liabilities'!I107)=10,"October ",IF(MONTH('Other financial Liabilities'!I107)=11,"November ",IF(MONTH('Other financial Liabilities'!I107)=12,"December ",""))))))))))))&amp;YEAR('Other financial Liabilities'!I107),"")))</f>
        <v>BANCO COMERCIAL PORTUGUES S.A.</v>
      </c>
      <c r="J113" s="14" t="str">
        <f>+IF(OR('Other financial Liabilities'!C107="",'Other financial Liabilities'!C107="#"),IF('Other financial Liabilities'!A107="",IF(F113="c001x   - Households","CSL"&amp;"001",IF(F113="c008x   - Government, central banks &amp; supranationals","TL"&amp;"001")),'Other financial Liabilities'!A107),'Other financial Liabilities'!C107)</f>
        <v>9000793375</v>
      </c>
      <c r="K113" s="14" t="str">
        <f>+IF(J113='Other financial Liabilities'!C107,"LEI code","Type of identifier, other than LEI or MFI code")</f>
        <v>Type of identifier, other than LEI or MFI code</v>
      </c>
      <c r="L113" s="14" t="s">
        <v>197</v>
      </c>
      <c r="M113" s="14" t="s">
        <v>198</v>
      </c>
      <c r="N113" s="14" t="s">
        <v>199</v>
      </c>
      <c r="O113" s="15">
        <v>54779.69</v>
      </c>
      <c r="P113" s="15">
        <f>IF('Other financial Liabilities'!E107="",0,'Other financial Liabilities'!E107)</f>
        <v>0</v>
      </c>
      <c r="Q113" s="14">
        <f>IF('Other financial Liabilities'!F107="",0,'Other financial Liabilities'!F107)</f>
        <v>0</v>
      </c>
      <c r="R113" s="14" t="s">
        <v>212</v>
      </c>
      <c r="S113" s="16" t="s">
        <v>250</v>
      </c>
      <c r="T113" s="16">
        <f t="shared" si="7"/>
        <v>44928</v>
      </c>
      <c r="U113" s="16">
        <f t="shared" si="8"/>
        <v>44928</v>
      </c>
      <c r="V113" s="14" t="s">
        <v>200</v>
      </c>
      <c r="W113" s="15">
        <v>0</v>
      </c>
      <c r="X113" s="15">
        <v>0</v>
      </c>
      <c r="Y113" s="15">
        <v>0</v>
      </c>
      <c r="Z113" s="14" t="s">
        <v>201</v>
      </c>
      <c r="AA113" s="15">
        <v>0</v>
      </c>
      <c r="AB113" s="14" t="s">
        <v>202</v>
      </c>
      <c r="AC113" s="17">
        <v>0</v>
      </c>
      <c r="AD113" s="20"/>
    </row>
    <row r="114" spans="3:30" ht="45.75" customHeight="1" thickBot="1" x14ac:dyDescent="0.5">
      <c r="C114" s="12">
        <f t="shared" si="5"/>
        <v>999</v>
      </c>
      <c r="D114" s="13">
        <f t="shared" si="9"/>
        <v>107</v>
      </c>
      <c r="E114" s="14" t="str">
        <f>IF(AND('Other financial Liabilities'!K108="",'Other financial Liabilities'!J108=1),"r0180 - Critical service liabilities (BRRD art. 44/2/g/ii)",IF(AND('Other financial Liabilities'!K108="",'Other financial Liabilities'!J108=2),"r0190 - Tax and social security authorities liabilities, if preferred (BRRD art. 44/2/g/iii)",'Other financial Liabilities'!K108))</f>
        <v>r0150 - Institution liabilities &lt; 7 days (BRRD art. 44/2/e)</v>
      </c>
      <c r="F114" s="14" t="str">
        <f>IF(OR('Other financial Liabilities'!G108="particulares",'Other financial Liabilities'!J108=1),"c001x   - Households",IF('Other financial Liabilities'!G108="outras empresas nao financeiras","c003x   - Corporates",IF('Other financial Liabilities'!G108="instituicoes de credito","c004x   - Institutions",IF('Other financial Liabilities'!G108="outras instituicoes financeiras","c005x   - Other financial corporations",IF(OR('Other financial Liabilities'!G108="setor publico",'Other financial Liabilities'!J108=2),"c008x   - Government, central banks &amp; supranationals","")))))</f>
        <v>c004x   - Institutions</v>
      </c>
      <c r="G114" s="14" t="str">
        <f t="shared" si="6"/>
        <v>Rank 9 - Ranking in insolvency (master scale)</v>
      </c>
      <c r="H114" s="14" t="str">
        <f>IF(F114="c004x   - Institutions",'Other financial Liabilities'!H108,IF(F114="c001x   - Households","CSL"&amp;IF(MONTH('Other financial Liabilities'!I108)=1,"JAN",IF(MONTH('Other financial Liabilities'!I108)=2,"FEV",IF(MONTH('Other financial Liabilities'!I108)=3,"MAR",IF(MONTH('Other financial Liabilities'!I108)=4,"ABR",IF(MONTH('Other financial Liabilities'!I108)=5,"MAI",IF(MONTH('Other financial Liabilities'!I108)=6,"JUN",IF(MONTH('Other financial Liabilities'!I108)=7,"JUL",IF(MONTH('Other financial Liabilities'!I108)=8,"AGO",IF(MONTH('Other financial Liabilities'!I108)=9,"SET",IF(MONTH('Other financial Liabilities'!I108)=10,"OUT",IF(MONTH('Other financial Liabilities'!I108)=11,"NOV",IF(MONTH('Other financial Liabilities'!I108)=12,"DEZ",""))))))))))))&amp;LEFT(YEAR('Other financial Liabilities'!I108),2),IF(F114="c008x   - Government, central banks &amp; supranationals","TL"&amp;IF(MONTH('Other financial Liabilities'!I108)=1,"JAN",IF(MONTH('Other financial Liabilities'!I108)=2,"FEV",IF(MONTH('Other financial Liabilities'!I108)=3,"MAR",IF(MONTH('Other financial Liabilities'!I108)=4,"ABR",IF(MONTH('Other financial Liabilities'!I108)=5,"MAI",IF(MONTH('Other financial Liabilities'!I108)=6,"JUN",IF(MONTH('Other financial Liabilities'!I108)=7,"JUL",IF(MONTH('Other financial Liabilities'!I108)=8,"AGO",IF(MONTH('Other financial Liabilities'!I108)=9,"SET",IF(MONTH('Other financial Liabilities'!I108)=10,"OUT",IF(MONTH('Other financial Liabilities'!I108)=11,"NOV",IF(MONTH('Other financial Liabilities'!I108)=12,"DEZ",""))))))))))))&amp;LEFT(YEAR('Other financial Liabilities'!I108),2),"")))</f>
        <v>WIZINK BANK S.A.U. - SUCURSAL EM PORTUGAL</v>
      </c>
      <c r="I114" s="14" t="str">
        <f>IF(F114="c004x   - Institutions",'Other financial Liabilities'!H108,IF(F114="c001x   - Households","Critical Service Liability "&amp;IF(MONTH('Other financial Liabilities'!I108)=1,"January ",IF(MONTH('Other financial Liabilities'!I108)=2,"February ",IF(MONTH('Other financial Liabilities'!I108)=3,"March ",IF(MONTH('Other financial Liabilities'!I108)=4, "April ",IF(MONTH('Other financial Liabilities'!I108)=5,"May ",IF(MONTH('Other financial Liabilities'!I108)=6,"June ",IF(MONTH('Other financial Liabilities'!I108)=7,"July ",IF(MONTH('Other financial Liabilities'!I108)=8,"August ",IF(MONTH('Other financial Liabilities'!I108)=9,"September ",IF(MONTH('Other financial Liabilities'!I108)=10,"October",  IF(MONTH('Other financial Liabilities'!I108)=11,"November ",IF(MONTH('Other financial Liabilities'!I108)=12,"December ",""))))))))))))&amp;YEAR('Other financial Liabilities'!I108),IF(F114="c008x   - Government, central banks &amp; supranationals","Tax Liability "&amp;IF(MONTH('Other financial Liabilities'!I108)=1,"January ",IF(MONTH('Other financial Liabilities'!I108)=2,"February ",IF(MONTH('Other financial Liabilities'!I108)=3,"March ",IF(MONTH('Other financial Liabilities'!I108)=4,"April ",IF(MONTH('Other financial Liabilities'!I108)=5,"May ",IF(MONTH('Other financial Liabilities'!I108)=6,"June ",IF(MONTH('Other financial Liabilities'!I108)=7,"July ",IF(MONTH('Other financial Liabilities'!I108)=8, "August ",  IF(MONTH('Other financial Liabilities'!I108)=9,"September ",IF(MONTH('Other financial Liabilities'!I108)=10,"October ",IF(MONTH('Other financial Liabilities'!I108)=11,"November ",IF(MONTH('Other financial Liabilities'!I108)=12,"December ",""))))))))))))&amp;YEAR('Other financial Liabilities'!I108),"")))</f>
        <v>WIZINK BANK S.A.U. - SUCURSAL EM PORTUGAL</v>
      </c>
      <c r="J114" s="14" t="str">
        <f>+IF(OR('Other financial Liabilities'!C108="",'Other financial Liabilities'!C108="#"),IF('Other financial Liabilities'!A108="",IF(F114="c001x   - Households","CSL"&amp;"001",IF(F114="c008x   - Government, central banks &amp; supranationals","TL"&amp;"001")),'Other financial Liabilities'!A108),'Other financial Liabilities'!C108)</f>
        <v>9000934918</v>
      </c>
      <c r="K114" s="14" t="str">
        <f>+IF(J114='Other financial Liabilities'!C108,"LEI code","Type of identifier, other than LEI or MFI code")</f>
        <v>Type of identifier, other than LEI or MFI code</v>
      </c>
      <c r="L114" s="14" t="s">
        <v>197</v>
      </c>
      <c r="M114" s="14" t="s">
        <v>198</v>
      </c>
      <c r="N114" s="14" t="s">
        <v>199</v>
      </c>
      <c r="O114" s="15">
        <v>9202747.5500000007</v>
      </c>
      <c r="P114" s="15">
        <f>IF('Other financial Liabilities'!E108="",0,'Other financial Liabilities'!E108)</f>
        <v>0</v>
      </c>
      <c r="Q114" s="14">
        <f>IF('Other financial Liabilities'!F108="",0,'Other financial Liabilities'!F108)</f>
        <v>0</v>
      </c>
      <c r="R114" s="14" t="s">
        <v>212</v>
      </c>
      <c r="S114" s="16" t="s">
        <v>250</v>
      </c>
      <c r="T114" s="16">
        <f t="shared" si="7"/>
        <v>44928</v>
      </c>
      <c r="U114" s="16">
        <f t="shared" si="8"/>
        <v>44928</v>
      </c>
      <c r="V114" s="14" t="s">
        <v>200</v>
      </c>
      <c r="W114" s="15">
        <v>0</v>
      </c>
      <c r="X114" s="15">
        <v>0</v>
      </c>
      <c r="Y114" s="15">
        <v>0</v>
      </c>
      <c r="Z114" s="14" t="s">
        <v>201</v>
      </c>
      <c r="AA114" s="15">
        <v>0</v>
      </c>
      <c r="AB114" s="14" t="s">
        <v>202</v>
      </c>
      <c r="AC114" s="17">
        <v>0</v>
      </c>
      <c r="AD114" s="20"/>
    </row>
    <row r="115" spans="3:30" ht="45.75" customHeight="1" thickBot="1" x14ac:dyDescent="0.5">
      <c r="C115" s="12">
        <f t="shared" si="5"/>
        <v>999</v>
      </c>
      <c r="D115" s="13">
        <f t="shared" si="9"/>
        <v>108</v>
      </c>
      <c r="E115" s="14" t="str">
        <f>IF(AND('Other financial Liabilities'!K109="",'Other financial Liabilities'!J109=1),"r0180 - Critical service liabilities (BRRD art. 44/2/g/ii)",IF(AND('Other financial Liabilities'!K109="",'Other financial Liabilities'!J109=2),"r0190 - Tax and social security authorities liabilities, if preferred (BRRD art. 44/2/g/iii)",'Other financial Liabilities'!K109))</f>
        <v>r0150 - Institution liabilities &lt; 7 days (BRRD art. 44/2/e)</v>
      </c>
      <c r="F115" s="14" t="str">
        <f>IF(OR('Other financial Liabilities'!G109="particulares",'Other financial Liabilities'!J109=1),"c001x   - Households",IF('Other financial Liabilities'!G109="outras empresas nao financeiras","c003x   - Corporates",IF('Other financial Liabilities'!G109="instituicoes de credito","c004x   - Institutions",IF('Other financial Liabilities'!G109="outras instituicoes financeiras","c005x   - Other financial corporations",IF(OR('Other financial Liabilities'!G109="setor publico",'Other financial Liabilities'!J109=2),"c008x   - Government, central banks &amp; supranationals","")))))</f>
        <v>c004x   - Institutions</v>
      </c>
      <c r="G115" s="14" t="str">
        <f t="shared" si="6"/>
        <v>Rank 9 - Ranking in insolvency (master scale)</v>
      </c>
      <c r="H115" s="14" t="str">
        <f>IF(F115="c004x   - Institutions",'Other financial Liabilities'!H109,IF(F115="c001x   - Households","CSL"&amp;IF(MONTH('Other financial Liabilities'!I109)=1,"JAN",IF(MONTH('Other financial Liabilities'!I109)=2,"FEV",IF(MONTH('Other financial Liabilities'!I109)=3,"MAR",IF(MONTH('Other financial Liabilities'!I109)=4,"ABR",IF(MONTH('Other financial Liabilities'!I109)=5,"MAI",IF(MONTH('Other financial Liabilities'!I109)=6,"JUN",IF(MONTH('Other financial Liabilities'!I109)=7,"JUL",IF(MONTH('Other financial Liabilities'!I109)=8,"AGO",IF(MONTH('Other financial Liabilities'!I109)=9,"SET",IF(MONTH('Other financial Liabilities'!I109)=10,"OUT",IF(MONTH('Other financial Liabilities'!I109)=11,"NOV",IF(MONTH('Other financial Liabilities'!I109)=12,"DEZ",""))))))))))))&amp;LEFT(YEAR('Other financial Liabilities'!I109),2),IF(F115="c008x   - Government, central banks &amp; supranationals","TL"&amp;IF(MONTH('Other financial Liabilities'!I109)=1,"JAN",IF(MONTH('Other financial Liabilities'!I109)=2,"FEV",IF(MONTH('Other financial Liabilities'!I109)=3,"MAR",IF(MONTH('Other financial Liabilities'!I109)=4,"ABR",IF(MONTH('Other financial Liabilities'!I109)=5,"MAI",IF(MONTH('Other financial Liabilities'!I109)=6,"JUN",IF(MONTH('Other financial Liabilities'!I109)=7,"JUL",IF(MONTH('Other financial Liabilities'!I109)=8,"AGO",IF(MONTH('Other financial Liabilities'!I109)=9,"SET",IF(MONTH('Other financial Liabilities'!I109)=10,"OUT",IF(MONTH('Other financial Liabilities'!I109)=11,"NOV",IF(MONTH('Other financial Liabilities'!I109)=12,"DEZ",""))))))))))))&amp;LEFT(YEAR('Other financial Liabilities'!I109),2),"")))</f>
        <v>BANK AUSTRIA AG</v>
      </c>
      <c r="I115" s="14" t="str">
        <f>IF(F115="c004x   - Institutions",'Other financial Liabilities'!H109,IF(F115="c001x   - Households","Critical Service Liability "&amp;IF(MONTH('Other financial Liabilities'!I109)=1,"January ",IF(MONTH('Other financial Liabilities'!I109)=2,"February ",IF(MONTH('Other financial Liabilities'!I109)=3,"March ",IF(MONTH('Other financial Liabilities'!I109)=4, "April ",IF(MONTH('Other financial Liabilities'!I109)=5,"May ",IF(MONTH('Other financial Liabilities'!I109)=6,"June ",IF(MONTH('Other financial Liabilities'!I109)=7,"July ",IF(MONTH('Other financial Liabilities'!I109)=8,"August ",IF(MONTH('Other financial Liabilities'!I109)=9,"September ",IF(MONTH('Other financial Liabilities'!I109)=10,"October",  IF(MONTH('Other financial Liabilities'!I109)=11,"November ",IF(MONTH('Other financial Liabilities'!I109)=12,"December ",""))))))))))))&amp;YEAR('Other financial Liabilities'!I109),IF(F115="c008x   - Government, central banks &amp; supranationals","Tax Liability "&amp;IF(MONTH('Other financial Liabilities'!I109)=1,"January ",IF(MONTH('Other financial Liabilities'!I109)=2,"February ",IF(MONTH('Other financial Liabilities'!I109)=3,"March ",IF(MONTH('Other financial Liabilities'!I109)=4,"April ",IF(MONTH('Other financial Liabilities'!I109)=5,"May ",IF(MONTH('Other financial Liabilities'!I109)=6,"June ",IF(MONTH('Other financial Liabilities'!I109)=7,"July ",IF(MONTH('Other financial Liabilities'!I109)=8, "August ",  IF(MONTH('Other financial Liabilities'!I109)=9,"September ",IF(MONTH('Other financial Liabilities'!I109)=10,"October ",IF(MONTH('Other financial Liabilities'!I109)=11,"November ",IF(MONTH('Other financial Liabilities'!I109)=12,"December ",""))))))))))))&amp;YEAR('Other financial Liabilities'!I109),"")))</f>
        <v>BANK AUSTRIA AG</v>
      </c>
      <c r="J115" s="14" t="str">
        <f>+IF(OR('Other financial Liabilities'!C109="",'Other financial Liabilities'!C109="#"),IF('Other financial Liabilities'!A109="",IF(F115="c001x   - Households","CSL"&amp;"001",IF(F115="c008x   - Government, central banks &amp; supranationals","TL"&amp;"001")),'Other financial Liabilities'!A109),'Other financial Liabilities'!C109)</f>
        <v>9000934956</v>
      </c>
      <c r="K115" s="14" t="str">
        <f>+IF(J115='Other financial Liabilities'!C109,"LEI code","Type of identifier, other than LEI or MFI code")</f>
        <v>Type of identifier, other than LEI or MFI code</v>
      </c>
      <c r="L115" s="14" t="s">
        <v>197</v>
      </c>
      <c r="M115" s="14" t="s">
        <v>198</v>
      </c>
      <c r="N115" s="14" t="s">
        <v>199</v>
      </c>
      <c r="O115" s="15">
        <v>307.24</v>
      </c>
      <c r="P115" s="15">
        <f>IF('Other financial Liabilities'!E109="",0,'Other financial Liabilities'!E109)</f>
        <v>0</v>
      </c>
      <c r="Q115" s="14">
        <f>IF('Other financial Liabilities'!F109="",0,'Other financial Liabilities'!F109)</f>
        <v>0</v>
      </c>
      <c r="R115" s="14" t="s">
        <v>212</v>
      </c>
      <c r="S115" s="16" t="s">
        <v>250</v>
      </c>
      <c r="T115" s="16">
        <f t="shared" si="7"/>
        <v>44928</v>
      </c>
      <c r="U115" s="16">
        <f t="shared" si="8"/>
        <v>44928</v>
      </c>
      <c r="V115" s="14" t="s">
        <v>200</v>
      </c>
      <c r="W115" s="15">
        <v>0</v>
      </c>
      <c r="X115" s="15">
        <v>0</v>
      </c>
      <c r="Y115" s="15">
        <v>0</v>
      </c>
      <c r="Z115" s="14" t="s">
        <v>201</v>
      </c>
      <c r="AA115" s="15">
        <v>0</v>
      </c>
      <c r="AB115" s="14" t="s">
        <v>202</v>
      </c>
      <c r="AC115" s="17">
        <v>0</v>
      </c>
      <c r="AD115" s="20"/>
    </row>
    <row r="116" spans="3:30" ht="45.75" customHeight="1" thickBot="1" x14ac:dyDescent="0.5">
      <c r="C116" s="12">
        <f t="shared" si="5"/>
        <v>999</v>
      </c>
      <c r="D116" s="13">
        <f t="shared" si="9"/>
        <v>109</v>
      </c>
      <c r="E116" s="14" t="str">
        <f>IF(AND('Other financial Liabilities'!K110="",'Other financial Liabilities'!J110=1),"r0180 - Critical service liabilities (BRRD art. 44/2/g/ii)",IF(AND('Other financial Liabilities'!K110="",'Other financial Liabilities'!J110=2),"r0190 - Tax and social security authorities liabilities, if preferred (BRRD art. 44/2/g/iii)",'Other financial Liabilities'!K110))</f>
        <v>r0150 - Institution liabilities &lt; 7 days (BRRD art. 44/2/e)</v>
      </c>
      <c r="F116" s="14" t="str">
        <f>IF(OR('Other financial Liabilities'!G110="particulares",'Other financial Liabilities'!J110=1),"c001x   - Households",IF('Other financial Liabilities'!G110="outras empresas nao financeiras","c003x   - Corporates",IF('Other financial Liabilities'!G110="instituicoes de credito","c004x   - Institutions",IF('Other financial Liabilities'!G110="outras instituicoes financeiras","c005x   - Other financial corporations",IF(OR('Other financial Liabilities'!G110="setor publico",'Other financial Liabilities'!J110=2),"c008x   - Government, central banks &amp; supranationals","")))))</f>
        <v>c004x   - Institutions</v>
      </c>
      <c r="G116" s="14" t="str">
        <f t="shared" si="6"/>
        <v>Rank 9 - Ranking in insolvency (master scale)</v>
      </c>
      <c r="H116" s="14" t="str">
        <f>IF(F116="c004x   - Institutions",'Other financial Liabilities'!H110,IF(F116="c001x   - Households","CSL"&amp;IF(MONTH('Other financial Liabilities'!I110)=1,"JAN",IF(MONTH('Other financial Liabilities'!I110)=2,"FEV",IF(MONTH('Other financial Liabilities'!I110)=3,"MAR",IF(MONTH('Other financial Liabilities'!I110)=4,"ABR",IF(MONTH('Other financial Liabilities'!I110)=5,"MAI",IF(MONTH('Other financial Liabilities'!I110)=6,"JUN",IF(MONTH('Other financial Liabilities'!I110)=7,"JUL",IF(MONTH('Other financial Liabilities'!I110)=8,"AGO",IF(MONTH('Other financial Liabilities'!I110)=9,"SET",IF(MONTH('Other financial Liabilities'!I110)=10,"OUT",IF(MONTH('Other financial Liabilities'!I110)=11,"NOV",IF(MONTH('Other financial Liabilities'!I110)=12,"DEZ",""))))))))))))&amp;LEFT(YEAR('Other financial Liabilities'!I110),2),IF(F116="c008x   - Government, central banks &amp; supranationals","TL"&amp;IF(MONTH('Other financial Liabilities'!I110)=1,"JAN",IF(MONTH('Other financial Liabilities'!I110)=2,"FEV",IF(MONTH('Other financial Liabilities'!I110)=3,"MAR",IF(MONTH('Other financial Liabilities'!I110)=4,"ABR",IF(MONTH('Other financial Liabilities'!I110)=5,"MAI",IF(MONTH('Other financial Liabilities'!I110)=6,"JUN",IF(MONTH('Other financial Liabilities'!I110)=7,"JUL",IF(MONTH('Other financial Liabilities'!I110)=8,"AGO",IF(MONTH('Other financial Liabilities'!I110)=9,"SET",IF(MONTH('Other financial Liabilities'!I110)=10,"OUT",IF(MONTH('Other financial Liabilities'!I110)=11,"NOV",IF(MONTH('Other financial Liabilities'!I110)=12,"DEZ",""))))))))))))&amp;LEFT(YEAR('Other financial Liabilities'!I110),2),"")))</f>
        <v>DEUTSCHE BK TRUST CO AMERICAS</v>
      </c>
      <c r="I116" s="14" t="str">
        <f>IF(F116="c004x   - Institutions",'Other financial Liabilities'!H110,IF(F116="c001x   - Households","Critical Service Liability "&amp;IF(MONTH('Other financial Liabilities'!I110)=1,"January ",IF(MONTH('Other financial Liabilities'!I110)=2,"February ",IF(MONTH('Other financial Liabilities'!I110)=3,"March ",IF(MONTH('Other financial Liabilities'!I110)=4, "April ",IF(MONTH('Other financial Liabilities'!I110)=5,"May ",IF(MONTH('Other financial Liabilities'!I110)=6,"June ",IF(MONTH('Other financial Liabilities'!I110)=7,"July ",IF(MONTH('Other financial Liabilities'!I110)=8,"August ",IF(MONTH('Other financial Liabilities'!I110)=9,"September ",IF(MONTH('Other financial Liabilities'!I110)=10,"October",  IF(MONTH('Other financial Liabilities'!I110)=11,"November ",IF(MONTH('Other financial Liabilities'!I110)=12,"December ",""))))))))))))&amp;YEAR('Other financial Liabilities'!I110),IF(F116="c008x   - Government, central banks &amp; supranationals","Tax Liability "&amp;IF(MONTH('Other financial Liabilities'!I110)=1,"January ",IF(MONTH('Other financial Liabilities'!I110)=2,"February ",IF(MONTH('Other financial Liabilities'!I110)=3,"March ",IF(MONTH('Other financial Liabilities'!I110)=4,"April ",IF(MONTH('Other financial Liabilities'!I110)=5,"May ",IF(MONTH('Other financial Liabilities'!I110)=6,"June ",IF(MONTH('Other financial Liabilities'!I110)=7,"July ",IF(MONTH('Other financial Liabilities'!I110)=8, "August ",  IF(MONTH('Other financial Liabilities'!I110)=9,"September ",IF(MONTH('Other financial Liabilities'!I110)=10,"October ",IF(MONTH('Other financial Liabilities'!I110)=11,"November ",IF(MONTH('Other financial Liabilities'!I110)=12,"December ",""))))))))))))&amp;YEAR('Other financial Liabilities'!I110),"")))</f>
        <v>DEUTSCHE BK TRUST CO AMERICAS</v>
      </c>
      <c r="J116" s="14" t="str">
        <f>+IF(OR('Other financial Liabilities'!C110="",'Other financial Liabilities'!C110="#"),IF('Other financial Liabilities'!A110="",IF(F116="c001x   - Households","CSL"&amp;"001",IF(F116="c008x   - Government, central banks &amp; supranationals","TL"&amp;"001")),'Other financial Liabilities'!A110),'Other financial Liabilities'!C110)</f>
        <v>9001034502</v>
      </c>
      <c r="K116" s="14" t="str">
        <f>+IF(J116='Other financial Liabilities'!C110,"LEI code","Type of identifier, other than LEI or MFI code")</f>
        <v>Type of identifier, other than LEI or MFI code</v>
      </c>
      <c r="L116" s="14" t="s">
        <v>197</v>
      </c>
      <c r="M116" s="14" t="s">
        <v>198</v>
      </c>
      <c r="N116" s="14" t="s">
        <v>199</v>
      </c>
      <c r="O116" s="15">
        <v>12084516.470000001</v>
      </c>
      <c r="P116" s="15">
        <f>IF('Other financial Liabilities'!E110="",0,'Other financial Liabilities'!E110)</f>
        <v>0</v>
      </c>
      <c r="Q116" s="14">
        <f>IF('Other financial Liabilities'!F110="",0,'Other financial Liabilities'!F110)</f>
        <v>0</v>
      </c>
      <c r="R116" s="14" t="s">
        <v>211</v>
      </c>
      <c r="S116" s="16" t="s">
        <v>250</v>
      </c>
      <c r="T116" s="16">
        <f t="shared" si="7"/>
        <v>44928</v>
      </c>
      <c r="U116" s="16">
        <f t="shared" si="8"/>
        <v>44928</v>
      </c>
      <c r="V116" s="14" t="s">
        <v>200</v>
      </c>
      <c r="W116" s="15">
        <v>0</v>
      </c>
      <c r="X116" s="15">
        <v>0</v>
      </c>
      <c r="Y116" s="15">
        <v>0</v>
      </c>
      <c r="Z116" s="14" t="s">
        <v>201</v>
      </c>
      <c r="AA116" s="15">
        <v>0</v>
      </c>
      <c r="AB116" s="14" t="s">
        <v>202</v>
      </c>
      <c r="AC116" s="17">
        <v>0</v>
      </c>
      <c r="AD116" s="20"/>
    </row>
    <row r="117" spans="3:30" ht="45.75" customHeight="1" thickBot="1" x14ac:dyDescent="0.5">
      <c r="C117" s="12">
        <f t="shared" si="5"/>
        <v>999</v>
      </c>
      <c r="D117" s="13">
        <f t="shared" si="9"/>
        <v>110</v>
      </c>
      <c r="E117" s="14" t="str">
        <f>IF(AND('Other financial Liabilities'!K111="",'Other financial Liabilities'!J111=1),"r0180 - Critical service liabilities (BRRD art. 44/2/g/ii)",IF(AND('Other financial Liabilities'!K111="",'Other financial Liabilities'!J111=2),"r0190 - Tax and social security authorities liabilities, if preferred (BRRD art. 44/2/g/iii)",'Other financial Liabilities'!K111))</f>
        <v>r0150 - Institution liabilities &lt; 7 days (BRRD art. 44/2/e)</v>
      </c>
      <c r="F117" s="14" t="str">
        <f>IF(OR('Other financial Liabilities'!G111="particulares",'Other financial Liabilities'!J111=1),"c001x   - Households",IF('Other financial Liabilities'!G111="outras empresas nao financeiras","c003x   - Corporates",IF('Other financial Liabilities'!G111="instituicoes de credito","c004x   - Institutions",IF('Other financial Liabilities'!G111="outras instituicoes financeiras","c005x   - Other financial corporations",IF(OR('Other financial Liabilities'!G111="setor publico",'Other financial Liabilities'!J111=2),"c008x   - Government, central banks &amp; supranationals","")))))</f>
        <v>c004x   - Institutions</v>
      </c>
      <c r="G117" s="14" t="str">
        <f t="shared" si="6"/>
        <v>Rank 9 - Ranking in insolvency (master scale)</v>
      </c>
      <c r="H117" s="14" t="str">
        <f>IF(F117="c004x   - Institutions",'Other financial Liabilities'!H111,IF(F117="c001x   - Households","CSL"&amp;IF(MONTH('Other financial Liabilities'!I111)=1,"JAN",IF(MONTH('Other financial Liabilities'!I111)=2,"FEV",IF(MONTH('Other financial Liabilities'!I111)=3,"MAR",IF(MONTH('Other financial Liabilities'!I111)=4,"ABR",IF(MONTH('Other financial Liabilities'!I111)=5,"MAI",IF(MONTH('Other financial Liabilities'!I111)=6,"JUN",IF(MONTH('Other financial Liabilities'!I111)=7,"JUL",IF(MONTH('Other financial Liabilities'!I111)=8,"AGO",IF(MONTH('Other financial Liabilities'!I111)=9,"SET",IF(MONTH('Other financial Liabilities'!I111)=10,"OUT",IF(MONTH('Other financial Liabilities'!I111)=11,"NOV",IF(MONTH('Other financial Liabilities'!I111)=12,"DEZ",""))))))))))))&amp;LEFT(YEAR('Other financial Liabilities'!I111),2),IF(F117="c008x   - Government, central banks &amp; supranationals","TL"&amp;IF(MONTH('Other financial Liabilities'!I111)=1,"JAN",IF(MONTH('Other financial Liabilities'!I111)=2,"FEV",IF(MONTH('Other financial Liabilities'!I111)=3,"MAR",IF(MONTH('Other financial Liabilities'!I111)=4,"ABR",IF(MONTH('Other financial Liabilities'!I111)=5,"MAI",IF(MONTH('Other financial Liabilities'!I111)=6,"JUN",IF(MONTH('Other financial Liabilities'!I111)=7,"JUL",IF(MONTH('Other financial Liabilities'!I111)=8,"AGO",IF(MONTH('Other financial Liabilities'!I111)=9,"SET",IF(MONTH('Other financial Liabilities'!I111)=10,"OUT",IF(MONTH('Other financial Liabilities'!I111)=11,"NOV",IF(MONTH('Other financial Liabilities'!I111)=12,"DEZ",""))))))))))))&amp;LEFT(YEAR('Other financial Liabilities'!I111),2),"")))</f>
        <v>CESKOSLOVENSKA OBCHODNI BANKA .</v>
      </c>
      <c r="I117" s="14" t="str">
        <f>IF(F117="c004x   - Institutions",'Other financial Liabilities'!H111,IF(F117="c001x   - Households","Critical Service Liability "&amp;IF(MONTH('Other financial Liabilities'!I111)=1,"January ",IF(MONTH('Other financial Liabilities'!I111)=2,"February ",IF(MONTH('Other financial Liabilities'!I111)=3,"March ",IF(MONTH('Other financial Liabilities'!I111)=4, "April ",IF(MONTH('Other financial Liabilities'!I111)=5,"May ",IF(MONTH('Other financial Liabilities'!I111)=6,"June ",IF(MONTH('Other financial Liabilities'!I111)=7,"July ",IF(MONTH('Other financial Liabilities'!I111)=8,"August ",IF(MONTH('Other financial Liabilities'!I111)=9,"September ",IF(MONTH('Other financial Liabilities'!I111)=10,"October",  IF(MONTH('Other financial Liabilities'!I111)=11,"November ",IF(MONTH('Other financial Liabilities'!I111)=12,"December ",""))))))))))))&amp;YEAR('Other financial Liabilities'!I111),IF(F117="c008x   - Government, central banks &amp; supranationals","Tax Liability "&amp;IF(MONTH('Other financial Liabilities'!I111)=1,"January ",IF(MONTH('Other financial Liabilities'!I111)=2,"February ",IF(MONTH('Other financial Liabilities'!I111)=3,"March ",IF(MONTH('Other financial Liabilities'!I111)=4,"April ",IF(MONTH('Other financial Liabilities'!I111)=5,"May ",IF(MONTH('Other financial Liabilities'!I111)=6,"June ",IF(MONTH('Other financial Liabilities'!I111)=7,"July ",IF(MONTH('Other financial Liabilities'!I111)=8, "August ",  IF(MONTH('Other financial Liabilities'!I111)=9,"September ",IF(MONTH('Other financial Liabilities'!I111)=10,"October ",IF(MONTH('Other financial Liabilities'!I111)=11,"November ",IF(MONTH('Other financial Liabilities'!I111)=12,"December ",""))))))))))))&amp;YEAR('Other financial Liabilities'!I111),"")))</f>
        <v>CESKOSLOVENSKA OBCHODNI BANKA .</v>
      </c>
      <c r="J117" s="14" t="str">
        <f>+IF(OR('Other financial Liabilities'!C111="",'Other financial Liabilities'!C111="#"),IF('Other financial Liabilities'!A111="",IF(F117="c001x   - Households","CSL"&amp;"001",IF(F117="c008x   - Government, central banks &amp; supranationals","TL"&amp;"001")),'Other financial Liabilities'!A111),'Other financial Liabilities'!C111)</f>
        <v>9001071563</v>
      </c>
      <c r="K117" s="14" t="str">
        <f>+IF(J117='Other financial Liabilities'!C111,"LEI code","Type of identifier, other than LEI or MFI code")</f>
        <v>Type of identifier, other than LEI or MFI code</v>
      </c>
      <c r="L117" s="14" t="s">
        <v>197</v>
      </c>
      <c r="M117" s="14" t="s">
        <v>198</v>
      </c>
      <c r="N117" s="14" t="s">
        <v>199</v>
      </c>
      <c r="O117" s="15">
        <v>701.91</v>
      </c>
      <c r="P117" s="15">
        <f>IF('Other financial Liabilities'!E111="",0,'Other financial Liabilities'!E111)</f>
        <v>0</v>
      </c>
      <c r="Q117" s="14">
        <f>IF('Other financial Liabilities'!F111="",0,'Other financial Liabilities'!F111)</f>
        <v>0</v>
      </c>
      <c r="R117" s="14" t="s">
        <v>285</v>
      </c>
      <c r="S117" s="16" t="s">
        <v>250</v>
      </c>
      <c r="T117" s="16">
        <f t="shared" si="7"/>
        <v>44928</v>
      </c>
      <c r="U117" s="16">
        <f t="shared" si="8"/>
        <v>44928</v>
      </c>
      <c r="V117" s="14" t="s">
        <v>200</v>
      </c>
      <c r="W117" s="15">
        <v>0</v>
      </c>
      <c r="X117" s="15">
        <v>0</v>
      </c>
      <c r="Y117" s="15">
        <v>0</v>
      </c>
      <c r="Z117" s="14" t="s">
        <v>201</v>
      </c>
      <c r="AA117" s="15">
        <v>0</v>
      </c>
      <c r="AB117" s="14" t="s">
        <v>202</v>
      </c>
      <c r="AC117" s="17">
        <v>0</v>
      </c>
      <c r="AD117" s="20"/>
    </row>
    <row r="118" spans="3:30" ht="45.75" customHeight="1" thickBot="1" x14ac:dyDescent="0.5">
      <c r="C118" s="12">
        <f t="shared" si="5"/>
        <v>999</v>
      </c>
      <c r="D118" s="13">
        <f t="shared" si="9"/>
        <v>111</v>
      </c>
      <c r="E118" s="14" t="str">
        <f>IF(AND('Other financial Liabilities'!K112="",'Other financial Liabilities'!J112=1),"r0180 - Critical service liabilities (BRRD art. 44/2/g/ii)",IF(AND('Other financial Liabilities'!K112="",'Other financial Liabilities'!J112=2),"r0190 - Tax and social security authorities liabilities, if preferred (BRRD art. 44/2/g/iii)",'Other financial Liabilities'!K112))</f>
        <v>r0150 - Institution liabilities &lt; 7 days (BRRD art. 44/2/e)</v>
      </c>
      <c r="F118" s="14" t="str">
        <f>IF(OR('Other financial Liabilities'!G112="particulares",'Other financial Liabilities'!J112=1),"c001x   - Households",IF('Other financial Liabilities'!G112="outras empresas nao financeiras","c003x   - Corporates",IF('Other financial Liabilities'!G112="instituicoes de credito","c004x   - Institutions",IF('Other financial Liabilities'!G112="outras instituicoes financeiras","c005x   - Other financial corporations",IF(OR('Other financial Liabilities'!G112="setor publico",'Other financial Liabilities'!J112=2),"c008x   - Government, central banks &amp; supranationals","")))))</f>
        <v>c004x   - Institutions</v>
      </c>
      <c r="G118" s="14" t="str">
        <f t="shared" si="6"/>
        <v>Rank 9 - Ranking in insolvency (master scale)</v>
      </c>
      <c r="H118" s="14" t="str">
        <f>IF(F118="c004x   - Institutions",'Other financial Liabilities'!H112,IF(F118="c001x   - Households","CSL"&amp;IF(MONTH('Other financial Liabilities'!I112)=1,"JAN",IF(MONTH('Other financial Liabilities'!I112)=2,"FEV",IF(MONTH('Other financial Liabilities'!I112)=3,"MAR",IF(MONTH('Other financial Liabilities'!I112)=4,"ABR",IF(MONTH('Other financial Liabilities'!I112)=5,"MAI",IF(MONTH('Other financial Liabilities'!I112)=6,"JUN",IF(MONTH('Other financial Liabilities'!I112)=7,"JUL",IF(MONTH('Other financial Liabilities'!I112)=8,"AGO",IF(MONTH('Other financial Liabilities'!I112)=9,"SET",IF(MONTH('Other financial Liabilities'!I112)=10,"OUT",IF(MONTH('Other financial Liabilities'!I112)=11,"NOV",IF(MONTH('Other financial Liabilities'!I112)=12,"DEZ",""))))))))))))&amp;LEFT(YEAR('Other financial Liabilities'!I112),2),IF(F118="c008x   - Government, central banks &amp; supranationals","TL"&amp;IF(MONTH('Other financial Liabilities'!I112)=1,"JAN",IF(MONTH('Other financial Liabilities'!I112)=2,"FEV",IF(MONTH('Other financial Liabilities'!I112)=3,"MAR",IF(MONTH('Other financial Liabilities'!I112)=4,"ABR",IF(MONTH('Other financial Liabilities'!I112)=5,"MAI",IF(MONTH('Other financial Liabilities'!I112)=6,"JUN",IF(MONTH('Other financial Liabilities'!I112)=7,"JUL",IF(MONTH('Other financial Liabilities'!I112)=8,"AGO",IF(MONTH('Other financial Liabilities'!I112)=9,"SET",IF(MONTH('Other financial Liabilities'!I112)=10,"OUT",IF(MONTH('Other financial Liabilities'!I112)=11,"NOV",IF(MONTH('Other financial Liabilities'!I112)=12,"DEZ",""))))))))))))&amp;LEFT(YEAR('Other financial Liabilities'!I112),2),"")))</f>
        <v>BANCO INVEST, S.A.</v>
      </c>
      <c r="I118" s="14" t="str">
        <f>IF(F118="c004x   - Institutions",'Other financial Liabilities'!H112,IF(F118="c001x   - Households","Critical Service Liability "&amp;IF(MONTH('Other financial Liabilities'!I112)=1,"January ",IF(MONTH('Other financial Liabilities'!I112)=2,"February ",IF(MONTH('Other financial Liabilities'!I112)=3,"March ",IF(MONTH('Other financial Liabilities'!I112)=4, "April ",IF(MONTH('Other financial Liabilities'!I112)=5,"May ",IF(MONTH('Other financial Liabilities'!I112)=6,"June ",IF(MONTH('Other financial Liabilities'!I112)=7,"July ",IF(MONTH('Other financial Liabilities'!I112)=8,"August ",IF(MONTH('Other financial Liabilities'!I112)=9,"September ",IF(MONTH('Other financial Liabilities'!I112)=10,"October",  IF(MONTH('Other financial Liabilities'!I112)=11,"November ",IF(MONTH('Other financial Liabilities'!I112)=12,"December ",""))))))))))))&amp;YEAR('Other financial Liabilities'!I112),IF(F118="c008x   - Government, central banks &amp; supranationals","Tax Liability "&amp;IF(MONTH('Other financial Liabilities'!I112)=1,"January ",IF(MONTH('Other financial Liabilities'!I112)=2,"February ",IF(MONTH('Other financial Liabilities'!I112)=3,"March ",IF(MONTH('Other financial Liabilities'!I112)=4,"April ",IF(MONTH('Other financial Liabilities'!I112)=5,"May ",IF(MONTH('Other financial Liabilities'!I112)=6,"June ",IF(MONTH('Other financial Liabilities'!I112)=7,"July ",IF(MONTH('Other financial Liabilities'!I112)=8, "August ",  IF(MONTH('Other financial Liabilities'!I112)=9,"September ",IF(MONTH('Other financial Liabilities'!I112)=10,"October ",IF(MONTH('Other financial Liabilities'!I112)=11,"November ",IF(MONTH('Other financial Liabilities'!I112)=12,"December ",""))))))))))))&amp;YEAR('Other financial Liabilities'!I112),"")))</f>
        <v>BANCO INVEST, S.A.</v>
      </c>
      <c r="J118" s="14" t="str">
        <f>+IF(OR('Other financial Liabilities'!C112="",'Other financial Liabilities'!C112="#"),IF('Other financial Liabilities'!A112="",IF(F118="c001x   - Households","CSL"&amp;"001",IF(F118="c008x   - Government, central banks &amp; supranationals","TL"&amp;"001")),'Other financial Liabilities'!A112),'Other financial Liabilities'!C112)</f>
        <v>9002006754</v>
      </c>
      <c r="K118" s="14" t="str">
        <f>+IF(J118='Other financial Liabilities'!C112,"LEI code","Type of identifier, other than LEI or MFI code")</f>
        <v>Type of identifier, other than LEI or MFI code</v>
      </c>
      <c r="L118" s="14" t="s">
        <v>197</v>
      </c>
      <c r="M118" s="14" t="s">
        <v>198</v>
      </c>
      <c r="N118" s="14" t="s">
        <v>199</v>
      </c>
      <c r="O118" s="15">
        <v>2990.92</v>
      </c>
      <c r="P118" s="15">
        <f>IF('Other financial Liabilities'!E112="",0,'Other financial Liabilities'!E112)</f>
        <v>0</v>
      </c>
      <c r="Q118" s="14">
        <f>IF('Other financial Liabilities'!F112="",0,'Other financial Liabilities'!F112)</f>
        <v>0</v>
      </c>
      <c r="R118" s="14" t="s">
        <v>211</v>
      </c>
      <c r="S118" s="16" t="s">
        <v>250</v>
      </c>
      <c r="T118" s="16">
        <f t="shared" si="7"/>
        <v>44928</v>
      </c>
      <c r="U118" s="16">
        <f t="shared" si="8"/>
        <v>44928</v>
      </c>
      <c r="V118" s="14" t="s">
        <v>200</v>
      </c>
      <c r="W118" s="15">
        <v>0</v>
      </c>
      <c r="X118" s="15">
        <v>0</v>
      </c>
      <c r="Y118" s="15">
        <v>0</v>
      </c>
      <c r="Z118" s="14" t="s">
        <v>201</v>
      </c>
      <c r="AA118" s="15">
        <v>0</v>
      </c>
      <c r="AB118" s="14" t="s">
        <v>202</v>
      </c>
      <c r="AC118" s="17">
        <v>0</v>
      </c>
      <c r="AD118" s="20"/>
    </row>
    <row r="119" spans="3:30" ht="45.75" customHeight="1" thickBot="1" x14ac:dyDescent="0.5">
      <c r="C119" s="12">
        <f t="shared" si="5"/>
        <v>999</v>
      </c>
      <c r="D119" s="13">
        <f t="shared" si="9"/>
        <v>112</v>
      </c>
      <c r="E119" s="14" t="str">
        <f>IF(AND('Other financial Liabilities'!K113="",'Other financial Liabilities'!J113=1),"r0180 - Critical service liabilities (BRRD art. 44/2/g/ii)",IF(AND('Other financial Liabilities'!K113="",'Other financial Liabilities'!J113=2),"r0190 - Tax and social security authorities liabilities, if preferred (BRRD art. 44/2/g/iii)",'Other financial Liabilities'!K113))</f>
        <v>r0150 - Institution liabilities &lt; 7 days (BRRD art. 44/2/e)</v>
      </c>
      <c r="F119" s="14" t="str">
        <f>IF(OR('Other financial Liabilities'!G113="particulares",'Other financial Liabilities'!J113=1),"c001x   - Households",IF('Other financial Liabilities'!G113="outras empresas nao financeiras","c003x   - Corporates",IF('Other financial Liabilities'!G113="instituicoes de credito","c004x   - Institutions",IF('Other financial Liabilities'!G113="outras instituicoes financeiras","c005x   - Other financial corporations",IF(OR('Other financial Liabilities'!G113="setor publico",'Other financial Liabilities'!J113=2),"c008x   - Government, central banks &amp; supranationals","")))))</f>
        <v>c004x   - Institutions</v>
      </c>
      <c r="G119" s="14" t="str">
        <f t="shared" si="6"/>
        <v>Rank 9 - Ranking in insolvency (master scale)</v>
      </c>
      <c r="H119" s="14" t="str">
        <f>IF(F119="c004x   - Institutions",'Other financial Liabilities'!H113,IF(F119="c001x   - Households","CSL"&amp;IF(MONTH('Other financial Liabilities'!I113)=1,"JAN",IF(MONTH('Other financial Liabilities'!I113)=2,"FEV",IF(MONTH('Other financial Liabilities'!I113)=3,"MAR",IF(MONTH('Other financial Liabilities'!I113)=4,"ABR",IF(MONTH('Other financial Liabilities'!I113)=5,"MAI",IF(MONTH('Other financial Liabilities'!I113)=6,"JUN",IF(MONTH('Other financial Liabilities'!I113)=7,"JUL",IF(MONTH('Other financial Liabilities'!I113)=8,"AGO",IF(MONTH('Other financial Liabilities'!I113)=9,"SET",IF(MONTH('Other financial Liabilities'!I113)=10,"OUT",IF(MONTH('Other financial Liabilities'!I113)=11,"NOV",IF(MONTH('Other financial Liabilities'!I113)=12,"DEZ",""))))))))))))&amp;LEFT(YEAR('Other financial Liabilities'!I113),2),IF(F119="c008x   - Government, central banks &amp; supranationals","TL"&amp;IF(MONTH('Other financial Liabilities'!I113)=1,"JAN",IF(MONTH('Other financial Liabilities'!I113)=2,"FEV",IF(MONTH('Other financial Liabilities'!I113)=3,"MAR",IF(MONTH('Other financial Liabilities'!I113)=4,"ABR",IF(MONTH('Other financial Liabilities'!I113)=5,"MAI",IF(MONTH('Other financial Liabilities'!I113)=6,"JUN",IF(MONTH('Other financial Liabilities'!I113)=7,"JUL",IF(MONTH('Other financial Liabilities'!I113)=8,"AGO",IF(MONTH('Other financial Liabilities'!I113)=9,"SET",IF(MONTH('Other financial Liabilities'!I113)=10,"OUT",IF(MONTH('Other financial Liabilities'!I113)=11,"NOV",IF(MONTH('Other financial Liabilities'!I113)=12,"DEZ",""))))))))))))&amp;LEFT(YEAR('Other financial Liabilities'!I113),2),"")))</f>
        <v>BANCO INVEST, S.A.</v>
      </c>
      <c r="I119" s="14" t="str">
        <f>IF(F119="c004x   - Institutions",'Other financial Liabilities'!H113,IF(F119="c001x   - Households","Critical Service Liability "&amp;IF(MONTH('Other financial Liabilities'!I113)=1,"January ",IF(MONTH('Other financial Liabilities'!I113)=2,"February ",IF(MONTH('Other financial Liabilities'!I113)=3,"March ",IF(MONTH('Other financial Liabilities'!I113)=4, "April ",IF(MONTH('Other financial Liabilities'!I113)=5,"May ",IF(MONTH('Other financial Liabilities'!I113)=6,"June ",IF(MONTH('Other financial Liabilities'!I113)=7,"July ",IF(MONTH('Other financial Liabilities'!I113)=8,"August ",IF(MONTH('Other financial Liabilities'!I113)=9,"September ",IF(MONTH('Other financial Liabilities'!I113)=10,"October",  IF(MONTH('Other financial Liabilities'!I113)=11,"November ",IF(MONTH('Other financial Liabilities'!I113)=12,"December ",""))))))))))))&amp;YEAR('Other financial Liabilities'!I113),IF(F119="c008x   - Government, central banks &amp; supranationals","Tax Liability "&amp;IF(MONTH('Other financial Liabilities'!I113)=1,"January ",IF(MONTH('Other financial Liabilities'!I113)=2,"February ",IF(MONTH('Other financial Liabilities'!I113)=3,"March ",IF(MONTH('Other financial Liabilities'!I113)=4,"April ",IF(MONTH('Other financial Liabilities'!I113)=5,"May ",IF(MONTH('Other financial Liabilities'!I113)=6,"June ",IF(MONTH('Other financial Liabilities'!I113)=7,"July ",IF(MONTH('Other financial Liabilities'!I113)=8, "August ",  IF(MONTH('Other financial Liabilities'!I113)=9,"September ",IF(MONTH('Other financial Liabilities'!I113)=10,"October ",IF(MONTH('Other financial Liabilities'!I113)=11,"November ",IF(MONTH('Other financial Liabilities'!I113)=12,"December ",""))))))))))))&amp;YEAR('Other financial Liabilities'!I113),"")))</f>
        <v>BANCO INVEST, S.A.</v>
      </c>
      <c r="J119" s="14" t="str">
        <f>+IF(OR('Other financial Liabilities'!C113="",'Other financial Liabilities'!C113="#"),IF('Other financial Liabilities'!A113="",IF(F119="c001x   - Households","CSL"&amp;"001",IF(F119="c008x   - Government, central banks &amp; supranationals","TL"&amp;"001")),'Other financial Liabilities'!A113),'Other financial Liabilities'!C113)</f>
        <v>9002006754</v>
      </c>
      <c r="K119" s="14" t="str">
        <f>+IF(J119='Other financial Liabilities'!C113,"LEI code","Type of identifier, other than LEI or MFI code")</f>
        <v>Type of identifier, other than LEI or MFI code</v>
      </c>
      <c r="L119" s="14" t="s">
        <v>197</v>
      </c>
      <c r="M119" s="14" t="s">
        <v>198</v>
      </c>
      <c r="N119" s="14" t="s">
        <v>199</v>
      </c>
      <c r="O119" s="15">
        <v>0.01</v>
      </c>
      <c r="P119" s="15">
        <f>IF('Other financial Liabilities'!E113="",0,'Other financial Liabilities'!E113)</f>
        <v>0</v>
      </c>
      <c r="Q119" s="14">
        <f>IF('Other financial Liabilities'!F113="",0,'Other financial Liabilities'!F113)</f>
        <v>0</v>
      </c>
      <c r="R119" s="14" t="s">
        <v>210</v>
      </c>
      <c r="S119" s="16" t="s">
        <v>250</v>
      </c>
      <c r="T119" s="16">
        <f t="shared" si="7"/>
        <v>44928</v>
      </c>
      <c r="U119" s="16">
        <f t="shared" si="8"/>
        <v>44928</v>
      </c>
      <c r="V119" s="14" t="s">
        <v>200</v>
      </c>
      <c r="W119" s="15">
        <v>0</v>
      </c>
      <c r="X119" s="15">
        <v>0</v>
      </c>
      <c r="Y119" s="15">
        <v>0</v>
      </c>
      <c r="Z119" s="14" t="s">
        <v>201</v>
      </c>
      <c r="AA119" s="15">
        <v>0</v>
      </c>
      <c r="AB119" s="14" t="s">
        <v>202</v>
      </c>
      <c r="AC119" s="17">
        <v>0</v>
      </c>
      <c r="AD119" s="20"/>
    </row>
    <row r="120" spans="3:30" ht="45.75" customHeight="1" thickBot="1" x14ac:dyDescent="0.5">
      <c r="C120" s="12">
        <f t="shared" si="5"/>
        <v>999</v>
      </c>
      <c r="D120" s="13">
        <f t="shared" si="9"/>
        <v>113</v>
      </c>
      <c r="E120" s="14" t="str">
        <f>IF(AND('Other financial Liabilities'!K114="",'Other financial Liabilities'!J114=1),"r0180 - Critical service liabilities (BRRD art. 44/2/g/ii)",IF(AND('Other financial Liabilities'!K114="",'Other financial Liabilities'!J114=2),"r0190 - Tax and social security authorities liabilities, if preferred (BRRD art. 44/2/g/iii)",'Other financial Liabilities'!K114))</f>
        <v>r0150 - Institution liabilities &lt; 7 days (BRRD art. 44/2/e)</v>
      </c>
      <c r="F120" s="14" t="str">
        <f>IF(OR('Other financial Liabilities'!G114="particulares",'Other financial Liabilities'!J114=1),"c001x   - Households",IF('Other financial Liabilities'!G114="outras empresas nao financeiras","c003x   - Corporates",IF('Other financial Liabilities'!G114="instituicoes de credito","c004x   - Institutions",IF('Other financial Liabilities'!G114="outras instituicoes financeiras","c005x   - Other financial corporations",IF(OR('Other financial Liabilities'!G114="setor publico",'Other financial Liabilities'!J114=2),"c008x   - Government, central banks &amp; supranationals","")))))</f>
        <v>c004x   - Institutions</v>
      </c>
      <c r="G120" s="14" t="str">
        <f t="shared" si="6"/>
        <v>Rank 9 - Ranking in insolvency (master scale)</v>
      </c>
      <c r="H120" s="14" t="str">
        <f>IF(F120="c004x   - Institutions",'Other financial Liabilities'!H114,IF(F120="c001x   - Households","CSL"&amp;IF(MONTH('Other financial Liabilities'!I114)=1,"JAN",IF(MONTH('Other financial Liabilities'!I114)=2,"FEV",IF(MONTH('Other financial Liabilities'!I114)=3,"MAR",IF(MONTH('Other financial Liabilities'!I114)=4,"ABR",IF(MONTH('Other financial Liabilities'!I114)=5,"MAI",IF(MONTH('Other financial Liabilities'!I114)=6,"JUN",IF(MONTH('Other financial Liabilities'!I114)=7,"JUL",IF(MONTH('Other financial Liabilities'!I114)=8,"AGO",IF(MONTH('Other financial Liabilities'!I114)=9,"SET",IF(MONTH('Other financial Liabilities'!I114)=10,"OUT",IF(MONTH('Other financial Liabilities'!I114)=11,"NOV",IF(MONTH('Other financial Liabilities'!I114)=12,"DEZ",""))))))))))))&amp;LEFT(YEAR('Other financial Liabilities'!I114),2),IF(F120="c008x   - Government, central banks &amp; supranationals","TL"&amp;IF(MONTH('Other financial Liabilities'!I114)=1,"JAN",IF(MONTH('Other financial Liabilities'!I114)=2,"FEV",IF(MONTH('Other financial Liabilities'!I114)=3,"MAR",IF(MONTH('Other financial Liabilities'!I114)=4,"ABR",IF(MONTH('Other financial Liabilities'!I114)=5,"MAI",IF(MONTH('Other financial Liabilities'!I114)=6,"JUN",IF(MONTH('Other financial Liabilities'!I114)=7,"JUL",IF(MONTH('Other financial Liabilities'!I114)=8,"AGO",IF(MONTH('Other financial Liabilities'!I114)=9,"SET",IF(MONTH('Other financial Liabilities'!I114)=10,"OUT",IF(MONTH('Other financial Liabilities'!I114)=11,"NOV",IF(MONTH('Other financial Liabilities'!I114)=12,"DEZ",""))))))))))))&amp;LEFT(YEAR('Other financial Liabilities'!I114),2),"")))</f>
        <v>BANCO INVEST, S.A.</v>
      </c>
      <c r="I120" s="14" t="str">
        <f>IF(F120="c004x   - Institutions",'Other financial Liabilities'!H114,IF(F120="c001x   - Households","Critical Service Liability "&amp;IF(MONTH('Other financial Liabilities'!I114)=1,"January ",IF(MONTH('Other financial Liabilities'!I114)=2,"February ",IF(MONTH('Other financial Liabilities'!I114)=3,"March ",IF(MONTH('Other financial Liabilities'!I114)=4, "April ",IF(MONTH('Other financial Liabilities'!I114)=5,"May ",IF(MONTH('Other financial Liabilities'!I114)=6,"June ",IF(MONTH('Other financial Liabilities'!I114)=7,"July ",IF(MONTH('Other financial Liabilities'!I114)=8,"August ",IF(MONTH('Other financial Liabilities'!I114)=9,"September ",IF(MONTH('Other financial Liabilities'!I114)=10,"October",  IF(MONTH('Other financial Liabilities'!I114)=11,"November ",IF(MONTH('Other financial Liabilities'!I114)=12,"December ",""))))))))))))&amp;YEAR('Other financial Liabilities'!I114),IF(F120="c008x   - Government, central banks &amp; supranationals","Tax Liability "&amp;IF(MONTH('Other financial Liabilities'!I114)=1,"January ",IF(MONTH('Other financial Liabilities'!I114)=2,"February ",IF(MONTH('Other financial Liabilities'!I114)=3,"March ",IF(MONTH('Other financial Liabilities'!I114)=4,"April ",IF(MONTH('Other financial Liabilities'!I114)=5,"May ",IF(MONTH('Other financial Liabilities'!I114)=6,"June ",IF(MONTH('Other financial Liabilities'!I114)=7,"July ",IF(MONTH('Other financial Liabilities'!I114)=8, "August ",  IF(MONTH('Other financial Liabilities'!I114)=9,"September ",IF(MONTH('Other financial Liabilities'!I114)=10,"October ",IF(MONTH('Other financial Liabilities'!I114)=11,"November ",IF(MONTH('Other financial Liabilities'!I114)=12,"December ",""))))))))))))&amp;YEAR('Other financial Liabilities'!I114),"")))</f>
        <v>BANCO INVEST, S.A.</v>
      </c>
      <c r="J120" s="14" t="str">
        <f>+IF(OR('Other financial Liabilities'!C114="",'Other financial Liabilities'!C114="#"),IF('Other financial Liabilities'!A114="",IF(F120="c001x   - Households","CSL"&amp;"001",IF(F120="c008x   - Government, central banks &amp; supranationals","TL"&amp;"001")),'Other financial Liabilities'!A114),'Other financial Liabilities'!C114)</f>
        <v>9002006754</v>
      </c>
      <c r="K120" s="14" t="str">
        <f>+IF(J120='Other financial Liabilities'!C114,"LEI code","Type of identifier, other than LEI or MFI code")</f>
        <v>Type of identifier, other than LEI or MFI code</v>
      </c>
      <c r="L120" s="14" t="s">
        <v>197</v>
      </c>
      <c r="M120" s="14" t="s">
        <v>198</v>
      </c>
      <c r="N120" s="14" t="s">
        <v>199</v>
      </c>
      <c r="O120" s="15">
        <v>0.01</v>
      </c>
      <c r="P120" s="15">
        <f>IF('Other financial Liabilities'!E114="",0,'Other financial Liabilities'!E114)</f>
        <v>0</v>
      </c>
      <c r="Q120" s="14">
        <f>IF('Other financial Liabilities'!F114="",0,'Other financial Liabilities'!F114)</f>
        <v>0</v>
      </c>
      <c r="R120" s="14" t="s">
        <v>209</v>
      </c>
      <c r="S120" s="16" t="s">
        <v>250</v>
      </c>
      <c r="T120" s="16">
        <f t="shared" si="7"/>
        <v>44928</v>
      </c>
      <c r="U120" s="16">
        <f t="shared" si="8"/>
        <v>44928</v>
      </c>
      <c r="V120" s="14" t="s">
        <v>200</v>
      </c>
      <c r="W120" s="15">
        <v>0</v>
      </c>
      <c r="X120" s="15">
        <v>0</v>
      </c>
      <c r="Y120" s="15">
        <v>0</v>
      </c>
      <c r="Z120" s="14" t="s">
        <v>201</v>
      </c>
      <c r="AA120" s="15">
        <v>0</v>
      </c>
      <c r="AB120" s="14" t="s">
        <v>202</v>
      </c>
      <c r="AC120" s="17">
        <v>0</v>
      </c>
      <c r="AD120" s="20"/>
    </row>
    <row r="121" spans="3:30" ht="45.75" customHeight="1" thickBot="1" x14ac:dyDescent="0.5">
      <c r="C121" s="12">
        <f t="shared" si="5"/>
        <v>999</v>
      </c>
      <c r="D121" s="13">
        <f t="shared" si="9"/>
        <v>114</v>
      </c>
      <c r="E121" s="14" t="str">
        <f>IF(AND('Other financial Liabilities'!K115="",'Other financial Liabilities'!J115=1),"r0180 - Critical service liabilities (BRRD art. 44/2/g/ii)",IF(AND('Other financial Liabilities'!K115="",'Other financial Liabilities'!J115=2),"r0190 - Tax and social security authorities liabilities, if preferred (BRRD art. 44/2/g/iii)",'Other financial Liabilities'!K115))</f>
        <v>r0150 - Institution liabilities &lt; 7 days (BRRD art. 44/2/e)</v>
      </c>
      <c r="F121" s="14" t="str">
        <f>IF(OR('Other financial Liabilities'!G115="particulares",'Other financial Liabilities'!J115=1),"c001x   - Households",IF('Other financial Liabilities'!G115="outras empresas nao financeiras","c003x   - Corporates",IF('Other financial Liabilities'!G115="instituicoes de credito","c004x   - Institutions",IF('Other financial Liabilities'!G115="outras instituicoes financeiras","c005x   - Other financial corporations",IF(OR('Other financial Liabilities'!G115="setor publico",'Other financial Liabilities'!J115=2),"c008x   - Government, central banks &amp; supranationals","")))))</f>
        <v>c004x   - Institutions</v>
      </c>
      <c r="G121" s="14" t="str">
        <f t="shared" si="6"/>
        <v>Rank 9 - Ranking in insolvency (master scale)</v>
      </c>
      <c r="H121" s="14" t="str">
        <f>IF(F121="c004x   - Institutions",'Other financial Liabilities'!H115,IF(F121="c001x   - Households","CSL"&amp;IF(MONTH('Other financial Liabilities'!I115)=1,"JAN",IF(MONTH('Other financial Liabilities'!I115)=2,"FEV",IF(MONTH('Other financial Liabilities'!I115)=3,"MAR",IF(MONTH('Other financial Liabilities'!I115)=4,"ABR",IF(MONTH('Other financial Liabilities'!I115)=5,"MAI",IF(MONTH('Other financial Liabilities'!I115)=6,"JUN",IF(MONTH('Other financial Liabilities'!I115)=7,"JUL",IF(MONTH('Other financial Liabilities'!I115)=8,"AGO",IF(MONTH('Other financial Liabilities'!I115)=9,"SET",IF(MONTH('Other financial Liabilities'!I115)=10,"OUT",IF(MONTH('Other financial Liabilities'!I115)=11,"NOV",IF(MONTH('Other financial Liabilities'!I115)=12,"DEZ",""))))))))))))&amp;LEFT(YEAR('Other financial Liabilities'!I115),2),IF(F121="c008x   - Government, central banks &amp; supranationals","TL"&amp;IF(MONTH('Other financial Liabilities'!I115)=1,"JAN",IF(MONTH('Other financial Liabilities'!I115)=2,"FEV",IF(MONTH('Other financial Liabilities'!I115)=3,"MAR",IF(MONTH('Other financial Liabilities'!I115)=4,"ABR",IF(MONTH('Other financial Liabilities'!I115)=5,"MAI",IF(MONTH('Other financial Liabilities'!I115)=6,"JUN",IF(MONTH('Other financial Liabilities'!I115)=7,"JUL",IF(MONTH('Other financial Liabilities'!I115)=8,"AGO",IF(MONTH('Other financial Liabilities'!I115)=9,"SET",IF(MONTH('Other financial Liabilities'!I115)=10,"OUT",IF(MONTH('Other financial Liabilities'!I115)=11,"NOV",IF(MONTH('Other financial Liabilities'!I115)=12,"DEZ",""))))))))))))&amp;LEFT(YEAR('Other financial Liabilities'!I115),2),"")))</f>
        <v>BANCO INVEST, S.A.</v>
      </c>
      <c r="I121" s="14" t="str">
        <f>IF(F121="c004x   - Institutions",'Other financial Liabilities'!H115,IF(F121="c001x   - Households","Critical Service Liability "&amp;IF(MONTH('Other financial Liabilities'!I115)=1,"January ",IF(MONTH('Other financial Liabilities'!I115)=2,"February ",IF(MONTH('Other financial Liabilities'!I115)=3,"March ",IF(MONTH('Other financial Liabilities'!I115)=4, "April ",IF(MONTH('Other financial Liabilities'!I115)=5,"May ",IF(MONTH('Other financial Liabilities'!I115)=6,"June ",IF(MONTH('Other financial Liabilities'!I115)=7,"July ",IF(MONTH('Other financial Liabilities'!I115)=8,"August ",IF(MONTH('Other financial Liabilities'!I115)=9,"September ",IF(MONTH('Other financial Liabilities'!I115)=10,"October",  IF(MONTH('Other financial Liabilities'!I115)=11,"November ",IF(MONTH('Other financial Liabilities'!I115)=12,"December ",""))))))))))))&amp;YEAR('Other financial Liabilities'!I115),IF(F121="c008x   - Government, central banks &amp; supranationals","Tax Liability "&amp;IF(MONTH('Other financial Liabilities'!I115)=1,"January ",IF(MONTH('Other financial Liabilities'!I115)=2,"February ",IF(MONTH('Other financial Liabilities'!I115)=3,"March ",IF(MONTH('Other financial Liabilities'!I115)=4,"April ",IF(MONTH('Other financial Liabilities'!I115)=5,"May ",IF(MONTH('Other financial Liabilities'!I115)=6,"June ",IF(MONTH('Other financial Liabilities'!I115)=7,"July ",IF(MONTH('Other financial Liabilities'!I115)=8, "August ",  IF(MONTH('Other financial Liabilities'!I115)=9,"September ",IF(MONTH('Other financial Liabilities'!I115)=10,"October ",IF(MONTH('Other financial Liabilities'!I115)=11,"November ",IF(MONTH('Other financial Liabilities'!I115)=12,"December ",""))))))))))))&amp;YEAR('Other financial Liabilities'!I115),"")))</f>
        <v>BANCO INVEST, S.A.</v>
      </c>
      <c r="J121" s="14" t="str">
        <f>+IF(OR('Other financial Liabilities'!C115="",'Other financial Liabilities'!C115="#"),IF('Other financial Liabilities'!A115="",IF(F121="c001x   - Households","CSL"&amp;"001",IF(F121="c008x   - Government, central banks &amp; supranationals","TL"&amp;"001")),'Other financial Liabilities'!A115),'Other financial Liabilities'!C115)</f>
        <v>9002006754</v>
      </c>
      <c r="K121" s="14" t="str">
        <f>+IF(J121='Other financial Liabilities'!C115,"LEI code","Type of identifier, other than LEI or MFI code")</f>
        <v>Type of identifier, other than LEI or MFI code</v>
      </c>
      <c r="L121" s="14" t="s">
        <v>197</v>
      </c>
      <c r="M121" s="14" t="s">
        <v>198</v>
      </c>
      <c r="N121" s="14" t="s">
        <v>199</v>
      </c>
      <c r="O121" s="15">
        <v>1560117.47</v>
      </c>
      <c r="P121" s="15">
        <f>IF('Other financial Liabilities'!E115="",0,'Other financial Liabilities'!E115)</f>
        <v>0</v>
      </c>
      <c r="Q121" s="14">
        <f>IF('Other financial Liabilities'!F115="",0,'Other financial Liabilities'!F115)</f>
        <v>0</v>
      </c>
      <c r="R121" s="14" t="s">
        <v>212</v>
      </c>
      <c r="S121" s="16" t="s">
        <v>250</v>
      </c>
      <c r="T121" s="16">
        <f t="shared" si="7"/>
        <v>44928</v>
      </c>
      <c r="U121" s="16">
        <f t="shared" si="8"/>
        <v>44928</v>
      </c>
      <c r="V121" s="14" t="s">
        <v>200</v>
      </c>
      <c r="W121" s="15">
        <v>0</v>
      </c>
      <c r="X121" s="15">
        <v>0</v>
      </c>
      <c r="Y121" s="15">
        <v>0</v>
      </c>
      <c r="Z121" s="14" t="s">
        <v>201</v>
      </c>
      <c r="AA121" s="15">
        <v>0</v>
      </c>
      <c r="AB121" s="14" t="s">
        <v>202</v>
      </c>
      <c r="AC121" s="17">
        <v>0</v>
      </c>
      <c r="AD121" s="20"/>
    </row>
    <row r="122" spans="3:30" ht="45.75" customHeight="1" thickBot="1" x14ac:dyDescent="0.5">
      <c r="C122" s="12">
        <f t="shared" si="5"/>
        <v>999</v>
      </c>
      <c r="D122" s="13">
        <f t="shared" si="9"/>
        <v>115</v>
      </c>
      <c r="E122" s="14" t="str">
        <f>IF(AND('Other financial Liabilities'!K116="",'Other financial Liabilities'!J116=1),"r0180 - Critical service liabilities (BRRD art. 44/2/g/ii)",IF(AND('Other financial Liabilities'!K116="",'Other financial Liabilities'!J116=2),"r0190 - Tax and social security authorities liabilities, if preferred (BRRD art. 44/2/g/iii)",'Other financial Liabilities'!K116))</f>
        <v>r0150 - Institution liabilities &lt; 7 days (BRRD art. 44/2/e)</v>
      </c>
      <c r="F122" s="14" t="str">
        <f>IF(OR('Other financial Liabilities'!G116="particulares",'Other financial Liabilities'!J116=1),"c001x   - Households",IF('Other financial Liabilities'!G116="outras empresas nao financeiras","c003x   - Corporates",IF('Other financial Liabilities'!G116="instituicoes de credito","c004x   - Institutions",IF('Other financial Liabilities'!G116="outras instituicoes financeiras","c005x   - Other financial corporations",IF(OR('Other financial Liabilities'!G116="setor publico",'Other financial Liabilities'!J116=2),"c008x   - Government, central banks &amp; supranationals","")))))</f>
        <v>c004x   - Institutions</v>
      </c>
      <c r="G122" s="14" t="str">
        <f t="shared" si="6"/>
        <v>Rank 9 - Ranking in insolvency (master scale)</v>
      </c>
      <c r="H122" s="14" t="str">
        <f>IF(F122="c004x   - Institutions",'Other financial Liabilities'!H116,IF(F122="c001x   - Households","CSL"&amp;IF(MONTH('Other financial Liabilities'!I116)=1,"JAN",IF(MONTH('Other financial Liabilities'!I116)=2,"FEV",IF(MONTH('Other financial Liabilities'!I116)=3,"MAR",IF(MONTH('Other financial Liabilities'!I116)=4,"ABR",IF(MONTH('Other financial Liabilities'!I116)=5,"MAI",IF(MONTH('Other financial Liabilities'!I116)=6,"JUN",IF(MONTH('Other financial Liabilities'!I116)=7,"JUL",IF(MONTH('Other financial Liabilities'!I116)=8,"AGO",IF(MONTH('Other financial Liabilities'!I116)=9,"SET",IF(MONTH('Other financial Liabilities'!I116)=10,"OUT",IF(MONTH('Other financial Liabilities'!I116)=11,"NOV",IF(MONTH('Other financial Liabilities'!I116)=12,"DEZ",""))))))))))))&amp;LEFT(YEAR('Other financial Liabilities'!I116),2),IF(F122="c008x   - Government, central banks &amp; supranationals","TL"&amp;IF(MONTH('Other financial Liabilities'!I116)=1,"JAN",IF(MONTH('Other financial Liabilities'!I116)=2,"FEV",IF(MONTH('Other financial Liabilities'!I116)=3,"MAR",IF(MONTH('Other financial Liabilities'!I116)=4,"ABR",IF(MONTH('Other financial Liabilities'!I116)=5,"MAI",IF(MONTH('Other financial Liabilities'!I116)=6,"JUN",IF(MONTH('Other financial Liabilities'!I116)=7,"JUL",IF(MONTH('Other financial Liabilities'!I116)=8,"AGO",IF(MONTH('Other financial Liabilities'!I116)=9,"SET",IF(MONTH('Other financial Liabilities'!I116)=10,"OUT",IF(MONTH('Other financial Liabilities'!I116)=11,"NOV",IF(MONTH('Other financial Liabilities'!I116)=12,"DEZ",""))))))))))))&amp;LEFT(YEAR('Other financial Liabilities'!I116),2),"")))</f>
        <v>BANCO BIC PORTUGUES, S.A.</v>
      </c>
      <c r="I122" s="14" t="str">
        <f>IF(F122="c004x   - Institutions",'Other financial Liabilities'!H116,IF(F122="c001x   - Households","Critical Service Liability "&amp;IF(MONTH('Other financial Liabilities'!I116)=1,"January ",IF(MONTH('Other financial Liabilities'!I116)=2,"February ",IF(MONTH('Other financial Liabilities'!I116)=3,"March ",IF(MONTH('Other financial Liabilities'!I116)=4, "April ",IF(MONTH('Other financial Liabilities'!I116)=5,"May ",IF(MONTH('Other financial Liabilities'!I116)=6,"June ",IF(MONTH('Other financial Liabilities'!I116)=7,"July ",IF(MONTH('Other financial Liabilities'!I116)=8,"August ",IF(MONTH('Other financial Liabilities'!I116)=9,"September ",IF(MONTH('Other financial Liabilities'!I116)=10,"October",  IF(MONTH('Other financial Liabilities'!I116)=11,"November ",IF(MONTH('Other financial Liabilities'!I116)=12,"December ",""))))))))))))&amp;YEAR('Other financial Liabilities'!I116),IF(F122="c008x   - Government, central banks &amp; supranationals","Tax Liability "&amp;IF(MONTH('Other financial Liabilities'!I116)=1,"January ",IF(MONTH('Other financial Liabilities'!I116)=2,"February ",IF(MONTH('Other financial Liabilities'!I116)=3,"March ",IF(MONTH('Other financial Liabilities'!I116)=4,"April ",IF(MONTH('Other financial Liabilities'!I116)=5,"May ",IF(MONTH('Other financial Liabilities'!I116)=6,"June ",IF(MONTH('Other financial Liabilities'!I116)=7,"July ",IF(MONTH('Other financial Liabilities'!I116)=8, "August ",  IF(MONTH('Other financial Liabilities'!I116)=9,"September ",IF(MONTH('Other financial Liabilities'!I116)=10,"October ",IF(MONTH('Other financial Liabilities'!I116)=11,"November ",IF(MONTH('Other financial Liabilities'!I116)=12,"December ",""))))))))))))&amp;YEAR('Other financial Liabilities'!I116),"")))</f>
        <v>BANCO BIC PORTUGUES, S.A.</v>
      </c>
      <c r="J122" s="14" t="str">
        <f>+IF(OR('Other financial Liabilities'!C116="",'Other financial Liabilities'!C116="#"),IF('Other financial Liabilities'!A116="",IF(F122="c001x   - Households","CSL"&amp;"001",IF(F122="c008x   - Government, central banks &amp; supranationals","TL"&amp;"001")),'Other financial Liabilities'!A116),'Other financial Liabilities'!C116)</f>
        <v>549300QQJ6BNALGU6806</v>
      </c>
      <c r="K122" s="14" t="str">
        <f>+IF(J122='Other financial Liabilities'!C116,"LEI code","Type of identifier, other than LEI or MFI code")</f>
        <v>LEI code</v>
      </c>
      <c r="L122" s="14" t="s">
        <v>197</v>
      </c>
      <c r="M122" s="14" t="s">
        <v>198</v>
      </c>
      <c r="N122" s="14" t="s">
        <v>199</v>
      </c>
      <c r="O122" s="15">
        <v>981.26</v>
      </c>
      <c r="P122" s="15">
        <f>IF('Other financial Liabilities'!E116="",0,'Other financial Liabilities'!E116)</f>
        <v>0</v>
      </c>
      <c r="Q122" s="14">
        <f>IF('Other financial Liabilities'!F116="",0,'Other financial Liabilities'!F116)</f>
        <v>0</v>
      </c>
      <c r="R122" s="14" t="s">
        <v>212</v>
      </c>
      <c r="S122" s="16" t="s">
        <v>250</v>
      </c>
      <c r="T122" s="16">
        <f t="shared" si="7"/>
        <v>44928</v>
      </c>
      <c r="U122" s="16">
        <f t="shared" si="8"/>
        <v>44928</v>
      </c>
      <c r="V122" s="14" t="s">
        <v>200</v>
      </c>
      <c r="W122" s="15">
        <v>0</v>
      </c>
      <c r="X122" s="15">
        <v>0</v>
      </c>
      <c r="Y122" s="15">
        <v>0</v>
      </c>
      <c r="Z122" s="14" t="s">
        <v>201</v>
      </c>
      <c r="AA122" s="15">
        <v>0</v>
      </c>
      <c r="AB122" s="14" t="s">
        <v>202</v>
      </c>
      <c r="AC122" s="17">
        <v>0</v>
      </c>
      <c r="AD122" s="20"/>
    </row>
    <row r="123" spans="3:30" ht="45.75" customHeight="1" thickBot="1" x14ac:dyDescent="0.5">
      <c r="C123" s="12">
        <f t="shared" si="5"/>
        <v>999</v>
      </c>
      <c r="D123" s="13">
        <f t="shared" si="9"/>
        <v>116</v>
      </c>
      <c r="E123" s="14" t="str">
        <f>IF(AND('Other financial Liabilities'!K117="",'Other financial Liabilities'!J117=1),"r0180 - Critical service liabilities (BRRD art. 44/2/g/ii)",IF(AND('Other financial Liabilities'!K117="",'Other financial Liabilities'!J117=2),"r0190 - Tax and social security authorities liabilities, if preferred (BRRD art. 44/2/g/iii)",'Other financial Liabilities'!K117))</f>
        <v>r0150 - Institution liabilities &lt; 7 days (BRRD art. 44/2/e)</v>
      </c>
      <c r="F123" s="14" t="str">
        <f>IF(OR('Other financial Liabilities'!G117="particulares",'Other financial Liabilities'!J117=1),"c001x   - Households",IF('Other financial Liabilities'!G117="outras empresas nao financeiras","c003x   - Corporates",IF('Other financial Liabilities'!G117="instituicoes de credito","c004x   - Institutions",IF('Other financial Liabilities'!G117="outras instituicoes financeiras","c005x   - Other financial corporations",IF(OR('Other financial Liabilities'!G117="setor publico",'Other financial Liabilities'!J117=2),"c008x   - Government, central banks &amp; supranationals","")))))</f>
        <v>c004x   - Institutions</v>
      </c>
      <c r="G123" s="14" t="str">
        <f t="shared" si="6"/>
        <v>Rank 9 - Ranking in insolvency (master scale)</v>
      </c>
      <c r="H123" s="14" t="str">
        <f>IF(F123="c004x   - Institutions",'Other financial Liabilities'!H117,IF(F123="c001x   - Households","CSL"&amp;IF(MONTH('Other financial Liabilities'!I117)=1,"JAN",IF(MONTH('Other financial Liabilities'!I117)=2,"FEV",IF(MONTH('Other financial Liabilities'!I117)=3,"MAR",IF(MONTH('Other financial Liabilities'!I117)=4,"ABR",IF(MONTH('Other financial Liabilities'!I117)=5,"MAI",IF(MONTH('Other financial Liabilities'!I117)=6,"JUN",IF(MONTH('Other financial Liabilities'!I117)=7,"JUL",IF(MONTH('Other financial Liabilities'!I117)=8,"AGO",IF(MONTH('Other financial Liabilities'!I117)=9,"SET",IF(MONTH('Other financial Liabilities'!I117)=10,"OUT",IF(MONTH('Other financial Liabilities'!I117)=11,"NOV",IF(MONTH('Other financial Liabilities'!I117)=12,"DEZ",""))))))))))))&amp;LEFT(YEAR('Other financial Liabilities'!I117),2),IF(F123="c008x   - Government, central banks &amp; supranationals","TL"&amp;IF(MONTH('Other financial Liabilities'!I117)=1,"JAN",IF(MONTH('Other financial Liabilities'!I117)=2,"FEV",IF(MONTH('Other financial Liabilities'!I117)=3,"MAR",IF(MONTH('Other financial Liabilities'!I117)=4,"ABR",IF(MONTH('Other financial Liabilities'!I117)=5,"MAI",IF(MONTH('Other financial Liabilities'!I117)=6,"JUN",IF(MONTH('Other financial Liabilities'!I117)=7,"JUL",IF(MONTH('Other financial Liabilities'!I117)=8,"AGO",IF(MONTH('Other financial Liabilities'!I117)=9,"SET",IF(MONTH('Other financial Liabilities'!I117)=10,"OUT",IF(MONTH('Other financial Liabilities'!I117)=11,"NOV",IF(MONTH('Other financial Liabilities'!I117)=12,"DEZ",""))))))))))))&amp;LEFT(YEAR('Other financial Liabilities'!I117),2),"")))</f>
        <v>KBC BANK NV    .                             .</v>
      </c>
      <c r="I123" s="14" t="str">
        <f>IF(F123="c004x   - Institutions",'Other financial Liabilities'!H117,IF(F123="c001x   - Households","Critical Service Liability "&amp;IF(MONTH('Other financial Liabilities'!I117)=1,"January ",IF(MONTH('Other financial Liabilities'!I117)=2,"February ",IF(MONTH('Other financial Liabilities'!I117)=3,"March ",IF(MONTH('Other financial Liabilities'!I117)=4, "April ",IF(MONTH('Other financial Liabilities'!I117)=5,"May ",IF(MONTH('Other financial Liabilities'!I117)=6,"June ",IF(MONTH('Other financial Liabilities'!I117)=7,"July ",IF(MONTH('Other financial Liabilities'!I117)=8,"August ",IF(MONTH('Other financial Liabilities'!I117)=9,"September ",IF(MONTH('Other financial Liabilities'!I117)=10,"October",  IF(MONTH('Other financial Liabilities'!I117)=11,"November ",IF(MONTH('Other financial Liabilities'!I117)=12,"December ",""))))))))))))&amp;YEAR('Other financial Liabilities'!I117),IF(F123="c008x   - Government, central banks &amp; supranationals","Tax Liability "&amp;IF(MONTH('Other financial Liabilities'!I117)=1,"January ",IF(MONTH('Other financial Liabilities'!I117)=2,"February ",IF(MONTH('Other financial Liabilities'!I117)=3,"March ",IF(MONTH('Other financial Liabilities'!I117)=4,"April ",IF(MONTH('Other financial Liabilities'!I117)=5,"May ",IF(MONTH('Other financial Liabilities'!I117)=6,"June ",IF(MONTH('Other financial Liabilities'!I117)=7,"July ",IF(MONTH('Other financial Liabilities'!I117)=8, "August ",  IF(MONTH('Other financial Liabilities'!I117)=9,"September ",IF(MONTH('Other financial Liabilities'!I117)=10,"October ",IF(MONTH('Other financial Liabilities'!I117)=11,"November ",IF(MONTH('Other financial Liabilities'!I117)=12,"December ",""))))))))))))&amp;YEAR('Other financial Liabilities'!I117),"")))</f>
        <v>KBC BANK NV    .                             .</v>
      </c>
      <c r="J123" s="14" t="str">
        <f>+IF(OR('Other financial Liabilities'!C117="",'Other financial Liabilities'!C117="#"),IF('Other financial Liabilities'!A117="",IF(F123="c001x   - Households","CSL"&amp;"001",IF(F123="c008x   - Government, central banks &amp; supranationals","TL"&amp;"001")),'Other financial Liabilities'!A117),'Other financial Liabilities'!C117)</f>
        <v>9002381066</v>
      </c>
      <c r="K123" s="14" t="str">
        <f>+IF(J123='Other financial Liabilities'!C117,"LEI code","Type of identifier, other than LEI or MFI code")</f>
        <v>Type of identifier, other than LEI or MFI code</v>
      </c>
      <c r="L123" s="14" t="s">
        <v>197</v>
      </c>
      <c r="M123" s="14" t="s">
        <v>198</v>
      </c>
      <c r="N123" s="14" t="s">
        <v>199</v>
      </c>
      <c r="O123" s="15">
        <v>1928039.29</v>
      </c>
      <c r="P123" s="15">
        <f>IF('Other financial Liabilities'!E117="",0,'Other financial Liabilities'!E117)</f>
        <v>0</v>
      </c>
      <c r="Q123" s="14">
        <f>IF('Other financial Liabilities'!F117="",0,'Other financial Liabilities'!F117)</f>
        <v>0</v>
      </c>
      <c r="R123" s="14" t="s">
        <v>212</v>
      </c>
      <c r="S123" s="16" t="s">
        <v>250</v>
      </c>
      <c r="T123" s="16">
        <f t="shared" si="7"/>
        <v>44928</v>
      </c>
      <c r="U123" s="16">
        <f t="shared" si="8"/>
        <v>44928</v>
      </c>
      <c r="V123" s="14" t="s">
        <v>200</v>
      </c>
      <c r="W123" s="15">
        <v>0</v>
      </c>
      <c r="X123" s="15">
        <v>0</v>
      </c>
      <c r="Y123" s="15">
        <v>0</v>
      </c>
      <c r="Z123" s="14" t="s">
        <v>201</v>
      </c>
      <c r="AA123" s="15">
        <v>0</v>
      </c>
      <c r="AB123" s="14" t="s">
        <v>202</v>
      </c>
      <c r="AC123" s="17">
        <v>0</v>
      </c>
      <c r="AD123" s="20"/>
    </row>
    <row r="124" spans="3:30" ht="45.75" customHeight="1" thickBot="1" x14ac:dyDescent="0.5">
      <c r="C124" s="12">
        <f t="shared" si="5"/>
        <v>999</v>
      </c>
      <c r="D124" s="13">
        <f t="shared" si="9"/>
        <v>117</v>
      </c>
      <c r="E124" s="14">
        <f>IF(AND('Other financial Liabilities'!K118="",'Other financial Liabilities'!J118=1),"r0180 - Critical service liabilities (BRRD art. 44/2/g/ii)",IF(AND('Other financial Liabilities'!K118="",'Other financial Liabilities'!J118=2),"r0190 - Tax and social security authorities liabilities, if preferred (BRRD art. 44/2/g/iii)",'Other financial Liabilities'!K118))</f>
        <v>0</v>
      </c>
      <c r="F124" s="14" t="str">
        <f>IF(OR('Other financial Liabilities'!G118="particulares",'Other financial Liabilities'!J118=1),"c001x   - Households",IF('Other financial Liabilities'!G118="outras empresas nao financeiras","c003x   - Corporates",IF('Other financial Liabilities'!G118="instituicoes de credito","c004x   - Institutions",IF('Other financial Liabilities'!G118="outras instituicoes financeiras","c005x   - Other financial corporations",IF(OR('Other financial Liabilities'!G118="setor publico",'Other financial Liabilities'!J118=2),"c008x   - Government, central banks &amp; supranationals","")))))</f>
        <v/>
      </c>
      <c r="G124" s="14" t="str">
        <f t="shared" si="6"/>
        <v>Rank 9 - Ranking in insolvency (master scale)</v>
      </c>
      <c r="H124" s="14" t="str">
        <f>IF(F124="c004x   - Institutions",'Other financial Liabilities'!H118,IF(F124="c001x   - Households","CSL"&amp;IF(MONTH('Other financial Liabilities'!I118)=1,"JAN",IF(MONTH('Other financial Liabilities'!I118)=2,"FEV",IF(MONTH('Other financial Liabilities'!I118)=3,"MAR",IF(MONTH('Other financial Liabilities'!I118)=4,"ABR",IF(MONTH('Other financial Liabilities'!I118)=5,"MAI",IF(MONTH('Other financial Liabilities'!I118)=6,"JUN",IF(MONTH('Other financial Liabilities'!I118)=7,"JUL",IF(MONTH('Other financial Liabilities'!I118)=8,"AGO",IF(MONTH('Other financial Liabilities'!I118)=9,"SET",IF(MONTH('Other financial Liabilities'!I118)=10,"OUT",IF(MONTH('Other financial Liabilities'!I118)=11,"NOV",IF(MONTH('Other financial Liabilities'!I118)=12,"DEZ",""))))))))))))&amp;LEFT(YEAR('Other financial Liabilities'!I118),2),IF(F124="c008x   - Government, central banks &amp; supranationals","TL"&amp;IF(MONTH('Other financial Liabilities'!I118)=1,"JAN",IF(MONTH('Other financial Liabilities'!I118)=2,"FEV",IF(MONTH('Other financial Liabilities'!I118)=3,"MAR",IF(MONTH('Other financial Liabilities'!I118)=4,"ABR",IF(MONTH('Other financial Liabilities'!I118)=5,"MAI",IF(MONTH('Other financial Liabilities'!I118)=6,"JUN",IF(MONTH('Other financial Liabilities'!I118)=7,"JUL",IF(MONTH('Other financial Liabilities'!I118)=8,"AGO",IF(MONTH('Other financial Liabilities'!I118)=9,"SET",IF(MONTH('Other financial Liabilities'!I118)=10,"OUT",IF(MONTH('Other financial Liabilities'!I118)=11,"NOV",IF(MONTH('Other financial Liabilities'!I118)=12,"DEZ",""))))))))))))&amp;LEFT(YEAR('Other financial Liabilities'!I118),2),"")))</f>
        <v/>
      </c>
      <c r="I124" s="14" t="str">
        <f>IF(F124="c004x   - Institutions",'Other financial Liabilities'!H118,IF(F124="c001x   - Households","Critical Service Liability "&amp;IF(MONTH('Other financial Liabilities'!I118)=1,"January ",IF(MONTH('Other financial Liabilities'!I118)=2,"February ",IF(MONTH('Other financial Liabilities'!I118)=3,"March ",IF(MONTH('Other financial Liabilities'!I118)=4, "April ",IF(MONTH('Other financial Liabilities'!I118)=5,"May ",IF(MONTH('Other financial Liabilities'!I118)=6,"June ",IF(MONTH('Other financial Liabilities'!I118)=7,"July ",IF(MONTH('Other financial Liabilities'!I118)=8,"August ",IF(MONTH('Other financial Liabilities'!I118)=9,"September ",IF(MONTH('Other financial Liabilities'!I118)=10,"October",  IF(MONTH('Other financial Liabilities'!I118)=11,"November ",IF(MONTH('Other financial Liabilities'!I118)=12,"December ",""))))))))))))&amp;YEAR('Other financial Liabilities'!I118),IF(F124="c008x   - Government, central banks &amp; supranationals","Tax Liability "&amp;IF(MONTH('Other financial Liabilities'!I118)=1,"January ",IF(MONTH('Other financial Liabilities'!I118)=2,"February ",IF(MONTH('Other financial Liabilities'!I118)=3,"March ",IF(MONTH('Other financial Liabilities'!I118)=4,"April ",IF(MONTH('Other financial Liabilities'!I118)=5,"May ",IF(MONTH('Other financial Liabilities'!I118)=6,"June ",IF(MONTH('Other financial Liabilities'!I118)=7,"July ",IF(MONTH('Other financial Liabilities'!I118)=8, "August ",  IF(MONTH('Other financial Liabilities'!I118)=9,"September ",IF(MONTH('Other financial Liabilities'!I118)=10,"October ",IF(MONTH('Other financial Liabilities'!I118)=11,"November ",IF(MONTH('Other financial Liabilities'!I118)=12,"December ",""))))))))))))&amp;YEAR('Other financial Liabilities'!I118),"")))</f>
        <v/>
      </c>
      <c r="J124" s="14" t="b">
        <f>+IF(OR('Other financial Liabilities'!C118="",'Other financial Liabilities'!C118="#"),IF('Other financial Liabilities'!A118="",IF(F124="c001x   - Households","CSL"&amp;"001",IF(F124="c008x   - Government, central banks &amp; supranationals","TL"&amp;"001")),'Other financial Liabilities'!A118),'Other financial Liabilities'!C118)</f>
        <v>0</v>
      </c>
      <c r="K124" s="14" t="str">
        <f>+IF(J124='Other financial Liabilities'!C118,"LEI code","Type of identifier, other than LEI or MFI code")</f>
        <v>LEI code</v>
      </c>
      <c r="L124" s="14" t="s">
        <v>197</v>
      </c>
      <c r="M124" s="14" t="s">
        <v>198</v>
      </c>
      <c r="N124" s="14" t="s">
        <v>199</v>
      </c>
      <c r="O124" s="15"/>
      <c r="P124" s="15">
        <f>IF('Other financial Liabilities'!E118="",0,'Other financial Liabilities'!E118)</f>
        <v>0</v>
      </c>
      <c r="Q124" s="14">
        <f>IF('Other financial Liabilities'!F118="",0,'Other financial Liabilities'!F118)</f>
        <v>0</v>
      </c>
      <c r="R124" s="14"/>
      <c r="S124" s="16"/>
      <c r="T124" s="16">
        <f t="shared" si="7"/>
        <v>2</v>
      </c>
      <c r="U124" s="16">
        <f t="shared" si="8"/>
        <v>2</v>
      </c>
      <c r="V124" s="14" t="s">
        <v>200</v>
      </c>
      <c r="W124" s="15">
        <v>0</v>
      </c>
      <c r="X124" s="15">
        <v>0</v>
      </c>
      <c r="Y124" s="15">
        <v>0</v>
      </c>
      <c r="Z124" s="14" t="s">
        <v>201</v>
      </c>
      <c r="AA124" s="15">
        <v>0</v>
      </c>
      <c r="AB124" s="14" t="s">
        <v>202</v>
      </c>
      <c r="AC124" s="17">
        <v>0</v>
      </c>
      <c r="AD124" s="20"/>
    </row>
    <row r="125" spans="3:30" ht="45.75" customHeight="1" thickBot="1" x14ac:dyDescent="0.5">
      <c r="C125" s="12">
        <f t="shared" si="5"/>
        <v>999</v>
      </c>
      <c r="D125" s="13">
        <f t="shared" si="9"/>
        <v>118</v>
      </c>
      <c r="E125" s="14">
        <f>IF(AND('Other financial Liabilities'!K119="",'Other financial Liabilities'!J119=1),"r0180 - Critical service liabilities (BRRD art. 44/2/g/ii)",IF(AND('Other financial Liabilities'!K119="",'Other financial Liabilities'!J119=2),"r0190 - Tax and social security authorities liabilities, if preferred (BRRD art. 44/2/g/iii)",'Other financial Liabilities'!K119))</f>
        <v>0</v>
      </c>
      <c r="F125" s="14" t="str">
        <f>IF(OR('Other financial Liabilities'!G119="particulares",'Other financial Liabilities'!J119=1),"c001x   - Households",IF('Other financial Liabilities'!G119="outras empresas nao financeiras","c003x   - Corporates",IF('Other financial Liabilities'!G119="instituicoes de credito","c004x   - Institutions",IF('Other financial Liabilities'!G119="outras instituicoes financeiras","c005x   - Other financial corporations",IF(OR('Other financial Liabilities'!G119="setor publico",'Other financial Liabilities'!J119=2),"c008x   - Government, central banks &amp; supranationals","")))))</f>
        <v/>
      </c>
      <c r="G125" s="14" t="str">
        <f t="shared" si="6"/>
        <v>Rank 9 - Ranking in insolvency (master scale)</v>
      </c>
      <c r="H125" s="14" t="str">
        <f>IF(F125="c004x   - Institutions",'Other financial Liabilities'!H119,IF(F125="c001x   - Households","CSL"&amp;IF(MONTH('Other financial Liabilities'!I119)=1,"JAN",IF(MONTH('Other financial Liabilities'!I119)=2,"FEV",IF(MONTH('Other financial Liabilities'!I119)=3,"MAR",IF(MONTH('Other financial Liabilities'!I119)=4,"ABR",IF(MONTH('Other financial Liabilities'!I119)=5,"MAI",IF(MONTH('Other financial Liabilities'!I119)=6,"JUN",IF(MONTH('Other financial Liabilities'!I119)=7,"JUL",IF(MONTH('Other financial Liabilities'!I119)=8,"AGO",IF(MONTH('Other financial Liabilities'!I119)=9,"SET",IF(MONTH('Other financial Liabilities'!I119)=10,"OUT",IF(MONTH('Other financial Liabilities'!I119)=11,"NOV",IF(MONTH('Other financial Liabilities'!I119)=12,"DEZ",""))))))))))))&amp;LEFT(YEAR('Other financial Liabilities'!I119),2),IF(F125="c008x   - Government, central banks &amp; supranationals","TL"&amp;IF(MONTH('Other financial Liabilities'!I119)=1,"JAN",IF(MONTH('Other financial Liabilities'!I119)=2,"FEV",IF(MONTH('Other financial Liabilities'!I119)=3,"MAR",IF(MONTH('Other financial Liabilities'!I119)=4,"ABR",IF(MONTH('Other financial Liabilities'!I119)=5,"MAI",IF(MONTH('Other financial Liabilities'!I119)=6,"JUN",IF(MONTH('Other financial Liabilities'!I119)=7,"JUL",IF(MONTH('Other financial Liabilities'!I119)=8,"AGO",IF(MONTH('Other financial Liabilities'!I119)=9,"SET",IF(MONTH('Other financial Liabilities'!I119)=10,"OUT",IF(MONTH('Other financial Liabilities'!I119)=11,"NOV",IF(MONTH('Other financial Liabilities'!I119)=12,"DEZ",""))))))))))))&amp;LEFT(YEAR('Other financial Liabilities'!I119),2),"")))</f>
        <v/>
      </c>
      <c r="I125" s="14" t="str">
        <f>IF(F125="c004x   - Institutions",'Other financial Liabilities'!H119,IF(F125="c001x   - Households","Critical Service Liability "&amp;IF(MONTH('Other financial Liabilities'!I119)=1,"January ",IF(MONTH('Other financial Liabilities'!I119)=2,"February ",IF(MONTH('Other financial Liabilities'!I119)=3,"March ",IF(MONTH('Other financial Liabilities'!I119)=4, "April ",IF(MONTH('Other financial Liabilities'!I119)=5,"May ",IF(MONTH('Other financial Liabilities'!I119)=6,"June ",IF(MONTH('Other financial Liabilities'!I119)=7,"July ",IF(MONTH('Other financial Liabilities'!I119)=8,"August ",IF(MONTH('Other financial Liabilities'!I119)=9,"September ",IF(MONTH('Other financial Liabilities'!I119)=10,"October",  IF(MONTH('Other financial Liabilities'!I119)=11,"November ",IF(MONTH('Other financial Liabilities'!I119)=12,"December ",""))))))))))))&amp;YEAR('Other financial Liabilities'!I119),IF(F125="c008x   - Government, central banks &amp; supranationals","Tax Liability "&amp;IF(MONTH('Other financial Liabilities'!I119)=1,"January ",IF(MONTH('Other financial Liabilities'!I119)=2,"February ",IF(MONTH('Other financial Liabilities'!I119)=3,"March ",IF(MONTH('Other financial Liabilities'!I119)=4,"April ",IF(MONTH('Other financial Liabilities'!I119)=5,"May ",IF(MONTH('Other financial Liabilities'!I119)=6,"June ",IF(MONTH('Other financial Liabilities'!I119)=7,"July ",IF(MONTH('Other financial Liabilities'!I119)=8, "August ",  IF(MONTH('Other financial Liabilities'!I119)=9,"September ",IF(MONTH('Other financial Liabilities'!I119)=10,"October ",IF(MONTH('Other financial Liabilities'!I119)=11,"November ",IF(MONTH('Other financial Liabilities'!I119)=12,"December ",""))))))))))))&amp;YEAR('Other financial Liabilities'!I119),"")))</f>
        <v/>
      </c>
      <c r="J125" s="14" t="b">
        <f>+IF(OR('Other financial Liabilities'!C119="",'Other financial Liabilities'!C119="#"),IF('Other financial Liabilities'!A119="",IF(F125="c001x   - Households","CSL"&amp;"001",IF(F125="c008x   - Government, central banks &amp; supranationals","TL"&amp;"001")),'Other financial Liabilities'!A119),'Other financial Liabilities'!C119)</f>
        <v>0</v>
      </c>
      <c r="K125" s="14" t="str">
        <f>+IF(J125='Other financial Liabilities'!C119,"LEI code","Type of identifier, other than LEI or MFI code")</f>
        <v>LEI code</v>
      </c>
      <c r="L125" s="14" t="s">
        <v>197</v>
      </c>
      <c r="M125" s="14" t="s">
        <v>198</v>
      </c>
      <c r="N125" s="14" t="s">
        <v>199</v>
      </c>
      <c r="O125" s="15"/>
      <c r="P125" s="15">
        <f>IF('Other financial Liabilities'!E119="",0,'Other financial Liabilities'!E119)</f>
        <v>0</v>
      </c>
      <c r="Q125" s="14">
        <f>IF('Other financial Liabilities'!F119="",0,'Other financial Liabilities'!F119)</f>
        <v>0</v>
      </c>
      <c r="R125" s="14"/>
      <c r="S125" s="16"/>
      <c r="T125" s="16">
        <f t="shared" si="7"/>
        <v>2</v>
      </c>
      <c r="U125" s="16">
        <f t="shared" si="8"/>
        <v>2</v>
      </c>
      <c r="V125" s="14" t="s">
        <v>200</v>
      </c>
      <c r="W125" s="15">
        <v>0</v>
      </c>
      <c r="X125" s="15">
        <v>0</v>
      </c>
      <c r="Y125" s="15">
        <v>0</v>
      </c>
      <c r="Z125" s="14" t="s">
        <v>201</v>
      </c>
      <c r="AA125" s="15">
        <v>0</v>
      </c>
      <c r="AB125" s="14" t="s">
        <v>202</v>
      </c>
      <c r="AC125" s="17">
        <v>0</v>
      </c>
      <c r="AD125" s="20"/>
    </row>
    <row r="126" spans="3:30" ht="45.75" customHeight="1" thickBot="1" x14ac:dyDescent="0.5">
      <c r="C126" s="12"/>
      <c r="D126" s="13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5"/>
      <c r="P126" s="15"/>
      <c r="Q126" s="14"/>
      <c r="R126" s="14"/>
      <c r="S126" s="16"/>
      <c r="T126" s="16"/>
      <c r="U126" s="16"/>
      <c r="V126" s="14"/>
      <c r="W126" s="15"/>
      <c r="X126" s="15"/>
      <c r="Y126" s="15"/>
      <c r="Z126" s="14"/>
      <c r="AA126" s="15"/>
      <c r="AB126" s="14"/>
      <c r="AC126" s="17"/>
      <c r="AD126" s="20"/>
    </row>
    <row r="127" spans="3:30" ht="45.75" customHeight="1" thickBot="1" x14ac:dyDescent="0.5">
      <c r="C127" s="12"/>
      <c r="D127" s="13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5"/>
      <c r="P127" s="15"/>
      <c r="Q127" s="14"/>
      <c r="R127" s="14"/>
      <c r="S127" s="16"/>
      <c r="T127" s="16"/>
      <c r="U127" s="16"/>
      <c r="V127" s="14"/>
      <c r="W127" s="15"/>
      <c r="X127" s="15"/>
      <c r="Y127" s="15"/>
      <c r="Z127" s="14"/>
      <c r="AA127" s="15"/>
      <c r="AB127" s="14"/>
      <c r="AC127" s="17"/>
      <c r="AD127" s="20"/>
    </row>
    <row r="128" spans="3:30" ht="45.75" customHeight="1" thickBot="1" x14ac:dyDescent="0.5">
      <c r="C128" s="12"/>
      <c r="D128" s="13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5"/>
      <c r="P128" s="15"/>
      <c r="Q128" s="14"/>
      <c r="R128" s="14"/>
      <c r="S128" s="16"/>
      <c r="T128" s="16"/>
      <c r="U128" s="16"/>
      <c r="V128" s="14"/>
      <c r="W128" s="15"/>
      <c r="X128" s="15"/>
      <c r="Y128" s="15"/>
      <c r="Z128" s="14"/>
      <c r="AA128" s="15"/>
      <c r="AB128" s="14"/>
      <c r="AC128" s="17"/>
      <c r="AD128" s="20"/>
    </row>
    <row r="129" spans="3:30" ht="45.75" customHeight="1" thickBot="1" x14ac:dyDescent="0.5">
      <c r="C129" s="12"/>
      <c r="D129" s="13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5"/>
      <c r="P129" s="15"/>
      <c r="Q129" s="14"/>
      <c r="R129" s="14"/>
      <c r="S129" s="16"/>
      <c r="T129" s="16"/>
      <c r="U129" s="16"/>
      <c r="V129" s="14"/>
      <c r="W129" s="15"/>
      <c r="X129" s="15"/>
      <c r="Y129" s="15"/>
      <c r="Z129" s="14"/>
      <c r="AA129" s="15"/>
      <c r="AB129" s="14"/>
      <c r="AC129" s="17"/>
      <c r="AD129" s="20"/>
    </row>
    <row r="130" spans="3:30" ht="45.75" customHeight="1" thickBot="1" x14ac:dyDescent="0.5">
      <c r="C130" s="12"/>
      <c r="D130" s="13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5"/>
      <c r="P130" s="15"/>
      <c r="Q130" s="14"/>
      <c r="R130" s="14"/>
      <c r="S130" s="16"/>
      <c r="T130" s="16"/>
      <c r="U130" s="16"/>
      <c r="V130" s="14"/>
      <c r="W130" s="15"/>
      <c r="X130" s="15"/>
      <c r="Y130" s="15"/>
      <c r="Z130" s="14"/>
      <c r="AA130" s="15"/>
      <c r="AB130" s="14"/>
      <c r="AC130" s="17"/>
      <c r="AD130" s="20"/>
    </row>
    <row r="131" spans="3:30" ht="45.75" customHeight="1" thickBot="1" x14ac:dyDescent="0.5">
      <c r="C131" s="12"/>
      <c r="D131" s="13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5"/>
      <c r="P131" s="15"/>
      <c r="Q131" s="14"/>
      <c r="R131" s="14"/>
      <c r="S131" s="16"/>
      <c r="T131" s="16"/>
      <c r="U131" s="16"/>
      <c r="V131" s="14"/>
      <c r="W131" s="15"/>
      <c r="X131" s="15"/>
      <c r="Y131" s="15"/>
      <c r="Z131" s="14"/>
      <c r="AA131" s="15"/>
      <c r="AB131" s="14"/>
      <c r="AC131" s="17"/>
      <c r="AD131" s="20"/>
    </row>
    <row r="132" spans="3:30" ht="45.75" customHeight="1" thickBot="1" x14ac:dyDescent="0.5">
      <c r="C132" s="12"/>
      <c r="D132" s="13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5"/>
      <c r="P132" s="15"/>
      <c r="Q132" s="14"/>
      <c r="R132" s="14"/>
      <c r="S132" s="16"/>
      <c r="T132" s="16"/>
      <c r="U132" s="16"/>
      <c r="V132" s="14"/>
      <c r="W132" s="15"/>
      <c r="X132" s="15"/>
      <c r="Y132" s="15"/>
      <c r="Z132" s="14"/>
      <c r="AA132" s="15"/>
      <c r="AB132" s="14"/>
      <c r="AC132" s="17"/>
      <c r="AD132" s="20"/>
    </row>
    <row r="133" spans="3:30" ht="45.75" customHeight="1" thickBot="1" x14ac:dyDescent="0.5">
      <c r="C133" s="12"/>
      <c r="D133" s="13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5"/>
      <c r="P133" s="15"/>
      <c r="Q133" s="14"/>
      <c r="R133" s="14"/>
      <c r="S133" s="16"/>
      <c r="T133" s="16"/>
      <c r="U133" s="16"/>
      <c r="V133" s="14"/>
      <c r="W133" s="15"/>
      <c r="X133" s="15"/>
      <c r="Y133" s="15"/>
      <c r="Z133" s="14"/>
      <c r="AA133" s="15"/>
      <c r="AB133" s="14"/>
      <c r="AC133" s="17"/>
      <c r="AD133" s="20"/>
    </row>
    <row r="134" spans="3:30" ht="45.75" customHeight="1" thickBot="1" x14ac:dyDescent="0.5">
      <c r="C134" s="12"/>
      <c r="D134" s="13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5"/>
      <c r="P134" s="15"/>
      <c r="Q134" s="14"/>
      <c r="R134" s="14"/>
      <c r="S134" s="16"/>
      <c r="T134" s="16"/>
      <c r="U134" s="16"/>
      <c r="V134" s="14"/>
      <c r="W134" s="15"/>
      <c r="X134" s="15"/>
      <c r="Y134" s="15"/>
      <c r="Z134" s="14"/>
      <c r="AA134" s="15"/>
      <c r="AB134" s="14"/>
      <c r="AC134" s="17"/>
      <c r="AD134" s="20"/>
    </row>
    <row r="135" spans="3:30" ht="45.75" customHeight="1" thickBot="1" x14ac:dyDescent="0.5">
      <c r="C135" s="12"/>
      <c r="D135" s="13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5"/>
      <c r="P135" s="15"/>
      <c r="Q135" s="14"/>
      <c r="R135" s="14"/>
      <c r="S135" s="16"/>
      <c r="T135" s="16"/>
      <c r="U135" s="16"/>
      <c r="V135" s="14"/>
      <c r="W135" s="15"/>
      <c r="X135" s="15"/>
      <c r="Y135" s="15"/>
      <c r="Z135" s="14"/>
      <c r="AA135" s="15"/>
      <c r="AB135" s="14"/>
      <c r="AC135" s="17"/>
      <c r="AD135" s="20"/>
    </row>
    <row r="136" spans="3:30" ht="45.75" customHeight="1" thickBot="1" x14ac:dyDescent="0.5">
      <c r="C136" s="12"/>
      <c r="D136" s="13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5"/>
      <c r="P136" s="15"/>
      <c r="Q136" s="14"/>
      <c r="R136" s="14"/>
      <c r="S136" s="16"/>
      <c r="T136" s="16"/>
      <c r="U136" s="16"/>
      <c r="V136" s="14"/>
      <c r="W136" s="15"/>
      <c r="X136" s="15"/>
      <c r="Y136" s="15"/>
      <c r="Z136" s="14"/>
      <c r="AA136" s="15"/>
      <c r="AB136" s="14"/>
      <c r="AC136" s="17"/>
      <c r="AD136" s="20"/>
    </row>
    <row r="137" spans="3:30" ht="45.75" customHeight="1" thickBot="1" x14ac:dyDescent="0.5">
      <c r="C137" s="12"/>
      <c r="D137" s="13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5"/>
      <c r="P137" s="15"/>
      <c r="Q137" s="14"/>
      <c r="R137" s="14"/>
      <c r="S137" s="16"/>
      <c r="T137" s="16"/>
      <c r="U137" s="16"/>
      <c r="V137" s="14"/>
      <c r="W137" s="15"/>
      <c r="X137" s="15"/>
      <c r="Y137" s="15"/>
      <c r="Z137" s="14"/>
      <c r="AA137" s="15"/>
      <c r="AB137" s="14"/>
      <c r="AC137" s="17"/>
      <c r="AD137" s="20"/>
    </row>
    <row r="138" spans="3:30" ht="45.75" customHeight="1" thickBot="1" x14ac:dyDescent="0.5">
      <c r="C138" s="12"/>
      <c r="D138" s="13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5"/>
      <c r="P138" s="15"/>
      <c r="Q138" s="14"/>
      <c r="R138" s="14"/>
      <c r="S138" s="16"/>
      <c r="T138" s="16"/>
      <c r="U138" s="16"/>
      <c r="V138" s="14"/>
      <c r="W138" s="15"/>
      <c r="X138" s="15"/>
      <c r="Y138" s="15"/>
      <c r="Z138" s="14"/>
      <c r="AA138" s="15"/>
      <c r="AB138" s="14"/>
      <c r="AC138" s="17"/>
      <c r="AD138" s="20"/>
    </row>
    <row r="139" spans="3:30" ht="45.75" customHeight="1" thickBot="1" x14ac:dyDescent="0.5">
      <c r="C139" s="12"/>
      <c r="D139" s="13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5"/>
      <c r="P139" s="15"/>
      <c r="Q139" s="14"/>
      <c r="R139" s="14"/>
      <c r="S139" s="16"/>
      <c r="T139" s="16"/>
      <c r="U139" s="16"/>
      <c r="V139" s="14"/>
      <c r="W139" s="15"/>
      <c r="X139" s="15"/>
      <c r="Y139" s="15"/>
      <c r="Z139" s="14"/>
      <c r="AA139" s="15"/>
      <c r="AB139" s="14"/>
      <c r="AC139" s="17"/>
      <c r="AD139" s="20"/>
    </row>
    <row r="140" spans="3:30" ht="45.75" customHeight="1" thickBot="1" x14ac:dyDescent="0.5">
      <c r="C140" s="12"/>
      <c r="D140" s="13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5"/>
      <c r="P140" s="15"/>
      <c r="Q140" s="14"/>
      <c r="R140" s="14"/>
      <c r="S140" s="16"/>
      <c r="T140" s="16"/>
      <c r="U140" s="16"/>
      <c r="V140" s="14"/>
      <c r="W140" s="15"/>
      <c r="X140" s="15"/>
      <c r="Y140" s="15"/>
      <c r="Z140" s="14"/>
      <c r="AA140" s="15"/>
      <c r="AB140" s="14"/>
      <c r="AC140" s="17"/>
      <c r="AD140" s="20"/>
    </row>
    <row r="141" spans="3:30" ht="45.75" customHeight="1" thickBot="1" x14ac:dyDescent="0.5">
      <c r="C141" s="12"/>
      <c r="D141" s="13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5"/>
      <c r="P141" s="15"/>
      <c r="Q141" s="14"/>
      <c r="R141" s="14"/>
      <c r="S141" s="16"/>
      <c r="T141" s="16"/>
      <c r="U141" s="16"/>
      <c r="V141" s="14"/>
      <c r="W141" s="15"/>
      <c r="X141" s="15"/>
      <c r="Y141" s="15"/>
      <c r="Z141" s="14"/>
      <c r="AA141" s="15"/>
      <c r="AB141" s="14"/>
      <c r="AC141" s="17"/>
      <c r="AD141" s="20"/>
    </row>
    <row r="142" spans="3:30" ht="45.75" customHeight="1" thickBot="1" x14ac:dyDescent="0.5">
      <c r="C142" s="12"/>
      <c r="D142" s="13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5"/>
      <c r="P142" s="15"/>
      <c r="Q142" s="14"/>
      <c r="R142" s="14"/>
      <c r="S142" s="16"/>
      <c r="T142" s="16"/>
      <c r="U142" s="16"/>
      <c r="V142" s="14"/>
      <c r="W142" s="15"/>
      <c r="X142" s="15"/>
      <c r="Y142" s="15"/>
      <c r="Z142" s="14"/>
      <c r="AA142" s="15"/>
      <c r="AB142" s="14"/>
      <c r="AC142" s="17"/>
      <c r="AD142" s="20"/>
    </row>
    <row r="143" spans="3:30" ht="45.75" customHeight="1" thickBot="1" x14ac:dyDescent="0.5">
      <c r="C143" s="12"/>
      <c r="D143" s="13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5"/>
      <c r="P143" s="15"/>
      <c r="Q143" s="14"/>
      <c r="R143" s="14"/>
      <c r="S143" s="16"/>
      <c r="T143" s="16"/>
      <c r="U143" s="16"/>
      <c r="V143" s="14"/>
      <c r="W143" s="15"/>
      <c r="X143" s="15"/>
      <c r="Y143" s="15"/>
      <c r="Z143" s="14"/>
      <c r="AA143" s="15"/>
      <c r="AB143" s="14"/>
      <c r="AC143" s="17"/>
      <c r="AD143" s="20"/>
    </row>
    <row r="144" spans="3:30" ht="45.75" customHeight="1" thickBot="1" x14ac:dyDescent="0.5">
      <c r="C144" s="12"/>
      <c r="D144" s="13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5"/>
      <c r="P144" s="15"/>
      <c r="Q144" s="14"/>
      <c r="R144" s="14"/>
      <c r="S144" s="16"/>
      <c r="T144" s="16"/>
      <c r="U144" s="16"/>
      <c r="V144" s="14"/>
      <c r="W144" s="15"/>
      <c r="X144" s="15"/>
      <c r="Y144" s="15"/>
      <c r="Z144" s="14"/>
      <c r="AA144" s="15"/>
      <c r="AB144" s="14"/>
      <c r="AC144" s="17"/>
      <c r="AD144" s="20"/>
    </row>
    <row r="145" spans="3:29" ht="14.25" customHeight="1" thickBot="1" x14ac:dyDescent="0.5">
      <c r="C145" s="12"/>
      <c r="D145" s="13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P145" s="15"/>
      <c r="Q145" s="14"/>
      <c r="T145" s="16"/>
      <c r="U145" s="16"/>
      <c r="V145" s="14"/>
      <c r="W145" s="15"/>
      <c r="X145" s="15"/>
      <c r="Y145" s="15"/>
      <c r="Z145" s="14"/>
      <c r="AA145" s="15"/>
      <c r="AB145" s="14"/>
      <c r="AC145" s="17"/>
    </row>
    <row r="146" spans="3:29" ht="14.25" customHeight="1" thickBot="1" x14ac:dyDescent="0.5">
      <c r="C146" s="12"/>
      <c r="D146" s="13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P146" s="15"/>
      <c r="Q146" s="14"/>
      <c r="T146" s="16"/>
      <c r="U146" s="16"/>
      <c r="V146" s="14"/>
      <c r="W146" s="15"/>
      <c r="X146" s="15"/>
      <c r="Y146" s="15"/>
      <c r="Z146" s="14"/>
      <c r="AA146" s="15"/>
      <c r="AB146" s="14"/>
      <c r="AC146" s="17"/>
    </row>
    <row r="147" spans="3:29" ht="14.25" customHeight="1" thickBot="1" x14ac:dyDescent="0.5">
      <c r="C147" s="12"/>
      <c r="D147" s="13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P147" s="15"/>
      <c r="Q147" s="14"/>
      <c r="T147" s="16"/>
      <c r="U147" s="16"/>
      <c r="V147" s="14"/>
      <c r="W147" s="15"/>
      <c r="X147" s="15"/>
      <c r="Y147" s="15"/>
      <c r="Z147" s="14"/>
      <c r="AA147" s="15"/>
      <c r="AB147" s="14"/>
      <c r="AC147" s="17"/>
    </row>
    <row r="148" spans="3:29" ht="14.25" customHeight="1" thickBot="1" x14ac:dyDescent="0.5">
      <c r="C148" s="12"/>
      <c r="D148" s="13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P148" s="15"/>
      <c r="Q148" s="14"/>
      <c r="T148" s="16"/>
      <c r="U148" s="16"/>
      <c r="V148" s="14"/>
      <c r="W148" s="15"/>
      <c r="X148" s="15"/>
      <c r="Y148" s="15"/>
      <c r="Z148" s="14"/>
      <c r="AA148" s="15"/>
      <c r="AB148" s="14"/>
      <c r="AC148" s="17"/>
    </row>
    <row r="149" spans="3:29" ht="14.25" customHeight="1" thickBot="1" x14ac:dyDescent="0.5">
      <c r="C149" s="12"/>
      <c r="D149" s="13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P149" s="15"/>
      <c r="Q149" s="14"/>
      <c r="T149" s="16"/>
      <c r="U149" s="16"/>
      <c r="V149" s="14"/>
      <c r="W149" s="15"/>
      <c r="X149" s="15"/>
      <c r="Y149" s="15"/>
      <c r="Z149" s="14"/>
      <c r="AA149" s="15"/>
      <c r="AB149" s="14"/>
      <c r="AC149" s="17"/>
    </row>
    <row r="150" spans="3:29" ht="14.25" customHeight="1" thickBot="1" x14ac:dyDescent="0.5">
      <c r="C150" s="12"/>
      <c r="D150" s="13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P150" s="15"/>
      <c r="Q150" s="14"/>
      <c r="T150" s="16"/>
      <c r="U150" s="16"/>
      <c r="V150" s="14"/>
      <c r="W150" s="15"/>
      <c r="X150" s="15"/>
      <c r="Y150" s="15"/>
      <c r="Z150" s="14"/>
      <c r="AA150" s="15"/>
      <c r="AB150" s="14"/>
      <c r="AC150" s="17"/>
    </row>
    <row r="151" spans="3:29" ht="14.25" customHeight="1" thickBot="1" x14ac:dyDescent="0.5">
      <c r="C151" s="12"/>
      <c r="D151" s="13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P151" s="15"/>
      <c r="Q151" s="14"/>
      <c r="T151" s="16"/>
      <c r="U151" s="16"/>
      <c r="V151" s="14"/>
      <c r="W151" s="15"/>
      <c r="X151" s="15"/>
      <c r="Y151" s="15"/>
      <c r="Z151" s="14"/>
      <c r="AA151" s="15"/>
      <c r="AB151" s="14"/>
      <c r="AC151" s="17"/>
    </row>
    <row r="152" spans="3:29" ht="14.25" customHeight="1" thickBot="1" x14ac:dyDescent="0.5">
      <c r="C152" s="12"/>
      <c r="D152" s="13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P152" s="15"/>
      <c r="Q152" s="14"/>
      <c r="T152" s="16"/>
      <c r="U152" s="16"/>
      <c r="V152" s="14"/>
      <c r="W152" s="15"/>
      <c r="X152" s="15"/>
      <c r="Y152" s="15"/>
      <c r="Z152" s="14"/>
      <c r="AA152" s="15"/>
      <c r="AB152" s="14"/>
      <c r="AC152" s="17"/>
    </row>
    <row r="153" spans="3:29" ht="14.25" customHeight="1" thickBot="1" x14ac:dyDescent="0.5">
      <c r="C153" s="12"/>
      <c r="D153" s="13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P153" s="15"/>
      <c r="Q153" s="14"/>
      <c r="T153" s="16"/>
      <c r="U153" s="16"/>
      <c r="V153" s="14"/>
      <c r="W153" s="15"/>
      <c r="X153" s="15"/>
      <c r="Y153" s="15"/>
      <c r="Z153" s="14"/>
      <c r="AA153" s="15"/>
      <c r="AB153" s="14"/>
      <c r="AC153" s="17"/>
    </row>
    <row r="154" spans="3:29" ht="14.25" customHeight="1" thickBot="1" x14ac:dyDescent="0.5">
      <c r="C154" s="12"/>
      <c r="D154" s="13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P154" s="15"/>
      <c r="Q154" s="14"/>
      <c r="T154" s="16"/>
      <c r="U154" s="16"/>
      <c r="V154" s="14"/>
      <c r="W154" s="15"/>
      <c r="X154" s="15"/>
      <c r="Y154" s="15"/>
      <c r="Z154" s="14"/>
      <c r="AA154" s="15"/>
      <c r="AB154" s="14"/>
      <c r="AC154" s="17"/>
    </row>
    <row r="155" spans="3:29" ht="14.25" customHeight="1" thickBot="1" x14ac:dyDescent="0.5">
      <c r="C155" s="12"/>
      <c r="D155" s="13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P155" s="15"/>
      <c r="Q155" s="14"/>
      <c r="T155" s="16"/>
      <c r="U155" s="16"/>
      <c r="V155" s="14"/>
      <c r="W155" s="15"/>
      <c r="X155" s="15"/>
      <c r="Y155" s="15"/>
      <c r="Z155" s="14"/>
      <c r="AA155" s="15"/>
      <c r="AB155" s="14"/>
      <c r="AC155" s="17"/>
    </row>
    <row r="156" spans="3:29" ht="14.25" customHeight="1" thickBot="1" x14ac:dyDescent="0.5">
      <c r="C156" s="12"/>
      <c r="D156" s="13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P156" s="15"/>
      <c r="Q156" s="14"/>
      <c r="T156" s="16"/>
      <c r="U156" s="16"/>
      <c r="V156" s="14"/>
      <c r="W156" s="15"/>
      <c r="X156" s="15"/>
      <c r="Y156" s="15"/>
      <c r="Z156" s="14"/>
      <c r="AA156" s="15"/>
      <c r="AB156" s="14"/>
      <c r="AC156" s="17"/>
    </row>
    <row r="157" spans="3:29" ht="14.25" customHeight="1" thickBot="1" x14ac:dyDescent="0.5">
      <c r="C157" s="12"/>
      <c r="D157" s="13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P157" s="15"/>
      <c r="Q157" s="14"/>
      <c r="T157" s="16"/>
      <c r="U157" s="16"/>
      <c r="V157" s="14"/>
      <c r="W157" s="15"/>
      <c r="X157" s="15"/>
      <c r="Y157" s="15"/>
      <c r="Z157" s="14"/>
      <c r="AA157" s="15"/>
      <c r="AB157" s="14"/>
      <c r="AC157" s="17"/>
    </row>
    <row r="158" spans="3:29" ht="14.25" customHeight="1" thickBot="1" x14ac:dyDescent="0.5">
      <c r="C158" s="12"/>
      <c r="D158" s="13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P158" s="15"/>
      <c r="Q158" s="14"/>
      <c r="T158" s="16"/>
      <c r="U158" s="16"/>
      <c r="V158" s="14"/>
      <c r="W158" s="15"/>
      <c r="X158" s="15"/>
      <c r="Y158" s="15"/>
      <c r="Z158" s="14"/>
      <c r="AA158" s="15"/>
      <c r="AB158" s="14"/>
      <c r="AC158" s="17"/>
    </row>
    <row r="159" spans="3:29" ht="14.25" customHeight="1" thickBot="1" x14ac:dyDescent="0.5">
      <c r="C159" s="12"/>
      <c r="D159" s="13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P159" s="15"/>
      <c r="Q159" s="14"/>
      <c r="T159" s="16"/>
      <c r="U159" s="16"/>
      <c r="V159" s="14"/>
      <c r="W159" s="15"/>
      <c r="X159" s="15"/>
      <c r="Y159" s="15"/>
      <c r="Z159" s="14"/>
      <c r="AA159" s="15"/>
      <c r="AB159" s="14"/>
      <c r="AC159" s="17"/>
    </row>
    <row r="160" spans="3:29" ht="14.25" customHeight="1" thickBot="1" x14ac:dyDescent="0.5">
      <c r="C160" s="12"/>
      <c r="D160" s="13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P160" s="15"/>
      <c r="Q160" s="14"/>
      <c r="T160" s="16"/>
      <c r="U160" s="16"/>
      <c r="V160" s="14"/>
      <c r="W160" s="15"/>
      <c r="X160" s="15"/>
      <c r="Y160" s="15"/>
      <c r="Z160" s="14"/>
      <c r="AA160" s="15"/>
      <c r="AB160" s="14"/>
      <c r="AC160" s="17"/>
    </row>
    <row r="161" spans="3:29" ht="14.25" customHeight="1" thickBot="1" x14ac:dyDescent="0.5">
      <c r="C161" s="12"/>
      <c r="D161" s="13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P161" s="15"/>
      <c r="Q161" s="14"/>
      <c r="T161" s="16"/>
      <c r="U161" s="16"/>
      <c r="V161" s="14"/>
      <c r="W161" s="15"/>
      <c r="X161" s="15"/>
      <c r="Y161" s="15"/>
      <c r="Z161" s="14"/>
      <c r="AA161" s="15"/>
      <c r="AB161" s="14"/>
      <c r="AC161" s="17"/>
    </row>
    <row r="162" spans="3:29" ht="14.25" customHeight="1" thickBot="1" x14ac:dyDescent="0.5">
      <c r="C162" s="12"/>
      <c r="D162" s="13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P162" s="15"/>
      <c r="Q162" s="14"/>
      <c r="T162" s="16"/>
      <c r="U162" s="16"/>
      <c r="V162" s="14"/>
      <c r="W162" s="15"/>
      <c r="X162" s="15"/>
      <c r="Y162" s="15"/>
      <c r="Z162" s="14"/>
      <c r="AA162" s="15"/>
      <c r="AB162" s="14"/>
      <c r="AC162" s="17"/>
    </row>
    <row r="163" spans="3:29" ht="14.25" customHeight="1" thickBot="1" x14ac:dyDescent="0.5">
      <c r="C163" s="12"/>
      <c r="D163" s="13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P163" s="15"/>
      <c r="Q163" s="14"/>
      <c r="T163" s="16"/>
      <c r="U163" s="16"/>
      <c r="V163" s="14"/>
      <c r="W163" s="15"/>
      <c r="X163" s="15"/>
      <c r="Y163" s="15"/>
      <c r="Z163" s="14"/>
      <c r="AA163" s="15"/>
      <c r="AB163" s="14"/>
      <c r="AC163" s="17"/>
    </row>
    <row r="164" spans="3:29" ht="14.25" customHeight="1" thickBot="1" x14ac:dyDescent="0.5">
      <c r="C164" s="12"/>
      <c r="D164" s="13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P164" s="15"/>
      <c r="Q164" s="14"/>
      <c r="T164" s="16"/>
      <c r="U164" s="16"/>
      <c r="V164" s="14"/>
      <c r="W164" s="15"/>
      <c r="X164" s="15"/>
      <c r="Y164" s="15"/>
      <c r="Z164" s="14"/>
      <c r="AA164" s="15"/>
      <c r="AB164" s="14"/>
      <c r="AC164" s="17"/>
    </row>
    <row r="165" spans="3:29" ht="14.25" customHeight="1" thickBot="1" x14ac:dyDescent="0.5">
      <c r="C165" s="12"/>
      <c r="D165" s="13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P165" s="15"/>
      <c r="Q165" s="14"/>
      <c r="T165" s="16"/>
      <c r="U165" s="16"/>
      <c r="V165" s="14"/>
      <c r="W165" s="15"/>
      <c r="X165" s="15"/>
      <c r="Y165" s="15"/>
      <c r="Z165" s="14"/>
      <c r="AA165" s="15"/>
      <c r="AB165" s="14"/>
      <c r="AC165" s="17"/>
    </row>
    <row r="166" spans="3:29" ht="14.25" customHeight="1" thickBot="1" x14ac:dyDescent="0.5">
      <c r="C166" s="12"/>
      <c r="D166" s="13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P166" s="15"/>
      <c r="Q166" s="14"/>
      <c r="T166" s="16"/>
      <c r="U166" s="16"/>
      <c r="V166" s="14"/>
      <c r="W166" s="15"/>
      <c r="X166" s="15"/>
      <c r="Y166" s="15"/>
      <c r="Z166" s="14"/>
      <c r="AA166" s="15"/>
      <c r="AB166" s="14"/>
      <c r="AC166" s="17"/>
    </row>
    <row r="167" spans="3:29" ht="14.25" customHeight="1" thickBot="1" x14ac:dyDescent="0.5">
      <c r="C167" s="12"/>
      <c r="D167" s="13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P167" s="15"/>
      <c r="Q167" s="14"/>
      <c r="T167" s="16"/>
      <c r="U167" s="16"/>
      <c r="V167" s="14"/>
      <c r="W167" s="15"/>
      <c r="X167" s="15"/>
      <c r="Y167" s="15"/>
      <c r="Z167" s="14"/>
      <c r="AA167" s="15"/>
      <c r="AB167" s="14"/>
      <c r="AC167" s="17"/>
    </row>
    <row r="168" spans="3:29" ht="14.25" customHeight="1" thickBot="1" x14ac:dyDescent="0.5">
      <c r="C168" s="12"/>
      <c r="D168" s="13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P168" s="15"/>
      <c r="Q168" s="14"/>
      <c r="T168" s="16"/>
      <c r="U168" s="16"/>
      <c r="V168" s="14"/>
      <c r="W168" s="15"/>
      <c r="X168" s="15"/>
      <c r="Y168" s="15"/>
      <c r="Z168" s="14"/>
      <c r="AA168" s="15"/>
      <c r="AB168" s="14"/>
      <c r="AC168" s="17"/>
    </row>
    <row r="169" spans="3:29" ht="14.25" customHeight="1" thickBot="1" x14ac:dyDescent="0.5">
      <c r="C169" s="12"/>
      <c r="D169" s="13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P169" s="15"/>
      <c r="Q169" s="14"/>
      <c r="T169" s="16"/>
      <c r="U169" s="16"/>
      <c r="V169" s="14"/>
      <c r="W169" s="15"/>
      <c r="X169" s="15"/>
      <c r="Y169" s="15"/>
      <c r="Z169" s="14"/>
      <c r="AA169" s="15"/>
      <c r="AB169" s="14"/>
      <c r="AC169" s="17"/>
    </row>
    <row r="170" spans="3:29" ht="14.25" customHeight="1" thickBot="1" x14ac:dyDescent="0.5">
      <c r="C170" s="12"/>
      <c r="D170" s="13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P170" s="15"/>
      <c r="Q170" s="14"/>
      <c r="T170" s="16"/>
      <c r="U170" s="16"/>
      <c r="V170" s="14"/>
      <c r="W170" s="15"/>
      <c r="X170" s="15"/>
      <c r="Y170" s="15"/>
      <c r="Z170" s="14"/>
      <c r="AA170" s="15"/>
      <c r="AB170" s="14"/>
      <c r="AC170" s="17"/>
    </row>
    <row r="171" spans="3:29" ht="14.25" customHeight="1" thickBot="1" x14ac:dyDescent="0.5">
      <c r="C171" s="12"/>
      <c r="D171" s="13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P171" s="15"/>
      <c r="Q171" s="14"/>
      <c r="T171" s="16"/>
      <c r="U171" s="16"/>
      <c r="V171" s="14"/>
      <c r="W171" s="15"/>
      <c r="X171" s="15"/>
      <c r="Y171" s="15"/>
      <c r="Z171" s="14"/>
      <c r="AA171" s="15"/>
      <c r="AB171" s="14"/>
      <c r="AC171" s="17"/>
    </row>
    <row r="172" spans="3:29" ht="14.25" customHeight="1" thickBot="1" x14ac:dyDescent="0.5">
      <c r="C172" s="12"/>
      <c r="D172" s="13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P172" s="15"/>
      <c r="Q172" s="14"/>
      <c r="T172" s="16"/>
      <c r="U172" s="16"/>
      <c r="V172" s="14"/>
      <c r="W172" s="15"/>
      <c r="X172" s="15"/>
      <c r="Y172" s="15"/>
      <c r="Z172" s="14"/>
      <c r="AA172" s="15"/>
      <c r="AB172" s="14"/>
      <c r="AC172" s="17"/>
    </row>
    <row r="173" spans="3:29" ht="14.25" customHeight="1" thickBot="1" x14ac:dyDescent="0.5">
      <c r="C173" s="12"/>
      <c r="D173" s="13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P173" s="15"/>
      <c r="Q173" s="14"/>
      <c r="T173" s="16"/>
      <c r="U173" s="16"/>
      <c r="V173" s="14"/>
      <c r="W173" s="15"/>
      <c r="X173" s="15"/>
      <c r="Y173" s="15"/>
      <c r="Z173" s="14"/>
      <c r="AA173" s="15"/>
      <c r="AB173" s="14"/>
      <c r="AC173" s="17"/>
    </row>
    <row r="174" spans="3:29" ht="14.25" customHeight="1" thickBot="1" x14ac:dyDescent="0.5">
      <c r="C174" s="12"/>
      <c r="D174" s="13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P174" s="15"/>
      <c r="Q174" s="14"/>
      <c r="T174" s="16"/>
      <c r="U174" s="16"/>
      <c r="V174" s="14"/>
      <c r="W174" s="15"/>
      <c r="X174" s="15"/>
      <c r="Y174" s="15"/>
      <c r="Z174" s="14"/>
      <c r="AA174" s="15"/>
      <c r="AB174" s="14"/>
      <c r="AC174" s="17"/>
    </row>
    <row r="175" spans="3:29" ht="14.25" customHeight="1" thickBot="1" x14ac:dyDescent="0.5">
      <c r="C175" s="12"/>
      <c r="D175" s="13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P175" s="15"/>
      <c r="Q175" s="14"/>
      <c r="T175" s="16"/>
      <c r="U175" s="16"/>
      <c r="V175" s="14"/>
      <c r="W175" s="15"/>
      <c r="X175" s="15"/>
      <c r="Y175" s="15"/>
      <c r="Z175" s="14"/>
      <c r="AA175" s="15"/>
      <c r="AB175" s="14"/>
      <c r="AC175" s="17"/>
    </row>
    <row r="176" spans="3:29" ht="14.25" customHeight="1" thickBot="1" x14ac:dyDescent="0.5">
      <c r="C176" s="12"/>
      <c r="D176" s="13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P176" s="15"/>
      <c r="Q176" s="14"/>
      <c r="T176" s="16"/>
      <c r="U176" s="16"/>
      <c r="V176" s="14"/>
      <c r="W176" s="15"/>
      <c r="X176" s="15"/>
      <c r="Y176" s="15"/>
      <c r="Z176" s="14"/>
      <c r="AA176" s="15"/>
      <c r="AB176" s="14"/>
      <c r="AC176" s="17"/>
    </row>
    <row r="177" spans="3:29" ht="14.25" customHeight="1" thickBot="1" x14ac:dyDescent="0.5">
      <c r="C177" s="12"/>
      <c r="D177" s="13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P177" s="15"/>
      <c r="Q177" s="14"/>
      <c r="T177" s="16"/>
      <c r="U177" s="16"/>
      <c r="V177" s="14"/>
      <c r="W177" s="15"/>
      <c r="X177" s="15"/>
      <c r="Y177" s="15"/>
      <c r="Z177" s="14"/>
      <c r="AA177" s="15"/>
      <c r="AB177" s="14"/>
      <c r="AC177" s="17"/>
    </row>
    <row r="178" spans="3:29" ht="14.25" customHeight="1" thickBot="1" x14ac:dyDescent="0.5">
      <c r="C178" s="12"/>
      <c r="D178" s="13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P178" s="15"/>
      <c r="Q178" s="14"/>
      <c r="T178" s="16"/>
      <c r="U178" s="16"/>
      <c r="V178" s="14"/>
      <c r="W178" s="15"/>
      <c r="X178" s="15"/>
      <c r="Y178" s="15"/>
      <c r="Z178" s="14"/>
      <c r="AA178" s="15"/>
      <c r="AB178" s="14"/>
      <c r="AC178" s="17"/>
    </row>
    <row r="179" spans="3:29" ht="14.25" customHeight="1" thickBot="1" x14ac:dyDescent="0.5">
      <c r="C179" s="12"/>
      <c r="D179" s="13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P179" s="15"/>
      <c r="Q179" s="14"/>
      <c r="T179" s="16"/>
      <c r="U179" s="16"/>
      <c r="V179" s="14"/>
      <c r="W179" s="15"/>
      <c r="X179" s="15"/>
      <c r="Y179" s="15"/>
      <c r="Z179" s="14"/>
      <c r="AA179" s="15"/>
      <c r="AB179" s="14"/>
      <c r="AC179" s="17"/>
    </row>
    <row r="180" spans="3:29" ht="14.25" customHeight="1" thickBot="1" x14ac:dyDescent="0.5">
      <c r="C180" s="12"/>
      <c r="D180" s="13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P180" s="15"/>
      <c r="Q180" s="14"/>
      <c r="T180" s="16"/>
      <c r="U180" s="16"/>
      <c r="V180" s="14"/>
      <c r="W180" s="15"/>
      <c r="X180" s="15"/>
      <c r="Y180" s="15"/>
      <c r="Z180" s="14"/>
      <c r="AA180" s="15"/>
      <c r="AB180" s="14"/>
      <c r="AC180" s="17"/>
    </row>
    <row r="181" spans="3:29" ht="14.25" customHeight="1" thickBot="1" x14ac:dyDescent="0.5">
      <c r="C181" s="12"/>
      <c r="D181" s="13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P181" s="15"/>
      <c r="Q181" s="14"/>
      <c r="T181" s="16"/>
      <c r="U181" s="16"/>
      <c r="V181" s="14"/>
      <c r="W181" s="15"/>
      <c r="X181" s="15"/>
      <c r="Y181" s="15"/>
      <c r="Z181" s="14"/>
      <c r="AA181" s="15"/>
      <c r="AB181" s="14"/>
      <c r="AC181" s="17"/>
    </row>
    <row r="182" spans="3:29" ht="14.25" customHeight="1" thickBot="1" x14ac:dyDescent="0.5">
      <c r="C182" s="12"/>
      <c r="D182" s="13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P182" s="15"/>
      <c r="Q182" s="14"/>
      <c r="T182" s="16"/>
      <c r="U182" s="16"/>
      <c r="V182" s="14"/>
      <c r="W182" s="15"/>
      <c r="X182" s="15"/>
      <c r="Y182" s="15"/>
      <c r="Z182" s="14"/>
      <c r="AA182" s="15"/>
      <c r="AB182" s="14"/>
      <c r="AC182" s="17"/>
    </row>
    <row r="183" spans="3:29" ht="14.25" customHeight="1" thickBot="1" x14ac:dyDescent="0.5">
      <c r="C183" s="12"/>
      <c r="D183" s="13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P183" s="15"/>
      <c r="Q183" s="14"/>
      <c r="T183" s="16"/>
      <c r="U183" s="16"/>
      <c r="V183" s="14"/>
      <c r="W183" s="15"/>
      <c r="X183" s="15"/>
      <c r="Y183" s="15"/>
      <c r="Z183" s="14"/>
      <c r="AA183" s="15"/>
      <c r="AB183" s="14"/>
      <c r="AC183" s="17"/>
    </row>
    <row r="184" spans="3:29" ht="14.25" customHeight="1" thickBot="1" x14ac:dyDescent="0.5">
      <c r="C184" s="12"/>
      <c r="D184" s="13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P184" s="15"/>
      <c r="Q184" s="14"/>
      <c r="T184" s="16"/>
      <c r="U184" s="16"/>
      <c r="V184" s="14"/>
      <c r="W184" s="15"/>
      <c r="X184" s="15"/>
      <c r="Y184" s="15"/>
      <c r="Z184" s="14"/>
      <c r="AA184" s="15"/>
      <c r="AB184" s="14"/>
      <c r="AC184" s="17"/>
    </row>
    <row r="185" spans="3:29" ht="14.25" customHeight="1" thickBot="1" x14ac:dyDescent="0.5">
      <c r="C185" s="12"/>
      <c r="D185" s="13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P185" s="15"/>
      <c r="Q185" s="14"/>
      <c r="T185" s="16"/>
      <c r="U185" s="16"/>
      <c r="V185" s="14"/>
      <c r="W185" s="15"/>
      <c r="X185" s="15"/>
      <c r="Y185" s="15"/>
      <c r="Z185" s="14"/>
      <c r="AA185" s="15"/>
      <c r="AB185" s="14"/>
      <c r="AC185" s="17"/>
    </row>
    <row r="186" spans="3:29" ht="14.25" customHeight="1" thickBot="1" x14ac:dyDescent="0.5">
      <c r="C186" s="12"/>
      <c r="D186" s="13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P186" s="15"/>
      <c r="Q186" s="14"/>
      <c r="T186" s="16"/>
      <c r="U186" s="16"/>
      <c r="V186" s="14"/>
      <c r="W186" s="15"/>
      <c r="X186" s="15"/>
      <c r="Y186" s="15"/>
      <c r="Z186" s="14"/>
      <c r="AA186" s="15"/>
      <c r="AB186" s="14"/>
      <c r="AC186" s="17"/>
    </row>
    <row r="187" spans="3:29" ht="14.25" customHeight="1" thickBot="1" x14ac:dyDescent="0.5">
      <c r="C187" s="12"/>
      <c r="D187" s="13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P187" s="15"/>
      <c r="Q187" s="14"/>
      <c r="T187" s="16"/>
      <c r="U187" s="16"/>
      <c r="V187" s="14"/>
      <c r="W187" s="15"/>
      <c r="X187" s="15"/>
      <c r="Y187" s="15"/>
      <c r="Z187" s="14"/>
      <c r="AA187" s="15"/>
      <c r="AB187" s="14"/>
      <c r="AC187" s="17"/>
    </row>
    <row r="188" spans="3:29" ht="14.25" customHeight="1" thickBot="1" x14ac:dyDescent="0.5">
      <c r="C188" s="12"/>
      <c r="D188" s="13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P188" s="15"/>
      <c r="Q188" s="14"/>
      <c r="T188" s="16"/>
      <c r="U188" s="16"/>
      <c r="V188" s="14"/>
      <c r="W188" s="15"/>
      <c r="X188" s="15"/>
      <c r="Y188" s="15"/>
      <c r="Z188" s="14"/>
      <c r="AA188" s="15"/>
      <c r="AB188" s="14"/>
      <c r="AC188" s="17"/>
    </row>
    <row r="189" spans="3:29" ht="14.25" customHeight="1" thickBot="1" x14ac:dyDescent="0.5">
      <c r="C189" s="12"/>
      <c r="D189" s="13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P189" s="15"/>
      <c r="Q189" s="14"/>
      <c r="T189" s="16"/>
      <c r="U189" s="16"/>
      <c r="V189" s="14"/>
      <c r="W189" s="15"/>
      <c r="X189" s="15"/>
      <c r="Y189" s="15"/>
      <c r="Z189" s="14"/>
      <c r="AA189" s="15"/>
      <c r="AB189" s="14"/>
      <c r="AC189" s="17"/>
    </row>
    <row r="190" spans="3:29" ht="14.25" customHeight="1" thickBot="1" x14ac:dyDescent="0.5">
      <c r="C190" s="12"/>
      <c r="D190" s="13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P190" s="15"/>
      <c r="Q190" s="14"/>
      <c r="T190" s="16"/>
      <c r="U190" s="16"/>
      <c r="V190" s="14"/>
      <c r="W190" s="15"/>
      <c r="X190" s="15"/>
      <c r="Y190" s="15"/>
      <c r="Z190" s="14"/>
      <c r="AA190" s="15"/>
      <c r="AB190" s="14"/>
      <c r="AC190" s="17"/>
    </row>
    <row r="191" spans="3:29" ht="14.25" customHeight="1" thickBot="1" x14ac:dyDescent="0.5">
      <c r="C191" s="12"/>
      <c r="D191" s="13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P191" s="15"/>
      <c r="Q191" s="14"/>
      <c r="T191" s="16"/>
      <c r="U191" s="16"/>
      <c r="V191" s="14"/>
      <c r="W191" s="15"/>
      <c r="X191" s="15"/>
      <c r="Y191" s="15"/>
      <c r="Z191" s="14"/>
      <c r="AA191" s="15"/>
      <c r="AB191" s="14"/>
      <c r="AC191" s="17"/>
    </row>
    <row r="192" spans="3:29" ht="14.25" customHeight="1" thickBot="1" x14ac:dyDescent="0.5">
      <c r="C192" s="12"/>
      <c r="D192" s="13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P192" s="15"/>
      <c r="Q192" s="14"/>
      <c r="T192" s="16"/>
      <c r="U192" s="16"/>
      <c r="V192" s="14"/>
      <c r="W192" s="15"/>
      <c r="X192" s="15"/>
      <c r="Y192" s="15"/>
      <c r="Z192" s="14"/>
      <c r="AA192" s="15"/>
      <c r="AB192" s="14"/>
      <c r="AC192" s="17"/>
    </row>
    <row r="193" spans="3:29" ht="14.25" customHeight="1" thickBot="1" x14ac:dyDescent="0.5">
      <c r="C193" s="12"/>
      <c r="D193" s="13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P193" s="15"/>
      <c r="Q193" s="14"/>
      <c r="T193" s="16"/>
      <c r="U193" s="16"/>
      <c r="V193" s="14"/>
      <c r="W193" s="15"/>
      <c r="X193" s="15"/>
      <c r="Y193" s="15"/>
      <c r="Z193" s="14"/>
      <c r="AA193" s="15"/>
      <c r="AB193" s="14"/>
      <c r="AC193" s="17"/>
    </row>
    <row r="194" spans="3:29" ht="14.25" customHeight="1" thickBot="1" x14ac:dyDescent="0.5">
      <c r="C194" s="12"/>
      <c r="D194" s="13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P194" s="15"/>
      <c r="Q194" s="14"/>
      <c r="T194" s="16"/>
      <c r="U194" s="16"/>
      <c r="V194" s="14"/>
      <c r="W194" s="15"/>
      <c r="X194" s="15"/>
      <c r="Y194" s="15"/>
      <c r="Z194" s="14"/>
      <c r="AA194" s="15"/>
      <c r="AB194" s="14"/>
      <c r="AC194" s="17"/>
    </row>
    <row r="195" spans="3:29" ht="14.25" customHeight="1" thickBot="1" x14ac:dyDescent="0.5">
      <c r="C195" s="12"/>
      <c r="D195" s="13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P195" s="15"/>
      <c r="Q195" s="14"/>
      <c r="T195" s="16"/>
      <c r="U195" s="16"/>
      <c r="V195" s="14"/>
      <c r="W195" s="15"/>
      <c r="X195" s="15"/>
      <c r="Y195" s="15"/>
      <c r="Z195" s="14"/>
      <c r="AA195" s="15"/>
      <c r="AB195" s="14"/>
      <c r="AC195" s="17"/>
    </row>
    <row r="196" spans="3:29" ht="14.25" customHeight="1" thickBot="1" x14ac:dyDescent="0.5">
      <c r="C196" s="12"/>
      <c r="D196" s="13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P196" s="15"/>
      <c r="Q196" s="14"/>
      <c r="T196" s="16"/>
      <c r="U196" s="16"/>
      <c r="V196" s="14"/>
      <c r="W196" s="15"/>
      <c r="X196" s="15"/>
      <c r="Y196" s="15"/>
      <c r="Z196" s="14"/>
      <c r="AA196" s="15"/>
      <c r="AB196" s="14"/>
      <c r="AC196" s="17"/>
    </row>
    <row r="197" spans="3:29" ht="14.25" customHeight="1" thickBot="1" x14ac:dyDescent="0.5">
      <c r="C197" s="12"/>
      <c r="D197" s="13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P197" s="15"/>
      <c r="Q197" s="14"/>
      <c r="T197" s="16"/>
      <c r="U197" s="16"/>
      <c r="V197" s="14"/>
      <c r="W197" s="15"/>
      <c r="X197" s="15"/>
      <c r="Y197" s="15"/>
      <c r="Z197" s="14"/>
      <c r="AA197" s="15"/>
      <c r="AB197" s="14"/>
      <c r="AC197" s="17"/>
    </row>
    <row r="198" spans="3:29" ht="14.25" customHeight="1" thickBot="1" x14ac:dyDescent="0.5">
      <c r="C198" s="12"/>
      <c r="D198" s="13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P198" s="15"/>
      <c r="Q198" s="14"/>
      <c r="T198" s="16"/>
      <c r="U198" s="16"/>
      <c r="V198" s="14"/>
      <c r="W198" s="15"/>
      <c r="X198" s="15"/>
      <c r="Y198" s="15"/>
      <c r="Z198" s="14"/>
      <c r="AA198" s="15"/>
      <c r="AB198" s="14"/>
      <c r="AC198" s="17"/>
    </row>
    <row r="199" spans="3:29" ht="14.25" customHeight="1" thickBot="1" x14ac:dyDescent="0.5">
      <c r="C199" s="12"/>
      <c r="D199" s="13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P199" s="15"/>
      <c r="Q199" s="14"/>
      <c r="T199" s="16"/>
      <c r="U199" s="16"/>
      <c r="V199" s="14"/>
      <c r="W199" s="15"/>
      <c r="X199" s="15"/>
      <c r="Y199" s="15"/>
      <c r="Z199" s="14"/>
      <c r="AA199" s="15"/>
      <c r="AB199" s="14"/>
      <c r="AC199" s="17"/>
    </row>
    <row r="200" spans="3:29" ht="14.25" customHeight="1" thickBot="1" x14ac:dyDescent="0.5">
      <c r="C200" s="12"/>
      <c r="D200" s="13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P200" s="15"/>
      <c r="Q200" s="14"/>
      <c r="T200" s="16"/>
      <c r="U200" s="16"/>
      <c r="V200" s="14"/>
      <c r="W200" s="15"/>
      <c r="X200" s="15"/>
      <c r="Y200" s="15"/>
      <c r="Z200" s="14"/>
      <c r="AA200" s="15"/>
      <c r="AB200" s="14"/>
      <c r="AC200" s="17"/>
    </row>
    <row r="201" spans="3:29" ht="14.25" customHeight="1" thickBot="1" x14ac:dyDescent="0.5">
      <c r="C201" s="12"/>
      <c r="D201" s="13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P201" s="15"/>
      <c r="Q201" s="14"/>
      <c r="T201" s="16"/>
      <c r="U201" s="16"/>
      <c r="V201" s="14"/>
      <c r="W201" s="15"/>
      <c r="X201" s="15"/>
      <c r="Y201" s="15"/>
      <c r="Z201" s="14"/>
      <c r="AA201" s="15"/>
      <c r="AB201" s="14"/>
      <c r="AC201" s="17"/>
    </row>
    <row r="202" spans="3:29" ht="14.25" customHeight="1" thickBot="1" x14ac:dyDescent="0.5">
      <c r="C202" s="12"/>
      <c r="D202" s="13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P202" s="15"/>
      <c r="Q202" s="14"/>
      <c r="T202" s="16"/>
      <c r="U202" s="16"/>
      <c r="V202" s="14"/>
      <c r="W202" s="15"/>
      <c r="X202" s="15"/>
      <c r="Y202" s="15"/>
      <c r="Z202" s="14"/>
      <c r="AA202" s="15"/>
      <c r="AB202" s="14"/>
      <c r="AC202" s="17"/>
    </row>
    <row r="203" spans="3:29" ht="14.25" customHeight="1" thickBot="1" x14ac:dyDescent="0.5">
      <c r="C203" s="12"/>
      <c r="D203" s="13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P203" s="15"/>
      <c r="Q203" s="14"/>
      <c r="T203" s="16"/>
      <c r="U203" s="16"/>
      <c r="V203" s="14"/>
      <c r="W203" s="15"/>
      <c r="X203" s="15"/>
      <c r="Y203" s="15"/>
      <c r="Z203" s="14"/>
      <c r="AA203" s="15"/>
      <c r="AB203" s="14"/>
      <c r="AC203" s="17"/>
    </row>
    <row r="204" spans="3:29" ht="14.25" customHeight="1" thickBot="1" x14ac:dyDescent="0.5">
      <c r="C204" s="12"/>
      <c r="D204" s="13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P204" s="15"/>
      <c r="Q204" s="14"/>
      <c r="T204" s="16"/>
      <c r="U204" s="16"/>
      <c r="V204" s="14"/>
      <c r="W204" s="15"/>
      <c r="X204" s="15"/>
      <c r="Y204" s="15"/>
      <c r="Z204" s="14"/>
      <c r="AA204" s="15"/>
      <c r="AB204" s="14"/>
      <c r="AC204" s="17"/>
    </row>
    <row r="205" spans="3:29" ht="14.25" customHeight="1" thickBot="1" x14ac:dyDescent="0.5">
      <c r="C205" s="12"/>
      <c r="D205" s="13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P205" s="15"/>
      <c r="Q205" s="14"/>
      <c r="T205" s="16"/>
      <c r="U205" s="16"/>
      <c r="V205" s="14"/>
      <c r="W205" s="15"/>
      <c r="X205" s="15"/>
      <c r="Y205" s="15"/>
      <c r="Z205" s="14"/>
      <c r="AA205" s="15"/>
      <c r="AB205" s="14"/>
      <c r="AC205" s="17"/>
    </row>
    <row r="206" spans="3:29" ht="14.25" customHeight="1" thickBot="1" x14ac:dyDescent="0.5">
      <c r="C206" s="12"/>
      <c r="D206" s="13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P206" s="15"/>
      <c r="Q206" s="14"/>
      <c r="T206" s="16"/>
      <c r="U206" s="16"/>
      <c r="V206" s="14"/>
      <c r="W206" s="15"/>
      <c r="X206" s="15"/>
      <c r="Y206" s="15"/>
      <c r="Z206" s="14"/>
      <c r="AA206" s="15"/>
      <c r="AB206" s="14"/>
      <c r="AC206" s="17"/>
    </row>
    <row r="207" spans="3:29" ht="14.25" customHeight="1" thickBot="1" x14ac:dyDescent="0.5">
      <c r="C207" s="12"/>
      <c r="D207" s="13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P207" s="15"/>
      <c r="Q207" s="14"/>
      <c r="T207" s="16"/>
      <c r="U207" s="16"/>
      <c r="V207" s="14"/>
      <c r="W207" s="15"/>
      <c r="X207" s="15"/>
      <c r="Y207" s="15"/>
      <c r="Z207" s="14"/>
      <c r="AA207" s="15"/>
      <c r="AB207" s="14"/>
      <c r="AC207" s="17"/>
    </row>
    <row r="208" spans="3:29" ht="14.25" customHeight="1" thickBot="1" x14ac:dyDescent="0.5">
      <c r="C208" s="12"/>
      <c r="D208" s="13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P208" s="15"/>
      <c r="Q208" s="14"/>
      <c r="T208" s="16"/>
      <c r="U208" s="16"/>
      <c r="V208" s="14"/>
      <c r="W208" s="15"/>
      <c r="X208" s="15"/>
      <c r="Y208" s="15"/>
      <c r="Z208" s="14"/>
      <c r="AA208" s="15"/>
      <c r="AB208" s="14"/>
      <c r="AC208" s="17"/>
    </row>
    <row r="209" spans="3:29" ht="14.25" customHeight="1" thickBot="1" x14ac:dyDescent="0.5">
      <c r="C209" s="12"/>
      <c r="D209" s="13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P209" s="15"/>
      <c r="Q209" s="14"/>
      <c r="T209" s="16"/>
      <c r="U209" s="16"/>
      <c r="V209" s="14"/>
      <c r="W209" s="15"/>
      <c r="X209" s="15"/>
      <c r="Y209" s="15"/>
      <c r="Z209" s="14"/>
      <c r="AA209" s="15"/>
      <c r="AB209" s="14"/>
      <c r="AC209" s="17"/>
    </row>
    <row r="210" spans="3:29" ht="14.25" customHeight="1" thickBot="1" x14ac:dyDescent="0.5">
      <c r="C210" s="12"/>
      <c r="D210" s="13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P210" s="15"/>
      <c r="Q210" s="14"/>
      <c r="T210" s="16"/>
      <c r="U210" s="16"/>
      <c r="V210" s="14"/>
      <c r="W210" s="15"/>
      <c r="X210" s="15"/>
      <c r="Y210" s="15"/>
      <c r="Z210" s="14"/>
      <c r="AA210" s="15"/>
      <c r="AB210" s="14"/>
      <c r="AC210" s="17"/>
    </row>
    <row r="211" spans="3:29" ht="14.25" customHeight="1" thickBot="1" x14ac:dyDescent="0.5">
      <c r="C211" s="12"/>
      <c r="D211" s="13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P211" s="15"/>
      <c r="Q211" s="14"/>
      <c r="T211" s="16"/>
      <c r="U211" s="16"/>
      <c r="V211" s="14"/>
      <c r="W211" s="15"/>
      <c r="X211" s="15"/>
      <c r="Y211" s="15"/>
      <c r="Z211" s="14"/>
      <c r="AA211" s="15"/>
      <c r="AB211" s="14"/>
      <c r="AC211" s="17"/>
    </row>
    <row r="212" spans="3:29" ht="14.25" customHeight="1" thickBot="1" x14ac:dyDescent="0.5">
      <c r="C212" s="12"/>
      <c r="D212" s="13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P212" s="15"/>
      <c r="Q212" s="14"/>
      <c r="T212" s="16"/>
      <c r="U212" s="16"/>
      <c r="V212" s="14"/>
      <c r="W212" s="15"/>
      <c r="X212" s="15"/>
      <c r="Y212" s="15"/>
      <c r="Z212" s="14"/>
      <c r="AA212" s="15"/>
      <c r="AB212" s="14"/>
      <c r="AC212" s="17"/>
    </row>
    <row r="213" spans="3:29" ht="14.25" customHeight="1" thickBot="1" x14ac:dyDescent="0.5">
      <c r="C213" s="12"/>
      <c r="D213" s="13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P213" s="15"/>
      <c r="Q213" s="14"/>
      <c r="T213" s="16"/>
      <c r="U213" s="16"/>
      <c r="V213" s="14"/>
      <c r="W213" s="15"/>
      <c r="X213" s="15"/>
      <c r="Y213" s="15"/>
      <c r="Z213" s="14"/>
      <c r="AA213" s="15"/>
      <c r="AB213" s="14"/>
      <c r="AC213" s="17"/>
    </row>
    <row r="214" spans="3:29" ht="14.25" customHeight="1" thickBot="1" x14ac:dyDescent="0.5">
      <c r="C214" s="12"/>
      <c r="D214" s="13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P214" s="15"/>
      <c r="Q214" s="14"/>
      <c r="T214" s="16"/>
      <c r="U214" s="16"/>
      <c r="V214" s="14"/>
      <c r="W214" s="15"/>
      <c r="X214" s="15"/>
      <c r="Y214" s="15"/>
      <c r="Z214" s="14"/>
      <c r="AA214" s="15"/>
      <c r="AB214" s="14"/>
      <c r="AC214" s="17"/>
    </row>
    <row r="215" spans="3:29" ht="14.25" customHeight="1" thickBot="1" x14ac:dyDescent="0.5">
      <c r="C215" s="12"/>
      <c r="D215" s="13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P215" s="15"/>
      <c r="Q215" s="14"/>
      <c r="T215" s="16"/>
      <c r="U215" s="16"/>
      <c r="V215" s="14"/>
      <c r="W215" s="15"/>
      <c r="X215" s="15"/>
      <c r="Y215" s="15"/>
      <c r="Z215" s="14"/>
      <c r="AA215" s="15"/>
      <c r="AB215" s="14"/>
      <c r="AC215" s="17"/>
    </row>
    <row r="216" spans="3:29" ht="14.25" customHeight="1" thickBot="1" x14ac:dyDescent="0.5">
      <c r="C216" s="12"/>
      <c r="D216" s="13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P216" s="15"/>
      <c r="Q216" s="14"/>
      <c r="T216" s="16"/>
      <c r="U216" s="16"/>
      <c r="V216" s="14"/>
      <c r="W216" s="15"/>
      <c r="X216" s="15"/>
      <c r="Y216" s="15"/>
      <c r="Z216" s="14"/>
      <c r="AA216" s="15"/>
      <c r="AB216" s="14"/>
      <c r="AC216" s="17"/>
    </row>
    <row r="217" spans="3:29" ht="14.25" customHeight="1" thickBot="1" x14ac:dyDescent="0.5">
      <c r="C217" s="12"/>
      <c r="D217" s="13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P217" s="15"/>
      <c r="Q217" s="14"/>
      <c r="T217" s="16"/>
      <c r="U217" s="16"/>
      <c r="V217" s="14"/>
      <c r="W217" s="15"/>
      <c r="X217" s="15"/>
      <c r="Y217" s="15"/>
      <c r="Z217" s="14"/>
      <c r="AA217" s="15"/>
      <c r="AB217" s="14"/>
      <c r="AC217" s="17"/>
    </row>
    <row r="218" spans="3:29" ht="14.25" customHeight="1" thickBot="1" x14ac:dyDescent="0.5">
      <c r="C218" s="12"/>
      <c r="D218" s="13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P218" s="15"/>
      <c r="Q218" s="14"/>
      <c r="T218" s="16"/>
      <c r="U218" s="16"/>
      <c r="V218" s="14"/>
      <c r="W218" s="15"/>
      <c r="X218" s="15"/>
      <c r="Y218" s="15"/>
      <c r="Z218" s="14"/>
      <c r="AA218" s="15"/>
      <c r="AB218" s="14"/>
      <c r="AC218" s="17"/>
    </row>
    <row r="219" spans="3:29" ht="14.25" customHeight="1" thickBot="1" x14ac:dyDescent="0.5">
      <c r="C219" s="12"/>
      <c r="D219" s="13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P219" s="15"/>
      <c r="Q219" s="14"/>
      <c r="T219" s="16"/>
      <c r="U219" s="16"/>
      <c r="V219" s="14"/>
      <c r="W219" s="15"/>
      <c r="X219" s="15"/>
      <c r="Y219" s="15"/>
      <c r="Z219" s="14"/>
      <c r="AA219" s="15"/>
      <c r="AB219" s="14"/>
      <c r="AC219" s="17"/>
    </row>
    <row r="220" spans="3:29" ht="14.25" customHeight="1" thickBot="1" x14ac:dyDescent="0.5">
      <c r="C220" s="12"/>
      <c r="D220" s="13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P220" s="15"/>
      <c r="Q220" s="14"/>
      <c r="T220" s="16"/>
      <c r="U220" s="16"/>
      <c r="V220" s="14"/>
      <c r="W220" s="15"/>
      <c r="X220" s="15"/>
      <c r="Y220" s="15"/>
      <c r="Z220" s="14"/>
      <c r="AA220" s="15"/>
      <c r="AB220" s="14"/>
      <c r="AC220" s="17"/>
    </row>
    <row r="221" spans="3:29" ht="14.25" customHeight="1" thickBot="1" x14ac:dyDescent="0.5">
      <c r="C221" s="12"/>
      <c r="D221" s="13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P221" s="15"/>
      <c r="Q221" s="14"/>
      <c r="T221" s="16"/>
      <c r="U221" s="16"/>
      <c r="V221" s="14"/>
      <c r="W221" s="15"/>
      <c r="X221" s="15"/>
      <c r="Y221" s="15"/>
      <c r="Z221" s="14"/>
      <c r="AA221" s="15"/>
      <c r="AB221" s="14"/>
      <c r="AC221" s="17"/>
    </row>
    <row r="222" spans="3:29" ht="14.25" customHeight="1" thickBot="1" x14ac:dyDescent="0.5">
      <c r="C222" s="12"/>
      <c r="D222" s="13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P222" s="15"/>
      <c r="Q222" s="14"/>
      <c r="T222" s="16"/>
      <c r="U222" s="16"/>
      <c r="V222" s="14"/>
      <c r="W222" s="15"/>
      <c r="X222" s="15"/>
      <c r="Y222" s="15"/>
      <c r="Z222" s="14"/>
      <c r="AA222" s="15"/>
      <c r="AB222" s="14"/>
      <c r="AC222" s="17"/>
    </row>
    <row r="223" spans="3:29" ht="14.25" customHeight="1" thickBot="1" x14ac:dyDescent="0.5">
      <c r="C223" s="12"/>
      <c r="D223" s="13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P223" s="15"/>
      <c r="Q223" s="14"/>
      <c r="T223" s="16"/>
      <c r="U223" s="16"/>
      <c r="V223" s="14"/>
      <c r="W223" s="15"/>
      <c r="X223" s="15"/>
      <c r="Y223" s="15"/>
      <c r="Z223" s="14"/>
      <c r="AA223" s="15"/>
      <c r="AB223" s="14"/>
      <c r="AC223" s="17"/>
    </row>
    <row r="224" spans="3:29" ht="14.25" customHeight="1" thickBot="1" x14ac:dyDescent="0.5">
      <c r="C224" s="12"/>
      <c r="D224" s="13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P224" s="15"/>
      <c r="Q224" s="14"/>
      <c r="T224" s="16"/>
      <c r="U224" s="16"/>
      <c r="V224" s="14"/>
      <c r="W224" s="15"/>
      <c r="X224" s="15"/>
      <c r="Y224" s="15"/>
      <c r="Z224" s="14"/>
      <c r="AA224" s="15"/>
      <c r="AB224" s="14"/>
      <c r="AC224" s="17"/>
    </row>
    <row r="225" spans="3:29" ht="14.25" customHeight="1" thickBot="1" x14ac:dyDescent="0.5">
      <c r="C225" s="12"/>
      <c r="D225" s="13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P225" s="15"/>
      <c r="Q225" s="14"/>
      <c r="T225" s="16"/>
      <c r="U225" s="16"/>
      <c r="V225" s="14"/>
      <c r="W225" s="15"/>
      <c r="X225" s="15"/>
      <c r="Y225" s="15"/>
      <c r="Z225" s="14"/>
      <c r="AA225" s="15"/>
      <c r="AB225" s="14"/>
      <c r="AC225" s="17"/>
    </row>
    <row r="226" spans="3:29" ht="14.25" customHeight="1" thickBot="1" x14ac:dyDescent="0.5">
      <c r="C226" s="12"/>
      <c r="D226" s="13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P226" s="15"/>
      <c r="Q226" s="14"/>
      <c r="T226" s="16"/>
      <c r="U226" s="16"/>
      <c r="V226" s="14"/>
      <c r="W226" s="15"/>
      <c r="X226" s="15"/>
      <c r="Y226" s="15"/>
      <c r="Z226" s="14"/>
      <c r="AA226" s="15"/>
      <c r="AB226" s="14"/>
      <c r="AC226" s="17"/>
    </row>
    <row r="227" spans="3:29" ht="14.25" customHeight="1" thickBot="1" x14ac:dyDescent="0.5">
      <c r="C227" s="12"/>
      <c r="D227" s="13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P227" s="15"/>
      <c r="Q227" s="14"/>
      <c r="T227" s="16"/>
      <c r="U227" s="16"/>
      <c r="V227" s="14"/>
      <c r="W227" s="15"/>
      <c r="X227" s="15"/>
      <c r="Y227" s="15"/>
      <c r="Z227" s="14"/>
      <c r="AA227" s="15"/>
      <c r="AB227" s="14"/>
      <c r="AC227" s="17"/>
    </row>
    <row r="228" spans="3:29" ht="14.25" customHeight="1" thickBot="1" x14ac:dyDescent="0.5">
      <c r="C228" s="12"/>
      <c r="D228" s="13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P228" s="15"/>
      <c r="Q228" s="14"/>
      <c r="T228" s="16"/>
      <c r="U228" s="16"/>
      <c r="V228" s="14"/>
      <c r="W228" s="15"/>
      <c r="X228" s="15"/>
      <c r="Y228" s="15"/>
      <c r="Z228" s="14"/>
      <c r="AA228" s="15"/>
      <c r="AB228" s="14"/>
      <c r="AC228" s="17"/>
    </row>
    <row r="229" spans="3:29" ht="14.25" customHeight="1" thickBot="1" x14ac:dyDescent="0.5">
      <c r="C229" s="12"/>
      <c r="D229" s="13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P229" s="15"/>
      <c r="Q229" s="14"/>
      <c r="T229" s="16"/>
      <c r="U229" s="16"/>
      <c r="V229" s="14"/>
      <c r="W229" s="15"/>
      <c r="X229" s="15"/>
      <c r="Y229" s="15"/>
      <c r="Z229" s="14"/>
      <c r="AA229" s="15"/>
      <c r="AB229" s="14"/>
      <c r="AC229" s="17"/>
    </row>
    <row r="230" spans="3:29" ht="14.25" customHeight="1" thickBot="1" x14ac:dyDescent="0.5">
      <c r="C230" s="12"/>
      <c r="D230" s="13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P230" s="15"/>
      <c r="Q230" s="14"/>
      <c r="T230" s="16"/>
      <c r="U230" s="16"/>
      <c r="V230" s="14"/>
      <c r="W230" s="15"/>
      <c r="X230" s="15"/>
      <c r="Y230" s="15"/>
      <c r="Z230" s="14"/>
      <c r="AA230" s="15"/>
      <c r="AB230" s="14"/>
      <c r="AC230" s="17"/>
    </row>
    <row r="231" spans="3:29" ht="14.25" customHeight="1" thickBot="1" x14ac:dyDescent="0.5">
      <c r="C231" s="12"/>
      <c r="D231" s="13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P231" s="15"/>
      <c r="Q231" s="14"/>
      <c r="T231" s="16"/>
      <c r="U231" s="16"/>
      <c r="V231" s="14"/>
      <c r="W231" s="15"/>
      <c r="X231" s="15"/>
      <c r="Y231" s="15"/>
      <c r="Z231" s="14"/>
      <c r="AA231" s="15"/>
      <c r="AB231" s="14"/>
      <c r="AC231" s="17"/>
    </row>
    <row r="232" spans="3:29" ht="14.25" customHeight="1" thickBot="1" x14ac:dyDescent="0.5">
      <c r="C232" s="12"/>
      <c r="D232" s="13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P232" s="15"/>
      <c r="Q232" s="14"/>
      <c r="T232" s="16"/>
      <c r="U232" s="16"/>
      <c r="V232" s="14"/>
      <c r="W232" s="15"/>
      <c r="X232" s="15"/>
      <c r="Y232" s="15"/>
      <c r="Z232" s="14"/>
      <c r="AA232" s="15"/>
      <c r="AB232" s="14"/>
      <c r="AC232" s="17"/>
    </row>
    <row r="233" spans="3:29" ht="14.25" customHeight="1" thickBot="1" x14ac:dyDescent="0.5">
      <c r="C233" s="12"/>
      <c r="D233" s="13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P233" s="15"/>
      <c r="Q233" s="14"/>
      <c r="T233" s="16"/>
      <c r="U233" s="16"/>
      <c r="V233" s="14"/>
      <c r="W233" s="15"/>
      <c r="X233" s="15"/>
      <c r="Y233" s="15"/>
      <c r="Z233" s="14"/>
      <c r="AA233" s="15"/>
      <c r="AB233" s="14"/>
      <c r="AC233" s="17"/>
    </row>
    <row r="234" spans="3:29" ht="14.25" customHeight="1" thickBot="1" x14ac:dyDescent="0.5">
      <c r="C234" s="12"/>
      <c r="D234" s="13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P234" s="15"/>
      <c r="Q234" s="14"/>
      <c r="T234" s="16"/>
      <c r="U234" s="16"/>
      <c r="V234" s="14"/>
      <c r="W234" s="15"/>
      <c r="X234" s="15"/>
      <c r="Y234" s="15"/>
      <c r="Z234" s="14"/>
      <c r="AA234" s="15"/>
      <c r="AB234" s="14"/>
      <c r="AC234" s="17"/>
    </row>
    <row r="235" spans="3:29" ht="14.25" customHeight="1" thickBot="1" x14ac:dyDescent="0.5">
      <c r="C235" s="12"/>
      <c r="D235" s="13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P235" s="15"/>
      <c r="Q235" s="14"/>
      <c r="T235" s="16"/>
      <c r="U235" s="16"/>
      <c r="V235" s="14"/>
      <c r="W235" s="15"/>
      <c r="X235" s="15"/>
      <c r="Y235" s="15"/>
      <c r="Z235" s="14"/>
      <c r="AA235" s="15"/>
      <c r="AB235" s="14"/>
      <c r="AC235" s="17"/>
    </row>
    <row r="236" spans="3:29" ht="14.25" customHeight="1" thickBot="1" x14ac:dyDescent="0.5">
      <c r="C236" s="12"/>
      <c r="D236" s="13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P236" s="15"/>
      <c r="Q236" s="14"/>
      <c r="T236" s="16"/>
      <c r="U236" s="16"/>
      <c r="V236" s="14"/>
      <c r="W236" s="15"/>
      <c r="X236" s="15"/>
      <c r="Y236" s="15"/>
      <c r="Z236" s="14"/>
      <c r="AA236" s="15"/>
      <c r="AB236" s="14"/>
      <c r="AC236" s="17"/>
    </row>
    <row r="237" spans="3:29" ht="14.25" customHeight="1" thickBot="1" x14ac:dyDescent="0.5">
      <c r="C237" s="12"/>
      <c r="D237" s="13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P237" s="15"/>
      <c r="Q237" s="14"/>
      <c r="T237" s="16"/>
      <c r="U237" s="16"/>
      <c r="V237" s="14"/>
      <c r="W237" s="15"/>
      <c r="X237" s="15"/>
      <c r="Y237" s="15"/>
      <c r="Z237" s="14"/>
      <c r="AA237" s="15"/>
      <c r="AB237" s="14"/>
      <c r="AC237" s="17"/>
    </row>
    <row r="238" spans="3:29" ht="14.25" customHeight="1" thickBot="1" x14ac:dyDescent="0.5">
      <c r="C238" s="12"/>
      <c r="D238" s="13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P238" s="15"/>
      <c r="Q238" s="14"/>
      <c r="T238" s="16"/>
      <c r="U238" s="16"/>
      <c r="V238" s="14"/>
      <c r="W238" s="15"/>
      <c r="X238" s="15"/>
      <c r="Y238" s="15"/>
      <c r="Z238" s="14"/>
      <c r="AA238" s="15"/>
      <c r="AB238" s="14"/>
      <c r="AC238" s="17"/>
    </row>
    <row r="239" spans="3:29" ht="14.25" customHeight="1" thickBot="1" x14ac:dyDescent="0.5">
      <c r="C239" s="12"/>
      <c r="D239" s="13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P239" s="15"/>
      <c r="Q239" s="14"/>
      <c r="T239" s="16"/>
      <c r="U239" s="16"/>
      <c r="V239" s="14"/>
      <c r="W239" s="15"/>
      <c r="X239" s="15"/>
      <c r="Y239" s="15"/>
      <c r="Z239" s="14"/>
      <c r="AA239" s="15"/>
      <c r="AB239" s="14"/>
      <c r="AC239" s="17"/>
    </row>
    <row r="240" spans="3:29" ht="14.25" customHeight="1" thickBot="1" x14ac:dyDescent="0.5">
      <c r="C240" s="12"/>
      <c r="D240" s="13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P240" s="15"/>
      <c r="Q240" s="14"/>
      <c r="T240" s="16"/>
      <c r="U240" s="16"/>
      <c r="V240" s="14"/>
      <c r="W240" s="15"/>
      <c r="X240" s="15"/>
      <c r="Y240" s="15"/>
      <c r="Z240" s="14"/>
      <c r="AA240" s="15"/>
      <c r="AB240" s="14"/>
      <c r="AC240" s="17"/>
    </row>
    <row r="241" spans="3:29" ht="14.25" customHeight="1" thickBot="1" x14ac:dyDescent="0.5">
      <c r="C241" s="12"/>
      <c r="D241" s="13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P241" s="15"/>
      <c r="Q241" s="14"/>
      <c r="T241" s="16"/>
      <c r="U241" s="16"/>
      <c r="V241" s="14"/>
      <c r="W241" s="15"/>
      <c r="X241" s="15"/>
      <c r="Y241" s="15"/>
      <c r="Z241" s="14"/>
      <c r="AA241" s="15"/>
      <c r="AB241" s="14"/>
      <c r="AC241" s="17"/>
    </row>
    <row r="242" spans="3:29" ht="14.25" customHeight="1" thickBot="1" x14ac:dyDescent="0.5">
      <c r="C242" s="12"/>
      <c r="D242" s="13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P242" s="15"/>
      <c r="Q242" s="14"/>
      <c r="T242" s="16"/>
      <c r="U242" s="16"/>
      <c r="V242" s="14"/>
      <c r="W242" s="15"/>
      <c r="X242" s="15"/>
      <c r="Y242" s="15"/>
      <c r="Z242" s="14"/>
      <c r="AA242" s="15"/>
      <c r="AB242" s="14"/>
      <c r="AC242" s="17"/>
    </row>
    <row r="243" spans="3:29" ht="14.25" customHeight="1" thickBot="1" x14ac:dyDescent="0.5">
      <c r="C243" s="12"/>
      <c r="D243" s="13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P243" s="15"/>
      <c r="Q243" s="14"/>
      <c r="T243" s="16"/>
      <c r="U243" s="16"/>
      <c r="V243" s="14"/>
      <c r="W243" s="15"/>
      <c r="X243" s="15"/>
      <c r="Y243" s="15"/>
      <c r="Z243" s="14"/>
      <c r="AA243" s="15"/>
      <c r="AB243" s="14"/>
      <c r="AC243" s="17"/>
    </row>
    <row r="244" spans="3:29" ht="14.25" customHeight="1" thickBot="1" x14ac:dyDescent="0.5">
      <c r="C244" s="12"/>
      <c r="D244" s="13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P244" s="15"/>
      <c r="Q244" s="14"/>
      <c r="T244" s="16"/>
      <c r="U244" s="16"/>
      <c r="V244" s="14"/>
      <c r="W244" s="15"/>
      <c r="X244" s="15"/>
      <c r="Y244" s="15"/>
      <c r="Z244" s="14"/>
      <c r="AA244" s="15"/>
      <c r="AB244" s="14"/>
      <c r="AC244" s="17"/>
    </row>
    <row r="245" spans="3:29" ht="14.25" customHeight="1" thickBot="1" x14ac:dyDescent="0.5">
      <c r="C245" s="12"/>
      <c r="D245" s="13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P245" s="15"/>
      <c r="Q245" s="14"/>
      <c r="T245" s="16"/>
      <c r="U245" s="16"/>
      <c r="V245" s="14"/>
      <c r="W245" s="15"/>
      <c r="X245" s="15"/>
      <c r="Y245" s="15"/>
      <c r="Z245" s="14"/>
      <c r="AA245" s="15"/>
      <c r="AB245" s="14"/>
      <c r="AC245" s="17"/>
    </row>
    <row r="246" spans="3:29" ht="14.25" customHeight="1" thickBot="1" x14ac:dyDescent="0.5">
      <c r="C246" s="12"/>
      <c r="D246" s="13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P246" s="15"/>
      <c r="Q246" s="14"/>
      <c r="T246" s="16"/>
      <c r="U246" s="16"/>
      <c r="V246" s="14"/>
      <c r="W246" s="15"/>
      <c r="X246" s="15"/>
      <c r="Y246" s="15"/>
      <c r="Z246" s="14"/>
      <c r="AA246" s="15"/>
      <c r="AB246" s="14"/>
      <c r="AC246" s="17"/>
    </row>
  </sheetData>
  <autoFilter ref="A7:AD125"/>
  <mergeCells count="5">
    <mergeCell ref="A1:AC1"/>
    <mergeCell ref="D4:AC4"/>
    <mergeCell ref="E5:F5"/>
    <mergeCell ref="G5:AC5"/>
    <mergeCell ref="AD5:AD6"/>
  </mergeCells>
  <conditionalFormatting sqref="D145:N246 T145:AC246 P145:Q246 D8:AC9">
    <cfRule type="expression" dxfId="17" priority="30">
      <formula>LEN(TRIM(D8))=0</formula>
    </cfRule>
    <cfRule type="expression" dxfId="16" priority="31">
      <formula>LEN(TRIM(D8))=0</formula>
    </cfRule>
  </conditionalFormatting>
  <conditionalFormatting sqref="D145:N246 T145:AC246 P145:Q246 D8:AC9">
    <cfRule type="expression" dxfId="15" priority="27">
      <formula>LEN(TRIM(D8))=0</formula>
    </cfRule>
  </conditionalFormatting>
  <conditionalFormatting sqref="D145:N246 T145:AC246 P145:Q246 D8:AC9">
    <cfRule type="expression" dxfId="14" priority="23">
      <formula>LEN(TRIM(D8))=0</formula>
    </cfRule>
  </conditionalFormatting>
  <conditionalFormatting sqref="D145:N246 T145:AC246 P145:Q246 D8:AC9">
    <cfRule type="expression" dxfId="13" priority="14">
      <formula>LEN(TRIM(D8))=0</formula>
    </cfRule>
  </conditionalFormatting>
  <conditionalFormatting sqref="D8:AC9 D145:AC246">
    <cfRule type="expression" dxfId="7" priority="8">
      <formula>LEN(TRIM(D8))=0</formula>
    </cfRule>
  </conditionalFormatting>
  <conditionalFormatting sqref="D10:AC144">
    <cfRule type="expression" dxfId="6" priority="6">
      <formula>LEN(TRIM(D10))=0</formula>
    </cfRule>
    <cfRule type="expression" dxfId="5" priority="7">
      <formula>LEN(TRIM(D10))=0</formula>
    </cfRule>
  </conditionalFormatting>
  <conditionalFormatting sqref="D10:AC144">
    <cfRule type="expression" dxfId="4" priority="5">
      <formula>LEN(TRIM(D10))=0</formula>
    </cfRule>
  </conditionalFormatting>
  <conditionalFormatting sqref="D10:AC144">
    <cfRule type="expression" dxfId="3" priority="4">
      <formula>LEN(TRIM(D10))=0</formula>
    </cfRule>
  </conditionalFormatting>
  <conditionalFormatting sqref="D10:AC144">
    <cfRule type="expression" dxfId="2" priority="3">
      <formula>LEN(TRIM(D10))=0</formula>
    </cfRule>
  </conditionalFormatting>
  <conditionalFormatting sqref="D10:AC144">
    <cfRule type="expression" dxfId="1" priority="2">
      <formula>LEN(TRIM(D10))=0</formula>
    </cfRule>
  </conditionalFormatting>
  <conditionalFormatting sqref="D8:AC125">
    <cfRule type="expression" dxfId="0" priority="1">
      <formula>LEN(TRIM(D8))=0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9"/>
  <sheetViews>
    <sheetView zoomScaleNormal="100" workbookViewId="0">
      <selection activeCell="I2" sqref="I2:I117"/>
    </sheetView>
  </sheetViews>
  <sheetFormatPr defaultRowHeight="14.25" x14ac:dyDescent="0.45"/>
  <cols>
    <col min="1" max="1" width="11" bestFit="1" customWidth="1"/>
    <col min="2" max="2" width="23" bestFit="1" customWidth="1"/>
    <col min="3" max="3" width="25.265625" bestFit="1" customWidth="1"/>
    <col min="4" max="4" width="20.59765625" bestFit="1" customWidth="1"/>
    <col min="5" max="5" width="13.73046875" bestFit="1" customWidth="1"/>
    <col min="7" max="7" width="21" bestFit="1" customWidth="1"/>
    <col min="8" max="8" width="47.265625" customWidth="1"/>
    <col min="9" max="9" width="10.3984375" bestFit="1" customWidth="1"/>
    <col min="11" max="11" width="56.73046875" bestFit="1" customWidth="1"/>
  </cols>
  <sheetData>
    <row r="1" spans="1:11" x14ac:dyDescent="0.45">
      <c r="A1" t="s">
        <v>0</v>
      </c>
      <c r="B1" t="s">
        <v>213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214</v>
      </c>
    </row>
    <row r="2" spans="1:11" x14ac:dyDescent="0.45">
      <c r="B2" t="s">
        <v>212</v>
      </c>
      <c r="D2" s="8">
        <v>2564062.9900000002</v>
      </c>
      <c r="I2" t="s">
        <v>250</v>
      </c>
      <c r="J2">
        <v>1</v>
      </c>
      <c r="K2" t="s">
        <v>215</v>
      </c>
    </row>
    <row r="3" spans="1:11" x14ac:dyDescent="0.45">
      <c r="B3" t="s">
        <v>212</v>
      </c>
      <c r="C3" t="s">
        <v>11</v>
      </c>
      <c r="D3" s="8">
        <v>128801500.29000001</v>
      </c>
      <c r="I3" t="s">
        <v>250</v>
      </c>
      <c r="J3">
        <v>2</v>
      </c>
      <c r="K3" t="s">
        <v>215</v>
      </c>
    </row>
    <row r="4" spans="1:11" x14ac:dyDescent="0.45">
      <c r="B4" t="s">
        <v>212</v>
      </c>
      <c r="D4" s="8">
        <v>192096261.28</v>
      </c>
      <c r="I4" t="s">
        <v>250</v>
      </c>
      <c r="J4">
        <v>2</v>
      </c>
      <c r="K4" t="s">
        <v>215</v>
      </c>
    </row>
    <row r="5" spans="1:11" x14ac:dyDescent="0.45">
      <c r="A5" t="s">
        <v>9</v>
      </c>
      <c r="B5" t="s">
        <v>212</v>
      </c>
      <c r="D5" s="8">
        <v>-44966662.530000001</v>
      </c>
      <c r="E5" s="8">
        <v>317789.75</v>
      </c>
      <c r="G5" t="s">
        <v>10</v>
      </c>
      <c r="I5" t="s">
        <v>250</v>
      </c>
      <c r="J5">
        <v>0</v>
      </c>
      <c r="K5" t="s">
        <v>215</v>
      </c>
    </row>
    <row r="6" spans="1:11" x14ac:dyDescent="0.45">
      <c r="A6" t="s">
        <v>251</v>
      </c>
      <c r="B6" t="s">
        <v>212</v>
      </c>
      <c r="C6" t="s">
        <v>11</v>
      </c>
      <c r="D6" s="8">
        <v>279.08</v>
      </c>
      <c r="F6" s="9">
        <v>0</v>
      </c>
      <c r="G6" t="s">
        <v>10</v>
      </c>
      <c r="H6" t="s">
        <v>252</v>
      </c>
      <c r="I6" t="s">
        <v>250</v>
      </c>
      <c r="J6">
        <v>0</v>
      </c>
      <c r="K6" t="s">
        <v>245</v>
      </c>
    </row>
    <row r="7" spans="1:11" x14ac:dyDescent="0.45">
      <c r="A7" t="s">
        <v>12</v>
      </c>
      <c r="B7" t="s">
        <v>212</v>
      </c>
      <c r="C7" t="s">
        <v>11</v>
      </c>
      <c r="D7" s="8">
        <v>70872.95</v>
      </c>
      <c r="E7">
        <v>58.26</v>
      </c>
      <c r="F7" s="9">
        <v>1.0749899999999999</v>
      </c>
      <c r="G7" t="s">
        <v>10</v>
      </c>
      <c r="H7" t="s">
        <v>13</v>
      </c>
      <c r="I7" t="s">
        <v>250</v>
      </c>
      <c r="J7">
        <v>0</v>
      </c>
      <c r="K7" t="s">
        <v>215</v>
      </c>
    </row>
    <row r="8" spans="1:11" x14ac:dyDescent="0.45">
      <c r="A8" t="s">
        <v>14</v>
      </c>
      <c r="B8" t="s">
        <v>212</v>
      </c>
      <c r="C8" t="s">
        <v>11</v>
      </c>
      <c r="D8" s="8">
        <v>115993.09</v>
      </c>
      <c r="F8" s="9">
        <v>0</v>
      </c>
      <c r="G8" t="s">
        <v>10</v>
      </c>
      <c r="H8" t="s">
        <v>15</v>
      </c>
      <c r="I8" t="s">
        <v>250</v>
      </c>
      <c r="J8">
        <v>0</v>
      </c>
      <c r="K8" t="s">
        <v>215</v>
      </c>
    </row>
    <row r="9" spans="1:11" x14ac:dyDescent="0.45">
      <c r="A9" t="s">
        <v>16</v>
      </c>
      <c r="B9" t="s">
        <v>212</v>
      </c>
      <c r="C9" t="s">
        <v>11</v>
      </c>
      <c r="D9" s="8">
        <v>35726.199999999997</v>
      </c>
      <c r="F9" s="9">
        <v>0</v>
      </c>
      <c r="G9" t="s">
        <v>10</v>
      </c>
      <c r="H9" t="s">
        <v>17</v>
      </c>
      <c r="I9" t="s">
        <v>250</v>
      </c>
      <c r="J9">
        <v>0</v>
      </c>
      <c r="K9" t="s">
        <v>215</v>
      </c>
    </row>
    <row r="10" spans="1:11" x14ac:dyDescent="0.45">
      <c r="A10" t="s">
        <v>18</v>
      </c>
      <c r="B10" t="s">
        <v>212</v>
      </c>
      <c r="C10" t="s">
        <v>11</v>
      </c>
      <c r="D10" s="8">
        <v>2105512.5499999998</v>
      </c>
      <c r="F10" s="9">
        <v>0</v>
      </c>
      <c r="G10" t="s">
        <v>10</v>
      </c>
      <c r="H10" t="s">
        <v>19</v>
      </c>
      <c r="I10" t="s">
        <v>250</v>
      </c>
      <c r="J10">
        <v>0</v>
      </c>
      <c r="K10" t="s">
        <v>215</v>
      </c>
    </row>
    <row r="11" spans="1:11" x14ac:dyDescent="0.45">
      <c r="A11" t="s">
        <v>253</v>
      </c>
      <c r="B11" t="s">
        <v>212</v>
      </c>
      <c r="C11" t="s">
        <v>11</v>
      </c>
      <c r="D11" s="8">
        <v>4587.21</v>
      </c>
      <c r="F11" s="9">
        <v>0</v>
      </c>
      <c r="G11" t="s">
        <v>10</v>
      </c>
      <c r="H11" t="s">
        <v>254</v>
      </c>
      <c r="I11" t="s">
        <v>250</v>
      </c>
      <c r="J11">
        <v>0</v>
      </c>
      <c r="K11" t="s">
        <v>215</v>
      </c>
    </row>
    <row r="12" spans="1:11" x14ac:dyDescent="0.45">
      <c r="A12" t="s">
        <v>20</v>
      </c>
      <c r="B12" t="s">
        <v>211</v>
      </c>
      <c r="C12" t="s">
        <v>11</v>
      </c>
      <c r="D12" s="8">
        <v>1131.4000000000001</v>
      </c>
      <c r="F12" s="9">
        <v>0</v>
      </c>
      <c r="G12" t="s">
        <v>10</v>
      </c>
      <c r="H12" t="s">
        <v>255</v>
      </c>
      <c r="I12" t="s">
        <v>250</v>
      </c>
      <c r="J12">
        <v>0</v>
      </c>
      <c r="K12" t="s">
        <v>215</v>
      </c>
    </row>
    <row r="13" spans="1:11" x14ac:dyDescent="0.45">
      <c r="A13" t="s">
        <v>20</v>
      </c>
      <c r="B13" t="s">
        <v>210</v>
      </c>
      <c r="C13" t="s">
        <v>11</v>
      </c>
      <c r="D13" s="8">
        <v>0.01</v>
      </c>
      <c r="F13" s="9">
        <v>0</v>
      </c>
      <c r="G13" t="s">
        <v>10</v>
      </c>
      <c r="H13" t="s">
        <v>255</v>
      </c>
      <c r="I13" t="s">
        <v>250</v>
      </c>
      <c r="J13">
        <v>0</v>
      </c>
      <c r="K13" t="s">
        <v>215</v>
      </c>
    </row>
    <row r="14" spans="1:11" x14ac:dyDescent="0.45">
      <c r="A14" t="s">
        <v>20</v>
      </c>
      <c r="B14" t="s">
        <v>212</v>
      </c>
      <c r="C14" t="s">
        <v>11</v>
      </c>
      <c r="D14" s="8">
        <v>1691711.11</v>
      </c>
      <c r="F14" s="9">
        <v>0</v>
      </c>
      <c r="G14" t="s">
        <v>10</v>
      </c>
      <c r="H14" t="s">
        <v>255</v>
      </c>
      <c r="I14" t="s">
        <v>250</v>
      </c>
      <c r="J14">
        <v>0</v>
      </c>
      <c r="K14" t="s">
        <v>215</v>
      </c>
    </row>
    <row r="15" spans="1:11" x14ac:dyDescent="0.45">
      <c r="A15" t="s">
        <v>21</v>
      </c>
      <c r="B15" t="s">
        <v>211</v>
      </c>
      <c r="C15" t="s">
        <v>11</v>
      </c>
      <c r="D15" s="8">
        <v>1052212.69</v>
      </c>
      <c r="F15" s="9">
        <v>0</v>
      </c>
      <c r="G15" t="s">
        <v>10</v>
      </c>
      <c r="H15" t="s">
        <v>22</v>
      </c>
      <c r="I15" t="s">
        <v>250</v>
      </c>
      <c r="J15">
        <v>0</v>
      </c>
      <c r="K15" t="s">
        <v>215</v>
      </c>
    </row>
    <row r="16" spans="1:11" x14ac:dyDescent="0.45">
      <c r="A16" t="s">
        <v>21</v>
      </c>
      <c r="B16" t="s">
        <v>210</v>
      </c>
      <c r="C16" t="s">
        <v>11</v>
      </c>
      <c r="D16" s="8">
        <v>53178.44</v>
      </c>
      <c r="F16" s="9">
        <v>0</v>
      </c>
      <c r="G16" t="s">
        <v>10</v>
      </c>
      <c r="H16" t="s">
        <v>22</v>
      </c>
      <c r="I16" t="s">
        <v>250</v>
      </c>
      <c r="J16">
        <v>0</v>
      </c>
      <c r="K16" t="s">
        <v>215</v>
      </c>
    </row>
    <row r="17" spans="1:11" x14ac:dyDescent="0.45">
      <c r="A17" t="s">
        <v>21</v>
      </c>
      <c r="B17" t="s">
        <v>212</v>
      </c>
      <c r="C17" t="s">
        <v>11</v>
      </c>
      <c r="D17" s="8">
        <v>411946.78</v>
      </c>
      <c r="F17" s="9">
        <v>0</v>
      </c>
      <c r="G17" t="s">
        <v>10</v>
      </c>
      <c r="H17" t="s">
        <v>22</v>
      </c>
      <c r="I17" t="s">
        <v>250</v>
      </c>
      <c r="J17">
        <v>0</v>
      </c>
      <c r="K17" t="s">
        <v>215</v>
      </c>
    </row>
    <row r="18" spans="1:11" x14ac:dyDescent="0.45">
      <c r="A18" t="s">
        <v>219</v>
      </c>
      <c r="B18" t="s">
        <v>212</v>
      </c>
      <c r="C18" t="s">
        <v>11</v>
      </c>
      <c r="D18" s="8">
        <v>1129.0999999999999</v>
      </c>
      <c r="F18" s="9">
        <v>0</v>
      </c>
      <c r="G18" t="s">
        <v>10</v>
      </c>
      <c r="H18" t="s">
        <v>220</v>
      </c>
      <c r="I18" t="s">
        <v>250</v>
      </c>
      <c r="J18">
        <v>0</v>
      </c>
      <c r="K18" t="s">
        <v>215</v>
      </c>
    </row>
    <row r="19" spans="1:11" x14ac:dyDescent="0.45">
      <c r="A19" t="s">
        <v>23</v>
      </c>
      <c r="B19" t="s">
        <v>212</v>
      </c>
      <c r="C19" t="s">
        <v>11</v>
      </c>
      <c r="D19" s="8">
        <v>0.01</v>
      </c>
      <c r="F19" s="9">
        <v>0</v>
      </c>
      <c r="G19" t="s">
        <v>10</v>
      </c>
      <c r="H19" t="s">
        <v>24</v>
      </c>
      <c r="I19" t="s">
        <v>250</v>
      </c>
      <c r="J19">
        <v>0</v>
      </c>
      <c r="K19" t="s">
        <v>215</v>
      </c>
    </row>
    <row r="20" spans="1:11" x14ac:dyDescent="0.45">
      <c r="A20" t="s">
        <v>25</v>
      </c>
      <c r="B20" t="s">
        <v>212</v>
      </c>
      <c r="C20" t="s">
        <v>11</v>
      </c>
      <c r="D20" s="8">
        <v>101.82</v>
      </c>
      <c r="F20" s="9">
        <v>0</v>
      </c>
      <c r="G20" t="s">
        <v>10</v>
      </c>
      <c r="H20" t="s">
        <v>26</v>
      </c>
      <c r="I20" t="s">
        <v>250</v>
      </c>
      <c r="J20">
        <v>0</v>
      </c>
      <c r="K20" t="s">
        <v>215</v>
      </c>
    </row>
    <row r="21" spans="1:11" x14ac:dyDescent="0.45">
      <c r="A21" t="s">
        <v>27</v>
      </c>
      <c r="B21" t="s">
        <v>212</v>
      </c>
      <c r="C21" t="s">
        <v>11</v>
      </c>
      <c r="D21" s="8">
        <v>44330.37</v>
      </c>
      <c r="F21" s="9">
        <v>0</v>
      </c>
      <c r="G21" t="s">
        <v>10</v>
      </c>
      <c r="H21" t="s">
        <v>28</v>
      </c>
      <c r="I21" t="s">
        <v>250</v>
      </c>
      <c r="J21">
        <v>0</v>
      </c>
      <c r="K21" t="s">
        <v>215</v>
      </c>
    </row>
    <row r="22" spans="1:11" x14ac:dyDescent="0.45">
      <c r="A22" t="s">
        <v>29</v>
      </c>
      <c r="B22" t="s">
        <v>212</v>
      </c>
      <c r="C22" t="s">
        <v>11</v>
      </c>
      <c r="D22" s="8">
        <v>435057.78</v>
      </c>
      <c r="F22" s="9">
        <v>0</v>
      </c>
      <c r="G22" t="s">
        <v>10</v>
      </c>
      <c r="H22" t="s">
        <v>221</v>
      </c>
      <c r="I22" t="s">
        <v>250</v>
      </c>
      <c r="J22">
        <v>0</v>
      </c>
      <c r="K22" t="s">
        <v>215</v>
      </c>
    </row>
    <row r="23" spans="1:11" x14ac:dyDescent="0.45">
      <c r="A23" t="s">
        <v>30</v>
      </c>
      <c r="B23" t="s">
        <v>212</v>
      </c>
      <c r="C23" t="s">
        <v>31</v>
      </c>
      <c r="D23" s="8">
        <v>29573.82</v>
      </c>
      <c r="F23" s="9">
        <v>0</v>
      </c>
      <c r="G23" t="s">
        <v>10</v>
      </c>
      <c r="H23" t="s">
        <v>32</v>
      </c>
      <c r="I23" t="s">
        <v>250</v>
      </c>
      <c r="J23">
        <v>0</v>
      </c>
      <c r="K23" t="s">
        <v>215</v>
      </c>
    </row>
    <row r="24" spans="1:11" x14ac:dyDescent="0.45">
      <c r="A24" t="s">
        <v>33</v>
      </c>
      <c r="B24" t="s">
        <v>212</v>
      </c>
      <c r="C24" t="s">
        <v>11</v>
      </c>
      <c r="D24" s="8">
        <v>55805.02</v>
      </c>
      <c r="F24" s="9">
        <v>0</v>
      </c>
      <c r="G24" t="s">
        <v>10</v>
      </c>
      <c r="H24" t="s">
        <v>34</v>
      </c>
      <c r="I24" t="s">
        <v>250</v>
      </c>
      <c r="J24">
        <v>0</v>
      </c>
      <c r="K24" t="s">
        <v>215</v>
      </c>
    </row>
    <row r="25" spans="1:11" x14ac:dyDescent="0.45">
      <c r="A25" t="s">
        <v>35</v>
      </c>
      <c r="B25" t="s">
        <v>212</v>
      </c>
      <c r="C25" t="s">
        <v>11</v>
      </c>
      <c r="D25" s="8">
        <v>368839.37</v>
      </c>
      <c r="F25" s="9">
        <v>0</v>
      </c>
      <c r="G25" t="s">
        <v>10</v>
      </c>
      <c r="H25" t="s">
        <v>36</v>
      </c>
      <c r="I25" t="s">
        <v>250</v>
      </c>
      <c r="J25">
        <v>0</v>
      </c>
      <c r="K25" t="s">
        <v>215</v>
      </c>
    </row>
    <row r="26" spans="1:11" x14ac:dyDescent="0.45">
      <c r="A26" t="s">
        <v>37</v>
      </c>
      <c r="B26" t="s">
        <v>212</v>
      </c>
      <c r="C26" t="s">
        <v>11</v>
      </c>
      <c r="D26" s="8">
        <v>125738.5</v>
      </c>
      <c r="F26" s="9">
        <v>0</v>
      </c>
      <c r="G26" t="s">
        <v>10</v>
      </c>
      <c r="H26" t="s">
        <v>38</v>
      </c>
      <c r="I26" t="s">
        <v>250</v>
      </c>
      <c r="J26">
        <v>0</v>
      </c>
      <c r="K26" t="s">
        <v>215</v>
      </c>
    </row>
    <row r="27" spans="1:11" x14ac:dyDescent="0.45">
      <c r="A27" t="s">
        <v>256</v>
      </c>
      <c r="B27" t="s">
        <v>212</v>
      </c>
      <c r="C27" t="s">
        <v>11</v>
      </c>
      <c r="D27" s="8">
        <v>34235.629999999997</v>
      </c>
      <c r="F27" s="9">
        <v>0</v>
      </c>
      <c r="G27" t="s">
        <v>10</v>
      </c>
      <c r="H27" t="s">
        <v>70</v>
      </c>
      <c r="I27" t="s">
        <v>250</v>
      </c>
      <c r="J27">
        <v>0</v>
      </c>
      <c r="K27" t="s">
        <v>215</v>
      </c>
    </row>
    <row r="28" spans="1:11" x14ac:dyDescent="0.45">
      <c r="A28" t="s">
        <v>39</v>
      </c>
      <c r="B28" t="s">
        <v>212</v>
      </c>
      <c r="C28" t="s">
        <v>40</v>
      </c>
      <c r="D28" s="8">
        <v>8156.33</v>
      </c>
      <c r="F28" s="9">
        <v>0</v>
      </c>
      <c r="G28" t="s">
        <v>10</v>
      </c>
      <c r="H28" t="s">
        <v>41</v>
      </c>
      <c r="I28" t="s">
        <v>250</v>
      </c>
      <c r="J28">
        <v>0</v>
      </c>
      <c r="K28" t="s">
        <v>215</v>
      </c>
    </row>
    <row r="29" spans="1:11" x14ac:dyDescent="0.45">
      <c r="A29" t="s">
        <v>42</v>
      </c>
      <c r="B29" t="s">
        <v>212</v>
      </c>
      <c r="C29" t="s">
        <v>43</v>
      </c>
      <c r="D29" s="8">
        <v>4018.72</v>
      </c>
      <c r="F29" s="9">
        <v>0</v>
      </c>
      <c r="G29" t="s">
        <v>10</v>
      </c>
      <c r="H29" t="s">
        <v>257</v>
      </c>
      <c r="I29" t="s">
        <v>250</v>
      </c>
      <c r="J29">
        <v>0</v>
      </c>
      <c r="K29" t="s">
        <v>215</v>
      </c>
    </row>
    <row r="30" spans="1:11" x14ac:dyDescent="0.45">
      <c r="A30" t="s">
        <v>44</v>
      </c>
      <c r="B30" t="s">
        <v>212</v>
      </c>
      <c r="C30" t="s">
        <v>11</v>
      </c>
      <c r="D30" s="8">
        <v>28116.78</v>
      </c>
      <c r="F30" s="9">
        <v>0</v>
      </c>
      <c r="G30" t="s">
        <v>10</v>
      </c>
      <c r="H30" t="s">
        <v>45</v>
      </c>
      <c r="I30" t="s">
        <v>250</v>
      </c>
      <c r="J30">
        <v>0</v>
      </c>
      <c r="K30" t="s">
        <v>215</v>
      </c>
    </row>
    <row r="31" spans="1:11" x14ac:dyDescent="0.45">
      <c r="A31" t="s">
        <v>46</v>
      </c>
      <c r="B31" t="s">
        <v>212</v>
      </c>
      <c r="C31" t="s">
        <v>11</v>
      </c>
      <c r="D31" s="8">
        <v>98524.71</v>
      </c>
      <c r="F31" s="9">
        <v>0</v>
      </c>
      <c r="G31" t="s">
        <v>10</v>
      </c>
      <c r="H31" t="s">
        <v>258</v>
      </c>
      <c r="I31" t="s">
        <v>250</v>
      </c>
      <c r="J31">
        <v>0</v>
      </c>
      <c r="K31" t="s">
        <v>215</v>
      </c>
    </row>
    <row r="32" spans="1:11" x14ac:dyDescent="0.45">
      <c r="A32" t="s">
        <v>47</v>
      </c>
      <c r="B32" t="s">
        <v>212</v>
      </c>
      <c r="C32" t="s">
        <v>11</v>
      </c>
      <c r="D32" s="8">
        <v>7722.48</v>
      </c>
      <c r="F32" s="9">
        <v>0</v>
      </c>
      <c r="G32" t="s">
        <v>10</v>
      </c>
      <c r="H32" t="s">
        <v>48</v>
      </c>
      <c r="I32" t="s">
        <v>250</v>
      </c>
      <c r="J32">
        <v>0</v>
      </c>
      <c r="K32" t="s">
        <v>215</v>
      </c>
    </row>
    <row r="33" spans="1:11" x14ac:dyDescent="0.45">
      <c r="A33" t="s">
        <v>49</v>
      </c>
      <c r="B33" t="s">
        <v>212</v>
      </c>
      <c r="C33" t="s">
        <v>11</v>
      </c>
      <c r="D33" s="8">
        <v>821.16</v>
      </c>
      <c r="F33" s="9">
        <v>0</v>
      </c>
      <c r="G33" t="s">
        <v>10</v>
      </c>
      <c r="H33" t="s">
        <v>222</v>
      </c>
      <c r="I33" t="s">
        <v>250</v>
      </c>
      <c r="J33">
        <v>0</v>
      </c>
      <c r="K33" t="s">
        <v>215</v>
      </c>
    </row>
    <row r="34" spans="1:11" x14ac:dyDescent="0.45">
      <c r="A34" t="s">
        <v>50</v>
      </c>
      <c r="B34" t="s">
        <v>212</v>
      </c>
      <c r="C34" t="s">
        <v>51</v>
      </c>
      <c r="D34" s="8">
        <v>231082.8</v>
      </c>
      <c r="F34" s="9">
        <v>0</v>
      </c>
      <c r="G34" t="s">
        <v>10</v>
      </c>
      <c r="H34" t="s">
        <v>52</v>
      </c>
      <c r="I34" t="s">
        <v>250</v>
      </c>
      <c r="J34">
        <v>0</v>
      </c>
      <c r="K34" t="s">
        <v>215</v>
      </c>
    </row>
    <row r="35" spans="1:11" x14ac:dyDescent="0.45">
      <c r="A35" t="s">
        <v>53</v>
      </c>
      <c r="B35" t="s">
        <v>212</v>
      </c>
      <c r="C35" t="s">
        <v>11</v>
      </c>
      <c r="D35" s="8">
        <v>4787.2</v>
      </c>
      <c r="F35" s="9">
        <v>0</v>
      </c>
      <c r="G35" t="s">
        <v>10</v>
      </c>
      <c r="H35" t="s">
        <v>223</v>
      </c>
      <c r="I35" t="s">
        <v>250</v>
      </c>
      <c r="J35">
        <v>0</v>
      </c>
      <c r="K35" t="s">
        <v>215</v>
      </c>
    </row>
    <row r="36" spans="1:11" x14ac:dyDescent="0.45">
      <c r="A36" t="s">
        <v>224</v>
      </c>
      <c r="B36" t="s">
        <v>212</v>
      </c>
      <c r="C36" t="s">
        <v>11</v>
      </c>
      <c r="D36" s="8">
        <v>73239.23</v>
      </c>
      <c r="F36" s="9">
        <v>0</v>
      </c>
      <c r="G36" t="s">
        <v>10</v>
      </c>
      <c r="H36" t="s">
        <v>225</v>
      </c>
      <c r="I36" t="s">
        <v>250</v>
      </c>
      <c r="J36">
        <v>0</v>
      </c>
      <c r="K36" t="s">
        <v>215</v>
      </c>
    </row>
    <row r="37" spans="1:11" x14ac:dyDescent="0.45">
      <c r="A37" t="s">
        <v>54</v>
      </c>
      <c r="B37" t="s">
        <v>212</v>
      </c>
      <c r="C37" t="s">
        <v>11</v>
      </c>
      <c r="D37" s="8">
        <v>113801.11</v>
      </c>
      <c r="F37" s="9">
        <v>0</v>
      </c>
      <c r="G37" t="s">
        <v>10</v>
      </c>
      <c r="H37" t="s">
        <v>55</v>
      </c>
      <c r="I37" t="s">
        <v>250</v>
      </c>
      <c r="J37">
        <v>0</v>
      </c>
      <c r="K37" t="s">
        <v>215</v>
      </c>
    </row>
    <row r="38" spans="1:11" x14ac:dyDescent="0.45">
      <c r="A38" t="s">
        <v>56</v>
      </c>
      <c r="B38" t="s">
        <v>212</v>
      </c>
      <c r="C38" t="s">
        <v>51</v>
      </c>
      <c r="D38" s="8">
        <v>680.4</v>
      </c>
      <c r="F38" s="9">
        <v>0</v>
      </c>
      <c r="G38" t="s">
        <v>10</v>
      </c>
      <c r="H38" t="s">
        <v>57</v>
      </c>
      <c r="I38" t="s">
        <v>250</v>
      </c>
      <c r="J38">
        <v>0</v>
      </c>
      <c r="K38" t="s">
        <v>215</v>
      </c>
    </row>
    <row r="39" spans="1:11" x14ac:dyDescent="0.45">
      <c r="A39" t="s">
        <v>58</v>
      </c>
      <c r="B39" t="s">
        <v>212</v>
      </c>
      <c r="C39" t="s">
        <v>59</v>
      </c>
      <c r="D39" s="8">
        <v>5141209.3</v>
      </c>
      <c r="F39" s="9">
        <v>0</v>
      </c>
      <c r="G39" t="s">
        <v>10</v>
      </c>
      <c r="H39" t="s">
        <v>60</v>
      </c>
      <c r="I39" t="s">
        <v>250</v>
      </c>
      <c r="J39">
        <v>0</v>
      </c>
      <c r="K39" t="s">
        <v>215</v>
      </c>
    </row>
    <row r="40" spans="1:11" x14ac:dyDescent="0.45">
      <c r="A40" t="s">
        <v>58</v>
      </c>
      <c r="B40" t="s">
        <v>211</v>
      </c>
      <c r="C40" t="s">
        <v>59</v>
      </c>
      <c r="D40" s="8">
        <v>90258.66</v>
      </c>
      <c r="F40" s="9">
        <v>0</v>
      </c>
      <c r="G40" t="s">
        <v>10</v>
      </c>
      <c r="H40" t="s">
        <v>60</v>
      </c>
      <c r="I40" t="s">
        <v>250</v>
      </c>
      <c r="J40">
        <v>0</v>
      </c>
      <c r="K40" t="s">
        <v>215</v>
      </c>
    </row>
    <row r="41" spans="1:11" x14ac:dyDescent="0.45">
      <c r="A41" t="s">
        <v>61</v>
      </c>
      <c r="B41" t="s">
        <v>212</v>
      </c>
      <c r="C41" t="s">
        <v>11</v>
      </c>
      <c r="D41" s="8">
        <v>190409.14</v>
      </c>
      <c r="F41" s="9">
        <v>0</v>
      </c>
      <c r="G41" t="s">
        <v>10</v>
      </c>
      <c r="H41" t="s">
        <v>62</v>
      </c>
      <c r="I41" t="s">
        <v>250</v>
      </c>
      <c r="J41">
        <v>0</v>
      </c>
      <c r="K41" t="s">
        <v>215</v>
      </c>
    </row>
    <row r="42" spans="1:11" x14ac:dyDescent="0.45">
      <c r="A42" t="s">
        <v>259</v>
      </c>
      <c r="B42" t="s">
        <v>212</v>
      </c>
      <c r="C42" t="s">
        <v>11</v>
      </c>
      <c r="D42" s="8">
        <v>994968.92</v>
      </c>
      <c r="F42" s="9">
        <v>0</v>
      </c>
      <c r="G42" t="s">
        <v>10</v>
      </c>
      <c r="H42" t="s">
        <v>260</v>
      </c>
      <c r="I42" t="s">
        <v>250</v>
      </c>
      <c r="J42">
        <v>0</v>
      </c>
      <c r="K42" t="s">
        <v>215</v>
      </c>
    </row>
    <row r="43" spans="1:11" x14ac:dyDescent="0.45">
      <c r="A43" t="s">
        <v>63</v>
      </c>
      <c r="B43" t="s">
        <v>212</v>
      </c>
      <c r="C43" t="s">
        <v>64</v>
      </c>
      <c r="D43" s="8">
        <v>59560.84</v>
      </c>
      <c r="F43" s="9">
        <v>1.1519900000000001</v>
      </c>
      <c r="G43" t="s">
        <v>10</v>
      </c>
      <c r="H43" t="s">
        <v>65</v>
      </c>
      <c r="I43" t="s">
        <v>250</v>
      </c>
      <c r="J43">
        <v>0</v>
      </c>
      <c r="K43" t="s">
        <v>215</v>
      </c>
    </row>
    <row r="44" spans="1:11" x14ac:dyDescent="0.45">
      <c r="A44" t="s">
        <v>66</v>
      </c>
      <c r="B44" t="s">
        <v>212</v>
      </c>
      <c r="C44" t="s">
        <v>67</v>
      </c>
      <c r="D44" s="8">
        <v>879546.96</v>
      </c>
      <c r="F44" s="9">
        <v>0</v>
      </c>
      <c r="G44" t="s">
        <v>10</v>
      </c>
      <c r="H44" t="s">
        <v>68</v>
      </c>
      <c r="I44" t="s">
        <v>250</v>
      </c>
      <c r="J44">
        <v>0</v>
      </c>
      <c r="K44" t="s">
        <v>215</v>
      </c>
    </row>
    <row r="45" spans="1:11" x14ac:dyDescent="0.45">
      <c r="A45" t="s">
        <v>69</v>
      </c>
      <c r="B45" t="s">
        <v>212</v>
      </c>
      <c r="C45" t="s">
        <v>11</v>
      </c>
      <c r="D45" s="8">
        <v>25931.71</v>
      </c>
      <c r="F45" s="9">
        <v>0</v>
      </c>
      <c r="G45" t="s">
        <v>10</v>
      </c>
      <c r="H45" t="s">
        <v>70</v>
      </c>
      <c r="I45" t="s">
        <v>250</v>
      </c>
      <c r="J45">
        <v>0</v>
      </c>
      <c r="K45" t="s">
        <v>215</v>
      </c>
    </row>
    <row r="46" spans="1:11" x14ac:dyDescent="0.45">
      <c r="A46" t="s">
        <v>261</v>
      </c>
      <c r="B46" t="s">
        <v>212</v>
      </c>
      <c r="C46" t="s">
        <v>262</v>
      </c>
      <c r="D46" s="8">
        <v>5</v>
      </c>
      <c r="F46" s="9">
        <v>0.90400000000000003</v>
      </c>
      <c r="G46" t="s">
        <v>10</v>
      </c>
      <c r="H46" t="s">
        <v>263</v>
      </c>
      <c r="I46" t="s">
        <v>250</v>
      </c>
      <c r="J46">
        <v>0</v>
      </c>
      <c r="K46" t="s">
        <v>215</v>
      </c>
    </row>
    <row r="47" spans="1:11" x14ac:dyDescent="0.45">
      <c r="A47" t="s">
        <v>226</v>
      </c>
      <c r="B47" t="s">
        <v>212</v>
      </c>
      <c r="C47" t="s">
        <v>227</v>
      </c>
      <c r="D47" s="8">
        <v>3724.72</v>
      </c>
      <c r="F47" s="9">
        <v>0</v>
      </c>
      <c r="G47" t="s">
        <v>10</v>
      </c>
      <c r="H47" t="s">
        <v>228</v>
      </c>
      <c r="I47" t="s">
        <v>250</v>
      </c>
      <c r="J47">
        <v>0</v>
      </c>
      <c r="K47" t="s">
        <v>215</v>
      </c>
    </row>
    <row r="48" spans="1:11" x14ac:dyDescent="0.45">
      <c r="A48" t="s">
        <v>229</v>
      </c>
      <c r="B48" t="s">
        <v>212</v>
      </c>
      <c r="C48" t="s">
        <v>11</v>
      </c>
      <c r="D48" s="8">
        <v>2813.73</v>
      </c>
      <c r="F48" s="9">
        <v>0</v>
      </c>
      <c r="G48" t="s">
        <v>10</v>
      </c>
      <c r="H48" t="s">
        <v>230</v>
      </c>
      <c r="I48" t="s">
        <v>250</v>
      </c>
      <c r="J48">
        <v>0</v>
      </c>
      <c r="K48" t="s">
        <v>215</v>
      </c>
    </row>
    <row r="49" spans="1:11" x14ac:dyDescent="0.45">
      <c r="A49" t="s">
        <v>71</v>
      </c>
      <c r="B49" t="s">
        <v>212</v>
      </c>
      <c r="C49" t="s">
        <v>11</v>
      </c>
      <c r="D49" s="8">
        <v>84380.64</v>
      </c>
      <c r="F49" s="9">
        <v>0</v>
      </c>
      <c r="G49" t="s">
        <v>10</v>
      </c>
      <c r="H49" t="s">
        <v>72</v>
      </c>
      <c r="I49" t="s">
        <v>250</v>
      </c>
      <c r="J49">
        <v>0</v>
      </c>
      <c r="K49" t="s">
        <v>215</v>
      </c>
    </row>
    <row r="50" spans="1:11" x14ac:dyDescent="0.45">
      <c r="A50" t="s">
        <v>73</v>
      </c>
      <c r="B50" t="s">
        <v>212</v>
      </c>
      <c r="C50" t="s">
        <v>11</v>
      </c>
      <c r="D50" s="8">
        <v>6885250.7300000004</v>
      </c>
      <c r="F50" s="9">
        <v>0</v>
      </c>
      <c r="G50" t="s">
        <v>10</v>
      </c>
      <c r="H50" t="s">
        <v>74</v>
      </c>
      <c r="I50" t="s">
        <v>250</v>
      </c>
      <c r="J50">
        <v>0</v>
      </c>
      <c r="K50" t="s">
        <v>215</v>
      </c>
    </row>
    <row r="51" spans="1:11" x14ac:dyDescent="0.45">
      <c r="A51" t="s">
        <v>75</v>
      </c>
      <c r="B51" t="s">
        <v>212</v>
      </c>
      <c r="C51" t="s">
        <v>76</v>
      </c>
      <c r="D51" s="8">
        <v>477.82</v>
      </c>
      <c r="F51" s="9">
        <v>0.45249</v>
      </c>
      <c r="G51" t="s">
        <v>10</v>
      </c>
      <c r="H51" t="s">
        <v>77</v>
      </c>
      <c r="I51" t="s">
        <v>250</v>
      </c>
      <c r="J51">
        <v>0</v>
      </c>
      <c r="K51" t="s">
        <v>215</v>
      </c>
    </row>
    <row r="52" spans="1:11" x14ac:dyDescent="0.45">
      <c r="A52" t="s">
        <v>78</v>
      </c>
      <c r="B52" t="s">
        <v>211</v>
      </c>
      <c r="C52" t="s">
        <v>11</v>
      </c>
      <c r="D52" s="8">
        <v>6266.2</v>
      </c>
      <c r="F52" s="9">
        <v>0</v>
      </c>
      <c r="G52" t="s">
        <v>10</v>
      </c>
      <c r="H52" t="s">
        <v>231</v>
      </c>
      <c r="I52" t="s">
        <v>250</v>
      </c>
      <c r="J52">
        <v>0</v>
      </c>
      <c r="K52" t="s">
        <v>215</v>
      </c>
    </row>
    <row r="53" spans="1:11" x14ac:dyDescent="0.45">
      <c r="A53" t="s">
        <v>78</v>
      </c>
      <c r="B53" t="s">
        <v>212</v>
      </c>
      <c r="C53" t="s">
        <v>11</v>
      </c>
      <c r="D53" s="8">
        <v>283155.59999999998</v>
      </c>
      <c r="F53" s="9">
        <v>0</v>
      </c>
      <c r="G53" t="s">
        <v>10</v>
      </c>
      <c r="H53" t="s">
        <v>231</v>
      </c>
      <c r="I53" t="s">
        <v>250</v>
      </c>
      <c r="J53">
        <v>0</v>
      </c>
      <c r="K53" t="s">
        <v>215</v>
      </c>
    </row>
    <row r="54" spans="1:11" x14ac:dyDescent="0.45">
      <c r="A54" t="s">
        <v>79</v>
      </c>
      <c r="B54" t="s">
        <v>211</v>
      </c>
      <c r="C54" t="s">
        <v>11</v>
      </c>
      <c r="D54" s="8">
        <v>2227.3000000000002</v>
      </c>
      <c r="F54" s="9">
        <v>0</v>
      </c>
      <c r="G54" t="s">
        <v>10</v>
      </c>
      <c r="H54" t="s">
        <v>264</v>
      </c>
      <c r="I54" t="s">
        <v>250</v>
      </c>
      <c r="J54">
        <v>0</v>
      </c>
      <c r="K54" t="s">
        <v>215</v>
      </c>
    </row>
    <row r="55" spans="1:11" x14ac:dyDescent="0.45">
      <c r="A55" t="s">
        <v>232</v>
      </c>
      <c r="B55" t="s">
        <v>212</v>
      </c>
      <c r="C55" t="s">
        <v>11</v>
      </c>
      <c r="D55" s="8">
        <v>1642100.95</v>
      </c>
      <c r="F55" s="9">
        <v>0</v>
      </c>
      <c r="G55" t="s">
        <v>10</v>
      </c>
      <c r="H55" t="s">
        <v>233</v>
      </c>
      <c r="I55" t="s">
        <v>250</v>
      </c>
      <c r="J55">
        <v>0</v>
      </c>
      <c r="K55" t="s">
        <v>215</v>
      </c>
    </row>
    <row r="56" spans="1:11" x14ac:dyDescent="0.45">
      <c r="A56" t="s">
        <v>80</v>
      </c>
      <c r="B56" t="s">
        <v>212</v>
      </c>
      <c r="C56" t="s">
        <v>11</v>
      </c>
      <c r="D56" s="8">
        <v>6804670.7800000003</v>
      </c>
      <c r="F56" s="9">
        <v>0</v>
      </c>
      <c r="G56" t="s">
        <v>10</v>
      </c>
      <c r="H56" t="s">
        <v>81</v>
      </c>
      <c r="I56" t="s">
        <v>250</v>
      </c>
      <c r="J56">
        <v>0</v>
      </c>
      <c r="K56" t="s">
        <v>215</v>
      </c>
    </row>
    <row r="57" spans="1:11" x14ac:dyDescent="0.45">
      <c r="A57" t="s">
        <v>82</v>
      </c>
      <c r="B57" t="s">
        <v>212</v>
      </c>
      <c r="C57" t="s">
        <v>11</v>
      </c>
      <c r="D57" s="8">
        <v>13.2</v>
      </c>
      <c r="F57" s="9">
        <v>0</v>
      </c>
      <c r="G57" t="s">
        <v>10</v>
      </c>
      <c r="H57" t="s">
        <v>83</v>
      </c>
      <c r="I57" t="s">
        <v>250</v>
      </c>
      <c r="J57">
        <v>0</v>
      </c>
      <c r="K57" t="s">
        <v>215</v>
      </c>
    </row>
    <row r="58" spans="1:11" x14ac:dyDescent="0.45">
      <c r="A58" t="s">
        <v>84</v>
      </c>
      <c r="B58" t="s">
        <v>212</v>
      </c>
      <c r="C58" t="s">
        <v>11</v>
      </c>
      <c r="D58" s="8">
        <v>0.45</v>
      </c>
      <c r="F58" s="9">
        <v>0</v>
      </c>
      <c r="G58" t="s">
        <v>10</v>
      </c>
      <c r="H58" t="s">
        <v>85</v>
      </c>
      <c r="I58" t="s">
        <v>250</v>
      </c>
      <c r="J58">
        <v>0</v>
      </c>
      <c r="K58" t="s">
        <v>215</v>
      </c>
    </row>
    <row r="59" spans="1:11" x14ac:dyDescent="0.45">
      <c r="A59" t="s">
        <v>234</v>
      </c>
      <c r="B59" t="s">
        <v>207</v>
      </c>
      <c r="C59" t="s">
        <v>11</v>
      </c>
      <c r="D59" s="8">
        <v>0</v>
      </c>
      <c r="F59" s="9"/>
      <c r="G59" t="s">
        <v>10</v>
      </c>
      <c r="H59" t="s">
        <v>235</v>
      </c>
      <c r="I59" t="s">
        <v>250</v>
      </c>
      <c r="J59">
        <v>0</v>
      </c>
      <c r="K59" t="s">
        <v>215</v>
      </c>
    </row>
    <row r="60" spans="1:11" x14ac:dyDescent="0.45">
      <c r="A60" t="s">
        <v>86</v>
      </c>
      <c r="B60" t="s">
        <v>212</v>
      </c>
      <c r="C60" t="s">
        <v>11</v>
      </c>
      <c r="D60" s="8">
        <v>149.26</v>
      </c>
      <c r="F60" s="9">
        <v>0</v>
      </c>
      <c r="G60" t="s">
        <v>10</v>
      </c>
      <c r="H60" t="s">
        <v>265</v>
      </c>
      <c r="I60" t="s">
        <v>250</v>
      </c>
      <c r="J60">
        <v>0</v>
      </c>
      <c r="K60" t="s">
        <v>215</v>
      </c>
    </row>
    <row r="61" spans="1:11" x14ac:dyDescent="0.45">
      <c r="A61" t="s">
        <v>87</v>
      </c>
      <c r="B61" t="s">
        <v>212</v>
      </c>
      <c r="C61" t="s">
        <v>11</v>
      </c>
      <c r="D61" s="8">
        <v>736227.66</v>
      </c>
      <c r="F61" s="9">
        <v>0</v>
      </c>
      <c r="G61" t="s">
        <v>10</v>
      </c>
      <c r="H61" t="s">
        <v>266</v>
      </c>
      <c r="I61" t="s">
        <v>250</v>
      </c>
      <c r="J61">
        <v>0</v>
      </c>
      <c r="K61" t="s">
        <v>215</v>
      </c>
    </row>
    <row r="62" spans="1:11" x14ac:dyDescent="0.45">
      <c r="A62" t="s">
        <v>88</v>
      </c>
      <c r="B62" t="s">
        <v>212</v>
      </c>
      <c r="C62" t="s">
        <v>11</v>
      </c>
      <c r="D62" s="8">
        <v>1061882.43</v>
      </c>
      <c r="F62" s="9">
        <v>0</v>
      </c>
      <c r="G62" t="s">
        <v>10</v>
      </c>
      <c r="H62" t="s">
        <v>89</v>
      </c>
      <c r="I62" t="s">
        <v>250</v>
      </c>
      <c r="J62">
        <v>0</v>
      </c>
      <c r="K62" t="s">
        <v>215</v>
      </c>
    </row>
    <row r="63" spans="1:11" x14ac:dyDescent="0.45">
      <c r="A63" t="s">
        <v>236</v>
      </c>
      <c r="B63" t="s">
        <v>211</v>
      </c>
      <c r="C63" t="s">
        <v>11</v>
      </c>
      <c r="D63" s="8">
        <v>0.01</v>
      </c>
      <c r="F63" s="9">
        <v>0</v>
      </c>
      <c r="G63" t="s">
        <v>10</v>
      </c>
      <c r="H63" t="s">
        <v>237</v>
      </c>
      <c r="I63" t="s">
        <v>250</v>
      </c>
      <c r="J63">
        <v>0</v>
      </c>
      <c r="K63" t="s">
        <v>215</v>
      </c>
    </row>
    <row r="64" spans="1:11" x14ac:dyDescent="0.45">
      <c r="A64" t="s">
        <v>267</v>
      </c>
      <c r="B64" t="s">
        <v>212</v>
      </c>
      <c r="C64" t="s">
        <v>11</v>
      </c>
      <c r="D64" s="8">
        <v>161965.91</v>
      </c>
      <c r="F64">
        <v>0</v>
      </c>
      <c r="G64" t="s">
        <v>10</v>
      </c>
      <c r="H64" t="s">
        <v>268</v>
      </c>
      <c r="I64" t="s">
        <v>250</v>
      </c>
      <c r="J64">
        <v>0</v>
      </c>
      <c r="K64" t="s">
        <v>215</v>
      </c>
    </row>
    <row r="65" spans="1:11" x14ac:dyDescent="0.45">
      <c r="A65" t="s">
        <v>269</v>
      </c>
      <c r="B65" t="s">
        <v>212</v>
      </c>
      <c r="C65" t="s">
        <v>11</v>
      </c>
      <c r="D65" s="8">
        <v>2221.36</v>
      </c>
      <c r="F65" s="9">
        <v>0</v>
      </c>
      <c r="G65" t="s">
        <v>10</v>
      </c>
      <c r="H65" t="s">
        <v>270</v>
      </c>
      <c r="I65" t="s">
        <v>250</v>
      </c>
      <c r="J65">
        <v>0</v>
      </c>
      <c r="K65" t="s">
        <v>215</v>
      </c>
    </row>
    <row r="66" spans="1:11" x14ac:dyDescent="0.45">
      <c r="A66" t="s">
        <v>90</v>
      </c>
      <c r="B66" t="s">
        <v>212</v>
      </c>
      <c r="C66" t="s">
        <v>11</v>
      </c>
      <c r="D66" s="8">
        <v>37034.29</v>
      </c>
      <c r="E66">
        <v>17.52</v>
      </c>
      <c r="F66" s="9">
        <v>0.40299000000000001</v>
      </c>
      <c r="G66" t="s">
        <v>10</v>
      </c>
      <c r="H66" t="s">
        <v>91</v>
      </c>
      <c r="I66" t="s">
        <v>250</v>
      </c>
      <c r="J66">
        <v>0</v>
      </c>
      <c r="K66" t="s">
        <v>215</v>
      </c>
    </row>
    <row r="67" spans="1:11" x14ac:dyDescent="0.45">
      <c r="A67" t="s">
        <v>271</v>
      </c>
      <c r="B67" t="s">
        <v>212</v>
      </c>
      <c r="C67" t="s">
        <v>272</v>
      </c>
      <c r="D67" s="8">
        <v>100000</v>
      </c>
      <c r="F67" s="9">
        <v>0</v>
      </c>
      <c r="G67" t="s">
        <v>10</v>
      </c>
      <c r="H67" t="s">
        <v>273</v>
      </c>
      <c r="I67" t="s">
        <v>250</v>
      </c>
      <c r="J67">
        <v>0</v>
      </c>
      <c r="K67" t="s">
        <v>215</v>
      </c>
    </row>
    <row r="68" spans="1:11" x14ac:dyDescent="0.45">
      <c r="A68" t="s">
        <v>274</v>
      </c>
      <c r="B68" t="s">
        <v>212</v>
      </c>
      <c r="C68" t="s">
        <v>11</v>
      </c>
      <c r="D68" s="8">
        <v>43625.24</v>
      </c>
      <c r="F68" s="9">
        <v>0</v>
      </c>
      <c r="G68" t="s">
        <v>10</v>
      </c>
      <c r="H68" t="s">
        <v>275</v>
      </c>
      <c r="I68" t="s">
        <v>250</v>
      </c>
      <c r="J68">
        <v>0</v>
      </c>
      <c r="K68" t="s">
        <v>215</v>
      </c>
    </row>
    <row r="69" spans="1:11" x14ac:dyDescent="0.45">
      <c r="A69" t="s">
        <v>92</v>
      </c>
      <c r="B69" t="s">
        <v>212</v>
      </c>
      <c r="C69" t="s">
        <v>11</v>
      </c>
      <c r="D69" s="8">
        <v>9671.93</v>
      </c>
      <c r="F69" s="9">
        <v>0</v>
      </c>
      <c r="G69" t="s">
        <v>10</v>
      </c>
      <c r="H69" t="s">
        <v>93</v>
      </c>
      <c r="I69" t="s">
        <v>250</v>
      </c>
      <c r="J69">
        <v>0</v>
      </c>
      <c r="K69" t="s">
        <v>215</v>
      </c>
    </row>
    <row r="70" spans="1:11" x14ac:dyDescent="0.45">
      <c r="A70" t="s">
        <v>276</v>
      </c>
      <c r="B70" t="s">
        <v>212</v>
      </c>
      <c r="C70" t="s">
        <v>11</v>
      </c>
      <c r="D70" s="8">
        <v>7543.83</v>
      </c>
      <c r="F70" s="9">
        <v>0</v>
      </c>
      <c r="G70" t="s">
        <v>10</v>
      </c>
      <c r="H70" t="s">
        <v>277</v>
      </c>
      <c r="I70" t="s">
        <v>250</v>
      </c>
      <c r="J70">
        <v>0</v>
      </c>
      <c r="K70" t="s">
        <v>215</v>
      </c>
    </row>
    <row r="71" spans="1:11" x14ac:dyDescent="0.45">
      <c r="A71" t="s">
        <v>94</v>
      </c>
      <c r="B71" t="s">
        <v>210</v>
      </c>
      <c r="C71" t="s">
        <v>11</v>
      </c>
      <c r="D71" s="8">
        <v>6986.92</v>
      </c>
      <c r="F71" s="9">
        <v>0</v>
      </c>
      <c r="G71" t="s">
        <v>10</v>
      </c>
      <c r="H71" t="s">
        <v>95</v>
      </c>
      <c r="I71" t="s">
        <v>250</v>
      </c>
      <c r="J71">
        <v>0</v>
      </c>
      <c r="K71" t="s">
        <v>215</v>
      </c>
    </row>
    <row r="72" spans="1:11" x14ac:dyDescent="0.45">
      <c r="A72" t="s">
        <v>96</v>
      </c>
      <c r="B72" t="s">
        <v>212</v>
      </c>
      <c r="C72" t="s">
        <v>97</v>
      </c>
      <c r="D72" s="8">
        <v>173618.47</v>
      </c>
      <c r="F72" s="9">
        <v>0</v>
      </c>
      <c r="G72" t="s">
        <v>10</v>
      </c>
      <c r="H72" t="s">
        <v>98</v>
      </c>
      <c r="I72" t="s">
        <v>250</v>
      </c>
      <c r="J72">
        <v>0</v>
      </c>
      <c r="K72" t="s">
        <v>215</v>
      </c>
    </row>
    <row r="73" spans="1:11" x14ac:dyDescent="0.45">
      <c r="A73" t="s">
        <v>99</v>
      </c>
      <c r="B73" t="s">
        <v>212</v>
      </c>
      <c r="C73" t="s">
        <v>11</v>
      </c>
      <c r="D73" s="8">
        <v>0.51</v>
      </c>
      <c r="F73" s="9">
        <v>2</v>
      </c>
      <c r="G73" t="s">
        <v>10</v>
      </c>
      <c r="H73" t="s">
        <v>100</v>
      </c>
      <c r="I73" t="s">
        <v>250</v>
      </c>
      <c r="J73">
        <v>0</v>
      </c>
      <c r="K73" t="s">
        <v>215</v>
      </c>
    </row>
    <row r="74" spans="1:11" x14ac:dyDescent="0.45">
      <c r="A74" t="s">
        <v>238</v>
      </c>
      <c r="B74" t="s">
        <v>204</v>
      </c>
      <c r="C74" t="s">
        <v>11</v>
      </c>
      <c r="D74" s="8">
        <v>44087.08</v>
      </c>
      <c r="E74" s="8"/>
      <c r="F74" s="9">
        <v>0</v>
      </c>
      <c r="G74" t="s">
        <v>10</v>
      </c>
      <c r="H74" t="s">
        <v>239</v>
      </c>
      <c r="I74" t="s">
        <v>250</v>
      </c>
      <c r="J74">
        <v>0</v>
      </c>
      <c r="K74" t="s">
        <v>215</v>
      </c>
    </row>
    <row r="75" spans="1:11" x14ac:dyDescent="0.45">
      <c r="A75" t="s">
        <v>240</v>
      </c>
      <c r="B75" t="s">
        <v>212</v>
      </c>
      <c r="C75" t="s">
        <v>11</v>
      </c>
      <c r="D75" s="8">
        <v>1033521.27</v>
      </c>
      <c r="F75" s="9">
        <v>0</v>
      </c>
      <c r="G75" t="s">
        <v>10</v>
      </c>
      <c r="H75" t="s">
        <v>241</v>
      </c>
      <c r="I75" t="s">
        <v>250</v>
      </c>
      <c r="J75">
        <v>0</v>
      </c>
      <c r="K75" t="s">
        <v>215</v>
      </c>
    </row>
    <row r="76" spans="1:11" x14ac:dyDescent="0.45">
      <c r="A76" t="s">
        <v>101</v>
      </c>
      <c r="B76" t="s">
        <v>212</v>
      </c>
      <c r="C76" t="s">
        <v>11</v>
      </c>
      <c r="D76" s="8">
        <v>111158.84</v>
      </c>
      <c r="F76" s="9">
        <v>0</v>
      </c>
      <c r="G76" t="s">
        <v>10</v>
      </c>
      <c r="H76" t="s">
        <v>278</v>
      </c>
      <c r="I76" t="s">
        <v>250</v>
      </c>
      <c r="J76">
        <v>0</v>
      </c>
      <c r="K76" t="s">
        <v>215</v>
      </c>
    </row>
    <row r="77" spans="1:11" x14ac:dyDescent="0.45">
      <c r="A77" t="s">
        <v>103</v>
      </c>
      <c r="B77" t="s">
        <v>212</v>
      </c>
      <c r="C77" t="s">
        <v>11</v>
      </c>
      <c r="D77" s="8">
        <v>589494.88</v>
      </c>
      <c r="F77" s="9">
        <v>0</v>
      </c>
      <c r="G77" t="s">
        <v>10</v>
      </c>
      <c r="H77" t="s">
        <v>104</v>
      </c>
      <c r="I77" t="s">
        <v>250</v>
      </c>
      <c r="J77">
        <v>0</v>
      </c>
      <c r="K77" t="s">
        <v>215</v>
      </c>
    </row>
    <row r="78" spans="1:11" x14ac:dyDescent="0.45">
      <c r="A78" t="s">
        <v>103</v>
      </c>
      <c r="B78" t="s">
        <v>207</v>
      </c>
      <c r="C78" t="s">
        <v>11</v>
      </c>
      <c r="D78" s="8">
        <v>2179.89</v>
      </c>
      <c r="F78" s="9">
        <v>0</v>
      </c>
      <c r="G78" t="s">
        <v>10</v>
      </c>
      <c r="H78" t="s">
        <v>104</v>
      </c>
      <c r="I78" t="s">
        <v>250</v>
      </c>
      <c r="J78">
        <v>0</v>
      </c>
      <c r="K78" t="s">
        <v>215</v>
      </c>
    </row>
    <row r="79" spans="1:11" x14ac:dyDescent="0.45">
      <c r="A79" t="s">
        <v>103</v>
      </c>
      <c r="B79" t="s">
        <v>210</v>
      </c>
      <c r="C79" t="s">
        <v>11</v>
      </c>
      <c r="D79" s="8">
        <v>166732.5</v>
      </c>
      <c r="F79" s="9">
        <v>0</v>
      </c>
      <c r="G79" t="s">
        <v>10</v>
      </c>
      <c r="H79" t="s">
        <v>104</v>
      </c>
      <c r="I79" t="s">
        <v>250</v>
      </c>
      <c r="J79">
        <v>0</v>
      </c>
      <c r="K79" t="s">
        <v>215</v>
      </c>
    </row>
    <row r="80" spans="1:11" x14ac:dyDescent="0.45">
      <c r="A80" t="s">
        <v>103</v>
      </c>
      <c r="B80" t="s">
        <v>211</v>
      </c>
      <c r="C80" t="s">
        <v>11</v>
      </c>
      <c r="D80" s="8">
        <v>143229140.16999999</v>
      </c>
      <c r="E80">
        <v>30165.95</v>
      </c>
      <c r="F80" s="9">
        <v>2.0249999999999999</v>
      </c>
      <c r="G80" t="s">
        <v>10</v>
      </c>
      <c r="H80" t="s">
        <v>104</v>
      </c>
      <c r="I80" t="s">
        <v>250</v>
      </c>
      <c r="J80">
        <v>0</v>
      </c>
      <c r="K80" t="s">
        <v>215</v>
      </c>
    </row>
    <row r="81" spans="1:11" x14ac:dyDescent="0.45">
      <c r="A81" t="s">
        <v>103</v>
      </c>
      <c r="B81" t="s">
        <v>204</v>
      </c>
      <c r="C81" t="s">
        <v>11</v>
      </c>
      <c r="D81" s="8">
        <v>11324.81</v>
      </c>
      <c r="F81" s="9">
        <v>0</v>
      </c>
      <c r="G81" t="s">
        <v>10</v>
      </c>
      <c r="H81" t="s">
        <v>104</v>
      </c>
      <c r="I81" t="s">
        <v>250</v>
      </c>
      <c r="J81">
        <v>0</v>
      </c>
      <c r="K81" t="s">
        <v>215</v>
      </c>
    </row>
    <row r="82" spans="1:11" x14ac:dyDescent="0.45">
      <c r="A82" t="s">
        <v>103</v>
      </c>
      <c r="B82" t="s">
        <v>206</v>
      </c>
      <c r="C82" t="s">
        <v>11</v>
      </c>
      <c r="D82" s="8">
        <v>1115.47</v>
      </c>
      <c r="F82" s="9">
        <v>0</v>
      </c>
      <c r="G82" t="s">
        <v>10</v>
      </c>
      <c r="H82" t="s">
        <v>104</v>
      </c>
      <c r="I82" t="s">
        <v>250</v>
      </c>
      <c r="J82">
        <v>0</v>
      </c>
      <c r="K82" t="s">
        <v>215</v>
      </c>
    </row>
    <row r="83" spans="1:11" x14ac:dyDescent="0.45">
      <c r="A83" t="s">
        <v>103</v>
      </c>
      <c r="B83" t="s">
        <v>209</v>
      </c>
      <c r="C83" t="s">
        <v>11</v>
      </c>
      <c r="D83" s="8">
        <v>48273.88</v>
      </c>
      <c r="F83" s="9">
        <v>0</v>
      </c>
      <c r="G83" t="s">
        <v>10</v>
      </c>
      <c r="H83" t="s">
        <v>104</v>
      </c>
      <c r="I83" t="s">
        <v>250</v>
      </c>
      <c r="J83">
        <v>0</v>
      </c>
      <c r="K83" t="s">
        <v>215</v>
      </c>
    </row>
    <row r="84" spans="1:11" x14ac:dyDescent="0.45">
      <c r="A84" t="s">
        <v>103</v>
      </c>
      <c r="B84" t="s">
        <v>205</v>
      </c>
      <c r="C84" t="s">
        <v>11</v>
      </c>
      <c r="D84" s="8">
        <v>10054.120000000001</v>
      </c>
      <c r="F84" s="9">
        <v>0</v>
      </c>
      <c r="G84" t="s">
        <v>10</v>
      </c>
      <c r="H84" t="s">
        <v>104</v>
      </c>
      <c r="I84" t="s">
        <v>250</v>
      </c>
      <c r="J84">
        <v>0</v>
      </c>
      <c r="K84" t="s">
        <v>215</v>
      </c>
    </row>
    <row r="85" spans="1:11" x14ac:dyDescent="0.45">
      <c r="A85" t="s">
        <v>103</v>
      </c>
      <c r="B85" t="s">
        <v>208</v>
      </c>
      <c r="C85" t="s">
        <v>11</v>
      </c>
      <c r="D85" s="8">
        <v>3103.42</v>
      </c>
      <c r="F85" s="9">
        <v>0</v>
      </c>
      <c r="G85" t="s">
        <v>10</v>
      </c>
      <c r="H85" t="s">
        <v>104</v>
      </c>
      <c r="I85" t="s">
        <v>250</v>
      </c>
      <c r="J85">
        <v>0</v>
      </c>
      <c r="K85" t="s">
        <v>215</v>
      </c>
    </row>
    <row r="86" spans="1:11" x14ac:dyDescent="0.45">
      <c r="A86" t="s">
        <v>105</v>
      </c>
      <c r="B86" t="s">
        <v>211</v>
      </c>
      <c r="C86" t="s">
        <v>11</v>
      </c>
      <c r="D86" s="8">
        <v>85686.03</v>
      </c>
      <c r="F86" s="9">
        <v>0</v>
      </c>
      <c r="G86" t="s">
        <v>10</v>
      </c>
      <c r="H86" t="s">
        <v>279</v>
      </c>
      <c r="I86" t="s">
        <v>250</v>
      </c>
      <c r="J86">
        <v>0</v>
      </c>
      <c r="K86" t="s">
        <v>215</v>
      </c>
    </row>
    <row r="87" spans="1:11" x14ac:dyDescent="0.45">
      <c r="A87" t="s">
        <v>105</v>
      </c>
      <c r="B87" t="s">
        <v>212</v>
      </c>
      <c r="C87" t="s">
        <v>11</v>
      </c>
      <c r="D87" s="8">
        <v>105538.27</v>
      </c>
      <c r="F87" s="9">
        <v>0</v>
      </c>
      <c r="G87" t="s">
        <v>10</v>
      </c>
      <c r="H87" t="s">
        <v>279</v>
      </c>
      <c r="I87" t="s">
        <v>250</v>
      </c>
      <c r="J87">
        <v>0</v>
      </c>
      <c r="K87" t="s">
        <v>215</v>
      </c>
    </row>
    <row r="88" spans="1:11" x14ac:dyDescent="0.45">
      <c r="A88" t="s">
        <v>106</v>
      </c>
      <c r="B88" t="s">
        <v>212</v>
      </c>
      <c r="C88" t="s">
        <v>11</v>
      </c>
      <c r="D88" s="8">
        <v>5481506.6799999997</v>
      </c>
      <c r="F88" s="9">
        <v>0</v>
      </c>
      <c r="G88" t="s">
        <v>10</v>
      </c>
      <c r="H88" t="s">
        <v>102</v>
      </c>
      <c r="I88" t="s">
        <v>250</v>
      </c>
      <c r="J88">
        <v>0</v>
      </c>
      <c r="K88" t="s">
        <v>215</v>
      </c>
    </row>
    <row r="89" spans="1:11" x14ac:dyDescent="0.45">
      <c r="A89" t="s">
        <v>107</v>
      </c>
      <c r="B89" t="s">
        <v>212</v>
      </c>
      <c r="C89" t="s">
        <v>11</v>
      </c>
      <c r="D89" s="8">
        <v>104882.95</v>
      </c>
      <c r="F89" s="9">
        <v>0</v>
      </c>
      <c r="G89" t="s">
        <v>10</v>
      </c>
      <c r="H89" t="s">
        <v>108</v>
      </c>
      <c r="I89" t="s">
        <v>250</v>
      </c>
      <c r="J89">
        <v>0</v>
      </c>
      <c r="K89" t="s">
        <v>215</v>
      </c>
    </row>
    <row r="90" spans="1:11" x14ac:dyDescent="0.45">
      <c r="A90" t="s">
        <v>109</v>
      </c>
      <c r="B90" t="s">
        <v>212</v>
      </c>
      <c r="C90" t="s">
        <v>110</v>
      </c>
      <c r="D90" s="8">
        <v>49707</v>
      </c>
      <c r="F90" s="9">
        <v>0</v>
      </c>
      <c r="G90" t="s">
        <v>10</v>
      </c>
      <c r="H90" t="s">
        <v>111</v>
      </c>
      <c r="I90" t="s">
        <v>250</v>
      </c>
      <c r="J90">
        <v>0</v>
      </c>
      <c r="K90" t="s">
        <v>215</v>
      </c>
    </row>
    <row r="91" spans="1:11" x14ac:dyDescent="0.45">
      <c r="A91" t="s">
        <v>112</v>
      </c>
      <c r="B91" t="s">
        <v>212</v>
      </c>
      <c r="C91" t="s">
        <v>11</v>
      </c>
      <c r="D91" s="8">
        <v>402362.06</v>
      </c>
      <c r="F91" s="9">
        <v>0</v>
      </c>
      <c r="G91" t="s">
        <v>10</v>
      </c>
      <c r="H91" t="s">
        <v>113</v>
      </c>
      <c r="I91" t="s">
        <v>250</v>
      </c>
      <c r="J91">
        <v>0</v>
      </c>
      <c r="K91" t="s">
        <v>215</v>
      </c>
    </row>
    <row r="92" spans="1:11" x14ac:dyDescent="0.45">
      <c r="A92" t="s">
        <v>114</v>
      </c>
      <c r="B92" t="s">
        <v>210</v>
      </c>
      <c r="C92" t="s">
        <v>115</v>
      </c>
      <c r="D92" s="8">
        <v>22250.22</v>
      </c>
      <c r="F92" s="9">
        <v>0</v>
      </c>
      <c r="G92" t="s">
        <v>10</v>
      </c>
      <c r="H92" t="s">
        <v>280</v>
      </c>
      <c r="I92" t="s">
        <v>250</v>
      </c>
      <c r="J92">
        <v>0</v>
      </c>
      <c r="K92" t="s">
        <v>215</v>
      </c>
    </row>
    <row r="93" spans="1:11" x14ac:dyDescent="0.45">
      <c r="A93" t="s">
        <v>114</v>
      </c>
      <c r="B93" t="s">
        <v>211</v>
      </c>
      <c r="C93" t="s">
        <v>115</v>
      </c>
      <c r="D93" s="8">
        <v>619778.73</v>
      </c>
      <c r="F93" s="9">
        <v>0</v>
      </c>
      <c r="G93" t="s">
        <v>10</v>
      </c>
      <c r="H93" t="s">
        <v>280</v>
      </c>
      <c r="I93" t="s">
        <v>250</v>
      </c>
      <c r="J93">
        <v>0</v>
      </c>
      <c r="K93" t="s">
        <v>215</v>
      </c>
    </row>
    <row r="94" spans="1:11" x14ac:dyDescent="0.45">
      <c r="A94" t="s">
        <v>114</v>
      </c>
      <c r="B94" t="s">
        <v>212</v>
      </c>
      <c r="C94" t="s">
        <v>115</v>
      </c>
      <c r="D94" s="8">
        <v>714045.24</v>
      </c>
      <c r="F94" s="9">
        <v>0</v>
      </c>
      <c r="G94" t="s">
        <v>10</v>
      </c>
      <c r="H94" t="s">
        <v>280</v>
      </c>
      <c r="I94" t="s">
        <v>250</v>
      </c>
      <c r="J94">
        <v>0</v>
      </c>
      <c r="K94" t="s">
        <v>215</v>
      </c>
    </row>
    <row r="95" spans="1:11" x14ac:dyDescent="0.45">
      <c r="A95" t="s">
        <v>116</v>
      </c>
      <c r="B95" t="s">
        <v>212</v>
      </c>
      <c r="C95" t="s">
        <v>117</v>
      </c>
      <c r="D95" s="8">
        <v>8006036.7199999997</v>
      </c>
      <c r="F95" s="9">
        <v>0</v>
      </c>
      <c r="G95" t="s">
        <v>10</v>
      </c>
      <c r="H95" t="s">
        <v>118</v>
      </c>
      <c r="I95" t="s">
        <v>250</v>
      </c>
      <c r="J95">
        <v>0</v>
      </c>
      <c r="K95" t="s">
        <v>245</v>
      </c>
    </row>
    <row r="96" spans="1:11" x14ac:dyDescent="0.45">
      <c r="A96" t="s">
        <v>119</v>
      </c>
      <c r="B96" t="s">
        <v>212</v>
      </c>
      <c r="C96" t="s">
        <v>11</v>
      </c>
      <c r="D96" s="8">
        <v>10540.17</v>
      </c>
      <c r="F96" s="9">
        <v>0</v>
      </c>
      <c r="G96" t="s">
        <v>10</v>
      </c>
      <c r="H96" t="s">
        <v>120</v>
      </c>
      <c r="I96" t="s">
        <v>250</v>
      </c>
      <c r="J96">
        <v>0</v>
      </c>
      <c r="K96" t="s">
        <v>215</v>
      </c>
    </row>
    <row r="97" spans="1:11" x14ac:dyDescent="0.45">
      <c r="A97" t="s">
        <v>121</v>
      </c>
      <c r="B97" t="s">
        <v>211</v>
      </c>
      <c r="C97" t="s">
        <v>11</v>
      </c>
      <c r="D97" s="8">
        <v>2582467.04</v>
      </c>
      <c r="E97">
        <v>235.98</v>
      </c>
      <c r="F97" s="9">
        <v>1.91099</v>
      </c>
      <c r="G97" t="s">
        <v>10</v>
      </c>
      <c r="H97" t="s">
        <v>122</v>
      </c>
      <c r="I97" t="s">
        <v>250</v>
      </c>
      <c r="J97">
        <v>0</v>
      </c>
      <c r="K97" t="s">
        <v>215</v>
      </c>
    </row>
    <row r="98" spans="1:11" x14ac:dyDescent="0.45">
      <c r="A98" t="s">
        <v>121</v>
      </c>
      <c r="B98" t="s">
        <v>210</v>
      </c>
      <c r="C98" t="s">
        <v>11</v>
      </c>
      <c r="D98" s="8">
        <v>7796.92</v>
      </c>
      <c r="F98" s="9">
        <v>0</v>
      </c>
      <c r="G98" t="s">
        <v>10</v>
      </c>
      <c r="H98" t="s">
        <v>122</v>
      </c>
      <c r="I98" t="s">
        <v>250</v>
      </c>
      <c r="J98">
        <v>0</v>
      </c>
      <c r="K98" t="s">
        <v>215</v>
      </c>
    </row>
    <row r="99" spans="1:11" x14ac:dyDescent="0.45">
      <c r="A99" t="s">
        <v>121</v>
      </c>
      <c r="B99" t="s">
        <v>209</v>
      </c>
      <c r="C99" t="s">
        <v>11</v>
      </c>
      <c r="D99" s="8">
        <v>40456.29</v>
      </c>
      <c r="F99" s="9">
        <v>0</v>
      </c>
      <c r="G99" t="s">
        <v>10</v>
      </c>
      <c r="H99" t="s">
        <v>122</v>
      </c>
      <c r="I99" t="s">
        <v>250</v>
      </c>
      <c r="J99">
        <v>0</v>
      </c>
      <c r="K99" t="s">
        <v>215</v>
      </c>
    </row>
    <row r="100" spans="1:11" x14ac:dyDescent="0.45">
      <c r="A100" t="s">
        <v>121</v>
      </c>
      <c r="B100" t="s">
        <v>212</v>
      </c>
      <c r="C100" t="s">
        <v>11</v>
      </c>
      <c r="D100" s="8">
        <v>1866683.8</v>
      </c>
      <c r="F100" s="9">
        <v>0.40499000000000002</v>
      </c>
      <c r="G100" t="s">
        <v>10</v>
      </c>
      <c r="H100" t="s">
        <v>122</v>
      </c>
      <c r="I100" t="s">
        <v>250</v>
      </c>
      <c r="J100">
        <v>0</v>
      </c>
      <c r="K100" t="s">
        <v>215</v>
      </c>
    </row>
    <row r="101" spans="1:11" x14ac:dyDescent="0.45">
      <c r="A101" t="s">
        <v>123</v>
      </c>
      <c r="B101" t="s">
        <v>212</v>
      </c>
      <c r="C101" t="s">
        <v>11</v>
      </c>
      <c r="D101" s="8">
        <v>14814.15</v>
      </c>
      <c r="F101" s="9">
        <v>0</v>
      </c>
      <c r="G101" t="s">
        <v>10</v>
      </c>
      <c r="H101" t="s">
        <v>124</v>
      </c>
      <c r="I101" t="s">
        <v>250</v>
      </c>
      <c r="J101">
        <v>0</v>
      </c>
      <c r="K101" t="s">
        <v>215</v>
      </c>
    </row>
    <row r="102" spans="1:11" x14ac:dyDescent="0.45">
      <c r="A102" t="s">
        <v>125</v>
      </c>
      <c r="B102" t="s">
        <v>212</v>
      </c>
      <c r="C102" t="s">
        <v>11</v>
      </c>
      <c r="D102" s="8">
        <v>2849853.32</v>
      </c>
      <c r="F102" s="9">
        <v>0</v>
      </c>
      <c r="G102" t="s">
        <v>10</v>
      </c>
      <c r="H102" t="s">
        <v>281</v>
      </c>
      <c r="I102" t="s">
        <v>250</v>
      </c>
      <c r="J102">
        <v>0</v>
      </c>
      <c r="K102" t="s">
        <v>215</v>
      </c>
    </row>
    <row r="103" spans="1:11" x14ac:dyDescent="0.45">
      <c r="A103" t="s">
        <v>126</v>
      </c>
      <c r="B103" t="s">
        <v>212</v>
      </c>
      <c r="C103" t="s">
        <v>110</v>
      </c>
      <c r="D103" s="8">
        <v>22275.78</v>
      </c>
      <c r="F103" s="9">
        <v>0</v>
      </c>
      <c r="G103" t="s">
        <v>10</v>
      </c>
      <c r="H103" t="s">
        <v>111</v>
      </c>
      <c r="I103" t="s">
        <v>250</v>
      </c>
      <c r="J103">
        <v>0</v>
      </c>
      <c r="K103" t="s">
        <v>215</v>
      </c>
    </row>
    <row r="104" spans="1:11" x14ac:dyDescent="0.45">
      <c r="A104" t="s">
        <v>127</v>
      </c>
      <c r="B104" t="s">
        <v>212</v>
      </c>
      <c r="C104" t="s">
        <v>11</v>
      </c>
      <c r="D104" s="8">
        <v>775.68</v>
      </c>
      <c r="F104" s="9">
        <v>0</v>
      </c>
      <c r="G104" t="s">
        <v>10</v>
      </c>
      <c r="H104" t="s">
        <v>128</v>
      </c>
      <c r="I104" t="s">
        <v>250</v>
      </c>
      <c r="J104">
        <v>0</v>
      </c>
      <c r="K104" t="s">
        <v>215</v>
      </c>
    </row>
    <row r="105" spans="1:11" x14ac:dyDescent="0.45">
      <c r="A105" t="s">
        <v>129</v>
      </c>
      <c r="B105" t="s">
        <v>212</v>
      </c>
      <c r="C105" t="s">
        <v>11</v>
      </c>
      <c r="D105" s="8">
        <v>47722077.57</v>
      </c>
      <c r="F105" s="9">
        <v>0</v>
      </c>
      <c r="G105" t="s">
        <v>10</v>
      </c>
      <c r="H105" t="s">
        <v>130</v>
      </c>
      <c r="I105" t="s">
        <v>250</v>
      </c>
      <c r="J105">
        <v>0</v>
      </c>
      <c r="K105" t="s">
        <v>215</v>
      </c>
    </row>
    <row r="106" spans="1:11" x14ac:dyDescent="0.45">
      <c r="A106" t="s">
        <v>131</v>
      </c>
      <c r="B106" t="s">
        <v>212</v>
      </c>
      <c r="C106" t="s">
        <v>110</v>
      </c>
      <c r="D106" s="8">
        <v>801.82</v>
      </c>
      <c r="F106" s="9">
        <v>0</v>
      </c>
      <c r="G106" t="s">
        <v>10</v>
      </c>
      <c r="H106" t="s">
        <v>111</v>
      </c>
      <c r="I106" t="s">
        <v>250</v>
      </c>
      <c r="J106">
        <v>0</v>
      </c>
      <c r="K106" t="s">
        <v>215</v>
      </c>
    </row>
    <row r="107" spans="1:11" x14ac:dyDescent="0.45">
      <c r="A107" t="s">
        <v>132</v>
      </c>
      <c r="B107" t="s">
        <v>212</v>
      </c>
      <c r="C107" t="s">
        <v>11</v>
      </c>
      <c r="D107" s="8">
        <v>54779.69</v>
      </c>
      <c r="F107" s="9">
        <v>0</v>
      </c>
      <c r="G107" t="s">
        <v>10</v>
      </c>
      <c r="H107" t="s">
        <v>48</v>
      </c>
      <c r="I107" t="s">
        <v>250</v>
      </c>
      <c r="J107">
        <v>0</v>
      </c>
      <c r="K107" t="s">
        <v>215</v>
      </c>
    </row>
    <row r="108" spans="1:11" x14ac:dyDescent="0.45">
      <c r="A108" t="s">
        <v>133</v>
      </c>
      <c r="B108" t="s">
        <v>212</v>
      </c>
      <c r="C108" t="s">
        <v>11</v>
      </c>
      <c r="D108" s="8">
        <v>9202747.5500000007</v>
      </c>
      <c r="F108" s="9">
        <v>0</v>
      </c>
      <c r="G108" t="s">
        <v>10</v>
      </c>
      <c r="H108" t="s">
        <v>242</v>
      </c>
      <c r="I108" t="s">
        <v>250</v>
      </c>
      <c r="J108">
        <v>0</v>
      </c>
      <c r="K108" t="s">
        <v>215</v>
      </c>
    </row>
    <row r="109" spans="1:11" x14ac:dyDescent="0.45">
      <c r="A109" t="s">
        <v>134</v>
      </c>
      <c r="B109" t="s">
        <v>212</v>
      </c>
      <c r="C109" t="s">
        <v>11</v>
      </c>
      <c r="D109" s="8">
        <v>307.24</v>
      </c>
      <c r="F109" s="9">
        <v>0</v>
      </c>
      <c r="G109" t="s">
        <v>10</v>
      </c>
      <c r="H109" t="s">
        <v>135</v>
      </c>
      <c r="I109" t="s">
        <v>250</v>
      </c>
      <c r="J109">
        <v>0</v>
      </c>
      <c r="K109" t="s">
        <v>215</v>
      </c>
    </row>
    <row r="110" spans="1:11" x14ac:dyDescent="0.45">
      <c r="A110" t="s">
        <v>282</v>
      </c>
      <c r="B110" t="s">
        <v>211</v>
      </c>
      <c r="C110" t="s">
        <v>11</v>
      </c>
      <c r="D110" s="8">
        <v>12084516.470000001</v>
      </c>
      <c r="F110" s="9">
        <v>0</v>
      </c>
      <c r="G110" t="s">
        <v>10</v>
      </c>
      <c r="H110" t="s">
        <v>283</v>
      </c>
      <c r="I110" t="s">
        <v>250</v>
      </c>
      <c r="J110">
        <v>0</v>
      </c>
      <c r="K110" t="s">
        <v>215</v>
      </c>
    </row>
    <row r="111" spans="1:11" x14ac:dyDescent="0.45">
      <c r="A111" t="s">
        <v>284</v>
      </c>
      <c r="B111" t="s">
        <v>285</v>
      </c>
      <c r="C111" t="s">
        <v>11</v>
      </c>
      <c r="D111" s="8">
        <v>701.91</v>
      </c>
      <c r="F111" s="9">
        <v>0</v>
      </c>
      <c r="G111" t="s">
        <v>10</v>
      </c>
      <c r="H111" t="s">
        <v>286</v>
      </c>
      <c r="I111" t="s">
        <v>250</v>
      </c>
      <c r="J111">
        <v>0</v>
      </c>
      <c r="K111" t="s">
        <v>215</v>
      </c>
    </row>
    <row r="112" spans="1:11" x14ac:dyDescent="0.45">
      <c r="A112" t="s">
        <v>136</v>
      </c>
      <c r="B112" t="s">
        <v>211</v>
      </c>
      <c r="C112" t="s">
        <v>11</v>
      </c>
      <c r="D112" s="8">
        <v>2990.92</v>
      </c>
      <c r="F112" s="9">
        <v>0</v>
      </c>
      <c r="G112" t="s">
        <v>10</v>
      </c>
      <c r="H112" t="s">
        <v>137</v>
      </c>
      <c r="I112" t="s">
        <v>250</v>
      </c>
      <c r="J112">
        <v>0</v>
      </c>
      <c r="K112" t="s">
        <v>215</v>
      </c>
    </row>
    <row r="113" spans="1:11" x14ac:dyDescent="0.45">
      <c r="A113" t="s">
        <v>136</v>
      </c>
      <c r="B113" t="s">
        <v>210</v>
      </c>
      <c r="C113" t="s">
        <v>11</v>
      </c>
      <c r="D113" s="8">
        <v>0.01</v>
      </c>
      <c r="F113" s="9">
        <v>0</v>
      </c>
      <c r="G113" t="s">
        <v>10</v>
      </c>
      <c r="H113" t="s">
        <v>137</v>
      </c>
      <c r="I113" t="s">
        <v>250</v>
      </c>
      <c r="J113">
        <v>0</v>
      </c>
      <c r="K113" t="s">
        <v>215</v>
      </c>
    </row>
    <row r="114" spans="1:11" x14ac:dyDescent="0.45">
      <c r="A114" t="s">
        <v>136</v>
      </c>
      <c r="B114" t="s">
        <v>209</v>
      </c>
      <c r="C114" t="s">
        <v>11</v>
      </c>
      <c r="D114" s="8">
        <v>0.01</v>
      </c>
      <c r="F114" s="9">
        <v>0</v>
      </c>
      <c r="G114" t="s">
        <v>10</v>
      </c>
      <c r="H114" t="s">
        <v>137</v>
      </c>
      <c r="I114" t="s">
        <v>250</v>
      </c>
      <c r="J114">
        <v>0</v>
      </c>
      <c r="K114" t="s">
        <v>215</v>
      </c>
    </row>
    <row r="115" spans="1:11" x14ac:dyDescent="0.45">
      <c r="A115" t="s">
        <v>136</v>
      </c>
      <c r="B115" t="s">
        <v>212</v>
      </c>
      <c r="C115" t="s">
        <v>11</v>
      </c>
      <c r="D115" s="8">
        <v>1560117.47</v>
      </c>
      <c r="F115" s="9">
        <v>0</v>
      </c>
      <c r="G115" t="s">
        <v>10</v>
      </c>
      <c r="H115" t="s">
        <v>137</v>
      </c>
      <c r="I115" t="s">
        <v>250</v>
      </c>
      <c r="J115">
        <v>0</v>
      </c>
      <c r="K115" t="s">
        <v>215</v>
      </c>
    </row>
    <row r="116" spans="1:11" x14ac:dyDescent="0.45">
      <c r="A116" t="s">
        <v>138</v>
      </c>
      <c r="B116" t="s">
        <v>212</v>
      </c>
      <c r="C116" t="s">
        <v>51</v>
      </c>
      <c r="D116" s="8">
        <v>981.26</v>
      </c>
      <c r="F116" s="9">
        <v>0</v>
      </c>
      <c r="G116" t="s">
        <v>10</v>
      </c>
      <c r="H116" t="s">
        <v>57</v>
      </c>
      <c r="I116" t="s">
        <v>250</v>
      </c>
      <c r="J116">
        <v>0</v>
      </c>
      <c r="K116" t="s">
        <v>215</v>
      </c>
    </row>
    <row r="117" spans="1:11" x14ac:dyDescent="0.45">
      <c r="A117" t="s">
        <v>243</v>
      </c>
      <c r="B117" t="s">
        <v>212</v>
      </c>
      <c r="C117" t="s">
        <v>11</v>
      </c>
      <c r="D117" s="8">
        <v>1928039.29</v>
      </c>
      <c r="F117" s="9">
        <v>0</v>
      </c>
      <c r="G117" t="s">
        <v>10</v>
      </c>
      <c r="H117" t="s">
        <v>244</v>
      </c>
      <c r="I117" t="s">
        <v>250</v>
      </c>
      <c r="J117">
        <v>0</v>
      </c>
      <c r="K117" t="s">
        <v>215</v>
      </c>
    </row>
    <row r="118" spans="1:11" x14ac:dyDescent="0.45">
      <c r="D118" s="8"/>
      <c r="F118" s="9"/>
    </row>
    <row r="119" spans="1:11" x14ac:dyDescent="0.45">
      <c r="D119" s="8"/>
      <c r="F119" s="9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B6B9A5E792D2446B8986FAE34BEC557" ma:contentTypeVersion="13" ma:contentTypeDescription="Criar um novo documento." ma:contentTypeScope="" ma:versionID="76c42d233f396c620dfe843c8ada89d5">
  <xsd:schema xmlns:xsd="http://www.w3.org/2001/XMLSchema" xmlns:xs="http://www.w3.org/2001/XMLSchema" xmlns:p="http://schemas.microsoft.com/office/2006/metadata/properties" xmlns:ns1="http://schemas.microsoft.com/sharepoint/v3" xmlns:ns2="5ad20f8b-9281-4829-a9aa-2b5a878ba2cc" xmlns:ns3="09d3dac3-f296-4107-b579-4b1e37be6169" targetNamespace="http://schemas.microsoft.com/office/2006/metadata/properties" ma:root="true" ma:fieldsID="ee5843f5cb2ee2b6912e5b34715a9ac2" ns1:_="" ns2:_="" ns3:_="">
    <xsd:import namespace="http://schemas.microsoft.com/sharepoint/v3"/>
    <xsd:import namespace="5ad20f8b-9281-4829-a9aa-2b5a878ba2cc"/>
    <xsd:import namespace="09d3dac3-f296-4107-b579-4b1e37be61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d20f8b-9281-4829-a9aa-2b5a878ba2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d3dac3-f296-4107-b579-4b1e37be616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2f43633d-4f01-4e5f-8ed6-670c29f8108f}" ma:internalName="TaxCatchAll" ma:showField="CatchAllData" ma:web="09d3dac3-f296-4107-b579-4b1e37be616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09d3dac3-f296-4107-b579-4b1e37be6169" xsi:nil="true"/>
    <lcf76f155ced4ddcb4097134ff3c332f xmlns="5ad20f8b-9281-4829-a9aa-2b5a878ba2c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E946F31-F8BC-4FD2-8D97-5D74A3B75AB6}"/>
</file>

<file path=customXml/itemProps2.xml><?xml version="1.0" encoding="utf-8"?>
<ds:datastoreItem xmlns:ds="http://schemas.openxmlformats.org/officeDocument/2006/customXml" ds:itemID="{24B859E7-0D00-456D-B1CC-626FDF73A805}"/>
</file>

<file path=customXml/itemProps3.xml><?xml version="1.0" encoding="utf-8"?>
<ds:datastoreItem xmlns:ds="http://schemas.openxmlformats.org/officeDocument/2006/customXml" ds:itemID="{1CBF193A-1782-4919-9030-98E1E5468DB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Instruções</vt:lpstr>
      <vt:lpstr>T 06.01</vt:lpstr>
      <vt:lpstr>Other financial Liabilities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Flávia Daniela Costa Pinho</dc:creator>
  <cp:lastModifiedBy>Flávia Daniela Costa Pinho</cp:lastModifiedBy>
  <dcterms:created xsi:type="dcterms:W3CDTF">2021-09-21T14:58:54Z</dcterms:created>
  <dcterms:modified xsi:type="dcterms:W3CDTF">2023-03-27T16:50:48Z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0c2abd79-57a9-4473-8700-c843f76a1e37_Enabled">
    <vt:lpwstr>true</vt:lpwstr>
  </property>
  <property fmtid="{D5CDD505-2E9C-101B-9397-08002B2CF9AE}" pid="5" name="MSIP_Label_0c2abd79-57a9-4473-8700-c843f76a1e37_SetDate">
    <vt:lpwstr>2022-04-28T09:40:03Z</vt:lpwstr>
  </property>
  <property fmtid="{D5CDD505-2E9C-101B-9397-08002B2CF9AE}" pid="6" name="MSIP_Label_0c2abd79-57a9-4473-8700-c843f76a1e37_Method">
    <vt:lpwstr>Privileged</vt:lpwstr>
  </property>
  <property fmtid="{D5CDD505-2E9C-101B-9397-08002B2CF9AE}" pid="7" name="MSIP_Label_0c2abd79-57a9-4473-8700-c843f76a1e37_Name">
    <vt:lpwstr>Internal</vt:lpwstr>
  </property>
  <property fmtid="{D5CDD505-2E9C-101B-9397-08002B2CF9AE}" pid="8" name="MSIP_Label_0c2abd79-57a9-4473-8700-c843f76a1e37_SiteId">
    <vt:lpwstr>35595a02-4d6d-44ac-99e1-f9ab4cd872db</vt:lpwstr>
  </property>
  <property fmtid="{D5CDD505-2E9C-101B-9397-08002B2CF9AE}" pid="9" name="MSIP_Label_0c2abd79-57a9-4473-8700-c843f76a1e37_ActionId">
    <vt:lpwstr>ded3df40-1b42-4831-88fb-70488b839bbf</vt:lpwstr>
  </property>
  <property fmtid="{D5CDD505-2E9C-101B-9397-08002B2CF9AE}" pid="10" name="MSIP_Label_0c2abd79-57a9-4473-8700-c843f76a1e37_ContentBits">
    <vt:lpwstr>0</vt:lpwstr>
  </property>
  <property fmtid="{D5CDD505-2E9C-101B-9397-08002B2CF9AE}" pid="11" name="ContentTypeId">
    <vt:lpwstr>0x0101000B6B9A5E792D2446B8986FAE34BEC557</vt:lpwstr>
  </property>
</Properties>
</file>