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1"/>
  </bookViews>
  <sheets>
    <sheet name="Instruções" sheetId="4" r:id="rId1"/>
    <sheet name="T 04.00" sheetId="2" r:id="rId2"/>
    <sheet name="Securities" sheetId="3" r:id="rId3"/>
  </sheets>
  <definedNames>
    <definedName name="_xlnm._FilterDatabase" localSheetId="2" hidden="1">Securities!$A$1:$AD$16</definedName>
    <definedName name="_xlnm.Print_Area" localSheetId="1">'T 04.00'!$A$1:$AL$8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9" i="2" l="1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8" i="2"/>
  <c r="E4" i="3"/>
  <c r="E5" i="3"/>
  <c r="E6" i="3"/>
  <c r="E7" i="3"/>
  <c r="E8" i="3"/>
  <c r="E9" i="3"/>
  <c r="E10" i="3"/>
  <c r="E11" i="3"/>
  <c r="E12" i="3"/>
  <c r="E13" i="3"/>
  <c r="E2" i="3"/>
  <c r="E14" i="3"/>
  <c r="E15" i="3"/>
  <c r="E16" i="3"/>
  <c r="E3" i="3"/>
</calcChain>
</file>

<file path=xl/comments1.xml><?xml version="1.0" encoding="utf-8"?>
<comments xmlns="http://schemas.openxmlformats.org/spreadsheetml/2006/main">
  <authors>
    <author>Haizhen Li</author>
    <author>ojones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Row ID (securities issued)  =  &lt;Key value&gt;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Metric  =  Row reference (aggregate template) [ei:ZZ:ZZ27]_x000D_
Main category of item that is the object of the transaction / contract  =  Debt securities issued, equity instruments issued, Equity issued other than Equity instruments issued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>Metric  =  Column reference (aggregate template) [ei:ZZ:ZZ32]_x000D_
Main category of item that is the object of the transaction / contract  =  Debt securities issued, equity instruments issued, Equity issued other than Equity instruments issued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Metric  =  Ranking in insolvency [ei:ZZ:ZZ28]_x000D_
Base  =  Liabilities and Equity_x000D_
Main category  =  Debt securities issued, equity instruments issued, Equity issued other than Equity instruments issued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Metric  =  Identifier of the security [si]_x000D_
Base  =  Liabilities and Equity_x000D_
Main category  =  Debt securities issued, equity instruments issued, Equity issued other than Equity instruments issued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Metric  =  Type of instrument [ei:MC:MC74_1]_x000D_
Base  =  Liabilities and Equity_x000D_
Main category  =  Debt securities issued, equity instruments issued, Equity issued other than Equity instruments issued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Metric  =  Country the law of which governs the contract / master agreement [ei:GA:GA4]_x000D_
Base  =  Liabilities and Equity_x000D_
Main category  =  Debt securities issued, equity instruments issued, Equity issued other than Equity instruments issued</t>
        </r>
      </text>
    </comment>
    <comment ref="K7" authorId="0" shapeId="0">
      <text>
        <r>
          <rPr>
            <sz val="9"/>
            <color indexed="81"/>
            <rFont val="Tahoma"/>
            <family val="2"/>
          </rPr>
          <t>Metric  =  Contractual recognition of bail-in powers [ei:ZZ:ZZ37]_x000D_
Base  =  Liabilities and Equity_x000D_
Main category  =  Debt securities issued, equity instruments issued, Equity issued other than Equity instruments issued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>Metric  =  Currency in which the transaction / contract is denominated [ei:CU:CU3_3]_x000D_
Base  =  Liabilities and Equity_x000D_
Main category  =  Debt securities issued, equity instruments issued, Equity issued other than Equity instruments issued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Metric  =  Outstanding amount [mi]_x000D_
Base  =  Liabilities and Equity_x000D_
Main category  =  Debt securities issued, equity instruments issued, Equity issued other than Equity instruments issued_x000D_
Reference date or period  =  At the date of issuance</t>
        </r>
      </text>
    </comment>
    <comment ref="N7" authorId="0" shapeId="0">
      <text>
        <r>
          <rPr>
            <sz val="9"/>
            <color indexed="81"/>
            <rFont val="Tahoma"/>
            <family val="2"/>
          </rPr>
          <t>Metric  =  Outstanding amount. Principal [mi]_x000D_
Base  =  Liabilities and Equity_x000D_
Main category  =  Debt securities issued, equity instruments issued, Equity issued other than Equity instruments issued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Metric  =  Outstanding amount. Accrued interest [mi]_x000D_
Base  =  Liabilities and Equity_x000D_
Main category  =  Debt securities issued, equity instruments issued, Equity issued other than Equity instruments issued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Metric  =  Type of coupon [ei:ZZ:ZZ33_1]_x000D_
Base  =  Liabilities and Equity_x000D_
Main category  =  Debt securities issued, equity instruments issued, Equity issued other than Equity instruments issued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Metric  =  Coupon rate / interest rate [pi]_x000D_
Base  =  Liabilities and Equity_x000D_
Main category  =  Debt securities issued, equity instruments issued, Equity issued other than Equity instruments issued</t>
        </r>
      </text>
    </comment>
    <comment ref="R7" authorId="0" shapeId="0">
      <text>
        <r>
          <rPr>
            <sz val="9"/>
            <color indexed="81"/>
            <rFont val="Tahoma"/>
            <family val="2"/>
          </rPr>
          <t>Metric  =  Date of issuance [di]_x000D_
Base  =  Liabilities and Equity_x000D_
Main category  =  Debt securities issued, equity instruments issued, Equity issued other than Equity instruments issued</t>
        </r>
      </text>
    </comment>
    <comment ref="S7" authorId="0" shapeId="0">
      <text>
        <r>
          <rPr>
            <sz val="9"/>
            <color indexed="81"/>
            <rFont val="Tahoma"/>
            <family val="2"/>
          </rPr>
          <t>Metric  =  Earliest date of redemption [di]_x000D_
Base  =  Liabilities and Equity_x000D_
Main category  =  Debt securities issued, equity instruments issued, Equity issued other than Equity instruments issued</t>
        </r>
      </text>
    </comment>
    <comment ref="T7" authorId="0" shapeId="0">
      <text>
        <r>
          <rPr>
            <sz val="9"/>
            <color indexed="81"/>
            <rFont val="Tahoma"/>
            <family val="2"/>
          </rPr>
          <t>Metric  =  Legal final maturity date [di]_x000D_
Base  =  Liabilities and Equity_x000D_
Main category  =  Debt securities issued, equity instruments issued, Equity issued other than Equity instruments issued</t>
        </r>
      </text>
    </comment>
    <comment ref="U7" authorId="0" shapeId="0">
      <text>
        <r>
          <rPr>
            <sz val="9"/>
            <color indexed="81"/>
            <rFont val="Tahoma"/>
            <family val="2"/>
          </rPr>
          <t>Metric  =  Type of placement [ei:ZZ:ZZ34]_x000D_
Base  =  Liabilities and Equity_x000D_
Main category  =  Debt securities issued, equity instruments issued, Equity issued other than Equity instruments issued</t>
        </r>
      </text>
    </comment>
    <comment ref="V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Paying agent</t>
        </r>
      </text>
    </comment>
    <comment ref="W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Trustee</t>
        </r>
      </text>
    </comment>
    <comment ref="X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Role in the contract  =  Investor, creditor</t>
        </r>
      </text>
    </comment>
    <comment ref="Y7" authorId="0" shapeId="0">
      <text>
        <r>
          <rPr>
            <sz val="9"/>
            <color indexed="81"/>
            <rFont val="Tahoma"/>
            <family val="2"/>
          </rPr>
          <t>Metric  =  Type of identifier [ei:AT:AT99]_x000D_
Main category of item that is the object of the transaction / contract  =  Debt securities issued, equity instruments issued, Equity issued other than Equity instruments issued_x000D_
Role in the contract  =  Investor, creditor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Securities exchange</t>
        </r>
      </text>
    </comment>
    <comment ref="AA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Settlement system</t>
        </r>
      </text>
    </comment>
    <comment ref="AB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Registrar holder</t>
        </r>
      </text>
    </comment>
    <comment ref="AC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Central Securities Depository (CSD)</t>
        </r>
      </text>
    </comment>
    <comment ref="AD7" authorId="0" shapeId="0">
      <text>
        <r>
          <rPr>
            <sz val="9"/>
            <color indexed="81"/>
            <rFont val="Tahoma"/>
            <family val="2"/>
          </rPr>
          <t>Metric  =  Collateralisation status [ei:ZZ:ZZ29]_x000D_
Base  =  Liabilities and Equity_x000D_
Main category  =  Debt securities issued, equity instruments issued, Equity issued other than Equity instruments issued</t>
        </r>
      </text>
    </comment>
    <comment ref="AE7" authorId="0" shapeId="0">
      <text>
        <r>
          <rPr>
            <sz val="9"/>
            <color indexed="81"/>
            <rFont val="Tahoma"/>
            <family val="2"/>
          </rPr>
          <t>Metric  =  Carrying amount [mi]_x000D_
Main category  =  Collateral posted_x000D_
Main category of collateralised item  =  Debt securities issued, equity instruments issued, Equity issued other than Equity instruments issued</t>
        </r>
      </text>
    </comment>
    <comment ref="AF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Role in the contract  =  Guarantor</t>
        </r>
      </text>
    </comment>
    <comment ref="AG7" authorId="0" shapeId="0">
      <text>
        <r>
          <rPr>
            <sz val="9"/>
            <color indexed="81"/>
            <rFont val="Tahoma"/>
            <family val="2"/>
          </rPr>
          <t>Metric  =  Outstanding amount [mi]_x000D_
Base  =  Liabilities and Equity_x000D_
Main category  =  Debt securities issued, equity instruments issued, Equity issued other than Equity instruments issued_x000D_
Is funded by an intra-group entity  =  True</t>
        </r>
      </text>
    </comment>
    <comment ref="AH7" authorId="0" shapeId="0">
      <text>
        <r>
          <rPr>
            <sz val="9"/>
            <color indexed="81"/>
            <rFont val="Tahoma"/>
            <family val="2"/>
          </rPr>
          <t>Metric  =  Type of contractual terms [ei:ZZ:ZZ30]_x000D_
Base  =  Liabilities and Equity_x000D_
Main category  =  Debt securities issued, equity instruments issued, Equity issued other than Equity instruments issued</t>
        </r>
      </text>
    </comment>
    <comment ref="AI7" authorId="0" shapeId="0">
      <text>
        <r>
          <rPr>
            <sz val="9"/>
            <color indexed="81"/>
            <rFont val="Tahoma"/>
            <family val="2"/>
          </rPr>
          <t>Metric  =  Outstanding amount [mi]_x000D_
Base  =  Liabilities and Equity_x000D_
Main category  =  Debt securities issued, equity instruments issued, Equity issued other than Equity instruments issued_x000D_
Eligibility for MREL  =  Eligible</t>
        </r>
      </text>
    </comment>
    <comment ref="AJ7" authorId="0" shapeId="0">
      <text>
        <r>
          <rPr>
            <sz val="9"/>
            <color indexed="81"/>
            <rFont val="Tahoma"/>
            <family val="2"/>
          </rPr>
          <t>Metric  =  Type of regulatory capital [ei:OF:OF8]_x000D_
Base  =  Liabilities and Equity_x000D_
Main category  =  Debt securities issued, equity instruments issued, Equity issued other than Equity instruments issued</t>
        </r>
      </text>
    </comment>
    <comment ref="AK7" authorId="0" shapeId="0">
      <text>
        <r>
          <rPr>
            <sz val="9"/>
            <color indexed="81"/>
            <rFont val="Tahoma"/>
            <family val="2"/>
          </rPr>
          <t>Metric  =  Amount including transitional provisions [mi]_x000D_
Base  =  Own funds_x000D_
Main category  =  Regulatory capital items_x000D_
Own funds  =  Total own funds_x000D_
Main category of item that is the object of the transaction / contract  =  Debt securities issued, equity instruments issued, Equity issued other than Equity instruments issued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>Row ID (securities issued)  =  &lt;Key value&gt;</t>
        </r>
      </text>
    </comment>
    <comment ref="D8" authorId="1" shapeId="0">
      <text>
        <r>
          <rPr>
            <sz val="9"/>
            <color indexed="81"/>
            <rFont val="Tahoma"/>
            <family val="2"/>
          </rPr>
          <t>Row ID (securities issued)  =  &lt;Key value&gt;</t>
        </r>
      </text>
    </comment>
    <comment ref="E8" authorId="1" shapeId="0">
      <text>
        <r>
          <rPr>
            <sz val="9"/>
            <color indexed="81"/>
            <rFont val="Tahoma"/>
            <family val="2"/>
          </rPr>
          <t>Metric  =  Row reference (aggregate template) [ei:ZZ:ZZ27]_x000D_
Main category of item that is the object of the transaction / contract  =  Debt securities issued, equity instruments issued, Equity issued other than Equity instruments issued</t>
        </r>
      </text>
    </comment>
    <comment ref="F8" authorId="1" shapeId="0">
      <text>
        <r>
          <rPr>
            <sz val="9"/>
            <color indexed="81"/>
            <rFont val="Tahoma"/>
            <family val="2"/>
          </rPr>
          <t>Metric  =  Column reference (aggregate template) [ei:ZZ:ZZ32]_x000D_
Main category of item that is the object of the transaction / contract  =  Debt securities issued, equity instruments issued, Equity issued other than Equity instruments issued</t>
        </r>
      </text>
    </comment>
    <comment ref="G8" authorId="1" shapeId="0">
      <text>
        <r>
          <rPr>
            <sz val="9"/>
            <color indexed="81"/>
            <rFont val="Tahoma"/>
            <family val="2"/>
          </rPr>
          <t>Metric  =  Ranking in insolvency [ei:ZZ:ZZ28]_x000D_
Base  =  Liabilities and Equity_x000D_
Main category  =  Debt securities issued, equity instruments issued, Equity issued other than Equity instruments issued</t>
        </r>
      </text>
    </comment>
    <comment ref="H8" authorId="1" shapeId="0">
      <text>
        <r>
          <rPr>
            <sz val="9"/>
            <color indexed="81"/>
            <rFont val="Tahoma"/>
            <family val="2"/>
          </rPr>
          <t>Metric  =  Identifier of the security [si]_x000D_
Base  =  Liabilities and Equity_x000D_
Main category  =  Debt securities issued, equity instruments issued, Equity issued other than Equity instruments issued</t>
        </r>
      </text>
    </comment>
    <comment ref="I8" authorId="1" shapeId="0">
      <text>
        <r>
          <rPr>
            <sz val="9"/>
            <color indexed="81"/>
            <rFont val="Tahoma"/>
            <family val="2"/>
          </rPr>
          <t>Metric  =  Type of instrument [ei:MC:MC74_1]_x000D_
Base  =  Liabilities and Equity_x000D_
Main category  =  Debt securities issued, equity instruments issued, Equity issued other than Equity instruments issued</t>
        </r>
      </text>
    </comment>
    <comment ref="J8" authorId="1" shapeId="0">
      <text>
        <r>
          <rPr>
            <sz val="9"/>
            <color indexed="81"/>
            <rFont val="Tahoma"/>
            <family val="2"/>
          </rPr>
          <t>Metric  =  Country the law of which governs the contract / master agreement [ei:GA:GA4]_x000D_
Base  =  Liabilities and Equity_x000D_
Main category  =  Debt securities issued, equity instruments issued, Equity issued other than Equity instruments issued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Metric  =  Contractual recognition of bail-in powers [ei:ZZ:ZZ37]_x000D_
Base  =  Liabilities and Equity_x000D_
Main category  =  Debt securities issued, equity instruments issued, Equity issued other than Equity instruments issued</t>
        </r>
      </text>
    </comment>
    <comment ref="L8" authorId="1" shapeId="0">
      <text>
        <r>
          <rPr>
            <sz val="9"/>
            <color indexed="81"/>
            <rFont val="Tahoma"/>
            <family val="2"/>
          </rPr>
          <t>Metric  =  Currency in which the transaction / contract is denominated [ei:CU:CU3_3]_x000D_
Base  =  Liabilities and Equity_x000D_
Main category  =  Debt securities issued, equity instruments issued, Equity issued other than Equity instruments issued</t>
        </r>
      </text>
    </comment>
    <comment ref="M8" authorId="1" shapeId="0">
      <text>
        <r>
          <rPr>
            <sz val="9"/>
            <color indexed="81"/>
            <rFont val="Tahoma"/>
            <family val="2"/>
          </rPr>
          <t>Metric  =  Outstanding amount [mi]_x000D_
Base  =  Liabilities and Equity_x000D_
Main category  =  Debt securities issued, equity instruments issued, Equity issued other than Equity instruments issued_x000D_
Reference date or period  =  At the date of issuance</t>
        </r>
      </text>
    </comment>
    <comment ref="N8" authorId="1" shapeId="0">
      <text>
        <r>
          <rPr>
            <sz val="9"/>
            <color indexed="81"/>
            <rFont val="Tahoma"/>
            <family val="2"/>
          </rPr>
          <t>Metric  =  Outstanding amount. Principal [mi]_x000D_
Base  =  Liabilities and Equity_x000D_
Main category  =  Debt securities issued, equity instruments issued, Equity issued other than Equity instruments issued</t>
        </r>
      </text>
    </comment>
    <comment ref="O8" authorId="1" shapeId="0">
      <text>
        <r>
          <rPr>
            <sz val="9"/>
            <color indexed="81"/>
            <rFont val="Tahoma"/>
            <family val="2"/>
          </rPr>
          <t>Metric  =  Outstanding amount. Accrued interest [mi]_x000D_
Base  =  Liabilities and Equity_x000D_
Main category  =  Debt securities issued, equity instruments issued, Equity issued other than Equity instruments issued</t>
        </r>
      </text>
    </comment>
    <comment ref="P8" authorId="1" shapeId="0">
      <text>
        <r>
          <rPr>
            <sz val="9"/>
            <color indexed="81"/>
            <rFont val="Tahoma"/>
            <family val="2"/>
          </rPr>
          <t>Metric  =  Type of coupon [ei:ZZ:ZZ33_1]_x000D_
Base  =  Liabilities and Equity_x000D_
Main category  =  Debt securities issued, equity instruments issued, Equity issued other than Equity instruments issued</t>
        </r>
      </text>
    </comment>
    <comment ref="Q8" authorId="1" shapeId="0">
      <text>
        <r>
          <rPr>
            <sz val="9"/>
            <color indexed="81"/>
            <rFont val="Tahoma"/>
            <family val="2"/>
          </rPr>
          <t>Metric  =  Coupon rate / interest rate [pi]_x000D_
Base  =  Liabilities and Equity_x000D_
Main category  =  Debt securities issued, equity instruments issued, Equity issued other than Equity instruments issued</t>
        </r>
      </text>
    </comment>
    <comment ref="R8" authorId="1" shapeId="0">
      <text>
        <r>
          <rPr>
            <sz val="9"/>
            <color indexed="81"/>
            <rFont val="Tahoma"/>
            <family val="2"/>
          </rPr>
          <t>Metric  =  Date of issuance [di]_x000D_
Base  =  Liabilities and Equity_x000D_
Main category  =  Debt securities issued, equity instruments issued, Equity issued other than Equity instruments issued</t>
        </r>
      </text>
    </comment>
    <comment ref="S8" authorId="1" shapeId="0">
      <text>
        <r>
          <rPr>
            <sz val="9"/>
            <color indexed="81"/>
            <rFont val="Tahoma"/>
            <family val="2"/>
          </rPr>
          <t>Metric  =  Earliest date of redemption [di]_x000D_
Base  =  Liabilities and Equity_x000D_
Main category  =  Debt securities issued, equity instruments issued, Equity issued other than Equity instruments issued</t>
        </r>
      </text>
    </comment>
    <comment ref="T8" authorId="1" shapeId="0">
      <text>
        <r>
          <rPr>
            <sz val="9"/>
            <color indexed="81"/>
            <rFont val="Tahoma"/>
            <family val="2"/>
          </rPr>
          <t>Metric  =  Legal final maturity date [di]_x000D_
Base  =  Liabilities and Equity_x000D_
Main category  =  Debt securities issued, equity instruments issued, Equity issued other than Equity instruments issued</t>
        </r>
      </text>
    </comment>
    <comment ref="U8" authorId="1" shapeId="0">
      <text>
        <r>
          <rPr>
            <sz val="9"/>
            <color indexed="81"/>
            <rFont val="Tahoma"/>
            <family val="2"/>
          </rPr>
          <t>Metric  =  Type of placement [ei:ZZ:ZZ34]_x000D_
Base  =  Liabilities and Equity_x000D_
Main category  =  Debt securities issued, equity instruments issued, Equity issued other than Equity instruments issued</t>
        </r>
      </text>
    </comment>
    <comment ref="V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Paying agent</t>
        </r>
      </text>
    </comment>
    <comment ref="W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Trustee</t>
        </r>
      </text>
    </comment>
    <comment ref="X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Role in the contract  =  Investor, creditor</t>
        </r>
      </text>
    </comment>
    <comment ref="Y8" authorId="1" shapeId="0">
      <text>
        <r>
          <rPr>
            <sz val="9"/>
            <color indexed="81"/>
            <rFont val="Tahoma"/>
            <family val="2"/>
          </rPr>
          <t>Metric  =  Type of identifier [ei:AT:AT99]_x000D_
Main category of item that is the object of the transaction / contract  =  Debt securities issued, equity instruments issued, Equity issued other than Equity instruments issued_x000D_
Role in the contract  =  Investor, creditor</t>
        </r>
      </text>
    </comment>
    <comment ref="Z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Securities exchange</t>
        </r>
      </text>
    </comment>
    <comment ref="AA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Settlement system</t>
        </r>
      </text>
    </comment>
    <comment ref="AB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Registrar holder</t>
        </r>
      </text>
    </comment>
    <comment ref="AC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Servicing entities  =  Central Securities Depository (CSD)</t>
        </r>
      </text>
    </comment>
    <comment ref="AD8" authorId="1" shapeId="0">
      <text>
        <r>
          <rPr>
            <sz val="9"/>
            <color indexed="81"/>
            <rFont val="Tahoma"/>
            <family val="2"/>
          </rPr>
          <t>Metric  =  Collateralisation status [ei:ZZ:ZZ29]_x000D_
Base  =  Liabilities and Equity_x000D_
Main category  =  Debt securities issued, equity instruments issued, Equity issued other than Equity instruments issued</t>
        </r>
      </text>
    </comment>
    <comment ref="AE8" authorId="1" shapeId="0">
      <text>
        <r>
          <rPr>
            <sz val="9"/>
            <color indexed="81"/>
            <rFont val="Tahoma"/>
            <family val="2"/>
          </rPr>
          <t>Metric  =  Carrying amount [mi]_x000D_
Main category  =  Collateral posted_x000D_
Main category of collateralised item  =  Debt securities issued, equity instruments issued, Equity issued other than Equity instruments issued</t>
        </r>
      </text>
    </comment>
    <comment ref="AF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Debt securities issued, equity instruments issued, Equity issued other than Equity instruments issued_x000D_
Role in the contract  =  Guarantor</t>
        </r>
      </text>
    </comment>
    <comment ref="AG8" authorId="1" shapeId="0">
      <text>
        <r>
          <rPr>
            <sz val="9"/>
            <color indexed="81"/>
            <rFont val="Tahoma"/>
            <family val="2"/>
          </rPr>
          <t>Metric  =  Outstanding amount [mi]_x000D_
Base  =  Liabilities and Equity_x000D_
Main category  =  Debt securities issued, equity instruments issued, Equity issued other than Equity instruments issued_x000D_
Is funded by an intra-group entity  =  True</t>
        </r>
      </text>
    </comment>
    <comment ref="AH8" authorId="1" shapeId="0">
      <text>
        <r>
          <rPr>
            <sz val="9"/>
            <color indexed="81"/>
            <rFont val="Tahoma"/>
            <family val="2"/>
          </rPr>
          <t>Metric  =  Type of contractual terms [ei:ZZ:ZZ30]_x000D_
Base  =  Liabilities and Equity_x000D_
Main category  =  Debt securities issued, equity instruments issued, Equity issued other than Equity instruments issued</t>
        </r>
      </text>
    </comment>
    <comment ref="AI8" authorId="1" shapeId="0">
      <text>
        <r>
          <rPr>
            <sz val="9"/>
            <color indexed="81"/>
            <rFont val="Tahoma"/>
            <family val="2"/>
          </rPr>
          <t>Metric  =  Outstanding amount [mi]_x000D_
Base  =  Liabilities and Equity_x000D_
Main category  =  Debt securities issued, equity instruments issued, Equity issued other than Equity instruments issued_x000D_
Eligibility for MREL  =  Eligible</t>
        </r>
      </text>
    </comment>
    <comment ref="AJ8" authorId="1" shapeId="0">
      <text>
        <r>
          <rPr>
            <sz val="9"/>
            <color indexed="81"/>
            <rFont val="Tahoma"/>
            <family val="2"/>
          </rPr>
          <t>Metric  =  Type of regulatory capital [ei:OF:OF8]_x000D_
Base  =  Liabilities and Equity_x000D_
Main category  =  Debt securities issued, equity instruments issued, Equity issued other than Equity instruments issued</t>
        </r>
      </text>
    </comment>
    <comment ref="AK8" authorId="1" shapeId="0">
      <text>
        <r>
          <rPr>
            <sz val="9"/>
            <color indexed="81"/>
            <rFont val="Tahoma"/>
            <family val="2"/>
          </rPr>
          <t>Metric  =  Amount including transitional provisions [mi]_x000D_
Base  =  Own funds_x000D_
Main category  =  Regulatory capital items_x000D_
Own funds  =  Total own funds_x000D_
Main category of item that is the object of the transaction / contract  =  Debt securities issued, equity instruments issued, Equity issued other than Equity instruments issued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Row ID (securities issued)  =  &lt;Key value&gt;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Row ID (securities issued)  =  &lt;Key value&gt;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Row ID (securities issued)  =  &lt;Key value&gt;</t>
        </r>
      </text>
    </comment>
  </commentList>
</comments>
</file>

<file path=xl/sharedStrings.xml><?xml version="1.0" encoding="utf-8"?>
<sst xmlns="http://schemas.openxmlformats.org/spreadsheetml/2006/main" count="316" uniqueCount="191">
  <si>
    <t>SUM_of_msaldo_final</t>
  </si>
  <si>
    <t>descritivo (descritivo)</t>
  </si>
  <si>
    <t>nome_atributo_dim5</t>
  </si>
  <si>
    <t>zdeposit (zdeposit)</t>
  </si>
  <si>
    <t>contraparte_i_desc</t>
  </si>
  <si>
    <t>SUM_of_juros</t>
  </si>
  <si>
    <t>isin1</t>
  </si>
  <si>
    <t>tipo_titulo1</t>
  </si>
  <si>
    <t>tipo_tx1</t>
  </si>
  <si>
    <t>tx_fixa1</t>
  </si>
  <si>
    <t>indx_tx_var1</t>
  </si>
  <si>
    <t>sprd_tx_var1</t>
  </si>
  <si>
    <t>dt_emissao1</t>
  </si>
  <si>
    <t>dt_vencim1</t>
  </si>
  <si>
    <t>agente_pagador1</t>
  </si>
  <si>
    <t>trustee1</t>
  </si>
  <si>
    <t>depositario1</t>
  </si>
  <si>
    <t>bolsa_valores1</t>
  </si>
  <si>
    <t>sist_liquidacao1</t>
  </si>
  <si>
    <t>termo_estruturado1</t>
  </si>
  <si>
    <t>eleg_fund_prop1</t>
  </si>
  <si>
    <t>mon_fund_prop1</t>
  </si>
  <si>
    <t>eleg_eurosistema1</t>
  </si>
  <si>
    <t>Outras Obrigações</t>
  </si>
  <si>
    <t>OB.BANCO SANTANDER TOTTA SA 7.5% 06/10/2026</t>
  </si>
  <si>
    <t>PTBSREOM0028000</t>
  </si>
  <si>
    <t>PTBSREOM0028</t>
  </si>
  <si>
    <t>Obrigacao Subordinada</t>
  </si>
  <si>
    <t>FIXA</t>
  </si>
  <si>
    <t>06-10-2016</t>
  </si>
  <si>
    <t>06-10-2026</t>
  </si>
  <si>
    <t>N/A</t>
  </si>
  <si>
    <t>529900LG70TCAGWCXT47</t>
  </si>
  <si>
    <t>Euronext Lisboa</t>
  </si>
  <si>
    <t>Interbolsa</t>
  </si>
  <si>
    <t>Nao estruturada</t>
  </si>
  <si>
    <t>GF2</t>
  </si>
  <si>
    <t>Nao</t>
  </si>
  <si>
    <t>Obrigações hipotecárias</t>
  </si>
  <si>
    <t>PTBSRIOE0024000</t>
  </si>
  <si>
    <t>PTBSRIOE0024</t>
  </si>
  <si>
    <t>Obrigacao Hipotecaria</t>
  </si>
  <si>
    <t>25-04-2017</t>
  </si>
  <si>
    <t>25-04-2024</t>
  </si>
  <si>
    <t>Sim</t>
  </si>
  <si>
    <t>PTBSRJOM0023000</t>
  </si>
  <si>
    <t>PTBSRJOM0023</t>
  </si>
  <si>
    <t>26-09-2017</t>
  </si>
  <si>
    <t>26-09-2027</t>
  </si>
  <si>
    <t>T 04.00 - Securities (including CET1, AT1 &amp; Tier 2 instruments; excluding intragroup)</t>
  </si>
  <si>
    <t>Columns</t>
  </si>
  <si>
    <t>Number</t>
  </si>
  <si>
    <t>Reconciliation with aggregated data</t>
  </si>
  <si>
    <t>Securities issued (Including CET1, AT1 &amp; Tier 2 instruments; excluding intragroup)</t>
  </si>
  <si>
    <t>Line</t>
  </si>
  <si>
    <t>Column</t>
  </si>
  <si>
    <t>Insolvency ranking</t>
  </si>
  <si>
    <t>ISIN</t>
  </si>
  <si>
    <t>Type of instrument</t>
  </si>
  <si>
    <t>Governing law</t>
  </si>
  <si>
    <t>If third country law, contractual recognition</t>
  </si>
  <si>
    <t>Currency</t>
  </si>
  <si>
    <t>Original amount issued</t>
  </si>
  <si>
    <t>Outstanding principal amount</t>
  </si>
  <si>
    <t>Accrued interest</t>
  </si>
  <si>
    <t>Coupon type</t>
  </si>
  <si>
    <t>Current Coupon (%)</t>
  </si>
  <si>
    <t>Issuance date</t>
  </si>
  <si>
    <t>Earliest redemption date</t>
  </si>
  <si>
    <t>Legal maturity</t>
  </si>
  <si>
    <t>Public/private placement</t>
  </si>
  <si>
    <t>Paying agent</t>
  </si>
  <si>
    <t>Trustee</t>
  </si>
  <si>
    <t>Creditor</t>
  </si>
  <si>
    <t>Type of identifier</t>
  </si>
  <si>
    <t>Exchanges securities are listed on</t>
  </si>
  <si>
    <t>Settlement systems</t>
  </si>
  <si>
    <t>Register holder</t>
  </si>
  <si>
    <t>Central securities depository</t>
  </si>
  <si>
    <t>Secured/ unsecured</t>
  </si>
  <si>
    <t>Amount of pledge, lien or collateral</t>
  </si>
  <si>
    <t>Guarantor if applicable</t>
  </si>
  <si>
    <t>Funding amount provided by any group entity</t>
  </si>
  <si>
    <t>Structured or other non-standard terms</t>
  </si>
  <si>
    <t>Amount meeting the conditions for MREL eligibility</t>
  </si>
  <si>
    <t>Qualifying as own funds</t>
  </si>
  <si>
    <t>Amount Included in Own Funds, taking into account phase-out as applicable</t>
  </si>
  <si>
    <t>0010</t>
  </si>
  <si>
    <t>0020</t>
  </si>
  <si>
    <t>0030</t>
  </si>
  <si>
    <t>0040</t>
  </si>
  <si>
    <t>0050</t>
  </si>
  <si>
    <t>0060</t>
  </si>
  <si>
    <t>0070</t>
  </si>
  <si>
    <t>0080</t>
  </si>
  <si>
    <t>0090</t>
  </si>
  <si>
    <t>0100</t>
  </si>
  <si>
    <t>0110</t>
  </si>
  <si>
    <t>0120</t>
  </si>
  <si>
    <t>0130</t>
  </si>
  <si>
    <t>0140</t>
  </si>
  <si>
    <t>0150</t>
  </si>
  <si>
    <t>0160</t>
  </si>
  <si>
    <t>0170</t>
  </si>
  <si>
    <t>0180</t>
  </si>
  <si>
    <t>0190</t>
  </si>
  <si>
    <t>0200</t>
  </si>
  <si>
    <t>0210</t>
  </si>
  <si>
    <t>0215</t>
  </si>
  <si>
    <t>0220</t>
  </si>
  <si>
    <t>0230</t>
  </si>
  <si>
    <t>0240</t>
  </si>
  <si>
    <t>0250</t>
  </si>
  <si>
    <t>0260</t>
  </si>
  <si>
    <t>0270</t>
  </si>
  <si>
    <t>0280</t>
  </si>
  <si>
    <t>0290</t>
  </si>
  <si>
    <t>0300</t>
  </si>
  <si>
    <t>0305</t>
  </si>
  <si>
    <t>0310</t>
  </si>
  <si>
    <t>0320</t>
  </si>
  <si>
    <t>Rows</t>
  </si>
  <si>
    <t>ID of security issued</t>
  </si>
  <si>
    <t>999</t>
  </si>
  <si>
    <t>PORTUGAL</t>
  </si>
  <si>
    <t>Not applicable (Contractual recognition of bail-in powers)</t>
  </si>
  <si>
    <t>Private placement</t>
  </si>
  <si>
    <t>LEI code</t>
  </si>
  <si>
    <t>tayd91c0_gelemtab1</t>
  </si>
  <si>
    <t>nom_tot_inic</t>
  </si>
  <si>
    <t>SUM_of_SUM_of_Calculation</t>
  </si>
  <si>
    <t>7.5</t>
  </si>
  <si>
    <t>0.875</t>
  </si>
  <si>
    <t>1.25</t>
  </si>
  <si>
    <t>529900LG70TCAGWCXT48</t>
  </si>
  <si>
    <t>529900LG70TCAGWCXT49</t>
  </si>
  <si>
    <t>529900LG70TCAGWCXT50</t>
  </si>
  <si>
    <t>Instruções</t>
  </si>
  <si>
    <t>3- Carregar no button</t>
  </si>
  <si>
    <t>4- Se a macro der erro, verificar que a sheet "Securities" não tem filtros e recomeçar do inicio</t>
  </si>
  <si>
    <t>VER COLUNA E DA SHEET SECURITIES (FORMULA FAZ SENTIDO ?????)</t>
  </si>
  <si>
    <t>tayd91c0_gelem30</t>
  </si>
  <si>
    <t>OB.BANCO SANTANDER TOTTA SA 0.875% 25/4/2024</t>
  </si>
  <si>
    <t>549300URJH9VSI58CS32</t>
  </si>
  <si>
    <t>OB.BANCO SANTANDER TOTTA SA 1.25% 26/09/2027</t>
  </si>
  <si>
    <t>OB.CASTELO 2021-1 NOTES DUE AUGUST 2037</t>
  </si>
  <si>
    <t>PTBSRBOM0039000</t>
  </si>
  <si>
    <t>PTBSRBOM0039</t>
  </si>
  <si>
    <t>Titularizacao Sinteti</t>
  </si>
  <si>
    <t>VARIAVEL</t>
  </si>
  <si>
    <t>EUT</t>
  </si>
  <si>
    <t>9</t>
  </si>
  <si>
    <t>26-07-2021</t>
  </si>
  <si>
    <t>15-08-2037</t>
  </si>
  <si>
    <t>529900LG70TCAGWCXT51</t>
  </si>
  <si>
    <t>1- Apagar a informação que consta na folha  "Securities"</t>
  </si>
  <si>
    <t>2- Copiar a informação da tabela T04.00 extraída do projeto SAS e copiar para a folha "Securities"</t>
  </si>
  <si>
    <t>Ajuste de conciliação IFRS</t>
  </si>
  <si>
    <t>000100I25101110</t>
  </si>
  <si>
    <t>00100I251019910</t>
  </si>
  <si>
    <t>00100I251119900</t>
  </si>
  <si>
    <t>00100I251019290</t>
  </si>
  <si>
    <t>00100I251119290</t>
  </si>
  <si>
    <t>000100I25111110</t>
  </si>
  <si>
    <t>00100I251019293</t>
  </si>
  <si>
    <t>00100I251019900</t>
  </si>
  <si>
    <t>00100I251019210</t>
  </si>
  <si>
    <t>OB.BST INDEX LINKED NOTES 2024 23/12/2024</t>
  </si>
  <si>
    <t>PTBSRLOM0029000</t>
  </si>
  <si>
    <t>PTBSRLOM0029</t>
  </si>
  <si>
    <t>Obrigacao Senior</t>
  </si>
  <si>
    <t>EUS</t>
  </si>
  <si>
    <t>0</t>
  </si>
  <si>
    <t>20-12-2019</t>
  </si>
  <si>
    <t>23-12-2024</t>
  </si>
  <si>
    <t>OB.BANCO SANTANDER TOTTA 3 TX.VAR. 31/01/2042</t>
  </si>
  <si>
    <t>PTBSP8OM0025000</t>
  </si>
  <si>
    <t>PTBSP8OM0025</t>
  </si>
  <si>
    <t>9.5</t>
  </si>
  <si>
    <t>31-05-2022</t>
  </si>
  <si>
    <t>31-01-2042</t>
  </si>
  <si>
    <t>529900LG70TCAGWCXT52</t>
  </si>
  <si>
    <t>529900LG70TCAGWCXT53</t>
  </si>
  <si>
    <t>529900LG70TCAGWCXT54</t>
  </si>
  <si>
    <t>529900LG70TCAGWCXT55</t>
  </si>
  <si>
    <t>529900LG70TCAGWCXT56</t>
  </si>
  <si>
    <t>529900LG70TCAGWCXT57</t>
  </si>
  <si>
    <t>529900LG70TCAGWCXT58</t>
  </si>
  <si>
    <t>529900LG70TCAGWCXT59</t>
  </si>
  <si>
    <t>529900LG70TCAGWCXT60</t>
  </si>
  <si>
    <t>529900LG70TCAGWCXT61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</si>
</sst>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1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62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62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sz val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33">
    <xf numFmtId="0" fontId="0" fillId="0" borderId="0" xfId="0"/>
    <xf numFmtId="164" fontId="0" fillId="0" borderId="0" xfId="0" applyNumberFormat="1"/>
    <xf numFmtId="2" fontId="0" fillId="0" borderId="0" xfId="0" applyNumberFormat="1"/>
    <xf numFmtId="0" fontId="2" fillId="0" borderId="0" xfId="1" applyAlignment="1">
      <alignment wrapText="1"/>
    </xf>
    <xf numFmtId="0" fontId="2" fillId="0" borderId="0" xfId="1"/>
    <xf numFmtId="0" fontId="2" fillId="2" borderId="2" xfId="1" applyFill="1" applyBorder="1" applyAlignment="1">
      <alignment horizontal="left" vertical="top" wrapText="1"/>
    </xf>
    <xf numFmtId="0" fontId="2" fillId="2" borderId="6" xfId="1" applyFill="1" applyBorder="1" applyAlignment="1">
      <alignment horizontal="left" vertical="top" wrapText="1"/>
    </xf>
    <xf numFmtId="0" fontId="2" fillId="2" borderId="7" xfId="1" applyFill="1" applyBorder="1" applyAlignment="1">
      <alignment horizontal="left" vertical="top" wrapText="1"/>
    </xf>
    <xf numFmtId="0" fontId="2" fillId="2" borderId="7" xfId="1" quotePrefix="1" applyFill="1" applyBorder="1" applyAlignment="1">
      <alignment horizontal="left" vertical="top" wrapText="1"/>
    </xf>
    <xf numFmtId="0" fontId="3" fillId="0" borderId="3" xfId="1" applyFont="1" applyFill="1" applyBorder="1" applyAlignment="1">
      <alignment horizontal="center" vertical="center" textRotation="90"/>
    </xf>
    <xf numFmtId="0" fontId="2" fillId="0" borderId="4" xfId="1" applyFill="1" applyBorder="1" applyAlignment="1">
      <alignment horizontal="left" vertical="center" wrapText="1"/>
    </xf>
    <xf numFmtId="0" fontId="2" fillId="0" borderId="7" xfId="1" quotePrefix="1" applyFill="1" applyBorder="1" applyAlignment="1">
      <alignment horizontal="left" vertical="center"/>
    </xf>
    <xf numFmtId="0" fontId="5" fillId="0" borderId="8" xfId="1" applyFont="1" applyFill="1" applyBorder="1" applyAlignment="1">
      <alignment horizontal="center" vertical="center" wrapText="1"/>
    </xf>
    <xf numFmtId="4" fontId="5" fillId="0" borderId="8" xfId="1" applyNumberFormat="1" applyFont="1" applyFill="1" applyBorder="1" applyAlignment="1">
      <alignment horizontal="center" vertical="center" wrapText="1"/>
    </xf>
    <xf numFmtId="10" fontId="5" fillId="0" borderId="8" xfId="2" applyNumberFormat="1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left" vertical="top" wrapText="1"/>
    </xf>
    <xf numFmtId="0" fontId="2" fillId="0" borderId="0" xfId="1" applyFill="1"/>
    <xf numFmtId="0" fontId="2" fillId="2" borderId="7" xfId="1" quotePrefix="1" applyFill="1" applyBorder="1" applyAlignment="1">
      <alignment horizontal="left" vertical="center"/>
    </xf>
    <xf numFmtId="0" fontId="5" fillId="0" borderId="8" xfId="1" applyFont="1" applyBorder="1" applyAlignment="1">
      <alignment horizontal="center" vertical="center" wrapText="1"/>
    </xf>
    <xf numFmtId="0" fontId="5" fillId="3" borderId="8" xfId="1" applyFont="1" applyFill="1" applyBorder="1" applyAlignment="1">
      <alignment horizontal="center" vertical="center" wrapText="1"/>
    </xf>
    <xf numFmtId="4" fontId="5" fillId="3" borderId="8" xfId="1" applyNumberFormat="1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" fillId="0" borderId="0" xfId="1" applyFont="1"/>
    <xf numFmtId="0" fontId="9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3" fillId="2" borderId="1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/>
    </xf>
    <xf numFmtId="0" fontId="2" fillId="2" borderId="3" xfId="1" applyFill="1" applyBorder="1" applyAlignment="1">
      <alignment horizontal="left" vertical="top" wrapText="1"/>
    </xf>
    <xf numFmtId="0" fontId="2" fillId="2" borderId="4" xfId="1" applyFill="1" applyBorder="1" applyAlignment="1">
      <alignment horizontal="left" vertical="top" wrapText="1"/>
    </xf>
    <xf numFmtId="0" fontId="2" fillId="2" borderId="5" xfId="1" applyFill="1" applyBorder="1" applyAlignment="1">
      <alignment horizontal="left" vertical="top" wrapText="1"/>
    </xf>
    <xf numFmtId="0" fontId="4" fillId="0" borderId="1" xfId="1" applyFont="1" applyBorder="1" applyAlignment="1">
      <alignment horizontal="left" wrapText="1"/>
    </xf>
  </cellXfs>
  <cellStyles count="3">
    <cellStyle name="Normal" xfId="0" builtinId="0"/>
    <cellStyle name="Normal 2" xfId="1"/>
    <cellStyle name="Percent 2" xfId="2"/>
  </cellStyles>
  <dxfs count="5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161925</xdr:rowOff>
    </xdr:from>
    <xdr:to>
      <xdr:col>3</xdr:col>
      <xdr:colOff>342900</xdr:colOff>
      <xdr:row>9</xdr:row>
      <xdr:rowOff>38100</xdr:rowOff>
    </xdr:to>
    <xdr:sp macro="[0]!SecuritiesT040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77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04.00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15"/>
  <sheetViews>
    <sheetView showGridLines="0" workbookViewId="0">
      <selection activeCell="J13" sqref="J13"/>
    </sheetView>
  </sheetViews>
  <sheetFormatPr defaultRowHeight="14.25"/>
  <sheetData>
    <row r="2" spans="2:14">
      <c r="B2" s="23" t="s">
        <v>137</v>
      </c>
    </row>
    <row r="3" spans="2:14">
      <c r="B3" t="s">
        <v>155</v>
      </c>
    </row>
    <row r="4" spans="2:14">
      <c r="B4" t="s">
        <v>156</v>
      </c>
    </row>
    <row r="5" spans="2:14">
      <c r="B5" t="s">
        <v>138</v>
      </c>
    </row>
    <row r="6" spans="2:14">
      <c r="B6" s="24" t="s">
        <v>139</v>
      </c>
    </row>
    <row r="12" spans="2:14">
      <c r="B12" t="s">
        <v>140</v>
      </c>
    </row>
    <row r="15" spans="2:14">
      <c r="N15" s="2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L22"/>
  <sheetViews>
    <sheetView showGridLines="0" tabSelected="1" workbookViewId="0">
      <pane ySplit="6" topLeftCell="A7" activePane="bottomLeft" state="frozen"/>
      <selection pane="bottomLeft" activeCell="E9" sqref="E9"/>
    </sheetView>
  </sheetViews>
  <sheetFormatPr defaultColWidth="9.1328125" defaultRowHeight="14.25"/>
  <cols>
    <col min="1" max="1" width="5.59765625" style="4" customWidth="1"/>
    <col min="2" max="2" width="25.59765625" style="4" customWidth="1"/>
    <col min="3" max="3" width="3.86328125" style="4" bestFit="1" customWidth="1"/>
    <col min="4" max="37" width="20.59765625" style="4" customWidth="1"/>
    <col min="38" max="38" width="24.265625" style="3" bestFit="1" customWidth="1"/>
    <col min="39" max="16384" width="9.1328125" style="4"/>
  </cols>
  <sheetData>
    <row r="1" spans="1:38">
      <c r="A1" s="26" t="s">
        <v>49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</row>
    <row r="4" spans="1:38">
      <c r="D4" s="28" t="s">
        <v>50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</row>
    <row r="5" spans="1:38">
      <c r="D5" s="5" t="s">
        <v>51</v>
      </c>
      <c r="E5" s="29" t="s">
        <v>52</v>
      </c>
      <c r="F5" s="30"/>
      <c r="G5" s="29" t="s">
        <v>53</v>
      </c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0"/>
      <c r="AL5" s="32"/>
    </row>
    <row r="6" spans="1:38" ht="57">
      <c r="D6" s="6"/>
      <c r="E6" s="7" t="s">
        <v>54</v>
      </c>
      <c r="F6" s="7" t="s">
        <v>55</v>
      </c>
      <c r="G6" s="7" t="s">
        <v>56</v>
      </c>
      <c r="H6" s="7" t="s">
        <v>57</v>
      </c>
      <c r="I6" s="7" t="s">
        <v>58</v>
      </c>
      <c r="J6" s="7" t="s">
        <v>59</v>
      </c>
      <c r="K6" s="7" t="s">
        <v>60</v>
      </c>
      <c r="L6" s="7" t="s">
        <v>61</v>
      </c>
      <c r="M6" s="7" t="s">
        <v>62</v>
      </c>
      <c r="N6" s="7" t="s">
        <v>63</v>
      </c>
      <c r="O6" s="7" t="s">
        <v>64</v>
      </c>
      <c r="P6" s="7" t="s">
        <v>65</v>
      </c>
      <c r="Q6" s="7" t="s">
        <v>66</v>
      </c>
      <c r="R6" s="7" t="s">
        <v>67</v>
      </c>
      <c r="S6" s="7" t="s">
        <v>68</v>
      </c>
      <c r="T6" s="7" t="s">
        <v>69</v>
      </c>
      <c r="U6" s="7" t="s">
        <v>70</v>
      </c>
      <c r="V6" s="7" t="s">
        <v>71</v>
      </c>
      <c r="W6" s="7" t="s">
        <v>72</v>
      </c>
      <c r="X6" s="7" t="s">
        <v>73</v>
      </c>
      <c r="Y6" s="7" t="s">
        <v>74</v>
      </c>
      <c r="Z6" s="7" t="s">
        <v>75</v>
      </c>
      <c r="AA6" s="7" t="s">
        <v>76</v>
      </c>
      <c r="AB6" s="7" t="s">
        <v>77</v>
      </c>
      <c r="AC6" s="7" t="s">
        <v>78</v>
      </c>
      <c r="AD6" s="7" t="s">
        <v>79</v>
      </c>
      <c r="AE6" s="7" t="s">
        <v>80</v>
      </c>
      <c r="AF6" s="7" t="s">
        <v>81</v>
      </c>
      <c r="AG6" s="7" t="s">
        <v>82</v>
      </c>
      <c r="AH6" s="7" t="s">
        <v>83</v>
      </c>
      <c r="AI6" s="7" t="s">
        <v>84</v>
      </c>
      <c r="AJ6" s="7" t="s">
        <v>85</v>
      </c>
      <c r="AK6" s="7" t="s">
        <v>86</v>
      </c>
      <c r="AL6" s="32"/>
    </row>
    <row r="7" spans="1:38" ht="14.65" thickBot="1">
      <c r="D7" s="8" t="s">
        <v>87</v>
      </c>
      <c r="E7" s="8" t="s">
        <v>88</v>
      </c>
      <c r="F7" s="8" t="s">
        <v>89</v>
      </c>
      <c r="G7" s="8" t="s">
        <v>90</v>
      </c>
      <c r="H7" s="8" t="s">
        <v>91</v>
      </c>
      <c r="I7" s="8" t="s">
        <v>92</v>
      </c>
      <c r="J7" s="8" t="s">
        <v>93</v>
      </c>
      <c r="K7" s="8" t="s">
        <v>94</v>
      </c>
      <c r="L7" s="8" t="s">
        <v>95</v>
      </c>
      <c r="M7" s="8" t="s">
        <v>96</v>
      </c>
      <c r="N7" s="8" t="s">
        <v>97</v>
      </c>
      <c r="O7" s="8" t="s">
        <v>98</v>
      </c>
      <c r="P7" s="8" t="s">
        <v>99</v>
      </c>
      <c r="Q7" s="8" t="s">
        <v>100</v>
      </c>
      <c r="R7" s="8" t="s">
        <v>101</v>
      </c>
      <c r="S7" s="8" t="s">
        <v>102</v>
      </c>
      <c r="T7" s="8" t="s">
        <v>103</v>
      </c>
      <c r="U7" s="8" t="s">
        <v>104</v>
      </c>
      <c r="V7" s="8" t="s">
        <v>105</v>
      </c>
      <c r="W7" s="8" t="s">
        <v>106</v>
      </c>
      <c r="X7" s="8" t="s">
        <v>107</v>
      </c>
      <c r="Y7" s="8" t="s">
        <v>108</v>
      </c>
      <c r="Z7" s="8" t="s">
        <v>109</v>
      </c>
      <c r="AA7" s="8" t="s">
        <v>110</v>
      </c>
      <c r="AB7" s="8" t="s">
        <v>111</v>
      </c>
      <c r="AC7" s="8" t="s">
        <v>112</v>
      </c>
      <c r="AD7" s="8" t="s">
        <v>113</v>
      </c>
      <c r="AE7" s="8" t="s">
        <v>114</v>
      </c>
      <c r="AF7" s="8" t="s">
        <v>115</v>
      </c>
      <c r="AG7" s="8" t="s">
        <v>116</v>
      </c>
      <c r="AH7" s="8" t="s">
        <v>117</v>
      </c>
      <c r="AI7" s="8" t="s">
        <v>118</v>
      </c>
      <c r="AJ7" s="8" t="s">
        <v>119</v>
      </c>
      <c r="AK7" s="8" t="s">
        <v>120</v>
      </c>
    </row>
    <row r="8" spans="1:38" s="16" customFormat="1" ht="35.25" thickBot="1">
      <c r="A8" s="9" t="s">
        <v>121</v>
      </c>
      <c r="B8" s="10" t="s">
        <v>122</v>
      </c>
      <c r="C8" s="11" t="s">
        <v>123</v>
      </c>
      <c r="D8" s="12">
        <v>1</v>
      </c>
      <c r="E8" s="12" t="str">
        <f>IF(Securities!J2="Obrigacao Subordinada","r0531 - o/w (part of) subordinated liabilities recognised as own funds",IF(Securities!J2="Obrigacao Hipotecaria","r0120 - Secured liabilities - collateralized part (BRRD art. 44/2/b)",IF(OR(Securities!D2="Obrigações estruturadas",Securities!J2="Titularizacao Sinteti"),"r0350 - Structured notes","")))</f>
        <v>r0531 - o/w (part of) subordinated liabilities recognised as own funds</v>
      </c>
      <c r="F8" s="19" t="str">
        <f>Securities!E2</f>
        <v>c001x   - Households</v>
      </c>
      <c r="G8" s="12" t="str">
        <f>IF(E8="r0350 - Structured notes","Rank 9 - Ranking in insolvency (master scale)",IF(E8="r0120 - Secured liabilities - collateralized part (BRRD art. 44/2/b)","Rank 20 - Ranking in insolvency (master scale)",IF(E8="r0531 - o/w (part of) subordinated liabilities recognised as own funds","Rank 3 - Ranking in insolvency (master scale)","")))</f>
        <v>Rank 3 - Ranking in insolvency (master scale)</v>
      </c>
      <c r="H8" s="12" t="str">
        <f>Securities!I2</f>
        <v>PTBSREOM0028</v>
      </c>
      <c r="I8" s="12" t="str">
        <f>IF(E8="r0350 - Structured notes","Structured notes",IF(E8="r0120 - Secured liabilities - collateralized part (BRRD art. 44/2/b)","Covered Bond",IF(E8="r0531 - o/w (part of) subordinated liabilities recognised as own funds","Other type of securities","")))</f>
        <v>Other type of securities</v>
      </c>
      <c r="J8" s="12" t="str">
        <f>Securities!Q2</f>
        <v>PORTUGAL</v>
      </c>
      <c r="K8" s="12" t="s">
        <v>125</v>
      </c>
      <c r="L8" s="12" t="str">
        <f>Securities!A2</f>
        <v>PORTUGAL</v>
      </c>
      <c r="M8" s="13">
        <f>Securities!AA2</f>
        <v>7599000</v>
      </c>
      <c r="N8" s="12">
        <f>Securities!B2</f>
        <v>7599000</v>
      </c>
      <c r="O8" s="13">
        <f>Securities!H2</f>
        <v>135845.14000000001</v>
      </c>
      <c r="P8" s="21" t="str">
        <f>IF(Securities!K2="FIXA","Fixed coupon",IF(OR(Securities!K2="VARIAVEL",Securities!K2="VARIÁVEL"),"Variable coupon","N/A"))</f>
        <v>Fixed coupon</v>
      </c>
      <c r="Q8" s="14" t="str">
        <f>Securities!L2</f>
        <v>7.5</v>
      </c>
      <c r="R8" s="12" t="str">
        <f>CONCATENATE(RIGHT(Securities!O2,4),"-",LEFT(RIGHT(Securities!O2,7),2),"-",LEFT(Securities!O2,2))</f>
        <v>2016-10-06</v>
      </c>
      <c r="S8" s="12" t="str">
        <f>CONCATENATE(RIGHT(Securities!P2,4),"-",LEFT(RIGHT(Securities!P2,7),2),"-",LEFT(Securities!P2,2))</f>
        <v>2026-10-06</v>
      </c>
      <c r="T8" s="12" t="str">
        <f>CONCATENATE(RIGHT(Securities!P2,4),"-",LEFT(RIGHT(Securities!P2,7),2),"-",LEFT(Securities!P2,2))</f>
        <v>2026-10-06</v>
      </c>
      <c r="U8" s="12" t="s">
        <v>126</v>
      </c>
      <c r="V8" s="12" t="str">
        <f>_xlfn.IFNA(IF(Securities!R2="",0,Securities!R2),0)</f>
        <v>549300URJH9VSI58CS32</v>
      </c>
      <c r="W8" s="12" t="str">
        <f>_xlfn.IFNA(IF(Securities!S2="",0,Securities!S2),0)</f>
        <v>N/A</v>
      </c>
      <c r="X8" s="12" t="s">
        <v>32</v>
      </c>
      <c r="Y8" s="12" t="s">
        <v>127</v>
      </c>
      <c r="Z8" s="12" t="str">
        <f>IF(Securities!U2="",0,Securities!U2)</f>
        <v>Euronext Lisboa</v>
      </c>
      <c r="AA8" s="12">
        <f>0</f>
        <v>0</v>
      </c>
      <c r="AB8" s="12" t="str">
        <f>IF(Securities!U2="",0,Securities!U2)</f>
        <v>Euronext Lisboa</v>
      </c>
      <c r="AC8" s="12" t="str">
        <f>IF(Securities!U2="",0,Securities!U2)</f>
        <v>Euronext Lisboa</v>
      </c>
      <c r="AD8" s="12" t="str">
        <f>IF('T 04.00'!E8="r0120 - Secured liabilities - collateralized part (BRRD art. 44/2/b)","Secured","Unsecured")</f>
        <v>Unsecured</v>
      </c>
      <c r="AE8" s="12">
        <f>Securities!AA2</f>
        <v>7599000</v>
      </c>
      <c r="AF8" s="12">
        <f>0</f>
        <v>0</v>
      </c>
      <c r="AG8" s="12">
        <f>0</f>
        <v>0</v>
      </c>
      <c r="AH8" s="12" t="str">
        <f>IF(Securities!W2="Estruturada","Structured",IF(Securities!W2="Nao estruturada","Non-structured/Vanilla",""))</f>
        <v>Non-structured/Vanilla</v>
      </c>
      <c r="AI8" s="19"/>
      <c r="AJ8" s="12" t="str">
        <f>IF(Securities!X2="GF2","Grandfathered T2","No")</f>
        <v>Grandfathered T2</v>
      </c>
      <c r="AK8" s="12">
        <f>IF(Securities!Y2="",0,Securities!Y2)</f>
        <v>7599000</v>
      </c>
      <c r="AL8" s="15"/>
    </row>
    <row r="9" spans="1:38" ht="23.65" thickBot="1">
      <c r="C9" s="17" t="s">
        <v>123</v>
      </c>
      <c r="D9" s="18">
        <v>2</v>
      </c>
      <c r="E9" s="12" t="str">
        <f>IF(Securities!J3="Obrigacao Subordinada","r0531 - o/w (part of) subordinated liabilities recognised as own funds",IF(Securities!J3="Obrigacao Hipotecaria","r0120 - Secured liabilities - collateralized part (BRRD art. 44/2/b)",IF(OR(Securities!D3="Obrigações estruturadas",Securities!J3="Titularizacao Sinteti"),"r0350 - Structured notes","")))</f>
        <v/>
      </c>
      <c r="F9" s="19" t="str">
        <f>Securities!E3</f>
        <v>c004x   - Institutions</v>
      </c>
      <c r="G9" s="12" t="str">
        <f t="shared" ref="G9:G22" si="0">IF(E9="r0350 - Structured notes","Rank 9 - Ranking in insolvency (master scale)",IF(E9="r0120 - Secured liabilities - collateralized part (BRRD art. 44/2/b)","Rank 20 - Ranking in insolvency (master scale)",IF(E9="r0531 - o/w (part of) subordinated liabilities recognised as own funds","Rank 3 - Ranking in insolvency (master scale)","")))</f>
        <v/>
      </c>
      <c r="H9" s="12">
        <f>Securities!I3</f>
        <v>0</v>
      </c>
      <c r="I9" s="12" t="str">
        <f t="shared" ref="I9:I22" si="1">IF(E9="r0350 - Structured notes","Structured notes",IF(E9="r0120 - Secured liabilities - collateralized part (BRRD art. 44/2/b)","Covered Bond",IF(E9="r0531 - o/w (part of) subordinated liabilities recognised as own funds","Other type of securities","")))</f>
        <v/>
      </c>
      <c r="J9" s="12">
        <f>Securities!Q3</f>
        <v>0</v>
      </c>
      <c r="K9" s="12" t="s">
        <v>125</v>
      </c>
      <c r="L9" s="12">
        <f>Securities!A3</f>
        <v>0</v>
      </c>
      <c r="M9" s="13">
        <f>Securities!AA3</f>
        <v>0</v>
      </c>
      <c r="N9" s="12">
        <f>Securities!B3</f>
        <v>0</v>
      </c>
      <c r="O9" s="13">
        <f>Securities!H3</f>
        <v>0</v>
      </c>
      <c r="P9" s="21" t="str">
        <f>IF(Securities!K3="FIXA","Fixed coupon",IF(OR(Securities!K3="VARIAVEL",Securities!K3="VARIÁVEL"),"Variable coupon","N/A"))</f>
        <v>N/A</v>
      </c>
      <c r="Q9" s="14">
        <f>Securities!L3</f>
        <v>0</v>
      </c>
      <c r="R9" s="12" t="str">
        <f>CONCATENATE(RIGHT(Securities!O3,4),"-",LEFT(RIGHT(Securities!O3,7),2),"-",LEFT(Securities!O3,2))</f>
        <v>--</v>
      </c>
      <c r="S9" s="12" t="str">
        <f>CONCATENATE(RIGHT(Securities!P3,4),"-",LEFT(RIGHT(Securities!P3,7),2),"-",LEFT(Securities!P3,2))</f>
        <v>--</v>
      </c>
      <c r="T9" s="12" t="str">
        <f>CONCATENATE(RIGHT(Securities!P3,4),"-",LEFT(RIGHT(Securities!P3,7),2),"-",LEFT(Securities!P3,2))</f>
        <v>--</v>
      </c>
      <c r="U9" s="12" t="s">
        <v>126</v>
      </c>
      <c r="V9" s="12">
        <f>_xlfn.IFNA(IF(Securities!R3="",0,Securities!R3),0)</f>
        <v>0</v>
      </c>
      <c r="W9" s="12">
        <f>_xlfn.IFNA(IF(Securities!S3="",0,Securities!S3),0)</f>
        <v>0</v>
      </c>
      <c r="X9" s="12" t="s">
        <v>134</v>
      </c>
      <c r="Y9" s="12" t="s">
        <v>127</v>
      </c>
      <c r="Z9" s="12">
        <f>IF(Securities!U3="",0,Securities!U3)</f>
        <v>0</v>
      </c>
      <c r="AA9" s="12">
        <f>0</f>
        <v>0</v>
      </c>
      <c r="AB9" s="12">
        <f>IF(Securities!U3="",0,Securities!U3)</f>
        <v>0</v>
      </c>
      <c r="AC9" s="12">
        <f>IF(Securities!U3="",0,Securities!U3)</f>
        <v>0</v>
      </c>
      <c r="AD9" s="12" t="str">
        <f>IF('T 04.00'!E9="r0120 - Secured liabilities - collateralized part (BRRD art. 44/2/b)","Secured","Unsecured")</f>
        <v>Unsecured</v>
      </c>
      <c r="AE9" s="12">
        <f>Securities!AA3</f>
        <v>0</v>
      </c>
      <c r="AF9" s="12">
        <f>0</f>
        <v>0</v>
      </c>
      <c r="AG9" s="12">
        <f>0</f>
        <v>0</v>
      </c>
      <c r="AH9" s="12" t="str">
        <f>IF(Securities!W3="Estruturada","Structured",IF(Securities!W3="Nao estruturada","Non-structured/Vanilla",""))</f>
        <v/>
      </c>
      <c r="AI9" s="19"/>
      <c r="AJ9" s="12" t="str">
        <f>IF(Securities!X3="GF2","Grandfathered T2","No")</f>
        <v>No</v>
      </c>
      <c r="AK9" s="12">
        <f>IF(Securities!Y3="",0,Securities!Y3)</f>
        <v>0</v>
      </c>
    </row>
    <row r="10" spans="1:38" ht="23.65" thickBot="1">
      <c r="C10" s="11" t="s">
        <v>123</v>
      </c>
      <c r="D10" s="12">
        <v>3</v>
      </c>
      <c r="E10" s="12" t="str">
        <f>IF(Securities!J4="Obrigacao Subordinada","r0531 - o/w (part of) subordinated liabilities recognised as own funds",IF(Securities!J4="Obrigacao Hipotecaria","r0120 - Secured liabilities - collateralized part (BRRD art. 44/2/b)",IF(OR(Securities!D4="Obrigações estruturadas",Securities!J4="Titularizacao Sinteti"),"r0350 - Structured notes","")))</f>
        <v/>
      </c>
      <c r="F10" s="19" t="str">
        <f>Securities!E4</f>
        <v>c004x   - Institutions</v>
      </c>
      <c r="G10" s="12" t="str">
        <f t="shared" si="0"/>
        <v/>
      </c>
      <c r="H10" s="12">
        <f>Securities!I4</f>
        <v>0</v>
      </c>
      <c r="I10" s="12" t="str">
        <f t="shared" si="1"/>
        <v/>
      </c>
      <c r="J10" s="12">
        <f>Securities!Q4</f>
        <v>0</v>
      </c>
      <c r="K10" s="12" t="s">
        <v>125</v>
      </c>
      <c r="L10" s="12">
        <f>Securities!A4</f>
        <v>0</v>
      </c>
      <c r="M10" s="13">
        <f>Securities!AA4</f>
        <v>0</v>
      </c>
      <c r="N10" s="12">
        <f>Securities!B4</f>
        <v>0</v>
      </c>
      <c r="O10" s="13">
        <f>Securities!H4</f>
        <v>0</v>
      </c>
      <c r="P10" s="21" t="str">
        <f>IF(Securities!K4="FIXA","Fixed coupon",IF(OR(Securities!K4="VARIAVEL",Securities!K4="VARIÁVEL"),"Variable coupon","N/A"))</f>
        <v>N/A</v>
      </c>
      <c r="Q10" s="14">
        <f>Securities!L4</f>
        <v>0</v>
      </c>
      <c r="R10" s="12" t="str">
        <f>CONCATENATE(RIGHT(Securities!O4,4),"-",LEFT(RIGHT(Securities!O4,7),2),"-",LEFT(Securities!O4,2))</f>
        <v>--</v>
      </c>
      <c r="S10" s="12" t="str">
        <f>CONCATENATE(RIGHT(Securities!P4,4),"-",LEFT(RIGHT(Securities!P4,7),2),"-",LEFT(Securities!P4,2))</f>
        <v>--</v>
      </c>
      <c r="T10" s="12" t="str">
        <f>CONCATENATE(RIGHT(Securities!P4,4),"-",LEFT(RIGHT(Securities!P4,7),2),"-",LEFT(Securities!P4,2))</f>
        <v>--</v>
      </c>
      <c r="U10" s="12" t="s">
        <v>126</v>
      </c>
      <c r="V10" s="12">
        <f>_xlfn.IFNA(IF(Securities!R4="",0,Securities!R4),0)</f>
        <v>0</v>
      </c>
      <c r="W10" s="12">
        <f>_xlfn.IFNA(IF(Securities!S4="",0,Securities!S4),0)</f>
        <v>0</v>
      </c>
      <c r="X10" s="12" t="s">
        <v>135</v>
      </c>
      <c r="Y10" s="12" t="s">
        <v>127</v>
      </c>
      <c r="Z10" s="12">
        <f>IF(Securities!U4="",0,Securities!U4)</f>
        <v>0</v>
      </c>
      <c r="AA10" s="12">
        <f>0</f>
        <v>0</v>
      </c>
      <c r="AB10" s="12">
        <f>IF(Securities!U4="",0,Securities!U4)</f>
        <v>0</v>
      </c>
      <c r="AC10" s="12">
        <f>IF(Securities!U4="",0,Securities!U4)</f>
        <v>0</v>
      </c>
      <c r="AD10" s="12" t="str">
        <f>IF('T 04.00'!E10="r0120 - Secured liabilities - collateralized part (BRRD art. 44/2/b)","Secured","Unsecured")</f>
        <v>Unsecured</v>
      </c>
      <c r="AE10" s="12">
        <f>Securities!AA4</f>
        <v>0</v>
      </c>
      <c r="AF10" s="12">
        <f>0</f>
        <v>0</v>
      </c>
      <c r="AG10" s="12">
        <f>0</f>
        <v>0</v>
      </c>
      <c r="AH10" s="12" t="str">
        <f>IF(Securities!W4="Estruturada","Structured",IF(Securities!W4="Nao estruturada","Non-structured/Vanilla",""))</f>
        <v/>
      </c>
      <c r="AI10" s="19"/>
      <c r="AJ10" s="12" t="str">
        <f>IF(Securities!X4="GF2","Grandfathered T2","No")</f>
        <v>No</v>
      </c>
      <c r="AK10" s="12">
        <f>IF(Securities!Y4="",0,Securities!Y4)</f>
        <v>0</v>
      </c>
    </row>
    <row r="11" spans="1:38" ht="23.65" thickBot="1">
      <c r="C11" s="17" t="s">
        <v>123</v>
      </c>
      <c r="D11" s="18">
        <v>4</v>
      </c>
      <c r="E11" s="12" t="str">
        <f>IF(Securities!J5="Obrigacao Subordinada","r0531 - o/w (part of) subordinated liabilities recognised as own funds",IF(Securities!J5="Obrigacao Hipotecaria","r0120 - Secured liabilities - collateralized part (BRRD art. 44/2/b)",IF(OR(Securities!D5="Obrigações estruturadas",Securities!J5="Titularizacao Sinteti"),"r0350 - Structured notes","")))</f>
        <v/>
      </c>
      <c r="F11" s="19" t="str">
        <f>Securities!E5</f>
        <v>c004x   - Institutions</v>
      </c>
      <c r="G11" s="12" t="str">
        <f t="shared" si="0"/>
        <v/>
      </c>
      <c r="H11" s="12">
        <f>Securities!I5</f>
        <v>0</v>
      </c>
      <c r="I11" s="12" t="str">
        <f t="shared" si="1"/>
        <v/>
      </c>
      <c r="J11" s="12">
        <f>Securities!Q5</f>
        <v>0</v>
      </c>
      <c r="K11" s="12" t="s">
        <v>125</v>
      </c>
      <c r="L11" s="12">
        <f>Securities!A5</f>
        <v>0</v>
      </c>
      <c r="M11" s="13">
        <f>Securities!AA5</f>
        <v>0</v>
      </c>
      <c r="N11" s="12">
        <f>Securities!B5</f>
        <v>0</v>
      </c>
      <c r="O11" s="13">
        <f>Securities!H5</f>
        <v>0</v>
      </c>
      <c r="P11" s="21" t="str">
        <f>IF(Securities!K5="FIXA","Fixed coupon",IF(OR(Securities!K5="VARIAVEL",Securities!K5="VARIÁVEL"),"Variable coupon","N/A"))</f>
        <v>N/A</v>
      </c>
      <c r="Q11" s="14">
        <f>Securities!L5</f>
        <v>0</v>
      </c>
      <c r="R11" s="12" t="str">
        <f>CONCATENATE(RIGHT(Securities!O5,4),"-",LEFT(RIGHT(Securities!O5,7),2),"-",LEFT(Securities!O5,2))</f>
        <v>--</v>
      </c>
      <c r="S11" s="12" t="str">
        <f>CONCATENATE(RIGHT(Securities!P5,4),"-",LEFT(RIGHT(Securities!P5,7),2),"-",LEFT(Securities!P5,2))</f>
        <v>--</v>
      </c>
      <c r="T11" s="12" t="str">
        <f>CONCATENATE(RIGHT(Securities!P5,4),"-",LEFT(RIGHT(Securities!P5,7),2),"-",LEFT(Securities!P5,2))</f>
        <v>--</v>
      </c>
      <c r="U11" s="12" t="s">
        <v>126</v>
      </c>
      <c r="V11" s="12">
        <f>_xlfn.IFNA(IF(Securities!R5="",0,Securities!R5),0)</f>
        <v>0</v>
      </c>
      <c r="W11" s="12">
        <f>_xlfn.IFNA(IF(Securities!S5="",0,Securities!S5),0)</f>
        <v>0</v>
      </c>
      <c r="X11" s="12" t="s">
        <v>136</v>
      </c>
      <c r="Y11" s="12" t="s">
        <v>127</v>
      </c>
      <c r="Z11" s="12">
        <f>IF(Securities!U5="",0,Securities!U5)</f>
        <v>0</v>
      </c>
      <c r="AA11" s="12">
        <f>0</f>
        <v>0</v>
      </c>
      <c r="AB11" s="12">
        <f>IF(Securities!U5="",0,Securities!U5)</f>
        <v>0</v>
      </c>
      <c r="AC11" s="12">
        <f>IF(Securities!U5="",0,Securities!U5)</f>
        <v>0</v>
      </c>
      <c r="AD11" s="12" t="str">
        <f>IF('T 04.00'!E11="r0120 - Secured liabilities - collateralized part (BRRD art. 44/2/b)","Secured","Unsecured")</f>
        <v>Unsecured</v>
      </c>
      <c r="AE11" s="12">
        <f>Securities!AA5</f>
        <v>0</v>
      </c>
      <c r="AF11" s="12">
        <f>0</f>
        <v>0</v>
      </c>
      <c r="AG11" s="12">
        <f>0</f>
        <v>0</v>
      </c>
      <c r="AH11" s="12" t="str">
        <f>IF(Securities!W5="Estruturada","Structured",IF(Securities!W5="Nao estruturada","Non-structured/Vanilla",""))</f>
        <v/>
      </c>
      <c r="AI11" s="20"/>
      <c r="AJ11" s="12" t="str">
        <f>IF(Securities!X5="GF2","Grandfathered T2","No")</f>
        <v>No</v>
      </c>
      <c r="AK11" s="12">
        <f>IF(Securities!Y5="",0,Securities!Y5)</f>
        <v>0</v>
      </c>
    </row>
    <row r="12" spans="1:38" ht="23.65" thickBot="1">
      <c r="C12" s="11" t="s">
        <v>123</v>
      </c>
      <c r="D12" s="12">
        <v>5</v>
      </c>
      <c r="E12" s="12" t="str">
        <f>IF(Securities!J6="Obrigacao Subordinada","r0531 - o/w (part of) subordinated liabilities recognised as own funds",IF(Securities!J6="Obrigacao Hipotecaria","r0120 - Secured liabilities - collateralized part (BRRD art. 44/2/b)",IF(OR(Securities!D6="Obrigações estruturadas",Securities!J6="Titularizacao Sinteti"),"r0350 - Structured notes","")))</f>
        <v/>
      </c>
      <c r="F12" s="19" t="str">
        <f>Securities!E6</f>
        <v>c004x   - Institutions</v>
      </c>
      <c r="G12" s="12" t="str">
        <f t="shared" si="0"/>
        <v/>
      </c>
      <c r="H12" s="12">
        <f>Securities!I6</f>
        <v>0</v>
      </c>
      <c r="I12" s="12" t="str">
        <f t="shared" si="1"/>
        <v/>
      </c>
      <c r="J12" s="12">
        <f>Securities!Q6</f>
        <v>0</v>
      </c>
      <c r="K12" s="12" t="s">
        <v>125</v>
      </c>
      <c r="L12" s="12">
        <f>Securities!A6</f>
        <v>0</v>
      </c>
      <c r="M12" s="13">
        <f>Securities!AA6</f>
        <v>0</v>
      </c>
      <c r="N12" s="12">
        <f>Securities!B6</f>
        <v>0</v>
      </c>
      <c r="O12" s="13">
        <f>Securities!H6</f>
        <v>0</v>
      </c>
      <c r="P12" s="21" t="str">
        <f>IF(Securities!K6="FIXA","Fixed coupon",IF(OR(Securities!K6="VARIAVEL",Securities!K6="VARIÁVEL"),"Variable coupon","N/A"))</f>
        <v>N/A</v>
      </c>
      <c r="Q12" s="14">
        <f>Securities!L6</f>
        <v>0</v>
      </c>
      <c r="R12" s="12" t="str">
        <f>CONCATENATE(RIGHT(Securities!O6,4),"-",LEFT(RIGHT(Securities!O6,7),2),"-",LEFT(Securities!O6,2))</f>
        <v>--</v>
      </c>
      <c r="S12" s="12" t="str">
        <f>CONCATENATE(RIGHT(Securities!P6,4),"-",LEFT(RIGHT(Securities!P6,7),2),"-",LEFT(Securities!P6,2))</f>
        <v>--</v>
      </c>
      <c r="T12" s="12" t="str">
        <f>CONCATENATE(RIGHT(Securities!P6,4),"-",LEFT(RIGHT(Securities!P6,7),2),"-",LEFT(Securities!P6,2))</f>
        <v>--</v>
      </c>
      <c r="U12" s="12" t="s">
        <v>126</v>
      </c>
      <c r="V12" s="12">
        <f>_xlfn.IFNA(IF(Securities!R6="",0,Securities!R6),0)</f>
        <v>0</v>
      </c>
      <c r="W12" s="12">
        <f>_xlfn.IFNA(IF(Securities!S6="",0,Securities!S6),0)</f>
        <v>0</v>
      </c>
      <c r="X12" s="12" t="s">
        <v>154</v>
      </c>
      <c r="Y12" s="12" t="s">
        <v>127</v>
      </c>
      <c r="Z12" s="12">
        <f>IF(Securities!U6="",0,Securities!U6)</f>
        <v>0</v>
      </c>
      <c r="AA12" s="12">
        <f>0</f>
        <v>0</v>
      </c>
      <c r="AB12" s="12">
        <f>IF(Securities!U6="",0,Securities!U6)</f>
        <v>0</v>
      </c>
      <c r="AC12" s="12">
        <f>IF(Securities!U6="",0,Securities!U6)</f>
        <v>0</v>
      </c>
      <c r="AD12" s="12" t="str">
        <f>IF('T 04.00'!E12="r0120 - Secured liabilities - collateralized part (BRRD art. 44/2/b)","Secured","Unsecured")</f>
        <v>Unsecured</v>
      </c>
      <c r="AE12" s="12">
        <f>Securities!AA6</f>
        <v>0</v>
      </c>
      <c r="AF12" s="12">
        <f>0</f>
        <v>0</v>
      </c>
      <c r="AG12" s="12">
        <f>0</f>
        <v>0</v>
      </c>
      <c r="AH12" s="12" t="str">
        <f>IF(Securities!W6="Estruturada","Structured",IF(Securities!W6="Nao estruturada","Non-structured/Vanilla",""))</f>
        <v/>
      </c>
      <c r="AI12" s="22"/>
      <c r="AJ12" s="12" t="str">
        <f>IF(Securities!X6="GF2","Grandfathered T2","No")</f>
        <v>No</v>
      </c>
      <c r="AK12" s="12">
        <f>IF(Securities!Y6="",0,Securities!Y6)</f>
        <v>0</v>
      </c>
    </row>
    <row r="13" spans="1:38" ht="23.65" thickBot="1">
      <c r="C13" s="17" t="s">
        <v>123</v>
      </c>
      <c r="D13" s="18">
        <v>6</v>
      </c>
      <c r="E13" s="12" t="str">
        <f>IF(Securities!J7="Obrigacao Subordinada","r0531 - o/w (part of) subordinated liabilities recognised as own funds",IF(Securities!J7="Obrigacao Hipotecaria","r0120 - Secured liabilities - collateralized part (BRRD art. 44/2/b)",IF(OR(Securities!D7="Obrigações estruturadas",Securities!J7="Titularizacao Sinteti"),"r0350 - Structured notes","")))</f>
        <v/>
      </c>
      <c r="F13" s="19" t="str">
        <f>Securities!E7</f>
        <v>c004x   - Institutions</v>
      </c>
      <c r="G13" s="12" t="str">
        <f t="shared" si="0"/>
        <v/>
      </c>
      <c r="H13" s="12">
        <f>Securities!I7</f>
        <v>0</v>
      </c>
      <c r="I13" s="12" t="str">
        <f t="shared" si="1"/>
        <v/>
      </c>
      <c r="J13" s="12">
        <f>Securities!Q7</f>
        <v>0</v>
      </c>
      <c r="K13" s="12" t="s">
        <v>125</v>
      </c>
      <c r="L13" s="12">
        <f>Securities!A7</f>
        <v>0</v>
      </c>
      <c r="M13" s="13">
        <f>Securities!AA7</f>
        <v>0</v>
      </c>
      <c r="N13" s="12">
        <f>Securities!B7</f>
        <v>0</v>
      </c>
      <c r="O13" s="13">
        <f>Securities!H7</f>
        <v>0</v>
      </c>
      <c r="P13" s="21" t="str">
        <f>IF(Securities!K7="FIXA","Fixed coupon",IF(OR(Securities!K7="VARIAVEL",Securities!K7="VARIÁVEL"),"Variable coupon","N/A"))</f>
        <v>N/A</v>
      </c>
      <c r="Q13" s="14">
        <f>Securities!L7</f>
        <v>0</v>
      </c>
      <c r="R13" s="12" t="str">
        <f>CONCATENATE(RIGHT(Securities!O7,4),"-",LEFT(RIGHT(Securities!O7,7),2),"-",LEFT(Securities!O7,2))</f>
        <v>--</v>
      </c>
      <c r="S13" s="12" t="str">
        <f>CONCATENATE(RIGHT(Securities!P7,4),"-",LEFT(RIGHT(Securities!P7,7),2),"-",LEFT(Securities!P7,2))</f>
        <v>--</v>
      </c>
      <c r="T13" s="12" t="str">
        <f>CONCATENATE(RIGHT(Securities!P7,4),"-",LEFT(RIGHT(Securities!P7,7),2),"-",LEFT(Securities!P7,2))</f>
        <v>--</v>
      </c>
      <c r="U13" s="12" t="s">
        <v>126</v>
      </c>
      <c r="V13" s="12">
        <f>_xlfn.IFNA(IF(Securities!R7="",0,Securities!R7),0)</f>
        <v>0</v>
      </c>
      <c r="W13" s="12">
        <f>_xlfn.IFNA(IF(Securities!S7="",0,Securities!S7),0)</f>
        <v>0</v>
      </c>
      <c r="X13" s="12" t="s">
        <v>181</v>
      </c>
      <c r="Y13" s="12" t="s">
        <v>127</v>
      </c>
      <c r="Z13" s="12">
        <f>IF(Securities!U7="",0,Securities!U7)</f>
        <v>0</v>
      </c>
      <c r="AA13" s="12">
        <f>0</f>
        <v>0</v>
      </c>
      <c r="AB13" s="12">
        <f>IF(Securities!U7="",0,Securities!U7)</f>
        <v>0</v>
      </c>
      <c r="AC13" s="12">
        <f>IF(Securities!U7="",0,Securities!U7)</f>
        <v>0</v>
      </c>
      <c r="AD13" s="12" t="str">
        <f>IF('T 04.00'!E13="r0120 - Secured liabilities - collateralized part (BRRD art. 44/2/b)","Secured","Unsecured")</f>
        <v>Unsecured</v>
      </c>
      <c r="AE13" s="12">
        <f>Securities!AA7</f>
        <v>0</v>
      </c>
      <c r="AF13" s="12">
        <f>0</f>
        <v>0</v>
      </c>
      <c r="AG13" s="12">
        <f>0</f>
        <v>0</v>
      </c>
      <c r="AH13" s="12" t="str">
        <f>IF(Securities!W7="Estruturada","Structured",IF(Securities!W7="Nao estruturada","Non-structured/Vanilla",""))</f>
        <v/>
      </c>
      <c r="AJ13" s="12" t="str">
        <f>IF(Securities!X7="GF2","Grandfathered T2","No")</f>
        <v>No</v>
      </c>
      <c r="AK13" s="12">
        <f>IF(Securities!Y7="",0,Securities!Y7)</f>
        <v>0</v>
      </c>
    </row>
    <row r="14" spans="1:38" ht="23.65" thickBot="1">
      <c r="C14" s="11" t="s">
        <v>123</v>
      </c>
      <c r="D14" s="12">
        <v>7</v>
      </c>
      <c r="E14" s="12" t="str">
        <f>IF(Securities!J8="Obrigacao Subordinada","r0531 - o/w (part of) subordinated liabilities recognised as own funds",IF(Securities!J8="Obrigacao Hipotecaria","r0120 - Secured liabilities - collateralized part (BRRD art. 44/2/b)",IF(OR(Securities!D8="Obrigações estruturadas",Securities!J8="Titularizacao Sinteti"),"r0350 - Structured notes","")))</f>
        <v/>
      </c>
      <c r="F14" s="19" t="str">
        <f>Securities!E8</f>
        <v>c004x   - Institutions</v>
      </c>
      <c r="G14" s="12" t="str">
        <f t="shared" si="0"/>
        <v/>
      </c>
      <c r="H14" s="12">
        <f>Securities!I8</f>
        <v>0</v>
      </c>
      <c r="I14" s="12" t="str">
        <f t="shared" si="1"/>
        <v/>
      </c>
      <c r="J14" s="12">
        <f>Securities!Q8</f>
        <v>0</v>
      </c>
      <c r="K14" s="12" t="s">
        <v>125</v>
      </c>
      <c r="L14" s="12">
        <f>Securities!A8</f>
        <v>0</v>
      </c>
      <c r="M14" s="13">
        <f>Securities!AA8</f>
        <v>0</v>
      </c>
      <c r="N14" s="12">
        <f>Securities!B8</f>
        <v>0</v>
      </c>
      <c r="O14" s="13">
        <f>Securities!H8</f>
        <v>0</v>
      </c>
      <c r="P14" s="21" t="str">
        <f>IF(Securities!K8="FIXA","Fixed coupon",IF(OR(Securities!K8="VARIAVEL",Securities!K8="VARIÁVEL"),"Variable coupon","N/A"))</f>
        <v>N/A</v>
      </c>
      <c r="Q14" s="14">
        <f>Securities!L8</f>
        <v>0</v>
      </c>
      <c r="R14" s="12" t="str">
        <f>CONCATENATE(RIGHT(Securities!O8,4),"-",LEFT(RIGHT(Securities!O8,7),2),"-",LEFT(Securities!O8,2))</f>
        <v>--</v>
      </c>
      <c r="S14" s="12" t="str">
        <f>CONCATENATE(RIGHT(Securities!P8,4),"-",LEFT(RIGHT(Securities!P8,7),2),"-",LEFT(Securities!P8,2))</f>
        <v>--</v>
      </c>
      <c r="T14" s="12" t="str">
        <f>CONCATENATE(RIGHT(Securities!P8,4),"-",LEFT(RIGHT(Securities!P8,7),2),"-",LEFT(Securities!P8,2))</f>
        <v>--</v>
      </c>
      <c r="U14" s="12" t="s">
        <v>126</v>
      </c>
      <c r="V14" s="12">
        <f>_xlfn.IFNA(IF(Securities!R8="",0,Securities!R8),0)</f>
        <v>0</v>
      </c>
      <c r="W14" s="12">
        <f>_xlfn.IFNA(IF(Securities!S8="",0,Securities!S8),0)</f>
        <v>0</v>
      </c>
      <c r="X14" s="12" t="s">
        <v>182</v>
      </c>
      <c r="Y14" s="12" t="s">
        <v>127</v>
      </c>
      <c r="Z14" s="12">
        <f>IF(Securities!U8="",0,Securities!U8)</f>
        <v>0</v>
      </c>
      <c r="AA14" s="12">
        <f>0</f>
        <v>0</v>
      </c>
      <c r="AB14" s="12">
        <f>IF(Securities!U8="",0,Securities!U8)</f>
        <v>0</v>
      </c>
      <c r="AC14" s="12">
        <f>IF(Securities!U8="",0,Securities!U8)</f>
        <v>0</v>
      </c>
      <c r="AD14" s="12" t="str">
        <f>IF('T 04.00'!E14="r0120 - Secured liabilities - collateralized part (BRRD art. 44/2/b)","Secured","Unsecured")</f>
        <v>Unsecured</v>
      </c>
      <c r="AE14" s="12">
        <f>Securities!AA8</f>
        <v>0</v>
      </c>
      <c r="AF14" s="12">
        <f>0</f>
        <v>0</v>
      </c>
      <c r="AG14" s="12">
        <f>0</f>
        <v>0</v>
      </c>
      <c r="AH14" s="12" t="str">
        <f>IF(Securities!W8="Estruturada","Structured",IF(Securities!W8="Nao estruturada","Non-structured/Vanilla",""))</f>
        <v/>
      </c>
      <c r="AJ14" s="12" t="str">
        <f>IF(Securities!X8="GF2","Grandfathered T2","No")</f>
        <v>No</v>
      </c>
      <c r="AK14" s="12">
        <f>IF(Securities!Y8="",0,Securities!Y8)</f>
        <v>0</v>
      </c>
    </row>
    <row r="15" spans="1:38" ht="23.65" thickBot="1">
      <c r="C15" s="17" t="s">
        <v>123</v>
      </c>
      <c r="D15" s="18">
        <v>8</v>
      </c>
      <c r="E15" s="12" t="str">
        <f>IF(Securities!J9="Obrigacao Subordinada","r0531 - o/w (part of) subordinated liabilities recognised as own funds",IF(Securities!J9="Obrigacao Hipotecaria","r0120 - Secured liabilities - collateralized part (BRRD art. 44/2/b)",IF(OR(Securities!D9="Obrigações estruturadas",Securities!J9="Titularizacao Sinteti"),"r0350 - Structured notes","")))</f>
        <v/>
      </c>
      <c r="F15" s="19" t="str">
        <f>Securities!E9</f>
        <v>c004x   - Institutions</v>
      </c>
      <c r="G15" s="12" t="str">
        <f t="shared" si="0"/>
        <v/>
      </c>
      <c r="H15" s="12">
        <f>Securities!I9</f>
        <v>0</v>
      </c>
      <c r="I15" s="12" t="str">
        <f t="shared" si="1"/>
        <v/>
      </c>
      <c r="J15" s="12">
        <f>Securities!Q9</f>
        <v>0</v>
      </c>
      <c r="K15" s="12" t="s">
        <v>125</v>
      </c>
      <c r="L15" s="12">
        <f>Securities!A9</f>
        <v>0</v>
      </c>
      <c r="M15" s="13">
        <f>Securities!AA9</f>
        <v>0</v>
      </c>
      <c r="N15" s="12">
        <f>Securities!B9</f>
        <v>0</v>
      </c>
      <c r="O15" s="13">
        <f>Securities!H9</f>
        <v>0</v>
      </c>
      <c r="P15" s="21" t="str">
        <f>IF(Securities!K9="FIXA","Fixed coupon",IF(OR(Securities!K9="VARIAVEL",Securities!K9="VARIÁVEL"),"Variable coupon","N/A"))</f>
        <v>N/A</v>
      </c>
      <c r="Q15" s="14">
        <f>Securities!L9</f>
        <v>0</v>
      </c>
      <c r="R15" s="12" t="str">
        <f>CONCATENATE(RIGHT(Securities!O9,4),"-",LEFT(RIGHT(Securities!O9,7),2),"-",LEFT(Securities!O9,2))</f>
        <v>--</v>
      </c>
      <c r="S15" s="12" t="str">
        <f>CONCATENATE(RIGHT(Securities!P9,4),"-",LEFT(RIGHT(Securities!P9,7),2),"-",LEFT(Securities!P9,2))</f>
        <v>--</v>
      </c>
      <c r="T15" s="12" t="str">
        <f>CONCATENATE(RIGHT(Securities!P9,4),"-",LEFT(RIGHT(Securities!P9,7),2),"-",LEFT(Securities!P9,2))</f>
        <v>--</v>
      </c>
      <c r="U15" s="12" t="s">
        <v>126</v>
      </c>
      <c r="V15" s="12">
        <f>_xlfn.IFNA(IF(Securities!R9="",0,Securities!R9),0)</f>
        <v>0</v>
      </c>
      <c r="W15" s="12">
        <f>_xlfn.IFNA(IF(Securities!S9="",0,Securities!S9),0)</f>
        <v>0</v>
      </c>
      <c r="X15" s="12" t="s">
        <v>183</v>
      </c>
      <c r="Y15" s="12" t="s">
        <v>127</v>
      </c>
      <c r="Z15" s="12">
        <f>IF(Securities!U9="",0,Securities!U9)</f>
        <v>0</v>
      </c>
      <c r="AA15" s="12">
        <f>0</f>
        <v>0</v>
      </c>
      <c r="AB15" s="12">
        <f>IF(Securities!U9="",0,Securities!U9)</f>
        <v>0</v>
      </c>
      <c r="AC15" s="12">
        <f>IF(Securities!U9="",0,Securities!U9)</f>
        <v>0</v>
      </c>
      <c r="AD15" s="12" t="str">
        <f>IF('T 04.00'!E15="r0120 - Secured liabilities - collateralized part (BRRD art. 44/2/b)","Secured","Unsecured")</f>
        <v>Unsecured</v>
      </c>
      <c r="AE15" s="12">
        <f>Securities!AA9</f>
        <v>0</v>
      </c>
      <c r="AF15" s="12">
        <f>0</f>
        <v>0</v>
      </c>
      <c r="AG15" s="12">
        <f>0</f>
        <v>0</v>
      </c>
      <c r="AH15" s="12" t="str">
        <f>IF(Securities!W9="Estruturada","Structured",IF(Securities!W9="Nao estruturada","Non-structured/Vanilla",""))</f>
        <v/>
      </c>
      <c r="AJ15" s="12" t="str">
        <f>IF(Securities!X9="GF2","Grandfathered T2","No")</f>
        <v>No</v>
      </c>
      <c r="AK15" s="12">
        <f>IF(Securities!Y9="",0,Securities!Y9)</f>
        <v>0</v>
      </c>
    </row>
    <row r="16" spans="1:38" ht="23.65" thickBot="1">
      <c r="C16" s="11" t="s">
        <v>123</v>
      </c>
      <c r="D16" s="12">
        <v>9</v>
      </c>
      <c r="E16" s="12" t="str">
        <f>IF(Securities!J10="Obrigacao Subordinada","r0531 - o/w (part of) subordinated liabilities recognised as own funds",IF(Securities!J10="Obrigacao Hipotecaria","r0120 - Secured liabilities - collateralized part (BRRD art. 44/2/b)",IF(OR(Securities!D10="Obrigações estruturadas",Securities!J10="Titularizacao Sinteti"),"r0350 - Structured notes","")))</f>
        <v/>
      </c>
      <c r="F16" s="19" t="str">
        <f>Securities!E10</f>
        <v>c004x   - Institutions</v>
      </c>
      <c r="G16" s="12" t="str">
        <f t="shared" si="0"/>
        <v/>
      </c>
      <c r="H16" s="12">
        <f>Securities!I10</f>
        <v>0</v>
      </c>
      <c r="I16" s="12" t="str">
        <f t="shared" si="1"/>
        <v/>
      </c>
      <c r="J16" s="12">
        <f>Securities!Q10</f>
        <v>0</v>
      </c>
      <c r="K16" s="12" t="s">
        <v>125</v>
      </c>
      <c r="L16" s="12">
        <f>Securities!A10</f>
        <v>0</v>
      </c>
      <c r="M16" s="13">
        <f>Securities!AA10</f>
        <v>0</v>
      </c>
      <c r="N16" s="12">
        <f>Securities!B10</f>
        <v>0</v>
      </c>
      <c r="O16" s="13">
        <f>Securities!H10</f>
        <v>0</v>
      </c>
      <c r="P16" s="21" t="str">
        <f>IF(Securities!K10="FIXA","Fixed coupon",IF(OR(Securities!K10="VARIAVEL",Securities!K10="VARIÁVEL"),"Variable coupon","N/A"))</f>
        <v>N/A</v>
      </c>
      <c r="Q16" s="14">
        <f>Securities!L10</f>
        <v>0</v>
      </c>
      <c r="R16" s="12" t="str">
        <f>CONCATENATE(RIGHT(Securities!O10,4),"-",LEFT(RIGHT(Securities!O10,7),2),"-",LEFT(Securities!O10,2))</f>
        <v>--</v>
      </c>
      <c r="S16" s="12" t="str">
        <f>CONCATENATE(RIGHT(Securities!P10,4),"-",LEFT(RIGHT(Securities!P10,7),2),"-",LEFT(Securities!P10,2))</f>
        <v>--</v>
      </c>
      <c r="T16" s="12" t="str">
        <f>CONCATENATE(RIGHT(Securities!P10,4),"-",LEFT(RIGHT(Securities!P10,7),2),"-",LEFT(Securities!P10,2))</f>
        <v>--</v>
      </c>
      <c r="U16" s="12" t="s">
        <v>126</v>
      </c>
      <c r="V16" s="12">
        <f>_xlfn.IFNA(IF(Securities!R10="",0,Securities!R10),0)</f>
        <v>0</v>
      </c>
      <c r="W16" s="12">
        <f>_xlfn.IFNA(IF(Securities!S10="",0,Securities!S10),0)</f>
        <v>0</v>
      </c>
      <c r="X16" s="12" t="s">
        <v>184</v>
      </c>
      <c r="Y16" s="12" t="s">
        <v>127</v>
      </c>
      <c r="Z16" s="12">
        <f>IF(Securities!U10="",0,Securities!U10)</f>
        <v>0</v>
      </c>
      <c r="AA16" s="12">
        <f>0</f>
        <v>0</v>
      </c>
      <c r="AB16" s="12">
        <f>IF(Securities!U10="",0,Securities!U10)</f>
        <v>0</v>
      </c>
      <c r="AC16" s="12">
        <f>IF(Securities!U10="",0,Securities!U10)</f>
        <v>0</v>
      </c>
      <c r="AD16" s="12" t="str">
        <f>IF('T 04.00'!E16="r0120 - Secured liabilities - collateralized part (BRRD art. 44/2/b)","Secured","Unsecured")</f>
        <v>Unsecured</v>
      </c>
      <c r="AE16" s="12">
        <f>Securities!AA10</f>
        <v>0</v>
      </c>
      <c r="AF16" s="12">
        <f>0</f>
        <v>0</v>
      </c>
      <c r="AG16" s="12">
        <f>0</f>
        <v>0</v>
      </c>
      <c r="AH16" s="12" t="str">
        <f>IF(Securities!W10="Estruturada","Structured",IF(Securities!W10="Nao estruturada","Non-structured/Vanilla",""))</f>
        <v/>
      </c>
      <c r="AJ16" s="12" t="str">
        <f>IF(Securities!X10="GF2","Grandfathered T2","No")</f>
        <v>No</v>
      </c>
      <c r="AK16" s="12">
        <f>IF(Securities!Y10="",0,Securities!Y10)</f>
        <v>0</v>
      </c>
    </row>
    <row r="17" spans="3:37" ht="23.65" thickBot="1">
      <c r="C17" s="17" t="s">
        <v>123</v>
      </c>
      <c r="D17" s="18">
        <v>10</v>
      </c>
      <c r="E17" s="12" t="str">
        <f>IF(Securities!J11="Obrigacao Subordinada","r0531 - o/w (part of) subordinated liabilities recognised as own funds",IF(Securities!J11="Obrigacao Hipotecaria","r0120 - Secured liabilities - collateralized part (BRRD art. 44/2/b)",IF(OR(Securities!D11="Obrigações estruturadas",Securities!J11="Titularizacao Sinteti"),"r0350 - Structured notes","")))</f>
        <v/>
      </c>
      <c r="F17" s="19" t="str">
        <f>Securities!E11</f>
        <v>c004x   - Institutions</v>
      </c>
      <c r="G17" s="12" t="str">
        <f t="shared" si="0"/>
        <v/>
      </c>
      <c r="H17" s="12">
        <f>Securities!I11</f>
        <v>0</v>
      </c>
      <c r="I17" s="12" t="str">
        <f t="shared" si="1"/>
        <v/>
      </c>
      <c r="J17" s="12">
        <f>Securities!Q11</f>
        <v>0</v>
      </c>
      <c r="K17" s="12" t="s">
        <v>125</v>
      </c>
      <c r="L17" s="12">
        <f>Securities!A11</f>
        <v>0</v>
      </c>
      <c r="M17" s="13">
        <f>Securities!AA11</f>
        <v>0</v>
      </c>
      <c r="N17" s="12">
        <f>Securities!B11</f>
        <v>0</v>
      </c>
      <c r="O17" s="13">
        <f>Securities!H11</f>
        <v>0</v>
      </c>
      <c r="P17" s="21" t="str">
        <f>IF(Securities!K11="FIXA","Fixed coupon",IF(OR(Securities!K11="VARIAVEL",Securities!K11="VARIÁVEL"),"Variable coupon","N/A"))</f>
        <v>N/A</v>
      </c>
      <c r="Q17" s="14">
        <f>Securities!L11</f>
        <v>0</v>
      </c>
      <c r="R17" s="12" t="str">
        <f>CONCATENATE(RIGHT(Securities!O11,4),"-",LEFT(RIGHT(Securities!O11,7),2),"-",LEFT(Securities!O11,2))</f>
        <v>--</v>
      </c>
      <c r="S17" s="12" t="str">
        <f>CONCATENATE(RIGHT(Securities!P11,4),"-",LEFT(RIGHT(Securities!P11,7),2),"-",LEFT(Securities!P11,2))</f>
        <v>--</v>
      </c>
      <c r="T17" s="12" t="str">
        <f>CONCATENATE(RIGHT(Securities!P11,4),"-",LEFT(RIGHT(Securities!P11,7),2),"-",LEFT(Securities!P11,2))</f>
        <v>--</v>
      </c>
      <c r="U17" s="12" t="s">
        <v>126</v>
      </c>
      <c r="V17" s="12">
        <f>_xlfn.IFNA(IF(Securities!R11="",0,Securities!R11),0)</f>
        <v>0</v>
      </c>
      <c r="W17" s="12">
        <f>_xlfn.IFNA(IF(Securities!S11="",0,Securities!S11),0)</f>
        <v>0</v>
      </c>
      <c r="X17" s="12" t="s">
        <v>185</v>
      </c>
      <c r="Y17" s="12" t="s">
        <v>127</v>
      </c>
      <c r="Z17" s="12">
        <f>IF(Securities!U11="",0,Securities!U11)</f>
        <v>0</v>
      </c>
      <c r="AA17" s="12">
        <f>0</f>
        <v>0</v>
      </c>
      <c r="AB17" s="12">
        <f>IF(Securities!U11="",0,Securities!U11)</f>
        <v>0</v>
      </c>
      <c r="AC17" s="12">
        <f>IF(Securities!U11="",0,Securities!U11)</f>
        <v>0</v>
      </c>
      <c r="AD17" s="12" t="str">
        <f>IF('T 04.00'!E17="r0120 - Secured liabilities - collateralized part (BRRD art. 44/2/b)","Secured","Unsecured")</f>
        <v>Unsecured</v>
      </c>
      <c r="AE17" s="12">
        <f>Securities!AA11</f>
        <v>0</v>
      </c>
      <c r="AF17" s="12">
        <f>0</f>
        <v>0</v>
      </c>
      <c r="AG17" s="12">
        <f>0</f>
        <v>0</v>
      </c>
      <c r="AH17" s="12" t="str">
        <f>IF(Securities!W11="Estruturada","Structured",IF(Securities!W11="Nao estruturada","Non-structured/Vanilla",""))</f>
        <v/>
      </c>
      <c r="AJ17" s="12" t="str">
        <f>IF(Securities!X11="GF2","Grandfathered T2","No")</f>
        <v>No</v>
      </c>
      <c r="AK17" s="12">
        <f>IF(Securities!Y11="",0,Securities!Y11)</f>
        <v>0</v>
      </c>
    </row>
    <row r="18" spans="3:37" ht="23.65" thickBot="1">
      <c r="C18" s="11" t="s">
        <v>123</v>
      </c>
      <c r="D18" s="12">
        <v>11</v>
      </c>
      <c r="E18" s="12" t="str">
        <f>IF(Securities!J12="Obrigacao Subordinada","r0531 - o/w (part of) subordinated liabilities recognised as own funds",IF(Securities!J12="Obrigacao Hipotecaria","r0120 - Secured liabilities - collateralized part (BRRD art. 44/2/b)",IF(OR(Securities!D12="Obrigações estruturadas",Securities!J12="Titularizacao Sinteti"),"r0350 - Structured notes","")))</f>
        <v>r0350 - Structured notes</v>
      </c>
      <c r="F18" s="19" t="str">
        <f>Securities!E12</f>
        <v>c004x   - Institutions</v>
      </c>
      <c r="G18" s="12" t="str">
        <f t="shared" si="0"/>
        <v>Rank 9 - Ranking in insolvency (master scale)</v>
      </c>
      <c r="H18" s="12" t="str">
        <f>Securities!I12</f>
        <v>PTBSRBOM0039</v>
      </c>
      <c r="I18" s="12" t="str">
        <f t="shared" si="1"/>
        <v>Structured notes</v>
      </c>
      <c r="J18" s="12" t="str">
        <f>Securities!Q12</f>
        <v>PORTUGAL</v>
      </c>
      <c r="K18" s="12" t="s">
        <v>125</v>
      </c>
      <c r="L18" s="12" t="str">
        <f>Securities!A12</f>
        <v>PORTUGAL</v>
      </c>
      <c r="M18" s="13">
        <f>Securities!AA12</f>
        <v>183000000</v>
      </c>
      <c r="N18" s="12">
        <f>Securities!B12</f>
        <v>145255188.59999999</v>
      </c>
      <c r="O18" s="13">
        <f>Securities!H12</f>
        <v>2041642.51</v>
      </c>
      <c r="P18" s="21" t="str">
        <f>IF(Securities!K12="FIXA","Fixed coupon",IF(OR(Securities!K12="VARIAVEL",Securities!K12="VARIÁVEL"),"Variable coupon","N/A"))</f>
        <v>Variable coupon</v>
      </c>
      <c r="Q18" s="14">
        <f>Securities!L12</f>
        <v>0</v>
      </c>
      <c r="R18" s="12" t="str">
        <f>CONCATENATE(RIGHT(Securities!O12,4),"-",LEFT(RIGHT(Securities!O12,7),2),"-",LEFT(Securities!O12,2))</f>
        <v>2021-07-26</v>
      </c>
      <c r="S18" s="12" t="str">
        <f>CONCATENATE(RIGHT(Securities!P12,4),"-",LEFT(RIGHT(Securities!P12,7),2),"-",LEFT(Securities!P12,2))</f>
        <v>2037-08-15</v>
      </c>
      <c r="T18" s="12" t="str">
        <f>CONCATENATE(RIGHT(Securities!P12,4),"-",LEFT(RIGHT(Securities!P12,7),2),"-",LEFT(Securities!P12,2))</f>
        <v>2037-08-15</v>
      </c>
      <c r="U18" s="12" t="s">
        <v>126</v>
      </c>
      <c r="V18" s="12">
        <f>_xlfn.IFNA(IF(Securities!R12="",0,Securities!R12),0)</f>
        <v>0</v>
      </c>
      <c r="W18" s="12" t="str">
        <f>_xlfn.IFNA(IF(Securities!S12="",0,Securities!S12),0)</f>
        <v>N/A</v>
      </c>
      <c r="X18" s="12" t="s">
        <v>186</v>
      </c>
      <c r="Y18" s="12" t="s">
        <v>127</v>
      </c>
      <c r="Z18" s="12">
        <f>IF(Securities!U12="",0,Securities!U12)</f>
        <v>0</v>
      </c>
      <c r="AA18" s="12">
        <f>0</f>
        <v>0</v>
      </c>
      <c r="AB18" s="12">
        <f>IF(Securities!U12="",0,Securities!U12)</f>
        <v>0</v>
      </c>
      <c r="AC18" s="12">
        <f>IF(Securities!U12="",0,Securities!U12)</f>
        <v>0</v>
      </c>
      <c r="AD18" s="12" t="str">
        <f>IF('T 04.00'!E18="r0120 - Secured liabilities - collateralized part (BRRD art. 44/2/b)","Secured","Unsecured")</f>
        <v>Unsecured</v>
      </c>
      <c r="AE18" s="12">
        <f>Securities!AA12</f>
        <v>183000000</v>
      </c>
      <c r="AF18" s="12">
        <f>0</f>
        <v>0</v>
      </c>
      <c r="AG18" s="12">
        <f>0</f>
        <v>0</v>
      </c>
      <c r="AH18" s="12" t="str">
        <f>IF(Securities!W12="Estruturada","Structured",IF(Securities!W12="Nao estruturada","Non-structured/Vanilla",""))</f>
        <v>Non-structured/Vanilla</v>
      </c>
      <c r="AJ18" s="12" t="str">
        <f>IF(Securities!X12="GF2","Grandfathered T2","No")</f>
        <v>No</v>
      </c>
      <c r="AK18" s="12">
        <f>IF(Securities!Y12="",0,Securities!Y12)</f>
        <v>0</v>
      </c>
    </row>
    <row r="19" spans="3:37" ht="23.65" thickBot="1">
      <c r="C19" s="17" t="s">
        <v>123</v>
      </c>
      <c r="D19" s="18">
        <v>12</v>
      </c>
      <c r="E19" s="12" t="str">
        <f>IF(Securities!J13="Obrigacao Subordinada","r0531 - o/w (part of) subordinated liabilities recognised as own funds",IF(Securities!J13="Obrigacao Hipotecaria","r0120 - Secured liabilities - collateralized part (BRRD art. 44/2/b)",IF(OR(Securities!D13="Obrigações estruturadas",Securities!J13="Titularizacao Sinteti"),"r0350 - Structured notes","")))</f>
        <v/>
      </c>
      <c r="F19" s="19" t="str">
        <f>Securities!E13</f>
        <v>c004x   - Institutions</v>
      </c>
      <c r="G19" s="12" t="str">
        <f t="shared" si="0"/>
        <v/>
      </c>
      <c r="H19" s="12" t="str">
        <f>Securities!I13</f>
        <v>PTBSRLOM0029</v>
      </c>
      <c r="I19" s="12" t="str">
        <f t="shared" si="1"/>
        <v/>
      </c>
      <c r="J19" s="12" t="str">
        <f>Securities!Q13</f>
        <v>PORTUGAL</v>
      </c>
      <c r="K19" s="12" t="s">
        <v>125</v>
      </c>
      <c r="L19" s="12" t="str">
        <f>Securities!A13</f>
        <v>PORTUGAL</v>
      </c>
      <c r="M19" s="13">
        <f>Securities!AA13</f>
        <v>8227000</v>
      </c>
      <c r="N19" s="12">
        <f>Securities!B13</f>
        <v>-158977.17634599999</v>
      </c>
      <c r="O19" s="13">
        <f>Securities!H13</f>
        <v>-5642.2606640000004</v>
      </c>
      <c r="P19" s="21" t="str">
        <f>IF(Securities!K13="FIXA","Fixed coupon",IF(OR(Securities!K13="VARIAVEL",Securities!K13="VARIÁVEL"),"Variable coupon","N/A"))</f>
        <v>Variable coupon</v>
      </c>
      <c r="Q19" s="14">
        <f>Securities!L13</f>
        <v>0</v>
      </c>
      <c r="R19" s="12" t="str">
        <f>CONCATENATE(RIGHT(Securities!O13,4),"-",LEFT(RIGHT(Securities!O13,7),2),"-",LEFT(Securities!O13,2))</f>
        <v>2019-12-20</v>
      </c>
      <c r="S19" s="12" t="str">
        <f>CONCATENATE(RIGHT(Securities!P13,4),"-",LEFT(RIGHT(Securities!P13,7),2),"-",LEFT(Securities!P13,2))</f>
        <v>2024-12-23</v>
      </c>
      <c r="T19" s="12" t="str">
        <f>CONCATENATE(RIGHT(Securities!P13,4),"-",LEFT(RIGHT(Securities!P13,7),2),"-",LEFT(Securities!P13,2))</f>
        <v>2024-12-23</v>
      </c>
      <c r="U19" s="12" t="s">
        <v>126</v>
      </c>
      <c r="V19" s="12">
        <f>_xlfn.IFNA(IF(Securities!R13="",0,Securities!R13),0)</f>
        <v>0</v>
      </c>
      <c r="W19" s="12">
        <f>_xlfn.IFNA(IF(Securities!S13="",0,Securities!S13),0)</f>
        <v>0</v>
      </c>
      <c r="X19" s="12" t="s">
        <v>187</v>
      </c>
      <c r="Y19" s="12" t="s">
        <v>127</v>
      </c>
      <c r="Z19" s="12">
        <f>IF(Securities!U13="",0,Securities!U13)</f>
        <v>0</v>
      </c>
      <c r="AA19" s="12">
        <f>0</f>
        <v>0</v>
      </c>
      <c r="AB19" s="12">
        <f>IF(Securities!U13="",0,Securities!U13)</f>
        <v>0</v>
      </c>
      <c r="AC19" s="12">
        <f>IF(Securities!U13="",0,Securities!U13)</f>
        <v>0</v>
      </c>
      <c r="AD19" s="12" t="str">
        <f>IF('T 04.00'!E19="r0120 - Secured liabilities - collateralized part (BRRD art. 44/2/b)","Secured","Unsecured")</f>
        <v>Unsecured</v>
      </c>
      <c r="AE19" s="12">
        <f>Securities!AA13</f>
        <v>8227000</v>
      </c>
      <c r="AF19" s="12">
        <f>0</f>
        <v>0</v>
      </c>
      <c r="AG19" s="12">
        <f>0</f>
        <v>0</v>
      </c>
      <c r="AH19" s="12" t="str">
        <f>IF(Securities!W13="Estruturada","Structured",IF(Securities!W13="Nao estruturada","Non-structured/Vanilla",""))</f>
        <v>Non-structured/Vanilla</v>
      </c>
      <c r="AJ19" s="12" t="str">
        <f>IF(Securities!X13="GF2","Grandfathered T2","No")</f>
        <v>No</v>
      </c>
      <c r="AK19" s="12">
        <f>IF(Securities!Y13="",0,Securities!Y13)</f>
        <v>0</v>
      </c>
    </row>
    <row r="20" spans="3:37" ht="23.65" thickBot="1">
      <c r="C20" s="11" t="s">
        <v>123</v>
      </c>
      <c r="D20" s="12">
        <v>13</v>
      </c>
      <c r="E20" s="12" t="str">
        <f>IF(Securities!J14="Obrigacao Subordinada","r0531 - o/w (part of) subordinated liabilities recognised as own funds",IF(Securities!J14="Obrigacao Hipotecaria","r0120 - Secured liabilities - collateralized part (BRRD art. 44/2/b)",IF(OR(Securities!D14="Obrigações estruturadas",Securities!J14="Titularizacao Sinteti"),"r0350 - Structured notes","")))</f>
        <v>r0350 - Structured notes</v>
      </c>
      <c r="F20" s="19" t="str">
        <f>Securities!E14</f>
        <v>c004x   - Institutions</v>
      </c>
      <c r="G20" s="12" t="str">
        <f t="shared" si="0"/>
        <v>Rank 9 - Ranking in insolvency (master scale)</v>
      </c>
      <c r="H20" s="12" t="str">
        <f>Securities!I14</f>
        <v>PTBSP8OM0025</v>
      </c>
      <c r="I20" s="12" t="str">
        <f t="shared" si="1"/>
        <v>Structured notes</v>
      </c>
      <c r="J20" s="12" t="str">
        <f>Securities!Q14</f>
        <v>PORTUGAL</v>
      </c>
      <c r="K20" s="12" t="s">
        <v>125</v>
      </c>
      <c r="L20" s="12" t="str">
        <f>Securities!A14</f>
        <v>PORTUGAL</v>
      </c>
      <c r="M20" s="13">
        <f>Securities!AA14</f>
        <v>100800000</v>
      </c>
      <c r="N20" s="12">
        <f>Securities!B14</f>
        <v>100800000</v>
      </c>
      <c r="O20" s="13">
        <f>Securities!H14</f>
        <v>2021880</v>
      </c>
      <c r="P20" s="21" t="str">
        <f>IF(Securities!K14="FIXA","Fixed coupon",IF(OR(Securities!K14="VARIAVEL",Securities!K14="VARIÁVEL"),"Variable coupon","N/A"))</f>
        <v>Variable coupon</v>
      </c>
      <c r="Q20" s="14">
        <f>Securities!L14</f>
        <v>0</v>
      </c>
      <c r="R20" s="12" t="str">
        <f>CONCATENATE(RIGHT(Securities!O14,4),"-",LEFT(RIGHT(Securities!O14,7),2),"-",LEFT(Securities!O14,2))</f>
        <v>2022-05-31</v>
      </c>
      <c r="S20" s="12" t="str">
        <f>CONCATENATE(RIGHT(Securities!P14,4),"-",LEFT(RIGHT(Securities!P14,7),2),"-",LEFT(Securities!P14,2))</f>
        <v>2042-01-31</v>
      </c>
      <c r="T20" s="12" t="str">
        <f>CONCATENATE(RIGHT(Securities!P14,4),"-",LEFT(RIGHT(Securities!P14,7),2),"-",LEFT(Securities!P14,2))</f>
        <v>2042-01-31</v>
      </c>
      <c r="U20" s="12" t="s">
        <v>126</v>
      </c>
      <c r="V20" s="12">
        <f>_xlfn.IFNA(IF(Securities!R14="",0,Securities!R14),0)</f>
        <v>0</v>
      </c>
      <c r="W20" s="12" t="str">
        <f>_xlfn.IFNA(IF(Securities!S14="",0,Securities!S14),0)</f>
        <v>N/A</v>
      </c>
      <c r="X20" s="12" t="s">
        <v>188</v>
      </c>
      <c r="Y20" s="12" t="s">
        <v>127</v>
      </c>
      <c r="Z20" s="12">
        <f>IF(Securities!U14="",0,Securities!U14)</f>
        <v>0</v>
      </c>
      <c r="AA20" s="12">
        <f>0</f>
        <v>0</v>
      </c>
      <c r="AB20" s="12">
        <f>IF(Securities!U14="",0,Securities!U14)</f>
        <v>0</v>
      </c>
      <c r="AC20" s="12">
        <f>IF(Securities!U14="",0,Securities!U14)</f>
        <v>0</v>
      </c>
      <c r="AD20" s="12" t="str">
        <f>IF('T 04.00'!E20="r0120 - Secured liabilities - collateralized part (BRRD art. 44/2/b)","Secured","Unsecured")</f>
        <v>Unsecured</v>
      </c>
      <c r="AE20" s="12">
        <f>Securities!AA14</f>
        <v>100800000</v>
      </c>
      <c r="AF20" s="12">
        <f>0</f>
        <v>0</v>
      </c>
      <c r="AG20" s="12">
        <f>0</f>
        <v>0</v>
      </c>
      <c r="AH20" s="12" t="str">
        <f>IF(Securities!W14="Estruturada","Structured",IF(Securities!W14="Nao estruturada","Non-structured/Vanilla",""))</f>
        <v>Non-structured/Vanilla</v>
      </c>
      <c r="AJ20" s="12" t="str">
        <f>IF(Securities!X14="GF2","Grandfathered T2","No")</f>
        <v>No</v>
      </c>
      <c r="AK20" s="12">
        <f>IF(Securities!Y14="",0,Securities!Y14)</f>
        <v>0</v>
      </c>
    </row>
    <row r="21" spans="3:37" ht="35.25" thickBot="1">
      <c r="C21" s="17" t="s">
        <v>123</v>
      </c>
      <c r="D21" s="18">
        <v>14</v>
      </c>
      <c r="E21" s="12" t="str">
        <f>IF(Securities!J15="Obrigacao Subordinada","r0531 - o/w (part of) subordinated liabilities recognised as own funds",IF(Securities!J15="Obrigacao Hipotecaria","r0120 - Secured liabilities - collateralized part (BRRD art. 44/2/b)",IF(OR(Securities!D15="Obrigações estruturadas",Securities!J15="Titularizacao Sinteti"),"r0350 - Structured notes","")))</f>
        <v>r0120 - Secured liabilities - collateralized part (BRRD art. 44/2/b)</v>
      </c>
      <c r="F21" s="19" t="str">
        <f>Securities!E15</f>
        <v>c004x   - Institutions</v>
      </c>
      <c r="G21" s="12" t="str">
        <f t="shared" si="0"/>
        <v>Rank 20 - Ranking in insolvency (master scale)</v>
      </c>
      <c r="H21" s="12" t="str">
        <f>Securities!I15</f>
        <v>PTBSRJOM0023</v>
      </c>
      <c r="I21" s="12" t="str">
        <f t="shared" si="1"/>
        <v>Covered Bond</v>
      </c>
      <c r="J21" s="12" t="str">
        <f>Securities!Q15</f>
        <v>PORTUGAL</v>
      </c>
      <c r="K21" s="12" t="s">
        <v>125</v>
      </c>
      <c r="L21" s="12" t="str">
        <f>Securities!A15</f>
        <v>PORTUGAL</v>
      </c>
      <c r="M21" s="13">
        <f>Securities!AA15</f>
        <v>1000000000</v>
      </c>
      <c r="N21" s="12">
        <f>Securities!B15</f>
        <v>980000000</v>
      </c>
      <c r="O21" s="13">
        <f>Securities!H15</f>
        <v>-3075150.0262000002</v>
      </c>
      <c r="P21" s="21" t="str">
        <f>IF(Securities!K15="FIXA","Fixed coupon",IF(OR(Securities!K15="VARIAVEL",Securities!K15="VARIÁVEL"),"Variable coupon","N/A"))</f>
        <v>Fixed coupon</v>
      </c>
      <c r="Q21" s="14" t="str">
        <f>Securities!L15</f>
        <v>1.25</v>
      </c>
      <c r="R21" s="12" t="str">
        <f>CONCATENATE(RIGHT(Securities!O15,4),"-",LEFT(RIGHT(Securities!O15,7),2),"-",LEFT(Securities!O15,2))</f>
        <v>2017-09-26</v>
      </c>
      <c r="S21" s="12" t="str">
        <f>CONCATENATE(RIGHT(Securities!P15,4),"-",LEFT(RIGHT(Securities!P15,7),2),"-",LEFT(Securities!P15,2))</f>
        <v>2027-09-26</v>
      </c>
      <c r="T21" s="12" t="str">
        <f>CONCATENATE(RIGHT(Securities!P15,4),"-",LEFT(RIGHT(Securities!P15,7),2),"-",LEFT(Securities!P15,2))</f>
        <v>2027-09-26</v>
      </c>
      <c r="U21" s="12" t="s">
        <v>126</v>
      </c>
      <c r="V21" s="12" t="str">
        <f>_xlfn.IFNA(IF(Securities!R15="",0,Securities!R15),0)</f>
        <v>549300URJH9VSI58CS32</v>
      </c>
      <c r="W21" s="12" t="str">
        <f>_xlfn.IFNA(IF(Securities!S15="",0,Securities!S15),0)</f>
        <v>N/A</v>
      </c>
      <c r="X21" s="12" t="s">
        <v>189</v>
      </c>
      <c r="Y21" s="12" t="s">
        <v>127</v>
      </c>
      <c r="Z21" s="12" t="str">
        <f>IF(Securities!U15="",0,Securities!U15)</f>
        <v>Euronext Lisboa</v>
      </c>
      <c r="AA21" s="12">
        <f>0</f>
        <v>0</v>
      </c>
      <c r="AB21" s="12" t="str">
        <f>IF(Securities!U15="",0,Securities!U15)</f>
        <v>Euronext Lisboa</v>
      </c>
      <c r="AC21" s="12" t="str">
        <f>IF(Securities!U15="",0,Securities!U15)</f>
        <v>Euronext Lisboa</v>
      </c>
      <c r="AD21" s="12" t="str">
        <f>IF('T 04.00'!E21="r0120 - Secured liabilities - collateralized part (BRRD art. 44/2/b)","Secured","Unsecured")</f>
        <v>Secured</v>
      </c>
      <c r="AE21" s="12">
        <f>Securities!AA15</f>
        <v>1000000000</v>
      </c>
      <c r="AF21" s="12">
        <f>0</f>
        <v>0</v>
      </c>
      <c r="AG21" s="12">
        <f>0</f>
        <v>0</v>
      </c>
      <c r="AH21" s="12" t="str">
        <f>IF(Securities!W15="Estruturada","Structured",IF(Securities!W15="Nao estruturada","Non-structured/Vanilla",""))</f>
        <v>Non-structured/Vanilla</v>
      </c>
      <c r="AJ21" s="12" t="str">
        <f>IF(Securities!X15="GF2","Grandfathered T2","No")</f>
        <v>No</v>
      </c>
      <c r="AK21" s="12">
        <f>IF(Securities!Y15="",0,Securities!Y15)</f>
        <v>0</v>
      </c>
    </row>
    <row r="22" spans="3:37" ht="35.25" thickBot="1">
      <c r="C22" s="11" t="s">
        <v>123</v>
      </c>
      <c r="D22" s="12">
        <v>15</v>
      </c>
      <c r="E22" s="12" t="str">
        <f>IF(Securities!J16="Obrigacao Subordinada","r0531 - o/w (part of) subordinated liabilities recognised as own funds",IF(Securities!J16="Obrigacao Hipotecaria","r0120 - Secured liabilities - collateralized part (BRRD art. 44/2/b)",IF(OR(Securities!D16="Obrigações estruturadas",Securities!J16="Titularizacao Sinteti"),"r0350 - Structured notes","")))</f>
        <v>r0120 - Secured liabilities - collateralized part (BRRD art. 44/2/b)</v>
      </c>
      <c r="F22" s="19" t="str">
        <f>Securities!E16</f>
        <v>c004x   - Institutions</v>
      </c>
      <c r="G22" s="12" t="str">
        <f t="shared" si="0"/>
        <v>Rank 20 - Ranking in insolvency (master scale)</v>
      </c>
      <c r="H22" s="12" t="str">
        <f>Securities!I16</f>
        <v>PTBSRIOE0024</v>
      </c>
      <c r="I22" s="12" t="str">
        <f t="shared" si="1"/>
        <v>Covered Bond</v>
      </c>
      <c r="J22" s="12" t="str">
        <f>Securities!Q16</f>
        <v>PORTUGAL</v>
      </c>
      <c r="K22" s="12" t="s">
        <v>125</v>
      </c>
      <c r="L22" s="12" t="str">
        <f>Securities!A16</f>
        <v>PORTUGAL</v>
      </c>
      <c r="M22" s="13">
        <f>Securities!AA16</f>
        <v>1000000000</v>
      </c>
      <c r="N22" s="12">
        <f>Securities!B16</f>
        <v>993400000</v>
      </c>
      <c r="O22" s="13">
        <f>Securities!H16</f>
        <v>3633515.0035020001</v>
      </c>
      <c r="P22" s="21" t="str">
        <f>IF(Securities!K16="FIXA","Fixed coupon",IF(OR(Securities!K16="VARIAVEL",Securities!K16="VARIÁVEL"),"Variable coupon","N/A"))</f>
        <v>Fixed coupon</v>
      </c>
      <c r="Q22" s="14" t="str">
        <f>Securities!L16</f>
        <v>0.875</v>
      </c>
      <c r="R22" s="12" t="str">
        <f>CONCATENATE(RIGHT(Securities!O16,4),"-",LEFT(RIGHT(Securities!O16,7),2),"-",LEFT(Securities!O16,2))</f>
        <v>2017-04-25</v>
      </c>
      <c r="S22" s="12" t="str">
        <f>CONCATENATE(RIGHT(Securities!P16,4),"-",LEFT(RIGHT(Securities!P16,7),2),"-",LEFT(Securities!P16,2))</f>
        <v>2024-04-25</v>
      </c>
      <c r="T22" s="12" t="str">
        <f>CONCATENATE(RIGHT(Securities!P16,4),"-",LEFT(RIGHT(Securities!P16,7),2),"-",LEFT(Securities!P16,2))</f>
        <v>2024-04-25</v>
      </c>
      <c r="U22" s="12" t="s">
        <v>126</v>
      </c>
      <c r="V22" s="12" t="str">
        <f>_xlfn.IFNA(IF(Securities!R16="",0,Securities!R16),0)</f>
        <v>549300URJH9VSI58CS32</v>
      </c>
      <c r="W22" s="12" t="str">
        <f>_xlfn.IFNA(IF(Securities!S16="",0,Securities!S16),0)</f>
        <v>N/A</v>
      </c>
      <c r="X22" s="12" t="s">
        <v>190</v>
      </c>
      <c r="Y22" s="12" t="s">
        <v>127</v>
      </c>
      <c r="Z22" s="12" t="str">
        <f>IF(Securities!U16="",0,Securities!U16)</f>
        <v>Euronext Lisboa</v>
      </c>
      <c r="AA22" s="12">
        <f>0</f>
        <v>0</v>
      </c>
      <c r="AB22" s="12" t="str">
        <f>IF(Securities!U16="",0,Securities!U16)</f>
        <v>Euronext Lisboa</v>
      </c>
      <c r="AC22" s="12" t="str">
        <f>IF(Securities!U16="",0,Securities!U16)</f>
        <v>Euronext Lisboa</v>
      </c>
      <c r="AD22" s="12" t="str">
        <f>IF('T 04.00'!E22="r0120 - Secured liabilities - collateralized part (BRRD art. 44/2/b)","Secured","Unsecured")</f>
        <v>Secured</v>
      </c>
      <c r="AE22" s="12">
        <f>Securities!AA16</f>
        <v>1000000000</v>
      </c>
      <c r="AF22" s="12">
        <f>0</f>
        <v>0</v>
      </c>
      <c r="AG22" s="12">
        <f>0</f>
        <v>0</v>
      </c>
      <c r="AH22" s="12" t="str">
        <f>IF(Securities!W16="Estruturada","Structured",IF(Securities!W16="Nao estruturada","Non-structured/Vanilla",""))</f>
        <v>Non-structured/Vanilla</v>
      </c>
      <c r="AJ22" s="12" t="str">
        <f>IF(Securities!X16="GF2","Grandfathered T2","No")</f>
        <v>No</v>
      </c>
      <c r="AK22" s="12">
        <f>IF(Securities!Y16="",0,Securities!Y16)</f>
        <v>0</v>
      </c>
    </row>
  </sheetData>
  <mergeCells count="5">
    <mergeCell ref="A1:AK1"/>
    <mergeCell ref="D4:AK4"/>
    <mergeCell ref="E5:F5"/>
    <mergeCell ref="G5:AK5"/>
    <mergeCell ref="AL5:AL6"/>
  </mergeCells>
  <phoneticPr fontId="10" type="noConversion"/>
  <conditionalFormatting sqref="D8:AK8 AI9:AI11 D9:AH22 AJ9:AK22">
    <cfRule type="expression" dxfId="4" priority="5">
      <formula>LEN(TRIM(D8))=0</formula>
    </cfRule>
  </conditionalFormatting>
  <conditionalFormatting sqref="D8:AK8 AI9:AI12 D9:AH22 AJ9:AK22">
    <cfRule type="expression" dxfId="3" priority="2">
      <formula>LEN(TRIM(D8))=0</formula>
    </cfRule>
    <cfRule type="expression" dxfId="2" priority="3">
      <formula>LEN(TRIM(D8))=0</formula>
    </cfRule>
    <cfRule type="expression" dxfId="1" priority="4">
      <formula>LEN(TRIM(D8))=0</formula>
    </cfRule>
  </conditionalFormatting>
  <conditionalFormatting sqref="D8:AK22">
    <cfRule type="expression" dxfId="0" priority="1">
      <formula>LEN(TRIM(D8))=0</formula>
    </cfRule>
  </conditionalFormatting>
  <pageMargins left="0.7" right="0.7" top="0.75" bottom="0.75" header="0.3" footer="0.3"/>
  <pageSetup scale="16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6"/>
  <sheetViews>
    <sheetView workbookViewId="0">
      <selection activeCell="J3" sqref="J3"/>
    </sheetView>
  </sheetViews>
  <sheetFormatPr defaultRowHeight="14.25"/>
  <cols>
    <col min="1" max="1" width="15.796875" bestFit="1" customWidth="1"/>
    <col min="2" max="2" width="18.19921875" bestFit="1" customWidth="1"/>
    <col min="3" max="3" width="43.73046875" bestFit="1" customWidth="1"/>
    <col min="4" max="4" width="19.6640625" bestFit="1" customWidth="1"/>
    <col min="5" max="5" width="17.06640625" bestFit="1" customWidth="1"/>
    <col min="6" max="6" width="16.73046875" bestFit="1" customWidth="1"/>
    <col min="7" max="7" width="15.86328125" bestFit="1" customWidth="1"/>
    <col min="8" max="8" width="12.33203125" bestFit="1" customWidth="1"/>
    <col min="9" max="9" width="13.73046875" bestFit="1" customWidth="1"/>
    <col min="10" max="10" width="19.19921875" bestFit="1" customWidth="1"/>
    <col min="11" max="11" width="8.3984375" bestFit="1" customWidth="1"/>
    <col min="12" max="12" width="7.06640625" bestFit="1" customWidth="1"/>
    <col min="13" max="13" width="10.9296875" bestFit="1" customWidth="1"/>
    <col min="14" max="14" width="11" bestFit="1" customWidth="1"/>
    <col min="15" max="15" width="10.6640625" bestFit="1" customWidth="1"/>
    <col min="16" max="16" width="9.9296875" bestFit="1" customWidth="1"/>
    <col min="17" max="17" width="17.46484375" bestFit="1" customWidth="1"/>
    <col min="18" max="18" width="20.265625" bestFit="1" customWidth="1"/>
    <col min="19" max="19" width="7.33203125" bestFit="1" customWidth="1"/>
    <col min="20" max="20" width="21.86328125" bestFit="1" customWidth="1"/>
    <col min="21" max="21" width="13.265625" bestFit="1" customWidth="1"/>
    <col min="22" max="22" width="13.3984375" bestFit="1" customWidth="1"/>
    <col min="23" max="23" width="16.86328125" bestFit="1" customWidth="1"/>
    <col min="24" max="24" width="14.19921875" bestFit="1" customWidth="1"/>
    <col min="25" max="25" width="14.46484375" bestFit="1" customWidth="1"/>
    <col min="26" max="26" width="15.59765625" bestFit="1" customWidth="1"/>
    <col min="27" max="27" width="11.19921875" bestFit="1" customWidth="1"/>
    <col min="28" max="28" width="24.19921875" bestFit="1" customWidth="1"/>
    <col min="29" max="30" width="27.1328125" bestFit="1" customWidth="1"/>
  </cols>
  <sheetData>
    <row r="1" spans="1:30">
      <c r="A1" t="s">
        <v>141</v>
      </c>
      <c r="B1" t="s">
        <v>0</v>
      </c>
      <c r="C1" t="s">
        <v>1</v>
      </c>
      <c r="D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128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129</v>
      </c>
      <c r="AB1" t="s">
        <v>130</v>
      </c>
    </row>
    <row r="2" spans="1:30">
      <c r="A2" t="s">
        <v>124</v>
      </c>
      <c r="B2">
        <v>7599000</v>
      </c>
      <c r="C2" t="s">
        <v>24</v>
      </c>
      <c r="D2" t="s">
        <v>23</v>
      </c>
      <c r="E2" t="str">
        <f>IF(J2="Obrigacao Subordinada","c001x   - Households","c004x   - Institutions")</f>
        <v>c001x   - Households</v>
      </c>
      <c r="F2" t="s">
        <v>25</v>
      </c>
      <c r="H2">
        <v>135845.14000000001</v>
      </c>
      <c r="I2" t="s">
        <v>26</v>
      </c>
      <c r="J2" t="s">
        <v>27</v>
      </c>
      <c r="K2" t="s">
        <v>28</v>
      </c>
      <c r="L2" t="s">
        <v>131</v>
      </c>
      <c r="M2" t="s">
        <v>31</v>
      </c>
      <c r="O2" t="s">
        <v>29</v>
      </c>
      <c r="P2" t="s">
        <v>30</v>
      </c>
      <c r="Q2" t="s">
        <v>124</v>
      </c>
      <c r="R2" t="s">
        <v>143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>
        <v>7599000</v>
      </c>
      <c r="Z2" t="s">
        <v>37</v>
      </c>
      <c r="AA2">
        <v>7599000</v>
      </c>
    </row>
    <row r="3" spans="1:30">
      <c r="B3" s="1">
        <v>0</v>
      </c>
      <c r="C3" t="s">
        <v>157</v>
      </c>
      <c r="D3" t="s">
        <v>38</v>
      </c>
      <c r="E3" t="str">
        <f>IF(J3="Obrigacao Subordinada","c001x   - Households","c004x   - Institutions")</f>
        <v>c004x   - Institutions</v>
      </c>
      <c r="F3" t="s">
        <v>158</v>
      </c>
      <c r="H3">
        <v>0</v>
      </c>
      <c r="I3" s="1"/>
      <c r="Z3" s="2"/>
      <c r="AB3" s="1"/>
      <c r="AD3" s="1"/>
    </row>
    <row r="4" spans="1:30">
      <c r="B4" s="1">
        <v>0</v>
      </c>
      <c r="C4" t="s">
        <v>157</v>
      </c>
      <c r="D4" t="s">
        <v>23</v>
      </c>
      <c r="E4" t="str">
        <f>IF(J4="Obrigacao Subordinada","c001x   - Households","c004x   - Institutions")</f>
        <v>c004x   - Institutions</v>
      </c>
      <c r="F4" t="s">
        <v>159</v>
      </c>
      <c r="H4">
        <v>0</v>
      </c>
    </row>
    <row r="5" spans="1:30">
      <c r="B5" s="1">
        <v>0</v>
      </c>
      <c r="C5" t="s">
        <v>157</v>
      </c>
      <c r="D5" t="s">
        <v>23</v>
      </c>
      <c r="E5" t="str">
        <f>IF(J5="Obrigacao Subordinada","c001x   - Households","c004x   - Institutions")</f>
        <v>c004x   - Institutions</v>
      </c>
      <c r="F5" t="s">
        <v>160</v>
      </c>
      <c r="H5">
        <v>0</v>
      </c>
      <c r="I5" s="1"/>
      <c r="Z5" s="2"/>
      <c r="AB5" s="1"/>
    </row>
    <row r="6" spans="1:30">
      <c r="B6" s="1">
        <v>0</v>
      </c>
      <c r="C6" t="s">
        <v>157</v>
      </c>
      <c r="D6" t="s">
        <v>23</v>
      </c>
      <c r="E6" t="str">
        <f>IF(J6="Obrigacao Subordinada","c001x   - Households","c004x   - Institutions")</f>
        <v>c004x   - Institutions</v>
      </c>
      <c r="F6" t="s">
        <v>161</v>
      </c>
      <c r="H6">
        <v>0</v>
      </c>
      <c r="I6" s="1"/>
      <c r="Z6" s="2"/>
      <c r="AB6" s="1"/>
      <c r="AC6" s="1"/>
    </row>
    <row r="7" spans="1:30">
      <c r="B7" s="1">
        <v>0</v>
      </c>
      <c r="C7" t="s">
        <v>157</v>
      </c>
      <c r="D7" t="s">
        <v>23</v>
      </c>
      <c r="E7" t="str">
        <f>IF(J7="Obrigacao Subordinada","c001x   - Households","c004x   - Institutions")</f>
        <v>c004x   - Institutions</v>
      </c>
      <c r="F7" t="s">
        <v>162</v>
      </c>
      <c r="H7">
        <v>0</v>
      </c>
      <c r="I7" s="1"/>
      <c r="Z7" s="2"/>
      <c r="AB7" s="1"/>
      <c r="AC7" s="1"/>
      <c r="AD7" s="1"/>
    </row>
    <row r="8" spans="1:30">
      <c r="B8">
        <v>0</v>
      </c>
      <c r="C8" t="s">
        <v>157</v>
      </c>
      <c r="D8" t="s">
        <v>38</v>
      </c>
      <c r="E8" t="str">
        <f>IF(J8="Obrigacao Subordinada","c001x   - Households","c004x   - Institutions")</f>
        <v>c004x   - Institutions</v>
      </c>
      <c r="F8" t="s">
        <v>163</v>
      </c>
      <c r="H8">
        <v>0</v>
      </c>
    </row>
    <row r="9" spans="1:30">
      <c r="B9">
        <v>0</v>
      </c>
      <c r="C9" t="s">
        <v>157</v>
      </c>
      <c r="D9" t="s">
        <v>23</v>
      </c>
      <c r="E9" t="str">
        <f>IF(J9="Obrigacao Subordinada","c001x   - Households","c004x   - Institutions")</f>
        <v>c004x   - Institutions</v>
      </c>
      <c r="F9" t="s">
        <v>164</v>
      </c>
      <c r="H9">
        <v>0</v>
      </c>
    </row>
    <row r="10" spans="1:30">
      <c r="B10">
        <v>0</v>
      </c>
      <c r="C10" t="s">
        <v>157</v>
      </c>
      <c r="D10" t="s">
        <v>23</v>
      </c>
      <c r="E10" t="str">
        <f>IF(J10="Obrigacao Subordinada","c001x   - Households","c004x   - Institutions")</f>
        <v>c004x   - Institutions</v>
      </c>
      <c r="F10" t="s">
        <v>165</v>
      </c>
      <c r="H10">
        <v>0</v>
      </c>
    </row>
    <row r="11" spans="1:30">
      <c r="B11">
        <v>0</v>
      </c>
      <c r="C11" t="s">
        <v>157</v>
      </c>
      <c r="D11" t="s">
        <v>23</v>
      </c>
      <c r="E11" t="str">
        <f>IF(J11="Obrigacao Subordinada","c001x   - Households","c004x   - Institutions")</f>
        <v>c004x   - Institutions</v>
      </c>
      <c r="F11" t="s">
        <v>166</v>
      </c>
      <c r="H11">
        <v>0</v>
      </c>
    </row>
    <row r="12" spans="1:30">
      <c r="A12" t="s">
        <v>124</v>
      </c>
      <c r="B12">
        <v>145255188.59999999</v>
      </c>
      <c r="C12" t="s">
        <v>145</v>
      </c>
      <c r="D12" t="s">
        <v>23</v>
      </c>
      <c r="E12" t="str">
        <f>IF(J12="Obrigacao Subordinada","c001x   - Households","c004x   - Institutions")</f>
        <v>c004x   - Institutions</v>
      </c>
      <c r="F12" t="s">
        <v>146</v>
      </c>
      <c r="H12">
        <v>2041642.51</v>
      </c>
      <c r="I12" t="s">
        <v>147</v>
      </c>
      <c r="J12" t="s">
        <v>148</v>
      </c>
      <c r="K12" t="s">
        <v>149</v>
      </c>
      <c r="M12" t="s">
        <v>150</v>
      </c>
      <c r="N12" t="s">
        <v>151</v>
      </c>
      <c r="O12" t="s">
        <v>152</v>
      </c>
      <c r="P12" t="s">
        <v>153</v>
      </c>
      <c r="Q12" t="s">
        <v>124</v>
      </c>
      <c r="S12" t="s">
        <v>31</v>
      </c>
      <c r="W12" t="s">
        <v>35</v>
      </c>
      <c r="X12" t="s">
        <v>31</v>
      </c>
      <c r="Y12">
        <v>0</v>
      </c>
      <c r="Z12" t="s">
        <v>37</v>
      </c>
      <c r="AA12">
        <v>183000000</v>
      </c>
    </row>
    <row r="13" spans="1:30">
      <c r="A13" t="s">
        <v>124</v>
      </c>
      <c r="B13">
        <v>-158977.17634599999</v>
      </c>
      <c r="C13" t="s">
        <v>167</v>
      </c>
      <c r="D13" t="s">
        <v>23</v>
      </c>
      <c r="E13" t="str">
        <f>IF(J13="Obrigacao Subordinada","c001x   - Households","c004x   - Institutions")</f>
        <v>c004x   - Institutions</v>
      </c>
      <c r="F13" t="s">
        <v>168</v>
      </c>
      <c r="H13">
        <v>-5642.2606640000004</v>
      </c>
      <c r="I13" t="s">
        <v>169</v>
      </c>
      <c r="J13" t="s">
        <v>170</v>
      </c>
      <c r="K13" t="s">
        <v>149</v>
      </c>
      <c r="M13" t="s">
        <v>171</v>
      </c>
      <c r="N13" t="s">
        <v>172</v>
      </c>
      <c r="O13" t="s">
        <v>173</v>
      </c>
      <c r="P13" t="s">
        <v>174</v>
      </c>
      <c r="Q13" t="s">
        <v>124</v>
      </c>
      <c r="W13" t="s">
        <v>35</v>
      </c>
      <c r="X13" t="s">
        <v>31</v>
      </c>
      <c r="Z13" t="s">
        <v>37</v>
      </c>
      <c r="AA13">
        <v>8227000</v>
      </c>
    </row>
    <row r="14" spans="1:30">
      <c r="A14" t="s">
        <v>124</v>
      </c>
      <c r="B14">
        <v>100800000</v>
      </c>
      <c r="C14" t="s">
        <v>175</v>
      </c>
      <c r="D14" t="s">
        <v>23</v>
      </c>
      <c r="E14" t="str">
        <f>IF(J14="Obrigacao Subordinada","c001x   - Households","c004x   - Institutions")</f>
        <v>c004x   - Institutions</v>
      </c>
      <c r="F14" t="s">
        <v>176</v>
      </c>
      <c r="H14">
        <v>2021880</v>
      </c>
      <c r="I14" t="s">
        <v>177</v>
      </c>
      <c r="J14" t="s">
        <v>148</v>
      </c>
      <c r="K14" t="s">
        <v>149</v>
      </c>
      <c r="M14" t="s">
        <v>150</v>
      </c>
      <c r="N14" t="s">
        <v>178</v>
      </c>
      <c r="O14" t="s">
        <v>179</v>
      </c>
      <c r="P14" t="s">
        <v>180</v>
      </c>
      <c r="Q14" t="s">
        <v>124</v>
      </c>
      <c r="S14" t="s">
        <v>31</v>
      </c>
      <c r="W14" t="s">
        <v>35</v>
      </c>
      <c r="X14" t="s">
        <v>31</v>
      </c>
      <c r="Y14">
        <v>0</v>
      </c>
      <c r="Z14" t="s">
        <v>37</v>
      </c>
      <c r="AA14">
        <v>100800000</v>
      </c>
    </row>
    <row r="15" spans="1:30">
      <c r="A15" t="s">
        <v>124</v>
      </c>
      <c r="B15">
        <v>980000000</v>
      </c>
      <c r="C15" t="s">
        <v>144</v>
      </c>
      <c r="D15" t="s">
        <v>38</v>
      </c>
      <c r="E15" t="str">
        <f>IF(J15="Obrigacao Subordinada","c001x   - Households","c004x   - Institutions")</f>
        <v>c004x   - Institutions</v>
      </c>
      <c r="F15" t="s">
        <v>45</v>
      </c>
      <c r="H15">
        <v>-3075150.0262000002</v>
      </c>
      <c r="I15" t="s">
        <v>46</v>
      </c>
      <c r="J15" t="s">
        <v>41</v>
      </c>
      <c r="K15" t="s">
        <v>28</v>
      </c>
      <c r="L15" t="s">
        <v>133</v>
      </c>
      <c r="M15" t="s">
        <v>31</v>
      </c>
      <c r="O15" t="s">
        <v>47</v>
      </c>
      <c r="P15" t="s">
        <v>48</v>
      </c>
      <c r="Q15" t="s">
        <v>124</v>
      </c>
      <c r="R15" t="s">
        <v>143</v>
      </c>
      <c r="S15" t="s">
        <v>31</v>
      </c>
      <c r="T15" t="s">
        <v>32</v>
      </c>
      <c r="U15" t="s">
        <v>33</v>
      </c>
      <c r="V15" t="s">
        <v>34</v>
      </c>
      <c r="W15" t="s">
        <v>35</v>
      </c>
      <c r="X15" t="s">
        <v>31</v>
      </c>
      <c r="Y15">
        <v>0</v>
      </c>
      <c r="Z15" t="s">
        <v>44</v>
      </c>
      <c r="AA15">
        <v>1000000000</v>
      </c>
      <c r="AB15">
        <v>-980000000.07448006</v>
      </c>
    </row>
    <row r="16" spans="1:30">
      <c r="A16" t="s">
        <v>124</v>
      </c>
      <c r="B16">
        <v>993400000</v>
      </c>
      <c r="C16" t="s">
        <v>142</v>
      </c>
      <c r="D16" t="s">
        <v>38</v>
      </c>
      <c r="E16" t="str">
        <f>IF(J16="Obrigacao Subordinada","c001x   - Households","c004x   - Institutions")</f>
        <v>c004x   - Institutions</v>
      </c>
      <c r="F16" t="s">
        <v>39</v>
      </c>
      <c r="H16">
        <v>3633515.0035020001</v>
      </c>
      <c r="I16" t="s">
        <v>40</v>
      </c>
      <c r="J16" t="s">
        <v>41</v>
      </c>
      <c r="K16" t="s">
        <v>28</v>
      </c>
      <c r="L16" t="s">
        <v>132</v>
      </c>
      <c r="M16" t="s">
        <v>31</v>
      </c>
      <c r="O16" t="s">
        <v>42</v>
      </c>
      <c r="P16" t="s">
        <v>43</v>
      </c>
      <c r="Q16" t="s">
        <v>124</v>
      </c>
      <c r="R16" t="s">
        <v>143</v>
      </c>
      <c r="S16" t="s">
        <v>31</v>
      </c>
      <c r="T16" t="s">
        <v>32</v>
      </c>
      <c r="U16" t="s">
        <v>33</v>
      </c>
      <c r="V16" t="s">
        <v>34</v>
      </c>
      <c r="W16" t="s">
        <v>35</v>
      </c>
      <c r="X16" t="s">
        <v>31</v>
      </c>
      <c r="Y16">
        <v>0</v>
      </c>
      <c r="Z16" t="s">
        <v>44</v>
      </c>
      <c r="AA16">
        <v>1000000000</v>
      </c>
      <c r="AB16">
        <v>-993400000.00906301</v>
      </c>
    </row>
  </sheetData>
  <autoFilter ref="A1:AD16">
    <sortState ref="A2:AD16">
      <sortCondition ref="E2:E16"/>
    </sortState>
  </autoFilter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1" ma:contentTypeDescription="Criar um novo documento." ma:contentTypeScope="" ma:versionID="87e6cc1b90d581404a86309927febdd7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0ac64d57bc06ff1e51b301e6cc097a6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6E22D59-D627-40E3-9530-7DF396CAFBA8}"/>
</file>

<file path=customXml/itemProps2.xml><?xml version="1.0" encoding="utf-8"?>
<ds:datastoreItem xmlns:ds="http://schemas.openxmlformats.org/officeDocument/2006/customXml" ds:itemID="{F7283A37-865C-4AEA-859B-3FF21D514EAE}"/>
</file>

<file path=customXml/itemProps3.xml><?xml version="1.0" encoding="utf-8"?>
<ds:datastoreItem xmlns:ds="http://schemas.openxmlformats.org/officeDocument/2006/customXml" ds:itemID="{0C3DD794-AF1C-49BB-8E79-ADB1B7204DA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Instruções</vt:lpstr>
      <vt:lpstr>T 04.00</vt:lpstr>
      <vt:lpstr>Securities</vt:lpstr>
      <vt:lpstr>'T 04.00'!Print_Area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Filipe Hetzel de Oliveira Ferreira</dc:creator>
  <cp:lastModifiedBy>Flávia Daniela Costa Pinho</cp:lastModifiedBy>
  <dcterms:created xsi:type="dcterms:W3CDTF">2021-09-23T16:12:34Z</dcterms:created>
  <dcterms:modified xsi:type="dcterms:W3CDTF">2023-03-13T14:32:03Z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0c2abd79-57a9-4473-8700-c843f76a1e37_Enabled">
    <vt:lpwstr>true</vt:lpwstr>
  </property>
  <property fmtid="{D5CDD505-2E9C-101B-9397-08002B2CF9AE}" pid="5" name="MSIP_Label_0c2abd79-57a9-4473-8700-c843f76a1e37_SetDate">
    <vt:lpwstr>2022-04-28T09:36:44Z</vt:lpwstr>
  </property>
  <property fmtid="{D5CDD505-2E9C-101B-9397-08002B2CF9AE}" pid="6" name="MSIP_Label_0c2abd79-57a9-4473-8700-c843f76a1e37_Method">
    <vt:lpwstr>Privileged</vt:lpwstr>
  </property>
  <property fmtid="{D5CDD505-2E9C-101B-9397-08002B2CF9AE}" pid="7" name="MSIP_Label_0c2abd79-57a9-4473-8700-c843f76a1e37_Name">
    <vt:lpwstr>Internal</vt:lpwstr>
  </property>
  <property fmtid="{D5CDD505-2E9C-101B-9397-08002B2CF9AE}" pid="8" name="MSIP_Label_0c2abd79-57a9-4473-8700-c843f76a1e37_SiteId">
    <vt:lpwstr>35595a02-4d6d-44ac-99e1-f9ab4cd872db</vt:lpwstr>
  </property>
  <property fmtid="{D5CDD505-2E9C-101B-9397-08002B2CF9AE}" pid="9" name="MSIP_Label_0c2abd79-57a9-4473-8700-c843f76a1e37_ActionId">
    <vt:lpwstr>4aa53010-f70b-40a0-9517-73a42441d186</vt:lpwstr>
  </property>
  <property fmtid="{D5CDD505-2E9C-101B-9397-08002B2CF9AE}" pid="10" name="MSIP_Label_0c2abd79-57a9-4473-8700-c843f76a1e37_ContentBits">
    <vt:lpwstr>0</vt:lpwstr>
  </property>
  <property fmtid="{D5CDD505-2E9C-101B-9397-08002B2CF9AE}" pid="11" name="ContentTypeId">
    <vt:lpwstr>0x0101000B6B9A5E792D2446B8986FAE34BEC557</vt:lpwstr>
  </property>
</Properties>
</file>