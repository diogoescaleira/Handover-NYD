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3" r:id="rId1"/>
    <sheet name="T 08.00" sheetId="2" r:id="rId2"/>
    <sheet name="Secured finance" sheetId="1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" l="1"/>
  <c r="C10" i="2"/>
  <c r="C11" i="2"/>
  <c r="C12" i="2"/>
  <c r="C13" i="2"/>
  <c r="C14" i="2"/>
  <c r="C15" i="2"/>
  <c r="C8" i="2"/>
  <c r="D9" i="2"/>
  <c r="D10" i="2" s="1"/>
  <c r="D11" i="2" s="1"/>
  <c r="D12" i="2" s="1"/>
  <c r="D13" i="2" s="1"/>
  <c r="D14" i="2" s="1"/>
  <c r="D15" i="2" s="1"/>
  <c r="D8" i="2"/>
  <c r="M9" i="2"/>
  <c r="M10" i="2"/>
  <c r="M11" i="2"/>
  <c r="M12" i="2"/>
  <c r="M13" i="2"/>
  <c r="M14" i="2"/>
  <c r="M15" i="2"/>
  <c r="M8" i="2"/>
  <c r="N2" i="1"/>
  <c r="N3" i="1"/>
  <c r="N4" i="1"/>
  <c r="N5" i="1"/>
  <c r="N6" i="1"/>
  <c r="N7" i="1"/>
  <c r="N8" i="1"/>
  <c r="N9" i="1"/>
  <c r="N10" i="1"/>
  <c r="M2" i="1"/>
  <c r="M3" i="1"/>
  <c r="M4" i="1"/>
  <c r="M5" i="1"/>
  <c r="M6" i="1"/>
  <c r="M7" i="1"/>
  <c r="M8" i="1"/>
  <c r="M9" i="1"/>
  <c r="M10" i="1"/>
  <c r="L2" i="1"/>
  <c r="L3" i="1"/>
  <c r="L4" i="1"/>
  <c r="L5" i="1"/>
  <c r="L6" i="1"/>
  <c r="L7" i="1"/>
  <c r="L8" i="1"/>
  <c r="L9" i="1"/>
  <c r="L10" i="1"/>
  <c r="K2" i="1"/>
  <c r="K3" i="1"/>
  <c r="K4" i="1"/>
  <c r="K5" i="1"/>
  <c r="K6" i="1"/>
  <c r="K7" i="1"/>
  <c r="K8" i="1"/>
  <c r="K9" i="1"/>
  <c r="K10" i="1"/>
  <c r="J2" i="1"/>
  <c r="J3" i="1"/>
  <c r="J4" i="1"/>
  <c r="J5" i="1"/>
  <c r="J6" i="1"/>
  <c r="J7" i="1"/>
  <c r="J8" i="1"/>
  <c r="J9" i="1"/>
  <c r="J10" i="1"/>
</calcChain>
</file>

<file path=xl/comments1.xml><?xml version="1.0" encoding="utf-8"?>
<comments xmlns="http://schemas.openxmlformats.org/spreadsheetml/2006/main">
  <authors>
    <author>Flávia Daniela Costa Pinho</author>
  </authors>
  <commentList>
    <comment ref="F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Sempre o mesmo ranking?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Validar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Não sei</t>
        </r>
      </text>
    </comment>
    <comment ref="M7" authorId="0" shapeId="0">
      <text>
        <r>
          <rPr>
            <b/>
            <sz val="9"/>
            <color indexed="81"/>
            <rFont val="Tahoma"/>
            <family val="2"/>
          </rPr>
          <t>Flávia Daniela Costa Pinho:</t>
        </r>
        <r>
          <rPr>
            <sz val="9"/>
            <color indexed="81"/>
            <rFont val="Tahoma"/>
            <family val="2"/>
          </rPr>
          <t xml:space="preserve">
Sempre UK?</t>
        </r>
      </text>
    </comment>
  </commentList>
</comments>
</file>

<file path=xl/sharedStrings.xml><?xml version="1.0" encoding="utf-8"?>
<sst xmlns="http://schemas.openxmlformats.org/spreadsheetml/2006/main" count="144" uniqueCount="78">
  <si>
    <t>contraparte_i_desc</t>
  </si>
  <si>
    <t>gcliente</t>
  </si>
  <si>
    <t>clei</t>
  </si>
  <si>
    <t>tayd91c0_gelem30</t>
  </si>
  <si>
    <t>SUM_of_msaldo_final</t>
  </si>
  <si>
    <t>SUM_of_Calculation1</t>
  </si>
  <si>
    <t>cod_ref_cq</t>
  </si>
  <si>
    <t>instituicoes de credito</t>
  </si>
  <si>
    <t/>
  </si>
  <si>
    <t>bancos centrais</t>
  </si>
  <si>
    <t>BANCO CABO VERDE-PRAIA</t>
  </si>
  <si>
    <t>#</t>
  </si>
  <si>
    <t>CABO VERDE</t>
  </si>
  <si>
    <t>BANCO DE PORTUGAL</t>
  </si>
  <si>
    <t>PORTUGAL</t>
  </si>
  <si>
    <t>BANCO BILBAO VIZCAYA ARGENTARIA EX.B.B.V.</t>
  </si>
  <si>
    <t>SPAIN</t>
  </si>
  <si>
    <t>T 08.00 - Secured finance, excluding intragroup</t>
  </si>
  <si>
    <t>Columns</t>
  </si>
  <si>
    <t>Number</t>
  </si>
  <si>
    <t>Reconciliation with aggregated data</t>
  </si>
  <si>
    <t>Secured Finance, excluding intragroup</t>
  </si>
  <si>
    <t>Column</t>
  </si>
  <si>
    <t>Insolvency ranking</t>
  </si>
  <si>
    <t>Master agreement ID</t>
  </si>
  <si>
    <t>Type of MA (e.g. GMRA)</t>
  </si>
  <si>
    <t>Entity name of lending entity</t>
  </si>
  <si>
    <t>Counterparty identifier (preferably LEI)</t>
  </si>
  <si>
    <t>Type of identifier</t>
  </si>
  <si>
    <t>Country of  counterparty</t>
  </si>
  <si>
    <t>Governing law of MA/single deal</t>
  </si>
  <si>
    <t>Number of transactions covered</t>
  </si>
  <si>
    <t>Net amount of funding received</t>
  </si>
  <si>
    <t>Net amount of collateral posted</t>
  </si>
  <si>
    <t>0010</t>
  </si>
  <si>
    <t>0020</t>
  </si>
  <si>
    <t>0030</t>
  </si>
  <si>
    <t>0040</t>
  </si>
  <si>
    <t>0050</t>
  </si>
  <si>
    <t>0055</t>
  </si>
  <si>
    <t>0060</t>
  </si>
  <si>
    <t>0065</t>
  </si>
  <si>
    <t>0070</t>
  </si>
  <si>
    <t>0080</t>
  </si>
  <si>
    <t>0090</t>
  </si>
  <si>
    <t>0100</t>
  </si>
  <si>
    <t>0110</t>
  </si>
  <si>
    <t>Rows</t>
  </si>
  <si>
    <t>Secured financing arrangements</t>
  </si>
  <si>
    <t>c008x   - Government, central banks &amp; supranationals</t>
  </si>
  <si>
    <t>Rank 9 - Ranking in insolvency (master scale)</t>
  </si>
  <si>
    <t>c004x   - Institutions</t>
  </si>
  <si>
    <t>zcliente</t>
  </si>
  <si>
    <t>0000000000</t>
  </si>
  <si>
    <t>8004236181</t>
  </si>
  <si>
    <t>8000140893</t>
  </si>
  <si>
    <t>8000176012</t>
  </si>
  <si>
    <t>Type of identifier, other than LEI or MFI code</t>
  </si>
  <si>
    <t>COUNT_of_msaldo_final</t>
  </si>
  <si>
    <t>Instruções</t>
  </si>
  <si>
    <t>3- Carregar no button</t>
  </si>
  <si>
    <t>Tipo de cliente</t>
  </si>
  <si>
    <t>Master agreement</t>
  </si>
  <si>
    <t>Counterparty identifier</t>
  </si>
  <si>
    <t>4- Se a macro der erro, verificar que a sheet "Secured finance" não tem filtros e recomeçar do inicio</t>
  </si>
  <si>
    <t>1- Apagar a informação que consta na folha "Secured finance"</t>
  </si>
  <si>
    <t>2- Copiar a informação da tabela T08.00 extraída do projeto SAS e copiar para a folha "Secured finance"</t>
  </si>
  <si>
    <t>8006963731</t>
  </si>
  <si>
    <t>SOCIETE GENERALE-PARIS</t>
  </si>
  <si>
    <t>FRANCE</t>
  </si>
  <si>
    <t>8008765651</t>
  </si>
  <si>
    <t>CREDIT AGRICOLE INDOSUEZ-PARIS</t>
  </si>
  <si>
    <t>8006850481</t>
  </si>
  <si>
    <t>UNICREDIT BANK AG</t>
  </si>
  <si>
    <t>GERMANY</t>
  </si>
  <si>
    <t>9000803511</t>
  </si>
  <si>
    <t>DEUTSCHE BANK AG</t>
  </si>
  <si>
    <t>K8MS7FD7N5Z2WQ51AZ71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</si>
</sst>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9">
    <font>
      <sz val="11"/>
      <name val="Calibri"/>
    </font>
    <font>
      <b/>
      <sz val="11"/>
      <color theme="1"/>
      <name val="Calibri"/>
      <family val="2"/>
      <scheme val="minor"/>
    </font>
    <font>
      <b/>
      <sz val="9"/>
      <color indexed="1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18"/>
      <name val="Calibri"/>
      <family val="2"/>
      <scheme val="minor"/>
    </font>
    <font>
      <b/>
      <sz val="9"/>
      <color indexed="5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wrapText="1"/>
    </xf>
    <xf numFmtId="0" fontId="0" fillId="2" borderId="2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3" xfId="0" quotePrefix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center" vertical="center" textRotation="90"/>
    </xf>
    <xf numFmtId="0" fontId="0" fillId="2" borderId="6" xfId="0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5" fillId="0" borderId="0" xfId="0" applyFont="1" applyAlignment="1">
      <alignment horizontal="right" vertical="center" wrapText="1"/>
    </xf>
    <xf numFmtId="4" fontId="0" fillId="0" borderId="0" xfId="0" applyNumberFormat="1"/>
    <xf numFmtId="0" fontId="0" fillId="3" borderId="3" xfId="0" quotePrefix="1" applyFill="1" applyBorder="1" applyAlignment="1">
      <alignment horizontal="left" vertical="top" wrapText="1"/>
    </xf>
    <xf numFmtId="0" fontId="3" fillId="0" borderId="8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0" fillId="2" borderId="3" xfId="0" quotePrefix="1" applyNumberFormat="1" applyFill="1" applyBorder="1" applyAlignment="1">
      <alignment horizontal="left" vertical="center"/>
    </xf>
    <xf numFmtId="0" fontId="8" fillId="0" borderId="0" xfId="0" applyFont="1"/>
    <xf numFmtId="0" fontId="5" fillId="0" borderId="0" xfId="0" applyNumberFormat="1" applyFont="1" applyAlignment="1">
      <alignment horizontal="right" vertical="center" wrapText="1"/>
    </xf>
    <xf numFmtId="164" fontId="0" fillId="0" borderId="0" xfId="0" applyNumberFormat="1"/>
    <xf numFmtId="0" fontId="1" fillId="2" borderId="1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2" fillId="0" borderId="1" xfId="0" applyFont="1" applyBorder="1" applyAlignment="1">
      <alignment horizontal="left" wrapText="1"/>
    </xf>
  </cellXfs>
  <cellStyles count="1">
    <cellStyle name="Normal" xfId="0" builtinId="0"/>
  </cellStyles>
  <dxfs count="9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6</xdr:row>
      <xdr:rowOff>161925</xdr:rowOff>
    </xdr:from>
    <xdr:to>
      <xdr:col>4</xdr:col>
      <xdr:colOff>342900</xdr:colOff>
      <xdr:row>9</xdr:row>
      <xdr:rowOff>38100</xdr:rowOff>
    </xdr:to>
    <xdr:sp macro="[0]!Macro4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3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08.00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C6"/>
  <sheetViews>
    <sheetView showGridLines="0" workbookViewId="0">
      <selection activeCell="B30" sqref="B30"/>
    </sheetView>
  </sheetViews>
  <sheetFormatPr defaultRowHeight="14.25"/>
  <sheetData>
    <row r="2" spans="3:3">
      <c r="C2" s="17" t="s">
        <v>59</v>
      </c>
    </row>
    <row r="3" spans="3:3">
      <c r="C3" t="s">
        <v>65</v>
      </c>
    </row>
    <row r="4" spans="3:3">
      <c r="C4" t="s">
        <v>66</v>
      </c>
    </row>
    <row r="5" spans="3:3">
      <c r="C5" t="s">
        <v>60</v>
      </c>
    </row>
    <row r="6" spans="3:3">
      <c r="C6" t="s">
        <v>64</v>
      </c>
    </row>
  </sheetData>
  <pageMargins left="0.7" right="0.7" top="0.75" bottom="0.75" header="0.3" footer="0.3"/>
  <pageSetup paperSize="9" orientation="portrait" r:id="rId1"/>
  <headerFooter>
    <oddHeader>&amp;L&amp;"Calibri"&amp;10&amp;K000000Confidential&amp;1#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40"/>
  <sheetViews>
    <sheetView showGridLines="0"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14" sqref="D14"/>
    </sheetView>
  </sheetViews>
  <sheetFormatPr defaultRowHeight="14.25"/>
  <cols>
    <col min="1" max="1" width="5.59765625" customWidth="1"/>
    <col min="2" max="2" width="25.265625" bestFit="1" customWidth="1"/>
    <col min="3" max="3" width="3.73046875" bestFit="1" customWidth="1"/>
    <col min="4" max="4" width="20.59765625" style="15" customWidth="1"/>
    <col min="5" max="16" width="20.59765625" customWidth="1"/>
    <col min="17" max="17" width="25.59765625" style="1" customWidth="1"/>
  </cols>
  <sheetData>
    <row r="1" spans="1:17">
      <c r="A1" s="20" t="s">
        <v>17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7">
      <c r="D2"/>
    </row>
    <row r="3" spans="1:17">
      <c r="D3"/>
    </row>
    <row r="4" spans="1:17">
      <c r="D4" s="22" t="s">
        <v>18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1:17" ht="28.5">
      <c r="D5" s="2" t="s">
        <v>19</v>
      </c>
      <c r="E5" s="3" t="s">
        <v>20</v>
      </c>
      <c r="F5" s="23" t="s">
        <v>21</v>
      </c>
      <c r="G5" s="24"/>
      <c r="H5" s="24"/>
      <c r="I5" s="24"/>
      <c r="J5" s="24"/>
      <c r="K5" s="24"/>
      <c r="L5" s="24"/>
      <c r="M5" s="24"/>
      <c r="N5" s="24"/>
      <c r="O5" s="24"/>
      <c r="P5" s="25"/>
      <c r="Q5" s="26"/>
    </row>
    <row r="6" spans="1:17" ht="29.25" customHeight="1">
      <c r="D6" s="4"/>
      <c r="E6" s="3" t="s">
        <v>22</v>
      </c>
      <c r="F6" s="3" t="s">
        <v>23</v>
      </c>
      <c r="G6" s="3" t="s">
        <v>24</v>
      </c>
      <c r="H6" s="3" t="s">
        <v>25</v>
      </c>
      <c r="I6" s="3" t="s">
        <v>26</v>
      </c>
      <c r="J6" s="3" t="s">
        <v>27</v>
      </c>
      <c r="K6" s="3" t="s">
        <v>28</v>
      </c>
      <c r="L6" s="3" t="s">
        <v>29</v>
      </c>
      <c r="M6" s="3" t="s">
        <v>30</v>
      </c>
      <c r="N6" s="3" t="s">
        <v>31</v>
      </c>
      <c r="O6" s="3" t="s">
        <v>32</v>
      </c>
      <c r="P6" s="3" t="s">
        <v>33</v>
      </c>
      <c r="Q6" s="26"/>
    </row>
    <row r="7" spans="1:17" ht="14.65" thickBot="1">
      <c r="D7" s="5" t="s">
        <v>34</v>
      </c>
      <c r="E7" s="5" t="s">
        <v>35</v>
      </c>
      <c r="F7" s="5" t="s">
        <v>36</v>
      </c>
      <c r="G7" s="13" t="s">
        <v>37</v>
      </c>
      <c r="H7" s="13" t="s">
        <v>38</v>
      </c>
      <c r="I7" s="5" t="s">
        <v>39</v>
      </c>
      <c r="J7" s="5" t="s">
        <v>40</v>
      </c>
      <c r="K7" s="5" t="s">
        <v>41</v>
      </c>
      <c r="L7" s="5" t="s">
        <v>42</v>
      </c>
      <c r="M7" s="5" t="s">
        <v>43</v>
      </c>
      <c r="N7" s="5" t="s">
        <v>44</v>
      </c>
      <c r="O7" s="5" t="s">
        <v>45</v>
      </c>
      <c r="P7" s="5" t="s">
        <v>46</v>
      </c>
    </row>
    <row r="8" spans="1:17" ht="29.25" thickBot="1">
      <c r="A8" s="6" t="s">
        <v>47</v>
      </c>
      <c r="B8" s="7" t="s">
        <v>48</v>
      </c>
      <c r="C8" s="16">
        <f>+IF(E8="","",999)</f>
        <v>999</v>
      </c>
      <c r="D8" s="14">
        <f>IF(E8="","",1)</f>
        <v>1</v>
      </c>
      <c r="E8" s="8" t="s">
        <v>49</v>
      </c>
      <c r="F8" s="8" t="s">
        <v>50</v>
      </c>
      <c r="G8" s="8" t="s">
        <v>54</v>
      </c>
      <c r="H8" s="8"/>
      <c r="I8" s="8" t="s">
        <v>10</v>
      </c>
      <c r="J8" s="8" t="s">
        <v>54</v>
      </c>
      <c r="K8" s="8" t="s">
        <v>57</v>
      </c>
      <c r="L8" s="8" t="s">
        <v>12</v>
      </c>
      <c r="M8" s="8" t="str">
        <f>IF(OR('Secured finance'!C2="BANCO CABO VERDE-PRAIA",'Secured finance'!C2="BANCO DE PORTUGAL"),"PORTUGAL","UNITED KINGDOM")</f>
        <v>PORTUGAL</v>
      </c>
      <c r="N8" s="8">
        <v>1</v>
      </c>
      <c r="O8" s="9">
        <v>87378.75</v>
      </c>
      <c r="P8" s="8" t="s">
        <v>8</v>
      </c>
      <c r="Q8" s="10"/>
    </row>
    <row r="9" spans="1:17" s="1" customFormat="1" ht="23.65" thickBot="1">
      <c r="B9" s="11"/>
      <c r="C9" s="16">
        <f t="shared" ref="C9:C15" si="0">+IF(E9="","",999)</f>
        <v>999</v>
      </c>
      <c r="D9" s="14">
        <f>IF(E9="","",D8+1)</f>
        <v>2</v>
      </c>
      <c r="E9" s="8" t="s">
        <v>51</v>
      </c>
      <c r="F9" s="8" t="s">
        <v>50</v>
      </c>
      <c r="G9" s="8" t="s">
        <v>67</v>
      </c>
      <c r="H9" s="8"/>
      <c r="I9" s="8" t="s">
        <v>68</v>
      </c>
      <c r="J9" s="8" t="s">
        <v>67</v>
      </c>
      <c r="K9" s="8" t="s">
        <v>57</v>
      </c>
      <c r="L9" s="8" t="s">
        <v>69</v>
      </c>
      <c r="M9" s="8" t="str">
        <f>IF(OR('Secured finance'!C3="BANCO CABO VERDE-PRAIA",'Secured finance'!C3="BANCO DE PORTUGAL"),"PORTUGAL","UNITED KINGDOM")</f>
        <v>UNITED KINGDOM</v>
      </c>
      <c r="N9" s="8">
        <v>16</v>
      </c>
      <c r="O9" s="9">
        <v>400385389.38999999</v>
      </c>
      <c r="P9" s="9">
        <v>812829784.61694384</v>
      </c>
    </row>
    <row r="10" spans="1:17" s="1" customFormat="1" ht="23.65" thickBot="1">
      <c r="B10" s="11"/>
      <c r="C10" s="16">
        <f t="shared" si="0"/>
        <v>999</v>
      </c>
      <c r="D10" s="14">
        <f t="shared" ref="D10:D15" si="1">IF(E10="","",D9+1)</f>
        <v>3</v>
      </c>
      <c r="E10" s="8" t="s">
        <v>51</v>
      </c>
      <c r="F10" s="8" t="s">
        <v>50</v>
      </c>
      <c r="G10" s="8" t="s">
        <v>70</v>
      </c>
      <c r="H10" s="8"/>
      <c r="I10" s="8" t="s">
        <v>71</v>
      </c>
      <c r="J10" s="8" t="s">
        <v>70</v>
      </c>
      <c r="K10" s="8" t="s">
        <v>57</v>
      </c>
      <c r="L10" s="8" t="s">
        <v>69</v>
      </c>
      <c r="M10" s="8" t="str">
        <f>IF(OR('Secured finance'!C4="BANCO CABO VERDE-PRAIA",'Secured finance'!C4="BANCO DE PORTUGAL"),"PORTUGAL","UNITED KINGDOM")</f>
        <v>UNITED KINGDOM</v>
      </c>
      <c r="N10" s="8">
        <v>16</v>
      </c>
      <c r="O10" s="9">
        <v>386320371.13000011</v>
      </c>
      <c r="P10" s="9">
        <v>981656464.13180387</v>
      </c>
    </row>
    <row r="11" spans="1:17" s="1" customFormat="1" ht="23.65" thickBot="1">
      <c r="B11" s="11"/>
      <c r="C11" s="16">
        <f t="shared" si="0"/>
        <v>999</v>
      </c>
      <c r="D11" s="14">
        <f t="shared" si="1"/>
        <v>4</v>
      </c>
      <c r="E11" s="8" t="s">
        <v>51</v>
      </c>
      <c r="F11" s="8" t="s">
        <v>50</v>
      </c>
      <c r="G11" s="8" t="s">
        <v>72</v>
      </c>
      <c r="H11" s="8"/>
      <c r="I11" s="8" t="s">
        <v>73</v>
      </c>
      <c r="J11" s="8" t="s">
        <v>72</v>
      </c>
      <c r="K11" s="8" t="s">
        <v>57</v>
      </c>
      <c r="L11" s="8" t="s">
        <v>74</v>
      </c>
      <c r="M11" s="8" t="str">
        <f>IF(OR('Secured finance'!C5="BANCO CABO VERDE-PRAIA",'Secured finance'!C5="BANCO DE PORTUGAL"),"PORTUGAL","UNITED KINGDOM")</f>
        <v>UNITED KINGDOM</v>
      </c>
      <c r="N11" s="8">
        <v>6</v>
      </c>
      <c r="O11" s="9">
        <v>369926226.93000007</v>
      </c>
      <c r="P11" s="9">
        <v>748857199.55750191</v>
      </c>
    </row>
    <row r="12" spans="1:17" s="1" customFormat="1" ht="23.65" thickBot="1">
      <c r="B12" s="11"/>
      <c r="C12" s="16">
        <f t="shared" si="0"/>
        <v>999</v>
      </c>
      <c r="D12" s="14">
        <f t="shared" si="1"/>
        <v>5</v>
      </c>
      <c r="E12" s="8" t="s">
        <v>51</v>
      </c>
      <c r="F12" s="8" t="s">
        <v>50</v>
      </c>
      <c r="G12" s="8" t="s">
        <v>75</v>
      </c>
      <c r="H12" s="8"/>
      <c r="I12" s="8" t="s">
        <v>76</v>
      </c>
      <c r="J12" s="8" t="s">
        <v>75</v>
      </c>
      <c r="K12" s="8" t="s">
        <v>57</v>
      </c>
      <c r="L12" s="8" t="s">
        <v>74</v>
      </c>
      <c r="M12" s="8" t="str">
        <f>IF(OR('Secured finance'!C6="BANCO CABO VERDE-PRAIA",'Secured finance'!C6="BANCO DE PORTUGAL"),"PORTUGAL","UNITED KINGDOM")</f>
        <v>UNITED KINGDOM</v>
      </c>
      <c r="N12" s="8">
        <v>6</v>
      </c>
      <c r="O12" s="9">
        <v>399991169.64999998</v>
      </c>
      <c r="P12" s="9">
        <v>798094760.707708</v>
      </c>
    </row>
    <row r="13" spans="1:17" s="1" customFormat="1" ht="23.65" thickBot="1">
      <c r="B13" s="11"/>
      <c r="C13" s="16">
        <f t="shared" si="0"/>
        <v>999</v>
      </c>
      <c r="D13" s="14">
        <f t="shared" si="1"/>
        <v>6</v>
      </c>
      <c r="E13" s="8" t="s">
        <v>49</v>
      </c>
      <c r="F13" s="8" t="s">
        <v>50</v>
      </c>
      <c r="G13" s="8" t="s">
        <v>55</v>
      </c>
      <c r="H13" s="8"/>
      <c r="I13" s="8" t="s">
        <v>13</v>
      </c>
      <c r="J13" s="8" t="s">
        <v>55</v>
      </c>
      <c r="K13" s="8" t="s">
        <v>57</v>
      </c>
      <c r="L13" s="8" t="s">
        <v>14</v>
      </c>
      <c r="M13" s="8" t="str">
        <f>IF(OR('Secured finance'!C7="BANCO CABO VERDE-PRAIA",'Secured finance'!C7="BANCO DE PORTUGAL"),"PORTUGAL","UNITED KINGDOM")</f>
        <v>PORTUGAL</v>
      </c>
      <c r="N13" s="8">
        <v>4</v>
      </c>
      <c r="O13" s="9">
        <v>4113626934.1500001</v>
      </c>
      <c r="P13" s="9">
        <v>8526551919.6033516</v>
      </c>
    </row>
    <row r="14" spans="1:17" s="1" customFormat="1" ht="23.65" thickBot="1">
      <c r="B14" s="11"/>
      <c r="C14" s="16">
        <f t="shared" si="0"/>
        <v>999</v>
      </c>
      <c r="D14" s="14">
        <f t="shared" si="1"/>
        <v>7</v>
      </c>
      <c r="E14" s="8" t="s">
        <v>51</v>
      </c>
      <c r="F14" s="8" t="s">
        <v>50</v>
      </c>
      <c r="G14" s="8" t="s">
        <v>56</v>
      </c>
      <c r="H14" s="8"/>
      <c r="I14" s="8" t="s">
        <v>15</v>
      </c>
      <c r="J14" s="8">
        <v>8</v>
      </c>
      <c r="K14" s="8" t="s">
        <v>57</v>
      </c>
      <c r="L14" s="8" t="s">
        <v>16</v>
      </c>
      <c r="M14" s="8" t="str">
        <f>IF(OR('Secured finance'!C8="BANCO CABO VERDE-PRAIA",'Secured finance'!C8="BANCO DE PORTUGAL"),"PORTUGAL","UNITED KINGDOM")</f>
        <v>UNITED KINGDOM</v>
      </c>
      <c r="N14" s="8">
        <v>8</v>
      </c>
      <c r="O14" s="9">
        <v>515277902.06</v>
      </c>
      <c r="P14" s="9">
        <v>1051127999.4178321</v>
      </c>
    </row>
    <row r="15" spans="1:17" s="1" customFormat="1" ht="23.65" thickBot="1">
      <c r="B15" s="11"/>
      <c r="C15" s="16">
        <f t="shared" si="0"/>
        <v>999</v>
      </c>
      <c r="D15" s="14">
        <f t="shared" si="1"/>
        <v>8</v>
      </c>
      <c r="E15" s="8" t="s">
        <v>51</v>
      </c>
      <c r="F15" s="8" t="s">
        <v>50</v>
      </c>
      <c r="G15" s="8" t="s">
        <v>53</v>
      </c>
      <c r="H15" s="8"/>
      <c r="I15" s="8"/>
      <c r="J15" s="8" t="s">
        <v>53</v>
      </c>
      <c r="K15" s="8" t="s">
        <v>57</v>
      </c>
      <c r="L15" s="8"/>
      <c r="M15" s="8" t="str">
        <f>IF(OR('Secured finance'!C9="BANCO CABO VERDE-PRAIA",'Secured finance'!C9="BANCO DE PORTUGAL"),"PORTUGAL","UNITED KINGDOM")</f>
        <v>UNITED KINGDOM</v>
      </c>
      <c r="N15" s="8">
        <v>2</v>
      </c>
      <c r="O15" s="9">
        <v>-4.0000000000000008E-2</v>
      </c>
      <c r="P15" s="9" t="s">
        <v>8</v>
      </c>
    </row>
    <row r="16" spans="1:17" s="1" customFormat="1">
      <c r="B16" s="11"/>
      <c r="C16" s="11"/>
      <c r="D16" s="18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2:16" s="1" customFormat="1">
      <c r="B17" s="11"/>
      <c r="C17" s="11"/>
      <c r="D17" s="18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2:16" s="1" customFormat="1">
      <c r="B18" s="11"/>
      <c r="C18" s="11"/>
      <c r="D18" s="18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16" s="1" customFormat="1">
      <c r="B19" s="11"/>
      <c r="C19" s="11"/>
      <c r="D19" s="18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2:16" s="1" customFormat="1">
      <c r="B20" s="11"/>
      <c r="C20" s="11"/>
      <c r="D20" s="18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2:16" s="1" customFormat="1">
      <c r="B21" s="11"/>
      <c r="C21" s="11"/>
      <c r="D21" s="18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2:16" s="1" customFormat="1">
      <c r="B22" s="11"/>
      <c r="C22" s="11"/>
      <c r="D22" s="18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2:16" s="1" customFormat="1">
      <c r="B23" s="11"/>
      <c r="C23" s="11"/>
      <c r="D23" s="18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2:16" s="1" customFormat="1">
      <c r="B24" s="11"/>
      <c r="C24" s="11"/>
      <c r="D24" s="18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2:16" s="1" customFormat="1">
      <c r="B25" s="11"/>
      <c r="C25" s="11"/>
      <c r="D25" s="18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2:16" s="1" customFormat="1">
      <c r="B26" s="11"/>
      <c r="C26" s="11"/>
      <c r="D26" s="18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2:16" s="1" customFormat="1">
      <c r="B27" s="11"/>
      <c r="C27" s="11"/>
      <c r="D27" s="18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2:16" s="1" customFormat="1">
      <c r="B28" s="11"/>
      <c r="C28" s="11"/>
      <c r="D28" s="18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2:16" s="1" customFormat="1">
      <c r="B29" s="11"/>
      <c r="C29" s="11"/>
      <c r="D29" s="18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2:16" s="1" customFormat="1">
      <c r="B30" s="11"/>
      <c r="C30" s="11"/>
      <c r="D30" s="18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2:16" s="1" customFormat="1">
      <c r="B31" s="11"/>
      <c r="C31" s="11"/>
      <c r="D31" s="18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2:16" s="1" customFormat="1">
      <c r="B32" s="11"/>
      <c r="C32" s="11"/>
      <c r="D32" s="18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2:16" s="1" customFormat="1">
      <c r="B33" s="11"/>
      <c r="C33" s="11"/>
      <c r="D33" s="18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2:16" s="1" customFormat="1">
      <c r="B34" s="11"/>
      <c r="C34" s="11"/>
      <c r="D34" s="18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s="1" customFormat="1">
      <c r="B35" s="11"/>
      <c r="C35" s="11"/>
      <c r="D35" s="18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s="1" customFormat="1">
      <c r="B36" s="11"/>
      <c r="C36" s="11"/>
      <c r="D36" s="18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s="1" customFormat="1">
      <c r="B37" s="11"/>
      <c r="C37" s="11"/>
      <c r="D37" s="18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s="1" customFormat="1">
      <c r="B38" s="11"/>
      <c r="C38" s="11"/>
      <c r="D38" s="18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s="1" customFormat="1">
      <c r="B39" s="11"/>
      <c r="C39" s="11"/>
      <c r="D39" s="18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s="1" customFormat="1">
      <c r="B40" s="11"/>
      <c r="C40" s="11"/>
      <c r="D40" s="18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2:16" s="1" customFormat="1">
      <c r="B41" s="11"/>
      <c r="C41" s="11"/>
      <c r="D41" s="18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2:16" s="1" customFormat="1">
      <c r="B42" s="11"/>
      <c r="C42" s="11"/>
      <c r="D42" s="18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2:16" s="1" customFormat="1">
      <c r="B43" s="11"/>
      <c r="C43" s="11"/>
      <c r="D43" s="18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2:16" s="1" customFormat="1">
      <c r="B44" s="11"/>
      <c r="C44" s="11"/>
      <c r="D44" s="18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2:16" s="1" customFormat="1">
      <c r="B45" s="11"/>
      <c r="C45" s="11"/>
      <c r="D45" s="18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2:16" s="1" customFormat="1">
      <c r="B46" s="11"/>
      <c r="C46" s="11"/>
      <c r="D46" s="18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2:16" s="1" customFormat="1">
      <c r="B47" s="11"/>
      <c r="C47" s="11"/>
      <c r="D47" s="18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2:16" s="1" customFormat="1">
      <c r="B48" s="11"/>
      <c r="C48" s="11"/>
      <c r="D48" s="18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2:16" s="1" customFormat="1">
      <c r="B49" s="11"/>
      <c r="C49" s="11"/>
      <c r="D49" s="18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2:16" s="1" customFormat="1">
      <c r="B50" s="11"/>
      <c r="C50" s="11"/>
      <c r="D50" s="18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2:16" s="1" customFormat="1">
      <c r="B51" s="11"/>
      <c r="C51" s="11"/>
      <c r="D51" s="18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2:16" s="1" customFormat="1">
      <c r="B52" s="11"/>
      <c r="C52" s="11"/>
      <c r="D52" s="18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2:16" s="1" customFormat="1">
      <c r="B53" s="11"/>
      <c r="C53" s="11"/>
      <c r="D53" s="18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2:16" s="1" customFormat="1">
      <c r="B54" s="11"/>
      <c r="C54" s="11"/>
      <c r="D54" s="18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2:16" s="1" customFormat="1">
      <c r="B55" s="11"/>
      <c r="C55" s="11"/>
      <c r="D55" s="18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2:16" s="1" customFormat="1">
      <c r="B56" s="11"/>
      <c r="C56" s="11"/>
      <c r="D56" s="18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2:16" s="1" customFormat="1">
      <c r="B57" s="11"/>
      <c r="C57" s="11"/>
      <c r="D57" s="18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2:16" s="1" customFormat="1">
      <c r="B58" s="11"/>
      <c r="C58" s="11"/>
      <c r="D58" s="18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2:16" s="1" customFormat="1">
      <c r="B59" s="11"/>
      <c r="C59" s="11"/>
      <c r="D59" s="18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2:16" s="1" customFormat="1">
      <c r="B60" s="11"/>
      <c r="C60" s="11"/>
      <c r="D60" s="18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2:16" s="1" customFormat="1">
      <c r="B61" s="11"/>
      <c r="C61" s="11"/>
      <c r="D61" s="18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2:16" s="1" customFormat="1">
      <c r="B62" s="11"/>
      <c r="C62" s="11"/>
      <c r="D62" s="18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2:16" s="1" customFormat="1">
      <c r="B63" s="11"/>
      <c r="C63" s="11"/>
      <c r="D63" s="18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2:16" s="1" customFormat="1">
      <c r="B64" s="11"/>
      <c r="C64" s="11"/>
      <c r="D64" s="18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2:16" s="1" customFormat="1">
      <c r="B65" s="11"/>
      <c r="C65" s="11"/>
      <c r="D65" s="18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</row>
    <row r="66" spans="2:16" s="1" customFormat="1">
      <c r="B66" s="11"/>
      <c r="C66" s="11"/>
      <c r="D66" s="18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</row>
    <row r="67" spans="2:16" s="1" customFormat="1">
      <c r="B67" s="11"/>
      <c r="C67" s="11"/>
      <c r="D67" s="18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</row>
    <row r="68" spans="2:16" s="1" customFormat="1">
      <c r="B68" s="11"/>
      <c r="C68" s="11"/>
      <c r="D68" s="18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</row>
    <row r="69" spans="2:16" s="1" customFormat="1">
      <c r="B69" s="11"/>
      <c r="C69" s="11"/>
      <c r="D69" s="18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</row>
    <row r="70" spans="2:16" s="1" customFormat="1">
      <c r="B70" s="11"/>
      <c r="C70" s="11"/>
      <c r="D70" s="18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</row>
    <row r="71" spans="2:16" s="1" customFormat="1">
      <c r="B71" s="11"/>
      <c r="C71" s="11"/>
      <c r="D71" s="18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</row>
    <row r="72" spans="2:16" s="1" customFormat="1">
      <c r="B72" s="11"/>
      <c r="C72" s="11"/>
      <c r="D72" s="18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</row>
    <row r="73" spans="2:16" s="1" customFormat="1">
      <c r="B73" s="11"/>
      <c r="C73" s="11"/>
      <c r="D73" s="18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</row>
    <row r="74" spans="2:16" s="1" customFormat="1">
      <c r="B74" s="11"/>
      <c r="C74" s="11"/>
      <c r="D74" s="18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</row>
    <row r="75" spans="2:16" s="1" customFormat="1">
      <c r="B75" s="11"/>
      <c r="C75" s="11"/>
      <c r="D75" s="18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</row>
    <row r="76" spans="2:16" s="1" customFormat="1">
      <c r="B76" s="11"/>
      <c r="C76" s="11"/>
      <c r="D76" s="18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</row>
    <row r="77" spans="2:16" s="1" customFormat="1">
      <c r="B77" s="11"/>
      <c r="C77" s="11"/>
      <c r="D77" s="18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</row>
    <row r="78" spans="2:16" s="1" customFormat="1">
      <c r="B78" s="11"/>
      <c r="C78" s="11"/>
      <c r="D78" s="18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</row>
    <row r="79" spans="2:16" s="1" customFormat="1">
      <c r="B79" s="11"/>
      <c r="C79" s="11"/>
      <c r="D79" s="18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</row>
    <row r="80" spans="2:16" s="1" customFormat="1">
      <c r="B80" s="11"/>
      <c r="C80" s="11"/>
      <c r="D80" s="18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</row>
    <row r="81" spans="2:16" s="1" customFormat="1">
      <c r="B81" s="11"/>
      <c r="C81" s="11"/>
      <c r="D81" s="18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</row>
    <row r="82" spans="2:16" s="1" customFormat="1">
      <c r="B82" s="11"/>
      <c r="C82" s="11"/>
      <c r="D82" s="18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</row>
    <row r="83" spans="2:16" s="1" customFormat="1">
      <c r="B83" s="11"/>
      <c r="C83" s="11"/>
      <c r="D83" s="18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</row>
    <row r="84" spans="2:16" s="1" customFormat="1">
      <c r="B84" s="11"/>
      <c r="C84" s="11"/>
      <c r="D84" s="18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</row>
    <row r="85" spans="2:16" s="1" customFormat="1">
      <c r="B85" s="11"/>
      <c r="C85" s="11"/>
      <c r="D85" s="18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</row>
    <row r="86" spans="2:16" s="1" customFormat="1">
      <c r="B86" s="11"/>
      <c r="C86" s="11"/>
      <c r="D86" s="18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</row>
    <row r="87" spans="2:16" s="1" customFormat="1">
      <c r="B87" s="11"/>
      <c r="C87" s="11"/>
      <c r="D87" s="18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</row>
    <row r="88" spans="2:16" s="1" customFormat="1">
      <c r="B88" s="11"/>
      <c r="C88" s="11"/>
      <c r="D88" s="18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</row>
    <row r="89" spans="2:16" s="1" customFormat="1">
      <c r="B89" s="11"/>
      <c r="C89" s="11"/>
      <c r="D89" s="18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</row>
    <row r="90" spans="2:16" s="1" customFormat="1">
      <c r="B90" s="11"/>
      <c r="C90" s="11"/>
      <c r="D90" s="18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</row>
    <row r="91" spans="2:16" s="1" customFormat="1">
      <c r="B91" s="11"/>
      <c r="C91" s="11"/>
      <c r="D91" s="18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</row>
    <row r="92" spans="2:16" s="1" customFormat="1">
      <c r="B92" s="11"/>
      <c r="C92" s="11"/>
      <c r="D92" s="18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</row>
    <row r="93" spans="2:16" s="1" customFormat="1">
      <c r="B93" s="11"/>
      <c r="C93" s="11"/>
      <c r="D93" s="18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</row>
    <row r="94" spans="2:16" s="1" customFormat="1">
      <c r="B94" s="11"/>
      <c r="C94" s="11"/>
      <c r="D94" s="18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</row>
    <row r="95" spans="2:16" s="1" customFormat="1">
      <c r="B95" s="11"/>
      <c r="C95" s="11"/>
      <c r="D95" s="18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</row>
    <row r="96" spans="2:16" s="1" customFormat="1">
      <c r="B96" s="11"/>
      <c r="C96" s="11"/>
      <c r="D96" s="18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</row>
    <row r="97" spans="2:16" s="1" customFormat="1">
      <c r="B97" s="11"/>
      <c r="C97" s="11"/>
      <c r="D97" s="18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</row>
    <row r="98" spans="2:16" s="1" customFormat="1">
      <c r="B98" s="11"/>
      <c r="C98" s="11"/>
      <c r="D98" s="18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</row>
    <row r="99" spans="2:16" s="1" customFormat="1">
      <c r="B99" s="11"/>
      <c r="C99" s="11"/>
      <c r="D99" s="18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</row>
    <row r="100" spans="2:16" s="1" customFormat="1">
      <c r="B100" s="11"/>
      <c r="C100" s="11"/>
      <c r="D100" s="18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</row>
    <row r="101" spans="2:16" s="1" customFormat="1">
      <c r="B101" s="11"/>
      <c r="C101" s="11"/>
      <c r="D101" s="18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</row>
    <row r="102" spans="2:16" s="1" customFormat="1">
      <c r="B102" s="11"/>
      <c r="C102" s="11"/>
      <c r="D102" s="18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</row>
    <row r="103" spans="2:16" s="1" customFormat="1">
      <c r="B103" s="11"/>
      <c r="C103" s="11"/>
      <c r="D103" s="18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</row>
    <row r="104" spans="2:16" s="1" customFormat="1">
      <c r="B104" s="11"/>
      <c r="C104" s="11"/>
      <c r="D104" s="18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</row>
    <row r="105" spans="2:16" s="1" customFormat="1">
      <c r="B105" s="11"/>
      <c r="C105" s="11"/>
      <c r="D105" s="18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</row>
    <row r="106" spans="2:16" s="1" customFormat="1">
      <c r="B106" s="11"/>
      <c r="C106" s="11"/>
      <c r="D106" s="18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</row>
    <row r="107" spans="2:16" s="1" customFormat="1">
      <c r="B107" s="11"/>
      <c r="C107" s="11"/>
      <c r="D107" s="18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</row>
    <row r="108" spans="2:16" s="1" customFormat="1">
      <c r="B108" s="11"/>
      <c r="C108" s="11"/>
      <c r="D108" s="18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</row>
    <row r="109" spans="2:16" s="1" customFormat="1">
      <c r="B109" s="11"/>
      <c r="C109" s="11"/>
      <c r="D109" s="18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</row>
    <row r="110" spans="2:16" s="1" customFormat="1">
      <c r="B110" s="11"/>
      <c r="C110" s="11"/>
      <c r="D110" s="18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</row>
    <row r="111" spans="2:16" s="1" customFormat="1">
      <c r="B111" s="11"/>
      <c r="C111" s="11"/>
      <c r="D111" s="18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</row>
    <row r="112" spans="2:16" s="1" customFormat="1">
      <c r="B112" s="11"/>
      <c r="C112" s="11"/>
      <c r="D112" s="18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</row>
    <row r="113" spans="2:16" s="1" customFormat="1">
      <c r="B113" s="11"/>
      <c r="C113" s="11"/>
      <c r="D113" s="18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</row>
    <row r="114" spans="2:16" s="1" customFormat="1">
      <c r="B114" s="11"/>
      <c r="C114" s="11"/>
      <c r="D114" s="18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</row>
    <row r="115" spans="2:16" s="1" customFormat="1">
      <c r="B115" s="11"/>
      <c r="C115" s="11"/>
      <c r="D115" s="18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</row>
    <row r="116" spans="2:16" s="1" customFormat="1">
      <c r="B116" s="11"/>
      <c r="C116" s="11"/>
      <c r="D116" s="18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</row>
    <row r="117" spans="2:16" s="1" customFormat="1">
      <c r="B117" s="11"/>
      <c r="C117" s="11"/>
      <c r="D117" s="18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</row>
    <row r="118" spans="2:16" s="1" customFormat="1">
      <c r="B118" s="11"/>
      <c r="C118" s="11"/>
      <c r="D118" s="18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</row>
    <row r="119" spans="2:16" s="1" customFormat="1">
      <c r="B119" s="11"/>
      <c r="C119" s="11"/>
      <c r="D119" s="18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</row>
    <row r="120" spans="2:16" s="1" customFormat="1">
      <c r="B120" s="11"/>
      <c r="C120" s="11"/>
      <c r="D120" s="18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</row>
    <row r="121" spans="2:16" s="1" customFormat="1">
      <c r="B121" s="11"/>
      <c r="C121" s="11"/>
      <c r="D121" s="18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</row>
    <row r="122" spans="2:16" s="1" customFormat="1">
      <c r="B122" s="11"/>
      <c r="C122" s="11"/>
      <c r="D122" s="18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</row>
    <row r="123" spans="2:16" s="1" customFormat="1">
      <c r="B123" s="11"/>
      <c r="C123" s="11"/>
      <c r="D123" s="18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</row>
    <row r="124" spans="2:16" s="1" customFormat="1">
      <c r="B124" s="11"/>
      <c r="C124" s="11"/>
      <c r="D124" s="18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</row>
    <row r="125" spans="2:16" s="1" customFormat="1">
      <c r="B125" s="11"/>
      <c r="C125" s="11"/>
      <c r="D125" s="18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</row>
    <row r="126" spans="2:16" s="1" customFormat="1">
      <c r="B126" s="11"/>
      <c r="C126" s="11"/>
      <c r="D126" s="18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</row>
    <row r="127" spans="2:16" s="1" customFormat="1">
      <c r="B127" s="11"/>
      <c r="C127" s="11"/>
      <c r="D127" s="18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</row>
    <row r="128" spans="2:16" s="1" customFormat="1">
      <c r="B128" s="11"/>
      <c r="C128" s="11"/>
      <c r="D128" s="18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</row>
    <row r="129" spans="2:16" s="1" customFormat="1">
      <c r="B129" s="11"/>
      <c r="C129" s="11"/>
      <c r="D129" s="18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</row>
    <row r="130" spans="2:16" s="1" customFormat="1">
      <c r="B130" s="11"/>
      <c r="C130" s="11"/>
      <c r="D130" s="18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</row>
    <row r="131" spans="2:16" s="1" customFormat="1">
      <c r="B131" s="11"/>
      <c r="C131" s="11"/>
      <c r="D131" s="18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</row>
    <row r="132" spans="2:16" s="1" customFormat="1">
      <c r="B132" s="11"/>
      <c r="C132" s="11"/>
      <c r="D132" s="18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</row>
    <row r="133" spans="2:16" s="1" customFormat="1">
      <c r="B133" s="11"/>
      <c r="C133" s="11"/>
      <c r="D133" s="18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</row>
    <row r="134" spans="2:16" s="1" customFormat="1">
      <c r="B134" s="11"/>
      <c r="C134" s="11"/>
      <c r="D134" s="18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</row>
    <row r="135" spans="2:16" s="1" customFormat="1">
      <c r="B135" s="11"/>
      <c r="C135" s="11"/>
      <c r="D135" s="18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</row>
    <row r="136" spans="2:16" s="1" customFormat="1">
      <c r="B136" s="11"/>
      <c r="C136" s="11"/>
      <c r="D136" s="18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</row>
    <row r="137" spans="2:16" s="1" customFormat="1">
      <c r="B137" s="11"/>
      <c r="C137" s="11"/>
      <c r="D137" s="18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</row>
    <row r="138" spans="2:16" s="1" customFormat="1">
      <c r="B138" s="11"/>
      <c r="C138" s="11"/>
      <c r="D138" s="18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</row>
    <row r="139" spans="2:16">
      <c r="B139" s="11"/>
      <c r="C139" s="11"/>
      <c r="D139" s="18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</row>
    <row r="140" spans="2:16">
      <c r="B140" s="11"/>
      <c r="C140" s="11"/>
      <c r="D140" s="18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</row>
  </sheetData>
  <mergeCells count="4">
    <mergeCell ref="A1:P1"/>
    <mergeCell ref="D4:P4"/>
    <mergeCell ref="F5:P5"/>
    <mergeCell ref="Q5:Q6"/>
  </mergeCells>
  <conditionalFormatting sqref="D8:P9">
    <cfRule type="expression" dxfId="8" priority="10">
      <formula>LEN(TRIM(D8))=0</formula>
    </cfRule>
  </conditionalFormatting>
  <conditionalFormatting sqref="D8:P9">
    <cfRule type="expression" dxfId="6" priority="8">
      <formula>LEN(TRIM(D8))=0</formula>
    </cfRule>
  </conditionalFormatting>
  <conditionalFormatting sqref="D10:P15">
    <cfRule type="expression" dxfId="5" priority="3">
      <formula>LEN(TRIM(D10))=0</formula>
    </cfRule>
  </conditionalFormatting>
  <conditionalFormatting sqref="D8:P9">
    <cfRule type="expression" dxfId="4" priority="5">
      <formula>LEN(TRIM(D8))=0</formula>
    </cfRule>
  </conditionalFormatting>
  <conditionalFormatting sqref="D10:P15">
    <cfRule type="expression" dxfId="3" priority="4">
      <formula>LEN(TRIM(D10))=0</formula>
    </cfRule>
  </conditionalFormatting>
  <conditionalFormatting sqref="D10:P15">
    <cfRule type="expression" dxfId="1" priority="2">
      <formula>LEN(TRIM(D10))=0</formula>
    </cfRule>
  </conditionalFormatting>
  <conditionalFormatting sqref="D8:P15">
    <cfRule type="expression" dxfId="0" priority="1">
      <formula>LEN(TRIM(D8))=0</formula>
    </cfRule>
  </conditionalFormatting>
  <pageMargins left="0.7" right="0.7" top="0.75" bottom="0.75" header="0.3" footer="0.3"/>
  <pageSetup paperSize="9" orientation="portrait" r:id="rId1"/>
  <headerFooter>
    <oddHeader>&amp;L&amp;"Calibri"&amp;10&amp;K000000Confidential&amp;1#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"/>
  <sheetViews>
    <sheetView topLeftCell="K1" workbookViewId="0">
      <selection activeCell="N2" sqref="N2:N10"/>
    </sheetView>
  </sheetViews>
  <sheetFormatPr defaultColWidth="27" defaultRowHeight="14.25"/>
  <cols>
    <col min="1" max="1" width="11" bestFit="1" customWidth="1"/>
    <col min="2" max="2" width="21" bestFit="1" customWidth="1"/>
    <col min="3" max="3" width="43.73046875" bestFit="1" customWidth="1"/>
    <col min="4" max="4" width="4.1328125" bestFit="1" customWidth="1"/>
    <col min="5" max="5" width="17.59765625" bestFit="1" customWidth="1"/>
    <col min="6" max="6" width="20.59765625" bestFit="1" customWidth="1"/>
    <col min="7" max="7" width="20" style="12" bestFit="1" customWidth="1"/>
    <col min="8" max="8" width="12.73046875" bestFit="1" customWidth="1"/>
    <col min="9" max="9" width="23" bestFit="1" customWidth="1"/>
  </cols>
  <sheetData>
    <row r="1" spans="1:14">
      <c r="A1" t="s">
        <v>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58</v>
      </c>
      <c r="J1" t="s">
        <v>61</v>
      </c>
      <c r="K1" t="s">
        <v>62</v>
      </c>
      <c r="L1" t="s">
        <v>63</v>
      </c>
      <c r="M1" t="s">
        <v>28</v>
      </c>
      <c r="N1" t="s">
        <v>28</v>
      </c>
    </row>
    <row r="2" spans="1:14">
      <c r="A2" t="s">
        <v>54</v>
      </c>
      <c r="B2" t="s">
        <v>9</v>
      </c>
      <c r="C2" t="s">
        <v>10</v>
      </c>
      <c r="D2" t="s">
        <v>11</v>
      </c>
      <c r="E2" t="s">
        <v>12</v>
      </c>
      <c r="F2" s="19">
        <v>87378.75</v>
      </c>
      <c r="G2" s="19"/>
      <c r="I2">
        <v>1</v>
      </c>
      <c r="J2" t="str">
        <f t="shared" ref="J2:J10" si="0">IF(B2="particulares","c001x   - Households",IF(B2="outras empresas nao financeiras","c002x   - Micro &amp; SME",IF(B2="outras empresas nao financeiras","c003x   - Corporates",IF(B2="instituicoes de credito","c004x   - Institutions",IF(B2="outras instituicoes financeiras","c005x   - Other financial corporations",IF(OR(B2="setor publico",B2="bancos centrais"),"c008x   - Government, central banks &amp; supranationals",""))))))</f>
        <v>c008x   - Government, central banks &amp; supranationals</v>
      </c>
      <c r="K2" t="str">
        <f t="shared" ref="K2:K10" si="1">+IF(H2="",A2,H2)</f>
        <v>8004236181</v>
      </c>
      <c r="L2" t="str">
        <f t="shared" ref="L2:L10" si="2">+IF(OR(D2="",D2="#"),A2,I2)</f>
        <v>8004236181</v>
      </c>
      <c r="M2" t="str">
        <f t="shared" ref="M2:M10" si="3">IF(L2=D2,"LEI code","Type of identifier, other than LEI or MFI code")</f>
        <v>Type of identifier, other than LEI or MFI code</v>
      </c>
      <c r="N2" t="str">
        <f t="shared" ref="N2:N10" si="4">IF(G2="","",-G2)</f>
        <v/>
      </c>
    </row>
    <row r="3" spans="1:14">
      <c r="A3" t="s">
        <v>67</v>
      </c>
      <c r="B3" t="s">
        <v>7</v>
      </c>
      <c r="C3" t="s">
        <v>68</v>
      </c>
      <c r="D3" t="s">
        <v>11</v>
      </c>
      <c r="E3" t="s">
        <v>69</v>
      </c>
      <c r="F3" s="19">
        <v>400385389.38999999</v>
      </c>
      <c r="G3" s="19">
        <v>-812829784.61694384</v>
      </c>
      <c r="I3">
        <v>16</v>
      </c>
      <c r="J3" t="str">
        <f t="shared" si="0"/>
        <v>c004x   - Institutions</v>
      </c>
      <c r="K3" t="str">
        <f t="shared" si="1"/>
        <v>8006963731</v>
      </c>
      <c r="L3" t="str">
        <f t="shared" si="2"/>
        <v>8006963731</v>
      </c>
      <c r="M3" t="str">
        <f t="shared" si="3"/>
        <v>Type of identifier, other than LEI or MFI code</v>
      </c>
      <c r="N3">
        <f t="shared" si="4"/>
        <v>812829784.61694384</v>
      </c>
    </row>
    <row r="4" spans="1:14">
      <c r="A4" t="s">
        <v>70</v>
      </c>
      <c r="B4" t="s">
        <v>7</v>
      </c>
      <c r="C4" t="s">
        <v>71</v>
      </c>
      <c r="D4" t="s">
        <v>11</v>
      </c>
      <c r="E4" t="s">
        <v>69</v>
      </c>
      <c r="F4" s="19">
        <v>386320371.13000011</v>
      </c>
      <c r="G4" s="19">
        <v>-981656464.13180387</v>
      </c>
      <c r="I4">
        <v>16</v>
      </c>
      <c r="J4" t="str">
        <f t="shared" si="0"/>
        <v>c004x   - Institutions</v>
      </c>
      <c r="K4" t="str">
        <f t="shared" si="1"/>
        <v>8008765651</v>
      </c>
      <c r="L4" t="str">
        <f t="shared" si="2"/>
        <v>8008765651</v>
      </c>
      <c r="M4" t="str">
        <f t="shared" si="3"/>
        <v>Type of identifier, other than LEI or MFI code</v>
      </c>
      <c r="N4">
        <f t="shared" si="4"/>
        <v>981656464.13180387</v>
      </c>
    </row>
    <row r="5" spans="1:14">
      <c r="A5" t="s">
        <v>72</v>
      </c>
      <c r="B5" t="s">
        <v>7</v>
      </c>
      <c r="C5" t="s">
        <v>73</v>
      </c>
      <c r="D5" t="s">
        <v>11</v>
      </c>
      <c r="E5" t="s">
        <v>74</v>
      </c>
      <c r="F5" s="12">
        <v>369926226.93000007</v>
      </c>
      <c r="G5" s="12">
        <v>-748857199.55750191</v>
      </c>
      <c r="I5">
        <v>6</v>
      </c>
      <c r="J5" t="str">
        <f t="shared" si="0"/>
        <v>c004x   - Institutions</v>
      </c>
      <c r="K5" t="str">
        <f t="shared" si="1"/>
        <v>8006850481</v>
      </c>
      <c r="L5" t="str">
        <f t="shared" si="2"/>
        <v>8006850481</v>
      </c>
      <c r="M5" t="str">
        <f t="shared" si="3"/>
        <v>Type of identifier, other than LEI or MFI code</v>
      </c>
      <c r="N5">
        <f t="shared" si="4"/>
        <v>748857199.55750191</v>
      </c>
    </row>
    <row r="6" spans="1:14">
      <c r="A6" t="s">
        <v>75</v>
      </c>
      <c r="B6" t="s">
        <v>7</v>
      </c>
      <c r="C6" t="s">
        <v>76</v>
      </c>
      <c r="D6" t="s">
        <v>11</v>
      </c>
      <c r="E6" t="s">
        <v>74</v>
      </c>
      <c r="F6" s="12">
        <v>399991169.64999998</v>
      </c>
      <c r="G6" s="12">
        <v>-798094760.707708</v>
      </c>
      <c r="I6">
        <v>6</v>
      </c>
      <c r="J6" t="str">
        <f t="shared" si="0"/>
        <v>c004x   - Institutions</v>
      </c>
      <c r="K6" t="str">
        <f t="shared" si="1"/>
        <v>9000803511</v>
      </c>
      <c r="L6" t="str">
        <f t="shared" si="2"/>
        <v>9000803511</v>
      </c>
      <c r="M6" t="str">
        <f t="shared" si="3"/>
        <v>Type of identifier, other than LEI or MFI code</v>
      </c>
      <c r="N6">
        <f t="shared" si="4"/>
        <v>798094760.707708</v>
      </c>
    </row>
    <row r="7" spans="1:14">
      <c r="A7" t="s">
        <v>55</v>
      </c>
      <c r="B7" t="s">
        <v>9</v>
      </c>
      <c r="C7" t="s">
        <v>13</v>
      </c>
      <c r="D7" t="s">
        <v>11</v>
      </c>
      <c r="E7" t="s">
        <v>14</v>
      </c>
      <c r="F7" s="12">
        <v>4113626934.1500001</v>
      </c>
      <c r="G7" s="12">
        <v>-8526551919.6033516</v>
      </c>
      <c r="I7">
        <v>4</v>
      </c>
      <c r="J7" t="str">
        <f t="shared" si="0"/>
        <v>c008x   - Government, central banks &amp; supranationals</v>
      </c>
      <c r="K7" t="str">
        <f t="shared" si="1"/>
        <v>8000140893</v>
      </c>
      <c r="L7" t="str">
        <f t="shared" si="2"/>
        <v>8000140893</v>
      </c>
      <c r="M7" t="str">
        <f t="shared" si="3"/>
        <v>Type of identifier, other than LEI or MFI code</v>
      </c>
      <c r="N7">
        <f t="shared" si="4"/>
        <v>8526551919.6033516</v>
      </c>
    </row>
    <row r="8" spans="1:14">
      <c r="A8" t="s">
        <v>56</v>
      </c>
      <c r="B8" t="s">
        <v>7</v>
      </c>
      <c r="C8" t="s">
        <v>15</v>
      </c>
      <c r="D8" t="s">
        <v>77</v>
      </c>
      <c r="E8" t="s">
        <v>16</v>
      </c>
      <c r="F8" s="12">
        <v>515277902.06</v>
      </c>
      <c r="G8" s="12">
        <v>-1051127999.4178321</v>
      </c>
      <c r="I8">
        <v>8</v>
      </c>
      <c r="J8" t="str">
        <f t="shared" si="0"/>
        <v>c004x   - Institutions</v>
      </c>
      <c r="K8" t="str">
        <f t="shared" si="1"/>
        <v>8000176012</v>
      </c>
      <c r="L8">
        <f t="shared" si="2"/>
        <v>8</v>
      </c>
      <c r="M8" t="str">
        <f t="shared" si="3"/>
        <v>Type of identifier, other than LEI or MFI code</v>
      </c>
      <c r="N8">
        <f t="shared" si="4"/>
        <v>1051127999.4178321</v>
      </c>
    </row>
    <row r="9" spans="1:14">
      <c r="A9" t="s">
        <v>53</v>
      </c>
      <c r="B9" t="s">
        <v>7</v>
      </c>
      <c r="F9" s="19">
        <v>-4.0000000000000008E-2</v>
      </c>
      <c r="G9"/>
      <c r="I9">
        <v>2</v>
      </c>
      <c r="J9" t="str">
        <f t="shared" si="0"/>
        <v>c004x   - Institutions</v>
      </c>
      <c r="K9" t="str">
        <f t="shared" si="1"/>
        <v>0000000000</v>
      </c>
      <c r="L9" t="str">
        <f t="shared" si="2"/>
        <v>0000000000</v>
      </c>
      <c r="M9" t="str">
        <f t="shared" si="3"/>
        <v>Type of identifier, other than LEI or MFI code</v>
      </c>
      <c r="N9" t="str">
        <f t="shared" si="4"/>
        <v/>
      </c>
    </row>
    <row r="10" spans="1:14">
      <c r="A10" t="s">
        <v>53</v>
      </c>
      <c r="F10" s="19">
        <v>0</v>
      </c>
      <c r="G10"/>
      <c r="I10">
        <v>3</v>
      </c>
      <c r="J10" t="str">
        <f t="shared" si="0"/>
        <v/>
      </c>
      <c r="K10" t="str">
        <f t="shared" si="1"/>
        <v>0000000000</v>
      </c>
      <c r="L10" t="str">
        <f t="shared" si="2"/>
        <v>0000000000</v>
      </c>
      <c r="M10" t="str">
        <f t="shared" si="3"/>
        <v>Type of identifier, other than LEI or MFI code</v>
      </c>
      <c r="N10" t="str">
        <f t="shared" si="4"/>
        <v/>
      </c>
    </row>
  </sheetData>
  <pageMargins left="0.7" right="0.7" top="0.75" bottom="0.75" header="0.3" footer="0.3"/>
  <pageSetup paperSize="9" orientation="portrait" r:id="rId1"/>
  <headerFooter>
    <oddHeader>&amp;L&amp;"Calibri"&amp;10&amp;K000000Confidential&amp;1#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3" ma:contentTypeDescription="Criar um novo documento." ma:contentTypeScope="" ma:versionID="76c42d233f396c620dfe843c8ada89d5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e5843f5cb2ee2b6912e5b34715a9ac2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C49E6C2-E454-41EE-BBB0-6C44D4F77520}"/>
</file>

<file path=customXml/itemProps2.xml><?xml version="1.0" encoding="utf-8"?>
<ds:datastoreItem xmlns:ds="http://schemas.openxmlformats.org/officeDocument/2006/customXml" ds:itemID="{6196E27E-3DDA-4089-9A80-53C6F64F70C2}"/>
</file>

<file path=customXml/itemProps3.xml><?xml version="1.0" encoding="utf-8"?>
<ds:datastoreItem xmlns:ds="http://schemas.openxmlformats.org/officeDocument/2006/customXml" ds:itemID="{7BB4E0DC-BC62-4801-BC13-DA29848245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Instruções</vt:lpstr>
      <vt:lpstr>T 08.00</vt:lpstr>
      <vt:lpstr>Secured finance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Flávia Daniela Costa Pinho</dc:creator>
  <cp:lastModifiedBy>Flávia Daniela Costa Pinho</cp:lastModifiedBy>
  <dcterms:created xsi:type="dcterms:W3CDTF">2021-09-28T13:08:04Z</dcterms:created>
  <dcterms:modified xsi:type="dcterms:W3CDTF">2023-03-13T16:31:11Z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3c41c091-3cbc-4dba-8b59-ce62f19500db_Enabled">
    <vt:lpwstr>true</vt:lpwstr>
  </property>
  <property fmtid="{D5CDD505-2E9C-101B-9397-08002B2CF9AE}" pid="5" name="MSIP_Label_3c41c091-3cbc-4dba-8b59-ce62f19500db_SetDate">
    <vt:lpwstr>2023-03-13T16:31:11Z</vt:lpwstr>
  </property>
  <property fmtid="{D5CDD505-2E9C-101B-9397-08002B2CF9AE}" pid="6" name="MSIP_Label_3c41c091-3cbc-4dba-8b59-ce62f19500db_Method">
    <vt:lpwstr>Privileged</vt:lpwstr>
  </property>
  <property fmtid="{D5CDD505-2E9C-101B-9397-08002B2CF9AE}" pid="7" name="MSIP_Label_3c41c091-3cbc-4dba-8b59-ce62f19500db_Name">
    <vt:lpwstr>Confidential_0_1</vt:lpwstr>
  </property>
  <property fmtid="{D5CDD505-2E9C-101B-9397-08002B2CF9AE}" pid="8" name="MSIP_Label_3c41c091-3cbc-4dba-8b59-ce62f19500db_SiteId">
    <vt:lpwstr>35595a02-4d6d-44ac-99e1-f9ab4cd872db</vt:lpwstr>
  </property>
  <property fmtid="{D5CDD505-2E9C-101B-9397-08002B2CF9AE}" pid="9" name="MSIP_Label_3c41c091-3cbc-4dba-8b59-ce62f19500db_ActionId">
    <vt:lpwstr>3ddd0a8d-0604-4dca-b279-38fb4861794b</vt:lpwstr>
  </property>
  <property fmtid="{D5CDD505-2E9C-101B-9397-08002B2CF9AE}" pid="10" name="MSIP_Label_3c41c091-3cbc-4dba-8b59-ce62f19500db_ContentBits">
    <vt:lpwstr>1</vt:lpwstr>
  </property>
  <property fmtid="{D5CDD505-2E9C-101B-9397-08002B2CF9AE}" pid="11" name="ContentTypeId">
    <vt:lpwstr>0x0101000B6B9A5E792D2446B8986FAE34BEC557</vt:lpwstr>
  </property>
</Properties>
</file>