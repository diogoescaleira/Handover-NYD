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2"/>
  </bookViews>
  <sheets>
    <sheet name="Instruções" sheetId="3" r:id="rId1"/>
    <sheet name="Major counterparties" sheetId="1" r:id="rId2"/>
    <sheet name="T 12.00" sheetId="2" r:id="rId3"/>
  </sheets>
  <definedNames>
    <definedName name="_xlnm.Print_Area" localSheetId="2">'T 12.00'!$A$1:$M$8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K10" i="2"/>
  <c r="K11" i="2"/>
  <c r="K12" i="2"/>
  <c r="K13" i="2"/>
  <c r="K14" i="2"/>
  <c r="K15" i="2"/>
  <c r="K16" i="2"/>
  <c r="K17" i="2"/>
  <c r="K8" i="2"/>
  <c r="J9" i="2"/>
  <c r="J10" i="2"/>
  <c r="J11" i="2"/>
  <c r="J12" i="2"/>
  <c r="J13" i="2"/>
  <c r="J14" i="2"/>
  <c r="J15" i="2"/>
  <c r="J16" i="2"/>
  <c r="J17" i="2"/>
  <c r="J8" i="2"/>
  <c r="I9" i="2"/>
  <c r="I10" i="2"/>
  <c r="I11" i="2"/>
  <c r="I12" i="2"/>
  <c r="I13" i="2"/>
  <c r="I14" i="2"/>
  <c r="I15" i="2"/>
  <c r="I16" i="2"/>
  <c r="I17" i="2"/>
  <c r="I8" i="2"/>
  <c r="H9" i="2"/>
  <c r="H10" i="2"/>
  <c r="H11" i="2"/>
  <c r="H12" i="2"/>
  <c r="H13" i="2"/>
  <c r="H14" i="2"/>
  <c r="H15" i="2"/>
  <c r="H16" i="2"/>
  <c r="H17" i="2"/>
  <c r="H8" i="2"/>
  <c r="G9" i="2"/>
  <c r="G10" i="2"/>
  <c r="G11" i="2"/>
  <c r="G12" i="2"/>
  <c r="G13" i="2"/>
  <c r="G14" i="2"/>
  <c r="G15" i="2"/>
  <c r="G16" i="2"/>
  <c r="G17" i="2"/>
  <c r="G8" i="2"/>
  <c r="E9" i="2"/>
  <c r="E10" i="2"/>
  <c r="E11" i="2"/>
  <c r="E12" i="2"/>
  <c r="E13" i="2"/>
  <c r="E14" i="2"/>
  <c r="E15" i="2"/>
  <c r="E16" i="2"/>
  <c r="E17" i="2"/>
  <c r="E8" i="2"/>
  <c r="D9" i="2"/>
  <c r="D10" i="2"/>
  <c r="D11" i="2"/>
  <c r="D12" i="2"/>
  <c r="D13" i="2"/>
  <c r="D14" i="2"/>
  <c r="D15" i="2"/>
  <c r="D16" i="2"/>
  <c r="D17" i="2"/>
  <c r="D8" i="2"/>
</calcChain>
</file>

<file path=xl/comments1.xml><?xml version="1.0" encoding="utf-8"?>
<comments xmlns="http://schemas.openxmlformats.org/spreadsheetml/2006/main">
  <authors>
    <author>Haizhen Li</author>
    <author>ojones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Metric  =  Name of entity [si]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Individual creditors (derivatives, commitments received)  =  &lt;Key value&gt;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>Metric  =  Type of identifier [ei:AT:AT99]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Metric  =  Group or individual [ei:ZZ:ZZ9]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Metric  =  Jurisdiction of incorporation [ei:GA:GA4_1]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Metric  =  Sector of the counterparty [ei:CT:CT16_1]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Metric  =  Outstanding amount [mi]_x000D_
Base  =  Off balance sheet items_x000D_
Main category  =  Loan commitments received, Financial guarantees received, Other commitments received, Derivatives_x000D_
Instrument  =  Specific type of commitment received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D8" authorId="1" shapeId="0">
      <text>
        <r>
          <rPr>
            <sz val="9"/>
            <color indexed="81"/>
            <rFont val="Tahoma"/>
            <family val="2"/>
          </rPr>
          <t>Metric  =  Name of entity [si]</t>
        </r>
      </text>
    </comment>
    <comment ref="E8" authorId="1" shapeId="0">
      <text>
        <r>
          <rPr>
            <sz val="9"/>
            <color indexed="81"/>
            <rFont val="Tahoma"/>
            <family val="2"/>
          </rPr>
          <t>Individual creditors (derivatives, commitments received)  =  &lt;Key value&gt;</t>
        </r>
      </text>
    </comment>
    <comment ref="F8" authorId="1" shapeId="0">
      <text>
        <r>
          <rPr>
            <sz val="9"/>
            <color indexed="81"/>
            <rFont val="Tahoma"/>
            <family val="2"/>
          </rPr>
          <t>Metric  =  Type of identifier [ei:AT:AT99]</t>
        </r>
      </text>
    </comment>
    <comment ref="G8" authorId="1" shapeId="0">
      <text>
        <r>
          <rPr>
            <sz val="9"/>
            <color indexed="81"/>
            <rFont val="Tahoma"/>
            <family val="2"/>
          </rPr>
          <t>Metric  =  Group or individual [ei:ZZ:ZZ9]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Metric  =  Jurisdiction of incorporation [ei:GA:GA4_1]</t>
        </r>
      </text>
    </comment>
    <comment ref="I8" authorId="1" shapeId="0">
      <text>
        <r>
          <rPr>
            <sz val="9"/>
            <color indexed="81"/>
            <rFont val="Tahoma"/>
            <family val="2"/>
          </rPr>
          <t>Metric  =  Sector of the counterparty [ei:CT:CT16_1]</t>
        </r>
      </text>
    </comment>
    <comment ref="J8" authorId="1" shapeId="0">
      <text>
        <r>
          <rPr>
            <sz val="9"/>
            <color indexed="81"/>
            <rFont val="Tahoma"/>
            <family val="2"/>
          </rPr>
          <t>Type of financial interconnection  =  &lt;Key value&gt; [ZZ53]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Metric  =  Outstanding amount [mi]_x000D_
Base  =  Off balance sheet items_x000D_
Main category  =  Loan commitments received, Financial guarantees received, Other commitments received, Derivatives_x000D_
Instrument  =  Specific type of commitment received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Type of financial interconnection  =  &lt;Key value&gt; [ZZ53]_x000D_
Individual creditors (derivatives, commitments received)  =  &lt;Key value&gt;</t>
        </r>
      </text>
    </comment>
  </commentList>
</comments>
</file>

<file path=xl/sharedStrings.xml><?xml version="1.0" encoding="utf-8"?>
<sst xmlns="http://schemas.openxmlformats.org/spreadsheetml/2006/main" count="103" uniqueCount="60">
  <si>
    <t>nomegrup</t>
  </si>
  <si>
    <t>zcliente_princ</t>
  </si>
  <si>
    <t>tayd91c0_gelem30</t>
  </si>
  <si>
    <t>contraparte_i_desc</t>
  </si>
  <si>
    <t>Calculation</t>
  </si>
  <si>
    <t>SONAE</t>
  </si>
  <si>
    <t>0000001124</t>
  </si>
  <si>
    <t>PORTUGAL</t>
  </si>
  <si>
    <t>outras empresas nao financeiras</t>
  </si>
  <si>
    <t>91</t>
  </si>
  <si>
    <t>ESTADO-RAM</t>
  </si>
  <si>
    <t>8046435017</t>
  </si>
  <si>
    <t>setor publico</t>
  </si>
  <si>
    <t>CS MADEIRA</t>
  </si>
  <si>
    <t>5100288107</t>
  </si>
  <si>
    <t>GALPENERGIA</t>
  </si>
  <si>
    <t>8046324613</t>
  </si>
  <si>
    <t>SANTANDER</t>
  </si>
  <si>
    <t>0000003686</t>
  </si>
  <si>
    <t>outras instituicoes financeiras</t>
  </si>
  <si>
    <t>T 12.00 - Major counterparties (derivatives, commitments received)</t>
  </si>
  <si>
    <t>Columns</t>
  </si>
  <si>
    <t>Counterparty</t>
  </si>
  <si>
    <t>Entity name</t>
  </si>
  <si>
    <t>Counterparty identifier (preferably LEI)</t>
  </si>
  <si>
    <t>Type of identifier</t>
  </si>
  <si>
    <t>Group or individual</t>
  </si>
  <si>
    <t>Country of incorporation</t>
  </si>
  <si>
    <t>Sector</t>
  </si>
  <si>
    <t>Type of off-balance sheet Exposure</t>
  </si>
  <si>
    <t>Amount</t>
  </si>
  <si>
    <t>0010</t>
  </si>
  <si>
    <t>0020</t>
  </si>
  <si>
    <t>0025</t>
  </si>
  <si>
    <t>0030</t>
  </si>
  <si>
    <t>0040</t>
  </si>
  <si>
    <t>0050</t>
  </si>
  <si>
    <t>0060</t>
  </si>
  <si>
    <t>0070</t>
  </si>
  <si>
    <t>Rows</t>
  </si>
  <si>
    <t>Major counterparties</t>
  </si>
  <si>
    <t>999</t>
  </si>
  <si>
    <t>Type of identifier, other than LEI or MFI code</t>
  </si>
  <si>
    <t>Numero de entidades</t>
  </si>
  <si>
    <t>Instruções</t>
  </si>
  <si>
    <t>3- Carregar no button</t>
  </si>
  <si>
    <t>4- Se a macro der erro, verificar que a sheet "Major counterparties" não tem filtros e recomeçar do inicio</t>
  </si>
  <si>
    <t>SUM_of_SUM_of_msaldo_final1</t>
  </si>
  <si>
    <t>ALTRI</t>
  </si>
  <si>
    <t>8028841075</t>
  </si>
  <si>
    <t>BARRAQUEIRO</t>
  </si>
  <si>
    <t>8029429834</t>
  </si>
  <si>
    <t>VIOLAS</t>
  </si>
  <si>
    <t>7400154445</t>
  </si>
  <si>
    <t>BBI GLASS</t>
  </si>
  <si>
    <t>7400934390</t>
  </si>
  <si>
    <t xml:space="preserve">1- Apagar a informação que consta na folha "Major counterparties" </t>
  </si>
  <si>
    <t xml:space="preserve">2- Copiar a informação da tabela T12.00 extraída do projeto SAS e copiar para a folha "Major counterparties" </t>
  </si>
  <si>
    <t>AMORIM</t>
  </si>
  <si>
    <t>8008751317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</si>
</sst>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2">
    <font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20"/>
      <name val="Calibri"/>
      <family val="2"/>
      <scheme val="minor"/>
    </font>
    <font>
      <b/>
      <sz val="9"/>
      <color indexed="2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20"/>
      <name val="Calibri"/>
      <family val="2"/>
      <scheme val="minor"/>
    </font>
    <font>
      <sz val="9"/>
      <color indexed="2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sz val="8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164" fontId="0" fillId="0" borderId="0" xfId="0" applyNumberFormat="1"/>
    <xf numFmtId="0" fontId="1" fillId="0" borderId="0" xfId="1" applyAlignment="1">
      <alignment wrapText="1"/>
    </xf>
    <xf numFmtId="0" fontId="1" fillId="0" borderId="0" xfId="1"/>
    <xf numFmtId="0" fontId="1" fillId="2" borderId="6" xfId="1" applyFill="1" applyBorder="1" applyAlignment="1">
      <alignment horizontal="left" vertical="top" wrapText="1"/>
    </xf>
    <xf numFmtId="0" fontId="1" fillId="2" borderId="6" xfId="1" quotePrefix="1" applyFill="1" applyBorder="1" applyAlignment="1">
      <alignment horizontal="left" vertical="top" wrapText="1"/>
    </xf>
    <xf numFmtId="4" fontId="5" fillId="0" borderId="7" xfId="1" applyNumberFormat="1" applyFont="1" applyFill="1" applyBorder="1" applyAlignment="1">
      <alignment horizontal="center" vertical="center" wrapText="1"/>
    </xf>
    <xf numFmtId="0" fontId="5" fillId="0" borderId="7" xfId="1" applyFont="1" applyFill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textRotation="90"/>
    </xf>
    <xf numFmtId="0" fontId="1" fillId="0" borderId="5" xfId="1" applyFill="1" applyBorder="1" applyAlignment="1">
      <alignment horizontal="left" vertical="center" wrapText="1"/>
    </xf>
    <xf numFmtId="0" fontId="1" fillId="0" borderId="6" xfId="1" quotePrefix="1" applyFill="1" applyBorder="1" applyAlignment="1">
      <alignment horizontal="left" vertical="center"/>
    </xf>
    <xf numFmtId="0" fontId="6" fillId="0" borderId="0" xfId="1" applyFont="1" applyFill="1" applyAlignment="1">
      <alignment horizontal="left" vertical="top" wrapText="1"/>
    </xf>
    <xf numFmtId="0" fontId="7" fillId="0" borderId="0" xfId="1" applyFont="1" applyFill="1" applyAlignment="1">
      <alignment horizontal="left" vertical="top" wrapText="1"/>
    </xf>
    <xf numFmtId="0" fontId="1" fillId="0" borderId="0" xfId="1" applyFill="1"/>
    <xf numFmtId="0" fontId="1" fillId="0" borderId="0" xfId="1" applyFill="1" applyAlignment="1">
      <alignment wrapText="1"/>
    </xf>
    <xf numFmtId="0" fontId="10" fillId="0" borderId="0" xfId="0" applyFont="1"/>
    <xf numFmtId="0" fontId="9" fillId="0" borderId="0" xfId="0" applyFont="1"/>
    <xf numFmtId="0" fontId="0" fillId="0" borderId="0" xfId="0" applyAlignment="1">
      <alignment horizontal="center"/>
    </xf>
    <xf numFmtId="0" fontId="2" fillId="2" borderId="1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center" vertical="center"/>
    </xf>
    <xf numFmtId="0" fontId="1" fillId="2" borderId="3" xfId="1" applyFill="1" applyBorder="1" applyAlignment="1">
      <alignment horizontal="left" vertical="top" wrapText="1"/>
    </xf>
    <xf numFmtId="0" fontId="1" fillId="2" borderId="4" xfId="1" applyFill="1" applyBorder="1" applyAlignment="1">
      <alignment horizontal="left" vertical="top" wrapText="1"/>
    </xf>
    <xf numFmtId="0" fontId="1" fillId="2" borderId="5" xfId="1" applyFill="1" applyBorder="1" applyAlignment="1">
      <alignment horizontal="left" vertical="top" wrapText="1"/>
    </xf>
    <xf numFmtId="0" fontId="3" fillId="0" borderId="1" xfId="1" applyFont="1" applyBorder="1" applyAlignment="1">
      <alignment horizontal="left" wrapText="1"/>
    </xf>
    <xf numFmtId="0" fontId="4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4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161925</xdr:rowOff>
    </xdr:from>
    <xdr:to>
      <xdr:col>3</xdr:col>
      <xdr:colOff>342900</xdr:colOff>
      <xdr:row>9</xdr:row>
      <xdr:rowOff>38100</xdr:rowOff>
    </xdr:to>
    <xdr:sp macro="[0]!MajorcounterpartiesT120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12.00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5"/>
  <sheetViews>
    <sheetView showGridLines="0" workbookViewId="0">
      <selection activeCell="I11" sqref="I11"/>
    </sheetView>
  </sheetViews>
  <sheetFormatPr defaultRowHeight="14.25"/>
  <sheetData>
    <row r="2" spans="2:14">
      <c r="B2" s="15" t="s">
        <v>44</v>
      </c>
    </row>
    <row r="3" spans="2:14">
      <c r="B3" t="s">
        <v>56</v>
      </c>
    </row>
    <row r="4" spans="2:14">
      <c r="B4" t="s">
        <v>57</v>
      </c>
    </row>
    <row r="5" spans="2:14">
      <c r="B5" t="s">
        <v>45</v>
      </c>
    </row>
    <row r="6" spans="2:14">
      <c r="B6" s="16" t="s">
        <v>46</v>
      </c>
    </row>
    <row r="15" spans="2:14">
      <c r="N15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"/>
  <sheetViews>
    <sheetView workbookViewId="0">
      <selection activeCell="D15" sqref="D15"/>
    </sheetView>
  </sheetViews>
  <sheetFormatPr defaultRowHeight="14.25"/>
  <cols>
    <col min="1" max="1" width="31.265625" bestFit="1" customWidth="1"/>
    <col min="2" max="2" width="13.59765625" bestFit="1" customWidth="1"/>
    <col min="3" max="3" width="17.59765625" bestFit="1" customWidth="1"/>
    <col min="4" max="4" width="30.1328125" bestFit="1" customWidth="1"/>
    <col min="5" max="5" width="28.73046875" bestFit="1" customWidth="1"/>
    <col min="6" max="6" width="10.86328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47</v>
      </c>
      <c r="F1" t="s">
        <v>4</v>
      </c>
      <c r="G1" t="s">
        <v>43</v>
      </c>
    </row>
    <row r="2" spans="1:7">
      <c r="A2" t="s">
        <v>5</v>
      </c>
      <c r="B2" t="s">
        <v>6</v>
      </c>
      <c r="C2" t="s">
        <v>7</v>
      </c>
      <c r="D2" t="s">
        <v>8</v>
      </c>
      <c r="E2" s="1">
        <v>-1398018660</v>
      </c>
      <c r="F2" t="s">
        <v>9</v>
      </c>
      <c r="G2">
        <v>5</v>
      </c>
    </row>
    <row r="3" spans="1:7">
      <c r="A3" t="s">
        <v>58</v>
      </c>
      <c r="B3" t="s">
        <v>59</v>
      </c>
      <c r="C3" t="s">
        <v>7</v>
      </c>
      <c r="D3" t="s">
        <v>8</v>
      </c>
      <c r="E3" s="1">
        <v>-630550000</v>
      </c>
      <c r="F3" t="s">
        <v>9</v>
      </c>
      <c r="G3">
        <v>10</v>
      </c>
    </row>
    <row r="4" spans="1:7">
      <c r="A4" t="s">
        <v>10</v>
      </c>
      <c r="B4" t="s">
        <v>11</v>
      </c>
      <c r="C4" t="s">
        <v>7</v>
      </c>
      <c r="D4" t="s">
        <v>12</v>
      </c>
      <c r="E4" s="1">
        <v>-628590997.25</v>
      </c>
      <c r="F4" t="s">
        <v>9</v>
      </c>
      <c r="G4">
        <v>4</v>
      </c>
    </row>
    <row r="5" spans="1:7">
      <c r="A5" t="s">
        <v>48</v>
      </c>
      <c r="B5" t="s">
        <v>49</v>
      </c>
      <c r="C5" t="s">
        <v>7</v>
      </c>
      <c r="D5" t="s">
        <v>8</v>
      </c>
      <c r="E5" s="1">
        <v>-613000000</v>
      </c>
      <c r="F5" t="s">
        <v>9</v>
      </c>
      <c r="G5">
        <v>8</v>
      </c>
    </row>
    <row r="6" spans="1:7">
      <c r="A6" t="s">
        <v>15</v>
      </c>
      <c r="B6" t="s">
        <v>16</v>
      </c>
      <c r="C6" t="s">
        <v>7</v>
      </c>
      <c r="D6" t="s">
        <v>8</v>
      </c>
      <c r="E6" s="1">
        <v>-600000000</v>
      </c>
      <c r="F6" t="s">
        <v>9</v>
      </c>
      <c r="G6">
        <v>7</v>
      </c>
    </row>
    <row r="7" spans="1:7">
      <c r="A7" t="s">
        <v>52</v>
      </c>
      <c r="B7" t="s">
        <v>53</v>
      </c>
      <c r="C7" t="s">
        <v>7</v>
      </c>
      <c r="D7" t="s">
        <v>8</v>
      </c>
      <c r="E7" s="1">
        <v>-425500001.96000004</v>
      </c>
      <c r="F7" t="s">
        <v>9</v>
      </c>
      <c r="G7">
        <v>7</v>
      </c>
    </row>
    <row r="8" spans="1:7">
      <c r="A8" t="s">
        <v>13</v>
      </c>
      <c r="B8" t="s">
        <v>14</v>
      </c>
      <c r="C8" t="s">
        <v>7</v>
      </c>
      <c r="D8" t="s">
        <v>8</v>
      </c>
      <c r="E8" s="1">
        <v>-419605349.25999999</v>
      </c>
      <c r="F8" t="s">
        <v>9</v>
      </c>
      <c r="G8">
        <v>3</v>
      </c>
    </row>
    <row r="9" spans="1:7">
      <c r="A9" t="s">
        <v>50</v>
      </c>
      <c r="B9" t="s">
        <v>51</v>
      </c>
      <c r="C9" t="s">
        <v>7</v>
      </c>
      <c r="D9" t="s">
        <v>8</v>
      </c>
      <c r="E9" s="1">
        <v>-379649951.52999997</v>
      </c>
      <c r="F9" t="s">
        <v>9</v>
      </c>
      <c r="G9">
        <v>17</v>
      </c>
    </row>
    <row r="10" spans="1:7">
      <c r="A10" t="s">
        <v>54</v>
      </c>
      <c r="B10" t="s">
        <v>55</v>
      </c>
      <c r="C10" t="s">
        <v>7</v>
      </c>
      <c r="D10" t="s">
        <v>8</v>
      </c>
      <c r="E10" s="1">
        <v>-368500000</v>
      </c>
      <c r="F10" t="s">
        <v>9</v>
      </c>
      <c r="G10">
        <v>4</v>
      </c>
    </row>
    <row r="11" spans="1:7">
      <c r="A11" t="s">
        <v>17</v>
      </c>
      <c r="B11" t="s">
        <v>18</v>
      </c>
      <c r="C11" t="s">
        <v>7</v>
      </c>
      <c r="D11" t="s">
        <v>19</v>
      </c>
      <c r="E11" s="1">
        <v>-300000000</v>
      </c>
      <c r="F11" t="s">
        <v>9</v>
      </c>
      <c r="G11">
        <v>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M17"/>
  <sheetViews>
    <sheetView showGridLines="0"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:K17"/>
    </sheetView>
  </sheetViews>
  <sheetFormatPr defaultColWidth="9.1328125" defaultRowHeight="14.25"/>
  <cols>
    <col min="1" max="1" width="5.59765625" style="3" customWidth="1"/>
    <col min="2" max="2" width="20.1328125" style="3" bestFit="1" customWidth="1"/>
    <col min="3" max="3" width="3.86328125" style="3" bestFit="1" customWidth="1"/>
    <col min="4" max="11" width="20.59765625" style="3" customWidth="1"/>
    <col min="12" max="13" width="25.59765625" style="2" customWidth="1"/>
    <col min="14" max="16384" width="9.1328125" style="3"/>
  </cols>
  <sheetData>
    <row r="1" spans="1:13">
      <c r="A1" s="18" t="s">
        <v>20</v>
      </c>
      <c r="B1" s="19"/>
      <c r="C1" s="19"/>
      <c r="D1" s="19"/>
      <c r="E1" s="19"/>
      <c r="F1" s="19"/>
      <c r="G1" s="19"/>
      <c r="H1" s="19"/>
      <c r="I1" s="19"/>
      <c r="J1" s="19"/>
      <c r="K1" s="19"/>
    </row>
    <row r="4" spans="1:13">
      <c r="D4" s="20" t="s">
        <v>21</v>
      </c>
      <c r="E4" s="20"/>
      <c r="F4" s="20"/>
      <c r="G4" s="20"/>
      <c r="H4" s="20"/>
      <c r="I4" s="20"/>
      <c r="J4" s="20"/>
      <c r="K4" s="20"/>
    </row>
    <row r="5" spans="1:13">
      <c r="D5" s="21" t="s">
        <v>22</v>
      </c>
      <c r="E5" s="22"/>
      <c r="F5" s="22"/>
      <c r="G5" s="22"/>
      <c r="H5" s="22"/>
      <c r="I5" s="22"/>
      <c r="J5" s="22"/>
      <c r="K5" s="23"/>
      <c r="L5" s="24"/>
      <c r="M5" s="25"/>
    </row>
    <row r="6" spans="1:13" ht="28.5">
      <c r="D6" s="4" t="s">
        <v>23</v>
      </c>
      <c r="E6" s="4" t="s">
        <v>24</v>
      </c>
      <c r="F6" s="4" t="s">
        <v>25</v>
      </c>
      <c r="G6" s="4" t="s">
        <v>26</v>
      </c>
      <c r="H6" s="4" t="s">
        <v>27</v>
      </c>
      <c r="I6" s="4" t="s">
        <v>28</v>
      </c>
      <c r="J6" s="4" t="s">
        <v>29</v>
      </c>
      <c r="K6" s="4" t="s">
        <v>30</v>
      </c>
      <c r="L6" s="24"/>
      <c r="M6" s="25"/>
    </row>
    <row r="7" spans="1:13" ht="14.65" thickBot="1">
      <c r="D7" s="5" t="s">
        <v>31</v>
      </c>
      <c r="E7" s="5" t="s">
        <v>32</v>
      </c>
      <c r="F7" s="5" t="s">
        <v>33</v>
      </c>
      <c r="G7" s="5" t="s">
        <v>34</v>
      </c>
      <c r="H7" s="5" t="s">
        <v>35</v>
      </c>
      <c r="I7" s="5" t="s">
        <v>36</v>
      </c>
      <c r="J7" s="5" t="s">
        <v>37</v>
      </c>
      <c r="K7" s="5" t="s">
        <v>38</v>
      </c>
    </row>
    <row r="8" spans="1:13" s="13" customFormat="1" ht="29.25" thickBot="1">
      <c r="A8" s="8" t="s">
        <v>39</v>
      </c>
      <c r="B8" s="9" t="s">
        <v>40</v>
      </c>
      <c r="C8" s="10" t="s">
        <v>41</v>
      </c>
      <c r="D8" s="7" t="str">
        <f>'Major counterparties'!A2</f>
        <v>SONAE</v>
      </c>
      <c r="E8" s="7" t="str">
        <f>'Major counterparties'!B2</f>
        <v>0000001124</v>
      </c>
      <c r="F8" s="7" t="s">
        <v>42</v>
      </c>
      <c r="G8" s="7" t="str">
        <f>IF('Major counterparties'!G2&gt;1,"2 - Exposures to groups of connected clients","1 - Exposures to individual clients")</f>
        <v>2 - Exposures to groups of connected clients</v>
      </c>
      <c r="H8" s="7" t="str">
        <f>'Major counterparties'!C2</f>
        <v>PORTUGAL</v>
      </c>
      <c r="I8" s="7" t="str">
        <f>IF('Major counterparties'!D2="instituicoes de credito","Financial corporations other than credit institutions",IF('Major counterparties'!D2="bancos centrais","Central banks",IF('Major counterparties'!D2="particulares","Households","Non-financial corporations")))</f>
        <v>Non-financial corporations</v>
      </c>
      <c r="J8" s="7" t="str">
        <f>IF('Major counterparties'!F2="91","OBS.02 - Financial guarantees received",IF('Major counterparties'!F2="93","OBS.01 - Loan commitments received",""))</f>
        <v>OBS.02 - Financial guarantees received</v>
      </c>
      <c r="K8" s="6">
        <f>-'Major counterparties'!E2</f>
        <v>1398018660</v>
      </c>
      <c r="L8" s="11"/>
      <c r="M8" s="12"/>
    </row>
    <row r="9" spans="1:13" s="13" customFormat="1" ht="23.65" thickBot="1">
      <c r="C9" s="10" t="s">
        <v>41</v>
      </c>
      <c r="D9" s="7" t="str">
        <f>'Major counterparties'!A3</f>
        <v>AMORIM</v>
      </c>
      <c r="E9" s="7" t="str">
        <f>'Major counterparties'!B3</f>
        <v>8008751317</v>
      </c>
      <c r="F9" s="7" t="s">
        <v>42</v>
      </c>
      <c r="G9" s="7" t="str">
        <f>IF('Major counterparties'!G3&gt;1,"2 - Exposures to groups of connected clients","1 - Exposures to individual clients")</f>
        <v>2 - Exposures to groups of connected clients</v>
      </c>
      <c r="H9" s="7" t="str">
        <f>'Major counterparties'!C3</f>
        <v>PORTUGAL</v>
      </c>
      <c r="I9" s="7" t="str">
        <f>IF('Major counterparties'!D3="instituicoes de credito","Financial corporations other than credit institutions",IF('Major counterparties'!D3="bancos centrais","Central banks",IF('Major counterparties'!D3="particulares","Households","Non-financial corporations")))</f>
        <v>Non-financial corporations</v>
      </c>
      <c r="J9" s="7" t="str">
        <f>IF('Major counterparties'!F3="91","OBS.02 - Financial guarantees received",IF('Major counterparties'!F3="93","OBS.01 - Loan commitments received",""))</f>
        <v>OBS.02 - Financial guarantees received</v>
      </c>
      <c r="K9" s="6">
        <f>-'Major counterparties'!E3</f>
        <v>630550000</v>
      </c>
      <c r="L9" s="14"/>
      <c r="M9" s="14"/>
    </row>
    <row r="10" spans="1:13" s="13" customFormat="1" ht="23.65" thickBot="1">
      <c r="C10" s="10" t="s">
        <v>41</v>
      </c>
      <c r="D10" s="7" t="str">
        <f>'Major counterparties'!A4</f>
        <v>ESTADO-RAM</v>
      </c>
      <c r="E10" s="7" t="str">
        <f>'Major counterparties'!B4</f>
        <v>8046435017</v>
      </c>
      <c r="F10" s="7" t="s">
        <v>42</v>
      </c>
      <c r="G10" s="7" t="str">
        <f>IF('Major counterparties'!G4&gt;1,"2 - Exposures to groups of connected clients","1 - Exposures to individual clients")</f>
        <v>2 - Exposures to groups of connected clients</v>
      </c>
      <c r="H10" s="7" t="str">
        <f>'Major counterparties'!C4</f>
        <v>PORTUGAL</v>
      </c>
      <c r="I10" s="7" t="str">
        <f>IF('Major counterparties'!D4="instituicoes de credito","Financial corporations other than credit institutions",IF('Major counterparties'!D4="bancos centrais","Central banks",IF('Major counterparties'!D4="particulares","Households","Non-financial corporations")))</f>
        <v>Non-financial corporations</v>
      </c>
      <c r="J10" s="7" t="str">
        <f>IF('Major counterparties'!F4="91","OBS.02 - Financial guarantees received",IF('Major counterparties'!F4="93","OBS.01 - Loan commitments received",""))</f>
        <v>OBS.02 - Financial guarantees received</v>
      </c>
      <c r="K10" s="6">
        <f>-'Major counterparties'!E4</f>
        <v>628590997.25</v>
      </c>
      <c r="L10" s="14"/>
      <c r="M10" s="14"/>
    </row>
    <row r="11" spans="1:13" s="13" customFormat="1" ht="23.65" thickBot="1">
      <c r="C11" s="10" t="s">
        <v>41</v>
      </c>
      <c r="D11" s="7" t="str">
        <f>'Major counterparties'!A5</f>
        <v>ALTRI</v>
      </c>
      <c r="E11" s="7" t="str">
        <f>'Major counterparties'!B5</f>
        <v>8028841075</v>
      </c>
      <c r="F11" s="7" t="s">
        <v>42</v>
      </c>
      <c r="G11" s="7" t="str">
        <f>IF('Major counterparties'!G5&gt;1,"2 - Exposures to groups of connected clients","1 - Exposures to individual clients")</f>
        <v>2 - Exposures to groups of connected clients</v>
      </c>
      <c r="H11" s="7" t="str">
        <f>'Major counterparties'!C5</f>
        <v>PORTUGAL</v>
      </c>
      <c r="I11" s="7" t="str">
        <f>IF('Major counterparties'!D5="instituicoes de credito","Financial corporations other than credit institutions",IF('Major counterparties'!D5="bancos centrais","Central banks",IF('Major counterparties'!D5="particulares","Households","Non-financial corporations")))</f>
        <v>Non-financial corporations</v>
      </c>
      <c r="J11" s="7" t="str">
        <f>IF('Major counterparties'!F5="91","OBS.02 - Financial guarantees received",IF('Major counterparties'!F5="93","OBS.01 - Loan commitments received",""))</f>
        <v>OBS.02 - Financial guarantees received</v>
      </c>
      <c r="K11" s="6">
        <f>-'Major counterparties'!E5</f>
        <v>613000000</v>
      </c>
      <c r="L11" s="14"/>
      <c r="M11" s="14"/>
    </row>
    <row r="12" spans="1:13" s="13" customFormat="1" ht="23.65" thickBot="1">
      <c r="C12" s="10" t="s">
        <v>41</v>
      </c>
      <c r="D12" s="7" t="str">
        <f>'Major counterparties'!A6</f>
        <v>GALPENERGIA</v>
      </c>
      <c r="E12" s="7" t="str">
        <f>'Major counterparties'!B6</f>
        <v>8046324613</v>
      </c>
      <c r="F12" s="7" t="s">
        <v>42</v>
      </c>
      <c r="G12" s="7" t="str">
        <f>IF('Major counterparties'!G6&gt;1,"2 - Exposures to groups of connected clients","1 - Exposures to individual clients")</f>
        <v>2 - Exposures to groups of connected clients</v>
      </c>
      <c r="H12" s="7" t="str">
        <f>'Major counterparties'!C6</f>
        <v>PORTUGAL</v>
      </c>
      <c r="I12" s="7" t="str">
        <f>IF('Major counterparties'!D6="instituicoes de credito","Financial corporations other than credit institutions",IF('Major counterparties'!D6="bancos centrais","Central banks",IF('Major counterparties'!D6="particulares","Households","Non-financial corporations")))</f>
        <v>Non-financial corporations</v>
      </c>
      <c r="J12" s="7" t="str">
        <f>IF('Major counterparties'!F6="91","OBS.02 - Financial guarantees received",IF('Major counterparties'!F6="93","OBS.01 - Loan commitments received",""))</f>
        <v>OBS.02 - Financial guarantees received</v>
      </c>
      <c r="K12" s="6">
        <f>-'Major counterparties'!E6</f>
        <v>600000000</v>
      </c>
      <c r="L12" s="14"/>
      <c r="M12" s="14"/>
    </row>
    <row r="13" spans="1:13" s="13" customFormat="1" ht="23.65" thickBot="1">
      <c r="C13" s="10" t="s">
        <v>41</v>
      </c>
      <c r="D13" s="7" t="str">
        <f>'Major counterparties'!A7</f>
        <v>VIOLAS</v>
      </c>
      <c r="E13" s="7" t="str">
        <f>'Major counterparties'!B7</f>
        <v>7400154445</v>
      </c>
      <c r="F13" s="7" t="s">
        <v>42</v>
      </c>
      <c r="G13" s="7" t="str">
        <f>IF('Major counterparties'!G7&gt;1,"2 - Exposures to groups of connected clients","1 - Exposures to individual clients")</f>
        <v>2 - Exposures to groups of connected clients</v>
      </c>
      <c r="H13" s="7" t="str">
        <f>'Major counterparties'!C7</f>
        <v>PORTUGAL</v>
      </c>
      <c r="I13" s="7" t="str">
        <f>IF('Major counterparties'!D7="instituicoes de credito","Financial corporations other than credit institutions",IF('Major counterparties'!D7="bancos centrais","Central banks",IF('Major counterparties'!D7="particulares","Households","Non-financial corporations")))</f>
        <v>Non-financial corporations</v>
      </c>
      <c r="J13" s="7" t="str">
        <f>IF('Major counterparties'!F7="91","OBS.02 - Financial guarantees received",IF('Major counterparties'!F7="93","OBS.01 - Loan commitments received",""))</f>
        <v>OBS.02 - Financial guarantees received</v>
      </c>
      <c r="K13" s="6">
        <f>-'Major counterparties'!E7</f>
        <v>425500001.96000004</v>
      </c>
      <c r="L13" s="14"/>
      <c r="M13" s="14"/>
    </row>
    <row r="14" spans="1:13" s="13" customFormat="1" ht="23.65" thickBot="1">
      <c r="C14" s="10" t="s">
        <v>41</v>
      </c>
      <c r="D14" s="7" t="str">
        <f>'Major counterparties'!A8</f>
        <v>CS MADEIRA</v>
      </c>
      <c r="E14" s="7" t="str">
        <f>'Major counterparties'!B8</f>
        <v>5100288107</v>
      </c>
      <c r="F14" s="7" t="s">
        <v>42</v>
      </c>
      <c r="G14" s="7" t="str">
        <f>IF('Major counterparties'!G8&gt;1,"2 - Exposures to groups of connected clients","1 - Exposures to individual clients")</f>
        <v>2 - Exposures to groups of connected clients</v>
      </c>
      <c r="H14" s="7" t="str">
        <f>'Major counterparties'!C8</f>
        <v>PORTUGAL</v>
      </c>
      <c r="I14" s="7" t="str">
        <f>IF('Major counterparties'!D8="instituicoes de credito","Financial corporations other than credit institutions",IF('Major counterparties'!D8="bancos centrais","Central banks",IF('Major counterparties'!D8="particulares","Households","Non-financial corporations")))</f>
        <v>Non-financial corporations</v>
      </c>
      <c r="J14" s="7" t="str">
        <f>IF('Major counterparties'!F8="91","OBS.02 - Financial guarantees received",IF('Major counterparties'!F8="93","OBS.01 - Loan commitments received",""))</f>
        <v>OBS.02 - Financial guarantees received</v>
      </c>
      <c r="K14" s="6">
        <f>-'Major counterparties'!E8</f>
        <v>419605349.25999999</v>
      </c>
      <c r="L14" s="14"/>
      <c r="M14" s="14"/>
    </row>
    <row r="15" spans="1:13" s="13" customFormat="1" ht="23.65" thickBot="1">
      <c r="C15" s="10" t="s">
        <v>41</v>
      </c>
      <c r="D15" s="7" t="str">
        <f>'Major counterparties'!A9</f>
        <v>BARRAQUEIRO</v>
      </c>
      <c r="E15" s="7" t="str">
        <f>'Major counterparties'!B9</f>
        <v>8029429834</v>
      </c>
      <c r="F15" s="7" t="s">
        <v>42</v>
      </c>
      <c r="G15" s="7" t="str">
        <f>IF('Major counterparties'!G9&gt;1,"2 - Exposures to groups of connected clients","1 - Exposures to individual clients")</f>
        <v>2 - Exposures to groups of connected clients</v>
      </c>
      <c r="H15" s="7" t="str">
        <f>'Major counterparties'!C9</f>
        <v>PORTUGAL</v>
      </c>
      <c r="I15" s="7" t="str">
        <f>IF('Major counterparties'!D9="instituicoes de credito","Financial corporations other than credit institutions",IF('Major counterparties'!D9="bancos centrais","Central banks",IF('Major counterparties'!D9="particulares","Households","Non-financial corporations")))</f>
        <v>Non-financial corporations</v>
      </c>
      <c r="J15" s="7" t="str">
        <f>IF('Major counterparties'!F9="91","OBS.02 - Financial guarantees received",IF('Major counterparties'!F9="93","OBS.01 - Loan commitments received",""))</f>
        <v>OBS.02 - Financial guarantees received</v>
      </c>
      <c r="K15" s="6">
        <f>-'Major counterparties'!E9</f>
        <v>379649951.52999997</v>
      </c>
      <c r="L15" s="14"/>
      <c r="M15" s="14"/>
    </row>
    <row r="16" spans="1:13" s="13" customFormat="1" ht="23.65" thickBot="1">
      <c r="C16" s="10" t="s">
        <v>41</v>
      </c>
      <c r="D16" s="7" t="str">
        <f>'Major counterparties'!A10</f>
        <v>BBI GLASS</v>
      </c>
      <c r="E16" s="7" t="str">
        <f>'Major counterparties'!B10</f>
        <v>7400934390</v>
      </c>
      <c r="F16" s="7" t="s">
        <v>42</v>
      </c>
      <c r="G16" s="7" t="str">
        <f>IF('Major counterparties'!G10&gt;1,"2 - Exposures to groups of connected clients","1 - Exposures to individual clients")</f>
        <v>2 - Exposures to groups of connected clients</v>
      </c>
      <c r="H16" s="7" t="str">
        <f>'Major counterparties'!C10</f>
        <v>PORTUGAL</v>
      </c>
      <c r="I16" s="7" t="str">
        <f>IF('Major counterparties'!D10="instituicoes de credito","Financial corporations other than credit institutions",IF('Major counterparties'!D10="bancos centrais","Central banks",IF('Major counterparties'!D10="particulares","Households","Non-financial corporations")))</f>
        <v>Non-financial corporations</v>
      </c>
      <c r="J16" s="7" t="str">
        <f>IF('Major counterparties'!F10="91","OBS.02 - Financial guarantees received",IF('Major counterparties'!F10="93","OBS.01 - Loan commitments received",""))</f>
        <v>OBS.02 - Financial guarantees received</v>
      </c>
      <c r="K16" s="6">
        <f>-'Major counterparties'!E10</f>
        <v>368500000</v>
      </c>
      <c r="L16" s="14"/>
      <c r="M16" s="14"/>
    </row>
    <row r="17" spans="3:13" s="13" customFormat="1" ht="23.65" thickBot="1">
      <c r="C17" s="10" t="s">
        <v>41</v>
      </c>
      <c r="D17" s="7" t="str">
        <f>'Major counterparties'!A11</f>
        <v>SANTANDER</v>
      </c>
      <c r="E17" s="7" t="str">
        <f>'Major counterparties'!B11</f>
        <v>0000003686</v>
      </c>
      <c r="F17" s="7" t="s">
        <v>42</v>
      </c>
      <c r="G17" s="7" t="str">
        <f>IF('Major counterparties'!G11&gt;1,"2 - Exposures to groups of connected clients","1 - Exposures to individual clients")</f>
        <v>2 - Exposures to groups of connected clients</v>
      </c>
      <c r="H17" s="7" t="str">
        <f>'Major counterparties'!C11</f>
        <v>PORTUGAL</v>
      </c>
      <c r="I17" s="7" t="str">
        <f>IF('Major counterparties'!D11="instituicoes de credito","Financial corporations other than credit institutions",IF('Major counterparties'!D11="bancos centrais","Central banks",IF('Major counterparties'!D11="particulares","Households","Non-financial corporations")))</f>
        <v>Non-financial corporations</v>
      </c>
      <c r="J17" s="7" t="str">
        <f>IF('Major counterparties'!F11="91","OBS.02 - Financial guarantees received",IF('Major counterparties'!F11="93","OBS.01 - Loan commitments received",""))</f>
        <v>OBS.02 - Financial guarantees received</v>
      </c>
      <c r="K17" s="6">
        <f>-'Major counterparties'!E11</f>
        <v>300000000</v>
      </c>
      <c r="L17" s="14"/>
      <c r="M17" s="14"/>
    </row>
  </sheetData>
  <mergeCells count="5">
    <mergeCell ref="A1:K1"/>
    <mergeCell ref="D4:K4"/>
    <mergeCell ref="D5:K5"/>
    <mergeCell ref="L5:L6"/>
    <mergeCell ref="M5:M6"/>
  </mergeCells>
  <phoneticPr fontId="11" type="noConversion"/>
  <conditionalFormatting sqref="D8:K17">
    <cfRule type="expression" dxfId="3" priority="4">
      <formula>LEN(TRIM(D8))=0</formula>
    </cfRule>
    <cfRule type="expression" dxfId="2" priority="3">
      <formula>LEN(TRIM(D8))=0</formula>
    </cfRule>
    <cfRule type="expression" dxfId="1" priority="2">
      <formula>LEN(TRIM(D8))=0</formula>
    </cfRule>
    <cfRule type="expression" dxfId="0" priority="1">
      <formula>LEN(TRIM(D8))=0</formula>
    </cfRule>
  </conditionalFormatting>
  <pageMargins left="0.7" right="0.7" top="0.75" bottom="0.75" header="0.3" footer="0.3"/>
  <pageSetup scale="49" orientation="landscape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9AA4A42-4AE6-4ADF-B17B-0E3FB1875B23}"/>
</file>

<file path=customXml/itemProps2.xml><?xml version="1.0" encoding="utf-8"?>
<ds:datastoreItem xmlns:ds="http://schemas.openxmlformats.org/officeDocument/2006/customXml" ds:itemID="{4B65C308-EF73-47FC-A8B1-081CEE00CA92}"/>
</file>

<file path=customXml/itemProps3.xml><?xml version="1.0" encoding="utf-8"?>
<ds:datastoreItem xmlns:ds="http://schemas.openxmlformats.org/officeDocument/2006/customXml" ds:itemID="{B1B3949C-1F6B-461C-AD5F-7B03FF1377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Instruções</vt:lpstr>
      <vt:lpstr>Major counterparties</vt:lpstr>
      <vt:lpstr>T 12.00</vt:lpstr>
      <vt:lpstr>'T 12.00'!Print_Area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Filipe Hetzel de Oliveira Ferreira</dc:creator>
  <cp:lastModifiedBy>Flávia Daniela Costa Pinho</cp:lastModifiedBy>
  <dcterms:created xsi:type="dcterms:W3CDTF">2021-09-29T15:35:50Z</dcterms:created>
  <dcterms:modified xsi:type="dcterms:W3CDTF">2023-03-13T16:33:29Z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2022-04-28T09:44:54Z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9612e6d5-3907-4de0-b3f1-8c001766aa81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